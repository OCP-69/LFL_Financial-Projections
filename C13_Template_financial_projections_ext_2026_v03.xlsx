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Performance Dashboard" sheetId="1" state="visible" r:id="rId1"/>
    <sheet name="LFL_Parameters" sheetId="2" state="visible" r:id="rId2"/>
    <sheet name="Control Panel" sheetId="3" state="visible" r:id="rId3"/>
    <sheet name="Startup &amp; Pre-Opening Costs" sheetId="4" state="visible" r:id="rId4"/>
    <sheet name="Year 1 Cash Budget" sheetId="5" state="visible" r:id="rId5"/>
    <sheet name="Financial Statements" sheetId="6" state="visible" r:id="rId6"/>
    <sheet name="Year 2 Cash Budget" sheetId="7" state="visible" r:id="rId7"/>
    <sheet name="Year 3 Cash Budget" sheetId="8" state="visible" r:id="rId8"/>
    <sheet name="Year 4 Cash Budget" sheetId="9" state="visible" r:id="rId9"/>
    <sheet name="Year 5 Cash Budget" sheetId="10" state="visible" r:id="rId10"/>
    <sheet name="Balances" sheetId="11" state="visible" r:id="rId11"/>
  </sheets>
  <definedNames/>
  <calcPr calcId="191028" fullCalcOnLoad="1" iterateCount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.0%"/>
    <numFmt numFmtId="166" formatCode="_ * #,##0.00_ ;_ * \-#,##0.00_ ;_ * &quot;-&quot;??_ ;_ @_ "/>
  </numFmts>
  <fonts count="8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b val="1"/>
      <color rgb="00FFFFFF"/>
      <sz val="13"/>
    </font>
    <font>
      <b val="1"/>
    </font>
    <font>
      <b val="1"/>
      <color rgb="00FFFFFF"/>
    </font>
    <font>
      <b val="1"/>
      <color rgb="001F4E79"/>
    </font>
    <font>
      <i val="1"/>
      <color rgb="00595959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1" fillId="0" borderId="0"/>
    <xf numFmtId="166" fontId="1" fillId="0" borderId="0"/>
    <xf numFmtId="9" fontId="1" fillId="0" borderId="0"/>
  </cellStyleXfs>
  <cellXfs count="55">
    <xf numFmtId="0" fontId="0" fillId="0" borderId="0" pivotButton="0" quotePrefix="0" xfId="0"/>
    <xf numFmtId="9" fontId="0" fillId="0" borderId="0" pivotButton="0" quotePrefix="0" xfId="0"/>
    <xf numFmtId="164" fontId="0" fillId="0" borderId="0" pivotButton="0" quotePrefix="0" xfId="1"/>
    <xf numFmtId="164" fontId="0" fillId="0" borderId="0" pivotButton="0" quotePrefix="0" xfId="0"/>
    <xf numFmtId="0" fontId="0" fillId="0" borderId="1" pivotButton="0" quotePrefix="0" xfId="0"/>
    <xf numFmtId="164" fontId="0" fillId="0" borderId="1" pivotButton="0" quotePrefix="0" xfId="1"/>
    <xf numFmtId="164" fontId="0" fillId="0" borderId="0" pivotButton="0" quotePrefix="0" xfId="1"/>
    <xf numFmtId="9" fontId="0" fillId="0" borderId="0" pivotButton="0" quotePrefix="0" xfId="2"/>
    <xf numFmtId="10" fontId="0" fillId="0" borderId="0" pivotButton="0" quotePrefix="0" xfId="2"/>
    <xf numFmtId="0" fontId="2" fillId="0" borderId="0" applyAlignment="1" pivotButton="0" quotePrefix="0" xfId="0">
      <alignment vertical="center"/>
    </xf>
    <xf numFmtId="43" fontId="0" fillId="0" borderId="0" pivotButton="0" quotePrefix="0" xfId="1"/>
    <xf numFmtId="164" fontId="0" fillId="0" borderId="0" pivotButton="0" quotePrefix="0" xfId="1"/>
    <xf numFmtId="0" fontId="0" fillId="0" borderId="0" applyAlignment="1" pivotButton="0" quotePrefix="0" xfId="0">
      <alignment horizontal="right" vertical="center"/>
    </xf>
    <xf numFmtId="43" fontId="0" fillId="0" borderId="0" pivotButton="0" quotePrefix="0" xfId="0"/>
    <xf numFmtId="164" fontId="0" fillId="2" borderId="1" pivotButton="0" quotePrefix="0" xfId="1"/>
    <xf numFmtId="0" fontId="0" fillId="2" borderId="1" pivotButton="0" quotePrefix="0" xfId="0"/>
    <xf numFmtId="164" fontId="0" fillId="2" borderId="0" pivotButton="0" quotePrefix="0" xfId="1"/>
    <xf numFmtId="9" fontId="0" fillId="2" borderId="0" pivotButton="0" quotePrefix="0" xfId="0"/>
    <xf numFmtId="9" fontId="0" fillId="2" borderId="0" pivotButton="0" quotePrefix="0" xfId="2"/>
    <xf numFmtId="164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0" fillId="0" borderId="0" pivotButton="0" quotePrefix="0" xfId="2"/>
    <xf numFmtId="164" fontId="0" fillId="0" borderId="1" pivotButton="0" quotePrefix="0" xfId="1"/>
    <xf numFmtId="10" fontId="0" fillId="3" borderId="0" pivotButton="0" quotePrefix="0" xfId="2"/>
    <xf numFmtId="164" fontId="0" fillId="3" borderId="0" pivotButton="0" quotePrefix="0" xfId="1"/>
    <xf numFmtId="0" fontId="2" fillId="0" borderId="0" pivotButton="0" quotePrefix="0" xfId="0"/>
    <xf numFmtId="166" fontId="0" fillId="2" borderId="0" pivotButton="0" quotePrefix="0" xfId="1"/>
    <xf numFmtId="0" fontId="0" fillId="0" borderId="0" applyAlignment="1" pivotButton="0" quotePrefix="0" xfId="0">
      <alignment horizontal="center"/>
    </xf>
    <xf numFmtId="164" fontId="0" fillId="0" borderId="0" pivotButton="0" quotePrefix="0" xfId="1"/>
    <xf numFmtId="164" fontId="0" fillId="0" borderId="0" applyAlignment="1" pivotButton="0" quotePrefix="0" xfId="1">
      <alignment vertical="center"/>
    </xf>
    <xf numFmtId="166" fontId="0" fillId="2" borderId="0" pivotButton="0" quotePrefix="0" xfId="1"/>
    <xf numFmtId="164" fontId="0" fillId="2" borderId="0" pivotButton="0" quotePrefix="0" xfId="1"/>
    <xf numFmtId="165" fontId="0" fillId="0" borderId="0" pivotButton="0" quotePrefix="0" xfId="2"/>
    <xf numFmtId="164" fontId="0" fillId="0" borderId="0" pivotButton="0" quotePrefix="0" xfId="0"/>
    <xf numFmtId="164" fontId="0" fillId="0" borderId="1" pivotButton="0" quotePrefix="0" xfId="1"/>
    <xf numFmtId="164" fontId="0" fillId="2" borderId="1" pivotButton="0" quotePrefix="0" xfId="1"/>
    <xf numFmtId="43" fontId="0" fillId="0" borderId="0" pivotButton="0" quotePrefix="0" xfId="0"/>
    <xf numFmtId="43" fontId="0" fillId="0" borderId="0" pivotButton="0" quotePrefix="0" xfId="1"/>
    <xf numFmtId="164" fontId="0" fillId="3" borderId="0" pivotButton="0" quotePrefix="0" xfId="1"/>
    <xf numFmtId="164" fontId="0" fillId="0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center"/>
    </xf>
    <xf numFmtId="0" fontId="4" fillId="0" borderId="0" pivotButton="0" quotePrefix="0" xfId="0"/>
    <xf numFmtId="0" fontId="5" fillId="4" borderId="0" applyAlignment="1" pivotButton="0" quotePrefix="0" xfId="0">
      <alignment horizontal="center" wrapText="1"/>
    </xf>
    <xf numFmtId="0" fontId="6" fillId="5" borderId="0" applyAlignment="1" pivotButton="0" quotePrefix="0" xfId="0">
      <alignment horizontal="left"/>
    </xf>
    <xf numFmtId="3" fontId="0" fillId="0" borderId="0" pivotButton="0" quotePrefix="0" xfId="0"/>
    <xf numFmtId="3" fontId="4" fillId="0" borderId="0" pivotButton="0" quotePrefix="0" xfId="0"/>
    <xf numFmtId="165" fontId="0" fillId="0" borderId="0" pivotButton="0" quotePrefix="0" xfId="0"/>
    <xf numFmtId="165" fontId="4" fillId="0" borderId="0" pivotButton="0" quotePrefix="0" xfId="0"/>
    <xf numFmtId="3" fontId="0" fillId="2" borderId="0" pivotButton="0" quotePrefix="0" xfId="1"/>
    <xf numFmtId="0" fontId="7" fillId="0" borderId="0" pivotButton="0" quotePrefix="0" xfId="0"/>
    <xf numFmtId="0" fontId="6" fillId="0" borderId="0" pivotButton="0" quotePrefix="0" xfId="0"/>
    <xf numFmtId="165" fontId="4" fillId="2" borderId="0" pivotButton="0" quotePrefix="0" xfId="0"/>
    <xf numFmtId="164" fontId="7" fillId="0" borderId="0" pivotButton="0" quotePrefix="0" xfId="0"/>
    <xf numFmtId="3" fontId="0" fillId="0" borderId="0" pivotButton="0" quotePrefix="0" xfId="1"/>
  </cellXfs>
  <cellStyles count="3">
    <cellStyle name="Standard" xfId="0" builtinId="0"/>
    <cellStyle name="Komma" xfId="1" builtinId="3"/>
    <cellStyle name="Proz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</a:t>
            </a:r>
            <a:r>
              <a:rPr lang="en-US" baseline="0"/>
              <a:t xml:space="preserve"> Net Profit</a:t>
            </a:r>
            <a:endParaRPr lang="en-US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lineChart>
        <grouping val="standard"/>
        <varyColors val="0"/>
        <ser>
          <idx val="1"/>
          <order val="0"/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Balances!$B$6:$BI$6</f>
              <numCache>
                <formatCode xml:space="preserve">_ * #,##0_ ;_ * \-#,##0_ ;_ * "-"??_ ;_ @_ </formatCode>
                <ptCount val="60"/>
                <pt idx="0">
                  <v>-99762.5</v>
                </pt>
                <pt idx="1">
                  <v>-94492.5</v>
                </pt>
                <pt idx="2">
                  <v>-89190</v>
                </pt>
                <pt idx="3">
                  <v>-83887.5</v>
                </pt>
                <pt idx="4">
                  <v>-78552.5</v>
                </pt>
                <pt idx="5">
                  <v>-73185</v>
                </pt>
                <pt idx="6">
                  <v>-67785</v>
                </pt>
                <pt idx="7">
                  <v>-62352.5</v>
                </pt>
                <pt idx="8">
                  <v>-56887.5</v>
                </pt>
                <pt idx="9">
                  <v>-51390</v>
                </pt>
                <pt idx="10">
                  <v>-45860</v>
                </pt>
                <pt idx="11">
                  <v>-40265</v>
                </pt>
                <pt idx="12">
                  <v>-34637.5</v>
                </pt>
                <pt idx="13">
                  <v>-28977.5</v>
                </pt>
                <pt idx="14">
                  <v>-23252.5</v>
                </pt>
                <pt idx="15">
                  <v>-17495</v>
                </pt>
                <pt idx="16">
                  <v>-11672.5</v>
                </pt>
                <pt idx="17">
                  <v>-5817.5</v>
                </pt>
                <pt idx="18">
                  <v>102.5</v>
                </pt>
                <pt idx="19">
                  <v>6087.5</v>
                </pt>
                <pt idx="20">
                  <v>12137.5</v>
                </pt>
                <pt idx="21">
                  <v>18252.5</v>
                </pt>
                <pt idx="22">
                  <v>24432.5</v>
                </pt>
                <pt idx="23">
                  <v>30677.5</v>
                </pt>
                <pt idx="24">
                  <v>36987.5</v>
                </pt>
                <pt idx="25">
                  <v>43395</v>
                </pt>
                <pt idx="26">
                  <v>49867.5</v>
                </pt>
                <pt idx="27">
                  <v>56437.5</v>
                </pt>
                <pt idx="28">
                  <v>63105</v>
                </pt>
                <pt idx="29">
                  <v>69870</v>
                </pt>
                <pt idx="30">
                  <v>76732.5</v>
                </pt>
                <pt idx="31">
                  <v>83692.5</v>
                </pt>
                <pt idx="32">
                  <v>90750</v>
                </pt>
                <pt idx="33">
                  <v>97937.5</v>
                </pt>
                <pt idx="34">
                  <v>105255</v>
                </pt>
                <pt idx="35">
                  <v>112702.5</v>
                </pt>
                <pt idx="36">
                  <v>120280</v>
                </pt>
                <pt idx="37">
                  <v>127987.5</v>
                </pt>
                <pt idx="38">
                  <v>135857.5</v>
                </pt>
                <pt idx="39">
                  <v>143890</v>
                </pt>
                <pt idx="40">
                  <v>152085</v>
                </pt>
                <pt idx="41">
                  <v>160442.5</v>
                </pt>
                <pt idx="42">
                  <v>168962.5</v>
                </pt>
                <pt idx="43">
                  <v>177677.5</v>
                </pt>
                <pt idx="44">
                  <v>186587.5</v>
                </pt>
                <pt idx="45">
                  <v>195725</v>
                </pt>
                <pt idx="46">
                  <v>205090</v>
                </pt>
                <pt idx="47">
                  <v>214682.5</v>
                </pt>
                <pt idx="48">
                  <v>224502.5</v>
                </pt>
                <pt idx="49">
                  <v>234582.5</v>
                </pt>
                <pt idx="50">
                  <v>244922.5</v>
                </pt>
                <pt idx="51">
                  <v>255555</v>
                </pt>
                <pt idx="52">
                  <v>266480</v>
                </pt>
                <pt idx="53">
                  <v>277697.5</v>
                </pt>
                <pt idx="54">
                  <v>289240</v>
                </pt>
                <pt idx="55">
                  <v>301140</v>
                </pt>
                <pt idx="56">
                  <v>313397.5</v>
                </pt>
                <pt idx="57">
                  <v>326012.5</v>
                </pt>
                <pt idx="58">
                  <v>339017.5</v>
                </pt>
                <pt idx="59">
                  <v>352445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20609664"/>
        <axId val="220713088"/>
      </lineChart>
      <catAx>
        <axId val="220609664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20713088"/>
        <crosses val="autoZero"/>
        <auto val="1"/>
        <lblAlgn val="ctr"/>
        <lblOffset val="100"/>
        <noMultiLvlLbl val="0"/>
      </catAx>
      <valAx>
        <axId val="22071308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 * #,##0_ ;_ * \-#,##0_ ;_ * &quot;-&quot;??_ ;_ @_ 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20609664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47</col>
      <colOff>419100</colOff>
      <row>35</row>
      <rowOff>120650</rowOff>
    </from>
    <to>
      <col>53</col>
      <colOff>38100</colOff>
      <row>49</row>
      <rowOff>19050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tabSelected="1" zoomScale="125" zoomScaleNormal="125" workbookViewId="0">
      <selection activeCell="F9" sqref="F9"/>
    </sheetView>
  </sheetViews>
  <sheetFormatPr baseColWidth="10" defaultColWidth="11" defaultRowHeight="15.5"/>
  <cols>
    <col width="20.5" bestFit="1" customWidth="1" min="1" max="1"/>
    <col width="11.08203125" bestFit="1" customWidth="1" min="2" max="3"/>
    <col width="12.33203125" customWidth="1" min="4" max="4"/>
    <col width="11.08203125" bestFit="1" customWidth="1" min="5" max="6"/>
  </cols>
  <sheetData>
    <row r="1">
      <c r="B1" s="12" t="inlineStr">
        <is>
          <t>Year 1</t>
        </is>
      </c>
      <c r="C1" s="12" t="inlineStr">
        <is>
          <t>Year 2</t>
        </is>
      </c>
      <c r="D1" s="12" t="inlineStr">
        <is>
          <t>Year 3</t>
        </is>
      </c>
      <c r="E1" s="12" t="inlineStr">
        <is>
          <t>Year 4</t>
        </is>
      </c>
      <c r="F1" s="12" t="inlineStr">
        <is>
          <t>Year 5</t>
        </is>
      </c>
    </row>
    <row r="2">
      <c r="A2" t="inlineStr">
        <is>
          <t>Gross Margin</t>
        </is>
      </c>
      <c r="B2" s="7">
        <f>'Financial Statements'!B7/'Financial Statements'!B3</f>
        <v/>
      </c>
      <c r="C2" s="7">
        <f>'Financial Statements'!C7/'Financial Statements'!C3</f>
        <v/>
      </c>
      <c r="D2" s="7">
        <f>'Financial Statements'!D7/'Financial Statements'!D3</f>
        <v/>
      </c>
      <c r="E2" s="7">
        <f>'Financial Statements'!E7/'Financial Statements'!E3</f>
        <v/>
      </c>
      <c r="F2" s="7">
        <f>'Financial Statements'!F7/'Financial Statements'!F3</f>
        <v/>
      </c>
    </row>
    <row r="3">
      <c r="A3" t="inlineStr">
        <is>
          <t>Net Margin</t>
        </is>
      </c>
      <c r="B3" s="8">
        <f>'Financial Statements'!B13/'Financial Statements'!B3</f>
        <v/>
      </c>
      <c r="C3" s="8">
        <f>'Financial Statements'!C13/'Financial Statements'!C3</f>
        <v/>
      </c>
      <c r="D3" s="8">
        <f>'Financial Statements'!D13/'Financial Statements'!D3</f>
        <v/>
      </c>
      <c r="E3" s="8">
        <f>'Financial Statements'!E13/'Financial Statements'!E3</f>
        <v/>
      </c>
      <c r="F3" s="8">
        <f>'Financial Statements'!F13/'Financial Statements'!F3</f>
        <v/>
      </c>
    </row>
    <row r="4">
      <c r="A4" t="inlineStr">
        <is>
          <t>Quick Ratio</t>
        </is>
      </c>
      <c r="B4" s="29">
        <f>'Financial Statements'!B19/'Financial Statements'!B22</f>
        <v/>
      </c>
      <c r="C4" s="29">
        <f>'Financial Statements'!C19/'Financial Statements'!C22</f>
        <v/>
      </c>
      <c r="D4" s="29">
        <f>'Financial Statements'!D19/'Financial Statements'!D22</f>
        <v/>
      </c>
      <c r="E4" s="29">
        <f>'Financial Statements'!E19/'Financial Statements'!E22</f>
        <v/>
      </c>
      <c r="F4" s="29">
        <f>'Financial Statements'!F19/'Financial Statements'!F22</f>
        <v/>
      </c>
    </row>
    <row r="5">
      <c r="A5" t="inlineStr">
        <is>
          <t>EBITDA</t>
        </is>
      </c>
      <c r="B5" s="29">
        <f>'Financial Statements'!B13</f>
        <v/>
      </c>
      <c r="C5" s="29">
        <f>'Financial Statements'!C13</f>
        <v/>
      </c>
      <c r="D5" s="29">
        <f>'Financial Statements'!D13</f>
        <v/>
      </c>
      <c r="E5" s="29">
        <f>'Financial Statements'!E13</f>
        <v/>
      </c>
      <c r="F5" s="29">
        <f>'Financial Statements'!F13</f>
        <v/>
      </c>
      <c r="I5" t="inlineStr">
        <is>
          <t> </t>
        </is>
      </c>
    </row>
    <row r="7">
      <c r="A7" t="inlineStr">
        <is>
          <t>Customers</t>
        </is>
      </c>
      <c r="B7" s="29">
        <f>'Year 1 Cash Budget'!O4</f>
        <v/>
      </c>
      <c r="C7" s="29">
        <f>'Year 2 Cash Budget'!N4</f>
        <v/>
      </c>
      <c r="D7" s="29">
        <f>'Year 3 Cash Budget'!N4</f>
        <v/>
      </c>
      <c r="E7" s="29">
        <f>'Year 4 Cash Budget'!N4</f>
        <v/>
      </c>
      <c r="F7" s="29">
        <f>'Year 5 Cash Budget'!N4</f>
        <v/>
      </c>
    </row>
    <row r="8">
      <c r="A8" t="inlineStr">
        <is>
          <t>Market Share %</t>
        </is>
      </c>
      <c r="B8" s="8">
        <f>B7/('Control Panel'!$B$3*12)</f>
        <v/>
      </c>
      <c r="C8" s="8">
        <f>C7/('Control Panel'!$B$3*12)</f>
        <v/>
      </c>
      <c r="D8" s="8">
        <f>D7/('Control Panel'!$B$3*12)</f>
        <v/>
      </c>
      <c r="E8" s="8">
        <f>E7/('Control Panel'!$B$3*12)</f>
        <v/>
      </c>
      <c r="F8" s="8">
        <f>F7/('Control Panel'!$B$3*12)</f>
        <v/>
      </c>
    </row>
    <row r="9">
      <c r="B9" s="29" t="n"/>
      <c r="C9" s="29" t="n"/>
      <c r="D9" s="29" t="n"/>
      <c r="E9" s="29" t="n"/>
      <c r="F9" s="29" t="n"/>
    </row>
    <row r="10">
      <c r="A10">
        <f>'Financial Statements'!A3</f>
        <v/>
      </c>
      <c r="B10" s="29">
        <f>'Financial Statements'!B3</f>
        <v/>
      </c>
      <c r="C10" s="29">
        <f>'Financial Statements'!C3</f>
        <v/>
      </c>
      <c r="D10" s="29">
        <f>'Financial Statements'!D3</f>
        <v/>
      </c>
      <c r="E10" s="29">
        <f>'Financial Statements'!E3</f>
        <v/>
      </c>
      <c r="F10" s="29">
        <f>'Financial Statements'!F3</f>
        <v/>
      </c>
    </row>
    <row r="11">
      <c r="A11">
        <f>'Financial Statements'!A7</f>
        <v/>
      </c>
      <c r="B11" s="29">
        <f>'Financial Statements'!B7</f>
        <v/>
      </c>
      <c r="C11" s="29">
        <f>'Financial Statements'!C7</f>
        <v/>
      </c>
      <c r="D11" s="29">
        <f>'Financial Statements'!D7</f>
        <v/>
      </c>
      <c r="E11" s="29">
        <f>'Financial Statements'!E7</f>
        <v/>
      </c>
      <c r="F11" s="29">
        <f>'Financial Statements'!F7</f>
        <v/>
      </c>
    </row>
    <row r="12">
      <c r="A12">
        <f>'Financial Statements'!A11</f>
        <v/>
      </c>
      <c r="B12" s="30">
        <f>'Financial Statements'!B11</f>
        <v/>
      </c>
      <c r="C12" s="30">
        <f>'Financial Statements'!C11</f>
        <v/>
      </c>
      <c r="D12" s="30">
        <f>'Financial Statements'!D11</f>
        <v/>
      </c>
      <c r="E12" s="30">
        <f>'Financial Statements'!E11</f>
        <v/>
      </c>
      <c r="F12" s="30">
        <f>'Financial Statements'!F11</f>
        <v/>
      </c>
    </row>
    <row r="13">
      <c r="A13">
        <f>'Financial Statements'!A13</f>
        <v/>
      </c>
      <c r="B13" s="29">
        <f>'Financial Statements'!B13</f>
        <v/>
      </c>
      <c r="C13" s="29">
        <f>'Financial Statements'!C13</f>
        <v/>
      </c>
      <c r="D13" s="29">
        <f>'Financial Statements'!D13</f>
        <v/>
      </c>
      <c r="E13" s="29">
        <f>'Financial Statements'!E13</f>
        <v/>
      </c>
      <c r="F13" s="29">
        <f>'Financial Statements'!F13</f>
        <v/>
      </c>
    </row>
    <row r="14">
      <c r="B14" s="29" t="n"/>
      <c r="C14" s="29" t="n"/>
      <c r="D14" s="29" t="n"/>
      <c r="E14" s="29" t="n"/>
      <c r="F14" s="29" t="n"/>
    </row>
    <row r="15">
      <c r="A15">
        <f>'Financial Statements'!A19</f>
        <v/>
      </c>
      <c r="B15" s="29">
        <f>'Financial Statements'!B19</f>
        <v/>
      </c>
      <c r="C15" s="29">
        <f>'Financial Statements'!C19</f>
        <v/>
      </c>
      <c r="D15" s="29">
        <f>'Financial Statements'!D19</f>
        <v/>
      </c>
      <c r="E15" s="29">
        <f>'Financial Statements'!E19</f>
        <v/>
      </c>
      <c r="F15" s="29">
        <f>'Financial Statements'!F19</f>
        <v/>
      </c>
    </row>
    <row r="16">
      <c r="A16">
        <f>'Financial Statements'!A24</f>
        <v/>
      </c>
      <c r="B16" s="29">
        <f>'Financial Statements'!B24</f>
        <v/>
      </c>
      <c r="C16" s="29">
        <f>'Financial Statements'!C24</f>
        <v/>
      </c>
      <c r="D16" s="29">
        <f>'Financial Statements'!D24</f>
        <v/>
      </c>
      <c r="E16" s="29">
        <f>'Financial Statements'!E24</f>
        <v/>
      </c>
      <c r="F16" s="29">
        <f>'Financial Statements'!F24</f>
        <v/>
      </c>
    </row>
    <row r="18">
      <c r="A18" t="inlineStr">
        <is>
          <t>Operational Break Even</t>
        </is>
      </c>
      <c r="B18" s="12">
        <f>IF(ISNA(HLOOKUP("OBE",Balances!A7:BI8,2,FALSE)),"Never",CONCATENATE("Month ",HLOOKUP("OBE",Balances!A7:BI8,2,FALSE)))</f>
        <v/>
      </c>
      <c r="D18" t="inlineStr">
        <is>
          <t>Worth &gt;</t>
        </is>
      </c>
      <c r="E18" s="12">
        <f>IF(ISNA(HLOOKUP("Yes",'Financial Statements'!B31:F34,4,FALSE)),"Never",HLOOKUP("Yes",'Financial Statements'!B31:F34,4,FALSE))</f>
        <v/>
      </c>
    </row>
    <row r="19">
      <c r="A19" t="inlineStr">
        <is>
          <t>Cash Break Even</t>
        </is>
      </c>
      <c r="B19" s="12">
        <f>IF(ISNA(HLOOKUP("CBE",Balances!A5:BI8,4,FALSE)),"Never",CONCATENATE("Month ",HLOOKUP("CBE",Balances!A5:BI8,4,FALSE)))</f>
        <v/>
      </c>
      <c r="D19" t="inlineStr">
        <is>
          <t>Buyout</t>
        </is>
      </c>
      <c r="E19" s="12">
        <f>IF(ISNA(HLOOKUP("Yes",'Financial Statements'!B33:F34,2,FALSE)),"Never",HLOOKUP("Yes",'Financial Statements'!B33:F34,2,FALSE))</f>
        <v/>
      </c>
    </row>
    <row r="21">
      <c r="A21" t="inlineStr">
        <is>
          <t>Investment Required</t>
        </is>
      </c>
      <c r="B21" s="29">
        <f>'Startup &amp; Pre-Opening Costs'!B29</f>
        <v/>
      </c>
      <c r="D21" t="inlineStr">
        <is>
          <t>Buyout</t>
        </is>
      </c>
      <c r="E21" s="29">
        <f>IF(E19="Never","N/A",HLOOKUP(E19,'Financial Statements'!B34:F35,2,FALSE))</f>
        <v/>
      </c>
    </row>
    <row r="23">
      <c r="A23" t="inlineStr">
        <is>
          <t>Market Share %</t>
        </is>
      </c>
      <c r="B23" s="8">
        <f>'Control Panel'!B2/'Control Panel'!B3</f>
        <v/>
      </c>
      <c r="D23" t="inlineStr">
        <is>
          <t>Investor ROI %</t>
        </is>
      </c>
      <c r="E23" s="7">
        <f>(E21-B21)/B21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38" customWidth="1" min="4" max="4"/>
  </cols>
  <sheetData>
    <row r="1" ht="22" customHeight="1">
      <c r="A1" s="41" t="inlineStr">
        <is>
          <t>LFL Financial Model – Schlüsselparameter &amp; Datenherkunft</t>
        </is>
      </c>
    </row>
    <row r="2">
      <c r="A2" s="42" t="inlineStr">
        <is>
          <t>Quelldatei:</t>
        </is>
      </c>
      <c r="B2" t="inlineStr">
        <is>
          <t>260315_LFL_BM_Szen_normal_final.xlsx</t>
        </is>
      </c>
    </row>
    <row r="3">
      <c r="A3" s="42" t="inlineStr">
        <is>
          <t>Zieldatei (v03):</t>
        </is>
      </c>
      <c r="B3" t="inlineStr">
        <is>
          <t>C13_Template_financial_projections_ext_2026_v03.xlsx</t>
        </is>
      </c>
    </row>
    <row r="5">
      <c r="A5" s="43" t="inlineStr">
        <is>
          <t>Parameter</t>
        </is>
      </c>
      <c r="B5" s="43" t="inlineStr">
        <is>
          <t>Wert</t>
        </is>
      </c>
      <c r="C5" s="43" t="inlineStr">
        <is>
          <t>Einheit</t>
        </is>
      </c>
      <c r="D5" s="43" t="inlineStr">
        <is>
          <t>Quelle / Erläuterung</t>
        </is>
      </c>
    </row>
    <row r="6">
      <c r="A6" s="44" t="inlineStr">
        <is>
          <t>▶ KUNDENMODELL – REVENUE-ANNAHMEN</t>
        </is>
      </c>
    </row>
    <row r="7">
      <c r="A7" t="inlineStr">
        <is>
          <t>SME Seat-Preis</t>
        </is>
      </c>
      <c r="B7" s="45" t="n">
        <v>460</v>
      </c>
      <c r="C7" t="inlineStr">
        <is>
          <t>€/Monat/Seat</t>
        </is>
      </c>
      <c r="D7" t="inlineStr">
        <is>
          <t>2_Inputs!B35</t>
        </is>
      </c>
    </row>
    <row r="8">
      <c r="A8" t="inlineStr">
        <is>
          <t>SME Seats je Kunde</t>
        </is>
      </c>
      <c r="B8" t="n">
        <v>6</v>
      </c>
      <c r="C8" t="inlineStr">
        <is>
          <t>Seats/Kunde</t>
        </is>
      </c>
      <c r="D8" t="inlineStr">
        <is>
          <t>2_Inputs!B33</t>
        </is>
      </c>
    </row>
    <row r="9">
      <c r="A9" t="inlineStr">
        <is>
          <t>SME Monatsumsatz je Kunde</t>
        </is>
      </c>
      <c r="B9" s="46">
        <f>B7*B8</f>
        <v/>
      </c>
      <c r="C9" t="inlineStr">
        <is>
          <t>€/Monat</t>
        </is>
      </c>
      <c r="D9">
        <f> B8 × B9  (Seat-Preis × Seats)</f>
        <v/>
      </c>
    </row>
    <row r="10">
      <c r="A10" t="inlineStr">
        <is>
          <t>Mid-Company Seat-Preis</t>
        </is>
      </c>
      <c r="B10" s="45" t="n">
        <v>530</v>
      </c>
      <c r="C10" t="inlineStr">
        <is>
          <t>€/Monat/Seat</t>
        </is>
      </c>
      <c r="D10" t="inlineStr">
        <is>
          <t>2_Inputs!B36</t>
        </is>
      </c>
    </row>
    <row r="11">
      <c r="A11" t="inlineStr">
        <is>
          <t>Mid-Company Seats je Kunde</t>
        </is>
      </c>
      <c r="B11" t="n">
        <v>12</v>
      </c>
      <c r="C11" t="inlineStr">
        <is>
          <t>Seats/Kunde</t>
        </is>
      </c>
      <c r="D11" t="inlineStr">
        <is>
          <t>2_Inputs!B34</t>
        </is>
      </c>
    </row>
    <row r="12">
      <c r="A12" t="inlineStr">
        <is>
          <t>Mid-Company Monatsumsatz je Kunde</t>
        </is>
      </c>
      <c r="B12" s="46">
        <f>B10*B11</f>
        <v/>
      </c>
      <c r="C12" t="inlineStr">
        <is>
          <t>€/Monat</t>
        </is>
      </c>
      <c r="D12">
        <f> B11 × B12  (Seat-Preis × Seats)</f>
        <v/>
      </c>
    </row>
    <row r="13">
      <c r="A13" t="inlineStr">
        <is>
          <t>Enterprise Jahres-Fee</t>
        </is>
      </c>
      <c r="B13" s="45" t="n">
        <v>80000</v>
      </c>
      <c r="C13" t="inlineStr">
        <is>
          <t>€/Jahr</t>
        </is>
      </c>
      <c r="D13" t="inlineStr">
        <is>
          <t>2_Inputs!B37</t>
        </is>
      </c>
    </row>
    <row r="14">
      <c r="A14" t="inlineStr">
        <is>
          <t>Enterprise Monatsumsatz je Kunde</t>
        </is>
      </c>
      <c r="B14" s="46">
        <f>B13/12</f>
        <v/>
      </c>
      <c r="C14" t="inlineStr">
        <is>
          <t>€/Monat</t>
        </is>
      </c>
      <c r="D14">
        <f> B14 / 12</f>
        <v/>
      </c>
    </row>
    <row r="15">
      <c r="A15" t="inlineStr">
        <is>
          <t>Jährliche Preiserhöhung</t>
        </is>
      </c>
      <c r="B15" s="47" t="n">
        <v>0.04</v>
      </c>
      <c r="C15" t="inlineStr">
        <is>
          <t>% p.a.</t>
        </is>
      </c>
      <c r="D15" t="inlineStr">
        <is>
          <t>2_Inputs!B38</t>
        </is>
      </c>
    </row>
    <row r="16">
      <c r="A16" t="inlineStr">
        <is>
          <t>Erster zahlender Kunde (Ziel-Mo.)</t>
        </is>
      </c>
      <c r="B16" t="n">
        <v>4</v>
      </c>
      <c r="C16" t="inlineStr">
        <is>
          <t>Ziel-Monat</t>
        </is>
      </c>
      <c r="D16" t="inlineStr">
        <is>
          <t>2_Inputs!B39 (Quell-M8 → Ziel-M4)</t>
        </is>
      </c>
    </row>
    <row r="17">
      <c r="A17" t="inlineStr">
        <is>
          <t>Jährliche Churn Rate</t>
        </is>
      </c>
      <c r="B17" s="47" t="n">
        <v>0.05</v>
      </c>
      <c r="C17" t="inlineStr">
        <is>
          <t>% p.a.</t>
        </is>
      </c>
      <c r="D17" t="inlineStr">
        <is>
          <t>2_Inputs!B40</t>
        </is>
      </c>
    </row>
    <row r="19">
      <c r="A19" s="44" t="inlineStr">
        <is>
          <t>▶ ZAHLUNGSBEDINGUNGEN  (LFL: 100 % Barverkauf)</t>
        </is>
      </c>
    </row>
    <row r="20">
      <c r="A20" t="inlineStr">
        <is>
          <t>Zahlungseingang sofort (Bar-Anteil)</t>
        </is>
      </c>
      <c r="B20" s="47" t="n">
        <v>1</v>
      </c>
      <c r="C20" t="inlineStr">
        <is>
          <t>Anteil 0–1</t>
        </is>
      </c>
      <c r="D20" t="inlineStr">
        <is>
          <t>LFL: sofortige Zahlung, kein Zahlungsziel</t>
        </is>
      </c>
    </row>
    <row r="21">
      <c r="A21" t="inlineStr">
        <is>
          <t>1-Wochen-Kredit (Kreditkarte)</t>
        </is>
      </c>
      <c r="B21" s="47" t="n">
        <v>0</v>
      </c>
      <c r="C21" t="inlineStr">
        <is>
          <t>Anteil 0–1</t>
        </is>
      </c>
      <c r="D21" t="inlineStr">
        <is>
          <t>LFL: keine Kreditkartenzahlungsziele</t>
        </is>
      </c>
    </row>
    <row r="22">
      <c r="A22" t="inlineStr">
        <is>
          <t>1-Monats-Kredit (Rechnung/Invoice)</t>
        </is>
      </c>
      <c r="B22" s="47" t="n">
        <v>0</v>
      </c>
      <c r="C22" t="inlineStr">
        <is>
          <t>Anteil 0–1</t>
        </is>
      </c>
      <c r="D22" t="inlineStr">
        <is>
          <t>LFL: keine Rechnungszahlungsziele</t>
        </is>
      </c>
    </row>
    <row r="23">
      <c r="A23" t="inlineStr">
        <is>
          <t>Lieferantenkredit (COGS, 1 Monat)</t>
        </is>
      </c>
      <c r="B23" s="47" t="n">
        <v>0</v>
      </c>
      <c r="C23" t="inlineStr">
        <is>
          <t>Anteil 0–1</t>
        </is>
      </c>
      <c r="D23" t="inlineStr">
        <is>
          <t>LFL: COGS werden sofort bezahlt</t>
        </is>
      </c>
    </row>
    <row r="25">
      <c r="A25" s="44" t="inlineStr">
        <is>
          <t>▶ UMSATZKOSTENQUOTE (COGS) – Gesamtperiode M5–M52</t>
        </is>
      </c>
    </row>
    <row r="26">
      <c r="A26" t="inlineStr">
        <is>
          <t>Gesamtumsatz Pre-Seed bis Series B</t>
        </is>
      </c>
      <c r="B26" s="45" t="n">
        <v>19662454.89</v>
      </c>
      <c r="C26" t="inlineStr">
        <is>
          <t>€</t>
        </is>
      </c>
      <c r="D26" t="inlineStr">
        <is>
          <t>6_P&amp;L!R8, Quell-Spalten M5–M52 (= Ziel M1–M48)</t>
        </is>
      </c>
    </row>
    <row r="27">
      <c r="A27" t="inlineStr">
        <is>
          <t>Gesamte COGS Pre-Seed bis Series B</t>
        </is>
      </c>
      <c r="B27" s="45" t="n">
        <v>2510511.37</v>
      </c>
      <c r="C27" t="inlineStr">
        <is>
          <t>€</t>
        </is>
      </c>
      <c r="D27" t="inlineStr">
        <is>
          <t>6_P&amp;L!R14, Quell-Spalten M5–M52 (= Ziel M1–M48)</t>
        </is>
      </c>
    </row>
    <row r="28">
      <c r="A28" t="inlineStr">
        <is>
          <t>Effektive COGS-Quote (gewichteter Durchschnitt)</t>
        </is>
      </c>
      <c r="B28" s="48">
        <f>B27/B26</f>
        <v/>
      </c>
      <c r="C28" t="inlineStr">
        <is>
          <t>% des Umsatzes</t>
        </is>
      </c>
      <c r="D28">
        <f> Gesamt-COGS / Gesamt-Umsatz  →  Quelle: berechnete Formel</f>
        <v/>
      </c>
    </row>
    <row r="30">
      <c r="A30" s="44" t="inlineStr">
        <is>
          <t>▶ FINANZIERUNGSRUNDEN (Quelle: 2_Inputs + 7_BS_CF)</t>
        </is>
      </c>
    </row>
    <row r="31">
      <c r="A31" t="inlineStr">
        <is>
          <t>Pre-Seed + Business Angels (Ziel M1)</t>
        </is>
      </c>
      <c r="B31" s="45" t="n">
        <v>720000</v>
      </c>
      <c r="C31" t="inlineStr">
        <is>
          <t>€</t>
        </is>
      </c>
      <c r="D31" t="inlineStr">
        <is>
          <t>2_Inputs: R11 + R18 + R20 + R22</t>
        </is>
      </c>
    </row>
    <row r="32">
      <c r="A32" t="inlineStr">
        <is>
          <t>Seed (Ziel M13)</t>
        </is>
      </c>
      <c r="B32" s="45" t="n">
        <v>2000000</v>
      </c>
      <c r="C32" t="inlineStr">
        <is>
          <t>€</t>
        </is>
      </c>
      <c r="D32" t="inlineStr">
        <is>
          <t>2_Inputs!B13</t>
        </is>
      </c>
    </row>
    <row r="33">
      <c r="A33" t="inlineStr">
        <is>
          <t>Series A (Ziel M25)</t>
        </is>
      </c>
      <c r="B33" s="45" t="n">
        <v>10000000</v>
      </c>
      <c r="C33" t="inlineStr">
        <is>
          <t>€</t>
        </is>
      </c>
      <c r="D33" t="inlineStr">
        <is>
          <t>2_Inputs!B15</t>
        </is>
      </c>
    </row>
    <row r="35">
      <c r="A35" s="44" t="inlineStr">
        <is>
          <t>▶ PERSONAL &amp; STEUERN (Quelle: 2_Inputs)</t>
        </is>
      </c>
    </row>
    <row r="36">
      <c r="A36" t="inlineStr">
        <is>
          <t>Gehaltserhöhung p.a.</t>
        </is>
      </c>
      <c r="B36" s="47" t="n">
        <v>0.03</v>
      </c>
      <c r="C36" t="inlineStr">
        <is>
          <t>% p.a.</t>
        </is>
      </c>
      <c r="D36" t="inlineStr">
        <is>
          <t>2_Inputs!B84</t>
        </is>
      </c>
    </row>
    <row r="37">
      <c r="A37" t="inlineStr">
        <is>
          <t>AG-Aufschlag (SV + Umlagen)</t>
        </is>
      </c>
      <c r="B37" s="47" t="n">
        <v>0.22</v>
      </c>
      <c r="C37" t="inlineStr">
        <is>
          <t>%</t>
        </is>
      </c>
      <c r="D37" t="inlineStr">
        <is>
          <t>2_Inputs!B85</t>
        </is>
      </c>
    </row>
    <row r="38">
      <c r="A38" t="inlineStr">
        <is>
          <t>Ertragssteuersatz</t>
        </is>
      </c>
      <c r="B38" s="47" t="n">
        <v>0.3</v>
      </c>
      <c r="C38" t="inlineStr">
        <is>
          <t>%</t>
        </is>
      </c>
      <c r="D38" t="inlineStr">
        <is>
          <t>2_Inputs!B6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4" sqref="A14"/>
    </sheetView>
  </sheetViews>
  <sheetFormatPr baseColWidth="10" defaultColWidth="11" defaultRowHeight="15.5"/>
  <cols>
    <col width="36" bestFit="1" customWidth="1" min="1" max="1"/>
    <col width="16" bestFit="1" customWidth="1" min="2" max="2"/>
    <col width="42" bestFit="1" customWidth="1" min="3" max="3"/>
    <col width="20.5" bestFit="1" customWidth="1" min="4" max="4"/>
    <col width="11.33203125" bestFit="1" customWidth="1" min="5" max="6"/>
    <col width="13.5" bestFit="1" customWidth="1" min="7" max="7"/>
    <col width="12.58203125" bestFit="1" customWidth="1" min="8" max="9"/>
    <col width="9" bestFit="1" customWidth="1" min="10" max="13"/>
    <col width="8.58203125" bestFit="1" customWidth="1" min="14" max="15"/>
  </cols>
  <sheetData>
    <row r="1">
      <c r="A1" t="inlineStr">
        <is>
          <t>Average Sale per Customer (SME)</t>
        </is>
      </c>
      <c r="B1" s="49">
        <f>'LFL_Parameters'!B9</f>
        <v/>
      </c>
      <c r="C1" s="50" t="inlineStr">
        <is>
          <t>LFL_Parameters!B9: SME Seat-Preis × Seats/Kunde = 460 × 6</t>
        </is>
      </c>
      <c r="E1" s="12">
        <f>'Performance Dashboard'!B1</f>
        <v/>
      </c>
      <c r="F1" s="12">
        <f>'Performance Dashboard'!C1</f>
        <v/>
      </c>
      <c r="G1" s="12">
        <f>'Performance Dashboard'!D1</f>
        <v/>
      </c>
      <c r="H1" s="12">
        <f>'Performance Dashboard'!E1</f>
        <v/>
      </c>
      <c r="I1" s="12">
        <f>'Performance Dashboard'!F1</f>
        <v/>
      </c>
    </row>
    <row r="2">
      <c r="A2" t="inlineStr">
        <is>
          <t>Base Number of Customers per Month</t>
        </is>
      </c>
      <c r="B2" s="32" t="n">
        <v>0</v>
      </c>
      <c r="C2" s="50" t="inlineStr">
        <is>
          <t>LFL: kein Kundenstamm zu Start. Erster Kunde Ziel-M4 (Quell-M8). Kundenzahlen je Monat direkt in R4 der Jahressheets hinterlegt.</t>
        </is>
      </c>
      <c r="D2">
        <f>'Performance Dashboard'!A2</f>
        <v/>
      </c>
      <c r="E2" s="33">
        <f>'Performance Dashboard'!B2</f>
        <v/>
      </c>
      <c r="F2" s="33">
        <f>'Performance Dashboard'!C2</f>
        <v/>
      </c>
      <c r="G2" s="33">
        <f>'Performance Dashboard'!D2</f>
        <v/>
      </c>
      <c r="H2" s="33">
        <f>'Performance Dashboard'!E2</f>
        <v/>
      </c>
      <c r="I2" s="33">
        <f>'Performance Dashboard'!F2</f>
        <v/>
      </c>
    </row>
    <row r="3">
      <c r="A3" t="inlineStr">
        <is>
          <t>Potential Customers per Month</t>
        </is>
      </c>
      <c r="B3" s="32" t="n">
        <v>10000</v>
      </c>
      <c r="C3" s="50" t="inlineStr">
        <is>
          <t>Externe Marktannahme (TAM). Nicht in Quelldatei definiert. Einflussgröße für Marktanteil-Berechnung im Performance Dashboard.</t>
        </is>
      </c>
      <c r="D3">
        <f>'Performance Dashboard'!A3</f>
        <v/>
      </c>
      <c r="E3" s="33">
        <f>'Performance Dashboard'!B3</f>
        <v/>
      </c>
      <c r="F3" s="33">
        <f>'Performance Dashboard'!C3</f>
        <v/>
      </c>
      <c r="G3" s="33">
        <f>'Performance Dashboard'!D3</f>
        <v/>
      </c>
      <c r="H3" s="33">
        <f>'Performance Dashboard'!E3</f>
        <v/>
      </c>
      <c r="I3" s="33">
        <f>'Performance Dashboard'!F3</f>
        <v/>
      </c>
    </row>
    <row r="4">
      <c r="A4" t="inlineStr">
        <is>
          <t>Customer Growth per month</t>
        </is>
      </c>
      <c r="B4" s="17" t="n">
        <v>0.05</v>
      </c>
      <c r="C4" s="50" t="inlineStr">
        <is>
          <t>Entspricht dem monatlichen Seat-Wachstum im LFL-Modell. Achtung: R4-Werte (Kundenzahl/Monat) sind Ist-Werte aus der Quelldatei, nicht aus dieser Wachstumsformel abgeleitet.</t>
        </is>
      </c>
      <c r="D4">
        <f>'Performance Dashboard'!A4</f>
        <v/>
      </c>
      <c r="E4" s="29">
        <f>'Performance Dashboard'!B4</f>
        <v/>
      </c>
      <c r="F4" s="29">
        <f>'Performance Dashboard'!C4</f>
        <v/>
      </c>
      <c r="G4" s="29">
        <f>'Performance Dashboard'!D4</f>
        <v/>
      </c>
      <c r="H4" s="29">
        <f>'Performance Dashboard'!E4</f>
        <v/>
      </c>
      <c r="I4" s="29">
        <f>'Performance Dashboard'!F4</f>
        <v/>
      </c>
    </row>
    <row r="5">
      <c r="C5" s="51" t="inlineStr">
        <is>
          <t>◀ Quelle / Erläuterung</t>
        </is>
      </c>
      <c r="D5">
        <f>'Performance Dashboard'!A5</f>
        <v/>
      </c>
      <c r="E5" s="29">
        <f>'Performance Dashboard'!B5</f>
        <v/>
      </c>
      <c r="F5" s="29">
        <f>'Performance Dashboard'!C5</f>
        <v/>
      </c>
      <c r="G5" s="29">
        <f>'Performance Dashboard'!D5</f>
        <v/>
      </c>
      <c r="H5" s="29">
        <f>'Performance Dashboard'!E5</f>
        <v/>
      </c>
      <c r="I5" s="29">
        <f>'Performance Dashboard'!F5</f>
        <v/>
      </c>
    </row>
    <row r="6">
      <c r="A6" s="26" t="inlineStr">
        <is>
          <t>Revenue Payments</t>
        </is>
      </c>
    </row>
    <row r="7">
      <c r="A7" t="inlineStr">
        <is>
          <t>Cash</t>
        </is>
      </c>
      <c r="B7" s="17">
        <f>'LFL_Parameters'!B20</f>
        <v/>
      </c>
      <c r="C7" s="50" t="inlineStr">
        <is>
          <t>LFL_Parameters!B20: 100 % Bareingang im Buchungsmonat. Keine Zahlungsziele.</t>
        </is>
      </c>
      <c r="D7">
        <f>'Performance Dashboard'!A7</f>
        <v/>
      </c>
      <c r="E7" s="29">
        <f>'Performance Dashboard'!B7</f>
        <v/>
      </c>
      <c r="F7" s="29">
        <f>'Performance Dashboard'!C7</f>
        <v/>
      </c>
      <c r="G7" s="29">
        <f>'Performance Dashboard'!D7</f>
        <v/>
      </c>
      <c r="H7" s="29">
        <f>'Performance Dashboard'!E7</f>
        <v/>
      </c>
      <c r="I7" s="29">
        <f>'Performance Dashboard'!F7</f>
        <v/>
      </c>
    </row>
    <row r="8">
      <c r="A8" t="inlineStr">
        <is>
          <t>1 Week Credit (Credit Card)</t>
        </is>
      </c>
      <c r="B8" s="17">
        <f>'LFL_Parameters'!B21</f>
        <v/>
      </c>
      <c r="C8" s="50" t="inlineStr">
        <is>
          <t>LFL_Parameters!B21: Kein 1-Wochen-Kredit. LFL = 100 % sofort.</t>
        </is>
      </c>
    </row>
    <row r="9">
      <c r="A9" t="inlineStr">
        <is>
          <t>1 Month Credit (Invoice)</t>
        </is>
      </c>
      <c r="B9" s="17">
        <f>'LFL_Parameters'!B22</f>
        <v/>
      </c>
      <c r="C9" s="50" t="inlineStr">
        <is>
          <t>LFL_Parameters!B22: Kein Rechnungszahlungsziel. LFL = B2B SaaS, sofortige Zahlung.</t>
        </is>
      </c>
      <c r="D9">
        <f>'Performance Dashboard'!A10</f>
        <v/>
      </c>
      <c r="E9" s="29">
        <f>'Performance Dashboard'!B10</f>
        <v/>
      </c>
      <c r="F9" s="29">
        <f>'Performance Dashboard'!C10</f>
        <v/>
      </c>
      <c r="G9" s="29">
        <f>'Performance Dashboard'!D10</f>
        <v/>
      </c>
      <c r="H9" s="29">
        <f>'Performance Dashboard'!E10</f>
        <v/>
      </c>
      <c r="I9" s="29">
        <f>'Performance Dashboard'!F10</f>
        <v/>
      </c>
    </row>
    <row r="10">
      <c r="D10">
        <f>'Performance Dashboard'!A11</f>
        <v/>
      </c>
      <c r="E10" s="29">
        <f>'Performance Dashboard'!B11</f>
        <v/>
      </c>
      <c r="F10" s="29">
        <f>'Performance Dashboard'!C11</f>
        <v/>
      </c>
      <c r="G10" s="29">
        <f>'Performance Dashboard'!D11</f>
        <v/>
      </c>
      <c r="H10" s="29">
        <f>'Performance Dashboard'!E11</f>
        <v/>
      </c>
      <c r="I10" s="29">
        <f>'Performance Dashboard'!F11</f>
        <v/>
      </c>
    </row>
    <row r="11">
      <c r="A11" t="inlineStr">
        <is>
          <t>Cost of Revenue (COGS) — gewichtet</t>
        </is>
      </c>
      <c r="B11" s="52">
        <f>IFERROR((SUM('Year 1 Cash Budget'!C18:N18)+SUM('Year 2 Cash Budget'!B18:M18)+SUM('Year 3 Cash Budget'!B18:M18)+SUM('Year 4 Cash Budget'!B18:M18))/(SUM('Year 1 Cash Budget'!C7:N7)+SUM('Year 2 Cash Budget'!B7:M7)+SUM('Year 3 Cash Budget'!B7:M7)+SUM('Year 4 Cash Budget'!B7:M7)),0)</f>
        <v/>
      </c>
      <c r="C11" s="53" t="inlineStr">
        <is>
          <t>Formel: Σ COGS (R18, Jahressheets Y1–Y4) / Σ Umsatz (R7, Jahressheets Y1–Y4). Ist-Wert aus Quelldatei: 12.8%</t>
        </is>
      </c>
      <c r="D11">
        <f>'Performance Dashboard'!A12</f>
        <v/>
      </c>
      <c r="E11" s="29">
        <f>'Performance Dashboard'!B12</f>
        <v/>
      </c>
      <c r="F11" s="29">
        <f>'Performance Dashboard'!C12</f>
        <v/>
      </c>
      <c r="G11" s="29">
        <f>'Performance Dashboard'!D12</f>
        <v/>
      </c>
      <c r="H11" s="29">
        <f>'Performance Dashboard'!E12</f>
        <v/>
      </c>
      <c r="I11" s="29">
        <f>'Performance Dashboard'!F12</f>
        <v/>
      </c>
      <c r="J11" s="34" t="n"/>
      <c r="K11" s="34" t="n"/>
      <c r="L11" s="34" t="n"/>
      <c r="M11" s="34" t="n"/>
      <c r="N11" s="34" t="n"/>
      <c r="O11" s="34" t="n"/>
    </row>
    <row r="12">
      <c r="D12">
        <f>'Performance Dashboard'!A13</f>
        <v/>
      </c>
      <c r="E12" s="29">
        <f>'Performance Dashboard'!B13</f>
        <v/>
      </c>
      <c r="F12" s="29">
        <f>'Performance Dashboard'!C13</f>
        <v/>
      </c>
      <c r="G12" s="29">
        <f>'Performance Dashboard'!D13</f>
        <v/>
      </c>
      <c r="H12" s="29">
        <f>'Performance Dashboard'!E13</f>
        <v/>
      </c>
      <c r="I12" s="29">
        <f>'Performance Dashboard'!F13</f>
        <v/>
      </c>
    </row>
    <row r="13">
      <c r="A13" t="inlineStr">
        <is>
          <t>1 Month Supplier Credit</t>
        </is>
      </c>
      <c r="B13" s="17">
        <f>'LFL_Parameters'!B23</f>
        <v/>
      </c>
      <c r="C13" s="50" t="inlineStr">
        <is>
          <t>LFL_Parameters!B23: LFL zahlt COGS sofort (kein Lieferantenkredit). COGS = Cloud-Hosting (variabel) + AI/ML APIs + Payment Processing.</t>
        </is>
      </c>
      <c r="E13" s="29" t="n"/>
      <c r="F13" s="29" t="n"/>
      <c r="G13" s="29" t="n"/>
      <c r="H13" s="29" t="n"/>
      <c r="I13" s="29" t="n"/>
    </row>
    <row r="14">
      <c r="D14">
        <f>'Performance Dashboard'!A15</f>
        <v/>
      </c>
      <c r="E14" s="29">
        <f>'Performance Dashboard'!B15</f>
        <v/>
      </c>
      <c r="F14" s="29">
        <f>'Performance Dashboard'!C15</f>
        <v/>
      </c>
      <c r="G14" s="29">
        <f>'Performance Dashboard'!D15</f>
        <v/>
      </c>
      <c r="H14" s="29">
        <f>'Performance Dashboard'!E15</f>
        <v/>
      </c>
      <c r="I14" s="29">
        <f>'Performance Dashboard'!F15</f>
        <v/>
      </c>
    </row>
    <row r="15">
      <c r="A15" t="inlineStr">
        <is>
          <t>Investor Return</t>
        </is>
      </c>
      <c r="B15" s="17" t="n">
        <v>0.12</v>
      </c>
      <c r="C15" s="50" t="inlineStr">
        <is>
          <t>Externe Annahme: erwartete Rendite der Investoren. Nicht in Quelldatei definiert.</t>
        </is>
      </c>
      <c r="D15">
        <f>'Performance Dashboard'!A16</f>
        <v/>
      </c>
      <c r="E15" s="29">
        <f>'Performance Dashboard'!B16</f>
        <v/>
      </c>
      <c r="F15" s="29">
        <f>'Performance Dashboard'!C16</f>
        <v/>
      </c>
      <c r="G15" s="29">
        <f>'Performance Dashboard'!D16</f>
        <v/>
      </c>
      <c r="H15" s="29">
        <f>'Performance Dashboard'!E16</f>
        <v/>
      </c>
      <c r="I15" s="29">
        <f>'Performance Dashboard'!F16</f>
        <v/>
      </c>
    </row>
    <row r="16">
      <c r="A16" s="20" t="inlineStr">
        <is>
          <t>Founder Profit %</t>
        </is>
      </c>
      <c r="B16" s="17" t="n">
        <v>0.2</v>
      </c>
      <c r="C16" s="50" t="inlineStr">
        <is>
          <t>Externe Annahme: Gründer-Gewinnbeteiligung. Nicht direkt aus Quelldatei; kann im LFL-Shareholder-Agreement definiert werden.</t>
        </is>
      </c>
    </row>
    <row r="17">
      <c r="D17">
        <f>'Performance Dashboard'!A18</f>
        <v/>
      </c>
      <c r="E17">
        <f>'Performance Dashboard'!B18</f>
        <v/>
      </c>
      <c r="G17">
        <f>'Performance Dashboard'!D18</f>
        <v/>
      </c>
      <c r="H17">
        <f>'Performance Dashboard'!E18</f>
        <v/>
      </c>
    </row>
    <row r="18">
      <c r="D18">
        <f>'Performance Dashboard'!A19</f>
        <v/>
      </c>
      <c r="E18">
        <f>'Performance Dashboard'!B19</f>
        <v/>
      </c>
      <c r="G18">
        <f>'Performance Dashboard'!D19</f>
        <v/>
      </c>
      <c r="H18">
        <f>'Performance Dashboard'!E19</f>
        <v/>
      </c>
      <c r="N18" s="29" t="n"/>
    </row>
    <row r="19">
      <c r="B19" s="1" t="n"/>
      <c r="C19" s="1" t="n"/>
      <c r="J19" s="1" t="n"/>
      <c r="K19" s="1" t="n"/>
      <c r="L19" s="1" t="n"/>
      <c r="M19" s="1" t="n"/>
      <c r="N19" s="29" t="n"/>
    </row>
    <row r="20">
      <c r="B20" s="1" t="n"/>
      <c r="C20" s="1" t="n"/>
      <c r="D20">
        <f>'Performance Dashboard'!A21</f>
        <v/>
      </c>
      <c r="E20" s="29">
        <f>'Performance Dashboard'!B21</f>
        <v/>
      </c>
      <c r="G20">
        <f>'Performance Dashboard'!D21</f>
        <v/>
      </c>
      <c r="H20" s="29">
        <f>'Performance Dashboard'!E21</f>
        <v/>
      </c>
      <c r="J20" s="1" t="n"/>
      <c r="K20" s="1" t="n"/>
      <c r="L20" s="1" t="n"/>
      <c r="M20" s="1" t="n"/>
      <c r="N20" s="29" t="n"/>
    </row>
    <row r="21">
      <c r="B21" s="29" t="n"/>
      <c r="C21" s="29" t="n"/>
      <c r="J21" s="29" t="n"/>
      <c r="K21" s="29" t="n"/>
      <c r="L21" s="29" t="n"/>
      <c r="M21" s="29" t="n"/>
      <c r="N21" s="29" t="n"/>
    </row>
    <row r="22">
      <c r="D22">
        <f>'Performance Dashboard'!A23</f>
        <v/>
      </c>
      <c r="E22" s="8">
        <f>'Performance Dashboard'!B23</f>
        <v/>
      </c>
      <c r="G22">
        <f>'Performance Dashboard'!D23</f>
        <v/>
      </c>
      <c r="H22" s="7">
        <f>'Performance Dashboard'!E23</f>
        <v/>
      </c>
    </row>
    <row r="23">
      <c r="A23" s="9" t="n"/>
    </row>
    <row r="25">
      <c r="N25" s="29" t="n"/>
    </row>
    <row r="26">
      <c r="B26" s="1" t="n"/>
      <c r="C26" s="1" t="n"/>
      <c r="J26" s="1" t="n"/>
      <c r="K26" s="1" t="n"/>
      <c r="L26" s="1" t="n"/>
      <c r="M26" s="1" t="n"/>
      <c r="N26" s="29" t="n"/>
    </row>
    <row r="27">
      <c r="B27" s="1" t="n"/>
      <c r="C27" s="1" t="n"/>
      <c r="J27" s="1" t="n"/>
      <c r="K27" s="1" t="n"/>
      <c r="L27" s="1" t="n"/>
      <c r="M27" s="1" t="n"/>
      <c r="N27" s="29" t="n"/>
    </row>
    <row r="28">
      <c r="B28" s="29" t="n"/>
      <c r="C28" s="29" t="n"/>
      <c r="J28" s="29" t="n"/>
      <c r="K28" s="29" t="n"/>
      <c r="L28" s="29" t="n"/>
      <c r="M28" s="29" t="n"/>
      <c r="N28" s="29" t="n"/>
    </row>
    <row r="30">
      <c r="A30" s="9" t="n"/>
    </row>
    <row r="32">
      <c r="N32" s="29" t="n"/>
    </row>
    <row r="33"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29" t="n"/>
    </row>
    <row r="34"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29" t="n"/>
    </row>
    <row r="35">
      <c r="B35" s="29" t="n"/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  <c r="L35" s="29" t="n"/>
      <c r="M35" s="29" t="n"/>
      <c r="N35" s="29" t="n"/>
    </row>
    <row r="37">
      <c r="A37" s="9" t="n"/>
    </row>
    <row r="39">
      <c r="N39" s="29" t="n"/>
    </row>
    <row r="40"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29" t="n"/>
    </row>
    <row r="41"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29" t="n"/>
    </row>
    <row r="42">
      <c r="B42" s="29" t="n"/>
      <c r="C42" s="29" t="n"/>
      <c r="D42" s="29" t="n"/>
      <c r="E42" s="29" t="n"/>
      <c r="F42" s="29" t="n"/>
      <c r="G42" s="29" t="n"/>
      <c r="H42" s="29" t="n"/>
      <c r="I42" s="29" t="n"/>
      <c r="J42" s="29" t="n"/>
      <c r="K42" s="29" t="n"/>
      <c r="L42" s="29" t="n"/>
      <c r="M42" s="29" t="n"/>
      <c r="N42" s="29" t="n"/>
    </row>
    <row r="44">
      <c r="A44" s="9" t="n"/>
    </row>
    <row r="46">
      <c r="N46" s="29" t="n"/>
    </row>
    <row r="47"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29" t="n"/>
    </row>
    <row r="48"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29" t="n"/>
    </row>
    <row r="49">
      <c r="B49" s="29" t="n"/>
      <c r="C49" s="29" t="n"/>
      <c r="D49" s="29" t="n"/>
      <c r="E49" s="29" t="n"/>
      <c r="F49" s="29" t="n"/>
      <c r="G49" s="29" t="n"/>
      <c r="H49" s="29" t="n"/>
      <c r="I49" s="29" t="n"/>
      <c r="J49" s="29" t="n"/>
      <c r="K49" s="29" t="n"/>
      <c r="L49" s="29" t="n"/>
      <c r="M49" s="29" t="n"/>
      <c r="N49" s="2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topLeftCell="A13" zoomScale="150" zoomScaleNormal="150" workbookViewId="0">
      <selection activeCell="C26" sqref="C26"/>
    </sheetView>
  </sheetViews>
  <sheetFormatPr baseColWidth="10" defaultColWidth="11" defaultRowHeight="15.5"/>
  <cols>
    <col width="23.83203125" bestFit="1" customWidth="1" min="1" max="1"/>
    <col width="10.08203125" bestFit="1" customWidth="1" min="2" max="2"/>
    <col width="11.08203125" bestFit="1" customWidth="1" min="3" max="3"/>
  </cols>
  <sheetData>
    <row r="1">
      <c r="A1" s="4" t="n"/>
      <c r="B1" s="4" t="inlineStr">
        <is>
          <t>Asset</t>
        </is>
      </c>
      <c r="C1" s="4" t="inlineStr">
        <is>
          <t>Expense</t>
        </is>
      </c>
    </row>
    <row r="2">
      <c r="A2" s="4" t="inlineStr">
        <is>
          <t>Contracts, Terms, GPDR</t>
        </is>
      </c>
      <c r="B2" s="35" t="n"/>
      <c r="C2" s="36" t="n">
        <v>0</v>
      </c>
    </row>
    <row r="3">
      <c r="A3" s="4" t="inlineStr">
        <is>
          <t>Stationery, etc.</t>
        </is>
      </c>
      <c r="B3" s="35" t="n"/>
      <c r="C3" s="36" t="n"/>
    </row>
    <row r="4">
      <c r="A4" s="4" t="inlineStr">
        <is>
          <t>Brochures</t>
        </is>
      </c>
      <c r="B4" s="35" t="n"/>
      <c r="C4" s="36" t="n"/>
    </row>
    <row r="5">
      <c r="A5" s="4" t="inlineStr">
        <is>
          <t>Consultants</t>
        </is>
      </c>
      <c r="B5" s="35" t="n"/>
      <c r="C5" s="36" t="n">
        <v>0</v>
      </c>
    </row>
    <row r="6">
      <c r="A6" s="4" t="inlineStr">
        <is>
          <t>Insurance</t>
        </is>
      </c>
      <c r="B6" s="35" t="n"/>
      <c r="C6" s="36" t="n"/>
    </row>
    <row r="7">
      <c r="A7" s="4" t="inlineStr">
        <is>
          <t>Rent</t>
        </is>
      </c>
      <c r="B7" s="35" t="n"/>
      <c r="C7" s="36" t="n"/>
    </row>
    <row r="8">
      <c r="A8" s="4" t="inlineStr">
        <is>
          <t>R &amp; D Design</t>
        </is>
      </c>
      <c r="B8" s="36" t="n"/>
      <c r="C8" s="36" t="n">
        <v>0</v>
      </c>
    </row>
    <row r="9">
      <c r="A9" s="4" t="inlineStr">
        <is>
          <t>R &amp; D Maintenance</t>
        </is>
      </c>
      <c r="B9" s="35" t="n"/>
      <c r="C9" s="36" t="n"/>
    </row>
    <row r="10">
      <c r="A10" s="4" t="inlineStr">
        <is>
          <t>Computer Equpment</t>
        </is>
      </c>
      <c r="B10" s="36" t="n">
        <v>0</v>
      </c>
      <c r="C10" s="35" t="n"/>
    </row>
    <row r="11">
      <c r="A11" s="4" t="inlineStr">
        <is>
          <t>Staff</t>
        </is>
      </c>
      <c r="B11" s="35" t="n"/>
      <c r="C11" s="36" t="n"/>
    </row>
    <row r="12">
      <c r="A12" s="4" t="inlineStr">
        <is>
          <t>Communications Hardware</t>
        </is>
      </c>
      <c r="B12" s="36" t="n"/>
      <c r="C12" s="35" t="n"/>
    </row>
    <row r="13">
      <c r="A13" s="4" t="inlineStr">
        <is>
          <t>Communications Contracts</t>
        </is>
      </c>
      <c r="B13" s="35" t="n"/>
      <c r="C13" s="36" t="n"/>
    </row>
    <row r="14">
      <c r="A14" s="4" t="inlineStr">
        <is>
          <t>Furniture</t>
        </is>
      </c>
      <c r="B14" s="36" t="n"/>
      <c r="C14" s="35" t="n"/>
    </row>
    <row r="15">
      <c r="A15" s="4" t="inlineStr">
        <is>
          <t>Incorporation Fees</t>
        </is>
      </c>
      <c r="B15" s="35" t="n"/>
      <c r="C15" s="36" t="n"/>
    </row>
    <row r="16">
      <c r="A16" s="4" t="inlineStr">
        <is>
          <t>Website Design</t>
        </is>
      </c>
      <c r="B16" s="35" t="n"/>
      <c r="C16" s="36" t="n"/>
    </row>
    <row r="17">
      <c r="A17" s="4" t="inlineStr">
        <is>
          <t>Website Maintenance</t>
        </is>
      </c>
      <c r="B17" s="35" t="n"/>
      <c r="C17" s="36" t="n"/>
    </row>
    <row r="18">
      <c r="A18" s="4" t="inlineStr">
        <is>
          <t>Travel</t>
        </is>
      </c>
      <c r="B18" s="35" t="n"/>
      <c r="C18" s="36" t="n"/>
    </row>
    <row r="19">
      <c r="A19" s="4" t="inlineStr">
        <is>
          <t>Buildings</t>
        </is>
      </c>
      <c r="B19" s="36" t="n"/>
      <c r="C19" s="35" t="n"/>
    </row>
    <row r="20">
      <c r="A20" s="4" t="inlineStr">
        <is>
          <t>Vehicles</t>
        </is>
      </c>
      <c r="B20" s="36" t="n"/>
      <c r="C20" s="36" t="n"/>
    </row>
    <row r="21">
      <c r="A21" s="4" t="inlineStr">
        <is>
          <t>Marketing</t>
        </is>
      </c>
      <c r="B21" s="35" t="n"/>
      <c r="C21" s="36" t="n">
        <v>0</v>
      </c>
    </row>
    <row r="22">
      <c r="A22" s="4" t="n"/>
      <c r="B22" s="36" t="n"/>
      <c r="C22" s="36" t="n"/>
    </row>
    <row r="23">
      <c r="A23" s="4" t="inlineStr">
        <is>
          <t>Total</t>
        </is>
      </c>
      <c r="B23" s="35">
        <f>SUM(B2:B22)</f>
        <v/>
      </c>
      <c r="C23" s="35">
        <f>SUM(C2:C22)</f>
        <v/>
      </c>
    </row>
    <row r="24">
      <c r="A24" s="4" t="n"/>
      <c r="B24" s="4" t="n"/>
      <c r="C24" s="4" t="n"/>
    </row>
    <row r="25">
      <c r="A25" s="4" t="inlineStr">
        <is>
          <t>Preopening Period?</t>
        </is>
      </c>
      <c r="B25" s="15" t="n"/>
      <c r="C25" s="4" t="n"/>
    </row>
    <row r="27">
      <c r="A27" t="inlineStr">
        <is>
          <t>Investment Required</t>
        </is>
      </c>
      <c r="B27" s="34">
        <f>B23+C23</f>
        <v/>
      </c>
    </row>
    <row r="28">
      <c r="A28" t="inlineStr">
        <is>
          <t>Working Capital Required</t>
        </is>
      </c>
      <c r="B28" s="32" t="n">
        <v>0</v>
      </c>
      <c r="C28">
        <f>IF(MIN('Year 1 Cash Budget'!B46:N46,'Year 2 Cash Budget'!B46:M46,'Year 3 Cash Budget'!B46:M46)&lt;0,CONCATENATE("I suggest an additional ",ROUNDUP(-MIN('Year 1 Cash Budget'!B46:N46,'Year 2 Cash Budget'!B46:M46,'Year 3 Cash Budget'!B46:M46),-4)),"")</f>
        <v/>
      </c>
    </row>
    <row r="29">
      <c r="A29" t="inlineStr">
        <is>
          <t>Investment Total</t>
        </is>
      </c>
      <c r="B29" s="34">
        <f>SUM(B27:B28)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9"/>
  <sheetViews>
    <sheetView topLeftCell="A19" zoomScaleNormal="100" workbookViewId="0">
      <selection activeCell="H27" sqref="H27"/>
    </sheetView>
  </sheetViews>
  <sheetFormatPr baseColWidth="10" defaultColWidth="11" defaultRowHeight="15.5"/>
  <cols>
    <col width="35.83203125" bestFit="1" customWidth="1" min="1" max="1"/>
    <col width="11.5" bestFit="1" customWidth="1" min="2" max="2"/>
    <col width="11" bestFit="1" customWidth="1" min="3" max="13"/>
    <col width="11.83203125" bestFit="1" customWidth="1" min="14" max="14"/>
    <col width="11.08203125" bestFit="1" customWidth="1" min="15" max="15"/>
  </cols>
  <sheetData>
    <row r="1">
      <c r="B1" s="12" t="inlineStr">
        <is>
          <t>Pre-Opening
(Ideation
M1–M4: 0)</t>
        </is>
      </c>
      <c r="C1" s="12" t="inlineStr">
        <is>
          <t>Month 1</t>
        </is>
      </c>
      <c r="D1" s="12" t="inlineStr">
        <is>
          <t>Month 2</t>
        </is>
      </c>
      <c r="E1" s="12" t="inlineStr">
        <is>
          <t>Month 3</t>
        </is>
      </c>
      <c r="F1" s="12" t="inlineStr">
        <is>
          <t>Month 4</t>
        </is>
      </c>
      <c r="G1" s="12" t="inlineStr">
        <is>
          <t>Month 5</t>
        </is>
      </c>
      <c r="H1" s="12" t="inlineStr">
        <is>
          <t>Month 6</t>
        </is>
      </c>
      <c r="I1" s="12" t="inlineStr">
        <is>
          <t>Month 7</t>
        </is>
      </c>
      <c r="J1" s="12" t="inlineStr">
        <is>
          <t>Month 8</t>
        </is>
      </c>
      <c r="K1" s="12" t="inlineStr">
        <is>
          <t>Month 9</t>
        </is>
      </c>
      <c r="L1" s="12" t="inlineStr">
        <is>
          <t>Month 10</t>
        </is>
      </c>
      <c r="M1" s="12" t="inlineStr">
        <is>
          <t>Month 11</t>
        </is>
      </c>
      <c r="N1" s="12" t="inlineStr">
        <is>
          <t>Month 12</t>
        </is>
      </c>
      <c r="O1" s="12" t="inlineStr">
        <is>
          <t>Year 1</t>
        </is>
      </c>
    </row>
    <row r="2">
      <c r="A2" s="9" t="inlineStr">
        <is>
          <t>Revenue Calculations</t>
        </is>
      </c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</row>
    <row r="3">
      <c r="A3" t="inlineStr">
        <is>
          <t>Average Sale</t>
        </is>
      </c>
      <c r="B3" s="29" t="n">
        <v>0</v>
      </c>
      <c r="C3" s="54" t="n">
        <v>2760</v>
      </c>
      <c r="D3" s="54" t="n">
        <v>2760</v>
      </c>
      <c r="E3" s="54" t="n">
        <v>2760</v>
      </c>
      <c r="F3" s="54" t="n">
        <v>2760</v>
      </c>
      <c r="G3" s="54" t="n">
        <v>2760</v>
      </c>
      <c r="H3" s="54" t="n">
        <v>2760</v>
      </c>
      <c r="I3" s="54" t="n">
        <v>2760</v>
      </c>
      <c r="J3" s="54" t="n">
        <v>2760</v>
      </c>
      <c r="K3" s="54" t="n">
        <v>2870</v>
      </c>
      <c r="L3" s="54" t="n">
        <v>2870</v>
      </c>
      <c r="M3" s="54" t="n">
        <v>2870</v>
      </c>
      <c r="N3" s="54" t="n">
        <v>2870</v>
      </c>
      <c r="O3" s="29" t="n"/>
    </row>
    <row r="4">
      <c r="A4" t="inlineStr">
        <is>
          <t>Customers</t>
        </is>
      </c>
      <c r="B4" s="29" t="n">
        <v>0</v>
      </c>
      <c r="C4" s="54" t="n">
        <v>0</v>
      </c>
      <c r="D4" s="54" t="n">
        <v>0</v>
      </c>
      <c r="E4" s="54" t="n">
        <v>1</v>
      </c>
      <c r="F4" s="54" t="n">
        <v>1</v>
      </c>
      <c r="G4" s="54" t="n">
        <v>1</v>
      </c>
      <c r="H4" s="54" t="n">
        <v>1</v>
      </c>
      <c r="I4" s="54" t="n">
        <v>2</v>
      </c>
      <c r="J4" s="54" t="n">
        <v>2</v>
      </c>
      <c r="K4" s="54" t="n">
        <v>3</v>
      </c>
      <c r="L4" s="54" t="n">
        <v>3</v>
      </c>
      <c r="M4" s="54" t="n">
        <v>3</v>
      </c>
      <c r="N4" s="54" t="n">
        <v>3</v>
      </c>
      <c r="O4" s="29">
        <f>SUM(C4:N4)</f>
        <v/>
      </c>
    </row>
    <row r="5">
      <c r="A5" t="inlineStr">
        <is>
          <t>Customer Growth Factor</t>
        </is>
      </c>
      <c r="B5" s="29" t="n">
        <v>0</v>
      </c>
      <c r="C5" s="24">
        <f>'Control Panel'!B4</f>
        <v/>
      </c>
      <c r="D5" s="24">
        <f>C5*(1+'Control Panel'!$B$4)</f>
        <v/>
      </c>
      <c r="E5" s="24">
        <f>D5*(1+'Control Panel'!$B$4)</f>
        <v/>
      </c>
      <c r="F5" s="24">
        <f>E5*(1+'Control Panel'!$B$4)</f>
        <v/>
      </c>
      <c r="G5" s="24">
        <f>F5*(1+'Control Panel'!$B$4)</f>
        <v/>
      </c>
      <c r="H5" s="24">
        <f>G5*(1+'Control Panel'!$B$4)</f>
        <v/>
      </c>
      <c r="I5" s="24">
        <f>H5*(1+'Control Panel'!$B$4)</f>
        <v/>
      </c>
      <c r="J5" s="24">
        <f>I5*(1+'Control Panel'!$B$4)</f>
        <v/>
      </c>
      <c r="K5" s="24">
        <f>J5*(1+'Control Panel'!$B$4)</f>
        <v/>
      </c>
      <c r="L5" s="24">
        <f>K5*(1+'Control Panel'!$B$4)</f>
        <v/>
      </c>
      <c r="M5" s="24">
        <f>L5*(1+'Control Panel'!$B$4)</f>
        <v/>
      </c>
      <c r="N5" s="24">
        <f>M5*(1+'Control Panel'!$B$4)</f>
        <v/>
      </c>
      <c r="O5" s="29" t="n"/>
    </row>
    <row r="6">
      <c r="A6" t="inlineStr">
        <is>
          <t>Seasonality Index</t>
        </is>
      </c>
      <c r="B6" s="29" t="n">
        <v>0</v>
      </c>
      <c r="C6" s="18" t="n">
        <v>1</v>
      </c>
      <c r="D6" s="18">
        <f>C6</f>
        <v/>
      </c>
      <c r="E6" s="18">
        <f>D6</f>
        <v/>
      </c>
      <c r="F6" s="18">
        <f>E6</f>
        <v/>
      </c>
      <c r="G6" s="18">
        <f>F6</f>
        <v/>
      </c>
      <c r="H6" s="18">
        <f>G6</f>
        <v/>
      </c>
      <c r="I6" s="18">
        <f>H6</f>
        <v/>
      </c>
      <c r="J6" s="18">
        <f>I6</f>
        <v/>
      </c>
      <c r="K6" s="18">
        <f>J6</f>
        <v/>
      </c>
      <c r="L6" s="18">
        <f>K6</f>
        <v/>
      </c>
      <c r="M6" s="18">
        <f>L6</f>
        <v/>
      </c>
      <c r="N6" s="18">
        <f>M6</f>
        <v/>
      </c>
      <c r="O6" s="29" t="n"/>
    </row>
    <row r="7">
      <c r="A7" t="inlineStr">
        <is>
          <t>Revenue</t>
        </is>
      </c>
      <c r="B7" s="29" t="n">
        <v>0</v>
      </c>
      <c r="C7" s="29" t="n">
        <v>0</v>
      </c>
      <c r="D7" s="29" t="n">
        <v>0</v>
      </c>
      <c r="E7" s="29" t="n">
        <v>32760</v>
      </c>
      <c r="F7" s="29" t="n">
        <v>2760</v>
      </c>
      <c r="G7" s="29" t="n">
        <v>2760</v>
      </c>
      <c r="H7" s="29" t="n">
        <v>2760</v>
      </c>
      <c r="I7" s="29" t="n">
        <v>35520</v>
      </c>
      <c r="J7" s="29" t="n">
        <v>5520</v>
      </c>
      <c r="K7" s="29" t="n">
        <v>38611.2</v>
      </c>
      <c r="L7" s="29" t="n">
        <v>8611.200000000001</v>
      </c>
      <c r="M7" s="29" t="n">
        <v>8611.200000000001</v>
      </c>
      <c r="N7" s="29" t="n">
        <v>8611.200000000001</v>
      </c>
      <c r="O7" s="29">
        <f>SUM(C7:N7)</f>
        <v/>
      </c>
      <c r="P7" t="inlineStr">
        <is>
          <t>Debtors</t>
        </is>
      </c>
      <c r="Q7" s="29">
        <f>(N7*'Control Panel'!$B$8)*(1/4)+(N7*'Control Panel'!$B$9)</f>
        <v/>
      </c>
    </row>
    <row r="8">
      <c r="B8" s="29" t="n"/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O8" s="29" t="n"/>
      <c r="Q8" s="34" t="n"/>
    </row>
    <row r="9">
      <c r="A9" t="inlineStr">
        <is>
          <t>Opening Cash</t>
        </is>
      </c>
      <c r="B9" s="29" t="n">
        <v>0</v>
      </c>
      <c r="C9" s="29">
        <f>B46</f>
        <v/>
      </c>
      <c r="D9" s="29">
        <f>C46</f>
        <v/>
      </c>
      <c r="E9" s="29">
        <f>D46</f>
        <v/>
      </c>
      <c r="F9" s="29">
        <f>E46</f>
        <v/>
      </c>
      <c r="G9" s="29">
        <f>F46</f>
        <v/>
      </c>
      <c r="H9" s="29">
        <f>G46</f>
        <v/>
      </c>
      <c r="I9" s="29">
        <f>H46</f>
        <v/>
      </c>
      <c r="J9" s="29">
        <f>I46</f>
        <v/>
      </c>
      <c r="K9" s="29">
        <f>J46</f>
        <v/>
      </c>
      <c r="L9" s="29">
        <f>K46</f>
        <v/>
      </c>
      <c r="M9" s="29">
        <f>L46</f>
        <v/>
      </c>
      <c r="N9" s="29">
        <f>M46</f>
        <v/>
      </c>
      <c r="O9" s="29" t="n"/>
      <c r="Q9" s="37" t="n"/>
    </row>
    <row r="10">
      <c r="A10" t="inlineStr">
        <is>
          <t>Revenue (this month)</t>
        </is>
      </c>
      <c r="B10" s="29" t="n">
        <v>0</v>
      </c>
      <c r="C10" s="29" t="n">
        <v>0</v>
      </c>
      <c r="D10" s="29" t="n">
        <v>0</v>
      </c>
      <c r="E10" s="29" t="n">
        <v>32760</v>
      </c>
      <c r="F10" s="29" t="n">
        <v>2760</v>
      </c>
      <c r="G10" s="29" t="n">
        <v>2760</v>
      </c>
      <c r="H10" s="29" t="n">
        <v>2760</v>
      </c>
      <c r="I10" s="29" t="n">
        <v>35520</v>
      </c>
      <c r="J10" s="29" t="n">
        <v>5520</v>
      </c>
      <c r="K10" s="29" t="n">
        <v>38611.2</v>
      </c>
      <c r="L10" s="29" t="n">
        <v>8611.200000000001</v>
      </c>
      <c r="M10" s="29" t="n">
        <v>8611.200000000001</v>
      </c>
      <c r="N10" s="29" t="n">
        <v>8611.200000000001</v>
      </c>
      <c r="O10" s="29">
        <f>SUM(B10:N10)</f>
        <v/>
      </c>
    </row>
    <row r="11">
      <c r="A11" t="inlineStr">
        <is>
          <t>Revenue (1 Week Credit) (this month)</t>
        </is>
      </c>
      <c r="B11" s="29" t="n">
        <v>0</v>
      </c>
      <c r="C11" s="29" t="n">
        <v>0</v>
      </c>
      <c r="D11" s="29" t="n">
        <v>0</v>
      </c>
      <c r="E11" s="29" t="n">
        <v>0</v>
      </c>
      <c r="F11" s="29" t="n">
        <v>0</v>
      </c>
      <c r="G11" s="29" t="n">
        <v>0</v>
      </c>
      <c r="H11" s="29" t="n">
        <v>0</v>
      </c>
      <c r="I11" s="29" t="n">
        <v>0</v>
      </c>
      <c r="J11" s="29" t="n">
        <v>0</v>
      </c>
      <c r="K11" s="29" t="n">
        <v>0</v>
      </c>
      <c r="L11" s="29" t="n">
        <v>0</v>
      </c>
      <c r="M11" s="29" t="n">
        <v>0</v>
      </c>
      <c r="N11" s="38" t="n">
        <v>0</v>
      </c>
      <c r="O11" s="29">
        <f>SUM(B11:N11)</f>
        <v/>
      </c>
    </row>
    <row r="12">
      <c r="A12" t="inlineStr">
        <is>
          <t>Revenue (1 Week Credit) (last month)</t>
        </is>
      </c>
      <c r="B12" s="29" t="n">
        <v>0</v>
      </c>
      <c r="C12" s="29" t="n">
        <v>0</v>
      </c>
      <c r="D12" s="29" t="n">
        <v>0</v>
      </c>
      <c r="E12" s="29" t="n">
        <v>0</v>
      </c>
      <c r="F12" s="29" t="n">
        <v>0</v>
      </c>
      <c r="G12" s="29" t="n">
        <v>0</v>
      </c>
      <c r="H12" s="29" t="n">
        <v>0</v>
      </c>
      <c r="I12" s="29" t="n">
        <v>0</v>
      </c>
      <c r="J12" s="29" t="n">
        <v>0</v>
      </c>
      <c r="K12" s="29" t="n">
        <v>0</v>
      </c>
      <c r="L12" s="29" t="n">
        <v>0</v>
      </c>
      <c r="M12" s="29" t="n">
        <v>0</v>
      </c>
      <c r="N12" s="29" t="n">
        <v>0</v>
      </c>
      <c r="O12" s="29">
        <f>SUM(B12:N12)</f>
        <v/>
      </c>
    </row>
    <row r="13">
      <c r="A13" t="inlineStr">
        <is>
          <t>Revenue (1 Month Credit)</t>
        </is>
      </c>
      <c r="B13" s="29" t="n">
        <v>0</v>
      </c>
      <c r="C13" s="29" t="n">
        <v>0</v>
      </c>
      <c r="D13" s="29" t="n">
        <v>0</v>
      </c>
      <c r="E13" s="29" t="n">
        <v>0</v>
      </c>
      <c r="F13" s="29" t="n">
        <v>0</v>
      </c>
      <c r="G13" s="29" t="n">
        <v>0</v>
      </c>
      <c r="H13" s="29" t="n">
        <v>0</v>
      </c>
      <c r="I13" s="29" t="n">
        <v>0</v>
      </c>
      <c r="J13" s="29" t="n">
        <v>0</v>
      </c>
      <c r="K13" s="29" t="n">
        <v>0</v>
      </c>
      <c r="L13" s="29" t="n">
        <v>0</v>
      </c>
      <c r="M13" s="29" t="n">
        <v>0</v>
      </c>
      <c r="N13" s="29" t="n">
        <v>0</v>
      </c>
      <c r="O13" s="29">
        <f>SUM(B13:N13)</f>
        <v/>
      </c>
    </row>
    <row r="14">
      <c r="A14" t="inlineStr">
        <is>
          <t>Total Revenue Cash In</t>
        </is>
      </c>
      <c r="B14" s="29">
        <f>SUM(B10:B13)</f>
        <v/>
      </c>
      <c r="C14" s="29">
        <f>SUM(C10:C13)</f>
        <v/>
      </c>
      <c r="D14" s="29">
        <f>SUM(D10:D13)</f>
        <v/>
      </c>
      <c r="E14" s="29">
        <f>SUM(E10:E13)</f>
        <v/>
      </c>
      <c r="F14" s="29">
        <f>SUM(F10:F13)</f>
        <v/>
      </c>
      <c r="G14" s="29">
        <f>SUM(G10:G13)</f>
        <v/>
      </c>
      <c r="H14" s="29">
        <f>SUM(H10:H13)</f>
        <v/>
      </c>
      <c r="I14" s="29">
        <f>SUM(I10:I13)</f>
        <v/>
      </c>
      <c r="J14" s="29">
        <f>SUM(J10:J13)</f>
        <v/>
      </c>
      <c r="K14" s="29">
        <f>SUM(K10:K13)</f>
        <v/>
      </c>
      <c r="L14" s="29">
        <f>SUM(L10:L13)</f>
        <v/>
      </c>
      <c r="M14" s="29">
        <f>SUM(M10:M13)</f>
        <v/>
      </c>
      <c r="N14" s="29">
        <f>SUM(N10:N13)</f>
        <v/>
      </c>
      <c r="O14" s="29">
        <f>SUM(O10:O13)</f>
        <v/>
      </c>
    </row>
    <row r="15">
      <c r="B15" s="29" t="n"/>
      <c r="C15" s="29" t="n"/>
      <c r="D15" s="29" t="n"/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</row>
    <row r="16">
      <c r="A16" t="inlineStr">
        <is>
          <t>Investment Received</t>
        </is>
      </c>
      <c r="B16" s="29">
        <f>'Startup &amp; Pre-Opening Costs'!B29</f>
        <v/>
      </c>
      <c r="C16" s="29" t="n">
        <v>720000</v>
      </c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0</v>
      </c>
      <c r="I16" s="29" t="n">
        <v>0</v>
      </c>
      <c r="J16" s="29" t="n">
        <v>0</v>
      </c>
      <c r="K16" s="29" t="n">
        <v>0</v>
      </c>
      <c r="L16" s="29" t="n">
        <v>0</v>
      </c>
      <c r="M16" s="29" t="n">
        <v>0</v>
      </c>
      <c r="N16" s="29" t="n">
        <v>0</v>
      </c>
      <c r="O16" s="29">
        <f>SUM(B16:N16)</f>
        <v/>
      </c>
    </row>
    <row r="17">
      <c r="B17" s="29" t="n"/>
      <c r="C17" s="29" t="n"/>
      <c r="D17" s="29" t="n"/>
      <c r="E17" s="29" t="n"/>
      <c r="F17" s="29" t="n"/>
      <c r="G17" s="29" t="n"/>
      <c r="H17" s="29" t="n"/>
      <c r="I17" s="29" t="n"/>
      <c r="J17" s="29" t="n"/>
      <c r="K17" s="29" t="n"/>
      <c r="L17" s="29" t="n"/>
      <c r="M17" s="29" t="n"/>
      <c r="N17" s="29" t="n"/>
      <c r="O17" s="29" t="n"/>
    </row>
    <row r="18">
      <c r="A18" t="inlineStr">
        <is>
          <t>Cost of Revenue (this month)</t>
        </is>
      </c>
      <c r="B18" s="29" t="n">
        <v>0</v>
      </c>
      <c r="C18" s="29" t="n">
        <v>300</v>
      </c>
      <c r="D18" s="29" t="n">
        <v>400</v>
      </c>
      <c r="E18" s="29" t="n">
        <v>1009</v>
      </c>
      <c r="F18" s="29" t="n">
        <v>1009</v>
      </c>
      <c r="G18" s="29" t="n">
        <v>1009</v>
      </c>
      <c r="H18" s="29" t="n">
        <v>1109</v>
      </c>
      <c r="I18" s="29" t="n">
        <v>1818</v>
      </c>
      <c r="J18" s="29" t="n">
        <v>1818</v>
      </c>
      <c r="K18" s="29" t="n">
        <v>2435.28</v>
      </c>
      <c r="L18" s="29" t="n">
        <v>2635.28</v>
      </c>
      <c r="M18" s="29" t="n">
        <v>2635.28</v>
      </c>
      <c r="N18" s="29" t="n">
        <v>2635.28</v>
      </c>
      <c r="O18" s="29">
        <f>SUM(B18:N18)</f>
        <v/>
      </c>
    </row>
    <row r="19">
      <c r="A19" t="inlineStr">
        <is>
          <t>Cost of Revenue (1 month supplier credit)</t>
        </is>
      </c>
      <c r="B19" s="29" t="n">
        <v>0</v>
      </c>
      <c r="C19" s="29" t="n">
        <v>0</v>
      </c>
      <c r="D19" s="29" t="n">
        <v>0</v>
      </c>
      <c r="E19" s="29" t="n">
        <v>0</v>
      </c>
      <c r="F19" s="29" t="n">
        <v>0</v>
      </c>
      <c r="G19" s="29" t="n">
        <v>0</v>
      </c>
      <c r="H19" s="29" t="n">
        <v>0</v>
      </c>
      <c r="I19" s="29" t="n">
        <v>0</v>
      </c>
      <c r="J19" s="29" t="n">
        <v>0</v>
      </c>
      <c r="K19" s="29" t="n">
        <v>0</v>
      </c>
      <c r="L19" s="29" t="n">
        <v>0</v>
      </c>
      <c r="M19" s="29" t="n">
        <v>0</v>
      </c>
      <c r="N19" s="29" t="n">
        <v>0</v>
      </c>
      <c r="O19" s="29">
        <f>SUM(B19:N19)</f>
        <v/>
      </c>
    </row>
    <row r="20">
      <c r="A20" t="inlineStr">
        <is>
          <t>Total Cost of Revenue Cash Out</t>
        </is>
      </c>
      <c r="B20" s="29">
        <f>SUM(B18:B19)</f>
        <v/>
      </c>
      <c r="C20" s="29">
        <f>SUM(C18:C19)</f>
        <v/>
      </c>
      <c r="D20" s="29">
        <f>SUM(D18:D19)</f>
        <v/>
      </c>
      <c r="E20" s="29">
        <f>SUM(E18:E19)</f>
        <v/>
      </c>
      <c r="F20" s="29">
        <f>SUM(F18:F19)</f>
        <v/>
      </c>
      <c r="G20" s="29">
        <f>SUM(G18:G19)</f>
        <v/>
      </c>
      <c r="H20" s="29">
        <f>SUM(H18:H19)</f>
        <v/>
      </c>
      <c r="I20" s="29">
        <f>SUM(I18:I19)</f>
        <v/>
      </c>
      <c r="J20" s="29">
        <f>SUM(J18:J19)</f>
        <v/>
      </c>
      <c r="K20" s="29">
        <f>SUM(K18:K19)</f>
        <v/>
      </c>
      <c r="L20" s="29">
        <f>SUM(L18:L19)</f>
        <v/>
      </c>
      <c r="M20" s="29">
        <f>SUM(M18:M19)</f>
        <v/>
      </c>
      <c r="N20" s="29">
        <f>SUM(N18:N19)</f>
        <v/>
      </c>
      <c r="O20" s="29">
        <f>SUM(O18:O19)</f>
        <v/>
      </c>
      <c r="P20" t="inlineStr">
        <is>
          <t>Creditors</t>
        </is>
      </c>
      <c r="Q20" s="34">
        <f>(N7*'Control Panel'!$B$11)*('Control Panel'!$B$13)</f>
        <v/>
      </c>
    </row>
    <row r="21"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  <c r="M21" s="29" t="n"/>
      <c r="N21" s="29" t="n"/>
      <c r="O21" s="29" t="n"/>
    </row>
    <row r="22">
      <c r="A22" t="inlineStr">
        <is>
          <t>Contracts, Terms, GPDR</t>
        </is>
      </c>
      <c r="B22" s="29">
        <f>'Startup &amp; Pre-Opening Costs'!C2</f>
        <v/>
      </c>
      <c r="C22" s="39" t="n">
        <v>0</v>
      </c>
      <c r="D22" s="39" t="n">
        <v>0</v>
      </c>
      <c r="E22" s="39" t="n">
        <v>0</v>
      </c>
      <c r="F22" s="39" t="n">
        <v>0</v>
      </c>
      <c r="G22" s="39" t="n">
        <v>0</v>
      </c>
      <c r="H22" s="39" t="n">
        <v>0</v>
      </c>
      <c r="I22" s="39" t="n">
        <v>0</v>
      </c>
      <c r="J22" s="39" t="n">
        <v>0</v>
      </c>
      <c r="K22" s="39" t="n">
        <v>0</v>
      </c>
      <c r="L22" s="39" t="n">
        <v>0</v>
      </c>
      <c r="M22" s="39" t="n">
        <v>0</v>
      </c>
      <c r="N22" s="39" t="n">
        <v>0</v>
      </c>
      <c r="O22" s="29">
        <f>SUM(B22:N22)</f>
        <v/>
      </c>
    </row>
    <row r="23">
      <c r="A23" t="inlineStr">
        <is>
          <t>Stationery, etc.</t>
        </is>
      </c>
      <c r="B23" s="29">
        <f>'Startup &amp; Pre-Opening Costs'!C3</f>
        <v/>
      </c>
      <c r="C23" s="39" t="n"/>
      <c r="D23" s="39" t="n"/>
      <c r="E23" s="39" t="n"/>
      <c r="F23" s="39">
        <f>B23</f>
        <v/>
      </c>
      <c r="G23" s="39">
        <f>C23</f>
        <v/>
      </c>
      <c r="H23" s="39">
        <f>D23</f>
        <v/>
      </c>
      <c r="I23" s="39">
        <f>E23</f>
        <v/>
      </c>
      <c r="J23" s="39">
        <f>F23</f>
        <v/>
      </c>
      <c r="K23" s="39">
        <f>G23</f>
        <v/>
      </c>
      <c r="L23" s="39">
        <f>H23</f>
        <v/>
      </c>
      <c r="M23" s="39">
        <f>I23</f>
        <v/>
      </c>
      <c r="N23" s="39">
        <f>J23</f>
        <v/>
      </c>
      <c r="O23" s="29">
        <f>SUM(B23:N23)</f>
        <v/>
      </c>
    </row>
    <row r="24">
      <c r="A24" t="inlineStr">
        <is>
          <t>Brochures</t>
        </is>
      </c>
      <c r="B24" s="29">
        <f>'Startup &amp; Pre-Opening Costs'!C4</f>
        <v/>
      </c>
      <c r="C24" s="39" t="n"/>
      <c r="D24" s="39" t="n"/>
      <c r="E24" s="39" t="n"/>
      <c r="F24" s="39">
        <f>B24</f>
        <v/>
      </c>
      <c r="G24" s="39">
        <f>C24</f>
        <v/>
      </c>
      <c r="H24" s="39">
        <f>D24</f>
        <v/>
      </c>
      <c r="I24" s="39">
        <f>E24</f>
        <v/>
      </c>
      <c r="J24" s="39">
        <f>F24</f>
        <v/>
      </c>
      <c r="K24" s="39">
        <f>G24</f>
        <v/>
      </c>
      <c r="L24" s="39">
        <f>H24</f>
        <v/>
      </c>
      <c r="M24" s="39">
        <f>I24</f>
        <v/>
      </c>
      <c r="N24" s="39">
        <f>J24</f>
        <v/>
      </c>
      <c r="O24" s="29">
        <f>SUM(B24:N24)</f>
        <v/>
      </c>
    </row>
    <row r="25">
      <c r="A25" t="inlineStr">
        <is>
          <t>Consultants</t>
        </is>
      </c>
      <c r="B25" s="29">
        <f>'Startup &amp; Pre-Opening Costs'!C6</f>
        <v/>
      </c>
      <c r="C25" s="39" t="n">
        <v>4100</v>
      </c>
      <c r="D25" s="39" t="n">
        <v>1100</v>
      </c>
      <c r="E25" s="39" t="n">
        <v>1100</v>
      </c>
      <c r="F25" s="39" t="n">
        <v>1100</v>
      </c>
      <c r="G25" s="39" t="n">
        <v>1100</v>
      </c>
      <c r="H25" s="39" t="n">
        <v>1100</v>
      </c>
      <c r="I25" s="39" t="n">
        <v>1100</v>
      </c>
      <c r="J25" s="39" t="n">
        <v>1100</v>
      </c>
      <c r="K25" s="39" t="n">
        <v>1100</v>
      </c>
      <c r="L25" s="39" t="n">
        <v>1100</v>
      </c>
      <c r="M25" s="39" t="n">
        <v>1100</v>
      </c>
      <c r="N25" s="39" t="n">
        <v>1100</v>
      </c>
      <c r="O25" s="29">
        <f>SUM(B25:N25)</f>
        <v/>
      </c>
    </row>
    <row r="26">
      <c r="A26" t="inlineStr">
        <is>
          <t>Insurance</t>
        </is>
      </c>
      <c r="B26" s="29">
        <f>'Startup &amp; Pre-Opening Costs'!C6</f>
        <v/>
      </c>
      <c r="C26" s="39" t="n">
        <v>600</v>
      </c>
      <c r="D26" s="39" t="n">
        <v>600</v>
      </c>
      <c r="E26" s="39" t="n">
        <v>600</v>
      </c>
      <c r="F26" s="39" t="n">
        <v>600</v>
      </c>
      <c r="G26" s="39" t="n">
        <v>600</v>
      </c>
      <c r="H26" s="39" t="n">
        <v>600</v>
      </c>
      <c r="I26" s="39" t="n">
        <v>600</v>
      </c>
      <c r="J26" s="39" t="n">
        <v>600</v>
      </c>
      <c r="K26" s="39" t="n">
        <v>600</v>
      </c>
      <c r="L26" s="39" t="n">
        <v>600</v>
      </c>
      <c r="M26" s="39" t="n">
        <v>600</v>
      </c>
      <c r="N26" s="39" t="n">
        <v>600</v>
      </c>
      <c r="O26" s="29">
        <f>SUM(B26:N26)</f>
        <v/>
      </c>
    </row>
    <row r="27">
      <c r="A27" t="inlineStr">
        <is>
          <t>Rent</t>
        </is>
      </c>
      <c r="B27" s="29">
        <f>'Startup &amp; Pre-Opening Costs'!C7</f>
        <v/>
      </c>
      <c r="C27" s="39" t="n">
        <v>800</v>
      </c>
      <c r="D27" s="39" t="n">
        <v>800</v>
      </c>
      <c r="E27" s="39" t="n">
        <v>800</v>
      </c>
      <c r="F27" s="39" t="n">
        <v>800</v>
      </c>
      <c r="G27" s="39" t="n">
        <v>800</v>
      </c>
      <c r="H27" s="39" t="n">
        <v>1200</v>
      </c>
      <c r="I27" s="39" t="n">
        <v>1200</v>
      </c>
      <c r="J27" s="39" t="n">
        <v>1200</v>
      </c>
      <c r="K27" s="39" t="n">
        <v>1200</v>
      </c>
      <c r="L27" s="39" t="n">
        <v>1600</v>
      </c>
      <c r="M27" s="39" t="n">
        <v>1600</v>
      </c>
      <c r="N27" s="39" t="n">
        <v>1600</v>
      </c>
      <c r="O27" s="29">
        <f>SUM(B27:N27)</f>
        <v/>
      </c>
    </row>
    <row r="28">
      <c r="A28" t="inlineStr">
        <is>
          <t>R &amp; D Design</t>
        </is>
      </c>
      <c r="B28" s="29">
        <f>'Startup &amp; Pre-Opening Costs'!C8</f>
        <v/>
      </c>
      <c r="C28" s="39" t="n">
        <v>0</v>
      </c>
      <c r="D28" s="39" t="n">
        <v>0</v>
      </c>
      <c r="E28" s="39" t="n">
        <v>0</v>
      </c>
      <c r="F28" s="39" t="n">
        <v>0</v>
      </c>
      <c r="G28" s="39" t="n">
        <v>0</v>
      </c>
      <c r="H28" s="39" t="n">
        <v>0</v>
      </c>
      <c r="I28" s="39" t="n">
        <v>0</v>
      </c>
      <c r="J28" s="39" t="n">
        <v>0</v>
      </c>
      <c r="K28" s="39" t="n">
        <v>0</v>
      </c>
      <c r="L28" s="39" t="n">
        <v>0</v>
      </c>
      <c r="M28" s="39" t="n">
        <v>0</v>
      </c>
      <c r="N28" s="39" t="n">
        <v>0</v>
      </c>
      <c r="O28" s="29">
        <f>SUM(B28:N28)</f>
        <v/>
      </c>
    </row>
    <row r="29">
      <c r="A29" t="inlineStr">
        <is>
          <t>R &amp; D Maintenance</t>
        </is>
      </c>
      <c r="B29" s="29" t="n">
        <v>0</v>
      </c>
      <c r="C29" s="39" t="n">
        <v>700</v>
      </c>
      <c r="D29" s="39" t="n">
        <v>800</v>
      </c>
      <c r="E29" s="39" t="n">
        <v>1340</v>
      </c>
      <c r="F29" s="39" t="n">
        <v>1340</v>
      </c>
      <c r="G29" s="39" t="n">
        <v>1340</v>
      </c>
      <c r="H29" s="39" t="n">
        <v>1440</v>
      </c>
      <c r="I29" s="39" t="n">
        <v>2080</v>
      </c>
      <c r="J29" s="39" t="n">
        <v>2080</v>
      </c>
      <c r="K29" s="39" t="n">
        <v>2620</v>
      </c>
      <c r="L29" s="39" t="n">
        <v>2820</v>
      </c>
      <c r="M29" s="39" t="n">
        <v>2820</v>
      </c>
      <c r="N29" s="39" t="n">
        <v>2820</v>
      </c>
      <c r="O29" s="29">
        <f>SUM(B29:N29)</f>
        <v/>
      </c>
    </row>
    <row r="30">
      <c r="A30" t="inlineStr">
        <is>
          <t>Staff</t>
        </is>
      </c>
      <c r="B30" s="29">
        <f>'Startup &amp; Pre-Opening Costs'!C11</f>
        <v/>
      </c>
      <c r="C30" s="39" t="n">
        <v>25000</v>
      </c>
      <c r="D30" s="39" t="n">
        <v>32714</v>
      </c>
      <c r="E30" s="39" t="n">
        <v>32714</v>
      </c>
      <c r="F30" s="39" t="n">
        <v>32714</v>
      </c>
      <c r="G30" s="39" t="n">
        <v>32714</v>
      </c>
      <c r="H30" s="39" t="n">
        <v>40733</v>
      </c>
      <c r="I30" s="39" t="n">
        <v>47735.33</v>
      </c>
      <c r="J30" s="39" t="n">
        <v>47735.33</v>
      </c>
      <c r="K30" s="39" t="n">
        <v>48409.38</v>
      </c>
      <c r="L30" s="39" t="n">
        <v>58430.75</v>
      </c>
      <c r="M30" s="39" t="n">
        <v>58430.75</v>
      </c>
      <c r="N30" s="39" t="n">
        <v>58430.75</v>
      </c>
      <c r="O30" s="29">
        <f>SUM(B30:N30)</f>
        <v/>
      </c>
    </row>
    <row r="31">
      <c r="A31" t="inlineStr">
        <is>
          <t>Communications</t>
        </is>
      </c>
      <c r="B31" s="29">
        <f>'Startup &amp; Pre-Opening Costs'!C13</f>
        <v/>
      </c>
      <c r="C31" s="39" t="n">
        <v>0</v>
      </c>
      <c r="D31" s="39" t="n">
        <v>0</v>
      </c>
      <c r="E31" s="39" t="n">
        <v>0</v>
      </c>
      <c r="F31" s="39" t="n">
        <v>0</v>
      </c>
      <c r="G31" s="39" t="n">
        <v>0</v>
      </c>
      <c r="H31" s="39" t="n">
        <v>0</v>
      </c>
      <c r="I31" s="39" t="n">
        <v>0</v>
      </c>
      <c r="J31" s="39" t="n">
        <v>0</v>
      </c>
      <c r="K31" s="39" t="n">
        <v>0</v>
      </c>
      <c r="L31" s="39" t="n">
        <v>0</v>
      </c>
      <c r="M31" s="39" t="n">
        <v>0</v>
      </c>
      <c r="N31" s="39" t="n">
        <v>0</v>
      </c>
      <c r="O31" s="29">
        <f>SUM(B31:N31)</f>
        <v/>
      </c>
    </row>
    <row r="32">
      <c r="A32" t="inlineStr">
        <is>
          <t>Incorporation Fees</t>
        </is>
      </c>
      <c r="B32" s="29">
        <f>'Startup &amp; Pre-Opening Costs'!C15</f>
        <v/>
      </c>
      <c r="C32" s="39" t="n">
        <v>0</v>
      </c>
      <c r="D32" s="39" t="n">
        <v>0</v>
      </c>
      <c r="E32" s="39" t="n">
        <v>0</v>
      </c>
      <c r="F32" s="39" t="n">
        <v>0</v>
      </c>
      <c r="G32" s="39" t="n">
        <v>0</v>
      </c>
      <c r="H32" s="39" t="n">
        <v>0</v>
      </c>
      <c r="I32" s="39" t="n">
        <v>0</v>
      </c>
      <c r="J32" s="39" t="n">
        <v>0</v>
      </c>
      <c r="K32" s="39" t="n">
        <v>0</v>
      </c>
      <c r="L32" s="39" t="n">
        <v>0</v>
      </c>
      <c r="M32" s="39" t="n">
        <v>0</v>
      </c>
      <c r="N32" s="39" t="n">
        <v>0</v>
      </c>
      <c r="O32" s="29">
        <f>SUM(B32:N32)</f>
        <v/>
      </c>
    </row>
    <row r="33">
      <c r="A33" t="inlineStr">
        <is>
          <t>Website Design</t>
        </is>
      </c>
      <c r="B33" s="29">
        <f>'Startup &amp; Pre-Opening Costs'!C16</f>
        <v/>
      </c>
      <c r="C33" s="39" t="n">
        <v>0</v>
      </c>
      <c r="D33" s="39" t="n">
        <v>0</v>
      </c>
      <c r="E33" s="39" t="n">
        <v>0</v>
      </c>
      <c r="F33" s="39" t="n">
        <v>0</v>
      </c>
      <c r="G33" s="39" t="n">
        <v>0</v>
      </c>
      <c r="H33" s="39" t="n">
        <v>0</v>
      </c>
      <c r="I33" s="39" t="n">
        <v>0</v>
      </c>
      <c r="J33" s="39" t="n">
        <v>0</v>
      </c>
      <c r="K33" s="39" t="n">
        <v>0</v>
      </c>
      <c r="L33" s="39" t="n">
        <v>0</v>
      </c>
      <c r="M33" s="39" t="n">
        <v>0</v>
      </c>
      <c r="N33" s="39" t="n">
        <v>0</v>
      </c>
      <c r="O33" s="29">
        <f>SUM(B33:N33)</f>
        <v/>
      </c>
    </row>
    <row r="34">
      <c r="A34" t="inlineStr">
        <is>
          <t>Website Maintenance</t>
        </is>
      </c>
      <c r="B34" s="29" t="n">
        <v>0</v>
      </c>
      <c r="C34" s="39" t="n">
        <v>0</v>
      </c>
      <c r="D34" s="39" t="n">
        <v>0</v>
      </c>
      <c r="E34" s="39" t="n">
        <v>0</v>
      </c>
      <c r="F34" s="39" t="n">
        <v>0</v>
      </c>
      <c r="G34" s="39" t="n">
        <v>0</v>
      </c>
      <c r="H34" s="39" t="n">
        <v>0</v>
      </c>
      <c r="I34" s="39" t="n">
        <v>0</v>
      </c>
      <c r="J34" s="39" t="n">
        <v>0</v>
      </c>
      <c r="K34" s="39" t="n">
        <v>0</v>
      </c>
      <c r="L34" s="39" t="n">
        <v>0</v>
      </c>
      <c r="M34" s="39" t="n">
        <v>0</v>
      </c>
      <c r="N34" s="39" t="n">
        <v>0</v>
      </c>
      <c r="O34" s="29">
        <f>SUM(B34:N34)</f>
        <v/>
      </c>
    </row>
    <row r="35">
      <c r="A35" t="inlineStr">
        <is>
          <t>Travel</t>
        </is>
      </c>
      <c r="B35" s="29">
        <f>'Startup &amp; Pre-Opening Costs'!C18</f>
        <v/>
      </c>
      <c r="C35" s="39" t="n">
        <v>1650</v>
      </c>
      <c r="D35" s="39" t="n">
        <v>1650</v>
      </c>
      <c r="E35" s="39" t="n">
        <v>1719</v>
      </c>
      <c r="F35" s="39" t="n">
        <v>1719</v>
      </c>
      <c r="G35" s="39" t="n">
        <v>1719</v>
      </c>
      <c r="H35" s="39" t="n">
        <v>1819</v>
      </c>
      <c r="I35" s="39" t="n">
        <v>1888</v>
      </c>
      <c r="J35" s="39" t="n">
        <v>1888</v>
      </c>
      <c r="K35" s="39" t="n">
        <v>1965.28</v>
      </c>
      <c r="L35" s="39" t="n">
        <v>2065.28</v>
      </c>
      <c r="M35" s="39" t="n">
        <v>2065.28</v>
      </c>
      <c r="N35" s="39" t="n">
        <v>2065.28</v>
      </c>
      <c r="O35" s="29">
        <f>SUM(B35:N35)</f>
        <v/>
      </c>
    </row>
    <row r="36">
      <c r="A36" t="inlineStr">
        <is>
          <t>Vehicle Rental</t>
        </is>
      </c>
      <c r="B36" s="29">
        <f>'Startup &amp; Pre-Opening Costs'!C20</f>
        <v/>
      </c>
      <c r="C36" s="39" t="n">
        <v>0</v>
      </c>
      <c r="D36" s="39" t="n">
        <v>0</v>
      </c>
      <c r="E36" s="39" t="n">
        <v>0</v>
      </c>
      <c r="F36" s="39" t="n">
        <v>0</v>
      </c>
      <c r="G36" s="39" t="n">
        <v>0</v>
      </c>
      <c r="H36" s="39" t="n">
        <v>0</v>
      </c>
      <c r="I36" s="39" t="n">
        <v>0</v>
      </c>
      <c r="J36" s="39" t="n">
        <v>0</v>
      </c>
      <c r="K36" s="39" t="n">
        <v>0</v>
      </c>
      <c r="L36" s="39" t="n">
        <v>0</v>
      </c>
      <c r="M36" s="39" t="n">
        <v>0</v>
      </c>
      <c r="N36" s="39" t="n">
        <v>0</v>
      </c>
      <c r="O36" s="29">
        <f>SUM(B36:N36)</f>
        <v/>
      </c>
    </row>
    <row r="37">
      <c r="A37" t="inlineStr">
        <is>
          <t>Marketing</t>
        </is>
      </c>
      <c r="B37" s="29">
        <f>'Startup &amp; Pre-Opening Costs'!C21</f>
        <v/>
      </c>
      <c r="C37" s="39" t="n">
        <v>3133.33</v>
      </c>
      <c r="D37" s="39" t="n">
        <v>3133.33</v>
      </c>
      <c r="E37" s="39" t="n">
        <v>3188.53</v>
      </c>
      <c r="F37" s="39" t="n">
        <v>3188.53</v>
      </c>
      <c r="G37" s="39" t="n">
        <v>3188.53</v>
      </c>
      <c r="H37" s="39" t="n">
        <v>3188.53</v>
      </c>
      <c r="I37" s="39" t="n">
        <v>3243.73</v>
      </c>
      <c r="J37" s="39" t="n">
        <v>3243.73</v>
      </c>
      <c r="K37" s="39" t="n">
        <v>3305.56</v>
      </c>
      <c r="L37" s="39" t="n">
        <v>3305.56</v>
      </c>
      <c r="M37" s="39" t="n">
        <v>3305.56</v>
      </c>
      <c r="N37" s="39" t="n">
        <v>3305.56</v>
      </c>
      <c r="O37" s="29">
        <f>SUM(B37:N37)</f>
        <v/>
      </c>
    </row>
    <row r="38">
      <c r="A38" t="inlineStr">
        <is>
          <t>Total Expenses Cash Out</t>
        </is>
      </c>
      <c r="B38" s="29">
        <f>SUM(B22:B37)</f>
        <v/>
      </c>
      <c r="C38" s="29">
        <f>SUM(C22:C37)</f>
        <v/>
      </c>
      <c r="D38" s="29">
        <f>SUM(D22:D37)</f>
        <v/>
      </c>
      <c r="E38" s="29">
        <f>SUM(E22:E37)</f>
        <v/>
      </c>
      <c r="F38" s="29">
        <f>SUM(F22:F37)</f>
        <v/>
      </c>
      <c r="G38" s="29">
        <f>SUM(G22:G37)</f>
        <v/>
      </c>
      <c r="H38" s="29">
        <f>SUM(H22:H37)</f>
        <v/>
      </c>
      <c r="I38" s="29">
        <f>SUM(I22:I37)</f>
        <v/>
      </c>
      <c r="J38" s="29">
        <f>SUM(J22:J37)</f>
        <v/>
      </c>
      <c r="K38" s="29">
        <f>SUM(K22:K37)</f>
        <v/>
      </c>
      <c r="L38" s="29">
        <f>SUM(L22:L37)</f>
        <v/>
      </c>
      <c r="M38" s="29">
        <f>SUM(M22:M37)</f>
        <v/>
      </c>
      <c r="N38" s="29">
        <f>SUM(N22:N37)</f>
        <v/>
      </c>
      <c r="O38" s="29">
        <f>SUM(O22:O37)</f>
        <v/>
      </c>
    </row>
    <row r="39">
      <c r="B39" s="29" t="n"/>
      <c r="C39" s="29" t="n"/>
      <c r="D39" s="29" t="n"/>
      <c r="E39" s="29" t="n"/>
      <c r="F39" s="29" t="n"/>
      <c r="G39" s="29" t="n"/>
      <c r="H39" s="29" t="n"/>
      <c r="I39" s="29" t="n"/>
      <c r="J39" s="29" t="n"/>
      <c r="K39" s="29" t="n"/>
      <c r="L39" s="29" t="n"/>
      <c r="M39" s="29" t="n"/>
      <c r="N39" s="29" t="n"/>
      <c r="O39" s="29" t="n"/>
    </row>
    <row r="40">
      <c r="A40" t="inlineStr">
        <is>
          <t>Computer Equpment</t>
        </is>
      </c>
      <c r="B40" s="29">
        <f>'Startup &amp; Pre-Opening Costs'!B10</f>
        <v/>
      </c>
      <c r="C40" s="39" t="n">
        <v>0</v>
      </c>
      <c r="D40" s="39" t="n">
        <v>0</v>
      </c>
      <c r="E40" s="39" t="n">
        <v>0</v>
      </c>
      <c r="F40" s="39" t="n">
        <v>0</v>
      </c>
      <c r="G40" s="39" t="n">
        <v>0</v>
      </c>
      <c r="H40" s="39" t="n">
        <v>0</v>
      </c>
      <c r="I40" s="39" t="n">
        <v>0</v>
      </c>
      <c r="J40" s="39" t="n">
        <v>0</v>
      </c>
      <c r="K40" s="39" t="n">
        <v>0</v>
      </c>
      <c r="L40" s="39" t="n">
        <v>0</v>
      </c>
      <c r="M40" s="39" t="n">
        <v>0</v>
      </c>
      <c r="N40" s="39" t="n">
        <v>0</v>
      </c>
      <c r="O40" s="29">
        <f>SUM(B40:N40)</f>
        <v/>
      </c>
    </row>
    <row r="41">
      <c r="A41" t="inlineStr">
        <is>
          <t>Communications</t>
        </is>
      </c>
      <c r="B41" s="29">
        <f>'Startup &amp; Pre-Opening Costs'!B12</f>
        <v/>
      </c>
      <c r="C41" s="39" t="n">
        <v>0</v>
      </c>
      <c r="D41" s="39" t="n">
        <v>0</v>
      </c>
      <c r="E41" s="39" t="n">
        <v>0</v>
      </c>
      <c r="F41" s="39" t="n">
        <v>0</v>
      </c>
      <c r="G41" s="39" t="n">
        <v>0</v>
      </c>
      <c r="H41" s="39" t="n">
        <v>0</v>
      </c>
      <c r="I41" s="39" t="n">
        <v>0</v>
      </c>
      <c r="J41" s="39" t="n">
        <v>0</v>
      </c>
      <c r="K41" s="39" t="n">
        <v>0</v>
      </c>
      <c r="L41" s="39" t="n">
        <v>0</v>
      </c>
      <c r="M41" s="39" t="n">
        <v>0</v>
      </c>
      <c r="N41" s="39" t="n">
        <v>0</v>
      </c>
      <c r="O41" s="29">
        <f>SUM(B41:N41)</f>
        <v/>
      </c>
    </row>
    <row r="42">
      <c r="A42" t="inlineStr">
        <is>
          <t>Furniture</t>
        </is>
      </c>
      <c r="B42" s="29">
        <f>'Startup &amp; Pre-Opening Costs'!B14</f>
        <v/>
      </c>
      <c r="C42" s="39" t="n">
        <v>0</v>
      </c>
      <c r="D42" s="39" t="n">
        <v>0</v>
      </c>
      <c r="E42" s="39" t="n">
        <v>0</v>
      </c>
      <c r="F42" s="39" t="n">
        <v>0</v>
      </c>
      <c r="G42" s="39" t="n">
        <v>0</v>
      </c>
      <c r="H42" s="39" t="n">
        <v>0</v>
      </c>
      <c r="I42" s="39" t="n">
        <v>0</v>
      </c>
      <c r="J42" s="39" t="n">
        <v>0</v>
      </c>
      <c r="K42" s="39" t="n">
        <v>0</v>
      </c>
      <c r="L42" s="39" t="n">
        <v>0</v>
      </c>
      <c r="M42" s="39" t="n">
        <v>0</v>
      </c>
      <c r="N42" s="39" t="n">
        <v>0</v>
      </c>
      <c r="O42" s="29">
        <f>SUM(B42:N42)</f>
        <v/>
      </c>
    </row>
    <row r="43">
      <c r="A43" t="inlineStr">
        <is>
          <t>Buildings</t>
        </is>
      </c>
      <c r="B43" s="29">
        <f>'Startup &amp; Pre-Opening Costs'!B19</f>
        <v/>
      </c>
      <c r="C43" s="39" t="n">
        <v>0</v>
      </c>
      <c r="D43" s="39" t="n">
        <v>0</v>
      </c>
      <c r="E43" s="39" t="n">
        <v>0</v>
      </c>
      <c r="F43" s="39" t="n">
        <v>0</v>
      </c>
      <c r="G43" s="39" t="n">
        <v>0</v>
      </c>
      <c r="H43" s="39" t="n">
        <v>0</v>
      </c>
      <c r="I43" s="39" t="n">
        <v>0</v>
      </c>
      <c r="J43" s="39" t="n">
        <v>0</v>
      </c>
      <c r="K43" s="39" t="n">
        <v>0</v>
      </c>
      <c r="L43" s="39" t="n">
        <v>0</v>
      </c>
      <c r="M43" s="39" t="n">
        <v>0</v>
      </c>
      <c r="N43" s="39" t="n">
        <v>0</v>
      </c>
      <c r="O43" s="29">
        <f>SUM(B43:N43)</f>
        <v/>
      </c>
    </row>
    <row r="44">
      <c r="A44" t="inlineStr">
        <is>
          <t>Total Assets Cash Out</t>
        </is>
      </c>
      <c r="B44" s="29">
        <f>SUM(B40:B43)</f>
        <v/>
      </c>
      <c r="C44" s="29">
        <f>SUM(C40:C43)</f>
        <v/>
      </c>
      <c r="D44" s="29">
        <f>SUM(D40:D43)</f>
        <v/>
      </c>
      <c r="E44" s="29">
        <f>SUM(E40:E43)</f>
        <v/>
      </c>
      <c r="F44" s="29">
        <f>SUM(F40:F43)</f>
        <v/>
      </c>
      <c r="G44" s="29">
        <f>SUM(G40:G43)</f>
        <v/>
      </c>
      <c r="H44" s="29">
        <f>SUM(H40:H43)</f>
        <v/>
      </c>
      <c r="I44" s="29">
        <f>SUM(I40:I43)</f>
        <v/>
      </c>
      <c r="J44" s="29">
        <f>SUM(J40:J43)</f>
        <v/>
      </c>
      <c r="K44" s="29">
        <f>SUM(K40:K43)</f>
        <v/>
      </c>
      <c r="L44" s="29">
        <f>SUM(L40:L43)</f>
        <v/>
      </c>
      <c r="M44" s="29">
        <f>SUM(M40:M43)</f>
        <v/>
      </c>
      <c r="N44" s="29">
        <f>SUM(N40:N43)</f>
        <v/>
      </c>
      <c r="O44" s="29">
        <f>SUM(O40:O43)</f>
        <v/>
      </c>
    </row>
    <row r="45">
      <c r="B45" s="29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29" t="n"/>
      <c r="M45" s="29" t="n"/>
      <c r="N45" s="29" t="n"/>
      <c r="O45" s="29" t="n"/>
    </row>
    <row r="46">
      <c r="A46" t="inlineStr">
        <is>
          <t>Closing Cash</t>
        </is>
      </c>
      <c r="B46" s="29">
        <f>B9+B14-B20-B38-B44+B16</f>
        <v/>
      </c>
      <c r="C46" s="29">
        <f>C9+C14-C20-C38-C44+C16</f>
        <v/>
      </c>
      <c r="D46" s="29">
        <f>D9+D14-D20-D38-D44+D16</f>
        <v/>
      </c>
      <c r="E46" s="29">
        <f>E9+E14-E20-E38-E44+E16</f>
        <v/>
      </c>
      <c r="F46" s="29">
        <f>F9+F14-F20-F38-F44+F16</f>
        <v/>
      </c>
      <c r="G46" s="29">
        <f>G9+G14-G20-G38-G44+G16</f>
        <v/>
      </c>
      <c r="H46" s="29">
        <f>H9+H14-H20-H38-H44+H16</f>
        <v/>
      </c>
      <c r="I46" s="29">
        <f>I9+I14-I20-I38-I44+I16</f>
        <v/>
      </c>
      <c r="J46" s="29">
        <f>J9+J14-J20-J38-J44+J16</f>
        <v/>
      </c>
      <c r="K46" s="29">
        <f>K9+K14-K20-K38-K44+K16</f>
        <v/>
      </c>
      <c r="L46" s="29">
        <f>L9+L14-L20-L38-L44+L16</f>
        <v/>
      </c>
      <c r="M46" s="29">
        <f>M9+M14-M20-M38-M44+M16</f>
        <v/>
      </c>
      <c r="N46" s="29">
        <f>N9+N14-N20-N38-N44+N16</f>
        <v/>
      </c>
      <c r="O46" s="29" t="n"/>
    </row>
    <row r="47">
      <c r="C47" s="29" t="n"/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  <c r="M47" s="29" t="n"/>
      <c r="N47" s="29" t="n"/>
    </row>
    <row r="48">
      <c r="C48" s="29" t="n"/>
      <c r="D48" s="29" t="n"/>
      <c r="E48" s="29" t="n"/>
      <c r="F48" s="29" t="n"/>
      <c r="G48" s="29" t="n"/>
      <c r="H48" s="29" t="n"/>
      <c r="I48" s="29" t="n"/>
      <c r="J48" s="29" t="n"/>
      <c r="K48" s="29" t="n"/>
      <c r="L48" s="29" t="n"/>
      <c r="M48" s="29" t="n"/>
      <c r="N48" s="29" t="n"/>
    </row>
    <row r="49">
      <c r="A49" t="inlineStr">
        <is>
          <t>Revenue</t>
        </is>
      </c>
      <c r="C49" s="29">
        <f>C7</f>
        <v/>
      </c>
      <c r="D49" s="29">
        <f>D7</f>
        <v/>
      </c>
      <c r="E49" s="29">
        <f>E7</f>
        <v/>
      </c>
      <c r="F49" s="29">
        <f>F7</f>
        <v/>
      </c>
      <c r="G49" s="29">
        <f>G7</f>
        <v/>
      </c>
      <c r="H49" s="29">
        <f>H7</f>
        <v/>
      </c>
      <c r="I49" s="29">
        <f>I7</f>
        <v/>
      </c>
      <c r="J49" s="29">
        <f>J7</f>
        <v/>
      </c>
      <c r="K49" s="29">
        <f>K7</f>
        <v/>
      </c>
      <c r="L49" s="29">
        <f>L7</f>
        <v/>
      </c>
      <c r="M49" s="29">
        <f>M7</f>
        <v/>
      </c>
      <c r="N49" s="29">
        <f>N7</f>
        <v/>
      </c>
    </row>
    <row r="50">
      <c r="C50" s="29" t="n"/>
      <c r="D50" s="29" t="n"/>
      <c r="E50" s="29" t="n"/>
      <c r="F50" s="29" t="n"/>
      <c r="G50" s="29" t="n"/>
      <c r="H50" s="29" t="n"/>
      <c r="I50" s="29" t="n"/>
      <c r="J50" s="29" t="n"/>
      <c r="K50" s="29" t="n"/>
      <c r="L50" s="29" t="n"/>
      <c r="M50" s="29" t="n"/>
      <c r="N50" s="29" t="n"/>
    </row>
    <row r="51">
      <c r="A51" t="inlineStr">
        <is>
          <t>Cost of Revenue</t>
        </is>
      </c>
      <c r="B51" t="n">
        <v>0</v>
      </c>
      <c r="C51" s="29" t="n">
        <v>300</v>
      </c>
      <c r="D51" s="29" t="n">
        <v>400</v>
      </c>
      <c r="E51" s="29" t="n">
        <v>1009</v>
      </c>
      <c r="F51" s="29" t="n">
        <v>1009</v>
      </c>
      <c r="G51" s="29" t="n">
        <v>1009</v>
      </c>
      <c r="H51" s="29" t="n">
        <v>1109</v>
      </c>
      <c r="I51" s="29" t="n">
        <v>1818</v>
      </c>
      <c r="J51" s="29" t="n">
        <v>1818</v>
      </c>
      <c r="K51" s="29" t="n">
        <v>2435.28</v>
      </c>
      <c r="L51" s="29" t="n">
        <v>2635.28</v>
      </c>
      <c r="M51" s="29" t="n">
        <v>2635.28</v>
      </c>
      <c r="N51" s="29" t="n">
        <v>2635.28</v>
      </c>
    </row>
    <row r="52">
      <c r="C52" s="29" t="n"/>
      <c r="D52" s="29" t="n"/>
      <c r="E52" s="29" t="n"/>
      <c r="F52" s="29" t="n"/>
      <c r="G52" s="29" t="n"/>
      <c r="H52" s="29" t="n"/>
      <c r="I52" s="29" t="n"/>
      <c r="J52" s="29" t="n"/>
      <c r="K52" s="29" t="n"/>
      <c r="L52" s="29" t="n"/>
      <c r="M52" s="29" t="n"/>
      <c r="N52" s="29" t="n"/>
    </row>
    <row r="53">
      <c r="A53" t="inlineStr">
        <is>
          <t>Gross Profit</t>
        </is>
      </c>
      <c r="C53" s="29">
        <f>C49-C51</f>
        <v/>
      </c>
      <c r="D53" s="29">
        <f>D49-D51</f>
        <v/>
      </c>
      <c r="E53" s="29">
        <f>E49-E51</f>
        <v/>
      </c>
      <c r="F53" s="29">
        <f>F49-F51</f>
        <v/>
      </c>
      <c r="G53" s="29">
        <f>G49-G51</f>
        <v/>
      </c>
      <c r="H53" s="29">
        <f>H49-H51</f>
        <v/>
      </c>
      <c r="I53" s="29">
        <f>I49-I51</f>
        <v/>
      </c>
      <c r="J53" s="29">
        <f>J49-J51</f>
        <v/>
      </c>
      <c r="K53" s="29">
        <f>K49-K51</f>
        <v/>
      </c>
      <c r="L53" s="29">
        <f>L49-L51</f>
        <v/>
      </c>
      <c r="M53" s="29">
        <f>M49-M51</f>
        <v/>
      </c>
      <c r="N53" s="29">
        <f>N49-N51</f>
        <v/>
      </c>
    </row>
    <row r="54"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</row>
    <row r="55">
      <c r="A55" t="inlineStr">
        <is>
          <t>Expenses</t>
        </is>
      </c>
      <c r="C55" s="29">
        <f>C38+B38</f>
        <v/>
      </c>
      <c r="D55" s="29">
        <f>D38</f>
        <v/>
      </c>
      <c r="E55" s="29">
        <f>E38</f>
        <v/>
      </c>
      <c r="F55" s="29">
        <f>F38</f>
        <v/>
      </c>
      <c r="G55" s="29">
        <f>G38</f>
        <v/>
      </c>
      <c r="H55" s="29">
        <f>H38</f>
        <v/>
      </c>
      <c r="I55" s="29">
        <f>I38</f>
        <v/>
      </c>
      <c r="J55" s="29">
        <f>J38</f>
        <v/>
      </c>
      <c r="K55" s="29">
        <f>K38</f>
        <v/>
      </c>
      <c r="L55" s="29">
        <f>L38</f>
        <v/>
      </c>
      <c r="M55" s="29">
        <f>M38</f>
        <v/>
      </c>
      <c r="N55" s="29">
        <f>N38</f>
        <v/>
      </c>
    </row>
    <row r="56"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</row>
    <row r="57">
      <c r="A57" t="inlineStr">
        <is>
          <t>Net Profit</t>
        </is>
      </c>
      <c r="C57" s="29">
        <f>C53-C55</f>
        <v/>
      </c>
      <c r="D57" s="29">
        <f>D53-D55</f>
        <v/>
      </c>
      <c r="E57" s="29">
        <f>E53-E55</f>
        <v/>
      </c>
      <c r="F57" s="29">
        <f>F53-F55</f>
        <v/>
      </c>
      <c r="G57" s="29">
        <f>G53-G55</f>
        <v/>
      </c>
      <c r="H57" s="29">
        <f>H53-H55</f>
        <v/>
      </c>
      <c r="I57" s="29">
        <f>I53-I55</f>
        <v/>
      </c>
      <c r="J57" s="29">
        <f>J53-J55</f>
        <v/>
      </c>
      <c r="K57" s="29">
        <f>K53-K55</f>
        <v/>
      </c>
      <c r="L57" s="29">
        <f>L53-L55</f>
        <v/>
      </c>
      <c r="M57" s="29">
        <f>M53-M55</f>
        <v/>
      </c>
      <c r="N57" s="29">
        <f>N53-N55</f>
        <v/>
      </c>
    </row>
    <row r="59">
      <c r="A59" t="inlineStr">
        <is>
          <t>Cumulative Net Profit</t>
        </is>
      </c>
      <c r="C59" s="34">
        <f>C57</f>
        <v/>
      </c>
      <c r="D59" s="34">
        <f>C59+D57</f>
        <v/>
      </c>
      <c r="E59" s="34">
        <f>D59+E57</f>
        <v/>
      </c>
      <c r="F59" s="34">
        <f>E59+F57</f>
        <v/>
      </c>
      <c r="G59" s="34">
        <f>F59+G57</f>
        <v/>
      </c>
      <c r="H59" s="34">
        <f>G59+H57</f>
        <v/>
      </c>
      <c r="I59" s="34">
        <f>H59+I57</f>
        <v/>
      </c>
      <c r="J59" s="34">
        <f>I59+J57</f>
        <v/>
      </c>
      <c r="K59" s="34">
        <f>J59+K57</f>
        <v/>
      </c>
      <c r="L59" s="34">
        <f>K59+L57</f>
        <v/>
      </c>
      <c r="M59" s="34">
        <f>L59+M57</f>
        <v/>
      </c>
      <c r="N59" s="34">
        <f>M59+N57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D19" sqref="D19"/>
    </sheetView>
  </sheetViews>
  <sheetFormatPr baseColWidth="10" defaultColWidth="11" defaultRowHeight="15.5"/>
  <cols>
    <col width="25.83203125" bestFit="1" customWidth="1" min="1" max="1"/>
    <col width="12.83203125" bestFit="1" customWidth="1" min="2" max="2"/>
    <col width="12.58203125" bestFit="1" customWidth="1" min="3" max="3"/>
    <col width="11" bestFit="1" customWidth="1" min="4" max="4"/>
    <col width="11.58203125" bestFit="1" customWidth="1" min="5" max="5"/>
    <col width="11.33203125" bestFit="1" customWidth="1" min="6" max="6"/>
  </cols>
  <sheetData>
    <row r="1">
      <c r="A1" s="28" t="inlineStr">
        <is>
          <t>Income Statement</t>
        </is>
      </c>
    </row>
    <row r="2">
      <c r="B2" t="n">
        <v>1</v>
      </c>
      <c r="C2" t="n">
        <v>2</v>
      </c>
      <c r="D2" t="n">
        <v>3</v>
      </c>
      <c r="E2" t="n">
        <v>4</v>
      </c>
      <c r="F2" t="n">
        <v>5</v>
      </c>
    </row>
    <row r="3">
      <c r="A3" t="inlineStr">
        <is>
          <t>Revenue</t>
        </is>
      </c>
      <c r="B3" s="29">
        <f>'Year 1 Cash Budget'!O7</f>
        <v/>
      </c>
      <c r="C3" s="29">
        <f>'Year 2 Cash Budget'!N7</f>
        <v/>
      </c>
      <c r="D3" s="29">
        <f>'Year 3 Cash Budget'!N7</f>
        <v/>
      </c>
      <c r="E3" s="29">
        <f>'Year 4 Cash Budget'!N7</f>
        <v/>
      </c>
      <c r="F3" s="29">
        <f>'Year 5 Cash Budget'!N7</f>
        <v/>
      </c>
    </row>
    <row r="4">
      <c r="B4" s="29" t="n"/>
      <c r="C4" s="29" t="n"/>
      <c r="D4" s="29" t="n"/>
      <c r="E4" s="29" t="n"/>
      <c r="F4" s="29" t="n"/>
    </row>
    <row r="5">
      <c r="A5" t="inlineStr">
        <is>
          <t>Cost of Revenue</t>
        </is>
      </c>
      <c r="B5" s="29">
        <f>'Control Panel'!$B$11*B3</f>
        <v/>
      </c>
      <c r="C5" s="29">
        <f>'Control Panel'!$B$11*C3</f>
        <v/>
      </c>
      <c r="D5" s="29">
        <f>'Control Panel'!$B$11*D3</f>
        <v/>
      </c>
      <c r="E5" s="29">
        <f>'Control Panel'!$B$11*E3</f>
        <v/>
      </c>
      <c r="F5" s="29">
        <f>'Control Panel'!$B$11*F3</f>
        <v/>
      </c>
    </row>
    <row r="6">
      <c r="B6" s="29" t="n"/>
      <c r="C6" s="29" t="n"/>
      <c r="D6" s="29" t="n"/>
      <c r="E6" s="29" t="n"/>
      <c r="F6" s="29" t="n"/>
    </row>
    <row r="7">
      <c r="A7" t="inlineStr">
        <is>
          <t>Gross Profit</t>
        </is>
      </c>
      <c r="B7" s="29">
        <f>B3-B5</f>
        <v/>
      </c>
      <c r="C7" s="29">
        <f>C3-C5</f>
        <v/>
      </c>
      <c r="D7" s="29">
        <f>D3-D5</f>
        <v/>
      </c>
      <c r="E7" s="29">
        <f>E3-E5</f>
        <v/>
      </c>
      <c r="F7" s="29">
        <f>F3-F5</f>
        <v/>
      </c>
    </row>
    <row r="8">
      <c r="B8" s="29" t="n"/>
      <c r="C8" s="29" t="n"/>
      <c r="D8" s="29" t="n"/>
      <c r="E8" s="29" t="n"/>
      <c r="F8" s="29" t="n"/>
    </row>
    <row r="9">
      <c r="A9" t="inlineStr">
        <is>
          <t>Expenses</t>
        </is>
      </c>
      <c r="B9" s="29">
        <f>'Year 1 Cash Budget'!O38</f>
        <v/>
      </c>
      <c r="C9" s="29">
        <f>'Year 2 Cash Budget'!N38</f>
        <v/>
      </c>
      <c r="D9" s="29">
        <f>'Year 3 Cash Budget'!N38</f>
        <v/>
      </c>
      <c r="E9" s="29">
        <f>'Year 4 Cash Budget'!N38</f>
        <v/>
      </c>
      <c r="F9" s="29">
        <f>'Year 5 Cash Budget'!N38</f>
        <v/>
      </c>
    </row>
    <row r="10">
      <c r="B10" s="29" t="n"/>
      <c r="C10" s="29" t="n"/>
      <c r="D10" s="29" t="n"/>
      <c r="E10" s="29" t="n"/>
      <c r="F10" s="29" t="n"/>
    </row>
    <row r="11">
      <c r="A11" t="inlineStr">
        <is>
          <t>Founder Profit Share</t>
        </is>
      </c>
      <c r="B11" s="29">
        <f>IF(B7-B9&lt;=0,0,'Control Panel'!$B$16*(B7-B9))</f>
        <v/>
      </c>
      <c r="C11" s="29">
        <f>IF(C7-C9&lt;=0,0,'Control Panel'!$B$16*(C7-C9))</f>
        <v/>
      </c>
      <c r="D11" s="29">
        <f>IF(D7-D9&lt;=0,0,'Control Panel'!$B$16*(D7-D9))</f>
        <v/>
      </c>
      <c r="E11" s="29">
        <f>IF(E7-E9&lt;=0,0,'Control Panel'!$B$16*(E7-E9))</f>
        <v/>
      </c>
      <c r="F11" s="29">
        <f>IF(F7-F9&lt;=0,0,'Control Panel'!$B$16*(F7-F9))</f>
        <v/>
      </c>
    </row>
    <row r="12">
      <c r="B12" s="29" t="n"/>
      <c r="C12" s="29" t="n"/>
      <c r="D12" s="29" t="n"/>
      <c r="E12" s="29" t="n"/>
      <c r="F12" s="29" t="n"/>
    </row>
    <row r="13">
      <c r="A13" t="inlineStr">
        <is>
          <t>Net Profit</t>
        </is>
      </c>
      <c r="B13" s="29">
        <f>B7-B9-B11</f>
        <v/>
      </c>
      <c r="C13" s="29">
        <f>C7-C9-C11</f>
        <v/>
      </c>
      <c r="D13" s="29">
        <f>D7-D9-D11</f>
        <v/>
      </c>
      <c r="E13" s="29">
        <f>E7-E9-E11</f>
        <v/>
      </c>
      <c r="F13" s="29">
        <f>F7-F9-F11</f>
        <v/>
      </c>
    </row>
    <row r="15">
      <c r="A15" s="28" t="inlineStr">
        <is>
          <t>Balance Sheet</t>
        </is>
      </c>
    </row>
    <row r="16">
      <c r="B16" t="n">
        <v>1</v>
      </c>
      <c r="C16" t="n">
        <v>2</v>
      </c>
      <c r="D16" t="n">
        <v>3</v>
      </c>
      <c r="E16" t="n">
        <v>4</v>
      </c>
      <c r="F16" t="n">
        <v>5</v>
      </c>
    </row>
    <row r="17">
      <c r="A17" t="inlineStr">
        <is>
          <t>Assets</t>
        </is>
      </c>
      <c r="B17" s="29">
        <f>'Year 1 Cash Budget'!O44</f>
        <v/>
      </c>
      <c r="C17" s="29">
        <f>'Year 2 Cash Budget'!O44+B17</f>
        <v/>
      </c>
      <c r="D17" s="29">
        <f>'Year 3 Cash Budget'!O44+C17</f>
        <v/>
      </c>
      <c r="E17" s="29">
        <f>'Year 4 Cash Budget'!O44+D17</f>
        <v/>
      </c>
      <c r="F17" s="29">
        <f>'Year 5 Cash Budget'!O44+E17</f>
        <v/>
      </c>
    </row>
    <row r="18">
      <c r="B18" s="29" t="n"/>
      <c r="C18" s="29" t="n"/>
      <c r="D18" s="29" t="n"/>
      <c r="E18" s="29" t="n"/>
      <c r="F18" s="29" t="n"/>
    </row>
    <row r="19">
      <c r="A19" t="inlineStr">
        <is>
          <t>Cash</t>
        </is>
      </c>
      <c r="B19" s="29">
        <f>'Year 1 Cash Budget'!N46-B11</f>
        <v/>
      </c>
      <c r="C19" s="29">
        <f>'Year 2 Cash Budget'!M46-C11</f>
        <v/>
      </c>
      <c r="D19" s="29">
        <f>'Year 3 Cash Budget'!M46-D11</f>
        <v/>
      </c>
      <c r="E19" s="29">
        <f>'Year 4 Cash Budget'!M46-E11</f>
        <v/>
      </c>
      <c r="F19" s="29">
        <f>'Year 5 Cash Budget'!M46-F11</f>
        <v/>
      </c>
    </row>
    <row r="20">
      <c r="A20" t="inlineStr">
        <is>
          <t>Debtors</t>
        </is>
      </c>
      <c r="B20" s="29">
        <f>'Year 1 Cash Budget'!Q7</f>
        <v/>
      </c>
      <c r="C20" s="29">
        <f>'Year 2 Cash Budget'!P7</f>
        <v/>
      </c>
      <c r="D20" s="29">
        <f>'Year 3 Cash Budget'!P7</f>
        <v/>
      </c>
      <c r="E20" s="29">
        <f>'Year 4 Cash Budget'!P7</f>
        <v/>
      </c>
      <c r="F20" s="29">
        <f>'Year 5 Cash Budget'!P7</f>
        <v/>
      </c>
    </row>
    <row r="21">
      <c r="B21" s="29" t="n"/>
      <c r="C21" s="29" t="n"/>
      <c r="D21" s="29" t="n"/>
      <c r="E21" s="29" t="n"/>
      <c r="F21" s="29" t="n"/>
    </row>
    <row r="22">
      <c r="A22" t="inlineStr">
        <is>
          <t>Creditors</t>
        </is>
      </c>
      <c r="B22" s="29">
        <f>'Year 1 Cash Budget'!Q20</f>
        <v/>
      </c>
      <c r="C22" s="29">
        <f>'Year 2 Cash Budget'!P20</f>
        <v/>
      </c>
      <c r="D22" s="29">
        <f>'Year 3 Cash Budget'!P20</f>
        <v/>
      </c>
      <c r="E22" s="29">
        <f>'Year 4 Cash Budget'!P20</f>
        <v/>
      </c>
      <c r="F22" s="29">
        <f>'Year 5 Cash Budget'!P20</f>
        <v/>
      </c>
    </row>
    <row r="23">
      <c r="B23" s="29" t="n"/>
      <c r="C23" s="29" t="n"/>
      <c r="D23" s="29" t="n"/>
      <c r="E23" s="29" t="n"/>
      <c r="F23" s="29" t="n"/>
    </row>
    <row r="24">
      <c r="A24" t="inlineStr">
        <is>
          <t>Net Worth</t>
        </is>
      </c>
      <c r="B24" s="29">
        <f>B17+B19+B20-B22</f>
        <v/>
      </c>
      <c r="C24" s="29">
        <f>C17+C19+C20-C22</f>
        <v/>
      </c>
      <c r="D24" s="29">
        <f>D17+D19+D20-D22</f>
        <v/>
      </c>
      <c r="E24" s="29">
        <f>E17+E19+E20-E22</f>
        <v/>
      </c>
      <c r="F24" s="29">
        <f>F17+F19+F20-F22</f>
        <v/>
      </c>
    </row>
    <row r="25">
      <c r="B25" s="29" t="n"/>
      <c r="C25" s="29" t="n"/>
      <c r="D25" s="29" t="n"/>
      <c r="E25" s="29" t="n"/>
      <c r="F25" s="29" t="n"/>
    </row>
    <row r="26">
      <c r="A26" t="inlineStr">
        <is>
          <t>Profit</t>
        </is>
      </c>
      <c r="B26" s="29">
        <f>B13</f>
        <v/>
      </c>
      <c r="C26" s="29">
        <f>C13</f>
        <v/>
      </c>
      <c r="D26" s="29">
        <f>D13</f>
        <v/>
      </c>
      <c r="E26" s="29">
        <f>E13</f>
        <v/>
      </c>
      <c r="F26" s="29">
        <f>F13</f>
        <v/>
      </c>
    </row>
    <row r="27">
      <c r="A27" t="inlineStr">
        <is>
          <t>Retained Profit</t>
        </is>
      </c>
      <c r="B27" s="29" t="n">
        <v>0</v>
      </c>
      <c r="C27" s="29">
        <f>SUM(B26:B27)</f>
        <v/>
      </c>
      <c r="D27" s="29">
        <f>SUM(C26:C27)</f>
        <v/>
      </c>
      <c r="E27" s="29">
        <f>SUM(D26:D27)</f>
        <v/>
      </c>
      <c r="F27" s="29">
        <f>SUM(E26:E27)</f>
        <v/>
      </c>
      <c r="H27" s="34" t="n"/>
    </row>
    <row r="28">
      <c r="A28" t="inlineStr">
        <is>
          <t>Investment</t>
        </is>
      </c>
      <c r="B28" s="29">
        <f>'Year 1 Cash Budget'!O16</f>
        <v/>
      </c>
      <c r="C28" s="29">
        <f>'Year 2 Cash Budget'!P16+B28</f>
        <v/>
      </c>
      <c r="D28" s="29">
        <f>'Year 3 Cash Budget'!P16+C28</f>
        <v/>
      </c>
      <c r="E28" s="29">
        <f>'Year 4 Cash Budget'!P16+D28</f>
        <v/>
      </c>
      <c r="F28" s="29">
        <f>'Year 5 Cash Budget'!P16+E28</f>
        <v/>
      </c>
    </row>
    <row r="29">
      <c r="A29" t="inlineStr">
        <is>
          <t>Net Worth</t>
        </is>
      </c>
      <c r="B29" s="29">
        <f>SUM(B26:B28)</f>
        <v/>
      </c>
      <c r="C29" s="29">
        <f>SUM(C26:C28)</f>
        <v/>
      </c>
      <c r="D29" s="29">
        <f>SUM(D26:D28)</f>
        <v/>
      </c>
      <c r="E29" s="29">
        <f>SUM(E26:E28)</f>
        <v/>
      </c>
      <c r="F29" s="29">
        <f>SUM(F26:F28)</f>
        <v/>
      </c>
    </row>
    <row r="31">
      <c r="A31" t="inlineStr">
        <is>
          <t>Company Worth &gt; Investment</t>
        </is>
      </c>
      <c r="B31" s="12">
        <f>IF(B24&gt;=B28,"Yes","No")</f>
        <v/>
      </c>
      <c r="C31" s="12">
        <f>IF(AND(C24&gt;=C28,B24&lt;B28),"Yes","No")</f>
        <v/>
      </c>
      <c r="D31" s="12">
        <f>IF(AND(D24&gt;=D28,C24&lt;C28),"Yes","No")</f>
        <v/>
      </c>
      <c r="E31" s="12">
        <f>IF(AND(E24&gt;=E28,D24&lt;D28),"Yes","No")</f>
        <v/>
      </c>
      <c r="F31" s="12">
        <f>IF(AND(F24&gt;=F28,E24&lt;E28),"Yes","No")</f>
        <v/>
      </c>
    </row>
    <row r="32">
      <c r="A32" t="inlineStr">
        <is>
          <t>Investor Return</t>
        </is>
      </c>
      <c r="B32" s="40">
        <f>B28*'Control Panel'!$B$15</f>
        <v/>
      </c>
      <c r="C32" s="40">
        <f>B32+(C28*'Control Panel'!$B$15)</f>
        <v/>
      </c>
      <c r="D32" s="40">
        <f>C32+(D28*'Control Panel'!$B$15)</f>
        <v/>
      </c>
      <c r="E32" s="40">
        <f>D32+(E28*'Control Panel'!$B$15)</f>
        <v/>
      </c>
      <c r="F32" s="40">
        <f>E32+(F28*'Control Panel'!$B$15)</f>
        <v/>
      </c>
    </row>
    <row r="33">
      <c r="A33" t="inlineStr">
        <is>
          <t>Investor Buyout</t>
        </is>
      </c>
      <c r="B33" s="40">
        <f>IF(B35&lt;B19,"Yes","No")</f>
        <v/>
      </c>
      <c r="C33" s="40">
        <f>IF(AND(C35&lt;C19,B35&lt;B19),"Yes","No")</f>
        <v/>
      </c>
      <c r="D33" s="40">
        <f>IF(AND(D35&lt;D19,C35&lt;C19),"Yes","No")</f>
        <v/>
      </c>
      <c r="E33" s="40">
        <f>IF(AND(E35&lt;E19,D35&lt;D19),"Yes","No")</f>
        <v/>
      </c>
      <c r="F33" s="40">
        <f>IF(AND(F35&lt;F19,E35&lt;E19),"Yes","No")</f>
        <v/>
      </c>
    </row>
    <row r="34">
      <c r="B34" s="12">
        <f>'Performance Dashboard'!B1</f>
        <v/>
      </c>
      <c r="C34" s="12">
        <f>'Performance Dashboard'!C1</f>
        <v/>
      </c>
      <c r="D34" s="12">
        <f>'Performance Dashboard'!D1</f>
        <v/>
      </c>
      <c r="E34" s="12">
        <f>'Performance Dashboard'!E1</f>
        <v/>
      </c>
      <c r="F34" s="12">
        <f>'Performance Dashboard'!F1</f>
        <v/>
      </c>
    </row>
    <row r="35">
      <c r="A35" t="inlineStr">
        <is>
          <t>Investor Buyout Cost</t>
        </is>
      </c>
      <c r="B35" s="40">
        <f>B32+B28</f>
        <v/>
      </c>
      <c r="C35" s="40">
        <f>C32+C28</f>
        <v/>
      </c>
      <c r="D35" s="40">
        <f>D32+D28</f>
        <v/>
      </c>
      <c r="E35" s="40">
        <f>E32+E28</f>
        <v/>
      </c>
      <c r="F35" s="40">
        <f>F32+F28</f>
        <v/>
      </c>
    </row>
  </sheetData>
  <mergeCells count="2">
    <mergeCell ref="A1:F1"/>
    <mergeCell ref="A15:F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9"/>
  <sheetViews>
    <sheetView topLeftCell="A2" zoomScaleNormal="100" workbookViewId="0">
      <selection activeCell="B9" sqref="B9"/>
    </sheetView>
  </sheetViews>
  <sheetFormatPr baseColWidth="10" defaultColWidth="11" defaultRowHeight="15.5"/>
  <cols>
    <col width="35.83203125" bestFit="1" customWidth="1" min="1" max="1"/>
    <col width="9" bestFit="1" customWidth="1" min="2" max="13"/>
    <col width="10.08203125" bestFit="1" customWidth="1" min="14" max="14"/>
    <col width="8.5" bestFit="1" customWidth="1" min="15" max="15"/>
    <col width="7.58203125" bestFit="1" customWidth="1" min="16" max="16"/>
  </cols>
  <sheetData>
    <row r="1">
      <c r="B1" s="12" t="inlineStr">
        <is>
          <t>Month 13</t>
        </is>
      </c>
      <c r="C1" s="12" t="inlineStr">
        <is>
          <t>Month 14</t>
        </is>
      </c>
      <c r="D1" s="12" t="inlineStr">
        <is>
          <t>Month 15</t>
        </is>
      </c>
      <c r="E1" s="12" t="inlineStr">
        <is>
          <t>Month 16</t>
        </is>
      </c>
      <c r="F1" s="12" t="inlineStr">
        <is>
          <t>Month 17</t>
        </is>
      </c>
      <c r="G1" s="12" t="inlineStr">
        <is>
          <t>Month 18</t>
        </is>
      </c>
      <c r="H1" s="12" t="inlineStr">
        <is>
          <t>Month 19</t>
        </is>
      </c>
      <c r="I1" s="12" t="inlineStr">
        <is>
          <t>Month 20</t>
        </is>
      </c>
      <c r="J1" s="12" t="inlineStr">
        <is>
          <t>Month 21</t>
        </is>
      </c>
      <c r="K1" s="12" t="inlineStr">
        <is>
          <t>Month 22</t>
        </is>
      </c>
      <c r="L1" s="12" t="inlineStr">
        <is>
          <t>Month 23</t>
        </is>
      </c>
      <c r="M1" s="12" t="inlineStr">
        <is>
          <t>Month 24</t>
        </is>
      </c>
      <c r="N1" s="12" t="inlineStr">
        <is>
          <t>Year 2</t>
        </is>
      </c>
    </row>
    <row r="2">
      <c r="A2" s="9" t="inlineStr">
        <is>
          <t>Revenue Calculations</t>
        </is>
      </c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</row>
    <row r="3">
      <c r="A3" t="inlineStr">
        <is>
          <t>Average Sale</t>
        </is>
      </c>
      <c r="B3" s="54" t="n">
        <v>2870</v>
      </c>
      <c r="C3" s="54" t="n">
        <v>4368</v>
      </c>
      <c r="D3" s="54" t="n">
        <v>4534</v>
      </c>
      <c r="E3" s="54" t="n">
        <v>4232</v>
      </c>
      <c r="F3" s="54" t="n">
        <v>4598</v>
      </c>
      <c r="G3" s="54" t="n">
        <v>4598</v>
      </c>
      <c r="H3" s="54" t="n">
        <v>4742</v>
      </c>
      <c r="I3" s="54" t="n">
        <v>5062</v>
      </c>
      <c r="J3" s="54" t="n">
        <v>5533</v>
      </c>
      <c r="K3" s="54" t="n">
        <v>5288</v>
      </c>
      <c r="L3" s="54" t="n">
        <v>5334</v>
      </c>
      <c r="M3" s="54" t="n">
        <v>5315</v>
      </c>
      <c r="N3" s="29" t="n"/>
    </row>
    <row r="4">
      <c r="A4" t="inlineStr">
        <is>
          <t>Customers</t>
        </is>
      </c>
      <c r="B4" s="54" t="n">
        <v>3</v>
      </c>
      <c r="C4" s="54" t="n">
        <v>5</v>
      </c>
      <c r="D4" s="54" t="n">
        <v>9</v>
      </c>
      <c r="E4" s="54" t="n">
        <v>11</v>
      </c>
      <c r="F4" s="54" t="n">
        <v>13</v>
      </c>
      <c r="G4" s="54" t="n">
        <v>13</v>
      </c>
      <c r="H4" s="54" t="n">
        <v>20</v>
      </c>
      <c r="I4" s="54" t="n">
        <v>20</v>
      </c>
      <c r="J4" s="54" t="n">
        <v>24</v>
      </c>
      <c r="K4" s="54" t="n">
        <v>28</v>
      </c>
      <c r="L4" s="54" t="n">
        <v>29</v>
      </c>
      <c r="M4" s="54" t="n">
        <v>29</v>
      </c>
      <c r="N4" s="29">
        <f>SUM(B4:M4)</f>
        <v/>
      </c>
    </row>
    <row r="5">
      <c r="A5" t="inlineStr">
        <is>
          <t>Customer Growth Factor</t>
        </is>
      </c>
      <c r="B5" s="8">
        <f>'Year 1 Cash Budget'!N5*(1+'Control Panel'!$B$4)</f>
        <v/>
      </c>
      <c r="C5" s="8">
        <f>B5*(1+'Control Panel'!$B$4)</f>
        <v/>
      </c>
      <c r="D5" s="7">
        <f>C5*1.05</f>
        <v/>
      </c>
      <c r="E5" s="7">
        <f>D5*1.05</f>
        <v/>
      </c>
      <c r="F5" s="7">
        <f>E5*1.05</f>
        <v/>
      </c>
      <c r="G5" s="7">
        <f>F5*1.05</f>
        <v/>
      </c>
      <c r="H5" s="7">
        <f>G5*1.05</f>
        <v/>
      </c>
      <c r="I5" s="7">
        <f>H5*1.05</f>
        <v/>
      </c>
      <c r="J5" s="7">
        <f>I5*1.05</f>
        <v/>
      </c>
      <c r="K5" s="7">
        <f>J5*1.05</f>
        <v/>
      </c>
      <c r="L5" s="7">
        <f>K5*1.05</f>
        <v/>
      </c>
      <c r="M5" s="7">
        <f>L5*1.05</f>
        <v/>
      </c>
      <c r="N5" s="29" t="n"/>
    </row>
    <row r="6">
      <c r="A6" t="inlineStr">
        <is>
          <t>Seasonality Index</t>
        </is>
      </c>
      <c r="B6" s="7">
        <f>'Year 1 Cash Budget'!C6</f>
        <v/>
      </c>
      <c r="C6" s="7">
        <f>'Year 1 Cash Budget'!D6</f>
        <v/>
      </c>
      <c r="D6" s="7">
        <f>'Year 1 Cash Budget'!E6</f>
        <v/>
      </c>
      <c r="E6" s="7">
        <f>'Year 1 Cash Budget'!F6</f>
        <v/>
      </c>
      <c r="F6" s="7">
        <f>'Year 1 Cash Budget'!G6</f>
        <v/>
      </c>
      <c r="G6" s="7">
        <f>'Year 1 Cash Budget'!H6</f>
        <v/>
      </c>
      <c r="H6" s="7">
        <f>'Year 1 Cash Budget'!I6</f>
        <v/>
      </c>
      <c r="I6" s="7">
        <f>'Year 1 Cash Budget'!J6</f>
        <v/>
      </c>
      <c r="J6" s="7">
        <f>'Year 1 Cash Budget'!K6</f>
        <v/>
      </c>
      <c r="K6" s="7">
        <f>'Year 1 Cash Budget'!L6</f>
        <v/>
      </c>
      <c r="L6" s="7">
        <f>'Year 1 Cash Budget'!M6</f>
        <v/>
      </c>
      <c r="M6" s="7">
        <f>'Year 1 Cash Budget'!N6</f>
        <v/>
      </c>
      <c r="N6" s="29" t="n"/>
    </row>
    <row r="7">
      <c r="A7" t="inlineStr">
        <is>
          <t>Revenue</t>
        </is>
      </c>
      <c r="B7" s="29" t="n">
        <v>8611.200000000001</v>
      </c>
      <c r="C7" s="29" t="n">
        <v>81840</v>
      </c>
      <c r="D7" s="29" t="n">
        <v>160809.6</v>
      </c>
      <c r="E7" s="29" t="n">
        <v>106550.4</v>
      </c>
      <c r="F7" s="29" t="n">
        <v>119779.2</v>
      </c>
      <c r="G7" s="29" t="n">
        <v>59779.2</v>
      </c>
      <c r="H7" s="29" t="n">
        <v>304848</v>
      </c>
      <c r="I7" s="29" t="n">
        <v>131230.13</v>
      </c>
      <c r="J7" s="29" t="n">
        <v>252795.24</v>
      </c>
      <c r="K7" s="29" t="n">
        <v>268056.62</v>
      </c>
      <c r="L7" s="29" t="n">
        <v>184694.04</v>
      </c>
      <c r="M7" s="29" t="n">
        <v>154120.79</v>
      </c>
      <c r="N7" s="29">
        <f>SUM(B7:M7)</f>
        <v/>
      </c>
      <c r="O7" t="inlineStr">
        <is>
          <t>Debtors</t>
        </is>
      </c>
      <c r="P7" s="29">
        <f>(M7*'Control Panel'!$B$8)*(1/4)+(M7*'Control Panel'!$B$9)</f>
        <v/>
      </c>
    </row>
    <row r="8">
      <c r="B8" s="29" t="n"/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P8" s="34" t="n"/>
    </row>
    <row r="9">
      <c r="A9" t="inlineStr">
        <is>
          <t>Opening Cash</t>
        </is>
      </c>
      <c r="B9" s="29">
        <f>'Financial Statements'!B19</f>
        <v/>
      </c>
      <c r="C9" s="29">
        <f>B46</f>
        <v/>
      </c>
      <c r="D9" s="29">
        <f>C46</f>
        <v/>
      </c>
      <c r="E9" s="29">
        <f>D46</f>
        <v/>
      </c>
      <c r="F9" s="29">
        <f>E46</f>
        <v/>
      </c>
      <c r="G9" s="29">
        <f>F46</f>
        <v/>
      </c>
      <c r="H9" s="29">
        <f>G46</f>
        <v/>
      </c>
      <c r="I9" s="29">
        <f>H46</f>
        <v/>
      </c>
      <c r="J9" s="29">
        <f>I46</f>
        <v/>
      </c>
      <c r="K9" s="29">
        <f>J46</f>
        <v/>
      </c>
      <c r="L9" s="29">
        <f>K46</f>
        <v/>
      </c>
      <c r="M9" s="29">
        <f>L46</f>
        <v/>
      </c>
      <c r="N9" s="29" t="n"/>
      <c r="P9" s="37" t="n"/>
    </row>
    <row r="10">
      <c r="A10" t="inlineStr">
        <is>
          <t>Revenue (this month)</t>
        </is>
      </c>
      <c r="B10" s="29" t="n">
        <v>8611.200000000001</v>
      </c>
      <c r="C10" s="29" t="n">
        <v>81840</v>
      </c>
      <c r="D10" s="29" t="n">
        <v>160809.6</v>
      </c>
      <c r="E10" s="29" t="n">
        <v>106550.4</v>
      </c>
      <c r="F10" s="29" t="n">
        <v>119779.2</v>
      </c>
      <c r="G10" s="29" t="n">
        <v>59779.2</v>
      </c>
      <c r="H10" s="29" t="n">
        <v>304848</v>
      </c>
      <c r="I10" s="29" t="n">
        <v>131230.13</v>
      </c>
      <c r="J10" s="29" t="n">
        <v>252795.24</v>
      </c>
      <c r="K10" s="29" t="n">
        <v>268056.62</v>
      </c>
      <c r="L10" s="29" t="n">
        <v>184694.04</v>
      </c>
      <c r="M10" s="29" t="n">
        <v>154120.79</v>
      </c>
      <c r="N10" s="29">
        <f>SUM(B10:M10)</f>
        <v/>
      </c>
    </row>
    <row r="11">
      <c r="A11" t="inlineStr">
        <is>
          <t>Revenue (1 Week Credit) (this month)</t>
        </is>
      </c>
      <c r="B11" s="29" t="n">
        <v>0</v>
      </c>
      <c r="C11" s="29" t="n">
        <v>0</v>
      </c>
      <c r="D11" s="29" t="n">
        <v>0</v>
      </c>
      <c r="E11" s="29" t="n">
        <v>0</v>
      </c>
      <c r="F11" s="29" t="n">
        <v>0</v>
      </c>
      <c r="G11" s="29" t="n">
        <v>0</v>
      </c>
      <c r="H11" s="29" t="n">
        <v>0</v>
      </c>
      <c r="I11" s="29" t="n">
        <v>0</v>
      </c>
      <c r="J11" s="29" t="n">
        <v>0</v>
      </c>
      <c r="K11" s="29" t="n">
        <v>0</v>
      </c>
      <c r="L11" s="29" t="n">
        <v>0</v>
      </c>
      <c r="M11" s="29" t="n">
        <v>0</v>
      </c>
      <c r="N11" s="29">
        <f>SUM(B11:M11)</f>
        <v/>
      </c>
    </row>
    <row r="12">
      <c r="A12" t="inlineStr">
        <is>
          <t>Revenue (1 Week Credit) (last month)</t>
        </is>
      </c>
      <c r="B12" s="29" t="n">
        <v>0</v>
      </c>
      <c r="C12" s="29" t="n">
        <v>0</v>
      </c>
      <c r="D12" s="29" t="n">
        <v>0</v>
      </c>
      <c r="E12" s="29" t="n">
        <v>0</v>
      </c>
      <c r="F12" s="29" t="n">
        <v>0</v>
      </c>
      <c r="G12" s="29" t="n">
        <v>0</v>
      </c>
      <c r="H12" s="29" t="n">
        <v>0</v>
      </c>
      <c r="I12" s="29" t="n">
        <v>0</v>
      </c>
      <c r="J12" s="29" t="n">
        <v>0</v>
      </c>
      <c r="K12" s="29" t="n">
        <v>0</v>
      </c>
      <c r="L12" s="29" t="n">
        <v>0</v>
      </c>
      <c r="M12" s="29" t="n">
        <v>0</v>
      </c>
      <c r="N12" s="29">
        <f>SUM(B12:M12)</f>
        <v/>
      </c>
    </row>
    <row r="13">
      <c r="A13" t="inlineStr">
        <is>
          <t>Revenue (1 Month Credit)</t>
        </is>
      </c>
      <c r="B13" s="29" t="n">
        <v>0</v>
      </c>
      <c r="C13" s="29" t="n">
        <v>0</v>
      </c>
      <c r="D13" s="29" t="n">
        <v>0</v>
      </c>
      <c r="E13" s="29" t="n">
        <v>0</v>
      </c>
      <c r="F13" s="29" t="n">
        <v>0</v>
      </c>
      <c r="G13" s="29" t="n">
        <v>0</v>
      </c>
      <c r="H13" s="29" t="n">
        <v>0</v>
      </c>
      <c r="I13" s="29" t="n">
        <v>0</v>
      </c>
      <c r="J13" s="29" t="n">
        <v>0</v>
      </c>
      <c r="K13" s="29" t="n">
        <v>0</v>
      </c>
      <c r="L13" s="29" t="n">
        <v>0</v>
      </c>
      <c r="M13" s="29" t="n">
        <v>0</v>
      </c>
      <c r="N13" s="29">
        <f>SUM(B13:M13)</f>
        <v/>
      </c>
    </row>
    <row r="14">
      <c r="A14" t="inlineStr">
        <is>
          <t>Total Revenue Cash In</t>
        </is>
      </c>
      <c r="B14" s="29">
        <f>SUM(B10:B13)</f>
        <v/>
      </c>
      <c r="C14" s="29">
        <f>SUM(C10:C13)</f>
        <v/>
      </c>
      <c r="D14" s="29">
        <f>SUM(D10:D13)</f>
        <v/>
      </c>
      <c r="E14" s="29">
        <f>SUM(E10:E13)</f>
        <v/>
      </c>
      <c r="F14" s="29">
        <f>SUM(F10:F13)</f>
        <v/>
      </c>
      <c r="G14" s="29">
        <f>SUM(G10:G13)</f>
        <v/>
      </c>
      <c r="H14" s="29">
        <f>SUM(H10:H13)</f>
        <v/>
      </c>
      <c r="I14" s="29">
        <f>SUM(I10:I13)</f>
        <v/>
      </c>
      <c r="J14" s="29">
        <f>SUM(J10:J13)</f>
        <v/>
      </c>
      <c r="K14" s="29">
        <f>SUM(K10:K13)</f>
        <v/>
      </c>
      <c r="L14" s="29">
        <f>SUM(L10:L13)</f>
        <v/>
      </c>
      <c r="M14" s="29">
        <f>SUM(M10:M13)</f>
        <v/>
      </c>
      <c r="N14" s="29">
        <f>SUM(N10:N13)</f>
        <v/>
      </c>
    </row>
    <row r="15">
      <c r="B15" s="29" t="n"/>
      <c r="C15" s="29" t="n"/>
      <c r="D15" s="29" t="n"/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</row>
    <row r="16">
      <c r="A16" t="inlineStr">
        <is>
          <t>Investment Received</t>
        </is>
      </c>
      <c r="B16" s="29" t="n">
        <v>2000000</v>
      </c>
      <c r="C16" s="29" t="n">
        <v>0</v>
      </c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0</v>
      </c>
      <c r="I16" s="29" t="n">
        <v>0</v>
      </c>
      <c r="J16" s="29" t="n">
        <v>0</v>
      </c>
      <c r="K16" s="29" t="n">
        <v>0</v>
      </c>
      <c r="L16" s="29" t="n">
        <v>0</v>
      </c>
      <c r="M16" s="29" t="n">
        <v>0</v>
      </c>
      <c r="N16" s="29">
        <f>SUM(B16:M16)</f>
        <v/>
      </c>
    </row>
    <row r="17">
      <c r="B17" s="29" t="n"/>
      <c r="C17" s="29" t="n"/>
      <c r="D17" s="29" t="n"/>
      <c r="E17" s="29" t="n"/>
      <c r="F17" s="29" t="n"/>
      <c r="G17" s="29" t="n"/>
      <c r="H17" s="29" t="n"/>
      <c r="I17" s="29" t="n"/>
      <c r="J17" s="29" t="n"/>
      <c r="K17" s="29" t="n"/>
      <c r="L17" s="29" t="n"/>
      <c r="M17" s="29" t="n"/>
      <c r="N17" s="29" t="n"/>
    </row>
    <row r="18">
      <c r="A18" t="inlineStr">
        <is>
          <t>Cost of Revenue (this month)</t>
        </is>
      </c>
      <c r="B18" s="29" t="n">
        <v>3435.28</v>
      </c>
      <c r="C18" s="29" t="n">
        <v>5926</v>
      </c>
      <c r="D18" s="29" t="n">
        <v>10040.24</v>
      </c>
      <c r="E18" s="29" t="n">
        <v>11263.76</v>
      </c>
      <c r="F18" s="29" t="n">
        <v>13954.48</v>
      </c>
      <c r="G18" s="29" t="n">
        <v>14154.48</v>
      </c>
      <c r="H18" s="29" t="n">
        <v>20971.2</v>
      </c>
      <c r="I18" s="29" t="n">
        <v>21690.75</v>
      </c>
      <c r="J18" s="29" t="n">
        <v>26999.88</v>
      </c>
      <c r="K18" s="29" t="n">
        <v>29991.42</v>
      </c>
      <c r="L18" s="29" t="n">
        <v>30517.35</v>
      </c>
      <c r="M18" s="29" t="n">
        <v>30413.02</v>
      </c>
      <c r="N18" s="29">
        <f>SUM(B18:M18)</f>
        <v/>
      </c>
    </row>
    <row r="19">
      <c r="A19" t="inlineStr">
        <is>
          <t>Cost of Revenue (1 month supplier credit)</t>
        </is>
      </c>
      <c r="B19" s="29" t="n">
        <v>0</v>
      </c>
      <c r="C19" s="29" t="n">
        <v>0</v>
      </c>
      <c r="D19" s="29" t="n">
        <v>0</v>
      </c>
      <c r="E19" s="29" t="n">
        <v>0</v>
      </c>
      <c r="F19" s="29" t="n">
        <v>0</v>
      </c>
      <c r="G19" s="29" t="n">
        <v>0</v>
      </c>
      <c r="H19" s="29" t="n">
        <v>0</v>
      </c>
      <c r="I19" s="29" t="n">
        <v>0</v>
      </c>
      <c r="J19" s="29" t="n">
        <v>0</v>
      </c>
      <c r="K19" s="29" t="n">
        <v>0</v>
      </c>
      <c r="L19" s="29" t="n">
        <v>0</v>
      </c>
      <c r="M19" s="29" t="n">
        <v>0</v>
      </c>
      <c r="N19" s="29">
        <f>SUM(B19:M19)</f>
        <v/>
      </c>
    </row>
    <row r="20">
      <c r="A20" t="inlineStr">
        <is>
          <t>Total Cost of Revenue Cash Out</t>
        </is>
      </c>
      <c r="B20" s="29">
        <f>SUM(B18:B19)</f>
        <v/>
      </c>
      <c r="C20" s="29">
        <f>SUM(C18:C19)</f>
        <v/>
      </c>
      <c r="D20" s="29">
        <f>SUM(D18:D19)</f>
        <v/>
      </c>
      <c r="E20" s="29">
        <f>SUM(E18:E19)</f>
        <v/>
      </c>
      <c r="F20" s="29">
        <f>SUM(F18:F19)</f>
        <v/>
      </c>
      <c r="G20" s="29">
        <f>SUM(G18:G19)</f>
        <v/>
      </c>
      <c r="H20" s="29">
        <f>SUM(H18:H19)</f>
        <v/>
      </c>
      <c r="I20" s="29">
        <f>SUM(I18:I19)</f>
        <v/>
      </c>
      <c r="J20" s="29">
        <f>SUM(J18:J19)</f>
        <v/>
      </c>
      <c r="K20" s="29">
        <f>SUM(K18:K19)</f>
        <v/>
      </c>
      <c r="L20" s="29">
        <f>SUM(L18:L19)</f>
        <v/>
      </c>
      <c r="M20" s="29">
        <f>SUM(M18:M19)</f>
        <v/>
      </c>
      <c r="N20" s="29">
        <f>SUM(N18:N19)</f>
        <v/>
      </c>
      <c r="O20" t="inlineStr">
        <is>
          <t>Creditors</t>
        </is>
      </c>
      <c r="P20" s="34">
        <f>(M7*'Control Panel'!$B$11)*('Control Panel'!$B$13)</f>
        <v/>
      </c>
    </row>
    <row r="21"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  <c r="M21" s="29" t="n"/>
      <c r="N21" s="29" t="n"/>
    </row>
    <row r="22">
      <c r="A22" t="inlineStr">
        <is>
          <t>Contracts, Terms, GPDR</t>
        </is>
      </c>
      <c r="B22" s="29" t="n">
        <v>0</v>
      </c>
      <c r="C22" s="29" t="n">
        <v>0</v>
      </c>
      <c r="D22" s="29" t="n">
        <v>0</v>
      </c>
      <c r="E22" s="29" t="n">
        <v>0</v>
      </c>
      <c r="F22" s="29" t="n">
        <v>0</v>
      </c>
      <c r="G22" s="29" t="n">
        <v>0</v>
      </c>
      <c r="H22" s="29" t="n">
        <v>0</v>
      </c>
      <c r="I22" s="29" t="n">
        <v>0</v>
      </c>
      <c r="J22" s="29" t="n">
        <v>0</v>
      </c>
      <c r="K22" s="29" t="n">
        <v>0</v>
      </c>
      <c r="L22" s="29" t="n">
        <v>0</v>
      </c>
      <c r="M22" s="29" t="n">
        <v>0</v>
      </c>
      <c r="N22" s="29">
        <f>SUM(B22:M22)</f>
        <v/>
      </c>
    </row>
    <row r="23">
      <c r="A23" t="inlineStr">
        <is>
          <t>Stationery, etc.</t>
        </is>
      </c>
      <c r="B23" s="29">
        <f>'Year 1 Cash Budget'!C23</f>
        <v/>
      </c>
      <c r="C23" s="29">
        <f>'Year 1 Cash Budget'!D23</f>
        <v/>
      </c>
      <c r="D23" s="29">
        <f>'Year 1 Cash Budget'!E23</f>
        <v/>
      </c>
      <c r="E23" s="29">
        <f>'Year 1 Cash Budget'!F23</f>
        <v/>
      </c>
      <c r="F23" s="29">
        <f>'Year 1 Cash Budget'!G23</f>
        <v/>
      </c>
      <c r="G23" s="29">
        <f>'Year 1 Cash Budget'!H23</f>
        <v/>
      </c>
      <c r="H23" s="29">
        <f>'Year 1 Cash Budget'!I23</f>
        <v/>
      </c>
      <c r="I23" s="29">
        <f>'Year 1 Cash Budget'!J23</f>
        <v/>
      </c>
      <c r="J23" s="29">
        <f>'Year 1 Cash Budget'!K23</f>
        <v/>
      </c>
      <c r="K23" s="29">
        <f>'Year 1 Cash Budget'!L23</f>
        <v/>
      </c>
      <c r="L23" s="29">
        <f>'Year 1 Cash Budget'!M23</f>
        <v/>
      </c>
      <c r="M23" s="29">
        <f>'Year 1 Cash Budget'!N23</f>
        <v/>
      </c>
      <c r="N23" s="29">
        <f>SUM(B23:M23)</f>
        <v/>
      </c>
    </row>
    <row r="24">
      <c r="A24" t="inlineStr">
        <is>
          <t>Brochures</t>
        </is>
      </c>
      <c r="B24" s="29">
        <f>'Year 1 Cash Budget'!C24</f>
        <v/>
      </c>
      <c r="C24" s="29">
        <f>'Year 1 Cash Budget'!D24</f>
        <v/>
      </c>
      <c r="D24" s="29">
        <f>'Year 1 Cash Budget'!E24</f>
        <v/>
      </c>
      <c r="E24" s="29">
        <f>'Year 1 Cash Budget'!F24</f>
        <v/>
      </c>
      <c r="F24" s="29">
        <f>'Year 1 Cash Budget'!G24</f>
        <v/>
      </c>
      <c r="G24" s="29">
        <f>'Year 1 Cash Budget'!H24</f>
        <v/>
      </c>
      <c r="H24" s="29">
        <f>'Year 1 Cash Budget'!I24</f>
        <v/>
      </c>
      <c r="I24" s="29">
        <f>'Year 1 Cash Budget'!J24</f>
        <v/>
      </c>
      <c r="J24" s="29">
        <f>'Year 1 Cash Budget'!K24</f>
        <v/>
      </c>
      <c r="K24" s="29">
        <f>'Year 1 Cash Budget'!L24</f>
        <v/>
      </c>
      <c r="L24" s="29">
        <f>'Year 1 Cash Budget'!M24</f>
        <v/>
      </c>
      <c r="M24" s="29">
        <f>'Year 1 Cash Budget'!N24</f>
        <v/>
      </c>
      <c r="N24" s="29">
        <f>SUM(B24:M24)</f>
        <v/>
      </c>
    </row>
    <row r="25">
      <c r="A25" t="inlineStr">
        <is>
          <t>Consultants</t>
        </is>
      </c>
      <c r="B25" s="29" t="n">
        <v>52600</v>
      </c>
      <c r="C25" s="29" t="n">
        <v>2600</v>
      </c>
      <c r="D25" s="29" t="n">
        <v>2600</v>
      </c>
      <c r="E25" s="29" t="n">
        <v>2600</v>
      </c>
      <c r="F25" s="29" t="n">
        <v>2600</v>
      </c>
      <c r="G25" s="29" t="n">
        <v>2600</v>
      </c>
      <c r="H25" s="29" t="n">
        <v>2600</v>
      </c>
      <c r="I25" s="29" t="n">
        <v>2600</v>
      </c>
      <c r="J25" s="29" t="n">
        <v>2600</v>
      </c>
      <c r="K25" s="29" t="n">
        <v>2600</v>
      </c>
      <c r="L25" s="29" t="n">
        <v>2600</v>
      </c>
      <c r="M25" s="29" t="n">
        <v>2600</v>
      </c>
      <c r="N25" s="29">
        <f>SUM(B25:M25)</f>
        <v/>
      </c>
    </row>
    <row r="26">
      <c r="A26" t="inlineStr">
        <is>
          <t>Insurance</t>
        </is>
      </c>
      <c r="B26" s="29" t="n">
        <v>1150</v>
      </c>
      <c r="C26" s="29" t="n">
        <v>1150</v>
      </c>
      <c r="D26" s="29" t="n">
        <v>1150</v>
      </c>
      <c r="E26" s="29" t="n">
        <v>1150</v>
      </c>
      <c r="F26" s="29" t="n">
        <v>1150</v>
      </c>
      <c r="G26" s="29" t="n">
        <v>1150</v>
      </c>
      <c r="H26" s="29" t="n">
        <v>1150</v>
      </c>
      <c r="I26" s="29" t="n">
        <v>1150</v>
      </c>
      <c r="J26" s="29" t="n">
        <v>1150</v>
      </c>
      <c r="K26" s="29" t="n">
        <v>1150</v>
      </c>
      <c r="L26" s="29" t="n">
        <v>1150</v>
      </c>
      <c r="M26" s="29" t="n">
        <v>1150</v>
      </c>
      <c r="N26" s="29">
        <f>SUM(B26:M26)</f>
        <v/>
      </c>
    </row>
    <row r="27">
      <c r="A27" t="inlineStr">
        <is>
          <t>Rent</t>
        </is>
      </c>
      <c r="B27" s="29" t="n">
        <v>4040</v>
      </c>
      <c r="C27" s="29" t="n">
        <v>4040</v>
      </c>
      <c r="D27" s="29" t="n">
        <v>4040</v>
      </c>
      <c r="E27" s="29" t="n">
        <v>4040</v>
      </c>
      <c r="F27" s="29" t="n">
        <v>4040</v>
      </c>
      <c r="G27" s="29" t="n">
        <v>4040</v>
      </c>
      <c r="H27" s="29" t="n">
        <v>4040</v>
      </c>
      <c r="I27" s="29" t="n">
        <v>4040</v>
      </c>
      <c r="J27" s="29" t="n">
        <v>4040</v>
      </c>
      <c r="K27" s="29" t="n">
        <v>4040</v>
      </c>
      <c r="L27" s="29" t="n">
        <v>4040</v>
      </c>
      <c r="M27" s="29" t="n">
        <v>4040</v>
      </c>
      <c r="N27" s="29">
        <f>SUM(B27:M27)</f>
        <v/>
      </c>
    </row>
    <row r="28">
      <c r="A28" t="inlineStr">
        <is>
          <t>R &amp; D Design</t>
        </is>
      </c>
      <c r="B28" s="29" t="n">
        <v>0</v>
      </c>
      <c r="C28" s="29" t="n">
        <v>0</v>
      </c>
      <c r="D28" s="29" t="n">
        <v>0</v>
      </c>
      <c r="E28" s="29" t="n">
        <v>0</v>
      </c>
      <c r="F28" s="29" t="n">
        <v>0</v>
      </c>
      <c r="G28" s="29" t="n">
        <v>0</v>
      </c>
      <c r="H28" s="29" t="n">
        <v>0</v>
      </c>
      <c r="I28" s="29" t="n">
        <v>0</v>
      </c>
      <c r="J28" s="29" t="n">
        <v>0</v>
      </c>
      <c r="K28" s="29" t="n">
        <v>0</v>
      </c>
      <c r="L28" s="29" t="n">
        <v>0</v>
      </c>
      <c r="M28" s="29" t="n">
        <v>0</v>
      </c>
      <c r="N28" s="29">
        <f>SUM(B28:M28)</f>
        <v/>
      </c>
    </row>
    <row r="29">
      <c r="A29" t="inlineStr">
        <is>
          <t>R &amp; D Maintenance</t>
        </is>
      </c>
      <c r="B29" s="29" t="n">
        <v>4020</v>
      </c>
      <c r="C29" s="29" t="n">
        <v>6180</v>
      </c>
      <c r="D29" s="29" t="n">
        <v>9820</v>
      </c>
      <c r="E29" s="29" t="n">
        <v>10900</v>
      </c>
      <c r="F29" s="29" t="n">
        <v>13260</v>
      </c>
      <c r="G29" s="29" t="n">
        <v>13460</v>
      </c>
      <c r="H29" s="29" t="n">
        <v>19400</v>
      </c>
      <c r="I29" s="29" t="n">
        <v>19960</v>
      </c>
      <c r="J29" s="29" t="n">
        <v>24480</v>
      </c>
      <c r="K29" s="29" t="n">
        <v>27090</v>
      </c>
      <c r="L29" s="29" t="n">
        <v>27450</v>
      </c>
      <c r="M29" s="29" t="n">
        <v>27360</v>
      </c>
      <c r="N29" s="29">
        <f>SUM(B29:M29)</f>
        <v/>
      </c>
    </row>
    <row r="30">
      <c r="A30" t="inlineStr">
        <is>
          <t>Staff</t>
        </is>
      </c>
      <c r="B30" s="29" t="n">
        <v>58430.75</v>
      </c>
      <c r="C30" s="29" t="n">
        <v>58430.75</v>
      </c>
      <c r="D30" s="29" t="n">
        <v>73478.52</v>
      </c>
      <c r="E30" s="29" t="n">
        <v>73478.52</v>
      </c>
      <c r="F30" s="29" t="n">
        <v>81421.27</v>
      </c>
      <c r="G30" s="29" t="n">
        <v>89678.17</v>
      </c>
      <c r="H30" s="29" t="n">
        <v>89678.17</v>
      </c>
      <c r="I30" s="29" t="n">
        <v>95003</v>
      </c>
      <c r="J30" s="29" t="n">
        <v>105578.33</v>
      </c>
      <c r="K30" s="29" t="n">
        <v>105578.33</v>
      </c>
      <c r="L30" s="29" t="n">
        <v>105578.33</v>
      </c>
      <c r="M30" s="29" t="n">
        <v>105578.33</v>
      </c>
      <c r="N30" s="29">
        <f>SUM(B30:M30)</f>
        <v/>
      </c>
    </row>
    <row r="31">
      <c r="A31" t="inlineStr">
        <is>
          <t>Communications</t>
        </is>
      </c>
      <c r="B31" s="29" t="n">
        <v>0</v>
      </c>
      <c r="C31" s="29" t="n">
        <v>0</v>
      </c>
      <c r="D31" s="29" t="n">
        <v>0</v>
      </c>
      <c r="E31" s="29" t="n">
        <v>0</v>
      </c>
      <c r="F31" s="29" t="n">
        <v>0</v>
      </c>
      <c r="G31" s="29" t="n">
        <v>0</v>
      </c>
      <c r="H31" s="29" t="n">
        <v>0</v>
      </c>
      <c r="I31" s="29" t="n">
        <v>0</v>
      </c>
      <c r="J31" s="29" t="n">
        <v>0</v>
      </c>
      <c r="K31" s="29" t="n">
        <v>0</v>
      </c>
      <c r="L31" s="29" t="n">
        <v>0</v>
      </c>
      <c r="M31" s="29" t="n">
        <v>0</v>
      </c>
      <c r="N31" s="29">
        <f>SUM(B31:M31)</f>
        <v/>
      </c>
    </row>
    <row r="32">
      <c r="A32" t="inlineStr">
        <is>
          <t>Incorporation Fees</t>
        </is>
      </c>
      <c r="B32" s="29" t="n">
        <v>0</v>
      </c>
      <c r="C32" s="29" t="n">
        <v>0</v>
      </c>
      <c r="D32" s="29" t="n">
        <v>0</v>
      </c>
      <c r="E32" s="29" t="n">
        <v>0</v>
      </c>
      <c r="F32" s="29" t="n">
        <v>0</v>
      </c>
      <c r="G32" s="29" t="n">
        <v>0</v>
      </c>
      <c r="H32" s="29" t="n">
        <v>0</v>
      </c>
      <c r="I32" s="29" t="n">
        <v>0</v>
      </c>
      <c r="J32" s="29" t="n">
        <v>0</v>
      </c>
      <c r="K32" s="29" t="n">
        <v>0</v>
      </c>
      <c r="L32" s="29" t="n">
        <v>0</v>
      </c>
      <c r="M32" s="29" t="n">
        <v>0</v>
      </c>
      <c r="N32" s="29">
        <f>SUM(B32:M32)</f>
        <v/>
      </c>
    </row>
    <row r="33">
      <c r="A33" t="inlineStr">
        <is>
          <t>Website Design</t>
        </is>
      </c>
      <c r="B33" s="29" t="n">
        <v>0</v>
      </c>
      <c r="C33" s="29" t="n">
        <v>0</v>
      </c>
      <c r="D33" s="29" t="n">
        <v>0</v>
      </c>
      <c r="E33" s="29" t="n">
        <v>0</v>
      </c>
      <c r="F33" s="29" t="n">
        <v>0</v>
      </c>
      <c r="G33" s="29" t="n">
        <v>0</v>
      </c>
      <c r="H33" s="29" t="n">
        <v>0</v>
      </c>
      <c r="I33" s="29" t="n">
        <v>0</v>
      </c>
      <c r="J33" s="29" t="n">
        <v>0</v>
      </c>
      <c r="K33" s="29" t="n">
        <v>0</v>
      </c>
      <c r="L33" s="29" t="n">
        <v>0</v>
      </c>
      <c r="M33" s="29" t="n">
        <v>0</v>
      </c>
      <c r="N33" s="29">
        <f>SUM(B33:M33)</f>
        <v/>
      </c>
    </row>
    <row r="34">
      <c r="A34" t="inlineStr">
        <is>
          <t>Website Maintenance</t>
        </is>
      </c>
      <c r="B34" s="29" t="n">
        <v>0</v>
      </c>
      <c r="C34" s="29" t="n">
        <v>0</v>
      </c>
      <c r="D34" s="29" t="n">
        <v>0</v>
      </c>
      <c r="E34" s="29" t="n">
        <v>0</v>
      </c>
      <c r="F34" s="29" t="n">
        <v>0</v>
      </c>
      <c r="G34" s="29" t="n">
        <v>0</v>
      </c>
      <c r="H34" s="29" t="n">
        <v>0</v>
      </c>
      <c r="I34" s="29" t="n">
        <v>0</v>
      </c>
      <c r="J34" s="29" t="n">
        <v>0</v>
      </c>
      <c r="K34" s="29" t="n">
        <v>0</v>
      </c>
      <c r="L34" s="29" t="n">
        <v>0</v>
      </c>
      <c r="M34" s="29" t="n">
        <v>0</v>
      </c>
      <c r="N34" s="29">
        <f>SUM(B34:M34)</f>
        <v/>
      </c>
    </row>
    <row r="35">
      <c r="A35" t="inlineStr">
        <is>
          <t>Travel</t>
        </is>
      </c>
      <c r="B35" s="29" t="n">
        <v>3915.28</v>
      </c>
      <c r="C35" s="29" t="n">
        <v>4246</v>
      </c>
      <c r="D35" s="29" t="n">
        <v>4720.24</v>
      </c>
      <c r="E35" s="29" t="n">
        <v>4863.76</v>
      </c>
      <c r="F35" s="29" t="n">
        <v>5194.48</v>
      </c>
      <c r="G35" s="29" t="n">
        <v>5294.48</v>
      </c>
      <c r="H35" s="29" t="n">
        <v>6171.2</v>
      </c>
      <c r="I35" s="29" t="n">
        <v>6330.75</v>
      </c>
      <c r="J35" s="29" t="n">
        <v>7219.88</v>
      </c>
      <c r="K35" s="29" t="n">
        <v>7601.42</v>
      </c>
      <c r="L35" s="29" t="n">
        <v>7767.35</v>
      </c>
      <c r="M35" s="29" t="n">
        <v>7753.02</v>
      </c>
      <c r="N35" s="29">
        <f>SUM(B35:M35)</f>
        <v/>
      </c>
    </row>
    <row r="36">
      <c r="A36" t="inlineStr">
        <is>
          <t>Vehicle Rental</t>
        </is>
      </c>
      <c r="B36" s="29" t="n">
        <v>0</v>
      </c>
      <c r="C36" s="29" t="n">
        <v>0</v>
      </c>
      <c r="D36" s="29" t="n">
        <v>0</v>
      </c>
      <c r="E36" s="29" t="n">
        <v>0</v>
      </c>
      <c r="F36" s="29" t="n">
        <v>0</v>
      </c>
      <c r="G36" s="29" t="n">
        <v>0</v>
      </c>
      <c r="H36" s="29" t="n">
        <v>0</v>
      </c>
      <c r="I36" s="29" t="n">
        <v>0</v>
      </c>
      <c r="J36" s="29" t="n">
        <v>0</v>
      </c>
      <c r="K36" s="29" t="n">
        <v>0</v>
      </c>
      <c r="L36" s="29" t="n">
        <v>0</v>
      </c>
      <c r="M36" s="29" t="n">
        <v>0</v>
      </c>
      <c r="N36" s="29">
        <f>SUM(B36:M36)</f>
        <v/>
      </c>
    </row>
    <row r="37">
      <c r="A37" t="inlineStr">
        <is>
          <t>Marketing</t>
        </is>
      </c>
      <c r="B37" s="29" t="n">
        <v>6222.22</v>
      </c>
      <c r="C37" s="29" t="n">
        <v>6486.8</v>
      </c>
      <c r="D37" s="29" t="n">
        <v>6866.19</v>
      </c>
      <c r="E37" s="29" t="n">
        <v>6981.01</v>
      </c>
      <c r="F37" s="29" t="n">
        <v>7245.58</v>
      </c>
      <c r="G37" s="29" t="n">
        <v>7245.58</v>
      </c>
      <c r="H37" s="29" t="n">
        <v>7946.96</v>
      </c>
      <c r="I37" s="29" t="n">
        <v>8074.6</v>
      </c>
      <c r="J37" s="29" t="n">
        <v>8705.9</v>
      </c>
      <c r="K37" s="29" t="n">
        <v>9011.129999999999</v>
      </c>
      <c r="L37" s="29" t="n">
        <v>9143.879999999999</v>
      </c>
      <c r="M37" s="29" t="n">
        <v>9132.42</v>
      </c>
      <c r="N37" s="29">
        <f>SUM(B37:M37)</f>
        <v/>
      </c>
    </row>
    <row r="38">
      <c r="A38" t="inlineStr">
        <is>
          <t>Total Expenses Cash Out</t>
        </is>
      </c>
      <c r="B38" s="29">
        <f>SUM(B22:B37)</f>
        <v/>
      </c>
      <c r="C38" s="29">
        <f>SUM(C22:C37)</f>
        <v/>
      </c>
      <c r="D38" s="29">
        <f>SUM(D22:D37)</f>
        <v/>
      </c>
      <c r="E38" s="29">
        <f>SUM(E22:E37)</f>
        <v/>
      </c>
      <c r="F38" s="29">
        <f>SUM(F22:F37)</f>
        <v/>
      </c>
      <c r="G38" s="29">
        <f>SUM(G22:G37)</f>
        <v/>
      </c>
      <c r="H38" s="29">
        <f>SUM(H22:H37)</f>
        <v/>
      </c>
      <c r="I38" s="29">
        <f>SUM(I22:I37)</f>
        <v/>
      </c>
      <c r="J38" s="29">
        <f>SUM(J22:J37)</f>
        <v/>
      </c>
      <c r="K38" s="29">
        <f>SUM(K22:K37)</f>
        <v/>
      </c>
      <c r="L38" s="29">
        <f>SUM(L22:L37)</f>
        <v/>
      </c>
      <c r="M38" s="29">
        <f>SUM(M22:M37)</f>
        <v/>
      </c>
      <c r="N38" s="29">
        <f>SUM(N22:N37)</f>
        <v/>
      </c>
    </row>
    <row r="39">
      <c r="B39" s="29" t="n"/>
      <c r="C39" s="29" t="n"/>
      <c r="D39" s="29" t="n"/>
      <c r="E39" s="29" t="n"/>
      <c r="F39" s="29" t="n"/>
      <c r="G39" s="29" t="n"/>
      <c r="H39" s="29" t="n"/>
      <c r="I39" s="29" t="n"/>
      <c r="J39" s="29" t="n"/>
      <c r="K39" s="29" t="n"/>
      <c r="L39" s="29" t="n"/>
      <c r="M39" s="29" t="n"/>
      <c r="N39" s="29" t="n"/>
    </row>
    <row r="40">
      <c r="A40" t="inlineStr">
        <is>
          <t>Computer Equpment</t>
        </is>
      </c>
      <c r="B40" s="29" t="n">
        <v>0</v>
      </c>
      <c r="C40" s="29" t="n">
        <v>0</v>
      </c>
      <c r="D40" s="29" t="n">
        <v>0</v>
      </c>
      <c r="E40" s="29" t="n">
        <v>0</v>
      </c>
      <c r="F40" s="29" t="n">
        <v>0</v>
      </c>
      <c r="G40" s="29" t="n">
        <v>0</v>
      </c>
      <c r="H40" s="29" t="n">
        <v>0</v>
      </c>
      <c r="I40" s="29" t="n">
        <v>0</v>
      </c>
      <c r="J40" s="29" t="n">
        <v>0</v>
      </c>
      <c r="K40" s="29" t="n">
        <v>0</v>
      </c>
      <c r="L40" s="29" t="n">
        <v>0</v>
      </c>
      <c r="M40" s="29" t="n">
        <v>0</v>
      </c>
      <c r="N40" s="29">
        <f>SUM(B40:M40)</f>
        <v/>
      </c>
    </row>
    <row r="41">
      <c r="A41" t="inlineStr">
        <is>
          <t>Communications</t>
        </is>
      </c>
      <c r="B41" s="29" t="n">
        <v>0</v>
      </c>
      <c r="C41" s="29" t="n">
        <v>0</v>
      </c>
      <c r="D41" s="29" t="n">
        <v>0</v>
      </c>
      <c r="E41" s="29" t="n">
        <v>0</v>
      </c>
      <c r="F41" s="29" t="n">
        <v>0</v>
      </c>
      <c r="G41" s="29" t="n">
        <v>0</v>
      </c>
      <c r="H41" s="29" t="n">
        <v>0</v>
      </c>
      <c r="I41" s="29" t="n">
        <v>0</v>
      </c>
      <c r="J41" s="29" t="n">
        <v>0</v>
      </c>
      <c r="K41" s="29" t="n">
        <v>0</v>
      </c>
      <c r="L41" s="29" t="n">
        <v>0</v>
      </c>
      <c r="M41" s="29" t="n">
        <v>0</v>
      </c>
      <c r="N41" s="29">
        <f>SUM(B41:M41)</f>
        <v/>
      </c>
    </row>
    <row r="42">
      <c r="A42" t="inlineStr">
        <is>
          <t>Furniture</t>
        </is>
      </c>
      <c r="B42" s="29" t="n">
        <v>0</v>
      </c>
      <c r="C42" s="29" t="n">
        <v>0</v>
      </c>
      <c r="D42" s="29" t="n">
        <v>0</v>
      </c>
      <c r="E42" s="29" t="n">
        <v>0</v>
      </c>
      <c r="F42" s="29" t="n">
        <v>0</v>
      </c>
      <c r="G42" s="29" t="n">
        <v>0</v>
      </c>
      <c r="H42" s="29" t="n">
        <v>0</v>
      </c>
      <c r="I42" s="29" t="n">
        <v>0</v>
      </c>
      <c r="J42" s="29" t="n">
        <v>0</v>
      </c>
      <c r="K42" s="29" t="n">
        <v>0</v>
      </c>
      <c r="L42" s="29" t="n">
        <v>0</v>
      </c>
      <c r="M42" s="29" t="n">
        <v>0</v>
      </c>
      <c r="N42" s="29">
        <f>SUM(B42:M42)</f>
        <v/>
      </c>
    </row>
    <row r="43">
      <c r="A43" t="inlineStr">
        <is>
          <t>Buildings</t>
        </is>
      </c>
      <c r="B43" s="29" t="n">
        <v>0</v>
      </c>
      <c r="C43" s="29" t="n">
        <v>0</v>
      </c>
      <c r="D43" s="29" t="n">
        <v>0</v>
      </c>
      <c r="E43" s="29" t="n">
        <v>0</v>
      </c>
      <c r="F43" s="29" t="n">
        <v>0</v>
      </c>
      <c r="G43" s="29" t="n">
        <v>0</v>
      </c>
      <c r="H43" s="29" t="n">
        <v>0</v>
      </c>
      <c r="I43" s="29" t="n">
        <v>0</v>
      </c>
      <c r="J43" s="29" t="n">
        <v>0</v>
      </c>
      <c r="K43" s="29" t="n">
        <v>0</v>
      </c>
      <c r="L43" s="29" t="n">
        <v>0</v>
      </c>
      <c r="M43" s="29" t="n">
        <v>0</v>
      </c>
      <c r="N43" s="29">
        <f>SUM(B43:M43)</f>
        <v/>
      </c>
    </row>
    <row r="44">
      <c r="A44" t="inlineStr">
        <is>
          <t>Total Assets Cash Out</t>
        </is>
      </c>
      <c r="B44" s="29">
        <f>SUM(B40:B43)</f>
        <v/>
      </c>
      <c r="C44" s="29">
        <f>SUM(C40:C43)</f>
        <v/>
      </c>
      <c r="D44" s="29">
        <f>SUM(D40:D43)</f>
        <v/>
      </c>
      <c r="E44" s="29">
        <f>SUM(E40:E43)</f>
        <v/>
      </c>
      <c r="F44" s="29">
        <f>SUM(F40:F43)</f>
        <v/>
      </c>
      <c r="G44" s="29">
        <f>SUM(G40:G43)</f>
        <v/>
      </c>
      <c r="H44" s="29">
        <f>SUM(H40:H43)</f>
        <v/>
      </c>
      <c r="I44" s="29">
        <f>SUM(I40:I43)</f>
        <v/>
      </c>
      <c r="J44" s="29">
        <f>SUM(J40:J43)</f>
        <v/>
      </c>
      <c r="K44" s="29">
        <f>SUM(K40:K43)</f>
        <v/>
      </c>
      <c r="L44" s="29">
        <f>SUM(L40:L43)</f>
        <v/>
      </c>
      <c r="M44" s="29">
        <f>SUM(M40:M43)</f>
        <v/>
      </c>
      <c r="N44" s="29">
        <f>SUM(N40:N43)</f>
        <v/>
      </c>
    </row>
    <row r="45">
      <c r="B45" s="29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29" t="n"/>
      <c r="M45" s="29" t="n"/>
      <c r="N45" s="29" t="n"/>
    </row>
    <row r="46">
      <c r="A46" t="inlineStr">
        <is>
          <t>Closing Cash</t>
        </is>
      </c>
      <c r="B46" s="29">
        <f>B9+B14-B20-B38-B44+B16</f>
        <v/>
      </c>
      <c r="C46" s="29">
        <f>C9+C14-C20-C38-C44+C16</f>
        <v/>
      </c>
      <c r="D46" s="29">
        <f>D9+D14-D20-D38-D44+D16</f>
        <v/>
      </c>
      <c r="E46" s="29">
        <f>E9+E14-E20-E38-E44+E16</f>
        <v/>
      </c>
      <c r="F46" s="29">
        <f>F9+F14-F20-F38-F44+F16</f>
        <v/>
      </c>
      <c r="G46" s="29">
        <f>G9+G14-G20-G38-G44+G16</f>
        <v/>
      </c>
      <c r="H46" s="29">
        <f>H9+H14-H20-H38-H44+H16</f>
        <v/>
      </c>
      <c r="I46" s="29">
        <f>I9+I14-I20-I38-I44+I16</f>
        <v/>
      </c>
      <c r="J46" s="29">
        <f>J9+J14-J20-J38-J44+J16</f>
        <v/>
      </c>
      <c r="K46" s="29">
        <f>K9+K14-K20-K38-K44+K16</f>
        <v/>
      </c>
      <c r="L46" s="29">
        <f>L9+L14-L20-L38-L44+L16</f>
        <v/>
      </c>
      <c r="M46" s="29">
        <f>M9+M14-M20-M38-M44+M16</f>
        <v/>
      </c>
      <c r="N46" s="29" t="n"/>
    </row>
    <row r="47">
      <c r="B47" s="29" t="n"/>
      <c r="C47" s="29" t="n"/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  <c r="M47" s="29" t="n"/>
    </row>
    <row r="48">
      <c r="B48" s="29" t="n"/>
      <c r="C48" s="29" t="n"/>
      <c r="D48" s="29" t="n"/>
      <c r="E48" s="29" t="n"/>
      <c r="F48" s="29" t="n"/>
      <c r="G48" s="29" t="n"/>
      <c r="H48" s="29" t="n"/>
      <c r="I48" s="29" t="n"/>
      <c r="J48" s="29" t="n"/>
      <c r="K48" s="29" t="n"/>
      <c r="L48" s="29" t="n"/>
      <c r="M48" s="29" t="n"/>
    </row>
    <row r="49">
      <c r="A49" t="inlineStr">
        <is>
          <t>Revenue</t>
        </is>
      </c>
      <c r="B49" s="29">
        <f>B7</f>
        <v/>
      </c>
      <c r="C49" s="29">
        <f>C7</f>
        <v/>
      </c>
      <c r="D49" s="29">
        <f>D7</f>
        <v/>
      </c>
      <c r="E49" s="29">
        <f>E7</f>
        <v/>
      </c>
      <c r="F49" s="29">
        <f>F7</f>
        <v/>
      </c>
      <c r="G49" s="29">
        <f>G7</f>
        <v/>
      </c>
      <c r="H49" s="29">
        <f>H7</f>
        <v/>
      </c>
      <c r="I49" s="29">
        <f>I7</f>
        <v/>
      </c>
      <c r="J49" s="29">
        <f>J7</f>
        <v/>
      </c>
      <c r="K49" s="29">
        <f>K7</f>
        <v/>
      </c>
      <c r="L49" s="29">
        <f>L7</f>
        <v/>
      </c>
      <c r="M49" s="29">
        <f>M7</f>
        <v/>
      </c>
      <c r="N49" s="29" t="n"/>
    </row>
    <row r="50">
      <c r="B50" s="29" t="n"/>
      <c r="C50" s="29" t="n"/>
      <c r="D50" s="29" t="n"/>
      <c r="E50" s="29" t="n"/>
      <c r="F50" s="29" t="n"/>
      <c r="G50" s="29" t="n"/>
      <c r="H50" s="29" t="n"/>
      <c r="I50" s="29" t="n"/>
      <c r="J50" s="29" t="n"/>
      <c r="K50" s="29" t="n"/>
      <c r="L50" s="29" t="n"/>
      <c r="M50" s="29" t="n"/>
      <c r="N50" s="29" t="n"/>
    </row>
    <row r="51">
      <c r="A51" t="inlineStr">
        <is>
          <t>Cost of Revenue</t>
        </is>
      </c>
      <c r="B51" s="29" t="n">
        <v>3435.28</v>
      </c>
      <c r="C51" s="29" t="n">
        <v>5926</v>
      </c>
      <c r="D51" s="29" t="n">
        <v>10040.24</v>
      </c>
      <c r="E51" s="29" t="n">
        <v>11263.76</v>
      </c>
      <c r="F51" s="29" t="n">
        <v>13954.48</v>
      </c>
      <c r="G51" s="29" t="n">
        <v>14154.48</v>
      </c>
      <c r="H51" s="29" t="n">
        <v>20971.2</v>
      </c>
      <c r="I51" s="29" t="n">
        <v>21690.75</v>
      </c>
      <c r="J51" s="29" t="n">
        <v>26999.88</v>
      </c>
      <c r="K51" s="29" t="n">
        <v>29991.42</v>
      </c>
      <c r="L51" s="29" t="n">
        <v>30517.35</v>
      </c>
      <c r="M51" s="29" t="n">
        <v>30413.02</v>
      </c>
      <c r="N51" s="29" t="n"/>
    </row>
    <row r="52">
      <c r="B52" s="29" t="n"/>
      <c r="C52" s="29" t="n"/>
      <c r="D52" s="29" t="n"/>
      <c r="E52" s="29" t="n"/>
      <c r="F52" s="29" t="n"/>
      <c r="G52" s="29" t="n"/>
      <c r="H52" s="29" t="n"/>
      <c r="I52" s="29" t="n"/>
      <c r="J52" s="29" t="n"/>
      <c r="K52" s="29" t="n"/>
      <c r="L52" s="29" t="n"/>
      <c r="M52" s="29" t="n"/>
      <c r="N52" s="29" t="n"/>
    </row>
    <row r="53">
      <c r="A53" t="inlineStr">
        <is>
          <t>Gross Profit</t>
        </is>
      </c>
      <c r="B53" s="29">
        <f>B49-B51</f>
        <v/>
      </c>
      <c r="C53" s="29">
        <f>C49-C51</f>
        <v/>
      </c>
      <c r="D53" s="29">
        <f>D49-D51</f>
        <v/>
      </c>
      <c r="E53" s="29">
        <f>E49-E51</f>
        <v/>
      </c>
      <c r="F53" s="29">
        <f>F49-F51</f>
        <v/>
      </c>
      <c r="G53" s="29">
        <f>G49-G51</f>
        <v/>
      </c>
      <c r="H53" s="29">
        <f>H49-H51</f>
        <v/>
      </c>
      <c r="I53" s="29">
        <f>I49-I51</f>
        <v/>
      </c>
      <c r="J53" s="29">
        <f>J49-J51</f>
        <v/>
      </c>
      <c r="K53" s="29">
        <f>K49-K51</f>
        <v/>
      </c>
      <c r="L53" s="29">
        <f>L49-L51</f>
        <v/>
      </c>
      <c r="M53" s="29">
        <f>M49-M51</f>
        <v/>
      </c>
      <c r="N53" s="29" t="n"/>
    </row>
    <row r="54">
      <c r="B54" s="29" t="n"/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</row>
    <row r="55">
      <c r="A55" t="inlineStr">
        <is>
          <t>Expenses</t>
        </is>
      </c>
      <c r="B55" s="29">
        <f>B38</f>
        <v/>
      </c>
      <c r="C55" s="29">
        <f>C38</f>
        <v/>
      </c>
      <c r="D55" s="29">
        <f>D38</f>
        <v/>
      </c>
      <c r="E55" s="29">
        <f>E38</f>
        <v/>
      </c>
      <c r="F55" s="29">
        <f>F38</f>
        <v/>
      </c>
      <c r="G55" s="29">
        <f>G38</f>
        <v/>
      </c>
      <c r="H55" s="29">
        <f>H38</f>
        <v/>
      </c>
      <c r="I55" s="29">
        <f>I38</f>
        <v/>
      </c>
      <c r="J55" s="29">
        <f>J38</f>
        <v/>
      </c>
      <c r="K55" s="29">
        <f>K38</f>
        <v/>
      </c>
      <c r="L55" s="29">
        <f>L38</f>
        <v/>
      </c>
      <c r="M55" s="29">
        <f>M38</f>
        <v/>
      </c>
      <c r="N55" s="29" t="n"/>
    </row>
    <row r="56">
      <c r="B56" s="29" t="n"/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</row>
    <row r="57">
      <c r="A57" t="inlineStr">
        <is>
          <t>Net Profit</t>
        </is>
      </c>
      <c r="B57" s="29">
        <f>B53-B55</f>
        <v/>
      </c>
      <c r="C57" s="29">
        <f>C53-C55</f>
        <v/>
      </c>
      <c r="D57" s="29">
        <f>D53-D55</f>
        <v/>
      </c>
      <c r="E57" s="29">
        <f>E53-E55</f>
        <v/>
      </c>
      <c r="F57" s="29">
        <f>F53-F55</f>
        <v/>
      </c>
      <c r="G57" s="29">
        <f>G53-G55</f>
        <v/>
      </c>
      <c r="H57" s="29">
        <f>H53-H55</f>
        <v/>
      </c>
      <c r="I57" s="29">
        <f>I53-I55</f>
        <v/>
      </c>
      <c r="J57" s="29">
        <f>J53-J55</f>
        <v/>
      </c>
      <c r="K57" s="29">
        <f>K53-K55</f>
        <v/>
      </c>
      <c r="L57" s="29">
        <f>L53-L55</f>
        <v/>
      </c>
      <c r="M57" s="29">
        <f>M53-M55</f>
        <v/>
      </c>
      <c r="N57" s="29" t="n"/>
    </row>
    <row r="59">
      <c r="A59" t="inlineStr">
        <is>
          <t>Cumulative Net Profit</t>
        </is>
      </c>
      <c r="B59" s="34">
        <f>B57+'Year 1 Cash Budget'!N59</f>
        <v/>
      </c>
      <c r="C59" s="34">
        <f>B59+C57</f>
        <v/>
      </c>
      <c r="D59" s="34">
        <f>C59+D57</f>
        <v/>
      </c>
      <c r="E59" s="34">
        <f>D59+E57</f>
        <v/>
      </c>
      <c r="F59" s="34">
        <f>E59+F57</f>
        <v/>
      </c>
      <c r="G59" s="34">
        <f>F59+G57</f>
        <v/>
      </c>
      <c r="H59" s="34">
        <f>G59+H57</f>
        <v/>
      </c>
      <c r="I59" s="34">
        <f>H59+I57</f>
        <v/>
      </c>
      <c r="J59" s="34">
        <f>I59+J57</f>
        <v/>
      </c>
      <c r="K59" s="34">
        <f>J59+K57</f>
        <v/>
      </c>
      <c r="L59" s="34">
        <f>K59+L57</f>
        <v/>
      </c>
      <c r="M59" s="34">
        <f>L59+M57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9"/>
  <sheetViews>
    <sheetView topLeftCell="A28" zoomScaleNormal="100" workbookViewId="0">
      <selection activeCell="B9" sqref="B9"/>
    </sheetView>
  </sheetViews>
  <sheetFormatPr baseColWidth="10" defaultColWidth="11" defaultRowHeight="15.5"/>
  <cols>
    <col width="35.83203125" bestFit="1" customWidth="1" min="1" max="1"/>
    <col width="20.33203125" bestFit="1" customWidth="1" min="2" max="2"/>
    <col width="11" bestFit="1" customWidth="1" min="3" max="12"/>
    <col width="11.83203125" bestFit="1" customWidth="1" min="13" max="13"/>
    <col width="11.08203125" bestFit="1" customWidth="1" min="14" max="14"/>
  </cols>
  <sheetData>
    <row r="1">
      <c r="B1" s="12" t="inlineStr">
        <is>
          <t>Month 25</t>
        </is>
      </c>
      <c r="C1" s="12" t="inlineStr">
        <is>
          <t>Month 26</t>
        </is>
      </c>
      <c r="D1" s="12" t="inlineStr">
        <is>
          <t>Month 27</t>
        </is>
      </c>
      <c r="E1" s="12" t="inlineStr">
        <is>
          <t>Month 28</t>
        </is>
      </c>
      <c r="F1" s="12" t="inlineStr">
        <is>
          <t>Month 29</t>
        </is>
      </c>
      <c r="G1" s="12" t="inlineStr">
        <is>
          <t>Month 30</t>
        </is>
      </c>
      <c r="H1" s="12" t="inlineStr">
        <is>
          <t>Month 31</t>
        </is>
      </c>
      <c r="I1" s="12" t="inlineStr">
        <is>
          <t>Month 32</t>
        </is>
      </c>
      <c r="J1" s="12" t="inlineStr">
        <is>
          <t>Month 33</t>
        </is>
      </c>
      <c r="K1" s="12" t="inlineStr">
        <is>
          <t>Month 34</t>
        </is>
      </c>
      <c r="L1" s="12" t="inlineStr">
        <is>
          <t>Month 35</t>
        </is>
      </c>
      <c r="M1" s="12" t="inlineStr">
        <is>
          <t>Month 36</t>
        </is>
      </c>
      <c r="N1" s="12" t="inlineStr">
        <is>
          <t>Year 3</t>
        </is>
      </c>
    </row>
    <row r="2">
      <c r="A2" s="9" t="inlineStr">
        <is>
          <t>Revenue Calculations</t>
        </is>
      </c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</row>
    <row r="3">
      <c r="A3" t="inlineStr">
        <is>
          <t>Average Sale</t>
        </is>
      </c>
      <c r="B3" s="54" t="n">
        <v>5295</v>
      </c>
      <c r="C3" s="54" t="n">
        <v>5521</v>
      </c>
      <c r="D3" s="54" t="n">
        <v>5181</v>
      </c>
      <c r="E3" s="54" t="n">
        <v>5326</v>
      </c>
      <c r="F3" s="54" t="n">
        <v>5320</v>
      </c>
      <c r="G3" s="54" t="n">
        <v>5402</v>
      </c>
      <c r="H3" s="54" t="n">
        <v>5488</v>
      </c>
      <c r="I3" s="54" t="n">
        <v>5498</v>
      </c>
      <c r="J3" s="54" t="n">
        <v>5561</v>
      </c>
      <c r="K3" s="54" t="n">
        <v>5568</v>
      </c>
      <c r="L3" s="54" t="n">
        <v>5631</v>
      </c>
      <c r="M3" s="54" t="n">
        <v>5642</v>
      </c>
      <c r="N3" s="29" t="n"/>
    </row>
    <row r="4">
      <c r="A4" t="inlineStr">
        <is>
          <t>Customers</t>
        </is>
      </c>
      <c r="B4" s="54" t="n">
        <v>29</v>
      </c>
      <c r="C4" s="54" t="n">
        <v>34</v>
      </c>
      <c r="D4" s="54" t="n">
        <v>39</v>
      </c>
      <c r="E4" s="54" t="n">
        <v>43</v>
      </c>
      <c r="F4" s="54" t="n">
        <v>53</v>
      </c>
      <c r="G4" s="54" t="n">
        <v>52</v>
      </c>
      <c r="H4" s="54" t="n">
        <v>56</v>
      </c>
      <c r="I4" s="54" t="n">
        <v>58</v>
      </c>
      <c r="J4" s="54" t="n">
        <v>61</v>
      </c>
      <c r="K4" s="54" t="n">
        <v>70</v>
      </c>
      <c r="L4" s="54" t="n">
        <v>74</v>
      </c>
      <c r="M4" s="54" t="n">
        <v>79</v>
      </c>
      <c r="N4" s="29">
        <f>SUM(B4:M4)</f>
        <v/>
      </c>
    </row>
    <row r="5">
      <c r="A5" t="inlineStr">
        <is>
          <t>Customer Growth Factor</t>
        </is>
      </c>
      <c r="B5" s="8">
        <f>'Year 2 Cash Budget'!M5*(1+'Control Panel'!$B$4)</f>
        <v/>
      </c>
      <c r="C5" s="8">
        <f>B5*(1+'Control Panel'!$B$4)</f>
        <v/>
      </c>
      <c r="D5" s="8">
        <f>C5*(1+'Control Panel'!$B$4)</f>
        <v/>
      </c>
      <c r="E5" s="8">
        <f>D5*(1+'Control Panel'!$B$4)</f>
        <v/>
      </c>
      <c r="F5" s="8">
        <f>E5*(1+'Control Panel'!$B$4)</f>
        <v/>
      </c>
      <c r="G5" s="8">
        <f>F5*(1+'Control Panel'!$B$4)</f>
        <v/>
      </c>
      <c r="H5" s="8">
        <f>G5*(1+'Control Panel'!$B$4)</f>
        <v/>
      </c>
      <c r="I5" s="8">
        <f>H5*(1+'Control Panel'!$B$4)</f>
        <v/>
      </c>
      <c r="J5" s="8">
        <f>I5*(1+'Control Panel'!$B$4)</f>
        <v/>
      </c>
      <c r="K5" s="8">
        <f>J5*(1+'Control Panel'!$B$4)</f>
        <v/>
      </c>
      <c r="L5" s="8">
        <f>K5*(1+'Control Panel'!$B$4)</f>
        <v/>
      </c>
      <c r="M5" s="8">
        <f>L5*(1+'Control Panel'!$B$4)</f>
        <v/>
      </c>
      <c r="N5" s="29" t="n"/>
    </row>
    <row r="6">
      <c r="A6" t="inlineStr">
        <is>
          <t>Seasonality Index</t>
        </is>
      </c>
      <c r="B6" s="7">
        <f>'Year 2 Cash Budget'!B6</f>
        <v/>
      </c>
      <c r="C6" s="7">
        <f>'Year 2 Cash Budget'!C6</f>
        <v/>
      </c>
      <c r="D6" s="7">
        <f>'Year 2 Cash Budget'!D6</f>
        <v/>
      </c>
      <c r="E6" s="7">
        <f>'Year 2 Cash Budget'!E6</f>
        <v/>
      </c>
      <c r="F6" s="7">
        <f>'Year 2 Cash Budget'!F6</f>
        <v/>
      </c>
      <c r="G6" s="7">
        <f>'Year 2 Cash Budget'!G6</f>
        <v/>
      </c>
      <c r="H6" s="7">
        <f>'Year 2 Cash Budget'!H6</f>
        <v/>
      </c>
      <c r="I6" s="7">
        <f>'Year 2 Cash Budget'!I6</f>
        <v/>
      </c>
      <c r="J6" s="7">
        <f>'Year 2 Cash Budget'!J6</f>
        <v/>
      </c>
      <c r="K6" s="7">
        <f>'Year 2 Cash Budget'!K6</f>
        <v/>
      </c>
      <c r="L6" s="7">
        <f>'Year 2 Cash Budget'!L6</f>
        <v/>
      </c>
      <c r="M6" s="7">
        <f>'Year 2 Cash Budget'!M6</f>
        <v/>
      </c>
      <c r="N6" s="29" t="n"/>
    </row>
    <row r="7">
      <c r="A7" t="inlineStr">
        <is>
          <t>Revenue</t>
        </is>
      </c>
      <c r="B7" s="29" t="n">
        <v>153547.54</v>
      </c>
      <c r="C7" s="29" t="n">
        <v>337700.86</v>
      </c>
      <c r="D7" s="29" t="n">
        <v>352053.7</v>
      </c>
      <c r="E7" s="29" t="n">
        <v>348996.35</v>
      </c>
      <c r="F7" s="29" t="n">
        <v>581969.51</v>
      </c>
      <c r="G7" s="29" t="n">
        <v>280898.73</v>
      </c>
      <c r="H7" s="29" t="n">
        <v>427343.85</v>
      </c>
      <c r="I7" s="29" t="n">
        <v>408880.92</v>
      </c>
      <c r="J7" s="29" t="n">
        <v>429240.23</v>
      </c>
      <c r="K7" s="29" t="n">
        <v>659769.13</v>
      </c>
      <c r="L7" s="29" t="n">
        <v>536675.87</v>
      </c>
      <c r="M7" s="29" t="n">
        <v>625742.36</v>
      </c>
      <c r="N7" s="29">
        <f>SUM(B7:M7)</f>
        <v/>
      </c>
      <c r="O7" t="inlineStr">
        <is>
          <t>Debtors</t>
        </is>
      </c>
      <c r="P7" s="29">
        <f>(M7*'Control Panel'!$B$8)*(1/4)+(M7*'Control Panel'!$B$9)</f>
        <v/>
      </c>
    </row>
    <row r="8">
      <c r="B8" s="29" t="n"/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P8" s="34" t="n"/>
    </row>
    <row r="9">
      <c r="A9" t="inlineStr">
        <is>
          <t>Opening Cash</t>
        </is>
      </c>
      <c r="B9" s="29">
        <f>'Financial Statements'!C19</f>
        <v/>
      </c>
      <c r="C9" s="29">
        <f>B46</f>
        <v/>
      </c>
      <c r="D9" s="29">
        <f>C46</f>
        <v/>
      </c>
      <c r="E9" s="29">
        <f>D46</f>
        <v/>
      </c>
      <c r="F9" s="29">
        <f>E46</f>
        <v/>
      </c>
      <c r="G9" s="29">
        <f>F46</f>
        <v/>
      </c>
      <c r="H9" s="29">
        <f>G46</f>
        <v/>
      </c>
      <c r="I9" s="29">
        <f>H46</f>
        <v/>
      </c>
      <c r="J9" s="29">
        <f>I46</f>
        <v/>
      </c>
      <c r="K9" s="29">
        <f>J46</f>
        <v/>
      </c>
      <c r="L9" s="29">
        <f>K46</f>
        <v/>
      </c>
      <c r="M9" s="29">
        <f>L46</f>
        <v/>
      </c>
      <c r="N9" s="29" t="n"/>
      <c r="P9" s="37" t="n"/>
    </row>
    <row r="10">
      <c r="A10" t="inlineStr">
        <is>
          <t>Revenue (this month)</t>
        </is>
      </c>
      <c r="B10" s="29" t="n">
        <v>153547.54</v>
      </c>
      <c r="C10" s="29" t="n">
        <v>337700.86</v>
      </c>
      <c r="D10" s="29" t="n">
        <v>352053.7</v>
      </c>
      <c r="E10" s="29" t="n">
        <v>348996.35</v>
      </c>
      <c r="F10" s="29" t="n">
        <v>581969.51</v>
      </c>
      <c r="G10" s="29" t="n">
        <v>280898.73</v>
      </c>
      <c r="H10" s="29" t="n">
        <v>427343.85</v>
      </c>
      <c r="I10" s="29" t="n">
        <v>408880.92</v>
      </c>
      <c r="J10" s="29" t="n">
        <v>429240.23</v>
      </c>
      <c r="K10" s="29" t="n">
        <v>659769.13</v>
      </c>
      <c r="L10" s="29" t="n">
        <v>536675.87</v>
      </c>
      <c r="M10" s="29" t="n">
        <v>625742.36</v>
      </c>
      <c r="N10" s="29">
        <f>SUM(B10:M10)</f>
        <v/>
      </c>
    </row>
    <row r="11">
      <c r="A11" t="inlineStr">
        <is>
          <t>Revenue (1 Week Credit) (this month)</t>
        </is>
      </c>
      <c r="B11" s="29" t="n">
        <v>0</v>
      </c>
      <c r="C11" s="29" t="n">
        <v>0</v>
      </c>
      <c r="D11" s="29" t="n">
        <v>0</v>
      </c>
      <c r="E11" s="29" t="n">
        <v>0</v>
      </c>
      <c r="F11" s="29" t="n">
        <v>0</v>
      </c>
      <c r="G11" s="29" t="n">
        <v>0</v>
      </c>
      <c r="H11" s="29" t="n">
        <v>0</v>
      </c>
      <c r="I11" s="29" t="n">
        <v>0</v>
      </c>
      <c r="J11" s="29" t="n">
        <v>0</v>
      </c>
      <c r="K11" s="29" t="n">
        <v>0</v>
      </c>
      <c r="L11" s="29" t="n">
        <v>0</v>
      </c>
      <c r="M11" s="29" t="n">
        <v>0</v>
      </c>
      <c r="N11" s="29">
        <f>SUM(B11:M11)</f>
        <v/>
      </c>
    </row>
    <row r="12">
      <c r="A12" t="inlineStr">
        <is>
          <t>Revenue (1 Week Credit) (last month)</t>
        </is>
      </c>
      <c r="B12" s="29" t="n">
        <v>0</v>
      </c>
      <c r="C12" s="29" t="n">
        <v>0</v>
      </c>
      <c r="D12" s="29" t="n">
        <v>0</v>
      </c>
      <c r="E12" s="29" t="n">
        <v>0</v>
      </c>
      <c r="F12" s="29" t="n">
        <v>0</v>
      </c>
      <c r="G12" s="29" t="n">
        <v>0</v>
      </c>
      <c r="H12" s="29" t="n">
        <v>0</v>
      </c>
      <c r="I12" s="29" t="n">
        <v>0</v>
      </c>
      <c r="J12" s="29" t="n">
        <v>0</v>
      </c>
      <c r="K12" s="29" t="n">
        <v>0</v>
      </c>
      <c r="L12" s="29" t="n">
        <v>0</v>
      </c>
      <c r="M12" s="29" t="n">
        <v>0</v>
      </c>
      <c r="N12" s="29">
        <f>SUM(B12:M12)</f>
        <v/>
      </c>
    </row>
    <row r="13">
      <c r="A13" t="inlineStr">
        <is>
          <t>Revenue (1 Month Credit)</t>
        </is>
      </c>
      <c r="B13" s="29" t="n">
        <v>0</v>
      </c>
      <c r="C13" s="29" t="n">
        <v>0</v>
      </c>
      <c r="D13" s="29" t="n">
        <v>0</v>
      </c>
      <c r="E13" s="29" t="n">
        <v>0</v>
      </c>
      <c r="F13" s="29" t="n">
        <v>0</v>
      </c>
      <c r="G13" s="29" t="n">
        <v>0</v>
      </c>
      <c r="H13" s="29" t="n">
        <v>0</v>
      </c>
      <c r="I13" s="29" t="n">
        <v>0</v>
      </c>
      <c r="J13" s="29" t="n">
        <v>0</v>
      </c>
      <c r="K13" s="29" t="n">
        <v>0</v>
      </c>
      <c r="L13" s="29" t="n">
        <v>0</v>
      </c>
      <c r="M13" s="29" t="n">
        <v>0</v>
      </c>
      <c r="N13" s="29">
        <f>SUM(B13:M13)</f>
        <v/>
      </c>
    </row>
    <row r="14">
      <c r="A14" t="inlineStr">
        <is>
          <t>Total Revenue Cash In</t>
        </is>
      </c>
      <c r="B14" s="29">
        <f>SUM(B10:B13)</f>
        <v/>
      </c>
      <c r="C14" s="29">
        <f>SUM(C10:C13)</f>
        <v/>
      </c>
      <c r="D14" s="29">
        <f>SUM(D10:D13)</f>
        <v/>
      </c>
      <c r="E14" s="29">
        <f>SUM(E10:E13)</f>
        <v/>
      </c>
      <c r="F14" s="29">
        <f>SUM(F10:F13)</f>
        <v/>
      </c>
      <c r="G14" s="29">
        <f>SUM(G10:G13)</f>
        <v/>
      </c>
      <c r="H14" s="29">
        <f>SUM(H10:H13)</f>
        <v/>
      </c>
      <c r="I14" s="29">
        <f>SUM(I10:I13)</f>
        <v/>
      </c>
      <c r="J14" s="29">
        <f>SUM(J10:J13)</f>
        <v/>
      </c>
      <c r="K14" s="29">
        <f>SUM(K10:K13)</f>
        <v/>
      </c>
      <c r="L14" s="29">
        <f>SUM(L10:L13)</f>
        <v/>
      </c>
      <c r="M14" s="29">
        <f>SUM(M10:M13)</f>
        <v/>
      </c>
      <c r="N14" s="29">
        <f>SUM(N10:N13)</f>
        <v/>
      </c>
    </row>
    <row r="15">
      <c r="B15" s="29" t="n"/>
      <c r="C15" s="29" t="n"/>
      <c r="D15" s="29" t="n"/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</row>
    <row r="16">
      <c r="A16" t="inlineStr">
        <is>
          <t>Investment Received</t>
        </is>
      </c>
      <c r="B16" s="29" t="n">
        <v>10000000</v>
      </c>
      <c r="C16" s="29" t="n">
        <v>0</v>
      </c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0</v>
      </c>
      <c r="I16" s="29" t="n">
        <v>0</v>
      </c>
      <c r="J16" s="29" t="n">
        <v>0</v>
      </c>
      <c r="K16" s="29" t="n">
        <v>0</v>
      </c>
      <c r="L16" s="29" t="n">
        <v>0</v>
      </c>
      <c r="M16" s="29" t="n">
        <v>0</v>
      </c>
      <c r="N16" s="29">
        <f>SUM(B16:M16)</f>
        <v/>
      </c>
    </row>
    <row r="17">
      <c r="B17" s="29" t="n"/>
      <c r="C17" s="29" t="n"/>
      <c r="D17" s="29" t="n"/>
      <c r="E17" s="29" t="n"/>
      <c r="F17" s="29" t="n"/>
      <c r="G17" s="29" t="n"/>
      <c r="H17" s="29" t="n"/>
      <c r="I17" s="29" t="n"/>
      <c r="J17" s="29" t="n"/>
      <c r="K17" s="29" t="n"/>
      <c r="L17" s="29" t="n"/>
      <c r="M17" s="29" t="n"/>
      <c r="N17" s="29" t="n"/>
    </row>
    <row r="18">
      <c r="A18" t="inlineStr">
        <is>
          <t>Cost of Revenue (this month)</t>
        </is>
      </c>
      <c r="B18" s="29" t="n">
        <v>31008.69</v>
      </c>
      <c r="C18" s="29" t="n">
        <v>36542.52</v>
      </c>
      <c r="D18" s="29" t="n">
        <v>39511.34</v>
      </c>
      <c r="E18" s="29" t="n">
        <v>44414.91</v>
      </c>
      <c r="F18" s="29" t="n">
        <v>53659.24</v>
      </c>
      <c r="G18" s="29" t="n">
        <v>53452.47</v>
      </c>
      <c r="H18" s="29" t="n">
        <v>58253.6</v>
      </c>
      <c r="I18" s="29" t="n">
        <v>59802.02</v>
      </c>
      <c r="J18" s="29" t="n">
        <v>61661.01</v>
      </c>
      <c r="K18" s="29" t="n">
        <v>70754.23</v>
      </c>
      <c r="L18" s="29" t="n">
        <v>75476.89999999999</v>
      </c>
      <c r="M18" s="29" t="n">
        <v>80793.56</v>
      </c>
      <c r="N18" s="29">
        <f>SUM(B18:M18)</f>
        <v/>
      </c>
    </row>
    <row r="19">
      <c r="A19" t="inlineStr">
        <is>
          <t>Cost of Revenue (1 month supplier credit)</t>
        </is>
      </c>
      <c r="B19" s="29" t="n">
        <v>0</v>
      </c>
      <c r="C19" s="29" t="n">
        <v>0</v>
      </c>
      <c r="D19" s="29" t="n">
        <v>0</v>
      </c>
      <c r="E19" s="29" t="n">
        <v>0</v>
      </c>
      <c r="F19" s="29" t="n">
        <v>0</v>
      </c>
      <c r="G19" s="29" t="n">
        <v>0</v>
      </c>
      <c r="H19" s="29" t="n">
        <v>0</v>
      </c>
      <c r="I19" s="29" t="n">
        <v>0</v>
      </c>
      <c r="J19" s="29" t="n">
        <v>0</v>
      </c>
      <c r="K19" s="29" t="n">
        <v>0</v>
      </c>
      <c r="L19" s="29" t="n">
        <v>0</v>
      </c>
      <c r="M19" s="29" t="n">
        <v>0</v>
      </c>
      <c r="N19" s="29">
        <f>SUM(B19:M19)</f>
        <v/>
      </c>
    </row>
    <row r="20">
      <c r="A20" t="inlineStr">
        <is>
          <t>Total Cost of Revenue Cash Out</t>
        </is>
      </c>
      <c r="B20" s="29">
        <f>SUM(B18:B19)</f>
        <v/>
      </c>
      <c r="C20" s="29">
        <f>SUM(C18:C19)</f>
        <v/>
      </c>
      <c r="D20" s="29">
        <f>SUM(D18:D19)</f>
        <v/>
      </c>
      <c r="E20" s="29">
        <f>SUM(E18:E19)</f>
        <v/>
      </c>
      <c r="F20" s="29">
        <f>SUM(F18:F19)</f>
        <v/>
      </c>
      <c r="G20" s="29">
        <f>SUM(G18:G19)</f>
        <v/>
      </c>
      <c r="H20" s="29">
        <f>SUM(H18:H19)</f>
        <v/>
      </c>
      <c r="I20" s="29">
        <f>SUM(I18:I19)</f>
        <v/>
      </c>
      <c r="J20" s="29">
        <f>SUM(J18:J19)</f>
        <v/>
      </c>
      <c r="K20" s="29">
        <f>SUM(K18:K19)</f>
        <v/>
      </c>
      <c r="L20" s="29">
        <f>SUM(L18:L19)</f>
        <v/>
      </c>
      <c r="M20" s="29">
        <f>SUM(M18:M19)</f>
        <v/>
      </c>
      <c r="N20" s="29">
        <f>SUM(N18:N19)</f>
        <v/>
      </c>
      <c r="O20" t="inlineStr">
        <is>
          <t>Creditors</t>
        </is>
      </c>
      <c r="P20" s="34">
        <f>(M7*'Control Panel'!$B$11)*('Control Panel'!$B$13)</f>
        <v/>
      </c>
    </row>
    <row r="21"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  <c r="M21" s="29" t="n"/>
      <c r="N21" s="29" t="n"/>
    </row>
    <row r="22">
      <c r="A22" t="inlineStr">
        <is>
          <t>Contracts, Terms, GPDR</t>
        </is>
      </c>
      <c r="B22" s="29" t="n">
        <v>0</v>
      </c>
      <c r="C22" s="29" t="n">
        <v>0</v>
      </c>
      <c r="D22" s="29" t="n">
        <v>0</v>
      </c>
      <c r="E22" s="29" t="n">
        <v>0</v>
      </c>
      <c r="F22" s="29" t="n">
        <v>0</v>
      </c>
      <c r="G22" s="29" t="n">
        <v>0</v>
      </c>
      <c r="H22" s="29" t="n">
        <v>0</v>
      </c>
      <c r="I22" s="29" t="n">
        <v>0</v>
      </c>
      <c r="J22" s="29" t="n">
        <v>0</v>
      </c>
      <c r="K22" s="29" t="n">
        <v>0</v>
      </c>
      <c r="L22" s="29" t="n">
        <v>0</v>
      </c>
      <c r="M22" s="29" t="n">
        <v>0</v>
      </c>
      <c r="N22" s="29">
        <f>SUM(B22:M22)</f>
        <v/>
      </c>
    </row>
    <row r="23">
      <c r="A23" t="inlineStr">
        <is>
          <t>Stationery, etc.</t>
        </is>
      </c>
      <c r="B23" s="29">
        <f>'Year 2 Cash Budget'!B23</f>
        <v/>
      </c>
      <c r="C23" s="29">
        <f>'Year 2 Cash Budget'!C23</f>
        <v/>
      </c>
      <c r="D23" s="29">
        <f>'Year 2 Cash Budget'!D23</f>
        <v/>
      </c>
      <c r="E23" s="29">
        <f>'Year 2 Cash Budget'!E23</f>
        <v/>
      </c>
      <c r="F23" s="29">
        <f>'Year 2 Cash Budget'!F23</f>
        <v/>
      </c>
      <c r="G23" s="29">
        <f>'Year 2 Cash Budget'!G23</f>
        <v/>
      </c>
      <c r="H23" s="29">
        <f>'Year 2 Cash Budget'!H23</f>
        <v/>
      </c>
      <c r="I23" s="29">
        <f>'Year 2 Cash Budget'!I23</f>
        <v/>
      </c>
      <c r="J23" s="29">
        <f>'Year 2 Cash Budget'!J23</f>
        <v/>
      </c>
      <c r="K23" s="29">
        <f>'Year 2 Cash Budget'!K23</f>
        <v/>
      </c>
      <c r="L23" s="29">
        <f>'Year 2 Cash Budget'!L23</f>
        <v/>
      </c>
      <c r="M23" s="29">
        <f>'Year 2 Cash Budget'!M23</f>
        <v/>
      </c>
      <c r="N23" s="29">
        <f>SUM(B23:M23)</f>
        <v/>
      </c>
    </row>
    <row r="24">
      <c r="A24" t="inlineStr">
        <is>
          <t>Brochures</t>
        </is>
      </c>
      <c r="B24" s="29">
        <f>'Year 2 Cash Budget'!B24</f>
        <v/>
      </c>
      <c r="C24" s="29">
        <f>'Year 2 Cash Budget'!C24</f>
        <v/>
      </c>
      <c r="D24" s="29">
        <f>'Year 2 Cash Budget'!D24</f>
        <v/>
      </c>
      <c r="E24" s="29">
        <f>'Year 2 Cash Budget'!E24</f>
        <v/>
      </c>
      <c r="F24" s="29">
        <f>'Year 2 Cash Budget'!F24</f>
        <v/>
      </c>
      <c r="G24" s="29">
        <f>'Year 2 Cash Budget'!G24</f>
        <v/>
      </c>
      <c r="H24" s="29">
        <f>'Year 2 Cash Budget'!H24</f>
        <v/>
      </c>
      <c r="I24" s="29">
        <f>'Year 2 Cash Budget'!I24</f>
        <v/>
      </c>
      <c r="J24" s="29">
        <f>'Year 2 Cash Budget'!J24</f>
        <v/>
      </c>
      <c r="K24" s="29">
        <f>'Year 2 Cash Budget'!K24</f>
        <v/>
      </c>
      <c r="L24" s="29">
        <f>'Year 2 Cash Budget'!L24</f>
        <v/>
      </c>
      <c r="M24" s="29">
        <f>'Year 2 Cash Budget'!M24</f>
        <v/>
      </c>
      <c r="N24" s="29">
        <f>SUM(B24:M24)</f>
        <v/>
      </c>
    </row>
    <row r="25">
      <c r="A25" t="inlineStr">
        <is>
          <t>Consultants</t>
        </is>
      </c>
      <c r="B25" s="29" t="n">
        <v>105700</v>
      </c>
      <c r="C25" s="29" t="n">
        <v>5700</v>
      </c>
      <c r="D25" s="29" t="n">
        <v>5700</v>
      </c>
      <c r="E25" s="29" t="n">
        <v>5700</v>
      </c>
      <c r="F25" s="29" t="n">
        <v>5700</v>
      </c>
      <c r="G25" s="29" t="n">
        <v>5700</v>
      </c>
      <c r="H25" s="29" t="n">
        <v>5700</v>
      </c>
      <c r="I25" s="29" t="n">
        <v>5700</v>
      </c>
      <c r="J25" s="29" t="n">
        <v>5700</v>
      </c>
      <c r="K25" s="29" t="n">
        <v>5700</v>
      </c>
      <c r="L25" s="29" t="n">
        <v>5700</v>
      </c>
      <c r="M25" s="29" t="n">
        <v>5700</v>
      </c>
      <c r="N25" s="29">
        <f>SUM(B25:M25)</f>
        <v/>
      </c>
    </row>
    <row r="26">
      <c r="A26" t="inlineStr">
        <is>
          <t>Insurance</t>
        </is>
      </c>
      <c r="B26" s="29" t="n">
        <v>1500</v>
      </c>
      <c r="C26" s="29" t="n">
        <v>1500</v>
      </c>
      <c r="D26" s="29" t="n">
        <v>1500</v>
      </c>
      <c r="E26" s="29" t="n">
        <v>1500</v>
      </c>
      <c r="F26" s="29" t="n">
        <v>1500</v>
      </c>
      <c r="G26" s="29" t="n">
        <v>1500</v>
      </c>
      <c r="H26" s="29" t="n">
        <v>1500</v>
      </c>
      <c r="I26" s="29" t="n">
        <v>1500</v>
      </c>
      <c r="J26" s="29" t="n">
        <v>1500</v>
      </c>
      <c r="K26" s="29" t="n">
        <v>1500</v>
      </c>
      <c r="L26" s="29" t="n">
        <v>1500</v>
      </c>
      <c r="M26" s="29" t="n">
        <v>1500</v>
      </c>
      <c r="N26" s="29">
        <f>SUM(B26:M26)</f>
        <v/>
      </c>
    </row>
    <row r="27">
      <c r="A27" t="inlineStr">
        <is>
          <t>Rent</t>
        </is>
      </c>
      <c r="B27" s="29" t="n">
        <v>5040</v>
      </c>
      <c r="C27" s="29" t="n">
        <v>5040</v>
      </c>
      <c r="D27" s="29" t="n">
        <v>5040</v>
      </c>
      <c r="E27" s="29" t="n">
        <v>5040</v>
      </c>
      <c r="F27" s="29" t="n">
        <v>5040</v>
      </c>
      <c r="G27" s="29" t="n">
        <v>5040</v>
      </c>
      <c r="H27" s="29" t="n">
        <v>5040</v>
      </c>
      <c r="I27" s="29" t="n">
        <v>5040</v>
      </c>
      <c r="J27" s="29" t="n">
        <v>5040</v>
      </c>
      <c r="K27" s="29" t="n">
        <v>5040</v>
      </c>
      <c r="L27" s="29" t="n">
        <v>5040</v>
      </c>
      <c r="M27" s="29" t="n">
        <v>5040</v>
      </c>
      <c r="N27" s="29">
        <f>SUM(B27:M27)</f>
        <v/>
      </c>
    </row>
    <row r="28">
      <c r="A28" t="inlineStr">
        <is>
          <t>R &amp; D Design</t>
        </is>
      </c>
      <c r="B28" s="29" t="n">
        <v>0</v>
      </c>
      <c r="C28" s="29" t="n">
        <v>0</v>
      </c>
      <c r="D28" s="29" t="n">
        <v>0</v>
      </c>
      <c r="E28" s="29" t="n">
        <v>0</v>
      </c>
      <c r="F28" s="29" t="n">
        <v>0</v>
      </c>
      <c r="G28" s="29" t="n">
        <v>0</v>
      </c>
      <c r="H28" s="29" t="n">
        <v>0</v>
      </c>
      <c r="I28" s="29" t="n">
        <v>0</v>
      </c>
      <c r="J28" s="29" t="n">
        <v>0</v>
      </c>
      <c r="K28" s="29" t="n">
        <v>0</v>
      </c>
      <c r="L28" s="29" t="n">
        <v>0</v>
      </c>
      <c r="M28" s="29" t="n">
        <v>0</v>
      </c>
      <c r="N28" s="29">
        <f>SUM(B28:M28)</f>
        <v/>
      </c>
    </row>
    <row r="29">
      <c r="A29" t="inlineStr">
        <is>
          <t>R &amp; D Maintenance</t>
        </is>
      </c>
      <c r="B29" s="29" t="n">
        <v>28670</v>
      </c>
      <c r="C29" s="29" t="n">
        <v>33350</v>
      </c>
      <c r="D29" s="29" t="n">
        <v>35960</v>
      </c>
      <c r="E29" s="29" t="n">
        <v>40190</v>
      </c>
      <c r="F29" s="29" t="n">
        <v>48110</v>
      </c>
      <c r="G29" s="29" t="n">
        <v>47930</v>
      </c>
      <c r="H29" s="29" t="n">
        <v>52070</v>
      </c>
      <c r="I29" s="29" t="n">
        <v>53330</v>
      </c>
      <c r="J29" s="29" t="n">
        <v>54680</v>
      </c>
      <c r="K29" s="29" t="n">
        <v>62510</v>
      </c>
      <c r="L29" s="29" t="n">
        <v>66560</v>
      </c>
      <c r="M29" s="29" t="n">
        <v>71150</v>
      </c>
      <c r="N29" s="29">
        <f>SUM(B29:M29)</f>
        <v/>
      </c>
    </row>
    <row r="30">
      <c r="A30" t="inlineStr">
        <is>
          <t>Staff</t>
        </is>
      </c>
      <c r="B30" s="29" t="n">
        <v>105578.33</v>
      </c>
      <c r="C30" s="29" t="n">
        <v>105578.33</v>
      </c>
      <c r="D30" s="29" t="n">
        <v>105578.33</v>
      </c>
      <c r="E30" s="29" t="n">
        <v>105578.33</v>
      </c>
      <c r="F30" s="29" t="n">
        <v>105578.33</v>
      </c>
      <c r="G30" s="29" t="n">
        <v>105578.33</v>
      </c>
      <c r="H30" s="29" t="n">
        <v>105578.33</v>
      </c>
      <c r="I30" s="29" t="n">
        <v>105578.33</v>
      </c>
      <c r="J30" s="29" t="n">
        <v>107966.31</v>
      </c>
      <c r="K30" s="29" t="n">
        <v>107966.31</v>
      </c>
      <c r="L30" s="29" t="n">
        <v>107966.31</v>
      </c>
      <c r="M30" s="29" t="n">
        <v>107966.31</v>
      </c>
      <c r="N30" s="29">
        <f>SUM(B30:M30)</f>
        <v/>
      </c>
    </row>
    <row r="31">
      <c r="A31" t="inlineStr">
        <is>
          <t>Communications</t>
        </is>
      </c>
      <c r="B31" s="29" t="n">
        <v>0</v>
      </c>
      <c r="C31" s="29" t="n">
        <v>0</v>
      </c>
      <c r="D31" s="29" t="n">
        <v>0</v>
      </c>
      <c r="E31" s="29" t="n">
        <v>0</v>
      </c>
      <c r="F31" s="29" t="n">
        <v>0</v>
      </c>
      <c r="G31" s="29" t="n">
        <v>0</v>
      </c>
      <c r="H31" s="29" t="n">
        <v>0</v>
      </c>
      <c r="I31" s="29" t="n">
        <v>0</v>
      </c>
      <c r="J31" s="29" t="n">
        <v>0</v>
      </c>
      <c r="K31" s="29" t="n">
        <v>0</v>
      </c>
      <c r="L31" s="29" t="n">
        <v>0</v>
      </c>
      <c r="M31" s="29" t="n">
        <v>0</v>
      </c>
      <c r="N31" s="29">
        <f>SUM(B31:M31)</f>
        <v/>
      </c>
    </row>
    <row r="32">
      <c r="A32" t="inlineStr">
        <is>
          <t>Incorporation Fees</t>
        </is>
      </c>
      <c r="B32" s="29" t="n">
        <v>0</v>
      </c>
      <c r="C32" s="29" t="n">
        <v>0</v>
      </c>
      <c r="D32" s="29" t="n">
        <v>0</v>
      </c>
      <c r="E32" s="29" t="n">
        <v>0</v>
      </c>
      <c r="F32" s="29" t="n">
        <v>0</v>
      </c>
      <c r="G32" s="29" t="n">
        <v>0</v>
      </c>
      <c r="H32" s="29" t="n">
        <v>0</v>
      </c>
      <c r="I32" s="29" t="n">
        <v>0</v>
      </c>
      <c r="J32" s="29" t="n">
        <v>0</v>
      </c>
      <c r="K32" s="29" t="n">
        <v>0</v>
      </c>
      <c r="L32" s="29" t="n">
        <v>0</v>
      </c>
      <c r="M32" s="29" t="n">
        <v>0</v>
      </c>
      <c r="N32" s="29">
        <f>SUM(B32:M32)</f>
        <v/>
      </c>
    </row>
    <row r="33">
      <c r="A33" t="inlineStr">
        <is>
          <t>Website Design</t>
        </is>
      </c>
      <c r="B33" s="29" t="n">
        <v>0</v>
      </c>
      <c r="C33" s="29" t="n">
        <v>0</v>
      </c>
      <c r="D33" s="29" t="n">
        <v>0</v>
      </c>
      <c r="E33" s="29" t="n">
        <v>0</v>
      </c>
      <c r="F33" s="29" t="n">
        <v>0</v>
      </c>
      <c r="G33" s="29" t="n">
        <v>0</v>
      </c>
      <c r="H33" s="29" t="n">
        <v>0</v>
      </c>
      <c r="I33" s="29" t="n">
        <v>0</v>
      </c>
      <c r="J33" s="29" t="n">
        <v>0</v>
      </c>
      <c r="K33" s="29" t="n">
        <v>0</v>
      </c>
      <c r="L33" s="29" t="n">
        <v>0</v>
      </c>
      <c r="M33" s="29" t="n">
        <v>0</v>
      </c>
      <c r="N33" s="29">
        <f>SUM(B33:M33)</f>
        <v/>
      </c>
    </row>
    <row r="34">
      <c r="A34" t="inlineStr">
        <is>
          <t>Website Maintenance</t>
        </is>
      </c>
      <c r="B34" s="29" t="n">
        <v>0</v>
      </c>
      <c r="C34" s="29" t="n">
        <v>0</v>
      </c>
      <c r="D34" s="29" t="n">
        <v>0</v>
      </c>
      <c r="E34" s="29" t="n">
        <v>0</v>
      </c>
      <c r="F34" s="29" t="n">
        <v>0</v>
      </c>
      <c r="G34" s="29" t="n">
        <v>0</v>
      </c>
      <c r="H34" s="29" t="n">
        <v>0</v>
      </c>
      <c r="I34" s="29" t="n">
        <v>0</v>
      </c>
      <c r="J34" s="29" t="n">
        <v>0</v>
      </c>
      <c r="K34" s="29" t="n">
        <v>0</v>
      </c>
      <c r="L34" s="29" t="n">
        <v>0</v>
      </c>
      <c r="M34" s="29" t="n">
        <v>0</v>
      </c>
      <c r="N34" s="29">
        <f>SUM(B34:M34)</f>
        <v/>
      </c>
    </row>
    <row r="35">
      <c r="A35" t="inlineStr">
        <is>
          <t>Travel</t>
        </is>
      </c>
      <c r="B35" s="29" t="n">
        <v>9988.690000000001</v>
      </c>
      <c r="C35" s="29" t="n">
        <v>10842.52</v>
      </c>
      <c r="D35" s="29" t="n">
        <v>11201.34</v>
      </c>
      <c r="E35" s="29" t="n">
        <v>11874.91</v>
      </c>
      <c r="F35" s="29" t="n">
        <v>13199.24</v>
      </c>
      <c r="G35" s="29" t="n">
        <v>13172.47</v>
      </c>
      <c r="H35" s="29" t="n">
        <v>13833.6</v>
      </c>
      <c r="I35" s="29" t="n">
        <v>14122.02</v>
      </c>
      <c r="J35" s="29" t="n">
        <v>14631.01</v>
      </c>
      <c r="K35" s="29" t="n">
        <v>15894.23</v>
      </c>
      <c r="L35" s="29" t="n">
        <v>16566.9</v>
      </c>
      <c r="M35" s="29" t="n">
        <v>17293.56</v>
      </c>
      <c r="N35" s="29">
        <f>SUM(B35:M35)</f>
        <v/>
      </c>
    </row>
    <row r="36">
      <c r="A36" t="inlineStr">
        <is>
          <t>Vehicle Rental</t>
        </is>
      </c>
      <c r="B36" s="29" t="n">
        <v>0</v>
      </c>
      <c r="C36" s="29" t="n">
        <v>0</v>
      </c>
      <c r="D36" s="29" t="n">
        <v>0</v>
      </c>
      <c r="E36" s="29" t="n">
        <v>0</v>
      </c>
      <c r="F36" s="29" t="n">
        <v>0</v>
      </c>
      <c r="G36" s="29" t="n">
        <v>0</v>
      </c>
      <c r="H36" s="29" t="n">
        <v>0</v>
      </c>
      <c r="I36" s="29" t="n">
        <v>0</v>
      </c>
      <c r="J36" s="29" t="n">
        <v>0</v>
      </c>
      <c r="K36" s="29" t="n">
        <v>0</v>
      </c>
      <c r="L36" s="29" t="n">
        <v>0</v>
      </c>
      <c r="M36" s="29" t="n">
        <v>0</v>
      </c>
      <c r="N36" s="29">
        <f>SUM(B36:M36)</f>
        <v/>
      </c>
    </row>
    <row r="37">
      <c r="A37" t="inlineStr">
        <is>
          <t>Marketing</t>
        </is>
      </c>
      <c r="B37" s="29" t="n">
        <v>15454.28</v>
      </c>
      <c r="C37" s="29" t="n">
        <v>16137.35</v>
      </c>
      <c r="D37" s="29" t="n">
        <v>16424.41</v>
      </c>
      <c r="E37" s="29" t="n">
        <v>16963.26</v>
      </c>
      <c r="F37" s="29" t="n">
        <v>18022.72</v>
      </c>
      <c r="G37" s="29" t="n">
        <v>18001.31</v>
      </c>
      <c r="H37" s="29" t="n">
        <v>18530.21</v>
      </c>
      <c r="I37" s="29" t="n">
        <v>18760.95</v>
      </c>
      <c r="J37" s="29" t="n">
        <v>19168.14</v>
      </c>
      <c r="K37" s="29" t="n">
        <v>20178.72</v>
      </c>
      <c r="L37" s="29" t="n">
        <v>20716.85</v>
      </c>
      <c r="M37" s="29" t="n">
        <v>21298.18</v>
      </c>
      <c r="N37" s="29">
        <f>SUM(B37:M37)</f>
        <v/>
      </c>
    </row>
    <row r="38">
      <c r="A38" t="inlineStr">
        <is>
          <t>Total Expenses Cash Out</t>
        </is>
      </c>
      <c r="B38" s="29">
        <f>SUM(B22:B37)</f>
        <v/>
      </c>
      <c r="C38" s="29">
        <f>SUM(C22:C37)</f>
        <v/>
      </c>
      <c r="D38" s="29">
        <f>SUM(D22:D37)</f>
        <v/>
      </c>
      <c r="E38" s="29">
        <f>SUM(E22:E37)</f>
        <v/>
      </c>
      <c r="F38" s="29">
        <f>SUM(F22:F37)</f>
        <v/>
      </c>
      <c r="G38" s="29">
        <f>SUM(G22:G37)</f>
        <v/>
      </c>
      <c r="H38" s="29">
        <f>SUM(H22:H37)</f>
        <v/>
      </c>
      <c r="I38" s="29">
        <f>SUM(I22:I37)</f>
        <v/>
      </c>
      <c r="J38" s="29">
        <f>SUM(J22:J37)</f>
        <v/>
      </c>
      <c r="K38" s="29">
        <f>SUM(K22:K37)</f>
        <v/>
      </c>
      <c r="L38" s="29">
        <f>SUM(L22:L37)</f>
        <v/>
      </c>
      <c r="M38" s="29">
        <f>SUM(M22:M37)</f>
        <v/>
      </c>
      <c r="N38" s="29">
        <f>SUM(N22:N37)</f>
        <v/>
      </c>
    </row>
    <row r="39">
      <c r="B39" s="29" t="n"/>
      <c r="C39" s="29" t="n"/>
      <c r="D39" s="29" t="n"/>
      <c r="E39" s="29" t="n"/>
      <c r="F39" s="29" t="n"/>
      <c r="G39" s="29" t="n"/>
      <c r="H39" s="29" t="n"/>
      <c r="I39" s="29" t="n"/>
      <c r="J39" s="29" t="n"/>
      <c r="K39" s="29" t="n"/>
      <c r="L39" s="29" t="n"/>
      <c r="M39" s="29" t="n"/>
      <c r="N39" s="29" t="n"/>
    </row>
    <row r="40">
      <c r="A40" t="inlineStr">
        <is>
          <t>Computer Equpment</t>
        </is>
      </c>
      <c r="B40" s="29" t="n">
        <v>0</v>
      </c>
      <c r="C40" s="29" t="n">
        <v>0</v>
      </c>
      <c r="D40" s="29" t="n">
        <v>0</v>
      </c>
      <c r="E40" s="29" t="n">
        <v>0</v>
      </c>
      <c r="F40" s="29" t="n">
        <v>0</v>
      </c>
      <c r="G40" s="29" t="n">
        <v>0</v>
      </c>
      <c r="H40" s="29" t="n">
        <v>0</v>
      </c>
      <c r="I40" s="29" t="n">
        <v>0</v>
      </c>
      <c r="J40" s="29" t="n">
        <v>0</v>
      </c>
      <c r="K40" s="29" t="n">
        <v>0</v>
      </c>
      <c r="L40" s="29" t="n">
        <v>0</v>
      </c>
      <c r="M40" s="29" t="n">
        <v>0</v>
      </c>
      <c r="N40" s="29">
        <f>SUM(B40:M40)</f>
        <v/>
      </c>
    </row>
    <row r="41">
      <c r="A41" t="inlineStr">
        <is>
          <t>Communications</t>
        </is>
      </c>
      <c r="B41" s="29" t="n">
        <v>0</v>
      </c>
      <c r="C41" s="29" t="n">
        <v>0</v>
      </c>
      <c r="D41" s="29" t="n">
        <v>0</v>
      </c>
      <c r="E41" s="29" t="n">
        <v>0</v>
      </c>
      <c r="F41" s="29" t="n">
        <v>0</v>
      </c>
      <c r="G41" s="29" t="n">
        <v>0</v>
      </c>
      <c r="H41" s="29" t="n">
        <v>0</v>
      </c>
      <c r="I41" s="29" t="n">
        <v>0</v>
      </c>
      <c r="J41" s="29" t="n">
        <v>0</v>
      </c>
      <c r="K41" s="29" t="n">
        <v>0</v>
      </c>
      <c r="L41" s="29" t="n">
        <v>0</v>
      </c>
      <c r="M41" s="29" t="n">
        <v>0</v>
      </c>
      <c r="N41" s="29">
        <f>SUM(B41:M41)</f>
        <v/>
      </c>
    </row>
    <row r="42">
      <c r="A42" t="inlineStr">
        <is>
          <t>Furniture</t>
        </is>
      </c>
      <c r="B42" s="29" t="n">
        <v>0</v>
      </c>
      <c r="C42" s="29" t="n">
        <v>0</v>
      </c>
      <c r="D42" s="29" t="n">
        <v>0</v>
      </c>
      <c r="E42" s="29" t="n">
        <v>0</v>
      </c>
      <c r="F42" s="29" t="n">
        <v>0</v>
      </c>
      <c r="G42" s="29" t="n">
        <v>0</v>
      </c>
      <c r="H42" s="29" t="n">
        <v>0</v>
      </c>
      <c r="I42" s="29" t="n">
        <v>0</v>
      </c>
      <c r="J42" s="29" t="n">
        <v>0</v>
      </c>
      <c r="K42" s="29" t="n">
        <v>0</v>
      </c>
      <c r="L42" s="29" t="n">
        <v>0</v>
      </c>
      <c r="M42" s="29" t="n">
        <v>0</v>
      </c>
      <c r="N42" s="29">
        <f>SUM(B42:M42)</f>
        <v/>
      </c>
    </row>
    <row r="43">
      <c r="A43" t="inlineStr">
        <is>
          <t>Buildings</t>
        </is>
      </c>
      <c r="B43" s="29" t="n">
        <v>0</v>
      </c>
      <c r="C43" s="29" t="n">
        <v>0</v>
      </c>
      <c r="D43" s="29" t="n">
        <v>0</v>
      </c>
      <c r="E43" s="29" t="n">
        <v>0</v>
      </c>
      <c r="F43" s="29" t="n">
        <v>0</v>
      </c>
      <c r="G43" s="29" t="n">
        <v>0</v>
      </c>
      <c r="H43" s="29" t="n">
        <v>0</v>
      </c>
      <c r="I43" s="29" t="n">
        <v>0</v>
      </c>
      <c r="J43" s="29" t="n">
        <v>0</v>
      </c>
      <c r="K43" s="29" t="n">
        <v>0</v>
      </c>
      <c r="L43" s="29" t="n">
        <v>0</v>
      </c>
      <c r="M43" s="29" t="n">
        <v>0</v>
      </c>
      <c r="N43" s="29">
        <f>SUM(B43:M43)</f>
        <v/>
      </c>
    </row>
    <row r="44">
      <c r="A44" t="inlineStr">
        <is>
          <t>Total Assets Cash Out</t>
        </is>
      </c>
      <c r="B44" s="29">
        <f>SUM(B40:B43)</f>
        <v/>
      </c>
      <c r="C44" s="29">
        <f>SUM(C40:C43)</f>
        <v/>
      </c>
      <c r="D44" s="29">
        <f>SUM(D40:D43)</f>
        <v/>
      </c>
      <c r="E44" s="29">
        <f>SUM(E40:E43)</f>
        <v/>
      </c>
      <c r="F44" s="29">
        <f>SUM(F40:F43)</f>
        <v/>
      </c>
      <c r="G44" s="29">
        <f>SUM(G40:G43)</f>
        <v/>
      </c>
      <c r="H44" s="29">
        <f>SUM(H40:H43)</f>
        <v/>
      </c>
      <c r="I44" s="29">
        <f>SUM(I40:I43)</f>
        <v/>
      </c>
      <c r="J44" s="29">
        <f>SUM(J40:J43)</f>
        <v/>
      </c>
      <c r="K44" s="29">
        <f>SUM(K40:K43)</f>
        <v/>
      </c>
      <c r="L44" s="29">
        <f>SUM(L40:L43)</f>
        <v/>
      </c>
      <c r="M44" s="29">
        <f>SUM(M40:M43)</f>
        <v/>
      </c>
      <c r="N44" s="29">
        <f>SUM(N40:N43)</f>
        <v/>
      </c>
    </row>
    <row r="45">
      <c r="B45" s="29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29" t="n"/>
      <c r="M45" s="29" t="n"/>
      <c r="N45" s="29" t="n"/>
    </row>
    <row r="46">
      <c r="A46" t="inlineStr">
        <is>
          <t>Closing Cash</t>
        </is>
      </c>
      <c r="B46" s="29">
        <f>B9+B14-B20-B38-B44+B16</f>
        <v/>
      </c>
      <c r="C46" s="29">
        <f>C9+C14-C20-C38-C44+C16</f>
        <v/>
      </c>
      <c r="D46" s="29">
        <f>D9+D14-D20-D38-D44+D16</f>
        <v/>
      </c>
      <c r="E46" s="29">
        <f>E9+E14-E20-E38-E44+E16</f>
        <v/>
      </c>
      <c r="F46" s="29">
        <f>F9+F14-F20-F38-F44+F16</f>
        <v/>
      </c>
      <c r="G46" s="29">
        <f>G9+G14-G20-G38-G44+G16</f>
        <v/>
      </c>
      <c r="H46" s="29">
        <f>H9+H14-H20-H38-H44+H16</f>
        <v/>
      </c>
      <c r="I46" s="29">
        <f>I9+I14-I20-I38-I44+I16</f>
        <v/>
      </c>
      <c r="J46" s="29">
        <f>J9+J14-J20-J38-J44+J16</f>
        <v/>
      </c>
      <c r="K46" s="29">
        <f>K9+K14-K20-K38-K44+K16</f>
        <v/>
      </c>
      <c r="L46" s="29">
        <f>L9+L14-L20-L38-L44+L16</f>
        <v/>
      </c>
      <c r="M46" s="29">
        <f>M9+M14-M20-M38-M44+M16</f>
        <v/>
      </c>
      <c r="N46" s="29" t="n"/>
    </row>
    <row r="47">
      <c r="B47" s="29" t="n"/>
      <c r="C47" s="29" t="n"/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  <c r="M47" s="29" t="n"/>
    </row>
    <row r="48">
      <c r="B48" s="29" t="n"/>
      <c r="C48" s="29" t="n"/>
      <c r="D48" s="29" t="n"/>
      <c r="E48" s="29" t="n"/>
      <c r="F48" s="29" t="n"/>
      <c r="G48" s="29" t="n"/>
      <c r="H48" s="29" t="n"/>
      <c r="I48" s="29" t="n"/>
      <c r="J48" s="29" t="n"/>
      <c r="K48" s="29" t="n"/>
      <c r="L48" s="29" t="n"/>
      <c r="M48" s="29" t="n"/>
    </row>
    <row r="49">
      <c r="A49" t="inlineStr">
        <is>
          <t>Revenue</t>
        </is>
      </c>
      <c r="B49" s="29">
        <f>B7</f>
        <v/>
      </c>
      <c r="C49" s="29">
        <f>C7</f>
        <v/>
      </c>
      <c r="D49" s="29">
        <f>D7</f>
        <v/>
      </c>
      <c r="E49" s="29">
        <f>E7</f>
        <v/>
      </c>
      <c r="F49" s="29">
        <f>F7</f>
        <v/>
      </c>
      <c r="G49" s="29">
        <f>G7</f>
        <v/>
      </c>
      <c r="H49" s="29">
        <f>H7</f>
        <v/>
      </c>
      <c r="I49" s="29">
        <f>I7</f>
        <v/>
      </c>
      <c r="J49" s="29">
        <f>J7</f>
        <v/>
      </c>
      <c r="K49" s="29">
        <f>K7</f>
        <v/>
      </c>
      <c r="L49" s="29">
        <f>L7</f>
        <v/>
      </c>
      <c r="M49" s="29">
        <f>M7</f>
        <v/>
      </c>
    </row>
    <row r="50">
      <c r="B50" s="29" t="n"/>
      <c r="C50" s="29" t="n"/>
      <c r="D50" s="29" t="n"/>
      <c r="E50" s="29" t="n"/>
      <c r="F50" s="29" t="n"/>
      <c r="G50" s="29" t="n"/>
      <c r="H50" s="29" t="n"/>
      <c r="I50" s="29" t="n"/>
      <c r="J50" s="29" t="n"/>
      <c r="K50" s="29" t="n"/>
      <c r="L50" s="29" t="n"/>
      <c r="M50" s="29" t="n"/>
    </row>
    <row r="51">
      <c r="A51" t="inlineStr">
        <is>
          <t>Cost of Revenue</t>
        </is>
      </c>
      <c r="B51" s="29" t="n">
        <v>31008.69</v>
      </c>
      <c r="C51" s="29" t="n">
        <v>36542.52</v>
      </c>
      <c r="D51" s="29" t="n">
        <v>39511.34</v>
      </c>
      <c r="E51" s="29" t="n">
        <v>44414.91</v>
      </c>
      <c r="F51" s="29" t="n">
        <v>53659.24</v>
      </c>
      <c r="G51" s="29" t="n">
        <v>53452.47</v>
      </c>
      <c r="H51" s="29" t="n">
        <v>58253.6</v>
      </c>
      <c r="I51" s="29" t="n">
        <v>59802.02</v>
      </c>
      <c r="J51" s="29" t="n">
        <v>61661.01</v>
      </c>
      <c r="K51" s="29" t="n">
        <v>70754.23</v>
      </c>
      <c r="L51" s="29" t="n">
        <v>75476.89999999999</v>
      </c>
      <c r="M51" s="29" t="n">
        <v>80793.56</v>
      </c>
    </row>
    <row r="52">
      <c r="B52" s="29" t="n"/>
      <c r="C52" s="29" t="n"/>
      <c r="D52" s="29" t="n"/>
      <c r="E52" s="29" t="n"/>
      <c r="F52" s="29" t="n"/>
      <c r="G52" s="29" t="n"/>
      <c r="H52" s="29" t="n"/>
      <c r="I52" s="29" t="n"/>
      <c r="J52" s="29" t="n"/>
      <c r="K52" s="29" t="n"/>
      <c r="L52" s="29" t="n"/>
      <c r="M52" s="29" t="n"/>
    </row>
    <row r="53">
      <c r="A53" t="inlineStr">
        <is>
          <t>Gross Profit</t>
        </is>
      </c>
      <c r="B53" s="29">
        <f>B49-B51</f>
        <v/>
      </c>
      <c r="C53" s="29">
        <f>C49-C51</f>
        <v/>
      </c>
      <c r="D53" s="29">
        <f>D49-D51</f>
        <v/>
      </c>
      <c r="E53" s="29">
        <f>E49-E51</f>
        <v/>
      </c>
      <c r="F53" s="29">
        <f>F49-F51</f>
        <v/>
      </c>
      <c r="G53" s="29">
        <f>G49-G51</f>
        <v/>
      </c>
      <c r="H53" s="29">
        <f>H49-H51</f>
        <v/>
      </c>
      <c r="I53" s="29">
        <f>I49-I51</f>
        <v/>
      </c>
      <c r="J53" s="29">
        <f>J49-J51</f>
        <v/>
      </c>
      <c r="K53" s="29">
        <f>K49-K51</f>
        <v/>
      </c>
      <c r="L53" s="29">
        <f>L49-L51</f>
        <v/>
      </c>
      <c r="M53" s="29">
        <f>M49-M51</f>
        <v/>
      </c>
    </row>
    <row r="54">
      <c r="B54" s="29" t="n"/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</row>
    <row r="55">
      <c r="A55" t="inlineStr">
        <is>
          <t>Expenses</t>
        </is>
      </c>
      <c r="B55" s="29">
        <f>B38</f>
        <v/>
      </c>
      <c r="C55" s="29">
        <f>C38</f>
        <v/>
      </c>
      <c r="D55" s="29">
        <f>D38</f>
        <v/>
      </c>
      <c r="E55" s="29">
        <f>E38</f>
        <v/>
      </c>
      <c r="F55" s="29">
        <f>F38</f>
        <v/>
      </c>
      <c r="G55" s="29">
        <f>G38</f>
        <v/>
      </c>
      <c r="H55" s="29">
        <f>H38</f>
        <v/>
      </c>
      <c r="I55" s="29">
        <f>I38</f>
        <v/>
      </c>
      <c r="J55" s="29">
        <f>J38</f>
        <v/>
      </c>
      <c r="K55" s="29">
        <f>K38</f>
        <v/>
      </c>
      <c r="L55" s="29">
        <f>L38</f>
        <v/>
      </c>
      <c r="M55" s="29">
        <f>M38</f>
        <v/>
      </c>
    </row>
    <row r="56">
      <c r="B56" s="29" t="n"/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</row>
    <row r="57">
      <c r="A57" t="inlineStr">
        <is>
          <t>Net Profit</t>
        </is>
      </c>
      <c r="B57" s="29">
        <f>B53-B55</f>
        <v/>
      </c>
      <c r="C57" s="29">
        <f>C53-C55</f>
        <v/>
      </c>
      <c r="D57" s="29">
        <f>D53-D55</f>
        <v/>
      </c>
      <c r="E57" s="29">
        <f>E53-E55</f>
        <v/>
      </c>
      <c r="F57" s="29">
        <f>F53-F55</f>
        <v/>
      </c>
      <c r="G57" s="29">
        <f>G53-G55</f>
        <v/>
      </c>
      <c r="H57" s="29">
        <f>H53-H55</f>
        <v/>
      </c>
      <c r="I57" s="29">
        <f>I53-I55</f>
        <v/>
      </c>
      <c r="J57" s="29">
        <f>J53-J55</f>
        <v/>
      </c>
      <c r="K57" s="29">
        <f>K53-K55</f>
        <v/>
      </c>
      <c r="L57" s="29">
        <f>L53-L55</f>
        <v/>
      </c>
      <c r="M57" s="29">
        <f>M53-M55</f>
        <v/>
      </c>
    </row>
    <row r="59">
      <c r="A59" t="inlineStr">
        <is>
          <t>Cumulative Net Profit</t>
        </is>
      </c>
      <c r="B59" s="34">
        <f>B57+'Year 2 Cash Budget'!M59</f>
        <v/>
      </c>
      <c r="C59" s="34">
        <f>B59+C57</f>
        <v/>
      </c>
      <c r="D59" s="34">
        <f>C59+D57</f>
        <v/>
      </c>
      <c r="E59" s="34">
        <f>D59+E57</f>
        <v/>
      </c>
      <c r="F59" s="34">
        <f>E59+F57</f>
        <v/>
      </c>
      <c r="G59" s="34">
        <f>F59+G57</f>
        <v/>
      </c>
      <c r="H59" s="34">
        <f>G59+H57</f>
        <v/>
      </c>
      <c r="I59" s="34">
        <f>H59+I57</f>
        <v/>
      </c>
      <c r="J59" s="34">
        <f>I59+J57</f>
        <v/>
      </c>
      <c r="K59" s="34">
        <f>J59+K57</f>
        <v/>
      </c>
      <c r="L59" s="34">
        <f>K59+L57</f>
        <v/>
      </c>
      <c r="M59" s="34">
        <f>L59+M57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9"/>
  <sheetViews>
    <sheetView zoomScaleNormal="100" workbookViewId="0">
      <selection activeCell="B9" sqref="B9"/>
    </sheetView>
  </sheetViews>
  <sheetFormatPr baseColWidth="10" defaultColWidth="11" defaultRowHeight="15.5"/>
  <cols>
    <col width="35.83203125" bestFit="1" customWidth="1" min="1" max="1"/>
    <col width="9" bestFit="1" customWidth="1" min="2" max="13"/>
    <col width="10.08203125" bestFit="1" customWidth="1" min="14" max="14"/>
    <col width="8.5" bestFit="1" customWidth="1" min="15" max="15"/>
    <col width="7.58203125" bestFit="1" customWidth="1" min="16" max="16"/>
  </cols>
  <sheetData>
    <row r="1">
      <c r="B1" s="12" t="inlineStr">
        <is>
          <t>Month 37</t>
        </is>
      </c>
      <c r="C1" s="12" t="inlineStr">
        <is>
          <t>Month 38</t>
        </is>
      </c>
      <c r="D1" s="12" t="inlineStr">
        <is>
          <t>Month 39</t>
        </is>
      </c>
      <c r="E1" s="12" t="inlineStr">
        <is>
          <t>Month 40</t>
        </is>
      </c>
      <c r="F1" s="12" t="inlineStr">
        <is>
          <t>Month 41</t>
        </is>
      </c>
      <c r="G1" s="12" t="inlineStr">
        <is>
          <t>Month 42</t>
        </is>
      </c>
      <c r="H1" s="12" t="inlineStr">
        <is>
          <t>Month 43</t>
        </is>
      </c>
      <c r="I1" s="12" t="inlineStr">
        <is>
          <t>Month 44</t>
        </is>
      </c>
      <c r="J1" s="12" t="inlineStr">
        <is>
          <t>Month 45</t>
        </is>
      </c>
      <c r="K1" s="12" t="inlineStr">
        <is>
          <t>Month 46</t>
        </is>
      </c>
      <c r="L1" s="12" t="inlineStr">
        <is>
          <t>Month 47</t>
        </is>
      </c>
      <c r="M1" s="12" t="inlineStr">
        <is>
          <t>Month 48</t>
        </is>
      </c>
      <c r="N1" s="12" t="inlineStr">
        <is>
          <t>Year 4</t>
        </is>
      </c>
    </row>
    <row r="2">
      <c r="A2" s="9" t="inlineStr">
        <is>
          <t>Revenue Calculations</t>
        </is>
      </c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</row>
    <row r="3">
      <c r="A3" t="inlineStr">
        <is>
          <t>Average Sale</t>
        </is>
      </c>
      <c r="B3" s="54" t="n">
        <v>5575</v>
      </c>
      <c r="C3" s="54" t="n">
        <v>5609</v>
      </c>
      <c r="D3" s="54" t="n">
        <v>5490</v>
      </c>
      <c r="E3" s="54" t="n">
        <v>5410</v>
      </c>
      <c r="F3" s="54" t="n">
        <v>5404</v>
      </c>
      <c r="G3" s="54" t="n">
        <v>5434</v>
      </c>
      <c r="H3" s="54" t="n">
        <v>5413</v>
      </c>
      <c r="I3" s="54" t="n">
        <v>5392</v>
      </c>
      <c r="J3" s="54" t="n">
        <v>5554</v>
      </c>
      <c r="K3" s="54" t="n">
        <v>5546</v>
      </c>
      <c r="L3" s="54" t="n">
        <v>5517</v>
      </c>
      <c r="M3" s="54" t="n">
        <v>5488</v>
      </c>
      <c r="N3" s="29" t="n"/>
    </row>
    <row r="4">
      <c r="A4" t="inlineStr">
        <is>
          <t>Customers</t>
        </is>
      </c>
      <c r="B4" s="54" t="n">
        <v>87</v>
      </c>
      <c r="C4" s="54" t="n">
        <v>98</v>
      </c>
      <c r="D4" s="54" t="n">
        <v>107</v>
      </c>
      <c r="E4" s="54" t="n">
        <v>115</v>
      </c>
      <c r="F4" s="54" t="n">
        <v>125</v>
      </c>
      <c r="G4" s="54" t="n">
        <v>132</v>
      </c>
      <c r="H4" s="54" t="n">
        <v>141</v>
      </c>
      <c r="I4" s="54" t="n">
        <v>148</v>
      </c>
      <c r="J4" s="54" t="n">
        <v>159</v>
      </c>
      <c r="K4" s="54" t="n">
        <v>170</v>
      </c>
      <c r="L4" s="54" t="n">
        <v>180</v>
      </c>
      <c r="M4" s="54" t="n">
        <v>190</v>
      </c>
      <c r="N4" s="29">
        <f>SUM(B4:M4)</f>
        <v/>
      </c>
    </row>
    <row r="5">
      <c r="A5" t="inlineStr">
        <is>
          <t>Customer Growth Factor</t>
        </is>
      </c>
      <c r="B5" s="8">
        <f>'Year 3 Cash Budget'!M5*(1+'Control Panel'!$B$4)</f>
        <v/>
      </c>
      <c r="C5" s="8">
        <f>B5*(1+'Control Panel'!$B$4)</f>
        <v/>
      </c>
      <c r="D5" s="8">
        <f>C5*(1+'Control Panel'!$B$4)</f>
        <v/>
      </c>
      <c r="E5" s="8">
        <f>D5*(1+'Control Panel'!$B$4)</f>
        <v/>
      </c>
      <c r="F5" s="8">
        <f>E5*(1+'Control Panel'!$B$4)</f>
        <v/>
      </c>
      <c r="G5" s="8">
        <f>F5*(1+'Control Panel'!$B$4)</f>
        <v/>
      </c>
      <c r="H5" s="8">
        <f>G5*(1+'Control Panel'!$B$4)</f>
        <v/>
      </c>
      <c r="I5" s="8">
        <f>H5*(1+'Control Panel'!$B$4)</f>
        <v/>
      </c>
      <c r="J5" s="8">
        <f>I5*(1+'Control Panel'!$B$4)</f>
        <v/>
      </c>
      <c r="K5" s="8">
        <f>J5*(1+'Control Panel'!$B$4)</f>
        <v/>
      </c>
      <c r="L5" s="8">
        <f>K5*(1+'Control Panel'!$B$4)</f>
        <v/>
      </c>
      <c r="M5" s="8">
        <f>L5*(1+'Control Panel'!$B$4)</f>
        <v/>
      </c>
      <c r="N5" s="29" t="n"/>
    </row>
    <row r="6">
      <c r="A6" t="inlineStr">
        <is>
          <t>Seasonality Index</t>
        </is>
      </c>
      <c r="B6" s="7">
        <f>'Year 3 Cash Budget'!B6</f>
        <v/>
      </c>
      <c r="C6" s="7">
        <f>'Year 3 Cash Budget'!C6</f>
        <v/>
      </c>
      <c r="D6" s="7">
        <f>'Year 3 Cash Budget'!D6</f>
        <v/>
      </c>
      <c r="E6" s="7">
        <f>'Year 3 Cash Budget'!E6</f>
        <v/>
      </c>
      <c r="F6" s="7">
        <f>'Year 3 Cash Budget'!F6</f>
        <v/>
      </c>
      <c r="G6" s="7">
        <f>'Year 3 Cash Budget'!G6</f>
        <v/>
      </c>
      <c r="H6" s="7">
        <f>'Year 3 Cash Budget'!H6</f>
        <v/>
      </c>
      <c r="I6" s="7">
        <f>'Year 3 Cash Budget'!I6</f>
        <v/>
      </c>
      <c r="J6" s="7">
        <f>'Year 3 Cash Budget'!J6</f>
        <v/>
      </c>
      <c r="K6" s="7">
        <f>'Year 3 Cash Budget'!K6</f>
        <v/>
      </c>
      <c r="L6" s="7">
        <f>'Year 3 Cash Budget'!L6</f>
        <v/>
      </c>
      <c r="M6" s="7">
        <f>'Year 3 Cash Budget'!M6</f>
        <v/>
      </c>
      <c r="N6" s="29" t="n"/>
    </row>
    <row r="7">
      <c r="A7" t="inlineStr">
        <is>
          <t>Revenue</t>
        </is>
      </c>
      <c r="B7" s="29" t="n">
        <v>725067.6</v>
      </c>
      <c r="C7" s="29" t="n">
        <v>909649.8</v>
      </c>
      <c r="D7" s="29" t="n">
        <v>857433.98</v>
      </c>
      <c r="E7" s="29" t="n">
        <v>862113.53</v>
      </c>
      <c r="F7" s="29" t="n">
        <v>975495.83</v>
      </c>
      <c r="G7" s="29" t="n">
        <v>987329.52</v>
      </c>
      <c r="H7" s="29" t="n">
        <v>1033212.72</v>
      </c>
      <c r="I7" s="29" t="n">
        <v>1008068.51</v>
      </c>
      <c r="J7" s="29" t="n">
        <v>1213009.24</v>
      </c>
      <c r="K7" s="29" t="n">
        <v>1332843.61</v>
      </c>
      <c r="L7" s="29" t="n">
        <v>1292991.54</v>
      </c>
      <c r="M7" s="29" t="n">
        <v>1342780.72</v>
      </c>
      <c r="N7" s="29">
        <f>SUM(B7:M7)</f>
        <v/>
      </c>
      <c r="O7" t="inlineStr">
        <is>
          <t>Debtors</t>
        </is>
      </c>
      <c r="P7" s="29">
        <f>(M7*'Control Panel'!$B$8)*(1/4)+(M7*'Control Panel'!$B$9)</f>
        <v/>
      </c>
    </row>
    <row r="8">
      <c r="B8" s="29" t="n"/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P8" s="34" t="n"/>
    </row>
    <row r="9">
      <c r="A9" t="inlineStr">
        <is>
          <t>Opening Cash</t>
        </is>
      </c>
      <c r="B9" s="29">
        <f>'Financial Statements'!D19</f>
        <v/>
      </c>
      <c r="C9" s="29">
        <f>B46</f>
        <v/>
      </c>
      <c r="D9" s="29">
        <f>C46</f>
        <v/>
      </c>
      <c r="E9" s="29">
        <f>D46</f>
        <v/>
      </c>
      <c r="F9" s="29">
        <f>E46</f>
        <v/>
      </c>
      <c r="G9" s="29">
        <f>F46</f>
        <v/>
      </c>
      <c r="H9" s="29">
        <f>G46</f>
        <v/>
      </c>
      <c r="I9" s="29">
        <f>H46</f>
        <v/>
      </c>
      <c r="J9" s="29">
        <f>I46</f>
        <v/>
      </c>
      <c r="K9" s="29">
        <f>J46</f>
        <v/>
      </c>
      <c r="L9" s="29">
        <f>K46</f>
        <v/>
      </c>
      <c r="M9" s="29">
        <f>L46</f>
        <v/>
      </c>
      <c r="N9" s="29" t="n"/>
      <c r="P9" s="37" t="n"/>
    </row>
    <row r="10">
      <c r="A10" t="inlineStr">
        <is>
          <t>Revenue (this month)</t>
        </is>
      </c>
      <c r="B10" s="29" t="n">
        <v>725067.6</v>
      </c>
      <c r="C10" s="29" t="n">
        <v>909649.8</v>
      </c>
      <c r="D10" s="29" t="n">
        <v>857433.98</v>
      </c>
      <c r="E10" s="29" t="n">
        <v>862113.53</v>
      </c>
      <c r="F10" s="29" t="n">
        <v>975495.83</v>
      </c>
      <c r="G10" s="29" t="n">
        <v>987329.52</v>
      </c>
      <c r="H10" s="29" t="n">
        <v>1033212.72</v>
      </c>
      <c r="I10" s="29" t="n">
        <v>1008068.51</v>
      </c>
      <c r="J10" s="29" t="n">
        <v>1213009.24</v>
      </c>
      <c r="K10" s="29" t="n">
        <v>1332843.61</v>
      </c>
      <c r="L10" s="29" t="n">
        <v>1292991.54</v>
      </c>
      <c r="M10" s="29" t="n">
        <v>1342780.72</v>
      </c>
      <c r="N10" s="29">
        <f>SUM(B10:M10)</f>
        <v/>
      </c>
    </row>
    <row r="11">
      <c r="A11" t="inlineStr">
        <is>
          <t>Revenue (1 Week Credit) (this month)</t>
        </is>
      </c>
      <c r="B11" s="29" t="n">
        <v>0</v>
      </c>
      <c r="C11" s="29" t="n">
        <v>0</v>
      </c>
      <c r="D11" s="29" t="n">
        <v>0</v>
      </c>
      <c r="E11" s="29" t="n">
        <v>0</v>
      </c>
      <c r="F11" s="29" t="n">
        <v>0</v>
      </c>
      <c r="G11" s="29" t="n">
        <v>0</v>
      </c>
      <c r="H11" s="29" t="n">
        <v>0</v>
      </c>
      <c r="I11" s="29" t="n">
        <v>0</v>
      </c>
      <c r="J11" s="29" t="n">
        <v>0</v>
      </c>
      <c r="K11" s="29" t="n">
        <v>0</v>
      </c>
      <c r="L11" s="29" t="n">
        <v>0</v>
      </c>
      <c r="M11" s="29" t="n">
        <v>0</v>
      </c>
      <c r="N11" s="29">
        <f>SUM(B11:M11)</f>
        <v/>
      </c>
    </row>
    <row r="12">
      <c r="A12" t="inlineStr">
        <is>
          <t>Revenue (1 Week Credit) (last month)</t>
        </is>
      </c>
      <c r="B12" s="29" t="n">
        <v>0</v>
      </c>
      <c r="C12" s="29" t="n">
        <v>0</v>
      </c>
      <c r="D12" s="29" t="n">
        <v>0</v>
      </c>
      <c r="E12" s="29" t="n">
        <v>0</v>
      </c>
      <c r="F12" s="29" t="n">
        <v>0</v>
      </c>
      <c r="G12" s="29" t="n">
        <v>0</v>
      </c>
      <c r="H12" s="29" t="n">
        <v>0</v>
      </c>
      <c r="I12" s="29" t="n">
        <v>0</v>
      </c>
      <c r="J12" s="29" t="n">
        <v>0</v>
      </c>
      <c r="K12" s="29" t="n">
        <v>0</v>
      </c>
      <c r="L12" s="29" t="n">
        <v>0</v>
      </c>
      <c r="M12" s="29" t="n">
        <v>0</v>
      </c>
      <c r="N12" s="29">
        <f>SUM(B12:M12)</f>
        <v/>
      </c>
    </row>
    <row r="13">
      <c r="A13" t="inlineStr">
        <is>
          <t>Revenue (1 Month Credit)</t>
        </is>
      </c>
      <c r="B13" s="29" t="n">
        <v>0</v>
      </c>
      <c r="C13" s="29" t="n">
        <v>0</v>
      </c>
      <c r="D13" s="29" t="n">
        <v>0</v>
      </c>
      <c r="E13" s="29" t="n">
        <v>0</v>
      </c>
      <c r="F13" s="29" t="n">
        <v>0</v>
      </c>
      <c r="G13" s="29" t="n">
        <v>0</v>
      </c>
      <c r="H13" s="29" t="n">
        <v>0</v>
      </c>
      <c r="I13" s="29" t="n">
        <v>0</v>
      </c>
      <c r="J13" s="29" t="n">
        <v>0</v>
      </c>
      <c r="K13" s="29" t="n">
        <v>0</v>
      </c>
      <c r="L13" s="29" t="n">
        <v>0</v>
      </c>
      <c r="M13" s="29" t="n">
        <v>0</v>
      </c>
      <c r="N13" s="29">
        <f>SUM(B13:M13)</f>
        <v/>
      </c>
    </row>
    <row r="14">
      <c r="A14" t="inlineStr">
        <is>
          <t>Total Revenue Cash In</t>
        </is>
      </c>
      <c r="B14" s="29">
        <f>SUM(B10:B13)</f>
        <v/>
      </c>
      <c r="C14" s="29">
        <f>SUM(C10:C13)</f>
        <v/>
      </c>
      <c r="D14" s="29">
        <f>SUM(D10:D13)</f>
        <v/>
      </c>
      <c r="E14" s="29">
        <f>SUM(E10:E13)</f>
        <v/>
      </c>
      <c r="F14" s="29">
        <f>SUM(F10:F13)</f>
        <v/>
      </c>
      <c r="G14" s="29">
        <f>SUM(G10:G13)</f>
        <v/>
      </c>
      <c r="H14" s="29">
        <f>SUM(H10:H13)</f>
        <v/>
      </c>
      <c r="I14" s="29">
        <f>SUM(I10:I13)</f>
        <v/>
      </c>
      <c r="J14" s="29">
        <f>SUM(J10:J13)</f>
        <v/>
      </c>
      <c r="K14" s="29">
        <f>SUM(K10:K13)</f>
        <v/>
      </c>
      <c r="L14" s="29">
        <f>SUM(L10:L13)</f>
        <v/>
      </c>
      <c r="M14" s="29">
        <f>SUM(M10:M13)</f>
        <v/>
      </c>
      <c r="N14" s="29">
        <f>SUM(N10:N13)</f>
        <v/>
      </c>
    </row>
    <row r="15">
      <c r="B15" s="29" t="n"/>
      <c r="C15" s="29" t="n"/>
      <c r="D15" s="29" t="n"/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</row>
    <row r="16">
      <c r="A16" t="inlineStr">
        <is>
          <t>Investment Received</t>
        </is>
      </c>
      <c r="B16" s="29" t="n">
        <v>0</v>
      </c>
      <c r="C16" s="29" t="n">
        <v>0</v>
      </c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0</v>
      </c>
      <c r="I16" s="29" t="n">
        <v>0</v>
      </c>
      <c r="J16" s="29" t="n">
        <v>0</v>
      </c>
      <c r="K16" s="29" t="n">
        <v>0</v>
      </c>
      <c r="L16" s="29" t="n">
        <v>0</v>
      </c>
      <c r="M16" s="29" t="n">
        <v>0</v>
      </c>
      <c r="N16" s="29">
        <f>SUM(B16:M16)</f>
        <v/>
      </c>
    </row>
    <row r="17">
      <c r="B17" s="29" t="n"/>
      <c r="C17" s="29" t="n"/>
      <c r="D17" s="29" t="n"/>
      <c r="E17" s="29" t="n"/>
      <c r="F17" s="29" t="n"/>
      <c r="G17" s="29" t="n"/>
      <c r="H17" s="29" t="n"/>
      <c r="I17" s="29" t="n"/>
      <c r="J17" s="29" t="n"/>
      <c r="K17" s="29" t="n"/>
      <c r="L17" s="29" t="n"/>
      <c r="M17" s="29" t="n"/>
      <c r="N17" s="29" t="n"/>
    </row>
    <row r="18">
      <c r="A18" t="inlineStr">
        <is>
          <t>Cost of Revenue (this month)</t>
        </is>
      </c>
      <c r="B18" s="29" t="n">
        <v>88686.69</v>
      </c>
      <c r="C18" s="29" t="n">
        <v>99031.24000000001</v>
      </c>
      <c r="D18" s="29" t="n">
        <v>106095.85</v>
      </c>
      <c r="E18" s="29" t="n">
        <v>112542.84</v>
      </c>
      <c r="F18" s="29" t="n">
        <v>121527.4</v>
      </c>
      <c r="G18" s="29" t="n">
        <v>129233.24</v>
      </c>
      <c r="H18" s="29" t="n">
        <v>137580.32</v>
      </c>
      <c r="I18" s="29" t="n">
        <v>143221.71</v>
      </c>
      <c r="J18" s="29" t="n">
        <v>153445.23</v>
      </c>
      <c r="K18" s="29" t="n">
        <v>163491.09</v>
      </c>
      <c r="L18" s="29" t="n">
        <v>171674.79</v>
      </c>
      <c r="M18" s="29" t="n">
        <v>180479.52</v>
      </c>
      <c r="N18" s="29">
        <f>SUM(B18:M18)</f>
        <v/>
      </c>
    </row>
    <row r="19">
      <c r="A19" t="inlineStr">
        <is>
          <t>Cost of Revenue (1 month supplier credit)</t>
        </is>
      </c>
      <c r="B19" s="29" t="n">
        <v>0</v>
      </c>
      <c r="C19" s="29" t="n">
        <v>0</v>
      </c>
      <c r="D19" s="29" t="n">
        <v>0</v>
      </c>
      <c r="E19" s="29" t="n">
        <v>0</v>
      </c>
      <c r="F19" s="29" t="n">
        <v>0</v>
      </c>
      <c r="G19" s="29" t="n">
        <v>0</v>
      </c>
      <c r="H19" s="29" t="n">
        <v>0</v>
      </c>
      <c r="I19" s="29" t="n">
        <v>0</v>
      </c>
      <c r="J19" s="29" t="n">
        <v>0</v>
      </c>
      <c r="K19" s="29" t="n">
        <v>0</v>
      </c>
      <c r="L19" s="29" t="n">
        <v>0</v>
      </c>
      <c r="M19" s="29" t="n">
        <v>0</v>
      </c>
      <c r="N19" s="29">
        <f>SUM(B19:M19)</f>
        <v/>
      </c>
    </row>
    <row r="20">
      <c r="A20" t="inlineStr">
        <is>
          <t>Total Cost of Revenue Cash Out</t>
        </is>
      </c>
      <c r="B20" s="29">
        <f>SUM(B18:B19)</f>
        <v/>
      </c>
      <c r="C20" s="29">
        <f>SUM(C18:C19)</f>
        <v/>
      </c>
      <c r="D20" s="29">
        <f>SUM(D18:D19)</f>
        <v/>
      </c>
      <c r="E20" s="29">
        <f>SUM(E18:E19)</f>
        <v/>
      </c>
      <c r="F20" s="29">
        <f>SUM(F18:F19)</f>
        <v/>
      </c>
      <c r="G20" s="29">
        <f>SUM(G18:G19)</f>
        <v/>
      </c>
      <c r="H20" s="29">
        <f>SUM(H18:H19)</f>
        <v/>
      </c>
      <c r="I20" s="29">
        <f>SUM(I18:I19)</f>
        <v/>
      </c>
      <c r="J20" s="29">
        <f>SUM(J18:J19)</f>
        <v/>
      </c>
      <c r="K20" s="29">
        <f>SUM(K18:K19)</f>
        <v/>
      </c>
      <c r="L20" s="29">
        <f>SUM(L18:L19)</f>
        <v/>
      </c>
      <c r="M20" s="29">
        <f>SUM(M18:M19)</f>
        <v/>
      </c>
      <c r="N20" s="29">
        <f>SUM(N18:N19)</f>
        <v/>
      </c>
      <c r="O20" t="inlineStr">
        <is>
          <t>Creditors</t>
        </is>
      </c>
      <c r="P20" s="34">
        <f>(M7*'Control Panel'!$B$11)*('Control Panel'!$B$13)</f>
        <v/>
      </c>
    </row>
    <row r="21"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  <c r="M21" s="29" t="n"/>
      <c r="N21" s="29" t="n"/>
    </row>
    <row r="22">
      <c r="A22" t="inlineStr">
        <is>
          <t>Contracts, Terms, GPDR</t>
        </is>
      </c>
      <c r="B22" s="29" t="n">
        <v>0</v>
      </c>
      <c r="C22" s="29" t="n">
        <v>0</v>
      </c>
      <c r="D22" s="29" t="n">
        <v>0</v>
      </c>
      <c r="E22" s="29" t="n">
        <v>0</v>
      </c>
      <c r="F22" s="29" t="n">
        <v>0</v>
      </c>
      <c r="G22" s="29" t="n">
        <v>0</v>
      </c>
      <c r="H22" s="29" t="n">
        <v>0</v>
      </c>
      <c r="I22" s="29" t="n">
        <v>0</v>
      </c>
      <c r="J22" s="29" t="n">
        <v>0</v>
      </c>
      <c r="K22" s="29" t="n">
        <v>0</v>
      </c>
      <c r="L22" s="29" t="n">
        <v>0</v>
      </c>
      <c r="M22" s="29" t="n">
        <v>0</v>
      </c>
      <c r="N22" s="29">
        <f>SUM(B22:M22)</f>
        <v/>
      </c>
    </row>
    <row r="23">
      <c r="A23" t="inlineStr">
        <is>
          <t>Stationery, etc.</t>
        </is>
      </c>
      <c r="B23" s="29">
        <f>'Year 3 Cash Budget'!B23</f>
        <v/>
      </c>
      <c r="C23" s="29">
        <f>'Year 3 Cash Budget'!C23</f>
        <v/>
      </c>
      <c r="D23" s="29">
        <f>'Year 3 Cash Budget'!D23</f>
        <v/>
      </c>
      <c r="E23" s="29">
        <f>'Year 3 Cash Budget'!E23</f>
        <v/>
      </c>
      <c r="F23" s="29">
        <f>'Year 3 Cash Budget'!F23</f>
        <v/>
      </c>
      <c r="G23" s="29">
        <f>'Year 3 Cash Budget'!G23</f>
        <v/>
      </c>
      <c r="H23" s="29">
        <f>'Year 3 Cash Budget'!H23</f>
        <v/>
      </c>
      <c r="I23" s="29">
        <f>'Year 3 Cash Budget'!I23</f>
        <v/>
      </c>
      <c r="J23" s="29">
        <f>'Year 3 Cash Budget'!J23</f>
        <v/>
      </c>
      <c r="K23" s="29">
        <f>'Year 3 Cash Budget'!K23</f>
        <v/>
      </c>
      <c r="L23" s="29">
        <f>'Year 3 Cash Budget'!L23</f>
        <v/>
      </c>
      <c r="M23" s="29">
        <f>'Year 3 Cash Budget'!M23</f>
        <v/>
      </c>
      <c r="N23" s="29">
        <f>SUM(B23:M23)</f>
        <v/>
      </c>
    </row>
    <row r="24">
      <c r="A24" t="inlineStr">
        <is>
          <t>Brochures</t>
        </is>
      </c>
      <c r="B24" s="29">
        <f>'Year 3 Cash Budget'!B24</f>
        <v/>
      </c>
      <c r="C24" s="29">
        <f>'Year 3 Cash Budget'!C24</f>
        <v/>
      </c>
      <c r="D24" s="29">
        <f>'Year 3 Cash Budget'!D24</f>
        <v/>
      </c>
      <c r="E24" s="29">
        <f>'Year 3 Cash Budget'!E24</f>
        <v/>
      </c>
      <c r="F24" s="29">
        <f>'Year 3 Cash Budget'!F24</f>
        <v/>
      </c>
      <c r="G24" s="29">
        <f>'Year 3 Cash Budget'!G24</f>
        <v/>
      </c>
      <c r="H24" s="29">
        <f>'Year 3 Cash Budget'!H24</f>
        <v/>
      </c>
      <c r="I24" s="29">
        <f>'Year 3 Cash Budget'!I24</f>
        <v/>
      </c>
      <c r="J24" s="29">
        <f>'Year 3 Cash Budget'!J24</f>
        <v/>
      </c>
      <c r="K24" s="29">
        <f>'Year 3 Cash Budget'!K24</f>
        <v/>
      </c>
      <c r="L24" s="29">
        <f>'Year 3 Cash Budget'!L24</f>
        <v/>
      </c>
      <c r="M24" s="29">
        <f>'Year 3 Cash Budget'!M24</f>
        <v/>
      </c>
      <c r="N24" s="29">
        <f>SUM(B24:M24)</f>
        <v/>
      </c>
    </row>
    <row r="25">
      <c r="A25" t="inlineStr">
        <is>
          <t>Consultants</t>
        </is>
      </c>
      <c r="B25" s="29" t="n">
        <v>107000</v>
      </c>
      <c r="C25" s="29" t="n">
        <v>7000</v>
      </c>
      <c r="D25" s="29" t="n">
        <v>7000</v>
      </c>
      <c r="E25" s="29" t="n">
        <v>7000</v>
      </c>
      <c r="F25" s="29" t="n">
        <v>7000</v>
      </c>
      <c r="G25" s="29" t="n">
        <v>7000</v>
      </c>
      <c r="H25" s="29" t="n">
        <v>7000</v>
      </c>
      <c r="I25" s="29" t="n">
        <v>7000</v>
      </c>
      <c r="J25" s="29" t="n">
        <v>7000</v>
      </c>
      <c r="K25" s="29" t="n">
        <v>7000</v>
      </c>
      <c r="L25" s="29" t="n">
        <v>7000</v>
      </c>
      <c r="M25" s="29" t="n">
        <v>7000</v>
      </c>
      <c r="N25" s="29">
        <f>SUM(B25:M25)</f>
        <v/>
      </c>
    </row>
    <row r="26">
      <c r="A26" t="inlineStr">
        <is>
          <t>Insurance</t>
        </is>
      </c>
      <c r="B26" s="29" t="n">
        <v>1850</v>
      </c>
      <c r="C26" s="29" t="n">
        <v>1850</v>
      </c>
      <c r="D26" s="29" t="n">
        <v>1850</v>
      </c>
      <c r="E26" s="29" t="n">
        <v>1850</v>
      </c>
      <c r="F26" s="29" t="n">
        <v>1850</v>
      </c>
      <c r="G26" s="29" t="n">
        <v>1850</v>
      </c>
      <c r="H26" s="29" t="n">
        <v>1850</v>
      </c>
      <c r="I26" s="29" t="n">
        <v>1850</v>
      </c>
      <c r="J26" s="29" t="n">
        <v>1850</v>
      </c>
      <c r="K26" s="29" t="n">
        <v>1850</v>
      </c>
      <c r="L26" s="29" t="n">
        <v>1850</v>
      </c>
      <c r="M26" s="29" t="n">
        <v>1850</v>
      </c>
      <c r="N26" s="29">
        <f>SUM(B26:M26)</f>
        <v/>
      </c>
    </row>
    <row r="27">
      <c r="A27" t="inlineStr">
        <is>
          <t>Rent</t>
        </is>
      </c>
      <c r="B27" s="29" t="n">
        <v>5040</v>
      </c>
      <c r="C27" s="29" t="n">
        <v>5040</v>
      </c>
      <c r="D27" s="29" t="n">
        <v>5040</v>
      </c>
      <c r="E27" s="29" t="n">
        <v>5040</v>
      </c>
      <c r="F27" s="29" t="n">
        <v>5040</v>
      </c>
      <c r="G27" s="29" t="n">
        <v>5040</v>
      </c>
      <c r="H27" s="29" t="n">
        <v>5040</v>
      </c>
      <c r="I27" s="29" t="n">
        <v>5040</v>
      </c>
      <c r="J27" s="29" t="n">
        <v>5040</v>
      </c>
      <c r="K27" s="29" t="n">
        <v>5040</v>
      </c>
      <c r="L27" s="29" t="n">
        <v>5040</v>
      </c>
      <c r="M27" s="29" t="n">
        <v>5040</v>
      </c>
      <c r="N27" s="29">
        <f>SUM(B27:M27)</f>
        <v/>
      </c>
    </row>
    <row r="28">
      <c r="A28" t="inlineStr">
        <is>
          <t>R &amp; D Design</t>
        </is>
      </c>
      <c r="B28" s="29" t="n">
        <v>0</v>
      </c>
      <c r="C28" s="29" t="n">
        <v>0</v>
      </c>
      <c r="D28" s="29" t="n">
        <v>0</v>
      </c>
      <c r="E28" s="29" t="n">
        <v>0</v>
      </c>
      <c r="F28" s="29" t="n">
        <v>0</v>
      </c>
      <c r="G28" s="29" t="n">
        <v>0</v>
      </c>
      <c r="H28" s="29" t="n">
        <v>0</v>
      </c>
      <c r="I28" s="29" t="n">
        <v>0</v>
      </c>
      <c r="J28" s="29" t="n">
        <v>0</v>
      </c>
      <c r="K28" s="29" t="n">
        <v>0</v>
      </c>
      <c r="L28" s="29" t="n">
        <v>0</v>
      </c>
      <c r="M28" s="29" t="n">
        <v>0</v>
      </c>
      <c r="N28" s="29">
        <f>SUM(B28:M28)</f>
        <v/>
      </c>
    </row>
    <row r="29">
      <c r="A29" t="inlineStr">
        <is>
          <t>R &amp; D Maintenance</t>
        </is>
      </c>
      <c r="B29" s="29" t="n">
        <v>79060</v>
      </c>
      <c r="C29" s="29" t="n">
        <v>87790</v>
      </c>
      <c r="D29" s="29" t="n">
        <v>93910</v>
      </c>
      <c r="E29" s="29" t="n">
        <v>99490</v>
      </c>
      <c r="F29" s="29" t="n">
        <v>107140</v>
      </c>
      <c r="G29" s="29" t="n">
        <v>113800</v>
      </c>
      <c r="H29" s="29" t="n">
        <v>121000</v>
      </c>
      <c r="I29" s="29" t="n">
        <v>125770</v>
      </c>
      <c r="J29" s="29" t="n">
        <v>133870</v>
      </c>
      <c r="K29" s="29" t="n">
        <v>142420</v>
      </c>
      <c r="L29" s="29" t="n">
        <v>149350</v>
      </c>
      <c r="M29" s="29" t="n">
        <v>156910</v>
      </c>
      <c r="N29" s="29">
        <f>SUM(B29:M29)</f>
        <v/>
      </c>
    </row>
    <row r="30">
      <c r="A30" t="inlineStr">
        <is>
          <t>Staff</t>
        </is>
      </c>
      <c r="B30" s="29" t="n">
        <v>112966.31</v>
      </c>
      <c r="C30" s="29" t="n">
        <v>112966.31</v>
      </c>
      <c r="D30" s="29" t="n">
        <v>112966.31</v>
      </c>
      <c r="E30" s="29" t="n">
        <v>112966.31</v>
      </c>
      <c r="F30" s="29" t="n">
        <v>112966.31</v>
      </c>
      <c r="G30" s="29" t="n">
        <v>112966.31</v>
      </c>
      <c r="H30" s="29" t="n">
        <v>112966.31</v>
      </c>
      <c r="I30" s="29" t="n">
        <v>112966.31</v>
      </c>
      <c r="J30" s="29" t="n">
        <v>115425.93</v>
      </c>
      <c r="K30" s="29" t="n">
        <v>115425.93</v>
      </c>
      <c r="L30" s="29" t="n">
        <v>115425.93</v>
      </c>
      <c r="M30" s="29" t="n">
        <v>115425.93</v>
      </c>
      <c r="N30" s="29">
        <f>SUM(B30:M30)</f>
        <v/>
      </c>
    </row>
    <row r="31">
      <c r="A31" t="inlineStr">
        <is>
          <t>Communications</t>
        </is>
      </c>
      <c r="B31" s="29" t="n">
        <v>0</v>
      </c>
      <c r="C31" s="29" t="n">
        <v>0</v>
      </c>
      <c r="D31" s="29" t="n">
        <v>0</v>
      </c>
      <c r="E31" s="29" t="n">
        <v>0</v>
      </c>
      <c r="F31" s="29" t="n">
        <v>0</v>
      </c>
      <c r="G31" s="29" t="n">
        <v>0</v>
      </c>
      <c r="H31" s="29" t="n">
        <v>0</v>
      </c>
      <c r="I31" s="29" t="n">
        <v>0</v>
      </c>
      <c r="J31" s="29" t="n">
        <v>0</v>
      </c>
      <c r="K31" s="29" t="n">
        <v>0</v>
      </c>
      <c r="L31" s="29" t="n">
        <v>0</v>
      </c>
      <c r="M31" s="29" t="n">
        <v>0</v>
      </c>
      <c r="N31" s="29">
        <f>SUM(B31:M31)</f>
        <v/>
      </c>
    </row>
    <row r="32">
      <c r="A32" t="inlineStr">
        <is>
          <t>Incorporation Fees</t>
        </is>
      </c>
      <c r="B32" s="29" t="n">
        <v>0</v>
      </c>
      <c r="C32" s="29" t="n">
        <v>0</v>
      </c>
      <c r="D32" s="29" t="n">
        <v>0</v>
      </c>
      <c r="E32" s="29" t="n">
        <v>0</v>
      </c>
      <c r="F32" s="29" t="n">
        <v>0</v>
      </c>
      <c r="G32" s="29" t="n">
        <v>0</v>
      </c>
      <c r="H32" s="29" t="n">
        <v>0</v>
      </c>
      <c r="I32" s="29" t="n">
        <v>0</v>
      </c>
      <c r="J32" s="29" t="n">
        <v>0</v>
      </c>
      <c r="K32" s="29" t="n">
        <v>0</v>
      </c>
      <c r="L32" s="29" t="n">
        <v>0</v>
      </c>
      <c r="M32" s="29" t="n">
        <v>0</v>
      </c>
      <c r="N32" s="29">
        <f>SUM(B32:M32)</f>
        <v/>
      </c>
    </row>
    <row r="33">
      <c r="A33" t="inlineStr">
        <is>
          <t>Website Design</t>
        </is>
      </c>
      <c r="B33" s="29" t="n">
        <v>0</v>
      </c>
      <c r="C33" s="29" t="n">
        <v>0</v>
      </c>
      <c r="D33" s="29" t="n">
        <v>0</v>
      </c>
      <c r="E33" s="29" t="n">
        <v>0</v>
      </c>
      <c r="F33" s="29" t="n">
        <v>0</v>
      </c>
      <c r="G33" s="29" t="n">
        <v>0</v>
      </c>
      <c r="H33" s="29" t="n">
        <v>0</v>
      </c>
      <c r="I33" s="29" t="n">
        <v>0</v>
      </c>
      <c r="J33" s="29" t="n">
        <v>0</v>
      </c>
      <c r="K33" s="29" t="n">
        <v>0</v>
      </c>
      <c r="L33" s="29" t="n">
        <v>0</v>
      </c>
      <c r="M33" s="29" t="n">
        <v>0</v>
      </c>
      <c r="N33" s="29">
        <f>SUM(B33:M33)</f>
        <v/>
      </c>
    </row>
    <row r="34">
      <c r="A34" t="inlineStr">
        <is>
          <t>Website Maintenance</t>
        </is>
      </c>
      <c r="B34" s="29" t="n">
        <v>0</v>
      </c>
      <c r="C34" s="29" t="n">
        <v>0</v>
      </c>
      <c r="D34" s="29" t="n">
        <v>0</v>
      </c>
      <c r="E34" s="29" t="n">
        <v>0</v>
      </c>
      <c r="F34" s="29" t="n">
        <v>0</v>
      </c>
      <c r="G34" s="29" t="n">
        <v>0</v>
      </c>
      <c r="H34" s="29" t="n">
        <v>0</v>
      </c>
      <c r="I34" s="29" t="n">
        <v>0</v>
      </c>
      <c r="J34" s="29" t="n">
        <v>0</v>
      </c>
      <c r="K34" s="29" t="n">
        <v>0</v>
      </c>
      <c r="L34" s="29" t="n">
        <v>0</v>
      </c>
      <c r="M34" s="29" t="n">
        <v>0</v>
      </c>
      <c r="N34" s="29">
        <f>SUM(B34:M34)</f>
        <v/>
      </c>
    </row>
    <row r="35">
      <c r="A35" t="inlineStr">
        <is>
          <t>Travel</t>
        </is>
      </c>
      <c r="B35" s="29" t="n">
        <v>20526.69</v>
      </c>
      <c r="C35" s="29" t="n">
        <v>22141.24</v>
      </c>
      <c r="D35" s="29" t="n">
        <v>23085.85</v>
      </c>
      <c r="E35" s="29" t="n">
        <v>23952.84</v>
      </c>
      <c r="F35" s="29" t="n">
        <v>25287.4</v>
      </c>
      <c r="G35" s="29" t="n">
        <v>26333.24</v>
      </c>
      <c r="H35" s="29" t="n">
        <v>27480.32</v>
      </c>
      <c r="I35" s="29" t="n">
        <v>28351.71</v>
      </c>
      <c r="J35" s="29" t="n">
        <v>30475.23</v>
      </c>
      <c r="K35" s="29" t="n">
        <v>31971.09</v>
      </c>
      <c r="L35" s="29" t="n">
        <v>33224.79</v>
      </c>
      <c r="M35" s="29" t="n">
        <v>34469.52</v>
      </c>
      <c r="N35" s="29">
        <f>SUM(B35:M35)</f>
        <v/>
      </c>
    </row>
    <row r="36">
      <c r="A36" t="inlineStr">
        <is>
          <t>Vehicle Rental</t>
        </is>
      </c>
      <c r="B36" s="29" t="n">
        <v>0</v>
      </c>
      <c r="C36" s="29" t="n">
        <v>0</v>
      </c>
      <c r="D36" s="29" t="n">
        <v>0</v>
      </c>
      <c r="E36" s="29" t="n">
        <v>0</v>
      </c>
      <c r="F36" s="29" t="n">
        <v>0</v>
      </c>
      <c r="G36" s="29" t="n">
        <v>0</v>
      </c>
      <c r="H36" s="29" t="n">
        <v>0</v>
      </c>
      <c r="I36" s="29" t="n">
        <v>0</v>
      </c>
      <c r="J36" s="29" t="n">
        <v>0</v>
      </c>
      <c r="K36" s="29" t="n">
        <v>0</v>
      </c>
      <c r="L36" s="29" t="n">
        <v>0</v>
      </c>
      <c r="M36" s="29" t="n">
        <v>0</v>
      </c>
      <c r="N36" s="29">
        <f>SUM(B36:M36)</f>
        <v/>
      </c>
    </row>
    <row r="37">
      <c r="A37" t="inlineStr">
        <is>
          <t>Marketing</t>
        </is>
      </c>
      <c r="B37" s="29" t="n">
        <v>27084.69</v>
      </c>
      <c r="C37" s="29" t="n">
        <v>28376.33</v>
      </c>
      <c r="D37" s="29" t="n">
        <v>29132.01</v>
      </c>
      <c r="E37" s="29" t="n">
        <v>29825.6</v>
      </c>
      <c r="F37" s="29" t="n">
        <v>30893.25</v>
      </c>
      <c r="G37" s="29" t="n">
        <v>31729.92</v>
      </c>
      <c r="H37" s="29" t="n">
        <v>32647.59</v>
      </c>
      <c r="I37" s="29" t="n">
        <v>33344.7</v>
      </c>
      <c r="J37" s="29" t="n">
        <v>35043.52</v>
      </c>
      <c r="K37" s="29" t="n">
        <v>36240.21</v>
      </c>
      <c r="L37" s="29" t="n">
        <v>37243.16</v>
      </c>
      <c r="M37" s="29" t="n">
        <v>38238.95</v>
      </c>
      <c r="N37" s="29">
        <f>SUM(B37:M37)</f>
        <v/>
      </c>
    </row>
    <row r="38">
      <c r="A38" t="inlineStr">
        <is>
          <t>Total Expenses Cash Out</t>
        </is>
      </c>
      <c r="B38" s="29">
        <f>SUM(B22:B37)</f>
        <v/>
      </c>
      <c r="C38" s="29">
        <f>SUM(C22:C37)</f>
        <v/>
      </c>
      <c r="D38" s="29">
        <f>SUM(D22:D37)</f>
        <v/>
      </c>
      <c r="E38" s="29">
        <f>SUM(E22:E37)</f>
        <v/>
      </c>
      <c r="F38" s="29">
        <f>SUM(F22:F37)</f>
        <v/>
      </c>
      <c r="G38" s="29">
        <f>SUM(G22:G37)</f>
        <v/>
      </c>
      <c r="H38" s="29">
        <f>SUM(H22:H37)</f>
        <v/>
      </c>
      <c r="I38" s="29">
        <f>SUM(I22:I37)</f>
        <v/>
      </c>
      <c r="J38" s="29">
        <f>SUM(J22:J37)</f>
        <v/>
      </c>
      <c r="K38" s="29">
        <f>SUM(K22:K37)</f>
        <v/>
      </c>
      <c r="L38" s="29">
        <f>SUM(L22:L37)</f>
        <v/>
      </c>
      <c r="M38" s="29">
        <f>SUM(M22:M37)</f>
        <v/>
      </c>
      <c r="N38" s="29">
        <f>SUM(N22:N37)</f>
        <v/>
      </c>
    </row>
    <row r="39">
      <c r="B39" s="29" t="n"/>
      <c r="C39" s="29" t="n"/>
      <c r="D39" s="29" t="n"/>
      <c r="E39" s="29" t="n"/>
      <c r="F39" s="29" t="n"/>
      <c r="G39" s="29" t="n"/>
      <c r="H39" s="29" t="n"/>
      <c r="I39" s="29" t="n"/>
      <c r="J39" s="29" t="n"/>
      <c r="K39" s="29" t="n"/>
      <c r="L39" s="29" t="n"/>
      <c r="M39" s="29" t="n"/>
      <c r="N39" s="29" t="n"/>
    </row>
    <row r="40">
      <c r="A40" t="inlineStr">
        <is>
          <t>Computer Equpment</t>
        </is>
      </c>
      <c r="B40" s="29" t="n">
        <v>0</v>
      </c>
      <c r="C40" s="29" t="n">
        <v>0</v>
      </c>
      <c r="D40" s="29" t="n">
        <v>0</v>
      </c>
      <c r="E40" s="29" t="n">
        <v>0</v>
      </c>
      <c r="F40" s="29" t="n">
        <v>0</v>
      </c>
      <c r="G40" s="29" t="n">
        <v>0</v>
      </c>
      <c r="H40" s="29" t="n">
        <v>0</v>
      </c>
      <c r="I40" s="29" t="n">
        <v>0</v>
      </c>
      <c r="J40" s="29" t="n">
        <v>0</v>
      </c>
      <c r="K40" s="29" t="n">
        <v>0</v>
      </c>
      <c r="L40" s="29" t="n">
        <v>0</v>
      </c>
      <c r="M40" s="29" t="n">
        <v>0</v>
      </c>
      <c r="N40" s="29">
        <f>SUM(B40:M40)</f>
        <v/>
      </c>
    </row>
    <row r="41">
      <c r="A41" t="inlineStr">
        <is>
          <t>Communications</t>
        </is>
      </c>
      <c r="B41" s="29" t="n">
        <v>0</v>
      </c>
      <c r="C41" s="29" t="n">
        <v>0</v>
      </c>
      <c r="D41" s="29" t="n">
        <v>0</v>
      </c>
      <c r="E41" s="29" t="n">
        <v>0</v>
      </c>
      <c r="F41" s="29" t="n">
        <v>0</v>
      </c>
      <c r="G41" s="29" t="n">
        <v>0</v>
      </c>
      <c r="H41" s="29" t="n">
        <v>0</v>
      </c>
      <c r="I41" s="29" t="n">
        <v>0</v>
      </c>
      <c r="J41" s="29" t="n">
        <v>0</v>
      </c>
      <c r="K41" s="29" t="n">
        <v>0</v>
      </c>
      <c r="L41" s="29" t="n">
        <v>0</v>
      </c>
      <c r="M41" s="29" t="n">
        <v>0</v>
      </c>
      <c r="N41" s="29">
        <f>SUM(B41:M41)</f>
        <v/>
      </c>
    </row>
    <row r="42">
      <c r="A42" t="inlineStr">
        <is>
          <t>Furniture</t>
        </is>
      </c>
      <c r="B42" s="29" t="n">
        <v>0</v>
      </c>
      <c r="C42" s="29" t="n">
        <v>0</v>
      </c>
      <c r="D42" s="29" t="n">
        <v>0</v>
      </c>
      <c r="E42" s="29" t="n">
        <v>0</v>
      </c>
      <c r="F42" s="29" t="n">
        <v>0</v>
      </c>
      <c r="G42" s="29" t="n">
        <v>0</v>
      </c>
      <c r="H42" s="29" t="n">
        <v>0</v>
      </c>
      <c r="I42" s="29" t="n">
        <v>0</v>
      </c>
      <c r="J42" s="29" t="n">
        <v>0</v>
      </c>
      <c r="K42" s="29" t="n">
        <v>0</v>
      </c>
      <c r="L42" s="29" t="n">
        <v>0</v>
      </c>
      <c r="M42" s="29" t="n">
        <v>0</v>
      </c>
      <c r="N42" s="29">
        <f>SUM(B42:M42)</f>
        <v/>
      </c>
    </row>
    <row r="43">
      <c r="A43" t="inlineStr">
        <is>
          <t>Buildings</t>
        </is>
      </c>
      <c r="B43" s="29" t="n">
        <v>0</v>
      </c>
      <c r="C43" s="29" t="n">
        <v>0</v>
      </c>
      <c r="D43" s="29" t="n">
        <v>0</v>
      </c>
      <c r="E43" s="29" t="n">
        <v>0</v>
      </c>
      <c r="F43" s="29" t="n">
        <v>0</v>
      </c>
      <c r="G43" s="29" t="n">
        <v>0</v>
      </c>
      <c r="H43" s="29" t="n">
        <v>0</v>
      </c>
      <c r="I43" s="29" t="n">
        <v>0</v>
      </c>
      <c r="J43" s="29" t="n">
        <v>0</v>
      </c>
      <c r="K43" s="29" t="n">
        <v>0</v>
      </c>
      <c r="L43" s="29" t="n">
        <v>0</v>
      </c>
      <c r="M43" s="29" t="n">
        <v>0</v>
      </c>
      <c r="N43" s="29">
        <f>SUM(B43:M43)</f>
        <v/>
      </c>
    </row>
    <row r="44">
      <c r="A44" t="inlineStr">
        <is>
          <t>Total Assets Cash Out</t>
        </is>
      </c>
      <c r="B44" s="29">
        <f>SUM(B40:B43)</f>
        <v/>
      </c>
      <c r="C44" s="29">
        <f>SUM(C40:C43)</f>
        <v/>
      </c>
      <c r="D44" s="29">
        <f>SUM(D40:D43)</f>
        <v/>
      </c>
      <c r="E44" s="29">
        <f>SUM(E40:E43)</f>
        <v/>
      </c>
      <c r="F44" s="29">
        <f>SUM(F40:F43)</f>
        <v/>
      </c>
      <c r="G44" s="29">
        <f>SUM(G40:G43)</f>
        <v/>
      </c>
      <c r="H44" s="29">
        <f>SUM(H40:H43)</f>
        <v/>
      </c>
      <c r="I44" s="29">
        <f>SUM(I40:I43)</f>
        <v/>
      </c>
      <c r="J44" s="29">
        <f>SUM(J40:J43)</f>
        <v/>
      </c>
      <c r="K44" s="29">
        <f>SUM(K40:K43)</f>
        <v/>
      </c>
      <c r="L44" s="29">
        <f>SUM(L40:L43)</f>
        <v/>
      </c>
      <c r="M44" s="29">
        <f>SUM(M40:M43)</f>
        <v/>
      </c>
      <c r="N44" s="29">
        <f>SUM(N40:N43)</f>
        <v/>
      </c>
    </row>
    <row r="45">
      <c r="B45" s="29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29" t="n"/>
      <c r="M45" s="29" t="n"/>
      <c r="N45" s="29" t="n"/>
    </row>
    <row r="46">
      <c r="A46" t="inlineStr">
        <is>
          <t>Closing Cash</t>
        </is>
      </c>
      <c r="B46" s="29">
        <f>B9+B14-B20-B38-B44+B16</f>
        <v/>
      </c>
      <c r="C46" s="29">
        <f>C9+C14-C20-C38-C44+C16</f>
        <v/>
      </c>
      <c r="D46" s="29">
        <f>D9+D14-D20-D38-D44+D16</f>
        <v/>
      </c>
      <c r="E46" s="29">
        <f>E9+E14-E20-E38-E44+E16</f>
        <v/>
      </c>
      <c r="F46" s="29">
        <f>F9+F14-F20-F38-F44+F16</f>
        <v/>
      </c>
      <c r="G46" s="29">
        <f>G9+G14-G20-G38-G44+G16</f>
        <v/>
      </c>
      <c r="H46" s="29">
        <f>H9+H14-H20-H38-H44+H16</f>
        <v/>
      </c>
      <c r="I46" s="29">
        <f>I9+I14-I20-I38-I44+I16</f>
        <v/>
      </c>
      <c r="J46" s="29">
        <f>J9+J14-J20-J38-J44+J16</f>
        <v/>
      </c>
      <c r="K46" s="29">
        <f>K9+K14-K20-K38-K44+K16</f>
        <v/>
      </c>
      <c r="L46" s="29">
        <f>L9+L14-L20-L38-L44+L16</f>
        <v/>
      </c>
      <c r="M46" s="29">
        <f>M9+M14-M20-M38-M44+M16</f>
        <v/>
      </c>
      <c r="N46" s="29" t="n"/>
    </row>
    <row r="47">
      <c r="B47" s="29" t="n"/>
      <c r="C47" s="29" t="n"/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  <c r="M47" s="29" t="n"/>
    </row>
    <row r="48">
      <c r="B48" s="29" t="n"/>
      <c r="C48" s="29" t="n"/>
      <c r="D48" s="29" t="n"/>
      <c r="E48" s="29" t="n"/>
      <c r="F48" s="29" t="n"/>
      <c r="G48" s="29" t="n"/>
      <c r="H48" s="29" t="n"/>
      <c r="I48" s="29" t="n"/>
      <c r="J48" s="29" t="n"/>
      <c r="K48" s="29" t="n"/>
      <c r="L48" s="29" t="n"/>
      <c r="M48" s="29" t="n"/>
    </row>
    <row r="49">
      <c r="A49" t="inlineStr">
        <is>
          <t>Revenue</t>
        </is>
      </c>
      <c r="B49" s="29">
        <f>B7</f>
        <v/>
      </c>
      <c r="C49" s="29">
        <f>C7</f>
        <v/>
      </c>
      <c r="D49" s="29">
        <f>D7</f>
        <v/>
      </c>
      <c r="E49" s="29">
        <f>E7</f>
        <v/>
      </c>
      <c r="F49" s="29">
        <f>F7</f>
        <v/>
      </c>
      <c r="G49" s="29">
        <f>G7</f>
        <v/>
      </c>
      <c r="H49" s="29">
        <f>H7</f>
        <v/>
      </c>
      <c r="I49" s="29">
        <f>I7</f>
        <v/>
      </c>
      <c r="J49" s="29">
        <f>J7</f>
        <v/>
      </c>
      <c r="K49" s="29">
        <f>K7</f>
        <v/>
      </c>
      <c r="L49" s="29">
        <f>L7</f>
        <v/>
      </c>
      <c r="M49" s="29">
        <f>M7</f>
        <v/>
      </c>
    </row>
    <row r="50">
      <c r="B50" s="29" t="n"/>
      <c r="C50" s="29" t="n"/>
      <c r="D50" s="29" t="n"/>
      <c r="E50" s="29" t="n"/>
      <c r="F50" s="29" t="n"/>
      <c r="G50" s="29" t="n"/>
      <c r="H50" s="29" t="n"/>
      <c r="I50" s="29" t="n"/>
      <c r="J50" s="29" t="n"/>
      <c r="K50" s="29" t="n"/>
      <c r="L50" s="29" t="n"/>
      <c r="M50" s="29" t="n"/>
    </row>
    <row r="51">
      <c r="A51" t="inlineStr">
        <is>
          <t>Cost of Revenue</t>
        </is>
      </c>
      <c r="B51" s="29" t="n">
        <v>88686.69</v>
      </c>
      <c r="C51" s="29" t="n">
        <v>99031.24000000001</v>
      </c>
      <c r="D51" s="29" t="n">
        <v>106095.85</v>
      </c>
      <c r="E51" s="29" t="n">
        <v>112542.84</v>
      </c>
      <c r="F51" s="29" t="n">
        <v>121527.4</v>
      </c>
      <c r="G51" s="29" t="n">
        <v>129233.24</v>
      </c>
      <c r="H51" s="29" t="n">
        <v>137580.32</v>
      </c>
      <c r="I51" s="29" t="n">
        <v>143221.71</v>
      </c>
      <c r="J51" s="29" t="n">
        <v>153445.23</v>
      </c>
      <c r="K51" s="29" t="n">
        <v>163491.09</v>
      </c>
      <c r="L51" s="29" t="n">
        <v>171674.79</v>
      </c>
      <c r="M51" s="29" t="n">
        <v>180479.52</v>
      </c>
    </row>
    <row r="52">
      <c r="B52" s="29" t="n"/>
      <c r="C52" s="29" t="n"/>
      <c r="D52" s="29" t="n"/>
      <c r="E52" s="29" t="n"/>
      <c r="F52" s="29" t="n"/>
      <c r="G52" s="29" t="n"/>
      <c r="H52" s="29" t="n"/>
      <c r="I52" s="29" t="n"/>
      <c r="J52" s="29" t="n"/>
      <c r="K52" s="29" t="n"/>
      <c r="L52" s="29" t="n"/>
      <c r="M52" s="29" t="n"/>
    </row>
    <row r="53">
      <c r="A53" t="inlineStr">
        <is>
          <t>Gross Profit</t>
        </is>
      </c>
      <c r="B53" s="29">
        <f>B49-B51</f>
        <v/>
      </c>
      <c r="C53" s="29">
        <f>C49-C51</f>
        <v/>
      </c>
      <c r="D53" s="29">
        <f>D49-D51</f>
        <v/>
      </c>
      <c r="E53" s="29">
        <f>E49-E51</f>
        <v/>
      </c>
      <c r="F53" s="29">
        <f>F49-F51</f>
        <v/>
      </c>
      <c r="G53" s="29">
        <f>G49-G51</f>
        <v/>
      </c>
      <c r="H53" s="29">
        <f>H49-H51</f>
        <v/>
      </c>
      <c r="I53" s="29">
        <f>I49-I51</f>
        <v/>
      </c>
      <c r="J53" s="29">
        <f>J49-J51</f>
        <v/>
      </c>
      <c r="K53" s="29">
        <f>K49-K51</f>
        <v/>
      </c>
      <c r="L53" s="29">
        <f>L49-L51</f>
        <v/>
      </c>
      <c r="M53" s="29">
        <f>M49-M51</f>
        <v/>
      </c>
    </row>
    <row r="54">
      <c r="B54" s="29" t="n"/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</row>
    <row r="55">
      <c r="A55" t="inlineStr">
        <is>
          <t>Expenses</t>
        </is>
      </c>
      <c r="B55" s="29">
        <f>B38</f>
        <v/>
      </c>
      <c r="C55" s="29">
        <f>C38</f>
        <v/>
      </c>
      <c r="D55" s="29">
        <f>D38</f>
        <v/>
      </c>
      <c r="E55" s="29">
        <f>E38</f>
        <v/>
      </c>
      <c r="F55" s="29">
        <f>F38</f>
        <v/>
      </c>
      <c r="G55" s="29">
        <f>G38</f>
        <v/>
      </c>
      <c r="H55" s="29">
        <f>H38</f>
        <v/>
      </c>
      <c r="I55" s="29">
        <f>I38</f>
        <v/>
      </c>
      <c r="J55" s="29">
        <f>J38</f>
        <v/>
      </c>
      <c r="K55" s="29">
        <f>K38</f>
        <v/>
      </c>
      <c r="L55" s="29">
        <f>L38</f>
        <v/>
      </c>
      <c r="M55" s="29">
        <f>M38</f>
        <v/>
      </c>
    </row>
    <row r="56">
      <c r="B56" s="29" t="n"/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</row>
    <row r="57">
      <c r="A57" t="inlineStr">
        <is>
          <t>Net Profit</t>
        </is>
      </c>
      <c r="B57" s="29">
        <f>B53-B55</f>
        <v/>
      </c>
      <c r="C57" s="29">
        <f>C53-C55</f>
        <v/>
      </c>
      <c r="D57" s="29">
        <f>D53-D55</f>
        <v/>
      </c>
      <c r="E57" s="29">
        <f>E53-E55</f>
        <v/>
      </c>
      <c r="F57" s="29">
        <f>F53-F55</f>
        <v/>
      </c>
      <c r="G57" s="29">
        <f>G53-G55</f>
        <v/>
      </c>
      <c r="H57" s="29">
        <f>H53-H55</f>
        <v/>
      </c>
      <c r="I57" s="29">
        <f>I53-I55</f>
        <v/>
      </c>
      <c r="J57" s="29">
        <f>J53-J55</f>
        <v/>
      </c>
      <c r="K57" s="29">
        <f>K53-K55</f>
        <v/>
      </c>
      <c r="L57" s="29">
        <f>L53-L55</f>
        <v/>
      </c>
      <c r="M57" s="29">
        <f>M53-M55</f>
        <v/>
      </c>
    </row>
    <row r="59">
      <c r="A59" t="inlineStr">
        <is>
          <t>Cumulative Net Profit</t>
        </is>
      </c>
      <c r="B59" s="34">
        <f>B57+'Year 3 Cash Budget'!M59</f>
        <v/>
      </c>
      <c r="C59" s="34">
        <f>B59+C57</f>
        <v/>
      </c>
      <c r="D59" s="34">
        <f>C59+D57</f>
        <v/>
      </c>
      <c r="E59" s="34">
        <f>D59+E57</f>
        <v/>
      </c>
      <c r="F59" s="34">
        <f>E59+F57</f>
        <v/>
      </c>
      <c r="G59" s="34">
        <f>F59+G57</f>
        <v/>
      </c>
      <c r="H59" s="34">
        <f>G59+H57</f>
        <v/>
      </c>
      <c r="I59" s="34">
        <f>H59+I57</f>
        <v/>
      </c>
      <c r="J59" s="34">
        <f>I59+J57</f>
        <v/>
      </c>
      <c r="K59" s="34">
        <f>J59+K57</f>
        <v/>
      </c>
      <c r="L59" s="34">
        <f>K59+L57</f>
        <v/>
      </c>
      <c r="M59" s="34">
        <f>L59+M57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9"/>
  <sheetViews>
    <sheetView zoomScaleNormal="100" workbookViewId="0">
      <selection activeCell="B9" sqref="B9"/>
    </sheetView>
  </sheetViews>
  <sheetFormatPr baseColWidth="10" defaultColWidth="11" defaultRowHeight="15.5"/>
  <cols>
    <col width="35.83203125" bestFit="1" customWidth="1" min="1" max="1"/>
    <col width="9" bestFit="1" customWidth="1" min="2" max="13"/>
    <col width="10.08203125" bestFit="1" customWidth="1" min="14" max="14"/>
    <col width="8.5" bestFit="1" customWidth="1" min="15" max="15"/>
    <col width="7.58203125" bestFit="1" customWidth="1" min="16" max="16"/>
  </cols>
  <sheetData>
    <row r="1">
      <c r="B1" s="12" t="inlineStr">
        <is>
          <t>Month 49</t>
        </is>
      </c>
      <c r="C1" s="12" t="inlineStr">
        <is>
          <t>Month 50</t>
        </is>
      </c>
      <c r="D1" s="12" t="inlineStr">
        <is>
          <t>Month 51</t>
        </is>
      </c>
      <c r="E1" s="12" t="inlineStr">
        <is>
          <t>Month 52</t>
        </is>
      </c>
      <c r="F1" s="12" t="inlineStr">
        <is>
          <t>Month 53</t>
        </is>
      </c>
      <c r="G1" s="12" t="inlineStr">
        <is>
          <t>Month 54</t>
        </is>
      </c>
      <c r="H1" s="12" t="inlineStr">
        <is>
          <t>Month 55</t>
        </is>
      </c>
      <c r="I1" s="12" t="inlineStr">
        <is>
          <t>Month 56</t>
        </is>
      </c>
      <c r="J1" s="12" t="inlineStr">
        <is>
          <t>Month 57</t>
        </is>
      </c>
      <c r="K1" s="12" t="inlineStr">
        <is>
          <t>Month 58</t>
        </is>
      </c>
      <c r="L1" s="12" t="inlineStr">
        <is>
          <t>Month 59</t>
        </is>
      </c>
      <c r="M1" s="12" t="inlineStr">
        <is>
          <t>Month 60</t>
        </is>
      </c>
      <c r="N1" s="12" t="inlineStr">
        <is>
          <t>Year 5</t>
        </is>
      </c>
    </row>
    <row r="2">
      <c r="A2" s="9" t="inlineStr">
        <is>
          <t>Revenue Calculations</t>
        </is>
      </c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</row>
    <row r="3">
      <c r="A3" t="inlineStr">
        <is>
          <t>Average Sale</t>
        </is>
      </c>
      <c r="B3" s="54" t="n">
        <v>2760</v>
      </c>
      <c r="C3" s="54" t="n">
        <v>2760</v>
      </c>
      <c r="D3" s="54" t="n">
        <v>2760</v>
      </c>
      <c r="E3" s="54" t="n">
        <v>2760</v>
      </c>
      <c r="F3" s="54" t="n">
        <v>2760</v>
      </c>
      <c r="G3" s="54" t="n">
        <v>2760</v>
      </c>
      <c r="H3" s="54" t="n">
        <v>2760</v>
      </c>
      <c r="I3" s="54" t="n">
        <v>2760</v>
      </c>
      <c r="J3" s="54" t="n">
        <v>2760</v>
      </c>
      <c r="K3" s="54" t="n">
        <v>2760</v>
      </c>
      <c r="L3" s="54" t="n">
        <v>2760</v>
      </c>
      <c r="M3" s="54" t="n">
        <v>2760</v>
      </c>
      <c r="N3" s="29" t="n"/>
    </row>
    <row r="4">
      <c r="A4" t="inlineStr">
        <is>
          <t>Customers</t>
        </is>
      </c>
      <c r="B4" s="54" t="n">
        <v>0</v>
      </c>
      <c r="C4" s="54" t="n">
        <v>0</v>
      </c>
      <c r="D4" s="54" t="n">
        <v>0</v>
      </c>
      <c r="E4" s="54" t="n">
        <v>0</v>
      </c>
      <c r="F4" s="54" t="n">
        <v>0</v>
      </c>
      <c r="G4" s="54" t="n">
        <v>0</v>
      </c>
      <c r="H4" s="54" t="n">
        <v>0</v>
      </c>
      <c r="I4" s="54" t="n">
        <v>0</v>
      </c>
      <c r="J4" s="54" t="n">
        <v>0</v>
      </c>
      <c r="K4" s="54" t="n">
        <v>0</v>
      </c>
      <c r="L4" s="54" t="n">
        <v>0</v>
      </c>
      <c r="M4" s="54" t="n">
        <v>0</v>
      </c>
      <c r="N4" s="29">
        <f>SUM(B4:M4)</f>
        <v/>
      </c>
    </row>
    <row r="5">
      <c r="A5" t="inlineStr">
        <is>
          <t>Customer Growth Factor</t>
        </is>
      </c>
      <c r="B5" s="8">
        <f>'Year 4 Cash Budget'!M5*(1+'Control Panel'!$B$4)</f>
        <v/>
      </c>
      <c r="C5" s="8">
        <f>B5*(1+'Control Panel'!$B$4)</f>
        <v/>
      </c>
      <c r="D5" s="8">
        <f>C5*(1+'Control Panel'!$B$4)</f>
        <v/>
      </c>
      <c r="E5" s="8">
        <f>D5*(1+'Control Panel'!$B$4)</f>
        <v/>
      </c>
      <c r="F5" s="8">
        <f>E5*(1+'Control Panel'!$B$4)</f>
        <v/>
      </c>
      <c r="G5" s="8">
        <f>F5*(1+'Control Panel'!$B$4)</f>
        <v/>
      </c>
      <c r="H5" s="8">
        <f>G5*(1+'Control Panel'!$B$4)</f>
        <v/>
      </c>
      <c r="I5" s="8">
        <f>H5*(1+'Control Panel'!$B$4)</f>
        <v/>
      </c>
      <c r="J5" s="8">
        <f>I5*(1+'Control Panel'!$B$4)</f>
        <v/>
      </c>
      <c r="K5" s="8">
        <f>J5*(1+'Control Panel'!$B$4)</f>
        <v/>
      </c>
      <c r="L5" s="8">
        <f>K5*(1+'Control Panel'!$B$4)</f>
        <v/>
      </c>
      <c r="M5" s="8">
        <f>L5*(1+'Control Panel'!$B$4)</f>
        <v/>
      </c>
      <c r="N5" s="29" t="n"/>
    </row>
    <row r="6">
      <c r="A6" t="inlineStr">
        <is>
          <t>Seasonality Index</t>
        </is>
      </c>
      <c r="B6" s="7">
        <f>'Year 4 Cash Budget'!B6</f>
        <v/>
      </c>
      <c r="C6" s="7">
        <f>'Year 3 Cash Budget'!C6</f>
        <v/>
      </c>
      <c r="D6" s="7">
        <f>'Year 3 Cash Budget'!D6</f>
        <v/>
      </c>
      <c r="E6" s="7">
        <f>'Year 3 Cash Budget'!E6</f>
        <v/>
      </c>
      <c r="F6" s="7">
        <f>'Year 3 Cash Budget'!F6</f>
        <v/>
      </c>
      <c r="G6" s="7">
        <f>'Year 3 Cash Budget'!G6</f>
        <v/>
      </c>
      <c r="H6" s="7">
        <f>'Year 3 Cash Budget'!H6</f>
        <v/>
      </c>
      <c r="I6" s="7">
        <f>'Year 3 Cash Budget'!I6</f>
        <v/>
      </c>
      <c r="J6" s="7">
        <f>'Year 3 Cash Budget'!J6</f>
        <v/>
      </c>
      <c r="K6" s="7">
        <f>'Year 3 Cash Budget'!K6</f>
        <v/>
      </c>
      <c r="L6" s="7">
        <f>'Year 3 Cash Budget'!L6</f>
        <v/>
      </c>
      <c r="M6" s="7">
        <f>'Year 3 Cash Budget'!M6</f>
        <v/>
      </c>
      <c r="N6" s="29" t="n"/>
    </row>
    <row r="7">
      <c r="A7" t="inlineStr">
        <is>
          <t>Revenue</t>
        </is>
      </c>
      <c r="B7" s="29" t="n">
        <v>0</v>
      </c>
      <c r="C7" s="29" t="n">
        <v>0</v>
      </c>
      <c r="D7" s="29" t="n">
        <v>0</v>
      </c>
      <c r="E7" s="29" t="n">
        <v>0</v>
      </c>
      <c r="F7" s="29" t="n">
        <v>0</v>
      </c>
      <c r="G7" s="29" t="n">
        <v>0</v>
      </c>
      <c r="H7" s="29" t="n">
        <v>0</v>
      </c>
      <c r="I7" s="29" t="n">
        <v>0</v>
      </c>
      <c r="J7" s="29" t="n">
        <v>0</v>
      </c>
      <c r="K7" s="29" t="n">
        <v>0</v>
      </c>
      <c r="L7" s="29" t="n">
        <v>0</v>
      </c>
      <c r="M7" s="29" t="n">
        <v>0</v>
      </c>
      <c r="N7" s="29">
        <f>SUM(B7:M7)</f>
        <v/>
      </c>
      <c r="O7" t="inlineStr">
        <is>
          <t>Debtors</t>
        </is>
      </c>
      <c r="P7" s="29">
        <f>(M7*'Control Panel'!$B$8)*(1/4)+(M7*'Control Panel'!$B$9)</f>
        <v/>
      </c>
    </row>
    <row r="8">
      <c r="B8" s="29" t="n"/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P8" s="34" t="n"/>
    </row>
    <row r="9">
      <c r="A9" t="inlineStr">
        <is>
          <t>Opening Cash</t>
        </is>
      </c>
      <c r="B9" s="29">
        <f>'Financial Statements'!E19</f>
        <v/>
      </c>
      <c r="C9" s="29">
        <f>B46</f>
        <v/>
      </c>
      <c r="D9" s="29">
        <f>C46</f>
        <v/>
      </c>
      <c r="E9" s="29">
        <f>D46</f>
        <v/>
      </c>
      <c r="F9" s="29">
        <f>E46</f>
        <v/>
      </c>
      <c r="G9" s="29">
        <f>F46</f>
        <v/>
      </c>
      <c r="H9" s="29">
        <f>G46</f>
        <v/>
      </c>
      <c r="I9" s="29">
        <f>H46</f>
        <v/>
      </c>
      <c r="J9" s="29">
        <f>I46</f>
        <v/>
      </c>
      <c r="K9" s="29">
        <f>J46</f>
        <v/>
      </c>
      <c r="L9" s="29">
        <f>K46</f>
        <v/>
      </c>
      <c r="M9" s="29">
        <f>L46</f>
        <v/>
      </c>
      <c r="N9" s="29" t="n"/>
      <c r="P9" s="37" t="n"/>
    </row>
    <row r="10">
      <c r="A10" t="inlineStr">
        <is>
          <t>Revenue (this month)</t>
        </is>
      </c>
      <c r="B10" s="29" t="n">
        <v>0</v>
      </c>
      <c r="C10" s="29" t="n">
        <v>0</v>
      </c>
      <c r="D10" s="29" t="n">
        <v>0</v>
      </c>
      <c r="E10" s="29" t="n">
        <v>0</v>
      </c>
      <c r="F10" s="29" t="n">
        <v>0</v>
      </c>
      <c r="G10" s="29" t="n">
        <v>0</v>
      </c>
      <c r="H10" s="29" t="n">
        <v>0</v>
      </c>
      <c r="I10" s="29" t="n">
        <v>0</v>
      </c>
      <c r="J10" s="29" t="n">
        <v>0</v>
      </c>
      <c r="K10" s="29" t="n">
        <v>0</v>
      </c>
      <c r="L10" s="29" t="n">
        <v>0</v>
      </c>
      <c r="M10" s="29" t="n">
        <v>0</v>
      </c>
      <c r="N10" s="29">
        <f>SUM(B10:M10)</f>
        <v/>
      </c>
    </row>
    <row r="11">
      <c r="A11" t="inlineStr">
        <is>
          <t>Revenue (1 Week Credit) (this month)</t>
        </is>
      </c>
      <c r="B11" s="29" t="n">
        <v>0</v>
      </c>
      <c r="C11" s="29" t="n">
        <v>0</v>
      </c>
      <c r="D11" s="29" t="n">
        <v>0</v>
      </c>
      <c r="E11" s="29" t="n">
        <v>0</v>
      </c>
      <c r="F11" s="29" t="n">
        <v>0</v>
      </c>
      <c r="G11" s="29" t="n">
        <v>0</v>
      </c>
      <c r="H11" s="29" t="n">
        <v>0</v>
      </c>
      <c r="I11" s="29" t="n">
        <v>0</v>
      </c>
      <c r="J11" s="29" t="n">
        <v>0</v>
      </c>
      <c r="K11" s="29" t="n">
        <v>0</v>
      </c>
      <c r="L11" s="29" t="n">
        <v>0</v>
      </c>
      <c r="M11" s="29" t="n">
        <v>0</v>
      </c>
      <c r="N11" s="29">
        <f>SUM(B11:M11)</f>
        <v/>
      </c>
    </row>
    <row r="12">
      <c r="A12" t="inlineStr">
        <is>
          <t>Revenue (1 Week Credit) (last month)</t>
        </is>
      </c>
      <c r="B12" s="29" t="n">
        <v>0</v>
      </c>
      <c r="C12" s="29" t="n">
        <v>0</v>
      </c>
      <c r="D12" s="29" t="n">
        <v>0</v>
      </c>
      <c r="E12" s="29" t="n">
        <v>0</v>
      </c>
      <c r="F12" s="29" t="n">
        <v>0</v>
      </c>
      <c r="G12" s="29" t="n">
        <v>0</v>
      </c>
      <c r="H12" s="29" t="n">
        <v>0</v>
      </c>
      <c r="I12" s="29" t="n">
        <v>0</v>
      </c>
      <c r="J12" s="29" t="n">
        <v>0</v>
      </c>
      <c r="K12" s="29" t="n">
        <v>0</v>
      </c>
      <c r="L12" s="29" t="n">
        <v>0</v>
      </c>
      <c r="M12" s="29" t="n">
        <v>0</v>
      </c>
      <c r="N12" s="29">
        <f>SUM(B12:M12)</f>
        <v/>
      </c>
    </row>
    <row r="13">
      <c r="A13" t="inlineStr">
        <is>
          <t>Revenue (1 Month Credit)</t>
        </is>
      </c>
      <c r="B13" s="29" t="n">
        <v>0</v>
      </c>
      <c r="C13" s="29" t="n">
        <v>0</v>
      </c>
      <c r="D13" s="29" t="n">
        <v>0</v>
      </c>
      <c r="E13" s="29" t="n">
        <v>0</v>
      </c>
      <c r="F13" s="29" t="n">
        <v>0</v>
      </c>
      <c r="G13" s="29" t="n">
        <v>0</v>
      </c>
      <c r="H13" s="29" t="n">
        <v>0</v>
      </c>
      <c r="I13" s="29" t="n">
        <v>0</v>
      </c>
      <c r="J13" s="29" t="n">
        <v>0</v>
      </c>
      <c r="K13" s="29" t="n">
        <v>0</v>
      </c>
      <c r="L13" s="29" t="n">
        <v>0</v>
      </c>
      <c r="M13" s="29" t="n">
        <v>0</v>
      </c>
      <c r="N13" s="29">
        <f>SUM(B13:M13)</f>
        <v/>
      </c>
    </row>
    <row r="14">
      <c r="A14" t="inlineStr">
        <is>
          <t>Total Revenue Cash In</t>
        </is>
      </c>
      <c r="B14" s="29">
        <f>SUM(B10:B13)</f>
        <v/>
      </c>
      <c r="C14" s="29">
        <f>SUM(C10:C13)</f>
        <v/>
      </c>
      <c r="D14" s="29">
        <f>SUM(D10:D13)</f>
        <v/>
      </c>
      <c r="E14" s="29">
        <f>SUM(E10:E13)</f>
        <v/>
      </c>
      <c r="F14" s="29">
        <f>SUM(F10:F13)</f>
        <v/>
      </c>
      <c r="G14" s="29">
        <f>SUM(G10:G13)</f>
        <v/>
      </c>
      <c r="H14" s="29">
        <f>SUM(H10:H13)</f>
        <v/>
      </c>
      <c r="I14" s="29">
        <f>SUM(I10:I13)</f>
        <v/>
      </c>
      <c r="J14" s="29">
        <f>SUM(J10:J13)</f>
        <v/>
      </c>
      <c r="K14" s="29">
        <f>SUM(K10:K13)</f>
        <v/>
      </c>
      <c r="L14" s="29">
        <f>SUM(L10:L13)</f>
        <v/>
      </c>
      <c r="M14" s="29">
        <f>SUM(M10:M13)</f>
        <v/>
      </c>
      <c r="N14" s="29">
        <f>SUM(N10:N13)</f>
        <v/>
      </c>
    </row>
    <row r="15">
      <c r="B15" s="29" t="n"/>
      <c r="C15" s="29" t="n"/>
      <c r="D15" s="29" t="n"/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</row>
    <row r="16">
      <c r="A16" t="inlineStr">
        <is>
          <t>Investment Received</t>
        </is>
      </c>
      <c r="B16" s="29" t="n">
        <v>0</v>
      </c>
      <c r="C16" s="29" t="n">
        <v>0</v>
      </c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0</v>
      </c>
      <c r="I16" s="29" t="n">
        <v>0</v>
      </c>
      <c r="J16" s="29" t="n">
        <v>0</v>
      </c>
      <c r="K16" s="29" t="n">
        <v>0</v>
      </c>
      <c r="L16" s="29" t="n">
        <v>0</v>
      </c>
      <c r="M16" s="29" t="n">
        <v>0</v>
      </c>
      <c r="N16" s="29">
        <f>SUM(B16:M16)</f>
        <v/>
      </c>
    </row>
    <row r="17">
      <c r="B17" s="29" t="n"/>
      <c r="C17" s="29" t="n"/>
      <c r="D17" s="29" t="n"/>
      <c r="E17" s="29" t="n"/>
      <c r="F17" s="29" t="n"/>
      <c r="G17" s="29" t="n"/>
      <c r="H17" s="29" t="n"/>
      <c r="I17" s="29" t="n"/>
      <c r="J17" s="29" t="n"/>
      <c r="K17" s="29" t="n"/>
      <c r="L17" s="29" t="n"/>
      <c r="M17" s="29" t="n"/>
      <c r="N17" s="29" t="n"/>
    </row>
    <row r="18">
      <c r="A18" t="inlineStr">
        <is>
          <t>Cost of Revenue (this month)</t>
        </is>
      </c>
      <c r="B18" s="29" t="n">
        <v>0</v>
      </c>
      <c r="C18" s="29" t="n">
        <v>0</v>
      </c>
      <c r="D18" s="29" t="n">
        <v>0</v>
      </c>
      <c r="E18" s="29" t="n">
        <v>0</v>
      </c>
      <c r="F18" s="29" t="n">
        <v>0</v>
      </c>
      <c r="G18" s="29" t="n">
        <v>0</v>
      </c>
      <c r="H18" s="29" t="n">
        <v>0</v>
      </c>
      <c r="I18" s="29" t="n">
        <v>0</v>
      </c>
      <c r="J18" s="29" t="n">
        <v>0</v>
      </c>
      <c r="K18" s="29" t="n">
        <v>0</v>
      </c>
      <c r="L18" s="29" t="n">
        <v>0</v>
      </c>
      <c r="M18" s="29" t="n">
        <v>0</v>
      </c>
      <c r="N18" s="29">
        <f>SUM(B18:M18)</f>
        <v/>
      </c>
    </row>
    <row r="19">
      <c r="A19" t="inlineStr">
        <is>
          <t>Cost of Revenue (1 month supplier credit)</t>
        </is>
      </c>
      <c r="B19" s="29" t="n">
        <v>0</v>
      </c>
      <c r="C19" s="29" t="n">
        <v>0</v>
      </c>
      <c r="D19" s="29" t="n">
        <v>0</v>
      </c>
      <c r="E19" s="29" t="n">
        <v>0</v>
      </c>
      <c r="F19" s="29" t="n">
        <v>0</v>
      </c>
      <c r="G19" s="29" t="n">
        <v>0</v>
      </c>
      <c r="H19" s="29" t="n">
        <v>0</v>
      </c>
      <c r="I19" s="29" t="n">
        <v>0</v>
      </c>
      <c r="J19" s="29" t="n">
        <v>0</v>
      </c>
      <c r="K19" s="29" t="n">
        <v>0</v>
      </c>
      <c r="L19" s="29" t="n">
        <v>0</v>
      </c>
      <c r="M19" s="29" t="n">
        <v>0</v>
      </c>
      <c r="N19" s="29">
        <f>SUM(B19:M19)</f>
        <v/>
      </c>
    </row>
    <row r="20">
      <c r="A20" t="inlineStr">
        <is>
          <t>Total Cost of Revenue Cash Out</t>
        </is>
      </c>
      <c r="B20" s="29">
        <f>SUM(B18:B19)</f>
        <v/>
      </c>
      <c r="C20" s="29">
        <f>SUM(C18:C19)</f>
        <v/>
      </c>
      <c r="D20" s="29">
        <f>SUM(D18:D19)</f>
        <v/>
      </c>
      <c r="E20" s="29">
        <f>SUM(E18:E19)</f>
        <v/>
      </c>
      <c r="F20" s="29">
        <f>SUM(F18:F19)</f>
        <v/>
      </c>
      <c r="G20" s="29">
        <f>SUM(G18:G19)</f>
        <v/>
      </c>
      <c r="H20" s="29">
        <f>SUM(H18:H19)</f>
        <v/>
      </c>
      <c r="I20" s="29">
        <f>SUM(I18:I19)</f>
        <v/>
      </c>
      <c r="J20" s="29">
        <f>SUM(J18:J19)</f>
        <v/>
      </c>
      <c r="K20" s="29">
        <f>SUM(K18:K19)</f>
        <v/>
      </c>
      <c r="L20" s="29">
        <f>SUM(L18:L19)</f>
        <v/>
      </c>
      <c r="M20" s="29">
        <f>SUM(M18:M19)</f>
        <v/>
      </c>
      <c r="N20" s="29">
        <f>SUM(N18:N19)</f>
        <v/>
      </c>
      <c r="O20" t="inlineStr">
        <is>
          <t>Creditors</t>
        </is>
      </c>
      <c r="P20" s="34">
        <f>(M7*'Control Panel'!$B$11)*('Control Panel'!$B$13)</f>
        <v/>
      </c>
    </row>
    <row r="21"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  <c r="M21" s="29" t="n"/>
      <c r="N21" s="29" t="n"/>
    </row>
    <row r="22">
      <c r="A22" t="inlineStr">
        <is>
          <t>Contracts, Terms, GPDR</t>
        </is>
      </c>
      <c r="B22" s="29" t="n">
        <v>0</v>
      </c>
      <c r="C22" s="29" t="n">
        <v>0</v>
      </c>
      <c r="D22" s="29" t="n">
        <v>0</v>
      </c>
      <c r="E22" s="29" t="n">
        <v>0</v>
      </c>
      <c r="F22" s="29" t="n">
        <v>0</v>
      </c>
      <c r="G22" s="29" t="n">
        <v>0</v>
      </c>
      <c r="H22" s="29" t="n">
        <v>0</v>
      </c>
      <c r="I22" s="29" t="n">
        <v>0</v>
      </c>
      <c r="J22" s="29" t="n">
        <v>0</v>
      </c>
      <c r="K22" s="29" t="n">
        <v>0</v>
      </c>
      <c r="L22" s="29" t="n">
        <v>0</v>
      </c>
      <c r="M22" s="29" t="n">
        <v>0</v>
      </c>
      <c r="N22" s="29">
        <f>SUM(B22:M22)</f>
        <v/>
      </c>
    </row>
    <row r="23">
      <c r="A23" t="inlineStr">
        <is>
          <t>Stationery, etc.</t>
        </is>
      </c>
      <c r="B23" s="29">
        <f>'Year 4 Cash Budget'!B23</f>
        <v/>
      </c>
      <c r="C23" s="29">
        <f>'Year 4 Cash Budget'!C23</f>
        <v/>
      </c>
      <c r="D23" s="29">
        <f>'Year 4 Cash Budget'!D23</f>
        <v/>
      </c>
      <c r="E23" s="29">
        <f>'Year 4 Cash Budget'!E23</f>
        <v/>
      </c>
      <c r="F23" s="29">
        <f>'Year 4 Cash Budget'!F23</f>
        <v/>
      </c>
      <c r="G23" s="29">
        <f>'Year 4 Cash Budget'!G23</f>
        <v/>
      </c>
      <c r="H23" s="29">
        <f>'Year 4 Cash Budget'!H23</f>
        <v/>
      </c>
      <c r="I23" s="29">
        <f>'Year 4 Cash Budget'!I23</f>
        <v/>
      </c>
      <c r="J23" s="29">
        <f>'Year 4 Cash Budget'!J23</f>
        <v/>
      </c>
      <c r="K23" s="29">
        <f>'Year 4 Cash Budget'!K23</f>
        <v/>
      </c>
      <c r="L23" s="29">
        <f>'Year 4 Cash Budget'!L23</f>
        <v/>
      </c>
      <c r="M23" s="29">
        <f>'Year 4 Cash Budget'!M23</f>
        <v/>
      </c>
      <c r="N23" s="29">
        <f>SUM(B23:M23)</f>
        <v/>
      </c>
    </row>
    <row r="24">
      <c r="A24" t="inlineStr">
        <is>
          <t>Brochures</t>
        </is>
      </c>
      <c r="B24" s="29">
        <f>'Year 4 Cash Budget'!B24</f>
        <v/>
      </c>
      <c r="C24" s="29">
        <f>'Year 4 Cash Budget'!C24</f>
        <v/>
      </c>
      <c r="D24" s="29">
        <f>'Year 4 Cash Budget'!D24</f>
        <v/>
      </c>
      <c r="E24" s="29">
        <f>'Year 4 Cash Budget'!E24</f>
        <v/>
      </c>
      <c r="F24" s="29">
        <f>'Year 4 Cash Budget'!F24</f>
        <v/>
      </c>
      <c r="G24" s="29">
        <f>'Year 4 Cash Budget'!G24</f>
        <v/>
      </c>
      <c r="H24" s="29">
        <f>'Year 4 Cash Budget'!H24</f>
        <v/>
      </c>
      <c r="I24" s="29">
        <f>'Year 4 Cash Budget'!I24</f>
        <v/>
      </c>
      <c r="J24" s="29">
        <f>'Year 4 Cash Budget'!J24</f>
        <v/>
      </c>
      <c r="K24" s="29">
        <f>'Year 4 Cash Budget'!K24</f>
        <v/>
      </c>
      <c r="L24" s="29">
        <f>'Year 4 Cash Budget'!L24</f>
        <v/>
      </c>
      <c r="M24" s="29">
        <f>'Year 4 Cash Budget'!M24</f>
        <v/>
      </c>
      <c r="N24" s="29">
        <f>SUM(B24:M24)</f>
        <v/>
      </c>
    </row>
    <row r="25">
      <c r="A25" t="inlineStr">
        <is>
          <t>Consultants</t>
        </is>
      </c>
      <c r="B25" s="29" t="n">
        <v>0</v>
      </c>
      <c r="C25" s="29" t="n">
        <v>0</v>
      </c>
      <c r="D25" s="29" t="n">
        <v>0</v>
      </c>
      <c r="E25" s="29" t="n">
        <v>0</v>
      </c>
      <c r="F25" s="29" t="n">
        <v>0</v>
      </c>
      <c r="G25" s="29" t="n">
        <v>0</v>
      </c>
      <c r="H25" s="29" t="n">
        <v>0</v>
      </c>
      <c r="I25" s="29" t="n">
        <v>0</v>
      </c>
      <c r="J25" s="29" t="n">
        <v>0</v>
      </c>
      <c r="K25" s="29" t="n">
        <v>0</v>
      </c>
      <c r="L25" s="29" t="n">
        <v>0</v>
      </c>
      <c r="M25" s="29" t="n">
        <v>0</v>
      </c>
      <c r="N25" s="29">
        <f>SUM(B25:M25)</f>
        <v/>
      </c>
    </row>
    <row r="26">
      <c r="A26" t="inlineStr">
        <is>
          <t>Insurance</t>
        </is>
      </c>
      <c r="B26" s="29" t="n">
        <v>0</v>
      </c>
      <c r="C26" s="29" t="n">
        <v>0</v>
      </c>
      <c r="D26" s="29" t="n">
        <v>0</v>
      </c>
      <c r="E26" s="29" t="n">
        <v>0</v>
      </c>
      <c r="F26" s="29" t="n">
        <v>0</v>
      </c>
      <c r="G26" s="29" t="n">
        <v>0</v>
      </c>
      <c r="H26" s="29" t="n">
        <v>0</v>
      </c>
      <c r="I26" s="29" t="n">
        <v>0</v>
      </c>
      <c r="J26" s="29" t="n">
        <v>0</v>
      </c>
      <c r="K26" s="29" t="n">
        <v>0</v>
      </c>
      <c r="L26" s="29" t="n">
        <v>0</v>
      </c>
      <c r="M26" s="29" t="n">
        <v>0</v>
      </c>
      <c r="N26" s="29">
        <f>SUM(B26:M26)</f>
        <v/>
      </c>
    </row>
    <row r="27">
      <c r="A27" t="inlineStr">
        <is>
          <t>Rent</t>
        </is>
      </c>
      <c r="B27" s="29" t="n">
        <v>0</v>
      </c>
      <c r="C27" s="29" t="n">
        <v>0</v>
      </c>
      <c r="D27" s="29" t="n">
        <v>0</v>
      </c>
      <c r="E27" s="29" t="n">
        <v>0</v>
      </c>
      <c r="F27" s="29" t="n">
        <v>0</v>
      </c>
      <c r="G27" s="29" t="n">
        <v>0</v>
      </c>
      <c r="H27" s="29" t="n">
        <v>0</v>
      </c>
      <c r="I27" s="29" t="n">
        <v>0</v>
      </c>
      <c r="J27" s="29" t="n">
        <v>0</v>
      </c>
      <c r="K27" s="29" t="n">
        <v>0</v>
      </c>
      <c r="L27" s="29" t="n">
        <v>0</v>
      </c>
      <c r="M27" s="29" t="n">
        <v>0</v>
      </c>
      <c r="N27" s="29">
        <f>SUM(B27:M27)</f>
        <v/>
      </c>
    </row>
    <row r="28">
      <c r="A28" t="inlineStr">
        <is>
          <t>R &amp; D Design</t>
        </is>
      </c>
      <c r="B28" s="29" t="n">
        <v>0</v>
      </c>
      <c r="C28" s="29" t="n">
        <v>0</v>
      </c>
      <c r="D28" s="29" t="n">
        <v>0</v>
      </c>
      <c r="E28" s="29" t="n">
        <v>0</v>
      </c>
      <c r="F28" s="29" t="n">
        <v>0</v>
      </c>
      <c r="G28" s="29" t="n">
        <v>0</v>
      </c>
      <c r="H28" s="29" t="n">
        <v>0</v>
      </c>
      <c r="I28" s="29" t="n">
        <v>0</v>
      </c>
      <c r="J28" s="29" t="n">
        <v>0</v>
      </c>
      <c r="K28" s="29" t="n">
        <v>0</v>
      </c>
      <c r="L28" s="29" t="n">
        <v>0</v>
      </c>
      <c r="M28" s="29" t="n">
        <v>0</v>
      </c>
      <c r="N28" s="29">
        <f>SUM(B28:M28)</f>
        <v/>
      </c>
    </row>
    <row r="29">
      <c r="A29" t="inlineStr">
        <is>
          <t>R &amp; D Maintenance</t>
        </is>
      </c>
      <c r="B29" s="29" t="n">
        <v>0</v>
      </c>
      <c r="C29" s="29" t="n">
        <v>0</v>
      </c>
      <c r="D29" s="29" t="n">
        <v>0</v>
      </c>
      <c r="E29" s="29" t="n">
        <v>0</v>
      </c>
      <c r="F29" s="29" t="n">
        <v>0</v>
      </c>
      <c r="G29" s="29" t="n">
        <v>0</v>
      </c>
      <c r="H29" s="29" t="n">
        <v>0</v>
      </c>
      <c r="I29" s="29" t="n">
        <v>0</v>
      </c>
      <c r="J29" s="29" t="n">
        <v>0</v>
      </c>
      <c r="K29" s="29" t="n">
        <v>0</v>
      </c>
      <c r="L29" s="29" t="n">
        <v>0</v>
      </c>
      <c r="M29" s="29" t="n">
        <v>0</v>
      </c>
      <c r="N29" s="29">
        <f>SUM(B29:M29)</f>
        <v/>
      </c>
    </row>
    <row r="30">
      <c r="A30" t="inlineStr">
        <is>
          <t>Staff</t>
        </is>
      </c>
      <c r="B30" s="29" t="n">
        <v>0</v>
      </c>
      <c r="C30" s="29" t="n">
        <v>0</v>
      </c>
      <c r="D30" s="29" t="n">
        <v>0</v>
      </c>
      <c r="E30" s="29" t="n">
        <v>0</v>
      </c>
      <c r="F30" s="29" t="n">
        <v>0</v>
      </c>
      <c r="G30" s="29" t="n">
        <v>0</v>
      </c>
      <c r="H30" s="29" t="n">
        <v>0</v>
      </c>
      <c r="I30" s="29" t="n">
        <v>0</v>
      </c>
      <c r="J30" s="29" t="n">
        <v>0</v>
      </c>
      <c r="K30" s="29" t="n">
        <v>0</v>
      </c>
      <c r="L30" s="29" t="n">
        <v>0</v>
      </c>
      <c r="M30" s="29" t="n">
        <v>0</v>
      </c>
      <c r="N30" s="29">
        <f>SUM(B30:M30)</f>
        <v/>
      </c>
    </row>
    <row r="31">
      <c r="A31" t="inlineStr">
        <is>
          <t>Communications</t>
        </is>
      </c>
      <c r="B31" s="29" t="n">
        <v>0</v>
      </c>
      <c r="C31" s="29" t="n">
        <v>0</v>
      </c>
      <c r="D31" s="29" t="n">
        <v>0</v>
      </c>
      <c r="E31" s="29" t="n">
        <v>0</v>
      </c>
      <c r="F31" s="29" t="n">
        <v>0</v>
      </c>
      <c r="G31" s="29" t="n">
        <v>0</v>
      </c>
      <c r="H31" s="29" t="n">
        <v>0</v>
      </c>
      <c r="I31" s="29" t="n">
        <v>0</v>
      </c>
      <c r="J31" s="29" t="n">
        <v>0</v>
      </c>
      <c r="K31" s="29" t="n">
        <v>0</v>
      </c>
      <c r="L31" s="29" t="n">
        <v>0</v>
      </c>
      <c r="M31" s="29" t="n">
        <v>0</v>
      </c>
      <c r="N31" s="29">
        <f>SUM(B31:M31)</f>
        <v/>
      </c>
    </row>
    <row r="32">
      <c r="A32" t="inlineStr">
        <is>
          <t>Incorporation Fees</t>
        </is>
      </c>
      <c r="B32" s="29" t="n">
        <v>0</v>
      </c>
      <c r="C32" s="29" t="n">
        <v>0</v>
      </c>
      <c r="D32" s="29" t="n">
        <v>0</v>
      </c>
      <c r="E32" s="29" t="n">
        <v>0</v>
      </c>
      <c r="F32" s="29" t="n">
        <v>0</v>
      </c>
      <c r="G32" s="29" t="n">
        <v>0</v>
      </c>
      <c r="H32" s="29" t="n">
        <v>0</v>
      </c>
      <c r="I32" s="29" t="n">
        <v>0</v>
      </c>
      <c r="J32" s="29" t="n">
        <v>0</v>
      </c>
      <c r="K32" s="29" t="n">
        <v>0</v>
      </c>
      <c r="L32" s="29" t="n">
        <v>0</v>
      </c>
      <c r="M32" s="29" t="n">
        <v>0</v>
      </c>
      <c r="N32" s="29">
        <f>SUM(B32:M32)</f>
        <v/>
      </c>
    </row>
    <row r="33">
      <c r="A33" t="inlineStr">
        <is>
          <t>Website Design</t>
        </is>
      </c>
      <c r="B33" s="29" t="n">
        <v>0</v>
      </c>
      <c r="C33" s="29" t="n">
        <v>0</v>
      </c>
      <c r="D33" s="29" t="n">
        <v>0</v>
      </c>
      <c r="E33" s="29" t="n">
        <v>0</v>
      </c>
      <c r="F33" s="29" t="n">
        <v>0</v>
      </c>
      <c r="G33" s="29" t="n">
        <v>0</v>
      </c>
      <c r="H33" s="29" t="n">
        <v>0</v>
      </c>
      <c r="I33" s="29" t="n">
        <v>0</v>
      </c>
      <c r="J33" s="29" t="n">
        <v>0</v>
      </c>
      <c r="K33" s="29" t="n">
        <v>0</v>
      </c>
      <c r="L33" s="29" t="n">
        <v>0</v>
      </c>
      <c r="M33" s="29" t="n">
        <v>0</v>
      </c>
      <c r="N33" s="29">
        <f>SUM(B33:M33)</f>
        <v/>
      </c>
    </row>
    <row r="34">
      <c r="A34" t="inlineStr">
        <is>
          <t>Website Maintenance</t>
        </is>
      </c>
      <c r="B34" s="29" t="n">
        <v>0</v>
      </c>
      <c r="C34" s="29" t="n">
        <v>0</v>
      </c>
      <c r="D34" s="29" t="n">
        <v>0</v>
      </c>
      <c r="E34" s="29" t="n">
        <v>0</v>
      </c>
      <c r="F34" s="29" t="n">
        <v>0</v>
      </c>
      <c r="G34" s="29" t="n">
        <v>0</v>
      </c>
      <c r="H34" s="29" t="n">
        <v>0</v>
      </c>
      <c r="I34" s="29" t="n">
        <v>0</v>
      </c>
      <c r="J34" s="29" t="n">
        <v>0</v>
      </c>
      <c r="K34" s="29" t="n">
        <v>0</v>
      </c>
      <c r="L34" s="29" t="n">
        <v>0</v>
      </c>
      <c r="M34" s="29" t="n">
        <v>0</v>
      </c>
      <c r="N34" s="29">
        <f>SUM(B34:M34)</f>
        <v/>
      </c>
    </row>
    <row r="35">
      <c r="A35" t="inlineStr">
        <is>
          <t>Travel</t>
        </is>
      </c>
      <c r="B35" s="29" t="n">
        <v>0</v>
      </c>
      <c r="C35" s="29" t="n">
        <v>0</v>
      </c>
      <c r="D35" s="29" t="n">
        <v>0</v>
      </c>
      <c r="E35" s="29" t="n">
        <v>0</v>
      </c>
      <c r="F35" s="29" t="n">
        <v>0</v>
      </c>
      <c r="G35" s="29" t="n">
        <v>0</v>
      </c>
      <c r="H35" s="29" t="n">
        <v>0</v>
      </c>
      <c r="I35" s="29" t="n">
        <v>0</v>
      </c>
      <c r="J35" s="29" t="n">
        <v>0</v>
      </c>
      <c r="K35" s="29" t="n">
        <v>0</v>
      </c>
      <c r="L35" s="29" t="n">
        <v>0</v>
      </c>
      <c r="M35" s="29" t="n">
        <v>0</v>
      </c>
      <c r="N35" s="29">
        <f>SUM(B35:M35)</f>
        <v/>
      </c>
    </row>
    <row r="36">
      <c r="A36" t="inlineStr">
        <is>
          <t>Vehicle Rental</t>
        </is>
      </c>
      <c r="B36" s="29" t="n">
        <v>0</v>
      </c>
      <c r="C36" s="29" t="n">
        <v>0</v>
      </c>
      <c r="D36" s="29" t="n">
        <v>0</v>
      </c>
      <c r="E36" s="29" t="n">
        <v>0</v>
      </c>
      <c r="F36" s="29" t="n">
        <v>0</v>
      </c>
      <c r="G36" s="29" t="n">
        <v>0</v>
      </c>
      <c r="H36" s="29" t="n">
        <v>0</v>
      </c>
      <c r="I36" s="29" t="n">
        <v>0</v>
      </c>
      <c r="J36" s="29" t="n">
        <v>0</v>
      </c>
      <c r="K36" s="29" t="n">
        <v>0</v>
      </c>
      <c r="L36" s="29" t="n">
        <v>0</v>
      </c>
      <c r="M36" s="29" t="n">
        <v>0</v>
      </c>
      <c r="N36" s="29">
        <f>SUM(B36:M36)</f>
        <v/>
      </c>
    </row>
    <row r="37">
      <c r="A37" t="inlineStr">
        <is>
          <t>Marketing</t>
        </is>
      </c>
      <c r="B37" s="29" t="n">
        <v>0</v>
      </c>
      <c r="C37" s="29" t="n">
        <v>0</v>
      </c>
      <c r="D37" s="29" t="n">
        <v>0</v>
      </c>
      <c r="E37" s="29" t="n">
        <v>0</v>
      </c>
      <c r="F37" s="29" t="n">
        <v>0</v>
      </c>
      <c r="G37" s="29" t="n">
        <v>0</v>
      </c>
      <c r="H37" s="29" t="n">
        <v>0</v>
      </c>
      <c r="I37" s="29" t="n">
        <v>0</v>
      </c>
      <c r="J37" s="29" t="n">
        <v>0</v>
      </c>
      <c r="K37" s="29" t="n">
        <v>0</v>
      </c>
      <c r="L37" s="29" t="n">
        <v>0</v>
      </c>
      <c r="M37" s="29" t="n">
        <v>0</v>
      </c>
      <c r="N37" s="29">
        <f>SUM(B37:M37)</f>
        <v/>
      </c>
    </row>
    <row r="38">
      <c r="A38" t="inlineStr">
        <is>
          <t>Total Expenses Cash Out</t>
        </is>
      </c>
      <c r="B38" s="29">
        <f>SUM(B22:B37)</f>
        <v/>
      </c>
      <c r="C38" s="29">
        <f>SUM(C22:C37)</f>
        <v/>
      </c>
      <c r="D38" s="29">
        <f>SUM(D22:D37)</f>
        <v/>
      </c>
      <c r="E38" s="29">
        <f>SUM(E22:E37)</f>
        <v/>
      </c>
      <c r="F38" s="29">
        <f>SUM(F22:F37)</f>
        <v/>
      </c>
      <c r="G38" s="29">
        <f>SUM(G22:G37)</f>
        <v/>
      </c>
      <c r="H38" s="29">
        <f>SUM(H22:H37)</f>
        <v/>
      </c>
      <c r="I38" s="29">
        <f>SUM(I22:I37)</f>
        <v/>
      </c>
      <c r="J38" s="29">
        <f>SUM(J22:J37)</f>
        <v/>
      </c>
      <c r="K38" s="29">
        <f>SUM(K22:K37)</f>
        <v/>
      </c>
      <c r="L38" s="29">
        <f>SUM(L22:L37)</f>
        <v/>
      </c>
      <c r="M38" s="29">
        <f>SUM(M22:M37)</f>
        <v/>
      </c>
      <c r="N38" s="29">
        <f>SUM(N22:N37)</f>
        <v/>
      </c>
    </row>
    <row r="39">
      <c r="B39" s="29" t="n"/>
      <c r="C39" s="29" t="n"/>
      <c r="D39" s="29" t="n"/>
      <c r="E39" s="29" t="n"/>
      <c r="F39" s="29" t="n"/>
      <c r="G39" s="29" t="n"/>
      <c r="H39" s="29" t="n"/>
      <c r="I39" s="29" t="n"/>
      <c r="J39" s="29" t="n"/>
      <c r="K39" s="29" t="n"/>
      <c r="L39" s="29" t="n"/>
      <c r="M39" s="29" t="n"/>
      <c r="N39" s="29" t="n"/>
    </row>
    <row r="40">
      <c r="A40" t="inlineStr">
        <is>
          <t>Computer Equpment</t>
        </is>
      </c>
      <c r="B40" s="29" t="n">
        <v>0</v>
      </c>
      <c r="C40" s="29" t="n">
        <v>0</v>
      </c>
      <c r="D40" s="29" t="n">
        <v>0</v>
      </c>
      <c r="E40" s="29" t="n">
        <v>0</v>
      </c>
      <c r="F40" s="29" t="n">
        <v>0</v>
      </c>
      <c r="G40" s="29" t="n">
        <v>0</v>
      </c>
      <c r="H40" s="29" t="n">
        <v>0</v>
      </c>
      <c r="I40" s="29" t="n">
        <v>0</v>
      </c>
      <c r="J40" s="29" t="n">
        <v>0</v>
      </c>
      <c r="K40" s="29" t="n">
        <v>0</v>
      </c>
      <c r="L40" s="29" t="n">
        <v>0</v>
      </c>
      <c r="M40" s="29" t="n">
        <v>0</v>
      </c>
      <c r="N40" s="29">
        <f>SUM(B40:M40)</f>
        <v/>
      </c>
    </row>
    <row r="41">
      <c r="A41" t="inlineStr">
        <is>
          <t>Communications</t>
        </is>
      </c>
      <c r="B41" s="29" t="n">
        <v>0</v>
      </c>
      <c r="C41" s="29" t="n">
        <v>0</v>
      </c>
      <c r="D41" s="29" t="n">
        <v>0</v>
      </c>
      <c r="E41" s="29" t="n">
        <v>0</v>
      </c>
      <c r="F41" s="29" t="n">
        <v>0</v>
      </c>
      <c r="G41" s="29" t="n">
        <v>0</v>
      </c>
      <c r="H41" s="29" t="n">
        <v>0</v>
      </c>
      <c r="I41" s="29" t="n">
        <v>0</v>
      </c>
      <c r="J41" s="29" t="n">
        <v>0</v>
      </c>
      <c r="K41" s="29" t="n">
        <v>0</v>
      </c>
      <c r="L41" s="29" t="n">
        <v>0</v>
      </c>
      <c r="M41" s="29" t="n">
        <v>0</v>
      </c>
      <c r="N41" s="29">
        <f>SUM(B41:M41)</f>
        <v/>
      </c>
    </row>
    <row r="42">
      <c r="A42" t="inlineStr">
        <is>
          <t>Furniture</t>
        </is>
      </c>
      <c r="B42" s="29" t="n">
        <v>0</v>
      </c>
      <c r="C42" s="29" t="n">
        <v>0</v>
      </c>
      <c r="D42" s="29" t="n">
        <v>0</v>
      </c>
      <c r="E42" s="29" t="n">
        <v>0</v>
      </c>
      <c r="F42" s="29" t="n">
        <v>0</v>
      </c>
      <c r="G42" s="29" t="n">
        <v>0</v>
      </c>
      <c r="H42" s="29" t="n">
        <v>0</v>
      </c>
      <c r="I42" s="29" t="n">
        <v>0</v>
      </c>
      <c r="J42" s="29" t="n">
        <v>0</v>
      </c>
      <c r="K42" s="29" t="n">
        <v>0</v>
      </c>
      <c r="L42" s="29" t="n">
        <v>0</v>
      </c>
      <c r="M42" s="29" t="n">
        <v>0</v>
      </c>
      <c r="N42" s="29">
        <f>SUM(B42:M42)</f>
        <v/>
      </c>
    </row>
    <row r="43">
      <c r="A43" t="inlineStr">
        <is>
          <t>Buildings</t>
        </is>
      </c>
      <c r="B43" s="29" t="n">
        <v>0</v>
      </c>
      <c r="C43" s="29" t="n">
        <v>0</v>
      </c>
      <c r="D43" s="29" t="n">
        <v>0</v>
      </c>
      <c r="E43" s="29" t="n">
        <v>0</v>
      </c>
      <c r="F43" s="29" t="n">
        <v>0</v>
      </c>
      <c r="G43" s="29" t="n">
        <v>0</v>
      </c>
      <c r="H43" s="29" t="n">
        <v>0</v>
      </c>
      <c r="I43" s="29" t="n">
        <v>0</v>
      </c>
      <c r="J43" s="29" t="n">
        <v>0</v>
      </c>
      <c r="K43" s="29" t="n">
        <v>0</v>
      </c>
      <c r="L43" s="29" t="n">
        <v>0</v>
      </c>
      <c r="M43" s="29" t="n">
        <v>0</v>
      </c>
      <c r="N43" s="29">
        <f>SUM(B43:M43)</f>
        <v/>
      </c>
    </row>
    <row r="44">
      <c r="A44" t="inlineStr">
        <is>
          <t>Total Assets Cash Out</t>
        </is>
      </c>
      <c r="B44" s="29">
        <f>SUM(B40:B43)</f>
        <v/>
      </c>
      <c r="C44" s="29">
        <f>SUM(C40:C43)</f>
        <v/>
      </c>
      <c r="D44" s="29">
        <f>SUM(D40:D43)</f>
        <v/>
      </c>
      <c r="E44" s="29">
        <f>SUM(E40:E43)</f>
        <v/>
      </c>
      <c r="F44" s="29">
        <f>SUM(F40:F43)</f>
        <v/>
      </c>
      <c r="G44" s="29">
        <f>SUM(G40:G43)</f>
        <v/>
      </c>
      <c r="H44" s="29">
        <f>SUM(H40:H43)</f>
        <v/>
      </c>
      <c r="I44" s="29">
        <f>SUM(I40:I43)</f>
        <v/>
      </c>
      <c r="J44" s="29">
        <f>SUM(J40:J43)</f>
        <v/>
      </c>
      <c r="K44" s="29">
        <f>SUM(K40:K43)</f>
        <v/>
      </c>
      <c r="L44" s="29">
        <f>SUM(L40:L43)</f>
        <v/>
      </c>
      <c r="M44" s="29">
        <f>SUM(M40:M43)</f>
        <v/>
      </c>
      <c r="N44" s="29">
        <f>SUM(N40:N43)</f>
        <v/>
      </c>
    </row>
    <row r="45">
      <c r="B45" s="29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29" t="n"/>
      <c r="M45" s="29" t="n"/>
      <c r="N45" s="29" t="n"/>
    </row>
    <row r="46">
      <c r="A46" t="inlineStr">
        <is>
          <t>Closing Cash</t>
        </is>
      </c>
      <c r="B46" s="29">
        <f>B9+B14-B20-B38-B44+B16</f>
        <v/>
      </c>
      <c r="C46" s="29">
        <f>C9+C14-C20-C38-C44+C16</f>
        <v/>
      </c>
      <c r="D46" s="29">
        <f>D9+D14-D20-D38-D44+D16</f>
        <v/>
      </c>
      <c r="E46" s="29">
        <f>E9+E14-E20-E38-E44+E16</f>
        <v/>
      </c>
      <c r="F46" s="29">
        <f>F9+F14-F20-F38-F44+F16</f>
        <v/>
      </c>
      <c r="G46" s="29">
        <f>G9+G14-G20-G38-G44+G16</f>
        <v/>
      </c>
      <c r="H46" s="29">
        <f>H9+H14-H20-H38-H44+H16</f>
        <v/>
      </c>
      <c r="I46" s="29">
        <f>I9+I14-I20-I38-I44+I16</f>
        <v/>
      </c>
      <c r="J46" s="29">
        <f>J9+J14-J20-J38-J44+J16</f>
        <v/>
      </c>
      <c r="K46" s="29">
        <f>K9+K14-K20-K38-K44+K16</f>
        <v/>
      </c>
      <c r="L46" s="29">
        <f>L9+L14-L20-L38-L44+L16</f>
        <v/>
      </c>
      <c r="M46" s="29">
        <f>M9+M14-M20-M38-M44+M16</f>
        <v/>
      </c>
      <c r="N46" s="29" t="n"/>
    </row>
    <row r="47">
      <c r="B47" s="29" t="n"/>
      <c r="C47" s="29" t="n"/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  <c r="M47" s="29" t="n"/>
    </row>
    <row r="48">
      <c r="B48" s="29" t="n"/>
      <c r="C48" s="29" t="n"/>
      <c r="D48" s="29" t="n"/>
      <c r="E48" s="29" t="n"/>
      <c r="F48" s="29" t="n"/>
      <c r="G48" s="29" t="n"/>
      <c r="H48" s="29" t="n"/>
      <c r="I48" s="29" t="n"/>
      <c r="J48" s="29" t="n"/>
      <c r="K48" s="29" t="n"/>
      <c r="L48" s="29" t="n"/>
      <c r="M48" s="29" t="n"/>
    </row>
    <row r="49">
      <c r="A49" t="inlineStr">
        <is>
          <t>Revenue</t>
        </is>
      </c>
      <c r="B49" s="29">
        <f>B7</f>
        <v/>
      </c>
      <c r="C49" s="29">
        <f>C7</f>
        <v/>
      </c>
      <c r="D49" s="29">
        <f>D7</f>
        <v/>
      </c>
      <c r="E49" s="29">
        <f>E7</f>
        <v/>
      </c>
      <c r="F49" s="29">
        <f>F7</f>
        <v/>
      </c>
      <c r="G49" s="29">
        <f>G7</f>
        <v/>
      </c>
      <c r="H49" s="29">
        <f>H7</f>
        <v/>
      </c>
      <c r="I49" s="29">
        <f>I7</f>
        <v/>
      </c>
      <c r="J49" s="29">
        <f>J7</f>
        <v/>
      </c>
      <c r="K49" s="29">
        <f>K7</f>
        <v/>
      </c>
      <c r="L49" s="29">
        <f>L7</f>
        <v/>
      </c>
      <c r="M49" s="29">
        <f>M7</f>
        <v/>
      </c>
    </row>
    <row r="50">
      <c r="B50" s="29" t="n"/>
      <c r="C50" s="29" t="n"/>
      <c r="D50" s="29" t="n"/>
      <c r="E50" s="29" t="n"/>
      <c r="F50" s="29" t="n"/>
      <c r="G50" s="29" t="n"/>
      <c r="H50" s="29" t="n"/>
      <c r="I50" s="29" t="n"/>
      <c r="J50" s="29" t="n"/>
      <c r="K50" s="29" t="n"/>
      <c r="L50" s="29" t="n"/>
      <c r="M50" s="29" t="n"/>
    </row>
    <row r="51">
      <c r="A51" t="inlineStr">
        <is>
          <t>Cost of Revenue</t>
        </is>
      </c>
      <c r="B51" s="29" t="n">
        <v>0</v>
      </c>
      <c r="C51" s="29" t="n">
        <v>0</v>
      </c>
      <c r="D51" s="29" t="n">
        <v>0</v>
      </c>
      <c r="E51" s="29" t="n">
        <v>0</v>
      </c>
      <c r="F51" s="29" t="n">
        <v>0</v>
      </c>
      <c r="G51" s="29" t="n">
        <v>0</v>
      </c>
      <c r="H51" s="29" t="n">
        <v>0</v>
      </c>
      <c r="I51" s="29" t="n">
        <v>0</v>
      </c>
      <c r="J51" s="29" t="n">
        <v>0</v>
      </c>
      <c r="K51" s="29" t="n">
        <v>0</v>
      </c>
      <c r="L51" s="29" t="n">
        <v>0</v>
      </c>
      <c r="M51" s="29" t="n">
        <v>0</v>
      </c>
    </row>
    <row r="52">
      <c r="B52" s="29" t="n"/>
      <c r="C52" s="29" t="n"/>
      <c r="D52" s="29" t="n"/>
      <c r="E52" s="29" t="n"/>
      <c r="F52" s="29" t="n"/>
      <c r="G52" s="29" t="n"/>
      <c r="H52" s="29" t="n"/>
      <c r="I52" s="29" t="n"/>
      <c r="J52" s="29" t="n"/>
      <c r="K52" s="29" t="n"/>
      <c r="L52" s="29" t="n"/>
      <c r="M52" s="29" t="n"/>
    </row>
    <row r="53">
      <c r="A53" t="inlineStr">
        <is>
          <t>Gross Profit</t>
        </is>
      </c>
      <c r="B53" s="29">
        <f>B49-B51</f>
        <v/>
      </c>
      <c r="C53" s="29">
        <f>C49-C51</f>
        <v/>
      </c>
      <c r="D53" s="29">
        <f>D49-D51</f>
        <v/>
      </c>
      <c r="E53" s="29">
        <f>E49-E51</f>
        <v/>
      </c>
      <c r="F53" s="29">
        <f>F49-F51</f>
        <v/>
      </c>
      <c r="G53" s="29">
        <f>G49-G51</f>
        <v/>
      </c>
      <c r="H53" s="29">
        <f>H49-H51</f>
        <v/>
      </c>
      <c r="I53" s="29">
        <f>I49-I51</f>
        <v/>
      </c>
      <c r="J53" s="29">
        <f>J49-J51</f>
        <v/>
      </c>
      <c r="K53" s="29">
        <f>K49-K51</f>
        <v/>
      </c>
      <c r="L53" s="29">
        <f>L49-L51</f>
        <v/>
      </c>
      <c r="M53" s="29">
        <f>M49-M51</f>
        <v/>
      </c>
    </row>
    <row r="54">
      <c r="B54" s="29" t="n"/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</row>
    <row r="55">
      <c r="A55" t="inlineStr">
        <is>
          <t>Expenses</t>
        </is>
      </c>
      <c r="B55" s="29">
        <f>B38</f>
        <v/>
      </c>
      <c r="C55" s="29">
        <f>C38</f>
        <v/>
      </c>
      <c r="D55" s="29">
        <f>D38</f>
        <v/>
      </c>
      <c r="E55" s="29">
        <f>E38</f>
        <v/>
      </c>
      <c r="F55" s="29">
        <f>F38</f>
        <v/>
      </c>
      <c r="G55" s="29">
        <f>G38</f>
        <v/>
      </c>
      <c r="H55" s="29">
        <f>H38</f>
        <v/>
      </c>
      <c r="I55" s="29">
        <f>I38</f>
        <v/>
      </c>
      <c r="J55" s="29">
        <f>J38</f>
        <v/>
      </c>
      <c r="K55" s="29">
        <f>K38</f>
        <v/>
      </c>
      <c r="L55" s="29">
        <f>L38</f>
        <v/>
      </c>
      <c r="M55" s="29">
        <f>M38</f>
        <v/>
      </c>
    </row>
    <row r="56">
      <c r="B56" s="29" t="n"/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</row>
    <row r="57">
      <c r="A57" t="inlineStr">
        <is>
          <t>Net Profit</t>
        </is>
      </c>
      <c r="B57" s="29">
        <f>B53-B55</f>
        <v/>
      </c>
      <c r="C57" s="29">
        <f>C53-C55</f>
        <v/>
      </c>
      <c r="D57" s="29">
        <f>D53-D55</f>
        <v/>
      </c>
      <c r="E57" s="29">
        <f>E53-E55</f>
        <v/>
      </c>
      <c r="F57" s="29">
        <f>F53-F55</f>
        <v/>
      </c>
      <c r="G57" s="29">
        <f>G53-G55</f>
        <v/>
      </c>
      <c r="H57" s="29">
        <f>H53-H55</f>
        <v/>
      </c>
      <c r="I57" s="29">
        <f>I53-I55</f>
        <v/>
      </c>
      <c r="J57" s="29">
        <f>J53-J55</f>
        <v/>
      </c>
      <c r="K57" s="29">
        <f>K53-K55</f>
        <v/>
      </c>
      <c r="L57" s="29">
        <f>L53-L55</f>
        <v/>
      </c>
      <c r="M57" s="29">
        <f>M53-M55</f>
        <v/>
      </c>
    </row>
    <row r="59">
      <c r="A59" t="inlineStr">
        <is>
          <t>Cumulative Net Profit</t>
        </is>
      </c>
      <c r="B59" s="34">
        <f>B57+'Year 4 Cash Budget'!M59</f>
        <v/>
      </c>
      <c r="C59" s="34">
        <f>B59+C57</f>
        <v/>
      </c>
      <c r="D59" s="34">
        <f>C59+D57</f>
        <v/>
      </c>
      <c r="E59" s="34">
        <f>D59+E57</f>
        <v/>
      </c>
      <c r="F59" s="34">
        <f>E59+F57</f>
        <v/>
      </c>
      <c r="G59" s="34">
        <f>F59+G57</f>
        <v/>
      </c>
      <c r="H59" s="34">
        <f>G59+H57</f>
        <v/>
      </c>
      <c r="I59" s="34">
        <f>H59+I57</f>
        <v/>
      </c>
      <c r="J59" s="34">
        <f>I59+J57</f>
        <v/>
      </c>
      <c r="K59" s="34">
        <f>J59+K57</f>
        <v/>
      </c>
      <c r="L59" s="34">
        <f>K59+L57</f>
        <v/>
      </c>
      <c r="M59" s="34">
        <f>L59+M57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I8"/>
  <sheetViews>
    <sheetView workbookViewId="0">
      <selection activeCell="F27" sqref="F27"/>
    </sheetView>
  </sheetViews>
  <sheetFormatPr baseColWidth="10" defaultColWidth="11" defaultRowHeight="15.5"/>
  <cols>
    <col width="23.83203125" bestFit="1" customWidth="1" min="1" max="1"/>
  </cols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</row>
    <row r="2">
      <c r="A2" t="inlineStr">
        <is>
          <t>Customers</t>
        </is>
      </c>
    </row>
    <row r="3">
      <c r="A3" t="inlineStr">
        <is>
          <t>Closing Cash Balance</t>
        </is>
      </c>
      <c r="B3" s="29">
        <f>'Year 1 Cash Budget'!C46</f>
        <v/>
      </c>
      <c r="C3" s="29">
        <f>'Year 1 Cash Budget'!D46</f>
        <v/>
      </c>
      <c r="D3" s="29">
        <f>'Year 1 Cash Budget'!E46</f>
        <v/>
      </c>
      <c r="E3" s="29">
        <f>'Year 1 Cash Budget'!F46</f>
        <v/>
      </c>
      <c r="F3" s="29">
        <f>'Year 1 Cash Budget'!G46</f>
        <v/>
      </c>
      <c r="G3" s="29">
        <f>'Year 1 Cash Budget'!H46</f>
        <v/>
      </c>
      <c r="H3" s="29">
        <f>'Year 1 Cash Budget'!I46</f>
        <v/>
      </c>
      <c r="I3" s="29">
        <f>'Year 1 Cash Budget'!J46</f>
        <v/>
      </c>
      <c r="J3" s="29">
        <f>'Year 1 Cash Budget'!K46</f>
        <v/>
      </c>
      <c r="K3" s="29">
        <f>'Year 1 Cash Budget'!L46</f>
        <v/>
      </c>
      <c r="L3" s="29">
        <f>'Year 1 Cash Budget'!M46</f>
        <v/>
      </c>
      <c r="M3" s="29">
        <f>'Year 1 Cash Budget'!N46</f>
        <v/>
      </c>
      <c r="N3" s="29">
        <f>'Year 2 Cash Budget'!B46</f>
        <v/>
      </c>
      <c r="O3" s="29">
        <f>'Year 2 Cash Budget'!C46</f>
        <v/>
      </c>
      <c r="P3" s="29">
        <f>'Year 2 Cash Budget'!D46</f>
        <v/>
      </c>
      <c r="Q3" s="29">
        <f>'Year 2 Cash Budget'!E46</f>
        <v/>
      </c>
      <c r="R3" s="29">
        <f>'Year 2 Cash Budget'!F46</f>
        <v/>
      </c>
      <c r="S3" s="29">
        <f>'Year 2 Cash Budget'!G46</f>
        <v/>
      </c>
      <c r="T3" s="29">
        <f>'Year 2 Cash Budget'!H46</f>
        <v/>
      </c>
      <c r="U3" s="29">
        <f>'Year 2 Cash Budget'!I46</f>
        <v/>
      </c>
      <c r="V3" s="29">
        <f>'Year 2 Cash Budget'!J46</f>
        <v/>
      </c>
      <c r="W3" s="29">
        <f>'Year 2 Cash Budget'!K46</f>
        <v/>
      </c>
      <c r="X3" s="29">
        <f>'Year 2 Cash Budget'!L46</f>
        <v/>
      </c>
      <c r="Y3" s="29">
        <f>'Year 2 Cash Budget'!M46</f>
        <v/>
      </c>
      <c r="Z3" s="29">
        <f>'Year 3 Cash Budget'!B46</f>
        <v/>
      </c>
      <c r="AA3" s="29">
        <f>'Year 3 Cash Budget'!C46</f>
        <v/>
      </c>
      <c r="AB3" s="29">
        <f>'Year 3 Cash Budget'!D46</f>
        <v/>
      </c>
      <c r="AC3" s="29">
        <f>'Year 3 Cash Budget'!E46</f>
        <v/>
      </c>
      <c r="AD3" s="29">
        <f>'Year 3 Cash Budget'!F46</f>
        <v/>
      </c>
      <c r="AE3" s="29">
        <f>'Year 3 Cash Budget'!G46</f>
        <v/>
      </c>
      <c r="AF3" s="29">
        <f>'Year 3 Cash Budget'!H46</f>
        <v/>
      </c>
      <c r="AG3" s="29">
        <f>'Year 3 Cash Budget'!I46</f>
        <v/>
      </c>
      <c r="AH3" s="29">
        <f>'Year 3 Cash Budget'!J46</f>
        <v/>
      </c>
      <c r="AI3" s="29">
        <f>'Year 3 Cash Budget'!K46</f>
        <v/>
      </c>
      <c r="AJ3" s="29">
        <f>'Year 3 Cash Budget'!L46</f>
        <v/>
      </c>
      <c r="AK3" s="29">
        <f>'Year 3 Cash Budget'!M46</f>
        <v/>
      </c>
      <c r="AL3" s="29">
        <f>'Year 4 Cash Budget'!B46</f>
        <v/>
      </c>
      <c r="AM3" s="29">
        <f>'Year 4 Cash Budget'!C46</f>
        <v/>
      </c>
      <c r="AN3" s="29">
        <f>'Year 4 Cash Budget'!D46</f>
        <v/>
      </c>
      <c r="AO3" s="29">
        <f>'Year 4 Cash Budget'!E46</f>
        <v/>
      </c>
      <c r="AP3" s="29">
        <f>'Year 4 Cash Budget'!F46</f>
        <v/>
      </c>
      <c r="AQ3" s="29">
        <f>'Year 4 Cash Budget'!G46</f>
        <v/>
      </c>
      <c r="AR3" s="29">
        <f>'Year 4 Cash Budget'!H46</f>
        <v/>
      </c>
      <c r="AS3" s="29">
        <f>'Year 4 Cash Budget'!I46</f>
        <v/>
      </c>
      <c r="AT3" s="29">
        <f>'Year 4 Cash Budget'!J46</f>
        <v/>
      </c>
      <c r="AU3" s="29">
        <f>'Year 4 Cash Budget'!K46</f>
        <v/>
      </c>
      <c r="AV3" s="29">
        <f>'Year 4 Cash Budget'!L46</f>
        <v/>
      </c>
      <c r="AW3" s="29">
        <f>'Year 4 Cash Budget'!M46</f>
        <v/>
      </c>
      <c r="AX3" s="29">
        <f>'Year 5 Cash Budget'!B46</f>
        <v/>
      </c>
      <c r="AY3" s="29">
        <f>'Year 5 Cash Budget'!C46</f>
        <v/>
      </c>
      <c r="AZ3" s="29">
        <f>'Year 5 Cash Budget'!D46</f>
        <v/>
      </c>
      <c r="BA3" s="29">
        <f>'Year 5 Cash Budget'!E46</f>
        <v/>
      </c>
      <c r="BB3" s="29">
        <f>'Year 5 Cash Budget'!F46</f>
        <v/>
      </c>
      <c r="BC3" s="29">
        <f>'Year 5 Cash Budget'!G46</f>
        <v/>
      </c>
      <c r="BD3" s="29">
        <f>'Year 5 Cash Budget'!H46</f>
        <v/>
      </c>
      <c r="BE3" s="29">
        <f>'Year 5 Cash Budget'!I46</f>
        <v/>
      </c>
      <c r="BF3" s="29">
        <f>'Year 5 Cash Budget'!J46</f>
        <v/>
      </c>
      <c r="BG3" s="29">
        <f>'Year 5 Cash Budget'!K46</f>
        <v/>
      </c>
      <c r="BH3" s="29">
        <f>'Year 5 Cash Budget'!L46</f>
        <v/>
      </c>
      <c r="BI3" s="29">
        <f>'Year 5 Cash Budget'!M46</f>
        <v/>
      </c>
    </row>
    <row r="4">
      <c r="A4" t="inlineStr">
        <is>
          <t>Cash less investment</t>
        </is>
      </c>
      <c r="B4" s="29">
        <f>B3-'Startup &amp; Pre-Opening Costs'!$B$29</f>
        <v/>
      </c>
      <c r="C4" s="29">
        <f>C3-'Startup &amp; Pre-Opening Costs'!$B$29</f>
        <v/>
      </c>
      <c r="D4" s="29">
        <f>D3-'Startup &amp; Pre-Opening Costs'!$B$29</f>
        <v/>
      </c>
      <c r="E4" s="29">
        <f>E3-'Startup &amp; Pre-Opening Costs'!$B$29</f>
        <v/>
      </c>
      <c r="F4" s="29">
        <f>F3-'Startup &amp; Pre-Opening Costs'!$B$29</f>
        <v/>
      </c>
      <c r="G4" s="29">
        <f>G3-'Startup &amp; Pre-Opening Costs'!$B$29</f>
        <v/>
      </c>
      <c r="H4" s="29">
        <f>H3-'Startup &amp; Pre-Opening Costs'!$B$29</f>
        <v/>
      </c>
      <c r="I4" s="29">
        <f>I3-'Startup &amp; Pre-Opening Costs'!$B$29</f>
        <v/>
      </c>
      <c r="J4" s="29">
        <f>J3-'Startup &amp; Pre-Opening Costs'!$B$29</f>
        <v/>
      </c>
      <c r="K4" s="29">
        <f>K3-'Startup &amp; Pre-Opening Costs'!$B$29</f>
        <v/>
      </c>
      <c r="L4" s="29">
        <f>L3-'Startup &amp; Pre-Opening Costs'!$B$29</f>
        <v/>
      </c>
      <c r="M4" s="29">
        <f>M3-'Startup &amp; Pre-Opening Costs'!$B$29</f>
        <v/>
      </c>
      <c r="N4" s="29">
        <f>N3-'Startup &amp; Pre-Opening Costs'!$B$29</f>
        <v/>
      </c>
      <c r="O4" s="29">
        <f>O3-'Startup &amp; Pre-Opening Costs'!$B$29</f>
        <v/>
      </c>
      <c r="P4" s="29">
        <f>P3-'Startup &amp; Pre-Opening Costs'!$B$29</f>
        <v/>
      </c>
      <c r="Q4" s="29">
        <f>Q3-'Startup &amp; Pre-Opening Costs'!$B$29</f>
        <v/>
      </c>
      <c r="R4" s="29">
        <f>R3-'Startup &amp; Pre-Opening Costs'!$B$29</f>
        <v/>
      </c>
      <c r="S4" s="29">
        <f>S3-'Startup &amp; Pre-Opening Costs'!$B$29</f>
        <v/>
      </c>
      <c r="T4" s="29">
        <f>T3-'Startup &amp; Pre-Opening Costs'!$B$29</f>
        <v/>
      </c>
      <c r="U4" s="29">
        <f>U3-'Startup &amp; Pre-Opening Costs'!$B$29</f>
        <v/>
      </c>
      <c r="V4" s="29">
        <f>V3-'Startup &amp; Pre-Opening Costs'!$B$29</f>
        <v/>
      </c>
      <c r="W4" s="29">
        <f>W3-'Startup &amp; Pre-Opening Costs'!$B$29</f>
        <v/>
      </c>
      <c r="X4" s="29">
        <f>X3-'Startup &amp; Pre-Opening Costs'!$B$29</f>
        <v/>
      </c>
      <c r="Y4" s="29">
        <f>Y3-'Startup &amp; Pre-Opening Costs'!$B$29</f>
        <v/>
      </c>
      <c r="Z4" s="29">
        <f>Z3-'Startup &amp; Pre-Opening Costs'!$B$29</f>
        <v/>
      </c>
      <c r="AA4" s="29">
        <f>AA3-'Startup &amp; Pre-Opening Costs'!$B$29</f>
        <v/>
      </c>
      <c r="AB4" s="29">
        <f>AB3-'Startup &amp; Pre-Opening Costs'!$B$29</f>
        <v/>
      </c>
      <c r="AC4" s="29">
        <f>AC3-'Startup &amp; Pre-Opening Costs'!$B$29</f>
        <v/>
      </c>
      <c r="AD4" s="29">
        <f>AD3-'Startup &amp; Pre-Opening Costs'!$B$29</f>
        <v/>
      </c>
      <c r="AE4" s="29">
        <f>AE3-'Startup &amp; Pre-Opening Costs'!$B$29</f>
        <v/>
      </c>
      <c r="AF4" s="29">
        <f>AF3-'Startup &amp; Pre-Opening Costs'!$B$29</f>
        <v/>
      </c>
      <c r="AG4" s="29">
        <f>AG3-'Startup &amp; Pre-Opening Costs'!$B$29</f>
        <v/>
      </c>
      <c r="AH4" s="29">
        <f>AH3-'Startup &amp; Pre-Opening Costs'!$B$29</f>
        <v/>
      </c>
      <c r="AI4" s="29">
        <f>AI3-'Startup &amp; Pre-Opening Costs'!$B$29</f>
        <v/>
      </c>
      <c r="AJ4" s="29">
        <f>AJ3-'Startup &amp; Pre-Opening Costs'!$B$29</f>
        <v/>
      </c>
      <c r="AK4" s="29">
        <f>AK3-'Startup &amp; Pre-Opening Costs'!$B$29</f>
        <v/>
      </c>
      <c r="AL4" s="29">
        <f>AL3-'Startup &amp; Pre-Opening Costs'!$B$29</f>
        <v/>
      </c>
      <c r="AM4" s="29">
        <f>AM3-'Startup &amp; Pre-Opening Costs'!$B$29</f>
        <v/>
      </c>
      <c r="AN4" s="29">
        <f>AN3-'Startup &amp; Pre-Opening Costs'!$B$29</f>
        <v/>
      </c>
      <c r="AO4" s="29">
        <f>AO3-'Startup &amp; Pre-Opening Costs'!$B$29</f>
        <v/>
      </c>
      <c r="AP4" s="29">
        <f>AP3-'Startup &amp; Pre-Opening Costs'!$B$29</f>
        <v/>
      </c>
      <c r="AQ4" s="29">
        <f>AQ3-'Startup &amp; Pre-Opening Costs'!$B$29</f>
        <v/>
      </c>
      <c r="AR4" s="29">
        <f>AR3-'Startup &amp; Pre-Opening Costs'!$B$29</f>
        <v/>
      </c>
      <c r="AS4" s="29">
        <f>AS3-'Startup &amp; Pre-Opening Costs'!$B$29</f>
        <v/>
      </c>
      <c r="AT4" s="29">
        <f>AT3-'Startup &amp; Pre-Opening Costs'!$B$29</f>
        <v/>
      </c>
      <c r="AU4" s="29">
        <f>AU3-'Startup &amp; Pre-Opening Costs'!$B$29</f>
        <v/>
      </c>
      <c r="AV4" s="29">
        <f>AV3-'Startup &amp; Pre-Opening Costs'!$B$29</f>
        <v/>
      </c>
      <c r="AW4" s="29">
        <f>AW3-'Startup &amp; Pre-Opening Costs'!$B$29</f>
        <v/>
      </c>
      <c r="AX4" s="29">
        <f>AX3-'Startup &amp; Pre-Opening Costs'!$B$29</f>
        <v/>
      </c>
      <c r="AY4" s="29">
        <f>AY3-'Startup &amp; Pre-Opening Costs'!$B$29</f>
        <v/>
      </c>
      <c r="AZ4" s="29">
        <f>AZ3-'Startup &amp; Pre-Opening Costs'!$B$29</f>
        <v/>
      </c>
      <c r="BA4" s="29">
        <f>BA3-'Startup &amp; Pre-Opening Costs'!$B$29</f>
        <v/>
      </c>
      <c r="BB4" s="29">
        <f>BB3-'Startup &amp; Pre-Opening Costs'!$B$29</f>
        <v/>
      </c>
      <c r="BC4" s="29">
        <f>BC3-'Startup &amp; Pre-Opening Costs'!$B$29</f>
        <v/>
      </c>
      <c r="BD4" s="29">
        <f>BD3-'Startup &amp; Pre-Opening Costs'!$B$29</f>
        <v/>
      </c>
      <c r="BE4" s="29">
        <f>BE3-'Startup &amp; Pre-Opening Costs'!$B$29</f>
        <v/>
      </c>
      <c r="BF4" s="29">
        <f>BF3-'Startup &amp; Pre-Opening Costs'!$B$29</f>
        <v/>
      </c>
      <c r="BG4" s="29">
        <f>BG3-'Startup &amp; Pre-Opening Costs'!$B$29</f>
        <v/>
      </c>
      <c r="BH4" s="29">
        <f>BH3-'Startup &amp; Pre-Opening Costs'!$B$29</f>
        <v/>
      </c>
      <c r="BI4" s="29">
        <f>BI3-'Startup &amp; Pre-Opening Costs'!$B$29</f>
        <v/>
      </c>
    </row>
    <row r="5">
      <c r="A5" t="inlineStr">
        <is>
          <t>Cash Break Even</t>
        </is>
      </c>
      <c r="B5" s="29" t="n"/>
      <c r="C5" s="29">
        <f>IF(AND(B4&lt;0,C4&gt;=0), "CBE","")</f>
        <v/>
      </c>
      <c r="D5" s="29">
        <f>IF(AND(C4&lt;0,D4&gt;=0), "CBE","")</f>
        <v/>
      </c>
      <c r="E5" s="29">
        <f>IF(AND(D4&lt;0,E4&gt;=0), "CBE","")</f>
        <v/>
      </c>
      <c r="F5" s="29">
        <f>IF(AND(E4&lt;0,F4&gt;=0), "CBE","")</f>
        <v/>
      </c>
      <c r="G5" s="29">
        <f>IF(AND(F4&lt;0,G4&gt;=0), "CBE","")</f>
        <v/>
      </c>
      <c r="H5" s="29">
        <f>IF(AND(G4&lt;0,H4&gt;=0), "CBE","")</f>
        <v/>
      </c>
      <c r="I5" s="29">
        <f>IF(AND(H4&lt;0,I4&gt;=0), "CBE","")</f>
        <v/>
      </c>
      <c r="J5" s="29">
        <f>IF(AND(I4&lt;0,J4&gt;=0), "CBE","")</f>
        <v/>
      </c>
      <c r="K5" s="29">
        <f>IF(AND(J4&lt;0,K4&gt;=0), "CBE","")</f>
        <v/>
      </c>
      <c r="L5" s="29">
        <f>IF(AND(K4&lt;0,L4&gt;=0), "CBE","")</f>
        <v/>
      </c>
      <c r="M5" s="29">
        <f>IF(AND(L4&lt;0,M4&gt;=0), "CBE","")</f>
        <v/>
      </c>
      <c r="N5" s="29">
        <f>IF(AND(M4&lt;0,N4&gt;=0), "CBE","")</f>
        <v/>
      </c>
      <c r="O5" s="29">
        <f>IF(AND(N4&lt;0,O4&gt;=0), "CBE","")</f>
        <v/>
      </c>
      <c r="P5" s="29">
        <f>IF(AND(O4&lt;0,P4&gt;=0), "CBE","")</f>
        <v/>
      </c>
      <c r="Q5" s="29">
        <f>IF(AND(P4&lt;0,Q4&gt;=0), "CBE","")</f>
        <v/>
      </c>
      <c r="R5" s="29">
        <f>IF(AND(Q4&lt;0,R4&gt;=0), "CBE","")</f>
        <v/>
      </c>
      <c r="S5" s="29">
        <f>IF(AND(R4&lt;0,S4&gt;=0), "CBE","")</f>
        <v/>
      </c>
      <c r="T5" s="29">
        <f>IF(AND(S4&lt;0,T4&gt;=0), "CBE","")</f>
        <v/>
      </c>
      <c r="U5" s="29">
        <f>IF(AND(T4&lt;0,U4&gt;=0), "CBE","")</f>
        <v/>
      </c>
      <c r="V5" s="29">
        <f>IF(AND(U4&lt;0,V4&gt;=0), "CBE","")</f>
        <v/>
      </c>
      <c r="W5" s="29">
        <f>IF(AND(V4&lt;0,W4&gt;=0), "CBE","")</f>
        <v/>
      </c>
      <c r="X5" s="29">
        <f>IF(AND(W4&lt;0,X4&gt;=0), "CBE","")</f>
        <v/>
      </c>
      <c r="Y5" s="29">
        <f>IF(AND(X4&lt;0,Y4&gt;=0), "CBE","")</f>
        <v/>
      </c>
      <c r="Z5" s="29">
        <f>IF(AND(Y4&lt;0,Z4&gt;=0), "CBE","")</f>
        <v/>
      </c>
      <c r="AA5" s="29">
        <f>IF(AND(Z4&lt;0,AA4&gt;=0), "CBE","")</f>
        <v/>
      </c>
      <c r="AB5" s="29">
        <f>IF(AND(AA4&lt;0,AB4&gt;=0), "CBE","")</f>
        <v/>
      </c>
      <c r="AC5" s="29">
        <f>IF(AND(AB4&lt;0,AC4&gt;=0), "CBE","")</f>
        <v/>
      </c>
      <c r="AD5" s="29">
        <f>IF(AND(AC4&lt;0,AD4&gt;=0), "CBE","")</f>
        <v/>
      </c>
      <c r="AE5" s="29">
        <f>IF(AND(AD4&lt;0,AE4&gt;=0), "CBE","")</f>
        <v/>
      </c>
      <c r="AF5" s="29">
        <f>IF(AND(AE4&lt;0,AF4&gt;=0), "CBE","")</f>
        <v/>
      </c>
      <c r="AG5" s="29">
        <f>IF(AND(AF4&lt;0,AG4&gt;=0), "CBE","")</f>
        <v/>
      </c>
      <c r="AH5" s="29">
        <f>IF(AND(AG4&lt;0,AH4&gt;=0), "CBE","")</f>
        <v/>
      </c>
      <c r="AI5" s="29">
        <f>IF(AND(AH4&lt;0,AI4&gt;=0), "CBE","")</f>
        <v/>
      </c>
      <c r="AJ5" s="29">
        <f>IF(AND(AI4&lt;0,AJ4&gt;=0), "CBE","")</f>
        <v/>
      </c>
      <c r="AK5" s="29">
        <f>IF(AND(AJ4&lt;0,AK4&gt;=0), "CBE","")</f>
        <v/>
      </c>
      <c r="AL5" s="29">
        <f>IF(AND(AK4&lt;0,AL4&gt;=0), "CBE","")</f>
        <v/>
      </c>
      <c r="AM5" s="29">
        <f>IF(AND(AL4&lt;0,AM4&gt;=0), "CBE","")</f>
        <v/>
      </c>
      <c r="AN5" s="29">
        <f>IF(AND(AM4&lt;0,AN4&gt;=0), "CBE","")</f>
        <v/>
      </c>
      <c r="AO5" s="29">
        <f>IF(AND(AN4&lt;0,AO4&gt;=0), "CBE","")</f>
        <v/>
      </c>
      <c r="AP5" s="29">
        <f>IF(AND(AO4&lt;0,AP4&gt;=0), "CBE","")</f>
        <v/>
      </c>
      <c r="AQ5" s="29">
        <f>IF(AND(AP4&lt;0,AQ4&gt;=0), "CBE","")</f>
        <v/>
      </c>
      <c r="AR5" s="29">
        <f>IF(AND(AQ4&lt;0,AR4&gt;=0), "CBE","")</f>
        <v/>
      </c>
      <c r="AS5" s="29">
        <f>IF(AND(AR4&lt;0,AS4&gt;=0), "CBE","")</f>
        <v/>
      </c>
      <c r="AT5" s="29">
        <f>IF(AND(AS4&lt;0,AT4&gt;=0), "CBE","")</f>
        <v/>
      </c>
      <c r="AU5" s="29">
        <f>IF(AND(AT4&lt;0,AU4&gt;=0), "CBE","")</f>
        <v/>
      </c>
      <c r="AV5" s="29">
        <f>IF(AND(AU4&lt;0,AV4&gt;=0), "CBE","")</f>
        <v/>
      </c>
      <c r="AW5" s="29">
        <f>IF(AND(AV4&lt;0,AW4&gt;=0), "CBE","")</f>
        <v/>
      </c>
      <c r="AX5" s="29">
        <f>IF(AND(AW4&lt;0,AX4&gt;=0), "CBE","")</f>
        <v/>
      </c>
      <c r="AY5" s="29">
        <f>IF(AND(AX4&lt;0,AY4&gt;=0), "CBE","")</f>
        <v/>
      </c>
      <c r="AZ5" s="29">
        <f>IF(AND(AY4&lt;0,AZ4&gt;=0), "CBE","")</f>
        <v/>
      </c>
      <c r="BA5" s="29">
        <f>IF(AND(AZ4&lt;0,BA4&gt;=0), "CBE","")</f>
        <v/>
      </c>
      <c r="BB5" s="29">
        <f>IF(AND(BA4&lt;0,BB4&gt;=0), "CBE","")</f>
        <v/>
      </c>
      <c r="BC5" s="29">
        <f>IF(AND(BB4&lt;0,BC4&gt;=0), "CBE","")</f>
        <v/>
      </c>
      <c r="BD5" s="29">
        <f>IF(AND(BC4&lt;0,BD4&gt;=0), "CBE","")</f>
        <v/>
      </c>
      <c r="BE5" s="29">
        <f>IF(AND(BD4&lt;0,BE4&gt;=0), "CBE","")</f>
        <v/>
      </c>
      <c r="BF5" s="29">
        <f>IF(AND(BE4&lt;0,BF4&gt;=0), "CBE","")</f>
        <v/>
      </c>
      <c r="BG5" s="29">
        <f>IF(AND(BF4&lt;0,BG4&gt;=0), "CBE","")</f>
        <v/>
      </c>
      <c r="BH5" s="29">
        <f>IF(AND(BG4&lt;0,BH4&gt;=0), "CBE","")</f>
        <v/>
      </c>
      <c r="BI5" s="29">
        <f>IF(AND(BH4&lt;0,BI4&gt;=0), "CBE","")</f>
        <v/>
      </c>
    </row>
    <row r="6">
      <c r="A6" t="inlineStr">
        <is>
          <t>Cumulative Net Profit</t>
        </is>
      </c>
      <c r="B6" s="29">
        <f>'Year 1 Cash Budget'!C59</f>
        <v/>
      </c>
      <c r="C6" s="29">
        <f>'Year 1 Cash Budget'!D59</f>
        <v/>
      </c>
      <c r="D6" s="29">
        <f>'Year 1 Cash Budget'!E59</f>
        <v/>
      </c>
      <c r="E6" s="29">
        <f>'Year 1 Cash Budget'!F59</f>
        <v/>
      </c>
      <c r="F6" s="29">
        <f>'Year 1 Cash Budget'!G59</f>
        <v/>
      </c>
      <c r="G6" s="29">
        <f>'Year 1 Cash Budget'!H59</f>
        <v/>
      </c>
      <c r="H6" s="29">
        <f>'Year 1 Cash Budget'!I59</f>
        <v/>
      </c>
      <c r="I6" s="29">
        <f>'Year 1 Cash Budget'!J59</f>
        <v/>
      </c>
      <c r="J6" s="29">
        <f>'Year 1 Cash Budget'!K59</f>
        <v/>
      </c>
      <c r="K6" s="29">
        <f>'Year 1 Cash Budget'!L59</f>
        <v/>
      </c>
      <c r="L6" s="29">
        <f>'Year 1 Cash Budget'!M59</f>
        <v/>
      </c>
      <c r="M6" s="29">
        <f>'Year 1 Cash Budget'!N59</f>
        <v/>
      </c>
      <c r="N6" s="29">
        <f>'Year 2 Cash Budget'!B59</f>
        <v/>
      </c>
      <c r="O6" s="29">
        <f>'Year 2 Cash Budget'!C59</f>
        <v/>
      </c>
      <c r="P6" s="29">
        <f>'Year 2 Cash Budget'!D59</f>
        <v/>
      </c>
      <c r="Q6" s="29">
        <f>'Year 2 Cash Budget'!E59</f>
        <v/>
      </c>
      <c r="R6" s="29">
        <f>'Year 2 Cash Budget'!F59</f>
        <v/>
      </c>
      <c r="S6" s="29">
        <f>'Year 2 Cash Budget'!G59</f>
        <v/>
      </c>
      <c r="T6" s="29">
        <f>'Year 2 Cash Budget'!H59</f>
        <v/>
      </c>
      <c r="U6" s="29">
        <f>'Year 2 Cash Budget'!I59</f>
        <v/>
      </c>
      <c r="V6" s="29">
        <f>'Year 2 Cash Budget'!J59</f>
        <v/>
      </c>
      <c r="W6" s="29">
        <f>'Year 2 Cash Budget'!K59</f>
        <v/>
      </c>
      <c r="X6" s="29">
        <f>'Year 2 Cash Budget'!L59</f>
        <v/>
      </c>
      <c r="Y6" s="29">
        <f>'Year 2 Cash Budget'!M59</f>
        <v/>
      </c>
      <c r="Z6" s="29">
        <f>'Year 3 Cash Budget'!B59</f>
        <v/>
      </c>
      <c r="AA6" s="29">
        <f>'Year 3 Cash Budget'!C59</f>
        <v/>
      </c>
      <c r="AB6" s="29">
        <f>'Year 3 Cash Budget'!D59</f>
        <v/>
      </c>
      <c r="AC6" s="29">
        <f>'Year 3 Cash Budget'!E59</f>
        <v/>
      </c>
      <c r="AD6" s="29">
        <f>'Year 3 Cash Budget'!F59</f>
        <v/>
      </c>
      <c r="AE6" s="29">
        <f>'Year 3 Cash Budget'!G59</f>
        <v/>
      </c>
      <c r="AF6" s="29">
        <f>'Year 3 Cash Budget'!H59</f>
        <v/>
      </c>
      <c r="AG6" s="29">
        <f>'Year 3 Cash Budget'!I59</f>
        <v/>
      </c>
      <c r="AH6" s="29">
        <f>'Year 3 Cash Budget'!J59</f>
        <v/>
      </c>
      <c r="AI6" s="29">
        <f>'Year 3 Cash Budget'!K59</f>
        <v/>
      </c>
      <c r="AJ6" s="29">
        <f>'Year 3 Cash Budget'!L59</f>
        <v/>
      </c>
      <c r="AK6" s="29">
        <f>'Year 3 Cash Budget'!M59</f>
        <v/>
      </c>
      <c r="AL6" s="29">
        <f>'Year 4 Cash Budget'!B59</f>
        <v/>
      </c>
      <c r="AM6" s="29">
        <f>'Year 4 Cash Budget'!C59</f>
        <v/>
      </c>
      <c r="AN6" s="29">
        <f>'Year 4 Cash Budget'!D59</f>
        <v/>
      </c>
      <c r="AO6" s="29">
        <f>'Year 4 Cash Budget'!E59</f>
        <v/>
      </c>
      <c r="AP6" s="29">
        <f>'Year 4 Cash Budget'!F59</f>
        <v/>
      </c>
      <c r="AQ6" s="29">
        <f>'Year 4 Cash Budget'!G59</f>
        <v/>
      </c>
      <c r="AR6" s="29">
        <f>'Year 4 Cash Budget'!H59</f>
        <v/>
      </c>
      <c r="AS6" s="29">
        <f>'Year 4 Cash Budget'!I59</f>
        <v/>
      </c>
      <c r="AT6" s="29">
        <f>'Year 4 Cash Budget'!J59</f>
        <v/>
      </c>
      <c r="AU6" s="29">
        <f>'Year 4 Cash Budget'!K59</f>
        <v/>
      </c>
      <c r="AV6" s="29">
        <f>'Year 4 Cash Budget'!L59</f>
        <v/>
      </c>
      <c r="AW6" s="29">
        <f>'Year 4 Cash Budget'!M59</f>
        <v/>
      </c>
      <c r="AX6" s="29">
        <f>'Year 5 Cash Budget'!B59</f>
        <v/>
      </c>
      <c r="AY6" s="29">
        <f>'Year 5 Cash Budget'!C59</f>
        <v/>
      </c>
      <c r="AZ6" s="29">
        <f>'Year 5 Cash Budget'!D59</f>
        <v/>
      </c>
      <c r="BA6" s="29">
        <f>'Year 5 Cash Budget'!E59</f>
        <v/>
      </c>
      <c r="BB6" s="29">
        <f>'Year 5 Cash Budget'!F59</f>
        <v/>
      </c>
      <c r="BC6" s="29">
        <f>'Year 5 Cash Budget'!G59</f>
        <v/>
      </c>
      <c r="BD6" s="29">
        <f>'Year 5 Cash Budget'!H59</f>
        <v/>
      </c>
      <c r="BE6" s="29">
        <f>'Year 5 Cash Budget'!I59</f>
        <v/>
      </c>
      <c r="BF6" s="29">
        <f>'Year 5 Cash Budget'!J59</f>
        <v/>
      </c>
      <c r="BG6" s="29">
        <f>'Year 5 Cash Budget'!K59</f>
        <v/>
      </c>
      <c r="BH6" s="29">
        <f>'Year 5 Cash Budget'!L59</f>
        <v/>
      </c>
      <c r="BI6" s="29">
        <f>'Year 5 Cash Budget'!M59</f>
        <v/>
      </c>
    </row>
    <row r="7">
      <c r="A7" t="inlineStr">
        <is>
          <t>Operational Break Even</t>
        </is>
      </c>
      <c r="B7" s="29" t="n"/>
      <c r="C7" s="29">
        <f>IF(AND(B6&lt;0,C6&gt;=0), "OBE","")</f>
        <v/>
      </c>
      <c r="D7" s="29">
        <f>IF(AND(C6&lt;0,D6&gt;=0), "OBE","")</f>
        <v/>
      </c>
      <c r="E7" s="29">
        <f>IF(AND(D6&lt;0,E6&gt;=0), "OBE","")</f>
        <v/>
      </c>
      <c r="F7" s="29">
        <f>IF(AND(E6&lt;0,F6&gt;=0), "OBE","")</f>
        <v/>
      </c>
      <c r="G7" s="29">
        <f>IF(AND(F6&lt;0,G6&gt;=0), "OBE","")</f>
        <v/>
      </c>
      <c r="H7" s="29">
        <f>IF(AND(G6&lt;0,H6&gt;=0), "OBE","")</f>
        <v/>
      </c>
      <c r="I7" s="29">
        <f>IF(AND(H6&lt;0,I6&gt;=0), "OBE","")</f>
        <v/>
      </c>
      <c r="J7" s="29">
        <f>IF(AND(I6&lt;0,J6&gt;=0), "OBE","")</f>
        <v/>
      </c>
      <c r="K7" s="29">
        <f>IF(AND(J6&lt;0,K6&gt;=0), "OBE","")</f>
        <v/>
      </c>
      <c r="L7" s="29">
        <f>IF(AND(K6&lt;0,L6&gt;=0), "OBE","")</f>
        <v/>
      </c>
      <c r="M7" s="29">
        <f>IF(AND(L6&lt;0,M6&gt;=0), "OBE","")</f>
        <v/>
      </c>
      <c r="N7" s="29">
        <f>IF(AND(M6&lt;0,N6&gt;=0), "OBE","")</f>
        <v/>
      </c>
      <c r="O7" s="29">
        <f>IF(AND(N6&lt;0,O6&gt;=0), "OBE","")</f>
        <v/>
      </c>
      <c r="P7" s="29">
        <f>IF(AND(O6&lt;0,P6&gt;=0), "OBE","")</f>
        <v/>
      </c>
      <c r="Q7" s="29">
        <f>IF(AND(P6&lt;0,Q6&gt;=0), "OBE","")</f>
        <v/>
      </c>
      <c r="R7" s="29">
        <f>IF(AND(Q6&lt;0,R6&gt;=0), "OBE","")</f>
        <v/>
      </c>
      <c r="S7" s="29">
        <f>IF(AND(R6&lt;0,S6&gt;=0), "OBE","")</f>
        <v/>
      </c>
      <c r="T7" s="29">
        <f>IF(AND(S6&lt;0,T6&gt;=0), "OBE","")</f>
        <v/>
      </c>
      <c r="U7" s="29">
        <f>IF(AND(T6&lt;0,U6&gt;=0), "OBE","")</f>
        <v/>
      </c>
      <c r="V7" s="29">
        <f>IF(AND(U6&lt;0,V6&gt;=0), "OBE","")</f>
        <v/>
      </c>
      <c r="W7" s="29">
        <f>IF(AND(V6&lt;0,W6&gt;=0), "OBE","")</f>
        <v/>
      </c>
      <c r="X7" s="29">
        <f>IF(AND(W6&lt;0,X6&gt;=0), "OBE","")</f>
        <v/>
      </c>
      <c r="Y7" s="29">
        <f>IF(AND(X6&lt;0,Y6&gt;=0), "OBE","")</f>
        <v/>
      </c>
      <c r="Z7" s="29">
        <f>IF(AND(Y6&lt;0,Z6&gt;=0), "OBE","")</f>
        <v/>
      </c>
      <c r="AA7" s="29">
        <f>IF(AND(Z6&lt;0,AA6&gt;=0), "OBE","")</f>
        <v/>
      </c>
      <c r="AB7" s="29">
        <f>IF(AND(AA6&lt;0,AB6&gt;=0), "OBE","")</f>
        <v/>
      </c>
      <c r="AC7" s="29">
        <f>IF(AND(AB6&lt;0,AC6&gt;=0), "OBE","")</f>
        <v/>
      </c>
      <c r="AD7" s="29">
        <f>IF(AND(AC6&lt;0,AD6&gt;=0), "OBE","")</f>
        <v/>
      </c>
      <c r="AE7" s="29">
        <f>IF(AND(AD6&lt;0,AE6&gt;=0), "OBE","")</f>
        <v/>
      </c>
      <c r="AF7" s="29">
        <f>IF(AND(AE6&lt;0,AF6&gt;=0), "OBE","")</f>
        <v/>
      </c>
      <c r="AG7" s="29">
        <f>IF(AND(AF6&lt;0,AG6&gt;=0), "OBE","")</f>
        <v/>
      </c>
      <c r="AH7" s="29">
        <f>IF(AND(AG6&lt;0,AH6&gt;=0), "OBE","")</f>
        <v/>
      </c>
      <c r="AI7" s="29">
        <f>IF(AND(AH6&lt;0,AI6&gt;=0), "OBE","")</f>
        <v/>
      </c>
      <c r="AJ7" s="29">
        <f>IF(AND(AI6&lt;0,AJ6&gt;=0), "OBE","")</f>
        <v/>
      </c>
      <c r="AK7" s="29">
        <f>IF(AND(AJ6&lt;0,AK6&gt;=0), "OBE","")</f>
        <v/>
      </c>
      <c r="AL7" s="29">
        <f>IF(AND(AK6&lt;0,AL6&gt;=0), "OBE","")</f>
        <v/>
      </c>
      <c r="AM7" s="29">
        <f>IF(AND(AL6&lt;0,AM6&gt;=0), "OBE","")</f>
        <v/>
      </c>
      <c r="AN7" s="29">
        <f>IF(AND(AM6&lt;0,AN6&gt;=0), "OBE","")</f>
        <v/>
      </c>
      <c r="AO7" s="29">
        <f>IF(AND(AN6&lt;0,AO6&gt;=0), "OBE","")</f>
        <v/>
      </c>
      <c r="AP7" s="29">
        <f>IF(AND(AO6&lt;0,AP6&gt;=0), "OBE","")</f>
        <v/>
      </c>
      <c r="AQ7" s="29">
        <f>IF(AND(AP6&lt;0,AQ6&gt;=0), "OBE","")</f>
        <v/>
      </c>
      <c r="AR7" s="29">
        <f>IF(AND(AQ6&lt;0,AR6&gt;=0), "OBE","")</f>
        <v/>
      </c>
      <c r="AS7" s="29">
        <f>IF(AND(AR6&lt;0,AS6&gt;=0), "OBE","")</f>
        <v/>
      </c>
      <c r="AT7" s="29">
        <f>IF(AND(AS6&lt;0,AT6&gt;=0), "OBE","")</f>
        <v/>
      </c>
      <c r="AU7" s="29">
        <f>IF(AND(AT6&lt;0,AU6&gt;=0), "OBE","")</f>
        <v/>
      </c>
      <c r="AV7" s="29">
        <f>IF(AND(AU6&lt;0,AV6&gt;=0), "OBE","")</f>
        <v/>
      </c>
      <c r="AW7" s="29">
        <f>IF(AND(AV6&lt;0,AW6&gt;=0), "OBE","")</f>
        <v/>
      </c>
      <c r="AX7" s="29">
        <f>IF(AND(AW6&lt;0,AX6&gt;=0), "OBE","")</f>
        <v/>
      </c>
      <c r="AY7" s="29">
        <f>IF(AND(AX6&lt;0,AY6&gt;=0), "OBE","")</f>
        <v/>
      </c>
      <c r="AZ7" s="29">
        <f>IF(AND(AY6&lt;0,AZ6&gt;=0), "OBE","")</f>
        <v/>
      </c>
      <c r="BA7" s="29">
        <f>IF(AND(AZ6&lt;0,BA6&gt;=0), "OBE","")</f>
        <v/>
      </c>
      <c r="BB7" s="29">
        <f>IF(AND(BA6&lt;0,BB6&gt;=0), "OBE","")</f>
        <v/>
      </c>
      <c r="BC7" s="29">
        <f>IF(AND(BB6&lt;0,BC6&gt;=0), "OBE","")</f>
        <v/>
      </c>
      <c r="BD7" s="29">
        <f>IF(AND(BC6&lt;0,BD6&gt;=0), "OBE","")</f>
        <v/>
      </c>
      <c r="BE7" s="29">
        <f>IF(AND(BD6&lt;0,BE6&gt;=0), "OBE","")</f>
        <v/>
      </c>
      <c r="BF7" s="29">
        <f>IF(AND(BE6&lt;0,BF6&gt;=0), "OBE","")</f>
        <v/>
      </c>
      <c r="BG7" s="29">
        <f>IF(AND(BF6&lt;0,BG6&gt;=0), "OBE","")</f>
        <v/>
      </c>
      <c r="BH7" s="29">
        <f>IF(AND(BG6&lt;0,BH6&gt;=0), "OBE","")</f>
        <v/>
      </c>
      <c r="BI7" s="29">
        <f>IF(AND(BH6&lt;0,BI6&gt;=0), "OBE","")</f>
        <v/>
      </c>
    </row>
    <row r="8">
      <c r="B8" s="34">
        <f>B1</f>
        <v/>
      </c>
      <c r="C8" s="34">
        <f>C1</f>
        <v/>
      </c>
      <c r="D8" s="34">
        <f>D1</f>
        <v/>
      </c>
      <c r="E8" s="34">
        <f>E1</f>
        <v/>
      </c>
      <c r="F8" s="34">
        <f>F1</f>
        <v/>
      </c>
      <c r="G8" s="34">
        <f>G1</f>
        <v/>
      </c>
      <c r="H8" s="34">
        <f>H1</f>
        <v/>
      </c>
      <c r="I8" s="34">
        <f>I1</f>
        <v/>
      </c>
      <c r="J8" s="34">
        <f>J1</f>
        <v/>
      </c>
      <c r="K8" s="34">
        <f>K1</f>
        <v/>
      </c>
      <c r="L8" s="34">
        <f>L1</f>
        <v/>
      </c>
      <c r="M8" s="34">
        <f>M1</f>
        <v/>
      </c>
      <c r="N8" s="34">
        <f>N1</f>
        <v/>
      </c>
      <c r="O8" s="34">
        <f>O1</f>
        <v/>
      </c>
      <c r="P8" s="34">
        <f>P1</f>
        <v/>
      </c>
      <c r="Q8" s="34">
        <f>Q1</f>
        <v/>
      </c>
      <c r="R8" s="34">
        <f>R1</f>
        <v/>
      </c>
      <c r="S8" s="34">
        <f>S1</f>
        <v/>
      </c>
      <c r="T8" s="34">
        <f>T1</f>
        <v/>
      </c>
      <c r="U8" s="34">
        <f>U1</f>
        <v/>
      </c>
      <c r="V8" s="34">
        <f>V1</f>
        <v/>
      </c>
      <c r="W8" s="34">
        <f>W1</f>
        <v/>
      </c>
      <c r="X8" s="34">
        <f>X1</f>
        <v/>
      </c>
      <c r="Y8" s="34">
        <f>Y1</f>
        <v/>
      </c>
      <c r="Z8" s="34">
        <f>Z1</f>
        <v/>
      </c>
      <c r="AA8" s="34">
        <f>AA1</f>
        <v/>
      </c>
      <c r="AB8" s="34">
        <f>AB1</f>
        <v/>
      </c>
      <c r="AC8" s="34">
        <f>AC1</f>
        <v/>
      </c>
      <c r="AD8" s="34">
        <f>AD1</f>
        <v/>
      </c>
      <c r="AE8" s="34">
        <f>AE1</f>
        <v/>
      </c>
      <c r="AF8" s="34">
        <f>AF1</f>
        <v/>
      </c>
      <c r="AG8" s="34">
        <f>AG1</f>
        <v/>
      </c>
      <c r="AH8" s="34">
        <f>AH1</f>
        <v/>
      </c>
      <c r="AI8" s="34">
        <f>AI1</f>
        <v/>
      </c>
      <c r="AJ8" s="34">
        <f>AJ1</f>
        <v/>
      </c>
      <c r="AK8" s="34">
        <f>AK1</f>
        <v/>
      </c>
      <c r="AL8" s="34">
        <f>AL1</f>
        <v/>
      </c>
      <c r="AM8" s="34">
        <f>AM1</f>
        <v/>
      </c>
      <c r="AN8" s="34">
        <f>AN1</f>
        <v/>
      </c>
      <c r="AO8" s="34">
        <f>AO1</f>
        <v/>
      </c>
      <c r="AP8" s="34">
        <f>AP1</f>
        <v/>
      </c>
      <c r="AQ8" s="34">
        <f>AQ1</f>
        <v/>
      </c>
      <c r="AR8" s="34">
        <f>AR1</f>
        <v/>
      </c>
      <c r="AS8" s="34">
        <f>AS1</f>
        <v/>
      </c>
      <c r="AT8" s="34">
        <f>AT1</f>
        <v/>
      </c>
      <c r="AU8" s="34">
        <f>AU1</f>
        <v/>
      </c>
      <c r="AV8" s="34">
        <f>AV1</f>
        <v/>
      </c>
      <c r="AW8" s="34">
        <f>AW1</f>
        <v/>
      </c>
      <c r="AX8" s="34">
        <f>AX1</f>
        <v/>
      </c>
      <c r="AY8" s="34">
        <f>AY1</f>
        <v/>
      </c>
      <c r="AZ8" s="34">
        <f>AZ1</f>
        <v/>
      </c>
      <c r="BA8" s="34">
        <f>BA1</f>
        <v/>
      </c>
      <c r="BB8" s="34">
        <f>BB1</f>
        <v/>
      </c>
      <c r="BC8" s="34">
        <f>BC1</f>
        <v/>
      </c>
      <c r="BD8" s="34">
        <f>BD1</f>
        <v/>
      </c>
      <c r="BE8" s="34">
        <f>BE1</f>
        <v/>
      </c>
      <c r="BF8" s="34">
        <f>BF1</f>
        <v/>
      </c>
      <c r="BG8" s="34">
        <f>BG1</f>
        <v/>
      </c>
      <c r="BH8" s="34">
        <f>BH1</f>
        <v/>
      </c>
      <c r="BI8" s="34">
        <f>BI1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2019-04-03T08:51:39Z</dcterms:created>
  <dcterms:modified xsi:type="dcterms:W3CDTF">2026-03-15T16:00:17Z</dcterms:modified>
  <cp:lastModifiedBy>Olaf Pick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0x010100AD596900849B5C4E857A850726EE33CF</vt:lpwstr>
  </property>
</Properties>
</file>