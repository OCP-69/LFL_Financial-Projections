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8" autoFilterDateGrouping="1"/>
  </bookViews>
  <sheets>
    <sheet name="Anleitung" sheetId="1" state="visible" r:id="rId1"/>
    <sheet name="Treiber_Matrix" sheetId="2" state="visible" r:id="rId2"/>
    <sheet name="Szenarien_Analyse" sheetId="3" state="visible" r:id="rId3"/>
    <sheet name="00_Input_Sandbox" sheetId="4" state="visible" r:id="rId4"/>
    <sheet name="Inputs" sheetId="5" state="visible" r:id="rId5"/>
    <sheet name="P&amp;L" sheetId="6" state="visible" r:id="rId6"/>
    <sheet name="Tabelle1" sheetId="7" state="visible" r:id="rId7"/>
    <sheet name="Revenue" sheetId="8" state="visible" r:id="rId8"/>
    <sheet name="Costs" sheetId="9" state="visible" r:id="rId9"/>
    <sheet name="Balance Sheet" sheetId="10" state="visible" r:id="rId10"/>
    <sheet name="Cash Flow" sheetId="11" state="visible" r:id="rId11"/>
    <sheet name="LFL_Szenario_Erklaerung" sheetId="12" state="visible" r:id="rId12"/>
    <sheet name="Entwicklungs_Roadmap" sheetId="13" state="visible" r:id="rId13"/>
  </sheets>
  <definedNames/>
  <calcPr calcId="191029" fullCalcOnLoad="1"/>
</workbook>
</file>

<file path=xl/styles.xml><?xml version="1.0" encoding="utf-8"?>
<styleSheet xmlns="http://schemas.openxmlformats.org/spreadsheetml/2006/main">
  <numFmts count="8">
    <numFmt numFmtId="164" formatCode="d/m/yyyy"/>
    <numFmt numFmtId="165" formatCode="0.0%"/>
    <numFmt numFmtId="166" formatCode="#,##0;\(#,##0\)"/>
    <numFmt numFmtId="167" formatCode="0.0"/>
    <numFmt numFmtId="168" formatCode="#,##0\ &quot;€&quot;;[Red]\-#,##0\ &quot;€&quot;"/>
    <numFmt numFmtId="169" formatCode="#,##0\ &quot;€&quot;"/>
    <numFmt numFmtId="170" formatCode="#,##0;\(#,##0\);\-"/>
    <numFmt numFmtId="171" formatCode="_-* #,##0\ &quot;€&quot;_-;\-* #,##0\ &quot;€&quot;_-;_-* &quot;-&quot;\ &quot;€&quot;_-;_-@_-"/>
  </numFmts>
  <fonts count="67">
    <font>
      <name val="Calibri"/>
      <color theme="1"/>
      <sz val="11"/>
      <scheme val="minor"/>
    </font>
    <font>
      <name val="Arial"/>
      <family val="2"/>
      <b val="1"/>
      <color theme="1"/>
      <sz val="14"/>
    </font>
    <font>
      <name val="Arial"/>
      <family val="2"/>
      <b val="1"/>
      <color theme="1"/>
      <sz val="11"/>
    </font>
    <font>
      <name val="Arial"/>
      <family val="2"/>
      <color theme="1"/>
      <sz val="10"/>
    </font>
    <font>
      <name val="Arial"/>
      <family val="2"/>
      <color rgb="FF0000FF"/>
      <sz val="10"/>
    </font>
    <font>
      <name val="Arial"/>
      <family val="2"/>
      <color rgb="FF008000"/>
      <sz val="10"/>
    </font>
    <font>
      <name val="&quot;Google Sans Text&quot;"/>
      <b val="1"/>
      <color rgb="FF1F1F1F"/>
      <sz val="11"/>
    </font>
    <font>
      <name val="Calibri"/>
      <family val="2"/>
      <color theme="1"/>
      <sz val="11"/>
      <scheme val="minor"/>
    </font>
    <font>
      <name val="&quot;Google Sans Text&quot;"/>
      <color rgb="FF1F1F1F"/>
      <sz val="11"/>
    </font>
    <font>
      <name val="Arial"/>
      <family val="2"/>
      <b val="1"/>
      <color theme="1"/>
      <sz val="10"/>
    </font>
    <font>
      <name val="Calibri"/>
      <family val="2"/>
      <b val="1"/>
      <color theme="1"/>
      <sz val="11"/>
      <scheme val="minor"/>
    </font>
    <font>
      <name val="Calibri"/>
      <family val="2"/>
      <color theme="1"/>
      <sz val="11"/>
    </font>
    <font>
      <name val="Arial"/>
      <family val="2"/>
      <color rgb="FF666666"/>
      <sz val="9"/>
    </font>
    <font>
      <name val="Calibri"/>
      <family val="2"/>
      <b val="1"/>
      <color theme="1"/>
      <sz val="11"/>
    </font>
    <font>
      <name val="Calibri"/>
      <family val="2"/>
      <b val="1"/>
      <color rgb="FFFFFFFF"/>
      <sz val="16"/>
    </font>
    <font>
      <name val="Calibri"/>
      <family val="2"/>
      <i val="1"/>
      <color rgb="FFCCCCCC"/>
      <sz val="10"/>
    </font>
    <font>
      <name val="Calibri"/>
      <family val="2"/>
      <b val="1"/>
      <color rgb="FFFFFFFF"/>
      <sz val="12"/>
    </font>
    <font>
      <name val="Calibri"/>
      <family val="2"/>
      <i val="1"/>
      <color rgb="FF000000"/>
      <sz val="11"/>
    </font>
    <font>
      <name val="Calibri"/>
      <family val="2"/>
      <b val="1"/>
      <color rgb="FFFFFFFF"/>
      <sz val="10"/>
    </font>
    <font>
      <name val="Calibri"/>
      <family val="2"/>
      <b val="1"/>
      <color rgb="FFFFFFFF"/>
      <sz val="11"/>
    </font>
    <font>
      <name val="Calibri"/>
      <family val="2"/>
      <color rgb="FF000000"/>
      <sz val="9"/>
    </font>
    <font>
      <name val="Calibri"/>
      <family val="2"/>
      <b val="1"/>
      <color rgb="FF000000"/>
      <sz val="9"/>
    </font>
    <font>
      <name val="Calibri"/>
      <family val="2"/>
      <i val="1"/>
      <color rgb="FF000000"/>
      <sz val="9"/>
    </font>
    <font>
      <name val="Calibri"/>
      <family val="2"/>
      <b val="1"/>
      <color rgb="FF000000"/>
      <sz val="10"/>
    </font>
    <font>
      <name val="Calibri"/>
      <family val="2"/>
      <b val="1"/>
      <i val="1"/>
      <color rgb="FF000000"/>
      <sz val="9"/>
    </font>
    <font>
      <name val="Courier New"/>
      <family val="3"/>
      <sz val="8"/>
    </font>
    <font>
      <name val="Calibri"/>
      <family val="2"/>
      <sz val="10"/>
    </font>
    <font>
      <name val="Calibri"/>
      <family val="2"/>
      <b val="1"/>
      <sz val="10"/>
    </font>
    <font>
      <name val="Calibri"/>
      <family val="2"/>
      <i val="1"/>
      <color rgb="FF595959"/>
      <sz val="9"/>
    </font>
    <font>
      <name val="Calibri"/>
      <family val="2"/>
      <b val="1"/>
      <sz val="11"/>
    </font>
    <font>
      <name val="Calibri"/>
      <family val="2"/>
      <b val="1"/>
      <color rgb="FFC55A11"/>
      <sz val="9"/>
    </font>
    <font>
      <name val="Calibri"/>
      <family val="2"/>
      <i val="1"/>
      <color rgb="FF1F3864"/>
      <sz val="10"/>
    </font>
    <font>
      <name val="Calibri"/>
      <family val="2"/>
      <i val="1"/>
      <color rgb="FF1F6B75"/>
      <sz val="9"/>
    </font>
    <font>
      <name val="Calibri"/>
      <family val="2"/>
      <b val="1"/>
      <color rgb="FF1F6B75"/>
      <sz val="10"/>
    </font>
    <font>
      <name val="Calibri"/>
      <family val="2"/>
      <i val="1"/>
      <color rgb="FF1F6B75"/>
      <sz val="8"/>
    </font>
    <font>
      <name val="Calibri"/>
      <family val="2"/>
      <b val="1"/>
      <color rgb="FFFFFFFF"/>
      <sz val="9"/>
    </font>
    <font>
      <name val="Calibri"/>
      <family val="2"/>
      <b val="1"/>
      <color rgb="FFFFFFFF"/>
      <sz val="13"/>
    </font>
    <font>
      <name val="Calibri"/>
      <family val="2"/>
      <color rgb="FF7030A0"/>
      <sz val="9"/>
    </font>
    <font>
      <name val="Calibri"/>
      <family val="2"/>
      <i val="1"/>
      <color rgb="FF595959"/>
      <sz val="8"/>
    </font>
    <font>
      <name val="Calibri"/>
      <family val="2"/>
      <i val="1"/>
      <color rgb="FF1F6B75"/>
      <sz val="8"/>
    </font>
    <font>
      <name val="Calibri"/>
      <family val="2"/>
      <color theme="1"/>
      <sz val="11"/>
    </font>
    <font>
      <name val="Calibri"/>
      <family val="2"/>
      <b val="1"/>
      <sz val="10"/>
    </font>
    <font>
      <name val="Calibri"/>
      <family val="2"/>
      <color theme="1"/>
      <sz val="11"/>
      <scheme val="minor"/>
    </font>
    <font>
      <name val="Calibri"/>
      <family val="2"/>
      <i val="1"/>
      <color rgb="FF000000"/>
      <sz val="9"/>
    </font>
    <font>
      <name val="Calibri"/>
      <family val="2"/>
      <color rgb="FF000000"/>
      <sz val="9"/>
    </font>
    <font>
      <name val="Calibri"/>
      <family val="2"/>
      <b val="1"/>
      <color rgb="FF1F1F1F"/>
      <sz val="11"/>
      <scheme val="minor"/>
    </font>
    <font>
      <name val="Calibri"/>
      <family val="2"/>
      <color rgb="FF1F1F1F"/>
      <sz val="11"/>
      <scheme val="minor"/>
    </font>
    <font>
      <name val="Calibri"/>
      <family val="2"/>
      <sz val="10"/>
      <scheme val="minor"/>
    </font>
    <font>
      <name val="Calibri"/>
      <family val="2"/>
      <b val="1"/>
      <color rgb="FF1F6B75"/>
      <sz val="10"/>
    </font>
    <font>
      <name val="Calibri"/>
      <family val="2"/>
      <b val="1"/>
      <color rgb="FF1F1F1F"/>
      <sz val="11"/>
    </font>
    <font>
      <name val="Calibri"/>
      <family val="2"/>
      <color rgb="FF1F1F1F"/>
      <sz val="11"/>
    </font>
    <font>
      <name val="Calibri"/>
      <family val="2"/>
      <i val="1"/>
      <color rgb="FF1F1F1F"/>
      <sz val="11"/>
    </font>
    <font>
      <name val="Calibri"/>
      <family val="2"/>
      <b val="1"/>
      <i val="1"/>
      <color rgb="FF1F1F1F"/>
      <sz val="11"/>
    </font>
    <font>
      <name val="Calibri"/>
      <family val="2"/>
      <sz val="10"/>
    </font>
    <font>
      <name val="Calibri"/>
      <family val="2"/>
      <i val="1"/>
      <color rgb="FF1F3864"/>
      <sz val="10"/>
    </font>
    <font>
      <name val="Segoe UI"/>
      <family val="2"/>
      <color indexed="81"/>
      <sz val="9"/>
    </font>
    <font>
      <name val="Arial"/>
      <family val="2"/>
      <b val="1"/>
      <sz val="9"/>
    </font>
    <font>
      <name val="Arial"/>
      <family val="2"/>
      <color rgb="FF000000"/>
      <sz val="10"/>
    </font>
    <font>
      <name val="Arial"/>
      <family val="2"/>
      <b val="1"/>
      <color rgb="FF0000FF"/>
      <sz val="10"/>
    </font>
    <font>
      <name val="Arial"/>
      <family val="2"/>
      <b val="1"/>
      <color rgb="FF000000"/>
      <sz val="10"/>
    </font>
    <font>
      <name val="Calibri"/>
      <family val="2"/>
      <sz val="11"/>
      <scheme val="minor"/>
    </font>
    <font>
      <name val="Arial"/>
      <family val="2"/>
      <b val="1"/>
      <sz val="10"/>
    </font>
    <font>
      <name val="Calibri"/>
      <family val="2"/>
      <b val="1"/>
      <sz val="11"/>
      <scheme val="minor"/>
    </font>
    <font>
      <name val="Calibri"/>
      <family val="2"/>
      <b val="1"/>
      <color theme="0"/>
      <sz val="11"/>
    </font>
    <font>
      <name val="Segoe UI"/>
      <family val="2"/>
      <color theme="1"/>
      <sz val="9"/>
    </font>
    <font>
      <name val="Calibri"/>
      <family val="2"/>
      <sz val="11"/>
    </font>
    <font>
      <name val="Calibri"/>
      <family val="2"/>
      <strike val="1"/>
      <color theme="1"/>
      <sz val="11"/>
      <scheme val="minor"/>
    </font>
  </fonts>
  <fills count="55">
    <fill>
      <patternFill/>
    </fill>
    <fill>
      <patternFill patternType="gray125"/>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1F4E79"/>
      </patternFill>
    </fill>
    <fill>
      <patternFill patternType="solid">
        <fgColor rgb="FF2E75B6"/>
      </patternFill>
    </fill>
    <fill>
      <patternFill patternType="solid">
        <fgColor rgb="FFEBF3FA"/>
      </patternFill>
    </fill>
    <fill>
      <patternFill patternType="solid">
        <fgColor rgb="FFFFFF00"/>
      </patternFill>
    </fill>
    <fill>
      <patternFill patternType="solid">
        <fgColor rgb="FFFFFFFF"/>
      </patternFill>
    </fill>
    <fill>
      <patternFill patternType="solid">
        <fgColor rgb="FFFFF2CC"/>
      </patternFill>
    </fill>
    <fill>
      <patternFill patternType="solid">
        <fgColor rgb="FFFF0000"/>
      </patternFill>
    </fill>
    <fill>
      <patternFill patternType="solid">
        <fgColor rgb="FFE2EFDA"/>
      </patternFill>
    </fill>
    <fill>
      <patternFill patternType="solid">
        <fgColor rgb="FF1F6B75"/>
      </patternFill>
    </fill>
    <fill>
      <patternFill patternType="solid">
        <fgColor rgb="FFBDD7EE"/>
      </patternFill>
    </fill>
    <fill>
      <patternFill patternType="solid">
        <fgColor rgb="FFFCE4D6"/>
      </patternFill>
    </fill>
    <fill>
      <patternFill patternType="solid">
        <fgColor rgb="FFF2F2F2"/>
      </patternFill>
    </fill>
    <fill>
      <patternFill patternType="solid">
        <fgColor rgb="FFE9F7F8"/>
      </patternFill>
    </fill>
    <fill>
      <patternFill patternType="solid">
        <fgColor rgb="FF375623"/>
      </patternFill>
    </fill>
    <fill>
      <patternFill patternType="solid">
        <fgColor rgb="FF1F3864"/>
      </patternFill>
    </fill>
    <fill>
      <patternFill patternType="solid">
        <fgColor rgb="FFDDEEFF"/>
      </patternFill>
    </fill>
    <fill>
      <patternFill patternType="solid">
        <fgColor rgb="FFE8F5E9"/>
      </patternFill>
    </fill>
    <fill>
      <patternFill patternType="solid">
        <fgColor rgb="FFF0F0F0"/>
      </patternFill>
    </fill>
    <fill>
      <patternFill patternType="solid">
        <fgColor rgb="FFFFF3E0"/>
      </patternFill>
    </fill>
    <fill>
      <patternFill patternType="solid">
        <fgColor rgb="FFF5F5DC"/>
      </patternFill>
    </fill>
    <fill>
      <patternFill patternType="solid">
        <fgColor rgb="FFE8D5F5"/>
      </patternFill>
    </fill>
    <fill>
      <patternFill patternType="solid">
        <fgColor rgb="FF7030A0"/>
      </patternFill>
    </fill>
    <fill>
      <patternFill patternType="solid">
        <fgColor rgb="FFFF6B6B"/>
      </patternFill>
    </fill>
    <fill>
      <patternFill patternType="solid">
        <fgColor rgb="FFF0EAF8"/>
      </patternFill>
    </fill>
    <fill>
      <patternFill patternType="solid">
        <fgColor rgb="FFC6EFCE"/>
      </patternFill>
    </fill>
    <fill>
      <patternFill patternType="solid">
        <fgColor rgb="FFFFB347"/>
      </patternFill>
    </fill>
    <fill>
      <patternFill patternType="solid">
        <fgColor rgb="FFFFD700"/>
      </patternFill>
    </fill>
    <fill>
      <patternFill patternType="solid">
        <fgColor theme="0" tint="-0.1499984740745262"/>
        <bgColor rgb="FFFFD966"/>
      </patternFill>
    </fill>
    <fill>
      <patternFill patternType="solid">
        <fgColor theme="0" tint="-0.149998474074526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FF"/>
        <bgColor rgb="FFFFFFFF"/>
      </patternFill>
    </fill>
    <fill>
      <patternFill patternType="solid">
        <fgColor rgb="FFF2F2F2"/>
        <bgColor rgb="FFF2F2F2"/>
      </patternFill>
    </fill>
    <fill>
      <patternFill patternType="solid">
        <fgColor theme="9" tint="0.3999755851924192"/>
        <bgColor indexed="64"/>
      </patternFill>
    </fill>
    <fill>
      <patternFill patternType="solid">
        <fgColor theme="6" tint="0.3999755851924192"/>
        <bgColor indexed="64"/>
      </patternFill>
    </fill>
    <fill>
      <patternFill patternType="solid">
        <fgColor theme="4" tint="0.3999755851924192"/>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8" tint="-0.249977111117893"/>
        <bgColor indexed="64"/>
      </patternFill>
    </fill>
    <fill>
      <patternFill patternType="solid">
        <fgColor theme="6" tint="-0.499984740745262"/>
        <bgColor indexed="64"/>
      </patternFill>
    </fill>
    <fill>
      <patternFill patternType="solid">
        <fgColor theme="6" tint="0.5999938962981048"/>
        <bgColor indexed="64"/>
      </patternFill>
    </fill>
  </fills>
  <borders count="21">
    <border>
      <left/>
      <right/>
      <top/>
      <bottom/>
      <diagonal/>
    </border>
    <border>
      <left/>
      <right/>
      <top/>
      <bottom/>
      <diagonal/>
    </border>
    <border>
      <left/>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s>
  <cellStyleXfs count="1">
    <xf numFmtId="0" fontId="0" fillId="0" borderId="1"/>
  </cellStyleXfs>
  <cellXfs count="2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2" borderId="0" applyAlignment="1" pivotButton="0" quotePrefix="0" xfId="0">
      <alignment wrapText="1"/>
    </xf>
    <xf numFmtId="165" fontId="4" fillId="0"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3" fillId="5" borderId="1" applyAlignment="1" pivotButton="0" quotePrefix="0" xfId="0">
      <alignment wrapText="1"/>
    </xf>
    <xf numFmtId="0" fontId="13" fillId="8" borderId="1" applyAlignment="1" pivotButton="0" quotePrefix="0" xfId="0">
      <alignment wrapText="1"/>
    </xf>
    <xf numFmtId="0" fontId="13" fillId="2" borderId="1"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18" fillId="12" borderId="12" applyAlignment="1" pivotButton="0" quotePrefix="0" xfId="0">
      <alignment horizontal="left" vertical="center" wrapText="1"/>
    </xf>
    <xf numFmtId="0" fontId="20" fillId="14" borderId="12" applyAlignment="1" pivotButton="0" quotePrefix="0" xfId="0">
      <alignment horizontal="left" vertical="center" wrapText="1"/>
    </xf>
    <xf numFmtId="0" fontId="21" fillId="14" borderId="12" applyAlignment="1" pivotButton="0" quotePrefix="0" xfId="0">
      <alignment horizontal="left" vertical="center" wrapText="1"/>
    </xf>
    <xf numFmtId="0" fontId="22" fillId="14" borderId="12" applyAlignment="1" pivotButton="0" quotePrefix="0" xfId="0">
      <alignment horizontal="left" vertical="center" wrapText="1"/>
    </xf>
    <xf numFmtId="0" fontId="23" fillId="15" borderId="12" applyAlignment="1" pivotButton="0" quotePrefix="0" xfId="0">
      <alignment horizontal="left" vertical="center" wrapText="1"/>
    </xf>
    <xf numFmtId="0" fontId="20" fillId="14" borderId="12" applyAlignment="1" pivotButton="0" quotePrefix="0" xfId="0">
      <alignment vertical="top" wrapText="1"/>
    </xf>
    <xf numFmtId="0" fontId="20" fillId="16" borderId="12" applyAlignment="1" pivotButton="0" quotePrefix="0" xfId="0">
      <alignment horizontal="left" vertical="center" wrapText="1"/>
    </xf>
    <xf numFmtId="0" fontId="21" fillId="16" borderId="12" applyAlignment="1" pivotButton="0" quotePrefix="0" xfId="0">
      <alignment horizontal="left" vertical="center" wrapText="1"/>
    </xf>
    <xf numFmtId="0" fontId="22" fillId="16" borderId="12" applyAlignment="1" pivotButton="0" quotePrefix="0" xfId="0">
      <alignment horizontal="left" vertical="center" wrapText="1"/>
    </xf>
    <xf numFmtId="0" fontId="20" fillId="16" borderId="12" applyAlignment="1" pivotButton="0" quotePrefix="0" xfId="0">
      <alignment vertical="top" wrapText="1"/>
    </xf>
    <xf numFmtId="0" fontId="18" fillId="20" borderId="13" applyAlignment="1" pivotButton="0" quotePrefix="0" xfId="0">
      <alignment horizontal="left" vertical="center"/>
    </xf>
    <xf numFmtId="0" fontId="7" fillId="20" borderId="13" applyAlignment="1" pivotButton="0" quotePrefix="0" xfId="0">
      <alignment wrapText="1"/>
    </xf>
    <xf numFmtId="0" fontId="11" fillId="20" borderId="13" applyAlignment="1" pivotButton="0" quotePrefix="0" xfId="0">
      <alignment wrapText="1"/>
    </xf>
    <xf numFmtId="0" fontId="27" fillId="0" borderId="13" applyAlignment="1" pivotButton="0" quotePrefix="0" xfId="0">
      <alignment horizontal="left" vertical="center" wrapText="1"/>
    </xf>
    <xf numFmtId="0" fontId="7" fillId="21" borderId="13" applyAlignment="1" pivotButton="0" quotePrefix="0" xfId="0">
      <alignment horizontal="right" vertical="center"/>
    </xf>
    <xf numFmtId="0" fontId="26" fillId="0" borderId="13" applyAlignment="1" pivotButton="0" quotePrefix="0" xfId="0">
      <alignment horizontal="left" vertical="center" wrapText="1"/>
    </xf>
    <xf numFmtId="0" fontId="28" fillId="0" borderId="13" applyAlignment="1" pivotButton="0" quotePrefix="0" xfId="0">
      <alignment vertical="top" wrapText="1"/>
    </xf>
    <xf numFmtId="0" fontId="27" fillId="19" borderId="13" applyAlignment="1" pivotButton="0" quotePrefix="0" xfId="0">
      <alignment horizontal="left" vertical="center"/>
    </xf>
    <xf numFmtId="3" fontId="0" fillId="19" borderId="13" applyAlignment="1" pivotButton="0" quotePrefix="0" xfId="0">
      <alignment horizontal="right" vertical="center"/>
    </xf>
    <xf numFmtId="0" fontId="0" fillId="20" borderId="13" pivotButton="0" quotePrefix="0" xfId="0"/>
    <xf numFmtId="0" fontId="23" fillId="17" borderId="13" applyAlignment="1" pivotButton="0" quotePrefix="0" xfId="0">
      <alignment horizontal="left" vertical="center"/>
    </xf>
    <xf numFmtId="0" fontId="0" fillId="17" borderId="13" applyAlignment="1" pivotButton="0" quotePrefix="0" xfId="0">
      <alignment horizontal="right" vertical="center"/>
    </xf>
    <xf numFmtId="0" fontId="23" fillId="19" borderId="13" applyAlignment="1" pivotButton="0" quotePrefix="0" xfId="0">
      <alignment horizontal="left" vertical="center"/>
    </xf>
    <xf numFmtId="0" fontId="30" fillId="22" borderId="0" applyAlignment="1" pivotButton="0" quotePrefix="0" xfId="0">
      <alignment vertical="top" wrapText="1"/>
    </xf>
    <xf numFmtId="0" fontId="34" fillId="0" borderId="0" applyAlignment="1" pivotButton="0" quotePrefix="0" xfId="0">
      <alignment horizontal="left" vertical="center"/>
    </xf>
    <xf numFmtId="0" fontId="26" fillId="0" borderId="13" applyAlignment="1" pivotButton="0" quotePrefix="0" xfId="0">
      <alignment horizontal="left" vertical="top" wrapText="1"/>
    </xf>
    <xf numFmtId="0" fontId="29" fillId="17" borderId="13" applyAlignment="1" pivotButton="0" quotePrefix="0" xfId="0">
      <alignment horizontal="center" vertical="center"/>
    </xf>
    <xf numFmtId="9" fontId="31" fillId="21" borderId="13" applyAlignment="1" pivotButton="0" quotePrefix="0" xfId="0">
      <alignment horizontal="right" vertical="center"/>
    </xf>
    <xf numFmtId="0" fontId="33" fillId="24" borderId="13" applyAlignment="1" pivotButton="0" quotePrefix="0" xfId="0">
      <alignment vertical="top" wrapText="1"/>
    </xf>
    <xf numFmtId="9" fontId="29" fillId="17" borderId="13" applyAlignment="1" pivotButton="0" quotePrefix="0" xfId="0">
      <alignment horizontal="center" vertical="center"/>
    </xf>
    <xf numFmtId="0" fontId="2" fillId="16" borderId="0" pivotButton="0" quotePrefix="0" xfId="0"/>
    <xf numFmtId="0" fontId="23" fillId="21" borderId="13" applyAlignment="1" pivotButton="0" quotePrefix="0" xfId="0">
      <alignment horizontal="left" vertical="center" wrapText="1"/>
    </xf>
    <xf numFmtId="0" fontId="35" fillId="20" borderId="13" applyAlignment="1" pivotButton="0" quotePrefix="0" xfId="0">
      <alignment horizontal="left" vertical="center"/>
    </xf>
    <xf numFmtId="0" fontId="18" fillId="25" borderId="13" applyAlignment="1" pivotButton="0" quotePrefix="0" xfId="0">
      <alignment horizontal="left" vertical="center" wrapText="1"/>
    </xf>
    <xf numFmtId="3" fontId="11" fillId="19" borderId="13" applyAlignment="1" pivotButton="0" quotePrefix="0" xfId="0">
      <alignment horizontal="right" vertical="center"/>
    </xf>
    <xf numFmtId="0" fontId="35" fillId="26" borderId="13" applyAlignment="1" pivotButton="0" quotePrefix="0" xfId="0">
      <alignment horizontal="center" vertical="center" wrapText="1"/>
    </xf>
    <xf numFmtId="0" fontId="20" fillId="27" borderId="13" applyAlignment="1" pivotButton="0" quotePrefix="0" xfId="0">
      <alignment horizontal="left" vertical="center" wrapText="1"/>
    </xf>
    <xf numFmtId="0" fontId="20" fillId="21" borderId="13" applyAlignment="1" pivotButton="0" quotePrefix="0" xfId="0">
      <alignment horizontal="center" vertical="center" wrapText="1"/>
    </xf>
    <xf numFmtId="0" fontId="21" fillId="19" borderId="13" applyAlignment="1" pivotButton="0" quotePrefix="0" xfId="0">
      <alignment horizontal="center" vertical="center"/>
    </xf>
    <xf numFmtId="0" fontId="20" fillId="17" borderId="13" applyAlignment="1" pivotButton="0" quotePrefix="0" xfId="0">
      <alignment horizontal="left" vertical="center" wrapText="1"/>
    </xf>
    <xf numFmtId="0" fontId="20" fillId="23" borderId="13" applyAlignment="1" pivotButton="0" quotePrefix="0" xfId="0">
      <alignment horizontal="center" vertical="center" wrapText="1"/>
    </xf>
    <xf numFmtId="0" fontId="20" fillId="24" borderId="13" applyAlignment="1" pivotButton="0" quotePrefix="0" xfId="0">
      <alignment horizontal="center" vertical="center" wrapText="1"/>
    </xf>
    <xf numFmtId="0" fontId="21" fillId="22" borderId="13" applyAlignment="1" pivotButton="0" quotePrefix="0" xfId="0">
      <alignment horizontal="center" vertical="center" wrapText="1"/>
    </xf>
    <xf numFmtId="0" fontId="20" fillId="28" borderId="13" applyAlignment="1" pivotButton="0" quotePrefix="0" xfId="0">
      <alignment horizontal="left" vertical="center" wrapText="1"/>
    </xf>
    <xf numFmtId="0" fontId="20" fillId="19" borderId="13" applyAlignment="1" pivotButton="0" quotePrefix="0" xfId="0">
      <alignment horizontal="center" vertical="center" wrapText="1"/>
    </xf>
    <xf numFmtId="0" fontId="20" fillId="30" borderId="13" applyAlignment="1" pivotButton="0" quotePrefix="0" xfId="0">
      <alignment horizontal="left" vertical="center" wrapText="1"/>
    </xf>
    <xf numFmtId="0" fontId="21" fillId="32" borderId="13" applyAlignment="1" pivotButton="0" quotePrefix="0" xfId="0">
      <alignment horizontal="left" vertical="center" wrapText="1"/>
    </xf>
    <xf numFmtId="0" fontId="20" fillId="32" borderId="13" applyAlignment="1" pivotButton="0" quotePrefix="0" xfId="0">
      <alignment horizontal="left" vertical="center" wrapText="1"/>
    </xf>
    <xf numFmtId="0" fontId="37" fillId="32" borderId="13" applyAlignment="1" pivotButton="0" quotePrefix="0" xfId="0">
      <alignment horizontal="center" vertical="center" wrapText="1"/>
    </xf>
    <xf numFmtId="0" fontId="21" fillId="17" borderId="13" applyAlignment="1" pivotButton="0" quotePrefix="0" xfId="0">
      <alignment horizontal="center" vertical="center"/>
    </xf>
    <xf numFmtId="0" fontId="20" fillId="16" borderId="13" applyAlignment="1" pivotButton="0" quotePrefix="0" xfId="0">
      <alignment horizontal="left" vertical="center" wrapText="1"/>
    </xf>
    <xf numFmtId="0" fontId="20" fillId="16" borderId="13" applyAlignment="1" pivotButton="0" quotePrefix="0" xfId="0">
      <alignment horizontal="center" vertical="center" wrapText="1"/>
    </xf>
    <xf numFmtId="0" fontId="7" fillId="0" borderId="13" applyAlignment="1" pivotButton="0" quotePrefix="0" xfId="0">
      <alignment wrapText="1"/>
    </xf>
    <xf numFmtId="0" fontId="39" fillId="0" borderId="0" applyAlignment="1" pivotButton="0" quotePrefix="0" xfId="0">
      <alignment wrapText="1"/>
    </xf>
    <xf numFmtId="9" fontId="4" fillId="2" borderId="1" applyAlignment="1" pivotButton="0" quotePrefix="0" xfId="0">
      <alignment wrapText="1"/>
    </xf>
    <xf numFmtId="9" fontId="4" fillId="0" borderId="0" applyAlignment="1" pivotButton="0" quotePrefix="0" xfId="0">
      <alignment wrapText="1"/>
    </xf>
    <xf numFmtId="0" fontId="27" fillId="0" borderId="13" applyAlignment="1" pivotButton="0" quotePrefix="0" xfId="0">
      <alignment wrapText="1"/>
    </xf>
    <xf numFmtId="0" fontId="35" fillId="34" borderId="13" applyAlignment="1" pivotButton="0" quotePrefix="0" xfId="0">
      <alignment horizontal="center" vertical="center" wrapText="1"/>
    </xf>
    <xf numFmtId="0" fontId="20" fillId="35" borderId="13" applyAlignment="1" pivotButton="0" quotePrefix="0" xfId="0">
      <alignment horizontal="left" vertical="center" wrapText="1"/>
    </xf>
    <xf numFmtId="0" fontId="21" fillId="36" borderId="13" applyAlignment="1" pivotButton="0" quotePrefix="0" xfId="0">
      <alignment horizontal="center" vertical="center" wrapText="1"/>
    </xf>
    <xf numFmtId="0" fontId="35" fillId="37" borderId="13" applyAlignment="1" pivotButton="0" quotePrefix="0" xfId="0">
      <alignment horizontal="center" vertical="center" wrapText="1"/>
    </xf>
    <xf numFmtId="0" fontId="35" fillId="38" borderId="13" applyAlignment="1" pivotButton="0" quotePrefix="0" xfId="0">
      <alignment horizontal="center" vertical="center" wrapText="1"/>
    </xf>
    <xf numFmtId="0" fontId="23" fillId="31" borderId="13" applyAlignment="1" pivotButton="0" quotePrefix="0" xfId="0">
      <alignment horizontal="left" vertical="center"/>
    </xf>
    <xf numFmtId="0" fontId="0" fillId="0" borderId="14" pivotButton="0" quotePrefix="0" xfId="0"/>
    <xf numFmtId="0" fontId="0" fillId="0" borderId="15" pivotButton="0" quotePrefix="0" xfId="0"/>
    <xf numFmtId="0" fontId="41" fillId="0" borderId="13" applyAlignment="1" pivotButton="0" quotePrefix="0" xfId="0">
      <alignment horizontal="left" vertical="center" wrapText="1"/>
    </xf>
    <xf numFmtId="0" fontId="44" fillId="14" borderId="12" applyAlignment="1" pivotButton="0" quotePrefix="0" xfId="0">
      <alignment vertical="top" wrapText="1"/>
    </xf>
    <xf numFmtId="9" fontId="20" fillId="27" borderId="13" applyAlignment="1" pivotButton="0" quotePrefix="0" xfId="0">
      <alignment horizontal="left" vertical="center" wrapText="1"/>
    </xf>
    <xf numFmtId="168" fontId="20" fillId="27" borderId="13" applyAlignment="1" pivotButton="0" quotePrefix="0" xfId="0">
      <alignment horizontal="left" vertical="center" wrapText="1"/>
    </xf>
    <xf numFmtId="168" fontId="21" fillId="19" borderId="13" applyAlignment="1" pivotButton="0" quotePrefix="0" xfId="0">
      <alignment horizontal="center" vertical="center"/>
    </xf>
    <xf numFmtId="9" fontId="21" fillId="19" borderId="13" applyAlignment="1" pivotButton="0" quotePrefix="0" xfId="0">
      <alignment horizontal="center" vertical="center"/>
    </xf>
    <xf numFmtId="0" fontId="6" fillId="3" borderId="16" applyAlignment="1" pivotButton="0" quotePrefix="0" xfId="0">
      <alignment wrapText="1"/>
    </xf>
    <xf numFmtId="0" fontId="6" fillId="4" borderId="16" applyAlignment="1" pivotButton="0" quotePrefix="0" xfId="0">
      <alignment wrapText="1"/>
    </xf>
    <xf numFmtId="0" fontId="45" fillId="3" borderId="16" applyAlignment="1" pivotButton="0" quotePrefix="0" xfId="0">
      <alignment wrapText="1"/>
    </xf>
    <xf numFmtId="0" fontId="46" fillId="0" borderId="0" applyAlignment="1" pivotButton="0" quotePrefix="0" xfId="0">
      <alignment wrapText="1"/>
    </xf>
    <xf numFmtId="0" fontId="47" fillId="0" borderId="13" applyAlignment="1" pivotButton="0" quotePrefix="0" xfId="0">
      <alignment horizontal="left" vertical="top" wrapText="1"/>
    </xf>
    <xf numFmtId="0" fontId="42" fillId="0" borderId="13" applyAlignment="1" pivotButton="0" quotePrefix="0" xfId="0">
      <alignment wrapText="1"/>
    </xf>
    <xf numFmtId="0" fontId="42" fillId="0" borderId="0" applyAlignment="1" pivotButton="0" quotePrefix="0" xfId="0">
      <alignment wrapText="1"/>
    </xf>
    <xf numFmtId="0" fontId="42" fillId="0" borderId="0" pivotButton="0" quotePrefix="0" xfId="0"/>
    <xf numFmtId="0" fontId="48" fillId="24" borderId="13" applyAlignment="1" pivotButton="0" quotePrefix="0" xfId="0">
      <alignment vertical="top" wrapText="1"/>
    </xf>
    <xf numFmtId="9" fontId="8"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26" fillId="0" borderId="13" applyAlignment="1" pivotButton="0" quotePrefix="0" xfId="0">
      <alignment horizontal="center" vertical="center" wrapText="1"/>
    </xf>
    <xf numFmtId="0" fontId="7" fillId="0" borderId="13" applyAlignment="1" pivotButton="0" quotePrefix="0" xfId="0">
      <alignment horizontal="center" vertical="center" wrapText="1"/>
    </xf>
    <xf numFmtId="9" fontId="7" fillId="0" borderId="13" applyAlignment="1" pivotButton="0" quotePrefix="0" xfId="0">
      <alignment horizontal="center" vertical="center" wrapText="1"/>
    </xf>
    <xf numFmtId="0" fontId="6" fillId="39" borderId="16" applyAlignment="1" pivotButton="0" quotePrefix="0" xfId="0">
      <alignment wrapText="1"/>
    </xf>
    <xf numFmtId="0" fontId="49" fillId="3" borderId="0" applyAlignment="1" pivotButton="0" quotePrefix="0" xfId="0">
      <alignment wrapText="1"/>
    </xf>
    <xf numFmtId="0" fontId="49" fillId="9" borderId="0" applyAlignment="1" pivotButton="0" quotePrefix="0" xfId="0">
      <alignment wrapText="1"/>
    </xf>
    <xf numFmtId="0" fontId="49" fillId="10" borderId="0" applyAlignment="1" pivotButton="0" quotePrefix="0" xfId="0">
      <alignment wrapText="1"/>
    </xf>
    <xf numFmtId="0" fontId="49" fillId="11" borderId="3" applyAlignment="1" pivotButton="0" quotePrefix="0" xfId="0">
      <alignment wrapText="1"/>
    </xf>
    <xf numFmtId="0" fontId="49" fillId="11" borderId="4" applyAlignment="1" pivotButton="0" quotePrefix="0" xfId="0">
      <alignment wrapText="1"/>
    </xf>
    <xf numFmtId="0" fontId="52" fillId="11" borderId="5" applyAlignment="1" pivotButton="0" quotePrefix="0" xfId="0">
      <alignment wrapText="1"/>
    </xf>
    <xf numFmtId="0" fontId="49" fillId="0" borderId="6" applyAlignment="1" pivotButton="0" quotePrefix="0" xfId="0">
      <alignment wrapText="1"/>
    </xf>
    <xf numFmtId="0" fontId="50" fillId="0" borderId="7" applyAlignment="1" pivotButton="0" quotePrefix="0" xfId="0">
      <alignment wrapText="1"/>
    </xf>
    <xf numFmtId="9" fontId="50" fillId="0" borderId="7" applyAlignment="1" pivotButton="0" quotePrefix="0" xfId="0">
      <alignment wrapText="1"/>
    </xf>
    <xf numFmtId="0" fontId="51" fillId="0" borderId="8" applyAlignment="1" pivotButton="0" quotePrefix="0" xfId="0">
      <alignment wrapText="1"/>
    </xf>
    <xf numFmtId="0" fontId="49" fillId="0" borderId="9" applyAlignment="1" pivotButton="0" quotePrefix="0" xfId="0">
      <alignment wrapText="1"/>
    </xf>
    <xf numFmtId="0" fontId="50" fillId="0" borderId="10" applyAlignment="1" pivotButton="0" quotePrefix="0" xfId="0">
      <alignment wrapText="1"/>
    </xf>
    <xf numFmtId="0" fontId="51" fillId="0" borderId="11" applyAlignment="1" pivotButton="0" quotePrefix="0" xfId="0">
      <alignment wrapText="1"/>
    </xf>
    <xf numFmtId="0" fontId="53" fillId="0" borderId="13" applyAlignment="1" pivotButton="0" quotePrefix="0" xfId="0">
      <alignment horizontal="left" vertical="center" wrapText="1"/>
    </xf>
    <xf numFmtId="0" fontId="54" fillId="21" borderId="13" applyAlignment="1" pivotButton="0" quotePrefix="0" xfId="0">
      <alignment horizontal="right" vertical="center"/>
    </xf>
    <xf numFmtId="0" fontId="53" fillId="0" borderId="13" applyAlignment="1" pivotButton="0" quotePrefix="0" xfId="0">
      <alignment horizontal="center"/>
    </xf>
    <xf numFmtId="9" fontId="54" fillId="21" borderId="13" applyAlignment="1" pivotButton="0" quotePrefix="0" xfId="0">
      <alignment horizontal="right" vertical="center"/>
    </xf>
    <xf numFmtId="0" fontId="49" fillId="40" borderId="1" applyAlignment="1" pivotButton="0" quotePrefix="0" xfId="0">
      <alignment wrapText="1"/>
    </xf>
    <xf numFmtId="0" fontId="40" fillId="40" borderId="1" applyAlignment="1" pivotButton="0" quotePrefix="0" xfId="0">
      <alignment wrapText="1"/>
    </xf>
    <xf numFmtId="0" fontId="23" fillId="32" borderId="13" applyAlignment="1" pivotButton="0" quotePrefix="0" xfId="0">
      <alignment horizontal="left" vertical="center"/>
    </xf>
    <xf numFmtId="0" fontId="0" fillId="0" borderId="14" pivotButton="0" quotePrefix="0" xfId="0"/>
    <xf numFmtId="0" fontId="0" fillId="0" borderId="15" pivotButton="0" quotePrefix="0" xfId="0"/>
    <xf numFmtId="0" fontId="23" fillId="23" borderId="13" applyAlignment="1" pivotButton="0" quotePrefix="0" xfId="0">
      <alignment horizontal="left" vertical="center"/>
    </xf>
    <xf numFmtId="0" fontId="36" fillId="26" borderId="13" applyAlignment="1" pivotButton="0" quotePrefix="0" xfId="0">
      <alignment horizontal="center" vertical="center"/>
    </xf>
    <xf numFmtId="0" fontId="23" fillId="17" borderId="13" applyAlignment="1" pivotButton="0" quotePrefix="0" xfId="0">
      <alignment horizontal="left" vertical="center"/>
    </xf>
    <xf numFmtId="0" fontId="23" fillId="21" borderId="13" applyAlignment="1" pivotButton="0" quotePrefix="0" xfId="0">
      <alignment horizontal="left" vertical="center"/>
    </xf>
    <xf numFmtId="0" fontId="38" fillId="23" borderId="13" applyAlignment="1" pivotButton="0" quotePrefix="0" xfId="0">
      <alignment horizontal="left" vertical="center" wrapText="1"/>
    </xf>
    <xf numFmtId="0" fontId="23" fillId="24" borderId="13" applyAlignment="1" pivotButton="0" quotePrefix="0" xfId="0">
      <alignment horizontal="left" vertical="center"/>
    </xf>
    <xf numFmtId="0" fontId="23" fillId="31" borderId="13" applyAlignment="1" pivotButton="0" quotePrefix="0" xfId="0">
      <alignment horizontal="left" vertical="center"/>
    </xf>
    <xf numFmtId="0" fontId="28" fillId="24" borderId="13" applyAlignment="1" pivotButton="0" quotePrefix="0" xfId="0">
      <alignment horizontal="left" vertical="center" wrapText="1"/>
    </xf>
    <xf numFmtId="0" fontId="23" fillId="22" borderId="13" applyAlignment="1" pivotButton="0" quotePrefix="0" xfId="0">
      <alignment horizontal="left" vertical="center"/>
    </xf>
    <xf numFmtId="0" fontId="23" fillId="19" borderId="13" applyAlignment="1" pivotButton="0" quotePrefix="0" xfId="0">
      <alignment horizontal="left" vertical="center"/>
    </xf>
    <xf numFmtId="0" fontId="23" fillId="29" borderId="13" applyAlignment="1" pivotButton="0" quotePrefix="0" xfId="0">
      <alignment horizontal="left" vertical="center"/>
    </xf>
    <xf numFmtId="0" fontId="32" fillId="24" borderId="13" applyAlignment="1" pivotButton="0" quotePrefix="0" xfId="0">
      <alignment vertical="center"/>
    </xf>
    <xf numFmtId="0" fontId="24" fillId="17" borderId="1" applyAlignment="1" pivotButton="0" quotePrefix="0" xfId="0">
      <alignment horizontal="left" vertical="center" wrapText="1"/>
    </xf>
    <xf numFmtId="0" fontId="22" fillId="17" borderId="1" applyAlignment="1" pivotButton="0" quotePrefix="0" xfId="0">
      <alignment vertical="top" wrapText="1"/>
    </xf>
    <xf numFmtId="0" fontId="0" fillId="0" borderId="0" pivotButton="0" quotePrefix="0" xfId="0"/>
    <xf numFmtId="0" fontId="14" fillId="12" borderId="1" applyAlignment="1" pivotButton="0" quotePrefix="0" xfId="0">
      <alignment horizontal="center" vertical="center" wrapText="1"/>
    </xf>
    <xf numFmtId="0" fontId="19" fillId="13" borderId="1" applyAlignment="1" pivotButton="0" quotePrefix="0" xfId="0">
      <alignment horizontal="left" vertical="center" wrapText="1"/>
    </xf>
    <xf numFmtId="0" fontId="16" fillId="18" borderId="1" applyAlignment="1" pivotButton="0" quotePrefix="0" xfId="0">
      <alignment horizontal="left" vertical="center" wrapText="1"/>
    </xf>
    <xf numFmtId="0" fontId="15" fillId="12" borderId="1" applyAlignment="1" pivotButton="0" quotePrefix="0" xfId="0">
      <alignment horizontal="center" vertical="center" wrapText="1"/>
    </xf>
    <xf numFmtId="0" fontId="22" fillId="0" borderId="1" applyAlignment="1" pivotButton="0" quotePrefix="0" xfId="0">
      <alignment vertical="top" wrapText="1"/>
    </xf>
    <xf numFmtId="0" fontId="17" fillId="0" borderId="1" applyAlignment="1" pivotButton="0" quotePrefix="0" xfId="0">
      <alignment vertical="top" wrapText="1"/>
    </xf>
    <xf numFmtId="0" fontId="43" fillId="17" borderId="1" applyAlignment="1" pivotButton="0" quotePrefix="0" xfId="0">
      <alignment vertical="top" wrapText="1"/>
    </xf>
    <xf numFmtId="0" fontId="16" fillId="13" borderId="1" applyAlignment="1" pivotButton="0" quotePrefix="0" xfId="0">
      <alignment horizontal="left" vertical="center" wrapText="1"/>
    </xf>
    <xf numFmtId="0" fontId="16" fillId="12" borderId="1" applyAlignment="1" pivotButton="0" quotePrefix="0" xfId="0">
      <alignment horizontal="left" vertical="center" wrapText="1"/>
    </xf>
    <xf numFmtId="0" fontId="25" fillId="0" borderId="1" applyAlignment="1" pivotButton="0" quotePrefix="0" xfId="0">
      <alignment vertical="top" wrapText="1"/>
    </xf>
    <xf numFmtId="0" fontId="16" fillId="33" borderId="13" applyAlignment="1" pivotButton="0" quotePrefix="0" xfId="0">
      <alignment horizontal="center" vertical="center"/>
    </xf>
    <xf numFmtId="3" fontId="4" fillId="41" borderId="0" applyAlignment="1" pivotButton="0" quotePrefix="0" xfId="0">
      <alignment wrapText="1"/>
    </xf>
    <xf numFmtId="0" fontId="0" fillId="0" borderId="1" pivotButton="0" quotePrefix="0" xfId="0"/>
    <xf numFmtId="0" fontId="56" fillId="42" borderId="0" applyAlignment="1" pivotButton="0" quotePrefix="0" xfId="0">
      <alignment wrapText="1"/>
    </xf>
    <xf numFmtId="166" fontId="13" fillId="42" borderId="0" pivotButton="0" quotePrefix="0" xfId="0"/>
    <xf numFmtId="3" fontId="4" fillId="44" borderId="0" applyAlignment="1" pivotButton="0" quotePrefix="0" xfId="0">
      <alignment wrapText="1"/>
    </xf>
    <xf numFmtId="0" fontId="3" fillId="0" borderId="0" applyAlignment="1" pivotButton="0" quotePrefix="0" xfId="0">
      <alignment vertical="top" wrapText="1"/>
    </xf>
    <xf numFmtId="3" fontId="4" fillId="44" borderId="0" applyAlignment="1" pivotButton="0" quotePrefix="0" xfId="0">
      <alignment vertical="top" wrapText="1"/>
    </xf>
    <xf numFmtId="0" fontId="12" fillId="0" borderId="0" applyAlignment="1" pivotButton="0" quotePrefix="0" xfId="0">
      <alignment vertical="top" wrapText="1"/>
    </xf>
    <xf numFmtId="0" fontId="11" fillId="42" borderId="0" applyAlignment="1" pivotButton="0" quotePrefix="0" xfId="0">
      <alignment horizontal="left" vertical="top" wrapText="1"/>
    </xf>
    <xf numFmtId="0" fontId="7" fillId="0" borderId="1" pivotButton="0" quotePrefix="0" xfId="0"/>
    <xf numFmtId="0" fontId="7" fillId="0" borderId="1" applyAlignment="1" pivotButton="0" quotePrefix="1" xfId="0">
      <alignment vertical="top" wrapText="1"/>
    </xf>
    <xf numFmtId="0" fontId="7" fillId="0" borderId="0" applyAlignment="1" pivotButton="0" quotePrefix="1" xfId="0">
      <alignment vertical="top" wrapText="1"/>
    </xf>
    <xf numFmtId="0" fontId="10"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7" fillId="0" borderId="1" applyAlignment="1" pivotButton="0" quotePrefix="0" xfId="0">
      <alignment vertical="top" wrapText="1"/>
    </xf>
    <xf numFmtId="169" fontId="20" fillId="28" borderId="13" applyAlignment="1" pivotButton="0" quotePrefix="0" xfId="0">
      <alignment horizontal="left" vertical="center" wrapText="1"/>
    </xf>
    <xf numFmtId="168" fontId="20" fillId="28" borderId="13" applyAlignment="1" pivotButton="0" quotePrefix="0" xfId="0">
      <alignment horizontal="left" vertical="center" wrapText="1"/>
    </xf>
    <xf numFmtId="9" fontId="20" fillId="28" borderId="13" applyAlignment="1" pivotButton="0" quotePrefix="0" xfId="0">
      <alignment horizontal="left" vertical="center" wrapText="1"/>
    </xf>
    <xf numFmtId="168" fontId="20" fillId="30" borderId="13" applyAlignment="1" pivotButton="0" quotePrefix="0" xfId="0">
      <alignment horizontal="left" vertical="center" wrapText="1"/>
    </xf>
    <xf numFmtId="0" fontId="7" fillId="43" borderId="0" applyAlignment="1" pivotButton="0" quotePrefix="0" xfId="0">
      <alignment wrapText="1"/>
    </xf>
    <xf numFmtId="0" fontId="0" fillId="43" borderId="0" applyAlignment="1" pivotButton="0" quotePrefix="0" xfId="0">
      <alignment wrapText="1"/>
    </xf>
    <xf numFmtId="0" fontId="7" fillId="43" borderId="1" applyAlignment="1" pivotButton="0" quotePrefix="0" xfId="0">
      <alignment wrapText="1"/>
    </xf>
    <xf numFmtId="0" fontId="0" fillId="43" borderId="1" applyAlignment="1" pivotButton="0" quotePrefix="0" xfId="0">
      <alignment wrapText="1"/>
    </xf>
    <xf numFmtId="0" fontId="57" fillId="45" borderId="1" applyAlignment="1" pivotButton="0" quotePrefix="0" xfId="0">
      <alignment horizontal="left" vertical="center"/>
    </xf>
    <xf numFmtId="0" fontId="59" fillId="45" borderId="1" applyAlignment="1" pivotButton="0" quotePrefix="0" xfId="0">
      <alignment horizontal="left" vertical="center"/>
    </xf>
    <xf numFmtId="0" fontId="57" fillId="45" borderId="17" applyAlignment="1" pivotButton="0" quotePrefix="0" xfId="0">
      <alignment horizontal="left" vertical="center"/>
    </xf>
    <xf numFmtId="0" fontId="57" fillId="46" borderId="17" applyAlignment="1" pivotButton="0" quotePrefix="0" xfId="0">
      <alignment horizontal="left" vertical="center"/>
    </xf>
    <xf numFmtId="0" fontId="0" fillId="0" borderId="16" applyAlignment="1" pivotButton="0" quotePrefix="0" xfId="0">
      <alignment vertical="top" wrapText="1"/>
    </xf>
    <xf numFmtId="0" fontId="7" fillId="0" borderId="16" applyAlignment="1" pivotButton="0" quotePrefix="0" xfId="0">
      <alignment vertical="top" wrapText="1"/>
    </xf>
    <xf numFmtId="170" fontId="58" fillId="45" borderId="16" applyAlignment="1" pivotButton="0" quotePrefix="0" xfId="0">
      <alignment horizontal="right" vertical="center"/>
    </xf>
    <xf numFmtId="0" fontId="60" fillId="0" borderId="16" applyAlignment="1" pivotButton="0" quotePrefix="0" xfId="0">
      <alignment vertical="top" wrapText="1"/>
    </xf>
    <xf numFmtId="0" fontId="60" fillId="0" borderId="16" applyAlignment="1" pivotButton="0" quotePrefix="0" xfId="0">
      <alignment vertical="top" wrapText="1"/>
    </xf>
    <xf numFmtId="170" fontId="61" fillId="0" borderId="16" applyAlignment="1" pivotButton="0" quotePrefix="0" xfId="0">
      <alignment horizontal="right" vertical="center"/>
    </xf>
    <xf numFmtId="0" fontId="62" fillId="0" borderId="16" applyAlignment="1" pivotButton="0" quotePrefix="0" xfId="0">
      <alignment vertical="top" wrapText="1"/>
    </xf>
    <xf numFmtId="0" fontId="7" fillId="42" borderId="1" applyAlignment="1" pivotButton="0" quotePrefix="0" xfId="0">
      <alignment vertical="top" wrapText="1"/>
    </xf>
    <xf numFmtId="0" fontId="10" fillId="0" borderId="1" applyAlignment="1" pivotButton="0" quotePrefix="0" xfId="0">
      <alignment vertical="top" wrapText="1"/>
    </xf>
    <xf numFmtId="170" fontId="61" fillId="0" borderId="18" applyAlignment="1" pivotButton="0" quotePrefix="0" xfId="0">
      <alignment horizontal="right" vertical="center"/>
    </xf>
    <xf numFmtId="0" fontId="0" fillId="0" borderId="18" applyAlignment="1" pivotButton="0" quotePrefix="0" xfId="0">
      <alignment vertical="top" wrapText="1"/>
    </xf>
    <xf numFmtId="0" fontId="10" fillId="0" borderId="16" applyAlignment="1" pivotButton="0" quotePrefix="0" xfId="0">
      <alignment vertical="top" wrapText="1"/>
    </xf>
    <xf numFmtId="0" fontId="7" fillId="47" borderId="16" applyAlignment="1" pivotButton="0" quotePrefix="0" xfId="0">
      <alignment vertical="top" wrapText="1"/>
    </xf>
    <xf numFmtId="0" fontId="7" fillId="48" borderId="16" applyAlignment="1" pivotButton="0" quotePrefix="0" xfId="0">
      <alignment vertical="top" wrapText="1"/>
    </xf>
    <xf numFmtId="0" fontId="7" fillId="49" borderId="16" applyAlignment="1" pivotButton="0" quotePrefix="0" xfId="0">
      <alignment vertical="top" wrapText="1"/>
    </xf>
    <xf numFmtId="0" fontId="7" fillId="0" borderId="16" applyAlignment="1" pivotButton="0" quotePrefix="1" xfId="0">
      <alignment vertical="top" wrapText="1"/>
    </xf>
    <xf numFmtId="0" fontId="10" fillId="41" borderId="0" applyAlignment="1" pivotButton="0" quotePrefix="0" xfId="0">
      <alignment vertical="top" wrapText="1"/>
    </xf>
    <xf numFmtId="17" fontId="13" fillId="51" borderId="1" pivotButton="0" quotePrefix="0" xfId="0"/>
    <xf numFmtId="17" fontId="63" fillId="52" borderId="1" pivotButton="0" quotePrefix="0" xfId="0"/>
    <xf numFmtId="17" fontId="13" fillId="48" borderId="1" pivotButton="0" quotePrefix="0" xfId="0"/>
    <xf numFmtId="17" fontId="63" fillId="53" borderId="1" pivotButton="0" quotePrefix="0" xfId="0"/>
    <xf numFmtId="17" fontId="13" fillId="50" borderId="1" pivotButton="0" quotePrefix="0" xfId="0"/>
    <xf numFmtId="0" fontId="10" fillId="0" borderId="1" pivotButton="0" quotePrefix="0" xfId="0"/>
    <xf numFmtId="0" fontId="10" fillId="0" borderId="1" applyAlignment="1" pivotButton="0" quotePrefix="0" xfId="0">
      <alignment vertical="top" wrapText="1"/>
    </xf>
    <xf numFmtId="0" fontId="3" fillId="0" borderId="1" applyAlignment="1" pivotButton="0" quotePrefix="0" xfId="0">
      <alignment wrapText="1"/>
    </xf>
    <xf numFmtId="3" fontId="4" fillId="0" borderId="1" applyAlignment="1" pivotButton="0" quotePrefix="0" xfId="0">
      <alignment wrapText="1"/>
    </xf>
    <xf numFmtId="0" fontId="12" fillId="0" borderId="1" applyAlignment="1" pivotButton="0" quotePrefix="0" xfId="0">
      <alignment wrapText="1"/>
    </xf>
    <xf numFmtId="0" fontId="11" fillId="0" borderId="1" applyAlignment="1" pivotButton="0" quotePrefix="0" xfId="0">
      <alignment horizontal="left" vertical="top" wrapText="1"/>
    </xf>
    <xf numFmtId="0" fontId="7" fillId="0" borderId="1" applyAlignment="1" pivotButton="0" quotePrefix="0" xfId="0">
      <alignment wrapText="1"/>
    </xf>
    <xf numFmtId="0" fontId="3" fillId="54" borderId="0" applyAlignment="1" pivotButton="0" quotePrefix="0" xfId="0">
      <alignment wrapText="1"/>
    </xf>
    <xf numFmtId="0" fontId="3" fillId="54" borderId="1" applyAlignment="1" pivotButton="0" quotePrefix="0" xfId="0">
      <alignment wrapText="1"/>
    </xf>
    <xf numFmtId="0" fontId="64" fillId="42" borderId="0" pivotButton="0" quotePrefix="0" xfId="0"/>
    <xf numFmtId="0" fontId="4" fillId="0" borderId="1" applyAlignment="1" pivotButton="0" quotePrefix="0" xfId="0">
      <alignment wrapText="1"/>
    </xf>
    <xf numFmtId="0" fontId="3" fillId="0" borderId="1" applyAlignment="1" pivotButton="0" quotePrefix="0" xfId="0">
      <alignment wrapText="1"/>
    </xf>
    <xf numFmtId="171" fontId="50" fillId="0" borderId="7" applyAlignment="1" pivotButton="0" quotePrefix="0" xfId="0">
      <alignment wrapText="1"/>
    </xf>
    <xf numFmtId="171" fontId="65" fillId="0" borderId="13" applyAlignment="1" pivotButton="0" quotePrefix="0" xfId="0">
      <alignment horizontal="center"/>
    </xf>
    <xf numFmtId="168" fontId="21" fillId="19" borderId="13" applyAlignment="1" pivotButton="0" quotePrefix="0" xfId="0">
      <alignment horizontal="center" vertical="center"/>
    </xf>
    <xf numFmtId="168" fontId="20" fillId="27" borderId="13" applyAlignment="1" pivotButton="0" quotePrefix="0" xfId="0">
      <alignment horizontal="left" vertical="center" wrapText="1"/>
    </xf>
    <xf numFmtId="169" fontId="20" fillId="28" borderId="13" applyAlignment="1" pivotButton="0" quotePrefix="0" xfId="0">
      <alignment horizontal="left" vertical="center" wrapText="1"/>
    </xf>
    <xf numFmtId="168" fontId="20" fillId="28" borderId="13" applyAlignment="1" pivotButton="0" quotePrefix="0" xfId="0">
      <alignment horizontal="left" vertical="center" wrapText="1"/>
    </xf>
    <xf numFmtId="168" fontId="20" fillId="30" borderId="13" applyAlignment="1" pivotButton="0" quotePrefix="0" xfId="0">
      <alignment horizontal="left" vertical="center" wrapText="1"/>
    </xf>
    <xf numFmtId="171" fontId="50" fillId="0" borderId="7" applyAlignment="1" pivotButton="0" quotePrefix="0" xfId="0">
      <alignment wrapText="1"/>
    </xf>
    <xf numFmtId="171" fontId="65" fillId="0" borderId="13" applyAlignment="1" pivotButton="0" quotePrefix="0" xfId="0">
      <alignment horizontal="center"/>
    </xf>
    <xf numFmtId="170" fontId="61" fillId="0" borderId="16" applyAlignment="1" pivotButton="0" quotePrefix="0" xfId="0">
      <alignment horizontal="right" vertical="center"/>
    </xf>
    <xf numFmtId="170" fontId="61" fillId="0" borderId="18" applyAlignment="1" pivotButton="0" quotePrefix="0" xfId="0">
      <alignment horizontal="right" vertical="center"/>
    </xf>
    <xf numFmtId="170" fontId="58" fillId="45" borderId="16" applyAlignment="1" pivotButton="0" quotePrefix="0" xfId="0">
      <alignment horizontal="right" vertical="center"/>
    </xf>
  </cellXfs>
  <cellStyles count="1">
    <cellStyle name="Standard" xfId="0" builtinId="0"/>
  </cellStyles>
  <dxfs count="3">
    <dxf>
      <font>
        <b val="1"/>
        <color theme="0"/>
      </font>
      <fill>
        <patternFill patternType="solid">
          <fgColor rgb="FF1155CC"/>
          <bgColor rgb="FF1155CC"/>
        </patternFill>
      </fill>
    </dxf>
    <dxf>
      <fill>
        <patternFill patternType="solid">
          <fgColor rgb="FFB7E1CD"/>
          <bgColor rgb="FFB7E1CD"/>
        </patternFill>
      </fill>
    </dxf>
    <dxf>
      <fill>
        <patternFill patternType="solid">
          <fgColor rgb="FFFF9900"/>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tc={39E679B5-A954-4764-9735-EF4E3097859C}</author>
  </authors>
  <commentList>
    <comment ref="B32" authorId="0" shapeI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Rene: maybe its possible to bootstrap in until VC Pitch?</t>
      </text>
    </comment>
  </commentList>
</comments>
</file>

<file path=xl/comments/comment2.xml><?xml version="1.0" encoding="utf-8"?>
<comments xmlns="http://schemas.openxmlformats.org/spreadsheetml/2006/main">
  <authors>
    <author>tc={765EF0B8-9E6C-43B0-ADB6-1187C946C0EC}</author>
  </authors>
  <commentList>
    <comment ref="B64" authorId="0" shapeId="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Change, too much in the beginning...Better_ 3000€ </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10" defaultColWidth="14.453125" defaultRowHeight="15" customHeight="1"/>
  <cols>
    <col width="60" customWidth="1" style="165" min="1" max="1"/>
    <col width="40" customWidth="1" style="165" min="2" max="2"/>
    <col width="8.7265625" customWidth="1" style="165" min="3" max="26"/>
  </cols>
  <sheetData>
    <row r="1" ht="14.25" customHeight="1" s="165">
      <c r="A1" s="1" t="inlineStr">
        <is>
          <t>LoopforgeLab GmbH – Financial Projection Model</t>
        </is>
      </c>
    </row>
    <row r="2" ht="14.25" customHeight="1" s="165">
      <c r="A2" s="1" t="n"/>
    </row>
    <row r="3" ht="14.25" customHeight="1" s="165">
      <c r="A3" s="2" t="inlineStr">
        <is>
          <t>Projektionszeitraum: 52 Monate (ca. 4,3 Jahre)</t>
        </is>
      </c>
    </row>
    <row r="4" ht="14.25" customHeight="1" s="165"/>
    <row r="5" ht="14.25" customHeight="1" s="165">
      <c r="A5" s="2" t="inlineStr">
        <is>
          <t>INHALTSVERZEICHNIS</t>
        </is>
      </c>
    </row>
    <row r="6" ht="14.25" customHeight="1" s="165">
      <c r="A6" s="3" t="inlineStr">
        <is>
          <t>Sheet 1: Anleitung – Diese Seite mit Übersicht und Legende</t>
        </is>
      </c>
    </row>
    <row r="7" ht="14.25" customHeight="1" s="165">
      <c r="A7" s="3" t="inlineStr">
        <is>
          <t>Sheet 2: Inputs – Zentrale Eingabewerte (HIER STARTEN)</t>
        </is>
      </c>
    </row>
    <row r="8" ht="14.25" customHeight="1" s="165">
      <c r="A8" s="3" t="inlineStr">
        <is>
          <t>Sheet 3: P&amp;L – Gewinn- und Verlustrechnung (monatlich + jährlich)</t>
        </is>
      </c>
    </row>
    <row r="9" ht="14.25" customHeight="1" s="165">
      <c r="A9" s="3" t="inlineStr">
        <is>
          <t>Sheet 4: Revenue – Detaillierte Umsatzmodellierung</t>
        </is>
      </c>
    </row>
    <row r="10" ht="14.25" customHeight="1" s="165">
      <c r="A10" s="3" t="inlineStr">
        <is>
          <t>Sheet 5: Costs – Detaillierte Kostenaufschlüsselung</t>
        </is>
      </c>
    </row>
    <row r="11" ht="14.25" customHeight="1" s="165">
      <c r="A11" s="3" t="inlineStr">
        <is>
          <t>Sheet 6: Balance Sheet – Vereinfachte Bilanz</t>
        </is>
      </c>
    </row>
    <row r="12" ht="14.25" customHeight="1" s="165">
      <c r="A12" s="3" t="inlineStr">
        <is>
          <t>Sheet 7: Cash Flow – Kapitalflussrechnung mit Runway</t>
        </is>
      </c>
    </row>
    <row r="13" ht="14.25" customHeight="1" s="165"/>
    <row r="14" ht="14.25" customHeight="1" s="165">
      <c r="A14" s="2" t="inlineStr">
        <is>
          <t>FARBCODIERUNG</t>
        </is>
      </c>
    </row>
    <row r="15" ht="14.25" customHeight="1" s="165">
      <c r="A15" s="4" t="inlineStr">
        <is>
          <t>Blau</t>
        </is>
      </c>
      <c r="B15" s="3" t="inlineStr">
        <is>
          <t>Editierbare Eingabefelder</t>
        </is>
      </c>
    </row>
    <row r="16" ht="14.25" customHeight="1" s="165">
      <c r="A16" s="3" t="inlineStr">
        <is>
          <t>Schwarz</t>
        </is>
      </c>
      <c r="B16" s="3" t="inlineStr">
        <is>
          <t>Formeln – nicht manuell ändern</t>
        </is>
      </c>
    </row>
    <row r="17" ht="14.25" customHeight="1" s="165">
      <c r="A17" s="5" t="inlineStr">
        <is>
          <t>Grün</t>
        </is>
      </c>
      <c r="B17" s="3" t="inlineStr">
        <is>
          <t>Verweise auf andere Sheets</t>
        </is>
      </c>
    </row>
    <row r="18" ht="14.25" customHeight="1" s="165">
      <c r="A18" s="6" t="inlineStr">
        <is>
          <t>Gelb hinterlegt</t>
        </is>
      </c>
      <c r="B18" s="3" t="inlineStr">
        <is>
          <t>Kritische Annahmen</t>
        </is>
      </c>
    </row>
    <row r="19" ht="14.25" customHeight="1" s="165"/>
    <row r="20" ht="14.25" customHeight="1" s="165">
      <c r="A20" s="2" t="inlineStr">
        <is>
          <t>KURZANLEITUNG</t>
        </is>
      </c>
    </row>
    <row r="21" ht="14.25" customHeight="1" s="165">
      <c r="A21" s="3" t="inlineStr">
        <is>
          <t>1. Gehen Sie zum Sheet 'Inputs' und passen Sie alle blau markierten Werte an.</t>
        </is>
      </c>
    </row>
    <row r="22" ht="14.25" customHeight="1" s="165">
      <c r="A22" s="3" t="inlineStr">
        <is>
          <t>2. Alle anderen Sheets berechnen sich automatisch aus den Inputs.</t>
        </is>
      </c>
    </row>
    <row r="23" ht="14.25" customHeight="1" s="165">
      <c r="A23" s="3" t="inlineStr">
        <is>
          <t>3. Prüfen Sie die P&amp;L, Revenue und Cash Flow Sheets auf Plausibilität.</t>
        </is>
      </c>
    </row>
    <row r="24" ht="14.25" customHeight="1" s="165">
      <c r="A24" s="3" t="inlineStr">
        <is>
          <t>4. Achten Sie auf rot markierte Warnungen (z.B. Runway &lt; 6 Monate).</t>
        </is>
      </c>
    </row>
    <row r="25" ht="14.25" customHeight="1" s="165">
      <c r="A25" s="3" t="inlineStr">
        <is>
          <t>5. Exportieren Sie relevante Sheets als PDF für Investoren-Präsentationen.</t>
        </is>
      </c>
    </row>
    <row r="26" ht="14.25" customHeight="1" s="165">
      <c r="A26" s="3" t="n"/>
    </row>
    <row r="27" ht="14.25" customHeight="1" s="165">
      <c r="A27" s="3" t="inlineStr">
        <is>
          <t>DISCLAIMER: Diese Projektion dient ausschließlich der Planung.</t>
        </is>
      </c>
    </row>
    <row r="28" ht="14.25" customHeight="1" s="165">
      <c r="A28" s="3" t="inlineStr">
        <is>
          <t>Tatsächliche Ergebnisse können erheblich abweichen. Keine Garantie.</t>
        </is>
      </c>
    </row>
    <row r="29" ht="14.25" customHeight="1" s="165"/>
    <row r="30" ht="14.25" customHeight="1" s="165"/>
    <row r="31" ht="14.25" customHeight="1" s="165"/>
    <row r="32" ht="14.25" customHeight="1" s="165"/>
    <row r="33" ht="14.25" customHeight="1" s="165"/>
    <row r="34" ht="14.25" customHeight="1" s="165"/>
    <row r="35" ht="14.25" customHeight="1" s="165"/>
    <row r="36" ht="14.25" customHeight="1" s="165"/>
    <row r="37" ht="14.25" customHeight="1" s="165"/>
    <row r="38" ht="14.25" customHeight="1" s="165"/>
    <row r="39" ht="14.25" customHeight="1" s="165"/>
    <row r="40" ht="14.25" customHeight="1" s="165"/>
    <row r="41" ht="14.25" customHeight="1" s="165"/>
    <row r="42" ht="14.25" customHeight="1" s="165"/>
    <row r="43" ht="14.25" customHeight="1" s="165"/>
    <row r="44" ht="14.25" customHeight="1" s="165"/>
    <row r="45" ht="14.25" customHeight="1" s="165"/>
    <row r="46" ht="14.25" customHeight="1" s="165"/>
    <row r="47" ht="14.25" customHeight="1" s="165"/>
    <row r="48" ht="14.25" customHeight="1" s="165"/>
    <row r="49" ht="14.25" customHeight="1" s="165"/>
    <row r="50" ht="14.25" customHeight="1" s="165"/>
    <row r="51" ht="14.25" customHeight="1" s="165"/>
    <row r="52" ht="14.25" customHeight="1" s="165"/>
    <row r="53" ht="14.25" customHeight="1" s="165"/>
    <row r="54" ht="14.25" customHeight="1" s="165"/>
    <row r="55" ht="14.25" customHeight="1" s="165"/>
    <row r="56" ht="14.25" customHeight="1" s="165"/>
    <row r="57" ht="14.25" customHeight="1" s="165"/>
    <row r="58" ht="14.25" customHeight="1" s="165"/>
    <row r="59" ht="14.25" customHeight="1" s="165"/>
    <row r="60" ht="14.25" customHeight="1" s="165"/>
    <row r="61" ht="14.25" customHeight="1" s="165"/>
    <row r="62" ht="14.25" customHeight="1" s="165"/>
    <row r="63" ht="14.25" customHeight="1" s="165"/>
    <row r="64" ht="14.25" customHeight="1" s="165"/>
    <row r="65" ht="14.25" customHeight="1" s="165"/>
    <row r="66" ht="14.25" customHeight="1" s="165"/>
    <row r="67" ht="14.25" customHeight="1" s="165"/>
    <row r="68" ht="14.25" customHeight="1" s="165"/>
    <row r="69" ht="14.25" customHeight="1" s="165"/>
    <row r="70" ht="14.25" customHeight="1" s="165"/>
    <row r="71" ht="14.25" customHeight="1" s="165"/>
    <row r="72" ht="14.25" customHeight="1" s="165"/>
    <row r="73" ht="14.25" customHeight="1" s="165"/>
    <row r="74" ht="14.25" customHeight="1" s="165"/>
    <row r="75" ht="14.25" customHeight="1" s="165"/>
    <row r="76" ht="14.25" customHeight="1" s="165"/>
    <row r="77" ht="14.25" customHeight="1" s="165"/>
    <row r="78" ht="14.25" customHeight="1" s="165"/>
    <row r="79" ht="14.25" customHeight="1" s="165"/>
    <row r="80" ht="14.25" customHeight="1" s="165"/>
    <row r="81" ht="14.25" customHeight="1" s="165"/>
    <row r="82" ht="14.25" customHeight="1" s="165"/>
    <row r="83" ht="14.25" customHeight="1" s="165"/>
    <row r="84" ht="14.25" customHeight="1" s="165"/>
    <row r="85" ht="14.25" customHeight="1" s="165"/>
    <row r="86" ht="14.25" customHeight="1" s="165"/>
    <row r="87" ht="14.25" customHeight="1" s="165"/>
    <row r="88" ht="14.25" customHeight="1" s="165"/>
    <row r="89" ht="14.25" customHeight="1" s="165"/>
    <row r="90" ht="14.25" customHeight="1" s="165"/>
    <row r="91" ht="14.25" customHeight="1" s="165"/>
    <row r="92" ht="14.25" customHeight="1" s="165"/>
    <row r="93" ht="14.25" customHeight="1" s="165"/>
    <row r="94" ht="14.25" customHeight="1" s="165"/>
    <row r="95" ht="14.25" customHeight="1" s="165"/>
    <row r="96" ht="14.25" customHeight="1" s="165"/>
    <row r="97" ht="14.25" customHeight="1" s="165"/>
    <row r="98" ht="14.25" customHeight="1" s="165"/>
    <row r="99" ht="14.25" customHeight="1" s="165"/>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row r="968" ht="14.25" customHeight="1" s="165"/>
    <row r="969" ht="14.25" customHeight="1" s="165"/>
    <row r="970" ht="14.25" customHeight="1" s="165"/>
    <row r="971" ht="14.25" customHeight="1" s="165"/>
    <row r="972" ht="14.25" customHeight="1" s="165"/>
    <row r="973" ht="14.25" customHeight="1" s="165"/>
    <row r="974" ht="14.25" customHeight="1" s="165"/>
    <row r="975" ht="14.25" customHeight="1" s="165"/>
    <row r="976" ht="14.25" customHeight="1" s="165"/>
    <row r="977" ht="14.25" customHeight="1" s="165"/>
    <row r="978" ht="14.25" customHeight="1" s="165"/>
    <row r="979" ht="14.25" customHeight="1" s="165"/>
    <row r="980" ht="14.25" customHeight="1" s="165"/>
    <row r="981" ht="14.25" customHeight="1" s="165"/>
    <row r="982" ht="14.25" customHeight="1" s="165"/>
    <row r="983" ht="14.25" customHeight="1" s="165"/>
    <row r="984" ht="14.25" customHeight="1" s="165"/>
    <row r="985" ht="14.25" customHeight="1" s="165"/>
    <row r="986" ht="14.25" customHeight="1" s="165"/>
    <row r="987" ht="14.25" customHeight="1" s="165"/>
    <row r="988" ht="14.25" customHeight="1" s="165"/>
    <row r="989" ht="14.25" customHeight="1" s="165"/>
    <row r="990" ht="14.25" customHeight="1" s="165"/>
    <row r="991" ht="14.25" customHeight="1" s="165"/>
    <row r="992" ht="14.25" customHeight="1" s="165"/>
    <row r="993" ht="14.25" customHeight="1" s="165"/>
    <row r="994" ht="14.25" customHeight="1" s="165"/>
    <row r="995" ht="14.25" customHeight="1" s="165"/>
    <row r="996" ht="14.25" customHeight="1" s="165"/>
    <row r="997" ht="14.25" customHeight="1" s="165"/>
    <row r="998" ht="14.25" customHeight="1" s="165"/>
    <row r="999" ht="14.25" customHeight="1" s="165"/>
    <row r="1000" ht="14.25" customHeight="1" s="16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M81"/>
  <sheetViews>
    <sheetView workbookViewId="0">
      <pane xSplit="2" ySplit="3" topLeftCell="C4" activePane="bottomRight" state="frozen"/>
      <selection pane="topRight" activeCell="A1" sqref="A1"/>
      <selection pane="bottomLeft" activeCell="A1" sqref="A1"/>
      <selection pane="bottomRight" activeCell="F60" sqref="F60"/>
    </sheetView>
  </sheetViews>
  <sheetFormatPr baseColWidth="10" defaultColWidth="8.7265625" defaultRowHeight="14.5"/>
  <cols>
    <col width="14" customWidth="1" style="165" min="1" max="1"/>
    <col width="20" customWidth="1" style="165" min="2" max="2"/>
    <col width="30" customWidth="1" style="165" min="3" max="3"/>
    <col width="18" customWidth="1" style="165" min="4" max="4"/>
    <col width="14" customWidth="1" style="165" min="5" max="5"/>
    <col width="16" customWidth="1" style="165" min="6" max="6"/>
    <col width="14" customWidth="1" style="165" min="7" max="9"/>
    <col width="35" customWidth="1" style="165" min="10" max="11"/>
    <col width="22" customWidth="1" style="165" min="12" max="13"/>
  </cols>
  <sheetData>
    <row r="1" ht="30" customHeight="1" s="165">
      <c r="A1" s="152" t="inlineStr">
        <is>
          <t>LoopForgeLab – Treiber- &amp; Annahmen-Matrix (importiert aus 260305_LFL_Treiber_Matrix_v1.xlsx)</t>
        </is>
      </c>
      <c r="B1" s="149" t="n"/>
      <c r="C1" s="149" t="n"/>
      <c r="D1" s="149" t="n"/>
      <c r="E1" s="149" t="n"/>
      <c r="F1" s="149" t="n"/>
      <c r="G1" s="149" t="n"/>
      <c r="H1" s="149" t="n"/>
      <c r="I1" s="149" t="n"/>
      <c r="J1" s="149" t="n"/>
      <c r="K1" s="149" t="n"/>
      <c r="L1" s="149" t="n"/>
      <c r="M1" s="150" t="n"/>
    </row>
    <row r="2" ht="20" customHeight="1" s="165">
      <c r="A2" s="158" t="inlineStr">
        <is>
          <t>Alle Umsatz- und Kostentreiber | Szenarien: Gering · Normal · Stark | Spalten L &amp; M: Eigene Bewertungen und Alternativwerte | NEU-markierte Zeilen: noch nicht im Modell — Entwicklungspotenzial</t>
        </is>
      </c>
      <c r="B2" s="149" t="n"/>
      <c r="C2" s="149" t="n"/>
      <c r="D2" s="149" t="n"/>
      <c r="E2" s="149" t="n"/>
      <c r="F2" s="149" t="n"/>
      <c r="G2" s="149" t="n"/>
      <c r="H2" s="149" t="n"/>
      <c r="I2" s="149" t="n"/>
      <c r="J2" s="149" t="n"/>
      <c r="K2" s="149" t="n"/>
      <c r="L2" s="149" t="n"/>
      <c r="M2" s="150" t="n"/>
    </row>
    <row r="3" ht="30" customHeight="1" s="165">
      <c r="A3" s="78" t="inlineStr">
        <is>
          <t>Kategorie</t>
        </is>
      </c>
      <c r="B3" s="78" t="inlineStr">
        <is>
          <t>Unterkategorie</t>
        </is>
      </c>
      <c r="C3" s="78" t="inlineStr">
        <is>
          <t>Parameter / Treiber</t>
        </is>
      </c>
      <c r="D3" s="78" t="inlineStr">
        <is>
          <t>Aktueller Wert</t>
        </is>
      </c>
      <c r="E3" s="78" t="inlineStr">
        <is>
          <t>Einheit</t>
        </is>
      </c>
      <c r="F3" s="78" t="inlineStr">
        <is>
          <t>Szenario-Abhängigkeit</t>
        </is>
      </c>
      <c r="G3" s="78" t="inlineStr">
        <is>
          <t>Gering</t>
        </is>
      </c>
      <c r="H3" s="78" t="inlineStr">
        <is>
          <t>Normal</t>
        </is>
      </c>
      <c r="I3" s="78" t="inlineStr">
        <is>
          <t>Stark</t>
        </is>
      </c>
      <c r="J3" s="78" t="inlineStr">
        <is>
          <t>Einflussfaktor &amp; Wirkungslogik</t>
        </is>
      </c>
      <c r="K3" s="78" t="inlineStr">
        <is>
          <t>Annahmen &amp; Begründung</t>
        </is>
      </c>
      <c r="L3" s="78" t="inlineStr">
        <is>
          <t>► Ihre Bewertung</t>
        </is>
      </c>
      <c r="M3" s="78" t="inlineStr">
        <is>
          <t>► Neue Annahme</t>
        </is>
      </c>
    </row>
    <row r="4" ht="45" customHeight="1" s="165"/>
    <row r="5" ht="18" customHeight="1" s="165">
      <c r="A5" s="154" t="inlineStr">
        <is>
          <t>Revenue 1: SaaS / Lizenzen</t>
        </is>
      </c>
      <c r="B5" s="149" t="n"/>
      <c r="C5" s="149" t="n"/>
      <c r="D5" s="149" t="n"/>
      <c r="E5" s="149" t="n"/>
      <c r="F5" s="149" t="n"/>
      <c r="G5" s="149" t="n"/>
      <c r="H5" s="149" t="n"/>
      <c r="I5" s="149" t="n"/>
      <c r="J5" s="149" t="n"/>
      <c r="K5" s="149" t="n"/>
      <c r="L5" s="149" t="n"/>
      <c r="M5" s="150" t="n"/>
    </row>
    <row r="6" ht="45" customHeight="1" s="165">
      <c r="A6" s="79" t="inlineStr">
        <is>
          <t>UMSATZ</t>
        </is>
      </c>
      <c r="B6" s="79" t="inlineStr">
        <is>
          <t>SaaS / Lizenzen</t>
        </is>
      </c>
      <c r="C6" s="79" t="inlineStr">
        <is>
          <t>Startpreis pro Seat/Jahr</t>
        </is>
      </c>
      <c r="D6" s="79" t="inlineStr">
        <is>
          <t>9.600 – 12.000 €</t>
        </is>
      </c>
      <c r="E6" s="79" t="inlineStr">
        <is>
          <t>€/Jahr</t>
        </is>
      </c>
      <c r="F6" s="80" t="inlineStr">
        <is>
          <t>Szenario</t>
        </is>
      </c>
      <c r="G6" s="243" t="n">
        <v>9600</v>
      </c>
      <c r="H6" s="243" t="n">
        <v>12000</v>
      </c>
      <c r="I6" s="243" t="n">
        <v>6000</v>
      </c>
      <c r="J6" s="79" t="inlineStr">
        <is>
          <t>Bestimmt den initialen Lizenzpreis je Nutzer-Seat. Direkter Multiplikator auf alle Lizenzerlöse.</t>
        </is>
      </c>
      <c r="K6" s="79" t="inlineStr">
        <is>
          <t>Automotive: höherer Preis durch Compliance-Wert (TISAX). Packaging: niedrigerer Einstiegspreis, Wachstum über Volumen &amp; NRR. Value-based Pricing orientiert sich am TCO-Einsparpotenzial.</t>
        </is>
      </c>
      <c r="L6" s="82" t="n"/>
      <c r="M6" s="82" t="n"/>
    </row>
    <row r="7" ht="45" customHeight="1" s="165">
      <c r="A7" s="79" t="inlineStr">
        <is>
          <t>UMSATZ</t>
        </is>
      </c>
      <c r="B7" s="79" t="inlineStr">
        <is>
          <t>SaaS / Lizenzen</t>
        </is>
      </c>
      <c r="C7" s="79" t="inlineStr">
        <is>
          <t>Jährliche Preiserhöhung</t>
        </is>
      </c>
      <c r="D7" s="110" t="n">
        <v>0.1</v>
      </c>
      <c r="E7" s="79" t="inlineStr">
        <is>
          <t>% p.a.</t>
        </is>
      </c>
      <c r="F7" s="83" t="inlineStr">
        <is>
          <t>Fest</t>
        </is>
      </c>
      <c r="G7" s="113" t="n">
        <v>0.1</v>
      </c>
      <c r="H7" s="113" t="n">
        <v>0.1</v>
      </c>
      <c r="I7" s="113" t="n">
        <v>0.1</v>
      </c>
      <c r="J7" s="79" t="inlineStr">
        <is>
          <t>Erhöht den Seat-Preis jährlich. Kompensiert Inflations- und Innovationskosten (Inferenz, neue Features).</t>
        </is>
      </c>
      <c r="K7" s="79" t="inlineStr">
        <is>
          <t>Standard für AI-SaaS 2026. Typisch: 3–10% p.a. Höherer Wert möglich bei starker Produktdifferenzierung.</t>
        </is>
      </c>
      <c r="L7" s="82" t="n"/>
      <c r="M7" s="82" t="n"/>
    </row>
    <row r="8" ht="45" customHeight="1" s="165">
      <c r="A8" s="79" t="inlineStr">
        <is>
          <t>UMSATZ</t>
        </is>
      </c>
      <c r="B8" s="79" t="inlineStr">
        <is>
          <t>SaaS / Lizenzen</t>
        </is>
      </c>
      <c r="C8" s="79" t="inlineStr">
        <is>
          <t>Erster Umsatzmonat (Kunden)</t>
        </is>
      </c>
      <c r="D8" s="79" t="inlineStr">
        <is>
          <t>Monat 8–14</t>
        </is>
      </c>
      <c r="E8" s="79" t="inlineStr">
        <is>
          <t>Monat</t>
        </is>
      </c>
      <c r="F8" s="80" t="inlineStr">
        <is>
          <t>Szenario</t>
        </is>
      </c>
      <c r="G8" s="81" t="inlineStr">
        <is>
          <t>Monat 14</t>
        </is>
      </c>
      <c r="H8" s="81" t="inlineStr">
        <is>
          <t>Monat 8</t>
        </is>
      </c>
      <c r="I8" s="81" t="inlineStr">
        <is>
          <t>Monat 9</t>
        </is>
      </c>
      <c r="J8" s="79" t="inlineStr">
        <is>
          <t>Verschiebt den gesamten SaaS-Umsatz-Stream. Jeder Monat Verzögerung = direkte Liquiditätslücke.</t>
        </is>
      </c>
      <c r="K8" s="79" t="inlineStr">
        <is>
          <t>Automotive (Gering): lange Sales-Zyklen (9–12 Mon.) + TISAX-Prüfung. Packaging (Stark): kürzere IT-Entscheidungswege, frühere Piloten möglich.</t>
        </is>
      </c>
      <c r="L8" s="82" t="n"/>
      <c r="M8" s="82" t="n"/>
    </row>
    <row r="9" ht="45" customHeight="1" s="165">
      <c r="A9" s="79" t="inlineStr">
        <is>
          <t>UMSATZ</t>
        </is>
      </c>
      <c r="B9" s="79" t="inlineStr">
        <is>
          <t>SaaS / Lizenzen</t>
        </is>
      </c>
      <c r="C9" s="79" t="inlineStr">
        <is>
          <t>Initiale Seats (1. Kunde)</t>
        </is>
      </c>
      <c r="D9" s="79" t="n">
        <v>5</v>
      </c>
      <c r="E9" s="79" t="inlineStr">
        <is>
          <t>Seats</t>
        </is>
      </c>
      <c r="F9" s="83" t="inlineStr">
        <is>
          <t>Fest</t>
        </is>
      </c>
      <c r="G9" s="81" t="n">
        <v>5</v>
      </c>
      <c r="H9" s="81" t="n">
        <v>5</v>
      </c>
      <c r="I9" s="81" t="n">
        <v>5</v>
      </c>
      <c r="J9" s="79" t="inlineStr">
        <is>
          <t>Anzahl der Seats beim ersten Kunden. Beeinflusst den initialen ARR-Wert und das Wachstums-Baseline.</t>
        </is>
      </c>
      <c r="K9" s="79" t="inlineStr">
        <is>
          <t>Konservative Annahme: 1–2 Pilotprojekte pro Werk. Land &amp; Expand-Strategie: erst 1 Werk, dann Roll-out.</t>
        </is>
      </c>
      <c r="L9" s="82" t="n"/>
      <c r="M9" s="82" t="n"/>
    </row>
    <row r="10" ht="45" customHeight="1" s="165">
      <c r="A10" s="79" t="inlineStr">
        <is>
          <t>UMSATZ</t>
        </is>
      </c>
      <c r="B10" s="79" t="inlineStr">
        <is>
          <t>SaaS / Lizenzen</t>
        </is>
      </c>
      <c r="C10" s="79" t="inlineStr">
        <is>
          <t>Monatliche Seat-Wachstumsrate</t>
        </is>
      </c>
      <c r="D10" s="110" t="n">
        <v>0.08</v>
      </c>
      <c r="E10" s="79" t="inlineStr">
        <is>
          <t>% / Monat</t>
        </is>
      </c>
      <c r="F10" s="83" t="inlineStr">
        <is>
          <t>Fest</t>
        </is>
      </c>
      <c r="G10" s="113" t="n">
        <v>0.08</v>
      </c>
      <c r="H10" s="113" t="n">
        <v>0.08</v>
      </c>
      <c r="I10" s="113" t="n">
        <v>0.08</v>
      </c>
      <c r="J10" s="79" t="inlineStr">
        <is>
          <t>Bestimmt, wie schnell neue Seats hinzukommen. Treiber für den kumulativen ARR-Aufbau.</t>
        </is>
      </c>
      <c r="K10" s="79" t="inlineStr">
        <is>
          <t>Alternative: Account-basierte Planung mit Stufenfunktion (Roll-out pro Werk statt linearer Rate). Realistischer Wert abhängig von Vertriebskapazität.</t>
        </is>
      </c>
      <c r="L10" s="82" t="n"/>
      <c r="M10" s="82" t="n"/>
    </row>
    <row r="11" ht="45" customHeight="1" s="165">
      <c r="A11" s="79" t="inlineStr">
        <is>
          <t>UMSATZ</t>
        </is>
      </c>
      <c r="B11" s="79" t="inlineStr">
        <is>
          <t>SaaS / Lizenzen</t>
        </is>
      </c>
      <c r="C11" s="79" t="inlineStr">
        <is>
          <t>Enterprise-Deals ab Monat</t>
        </is>
      </c>
      <c r="D11" s="79" t="inlineStr">
        <is>
          <t>Monat 18</t>
        </is>
      </c>
      <c r="E11" s="79" t="inlineStr">
        <is>
          <t>Monat</t>
        </is>
      </c>
      <c r="F11" s="83" t="inlineStr">
        <is>
          <t>Fest</t>
        </is>
      </c>
      <c r="G11" s="81" t="inlineStr">
        <is>
          <t>Monat 18</t>
        </is>
      </c>
      <c r="H11" s="81" t="inlineStr">
        <is>
          <t>Monat 18</t>
        </is>
      </c>
      <c r="I11" s="81" t="inlineStr">
        <is>
          <t>Monat 18</t>
        </is>
      </c>
      <c r="J11" s="79" t="inlineStr">
        <is>
          <t>Ab diesem Monat werden größere Enterprise-Verträge abgeschlossen. Erhöht den durchschnittlichen ARR pro Kunde sprunghaft.</t>
        </is>
      </c>
      <c r="K11" s="79" t="inlineStr">
        <is>
          <t>Automotive: Verschiebung durch Technical Validation + Compliance. Typisch: 50.000–200.000 €/Jahr pro Enterprise-Kunde.</t>
        </is>
      </c>
      <c r="L11" s="82" t="n"/>
      <c r="M11" s="82" t="n"/>
    </row>
    <row r="12" ht="45" customHeight="1" s="165">
      <c r="A12" s="79" t="inlineStr">
        <is>
          <t>UMSATZ</t>
        </is>
      </c>
      <c r="B12" s="79" t="inlineStr">
        <is>
          <t>SaaS / Lizenzen</t>
        </is>
      </c>
      <c r="C12" s="79" t="inlineStr">
        <is>
          <t>Durchschnittlicher Enterprise ARR</t>
        </is>
      </c>
      <c r="D12" s="244" t="n">
        <v>50000</v>
      </c>
      <c r="E12" s="79" t="inlineStr">
        <is>
          <t>€/Jahr</t>
        </is>
      </c>
      <c r="F12" s="83" t="inlineStr">
        <is>
          <t>Fest</t>
        </is>
      </c>
      <c r="G12" s="243" t="n">
        <v>50000</v>
      </c>
      <c r="H12" s="243" t="n">
        <v>50000</v>
      </c>
      <c r="I12" s="243" t="n">
        <v>50000</v>
      </c>
      <c r="J12" s="79" t="inlineStr">
        <is>
          <t>Erlös pro Enterprise-Vertrag. Beeinflusst den ARR-Sprung ab Monat 18 erheblich.</t>
        </is>
      </c>
      <c r="K12" s="79" t="inlineStr">
        <is>
          <t>Höheres Volumen durch tiefe Integration (DPP, Sustainability). Realistisch: 50.000–200.000 € je nach Kundentyp.</t>
        </is>
      </c>
      <c r="L12" s="82" t="n"/>
      <c r="M12" s="82" t="n"/>
    </row>
    <row r="13" ht="45" customHeight="1" s="165">
      <c r="A13" s="79" t="inlineStr">
        <is>
          <t>UMSATZ</t>
        </is>
      </c>
      <c r="B13" s="79" t="inlineStr">
        <is>
          <t>SaaS / Lizenzen</t>
        </is>
      </c>
      <c r="C13" s="79" t="inlineStr">
        <is>
          <t>Enterprise Deals pro Quartal</t>
        </is>
      </c>
      <c r="D13" s="79" t="n">
        <v>2</v>
      </c>
      <c r="E13" s="79" t="inlineStr">
        <is>
          <t>Deals/Quartal</t>
        </is>
      </c>
      <c r="F13" s="83" t="inlineStr">
        <is>
          <t>Fest</t>
        </is>
      </c>
      <c r="G13" s="81" t="n">
        <v>2</v>
      </c>
      <c r="H13" s="81" t="n">
        <v>2</v>
      </c>
      <c r="I13" s="81" t="n">
        <v>2</v>
      </c>
      <c r="J13" s="79" t="inlineStr">
        <is>
          <t>Anzahl neuer Enterprise-Verträge pro Quartal. Direkter Treiber für den ARR-Aufbau nach Monat 18.</t>
        </is>
      </c>
      <c r="K13" s="79" t="inlineStr">
        <is>
          <t>Abhängig von Vertriebskapazität und Sales-Zyklus-Länge. Sollte mit Einstellungsplan abgestimmt sein.</t>
        </is>
      </c>
      <c r="L13" s="82" t="n"/>
      <c r="M13" s="82" t="n"/>
    </row>
    <row r="14" ht="45" customHeight="1" s="165">
      <c r="A14" s="79" t="inlineStr">
        <is>
          <t>UMSATZ</t>
        </is>
      </c>
      <c r="B14" s="79" t="inlineStr">
        <is>
          <t>SaaS / Lizenzen</t>
        </is>
      </c>
      <c r="C14" s="79" t="inlineStr">
        <is>
          <t>Jährliche Churn Rate</t>
        </is>
      </c>
      <c r="D14" s="110" t="n">
        <v>0.06</v>
      </c>
      <c r="E14" s="79" t="inlineStr">
        <is>
          <t>% p.a.</t>
        </is>
      </c>
      <c r="F14" s="83" t="inlineStr">
        <is>
          <t>Fest</t>
        </is>
      </c>
      <c r="G14" s="113" t="n">
        <v>0.06</v>
      </c>
      <c r="H14" s="113" t="n">
        <v>0.06</v>
      </c>
      <c r="I14" s="113" t="n">
        <v>0.06</v>
      </c>
      <c r="J14" s="79" t="inlineStr">
        <is>
          <t>Anteil der Kunden, die jährlich abwandern. Reduziert den kumulativen ARR direkt.</t>
        </is>
      </c>
      <c r="K14" s="79" t="inlineStr">
        <is>
          <t>Konservative Planung für komplexe industrielle Buying Center. Typisch SaaS: 5–10%. Im Pilot-Jahr höher, ab Jahr 3 niedriger.</t>
        </is>
      </c>
      <c r="L14" s="82" t="n"/>
      <c r="M14" s="82" t="n"/>
    </row>
    <row r="15" ht="45" customHeight="1" s="165">
      <c r="A15" s="79" t="inlineStr">
        <is>
          <t>UMSATZ</t>
        </is>
      </c>
      <c r="B15" s="79" t="inlineStr">
        <is>
          <t>SaaS / Lizenzen</t>
        </is>
      </c>
      <c r="C15" s="79" t="inlineStr">
        <is>
          <t>Net Revenue Retention (NRR)</t>
        </is>
      </c>
      <c r="D15" s="110" t="n">
        <v>1.25</v>
      </c>
      <c r="E15" s="79" t="inlineStr">
        <is>
          <t>%</t>
        </is>
      </c>
      <c r="F15" s="83" t="inlineStr">
        <is>
          <t>Fest</t>
        </is>
      </c>
      <c r="G15" s="113" t="n">
        <v>1.25</v>
      </c>
      <c r="H15" s="113" t="n">
        <v>1.25</v>
      </c>
      <c r="I15" s="113" t="n">
        <v>1.25</v>
      </c>
      <c r="J15" s="79" t="inlineStr">
        <is>
          <t>Expansion-Umsatz minus Churn. NRR &gt; 100% bedeutet: Bestandskunden wachsen schneller als sie abwandern.</t>
        </is>
      </c>
      <c r="K15" s="79" t="inlineStr">
        <is>
          <t>Realisierbar durch DPP-Zusatzmodule und Material-Analytics-Upgrades. Typisch: 100–120%. 125% ist ambitioniert, aber bei starkem Upselling möglich.</t>
        </is>
      </c>
      <c r="L15" s="82" t="n"/>
      <c r="M15" s="82" t="n"/>
    </row>
    <row r="16" ht="18" customHeight="1" s="165">
      <c r="A16" s="160" t="inlineStr">
        <is>
          <t>Revenue 2: Implementation-Support</t>
        </is>
      </c>
      <c r="B16" s="149" t="n"/>
      <c r="C16" s="149" t="n"/>
      <c r="D16" s="149" t="n"/>
      <c r="E16" s="149" t="n"/>
      <c r="F16" s="149" t="n"/>
      <c r="G16" s="149" t="n"/>
      <c r="H16" s="149" t="n"/>
      <c r="I16" s="149" t="n"/>
      <c r="J16" s="149" t="n"/>
      <c r="K16" s="149" t="n"/>
      <c r="L16" s="149" t="n"/>
      <c r="M16" s="150" t="n"/>
    </row>
    <row r="17" ht="45" customHeight="1" s="165">
      <c r="A17" s="79" t="inlineStr">
        <is>
          <t>UMSATZ</t>
        </is>
      </c>
      <c r="B17" s="79" t="inlineStr">
        <is>
          <t>Implementation-Support</t>
        </is>
      </c>
      <c r="C17" s="79" t="inlineStr">
        <is>
          <t>Implementation-Support-Tagessatz</t>
        </is>
      </c>
      <c r="D17" s="79" t="inlineStr">
        <is>
          <t>1.000 – 1.500 €</t>
        </is>
      </c>
      <c r="E17" s="79" t="inlineStr">
        <is>
          <t>€/Tag</t>
        </is>
      </c>
      <c r="F17" s="80" t="inlineStr">
        <is>
          <t>Szenario</t>
        </is>
      </c>
      <c r="G17" s="243" t="n">
        <v>1000</v>
      </c>
      <c r="H17" s="243" t="n">
        <v>1200</v>
      </c>
      <c r="I17" s="243" t="n">
        <v>1500</v>
      </c>
      <c r="J17" s="79" t="inlineStr">
        <is>
          <t>Verrechnungssatz für Beratungsleistungen. Multipliziert mit Tagen/Kunde ergibt den Erlös je Projekt.</t>
        </is>
      </c>
      <c r="K17" s="79" t="inlineStr">
        <is>
          <t>Automotive: niedrigerer Satz durch Preisdruck im Mittelstand. Packaging: höherer Satz durch Expertenstatus und Integrationskomplexität. Quelle: Marktanalyse Lothar.bm / Candemir.</t>
        </is>
      </c>
      <c r="L17" s="82" t="n"/>
      <c r="M17" s="82" t="n"/>
    </row>
    <row r="18" ht="45" customHeight="1" s="165">
      <c r="A18" s="79" t="inlineStr">
        <is>
          <t>UMSATZ</t>
        </is>
      </c>
      <c r="B18" s="79" t="inlineStr">
        <is>
          <t>Implementation-Support</t>
        </is>
      </c>
      <c r="C18" s="79" t="inlineStr">
        <is>
          <t>Implementation-Support-Tage/Kunde</t>
        </is>
      </c>
      <c r="D18" s="79" t="inlineStr">
        <is>
          <t>4 – 20 Tage</t>
        </is>
      </c>
      <c r="E18" s="79" t="inlineStr">
        <is>
          <t>Tage/Kunde</t>
        </is>
      </c>
      <c r="F18" s="80" t="inlineStr">
        <is>
          <t>Szenario</t>
        </is>
      </c>
      <c r="G18" s="81" t="inlineStr">
        <is>
          <t>4 Tage</t>
        </is>
      </c>
      <c r="H18" s="81" t="inlineStr">
        <is>
          <t>10 Tage</t>
        </is>
      </c>
      <c r="I18" s="81" t="inlineStr">
        <is>
          <t>20 Tage</t>
        </is>
      </c>
      <c r="J18" s="79" t="inlineStr">
        <is>
          <t>Abrechnungsfähige Beratungstage je Kundenprojekt. Bestimmt zusammen mit dem Tagessatz den Erlös pro Implementation-Support-Kunde.</t>
        </is>
      </c>
      <c r="K18" s="79" t="inlineStr">
        <is>
          <t>Gering: standardisierter Onboarding-Prozess (4 Tage). Stark: tiefe Prozessintegration im Packaging (20 Tage). Formel: Implementation-Support-Umsatz/Kunde = Tagessatz × Tage/Kunde.</t>
        </is>
      </c>
      <c r="L18" s="82" t="n"/>
      <c r="M18" s="82" t="n"/>
    </row>
    <row r="19" ht="45" customHeight="1" s="165">
      <c r="A19" s="79" t="inlineStr">
        <is>
          <t>UMSATZ</t>
        </is>
      </c>
      <c r="B19" s="79" t="inlineStr">
        <is>
          <t>Implementation-Support</t>
        </is>
      </c>
      <c r="C19" s="79" t="inlineStr">
        <is>
          <t>Implementation-Support-Umsatz/Kunde</t>
        </is>
      </c>
      <c r="D19" s="79" t="inlineStr">
        <is>
          <t>4.000 – 30.000 €</t>
        </is>
      </c>
      <c r="E19" s="79" t="inlineStr">
        <is>
          <t>€/Kunde</t>
        </is>
      </c>
      <c r="F19" s="84" t="inlineStr">
        <is>
          <t>Berechnet</t>
        </is>
      </c>
      <c r="G19" s="243" t="n">
        <v>4000</v>
      </c>
      <c r="H19" s="243" t="n">
        <v>12000</v>
      </c>
      <c r="I19" s="243" t="n">
        <v>30000</v>
      </c>
      <c r="J19" s="79" t="inlineStr">
        <is>
          <t>Erlös pro beauftragendem Kunden. Berechnung: Tagessatz × Tage/Kunde. Beeinflusst den gesamten Implementation-Support-Umsatz-Stream.</t>
        </is>
      </c>
      <c r="K19" s="79" t="inlineStr">
        <is>
          <t>Gering: 1.000€ × 4 Tage = 4.000€/Kunde. Normal: 1.200€ × 10 Tage = 12.000€/Kunde. Stark: 1.500€ × 20 Tage = 30.000€/Kunde.</t>
        </is>
      </c>
      <c r="L19" s="82" t="n"/>
      <c r="M19" s="82" t="n"/>
    </row>
    <row r="20" ht="45" customHeight="1" s="165">
      <c r="A20" s="79" t="inlineStr">
        <is>
          <t>UMSATZ</t>
        </is>
      </c>
      <c r="B20" s="79" t="inlineStr">
        <is>
          <t>Implementation-Support</t>
        </is>
      </c>
      <c r="C20" s="79" t="inlineStr">
        <is>
          <t>Implementation-Support-Quote (% Kunden)</t>
        </is>
      </c>
      <c r="D20" s="79" t="inlineStr">
        <is>
          <t>20 – 100 %</t>
        </is>
      </c>
      <c r="E20" s="79" t="inlineStr">
        <is>
          <t>% Kunden</t>
        </is>
      </c>
      <c r="F20" s="85" t="inlineStr">
        <is>
          <t>Unabhängig</t>
        </is>
      </c>
      <c r="G20" s="81" t="inlineStr">
        <is>
          <t>20 % (Niedrig)</t>
        </is>
      </c>
      <c r="H20" s="81" t="inlineStr">
        <is>
          <t>50 % (Mittel)</t>
        </is>
      </c>
      <c r="I20" s="81" t="inlineStr">
        <is>
          <t>100 % (Hoch)</t>
        </is>
      </c>
      <c r="J20" s="79" t="inlineStr">
        <is>
          <t>Anteil der Neukunden, die Implementation-Support beauftragen. UNABHÄNGIG vom strategischen Szenario einstellbar. Kombinierbar mit jedem der drei Szenarien (3×3-Matrix).</t>
        </is>
      </c>
      <c r="K20" s="79" t="inlineStr">
        <is>
          <t>Niedrig (20%): Self-Service-Kunden, minimaler Beratungsbedarf. Mittel (50%): Standardannahme, jeder zweite Kunde bucht Implementation-Support. Hoch (100%): Alle Kunden benötigen Onboarding-Unterstützung.</t>
        </is>
      </c>
      <c r="L20" s="82" t="n"/>
      <c r="M20" s="82" t="n"/>
    </row>
    <row r="21" ht="45" customHeight="1" s="165">
      <c r="A21" s="79" t="inlineStr">
        <is>
          <t>UMSATZ</t>
        </is>
      </c>
      <c r="B21" s="79" t="inlineStr">
        <is>
          <t>Implementation-Support</t>
        </is>
      </c>
      <c r="C21" s="79" t="inlineStr">
        <is>
          <t>Implementation-Support-Startmonat</t>
        </is>
      </c>
      <c r="D21" s="79" t="inlineStr">
        <is>
          <t>Monat 3–6</t>
        </is>
      </c>
      <c r="E21" s="79" t="inlineStr">
        <is>
          <t>Monat</t>
        </is>
      </c>
      <c r="F21" s="80" t="inlineStr">
        <is>
          <t>Szenario</t>
        </is>
      </c>
      <c r="G21" s="81" t="inlineStr">
        <is>
          <t>Monat 3</t>
        </is>
      </c>
      <c r="H21" s="81" t="inlineStr">
        <is>
          <t>Monat 4</t>
        </is>
      </c>
      <c r="I21" s="81" t="inlineStr">
        <is>
          <t>Monat 6</t>
        </is>
      </c>
      <c r="J21" s="79" t="inlineStr">
        <is>
          <t>Monat des ersten Implementation-Support-Umsatzes. Implementation-Support startet als Enabler vor dem SaaS-Produkt.</t>
        </is>
      </c>
      <c r="K21" s="79" t="inlineStr">
        <is>
          <t>Gering: früher Start (Monat 3), da Automotive-Kunden sofort IT-Begleitung benötigen. Stark: späterer Start (Monat 6), da Packaging-Kunden länger Self-Service nutzen können.</t>
        </is>
      </c>
      <c r="L21" s="82" t="n"/>
      <c r="M21" s="82" t="n"/>
    </row>
    <row r="22" ht="18" customHeight="1" s="165">
      <c r="A22" s="151" t="inlineStr">
        <is>
          <t>KOSTEN (OpEx)</t>
        </is>
      </c>
      <c r="B22" s="149" t="n"/>
      <c r="C22" s="149" t="n"/>
      <c r="D22" s="149" t="n"/>
      <c r="E22" s="149" t="n"/>
      <c r="F22" s="149" t="n"/>
      <c r="G22" s="149" t="n"/>
      <c r="H22" s="149" t="n"/>
      <c r="I22" s="149" t="n"/>
      <c r="J22" s="149" t="n"/>
      <c r="K22" s="149" t="n"/>
      <c r="L22" s="149" t="n"/>
      <c r="M22" s="150" t="n"/>
    </row>
    <row r="23" ht="18" customHeight="1" s="165">
      <c r="A23" s="153" t="inlineStr">
        <is>
          <t>Personal &amp; Gehälter</t>
        </is>
      </c>
      <c r="B23" s="149" t="n"/>
      <c r="C23" s="149" t="n"/>
      <c r="D23" s="149" t="n"/>
      <c r="E23" s="149" t="n"/>
      <c r="F23" s="149" t="n"/>
      <c r="G23" s="149" t="n"/>
      <c r="H23" s="149" t="n"/>
      <c r="I23" s="149" t="n"/>
      <c r="J23" s="149" t="n"/>
      <c r="K23" s="149" t="n"/>
      <c r="L23" s="149" t="n"/>
      <c r="M23" s="150" t="n"/>
    </row>
    <row r="24" ht="45" customHeight="1" s="165">
      <c r="A24" s="86" t="inlineStr">
        <is>
          <t>KOSTEN</t>
        </is>
      </c>
      <c r="B24" s="86" t="inlineStr">
        <is>
          <t>Personal</t>
        </is>
      </c>
      <c r="C24" s="86" t="inlineStr">
        <is>
          <t>CEO Gehalt (Brutto/Jahr)</t>
        </is>
      </c>
      <c r="D24" s="245" t="n">
        <v>100000</v>
      </c>
      <c r="E24" s="86" t="inlineStr">
        <is>
          <t>€/Jahr</t>
        </is>
      </c>
      <c r="F24" s="83" t="inlineStr">
        <is>
          <t>Fest</t>
        </is>
      </c>
      <c r="G24" s="243" t="n">
        <v>100000</v>
      </c>
      <c r="H24" s="243" t="n">
        <v>100000</v>
      </c>
      <c r="I24" s="243" t="n">
        <v>100000</v>
      </c>
      <c r="J24" s="86" t="inlineStr">
        <is>
          <t>Gründer-Gehalt in der Pre-Seed-Phase. Beeinflusst die monatliche Burn Rate direkt.</t>
        </is>
      </c>
      <c r="K24" s="86" t="inlineStr">
        <is>
          <t>Gründer-Satz Pre-Seed. Anpassung ab Seed-Runde auf Marktgehalt. Typisch Startup: 60.000–90.000 €/Jahr.</t>
        </is>
      </c>
      <c r="L24" s="82" t="n"/>
      <c r="M24" s="82" t="n"/>
    </row>
    <row r="25" ht="45" customHeight="1" s="165">
      <c r="A25" s="86" t="inlineStr">
        <is>
          <t>KOSTEN</t>
        </is>
      </c>
      <c r="B25" s="86" t="inlineStr">
        <is>
          <t>Personal</t>
        </is>
      </c>
      <c r="C25" s="86" t="inlineStr">
        <is>
          <t>CTO Gehalt (Brutto/Jahr)</t>
        </is>
      </c>
      <c r="D25" s="245" t="n">
        <v>100000</v>
      </c>
      <c r="E25" s="86" t="inlineStr">
        <is>
          <t>€/Jahr</t>
        </is>
      </c>
      <c r="F25" s="83" t="inlineStr">
        <is>
          <t>Fest</t>
        </is>
      </c>
      <c r="G25" s="243" t="n">
        <v>100000</v>
      </c>
      <c r="H25" s="243" t="n">
        <v>100000</v>
      </c>
      <c r="I25" s="243" t="n">
        <v>100000</v>
      </c>
      <c r="J25" s="86" t="inlineStr">
        <is>
          <t>Gründer-Gehalt in der Pre-Seed-Phase. Beeinflusst die monatliche Burn Rate direkt.</t>
        </is>
      </c>
      <c r="K25" s="86" t="inlineStr">
        <is>
          <t>Gründer-Satz Pre-Seed. Anpassung ab Seed-Runde auf Marktgehalt. Typisch Startup: 60.000–90.000 €/Jahr.</t>
        </is>
      </c>
      <c r="L25" s="82" t="n"/>
      <c r="M25" s="82" t="n"/>
    </row>
    <row r="26" ht="45" customHeight="1" s="165">
      <c r="A26" s="86" t="inlineStr">
        <is>
          <t>KOSTEN</t>
        </is>
      </c>
      <c r="B26" s="86" t="inlineStr">
        <is>
          <t>Personal</t>
        </is>
      </c>
      <c r="C26" s="86" t="inlineStr">
        <is>
          <t>CCO Gehalt (Brutto/Jahr)</t>
        </is>
      </c>
      <c r="D26" s="245" t="n">
        <v>100000</v>
      </c>
      <c r="E26" s="86" t="inlineStr">
        <is>
          <t>€/Jahr</t>
        </is>
      </c>
      <c r="F26" s="83" t="inlineStr">
        <is>
          <t>Fest</t>
        </is>
      </c>
      <c r="G26" s="243" t="n">
        <v>100000</v>
      </c>
      <c r="H26" s="243" t="n">
        <v>100000</v>
      </c>
      <c r="I26" s="243" t="n">
        <v>100000</v>
      </c>
      <c r="J26" s="86" t="inlineStr">
        <is>
          <t>Gründer-Gehalt in der Pre-Seed-Phase. Beeinflusst die monatliche Burn Rate direkt.</t>
        </is>
      </c>
      <c r="K26" s="86" t="inlineStr">
        <is>
          <t>Gründer-Satz Pre-Seed. Anpassung ab Seed-Runde auf Marktgehalt. Typisch Startup: 60.000–90.000 €/Jahr.</t>
        </is>
      </c>
      <c r="L26" s="82" t="n"/>
      <c r="M26" s="82" t="n"/>
    </row>
    <row r="27" ht="45" customHeight="1" s="165">
      <c r="A27" s="86" t="inlineStr">
        <is>
          <t>KOSTEN</t>
        </is>
      </c>
      <c r="B27" s="86" t="inlineStr">
        <is>
          <t>Personal</t>
        </is>
      </c>
      <c r="C27" s="86" t="inlineStr">
        <is>
          <t>Software Developer Gehalt</t>
        </is>
      </c>
      <c r="D27" s="246" t="n">
        <v>75000</v>
      </c>
      <c r="E27" s="86" t="inlineStr">
        <is>
          <t>€/Jahr</t>
        </is>
      </c>
      <c r="F27" s="83" t="inlineStr">
        <is>
          <t>Fest</t>
        </is>
      </c>
      <c r="G27" s="243" t="n">
        <v>75000</v>
      </c>
      <c r="H27" s="243" t="n">
        <v>75000</v>
      </c>
      <c r="I27" s="243" t="n">
        <v>75000</v>
      </c>
      <c r="J27" s="86" t="inlineStr">
        <is>
          <t>Erste strategische Einstellung. Fix-Position, nicht durch AI-Personal-Hebel verzögerbar.</t>
        </is>
      </c>
      <c r="K27" s="86" t="n"/>
      <c r="L27" s="82" t="n"/>
      <c r="M27" s="82" t="n"/>
    </row>
    <row r="28" ht="45" customHeight="1" s="165">
      <c r="A28" s="86" t="inlineStr">
        <is>
          <t>KOSTEN</t>
        </is>
      </c>
      <c r="B28" s="86" t="inlineStr">
        <is>
          <t>Personal</t>
        </is>
      </c>
      <c r="C28" s="86" t="inlineStr">
        <is>
          <t>Arbeitgeber-Nebenkosten</t>
        </is>
      </c>
      <c r="D28" s="197" t="n">
        <v>0.2</v>
      </c>
      <c r="E28" s="86" t="inlineStr">
        <is>
          <t>% auf Bruttogehalt</t>
        </is>
      </c>
      <c r="F28" s="83" t="inlineStr">
        <is>
          <t>Fest</t>
        </is>
      </c>
      <c r="G28" s="113" t="n">
        <v>0.2</v>
      </c>
      <c r="H28" s="113" t="n">
        <v>0.2</v>
      </c>
      <c r="I28" s="113" t="n">
        <v>0.2</v>
      </c>
      <c r="J28" s="86" t="inlineStr">
        <is>
          <t>Sozialversicherungsbeiträge des Arbeitgebers. Erhöht die effektiven Personalkosten um 20%.</t>
        </is>
      </c>
      <c r="K28" s="86" t="inlineStr">
        <is>
          <t>Standardsatz Deutschland 2026. Gesamtkosten pro MA = Bruttogehalt × 1,20.</t>
        </is>
      </c>
      <c r="L28" s="82" t="n"/>
      <c r="M28" s="82" t="n"/>
    </row>
    <row r="29" ht="45" customHeight="1" s="165">
      <c r="A29" s="86" t="inlineStr">
        <is>
          <t>KOSTEN</t>
        </is>
      </c>
      <c r="B29" s="86" t="inlineStr">
        <is>
          <t>Personal</t>
        </is>
      </c>
      <c r="C29" s="86" t="inlineStr">
        <is>
          <t>Onboarding-Aufwand</t>
        </is>
      </c>
      <c r="D29" s="86" t="inlineStr">
        <is>
          <t>30–120 Stunden</t>
        </is>
      </c>
      <c r="E29" s="86" t="inlineStr">
        <is>
          <t>Stunden/Kunde</t>
        </is>
      </c>
      <c r="F29" s="80" t="inlineStr">
        <is>
          <t>Szenario</t>
        </is>
      </c>
      <c r="G29" s="81" t="inlineStr">
        <is>
          <t>120 Stunden</t>
        </is>
      </c>
      <c r="H29" s="81" t="inlineStr">
        <is>
          <t>60 Stunden</t>
        </is>
      </c>
      <c r="I29" s="81" t="inlineStr">
        <is>
          <t>30 Stunden</t>
        </is>
      </c>
      <c r="J29" s="86" t="inlineStr">
        <is>
          <t>Interner Aufwand für das Kunden-Onboarding. Bindet Entwickler- und Support-Kapazität.</t>
        </is>
      </c>
      <c r="K29" s="86" t="inlineStr">
        <is>
          <t>Gering: hoher Aufwand bei alten IT-Systemen (Automotive). Stark: standardisierter Self-Service-Prozess (Packaging). Quelle: Lothar.bm-Transkripte.</t>
        </is>
      </c>
      <c r="L29" s="82" t="n"/>
      <c r="M29" s="82" t="n"/>
    </row>
    <row r="30" ht="18" customHeight="1" s="165">
      <c r="A30" s="156" t="inlineStr">
        <is>
          <t>Technologie &amp; Cloud</t>
        </is>
      </c>
      <c r="B30" s="149" t="n"/>
      <c r="C30" s="149" t="n"/>
      <c r="D30" s="149" t="n"/>
      <c r="E30" s="149" t="n"/>
      <c r="F30" s="149" t="n"/>
      <c r="G30" s="149" t="n"/>
      <c r="H30" s="149" t="n"/>
      <c r="I30" s="149" t="n"/>
      <c r="J30" s="149" t="n"/>
      <c r="K30" s="149" t="n"/>
      <c r="L30" s="149" t="n"/>
      <c r="M30" s="150" t="n"/>
    </row>
    <row r="31" ht="45" customHeight="1" s="165">
      <c r="A31" s="86" t="inlineStr">
        <is>
          <t>KOSTEN</t>
        </is>
      </c>
      <c r="B31" s="86" t="inlineStr">
        <is>
          <t>Technologie</t>
        </is>
      </c>
      <c r="C31" s="86" t="inlineStr">
        <is>
          <t>Cloud/Hosting Basis</t>
        </is>
      </c>
      <c r="D31" s="246" t="n">
        <v>2000</v>
      </c>
      <c r="E31" s="86" t="inlineStr">
        <is>
          <t>€/Monat</t>
        </is>
      </c>
      <c r="F31" s="83" t="inlineStr">
        <is>
          <t>Fest</t>
        </is>
      </c>
      <c r="G31" s="243" t="n">
        <v>2000</v>
      </c>
      <c r="H31" s="243" t="n">
        <v>2000</v>
      </c>
      <c r="I31" s="243" t="n">
        <v>2000</v>
      </c>
      <c r="J31" s="86" t="inlineStr">
        <is>
          <t>Fixe monatliche Grundkosten für Cloud-Infrastruktur. Unabhängig von der Kundenzahl.</t>
        </is>
      </c>
      <c r="K31" s="86" t="inlineStr">
        <is>
          <t>AWS/Azure/GCP Grundkonfiguration. Steigt mit Kundenzahl über den Skalierungsfaktor.</t>
        </is>
      </c>
      <c r="L31" s="82" t="n"/>
      <c r="M31" s="82" t="n"/>
    </row>
    <row r="32" ht="45" customHeight="1" s="165">
      <c r="A32" s="86" t="inlineStr">
        <is>
          <t>KOSTEN</t>
        </is>
      </c>
      <c r="B32" s="86" t="inlineStr">
        <is>
          <t>Technologie</t>
        </is>
      </c>
      <c r="C32" s="86" t="inlineStr">
        <is>
          <t>Cloud-Skalierung pro Seat</t>
        </is>
      </c>
      <c r="D32" s="246" t="n">
        <v>80</v>
      </c>
      <c r="E32" s="86" t="inlineStr">
        <is>
          <t>€/Seat/Monat</t>
        </is>
      </c>
      <c r="F32" s="87" t="inlineStr">
        <is>
          <t>Skalierend</t>
        </is>
      </c>
      <c r="G32" s="243" t="n">
        <v>80</v>
      </c>
      <c r="H32" s="243" t="n">
        <v>80</v>
      </c>
      <c r="I32" s="243" t="n">
        <v>80</v>
      </c>
      <c r="J32" s="86" t="inlineStr">
        <is>
          <t>Variable Cloud-Kosten pro aktivem Seat. Wächst proportional zur Kundenbasis (szenarioabhängig).</t>
        </is>
      </c>
      <c r="K32" s="86" t="inlineStr">
        <is>
          <t>Gesamte Cloud-Kosten = Basis + (Seats × 80€). Im Stark-Szenario entstehen durch mehr Seats höhere Gesamtkosten.</t>
        </is>
      </c>
      <c r="L32" s="82" t="n"/>
      <c r="M32" s="82" t="n"/>
    </row>
    <row r="33" ht="45" customHeight="1" s="165">
      <c r="A33" s="86" t="inlineStr">
        <is>
          <t>KOSTEN</t>
        </is>
      </c>
      <c r="B33" s="86" t="inlineStr">
        <is>
          <t>Technologie</t>
        </is>
      </c>
      <c r="C33" s="86" t="inlineStr">
        <is>
          <t>AI/ML APIs Basis</t>
        </is>
      </c>
      <c r="D33" s="246" t="n">
        <v>2000</v>
      </c>
      <c r="E33" s="86" t="inlineStr">
        <is>
          <t>€/Monat</t>
        </is>
      </c>
      <c r="F33" s="83" t="inlineStr">
        <is>
          <t>Fest</t>
        </is>
      </c>
      <c r="G33" s="243" t="n">
        <v>2000</v>
      </c>
      <c r="H33" s="243" t="n">
        <v>2000</v>
      </c>
      <c r="I33" s="243" t="n">
        <v>2000</v>
      </c>
      <c r="J33" s="86" t="inlineStr">
        <is>
          <t>Monatliche Grundkosten für KI-API-Nutzung (OpenAI/Anthropic/Frontier Models).</t>
        </is>
      </c>
      <c r="K33" s="86" t="inlineStr">
        <is>
          <t>Nutzung von GPT-5/Claude für Design-Logic. Wächst mit 8%/Monat proportional zur Nutzungsintensität.</t>
        </is>
      </c>
      <c r="L33" s="82" t="n"/>
      <c r="M33" s="82" t="n"/>
    </row>
    <row r="34" ht="45" customHeight="1" s="165">
      <c r="A34" s="86" t="inlineStr">
        <is>
          <t>KOSTEN</t>
        </is>
      </c>
      <c r="B34" s="86" t="inlineStr">
        <is>
          <t>Technologie</t>
        </is>
      </c>
      <c r="C34" s="86" t="inlineStr">
        <is>
          <t>AI-Kosten Wachstum/Monat</t>
        </is>
      </c>
      <c r="D34" s="197" t="n">
        <v>0.08</v>
      </c>
      <c r="E34" s="86" t="inlineStr">
        <is>
          <t>% / Monat</t>
        </is>
      </c>
      <c r="F34" s="83" t="inlineStr">
        <is>
          <t>Fest</t>
        </is>
      </c>
      <c r="G34" s="113" t="n">
        <v>0.08</v>
      </c>
      <c r="H34" s="113" t="n">
        <v>0.08</v>
      </c>
      <c r="I34" s="113" t="n">
        <v>0.08</v>
      </c>
      <c r="J34" s="86" t="inlineStr">
        <is>
          <t>Monatliche Steigerungsrate der AI/ML-API-Kosten. Skaliert proportional zur Nutzung und Datentiefe.</t>
        </is>
      </c>
      <c r="K34" s="86" t="inlineStr">
        <is>
          <t>Skalierung proportional zur Nutzung und Datentiefe. Kann durch Open-Source-Modelle reduziert werden.</t>
        </is>
      </c>
      <c r="L34" s="82" t="n"/>
      <c r="M34" s="82" t="n"/>
    </row>
    <row r="35" ht="45" customHeight="1" s="165">
      <c r="A35" s="86" t="inlineStr">
        <is>
          <t>KOSTEN</t>
        </is>
      </c>
      <c r="B35" s="86" t="inlineStr">
        <is>
          <t>Technologie</t>
        </is>
      </c>
      <c r="C35" s="86" t="inlineStr">
        <is>
          <t>SaaS Tools intern (Basis)</t>
        </is>
      </c>
      <c r="D35" s="246" t="n">
        <v>400</v>
      </c>
      <c r="E35" s="86" t="inlineStr">
        <is>
          <t>€/Monat</t>
        </is>
      </c>
      <c r="F35" s="83" t="inlineStr">
        <is>
          <t>Fest</t>
        </is>
      </c>
      <c r="G35" s="243" t="n">
        <v>400</v>
      </c>
      <c r="H35" s="243" t="n">
        <v>400</v>
      </c>
      <c r="I35" s="243" t="n">
        <v>400</v>
      </c>
      <c r="J35" s="86" t="inlineStr">
        <is>
          <t>Fixe monatliche Kosten für interne Tools (Slack, Notion, GitHub etc.).</t>
        </is>
      </c>
      <c r="K35" s="86" t="inlineStr">
        <is>
          <t>Standardpaket für Tech-Startups. Wächst mit Mitarbeiterzahl über den Pro-MA-Satz.</t>
        </is>
      </c>
      <c r="L35" s="82" t="n"/>
      <c r="M35" s="82" t="n"/>
    </row>
    <row r="36" ht="45" customHeight="1" s="165">
      <c r="A36" s="86" t="inlineStr">
        <is>
          <t>KOSTEN</t>
        </is>
      </c>
      <c r="B36" s="86" t="inlineStr">
        <is>
          <t>Technologie</t>
        </is>
      </c>
      <c r="C36" s="86" t="inlineStr">
        <is>
          <t>SaaS Tools pro Mitarbeiter</t>
        </is>
      </c>
      <c r="D36" s="246" t="n">
        <v>100</v>
      </c>
      <c r="E36" s="86" t="inlineStr">
        <is>
          <t>€/MA/Monat</t>
        </is>
      </c>
      <c r="F36" s="87" t="inlineStr">
        <is>
          <t>Skalierend</t>
        </is>
      </c>
      <c r="G36" s="243" t="n">
        <v>100</v>
      </c>
      <c r="H36" s="243" t="n">
        <v>100</v>
      </c>
      <c r="I36" s="243" t="n">
        <v>100</v>
      </c>
      <c r="J36" s="86" t="inlineStr">
        <is>
          <t>Variable Tool-Kosten pro Mitarbeiter. Inkl. KI-Coding-Tools (Copilot/Cursor).</t>
        </is>
      </c>
      <c r="K36" s="86" t="inlineStr">
        <is>
          <t>Gesamte Tool-Kosten = Basis + (MAs × 100€). Im Gering-Szenario (mehr MAs) entstehen höhere Gesamtkosten.</t>
        </is>
      </c>
      <c r="L36" s="82" t="n"/>
      <c r="M36" s="82" t="n"/>
    </row>
    <row r="37" ht="45" customHeight="1" s="165">
      <c r="A37" s="86" t="inlineStr">
        <is>
          <t>KOSTEN</t>
        </is>
      </c>
      <c r="B37" s="86" t="inlineStr">
        <is>
          <t>Technologie</t>
        </is>
      </c>
      <c r="C37" s="86" t="inlineStr">
        <is>
          <t>Sicherheit &amp; Compliance</t>
        </is>
      </c>
      <c r="D37" s="246" t="n">
        <v>3500</v>
      </c>
      <c r="E37" s="86" t="inlineStr">
        <is>
          <t>€/Monat</t>
        </is>
      </c>
      <c r="F37" s="83" t="inlineStr">
        <is>
          <t>Fest</t>
        </is>
      </c>
      <c r="G37" s="243" t="n">
        <v>3500</v>
      </c>
      <c r="H37" s="243" t="n">
        <v>3500</v>
      </c>
      <c r="I37" s="243" t="n">
        <v>3500</v>
      </c>
      <c r="J37" s="86" t="inlineStr">
        <is>
          <t>Monatliche Kosten für Security-Tools und Compliance-Monitoring. Kritisch für TISAX-Zertifizierung im Automotive-Bereich.</t>
        </is>
      </c>
      <c r="K37" s="86" t="inlineStr">
        <is>
          <t>Puffer für TISAX-Audits und laufendes Compliance-Monitoring. Besonders relevant im Gering-Szenario (Automotive-Fokus).</t>
        </is>
      </c>
      <c r="L37" s="82" t="n"/>
      <c r="M37" s="82" t="n"/>
    </row>
    <row r="38" ht="18" customHeight="1" s="165">
      <c r="A38" s="159" t="inlineStr">
        <is>
          <t>Marketing &amp; Vertrieb</t>
        </is>
      </c>
      <c r="B38" s="149" t="n"/>
      <c r="C38" s="149" t="n"/>
      <c r="D38" s="149" t="n"/>
      <c r="E38" s="149" t="n"/>
      <c r="F38" s="149" t="n"/>
      <c r="G38" s="149" t="n"/>
      <c r="H38" s="149" t="n"/>
      <c r="I38" s="149" t="n"/>
      <c r="J38" s="149" t="n"/>
      <c r="K38" s="149" t="n"/>
      <c r="L38" s="149" t="n"/>
      <c r="M38" s="150" t="n"/>
    </row>
    <row r="39" ht="45" customHeight="1" s="165">
      <c r="A39" s="86" t="inlineStr">
        <is>
          <t>KOSTEN</t>
        </is>
      </c>
      <c r="B39" s="86" t="inlineStr">
        <is>
          <t>Marketing &amp; Vertrieb</t>
        </is>
      </c>
      <c r="C39" s="86" t="inlineStr">
        <is>
          <t>Paid Ads Budget (Initial)</t>
        </is>
      </c>
      <c r="D39" s="246" t="n">
        <v>1000</v>
      </c>
      <c r="E39" s="86" t="inlineStr">
        <is>
          <t>€/Monat</t>
        </is>
      </c>
      <c r="F39" s="83" t="inlineStr">
        <is>
          <t>Fest</t>
        </is>
      </c>
      <c r="G39" s="243" t="n">
        <v>1000</v>
      </c>
      <c r="H39" s="243" t="n">
        <v>1000</v>
      </c>
      <c r="I39" s="243" t="n">
        <v>1000</v>
      </c>
      <c r="J39" s="86" t="inlineStr">
        <is>
          <t>Monatliches Startbudget für bezahlte Werbung (Google, LinkedIn). Wächst mit 8%/Monat.</t>
        </is>
      </c>
      <c r="K39" s="86" t="inlineStr">
        <is>
          <t>Fokus eher auf Content/SEO im Industrie-Vertrieb. Skalierung mit Marktbekanntheit.</t>
        </is>
      </c>
      <c r="L39" s="82" t="n"/>
      <c r="M39" s="82" t="n"/>
    </row>
    <row r="40" ht="45" customHeight="1" s="165">
      <c r="A40" s="86" t="inlineStr">
        <is>
          <t>KOSTEN</t>
        </is>
      </c>
      <c r="B40" s="86" t="inlineStr">
        <is>
          <t>Marketing &amp; Vertrieb</t>
        </is>
      </c>
      <c r="C40" s="86" t="inlineStr">
        <is>
          <t>Content &amp; SEO</t>
        </is>
      </c>
      <c r="D40" s="246" t="n">
        <v>2500</v>
      </c>
      <c r="E40" s="86" t="inlineStr">
        <is>
          <t>€/Monat</t>
        </is>
      </c>
      <c r="F40" s="83" t="inlineStr">
        <is>
          <t>Fest</t>
        </is>
      </c>
      <c r="G40" s="243" t="n">
        <v>2500</v>
      </c>
      <c r="H40" s="243" t="n">
        <v>2500</v>
      </c>
      <c r="I40" s="243" t="n">
        <v>2500</v>
      </c>
      <c r="J40" s="86" t="inlineStr">
        <is>
          <t>Monatliche Kosten für Content-Marketing und SEO. Fokus auf Whitepaper zu ROI, TCO und DPP-Compliance.</t>
        </is>
      </c>
      <c r="K40" s="86" t="inlineStr">
        <is>
          <t>Wichtiger Kanal für B2B-SaaS im Industriebereich. Langfristiger Aufbau von organischem Traffic.</t>
        </is>
      </c>
      <c r="L40" s="82" t="n"/>
      <c r="M40" s="82" t="n"/>
    </row>
    <row r="41" ht="45" customHeight="1" s="165">
      <c r="A41" s="86" t="inlineStr">
        <is>
          <t>KOSTEN</t>
        </is>
      </c>
      <c r="B41" s="86" t="inlineStr">
        <is>
          <t>Marketing &amp; Vertrieb</t>
        </is>
      </c>
      <c r="C41" s="86" t="inlineStr">
        <is>
          <t>Events &amp; Messen/Ideation</t>
        </is>
      </c>
      <c r="D41" s="246" t="n">
        <v>3000</v>
      </c>
      <c r="E41" s="86" t="inlineStr">
        <is>
          <t>€/Jahr</t>
        </is>
      </c>
      <c r="F41" s="83" t="inlineStr">
        <is>
          <t>Fest</t>
        </is>
      </c>
      <c r="G41" s="243" t="n">
        <v>3000</v>
      </c>
      <c r="H41" s="243" t="n">
        <v>3000</v>
      </c>
      <c r="I41" s="243" t="n">
        <v>3000</v>
      </c>
      <c r="J41" s="86" t="inlineStr">
        <is>
          <t>Jährliche Kosten für Messeauftritte und Events. Wichtiger Kanal für Enterprise-Kundenkontakte.</t>
        </is>
      </c>
      <c r="K41" s="86" t="inlineStr">
        <is>
          <t>Erste Messeteilnahme/ Fachmessen</t>
        </is>
      </c>
      <c r="L41" s="82" t="n"/>
      <c r="M41" s="82" t="n"/>
    </row>
    <row r="42" ht="45" customFormat="1" customHeight="1" s="178">
      <c r="A42" s="86" t="inlineStr">
        <is>
          <t>KOSTEN</t>
        </is>
      </c>
      <c r="B42" s="86" t="inlineStr">
        <is>
          <t>Marketing &amp; Vertrieb</t>
        </is>
      </c>
      <c r="C42" s="86" t="inlineStr">
        <is>
          <t>Events &amp; Messen/Pre-Seed</t>
        </is>
      </c>
      <c r="D42" s="246" t="n">
        <v>10000</v>
      </c>
      <c r="E42" s="86" t="inlineStr">
        <is>
          <t>€/Jahr</t>
        </is>
      </c>
      <c r="F42" s="83" t="inlineStr">
        <is>
          <t>Fest</t>
        </is>
      </c>
      <c r="G42" s="243" t="n">
        <v>10000</v>
      </c>
      <c r="H42" s="243" t="n">
        <v>10000</v>
      </c>
      <c r="I42" s="243" t="n">
        <v>10000</v>
      </c>
      <c r="J42" s="86" t="inlineStr">
        <is>
          <t>Jährliche Kosten für Messeauftritte und Events. Wichtiger Kanal für Enterprise-Kundenkontakte.</t>
        </is>
      </c>
      <c r="K42" s="86" t="inlineStr">
        <is>
          <t>Messeteilnahme/ Fachmessen (nur die Gründer)</t>
        </is>
      </c>
      <c r="L42" s="82" t="n"/>
      <c r="M42" s="82" t="n"/>
    </row>
    <row r="43" ht="45" customFormat="1" customHeight="1" s="178">
      <c r="A43" s="86" t="inlineStr">
        <is>
          <t>KOSTEN</t>
        </is>
      </c>
      <c r="B43" s="86" t="inlineStr">
        <is>
          <t>Marketing &amp; Vertrieb</t>
        </is>
      </c>
      <c r="C43" s="86" t="inlineStr">
        <is>
          <t>Events &amp; Messen/Seed</t>
        </is>
      </c>
      <c r="D43" s="246" t="n">
        <v>15000</v>
      </c>
      <c r="E43" s="86" t="inlineStr">
        <is>
          <t>€/Jahr</t>
        </is>
      </c>
      <c r="F43" s="83" t="inlineStr">
        <is>
          <t>Fest</t>
        </is>
      </c>
      <c r="G43" s="243" t="n">
        <v>15000</v>
      </c>
      <c r="H43" s="243" t="n">
        <v>15000</v>
      </c>
      <c r="I43" s="243" t="n">
        <v>15000</v>
      </c>
      <c r="J43" s="86" t="inlineStr">
        <is>
          <t>Jährliche Kosten für Messeauftritte und Events. Wichtiger Kanal für Enterprise-Kundenkontakte.</t>
        </is>
      </c>
      <c r="K43" s="86" t="inlineStr">
        <is>
          <t xml:space="preserve">Präsenz auf Leitmessen (Hannover Messe, SPS). Hoher Posten – Überprüfung der Priorität empfohlen.
Zusätzlich Sales-/Marketing MA auch auf Messebesuche
</t>
        </is>
      </c>
      <c r="L43" s="82" t="n"/>
      <c r="M43" s="82" t="n"/>
    </row>
    <row r="44" ht="45" customFormat="1" customHeight="1" s="178">
      <c r="A44" s="86" t="inlineStr">
        <is>
          <t>KOSTEN</t>
        </is>
      </c>
      <c r="B44" s="86" t="inlineStr">
        <is>
          <t>Marketing &amp; Vertrieb</t>
        </is>
      </c>
      <c r="C44" s="86" t="inlineStr">
        <is>
          <t>Events &amp; Messen/Series A</t>
        </is>
      </c>
      <c r="D44" s="246" t="n">
        <v>25000</v>
      </c>
      <c r="E44" s="86" t="inlineStr">
        <is>
          <t>€/Jahr</t>
        </is>
      </c>
      <c r="F44" s="83" t="inlineStr">
        <is>
          <t>Fest</t>
        </is>
      </c>
      <c r="G44" s="243" t="n">
        <v>25000</v>
      </c>
      <c r="H44" s="243" t="n">
        <v>25000</v>
      </c>
      <c r="I44" s="243" t="n">
        <v>40000</v>
      </c>
      <c r="J44" s="86" t="inlineStr">
        <is>
          <t>Jährliche Kosten für Messeauftritte und Events. Wichtiger Kanal für Enterprise-Kundenkontakte.</t>
        </is>
      </c>
      <c r="K44" s="86" t="inlineStr">
        <is>
          <t>Präsenz auf Leitmessen (Hannover Messe, SPS). Hoher Posten – Überprüfung der Priorität empfohlen.</t>
        </is>
      </c>
      <c r="L44" s="82" t="n"/>
      <c r="M44" s="82" t="n"/>
    </row>
    <row r="45" ht="45" customFormat="1" customHeight="1" s="178">
      <c r="A45" s="86" t="inlineStr">
        <is>
          <t>KOSTEN</t>
        </is>
      </c>
      <c r="B45" s="86" t="inlineStr">
        <is>
          <t>Marketing &amp; Vertrieb</t>
        </is>
      </c>
      <c r="C45" s="86" t="inlineStr">
        <is>
          <t>Events &amp; Messen/Series B</t>
        </is>
      </c>
      <c r="D45" s="246" t="n">
        <v>25000</v>
      </c>
      <c r="E45" s="86" t="inlineStr">
        <is>
          <t>€/Jahr</t>
        </is>
      </c>
      <c r="F45" s="83" t="inlineStr">
        <is>
          <t>Fest</t>
        </is>
      </c>
      <c r="G45" s="243" t="n">
        <v>25000</v>
      </c>
      <c r="H45" s="243" t="n">
        <v>25000</v>
      </c>
      <c r="I45" s="243" t="n">
        <v>60000</v>
      </c>
      <c r="J45" s="86" t="inlineStr">
        <is>
          <t>Jährliche Kosten für Messeauftritte und Events. Wichtiger Kanal für Enterprise-Kundenkontakte.</t>
        </is>
      </c>
      <c r="K45" s="86" t="inlineStr">
        <is>
          <t>Zusätzlich Sales-/Marketing MA auch auf Messebesuche</t>
        </is>
      </c>
      <c r="L45" s="82" t="n"/>
      <c r="M45" s="82" t="n"/>
    </row>
    <row r="46" ht="45" customHeight="1" s="165">
      <c r="A46" s="86" t="inlineStr">
        <is>
          <t>KOSTEN</t>
        </is>
      </c>
      <c r="B46" s="86" t="inlineStr">
        <is>
          <t>Marketing &amp; Vertrieb</t>
        </is>
      </c>
      <c r="C46" s="86" t="inlineStr">
        <is>
          <t>Sales Provision</t>
        </is>
      </c>
      <c r="D46" s="86" t="inlineStr">
        <is>
          <t>12 %</t>
        </is>
      </c>
      <c r="E46" s="86" t="inlineStr">
        <is>
          <t>% vom neuen ARR</t>
        </is>
      </c>
      <c r="F46" s="87" t="inlineStr">
        <is>
          <t>Skalierend</t>
        </is>
      </c>
      <c r="G46" s="113" t="n">
        <v>0.12</v>
      </c>
      <c r="H46" s="113" t="n">
        <v>0.12</v>
      </c>
      <c r="I46" s="113" t="n">
        <v>0.12</v>
      </c>
      <c r="J46" s="86" t="inlineStr">
        <is>
          <t>Vertriebsprovision als Anteil am neu gewonnenen ARR. Skaliert direkt mit dem Umsatzwachstum.</t>
        </is>
      </c>
      <c r="K46" s="86" t="inlineStr">
        <is>
          <t>Anreiz für Verkäufer. Im Stark-Szenario (höherer ARR) entstehen höhere absolute Provisionskosten.</t>
        </is>
      </c>
      <c r="L46" s="82" t="n"/>
      <c r="M46" s="82" t="n"/>
    </row>
    <row r="47" ht="45" customHeight="1" s="165">
      <c r="A47" s="86" t="inlineStr">
        <is>
          <t>KOSTEN</t>
        </is>
      </c>
      <c r="B47" s="86" t="inlineStr">
        <is>
          <t>Marketing &amp; Vertrieb</t>
        </is>
      </c>
      <c r="C47" s="86" t="inlineStr">
        <is>
          <t>Reisekosten Sales/MA/Monat</t>
        </is>
      </c>
      <c r="D47" s="246" t="n">
        <v>700</v>
      </c>
      <c r="E47" s="86" t="inlineStr">
        <is>
          <t>€/MA/Monat</t>
        </is>
      </c>
      <c r="F47" s="87" t="inlineStr">
        <is>
          <t>Skalierend</t>
        </is>
      </c>
      <c r="G47" s="243" t="n">
        <v>700</v>
      </c>
      <c r="H47" s="243" t="n">
        <v>700</v>
      </c>
      <c r="I47" s="243" t="n">
        <v>700</v>
      </c>
      <c r="J47" s="86" t="inlineStr">
        <is>
          <t>Monatliche Reisekosten pro Sales-Mitarbeiter. Notwendig für Werksbegehungen und Kundenbesuche.</t>
        </is>
      </c>
      <c r="K47" s="86" t="inlineStr">
        <is>
          <t>Besonders relevant im Automotive-Szenario (Gering) mit physischen Vor-Ort-Terminen bei Tier-1-Zulieferern.</t>
        </is>
      </c>
      <c r="L47" s="82" t="n"/>
      <c r="M47" s="82" t="n"/>
    </row>
    <row r="48" ht="18" customHeight="1" s="165">
      <c r="A48" s="151" t="inlineStr">
        <is>
          <t>Professional Services &amp; Sonstiges</t>
        </is>
      </c>
      <c r="B48" s="149" t="n"/>
      <c r="C48" s="149" t="n"/>
      <c r="D48" s="149" t="n"/>
      <c r="E48" s="149" t="n"/>
      <c r="F48" s="149" t="n"/>
      <c r="G48" s="149" t="n"/>
      <c r="H48" s="149" t="n"/>
      <c r="I48" s="149" t="n"/>
      <c r="J48" s="149" t="n"/>
      <c r="K48" s="149" t="n"/>
      <c r="L48" s="149" t="n"/>
      <c r="M48" s="150" t="n"/>
    </row>
    <row r="49" ht="45" customHeight="1" s="165">
      <c r="A49" s="86" t="inlineStr">
        <is>
          <t>KOSTEN</t>
        </is>
      </c>
      <c r="B49" s="86" t="inlineStr">
        <is>
          <t>Professional Services</t>
        </is>
      </c>
      <c r="C49" s="86" t="inlineStr">
        <is>
          <t>Rechtsanwalt (Basis/Jahr)</t>
        </is>
      </c>
      <c r="D49" s="246" t="n">
        <v>8000</v>
      </c>
      <c r="E49" s="86" t="inlineStr">
        <is>
          <t>€/Jahr</t>
        </is>
      </c>
      <c r="F49" s="83" t="inlineStr">
        <is>
          <t>Fest</t>
        </is>
      </c>
      <c r="G49" s="243" t="n">
        <v>8000</v>
      </c>
      <c r="H49" s="243" t="n">
        <v>8000</v>
      </c>
      <c r="I49" s="243" t="n">
        <v>8000</v>
      </c>
      <c r="J49" s="86" t="inlineStr">
        <is>
          <t>Laufende Rechtsberatung (Verträge, IP, Arbeitsrecht). Basiskosten unabhängig von Finanzierungsrunden.</t>
        </is>
      </c>
      <c r="K49" s="86" t="inlineStr">
        <is>
          <t>Standard für Tech-Startups in Deutschland. Zusätzlich: 15.000€ pro Finanzierungsrunde.</t>
        </is>
      </c>
      <c r="L49" s="82" t="n"/>
      <c r="M49" s="82" t="n"/>
    </row>
    <row r="50" ht="45" customFormat="1" customHeight="1" s="19">
      <c r="A50" s="86" t="inlineStr">
        <is>
          <t>Kosten</t>
        </is>
      </c>
      <c r="B50" s="86" t="inlineStr">
        <is>
          <t>Professional Services</t>
        </is>
      </c>
      <c r="C50" s="86" t="inlineStr">
        <is>
          <t>Rechtsanwalt (pro Finanzierung)</t>
        </is>
      </c>
      <c r="D50" s="246" t="n">
        <v>15000</v>
      </c>
      <c r="E50" s="86" t="inlineStr">
        <is>
          <t>€/Jahr</t>
        </is>
      </c>
      <c r="F50" s="83" t="inlineStr">
        <is>
          <t>Fest</t>
        </is>
      </c>
      <c r="G50" s="243" t="n">
        <v>12000</v>
      </c>
      <c r="H50" s="243" t="n">
        <v>15000</v>
      </c>
      <c r="I50" s="243" t="n">
        <v>20000</v>
      </c>
      <c r="J50" s="86" t="inlineStr">
        <is>
          <t>Für jede Finanzierungsrunde ab Pre-Seed Anwalt erforderlich für Shareholder-Angelegenheiten</t>
        </is>
      </c>
      <c r="K50" s="86" t="inlineStr">
        <is>
          <t>Honoarhöhe abhängig von Geschwindigkeit und Anfall an Komplexität</t>
        </is>
      </c>
      <c r="L50" s="82" t="n"/>
      <c r="M50" s="82" t="n"/>
    </row>
    <row r="51" ht="45" customHeight="1" s="165">
      <c r="A51" s="86" t="inlineStr">
        <is>
          <t>KOSTEN</t>
        </is>
      </c>
      <c r="B51" s="86" t="inlineStr">
        <is>
          <t>Professional Services</t>
        </is>
      </c>
      <c r="C51" s="86" t="inlineStr">
        <is>
          <t>Steuerberater</t>
        </is>
      </c>
      <c r="D51" s="246" t="n">
        <v>800</v>
      </c>
      <c r="E51" s="86" t="inlineStr">
        <is>
          <t>€/Monat</t>
        </is>
      </c>
      <c r="F51" s="83" t="inlineStr">
        <is>
          <t>Fest</t>
        </is>
      </c>
      <c r="G51" s="243" t="n">
        <v>800</v>
      </c>
      <c r="H51" s="243" t="n">
        <v>800</v>
      </c>
      <c r="I51" s="243" t="n">
        <v>800</v>
      </c>
      <c r="J51" s="86" t="inlineStr">
        <is>
          <t>Monatliche Kosten für laufende Buchhaltung und Steuerberatung.</t>
        </is>
      </c>
      <c r="K51" s="86" t="inlineStr">
        <is>
          <t>Standard für GmbH in Deutschland. Steigt mit Komplexität der Finanzstruktur.</t>
        </is>
      </c>
      <c r="L51" s="82" t="n"/>
      <c r="M51" s="82" t="n"/>
    </row>
    <row r="52" ht="45" customHeight="1" s="165">
      <c r="A52" s="86" t="inlineStr">
        <is>
          <t>KOSTEN</t>
        </is>
      </c>
      <c r="B52" s="86" t="inlineStr">
        <is>
          <t>Professional Services</t>
        </is>
      </c>
      <c r="C52" s="86" t="inlineStr">
        <is>
          <t>Wirtschaftsprüfer (ab Monat 17)</t>
        </is>
      </c>
      <c r="D52" s="246" t="n">
        <v>12000</v>
      </c>
      <c r="E52" s="86" t="inlineStr">
        <is>
          <t>€/Jahr</t>
        </is>
      </c>
      <c r="F52" s="83" t="inlineStr">
        <is>
          <t>Fest</t>
        </is>
      </c>
      <c r="G52" s="81" t="inlineStr">
        <is>
          <t>–</t>
        </is>
      </c>
      <c r="H52" s="243" t="n">
        <v>12000</v>
      </c>
      <c r="I52" s="243" t="n">
        <v>12000</v>
      </c>
      <c r="J52" s="86" t="inlineStr">
        <is>
          <t>Jährliche Kosten für Wirtschaftsprüfung. Pflicht ab Series A für institutionelle Investoren.</t>
        </is>
      </c>
      <c r="K52" s="86" t="inlineStr">
        <is>
          <t>Start mit tatsächlicher Seed-Phase (Mitte 2027). Erst ab Monat 17 relevant.</t>
        </is>
      </c>
      <c r="L52" s="82" t="n"/>
      <c r="M52" s="82" t="n"/>
    </row>
    <row r="53" ht="45" customHeight="1" s="165">
      <c r="A53" s="86" t="inlineStr">
        <is>
          <t>KOSTEN</t>
        </is>
      </c>
      <c r="B53" s="86" t="inlineStr">
        <is>
          <t>Sonstiges</t>
        </is>
      </c>
      <c r="C53" s="86" t="inlineStr">
        <is>
          <t>Weiterbildung/MA/Jahr</t>
        </is>
      </c>
      <c r="D53" s="246" t="n">
        <v>1000</v>
      </c>
      <c r="E53" s="86" t="inlineStr">
        <is>
          <t>€/MA/Jahr</t>
        </is>
      </c>
      <c r="F53" s="87" t="inlineStr">
        <is>
          <t>Skalierend</t>
        </is>
      </c>
      <c r="G53" s="243" t="n">
        <v>1000</v>
      </c>
      <c r="H53" s="243" t="n">
        <v>1000</v>
      </c>
      <c r="I53" s="243" t="n">
        <v>1000</v>
      </c>
      <c r="J53" s="86" t="inlineStr">
        <is>
          <t>Jährliche Weiterbildungskosten pro Mitarbeiter. Besonders wichtig im ML/KI-Bereich.</t>
        </is>
      </c>
      <c r="K53" s="86" t="inlineStr">
        <is>
          <t>Konferenzen, Online-Kurse, Zertifizierungen. Gesamtkosten skalieren mit Mitarbeiterzahl.</t>
        </is>
      </c>
      <c r="L53" s="82" t="n"/>
      <c r="M53" s="82" t="n"/>
    </row>
    <row r="54" ht="45" customHeight="1" s="165">
      <c r="A54" s="86" t="inlineStr">
        <is>
          <t>KOSTEN</t>
        </is>
      </c>
      <c r="B54" s="86" t="inlineStr">
        <is>
          <t>Sonstiges</t>
        </is>
      </c>
      <c r="C54" s="86" t="inlineStr">
        <is>
          <t>Sonstiges / Puffer</t>
        </is>
      </c>
      <c r="D54" s="86" t="inlineStr">
        <is>
          <t>5 %</t>
        </is>
      </c>
      <c r="E54" s="86" t="inlineStr">
        <is>
          <t>% der OpEx</t>
        </is>
      </c>
      <c r="F54" s="83" t="inlineStr">
        <is>
          <t>Fest</t>
        </is>
      </c>
      <c r="G54" s="113" t="n">
        <v>0.05</v>
      </c>
      <c r="H54" s="113" t="n">
        <v>0.05</v>
      </c>
      <c r="I54" s="113" t="n">
        <v>0.05</v>
      </c>
      <c r="J54" s="86" t="inlineStr">
        <is>
          <t>Puffer für ungeplante Ausgaben. Vorsichtsprinzip für unvorhergesehene Kosten.</t>
        </is>
      </c>
      <c r="K54" s="86" t="inlineStr">
        <is>
          <t>Standard-Puffer für Startup-Finanzplanung. Empfehlung: mindestens 5% der gesamten OpEx.</t>
        </is>
      </c>
      <c r="L54" s="82" t="n"/>
      <c r="M54" s="82" t="n"/>
    </row>
    <row r="55" ht="18" customHeight="1" s="165">
      <c r="A55" s="151" t="inlineStr">
        <is>
          <t>INVESTITIONEN (CapEx)</t>
        </is>
      </c>
      <c r="B55" s="149" t="n"/>
      <c r="C55" s="149" t="n"/>
      <c r="D55" s="149" t="n"/>
      <c r="E55" s="149" t="n"/>
      <c r="F55" s="149" t="n"/>
      <c r="G55" s="149" t="n"/>
      <c r="H55" s="149" t="n"/>
      <c r="I55" s="149" t="n"/>
      <c r="J55" s="149" t="n"/>
      <c r="K55" s="149" t="n"/>
      <c r="L55" s="149" t="n"/>
      <c r="M55" s="150" t="n"/>
    </row>
    <row r="56" ht="18" customHeight="1" s="165">
      <c r="A56" s="161" t="inlineStr">
        <is>
          <t>Hardware &amp; Ausstattung</t>
        </is>
      </c>
      <c r="B56" s="149" t="n"/>
      <c r="C56" s="149" t="n"/>
      <c r="D56" s="149" t="n"/>
      <c r="E56" s="149" t="n"/>
      <c r="F56" s="149" t="n"/>
      <c r="G56" s="149" t="n"/>
      <c r="H56" s="149" t="n"/>
      <c r="I56" s="149" t="n"/>
      <c r="J56" s="149" t="n"/>
      <c r="K56" s="149" t="n"/>
      <c r="L56" s="149" t="n"/>
      <c r="M56" s="150" t="n"/>
    </row>
    <row r="57" ht="45" customHeight="1" s="165">
      <c r="A57" s="88" t="inlineStr">
        <is>
          <t>OPEX</t>
        </is>
      </c>
      <c r="B57" s="88" t="inlineStr">
        <is>
          <t>Hardware</t>
        </is>
      </c>
      <c r="C57" s="88" t="inlineStr">
        <is>
          <t>Laptop pro Mitarbeiter</t>
        </is>
      </c>
      <c r="D57" s="247" t="n">
        <v>80</v>
      </c>
      <c r="E57" s="88" t="inlineStr">
        <is>
          <t xml:space="preserve">€/Monat/MA </t>
        </is>
      </c>
      <c r="F57" s="87" t="inlineStr">
        <is>
          <t>Skalierend</t>
        </is>
      </c>
      <c r="G57" s="243" t="n">
        <v>80</v>
      </c>
      <c r="H57" s="243" t="n">
        <v>80</v>
      </c>
      <c r="I57" s="243" t="n">
        <v>100</v>
      </c>
      <c r="J57" s="88" t="inlineStr">
        <is>
          <t>MA bekommen keine eigenen Geräte sondern Leihgeräte von Grover</t>
        </is>
      </c>
      <c r="K57" s="88" t="inlineStr">
        <is>
          <t>Grundsätzlich Reduzierung von CAPEX durch Mietmodell. Kann im Einzelfall verändert werden, wenn es besondere Bedarfe gibt</t>
        </is>
      </c>
      <c r="L57" s="82" t="n"/>
      <c r="M57" s="82" t="n"/>
    </row>
    <row r="58" ht="45" customHeight="1" s="165">
      <c r="A58" s="88" t="inlineStr">
        <is>
          <t>OPEX</t>
        </is>
      </c>
      <c r="B58" s="88" t="inlineStr">
        <is>
          <t>Hardware</t>
        </is>
      </c>
      <c r="C58" s="88" t="inlineStr">
        <is>
          <t>Monitor &amp; Peripherie pro MA</t>
        </is>
      </c>
      <c r="D58" s="247" t="n">
        <v>40</v>
      </c>
      <c r="E58" s="88" t="inlineStr">
        <is>
          <t xml:space="preserve">€/Monat/MA </t>
        </is>
      </c>
      <c r="F58" s="87" t="inlineStr">
        <is>
          <t>Skalierend</t>
        </is>
      </c>
      <c r="G58" s="243" t="n">
        <v>40</v>
      </c>
      <c r="H58" s="243" t="n">
        <v>40</v>
      </c>
      <c r="I58" s="243" t="n">
        <v>60</v>
      </c>
      <c r="J58" s="88" t="inlineStr">
        <is>
          <t>MA bekommen keine eigenen Geräte sondern Leihgeräte von Grover</t>
        </is>
      </c>
      <c r="K58" s="88" t="inlineStr">
        <is>
          <t>Grundsätzlich Reduzierung von CAPEX durch Mietmodell. Kann im Einzelfall verändert werden, wenn es besondere Bedarfe gibt</t>
        </is>
      </c>
      <c r="L58" s="82" t="n"/>
      <c r="M58" s="82" t="n"/>
    </row>
    <row r="59" ht="18" customHeight="1" s="165">
      <c r="A59" s="157" t="inlineStr">
        <is>
          <t>Büro &amp; Facilities</t>
        </is>
      </c>
      <c r="B59" s="149" t="n"/>
      <c r="C59" s="149" t="n"/>
      <c r="D59" s="149" t="n"/>
      <c r="E59" s="149" t="n"/>
      <c r="F59" s="149" t="n"/>
      <c r="G59" s="149" t="n"/>
      <c r="H59" s="149" t="n"/>
      <c r="I59" s="149" t="n"/>
      <c r="J59" s="149" t="n"/>
      <c r="K59" s="149" t="n"/>
      <c r="L59" s="149" t="n"/>
      <c r="M59" s="150" t="n"/>
    </row>
    <row r="60" ht="18" customFormat="1" customHeight="1" s="178">
      <c r="A60" s="157" t="inlineStr">
        <is>
          <t>Kosten</t>
        </is>
      </c>
      <c r="B60" s="88" t="inlineStr">
        <is>
          <t>Büro</t>
        </is>
      </c>
      <c r="C60" s="88" t="inlineStr">
        <is>
          <t>Coworking/Shared Desk</t>
        </is>
      </c>
      <c r="D60" s="247" t="n">
        <v>400</v>
      </c>
      <c r="E60" s="88" t="inlineStr">
        <is>
          <t xml:space="preserve">€/Monat/MA </t>
        </is>
      </c>
      <c r="F60" s="87" t="inlineStr">
        <is>
          <t>Skalierend</t>
        </is>
      </c>
      <c r="G60" s="243" t="n">
        <v>350</v>
      </c>
      <c r="H60" s="243" t="n">
        <v>400</v>
      </c>
      <c r="I60" s="243" t="n">
        <v>400</v>
      </c>
      <c r="J60" s="88" t="inlineStr">
        <is>
          <t>Zu Beginn nur Shared Desks im Coworking Space</t>
        </is>
      </c>
      <c r="K60" s="88" t="inlineStr">
        <is>
          <t>In der Ideation Phase geringer Bedarf, In der Pre-Seed Phase erste MA eingestellt. Bedarf an festen Desks im Coworking Space</t>
        </is>
      </c>
      <c r="L60" s="149" t="n"/>
      <c r="M60" s="150" t="n"/>
    </row>
    <row r="61" ht="45" customHeight="1" s="165">
      <c r="A61" s="88" t="inlineStr">
        <is>
          <t>CAPEX</t>
        </is>
      </c>
      <c r="B61" s="88" t="inlineStr">
        <is>
          <t>Büro</t>
        </is>
      </c>
      <c r="C61" s="88" t="inlineStr">
        <is>
          <t>Büromiete (Initial): keine, da zunächst Coworking Space/ Shared Desks</t>
        </is>
      </c>
      <c r="D61" s="247" t="n">
        <v>0</v>
      </c>
      <c r="E61" s="88" t="inlineStr">
        <is>
          <t>€/Monat</t>
        </is>
      </c>
      <c r="F61" s="83" t="inlineStr">
        <is>
          <t>Fest</t>
        </is>
      </c>
      <c r="G61" s="243" t="n">
        <v>0</v>
      </c>
      <c r="H61" s="243" t="n">
        <v>0</v>
      </c>
      <c r="I61" s="243" t="n">
        <v>0</v>
      </c>
      <c r="J61" s="88" t="inlineStr">
        <is>
          <t>Monatliche Miete für Coworking-Space in der Anfangsphase. Wechselt ab Monat 18 auf größeres Büro.</t>
        </is>
      </c>
      <c r="K61" s="88" t="inlineStr">
        <is>
          <t>Coworking-Fokus in der ersten Phase (Berlin Mitte/Kreuzberg). Shift analog zur Einstellung von Solution Architects.</t>
        </is>
      </c>
      <c r="L61" s="82" t="n"/>
      <c r="M61" s="82" t="n"/>
    </row>
    <row r="62" ht="45" customHeight="1" s="165">
      <c r="A62" s="88" t="inlineStr">
        <is>
          <t>CAPEX</t>
        </is>
      </c>
      <c r="B62" s="88" t="inlineStr">
        <is>
          <t>Büro</t>
        </is>
      </c>
      <c r="C62" s="88" t="inlineStr">
        <is>
          <t>Büromiete (ab Seed/M18)</t>
        </is>
      </c>
      <c r="D62" s="247" t="n">
        <v>4500</v>
      </c>
      <c r="E62" s="88" t="inlineStr">
        <is>
          <t>€/Monat</t>
        </is>
      </c>
      <c r="F62" s="83" t="inlineStr">
        <is>
          <t>Fest</t>
        </is>
      </c>
      <c r="G62" s="243" t="n">
        <v>3500</v>
      </c>
      <c r="H62" s="243" t="n">
        <v>4000</v>
      </c>
      <c r="I62" s="243" t="n">
        <v>4500</v>
      </c>
      <c r="J62" s="88" t="inlineStr">
        <is>
          <t>Monatliche Miete nach dem Seedfinanzierung ab Monat 18. Für ca. 10–20 Personen ausgelegt.</t>
        </is>
      </c>
      <c r="K62" s="88" t="inlineStr">
        <is>
          <t>Berliner Marktpreise für Bürofläche. Upgrade-Zeitpunkt kann szenariospezifisch angepasst werden.</t>
        </is>
      </c>
      <c r="L62" s="82" t="n"/>
      <c r="M62" s="82" t="n"/>
    </row>
    <row r="63" ht="45" customHeight="1" s="165">
      <c r="A63" s="88" t="inlineStr">
        <is>
          <t>CAPEX</t>
        </is>
      </c>
      <c r="B63" s="88" t="inlineStr">
        <is>
          <t>Büro</t>
        </is>
      </c>
      <c r="C63" s="88" t="inlineStr">
        <is>
          <t>Büroausstattung (Initial)</t>
        </is>
      </c>
      <c r="D63" s="247" t="n">
        <v>5000</v>
      </c>
      <c r="E63" s="88" t="inlineStr">
        <is>
          <t>€ (einmalig)</t>
        </is>
      </c>
      <c r="F63" s="83" t="inlineStr">
        <is>
          <t>Fest</t>
        </is>
      </c>
      <c r="G63" s="243" t="n">
        <v>5000</v>
      </c>
      <c r="H63" s="243" t="n">
        <v>5000</v>
      </c>
      <c r="I63" s="243" t="n">
        <v>5000</v>
      </c>
      <c r="J63" s="88" t="inlineStr">
        <is>
          <t>Einmalige Investition für Möbel und IT-Grundausstattung. Fällt beim Start an.</t>
        </is>
      </c>
      <c r="K63" s="88" t="inlineStr">
        <is>
          <t>Standard-Erstausstattung für kleines Tech-Team. Kein szenarioabhängiger Einfluss.</t>
        </is>
      </c>
      <c r="L63" s="82" t="n"/>
      <c r="M63" s="82" t="n"/>
    </row>
    <row r="64" ht="18" customHeight="1" s="165">
      <c r="A64" s="148" t="inlineStr">
        <is>
          <t>NEUE / POTENZIELLE SZENARIEN</t>
        </is>
      </c>
      <c r="B64" s="149" t="n"/>
      <c r="C64" s="149" t="n"/>
      <c r="D64" s="149" t="n"/>
      <c r="E64" s="149" t="n"/>
      <c r="F64" s="149" t="n"/>
      <c r="G64" s="149" t="n"/>
      <c r="H64" s="149" t="n"/>
      <c r="I64" s="149" t="n"/>
      <c r="J64" s="149" t="n"/>
      <c r="K64" s="149" t="n"/>
      <c r="L64" s="149" t="n"/>
      <c r="M64" s="150" t="n"/>
    </row>
    <row r="65" ht="18" customHeight="1" s="165">
      <c r="A65" s="148" t="inlineStr">
        <is>
          <t>Umsatz – Neue Treiber</t>
        </is>
      </c>
      <c r="B65" s="149" t="n"/>
      <c r="C65" s="149" t="n"/>
      <c r="D65" s="149" t="n"/>
      <c r="E65" s="149" t="n"/>
      <c r="F65" s="149" t="n"/>
      <c r="G65" s="149" t="n"/>
      <c r="H65" s="149" t="n"/>
      <c r="I65" s="149" t="n"/>
      <c r="J65" s="149" t="n"/>
      <c r="K65" s="149" t="n"/>
      <c r="L65" s="149" t="n"/>
      <c r="M65" s="150" t="n"/>
    </row>
    <row r="66" ht="45" customHeight="1" s="165">
      <c r="A66" s="89" t="inlineStr">
        <is>
          <t>NEU</t>
        </is>
      </c>
      <c r="B66" s="90" t="inlineStr">
        <is>
          <t>SaaS-Pricing</t>
        </is>
      </c>
      <c r="C66" s="90" t="inlineStr">
        <is>
          <t>Produkt-Tiers (Basic/Pro/Enterprise)</t>
        </is>
      </c>
      <c r="D66" s="90" t="inlineStr">
        <is>
          <t>Noch nicht modelliert</t>
        </is>
      </c>
      <c r="E66" s="90" t="inlineStr">
        <is>
          <t>–</t>
        </is>
      </c>
      <c r="F66" s="91" t="inlineStr">
        <is>
          <t>Zu definieren</t>
        </is>
      </c>
      <c r="G66" s="92" t="inlineStr">
        <is>
          <t>Basic: ~5.000 €/J</t>
        </is>
      </c>
      <c r="H66" s="92" t="inlineStr">
        <is>
          <t>Pro: ~12.000 €/J</t>
        </is>
      </c>
      <c r="I66" s="92" t="inlineStr">
        <is>
          <t>Enterprise: ~25.000 €/J</t>
        </is>
      </c>
      <c r="J66" s="90" t="inlineStr">
        <is>
          <t>Gestaffelte Pakete mit unterschiedlichen Features und Preisen. Erhöht die Preisflexibilität und Marktabdeckung.</t>
        </is>
      </c>
      <c r="K66" s="90" t="inlineStr">
        <is>
          <t>Noch nicht im Modell. Würde den Startpreis-Parameter durch eine Tier-Verteilung ersetzen.</t>
        </is>
      </c>
      <c r="L66" s="82" t="n"/>
      <c r="M66" s="82" t="n"/>
    </row>
    <row r="67" ht="45" customHeight="1" s="165">
      <c r="A67" s="89" t="inlineStr">
        <is>
          <t>NEU</t>
        </is>
      </c>
      <c r="B67" s="90" t="inlineStr">
        <is>
          <t>SaaS-Umsatz</t>
        </is>
      </c>
      <c r="C67" s="90" t="inlineStr">
        <is>
          <t>Upselling-Effizienz (NRR-Varianten)</t>
        </is>
      </c>
      <c r="D67" s="90" t="inlineStr">
        <is>
          <t>NRR: 125 % (fest)</t>
        </is>
      </c>
      <c r="E67" s="90" t="inlineStr">
        <is>
          <t>%</t>
        </is>
      </c>
      <c r="F67" s="91" t="inlineStr">
        <is>
          <t>Zu definieren</t>
        </is>
      </c>
      <c r="G67" s="92" t="inlineStr">
        <is>
          <t>NRR: 105 %</t>
        </is>
      </c>
      <c r="H67" s="92" t="inlineStr">
        <is>
          <t>NRR: 115 %</t>
        </is>
      </c>
      <c r="I67" s="92" t="inlineStr">
        <is>
          <t>NRR: 130 %</t>
        </is>
      </c>
      <c r="J67" s="90" t="inlineStr">
        <is>
          <t>Unterschiedliche NRR-Szenarien je nach Upselling-Erfolg. Direkter Einfluss auf den langfristigen ARR.</t>
        </is>
      </c>
      <c r="K67" s="90" t="inlineStr">
        <is>
          <t>Aktuell als fester Wert (125%) modelliert. Szenariofähig machen würde die Sensitivitätsanalyse verbessern.</t>
        </is>
      </c>
      <c r="L67" s="82" t="n"/>
      <c r="M67" s="82" t="n"/>
    </row>
    <row r="68" ht="45" customHeight="1" s="165">
      <c r="A68" s="89" t="inlineStr">
        <is>
          <t>NEU</t>
        </is>
      </c>
      <c r="B68" s="90" t="inlineStr">
        <is>
          <t>SaaS-Umsatz</t>
        </is>
      </c>
      <c r="C68" s="90" t="inlineStr">
        <is>
          <t>Churn-Varianten</t>
        </is>
      </c>
      <c r="D68" s="90" t="inlineStr">
        <is>
          <t>Churn: 6 % (fest)</t>
        </is>
      </c>
      <c r="E68" s="90" t="inlineStr">
        <is>
          <t>% p.a.</t>
        </is>
      </c>
      <c r="F68" s="91" t="inlineStr">
        <is>
          <t>Zu definieren</t>
        </is>
      </c>
      <c r="G68" s="92" t="inlineStr">
        <is>
          <t>Hoher Churn: 10 %</t>
        </is>
      </c>
      <c r="H68" s="92" t="inlineStr">
        <is>
          <t>Normal: 6 %</t>
        </is>
      </c>
      <c r="I68" s="92" t="inlineStr">
        <is>
          <t>Niedriger Churn: 3 %</t>
        </is>
      </c>
      <c r="J68" s="90" t="inlineStr">
        <is>
          <t>Unterschiedliche Churn-Szenarien je nach Kundenbindung. Direkter Einfluss auf den kumulativen ARR.</t>
        </is>
      </c>
      <c r="K68" s="90" t="inlineStr">
        <is>
          <t>Aktuell als fester Wert (6%) modelliert. Besonders relevant für Langfristprojektionen (Jahr 3–5).</t>
        </is>
      </c>
      <c r="L68" s="82" t="n"/>
      <c r="M68" s="82" t="n"/>
    </row>
    <row r="69" ht="45" customHeight="1" s="165">
      <c r="A69" s="89" t="inlineStr">
        <is>
          <t>NEU</t>
        </is>
      </c>
      <c r="B69" s="90" t="inlineStr">
        <is>
          <t>Marktexpansion</t>
        </is>
      </c>
      <c r="C69" s="90" t="inlineStr">
        <is>
          <t>Internationalisierung</t>
        </is>
      </c>
      <c r="D69" s="90" t="inlineStr">
        <is>
          <t>Noch nicht modelliert</t>
        </is>
      </c>
      <c r="E69" s="90" t="inlineStr">
        <is>
          <t>–</t>
        </is>
      </c>
      <c r="F69" s="91" t="inlineStr">
        <is>
          <t>Zu definieren</t>
        </is>
      </c>
      <c r="G69" s="92" t="inlineStr">
        <is>
          <t>Keine Expansion</t>
        </is>
      </c>
      <c r="H69" s="92" t="inlineStr">
        <is>
          <t>EU-Expansion (Y2)</t>
        </is>
      </c>
      <c r="I69" s="92" t="inlineStr">
        <is>
          <t>US-Expansion (Y3)</t>
        </is>
      </c>
      <c r="J69" s="90" t="inlineStr">
        <is>
          <t>Multiplikator auf das Kundenwachstum ab einem definierten Monat. Erheblicher Einfluss auf ARR und Personalplanung.</t>
        </is>
      </c>
      <c r="K69" s="90" t="inlineStr">
        <is>
          <t>Noch nicht im Modell. Würde zusätzliche Kosten (Lokalisierung, Compliance, Personal) erfordern.</t>
        </is>
      </c>
      <c r="L69" s="82" t="n"/>
      <c r="M69" s="82" t="n"/>
    </row>
    <row r="70" ht="18" customHeight="1" s="165">
      <c r="A70" s="148" t="inlineStr">
        <is>
          <t>Kosten – Neue Treiber</t>
        </is>
      </c>
      <c r="B70" s="149" t="n"/>
      <c r="C70" s="149" t="n"/>
      <c r="D70" s="149" t="n"/>
      <c r="E70" s="149" t="n"/>
      <c r="F70" s="149" t="n"/>
      <c r="G70" s="149" t="n"/>
      <c r="H70" s="149" t="n"/>
      <c r="I70" s="149" t="n"/>
      <c r="J70" s="149" t="n"/>
      <c r="K70" s="149" t="n"/>
      <c r="L70" s="149" t="n"/>
      <c r="M70" s="150" t="n"/>
    </row>
    <row r="71" ht="45" customHeight="1" s="165">
      <c r="A71" s="89" t="inlineStr">
        <is>
          <t>NEU</t>
        </is>
      </c>
      <c r="B71" s="90" t="inlineStr">
        <is>
          <t>Personal</t>
        </is>
      </c>
      <c r="C71" s="90" t="inlineStr">
        <is>
          <t>Gehaltsniveau-Faktor</t>
        </is>
      </c>
      <c r="D71" s="90" t="inlineStr">
        <is>
          <t>Noch nicht modelliert</t>
        </is>
      </c>
      <c r="E71" s="90" t="inlineStr">
        <is>
          <t>Faktor</t>
        </is>
      </c>
      <c r="F71" s="91" t="inlineStr">
        <is>
          <t>Zu definieren</t>
        </is>
      </c>
      <c r="G71" s="92" t="inlineStr">
        <is>
          <t>85 % des Markts</t>
        </is>
      </c>
      <c r="H71" s="92" t="inlineStr">
        <is>
          <t>100 % des Markts</t>
        </is>
      </c>
      <c r="I71" s="92" t="inlineStr">
        <is>
          <t>115 % des Markts</t>
        </is>
      </c>
      <c r="J71" s="90" t="inlineStr">
        <is>
          <t>Prozentualer Faktor auf alle Gehälter im Einstellungsplan. Direkter Einfluss auf die gesamte Personalkostenbasis.</t>
        </is>
      </c>
      <c r="K71" s="90" t="inlineStr">
        <is>
          <t>Noch nicht im Modell. Besonders relevant für Talent-Wettbewerb im Berliner KI-Markt.</t>
        </is>
      </c>
      <c r="L71" s="82" t="n"/>
      <c r="M71" s="82" t="n"/>
    </row>
    <row r="73" ht="18" customHeight="1" s="165">
      <c r="A73" s="151" t="inlineStr">
        <is>
          <t>LEGENDE – Szenario-Abhängigkeit</t>
        </is>
      </c>
      <c r="B73" s="149" t="n"/>
      <c r="C73" s="149" t="n"/>
      <c r="D73" s="149" t="n"/>
      <c r="E73" s="149" t="n"/>
      <c r="F73" s="149" t="n"/>
      <c r="G73" s="149" t="n"/>
      <c r="H73" s="149" t="n"/>
      <c r="I73" s="149" t="n"/>
      <c r="J73" s="149" t="n"/>
      <c r="K73" s="149" t="n"/>
      <c r="L73" s="149" t="n"/>
      <c r="M73" s="150" t="n"/>
    </row>
    <row r="74" ht="45" customHeight="1" s="165">
      <c r="A74" s="93" t="inlineStr">
        <is>
          <t>Szenario</t>
        </is>
      </c>
      <c r="B74" s="93" t="inlineStr">
        <is>
          <t>Wert ändert sich je nach aktivem Szenario (Gering/Normal/Stark) in der 00_Input_Sandbox</t>
        </is>
      </c>
      <c r="C74" s="93" t="n"/>
      <c r="D74" s="93" t="n"/>
      <c r="E74" s="93" t="n"/>
      <c r="F74" s="94" t="n"/>
      <c r="G74" s="81" t="n"/>
      <c r="H74" s="81" t="n"/>
      <c r="I74" s="81" t="n"/>
      <c r="J74" s="93" t="n"/>
      <c r="K74" s="93" t="n"/>
      <c r="L74" s="82" t="n"/>
      <c r="M74" s="82" t="n"/>
    </row>
    <row r="75" ht="45" customHeight="1" s="165">
      <c r="A75" s="93" t="inlineStr">
        <is>
          <t>Unabhängig</t>
        </is>
      </c>
      <c r="B75" s="93" t="inlineStr">
        <is>
          <t>Eigenständiger Schalter – unabhängig vom Szenario einstellbar (z.B. Implementation-Support-Quote: 20%/50%/100%)</t>
        </is>
      </c>
      <c r="C75" s="93" t="n"/>
      <c r="D75" s="93" t="n"/>
      <c r="E75" s="93" t="n"/>
      <c r="F75" s="94" t="n"/>
      <c r="G75" s="81" t="n"/>
      <c r="H75" s="81" t="n"/>
      <c r="I75" s="81" t="n"/>
      <c r="J75" s="93" t="n"/>
      <c r="K75" s="93" t="n"/>
      <c r="L75" s="82" t="n"/>
      <c r="M75" s="82" t="n"/>
    </row>
    <row r="76" ht="45" customHeight="1" s="165">
      <c r="A76" s="93" t="inlineStr">
        <is>
          <t>Berechnet</t>
        </is>
      </c>
      <c r="B76" s="93" t="inlineStr">
        <is>
          <t>Abgeleiteter Wert – wird automatisch aus anderen Parametern berechnet (kein direkter Eingabewert)</t>
        </is>
      </c>
      <c r="C76" s="93" t="n"/>
      <c r="D76" s="93" t="n"/>
      <c r="E76" s="93" t="n"/>
      <c r="F76" s="94" t="n"/>
      <c r="G76" s="81" t="n"/>
      <c r="H76" s="81" t="n"/>
      <c r="I76" s="81" t="n"/>
      <c r="J76" s="93" t="n"/>
      <c r="K76" s="93" t="n"/>
      <c r="L76" s="82" t="n"/>
      <c r="M76" s="82" t="n"/>
    </row>
    <row r="77" ht="45" customHeight="1" s="165">
      <c r="A77" s="93" t="inlineStr">
        <is>
          <t>Skalierend</t>
        </is>
      </c>
      <c r="B77" s="93" t="inlineStr">
        <is>
          <t>Fester Satz, aber Gesamtbetrag skaliert mit Mitarbeiterzahl oder Kundenzahl</t>
        </is>
      </c>
      <c r="C77" s="93" t="n"/>
      <c r="D77" s="93" t="n"/>
      <c r="E77" s="93" t="n"/>
      <c r="F77" s="94" t="n"/>
      <c r="G77" s="81" t="n"/>
      <c r="H77" s="81" t="n"/>
      <c r="I77" s="81" t="n"/>
      <c r="J77" s="93" t="n"/>
      <c r="K77" s="93" t="n"/>
      <c r="L77" s="82" t="n"/>
      <c r="M77" s="82" t="n"/>
    </row>
    <row r="78" ht="45" customHeight="1" s="165">
      <c r="A78" s="93" t="inlineStr">
        <is>
          <t>Fest</t>
        </is>
      </c>
      <c r="B78" s="93" t="inlineStr">
        <is>
          <t>Fester Wert – unabhängig von Szenario und Unternehmensgröße</t>
        </is>
      </c>
      <c r="C78" s="93" t="n"/>
      <c r="D78" s="93" t="n"/>
      <c r="E78" s="93" t="n"/>
      <c r="F78" s="94" t="n"/>
      <c r="G78" s="81" t="n"/>
      <c r="H78" s="81" t="n"/>
      <c r="I78" s="81" t="n"/>
      <c r="J78" s="93" t="n"/>
      <c r="K78" s="93" t="n"/>
      <c r="L78" s="82" t="n"/>
      <c r="M78" s="82" t="n"/>
    </row>
    <row r="79" ht="45" customHeight="1" s="165">
      <c r="A79" s="93" t="inlineStr">
        <is>
          <t>Zu definieren</t>
        </is>
      </c>
      <c r="B79" s="93" t="inlineStr">
        <is>
          <t>Noch nicht im Modell – neuer Einflussfaktor, der entwickelt werden kann</t>
        </is>
      </c>
      <c r="C79" s="93" t="n"/>
      <c r="D79" s="93" t="n"/>
      <c r="E79" s="93" t="n"/>
      <c r="F79" s="94" t="n"/>
      <c r="G79" s="81" t="n"/>
      <c r="H79" s="81" t="n"/>
      <c r="I79" s="81" t="n"/>
      <c r="J79" s="93" t="n"/>
      <c r="K79" s="93" t="n"/>
      <c r="L79" s="82" t="n"/>
      <c r="M79" s="82" t="n"/>
    </row>
    <row r="81">
      <c r="A81" s="155" t="inlineStr">
        <is>
          <t>LEGENDE: Szenario=szenarioabhängig (Sandbox)  |  Unabhängig=eigenständiger Schalter (z.B. Implementation-Support-Quote)  |  Berechnet=abgeleiteter Wert  |  Skalierend=fixer Satz, skaliert mit MA/Kunden  |  NEU (lila)=noch nicht im Modell</t>
        </is>
      </c>
      <c r="B81" s="149" t="n"/>
      <c r="C81" s="149" t="n"/>
      <c r="D81" s="149" t="n"/>
      <c r="E81" s="149" t="n"/>
      <c r="F81" s="149" t="n"/>
      <c r="G81" s="149" t="n"/>
      <c r="H81" s="149" t="n"/>
      <c r="I81" s="149" t="n"/>
      <c r="J81" s="149" t="n"/>
      <c r="K81" s="149" t="n"/>
      <c r="L81" s="149" t="n"/>
      <c r="M81" s="150" t="n"/>
    </row>
  </sheetData>
  <mergeCells count="17">
    <mergeCell ref="A73:M73"/>
    <mergeCell ref="A5:M5"/>
    <mergeCell ref="A1:M1"/>
    <mergeCell ref="A23:M23"/>
    <mergeCell ref="A22:M22"/>
    <mergeCell ref="A70:M70"/>
    <mergeCell ref="A56:M56"/>
    <mergeCell ref="A48:M48"/>
    <mergeCell ref="A2:M2"/>
    <mergeCell ref="A30:M30"/>
    <mergeCell ref="A55:M55"/>
    <mergeCell ref="A64:M64"/>
    <mergeCell ref="A59:M59"/>
    <mergeCell ref="A65:M65"/>
    <mergeCell ref="A81:M81"/>
    <mergeCell ref="A38:M38"/>
    <mergeCell ref="A16:M1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topLeftCell="A8" workbookViewId="0">
      <selection activeCell="C8" sqref="C8"/>
    </sheetView>
  </sheetViews>
  <sheetFormatPr baseColWidth="10" defaultColWidth="14.453125" defaultRowHeight="15" customHeight="1"/>
  <cols>
    <col width="31.6328125" customWidth="1" style="165" min="1" max="1"/>
    <col width="56.90625" customWidth="1" style="121" min="7" max="7"/>
    <col width="20" customWidth="1" style="165" min="8" max="8"/>
    <col width="45" customWidth="1" style="165" min="9" max="9"/>
  </cols>
  <sheetData>
    <row r="1" ht="60" customHeight="1" s="165">
      <c r="A1" s="114" t="inlineStr">
        <is>
          <t>Faktor</t>
        </is>
      </c>
      <c r="B1" s="128" t="inlineStr">
        <is>
          <t>Referenz (Basis)</t>
        </is>
      </c>
      <c r="C1" s="114" t="inlineStr">
        <is>
          <t>Szenario: Gering</t>
        </is>
      </c>
      <c r="D1" s="114" t="inlineStr">
        <is>
          <t>Szenario: Normal</t>
        </is>
      </c>
      <c r="E1" s="114" t="inlineStr">
        <is>
          <t>Szenario: Stark</t>
        </is>
      </c>
      <c r="F1" s="115" t="inlineStr">
        <is>
          <t>DELTA: (Stark vs Normal)</t>
        </is>
      </c>
      <c r="G1" s="116" t="inlineStr">
        <is>
          <t>Argumentation (Interviews &amp; Transkripte)</t>
        </is>
      </c>
      <c r="H1" s="7" t="n"/>
      <c r="I1" s="66" t="inlineStr">
        <is>
          <t>⚑ HINWEIS:
Werte in den Spalten C/D/E (Gering/Normal/Stark) sind direkt bearbeitbar.
Änderungen in DIESEM Blatt fließen automatisch über Sandbox → Inputs → Revenue/P&amp;L.</t>
        </is>
      </c>
      <c r="J1" s="7" t="n"/>
      <c r="K1" s="7" t="n"/>
      <c r="L1" s="7" t="n"/>
      <c r="M1" s="7" t="n"/>
      <c r="N1" s="7" t="n"/>
      <c r="O1" s="7" t="n"/>
      <c r="P1" s="7" t="n"/>
      <c r="Q1" s="7" t="n"/>
      <c r="R1" s="7" t="n"/>
      <c r="S1" s="7" t="n"/>
      <c r="T1" s="7" t="n"/>
      <c r="U1" s="7" t="n"/>
      <c r="V1" s="7" t="n"/>
      <c r="W1" s="7" t="n"/>
      <c r="X1" s="7" t="n"/>
      <c r="Y1" s="7" t="n"/>
      <c r="Z1" s="7" t="n"/>
      <c r="AA1" s="7" t="n"/>
    </row>
    <row r="2" ht="14.5" customHeight="1" s="165">
      <c r="A2" s="8" t="inlineStr">
        <is>
          <t>Fokus: Packaging</t>
        </is>
      </c>
      <c r="B2" s="123" t="n">
        <v>0.3</v>
      </c>
      <c r="C2" s="9" t="n">
        <v>0.1</v>
      </c>
      <c r="D2" s="10" t="n">
        <v>0.6</v>
      </c>
      <c r="E2" s="9" t="n">
        <v>0.8</v>
      </c>
      <c r="F2" s="9">
        <f>E2-D2</f>
        <v/>
      </c>
      <c r="G2" s="117" t="inlineStr">
        <is>
          <t>Höhere Margen, schnellere Zyklen als Auto.</t>
        </is>
      </c>
      <c r="H2" s="7" t="n"/>
      <c r="I2" s="7" t="n"/>
      <c r="J2" s="7" t="n"/>
      <c r="K2" s="7" t="n"/>
      <c r="L2" s="7" t="n"/>
      <c r="M2" s="7" t="n"/>
      <c r="N2" s="7" t="n"/>
      <c r="O2" s="7" t="n"/>
      <c r="P2" s="7" t="n"/>
      <c r="Q2" s="7" t="n"/>
      <c r="R2" s="7" t="n"/>
      <c r="S2" s="7" t="n"/>
      <c r="T2" s="7" t="n"/>
      <c r="U2" s="7" t="n"/>
      <c r="V2" s="7" t="n"/>
      <c r="W2" s="7" t="n"/>
      <c r="X2" s="7" t="n"/>
      <c r="Y2" s="7" t="n"/>
      <c r="Z2" s="7" t="n"/>
      <c r="AA2" s="7" t="n"/>
    </row>
    <row r="3" ht="14.5" customHeight="1" s="165">
      <c r="A3" s="8" t="inlineStr">
        <is>
          <t>Fokus: Automotive</t>
        </is>
      </c>
      <c r="B3" s="123" t="n">
        <v>0.7</v>
      </c>
      <c r="C3" s="9" t="n">
        <v>0.9</v>
      </c>
      <c r="D3" s="10" t="n">
        <v>0.4</v>
      </c>
      <c r="E3" s="9" t="n">
        <v>0.2</v>
      </c>
      <c r="F3" s="9">
        <f>E3-D3</f>
        <v/>
      </c>
      <c r="G3" s="117" t="inlineStr">
        <is>
          <t>Hohe IT-Hürden und Margendruck (Lothar).</t>
        </is>
      </c>
      <c r="H3" s="7" t="n"/>
      <c r="I3" s="7" t="n"/>
      <c r="J3" s="7" t="n"/>
      <c r="K3" s="7" t="n"/>
      <c r="L3" s="7" t="n"/>
      <c r="M3" s="7" t="n"/>
      <c r="N3" s="7" t="n"/>
      <c r="O3" s="7" t="n"/>
      <c r="P3" s="7" t="n"/>
      <c r="Q3" s="7" t="n"/>
      <c r="R3" s="7" t="n"/>
      <c r="S3" s="7" t="n"/>
      <c r="T3" s="7" t="n"/>
      <c r="U3" s="7" t="n"/>
      <c r="V3" s="7" t="n"/>
      <c r="W3" s="7" t="n"/>
      <c r="X3" s="7" t="n"/>
      <c r="Y3" s="7" t="n"/>
      <c r="Z3" s="7" t="n"/>
      <c r="AA3" s="7" t="n"/>
    </row>
    <row r="4" ht="14.5" customHeight="1" s="165">
      <c r="A4" s="8" t="inlineStr">
        <is>
          <t>Erste zahlende Kunden Monat</t>
        </is>
      </c>
      <c r="B4" s="124" t="n">
        <v>6</v>
      </c>
      <c r="C4" s="11" t="n">
        <v>14</v>
      </c>
      <c r="D4" s="8" t="n">
        <v>8</v>
      </c>
      <c r="E4" s="11" t="n">
        <v>4</v>
      </c>
      <c r="F4" s="11">
        <f>E4-D4</f>
        <v/>
      </c>
      <c r="G4" s="117" t="inlineStr">
        <is>
          <t>IT-Integration ist der Flaschenhals.</t>
        </is>
      </c>
      <c r="H4" s="7" t="n"/>
      <c r="I4" s="7" t="n"/>
      <c r="J4" s="7" t="n"/>
      <c r="K4" s="7" t="n"/>
      <c r="L4" s="7" t="n"/>
      <c r="M4" s="7" t="n"/>
      <c r="N4" s="7" t="n"/>
      <c r="O4" s="7" t="n"/>
      <c r="P4" s="7" t="n"/>
      <c r="Q4" s="7" t="n"/>
      <c r="R4" s="7" t="n"/>
      <c r="S4" s="7" t="n"/>
      <c r="T4" s="7" t="n"/>
      <c r="U4" s="7" t="n"/>
      <c r="V4" s="7" t="n"/>
      <c r="W4" s="7" t="n"/>
      <c r="X4" s="7" t="n"/>
      <c r="Y4" s="7" t="n"/>
      <c r="Z4" s="7" t="n"/>
      <c r="AA4" s="7" t="n"/>
    </row>
    <row r="5" ht="70" customHeight="1" s="165">
      <c r="A5" s="71" t="inlineStr">
        <is>
          <t>Buchungs-Wahrscheinlichkeit Implementation-Support je Kunde</t>
        </is>
      </c>
      <c r="B5" s="123" t="n">
        <v>0.5</v>
      </c>
      <c r="C5" s="72" t="n">
        <v>0.2</v>
      </c>
      <c r="D5" s="72" t="n">
        <v>0.5</v>
      </c>
      <c r="E5" s="72" t="n">
        <v>1</v>
      </c>
      <c r="F5" s="9">
        <f>E5-D5</f>
        <v/>
      </c>
      <c r="G5" s="117" t="inlineStr">
        <is>
          <t>Wahrscheinlichkeit, dass ein gewonnener Kunde Implementation-Support bucht:
a) 20 % (gering) = jeder 5. Kunde – Automotive, wenig Beratungsbedarf
b) 50 % (normal) = jeder 2. Kunde – Hybrid-Markt
c) 100 % (stark) = jeder Kunde – Packaging, hohe Implementierungstiefe
→ Fließt über Sandbox Z.12 → Inputs Z.139 → Revenue Z.28</t>
        </is>
      </c>
      <c r="H5" s="67" t="inlineStr">
        <is>
          <t>→ Sandbox → Inputs</t>
        </is>
      </c>
      <c r="I5" s="7" t="n"/>
      <c r="J5" s="7" t="n"/>
      <c r="K5" s="7" t="n"/>
      <c r="L5" s="7" t="n"/>
      <c r="M5" s="7" t="n"/>
      <c r="N5" s="7" t="n"/>
      <c r="O5" s="7" t="n"/>
      <c r="P5" s="7" t="n"/>
      <c r="Q5" s="7" t="n"/>
      <c r="R5" s="7" t="n"/>
      <c r="S5" s="7" t="n"/>
      <c r="T5" s="7" t="n"/>
      <c r="U5" s="7" t="n"/>
      <c r="V5" s="7" t="n"/>
      <c r="W5" s="7" t="n"/>
      <c r="X5" s="7" t="n"/>
      <c r="Y5" s="7" t="n"/>
      <c r="Z5" s="7" t="n"/>
      <c r="AA5" s="7" t="n"/>
    </row>
    <row r="6" ht="14.5" customHeight="1" s="165">
      <c r="A6" s="8" t="inlineStr">
        <is>
          <t>Startpreis pro Seat/Jahr</t>
        </is>
      </c>
      <c r="B6" s="123" t="n">
        <v>1</v>
      </c>
      <c r="C6" s="9" t="n">
        <v>0.8</v>
      </c>
      <c r="D6" s="10" t="n">
        <v>1</v>
      </c>
      <c r="E6" s="9" t="n">
        <v>1.2</v>
      </c>
      <c r="F6" s="9">
        <f>E6-D6</f>
        <v/>
      </c>
      <c r="G6" s="117" t="inlineStr">
        <is>
          <t>Value-Pricing eher in Packaging möglich.</t>
        </is>
      </c>
      <c r="H6" s="7" t="n"/>
      <c r="I6" s="7" t="n"/>
      <c r="J6" s="7" t="n"/>
      <c r="K6" s="7" t="n"/>
      <c r="L6" s="7" t="n"/>
      <c r="M6" s="7" t="n"/>
      <c r="N6" s="7" t="n"/>
      <c r="O6" s="7" t="n"/>
      <c r="P6" s="7" t="n"/>
      <c r="Q6" s="7" t="n"/>
      <c r="R6" s="7" t="n"/>
      <c r="S6" s="7" t="n"/>
      <c r="T6" s="7" t="n"/>
      <c r="U6" s="7" t="n"/>
      <c r="V6" s="7" t="n"/>
      <c r="W6" s="7" t="n"/>
      <c r="X6" s="7" t="n"/>
      <c r="Y6" s="7" t="n"/>
      <c r="Z6" s="7" t="n"/>
      <c r="AA6" s="7" t="n"/>
    </row>
    <row r="7" ht="14.5" customHeight="1" s="165">
      <c r="A7" s="8" t="inlineStr">
        <is>
          <t>Personal (Experten) in FTE</t>
        </is>
      </c>
      <c r="B7" s="124" t="n">
        <v>5</v>
      </c>
      <c r="C7" s="11" t="n">
        <v>3</v>
      </c>
      <c r="D7" s="8" t="n">
        <v>7</v>
      </c>
      <c r="E7" s="11" t="n">
        <v>12</v>
      </c>
      <c r="F7" s="11">
        <f>E7-D7</f>
        <v/>
      </c>
      <c r="G7" s="117" t="inlineStr">
        <is>
          <t>Bedarf an "Übersetzern" für IT-Landschaft.</t>
        </is>
      </c>
      <c r="H7" s="7" t="n"/>
      <c r="I7" s="7" t="n"/>
      <c r="J7" s="7" t="n"/>
      <c r="K7" s="7" t="n"/>
      <c r="L7" s="7" t="n"/>
      <c r="M7" s="7" t="n"/>
      <c r="N7" s="7" t="n"/>
      <c r="O7" s="7" t="n"/>
      <c r="P7" s="7" t="n"/>
      <c r="Q7" s="7" t="n"/>
      <c r="R7" s="7" t="n"/>
      <c r="S7" s="7" t="n"/>
      <c r="T7" s="7" t="n"/>
      <c r="U7" s="7" t="n"/>
      <c r="V7" s="7" t="n"/>
      <c r="W7" s="7" t="n"/>
      <c r="X7" s="7" t="n"/>
      <c r="Y7" s="7" t="n"/>
      <c r="Z7" s="7" t="n"/>
      <c r="AA7" s="7" t="n"/>
    </row>
    <row r="8" ht="98.5" customHeight="1" s="165">
      <c r="A8" s="71" t="inlineStr">
        <is>
          <t>Implementation-Support-Tage/Einsatz</t>
        </is>
      </c>
      <c r="B8" s="125" t="n">
        <v>10</v>
      </c>
      <c r="C8" s="69" t="n">
        <v>5</v>
      </c>
      <c r="D8" s="69" t="n">
        <v>10</v>
      </c>
      <c r="E8" s="69" t="n">
        <v>20</v>
      </c>
      <c r="F8" s="68">
        <f>E8-D8</f>
        <v/>
      </c>
      <c r="G8" s="118" t="inlineStr">
        <is>
          <t>Implementation-Support-Tage pro Kunde je Einsatz:
gering=5  (Basisschulung + Systemcheck)
normal=10 (Implementierungsbegleitung + Anwenderschulung)
stark=20  (Spez. Anforderungen, Datenbereinigung, Stammdaten-Harmonisierung)
→ Fließt über Sandbox Z.11 → Inputs Z.140 → Revenue Z.28</t>
        </is>
      </c>
      <c r="H8" s="67" t="inlineStr">
        <is>
          <t>→ Sandbox → Inputs</t>
        </is>
      </c>
      <c r="I8" s="7" t="n"/>
      <c r="J8" s="7" t="n"/>
      <c r="K8" s="7" t="n"/>
      <c r="L8" s="7" t="n"/>
      <c r="M8" s="7" t="n"/>
      <c r="N8" s="7" t="n"/>
      <c r="O8" s="7" t="n"/>
      <c r="P8" s="7" t="n"/>
      <c r="Q8" s="7" t="n"/>
      <c r="R8" s="7" t="n"/>
      <c r="S8" s="7" t="n"/>
      <c r="T8" s="7" t="n"/>
      <c r="U8" s="7" t="n"/>
      <c r="V8" s="7" t="n"/>
      <c r="W8" s="7" t="n"/>
      <c r="X8" s="7" t="n"/>
      <c r="Y8" s="7" t="n"/>
      <c r="Z8" s="7" t="n"/>
      <c r="AA8" s="7" t="n"/>
    </row>
    <row r="9" ht="117" customHeight="1" s="165">
      <c r="A9" s="122" t="inlineStr">
        <is>
          <t>Net Revenue Retention (NRR)
Umsatz von bestehenden Kunden im Vergleich zum Vorjahr – inklusive Upgrades, Downgrades und Kündigungen. Ein NRR von 110% bedeutet z.B., dass Bestandskunden dieses Jahr 10% mehr zahlen als letztes Jahr, selbst ohne einen einzigen Neukunden. Für SaaS-Startups gilt ein NRR über 100% als starkes Signal für Product-Market-Fit, weil es zeigt, dass Kunden bleiben und mehr ausgeben. Benchmark im B2B-SaaS: &gt;120% ist exzellent, &gt;100% ist solide.</t>
        </is>
      </c>
      <c r="B9" s="126" t="n">
        <v>1.15</v>
      </c>
      <c r="C9" s="72" t="n">
        <v>1.8</v>
      </c>
      <c r="D9" s="72" t="n">
        <v>1.15</v>
      </c>
      <c r="E9" s="72" t="n">
        <v>1.3</v>
      </c>
      <c r="F9" s="95">
        <f>E9-D9</f>
        <v/>
      </c>
      <c r="G9" s="119" t="inlineStr">
        <is>
          <t>Treiber-Matrix: NRR szenarioabhängig machen (bisher fest 125%).
Gering=105%: Automotive, wenig Upselling-Potenzial.
Normal=115%: Hybrid, DPP-Module.
Stark=130%: Packaging, Analytics-Premium + Multi-Werk-Rollouts.</t>
        </is>
      </c>
      <c r="H9" s="96" t="inlineStr">
        <is>
          <t>→ Sandbox → Inputs</t>
        </is>
      </c>
      <c r="I9" s="7" t="n"/>
      <c r="J9" s="7" t="n"/>
      <c r="K9" s="7" t="n"/>
      <c r="L9" s="7" t="n"/>
      <c r="M9" s="7" t="n"/>
      <c r="N9" s="7" t="n"/>
      <c r="O9" s="7" t="n"/>
      <c r="P9" s="7" t="n"/>
      <c r="Q9" s="7" t="n"/>
      <c r="R9" s="7" t="n"/>
      <c r="S9" s="7" t="n"/>
      <c r="T9" s="7" t="n"/>
      <c r="U9" s="7" t="n"/>
      <c r="V9" s="7" t="n"/>
      <c r="W9" s="7" t="n"/>
      <c r="X9" s="7" t="n"/>
      <c r="Y9" s="7" t="n"/>
      <c r="Z9" s="7" t="n"/>
      <c r="AA9" s="7" t="n"/>
    </row>
    <row r="10" ht="83" customHeight="1" s="165">
      <c r="A10" s="71" t="inlineStr">
        <is>
          <t>Jährliche Churn Rate</t>
        </is>
      </c>
      <c r="B10" s="127" t="n">
        <v>0.06</v>
      </c>
      <c r="C10" s="72" t="n">
        <v>0.1</v>
      </c>
      <c r="D10" s="72" t="n">
        <v>0.06</v>
      </c>
      <c r="E10" s="72" t="n">
        <v>0.03</v>
      </c>
      <c r="F10" s="95">
        <f>E10-D10</f>
        <v/>
      </c>
      <c r="G10" s="119" t="inlineStr">
        <is>
          <t>Treiber-Matrix: Churn szenarioabhängig (bisher fest 6%).
Gering=10%: Automotive-Budgetzyklen, höheres Abwanderungsrisiko.
Normal=6%: Standardwert (SaaS-Industrie).
Stark=3%: Packaging, tiefe API-Integration → hoher Switching-Cost.</t>
        </is>
      </c>
      <c r="H10" s="96" t="inlineStr">
        <is>
          <t>→ Sandbox → Inputs</t>
        </is>
      </c>
      <c r="I10" s="7" t="n"/>
      <c r="J10" s="7" t="n"/>
      <c r="K10" s="7" t="n"/>
      <c r="L10" s="7" t="n"/>
      <c r="M10" s="7" t="n"/>
      <c r="N10" s="7" t="n"/>
      <c r="O10" s="7" t="n"/>
      <c r="P10" s="7" t="n"/>
      <c r="Q10" s="7" t="n"/>
      <c r="R10" s="7" t="n"/>
      <c r="S10" s="7" t="n"/>
      <c r="T10" s="7" t="n"/>
      <c r="U10" s="7" t="n"/>
      <c r="V10" s="7" t="n"/>
      <c r="W10" s="7" t="n"/>
      <c r="X10" s="7" t="n"/>
      <c r="Y10" s="7" t="n"/>
      <c r="Z10" s="7" t="n"/>
      <c r="AA10" s="7" t="n"/>
    </row>
    <row r="11" ht="90.5" customHeight="1" s="165">
      <c r="A11" s="71" t="inlineStr">
        <is>
          <t>Implementation-Support-Startmonat</t>
        </is>
      </c>
      <c r="B11" s="126" t="n">
        <v>4</v>
      </c>
      <c r="C11" s="69" t="n">
        <v>3</v>
      </c>
      <c r="D11" s="69" t="n">
        <v>4</v>
      </c>
      <c r="E11" s="69" t="n">
        <v>6</v>
      </c>
      <c r="F11" s="95">
        <f>E11-D11</f>
        <v/>
      </c>
      <c r="G11" s="119" t="inlineStr">
        <is>
          <t>Treiber-Matrix Z.21: Implementation-Support startet als Enabler vor dem SaaS-Produkt.
Gering=Monat 3: Automotive benötigt sofort IT-Begleitung.
Stark=Monat 6: Packaging-Kunden länger Self-Service-fähig.</t>
        </is>
      </c>
      <c r="H11" s="96" t="inlineStr">
        <is>
          <t>→ Sandbox → Inputs</t>
        </is>
      </c>
      <c r="I11" s="7" t="n"/>
      <c r="J11" s="7" t="n"/>
      <c r="K11" s="7" t="n"/>
      <c r="L11" s="7" t="n"/>
      <c r="M11" s="7" t="n"/>
      <c r="N11" s="7" t="n"/>
      <c r="O11" s="7" t="n"/>
      <c r="P11" s="7" t="n"/>
      <c r="Q11" s="7" t="n"/>
      <c r="R11" s="7" t="n"/>
      <c r="S11" s="7" t="n"/>
      <c r="T11" s="7" t="n"/>
      <c r="U11" s="7" t="n"/>
      <c r="V11" s="7" t="n"/>
      <c r="W11" s="7" t="n"/>
      <c r="X11" s="7" t="n"/>
      <c r="Y11" s="7" t="n"/>
      <c r="Z11" s="7" t="n"/>
      <c r="AA11" s="7" t="n"/>
    </row>
    <row r="12" ht="14.5" customHeight="1" s="165">
      <c r="A12" s="7" t="n"/>
      <c r="B12" s="7" t="n"/>
      <c r="C12" s="7" t="n"/>
      <c r="D12" s="7" t="n"/>
      <c r="E12" s="7" t="n"/>
      <c r="F12" s="7" t="n"/>
      <c r="G12" s="120" t="n"/>
      <c r="H12" s="7" t="n"/>
      <c r="I12" s="7" t="n"/>
      <c r="J12" s="7" t="n"/>
      <c r="K12" s="7" t="n"/>
      <c r="L12" s="7" t="n"/>
      <c r="M12" s="7" t="n"/>
      <c r="N12" s="7" t="n"/>
      <c r="O12" s="7" t="n"/>
      <c r="P12" s="7" t="n"/>
      <c r="Q12" s="7" t="n"/>
      <c r="R12" s="7" t="n"/>
      <c r="S12" s="7" t="n"/>
      <c r="T12" s="7" t="n"/>
      <c r="U12" s="7" t="n"/>
      <c r="V12" s="7" t="n"/>
      <c r="W12" s="7" t="n"/>
      <c r="X12" s="7" t="n"/>
      <c r="Y12" s="7" t="n"/>
      <c r="Z12" s="7" t="n"/>
      <c r="AA12" s="7" t="n"/>
    </row>
    <row r="13" ht="14.5" customHeight="1" s="165">
      <c r="A13" s="7" t="n"/>
      <c r="B13" s="7" t="n"/>
      <c r="C13" s="7" t="n"/>
      <c r="D13" s="7" t="n"/>
      <c r="E13" s="7" t="n"/>
      <c r="F13" s="7" t="n"/>
      <c r="G13" s="120" t="n"/>
      <c r="H13" s="7" t="n"/>
      <c r="I13" s="7" t="n"/>
      <c r="J13" s="7" t="n"/>
      <c r="K13" s="7" t="n"/>
      <c r="L13" s="7" t="n"/>
      <c r="M13" s="7" t="n"/>
      <c r="N13" s="7" t="n"/>
      <c r="O13" s="7" t="n"/>
      <c r="P13" s="7" t="n"/>
      <c r="Q13" s="7" t="n"/>
      <c r="R13" s="7" t="n"/>
      <c r="S13" s="7" t="n"/>
      <c r="T13" s="7" t="n"/>
      <c r="U13" s="7" t="n"/>
      <c r="V13" s="7" t="n"/>
      <c r="W13" s="7" t="n"/>
      <c r="X13" s="7" t="n"/>
      <c r="Y13" s="7" t="n"/>
      <c r="Z13" s="7" t="n"/>
      <c r="AA13" s="7" t="n"/>
    </row>
    <row r="14" ht="14.5" customHeight="1" s="165">
      <c r="A14" s="7" t="n"/>
      <c r="B14" s="7" t="n"/>
      <c r="C14" s="7" t="n"/>
      <c r="D14" s="7" t="n"/>
      <c r="E14" s="7" t="n"/>
      <c r="F14" s="7" t="n"/>
      <c r="G14" s="120" t="n"/>
      <c r="H14" s="7" t="n"/>
      <c r="I14" s="7" t="n"/>
      <c r="J14" s="7" t="n"/>
      <c r="K14" s="7" t="n"/>
      <c r="L14" s="7" t="n"/>
      <c r="M14" s="7" t="n"/>
      <c r="N14" s="7" t="n"/>
      <c r="O14" s="7" t="n"/>
      <c r="P14" s="7" t="n"/>
      <c r="Q14" s="7" t="n"/>
      <c r="R14" s="7" t="n"/>
      <c r="S14" s="7" t="n"/>
      <c r="T14" s="7" t="n"/>
      <c r="U14" s="7" t="n"/>
      <c r="V14" s="7" t="n"/>
      <c r="W14" s="7" t="n"/>
      <c r="X14" s="7" t="n"/>
      <c r="Y14" s="7" t="n"/>
      <c r="Z14" s="7" t="n"/>
      <c r="AA14" s="7" t="n"/>
    </row>
    <row r="15" ht="14.5" customHeight="1" s="165">
      <c r="A15" s="7" t="n"/>
      <c r="B15" s="7" t="n"/>
      <c r="C15" s="7" t="n"/>
      <c r="D15" s="7" t="n"/>
      <c r="E15" s="7" t="n"/>
      <c r="F15" s="7" t="n"/>
      <c r="G15" s="120" t="n"/>
      <c r="H15" s="7" t="n"/>
      <c r="I15" s="7" t="n"/>
      <c r="J15" s="7" t="n"/>
      <c r="K15" s="7" t="n"/>
      <c r="L15" s="7" t="n"/>
      <c r="M15" s="7" t="n"/>
      <c r="N15" s="7" t="n"/>
      <c r="O15" s="7" t="n"/>
      <c r="P15" s="7" t="n"/>
      <c r="Q15" s="7" t="n"/>
      <c r="R15" s="7" t="n"/>
      <c r="S15" s="7" t="n"/>
      <c r="T15" s="7" t="n"/>
      <c r="U15" s="7" t="n"/>
      <c r="V15" s="7" t="n"/>
      <c r="W15" s="7" t="n"/>
      <c r="X15" s="7" t="n"/>
      <c r="Y15" s="7" t="n"/>
      <c r="Z15" s="7" t="n"/>
      <c r="AA15" s="7" t="n"/>
    </row>
    <row r="16" ht="14.5" customHeight="1" s="165">
      <c r="A16" s="7" t="n"/>
      <c r="B16" s="7" t="n"/>
      <c r="C16" s="7" t="n"/>
      <c r="D16" s="7" t="n"/>
      <c r="E16" s="7" t="n"/>
      <c r="F16" s="7" t="n"/>
      <c r="G16" s="120" t="n"/>
      <c r="H16" s="7" t="n"/>
      <c r="I16" s="7" t="n"/>
      <c r="J16" s="7" t="n"/>
      <c r="K16" s="7" t="n"/>
      <c r="L16" s="7" t="n"/>
      <c r="M16" s="7" t="n"/>
      <c r="N16" s="7" t="n"/>
      <c r="O16" s="7" t="n"/>
      <c r="P16" s="7" t="n"/>
      <c r="Q16" s="7" t="n"/>
      <c r="R16" s="7" t="n"/>
      <c r="S16" s="7" t="n"/>
      <c r="T16" s="7" t="n"/>
      <c r="U16" s="7" t="n"/>
      <c r="V16" s="7" t="n"/>
      <c r="W16" s="7" t="n"/>
      <c r="X16" s="7" t="n"/>
      <c r="Y16" s="7" t="n"/>
      <c r="Z16" s="7" t="n"/>
      <c r="AA16" s="7" t="n"/>
    </row>
    <row r="17" ht="14.5" customHeight="1" s="165">
      <c r="A17" s="7" t="n"/>
      <c r="B17" s="7" t="n"/>
      <c r="C17" s="7" t="n"/>
      <c r="D17" s="7" t="n"/>
      <c r="E17" s="7" t="n"/>
      <c r="F17" s="7" t="n"/>
      <c r="G17" s="120" t="n"/>
      <c r="H17" s="7" t="n"/>
      <c r="I17" s="7" t="n"/>
      <c r="J17" s="7" t="n"/>
      <c r="K17" s="7" t="n"/>
      <c r="L17" s="7" t="n"/>
      <c r="M17" s="7" t="n"/>
      <c r="N17" s="7" t="n"/>
      <c r="O17" s="7" t="n"/>
      <c r="P17" s="7" t="n"/>
      <c r="Q17" s="7" t="n"/>
      <c r="R17" s="7" t="n"/>
      <c r="S17" s="7" t="n"/>
      <c r="T17" s="7" t="n"/>
      <c r="U17" s="7" t="n"/>
      <c r="V17" s="7" t="n"/>
      <c r="W17" s="7" t="n"/>
      <c r="X17" s="7" t="n"/>
      <c r="Y17" s="7" t="n"/>
      <c r="Z17" s="7" t="n"/>
      <c r="AA17" s="7" t="n"/>
    </row>
    <row r="18" ht="14.5" customHeight="1" s="165">
      <c r="A18" s="7" t="n"/>
      <c r="B18" s="7" t="n"/>
      <c r="C18" s="7" t="n"/>
      <c r="D18" s="7" t="n"/>
      <c r="E18" s="7" t="n"/>
      <c r="F18" s="7" t="n"/>
      <c r="G18" s="120" t="n"/>
      <c r="H18" s="7" t="n"/>
      <c r="I18" s="7" t="n"/>
      <c r="J18" s="7" t="n"/>
      <c r="K18" s="7" t="n"/>
      <c r="L18" s="7" t="n"/>
      <c r="M18" s="7" t="n"/>
      <c r="N18" s="7" t="n"/>
      <c r="O18" s="7" t="n"/>
      <c r="P18" s="7" t="n"/>
      <c r="Q18" s="7" t="n"/>
      <c r="R18" s="7" t="n"/>
      <c r="S18" s="7" t="n"/>
      <c r="T18" s="7" t="n"/>
      <c r="U18" s="7" t="n"/>
      <c r="V18" s="7" t="n"/>
      <c r="W18" s="7" t="n"/>
      <c r="X18" s="7" t="n"/>
      <c r="Y18" s="7" t="n"/>
      <c r="Z18" s="7" t="n"/>
      <c r="AA18" s="7" t="n"/>
    </row>
    <row r="19" ht="14.5" customHeight="1" s="165">
      <c r="A19" s="7" t="n"/>
      <c r="B19" s="7" t="n"/>
      <c r="C19" s="7" t="n"/>
      <c r="D19" s="7" t="n"/>
      <c r="E19" s="7" t="n"/>
      <c r="F19" s="7" t="n"/>
      <c r="G19" s="120" t="n"/>
      <c r="H19" s="7" t="n"/>
      <c r="I19" s="7" t="n"/>
      <c r="J19" s="7" t="n"/>
      <c r="K19" s="7" t="n"/>
      <c r="L19" s="7" t="n"/>
      <c r="M19" s="7" t="n"/>
      <c r="N19" s="7" t="n"/>
      <c r="O19" s="7" t="n"/>
      <c r="P19" s="7" t="n"/>
      <c r="Q19" s="7" t="n"/>
      <c r="R19" s="7" t="n"/>
      <c r="S19" s="7" t="n"/>
      <c r="T19" s="7" t="n"/>
      <c r="U19" s="7" t="n"/>
      <c r="V19" s="7" t="n"/>
      <c r="W19" s="7" t="n"/>
      <c r="X19" s="7" t="n"/>
      <c r="Y19" s="7" t="n"/>
      <c r="Z19" s="7" t="n"/>
      <c r="AA19" s="7" t="n"/>
    </row>
    <row r="20" ht="14.5" customHeight="1" s="165">
      <c r="A20" s="7" t="n"/>
      <c r="B20" s="7" t="n"/>
      <c r="C20" s="7" t="n"/>
      <c r="D20" s="7" t="n"/>
      <c r="E20" s="7" t="n"/>
      <c r="F20" s="7" t="n"/>
      <c r="G20" s="120" t="n"/>
      <c r="H20" s="7" t="n"/>
      <c r="I20" s="7" t="n"/>
      <c r="J20" s="7" t="n"/>
      <c r="K20" s="7" t="n"/>
      <c r="L20" s="7" t="n"/>
      <c r="M20" s="7" t="n"/>
      <c r="N20" s="7" t="n"/>
      <c r="O20" s="7" t="n"/>
      <c r="P20" s="7" t="n"/>
      <c r="Q20" s="7" t="n"/>
      <c r="R20" s="7" t="n"/>
      <c r="S20" s="7" t="n"/>
      <c r="T20" s="7" t="n"/>
      <c r="U20" s="7" t="n"/>
      <c r="V20" s="7" t="n"/>
      <c r="W20" s="7" t="n"/>
      <c r="X20" s="7" t="n"/>
      <c r="Y20" s="7" t="n"/>
      <c r="Z20" s="7" t="n"/>
      <c r="AA20" s="7" t="n"/>
    </row>
    <row r="21" ht="14.5" customHeight="1" s="165">
      <c r="A21" s="7" t="n"/>
      <c r="B21" s="7" t="n"/>
      <c r="C21" s="7" t="n"/>
      <c r="D21" s="7" t="n"/>
      <c r="E21" s="7" t="n"/>
      <c r="F21" s="7" t="n"/>
      <c r="G21" s="120" t="n"/>
      <c r="H21" s="7" t="n"/>
      <c r="I21" s="7" t="n"/>
      <c r="J21" s="7" t="n"/>
      <c r="K21" s="7" t="n"/>
      <c r="L21" s="7" t="n"/>
      <c r="M21" s="7" t="n"/>
      <c r="N21" s="7" t="n"/>
      <c r="O21" s="7" t="n"/>
      <c r="P21" s="7" t="n"/>
      <c r="Q21" s="7" t="n"/>
      <c r="R21" s="7" t="n"/>
      <c r="S21" s="7" t="n"/>
      <c r="T21" s="7" t="n"/>
      <c r="U21" s="7" t="n"/>
      <c r="V21" s="7" t="n"/>
      <c r="W21" s="7" t="n"/>
      <c r="X21" s="7" t="n"/>
      <c r="Y21" s="7" t="n"/>
      <c r="Z21" s="7" t="n"/>
      <c r="AA21" s="7" t="n"/>
    </row>
    <row r="22" ht="14.5" customHeight="1" s="165">
      <c r="A22" s="7" t="n"/>
      <c r="B22" s="7" t="n"/>
      <c r="C22" s="7" t="n"/>
      <c r="D22" s="7" t="n"/>
      <c r="E22" s="7" t="n"/>
      <c r="F22" s="7" t="n"/>
      <c r="G22" s="120" t="n"/>
      <c r="H22" s="7" t="n"/>
      <c r="I22" s="7" t="n"/>
      <c r="J22" s="7" t="n"/>
      <c r="K22" s="7" t="n"/>
      <c r="L22" s="7" t="n"/>
      <c r="M22" s="7" t="n"/>
      <c r="N22" s="7" t="n"/>
      <c r="O22" s="7" t="n"/>
      <c r="P22" s="7" t="n"/>
      <c r="Q22" s="7" t="n"/>
      <c r="R22" s="7" t="n"/>
      <c r="S22" s="7" t="n"/>
      <c r="T22" s="7" t="n"/>
      <c r="U22" s="7" t="n"/>
      <c r="V22" s="7" t="n"/>
      <c r="W22" s="7" t="n"/>
      <c r="X22" s="7" t="n"/>
      <c r="Y22" s="7" t="n"/>
      <c r="Z22" s="7" t="n"/>
      <c r="AA22" s="7" t="n"/>
    </row>
    <row r="23" ht="14.5" customHeight="1" s="165">
      <c r="A23" s="7" t="n"/>
      <c r="B23" s="7" t="n"/>
      <c r="C23" s="7" t="n"/>
      <c r="D23" s="7" t="n"/>
      <c r="E23" s="7" t="n"/>
      <c r="F23" s="7" t="n"/>
      <c r="G23" s="120" t="n"/>
      <c r="H23" s="7" t="n"/>
      <c r="I23" s="7" t="n"/>
      <c r="J23" s="7" t="n"/>
      <c r="K23" s="7" t="n"/>
      <c r="L23" s="7" t="n"/>
      <c r="M23" s="7" t="n"/>
      <c r="N23" s="7" t="n"/>
      <c r="O23" s="7" t="n"/>
      <c r="P23" s="7" t="n"/>
      <c r="Q23" s="7" t="n"/>
      <c r="R23" s="7" t="n"/>
      <c r="S23" s="7" t="n"/>
      <c r="T23" s="7" t="n"/>
      <c r="U23" s="7" t="n"/>
      <c r="V23" s="7" t="n"/>
      <c r="W23" s="7" t="n"/>
      <c r="X23" s="7" t="n"/>
      <c r="Y23" s="7" t="n"/>
      <c r="Z23" s="7" t="n"/>
      <c r="AA23" s="7" t="n"/>
    </row>
    <row r="24" ht="14.5" customHeight="1" s="165">
      <c r="A24" s="7" t="n"/>
      <c r="B24" s="7" t="n"/>
      <c r="C24" s="7" t="n"/>
      <c r="D24" s="7" t="n"/>
      <c r="E24" s="7" t="n"/>
      <c r="F24" s="7" t="n"/>
      <c r="G24" s="120" t="n"/>
      <c r="H24" s="7" t="n"/>
      <c r="I24" s="7" t="n"/>
      <c r="J24" s="7" t="n"/>
      <c r="K24" s="7" t="n"/>
      <c r="L24" s="7" t="n"/>
      <c r="M24" s="7" t="n"/>
      <c r="N24" s="7" t="n"/>
      <c r="O24" s="7" t="n"/>
      <c r="P24" s="7" t="n"/>
      <c r="Q24" s="7" t="n"/>
      <c r="R24" s="7" t="n"/>
      <c r="S24" s="7" t="n"/>
      <c r="T24" s="7" t="n"/>
      <c r="U24" s="7" t="n"/>
      <c r="V24" s="7" t="n"/>
      <c r="W24" s="7" t="n"/>
      <c r="X24" s="7" t="n"/>
      <c r="Y24" s="7" t="n"/>
      <c r="Z24" s="7" t="n"/>
      <c r="AA24" s="7" t="n"/>
    </row>
    <row r="25" ht="14.5" customHeight="1" s="165">
      <c r="A25" s="7" t="n"/>
      <c r="B25" s="7" t="n"/>
      <c r="C25" s="7" t="n"/>
      <c r="D25" s="7" t="n"/>
      <c r="E25" s="7" t="n"/>
      <c r="F25" s="7" t="n"/>
      <c r="G25" s="120" t="n"/>
      <c r="H25" s="7" t="n"/>
      <c r="I25" s="7" t="n"/>
      <c r="J25" s="7" t="n"/>
      <c r="K25" s="7" t="n"/>
      <c r="L25" s="7" t="n"/>
      <c r="M25" s="7" t="n"/>
      <c r="N25" s="7" t="n"/>
      <c r="O25" s="7" t="n"/>
      <c r="P25" s="7" t="n"/>
      <c r="Q25" s="7" t="n"/>
      <c r="R25" s="7" t="n"/>
      <c r="S25" s="7" t="n"/>
      <c r="T25" s="7" t="n"/>
      <c r="U25" s="7" t="n"/>
      <c r="V25" s="7" t="n"/>
      <c r="W25" s="7" t="n"/>
      <c r="X25" s="7" t="n"/>
      <c r="Y25" s="7" t="n"/>
      <c r="Z25" s="7" t="n"/>
      <c r="AA25" s="7" t="n"/>
    </row>
    <row r="26" ht="14.5" customHeight="1" s="165">
      <c r="A26" s="7" t="n"/>
      <c r="B26" s="7" t="n"/>
      <c r="C26" s="7" t="n"/>
      <c r="D26" s="7" t="n"/>
      <c r="E26" s="7" t="n"/>
      <c r="F26" s="7" t="n"/>
      <c r="G26" s="120" t="n"/>
      <c r="H26" s="7" t="n"/>
      <c r="I26" s="7" t="n"/>
      <c r="J26" s="7" t="n"/>
      <c r="K26" s="7" t="n"/>
      <c r="L26" s="7" t="n"/>
      <c r="M26" s="7" t="n"/>
      <c r="N26" s="7" t="n"/>
      <c r="O26" s="7" t="n"/>
      <c r="P26" s="7" t="n"/>
      <c r="Q26" s="7" t="n"/>
      <c r="R26" s="7" t="n"/>
      <c r="S26" s="7" t="n"/>
      <c r="T26" s="7" t="n"/>
      <c r="U26" s="7" t="n"/>
      <c r="V26" s="7" t="n"/>
      <c r="W26" s="7" t="n"/>
      <c r="X26" s="7" t="n"/>
      <c r="Y26" s="7" t="n"/>
      <c r="Z26" s="7" t="n"/>
      <c r="AA26" s="7" t="n"/>
    </row>
    <row r="27" ht="14.5" customHeight="1" s="165">
      <c r="A27" s="7" t="n"/>
      <c r="B27" s="7" t="n"/>
      <c r="C27" s="7" t="n"/>
      <c r="D27" s="7" t="n"/>
      <c r="E27" s="7" t="n"/>
      <c r="F27" s="7" t="n"/>
      <c r="G27" s="120" t="n"/>
      <c r="H27" s="7" t="n"/>
      <c r="I27" s="7" t="n"/>
      <c r="J27" s="7" t="n"/>
      <c r="K27" s="7" t="n"/>
      <c r="L27" s="7" t="n"/>
      <c r="M27" s="7" t="n"/>
      <c r="N27" s="7" t="n"/>
      <c r="O27" s="7" t="n"/>
      <c r="P27" s="7" t="n"/>
      <c r="Q27" s="7" t="n"/>
      <c r="R27" s="7" t="n"/>
      <c r="S27" s="7" t="n"/>
      <c r="T27" s="7" t="n"/>
      <c r="U27" s="7" t="n"/>
      <c r="V27" s="7" t="n"/>
      <c r="W27" s="7" t="n"/>
      <c r="X27" s="7" t="n"/>
      <c r="Y27" s="7" t="n"/>
      <c r="Z27" s="7" t="n"/>
      <c r="AA27" s="7" t="n"/>
    </row>
    <row r="28" ht="14.5" customHeight="1" s="165">
      <c r="A28" s="7" t="n"/>
      <c r="B28" s="7" t="n"/>
      <c r="C28" s="7" t="n"/>
      <c r="D28" s="7" t="n"/>
      <c r="E28" s="7" t="n"/>
      <c r="F28" s="7" t="n"/>
      <c r="G28" s="120" t="n"/>
      <c r="H28" s="7" t="n"/>
      <c r="I28" s="7" t="n"/>
      <c r="J28" s="7" t="n"/>
      <c r="K28" s="7" t="n"/>
      <c r="L28" s="7" t="n"/>
      <c r="M28" s="7" t="n"/>
      <c r="N28" s="7" t="n"/>
      <c r="O28" s="7" t="n"/>
      <c r="P28" s="7" t="n"/>
      <c r="Q28" s="7" t="n"/>
      <c r="R28" s="7" t="n"/>
      <c r="S28" s="7" t="n"/>
      <c r="T28" s="7" t="n"/>
      <c r="U28" s="7" t="n"/>
      <c r="V28" s="7" t="n"/>
      <c r="W28" s="7" t="n"/>
      <c r="X28" s="7" t="n"/>
      <c r="Y28" s="7" t="n"/>
      <c r="Z28" s="7" t="n"/>
      <c r="AA28" s="7" t="n"/>
    </row>
    <row r="29" ht="14.5" customHeight="1" s="165">
      <c r="A29" s="7" t="n"/>
      <c r="B29" s="7" t="n"/>
      <c r="C29" s="7" t="n"/>
      <c r="D29" s="7" t="n"/>
      <c r="E29" s="7" t="n"/>
      <c r="F29" s="7" t="n"/>
      <c r="G29" s="120" t="n"/>
      <c r="H29" s="7" t="n"/>
      <c r="I29" s="7" t="n"/>
      <c r="J29" s="7" t="n"/>
      <c r="K29" s="7" t="n"/>
      <c r="L29" s="7" t="n"/>
      <c r="M29" s="7" t="n"/>
      <c r="N29" s="7" t="n"/>
      <c r="O29" s="7" t="n"/>
      <c r="P29" s="7" t="n"/>
      <c r="Q29" s="7" t="n"/>
      <c r="R29" s="7" t="n"/>
      <c r="S29" s="7" t="n"/>
      <c r="T29" s="7" t="n"/>
      <c r="U29" s="7" t="n"/>
      <c r="V29" s="7" t="n"/>
      <c r="W29" s="7" t="n"/>
      <c r="X29" s="7" t="n"/>
      <c r="Y29" s="7" t="n"/>
      <c r="Z29" s="7" t="n"/>
      <c r="AA29" s="7" t="n"/>
    </row>
    <row r="30" ht="14.5" customHeight="1" s="165">
      <c r="A30" s="7" t="n"/>
      <c r="B30" s="7" t="n"/>
      <c r="C30" s="7" t="n"/>
      <c r="D30" s="7" t="n"/>
      <c r="E30" s="7" t="n"/>
      <c r="F30" s="7" t="n"/>
      <c r="G30" s="120" t="n"/>
      <c r="H30" s="7" t="n"/>
      <c r="I30" s="7" t="n"/>
      <c r="J30" s="7" t="n"/>
      <c r="K30" s="7" t="n"/>
      <c r="L30" s="7" t="n"/>
      <c r="M30" s="7" t="n"/>
      <c r="N30" s="7" t="n"/>
      <c r="O30" s="7" t="n"/>
      <c r="P30" s="7" t="n"/>
      <c r="Q30" s="7" t="n"/>
      <c r="R30" s="7" t="n"/>
      <c r="S30" s="7" t="n"/>
      <c r="T30" s="7" t="n"/>
      <c r="U30" s="7" t="n"/>
      <c r="V30" s="7" t="n"/>
      <c r="W30" s="7" t="n"/>
      <c r="X30" s="7" t="n"/>
      <c r="Y30" s="7" t="n"/>
      <c r="Z30" s="7" t="n"/>
      <c r="AA30" s="7" t="n"/>
    </row>
    <row r="31" ht="14.5" customHeight="1" s="165">
      <c r="A31" s="7" t="n"/>
      <c r="B31" s="7" t="n"/>
      <c r="C31" s="7" t="n"/>
      <c r="D31" s="7" t="n"/>
      <c r="E31" s="7" t="n"/>
      <c r="F31" s="7" t="n"/>
      <c r="G31" s="120" t="n"/>
      <c r="H31" s="7" t="n"/>
      <c r="I31" s="7" t="n"/>
      <c r="J31" s="7" t="n"/>
      <c r="K31" s="7" t="n"/>
      <c r="L31" s="7" t="n"/>
      <c r="M31" s="7" t="n"/>
      <c r="N31" s="7" t="n"/>
      <c r="O31" s="7" t="n"/>
      <c r="P31" s="7" t="n"/>
      <c r="Q31" s="7" t="n"/>
      <c r="R31" s="7" t="n"/>
      <c r="S31" s="7" t="n"/>
      <c r="T31" s="7" t="n"/>
      <c r="U31" s="7" t="n"/>
      <c r="V31" s="7" t="n"/>
      <c r="W31" s="7" t="n"/>
      <c r="X31" s="7" t="n"/>
      <c r="Y31" s="7" t="n"/>
      <c r="Z31" s="7" t="n"/>
      <c r="AA31" s="7" t="n"/>
    </row>
    <row r="32" ht="14.5" customHeight="1" s="165">
      <c r="A32" s="7" t="n"/>
      <c r="B32" s="7" t="n"/>
      <c r="C32" s="7" t="n"/>
      <c r="D32" s="7" t="n"/>
      <c r="E32" s="7" t="n"/>
      <c r="F32" s="7" t="n"/>
      <c r="G32" s="120" t="n"/>
      <c r="H32" s="7" t="n"/>
      <c r="I32" s="7" t="n"/>
      <c r="J32" s="7" t="n"/>
      <c r="K32" s="7" t="n"/>
      <c r="L32" s="7" t="n"/>
      <c r="M32" s="7" t="n"/>
      <c r="N32" s="7" t="n"/>
      <c r="O32" s="7" t="n"/>
      <c r="P32" s="7" t="n"/>
      <c r="Q32" s="7" t="n"/>
      <c r="R32" s="7" t="n"/>
      <c r="S32" s="7" t="n"/>
      <c r="T32" s="7" t="n"/>
      <c r="U32" s="7" t="n"/>
      <c r="V32" s="7" t="n"/>
      <c r="W32" s="7" t="n"/>
      <c r="X32" s="7" t="n"/>
      <c r="Y32" s="7" t="n"/>
      <c r="Z32" s="7" t="n"/>
      <c r="AA32" s="7" t="n"/>
    </row>
    <row r="33" ht="14.5" customHeight="1" s="165">
      <c r="A33" s="7" t="n"/>
      <c r="B33" s="7" t="n"/>
      <c r="C33" s="7" t="n"/>
      <c r="D33" s="7" t="n"/>
      <c r="E33" s="7" t="n"/>
      <c r="F33" s="7" t="n"/>
      <c r="G33" s="120" t="n"/>
      <c r="H33" s="7" t="n"/>
      <c r="I33" s="7" t="n"/>
      <c r="J33" s="7" t="n"/>
      <c r="K33" s="7" t="n"/>
      <c r="L33" s="7" t="n"/>
      <c r="M33" s="7" t="n"/>
      <c r="N33" s="7" t="n"/>
      <c r="O33" s="7" t="n"/>
      <c r="P33" s="7" t="n"/>
      <c r="Q33" s="7" t="n"/>
      <c r="R33" s="7" t="n"/>
      <c r="S33" s="7" t="n"/>
      <c r="T33" s="7" t="n"/>
      <c r="U33" s="7" t="n"/>
      <c r="V33" s="7" t="n"/>
      <c r="W33" s="7" t="n"/>
      <c r="X33" s="7" t="n"/>
      <c r="Y33" s="7" t="n"/>
      <c r="Z33" s="7" t="n"/>
      <c r="AA33" s="7" t="n"/>
    </row>
    <row r="34" ht="14.5" customHeight="1" s="165">
      <c r="A34" s="7" t="n"/>
      <c r="B34" s="7" t="n"/>
      <c r="C34" s="7" t="n"/>
      <c r="D34" s="7" t="n"/>
      <c r="E34" s="7" t="n"/>
      <c r="F34" s="7" t="n"/>
      <c r="G34" s="120" t="n"/>
      <c r="H34" s="7" t="n"/>
      <c r="I34" s="7" t="n"/>
      <c r="J34" s="7" t="n"/>
      <c r="K34" s="7" t="n"/>
      <c r="L34" s="7" t="n"/>
      <c r="M34" s="7" t="n"/>
      <c r="N34" s="7" t="n"/>
      <c r="O34" s="7" t="n"/>
      <c r="P34" s="7" t="n"/>
      <c r="Q34" s="7" t="n"/>
      <c r="R34" s="7" t="n"/>
      <c r="S34" s="7" t="n"/>
      <c r="T34" s="7" t="n"/>
      <c r="U34" s="7" t="n"/>
      <c r="V34" s="7" t="n"/>
      <c r="W34" s="7" t="n"/>
      <c r="X34" s="7" t="n"/>
      <c r="Y34" s="7" t="n"/>
      <c r="Z34" s="7" t="n"/>
      <c r="AA34" s="7" t="n"/>
    </row>
    <row r="35" ht="14.5" customHeight="1" s="165">
      <c r="A35" s="7" t="n"/>
      <c r="B35" s="7" t="n"/>
      <c r="C35" s="7" t="n"/>
      <c r="D35" s="7" t="n"/>
      <c r="E35" s="7" t="n"/>
      <c r="F35" s="7" t="n"/>
      <c r="G35" s="120" t="n"/>
      <c r="H35" s="7" t="n"/>
      <c r="I35" s="7" t="n"/>
      <c r="J35" s="7" t="n"/>
      <c r="K35" s="7" t="n"/>
      <c r="L35" s="7" t="n"/>
      <c r="M35" s="7" t="n"/>
      <c r="N35" s="7" t="n"/>
      <c r="O35" s="7" t="n"/>
      <c r="P35" s="7" t="n"/>
      <c r="Q35" s="7" t="n"/>
      <c r="R35" s="7" t="n"/>
      <c r="S35" s="7" t="n"/>
      <c r="T35" s="7" t="n"/>
      <c r="U35" s="7" t="n"/>
      <c r="V35" s="7" t="n"/>
      <c r="W35" s="7" t="n"/>
      <c r="X35" s="7" t="n"/>
      <c r="Y35" s="7" t="n"/>
      <c r="Z35" s="7" t="n"/>
      <c r="AA35" s="7" t="n"/>
    </row>
    <row r="36" ht="14.5" customHeight="1" s="165">
      <c r="A36" s="7" t="n"/>
      <c r="B36" s="7" t="n"/>
      <c r="C36" s="7" t="n"/>
      <c r="D36" s="7" t="n"/>
      <c r="E36" s="7" t="n"/>
      <c r="F36" s="7" t="n"/>
      <c r="G36" s="120" t="n"/>
      <c r="H36" s="7" t="n"/>
      <c r="I36" s="7" t="n"/>
      <c r="J36" s="7" t="n"/>
      <c r="K36" s="7" t="n"/>
      <c r="L36" s="7" t="n"/>
      <c r="M36" s="7" t="n"/>
      <c r="N36" s="7" t="n"/>
      <c r="O36" s="7" t="n"/>
      <c r="P36" s="7" t="n"/>
      <c r="Q36" s="7" t="n"/>
      <c r="R36" s="7" t="n"/>
      <c r="S36" s="7" t="n"/>
      <c r="T36" s="7" t="n"/>
      <c r="U36" s="7" t="n"/>
      <c r="V36" s="7" t="n"/>
      <c r="W36" s="7" t="n"/>
      <c r="X36" s="7" t="n"/>
      <c r="Y36" s="7" t="n"/>
      <c r="Z36" s="7" t="n"/>
      <c r="AA36" s="7" t="n"/>
    </row>
    <row r="37" ht="14.5" customHeight="1" s="165">
      <c r="A37" s="7" t="n"/>
      <c r="B37" s="7" t="n"/>
      <c r="C37" s="7" t="n"/>
      <c r="D37" s="7" t="n"/>
      <c r="E37" s="7" t="n"/>
      <c r="F37" s="7" t="n"/>
      <c r="G37" s="120" t="n"/>
      <c r="H37" s="7" t="n"/>
      <c r="I37" s="7" t="n"/>
      <c r="J37" s="7" t="n"/>
      <c r="K37" s="7" t="n"/>
      <c r="L37" s="7" t="n"/>
      <c r="M37" s="7" t="n"/>
      <c r="N37" s="7" t="n"/>
      <c r="O37" s="7" t="n"/>
      <c r="P37" s="7" t="n"/>
      <c r="Q37" s="7" t="n"/>
      <c r="R37" s="7" t="n"/>
      <c r="S37" s="7" t="n"/>
      <c r="T37" s="7" t="n"/>
      <c r="U37" s="7" t="n"/>
      <c r="V37" s="7" t="n"/>
      <c r="W37" s="7" t="n"/>
      <c r="X37" s="7" t="n"/>
      <c r="Y37" s="7" t="n"/>
      <c r="Z37" s="7" t="n"/>
      <c r="AA37" s="7" t="n"/>
    </row>
    <row r="38" ht="14.5" customHeight="1" s="165">
      <c r="A38" s="7" t="n"/>
      <c r="B38" s="7" t="n"/>
      <c r="C38" s="7" t="n"/>
      <c r="D38" s="7" t="n"/>
      <c r="E38" s="7" t="n"/>
      <c r="F38" s="7" t="n"/>
      <c r="G38" s="120" t="n"/>
      <c r="H38" s="7" t="n"/>
      <c r="I38" s="7" t="n"/>
      <c r="J38" s="7" t="n"/>
      <c r="K38" s="7" t="n"/>
      <c r="L38" s="7" t="n"/>
      <c r="M38" s="7" t="n"/>
      <c r="N38" s="7" t="n"/>
      <c r="O38" s="7" t="n"/>
      <c r="P38" s="7" t="n"/>
      <c r="Q38" s="7" t="n"/>
      <c r="R38" s="7" t="n"/>
      <c r="S38" s="7" t="n"/>
      <c r="T38" s="7" t="n"/>
      <c r="U38" s="7" t="n"/>
      <c r="V38" s="7" t="n"/>
      <c r="W38" s="7" t="n"/>
      <c r="X38" s="7" t="n"/>
      <c r="Y38" s="7" t="n"/>
      <c r="Z38" s="7" t="n"/>
      <c r="AA38" s="7" t="n"/>
    </row>
    <row r="39" ht="14.5" customHeight="1" s="165">
      <c r="A39" s="7" t="n"/>
      <c r="B39" s="7" t="n"/>
      <c r="C39" s="7" t="n"/>
      <c r="D39" s="7" t="n"/>
      <c r="E39" s="7" t="n"/>
      <c r="F39" s="7" t="n"/>
      <c r="G39" s="120" t="n"/>
      <c r="H39" s="7" t="n"/>
      <c r="I39" s="7" t="n"/>
      <c r="J39" s="7" t="n"/>
      <c r="K39" s="7" t="n"/>
      <c r="L39" s="7" t="n"/>
      <c r="M39" s="7" t="n"/>
      <c r="N39" s="7" t="n"/>
      <c r="O39" s="7" t="n"/>
      <c r="P39" s="7" t="n"/>
      <c r="Q39" s="7" t="n"/>
      <c r="R39" s="7" t="n"/>
      <c r="S39" s="7" t="n"/>
      <c r="T39" s="7" t="n"/>
      <c r="U39" s="7" t="n"/>
      <c r="V39" s="7" t="n"/>
      <c r="W39" s="7" t="n"/>
      <c r="X39" s="7" t="n"/>
      <c r="Y39" s="7" t="n"/>
      <c r="Z39" s="7" t="n"/>
      <c r="AA39" s="7" t="n"/>
    </row>
    <row r="40" ht="14.5" customHeight="1" s="165">
      <c r="A40" s="7" t="n"/>
      <c r="B40" s="7" t="n"/>
      <c r="C40" s="7" t="n"/>
      <c r="D40" s="7" t="n"/>
      <c r="E40" s="7" t="n"/>
      <c r="F40" s="7" t="n"/>
      <c r="G40" s="120" t="n"/>
      <c r="H40" s="7" t="n"/>
      <c r="I40" s="7" t="n"/>
      <c r="J40" s="7" t="n"/>
      <c r="K40" s="7" t="n"/>
      <c r="L40" s="7" t="n"/>
      <c r="M40" s="7" t="n"/>
      <c r="N40" s="7" t="n"/>
      <c r="O40" s="7" t="n"/>
      <c r="P40" s="7" t="n"/>
      <c r="Q40" s="7" t="n"/>
      <c r="R40" s="7" t="n"/>
      <c r="S40" s="7" t="n"/>
      <c r="T40" s="7" t="n"/>
      <c r="U40" s="7" t="n"/>
      <c r="V40" s="7" t="n"/>
      <c r="W40" s="7" t="n"/>
      <c r="X40" s="7" t="n"/>
      <c r="Y40" s="7" t="n"/>
      <c r="Z40" s="7" t="n"/>
      <c r="AA40" s="7" t="n"/>
    </row>
    <row r="41" ht="14.5" customHeight="1" s="165">
      <c r="A41" s="7" t="n"/>
      <c r="B41" s="7" t="n"/>
      <c r="C41" s="7" t="n"/>
      <c r="D41" s="7" t="n"/>
      <c r="E41" s="7" t="n"/>
      <c r="F41" s="7" t="n"/>
      <c r="G41" s="120" t="n"/>
      <c r="H41" s="7" t="n"/>
      <c r="I41" s="7" t="n"/>
      <c r="J41" s="7" t="n"/>
      <c r="K41" s="7" t="n"/>
      <c r="L41" s="7" t="n"/>
      <c r="M41" s="7" t="n"/>
      <c r="N41" s="7" t="n"/>
      <c r="O41" s="7" t="n"/>
      <c r="P41" s="7" t="n"/>
      <c r="Q41" s="7" t="n"/>
      <c r="R41" s="7" t="n"/>
      <c r="S41" s="7" t="n"/>
      <c r="T41" s="7" t="n"/>
      <c r="U41" s="7" t="n"/>
      <c r="V41" s="7" t="n"/>
      <c r="W41" s="7" t="n"/>
      <c r="X41" s="7" t="n"/>
      <c r="Y41" s="7" t="n"/>
      <c r="Z41" s="7" t="n"/>
      <c r="AA41" s="7" t="n"/>
    </row>
    <row r="42" ht="14.5" customHeight="1" s="165">
      <c r="A42" s="7" t="n"/>
      <c r="B42" s="7" t="n"/>
      <c r="C42" s="7" t="n"/>
      <c r="D42" s="7" t="n"/>
      <c r="E42" s="7" t="n"/>
      <c r="F42" s="7" t="n"/>
      <c r="G42" s="120" t="n"/>
      <c r="H42" s="7" t="n"/>
      <c r="I42" s="7" t="n"/>
      <c r="J42" s="7" t="n"/>
      <c r="K42" s="7" t="n"/>
      <c r="L42" s="7" t="n"/>
      <c r="M42" s="7" t="n"/>
      <c r="N42" s="7" t="n"/>
      <c r="O42" s="7" t="n"/>
      <c r="P42" s="7" t="n"/>
      <c r="Q42" s="7" t="n"/>
      <c r="R42" s="7" t="n"/>
      <c r="S42" s="7" t="n"/>
      <c r="T42" s="7" t="n"/>
      <c r="U42" s="7" t="n"/>
      <c r="V42" s="7" t="n"/>
      <c r="W42" s="7" t="n"/>
      <c r="X42" s="7" t="n"/>
      <c r="Y42" s="7" t="n"/>
      <c r="Z42" s="7" t="n"/>
      <c r="AA42" s="7" t="n"/>
    </row>
    <row r="43" ht="14.5" customHeight="1" s="165">
      <c r="A43" s="7" t="n"/>
      <c r="B43" s="7" t="n"/>
      <c r="C43" s="7" t="n"/>
      <c r="D43" s="7" t="n"/>
      <c r="E43" s="7" t="n"/>
      <c r="F43" s="7" t="n"/>
      <c r="G43" s="120" t="n"/>
      <c r="H43" s="7" t="n"/>
      <c r="I43" s="7" t="n"/>
      <c r="J43" s="7" t="n"/>
      <c r="K43" s="7" t="n"/>
      <c r="L43" s="7" t="n"/>
      <c r="M43" s="7" t="n"/>
      <c r="N43" s="7" t="n"/>
      <c r="O43" s="7" t="n"/>
      <c r="P43" s="7" t="n"/>
      <c r="Q43" s="7" t="n"/>
      <c r="R43" s="7" t="n"/>
      <c r="S43" s="7" t="n"/>
      <c r="T43" s="7" t="n"/>
      <c r="U43" s="7" t="n"/>
      <c r="V43" s="7" t="n"/>
      <c r="W43" s="7" t="n"/>
      <c r="X43" s="7" t="n"/>
      <c r="Y43" s="7" t="n"/>
      <c r="Z43" s="7" t="n"/>
      <c r="AA43" s="7" t="n"/>
    </row>
    <row r="44" ht="14.5" customHeight="1" s="165">
      <c r="A44" s="7" t="n"/>
      <c r="B44" s="7" t="n"/>
      <c r="C44" s="7" t="n"/>
      <c r="D44" s="7" t="n"/>
      <c r="E44" s="7" t="n"/>
      <c r="F44" s="7" t="n"/>
      <c r="G44" s="120" t="n"/>
      <c r="H44" s="7" t="n"/>
      <c r="I44" s="7" t="n"/>
      <c r="J44" s="7" t="n"/>
      <c r="K44" s="7" t="n"/>
      <c r="L44" s="7" t="n"/>
      <c r="M44" s="7" t="n"/>
      <c r="N44" s="7" t="n"/>
      <c r="O44" s="7" t="n"/>
      <c r="P44" s="7" t="n"/>
      <c r="Q44" s="7" t="n"/>
      <c r="R44" s="7" t="n"/>
      <c r="S44" s="7" t="n"/>
      <c r="T44" s="7" t="n"/>
      <c r="U44" s="7" t="n"/>
      <c r="V44" s="7" t="n"/>
      <c r="W44" s="7" t="n"/>
      <c r="X44" s="7" t="n"/>
      <c r="Y44" s="7" t="n"/>
      <c r="Z44" s="7" t="n"/>
      <c r="AA44" s="7" t="n"/>
    </row>
    <row r="45" ht="14.5" customHeight="1" s="165">
      <c r="A45" s="7" t="n"/>
      <c r="B45" s="7" t="n"/>
      <c r="C45" s="7" t="n"/>
      <c r="D45" s="7" t="n"/>
      <c r="E45" s="7" t="n"/>
      <c r="F45" s="7" t="n"/>
      <c r="G45" s="120" t="n"/>
      <c r="H45" s="7" t="n"/>
      <c r="I45" s="7" t="n"/>
      <c r="J45" s="7" t="n"/>
      <c r="K45" s="7" t="n"/>
      <c r="L45" s="7" t="n"/>
      <c r="M45" s="7" t="n"/>
      <c r="N45" s="7" t="n"/>
      <c r="O45" s="7" t="n"/>
      <c r="P45" s="7" t="n"/>
      <c r="Q45" s="7" t="n"/>
      <c r="R45" s="7" t="n"/>
      <c r="S45" s="7" t="n"/>
      <c r="T45" s="7" t="n"/>
      <c r="U45" s="7" t="n"/>
      <c r="V45" s="7" t="n"/>
      <c r="W45" s="7" t="n"/>
      <c r="X45" s="7" t="n"/>
      <c r="Y45" s="7" t="n"/>
      <c r="Z45" s="7" t="n"/>
      <c r="AA45" s="7" t="n"/>
    </row>
    <row r="46" ht="14.5" customHeight="1" s="165">
      <c r="A46" s="7" t="n"/>
      <c r="B46" s="7" t="n"/>
      <c r="C46" s="7" t="n"/>
      <c r="D46" s="7" t="n"/>
      <c r="E46" s="7" t="n"/>
      <c r="F46" s="7" t="n"/>
      <c r="G46" s="120" t="n"/>
      <c r="H46" s="7" t="n"/>
      <c r="I46" s="7" t="n"/>
      <c r="J46" s="7" t="n"/>
      <c r="K46" s="7" t="n"/>
      <c r="L46" s="7" t="n"/>
      <c r="M46" s="7" t="n"/>
      <c r="N46" s="7" t="n"/>
      <c r="O46" s="7" t="n"/>
      <c r="P46" s="7" t="n"/>
      <c r="Q46" s="7" t="n"/>
      <c r="R46" s="7" t="n"/>
      <c r="S46" s="7" t="n"/>
      <c r="T46" s="7" t="n"/>
      <c r="U46" s="7" t="n"/>
      <c r="V46" s="7" t="n"/>
      <c r="W46" s="7" t="n"/>
      <c r="X46" s="7" t="n"/>
      <c r="Y46" s="7" t="n"/>
      <c r="Z46" s="7" t="n"/>
      <c r="AA46" s="7" t="n"/>
    </row>
    <row r="47" ht="14.5" customHeight="1" s="165">
      <c r="A47" s="7" t="n"/>
      <c r="B47" s="7" t="n"/>
      <c r="C47" s="7" t="n"/>
      <c r="D47" s="7" t="n"/>
      <c r="E47" s="7" t="n"/>
      <c r="F47" s="7" t="n"/>
      <c r="G47" s="120" t="n"/>
      <c r="H47" s="7" t="n"/>
      <c r="I47" s="7" t="n"/>
      <c r="J47" s="7" t="n"/>
      <c r="K47" s="7" t="n"/>
      <c r="L47" s="7" t="n"/>
      <c r="M47" s="7" t="n"/>
      <c r="N47" s="7" t="n"/>
      <c r="O47" s="7" t="n"/>
      <c r="P47" s="7" t="n"/>
      <c r="Q47" s="7" t="n"/>
      <c r="R47" s="7" t="n"/>
      <c r="S47" s="7" t="n"/>
      <c r="T47" s="7" t="n"/>
      <c r="U47" s="7" t="n"/>
      <c r="V47" s="7" t="n"/>
      <c r="W47" s="7" t="n"/>
      <c r="X47" s="7" t="n"/>
      <c r="Y47" s="7" t="n"/>
      <c r="Z47" s="7" t="n"/>
      <c r="AA47" s="7" t="n"/>
    </row>
    <row r="48" ht="14.5" customHeight="1" s="165">
      <c r="A48" s="7" t="n"/>
      <c r="B48" s="7" t="n"/>
      <c r="C48" s="7" t="n"/>
      <c r="D48" s="7" t="n"/>
      <c r="E48" s="7" t="n"/>
      <c r="F48" s="7" t="n"/>
      <c r="G48" s="120" t="n"/>
      <c r="H48" s="7" t="n"/>
      <c r="I48" s="7" t="n"/>
      <c r="J48" s="7" t="n"/>
      <c r="K48" s="7" t="n"/>
      <c r="L48" s="7" t="n"/>
      <c r="M48" s="7" t="n"/>
      <c r="N48" s="7" t="n"/>
      <c r="O48" s="7" t="n"/>
      <c r="P48" s="7" t="n"/>
      <c r="Q48" s="7" t="n"/>
      <c r="R48" s="7" t="n"/>
      <c r="S48" s="7" t="n"/>
      <c r="T48" s="7" t="n"/>
      <c r="U48" s="7" t="n"/>
      <c r="V48" s="7" t="n"/>
      <c r="W48" s="7" t="n"/>
      <c r="X48" s="7" t="n"/>
      <c r="Y48" s="7" t="n"/>
      <c r="Z48" s="7" t="n"/>
      <c r="AA48" s="7" t="n"/>
    </row>
    <row r="49" ht="14.5" customHeight="1" s="165">
      <c r="A49" s="7" t="n"/>
      <c r="B49" s="7" t="n"/>
      <c r="C49" s="7" t="n"/>
      <c r="D49" s="7" t="n"/>
      <c r="E49" s="7" t="n"/>
      <c r="F49" s="7" t="n"/>
      <c r="G49" s="120" t="n"/>
      <c r="H49" s="7" t="n"/>
      <c r="I49" s="7" t="n"/>
      <c r="J49" s="7" t="n"/>
      <c r="K49" s="7" t="n"/>
      <c r="L49" s="7" t="n"/>
      <c r="M49" s="7" t="n"/>
      <c r="N49" s="7" t="n"/>
      <c r="O49" s="7" t="n"/>
      <c r="P49" s="7" t="n"/>
      <c r="Q49" s="7" t="n"/>
      <c r="R49" s="7" t="n"/>
      <c r="S49" s="7" t="n"/>
      <c r="T49" s="7" t="n"/>
      <c r="U49" s="7" t="n"/>
      <c r="V49" s="7" t="n"/>
      <c r="W49" s="7" t="n"/>
      <c r="X49" s="7" t="n"/>
      <c r="Y49" s="7" t="n"/>
      <c r="Z49" s="7" t="n"/>
      <c r="AA49" s="7" t="n"/>
    </row>
    <row r="50" ht="14.5" customHeight="1" s="165">
      <c r="A50" s="7" t="n"/>
      <c r="B50" s="7" t="n"/>
      <c r="C50" s="7" t="n"/>
      <c r="D50" s="7" t="n"/>
      <c r="E50" s="7" t="n"/>
      <c r="F50" s="7" t="n"/>
      <c r="G50" s="120" t="n"/>
      <c r="H50" s="7" t="n"/>
      <c r="I50" s="7" t="n"/>
      <c r="J50" s="7" t="n"/>
      <c r="K50" s="7" t="n"/>
      <c r="L50" s="7" t="n"/>
      <c r="M50" s="7" t="n"/>
      <c r="N50" s="7" t="n"/>
      <c r="O50" s="7" t="n"/>
      <c r="P50" s="7" t="n"/>
      <c r="Q50" s="7" t="n"/>
      <c r="R50" s="7" t="n"/>
      <c r="S50" s="7" t="n"/>
      <c r="T50" s="7" t="n"/>
      <c r="U50" s="7" t="n"/>
      <c r="V50" s="7" t="n"/>
      <c r="W50" s="7" t="n"/>
      <c r="X50" s="7" t="n"/>
      <c r="Y50" s="7" t="n"/>
      <c r="Z50" s="7" t="n"/>
      <c r="AA50" s="7" t="n"/>
    </row>
    <row r="51" ht="14.5" customHeight="1" s="165">
      <c r="A51" s="7" t="n"/>
      <c r="B51" s="7" t="n"/>
      <c r="C51" s="7" t="n"/>
      <c r="D51" s="7" t="n"/>
      <c r="E51" s="7" t="n"/>
      <c r="F51" s="7" t="n"/>
      <c r="G51" s="120" t="n"/>
      <c r="H51" s="7" t="n"/>
      <c r="I51" s="7" t="n"/>
      <c r="J51" s="7" t="n"/>
      <c r="K51" s="7" t="n"/>
      <c r="L51" s="7" t="n"/>
      <c r="M51" s="7" t="n"/>
      <c r="N51" s="7" t="n"/>
      <c r="O51" s="7" t="n"/>
      <c r="P51" s="7" t="n"/>
      <c r="Q51" s="7" t="n"/>
      <c r="R51" s="7" t="n"/>
      <c r="S51" s="7" t="n"/>
      <c r="T51" s="7" t="n"/>
      <c r="U51" s="7" t="n"/>
      <c r="V51" s="7" t="n"/>
      <c r="W51" s="7" t="n"/>
      <c r="X51" s="7" t="n"/>
      <c r="Y51" s="7" t="n"/>
      <c r="Z51" s="7" t="n"/>
      <c r="AA51" s="7" t="n"/>
    </row>
    <row r="52" ht="14.5" customHeight="1" s="165">
      <c r="A52" s="7" t="n"/>
      <c r="B52" s="7" t="n"/>
      <c r="C52" s="7" t="n"/>
      <c r="D52" s="7" t="n"/>
      <c r="E52" s="7" t="n"/>
      <c r="F52" s="7" t="n"/>
      <c r="G52" s="120" t="n"/>
      <c r="H52" s="7" t="n"/>
      <c r="I52" s="7" t="n"/>
      <c r="J52" s="7" t="n"/>
      <c r="K52" s="7" t="n"/>
      <c r="L52" s="7" t="n"/>
      <c r="M52" s="7" t="n"/>
      <c r="N52" s="7" t="n"/>
      <c r="O52" s="7" t="n"/>
      <c r="P52" s="7" t="n"/>
      <c r="Q52" s="7" t="n"/>
      <c r="R52" s="7" t="n"/>
      <c r="S52" s="7" t="n"/>
      <c r="T52" s="7" t="n"/>
      <c r="U52" s="7" t="n"/>
      <c r="V52" s="7" t="n"/>
      <c r="W52" s="7" t="n"/>
      <c r="X52" s="7" t="n"/>
      <c r="Y52" s="7" t="n"/>
      <c r="Z52" s="7" t="n"/>
      <c r="AA52" s="7" t="n"/>
    </row>
    <row r="53" ht="14.5" customHeight="1" s="165">
      <c r="A53" s="7" t="n"/>
      <c r="B53" s="7" t="n"/>
      <c r="C53" s="7" t="n"/>
      <c r="D53" s="7" t="n"/>
      <c r="E53" s="7" t="n"/>
      <c r="F53" s="7" t="n"/>
      <c r="G53" s="120" t="n"/>
      <c r="H53" s="7" t="n"/>
      <c r="I53" s="7" t="n"/>
      <c r="J53" s="7" t="n"/>
      <c r="K53" s="7" t="n"/>
      <c r="L53" s="7" t="n"/>
      <c r="M53" s="7" t="n"/>
      <c r="N53" s="7" t="n"/>
      <c r="O53" s="7" t="n"/>
      <c r="P53" s="7" t="n"/>
      <c r="Q53" s="7" t="n"/>
      <c r="R53" s="7" t="n"/>
      <c r="S53" s="7" t="n"/>
      <c r="T53" s="7" t="n"/>
      <c r="U53" s="7" t="n"/>
      <c r="V53" s="7" t="n"/>
      <c r="W53" s="7" t="n"/>
      <c r="X53" s="7" t="n"/>
      <c r="Y53" s="7" t="n"/>
      <c r="Z53" s="7" t="n"/>
      <c r="AA53" s="7" t="n"/>
    </row>
    <row r="54" ht="14.5" customHeight="1" s="165">
      <c r="A54" s="7" t="n"/>
      <c r="B54" s="7" t="n"/>
      <c r="C54" s="7" t="n"/>
      <c r="D54" s="7" t="n"/>
      <c r="E54" s="7" t="n"/>
      <c r="F54" s="7" t="n"/>
      <c r="G54" s="120" t="n"/>
      <c r="H54" s="7" t="n"/>
      <c r="I54" s="7" t="n"/>
      <c r="J54" s="7" t="n"/>
      <c r="K54" s="7" t="n"/>
      <c r="L54" s="7" t="n"/>
      <c r="M54" s="7" t="n"/>
      <c r="N54" s="7" t="n"/>
      <c r="O54" s="7" t="n"/>
      <c r="P54" s="7" t="n"/>
      <c r="Q54" s="7" t="n"/>
      <c r="R54" s="7" t="n"/>
      <c r="S54" s="7" t="n"/>
      <c r="T54" s="7" t="n"/>
      <c r="U54" s="7" t="n"/>
      <c r="V54" s="7" t="n"/>
      <c r="W54" s="7" t="n"/>
      <c r="X54" s="7" t="n"/>
      <c r="Y54" s="7" t="n"/>
      <c r="Z54" s="7" t="n"/>
      <c r="AA54" s="7" t="n"/>
    </row>
    <row r="55" ht="14.5" customHeight="1" s="165">
      <c r="A55" s="7" t="n"/>
      <c r="B55" s="7" t="n"/>
      <c r="C55" s="7" t="n"/>
      <c r="D55" s="7" t="n"/>
      <c r="E55" s="7" t="n"/>
      <c r="F55" s="7" t="n"/>
      <c r="G55" s="120" t="n"/>
      <c r="H55" s="7" t="n"/>
      <c r="I55" s="7" t="n"/>
      <c r="J55" s="7" t="n"/>
      <c r="K55" s="7" t="n"/>
      <c r="L55" s="7" t="n"/>
      <c r="M55" s="7" t="n"/>
      <c r="N55" s="7" t="n"/>
      <c r="O55" s="7" t="n"/>
      <c r="P55" s="7" t="n"/>
      <c r="Q55" s="7" t="n"/>
      <c r="R55" s="7" t="n"/>
      <c r="S55" s="7" t="n"/>
      <c r="T55" s="7" t="n"/>
      <c r="U55" s="7" t="n"/>
      <c r="V55" s="7" t="n"/>
      <c r="W55" s="7" t="n"/>
      <c r="X55" s="7" t="n"/>
      <c r="Y55" s="7" t="n"/>
      <c r="Z55" s="7" t="n"/>
      <c r="AA55" s="7" t="n"/>
    </row>
    <row r="56" ht="14.5" customHeight="1" s="165">
      <c r="A56" s="7" t="n"/>
      <c r="B56" s="7" t="n"/>
      <c r="C56" s="7" t="n"/>
      <c r="D56" s="7" t="n"/>
      <c r="E56" s="7" t="n"/>
      <c r="F56" s="7" t="n"/>
      <c r="G56" s="120" t="n"/>
      <c r="H56" s="7" t="n"/>
      <c r="I56" s="7" t="n"/>
      <c r="J56" s="7" t="n"/>
      <c r="K56" s="7" t="n"/>
      <c r="L56" s="7" t="n"/>
      <c r="M56" s="7" t="n"/>
      <c r="N56" s="7" t="n"/>
      <c r="O56" s="7" t="n"/>
      <c r="P56" s="7" t="n"/>
      <c r="Q56" s="7" t="n"/>
      <c r="R56" s="7" t="n"/>
      <c r="S56" s="7" t="n"/>
      <c r="T56" s="7" t="n"/>
      <c r="U56" s="7" t="n"/>
      <c r="V56" s="7" t="n"/>
      <c r="W56" s="7" t="n"/>
      <c r="X56" s="7" t="n"/>
      <c r="Y56" s="7" t="n"/>
      <c r="Z56" s="7" t="n"/>
      <c r="AA56" s="7" t="n"/>
    </row>
    <row r="57" ht="14.5" customHeight="1" s="165">
      <c r="A57" s="7" t="n"/>
      <c r="B57" s="7" t="n"/>
      <c r="C57" s="7" t="n"/>
      <c r="D57" s="7" t="n"/>
      <c r="E57" s="7" t="n"/>
      <c r="F57" s="7" t="n"/>
      <c r="G57" s="120" t="n"/>
      <c r="H57" s="7" t="n"/>
      <c r="I57" s="7" t="n"/>
      <c r="J57" s="7" t="n"/>
      <c r="K57" s="7" t="n"/>
      <c r="L57" s="7" t="n"/>
      <c r="M57" s="7" t="n"/>
      <c r="N57" s="7" t="n"/>
      <c r="O57" s="7" t="n"/>
      <c r="P57" s="7" t="n"/>
      <c r="Q57" s="7" t="n"/>
      <c r="R57" s="7" t="n"/>
      <c r="S57" s="7" t="n"/>
      <c r="T57" s="7" t="n"/>
      <c r="U57" s="7" t="n"/>
      <c r="V57" s="7" t="n"/>
      <c r="W57" s="7" t="n"/>
      <c r="X57" s="7" t="n"/>
      <c r="Y57" s="7" t="n"/>
      <c r="Z57" s="7" t="n"/>
      <c r="AA57" s="7" t="n"/>
    </row>
    <row r="58" ht="14.5" customHeight="1" s="165">
      <c r="A58" s="7" t="n"/>
      <c r="B58" s="7" t="n"/>
      <c r="C58" s="7" t="n"/>
      <c r="D58" s="7" t="n"/>
      <c r="E58" s="7" t="n"/>
      <c r="F58" s="7" t="n"/>
      <c r="G58" s="120" t="n"/>
      <c r="H58" s="7" t="n"/>
      <c r="I58" s="7" t="n"/>
      <c r="J58" s="7" t="n"/>
      <c r="K58" s="7" t="n"/>
      <c r="L58" s="7" t="n"/>
      <c r="M58" s="7" t="n"/>
      <c r="N58" s="7" t="n"/>
      <c r="O58" s="7" t="n"/>
      <c r="P58" s="7" t="n"/>
      <c r="Q58" s="7" t="n"/>
      <c r="R58" s="7" t="n"/>
      <c r="S58" s="7" t="n"/>
      <c r="T58" s="7" t="n"/>
      <c r="U58" s="7" t="n"/>
      <c r="V58" s="7" t="n"/>
      <c r="W58" s="7" t="n"/>
      <c r="X58" s="7" t="n"/>
      <c r="Y58" s="7" t="n"/>
      <c r="Z58" s="7" t="n"/>
      <c r="AA58" s="7" t="n"/>
    </row>
    <row r="59" ht="14.5" customHeight="1" s="165">
      <c r="A59" s="7" t="n"/>
      <c r="B59" s="7" t="n"/>
      <c r="C59" s="7" t="n"/>
      <c r="D59" s="7" t="n"/>
      <c r="E59" s="7" t="n"/>
      <c r="F59" s="7" t="n"/>
      <c r="G59" s="120" t="n"/>
      <c r="H59" s="7" t="n"/>
      <c r="I59" s="7" t="n"/>
      <c r="J59" s="7" t="n"/>
      <c r="K59" s="7" t="n"/>
      <c r="L59" s="7" t="n"/>
      <c r="M59" s="7" t="n"/>
      <c r="N59" s="7" t="n"/>
      <c r="O59" s="7" t="n"/>
      <c r="P59" s="7" t="n"/>
      <c r="Q59" s="7" t="n"/>
      <c r="R59" s="7" t="n"/>
      <c r="S59" s="7" t="n"/>
      <c r="T59" s="7" t="n"/>
      <c r="U59" s="7" t="n"/>
      <c r="V59" s="7" t="n"/>
      <c r="W59" s="7" t="n"/>
      <c r="X59" s="7" t="n"/>
      <c r="Y59" s="7" t="n"/>
      <c r="Z59" s="7" t="n"/>
      <c r="AA59" s="7" t="n"/>
    </row>
    <row r="60" ht="14.5" customHeight="1" s="165">
      <c r="A60" s="7" t="n"/>
      <c r="B60" s="7" t="n"/>
      <c r="C60" s="7" t="n"/>
      <c r="D60" s="7" t="n"/>
      <c r="E60" s="7" t="n"/>
      <c r="F60" s="7" t="n"/>
      <c r="G60" s="120" t="n"/>
      <c r="H60" s="7" t="n"/>
      <c r="I60" s="7" t="n"/>
      <c r="J60" s="7" t="n"/>
      <c r="K60" s="7" t="n"/>
      <c r="L60" s="7" t="n"/>
      <c r="M60" s="7" t="n"/>
      <c r="N60" s="7" t="n"/>
      <c r="O60" s="7" t="n"/>
      <c r="P60" s="7" t="n"/>
      <c r="Q60" s="7" t="n"/>
      <c r="R60" s="7" t="n"/>
      <c r="S60" s="7" t="n"/>
      <c r="T60" s="7" t="n"/>
      <c r="U60" s="7" t="n"/>
      <c r="V60" s="7" t="n"/>
      <c r="W60" s="7" t="n"/>
      <c r="X60" s="7" t="n"/>
      <c r="Y60" s="7" t="n"/>
      <c r="Z60" s="7" t="n"/>
      <c r="AA60" s="7" t="n"/>
    </row>
    <row r="61" ht="14.5" customHeight="1" s="165">
      <c r="A61" s="7" t="n"/>
      <c r="B61" s="7" t="n"/>
      <c r="C61" s="7" t="n"/>
      <c r="D61" s="7" t="n"/>
      <c r="E61" s="7" t="n"/>
      <c r="F61" s="7" t="n"/>
      <c r="G61" s="120" t="n"/>
      <c r="H61" s="7" t="n"/>
      <c r="I61" s="7" t="n"/>
      <c r="J61" s="7" t="n"/>
      <c r="K61" s="7" t="n"/>
      <c r="L61" s="7" t="n"/>
      <c r="M61" s="7" t="n"/>
      <c r="N61" s="7" t="n"/>
      <c r="O61" s="7" t="n"/>
      <c r="P61" s="7" t="n"/>
      <c r="Q61" s="7" t="n"/>
      <c r="R61" s="7" t="n"/>
      <c r="S61" s="7" t="n"/>
      <c r="T61" s="7" t="n"/>
      <c r="U61" s="7" t="n"/>
      <c r="V61" s="7" t="n"/>
      <c r="W61" s="7" t="n"/>
      <c r="X61" s="7" t="n"/>
      <c r="Y61" s="7" t="n"/>
      <c r="Z61" s="7" t="n"/>
      <c r="AA61" s="7" t="n"/>
    </row>
    <row r="62" ht="14.5" customHeight="1" s="165">
      <c r="A62" s="7" t="n"/>
      <c r="B62" s="7" t="n"/>
      <c r="C62" s="7" t="n"/>
      <c r="D62" s="7" t="n"/>
      <c r="E62" s="7" t="n"/>
      <c r="F62" s="7" t="n"/>
      <c r="G62" s="120" t="n"/>
      <c r="H62" s="7" t="n"/>
      <c r="I62" s="7" t="n"/>
      <c r="J62" s="7" t="n"/>
      <c r="K62" s="7" t="n"/>
      <c r="L62" s="7" t="n"/>
      <c r="M62" s="7" t="n"/>
      <c r="N62" s="7" t="n"/>
      <c r="O62" s="7" t="n"/>
      <c r="P62" s="7" t="n"/>
      <c r="Q62" s="7" t="n"/>
      <c r="R62" s="7" t="n"/>
      <c r="S62" s="7" t="n"/>
      <c r="T62" s="7" t="n"/>
      <c r="U62" s="7" t="n"/>
      <c r="V62" s="7" t="n"/>
      <c r="W62" s="7" t="n"/>
      <c r="X62" s="7" t="n"/>
      <c r="Y62" s="7" t="n"/>
      <c r="Z62" s="7" t="n"/>
      <c r="AA62" s="7" t="n"/>
    </row>
    <row r="63" ht="14.5" customHeight="1" s="165">
      <c r="A63" s="7" t="n"/>
      <c r="B63" s="7" t="n"/>
      <c r="C63" s="7" t="n"/>
      <c r="D63" s="7" t="n"/>
      <c r="E63" s="7" t="n"/>
      <c r="F63" s="7" t="n"/>
      <c r="G63" s="120" t="n"/>
      <c r="H63" s="7" t="n"/>
      <c r="I63" s="7" t="n"/>
      <c r="J63" s="7" t="n"/>
      <c r="K63" s="7" t="n"/>
      <c r="L63" s="7" t="n"/>
      <c r="M63" s="7" t="n"/>
      <c r="N63" s="7" t="n"/>
      <c r="O63" s="7" t="n"/>
      <c r="P63" s="7" t="n"/>
      <c r="Q63" s="7" t="n"/>
      <c r="R63" s="7" t="n"/>
      <c r="S63" s="7" t="n"/>
      <c r="T63" s="7" t="n"/>
      <c r="U63" s="7" t="n"/>
      <c r="V63" s="7" t="n"/>
      <c r="W63" s="7" t="n"/>
      <c r="X63" s="7" t="n"/>
      <c r="Y63" s="7" t="n"/>
      <c r="Z63" s="7" t="n"/>
      <c r="AA63" s="7" t="n"/>
    </row>
    <row r="64" ht="14.5" customHeight="1" s="165">
      <c r="A64" s="7" t="n"/>
      <c r="B64" s="7" t="n"/>
      <c r="C64" s="7" t="n"/>
      <c r="D64" s="7" t="n"/>
      <c r="E64" s="7" t="n"/>
      <c r="F64" s="7" t="n"/>
      <c r="G64" s="120" t="n"/>
      <c r="H64" s="7" t="n"/>
      <c r="I64" s="7" t="n"/>
      <c r="J64" s="7" t="n"/>
      <c r="K64" s="7" t="n"/>
      <c r="L64" s="7" t="n"/>
      <c r="M64" s="7" t="n"/>
      <c r="N64" s="7" t="n"/>
      <c r="O64" s="7" t="n"/>
      <c r="P64" s="7" t="n"/>
      <c r="Q64" s="7" t="n"/>
      <c r="R64" s="7" t="n"/>
      <c r="S64" s="7" t="n"/>
      <c r="T64" s="7" t="n"/>
      <c r="U64" s="7" t="n"/>
      <c r="V64" s="7" t="n"/>
      <c r="W64" s="7" t="n"/>
      <c r="X64" s="7" t="n"/>
      <c r="Y64" s="7" t="n"/>
      <c r="Z64" s="7" t="n"/>
      <c r="AA64" s="7" t="n"/>
    </row>
    <row r="65" ht="14.5" customHeight="1" s="165">
      <c r="A65" s="7" t="n"/>
      <c r="B65" s="7" t="n"/>
      <c r="C65" s="7" t="n"/>
      <c r="D65" s="7" t="n"/>
      <c r="E65" s="7" t="n"/>
      <c r="F65" s="7" t="n"/>
      <c r="G65" s="120" t="n"/>
      <c r="H65" s="7" t="n"/>
      <c r="I65" s="7" t="n"/>
      <c r="J65" s="7" t="n"/>
      <c r="K65" s="7" t="n"/>
      <c r="L65" s="7" t="n"/>
      <c r="M65" s="7" t="n"/>
      <c r="N65" s="7" t="n"/>
      <c r="O65" s="7" t="n"/>
      <c r="P65" s="7" t="n"/>
      <c r="Q65" s="7" t="n"/>
      <c r="R65" s="7" t="n"/>
      <c r="S65" s="7" t="n"/>
      <c r="T65" s="7" t="n"/>
      <c r="U65" s="7" t="n"/>
      <c r="V65" s="7" t="n"/>
      <c r="W65" s="7" t="n"/>
      <c r="X65" s="7" t="n"/>
      <c r="Y65" s="7" t="n"/>
      <c r="Z65" s="7" t="n"/>
      <c r="AA65" s="7" t="n"/>
    </row>
    <row r="66" ht="14.5" customHeight="1" s="165">
      <c r="A66" s="7" t="n"/>
      <c r="B66" s="7" t="n"/>
      <c r="C66" s="7" t="n"/>
      <c r="D66" s="7" t="n"/>
      <c r="E66" s="7" t="n"/>
      <c r="F66" s="7" t="n"/>
      <c r="G66" s="120" t="n"/>
      <c r="H66" s="7" t="n"/>
      <c r="I66" s="7" t="n"/>
      <c r="J66" s="7" t="n"/>
      <c r="K66" s="7" t="n"/>
      <c r="L66" s="7" t="n"/>
      <c r="M66" s="7" t="n"/>
      <c r="N66" s="7" t="n"/>
      <c r="O66" s="7" t="n"/>
      <c r="P66" s="7" t="n"/>
      <c r="Q66" s="7" t="n"/>
      <c r="R66" s="7" t="n"/>
      <c r="S66" s="7" t="n"/>
      <c r="T66" s="7" t="n"/>
      <c r="U66" s="7" t="n"/>
      <c r="V66" s="7" t="n"/>
      <c r="W66" s="7" t="n"/>
      <c r="X66" s="7" t="n"/>
      <c r="Y66" s="7" t="n"/>
      <c r="Z66" s="7" t="n"/>
      <c r="AA66" s="7" t="n"/>
    </row>
    <row r="67" ht="14.5" customHeight="1" s="165">
      <c r="A67" s="7" t="n"/>
      <c r="B67" s="7" t="n"/>
      <c r="C67" s="7" t="n"/>
      <c r="D67" s="7" t="n"/>
      <c r="E67" s="7" t="n"/>
      <c r="F67" s="7" t="n"/>
      <c r="G67" s="120" t="n"/>
      <c r="H67" s="7" t="n"/>
      <c r="I67" s="7" t="n"/>
      <c r="J67" s="7" t="n"/>
      <c r="K67" s="7" t="n"/>
      <c r="L67" s="7" t="n"/>
      <c r="M67" s="7" t="n"/>
      <c r="N67" s="7" t="n"/>
      <c r="O67" s="7" t="n"/>
      <c r="P67" s="7" t="n"/>
      <c r="Q67" s="7" t="n"/>
      <c r="R67" s="7" t="n"/>
      <c r="S67" s="7" t="n"/>
      <c r="T67" s="7" t="n"/>
      <c r="U67" s="7" t="n"/>
      <c r="V67" s="7" t="n"/>
      <c r="W67" s="7" t="n"/>
      <c r="X67" s="7" t="n"/>
      <c r="Y67" s="7" t="n"/>
      <c r="Z67" s="7" t="n"/>
      <c r="AA67" s="7" t="n"/>
    </row>
    <row r="68" ht="14.5" customHeight="1" s="165">
      <c r="A68" s="7" t="n"/>
      <c r="B68" s="7" t="n"/>
      <c r="C68" s="7" t="n"/>
      <c r="D68" s="7" t="n"/>
      <c r="E68" s="7" t="n"/>
      <c r="F68" s="7" t="n"/>
      <c r="G68" s="120" t="n"/>
      <c r="H68" s="7" t="n"/>
      <c r="I68" s="7" t="n"/>
      <c r="J68" s="7" t="n"/>
      <c r="K68" s="7" t="n"/>
      <c r="L68" s="7" t="n"/>
      <c r="M68" s="7" t="n"/>
      <c r="N68" s="7" t="n"/>
      <c r="O68" s="7" t="n"/>
      <c r="P68" s="7" t="n"/>
      <c r="Q68" s="7" t="n"/>
      <c r="R68" s="7" t="n"/>
      <c r="S68" s="7" t="n"/>
      <c r="T68" s="7" t="n"/>
      <c r="U68" s="7" t="n"/>
      <c r="V68" s="7" t="n"/>
      <c r="W68" s="7" t="n"/>
      <c r="X68" s="7" t="n"/>
      <c r="Y68" s="7" t="n"/>
      <c r="Z68" s="7" t="n"/>
      <c r="AA68" s="7" t="n"/>
    </row>
    <row r="69" ht="14.5" customHeight="1" s="165">
      <c r="A69" s="7" t="n"/>
      <c r="B69" s="7" t="n"/>
      <c r="C69" s="7" t="n"/>
      <c r="D69" s="7" t="n"/>
      <c r="E69" s="7" t="n"/>
      <c r="F69" s="7" t="n"/>
      <c r="G69" s="120" t="n"/>
      <c r="H69" s="7" t="n"/>
      <c r="I69" s="7" t="n"/>
      <c r="J69" s="7" t="n"/>
      <c r="K69" s="7" t="n"/>
      <c r="L69" s="7" t="n"/>
      <c r="M69" s="7" t="n"/>
      <c r="N69" s="7" t="n"/>
      <c r="O69" s="7" t="n"/>
      <c r="P69" s="7" t="n"/>
      <c r="Q69" s="7" t="n"/>
      <c r="R69" s="7" t="n"/>
      <c r="S69" s="7" t="n"/>
      <c r="T69" s="7" t="n"/>
      <c r="U69" s="7" t="n"/>
      <c r="V69" s="7" t="n"/>
      <c r="W69" s="7" t="n"/>
      <c r="X69" s="7" t="n"/>
      <c r="Y69" s="7" t="n"/>
      <c r="Z69" s="7" t="n"/>
      <c r="AA69" s="7" t="n"/>
    </row>
    <row r="70" ht="14.5" customHeight="1" s="165">
      <c r="A70" s="7" t="n"/>
      <c r="B70" s="7" t="n"/>
      <c r="C70" s="7" t="n"/>
      <c r="D70" s="7" t="n"/>
      <c r="E70" s="7" t="n"/>
      <c r="F70" s="7" t="n"/>
      <c r="G70" s="120" t="n"/>
      <c r="H70" s="7" t="n"/>
      <c r="I70" s="7" t="n"/>
      <c r="J70" s="7" t="n"/>
      <c r="K70" s="7" t="n"/>
      <c r="L70" s="7" t="n"/>
      <c r="M70" s="7" t="n"/>
      <c r="N70" s="7" t="n"/>
      <c r="O70" s="7" t="n"/>
      <c r="P70" s="7" t="n"/>
      <c r="Q70" s="7" t="n"/>
      <c r="R70" s="7" t="n"/>
      <c r="S70" s="7" t="n"/>
      <c r="T70" s="7" t="n"/>
      <c r="U70" s="7" t="n"/>
      <c r="V70" s="7" t="n"/>
      <c r="W70" s="7" t="n"/>
      <c r="X70" s="7" t="n"/>
      <c r="Y70" s="7" t="n"/>
      <c r="Z70" s="7" t="n"/>
      <c r="AA70" s="7" t="n"/>
    </row>
    <row r="71" ht="14.5" customHeight="1" s="165">
      <c r="A71" s="7" t="n"/>
      <c r="B71" s="7" t="n"/>
      <c r="C71" s="7" t="n"/>
      <c r="D71" s="7" t="n"/>
      <c r="E71" s="7" t="n"/>
      <c r="F71" s="7" t="n"/>
      <c r="G71" s="120" t="n"/>
      <c r="H71" s="7" t="n"/>
      <c r="I71" s="7" t="n"/>
      <c r="J71" s="7" t="n"/>
      <c r="K71" s="7" t="n"/>
      <c r="L71" s="7" t="n"/>
      <c r="M71" s="7" t="n"/>
      <c r="N71" s="7" t="n"/>
      <c r="O71" s="7" t="n"/>
      <c r="P71" s="7" t="n"/>
      <c r="Q71" s="7" t="n"/>
      <c r="R71" s="7" t="n"/>
      <c r="S71" s="7" t="n"/>
      <c r="T71" s="7" t="n"/>
      <c r="U71" s="7" t="n"/>
      <c r="V71" s="7" t="n"/>
      <c r="W71" s="7" t="n"/>
      <c r="X71" s="7" t="n"/>
      <c r="Y71" s="7" t="n"/>
      <c r="Z71" s="7" t="n"/>
      <c r="AA71" s="7" t="n"/>
    </row>
    <row r="72" ht="14.5" customHeight="1" s="165">
      <c r="A72" s="7" t="n"/>
      <c r="B72" s="7" t="n"/>
      <c r="C72" s="7" t="n"/>
      <c r="D72" s="7" t="n"/>
      <c r="E72" s="7" t="n"/>
      <c r="F72" s="7" t="n"/>
      <c r="G72" s="120" t="n"/>
      <c r="H72" s="7" t="n"/>
      <c r="I72" s="7" t="n"/>
      <c r="J72" s="7" t="n"/>
      <c r="K72" s="7" t="n"/>
      <c r="L72" s="7" t="n"/>
      <c r="M72" s="7" t="n"/>
      <c r="N72" s="7" t="n"/>
      <c r="O72" s="7" t="n"/>
      <c r="P72" s="7" t="n"/>
      <c r="Q72" s="7" t="n"/>
      <c r="R72" s="7" t="n"/>
      <c r="S72" s="7" t="n"/>
      <c r="T72" s="7" t="n"/>
      <c r="U72" s="7" t="n"/>
      <c r="V72" s="7" t="n"/>
      <c r="W72" s="7" t="n"/>
      <c r="X72" s="7" t="n"/>
      <c r="Y72" s="7" t="n"/>
      <c r="Z72" s="7" t="n"/>
      <c r="AA72" s="7" t="n"/>
    </row>
    <row r="73" ht="14.5" customHeight="1" s="165">
      <c r="A73" s="7" t="n"/>
      <c r="B73" s="7" t="n"/>
      <c r="C73" s="7" t="n"/>
      <c r="D73" s="7" t="n"/>
      <c r="E73" s="7" t="n"/>
      <c r="F73" s="7" t="n"/>
      <c r="G73" s="120" t="n"/>
      <c r="H73" s="7" t="n"/>
      <c r="I73" s="7" t="n"/>
      <c r="J73" s="7" t="n"/>
      <c r="K73" s="7" t="n"/>
      <c r="L73" s="7" t="n"/>
      <c r="M73" s="7" t="n"/>
      <c r="N73" s="7" t="n"/>
      <c r="O73" s="7" t="n"/>
      <c r="P73" s="7" t="n"/>
      <c r="Q73" s="7" t="n"/>
      <c r="R73" s="7" t="n"/>
      <c r="S73" s="7" t="n"/>
      <c r="T73" s="7" t="n"/>
      <c r="U73" s="7" t="n"/>
      <c r="V73" s="7" t="n"/>
      <c r="W73" s="7" t="n"/>
      <c r="X73" s="7" t="n"/>
      <c r="Y73" s="7" t="n"/>
      <c r="Z73" s="7" t="n"/>
      <c r="AA73" s="7" t="n"/>
    </row>
    <row r="74" ht="14.5" customHeight="1" s="165">
      <c r="A74" s="7" t="n"/>
      <c r="B74" s="7" t="n"/>
      <c r="C74" s="7" t="n"/>
      <c r="D74" s="7" t="n"/>
      <c r="E74" s="7" t="n"/>
      <c r="F74" s="7" t="n"/>
      <c r="G74" s="120" t="n"/>
      <c r="H74" s="7" t="n"/>
      <c r="I74" s="7" t="n"/>
      <c r="J74" s="7" t="n"/>
      <c r="K74" s="7" t="n"/>
      <c r="L74" s="7" t="n"/>
      <c r="M74" s="7" t="n"/>
      <c r="N74" s="7" t="n"/>
      <c r="O74" s="7" t="n"/>
      <c r="P74" s="7" t="n"/>
      <c r="Q74" s="7" t="n"/>
      <c r="R74" s="7" t="n"/>
      <c r="S74" s="7" t="n"/>
      <c r="T74" s="7" t="n"/>
      <c r="U74" s="7" t="n"/>
      <c r="V74" s="7" t="n"/>
      <c r="W74" s="7" t="n"/>
      <c r="X74" s="7" t="n"/>
      <c r="Y74" s="7" t="n"/>
      <c r="Z74" s="7" t="n"/>
      <c r="AA74" s="7" t="n"/>
    </row>
    <row r="75" ht="14.5" customHeight="1" s="165">
      <c r="A75" s="7" t="n"/>
      <c r="B75" s="7" t="n"/>
      <c r="C75" s="7" t="n"/>
      <c r="D75" s="7" t="n"/>
      <c r="E75" s="7" t="n"/>
      <c r="F75" s="7" t="n"/>
      <c r="G75" s="120" t="n"/>
      <c r="H75" s="7" t="n"/>
      <c r="I75" s="7" t="n"/>
      <c r="J75" s="7" t="n"/>
      <c r="K75" s="7" t="n"/>
      <c r="L75" s="7" t="n"/>
      <c r="M75" s="7" t="n"/>
      <c r="N75" s="7" t="n"/>
      <c r="O75" s="7" t="n"/>
      <c r="P75" s="7" t="n"/>
      <c r="Q75" s="7" t="n"/>
      <c r="R75" s="7" t="n"/>
      <c r="S75" s="7" t="n"/>
      <c r="T75" s="7" t="n"/>
      <c r="U75" s="7" t="n"/>
      <c r="V75" s="7" t="n"/>
      <c r="W75" s="7" t="n"/>
      <c r="X75" s="7" t="n"/>
      <c r="Y75" s="7" t="n"/>
      <c r="Z75" s="7" t="n"/>
      <c r="AA75" s="7" t="n"/>
    </row>
    <row r="76" ht="14.5" customHeight="1" s="165">
      <c r="A76" s="7" t="n"/>
      <c r="B76" s="7" t="n"/>
      <c r="C76" s="7" t="n"/>
      <c r="D76" s="7" t="n"/>
      <c r="E76" s="7" t="n"/>
      <c r="F76" s="7" t="n"/>
      <c r="G76" s="120" t="n"/>
      <c r="H76" s="7" t="n"/>
      <c r="I76" s="7" t="n"/>
      <c r="J76" s="7" t="n"/>
      <c r="K76" s="7" t="n"/>
      <c r="L76" s="7" t="n"/>
      <c r="M76" s="7" t="n"/>
      <c r="N76" s="7" t="n"/>
      <c r="O76" s="7" t="n"/>
      <c r="P76" s="7" t="n"/>
      <c r="Q76" s="7" t="n"/>
      <c r="R76" s="7" t="n"/>
      <c r="S76" s="7" t="n"/>
      <c r="T76" s="7" t="n"/>
      <c r="U76" s="7" t="n"/>
      <c r="V76" s="7" t="n"/>
      <c r="W76" s="7" t="n"/>
      <c r="X76" s="7" t="n"/>
      <c r="Y76" s="7" t="n"/>
      <c r="Z76" s="7" t="n"/>
      <c r="AA76" s="7" t="n"/>
    </row>
    <row r="77" ht="14.5" customHeight="1" s="165">
      <c r="A77" s="7" t="n"/>
      <c r="B77" s="7" t="n"/>
      <c r="C77" s="7" t="n"/>
      <c r="D77" s="7" t="n"/>
      <c r="E77" s="7" t="n"/>
      <c r="F77" s="7" t="n"/>
      <c r="G77" s="120" t="n"/>
      <c r="H77" s="7" t="n"/>
      <c r="I77" s="7" t="n"/>
      <c r="J77" s="7" t="n"/>
      <c r="K77" s="7" t="n"/>
      <c r="L77" s="7" t="n"/>
      <c r="M77" s="7" t="n"/>
      <c r="N77" s="7" t="n"/>
      <c r="O77" s="7" t="n"/>
      <c r="P77" s="7" t="n"/>
      <c r="Q77" s="7" t="n"/>
      <c r="R77" s="7" t="n"/>
      <c r="S77" s="7" t="n"/>
      <c r="T77" s="7" t="n"/>
      <c r="U77" s="7" t="n"/>
      <c r="V77" s="7" t="n"/>
      <c r="W77" s="7" t="n"/>
      <c r="X77" s="7" t="n"/>
      <c r="Y77" s="7" t="n"/>
      <c r="Z77" s="7" t="n"/>
      <c r="AA77" s="7" t="n"/>
    </row>
    <row r="78" ht="14.5" customHeight="1" s="165">
      <c r="A78" s="7" t="n"/>
      <c r="B78" s="7" t="n"/>
      <c r="C78" s="7" t="n"/>
      <c r="D78" s="7" t="n"/>
      <c r="E78" s="7" t="n"/>
      <c r="F78" s="7" t="n"/>
      <c r="G78" s="120" t="n"/>
      <c r="H78" s="7" t="n"/>
      <c r="I78" s="7" t="n"/>
      <c r="J78" s="7" t="n"/>
      <c r="K78" s="7" t="n"/>
      <c r="L78" s="7" t="n"/>
      <c r="M78" s="7" t="n"/>
      <c r="N78" s="7" t="n"/>
      <c r="O78" s="7" t="n"/>
      <c r="P78" s="7" t="n"/>
      <c r="Q78" s="7" t="n"/>
      <c r="R78" s="7" t="n"/>
      <c r="S78" s="7" t="n"/>
      <c r="T78" s="7" t="n"/>
      <c r="U78" s="7" t="n"/>
      <c r="V78" s="7" t="n"/>
      <c r="W78" s="7" t="n"/>
      <c r="X78" s="7" t="n"/>
      <c r="Y78" s="7" t="n"/>
      <c r="Z78" s="7" t="n"/>
      <c r="AA78" s="7" t="n"/>
    </row>
    <row r="79" ht="14.5" customHeight="1" s="165">
      <c r="A79" s="7" t="n"/>
      <c r="B79" s="7" t="n"/>
      <c r="C79" s="7" t="n"/>
      <c r="D79" s="7" t="n"/>
      <c r="E79" s="7" t="n"/>
      <c r="F79" s="7" t="n"/>
      <c r="G79" s="120" t="n"/>
      <c r="H79" s="7" t="n"/>
      <c r="I79" s="7" t="n"/>
      <c r="J79" s="7" t="n"/>
      <c r="K79" s="7" t="n"/>
      <c r="L79" s="7" t="n"/>
      <c r="M79" s="7" t="n"/>
      <c r="N79" s="7" t="n"/>
      <c r="O79" s="7" t="n"/>
      <c r="P79" s="7" t="n"/>
      <c r="Q79" s="7" t="n"/>
      <c r="R79" s="7" t="n"/>
      <c r="S79" s="7" t="n"/>
      <c r="T79" s="7" t="n"/>
      <c r="U79" s="7" t="n"/>
      <c r="V79" s="7" t="n"/>
      <c r="W79" s="7" t="n"/>
      <c r="X79" s="7" t="n"/>
      <c r="Y79" s="7" t="n"/>
      <c r="Z79" s="7" t="n"/>
      <c r="AA79" s="7" t="n"/>
    </row>
    <row r="80" ht="14.5" customHeight="1" s="165">
      <c r="A80" s="7" t="n"/>
      <c r="B80" s="7" t="n"/>
      <c r="C80" s="7" t="n"/>
      <c r="D80" s="7" t="n"/>
      <c r="E80" s="7" t="n"/>
      <c r="F80" s="7" t="n"/>
      <c r="G80" s="120" t="n"/>
      <c r="H80" s="7" t="n"/>
      <c r="I80" s="7" t="n"/>
      <c r="J80" s="7" t="n"/>
      <c r="K80" s="7" t="n"/>
      <c r="L80" s="7" t="n"/>
      <c r="M80" s="7" t="n"/>
      <c r="N80" s="7" t="n"/>
      <c r="O80" s="7" t="n"/>
      <c r="P80" s="7" t="n"/>
      <c r="Q80" s="7" t="n"/>
      <c r="R80" s="7" t="n"/>
      <c r="S80" s="7" t="n"/>
      <c r="T80" s="7" t="n"/>
      <c r="U80" s="7" t="n"/>
      <c r="V80" s="7" t="n"/>
      <c r="W80" s="7" t="n"/>
      <c r="X80" s="7" t="n"/>
      <c r="Y80" s="7" t="n"/>
      <c r="Z80" s="7" t="n"/>
      <c r="AA80" s="7" t="n"/>
    </row>
    <row r="81" ht="14.5" customHeight="1" s="165">
      <c r="A81" s="7" t="n"/>
      <c r="B81" s="7" t="n"/>
      <c r="C81" s="7" t="n"/>
      <c r="D81" s="7" t="n"/>
      <c r="E81" s="7" t="n"/>
      <c r="F81" s="7" t="n"/>
      <c r="G81" s="120" t="n"/>
      <c r="H81" s="7" t="n"/>
      <c r="I81" s="7" t="n"/>
      <c r="J81" s="7" t="n"/>
      <c r="K81" s="7" t="n"/>
      <c r="L81" s="7" t="n"/>
      <c r="M81" s="7" t="n"/>
      <c r="N81" s="7" t="n"/>
      <c r="O81" s="7" t="n"/>
      <c r="P81" s="7" t="n"/>
      <c r="Q81" s="7" t="n"/>
      <c r="R81" s="7" t="n"/>
      <c r="S81" s="7" t="n"/>
      <c r="T81" s="7" t="n"/>
      <c r="U81" s="7" t="n"/>
      <c r="V81" s="7" t="n"/>
      <c r="W81" s="7" t="n"/>
      <c r="X81" s="7" t="n"/>
      <c r="Y81" s="7" t="n"/>
      <c r="Z81" s="7" t="n"/>
      <c r="AA81" s="7" t="n"/>
    </row>
    <row r="82" ht="14.5" customHeight="1" s="165">
      <c r="A82" s="7" t="n"/>
      <c r="B82" s="7" t="n"/>
      <c r="C82" s="7" t="n"/>
      <c r="D82" s="7" t="n"/>
      <c r="E82" s="7" t="n"/>
      <c r="F82" s="7" t="n"/>
      <c r="G82" s="120" t="n"/>
      <c r="H82" s="7" t="n"/>
      <c r="I82" s="7" t="n"/>
      <c r="J82" s="7" t="n"/>
      <c r="K82" s="7" t="n"/>
      <c r="L82" s="7" t="n"/>
      <c r="M82" s="7" t="n"/>
      <c r="N82" s="7" t="n"/>
      <c r="O82" s="7" t="n"/>
      <c r="P82" s="7" t="n"/>
      <c r="Q82" s="7" t="n"/>
      <c r="R82" s="7" t="n"/>
      <c r="S82" s="7" t="n"/>
      <c r="T82" s="7" t="n"/>
      <c r="U82" s="7" t="n"/>
      <c r="V82" s="7" t="n"/>
      <c r="W82" s="7" t="n"/>
      <c r="X82" s="7" t="n"/>
      <c r="Y82" s="7" t="n"/>
      <c r="Z82" s="7" t="n"/>
      <c r="AA82" s="7" t="n"/>
    </row>
    <row r="83" ht="14.5" customHeight="1" s="165">
      <c r="A83" s="7" t="n"/>
      <c r="B83" s="7" t="n"/>
      <c r="C83" s="7" t="n"/>
      <c r="D83" s="7" t="n"/>
      <c r="E83" s="7" t="n"/>
      <c r="F83" s="7" t="n"/>
      <c r="G83" s="120" t="n"/>
      <c r="H83" s="7" t="n"/>
      <c r="I83" s="7" t="n"/>
      <c r="J83" s="7" t="n"/>
      <c r="K83" s="7" t="n"/>
      <c r="L83" s="7" t="n"/>
      <c r="M83" s="7" t="n"/>
      <c r="N83" s="7" t="n"/>
      <c r="O83" s="7" t="n"/>
      <c r="P83" s="7" t="n"/>
      <c r="Q83" s="7" t="n"/>
      <c r="R83" s="7" t="n"/>
      <c r="S83" s="7" t="n"/>
      <c r="T83" s="7" t="n"/>
      <c r="U83" s="7" t="n"/>
      <c r="V83" s="7" t="n"/>
      <c r="W83" s="7" t="n"/>
      <c r="X83" s="7" t="n"/>
      <c r="Y83" s="7" t="n"/>
      <c r="Z83" s="7" t="n"/>
      <c r="AA83" s="7" t="n"/>
    </row>
    <row r="84" ht="14.5" customHeight="1" s="165">
      <c r="A84" s="7" t="n"/>
      <c r="B84" s="7" t="n"/>
      <c r="C84" s="7" t="n"/>
      <c r="D84" s="7" t="n"/>
      <c r="E84" s="7" t="n"/>
      <c r="F84" s="7" t="n"/>
      <c r="G84" s="120" t="n"/>
      <c r="H84" s="7" t="n"/>
      <c r="I84" s="7" t="n"/>
      <c r="J84" s="7" t="n"/>
      <c r="K84" s="7" t="n"/>
      <c r="L84" s="7" t="n"/>
      <c r="M84" s="7" t="n"/>
      <c r="N84" s="7" t="n"/>
      <c r="O84" s="7" t="n"/>
      <c r="P84" s="7" t="n"/>
      <c r="Q84" s="7" t="n"/>
      <c r="R84" s="7" t="n"/>
      <c r="S84" s="7" t="n"/>
      <c r="T84" s="7" t="n"/>
      <c r="U84" s="7" t="n"/>
      <c r="V84" s="7" t="n"/>
      <c r="W84" s="7" t="n"/>
      <c r="X84" s="7" t="n"/>
      <c r="Y84" s="7" t="n"/>
      <c r="Z84" s="7" t="n"/>
      <c r="AA84" s="7" t="n"/>
    </row>
    <row r="85" ht="14.5" customHeight="1" s="165">
      <c r="A85" s="7" t="n"/>
      <c r="B85" s="7" t="n"/>
      <c r="C85" s="7" t="n"/>
      <c r="D85" s="7" t="n"/>
      <c r="E85" s="7" t="n"/>
      <c r="F85" s="7" t="n"/>
      <c r="G85" s="120" t="n"/>
      <c r="H85" s="7" t="n"/>
      <c r="I85" s="7" t="n"/>
      <c r="J85" s="7" t="n"/>
      <c r="K85" s="7" t="n"/>
      <c r="L85" s="7" t="n"/>
      <c r="M85" s="7" t="n"/>
      <c r="N85" s="7" t="n"/>
      <c r="O85" s="7" t="n"/>
      <c r="P85" s="7" t="n"/>
      <c r="Q85" s="7" t="n"/>
      <c r="R85" s="7" t="n"/>
      <c r="S85" s="7" t="n"/>
      <c r="T85" s="7" t="n"/>
      <c r="U85" s="7" t="n"/>
      <c r="V85" s="7" t="n"/>
      <c r="W85" s="7" t="n"/>
      <c r="X85" s="7" t="n"/>
      <c r="Y85" s="7" t="n"/>
      <c r="Z85" s="7" t="n"/>
      <c r="AA85" s="7" t="n"/>
    </row>
    <row r="86" ht="14.5" customHeight="1" s="165">
      <c r="A86" s="7" t="n"/>
      <c r="B86" s="7" t="n"/>
      <c r="C86" s="7" t="n"/>
      <c r="D86" s="7" t="n"/>
      <c r="E86" s="7" t="n"/>
      <c r="F86" s="7" t="n"/>
      <c r="G86" s="120" t="n"/>
      <c r="H86" s="7" t="n"/>
      <c r="I86" s="7" t="n"/>
      <c r="J86" s="7" t="n"/>
      <c r="K86" s="7" t="n"/>
      <c r="L86" s="7" t="n"/>
      <c r="M86" s="7" t="n"/>
      <c r="N86" s="7" t="n"/>
      <c r="O86" s="7" t="n"/>
      <c r="P86" s="7" t="n"/>
      <c r="Q86" s="7" t="n"/>
      <c r="R86" s="7" t="n"/>
      <c r="S86" s="7" t="n"/>
      <c r="T86" s="7" t="n"/>
      <c r="U86" s="7" t="n"/>
      <c r="V86" s="7" t="n"/>
      <c r="W86" s="7" t="n"/>
      <c r="X86" s="7" t="n"/>
      <c r="Y86" s="7" t="n"/>
      <c r="Z86" s="7" t="n"/>
      <c r="AA86" s="7" t="n"/>
    </row>
    <row r="87" ht="14.5" customHeight="1" s="165">
      <c r="A87" s="7" t="n"/>
      <c r="B87" s="7" t="n"/>
      <c r="C87" s="7" t="n"/>
      <c r="D87" s="7" t="n"/>
      <c r="E87" s="7" t="n"/>
      <c r="F87" s="7" t="n"/>
      <c r="G87" s="120" t="n"/>
      <c r="H87" s="7" t="n"/>
      <c r="I87" s="7" t="n"/>
      <c r="J87" s="7" t="n"/>
      <c r="K87" s="7" t="n"/>
      <c r="L87" s="7" t="n"/>
      <c r="M87" s="7" t="n"/>
      <c r="N87" s="7" t="n"/>
      <c r="O87" s="7" t="n"/>
      <c r="P87" s="7" t="n"/>
      <c r="Q87" s="7" t="n"/>
      <c r="R87" s="7" t="n"/>
      <c r="S87" s="7" t="n"/>
      <c r="T87" s="7" t="n"/>
      <c r="U87" s="7" t="n"/>
      <c r="V87" s="7" t="n"/>
      <c r="W87" s="7" t="n"/>
      <c r="X87" s="7" t="n"/>
      <c r="Y87" s="7" t="n"/>
      <c r="Z87" s="7" t="n"/>
      <c r="AA87" s="7" t="n"/>
    </row>
    <row r="88" ht="14.5" customHeight="1" s="165">
      <c r="A88" s="7" t="n"/>
      <c r="B88" s="7" t="n"/>
      <c r="C88" s="7" t="n"/>
      <c r="D88" s="7" t="n"/>
      <c r="E88" s="7" t="n"/>
      <c r="F88" s="7" t="n"/>
      <c r="G88" s="120" t="n"/>
      <c r="H88" s="7" t="n"/>
      <c r="I88" s="7" t="n"/>
      <c r="J88" s="7" t="n"/>
      <c r="K88" s="7" t="n"/>
      <c r="L88" s="7" t="n"/>
      <c r="M88" s="7" t="n"/>
      <c r="N88" s="7" t="n"/>
      <c r="O88" s="7" t="n"/>
      <c r="P88" s="7" t="n"/>
      <c r="Q88" s="7" t="n"/>
      <c r="R88" s="7" t="n"/>
      <c r="S88" s="7" t="n"/>
      <c r="T88" s="7" t="n"/>
      <c r="U88" s="7" t="n"/>
      <c r="V88" s="7" t="n"/>
      <c r="W88" s="7" t="n"/>
      <c r="X88" s="7" t="n"/>
      <c r="Y88" s="7" t="n"/>
      <c r="Z88" s="7" t="n"/>
      <c r="AA88" s="7" t="n"/>
    </row>
    <row r="89" ht="14.5" customHeight="1" s="165">
      <c r="A89" s="7" t="n"/>
      <c r="B89" s="7" t="n"/>
      <c r="C89" s="7" t="n"/>
      <c r="D89" s="7" t="n"/>
      <c r="E89" s="7" t="n"/>
      <c r="F89" s="7" t="n"/>
      <c r="G89" s="120" t="n"/>
      <c r="H89" s="7" t="n"/>
      <c r="I89" s="7" t="n"/>
      <c r="J89" s="7" t="n"/>
      <c r="K89" s="7" t="n"/>
      <c r="L89" s="7" t="n"/>
      <c r="M89" s="7" t="n"/>
      <c r="N89" s="7" t="n"/>
      <c r="O89" s="7" t="n"/>
      <c r="P89" s="7" t="n"/>
      <c r="Q89" s="7" t="n"/>
      <c r="R89" s="7" t="n"/>
      <c r="S89" s="7" t="n"/>
      <c r="T89" s="7" t="n"/>
      <c r="U89" s="7" t="n"/>
      <c r="V89" s="7" t="n"/>
      <c r="W89" s="7" t="n"/>
      <c r="X89" s="7" t="n"/>
      <c r="Y89" s="7" t="n"/>
      <c r="Z89" s="7" t="n"/>
      <c r="AA89" s="7" t="n"/>
    </row>
    <row r="90" ht="14.5" customHeight="1" s="165">
      <c r="A90" s="7" t="n"/>
      <c r="B90" s="7" t="n"/>
      <c r="C90" s="7" t="n"/>
      <c r="D90" s="7" t="n"/>
      <c r="E90" s="7" t="n"/>
      <c r="F90" s="7" t="n"/>
      <c r="G90" s="120" t="n"/>
      <c r="H90" s="7" t="n"/>
      <c r="I90" s="7" t="n"/>
      <c r="J90" s="7" t="n"/>
      <c r="K90" s="7" t="n"/>
      <c r="L90" s="7" t="n"/>
      <c r="M90" s="7" t="n"/>
      <c r="N90" s="7" t="n"/>
      <c r="O90" s="7" t="n"/>
      <c r="P90" s="7" t="n"/>
      <c r="Q90" s="7" t="n"/>
      <c r="R90" s="7" t="n"/>
      <c r="S90" s="7" t="n"/>
      <c r="T90" s="7" t="n"/>
      <c r="U90" s="7" t="n"/>
      <c r="V90" s="7" t="n"/>
      <c r="W90" s="7" t="n"/>
      <c r="X90" s="7" t="n"/>
      <c r="Y90" s="7" t="n"/>
      <c r="Z90" s="7" t="n"/>
      <c r="AA90" s="7" t="n"/>
    </row>
    <row r="91" ht="14.5" customHeight="1" s="165">
      <c r="A91" s="7" t="n"/>
      <c r="B91" s="7" t="n"/>
      <c r="C91" s="7" t="n"/>
      <c r="D91" s="7" t="n"/>
      <c r="E91" s="7" t="n"/>
      <c r="F91" s="7" t="n"/>
      <c r="G91" s="120" t="n"/>
      <c r="H91" s="7" t="n"/>
      <c r="I91" s="7" t="n"/>
      <c r="J91" s="7" t="n"/>
      <c r="K91" s="7" t="n"/>
      <c r="L91" s="7" t="n"/>
      <c r="M91" s="7" t="n"/>
      <c r="N91" s="7" t="n"/>
      <c r="O91" s="7" t="n"/>
      <c r="P91" s="7" t="n"/>
      <c r="Q91" s="7" t="n"/>
      <c r="R91" s="7" t="n"/>
      <c r="S91" s="7" t="n"/>
      <c r="T91" s="7" t="n"/>
      <c r="U91" s="7" t="n"/>
      <c r="V91" s="7" t="n"/>
      <c r="W91" s="7" t="n"/>
      <c r="X91" s="7" t="n"/>
      <c r="Y91" s="7" t="n"/>
      <c r="Z91" s="7" t="n"/>
      <c r="AA91" s="7" t="n"/>
    </row>
    <row r="92" ht="14.5" customHeight="1" s="165">
      <c r="A92" s="7" t="n"/>
      <c r="B92" s="7" t="n"/>
      <c r="C92" s="7" t="n"/>
      <c r="D92" s="7" t="n"/>
      <c r="E92" s="7" t="n"/>
      <c r="F92" s="7" t="n"/>
      <c r="G92" s="120" t="n"/>
      <c r="H92" s="7" t="n"/>
      <c r="I92" s="7" t="n"/>
      <c r="J92" s="7" t="n"/>
      <c r="K92" s="7" t="n"/>
      <c r="L92" s="7" t="n"/>
      <c r="M92" s="7" t="n"/>
      <c r="N92" s="7" t="n"/>
      <c r="O92" s="7" t="n"/>
      <c r="P92" s="7" t="n"/>
      <c r="Q92" s="7" t="n"/>
      <c r="R92" s="7" t="n"/>
      <c r="S92" s="7" t="n"/>
      <c r="T92" s="7" t="n"/>
      <c r="U92" s="7" t="n"/>
      <c r="V92" s="7" t="n"/>
      <c r="W92" s="7" t="n"/>
      <c r="X92" s="7" t="n"/>
      <c r="Y92" s="7" t="n"/>
      <c r="Z92" s="7" t="n"/>
      <c r="AA92" s="7" t="n"/>
    </row>
    <row r="93" ht="14.5" customHeight="1" s="165">
      <c r="A93" s="7" t="n"/>
      <c r="B93" s="7" t="n"/>
      <c r="C93" s="7" t="n"/>
      <c r="D93" s="7" t="n"/>
      <c r="E93" s="7" t="n"/>
      <c r="F93" s="7" t="n"/>
      <c r="G93" s="120" t="n"/>
      <c r="H93" s="7" t="n"/>
      <c r="I93" s="7" t="n"/>
      <c r="J93" s="7" t="n"/>
      <c r="K93" s="7" t="n"/>
      <c r="L93" s="7" t="n"/>
      <c r="M93" s="7" t="n"/>
      <c r="N93" s="7" t="n"/>
      <c r="O93" s="7" t="n"/>
      <c r="P93" s="7" t="n"/>
      <c r="Q93" s="7" t="n"/>
      <c r="R93" s="7" t="n"/>
      <c r="S93" s="7" t="n"/>
      <c r="T93" s="7" t="n"/>
      <c r="U93" s="7" t="n"/>
      <c r="V93" s="7" t="n"/>
      <c r="W93" s="7" t="n"/>
      <c r="X93" s="7" t="n"/>
      <c r="Y93" s="7" t="n"/>
      <c r="Z93" s="7" t="n"/>
      <c r="AA93" s="7" t="n"/>
    </row>
    <row r="94" ht="14.5" customHeight="1" s="165">
      <c r="A94" s="7" t="n"/>
      <c r="B94" s="7" t="n"/>
      <c r="C94" s="7" t="n"/>
      <c r="D94" s="7" t="n"/>
      <c r="E94" s="7" t="n"/>
      <c r="F94" s="7" t="n"/>
      <c r="G94" s="120" t="n"/>
      <c r="H94" s="7" t="n"/>
      <c r="I94" s="7" t="n"/>
      <c r="J94" s="7" t="n"/>
      <c r="K94" s="7" t="n"/>
      <c r="L94" s="7" t="n"/>
      <c r="M94" s="7" t="n"/>
      <c r="N94" s="7" t="n"/>
      <c r="O94" s="7" t="n"/>
      <c r="P94" s="7" t="n"/>
      <c r="Q94" s="7" t="n"/>
      <c r="R94" s="7" t="n"/>
      <c r="S94" s="7" t="n"/>
      <c r="T94" s="7" t="n"/>
      <c r="U94" s="7" t="n"/>
      <c r="V94" s="7" t="n"/>
      <c r="W94" s="7" t="n"/>
      <c r="X94" s="7" t="n"/>
      <c r="Y94" s="7" t="n"/>
      <c r="Z94" s="7" t="n"/>
      <c r="AA94" s="7" t="n"/>
    </row>
    <row r="95" ht="14.5" customHeight="1" s="165">
      <c r="A95" s="7" t="n"/>
      <c r="B95" s="7" t="n"/>
      <c r="C95" s="7" t="n"/>
      <c r="D95" s="7" t="n"/>
      <c r="E95" s="7" t="n"/>
      <c r="F95" s="7" t="n"/>
      <c r="G95" s="120" t="n"/>
      <c r="H95" s="7" t="n"/>
      <c r="I95" s="7" t="n"/>
      <c r="J95" s="7" t="n"/>
      <c r="K95" s="7" t="n"/>
      <c r="L95" s="7" t="n"/>
      <c r="M95" s="7" t="n"/>
      <c r="N95" s="7" t="n"/>
      <c r="O95" s="7" t="n"/>
      <c r="P95" s="7" t="n"/>
      <c r="Q95" s="7" t="n"/>
      <c r="R95" s="7" t="n"/>
      <c r="S95" s="7" t="n"/>
      <c r="T95" s="7" t="n"/>
      <c r="U95" s="7" t="n"/>
      <c r="V95" s="7" t="n"/>
      <c r="W95" s="7" t="n"/>
      <c r="X95" s="7" t="n"/>
      <c r="Y95" s="7" t="n"/>
      <c r="Z95" s="7" t="n"/>
      <c r="AA95" s="7" t="n"/>
    </row>
    <row r="96" ht="14.5" customHeight="1" s="165">
      <c r="A96" s="7" t="n"/>
      <c r="B96" s="7" t="n"/>
      <c r="C96" s="7" t="n"/>
      <c r="D96" s="7" t="n"/>
      <c r="E96" s="7" t="n"/>
      <c r="F96" s="7" t="n"/>
      <c r="G96" s="120" t="n"/>
      <c r="H96" s="7" t="n"/>
      <c r="I96" s="7" t="n"/>
      <c r="J96" s="7" t="n"/>
      <c r="K96" s="7" t="n"/>
      <c r="L96" s="7" t="n"/>
      <c r="M96" s="7" t="n"/>
      <c r="N96" s="7" t="n"/>
      <c r="O96" s="7" t="n"/>
      <c r="P96" s="7" t="n"/>
      <c r="Q96" s="7" t="n"/>
      <c r="R96" s="7" t="n"/>
      <c r="S96" s="7" t="n"/>
      <c r="T96" s="7" t="n"/>
      <c r="U96" s="7" t="n"/>
      <c r="V96" s="7" t="n"/>
      <c r="W96" s="7" t="n"/>
      <c r="X96" s="7" t="n"/>
      <c r="Y96" s="7" t="n"/>
      <c r="Z96" s="7" t="n"/>
      <c r="AA96" s="7" t="n"/>
    </row>
    <row r="97" ht="14.5" customHeight="1" s="165">
      <c r="A97" s="7" t="n"/>
      <c r="B97" s="7" t="n"/>
      <c r="C97" s="7" t="n"/>
      <c r="D97" s="7" t="n"/>
      <c r="E97" s="7" t="n"/>
      <c r="F97" s="7" t="n"/>
      <c r="G97" s="120" t="n"/>
      <c r="H97" s="7" t="n"/>
      <c r="I97" s="7" t="n"/>
      <c r="J97" s="7" t="n"/>
      <c r="K97" s="7" t="n"/>
      <c r="L97" s="7" t="n"/>
      <c r="M97" s="7" t="n"/>
      <c r="N97" s="7" t="n"/>
      <c r="O97" s="7" t="n"/>
      <c r="P97" s="7" t="n"/>
      <c r="Q97" s="7" t="n"/>
      <c r="R97" s="7" t="n"/>
      <c r="S97" s="7" t="n"/>
      <c r="T97" s="7" t="n"/>
      <c r="U97" s="7" t="n"/>
      <c r="V97" s="7" t="n"/>
      <c r="W97" s="7" t="n"/>
      <c r="X97" s="7" t="n"/>
      <c r="Y97" s="7" t="n"/>
      <c r="Z97" s="7" t="n"/>
      <c r="AA97" s="7" t="n"/>
    </row>
    <row r="98" ht="14.5" customHeight="1" s="165">
      <c r="A98" s="7" t="n"/>
      <c r="B98" s="7" t="n"/>
      <c r="C98" s="7" t="n"/>
      <c r="D98" s="7" t="n"/>
      <c r="E98" s="7" t="n"/>
      <c r="F98" s="7" t="n"/>
      <c r="G98" s="120" t="n"/>
      <c r="H98" s="7" t="n"/>
      <c r="I98" s="7" t="n"/>
      <c r="J98" s="7" t="n"/>
      <c r="K98" s="7" t="n"/>
      <c r="L98" s="7" t="n"/>
      <c r="M98" s="7" t="n"/>
      <c r="N98" s="7" t="n"/>
      <c r="O98" s="7" t="n"/>
      <c r="P98" s="7" t="n"/>
      <c r="Q98" s="7" t="n"/>
      <c r="R98" s="7" t="n"/>
      <c r="S98" s="7" t="n"/>
      <c r="T98" s="7" t="n"/>
      <c r="U98" s="7" t="n"/>
      <c r="V98" s="7" t="n"/>
      <c r="W98" s="7" t="n"/>
      <c r="X98" s="7" t="n"/>
      <c r="Y98" s="7" t="n"/>
      <c r="Z98" s="7" t="n"/>
      <c r="AA98" s="7" t="n"/>
    </row>
    <row r="99" ht="14.5" customHeight="1" s="165">
      <c r="A99" s="7" t="n"/>
      <c r="B99" s="7" t="n"/>
      <c r="C99" s="7" t="n"/>
      <c r="D99" s="7" t="n"/>
      <c r="E99" s="7" t="n"/>
      <c r="F99" s="7" t="n"/>
      <c r="G99" s="120" t="n"/>
      <c r="H99" s="7" t="n"/>
      <c r="I99" s="7" t="n"/>
      <c r="J99" s="7" t="n"/>
      <c r="K99" s="7" t="n"/>
      <c r="L99" s="7" t="n"/>
      <c r="M99" s="7" t="n"/>
      <c r="N99" s="7" t="n"/>
      <c r="O99" s="7" t="n"/>
      <c r="P99" s="7" t="n"/>
      <c r="Q99" s="7" t="n"/>
      <c r="R99" s="7" t="n"/>
      <c r="S99" s="7" t="n"/>
      <c r="T99" s="7" t="n"/>
      <c r="U99" s="7" t="n"/>
      <c r="V99" s="7" t="n"/>
      <c r="W99" s="7" t="n"/>
      <c r="X99" s="7" t="n"/>
      <c r="Y99" s="7" t="n"/>
      <c r="Z99" s="7" t="n"/>
      <c r="AA99" s="7" t="n"/>
    </row>
    <row r="100" ht="14.5" customHeight="1" s="165">
      <c r="A100" s="7" t="n"/>
      <c r="B100" s="7" t="n"/>
      <c r="C100" s="7" t="n"/>
      <c r="D100" s="7" t="n"/>
      <c r="E100" s="7" t="n"/>
      <c r="F100" s="7" t="n"/>
      <c r="G100" s="120"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row>
    <row r="101" ht="14.5" customHeight="1" s="165">
      <c r="A101" s="7" t="n"/>
      <c r="B101" s="7" t="n"/>
      <c r="C101" s="7" t="n"/>
      <c r="D101" s="7" t="n"/>
      <c r="E101" s="7" t="n"/>
      <c r="F101" s="7" t="n"/>
      <c r="G101" s="120"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row>
    <row r="102" ht="14.5" customHeight="1" s="165">
      <c r="A102" s="7" t="n"/>
      <c r="B102" s="7" t="n"/>
      <c r="C102" s="7" t="n"/>
      <c r="D102" s="7" t="n"/>
      <c r="E102" s="7" t="n"/>
      <c r="F102" s="7" t="n"/>
      <c r="G102" s="120"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row>
    <row r="103" ht="14.5" customHeight="1" s="165">
      <c r="A103" s="7" t="n"/>
      <c r="B103" s="7" t="n"/>
      <c r="C103" s="7" t="n"/>
      <c r="D103" s="7" t="n"/>
      <c r="E103" s="7" t="n"/>
      <c r="F103" s="7" t="n"/>
      <c r="G103" s="120"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row>
    <row r="104" ht="14.5" customHeight="1" s="165">
      <c r="A104" s="7" t="n"/>
      <c r="B104" s="7" t="n"/>
      <c r="C104" s="7" t="n"/>
      <c r="D104" s="7" t="n"/>
      <c r="E104" s="7" t="n"/>
      <c r="F104" s="7" t="n"/>
      <c r="G104" s="120"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row>
    <row r="105" ht="14.5" customHeight="1" s="165">
      <c r="A105" s="7" t="n"/>
      <c r="B105" s="7" t="n"/>
      <c r="C105" s="7" t="n"/>
      <c r="D105" s="7" t="n"/>
      <c r="E105" s="7" t="n"/>
      <c r="F105" s="7" t="n"/>
      <c r="G105" s="120"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row>
    <row r="106" ht="14.5" customHeight="1" s="165">
      <c r="A106" s="7" t="n"/>
      <c r="B106" s="7" t="n"/>
      <c r="C106" s="7" t="n"/>
      <c r="D106" s="7" t="n"/>
      <c r="E106" s="7" t="n"/>
      <c r="F106" s="7" t="n"/>
      <c r="G106" s="120"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row>
    <row r="107" ht="14.5" customHeight="1" s="165">
      <c r="A107" s="7" t="n"/>
      <c r="B107" s="7" t="n"/>
      <c r="C107" s="7" t="n"/>
      <c r="D107" s="7" t="n"/>
      <c r="E107" s="7" t="n"/>
      <c r="F107" s="7" t="n"/>
      <c r="G107" s="120"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row>
    <row r="108" ht="14.5" customHeight="1" s="165">
      <c r="A108" s="7" t="n"/>
      <c r="B108" s="7" t="n"/>
      <c r="C108" s="7" t="n"/>
      <c r="D108" s="7" t="n"/>
      <c r="E108" s="7" t="n"/>
      <c r="F108" s="7" t="n"/>
      <c r="G108" s="120"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row>
    <row r="109" ht="14.5" customHeight="1" s="165">
      <c r="A109" s="7" t="n"/>
      <c r="B109" s="7" t="n"/>
      <c r="C109" s="7" t="n"/>
      <c r="D109" s="7" t="n"/>
      <c r="E109" s="7" t="n"/>
      <c r="F109" s="7" t="n"/>
      <c r="G109" s="120"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row>
    <row r="110" ht="14.5" customHeight="1" s="165">
      <c r="A110" s="7" t="n"/>
      <c r="B110" s="7" t="n"/>
      <c r="C110" s="7" t="n"/>
      <c r="D110" s="7" t="n"/>
      <c r="E110" s="7" t="n"/>
      <c r="F110" s="7" t="n"/>
      <c r="G110" s="120"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row>
    <row r="111" ht="14.5" customHeight="1" s="165">
      <c r="A111" s="7" t="n"/>
      <c r="B111" s="7" t="n"/>
      <c r="C111" s="7" t="n"/>
      <c r="D111" s="7" t="n"/>
      <c r="E111" s="7" t="n"/>
      <c r="F111" s="7" t="n"/>
      <c r="G111" s="120"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row>
    <row r="112" ht="14.5" customHeight="1" s="165">
      <c r="A112" s="7" t="n"/>
      <c r="B112" s="7" t="n"/>
      <c r="C112" s="7" t="n"/>
      <c r="D112" s="7" t="n"/>
      <c r="E112" s="7" t="n"/>
      <c r="F112" s="7" t="n"/>
      <c r="G112" s="120"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row>
    <row r="113" ht="14.5" customHeight="1" s="165">
      <c r="A113" s="7" t="n"/>
      <c r="B113" s="7" t="n"/>
      <c r="C113" s="7" t="n"/>
      <c r="D113" s="7" t="n"/>
      <c r="E113" s="7" t="n"/>
      <c r="F113" s="7" t="n"/>
      <c r="G113" s="120"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row>
    <row r="114" ht="14.5" customHeight="1" s="165">
      <c r="A114" s="7" t="n"/>
      <c r="B114" s="7" t="n"/>
      <c r="C114" s="7" t="n"/>
      <c r="D114" s="7" t="n"/>
      <c r="E114" s="7" t="n"/>
      <c r="F114" s="7" t="n"/>
      <c r="G114" s="120"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row>
    <row r="115" ht="14.5" customHeight="1" s="165">
      <c r="A115" s="7" t="n"/>
      <c r="B115" s="7" t="n"/>
      <c r="C115" s="7" t="n"/>
      <c r="D115" s="7" t="n"/>
      <c r="E115" s="7" t="n"/>
      <c r="F115" s="7" t="n"/>
      <c r="G115" s="120"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row>
    <row r="116" ht="14.5" customHeight="1" s="165">
      <c r="A116" s="7" t="n"/>
      <c r="B116" s="7" t="n"/>
      <c r="C116" s="7" t="n"/>
      <c r="D116" s="7" t="n"/>
      <c r="E116" s="7" t="n"/>
      <c r="F116" s="7" t="n"/>
      <c r="G116" s="120"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row>
    <row r="117" ht="14.5" customHeight="1" s="165">
      <c r="A117" s="7" t="n"/>
      <c r="B117" s="7" t="n"/>
      <c r="C117" s="7" t="n"/>
      <c r="D117" s="7" t="n"/>
      <c r="E117" s="7" t="n"/>
      <c r="F117" s="7" t="n"/>
      <c r="G117" s="120"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row>
    <row r="118" ht="14.5" customHeight="1" s="165">
      <c r="A118" s="7" t="n"/>
      <c r="B118" s="7" t="n"/>
      <c r="C118" s="7" t="n"/>
      <c r="D118" s="7" t="n"/>
      <c r="E118" s="7" t="n"/>
      <c r="F118" s="7" t="n"/>
      <c r="G118" s="120"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row>
    <row r="119" ht="14.5" customHeight="1" s="165">
      <c r="A119" s="7" t="n"/>
      <c r="B119" s="7" t="n"/>
      <c r="C119" s="7" t="n"/>
      <c r="D119" s="7" t="n"/>
      <c r="E119" s="7" t="n"/>
      <c r="F119" s="7" t="n"/>
      <c r="G119" s="120"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row>
    <row r="120" ht="14.5" customHeight="1" s="165">
      <c r="A120" s="7" t="n"/>
      <c r="B120" s="7" t="n"/>
      <c r="C120" s="7" t="n"/>
      <c r="D120" s="7" t="n"/>
      <c r="E120" s="7" t="n"/>
      <c r="F120" s="7" t="n"/>
      <c r="G120" s="120"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row>
    <row r="121" ht="14.5" customHeight="1" s="165">
      <c r="A121" s="7" t="n"/>
      <c r="B121" s="7" t="n"/>
      <c r="C121" s="7" t="n"/>
      <c r="D121" s="7" t="n"/>
      <c r="E121" s="7" t="n"/>
      <c r="F121" s="7" t="n"/>
      <c r="G121" s="120"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row>
    <row r="122" ht="14.5" customHeight="1" s="165">
      <c r="A122" s="7" t="n"/>
      <c r="B122" s="7" t="n"/>
      <c r="C122" s="7" t="n"/>
      <c r="D122" s="7" t="n"/>
      <c r="E122" s="7" t="n"/>
      <c r="F122" s="7" t="n"/>
      <c r="G122" s="120"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row>
    <row r="123" ht="14.5" customHeight="1" s="165">
      <c r="A123" s="7" t="n"/>
      <c r="B123" s="7" t="n"/>
      <c r="C123" s="7" t="n"/>
      <c r="D123" s="7" t="n"/>
      <c r="E123" s="7" t="n"/>
      <c r="F123" s="7" t="n"/>
      <c r="G123" s="120"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row>
    <row r="124" ht="14.5" customHeight="1" s="165">
      <c r="A124" s="7" t="n"/>
      <c r="B124" s="7" t="n"/>
      <c r="C124" s="7" t="n"/>
      <c r="D124" s="7" t="n"/>
      <c r="E124" s="7" t="n"/>
      <c r="F124" s="7" t="n"/>
      <c r="G124" s="120"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row>
    <row r="125" ht="14.5" customHeight="1" s="165">
      <c r="A125" s="7" t="n"/>
      <c r="B125" s="7" t="n"/>
      <c r="C125" s="7" t="n"/>
      <c r="D125" s="7" t="n"/>
      <c r="E125" s="7" t="n"/>
      <c r="F125" s="7" t="n"/>
      <c r="G125" s="120"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row>
    <row r="126" ht="14.5" customHeight="1" s="165">
      <c r="A126" s="7" t="n"/>
      <c r="B126" s="7" t="n"/>
      <c r="C126" s="7" t="n"/>
      <c r="D126" s="7" t="n"/>
      <c r="E126" s="7" t="n"/>
      <c r="F126" s="7" t="n"/>
      <c r="G126" s="120"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row>
    <row r="127" ht="14.5" customHeight="1" s="165">
      <c r="A127" s="7" t="n"/>
      <c r="B127" s="7" t="n"/>
      <c r="C127" s="7" t="n"/>
      <c r="D127" s="7" t="n"/>
      <c r="E127" s="7" t="n"/>
      <c r="F127" s="7" t="n"/>
      <c r="G127" s="120"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row>
    <row r="128" ht="14.5" customHeight="1" s="165">
      <c r="A128" s="7" t="n"/>
      <c r="B128" s="7" t="n"/>
      <c r="C128" s="7" t="n"/>
      <c r="D128" s="7" t="n"/>
      <c r="E128" s="7" t="n"/>
      <c r="F128" s="7" t="n"/>
      <c r="G128" s="120"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row>
    <row r="129" ht="14.5" customHeight="1" s="165">
      <c r="A129" s="7" t="n"/>
      <c r="B129" s="7" t="n"/>
      <c r="C129" s="7" t="n"/>
      <c r="D129" s="7" t="n"/>
      <c r="E129" s="7" t="n"/>
      <c r="F129" s="7" t="n"/>
      <c r="G129" s="120"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row>
    <row r="130" ht="14.5" customHeight="1" s="165">
      <c r="A130" s="7" t="n"/>
      <c r="B130" s="7" t="n"/>
      <c r="C130" s="7" t="n"/>
      <c r="D130" s="7" t="n"/>
      <c r="E130" s="7" t="n"/>
      <c r="F130" s="7" t="n"/>
      <c r="G130" s="120"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row>
    <row r="131" ht="14.5" customHeight="1" s="165">
      <c r="A131" s="7" t="n"/>
      <c r="B131" s="7" t="n"/>
      <c r="C131" s="7" t="n"/>
      <c r="D131" s="7" t="n"/>
      <c r="E131" s="7" t="n"/>
      <c r="F131" s="7" t="n"/>
      <c r="G131" s="120"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row>
    <row r="132" ht="14.5" customHeight="1" s="165">
      <c r="A132" s="7" t="n"/>
      <c r="B132" s="7" t="n"/>
      <c r="C132" s="7" t="n"/>
      <c r="D132" s="7" t="n"/>
      <c r="E132" s="7" t="n"/>
      <c r="F132" s="7" t="n"/>
      <c r="G132" s="120"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row>
    <row r="133" ht="14.5" customHeight="1" s="165">
      <c r="A133" s="7" t="n"/>
      <c r="B133" s="7" t="n"/>
      <c r="C133" s="7" t="n"/>
      <c r="D133" s="7" t="n"/>
      <c r="E133" s="7" t="n"/>
      <c r="F133" s="7" t="n"/>
      <c r="G133" s="120"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row>
    <row r="134" ht="14.5" customHeight="1" s="165">
      <c r="A134" s="7" t="n"/>
      <c r="B134" s="7" t="n"/>
      <c r="C134" s="7" t="n"/>
      <c r="D134" s="7" t="n"/>
      <c r="E134" s="7" t="n"/>
      <c r="F134" s="7" t="n"/>
      <c r="G134" s="120"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row>
    <row r="135" ht="14.5" customHeight="1" s="165">
      <c r="A135" s="7" t="n"/>
      <c r="B135" s="7" t="n"/>
      <c r="C135" s="7" t="n"/>
      <c r="D135" s="7" t="n"/>
      <c r="E135" s="7" t="n"/>
      <c r="F135" s="7" t="n"/>
      <c r="G135" s="120"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row>
    <row r="136" ht="14.5" customHeight="1" s="165">
      <c r="A136" s="7" t="n"/>
      <c r="B136" s="7" t="n"/>
      <c r="C136" s="7" t="n"/>
      <c r="D136" s="7" t="n"/>
      <c r="E136" s="7" t="n"/>
      <c r="F136" s="7" t="n"/>
      <c r="G136" s="120"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row>
    <row r="137" ht="14.5" customHeight="1" s="165">
      <c r="A137" s="7" t="n"/>
      <c r="B137" s="7" t="n"/>
      <c r="C137" s="7" t="n"/>
      <c r="D137" s="7" t="n"/>
      <c r="E137" s="7" t="n"/>
      <c r="F137" s="7" t="n"/>
      <c r="G137" s="120"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row>
    <row r="138" ht="14.5" customHeight="1" s="165">
      <c r="A138" s="7" t="n"/>
      <c r="B138" s="7" t="n"/>
      <c r="C138" s="7" t="n"/>
      <c r="D138" s="7" t="n"/>
      <c r="E138" s="7" t="n"/>
      <c r="F138" s="7" t="n"/>
      <c r="G138" s="120"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row>
    <row r="139" ht="14.5" customHeight="1" s="165">
      <c r="A139" s="7" t="n"/>
      <c r="B139" s="7" t="n"/>
      <c r="C139" s="7" t="n"/>
      <c r="D139" s="7" t="n"/>
      <c r="E139" s="7" t="n"/>
      <c r="F139" s="7" t="n"/>
      <c r="G139" s="120"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row>
    <row r="140" ht="14.5" customHeight="1" s="165">
      <c r="A140" s="7" t="n"/>
      <c r="B140" s="7" t="n"/>
      <c r="C140" s="7" t="n"/>
      <c r="D140" s="7" t="n"/>
      <c r="E140" s="7" t="n"/>
      <c r="F140" s="7" t="n"/>
      <c r="G140" s="120"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row>
    <row r="141" ht="14.5" customHeight="1" s="165">
      <c r="A141" s="7" t="n"/>
      <c r="B141" s="7" t="n"/>
      <c r="C141" s="7" t="n"/>
      <c r="D141" s="7" t="n"/>
      <c r="E141" s="7" t="n"/>
      <c r="F141" s="7" t="n"/>
      <c r="G141" s="120"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row>
    <row r="142" ht="14.5" customHeight="1" s="165">
      <c r="A142" s="7" t="n"/>
      <c r="B142" s="7" t="n"/>
      <c r="C142" s="7" t="n"/>
      <c r="D142" s="7" t="n"/>
      <c r="E142" s="7" t="n"/>
      <c r="F142" s="7" t="n"/>
      <c r="G142" s="120"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row>
    <row r="143" ht="14.5" customHeight="1" s="165">
      <c r="A143" s="7" t="n"/>
      <c r="B143" s="7" t="n"/>
      <c r="C143" s="7" t="n"/>
      <c r="D143" s="7" t="n"/>
      <c r="E143" s="7" t="n"/>
      <c r="F143" s="7" t="n"/>
      <c r="G143" s="120"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row>
    <row r="144" ht="14.5" customHeight="1" s="165">
      <c r="A144" s="7" t="n"/>
      <c r="B144" s="7" t="n"/>
      <c r="C144" s="7" t="n"/>
      <c r="D144" s="7" t="n"/>
      <c r="E144" s="7" t="n"/>
      <c r="F144" s="7" t="n"/>
      <c r="G144" s="120"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row>
    <row r="145" ht="14.5" customHeight="1" s="165">
      <c r="A145" s="7" t="n"/>
      <c r="B145" s="7" t="n"/>
      <c r="C145" s="7" t="n"/>
      <c r="D145" s="7" t="n"/>
      <c r="E145" s="7" t="n"/>
      <c r="F145" s="7" t="n"/>
      <c r="G145" s="120"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row>
    <row r="146" ht="14.5" customHeight="1" s="165">
      <c r="A146" s="7" t="n"/>
      <c r="B146" s="7" t="n"/>
      <c r="C146" s="7" t="n"/>
      <c r="D146" s="7" t="n"/>
      <c r="E146" s="7" t="n"/>
      <c r="F146" s="7" t="n"/>
      <c r="G146" s="120"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row>
    <row r="147" ht="14.5" customHeight="1" s="165">
      <c r="A147" s="7" t="n"/>
      <c r="B147" s="7" t="n"/>
      <c r="C147" s="7" t="n"/>
      <c r="D147" s="7" t="n"/>
      <c r="E147" s="7" t="n"/>
      <c r="F147" s="7" t="n"/>
      <c r="G147" s="120"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row>
    <row r="148" ht="14.5" customHeight="1" s="165">
      <c r="A148" s="7" t="n"/>
      <c r="B148" s="7" t="n"/>
      <c r="C148" s="7" t="n"/>
      <c r="D148" s="7" t="n"/>
      <c r="E148" s="7" t="n"/>
      <c r="F148" s="7" t="n"/>
      <c r="G148" s="120"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row>
    <row r="149" ht="14.5" customHeight="1" s="165">
      <c r="A149" s="7" t="n"/>
      <c r="B149" s="7" t="n"/>
      <c r="C149" s="7" t="n"/>
      <c r="D149" s="7" t="n"/>
      <c r="E149" s="7" t="n"/>
      <c r="F149" s="7" t="n"/>
      <c r="G149" s="120"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row>
    <row r="150" ht="14.5" customHeight="1" s="165">
      <c r="A150" s="7" t="n"/>
      <c r="B150" s="7" t="n"/>
      <c r="C150" s="7" t="n"/>
      <c r="D150" s="7" t="n"/>
      <c r="E150" s="7" t="n"/>
      <c r="F150" s="7" t="n"/>
      <c r="G150" s="120"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row>
    <row r="151" ht="14.5" customHeight="1" s="165">
      <c r="A151" s="7" t="n"/>
      <c r="B151" s="7" t="n"/>
      <c r="C151" s="7" t="n"/>
      <c r="D151" s="7" t="n"/>
      <c r="E151" s="7" t="n"/>
      <c r="F151" s="7" t="n"/>
      <c r="G151" s="120"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row>
    <row r="152" ht="14.5" customHeight="1" s="165">
      <c r="A152" s="7" t="n"/>
      <c r="B152" s="7" t="n"/>
      <c r="C152" s="7" t="n"/>
      <c r="D152" s="7" t="n"/>
      <c r="E152" s="7" t="n"/>
      <c r="F152" s="7" t="n"/>
      <c r="G152" s="120"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row>
    <row r="153" ht="14.5" customHeight="1" s="165">
      <c r="A153" s="7" t="n"/>
      <c r="B153" s="7" t="n"/>
      <c r="C153" s="7" t="n"/>
      <c r="D153" s="7" t="n"/>
      <c r="E153" s="7" t="n"/>
      <c r="F153" s="7" t="n"/>
      <c r="G153" s="120"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row>
    <row r="154" ht="14.5" customHeight="1" s="165">
      <c r="A154" s="7" t="n"/>
      <c r="B154" s="7" t="n"/>
      <c r="C154" s="7" t="n"/>
      <c r="D154" s="7" t="n"/>
      <c r="E154" s="7" t="n"/>
      <c r="F154" s="7" t="n"/>
      <c r="G154" s="120"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row>
    <row r="155" ht="14.5" customHeight="1" s="165">
      <c r="A155" s="7" t="n"/>
      <c r="B155" s="7" t="n"/>
      <c r="C155" s="7" t="n"/>
      <c r="D155" s="7" t="n"/>
      <c r="E155" s="7" t="n"/>
      <c r="F155" s="7" t="n"/>
      <c r="G155" s="120"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row>
    <row r="156" ht="14.5" customHeight="1" s="165">
      <c r="A156" s="7" t="n"/>
      <c r="B156" s="7" t="n"/>
      <c r="C156" s="7" t="n"/>
      <c r="D156" s="7" t="n"/>
      <c r="E156" s="7" t="n"/>
      <c r="F156" s="7" t="n"/>
      <c r="G156" s="120"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row>
    <row r="157" ht="14.5" customHeight="1" s="165">
      <c r="A157" s="7" t="n"/>
      <c r="B157" s="7" t="n"/>
      <c r="C157" s="7" t="n"/>
      <c r="D157" s="7" t="n"/>
      <c r="E157" s="7" t="n"/>
      <c r="F157" s="7" t="n"/>
      <c r="G157" s="120"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row>
    <row r="158" ht="14.5" customHeight="1" s="165">
      <c r="A158" s="7" t="n"/>
      <c r="B158" s="7" t="n"/>
      <c r="C158" s="7" t="n"/>
      <c r="D158" s="7" t="n"/>
      <c r="E158" s="7" t="n"/>
      <c r="F158" s="7" t="n"/>
      <c r="G158" s="120"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row>
    <row r="159" ht="14.5" customHeight="1" s="165">
      <c r="A159" s="7" t="n"/>
      <c r="B159" s="7" t="n"/>
      <c r="C159" s="7" t="n"/>
      <c r="D159" s="7" t="n"/>
      <c r="E159" s="7" t="n"/>
      <c r="F159" s="7" t="n"/>
      <c r="G159" s="120"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row>
    <row r="160" ht="14.5" customHeight="1" s="165">
      <c r="A160" s="7" t="n"/>
      <c r="B160" s="7" t="n"/>
      <c r="C160" s="7" t="n"/>
      <c r="D160" s="7" t="n"/>
      <c r="E160" s="7" t="n"/>
      <c r="F160" s="7" t="n"/>
      <c r="G160" s="120"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row>
    <row r="161" ht="14.5" customHeight="1" s="165">
      <c r="A161" s="7" t="n"/>
      <c r="B161" s="7" t="n"/>
      <c r="C161" s="7" t="n"/>
      <c r="D161" s="7" t="n"/>
      <c r="E161" s="7" t="n"/>
      <c r="F161" s="7" t="n"/>
      <c r="G161" s="120"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row>
    <row r="162" ht="14.5" customHeight="1" s="165">
      <c r="A162" s="7" t="n"/>
      <c r="B162" s="7" t="n"/>
      <c r="C162" s="7" t="n"/>
      <c r="D162" s="7" t="n"/>
      <c r="E162" s="7" t="n"/>
      <c r="F162" s="7" t="n"/>
      <c r="G162" s="120"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row>
    <row r="163" ht="14.5" customHeight="1" s="165">
      <c r="A163" s="7" t="n"/>
      <c r="B163" s="7" t="n"/>
      <c r="C163" s="7" t="n"/>
      <c r="D163" s="7" t="n"/>
      <c r="E163" s="7" t="n"/>
      <c r="F163" s="7" t="n"/>
      <c r="G163" s="120"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row>
    <row r="164" ht="14.5" customHeight="1" s="165">
      <c r="A164" s="7" t="n"/>
      <c r="B164" s="7" t="n"/>
      <c r="C164" s="7" t="n"/>
      <c r="D164" s="7" t="n"/>
      <c r="E164" s="7" t="n"/>
      <c r="F164" s="7" t="n"/>
      <c r="G164" s="120"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row>
    <row r="165" ht="14.5" customHeight="1" s="165">
      <c r="A165" s="7" t="n"/>
      <c r="B165" s="7" t="n"/>
      <c r="C165" s="7" t="n"/>
      <c r="D165" s="7" t="n"/>
      <c r="E165" s="7" t="n"/>
      <c r="F165" s="7" t="n"/>
      <c r="G165" s="120"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row>
    <row r="166" ht="14.5" customHeight="1" s="165">
      <c r="A166" s="7" t="n"/>
      <c r="B166" s="7" t="n"/>
      <c r="C166" s="7" t="n"/>
      <c r="D166" s="7" t="n"/>
      <c r="E166" s="7" t="n"/>
      <c r="F166" s="7" t="n"/>
      <c r="G166" s="120"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row>
    <row r="167" ht="14.5" customHeight="1" s="165">
      <c r="A167" s="7" t="n"/>
      <c r="B167" s="7" t="n"/>
      <c r="C167" s="7" t="n"/>
      <c r="D167" s="7" t="n"/>
      <c r="E167" s="7" t="n"/>
      <c r="F167" s="7" t="n"/>
      <c r="G167" s="120"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row>
    <row r="168" ht="14.5" customHeight="1" s="165">
      <c r="A168" s="7" t="n"/>
      <c r="B168" s="7" t="n"/>
      <c r="C168" s="7" t="n"/>
      <c r="D168" s="7" t="n"/>
      <c r="E168" s="7" t="n"/>
      <c r="F168" s="7" t="n"/>
      <c r="G168" s="120"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row>
    <row r="169" ht="14.5" customHeight="1" s="165">
      <c r="A169" s="7" t="n"/>
      <c r="B169" s="7" t="n"/>
      <c r="C169" s="7" t="n"/>
      <c r="D169" s="7" t="n"/>
      <c r="E169" s="7" t="n"/>
      <c r="F169" s="7" t="n"/>
      <c r="G169" s="120"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row>
    <row r="170" ht="14.5" customHeight="1" s="165">
      <c r="A170" s="7" t="n"/>
      <c r="B170" s="7" t="n"/>
      <c r="C170" s="7" t="n"/>
      <c r="D170" s="7" t="n"/>
      <c r="E170" s="7" t="n"/>
      <c r="F170" s="7" t="n"/>
      <c r="G170" s="120"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row>
    <row r="171" ht="14.5" customHeight="1" s="165">
      <c r="A171" s="7" t="n"/>
      <c r="B171" s="7" t="n"/>
      <c r="C171" s="7" t="n"/>
      <c r="D171" s="7" t="n"/>
      <c r="E171" s="7" t="n"/>
      <c r="F171" s="7" t="n"/>
      <c r="G171" s="120"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row>
    <row r="172" ht="14.5" customHeight="1" s="165">
      <c r="A172" s="7" t="n"/>
      <c r="B172" s="7" t="n"/>
      <c r="C172" s="7" t="n"/>
      <c r="D172" s="7" t="n"/>
      <c r="E172" s="7" t="n"/>
      <c r="F172" s="7" t="n"/>
      <c r="G172" s="120"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row>
    <row r="173" ht="14.5" customHeight="1" s="165">
      <c r="A173" s="7" t="n"/>
      <c r="B173" s="7" t="n"/>
      <c r="C173" s="7" t="n"/>
      <c r="D173" s="7" t="n"/>
      <c r="E173" s="7" t="n"/>
      <c r="F173" s="7" t="n"/>
      <c r="G173" s="120"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row>
    <row r="174" ht="14.5" customHeight="1" s="165">
      <c r="A174" s="7" t="n"/>
      <c r="B174" s="7" t="n"/>
      <c r="C174" s="7" t="n"/>
      <c r="D174" s="7" t="n"/>
      <c r="E174" s="7" t="n"/>
      <c r="F174" s="7" t="n"/>
      <c r="G174" s="120"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row>
    <row r="175" ht="14.5" customHeight="1" s="165">
      <c r="A175" s="7" t="n"/>
      <c r="B175" s="7" t="n"/>
      <c r="C175" s="7" t="n"/>
      <c r="D175" s="7" t="n"/>
      <c r="E175" s="7" t="n"/>
      <c r="F175" s="7" t="n"/>
      <c r="G175" s="120"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row>
    <row r="176" ht="14.5" customHeight="1" s="165">
      <c r="A176" s="7" t="n"/>
      <c r="B176" s="7" t="n"/>
      <c r="C176" s="7" t="n"/>
      <c r="D176" s="7" t="n"/>
      <c r="E176" s="7" t="n"/>
      <c r="F176" s="7" t="n"/>
      <c r="G176" s="120"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row>
    <row r="177" ht="14.5" customHeight="1" s="165">
      <c r="A177" s="7" t="n"/>
      <c r="B177" s="7" t="n"/>
      <c r="C177" s="7" t="n"/>
      <c r="D177" s="7" t="n"/>
      <c r="E177" s="7" t="n"/>
      <c r="F177" s="7" t="n"/>
      <c r="G177" s="120"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row>
    <row r="178" ht="14.5" customHeight="1" s="165">
      <c r="A178" s="7" t="n"/>
      <c r="B178" s="7" t="n"/>
      <c r="C178" s="7" t="n"/>
      <c r="D178" s="7" t="n"/>
      <c r="E178" s="7" t="n"/>
      <c r="F178" s="7" t="n"/>
      <c r="G178" s="120"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row>
    <row r="179" ht="14.5" customHeight="1" s="165">
      <c r="A179" s="7" t="n"/>
      <c r="B179" s="7" t="n"/>
      <c r="C179" s="7" t="n"/>
      <c r="D179" s="7" t="n"/>
      <c r="E179" s="7" t="n"/>
      <c r="F179" s="7" t="n"/>
      <c r="G179" s="120"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row>
    <row r="180" ht="14.5" customHeight="1" s="165">
      <c r="A180" s="7" t="n"/>
      <c r="B180" s="7" t="n"/>
      <c r="C180" s="7" t="n"/>
      <c r="D180" s="7" t="n"/>
      <c r="E180" s="7" t="n"/>
      <c r="F180" s="7" t="n"/>
      <c r="G180" s="120"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row>
    <row r="181" ht="14.5" customHeight="1" s="165">
      <c r="A181" s="7" t="n"/>
      <c r="B181" s="7" t="n"/>
      <c r="C181" s="7" t="n"/>
      <c r="D181" s="7" t="n"/>
      <c r="E181" s="7" t="n"/>
      <c r="F181" s="7" t="n"/>
      <c r="G181" s="120"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row>
    <row r="182" ht="14.5" customHeight="1" s="165">
      <c r="A182" s="7" t="n"/>
      <c r="B182" s="7" t="n"/>
      <c r="C182" s="7" t="n"/>
      <c r="D182" s="7" t="n"/>
      <c r="E182" s="7" t="n"/>
      <c r="F182" s="7" t="n"/>
      <c r="G182" s="120"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row>
    <row r="183" ht="14.5" customHeight="1" s="165">
      <c r="A183" s="7" t="n"/>
      <c r="B183" s="7" t="n"/>
      <c r="C183" s="7" t="n"/>
      <c r="D183" s="7" t="n"/>
      <c r="E183" s="7" t="n"/>
      <c r="F183" s="7" t="n"/>
      <c r="G183" s="120"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row>
    <row r="184" ht="14.5" customHeight="1" s="165">
      <c r="A184" s="7" t="n"/>
      <c r="B184" s="7" t="n"/>
      <c r="C184" s="7" t="n"/>
      <c r="D184" s="7" t="n"/>
      <c r="E184" s="7" t="n"/>
      <c r="F184" s="7" t="n"/>
      <c r="G184" s="120"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row>
    <row r="185" ht="14.5" customHeight="1" s="165">
      <c r="A185" s="7" t="n"/>
      <c r="B185" s="7" t="n"/>
      <c r="C185" s="7" t="n"/>
      <c r="D185" s="7" t="n"/>
      <c r="E185" s="7" t="n"/>
      <c r="F185" s="7" t="n"/>
      <c r="G185" s="120"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row>
    <row r="186" ht="14.5" customHeight="1" s="165">
      <c r="A186" s="7" t="n"/>
      <c r="B186" s="7" t="n"/>
      <c r="C186" s="7" t="n"/>
      <c r="D186" s="7" t="n"/>
      <c r="E186" s="7" t="n"/>
      <c r="F186" s="7" t="n"/>
      <c r="G186" s="120"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row>
    <row r="187" ht="14.5" customHeight="1" s="165">
      <c r="A187" s="7" t="n"/>
      <c r="B187" s="7" t="n"/>
      <c r="C187" s="7" t="n"/>
      <c r="D187" s="7" t="n"/>
      <c r="E187" s="7" t="n"/>
      <c r="F187" s="7" t="n"/>
      <c r="G187" s="120"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row>
    <row r="188" ht="14.5" customHeight="1" s="165">
      <c r="A188" s="7" t="n"/>
      <c r="B188" s="7" t="n"/>
      <c r="C188" s="7" t="n"/>
      <c r="D188" s="7" t="n"/>
      <c r="E188" s="7" t="n"/>
      <c r="F188" s="7" t="n"/>
      <c r="G188" s="120"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row>
    <row r="189" ht="14.5" customHeight="1" s="165">
      <c r="A189" s="7" t="n"/>
      <c r="B189" s="7" t="n"/>
      <c r="C189" s="7" t="n"/>
      <c r="D189" s="7" t="n"/>
      <c r="E189" s="7" t="n"/>
      <c r="F189" s="7" t="n"/>
      <c r="G189" s="120"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row>
    <row r="190" ht="14.5" customHeight="1" s="165">
      <c r="A190" s="7" t="n"/>
      <c r="B190" s="7" t="n"/>
      <c r="C190" s="7" t="n"/>
      <c r="D190" s="7" t="n"/>
      <c r="E190" s="7" t="n"/>
      <c r="F190" s="7" t="n"/>
      <c r="G190" s="120"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row>
    <row r="191" ht="14.5" customHeight="1" s="165">
      <c r="A191" s="7" t="n"/>
      <c r="B191" s="7" t="n"/>
      <c r="C191" s="7" t="n"/>
      <c r="D191" s="7" t="n"/>
      <c r="E191" s="7" t="n"/>
      <c r="F191" s="7" t="n"/>
      <c r="G191" s="120"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row>
    <row r="192" ht="14.5" customHeight="1" s="165">
      <c r="A192" s="7" t="n"/>
      <c r="B192" s="7" t="n"/>
      <c r="C192" s="7" t="n"/>
      <c r="D192" s="7" t="n"/>
      <c r="E192" s="7" t="n"/>
      <c r="F192" s="7" t="n"/>
      <c r="G192" s="120"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row>
    <row r="193" ht="14.5" customHeight="1" s="165">
      <c r="A193" s="7" t="n"/>
      <c r="B193" s="7" t="n"/>
      <c r="C193" s="7" t="n"/>
      <c r="D193" s="7" t="n"/>
      <c r="E193" s="7" t="n"/>
      <c r="F193" s="7" t="n"/>
      <c r="G193" s="120"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row>
    <row r="194" ht="14.5" customHeight="1" s="165">
      <c r="A194" s="7" t="n"/>
      <c r="B194" s="7" t="n"/>
      <c r="C194" s="7" t="n"/>
      <c r="D194" s="7" t="n"/>
      <c r="E194" s="7" t="n"/>
      <c r="F194" s="7" t="n"/>
      <c r="G194" s="120"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row>
    <row r="195" ht="14.5" customHeight="1" s="165">
      <c r="A195" s="7" t="n"/>
      <c r="B195" s="7" t="n"/>
      <c r="C195" s="7" t="n"/>
      <c r="D195" s="7" t="n"/>
      <c r="E195" s="7" t="n"/>
      <c r="F195" s="7" t="n"/>
      <c r="G195" s="120"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row>
    <row r="196" ht="14.5" customHeight="1" s="165">
      <c r="A196" s="7" t="n"/>
      <c r="B196" s="7" t="n"/>
      <c r="C196" s="7" t="n"/>
      <c r="D196" s="7" t="n"/>
      <c r="E196" s="7" t="n"/>
      <c r="F196" s="7" t="n"/>
      <c r="G196" s="120"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row>
    <row r="197" ht="14.5" customHeight="1" s="165">
      <c r="A197" s="7" t="n"/>
      <c r="B197" s="7" t="n"/>
      <c r="C197" s="7" t="n"/>
      <c r="D197" s="7" t="n"/>
      <c r="E197" s="7" t="n"/>
      <c r="F197" s="7" t="n"/>
      <c r="G197" s="120"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row>
    <row r="198" ht="14.5" customHeight="1" s="165">
      <c r="A198" s="7" t="n"/>
      <c r="B198" s="7" t="n"/>
      <c r="C198" s="7" t="n"/>
      <c r="D198" s="7" t="n"/>
      <c r="E198" s="7" t="n"/>
      <c r="F198" s="7" t="n"/>
      <c r="G198" s="120"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row>
    <row r="199" ht="14.5" customHeight="1" s="165">
      <c r="A199" s="7" t="n"/>
      <c r="B199" s="7" t="n"/>
      <c r="C199" s="7" t="n"/>
      <c r="D199" s="7" t="n"/>
      <c r="E199" s="7" t="n"/>
      <c r="F199" s="7" t="n"/>
      <c r="G199" s="120"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row>
    <row r="200" ht="14.5" customHeight="1" s="165">
      <c r="A200" s="7" t="n"/>
      <c r="B200" s="7" t="n"/>
      <c r="C200" s="7" t="n"/>
      <c r="D200" s="7" t="n"/>
      <c r="E200" s="7" t="n"/>
      <c r="F200" s="7" t="n"/>
      <c r="G200" s="120"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row>
    <row r="201" ht="14.5" customHeight="1" s="165">
      <c r="A201" s="7" t="n"/>
      <c r="B201" s="7" t="n"/>
      <c r="C201" s="7" t="n"/>
      <c r="D201" s="7" t="n"/>
      <c r="E201" s="7" t="n"/>
      <c r="F201" s="7" t="n"/>
      <c r="G201" s="120"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row>
    <row r="202" ht="14.5" customHeight="1" s="165">
      <c r="A202" s="7" t="n"/>
      <c r="B202" s="7" t="n"/>
      <c r="C202" s="7" t="n"/>
      <c r="D202" s="7" t="n"/>
      <c r="E202" s="7" t="n"/>
      <c r="F202" s="7" t="n"/>
      <c r="G202" s="120"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row>
    <row r="203" ht="14.5" customHeight="1" s="165">
      <c r="A203" s="7" t="n"/>
      <c r="B203" s="7" t="n"/>
      <c r="C203" s="7" t="n"/>
      <c r="D203" s="7" t="n"/>
      <c r="E203" s="7" t="n"/>
      <c r="F203" s="7" t="n"/>
      <c r="G203" s="120"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row>
    <row r="204" ht="14.5" customHeight="1" s="165">
      <c r="A204" s="7" t="n"/>
      <c r="B204" s="7" t="n"/>
      <c r="C204" s="7" t="n"/>
      <c r="D204" s="7" t="n"/>
      <c r="E204" s="7" t="n"/>
      <c r="F204" s="7" t="n"/>
      <c r="G204" s="120"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row>
    <row r="205" ht="14.5" customHeight="1" s="165">
      <c r="A205" s="7" t="n"/>
      <c r="B205" s="7" t="n"/>
      <c r="C205" s="7" t="n"/>
      <c r="D205" s="7" t="n"/>
      <c r="E205" s="7" t="n"/>
      <c r="F205" s="7" t="n"/>
      <c r="G205" s="120"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row>
    <row r="206" ht="14.5" customHeight="1" s="165">
      <c r="A206" s="7" t="n"/>
      <c r="B206" s="7" t="n"/>
      <c r="C206" s="7" t="n"/>
      <c r="D206" s="7" t="n"/>
      <c r="E206" s="7" t="n"/>
      <c r="F206" s="7" t="n"/>
      <c r="G206" s="120"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row>
    <row r="207" ht="14.5" customHeight="1" s="165">
      <c r="A207" s="7" t="n"/>
      <c r="B207" s="7" t="n"/>
      <c r="C207" s="7" t="n"/>
      <c r="D207" s="7" t="n"/>
      <c r="E207" s="7" t="n"/>
      <c r="F207" s="7" t="n"/>
      <c r="G207" s="120"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row>
    <row r="208" ht="14.5" customHeight="1" s="165">
      <c r="A208" s="7" t="n"/>
      <c r="B208" s="7" t="n"/>
      <c r="C208" s="7" t="n"/>
      <c r="D208" s="7" t="n"/>
      <c r="E208" s="7" t="n"/>
      <c r="F208" s="7" t="n"/>
      <c r="G208" s="120"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row>
    <row r="209" ht="14.5" customHeight="1" s="165">
      <c r="A209" s="7" t="n"/>
      <c r="B209" s="7" t="n"/>
      <c r="C209" s="7" t="n"/>
      <c r="D209" s="7" t="n"/>
      <c r="E209" s="7" t="n"/>
      <c r="F209" s="7" t="n"/>
      <c r="G209" s="120"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row>
    <row r="210" ht="14.5" customHeight="1" s="165">
      <c r="A210" s="7" t="n"/>
      <c r="B210" s="7" t="n"/>
      <c r="C210" s="7" t="n"/>
      <c r="D210" s="7" t="n"/>
      <c r="E210" s="7" t="n"/>
      <c r="F210" s="7" t="n"/>
      <c r="G210" s="120"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row>
    <row r="211" ht="14.5" customHeight="1" s="165">
      <c r="A211" s="7" t="n"/>
      <c r="B211" s="7" t="n"/>
      <c r="C211" s="7" t="n"/>
      <c r="D211" s="7" t="n"/>
      <c r="E211" s="7" t="n"/>
      <c r="F211" s="7" t="n"/>
      <c r="G211" s="120"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row>
    <row r="212" ht="14.5" customHeight="1" s="165">
      <c r="A212" s="7" t="n"/>
      <c r="B212" s="7" t="n"/>
      <c r="C212" s="7" t="n"/>
      <c r="D212" s="7" t="n"/>
      <c r="E212" s="7" t="n"/>
      <c r="F212" s="7" t="n"/>
      <c r="G212" s="120"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row>
    <row r="213" ht="14.5" customHeight="1" s="165">
      <c r="A213" s="7" t="n"/>
      <c r="B213" s="7" t="n"/>
      <c r="C213" s="7" t="n"/>
      <c r="D213" s="7" t="n"/>
      <c r="E213" s="7" t="n"/>
      <c r="F213" s="7" t="n"/>
      <c r="G213" s="120"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row>
    <row r="214" ht="14.5" customHeight="1" s="165">
      <c r="A214" s="7" t="n"/>
      <c r="B214" s="7" t="n"/>
      <c r="C214" s="7" t="n"/>
      <c r="D214" s="7" t="n"/>
      <c r="E214" s="7" t="n"/>
      <c r="F214" s="7" t="n"/>
      <c r="G214" s="120"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row>
    <row r="215" ht="14.5" customHeight="1" s="165">
      <c r="A215" s="7" t="n"/>
      <c r="B215" s="7" t="n"/>
      <c r="C215" s="7" t="n"/>
      <c r="D215" s="7" t="n"/>
      <c r="E215" s="7" t="n"/>
      <c r="F215" s="7" t="n"/>
      <c r="G215" s="120"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row>
    <row r="216" ht="14.5" customHeight="1" s="165">
      <c r="A216" s="7" t="n"/>
      <c r="B216" s="7" t="n"/>
      <c r="C216" s="7" t="n"/>
      <c r="D216" s="7" t="n"/>
      <c r="E216" s="7" t="n"/>
      <c r="F216" s="7" t="n"/>
      <c r="G216" s="120"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row>
    <row r="217" ht="14.5" customHeight="1" s="165">
      <c r="A217" s="7" t="n"/>
      <c r="B217" s="7" t="n"/>
      <c r="C217" s="7" t="n"/>
      <c r="D217" s="7" t="n"/>
      <c r="E217" s="7" t="n"/>
      <c r="F217" s="7" t="n"/>
      <c r="G217" s="120"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row>
    <row r="218" ht="14.5" customHeight="1" s="165">
      <c r="A218" s="7" t="n"/>
      <c r="B218" s="7" t="n"/>
      <c r="C218" s="7" t="n"/>
      <c r="D218" s="7" t="n"/>
      <c r="E218" s="7" t="n"/>
      <c r="F218" s="7" t="n"/>
      <c r="G218" s="120"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row>
    <row r="219" ht="14.5" customHeight="1" s="165">
      <c r="A219" s="7" t="n"/>
      <c r="B219" s="7" t="n"/>
      <c r="C219" s="7" t="n"/>
      <c r="D219" s="7" t="n"/>
      <c r="E219" s="7" t="n"/>
      <c r="F219" s="7" t="n"/>
      <c r="G219" s="120"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row>
    <row r="220" ht="14.5" customHeight="1" s="165">
      <c r="A220" s="7" t="n"/>
      <c r="B220" s="7" t="n"/>
      <c r="C220" s="7" t="n"/>
      <c r="D220" s="7" t="n"/>
      <c r="E220" s="7" t="n"/>
      <c r="F220" s="7" t="n"/>
      <c r="G220" s="120"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row>
    <row r="221" ht="14.5" customHeight="1" s="165">
      <c r="A221" s="7" t="n"/>
      <c r="B221" s="7" t="n"/>
      <c r="C221" s="7" t="n"/>
      <c r="D221" s="7" t="n"/>
      <c r="E221" s="7" t="n"/>
      <c r="F221" s="7" t="n"/>
      <c r="G221" s="120"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row>
    <row r="222" ht="14.5" customHeight="1" s="165">
      <c r="A222" s="7" t="n"/>
      <c r="B222" s="7" t="n"/>
      <c r="C222" s="7" t="n"/>
      <c r="D222" s="7" t="n"/>
      <c r="E222" s="7" t="n"/>
      <c r="F222" s="7" t="n"/>
      <c r="G222" s="120"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row>
    <row r="223" ht="14.5" customHeight="1" s="165">
      <c r="A223" s="7" t="n"/>
      <c r="B223" s="7" t="n"/>
      <c r="C223" s="7" t="n"/>
      <c r="D223" s="7" t="n"/>
      <c r="E223" s="7" t="n"/>
      <c r="F223" s="7" t="n"/>
      <c r="G223" s="120"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row>
    <row r="224" ht="14.5" customHeight="1" s="165">
      <c r="A224" s="7" t="n"/>
      <c r="B224" s="7" t="n"/>
      <c r="C224" s="7" t="n"/>
      <c r="D224" s="7" t="n"/>
      <c r="E224" s="7" t="n"/>
      <c r="F224" s="7" t="n"/>
      <c r="G224" s="120"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row>
    <row r="225" ht="14.5" customHeight="1" s="165">
      <c r="A225" s="7" t="n"/>
      <c r="B225" s="7" t="n"/>
      <c r="C225" s="7" t="n"/>
      <c r="D225" s="7" t="n"/>
      <c r="E225" s="7" t="n"/>
      <c r="F225" s="7" t="n"/>
      <c r="G225" s="120"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row>
    <row r="226" ht="14.5" customHeight="1" s="165">
      <c r="A226" s="7" t="n"/>
      <c r="B226" s="7" t="n"/>
      <c r="C226" s="7" t="n"/>
      <c r="D226" s="7" t="n"/>
      <c r="E226" s="7" t="n"/>
      <c r="F226" s="7" t="n"/>
      <c r="G226" s="120"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row>
    <row r="227" ht="14.5" customHeight="1" s="165">
      <c r="A227" s="7" t="n"/>
      <c r="B227" s="7" t="n"/>
      <c r="C227" s="7" t="n"/>
      <c r="D227" s="7" t="n"/>
      <c r="E227" s="7" t="n"/>
      <c r="F227" s="7" t="n"/>
      <c r="G227" s="120"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row>
    <row r="228" ht="14.5" customHeight="1" s="165">
      <c r="A228" s="7" t="n"/>
      <c r="B228" s="7" t="n"/>
      <c r="C228" s="7" t="n"/>
      <c r="D228" s="7" t="n"/>
      <c r="E228" s="7" t="n"/>
      <c r="F228" s="7" t="n"/>
      <c r="G228" s="120"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row>
    <row r="229" ht="14.5" customHeight="1" s="165">
      <c r="A229" s="7" t="n"/>
      <c r="B229" s="7" t="n"/>
      <c r="C229" s="7" t="n"/>
      <c r="D229" s="7" t="n"/>
      <c r="E229" s="7" t="n"/>
      <c r="F229" s="7" t="n"/>
      <c r="G229" s="120"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row>
    <row r="230" ht="14.5" customHeight="1" s="165">
      <c r="A230" s="7" t="n"/>
      <c r="B230" s="7" t="n"/>
      <c r="C230" s="7" t="n"/>
      <c r="D230" s="7" t="n"/>
      <c r="E230" s="7" t="n"/>
      <c r="F230" s="7" t="n"/>
      <c r="G230" s="120"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row>
    <row r="231" ht="14.5" customHeight="1" s="165">
      <c r="A231" s="7" t="n"/>
      <c r="B231" s="7" t="n"/>
      <c r="C231" s="7" t="n"/>
      <c r="D231" s="7" t="n"/>
      <c r="E231" s="7" t="n"/>
      <c r="F231" s="7" t="n"/>
      <c r="G231" s="120"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row>
    <row r="232" ht="14.5" customHeight="1" s="165">
      <c r="A232" s="7" t="n"/>
      <c r="B232" s="7" t="n"/>
      <c r="C232" s="7" t="n"/>
      <c r="D232" s="7" t="n"/>
      <c r="E232" s="7" t="n"/>
      <c r="F232" s="7" t="n"/>
      <c r="G232" s="120"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row>
    <row r="233" ht="14.5" customHeight="1" s="165">
      <c r="A233" s="7" t="n"/>
      <c r="B233" s="7" t="n"/>
      <c r="C233" s="7" t="n"/>
      <c r="D233" s="7" t="n"/>
      <c r="E233" s="7" t="n"/>
      <c r="F233" s="7" t="n"/>
      <c r="G233" s="120"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row>
    <row r="234" ht="14.5" customHeight="1" s="165">
      <c r="A234" s="7" t="n"/>
      <c r="B234" s="7" t="n"/>
      <c r="C234" s="7" t="n"/>
      <c r="D234" s="7" t="n"/>
      <c r="E234" s="7" t="n"/>
      <c r="F234" s="7" t="n"/>
      <c r="G234" s="120"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row>
    <row r="235" ht="14.5" customHeight="1" s="165">
      <c r="A235" s="7" t="n"/>
      <c r="B235" s="7" t="n"/>
      <c r="C235" s="7" t="n"/>
      <c r="D235" s="7" t="n"/>
      <c r="E235" s="7" t="n"/>
      <c r="F235" s="7" t="n"/>
      <c r="G235" s="120"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row>
    <row r="236" ht="14.5" customHeight="1" s="165">
      <c r="A236" s="7" t="n"/>
      <c r="B236" s="7" t="n"/>
      <c r="C236" s="7" t="n"/>
      <c r="D236" s="7" t="n"/>
      <c r="E236" s="7" t="n"/>
      <c r="F236" s="7" t="n"/>
      <c r="G236" s="120"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row>
    <row r="237" ht="14.5" customHeight="1" s="165">
      <c r="A237" s="7" t="n"/>
      <c r="B237" s="7" t="n"/>
      <c r="C237" s="7" t="n"/>
      <c r="D237" s="7" t="n"/>
      <c r="E237" s="7" t="n"/>
      <c r="F237" s="7" t="n"/>
      <c r="G237" s="120"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row>
    <row r="238" ht="14.5" customHeight="1" s="165">
      <c r="A238" s="7" t="n"/>
      <c r="B238" s="7" t="n"/>
      <c r="C238" s="7" t="n"/>
      <c r="D238" s="7" t="n"/>
      <c r="E238" s="7" t="n"/>
      <c r="F238" s="7" t="n"/>
      <c r="G238" s="120"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row>
    <row r="239" ht="14.5" customHeight="1" s="165">
      <c r="A239" s="7" t="n"/>
      <c r="B239" s="7" t="n"/>
      <c r="C239" s="7" t="n"/>
      <c r="D239" s="7" t="n"/>
      <c r="E239" s="7" t="n"/>
      <c r="F239" s="7" t="n"/>
      <c r="G239" s="120"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row>
    <row r="240" ht="14.5" customHeight="1" s="165">
      <c r="A240" s="7" t="n"/>
      <c r="B240" s="7" t="n"/>
      <c r="C240" s="7" t="n"/>
      <c r="D240" s="7" t="n"/>
      <c r="E240" s="7" t="n"/>
      <c r="F240" s="7" t="n"/>
      <c r="G240" s="120"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row>
    <row r="241" ht="14.5" customHeight="1" s="165">
      <c r="A241" s="7" t="n"/>
      <c r="B241" s="7" t="n"/>
      <c r="C241" s="7" t="n"/>
      <c r="D241" s="7" t="n"/>
      <c r="E241" s="7" t="n"/>
      <c r="F241" s="7" t="n"/>
      <c r="G241" s="120"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row>
    <row r="242" ht="14.5" customHeight="1" s="165">
      <c r="A242" s="7" t="n"/>
      <c r="B242" s="7" t="n"/>
      <c r="C242" s="7" t="n"/>
      <c r="D242" s="7" t="n"/>
      <c r="E242" s="7" t="n"/>
      <c r="F242" s="7" t="n"/>
      <c r="G242" s="120"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row>
    <row r="243" ht="14.5" customHeight="1" s="165">
      <c r="A243" s="7" t="n"/>
      <c r="B243" s="7" t="n"/>
      <c r="C243" s="7" t="n"/>
      <c r="D243" s="7" t="n"/>
      <c r="E243" s="7" t="n"/>
      <c r="F243" s="7" t="n"/>
      <c r="G243" s="120"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row>
    <row r="244" ht="14.5" customHeight="1" s="165">
      <c r="A244" s="7" t="n"/>
      <c r="B244" s="7" t="n"/>
      <c r="C244" s="7" t="n"/>
      <c r="D244" s="7" t="n"/>
      <c r="E244" s="7" t="n"/>
      <c r="F244" s="7" t="n"/>
      <c r="G244" s="120"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row>
    <row r="245" ht="14.5" customHeight="1" s="165">
      <c r="A245" s="7" t="n"/>
      <c r="B245" s="7" t="n"/>
      <c r="C245" s="7" t="n"/>
      <c r="D245" s="7" t="n"/>
      <c r="E245" s="7" t="n"/>
      <c r="F245" s="7" t="n"/>
      <c r="G245" s="120"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row>
    <row r="246" ht="14.5" customHeight="1" s="165">
      <c r="A246" s="7" t="n"/>
      <c r="B246" s="7" t="n"/>
      <c r="C246" s="7" t="n"/>
      <c r="D246" s="7" t="n"/>
      <c r="E246" s="7" t="n"/>
      <c r="F246" s="7" t="n"/>
      <c r="G246" s="120"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row>
    <row r="247" ht="14.5" customHeight="1" s="165">
      <c r="A247" s="7" t="n"/>
      <c r="B247" s="7" t="n"/>
      <c r="C247" s="7" t="n"/>
      <c r="D247" s="7" t="n"/>
      <c r="E247" s="7" t="n"/>
      <c r="F247" s="7" t="n"/>
      <c r="G247" s="120"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row>
    <row r="248" ht="14.5" customHeight="1" s="165">
      <c r="A248" s="7" t="n"/>
      <c r="B248" s="7" t="n"/>
      <c r="C248" s="7" t="n"/>
      <c r="D248" s="7" t="n"/>
      <c r="E248" s="7" t="n"/>
      <c r="F248" s="7" t="n"/>
      <c r="G248" s="120"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row>
    <row r="249" ht="14.5" customHeight="1" s="165">
      <c r="A249" s="7" t="n"/>
      <c r="B249" s="7" t="n"/>
      <c r="C249" s="7" t="n"/>
      <c r="D249" s="7" t="n"/>
      <c r="E249" s="7" t="n"/>
      <c r="F249" s="7" t="n"/>
      <c r="G249" s="120"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row>
    <row r="250" ht="14.5" customHeight="1" s="165">
      <c r="A250" s="7" t="n"/>
      <c r="B250" s="7" t="n"/>
      <c r="C250" s="7" t="n"/>
      <c r="D250" s="7" t="n"/>
      <c r="E250" s="7" t="n"/>
      <c r="F250" s="7" t="n"/>
      <c r="G250" s="120"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row>
    <row r="251" ht="14.5" customHeight="1" s="165">
      <c r="A251" s="7" t="n"/>
      <c r="B251" s="7" t="n"/>
      <c r="C251" s="7" t="n"/>
      <c r="D251" s="7" t="n"/>
      <c r="E251" s="7" t="n"/>
      <c r="F251" s="7" t="n"/>
      <c r="G251" s="120"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row>
    <row r="252" ht="14.5" customHeight="1" s="165">
      <c r="A252" s="7" t="n"/>
      <c r="B252" s="7" t="n"/>
      <c r="C252" s="7" t="n"/>
      <c r="D252" s="7" t="n"/>
      <c r="E252" s="7" t="n"/>
      <c r="F252" s="7" t="n"/>
      <c r="G252" s="120"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row>
    <row r="253" ht="14.5" customHeight="1" s="165">
      <c r="A253" s="7" t="n"/>
      <c r="B253" s="7" t="n"/>
      <c r="C253" s="7" t="n"/>
      <c r="D253" s="7" t="n"/>
      <c r="E253" s="7" t="n"/>
      <c r="F253" s="7" t="n"/>
      <c r="G253" s="120"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row>
    <row r="254" ht="14.5" customHeight="1" s="165">
      <c r="A254" s="7" t="n"/>
      <c r="B254" s="7" t="n"/>
      <c r="C254" s="7" t="n"/>
      <c r="D254" s="7" t="n"/>
      <c r="E254" s="7" t="n"/>
      <c r="F254" s="7" t="n"/>
      <c r="G254" s="120"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row>
    <row r="255" ht="14.5" customHeight="1" s="165">
      <c r="A255" s="7" t="n"/>
      <c r="B255" s="7" t="n"/>
      <c r="C255" s="7" t="n"/>
      <c r="D255" s="7" t="n"/>
      <c r="E255" s="7" t="n"/>
      <c r="F255" s="7" t="n"/>
      <c r="G255" s="120"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row>
    <row r="256" ht="14.5" customHeight="1" s="165">
      <c r="A256" s="7" t="n"/>
      <c r="B256" s="7" t="n"/>
      <c r="C256" s="7" t="n"/>
      <c r="D256" s="7" t="n"/>
      <c r="E256" s="7" t="n"/>
      <c r="F256" s="7" t="n"/>
      <c r="G256" s="120"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row>
    <row r="257" ht="14.5" customHeight="1" s="165">
      <c r="A257" s="7" t="n"/>
      <c r="B257" s="7" t="n"/>
      <c r="C257" s="7" t="n"/>
      <c r="D257" s="7" t="n"/>
      <c r="E257" s="7" t="n"/>
      <c r="F257" s="7" t="n"/>
      <c r="G257" s="120"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row>
    <row r="258" ht="14.5" customHeight="1" s="165">
      <c r="A258" s="7" t="n"/>
      <c r="B258" s="7" t="n"/>
      <c r="C258" s="7" t="n"/>
      <c r="D258" s="7" t="n"/>
      <c r="E258" s="7" t="n"/>
      <c r="F258" s="7" t="n"/>
      <c r="G258" s="120"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row>
    <row r="259" ht="14.5" customHeight="1" s="165">
      <c r="A259" s="7" t="n"/>
      <c r="B259" s="7" t="n"/>
      <c r="C259" s="7" t="n"/>
      <c r="D259" s="7" t="n"/>
      <c r="E259" s="7" t="n"/>
      <c r="F259" s="7" t="n"/>
      <c r="G259" s="120"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row>
    <row r="260" ht="14.5" customHeight="1" s="165">
      <c r="A260" s="7" t="n"/>
      <c r="B260" s="7" t="n"/>
      <c r="C260" s="7" t="n"/>
      <c r="D260" s="7" t="n"/>
      <c r="E260" s="7" t="n"/>
      <c r="F260" s="7" t="n"/>
      <c r="G260" s="120"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row>
    <row r="261" ht="14.5" customHeight="1" s="165">
      <c r="A261" s="7" t="n"/>
      <c r="B261" s="7" t="n"/>
      <c r="C261" s="7" t="n"/>
      <c r="D261" s="7" t="n"/>
      <c r="E261" s="7" t="n"/>
      <c r="F261" s="7" t="n"/>
      <c r="G261" s="120"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row>
    <row r="262" ht="14.5" customHeight="1" s="165">
      <c r="A262" s="7" t="n"/>
      <c r="B262" s="7" t="n"/>
      <c r="C262" s="7" t="n"/>
      <c r="D262" s="7" t="n"/>
      <c r="E262" s="7" t="n"/>
      <c r="F262" s="7" t="n"/>
      <c r="G262" s="120"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row>
    <row r="263" ht="14.5" customHeight="1" s="165">
      <c r="A263" s="7" t="n"/>
      <c r="B263" s="7" t="n"/>
      <c r="C263" s="7" t="n"/>
      <c r="D263" s="7" t="n"/>
      <c r="E263" s="7" t="n"/>
      <c r="F263" s="7" t="n"/>
      <c r="G263" s="120"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row>
    <row r="264" ht="14.5" customHeight="1" s="165">
      <c r="A264" s="7" t="n"/>
      <c r="B264" s="7" t="n"/>
      <c r="C264" s="7" t="n"/>
      <c r="D264" s="7" t="n"/>
      <c r="E264" s="7" t="n"/>
      <c r="F264" s="7" t="n"/>
      <c r="G264" s="120"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row>
    <row r="265" ht="14.5" customHeight="1" s="165">
      <c r="A265" s="7" t="n"/>
      <c r="B265" s="7" t="n"/>
      <c r="C265" s="7" t="n"/>
      <c r="D265" s="7" t="n"/>
      <c r="E265" s="7" t="n"/>
      <c r="F265" s="7" t="n"/>
      <c r="G265" s="120"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row>
    <row r="266" ht="14.5" customHeight="1" s="165">
      <c r="A266" s="7" t="n"/>
      <c r="B266" s="7" t="n"/>
      <c r="C266" s="7" t="n"/>
      <c r="D266" s="7" t="n"/>
      <c r="E266" s="7" t="n"/>
      <c r="F266" s="7" t="n"/>
      <c r="G266" s="120"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row>
    <row r="267" ht="14.5" customHeight="1" s="165">
      <c r="A267" s="7" t="n"/>
      <c r="B267" s="7" t="n"/>
      <c r="C267" s="7" t="n"/>
      <c r="D267" s="7" t="n"/>
      <c r="E267" s="7" t="n"/>
      <c r="F267" s="7" t="n"/>
      <c r="G267" s="120"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row>
    <row r="268" ht="14.5" customHeight="1" s="165">
      <c r="A268" s="7" t="n"/>
      <c r="B268" s="7" t="n"/>
      <c r="C268" s="7" t="n"/>
      <c r="D268" s="7" t="n"/>
      <c r="E268" s="7" t="n"/>
      <c r="F268" s="7" t="n"/>
      <c r="G268" s="120"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row>
    <row r="269" ht="14.5" customHeight="1" s="165">
      <c r="A269" s="7" t="n"/>
      <c r="B269" s="7" t="n"/>
      <c r="C269" s="7" t="n"/>
      <c r="D269" s="7" t="n"/>
      <c r="E269" s="7" t="n"/>
      <c r="F269" s="7" t="n"/>
      <c r="G269" s="120"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row>
    <row r="270" ht="14.5" customHeight="1" s="165">
      <c r="A270" s="7" t="n"/>
      <c r="B270" s="7" t="n"/>
      <c r="C270" s="7" t="n"/>
      <c r="D270" s="7" t="n"/>
      <c r="E270" s="7" t="n"/>
      <c r="F270" s="7" t="n"/>
      <c r="G270" s="120"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row>
    <row r="271" ht="14.5" customHeight="1" s="165">
      <c r="A271" s="7" t="n"/>
      <c r="B271" s="7" t="n"/>
      <c r="C271" s="7" t="n"/>
      <c r="D271" s="7" t="n"/>
      <c r="E271" s="7" t="n"/>
      <c r="F271" s="7" t="n"/>
      <c r="G271" s="120"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row>
    <row r="272" ht="14.5" customHeight="1" s="165">
      <c r="A272" s="7" t="n"/>
      <c r="B272" s="7" t="n"/>
      <c r="C272" s="7" t="n"/>
      <c r="D272" s="7" t="n"/>
      <c r="E272" s="7" t="n"/>
      <c r="F272" s="7" t="n"/>
      <c r="G272" s="120"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row>
    <row r="273" ht="14.5" customHeight="1" s="165">
      <c r="A273" s="7" t="n"/>
      <c r="B273" s="7" t="n"/>
      <c r="C273" s="7" t="n"/>
      <c r="D273" s="7" t="n"/>
      <c r="E273" s="7" t="n"/>
      <c r="F273" s="7" t="n"/>
      <c r="G273" s="120"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row>
    <row r="274" ht="14.5" customHeight="1" s="165">
      <c r="A274" s="7" t="n"/>
      <c r="B274" s="7" t="n"/>
      <c r="C274" s="7" t="n"/>
      <c r="D274" s="7" t="n"/>
      <c r="E274" s="7" t="n"/>
      <c r="F274" s="7" t="n"/>
      <c r="G274" s="120"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row>
    <row r="275" ht="14.5" customHeight="1" s="165">
      <c r="A275" s="7" t="n"/>
      <c r="B275" s="7" t="n"/>
      <c r="C275" s="7" t="n"/>
      <c r="D275" s="7" t="n"/>
      <c r="E275" s="7" t="n"/>
      <c r="F275" s="7" t="n"/>
      <c r="G275" s="120"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row>
    <row r="276" ht="14.5" customHeight="1" s="165">
      <c r="A276" s="7" t="n"/>
      <c r="B276" s="7" t="n"/>
      <c r="C276" s="7" t="n"/>
      <c r="D276" s="7" t="n"/>
      <c r="E276" s="7" t="n"/>
      <c r="F276" s="7" t="n"/>
      <c r="G276" s="120"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row>
    <row r="277" ht="14.5" customHeight="1" s="165">
      <c r="A277" s="7" t="n"/>
      <c r="B277" s="7" t="n"/>
      <c r="C277" s="7" t="n"/>
      <c r="D277" s="7" t="n"/>
      <c r="E277" s="7" t="n"/>
      <c r="F277" s="7" t="n"/>
      <c r="G277" s="120"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row>
    <row r="278" ht="14.5" customHeight="1" s="165">
      <c r="A278" s="7" t="n"/>
      <c r="B278" s="7" t="n"/>
      <c r="C278" s="7" t="n"/>
      <c r="D278" s="7" t="n"/>
      <c r="E278" s="7" t="n"/>
      <c r="F278" s="7" t="n"/>
      <c r="G278" s="120"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row>
    <row r="279" ht="14.5" customHeight="1" s="165">
      <c r="A279" s="7" t="n"/>
      <c r="B279" s="7" t="n"/>
      <c r="C279" s="7" t="n"/>
      <c r="D279" s="7" t="n"/>
      <c r="E279" s="7" t="n"/>
      <c r="F279" s="7" t="n"/>
      <c r="G279" s="120"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row>
    <row r="280" ht="14.5" customHeight="1" s="165">
      <c r="A280" s="7" t="n"/>
      <c r="B280" s="7" t="n"/>
      <c r="C280" s="7" t="n"/>
      <c r="D280" s="7" t="n"/>
      <c r="E280" s="7" t="n"/>
      <c r="F280" s="7" t="n"/>
      <c r="G280" s="120"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row>
    <row r="281" ht="14.5" customHeight="1" s="165">
      <c r="A281" s="7" t="n"/>
      <c r="B281" s="7" t="n"/>
      <c r="C281" s="7" t="n"/>
      <c r="D281" s="7" t="n"/>
      <c r="E281" s="7" t="n"/>
      <c r="F281" s="7" t="n"/>
      <c r="G281" s="120"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row>
    <row r="282" ht="14.5" customHeight="1" s="165">
      <c r="A282" s="7" t="n"/>
      <c r="B282" s="7" t="n"/>
      <c r="C282" s="7" t="n"/>
      <c r="D282" s="7" t="n"/>
      <c r="E282" s="7" t="n"/>
      <c r="F282" s="7" t="n"/>
      <c r="G282" s="120"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row>
    <row r="283" ht="14.5" customHeight="1" s="165">
      <c r="A283" s="7" t="n"/>
      <c r="B283" s="7" t="n"/>
      <c r="C283" s="7" t="n"/>
      <c r="D283" s="7" t="n"/>
      <c r="E283" s="7" t="n"/>
      <c r="F283" s="7" t="n"/>
      <c r="G283" s="120"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row>
    <row r="284" ht="14.5" customHeight="1" s="165">
      <c r="A284" s="7" t="n"/>
      <c r="B284" s="7" t="n"/>
      <c r="C284" s="7" t="n"/>
      <c r="D284" s="7" t="n"/>
      <c r="E284" s="7" t="n"/>
      <c r="F284" s="7" t="n"/>
      <c r="G284" s="120"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row>
    <row r="285" ht="14.5" customHeight="1" s="165">
      <c r="A285" s="7" t="n"/>
      <c r="B285" s="7" t="n"/>
      <c r="C285" s="7" t="n"/>
      <c r="D285" s="7" t="n"/>
      <c r="E285" s="7" t="n"/>
      <c r="F285" s="7" t="n"/>
      <c r="G285" s="120"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row>
    <row r="286" ht="14.5" customHeight="1" s="165">
      <c r="A286" s="7" t="n"/>
      <c r="B286" s="7" t="n"/>
      <c r="C286" s="7" t="n"/>
      <c r="D286" s="7" t="n"/>
      <c r="E286" s="7" t="n"/>
      <c r="F286" s="7" t="n"/>
      <c r="G286" s="120"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row>
    <row r="287" ht="14.5" customHeight="1" s="165">
      <c r="A287" s="7" t="n"/>
      <c r="B287" s="7" t="n"/>
      <c r="C287" s="7" t="n"/>
      <c r="D287" s="7" t="n"/>
      <c r="E287" s="7" t="n"/>
      <c r="F287" s="7" t="n"/>
      <c r="G287" s="120"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row>
    <row r="288" ht="14.5" customHeight="1" s="165">
      <c r="A288" s="7" t="n"/>
      <c r="B288" s="7" t="n"/>
      <c r="C288" s="7" t="n"/>
      <c r="D288" s="7" t="n"/>
      <c r="E288" s="7" t="n"/>
      <c r="F288" s="7" t="n"/>
      <c r="G288" s="120"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row>
    <row r="289" ht="14.5" customHeight="1" s="165">
      <c r="A289" s="7" t="n"/>
      <c r="B289" s="7" t="n"/>
      <c r="C289" s="7" t="n"/>
      <c r="D289" s="7" t="n"/>
      <c r="E289" s="7" t="n"/>
      <c r="F289" s="7" t="n"/>
      <c r="G289" s="120"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row>
    <row r="290" ht="14.5" customHeight="1" s="165">
      <c r="A290" s="7" t="n"/>
      <c r="B290" s="7" t="n"/>
      <c r="C290" s="7" t="n"/>
      <c r="D290" s="7" t="n"/>
      <c r="E290" s="7" t="n"/>
      <c r="F290" s="7" t="n"/>
      <c r="G290" s="120"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row>
    <row r="291" ht="14.5" customHeight="1" s="165">
      <c r="A291" s="7" t="n"/>
      <c r="B291" s="7" t="n"/>
      <c r="C291" s="7" t="n"/>
      <c r="D291" s="7" t="n"/>
      <c r="E291" s="7" t="n"/>
      <c r="F291" s="7" t="n"/>
      <c r="G291" s="120"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row>
    <row r="292" ht="14.5" customHeight="1" s="165">
      <c r="A292" s="7" t="n"/>
      <c r="B292" s="7" t="n"/>
      <c r="C292" s="7" t="n"/>
      <c r="D292" s="7" t="n"/>
      <c r="E292" s="7" t="n"/>
      <c r="F292" s="7" t="n"/>
      <c r="G292" s="120"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row>
    <row r="293" ht="14.5" customHeight="1" s="165">
      <c r="A293" s="7" t="n"/>
      <c r="B293" s="7" t="n"/>
      <c r="C293" s="7" t="n"/>
      <c r="D293" s="7" t="n"/>
      <c r="E293" s="7" t="n"/>
      <c r="F293" s="7" t="n"/>
      <c r="G293" s="120"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row>
    <row r="294" ht="14.5" customHeight="1" s="165">
      <c r="A294" s="7" t="n"/>
      <c r="B294" s="7" t="n"/>
      <c r="C294" s="7" t="n"/>
      <c r="D294" s="7" t="n"/>
      <c r="E294" s="7" t="n"/>
      <c r="F294" s="7" t="n"/>
      <c r="G294" s="120"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row>
    <row r="295" ht="14.5" customHeight="1" s="165">
      <c r="A295" s="7" t="n"/>
      <c r="B295" s="7" t="n"/>
      <c r="C295" s="7" t="n"/>
      <c r="D295" s="7" t="n"/>
      <c r="E295" s="7" t="n"/>
      <c r="F295" s="7" t="n"/>
      <c r="G295" s="120"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row>
    <row r="296" ht="14.5" customHeight="1" s="165">
      <c r="A296" s="7" t="n"/>
      <c r="B296" s="7" t="n"/>
      <c r="C296" s="7" t="n"/>
      <c r="D296" s="7" t="n"/>
      <c r="E296" s="7" t="n"/>
      <c r="F296" s="7" t="n"/>
      <c r="G296" s="120"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row>
    <row r="297" ht="14.5" customHeight="1" s="165">
      <c r="A297" s="7" t="n"/>
      <c r="B297" s="7" t="n"/>
      <c r="C297" s="7" t="n"/>
      <c r="D297" s="7" t="n"/>
      <c r="E297" s="7" t="n"/>
      <c r="F297" s="7" t="n"/>
      <c r="G297" s="120"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row>
    <row r="298" ht="14.5" customHeight="1" s="165">
      <c r="A298" s="7" t="n"/>
      <c r="B298" s="7" t="n"/>
      <c r="C298" s="7" t="n"/>
      <c r="D298" s="7" t="n"/>
      <c r="E298" s="7" t="n"/>
      <c r="F298" s="7" t="n"/>
      <c r="G298" s="120"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row>
    <row r="299" ht="14.5" customHeight="1" s="165">
      <c r="A299" s="7" t="n"/>
      <c r="B299" s="7" t="n"/>
      <c r="C299" s="7" t="n"/>
      <c r="D299" s="7" t="n"/>
      <c r="E299" s="7" t="n"/>
      <c r="F299" s="7" t="n"/>
      <c r="G299" s="120"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row>
    <row r="300" ht="14.5" customHeight="1" s="165">
      <c r="A300" s="7" t="n"/>
      <c r="B300" s="7" t="n"/>
      <c r="C300" s="7" t="n"/>
      <c r="D300" s="7" t="n"/>
      <c r="E300" s="7" t="n"/>
      <c r="F300" s="7" t="n"/>
      <c r="G300" s="120"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row>
    <row r="301" ht="14.5" customHeight="1" s="165">
      <c r="A301" s="7" t="n"/>
      <c r="B301" s="7" t="n"/>
      <c r="C301" s="7" t="n"/>
      <c r="D301" s="7" t="n"/>
      <c r="E301" s="7" t="n"/>
      <c r="F301" s="7" t="n"/>
      <c r="G301" s="120"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row>
    <row r="302" ht="14.5" customHeight="1" s="165">
      <c r="A302" s="7" t="n"/>
      <c r="B302" s="7" t="n"/>
      <c r="C302" s="7" t="n"/>
      <c r="D302" s="7" t="n"/>
      <c r="E302" s="7" t="n"/>
      <c r="F302" s="7" t="n"/>
      <c r="G302" s="120"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row>
    <row r="303" ht="14.5" customHeight="1" s="165">
      <c r="A303" s="7" t="n"/>
      <c r="B303" s="7" t="n"/>
      <c r="C303" s="7" t="n"/>
      <c r="D303" s="7" t="n"/>
      <c r="E303" s="7" t="n"/>
      <c r="F303" s="7" t="n"/>
      <c r="G303" s="120"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row>
    <row r="304" ht="14.5" customHeight="1" s="165">
      <c r="A304" s="7" t="n"/>
      <c r="B304" s="7" t="n"/>
      <c r="C304" s="7" t="n"/>
      <c r="D304" s="7" t="n"/>
      <c r="E304" s="7" t="n"/>
      <c r="F304" s="7" t="n"/>
      <c r="G304" s="120"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row>
    <row r="305" ht="14.5" customHeight="1" s="165">
      <c r="A305" s="7" t="n"/>
      <c r="B305" s="7" t="n"/>
      <c r="C305" s="7" t="n"/>
      <c r="D305" s="7" t="n"/>
      <c r="E305" s="7" t="n"/>
      <c r="F305" s="7" t="n"/>
      <c r="G305" s="120"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row>
    <row r="306" ht="14.5" customHeight="1" s="165">
      <c r="A306" s="7" t="n"/>
      <c r="B306" s="7" t="n"/>
      <c r="C306" s="7" t="n"/>
      <c r="D306" s="7" t="n"/>
      <c r="E306" s="7" t="n"/>
      <c r="F306" s="7" t="n"/>
      <c r="G306" s="120"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row>
    <row r="307" ht="14.5" customHeight="1" s="165">
      <c r="A307" s="7" t="n"/>
      <c r="B307" s="7" t="n"/>
      <c r="C307" s="7" t="n"/>
      <c r="D307" s="7" t="n"/>
      <c r="E307" s="7" t="n"/>
      <c r="F307" s="7" t="n"/>
      <c r="G307" s="120"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row>
    <row r="308" ht="14.5" customHeight="1" s="165">
      <c r="A308" s="7" t="n"/>
      <c r="B308" s="7" t="n"/>
      <c r="C308" s="7" t="n"/>
      <c r="D308" s="7" t="n"/>
      <c r="E308" s="7" t="n"/>
      <c r="F308" s="7" t="n"/>
      <c r="G308" s="120"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row>
    <row r="309" ht="14.5" customHeight="1" s="165">
      <c r="A309" s="7" t="n"/>
      <c r="B309" s="7" t="n"/>
      <c r="C309" s="7" t="n"/>
      <c r="D309" s="7" t="n"/>
      <c r="E309" s="7" t="n"/>
      <c r="F309" s="7" t="n"/>
      <c r="G309" s="120"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row>
    <row r="310" ht="14.5" customHeight="1" s="165">
      <c r="A310" s="7" t="n"/>
      <c r="B310" s="7" t="n"/>
      <c r="C310" s="7" t="n"/>
      <c r="D310" s="7" t="n"/>
      <c r="E310" s="7" t="n"/>
      <c r="F310" s="7" t="n"/>
      <c r="G310" s="120"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row>
    <row r="311" ht="14.5" customHeight="1" s="165">
      <c r="A311" s="7" t="n"/>
      <c r="B311" s="7" t="n"/>
      <c r="C311" s="7" t="n"/>
      <c r="D311" s="7" t="n"/>
      <c r="E311" s="7" t="n"/>
      <c r="F311" s="7" t="n"/>
      <c r="G311" s="120"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row>
    <row r="312" ht="14.5" customHeight="1" s="165">
      <c r="A312" s="7" t="n"/>
      <c r="B312" s="7" t="n"/>
      <c r="C312" s="7" t="n"/>
      <c r="D312" s="7" t="n"/>
      <c r="E312" s="7" t="n"/>
      <c r="F312" s="7" t="n"/>
      <c r="G312" s="120"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row>
    <row r="313" ht="14.5" customHeight="1" s="165">
      <c r="A313" s="7" t="n"/>
      <c r="B313" s="7" t="n"/>
      <c r="C313" s="7" t="n"/>
      <c r="D313" s="7" t="n"/>
      <c r="E313" s="7" t="n"/>
      <c r="F313" s="7" t="n"/>
      <c r="G313" s="120"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row>
    <row r="314" ht="14.5" customHeight="1" s="165">
      <c r="A314" s="7" t="n"/>
      <c r="B314" s="7" t="n"/>
      <c r="C314" s="7" t="n"/>
      <c r="D314" s="7" t="n"/>
      <c r="E314" s="7" t="n"/>
      <c r="F314" s="7" t="n"/>
      <c r="G314" s="120"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row>
    <row r="315" ht="14.5" customHeight="1" s="165">
      <c r="A315" s="7" t="n"/>
      <c r="B315" s="7" t="n"/>
      <c r="C315" s="7" t="n"/>
      <c r="D315" s="7" t="n"/>
      <c r="E315" s="7" t="n"/>
      <c r="F315" s="7" t="n"/>
      <c r="G315" s="120"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row>
    <row r="316" ht="14.5" customHeight="1" s="165">
      <c r="A316" s="7" t="n"/>
      <c r="B316" s="7" t="n"/>
      <c r="C316" s="7" t="n"/>
      <c r="D316" s="7" t="n"/>
      <c r="E316" s="7" t="n"/>
      <c r="F316" s="7" t="n"/>
      <c r="G316" s="120"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row>
    <row r="317" ht="14.5" customHeight="1" s="165">
      <c r="A317" s="7" t="n"/>
      <c r="B317" s="7" t="n"/>
      <c r="C317" s="7" t="n"/>
      <c r="D317" s="7" t="n"/>
      <c r="E317" s="7" t="n"/>
      <c r="F317" s="7" t="n"/>
      <c r="G317" s="120"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row>
    <row r="318" ht="14.5" customHeight="1" s="165">
      <c r="A318" s="7" t="n"/>
      <c r="B318" s="7" t="n"/>
      <c r="C318" s="7" t="n"/>
      <c r="D318" s="7" t="n"/>
      <c r="E318" s="7" t="n"/>
      <c r="F318" s="7" t="n"/>
      <c r="G318" s="120"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row>
    <row r="319" ht="14.5" customHeight="1" s="165">
      <c r="A319" s="7" t="n"/>
      <c r="B319" s="7" t="n"/>
      <c r="C319" s="7" t="n"/>
      <c r="D319" s="7" t="n"/>
      <c r="E319" s="7" t="n"/>
      <c r="F319" s="7" t="n"/>
      <c r="G319" s="120"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row>
    <row r="320" ht="14.5" customHeight="1" s="165">
      <c r="A320" s="7" t="n"/>
      <c r="B320" s="7" t="n"/>
      <c r="C320" s="7" t="n"/>
      <c r="D320" s="7" t="n"/>
      <c r="E320" s="7" t="n"/>
      <c r="F320" s="7" t="n"/>
      <c r="G320" s="120"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row>
    <row r="321" ht="14.5" customHeight="1" s="165">
      <c r="A321" s="7" t="n"/>
      <c r="B321" s="7" t="n"/>
      <c r="C321" s="7" t="n"/>
      <c r="D321" s="7" t="n"/>
      <c r="E321" s="7" t="n"/>
      <c r="F321" s="7" t="n"/>
      <c r="G321" s="120"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row>
    <row r="322" ht="14.5" customHeight="1" s="165">
      <c r="A322" s="7" t="n"/>
      <c r="B322" s="7" t="n"/>
      <c r="C322" s="7" t="n"/>
      <c r="D322" s="7" t="n"/>
      <c r="E322" s="7" t="n"/>
      <c r="F322" s="7" t="n"/>
      <c r="G322" s="120"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row>
    <row r="323" ht="14.5" customHeight="1" s="165">
      <c r="A323" s="7" t="n"/>
      <c r="B323" s="7" t="n"/>
      <c r="C323" s="7" t="n"/>
      <c r="D323" s="7" t="n"/>
      <c r="E323" s="7" t="n"/>
      <c r="F323" s="7" t="n"/>
      <c r="G323" s="120"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row>
    <row r="324" ht="14.5" customHeight="1" s="165">
      <c r="A324" s="7" t="n"/>
      <c r="B324" s="7" t="n"/>
      <c r="C324" s="7" t="n"/>
      <c r="D324" s="7" t="n"/>
      <c r="E324" s="7" t="n"/>
      <c r="F324" s="7" t="n"/>
      <c r="G324" s="120"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row>
    <row r="325" ht="14.5" customHeight="1" s="165">
      <c r="A325" s="7" t="n"/>
      <c r="B325" s="7" t="n"/>
      <c r="C325" s="7" t="n"/>
      <c r="D325" s="7" t="n"/>
      <c r="E325" s="7" t="n"/>
      <c r="F325" s="7" t="n"/>
      <c r="G325" s="120"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row>
    <row r="326" ht="14.5" customHeight="1" s="165">
      <c r="A326" s="7" t="n"/>
      <c r="B326" s="7" t="n"/>
      <c r="C326" s="7" t="n"/>
      <c r="D326" s="7" t="n"/>
      <c r="E326" s="7" t="n"/>
      <c r="F326" s="7" t="n"/>
      <c r="G326" s="120"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row>
    <row r="327" ht="14.5" customHeight="1" s="165">
      <c r="A327" s="7" t="n"/>
      <c r="B327" s="7" t="n"/>
      <c r="C327" s="7" t="n"/>
      <c r="D327" s="7" t="n"/>
      <c r="E327" s="7" t="n"/>
      <c r="F327" s="7" t="n"/>
      <c r="G327" s="120"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row>
    <row r="328" ht="14.5" customHeight="1" s="165">
      <c r="A328" s="7" t="n"/>
      <c r="B328" s="7" t="n"/>
      <c r="C328" s="7" t="n"/>
      <c r="D328" s="7" t="n"/>
      <c r="E328" s="7" t="n"/>
      <c r="F328" s="7" t="n"/>
      <c r="G328" s="120"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row>
    <row r="329" ht="14.5" customHeight="1" s="165">
      <c r="A329" s="7" t="n"/>
      <c r="B329" s="7" t="n"/>
      <c r="C329" s="7" t="n"/>
      <c r="D329" s="7" t="n"/>
      <c r="E329" s="7" t="n"/>
      <c r="F329" s="7" t="n"/>
      <c r="G329" s="120"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row>
    <row r="330" ht="14.5" customHeight="1" s="165">
      <c r="A330" s="7" t="n"/>
      <c r="B330" s="7" t="n"/>
      <c r="C330" s="7" t="n"/>
      <c r="D330" s="7" t="n"/>
      <c r="E330" s="7" t="n"/>
      <c r="F330" s="7" t="n"/>
      <c r="G330" s="120"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row>
    <row r="331" ht="14.5" customHeight="1" s="165">
      <c r="A331" s="7" t="n"/>
      <c r="B331" s="7" t="n"/>
      <c r="C331" s="7" t="n"/>
      <c r="D331" s="7" t="n"/>
      <c r="E331" s="7" t="n"/>
      <c r="F331" s="7" t="n"/>
      <c r="G331" s="120"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row>
    <row r="332" ht="14.5" customHeight="1" s="165">
      <c r="A332" s="7" t="n"/>
      <c r="B332" s="7" t="n"/>
      <c r="C332" s="7" t="n"/>
      <c r="D332" s="7" t="n"/>
      <c r="E332" s="7" t="n"/>
      <c r="F332" s="7" t="n"/>
      <c r="G332" s="120"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row>
    <row r="333" ht="14.5" customHeight="1" s="165">
      <c r="A333" s="7" t="n"/>
      <c r="B333" s="7" t="n"/>
      <c r="C333" s="7" t="n"/>
      <c r="D333" s="7" t="n"/>
      <c r="E333" s="7" t="n"/>
      <c r="F333" s="7" t="n"/>
      <c r="G333" s="120"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row>
    <row r="334" ht="14.5" customHeight="1" s="165">
      <c r="A334" s="7" t="n"/>
      <c r="B334" s="7" t="n"/>
      <c r="C334" s="7" t="n"/>
      <c r="D334" s="7" t="n"/>
      <c r="E334" s="7" t="n"/>
      <c r="F334" s="7" t="n"/>
      <c r="G334" s="120"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row>
    <row r="335" ht="14.5" customHeight="1" s="165">
      <c r="A335" s="7" t="n"/>
      <c r="B335" s="7" t="n"/>
      <c r="C335" s="7" t="n"/>
      <c r="D335" s="7" t="n"/>
      <c r="E335" s="7" t="n"/>
      <c r="F335" s="7" t="n"/>
      <c r="G335" s="120"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row>
    <row r="336" ht="14.5" customHeight="1" s="165">
      <c r="A336" s="7" t="n"/>
      <c r="B336" s="7" t="n"/>
      <c r="C336" s="7" t="n"/>
      <c r="D336" s="7" t="n"/>
      <c r="E336" s="7" t="n"/>
      <c r="F336" s="7" t="n"/>
      <c r="G336" s="120"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row>
    <row r="337" ht="14.5" customHeight="1" s="165">
      <c r="A337" s="7" t="n"/>
      <c r="B337" s="7" t="n"/>
      <c r="C337" s="7" t="n"/>
      <c r="D337" s="7" t="n"/>
      <c r="E337" s="7" t="n"/>
      <c r="F337" s="7" t="n"/>
      <c r="G337" s="120"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row>
    <row r="338" ht="14.5" customHeight="1" s="165">
      <c r="A338" s="7" t="n"/>
      <c r="B338" s="7" t="n"/>
      <c r="C338" s="7" t="n"/>
      <c r="D338" s="7" t="n"/>
      <c r="E338" s="7" t="n"/>
      <c r="F338" s="7" t="n"/>
      <c r="G338" s="120"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row>
    <row r="339" ht="14.5" customHeight="1" s="165">
      <c r="A339" s="7" t="n"/>
      <c r="B339" s="7" t="n"/>
      <c r="C339" s="7" t="n"/>
      <c r="D339" s="7" t="n"/>
      <c r="E339" s="7" t="n"/>
      <c r="F339" s="7" t="n"/>
      <c r="G339" s="120"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row>
    <row r="340" ht="14.5" customHeight="1" s="165">
      <c r="A340" s="7" t="n"/>
      <c r="B340" s="7" t="n"/>
      <c r="C340" s="7" t="n"/>
      <c r="D340" s="7" t="n"/>
      <c r="E340" s="7" t="n"/>
      <c r="F340" s="7" t="n"/>
      <c r="G340" s="120"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row>
    <row r="341" ht="14.5" customHeight="1" s="165">
      <c r="A341" s="7" t="n"/>
      <c r="B341" s="7" t="n"/>
      <c r="C341" s="7" t="n"/>
      <c r="D341" s="7" t="n"/>
      <c r="E341" s="7" t="n"/>
      <c r="F341" s="7" t="n"/>
      <c r="G341" s="120"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row>
    <row r="342" ht="14.5" customHeight="1" s="165">
      <c r="A342" s="7" t="n"/>
      <c r="B342" s="7" t="n"/>
      <c r="C342" s="7" t="n"/>
      <c r="D342" s="7" t="n"/>
      <c r="E342" s="7" t="n"/>
      <c r="F342" s="7" t="n"/>
      <c r="G342" s="120"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row>
    <row r="343" ht="14.5" customHeight="1" s="165">
      <c r="A343" s="7" t="n"/>
      <c r="B343" s="7" t="n"/>
      <c r="C343" s="7" t="n"/>
      <c r="D343" s="7" t="n"/>
      <c r="E343" s="7" t="n"/>
      <c r="F343" s="7" t="n"/>
      <c r="G343" s="120"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row>
    <row r="344" ht="14.5" customHeight="1" s="165">
      <c r="A344" s="7" t="n"/>
      <c r="B344" s="7" t="n"/>
      <c r="C344" s="7" t="n"/>
      <c r="D344" s="7" t="n"/>
      <c r="E344" s="7" t="n"/>
      <c r="F344" s="7" t="n"/>
      <c r="G344" s="120"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row>
    <row r="345" ht="14.5" customHeight="1" s="165">
      <c r="A345" s="7" t="n"/>
      <c r="B345" s="7" t="n"/>
      <c r="C345" s="7" t="n"/>
      <c r="D345" s="7" t="n"/>
      <c r="E345" s="7" t="n"/>
      <c r="F345" s="7" t="n"/>
      <c r="G345" s="120"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row>
    <row r="346" ht="14.5" customHeight="1" s="165">
      <c r="A346" s="7" t="n"/>
      <c r="B346" s="7" t="n"/>
      <c r="C346" s="7" t="n"/>
      <c r="D346" s="7" t="n"/>
      <c r="E346" s="7" t="n"/>
      <c r="F346" s="7" t="n"/>
      <c r="G346" s="120"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row>
    <row r="347" ht="14.5" customHeight="1" s="165">
      <c r="A347" s="7" t="n"/>
      <c r="B347" s="7" t="n"/>
      <c r="C347" s="7" t="n"/>
      <c r="D347" s="7" t="n"/>
      <c r="E347" s="7" t="n"/>
      <c r="F347" s="7" t="n"/>
      <c r="G347" s="120"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row>
    <row r="348" ht="14.5" customHeight="1" s="165">
      <c r="A348" s="7" t="n"/>
      <c r="B348" s="7" t="n"/>
      <c r="C348" s="7" t="n"/>
      <c r="D348" s="7" t="n"/>
      <c r="E348" s="7" t="n"/>
      <c r="F348" s="7" t="n"/>
      <c r="G348" s="120"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row>
    <row r="349" ht="14.5" customHeight="1" s="165">
      <c r="A349" s="7" t="n"/>
      <c r="B349" s="7" t="n"/>
      <c r="C349" s="7" t="n"/>
      <c r="D349" s="7" t="n"/>
      <c r="E349" s="7" t="n"/>
      <c r="F349" s="7" t="n"/>
      <c r="G349" s="120"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row>
    <row r="350" ht="14.5" customHeight="1" s="165">
      <c r="A350" s="7" t="n"/>
      <c r="B350" s="7" t="n"/>
      <c r="C350" s="7" t="n"/>
      <c r="D350" s="7" t="n"/>
      <c r="E350" s="7" t="n"/>
      <c r="F350" s="7" t="n"/>
      <c r="G350" s="120"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row>
    <row r="351" ht="14.5" customHeight="1" s="165">
      <c r="A351" s="7" t="n"/>
      <c r="B351" s="7" t="n"/>
      <c r="C351" s="7" t="n"/>
      <c r="D351" s="7" t="n"/>
      <c r="E351" s="7" t="n"/>
      <c r="F351" s="7" t="n"/>
      <c r="G351" s="120"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row>
    <row r="352" ht="14.5" customHeight="1" s="165">
      <c r="A352" s="7" t="n"/>
      <c r="B352" s="7" t="n"/>
      <c r="C352" s="7" t="n"/>
      <c r="D352" s="7" t="n"/>
      <c r="E352" s="7" t="n"/>
      <c r="F352" s="7" t="n"/>
      <c r="G352" s="120"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row>
    <row r="353" ht="14.5" customHeight="1" s="165">
      <c r="A353" s="7" t="n"/>
      <c r="B353" s="7" t="n"/>
      <c r="C353" s="7" t="n"/>
      <c r="D353" s="7" t="n"/>
      <c r="E353" s="7" t="n"/>
      <c r="F353" s="7" t="n"/>
      <c r="G353" s="120"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row>
    <row r="354" ht="14.5" customHeight="1" s="165">
      <c r="A354" s="7" t="n"/>
      <c r="B354" s="7" t="n"/>
      <c r="C354" s="7" t="n"/>
      <c r="D354" s="7" t="n"/>
      <c r="E354" s="7" t="n"/>
      <c r="F354" s="7" t="n"/>
      <c r="G354" s="120"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row>
    <row r="355" ht="14.5" customHeight="1" s="165">
      <c r="A355" s="7" t="n"/>
      <c r="B355" s="7" t="n"/>
      <c r="C355" s="7" t="n"/>
      <c r="D355" s="7" t="n"/>
      <c r="E355" s="7" t="n"/>
      <c r="F355" s="7" t="n"/>
      <c r="G355" s="120"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row>
    <row r="356" ht="14.5" customHeight="1" s="165">
      <c r="A356" s="7" t="n"/>
      <c r="B356" s="7" t="n"/>
      <c r="C356" s="7" t="n"/>
      <c r="D356" s="7" t="n"/>
      <c r="E356" s="7" t="n"/>
      <c r="F356" s="7" t="n"/>
      <c r="G356" s="120"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row>
    <row r="357" ht="14.5" customHeight="1" s="165">
      <c r="A357" s="7" t="n"/>
      <c r="B357" s="7" t="n"/>
      <c r="C357" s="7" t="n"/>
      <c r="D357" s="7" t="n"/>
      <c r="E357" s="7" t="n"/>
      <c r="F357" s="7" t="n"/>
      <c r="G357" s="120"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row>
    <row r="358" ht="14.5" customHeight="1" s="165">
      <c r="A358" s="7" t="n"/>
      <c r="B358" s="7" t="n"/>
      <c r="C358" s="7" t="n"/>
      <c r="D358" s="7" t="n"/>
      <c r="E358" s="7" t="n"/>
      <c r="F358" s="7" t="n"/>
      <c r="G358" s="120"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row>
    <row r="359" ht="14.5" customHeight="1" s="165">
      <c r="A359" s="7" t="n"/>
      <c r="B359" s="7" t="n"/>
      <c r="C359" s="7" t="n"/>
      <c r="D359" s="7" t="n"/>
      <c r="E359" s="7" t="n"/>
      <c r="F359" s="7" t="n"/>
      <c r="G359" s="120"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row>
    <row r="360" ht="14.5" customHeight="1" s="165">
      <c r="A360" s="7" t="n"/>
      <c r="B360" s="7" t="n"/>
      <c r="C360" s="7" t="n"/>
      <c r="D360" s="7" t="n"/>
      <c r="E360" s="7" t="n"/>
      <c r="F360" s="7" t="n"/>
      <c r="G360" s="120"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row>
    <row r="361" ht="14.5" customHeight="1" s="165">
      <c r="A361" s="7" t="n"/>
      <c r="B361" s="7" t="n"/>
      <c r="C361" s="7" t="n"/>
      <c r="D361" s="7" t="n"/>
      <c r="E361" s="7" t="n"/>
      <c r="F361" s="7" t="n"/>
      <c r="G361" s="120"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row>
    <row r="362" ht="14.5" customHeight="1" s="165">
      <c r="A362" s="7" t="n"/>
      <c r="B362" s="7" t="n"/>
      <c r="C362" s="7" t="n"/>
      <c r="D362" s="7" t="n"/>
      <c r="E362" s="7" t="n"/>
      <c r="F362" s="7" t="n"/>
      <c r="G362" s="120"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row>
    <row r="363" ht="14.5" customHeight="1" s="165">
      <c r="A363" s="7" t="n"/>
      <c r="B363" s="7" t="n"/>
      <c r="C363" s="7" t="n"/>
      <c r="D363" s="7" t="n"/>
      <c r="E363" s="7" t="n"/>
      <c r="F363" s="7" t="n"/>
      <c r="G363" s="120"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row>
    <row r="364" ht="14.5" customHeight="1" s="165">
      <c r="A364" s="7" t="n"/>
      <c r="B364" s="7" t="n"/>
      <c r="C364" s="7" t="n"/>
      <c r="D364" s="7" t="n"/>
      <c r="E364" s="7" t="n"/>
      <c r="F364" s="7" t="n"/>
      <c r="G364" s="120"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row>
    <row r="365" ht="14.5" customHeight="1" s="165">
      <c r="A365" s="7" t="n"/>
      <c r="B365" s="7" t="n"/>
      <c r="C365" s="7" t="n"/>
      <c r="D365" s="7" t="n"/>
      <c r="E365" s="7" t="n"/>
      <c r="F365" s="7" t="n"/>
      <c r="G365" s="120"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row>
    <row r="366" ht="14.5" customHeight="1" s="165">
      <c r="A366" s="7" t="n"/>
      <c r="B366" s="7" t="n"/>
      <c r="C366" s="7" t="n"/>
      <c r="D366" s="7" t="n"/>
      <c r="E366" s="7" t="n"/>
      <c r="F366" s="7" t="n"/>
      <c r="G366" s="120"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row>
    <row r="367" ht="14.5" customHeight="1" s="165">
      <c r="A367" s="7" t="n"/>
      <c r="B367" s="7" t="n"/>
      <c r="C367" s="7" t="n"/>
      <c r="D367" s="7" t="n"/>
      <c r="E367" s="7" t="n"/>
      <c r="F367" s="7" t="n"/>
      <c r="G367" s="120"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row>
    <row r="368" ht="14.5" customHeight="1" s="165">
      <c r="A368" s="7" t="n"/>
      <c r="B368" s="7" t="n"/>
      <c r="C368" s="7" t="n"/>
      <c r="D368" s="7" t="n"/>
      <c r="E368" s="7" t="n"/>
      <c r="F368" s="7" t="n"/>
      <c r="G368" s="120"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row>
    <row r="369" ht="14.5" customHeight="1" s="165">
      <c r="A369" s="7" t="n"/>
      <c r="B369" s="7" t="n"/>
      <c r="C369" s="7" t="n"/>
      <c r="D369" s="7" t="n"/>
      <c r="E369" s="7" t="n"/>
      <c r="F369" s="7" t="n"/>
      <c r="G369" s="120"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row>
    <row r="370" ht="14.5" customHeight="1" s="165">
      <c r="A370" s="7" t="n"/>
      <c r="B370" s="7" t="n"/>
      <c r="C370" s="7" t="n"/>
      <c r="D370" s="7" t="n"/>
      <c r="E370" s="7" t="n"/>
      <c r="F370" s="7" t="n"/>
      <c r="G370" s="120"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row>
    <row r="371" ht="14.5" customHeight="1" s="165">
      <c r="A371" s="7" t="n"/>
      <c r="B371" s="7" t="n"/>
      <c r="C371" s="7" t="n"/>
      <c r="D371" s="7" t="n"/>
      <c r="E371" s="7" t="n"/>
      <c r="F371" s="7" t="n"/>
      <c r="G371" s="120"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row>
    <row r="372" ht="14.5" customHeight="1" s="165">
      <c r="A372" s="7" t="n"/>
      <c r="B372" s="7" t="n"/>
      <c r="C372" s="7" t="n"/>
      <c r="D372" s="7" t="n"/>
      <c r="E372" s="7" t="n"/>
      <c r="F372" s="7" t="n"/>
      <c r="G372" s="120"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row>
    <row r="373" ht="14.5" customHeight="1" s="165">
      <c r="A373" s="7" t="n"/>
      <c r="B373" s="7" t="n"/>
      <c r="C373" s="7" t="n"/>
      <c r="D373" s="7" t="n"/>
      <c r="E373" s="7" t="n"/>
      <c r="F373" s="7" t="n"/>
      <c r="G373" s="120"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row>
    <row r="374" ht="14.5" customHeight="1" s="165">
      <c r="A374" s="7" t="n"/>
      <c r="B374" s="7" t="n"/>
      <c r="C374" s="7" t="n"/>
      <c r="D374" s="7" t="n"/>
      <c r="E374" s="7" t="n"/>
      <c r="F374" s="7" t="n"/>
      <c r="G374" s="120"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row>
    <row r="375" ht="14.5" customHeight="1" s="165">
      <c r="A375" s="7" t="n"/>
      <c r="B375" s="7" t="n"/>
      <c r="C375" s="7" t="n"/>
      <c r="D375" s="7" t="n"/>
      <c r="E375" s="7" t="n"/>
      <c r="F375" s="7" t="n"/>
      <c r="G375" s="120"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row>
    <row r="376" ht="14.5" customHeight="1" s="165">
      <c r="A376" s="7" t="n"/>
      <c r="B376" s="7" t="n"/>
      <c r="C376" s="7" t="n"/>
      <c r="D376" s="7" t="n"/>
      <c r="E376" s="7" t="n"/>
      <c r="F376" s="7" t="n"/>
      <c r="G376" s="120"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row>
    <row r="377" ht="14.5" customHeight="1" s="165">
      <c r="A377" s="7" t="n"/>
      <c r="B377" s="7" t="n"/>
      <c r="C377" s="7" t="n"/>
      <c r="D377" s="7" t="n"/>
      <c r="E377" s="7" t="n"/>
      <c r="F377" s="7" t="n"/>
      <c r="G377" s="120"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row>
    <row r="378" ht="14.5" customHeight="1" s="165">
      <c r="A378" s="7" t="n"/>
      <c r="B378" s="7" t="n"/>
      <c r="C378" s="7" t="n"/>
      <c r="D378" s="7" t="n"/>
      <c r="E378" s="7" t="n"/>
      <c r="F378" s="7" t="n"/>
      <c r="G378" s="120"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row>
    <row r="379" ht="14.5" customHeight="1" s="165">
      <c r="A379" s="7" t="n"/>
      <c r="B379" s="7" t="n"/>
      <c r="C379" s="7" t="n"/>
      <c r="D379" s="7" t="n"/>
      <c r="E379" s="7" t="n"/>
      <c r="F379" s="7" t="n"/>
      <c r="G379" s="120"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row>
    <row r="380" ht="14.5" customHeight="1" s="165">
      <c r="A380" s="7" t="n"/>
      <c r="B380" s="7" t="n"/>
      <c r="C380" s="7" t="n"/>
      <c r="D380" s="7" t="n"/>
      <c r="E380" s="7" t="n"/>
      <c r="F380" s="7" t="n"/>
      <c r="G380" s="120"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row>
    <row r="381" ht="14.5" customHeight="1" s="165">
      <c r="A381" s="7" t="n"/>
      <c r="B381" s="7" t="n"/>
      <c r="C381" s="7" t="n"/>
      <c r="D381" s="7" t="n"/>
      <c r="E381" s="7" t="n"/>
      <c r="F381" s="7" t="n"/>
      <c r="G381" s="120"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row>
    <row r="382" ht="14.5" customHeight="1" s="165">
      <c r="A382" s="7" t="n"/>
      <c r="B382" s="7" t="n"/>
      <c r="C382" s="7" t="n"/>
      <c r="D382" s="7" t="n"/>
      <c r="E382" s="7" t="n"/>
      <c r="F382" s="7" t="n"/>
      <c r="G382" s="120"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row>
    <row r="383" ht="14.5" customHeight="1" s="165">
      <c r="A383" s="7" t="n"/>
      <c r="B383" s="7" t="n"/>
      <c r="C383" s="7" t="n"/>
      <c r="D383" s="7" t="n"/>
      <c r="E383" s="7" t="n"/>
      <c r="F383" s="7" t="n"/>
      <c r="G383" s="120"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row>
    <row r="384" ht="14.5" customHeight="1" s="165">
      <c r="A384" s="7" t="n"/>
      <c r="B384" s="7" t="n"/>
      <c r="C384" s="7" t="n"/>
      <c r="D384" s="7" t="n"/>
      <c r="E384" s="7" t="n"/>
      <c r="F384" s="7" t="n"/>
      <c r="G384" s="120"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row>
    <row r="385" ht="14.5" customHeight="1" s="165">
      <c r="A385" s="7" t="n"/>
      <c r="B385" s="7" t="n"/>
      <c r="C385" s="7" t="n"/>
      <c r="D385" s="7" t="n"/>
      <c r="E385" s="7" t="n"/>
      <c r="F385" s="7" t="n"/>
      <c r="G385" s="120"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row>
    <row r="386" ht="14.5" customHeight="1" s="165">
      <c r="A386" s="7" t="n"/>
      <c r="B386" s="7" t="n"/>
      <c r="C386" s="7" t="n"/>
      <c r="D386" s="7" t="n"/>
      <c r="E386" s="7" t="n"/>
      <c r="F386" s="7" t="n"/>
      <c r="G386" s="120"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row>
    <row r="387" ht="14.5" customHeight="1" s="165">
      <c r="A387" s="7" t="n"/>
      <c r="B387" s="7" t="n"/>
      <c r="C387" s="7" t="n"/>
      <c r="D387" s="7" t="n"/>
      <c r="E387" s="7" t="n"/>
      <c r="F387" s="7" t="n"/>
      <c r="G387" s="120"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row>
    <row r="388" ht="14.5" customHeight="1" s="165">
      <c r="A388" s="7" t="n"/>
      <c r="B388" s="7" t="n"/>
      <c r="C388" s="7" t="n"/>
      <c r="D388" s="7" t="n"/>
      <c r="E388" s="7" t="n"/>
      <c r="F388" s="7" t="n"/>
      <c r="G388" s="120"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row>
    <row r="389" ht="14.5" customHeight="1" s="165">
      <c r="A389" s="7" t="n"/>
      <c r="B389" s="7" t="n"/>
      <c r="C389" s="7" t="n"/>
      <c r="D389" s="7" t="n"/>
      <c r="E389" s="7" t="n"/>
      <c r="F389" s="7" t="n"/>
      <c r="G389" s="120"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row>
    <row r="390" ht="14.5" customHeight="1" s="165">
      <c r="A390" s="7" t="n"/>
      <c r="B390" s="7" t="n"/>
      <c r="C390" s="7" t="n"/>
      <c r="D390" s="7" t="n"/>
      <c r="E390" s="7" t="n"/>
      <c r="F390" s="7" t="n"/>
      <c r="G390" s="120"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row>
    <row r="391" ht="14.5" customHeight="1" s="165">
      <c r="A391" s="7" t="n"/>
      <c r="B391" s="7" t="n"/>
      <c r="C391" s="7" t="n"/>
      <c r="D391" s="7" t="n"/>
      <c r="E391" s="7" t="n"/>
      <c r="F391" s="7" t="n"/>
      <c r="G391" s="120"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row>
    <row r="392" ht="14.5" customHeight="1" s="165">
      <c r="A392" s="7" t="n"/>
      <c r="B392" s="7" t="n"/>
      <c r="C392" s="7" t="n"/>
      <c r="D392" s="7" t="n"/>
      <c r="E392" s="7" t="n"/>
      <c r="F392" s="7" t="n"/>
      <c r="G392" s="120"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row>
    <row r="393" ht="14.5" customHeight="1" s="165">
      <c r="A393" s="7" t="n"/>
      <c r="B393" s="7" t="n"/>
      <c r="C393" s="7" t="n"/>
      <c r="D393" s="7" t="n"/>
      <c r="E393" s="7" t="n"/>
      <c r="F393" s="7" t="n"/>
      <c r="G393" s="120"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row>
    <row r="394" ht="14.5" customHeight="1" s="165">
      <c r="A394" s="7" t="n"/>
      <c r="B394" s="7" t="n"/>
      <c r="C394" s="7" t="n"/>
      <c r="D394" s="7" t="n"/>
      <c r="E394" s="7" t="n"/>
      <c r="F394" s="7" t="n"/>
      <c r="G394" s="120"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row>
    <row r="395" ht="14.5" customHeight="1" s="165">
      <c r="A395" s="7" t="n"/>
      <c r="B395" s="7" t="n"/>
      <c r="C395" s="7" t="n"/>
      <c r="D395" s="7" t="n"/>
      <c r="E395" s="7" t="n"/>
      <c r="F395" s="7" t="n"/>
      <c r="G395" s="120"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row>
    <row r="396" ht="14.5" customHeight="1" s="165">
      <c r="A396" s="7" t="n"/>
      <c r="B396" s="7" t="n"/>
      <c r="C396" s="7" t="n"/>
      <c r="D396" s="7" t="n"/>
      <c r="E396" s="7" t="n"/>
      <c r="F396" s="7" t="n"/>
      <c r="G396" s="120"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row>
    <row r="397" ht="14.5" customHeight="1" s="165">
      <c r="A397" s="7" t="n"/>
      <c r="B397" s="7" t="n"/>
      <c r="C397" s="7" t="n"/>
      <c r="D397" s="7" t="n"/>
      <c r="E397" s="7" t="n"/>
      <c r="F397" s="7" t="n"/>
      <c r="G397" s="120"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row>
    <row r="398" ht="14.5" customHeight="1" s="165">
      <c r="A398" s="7" t="n"/>
      <c r="B398" s="7" t="n"/>
      <c r="C398" s="7" t="n"/>
      <c r="D398" s="7" t="n"/>
      <c r="E398" s="7" t="n"/>
      <c r="F398" s="7" t="n"/>
      <c r="G398" s="120"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row>
    <row r="399" ht="14.5" customHeight="1" s="165">
      <c r="A399" s="7" t="n"/>
      <c r="B399" s="7" t="n"/>
      <c r="C399" s="7" t="n"/>
      <c r="D399" s="7" t="n"/>
      <c r="E399" s="7" t="n"/>
      <c r="F399" s="7" t="n"/>
      <c r="G399" s="120"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row>
    <row r="400" ht="14.5" customHeight="1" s="165">
      <c r="A400" s="7" t="n"/>
      <c r="B400" s="7" t="n"/>
      <c r="C400" s="7" t="n"/>
      <c r="D400" s="7" t="n"/>
      <c r="E400" s="7" t="n"/>
      <c r="F400" s="7" t="n"/>
      <c r="G400" s="120"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row>
    <row r="401" ht="14.5" customHeight="1" s="165">
      <c r="A401" s="7" t="n"/>
      <c r="B401" s="7" t="n"/>
      <c r="C401" s="7" t="n"/>
      <c r="D401" s="7" t="n"/>
      <c r="E401" s="7" t="n"/>
      <c r="F401" s="7" t="n"/>
      <c r="G401" s="120"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row>
    <row r="402" ht="14.5" customHeight="1" s="165">
      <c r="A402" s="7" t="n"/>
      <c r="B402" s="7" t="n"/>
      <c r="C402" s="7" t="n"/>
      <c r="D402" s="7" t="n"/>
      <c r="E402" s="7" t="n"/>
      <c r="F402" s="7" t="n"/>
      <c r="G402" s="120"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row>
    <row r="403" ht="14.5" customHeight="1" s="165">
      <c r="A403" s="7" t="n"/>
      <c r="B403" s="7" t="n"/>
      <c r="C403" s="7" t="n"/>
      <c r="D403" s="7" t="n"/>
      <c r="E403" s="7" t="n"/>
      <c r="F403" s="7" t="n"/>
      <c r="G403" s="120"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row>
    <row r="404" ht="14.5" customHeight="1" s="165">
      <c r="A404" s="7" t="n"/>
      <c r="B404" s="7" t="n"/>
      <c r="C404" s="7" t="n"/>
      <c r="D404" s="7" t="n"/>
      <c r="E404" s="7" t="n"/>
      <c r="F404" s="7" t="n"/>
      <c r="G404" s="120"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row>
    <row r="405" ht="14.5" customHeight="1" s="165">
      <c r="A405" s="7" t="n"/>
      <c r="B405" s="7" t="n"/>
      <c r="C405" s="7" t="n"/>
      <c r="D405" s="7" t="n"/>
      <c r="E405" s="7" t="n"/>
      <c r="F405" s="7" t="n"/>
      <c r="G405" s="120"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row>
    <row r="406" ht="14.5" customHeight="1" s="165">
      <c r="A406" s="7" t="n"/>
      <c r="B406" s="7" t="n"/>
      <c r="C406" s="7" t="n"/>
      <c r="D406" s="7" t="n"/>
      <c r="E406" s="7" t="n"/>
      <c r="F406" s="7" t="n"/>
      <c r="G406" s="120"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row>
    <row r="407" ht="14.5" customHeight="1" s="165">
      <c r="A407" s="7" t="n"/>
      <c r="B407" s="7" t="n"/>
      <c r="C407" s="7" t="n"/>
      <c r="D407" s="7" t="n"/>
      <c r="E407" s="7" t="n"/>
      <c r="F407" s="7" t="n"/>
      <c r="G407" s="120"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row>
    <row r="408" ht="14.5" customHeight="1" s="165">
      <c r="A408" s="7" t="n"/>
      <c r="B408" s="7" t="n"/>
      <c r="C408" s="7" t="n"/>
      <c r="D408" s="7" t="n"/>
      <c r="E408" s="7" t="n"/>
      <c r="F408" s="7" t="n"/>
      <c r="G408" s="120"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row>
    <row r="409" ht="14.5" customHeight="1" s="165">
      <c r="A409" s="7" t="n"/>
      <c r="B409" s="7" t="n"/>
      <c r="C409" s="7" t="n"/>
      <c r="D409" s="7" t="n"/>
      <c r="E409" s="7" t="n"/>
      <c r="F409" s="7" t="n"/>
      <c r="G409" s="120"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row>
    <row r="410" ht="14.5" customHeight="1" s="165">
      <c r="A410" s="7" t="n"/>
      <c r="B410" s="7" t="n"/>
      <c r="C410" s="7" t="n"/>
      <c r="D410" s="7" t="n"/>
      <c r="E410" s="7" t="n"/>
      <c r="F410" s="7" t="n"/>
      <c r="G410" s="120"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row>
    <row r="411" ht="14.5" customHeight="1" s="165">
      <c r="A411" s="7" t="n"/>
      <c r="B411" s="7" t="n"/>
      <c r="C411" s="7" t="n"/>
      <c r="D411" s="7" t="n"/>
      <c r="E411" s="7" t="n"/>
      <c r="F411" s="7" t="n"/>
      <c r="G411" s="120"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row>
    <row r="412" ht="14.5" customHeight="1" s="165">
      <c r="A412" s="7" t="n"/>
      <c r="B412" s="7" t="n"/>
      <c r="C412" s="7" t="n"/>
      <c r="D412" s="7" t="n"/>
      <c r="E412" s="7" t="n"/>
      <c r="F412" s="7" t="n"/>
      <c r="G412" s="120"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row>
    <row r="413" ht="14.5" customHeight="1" s="165">
      <c r="A413" s="7" t="n"/>
      <c r="B413" s="7" t="n"/>
      <c r="C413" s="7" t="n"/>
      <c r="D413" s="7" t="n"/>
      <c r="E413" s="7" t="n"/>
      <c r="F413" s="7" t="n"/>
      <c r="G413" s="120"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row>
    <row r="414" ht="14.5" customHeight="1" s="165">
      <c r="A414" s="7" t="n"/>
      <c r="B414" s="7" t="n"/>
      <c r="C414" s="7" t="n"/>
      <c r="D414" s="7" t="n"/>
      <c r="E414" s="7" t="n"/>
      <c r="F414" s="7" t="n"/>
      <c r="G414" s="120"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row>
    <row r="415" ht="14.5" customHeight="1" s="165">
      <c r="A415" s="7" t="n"/>
      <c r="B415" s="7" t="n"/>
      <c r="C415" s="7" t="n"/>
      <c r="D415" s="7" t="n"/>
      <c r="E415" s="7" t="n"/>
      <c r="F415" s="7" t="n"/>
      <c r="G415" s="120"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row>
    <row r="416" ht="14.5" customHeight="1" s="165">
      <c r="A416" s="7" t="n"/>
      <c r="B416" s="7" t="n"/>
      <c r="C416" s="7" t="n"/>
      <c r="D416" s="7" t="n"/>
      <c r="E416" s="7" t="n"/>
      <c r="F416" s="7" t="n"/>
      <c r="G416" s="120"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row>
    <row r="417" ht="14.5" customHeight="1" s="165">
      <c r="A417" s="7" t="n"/>
      <c r="B417" s="7" t="n"/>
      <c r="C417" s="7" t="n"/>
      <c r="D417" s="7" t="n"/>
      <c r="E417" s="7" t="n"/>
      <c r="F417" s="7" t="n"/>
      <c r="G417" s="120"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row>
    <row r="418" ht="14.5" customHeight="1" s="165">
      <c r="A418" s="7" t="n"/>
      <c r="B418" s="7" t="n"/>
      <c r="C418" s="7" t="n"/>
      <c r="D418" s="7" t="n"/>
      <c r="E418" s="7" t="n"/>
      <c r="F418" s="7" t="n"/>
      <c r="G418" s="120"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row>
    <row r="419" ht="14.5" customHeight="1" s="165">
      <c r="A419" s="7" t="n"/>
      <c r="B419" s="7" t="n"/>
      <c r="C419" s="7" t="n"/>
      <c r="D419" s="7" t="n"/>
      <c r="E419" s="7" t="n"/>
      <c r="F419" s="7" t="n"/>
      <c r="G419" s="120"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row>
    <row r="420" ht="14.5" customHeight="1" s="165">
      <c r="A420" s="7" t="n"/>
      <c r="B420" s="7" t="n"/>
      <c r="C420" s="7" t="n"/>
      <c r="D420" s="7" t="n"/>
      <c r="E420" s="7" t="n"/>
      <c r="F420" s="7" t="n"/>
      <c r="G420" s="120"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row>
    <row r="421" ht="14.5" customHeight="1" s="165">
      <c r="A421" s="7" t="n"/>
      <c r="B421" s="7" t="n"/>
      <c r="C421" s="7" t="n"/>
      <c r="D421" s="7" t="n"/>
      <c r="E421" s="7" t="n"/>
      <c r="F421" s="7" t="n"/>
      <c r="G421" s="120"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row>
    <row r="422" ht="14.5" customHeight="1" s="165">
      <c r="A422" s="7" t="n"/>
      <c r="B422" s="7" t="n"/>
      <c r="C422" s="7" t="n"/>
      <c r="D422" s="7" t="n"/>
      <c r="E422" s="7" t="n"/>
      <c r="F422" s="7" t="n"/>
      <c r="G422" s="120"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row>
    <row r="423" ht="14.5" customHeight="1" s="165">
      <c r="A423" s="7" t="n"/>
      <c r="B423" s="7" t="n"/>
      <c r="C423" s="7" t="n"/>
      <c r="D423" s="7" t="n"/>
      <c r="E423" s="7" t="n"/>
      <c r="F423" s="7" t="n"/>
      <c r="G423" s="120"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row>
    <row r="424" ht="14.5" customHeight="1" s="165">
      <c r="A424" s="7" t="n"/>
      <c r="B424" s="7" t="n"/>
      <c r="C424" s="7" t="n"/>
      <c r="D424" s="7" t="n"/>
      <c r="E424" s="7" t="n"/>
      <c r="F424" s="7" t="n"/>
      <c r="G424" s="120"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row>
    <row r="425" ht="14.5" customHeight="1" s="165">
      <c r="A425" s="7" t="n"/>
      <c r="B425" s="7" t="n"/>
      <c r="C425" s="7" t="n"/>
      <c r="D425" s="7" t="n"/>
      <c r="E425" s="7" t="n"/>
      <c r="F425" s="7" t="n"/>
      <c r="G425" s="120"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row>
    <row r="426" ht="14.5" customHeight="1" s="165">
      <c r="A426" s="7" t="n"/>
      <c r="B426" s="7" t="n"/>
      <c r="C426" s="7" t="n"/>
      <c r="D426" s="7" t="n"/>
      <c r="E426" s="7" t="n"/>
      <c r="F426" s="7" t="n"/>
      <c r="G426" s="120"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row>
    <row r="427" ht="14.5" customHeight="1" s="165">
      <c r="A427" s="7" t="n"/>
      <c r="B427" s="7" t="n"/>
      <c r="C427" s="7" t="n"/>
      <c r="D427" s="7" t="n"/>
      <c r="E427" s="7" t="n"/>
      <c r="F427" s="7" t="n"/>
      <c r="G427" s="120"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row>
    <row r="428" ht="14.5" customHeight="1" s="165">
      <c r="A428" s="7" t="n"/>
      <c r="B428" s="7" t="n"/>
      <c r="C428" s="7" t="n"/>
      <c r="D428" s="7" t="n"/>
      <c r="E428" s="7" t="n"/>
      <c r="F428" s="7" t="n"/>
      <c r="G428" s="120"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row>
    <row r="429" ht="14.5" customHeight="1" s="165">
      <c r="A429" s="7" t="n"/>
      <c r="B429" s="7" t="n"/>
      <c r="C429" s="7" t="n"/>
      <c r="D429" s="7" t="n"/>
      <c r="E429" s="7" t="n"/>
      <c r="F429" s="7" t="n"/>
      <c r="G429" s="120"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row>
    <row r="430" ht="14.5" customHeight="1" s="165">
      <c r="A430" s="7" t="n"/>
      <c r="B430" s="7" t="n"/>
      <c r="C430" s="7" t="n"/>
      <c r="D430" s="7" t="n"/>
      <c r="E430" s="7" t="n"/>
      <c r="F430" s="7" t="n"/>
      <c r="G430" s="120"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row>
    <row r="431" ht="14.5" customHeight="1" s="165">
      <c r="A431" s="7" t="n"/>
      <c r="B431" s="7" t="n"/>
      <c r="C431" s="7" t="n"/>
      <c r="D431" s="7" t="n"/>
      <c r="E431" s="7" t="n"/>
      <c r="F431" s="7" t="n"/>
      <c r="G431" s="120"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row>
    <row r="432" ht="14.5" customHeight="1" s="165">
      <c r="A432" s="7" t="n"/>
      <c r="B432" s="7" t="n"/>
      <c r="C432" s="7" t="n"/>
      <c r="D432" s="7" t="n"/>
      <c r="E432" s="7" t="n"/>
      <c r="F432" s="7" t="n"/>
      <c r="G432" s="120"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row>
    <row r="433" ht="14.5" customHeight="1" s="165">
      <c r="A433" s="7" t="n"/>
      <c r="B433" s="7" t="n"/>
      <c r="C433" s="7" t="n"/>
      <c r="D433" s="7" t="n"/>
      <c r="E433" s="7" t="n"/>
      <c r="F433" s="7" t="n"/>
      <c r="G433" s="120"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row>
    <row r="434" ht="14.5" customHeight="1" s="165">
      <c r="A434" s="7" t="n"/>
      <c r="B434" s="7" t="n"/>
      <c r="C434" s="7" t="n"/>
      <c r="D434" s="7" t="n"/>
      <c r="E434" s="7" t="n"/>
      <c r="F434" s="7" t="n"/>
      <c r="G434" s="120"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row>
    <row r="435" ht="14.5" customHeight="1" s="165">
      <c r="A435" s="7" t="n"/>
      <c r="B435" s="7" t="n"/>
      <c r="C435" s="7" t="n"/>
      <c r="D435" s="7" t="n"/>
      <c r="E435" s="7" t="n"/>
      <c r="F435" s="7" t="n"/>
      <c r="G435" s="120"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row>
    <row r="436" ht="14.5" customHeight="1" s="165">
      <c r="A436" s="7" t="n"/>
      <c r="B436" s="7" t="n"/>
      <c r="C436" s="7" t="n"/>
      <c r="D436" s="7" t="n"/>
      <c r="E436" s="7" t="n"/>
      <c r="F436" s="7" t="n"/>
      <c r="G436" s="120"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row>
    <row r="437" ht="14.5" customHeight="1" s="165">
      <c r="A437" s="7" t="n"/>
      <c r="B437" s="7" t="n"/>
      <c r="C437" s="7" t="n"/>
      <c r="D437" s="7" t="n"/>
      <c r="E437" s="7" t="n"/>
      <c r="F437" s="7" t="n"/>
      <c r="G437" s="120"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row>
    <row r="438" ht="14.5" customHeight="1" s="165">
      <c r="A438" s="7" t="n"/>
      <c r="B438" s="7" t="n"/>
      <c r="C438" s="7" t="n"/>
      <c r="D438" s="7" t="n"/>
      <c r="E438" s="7" t="n"/>
      <c r="F438" s="7" t="n"/>
      <c r="G438" s="120"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row>
    <row r="439" ht="14.5" customHeight="1" s="165">
      <c r="A439" s="7" t="n"/>
      <c r="B439" s="7" t="n"/>
      <c r="C439" s="7" t="n"/>
      <c r="D439" s="7" t="n"/>
      <c r="E439" s="7" t="n"/>
      <c r="F439" s="7" t="n"/>
      <c r="G439" s="120"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row>
    <row r="440" ht="14.5" customHeight="1" s="165">
      <c r="A440" s="7" t="n"/>
      <c r="B440" s="7" t="n"/>
      <c r="C440" s="7" t="n"/>
      <c r="D440" s="7" t="n"/>
      <c r="E440" s="7" t="n"/>
      <c r="F440" s="7" t="n"/>
      <c r="G440" s="120"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row>
    <row r="441" ht="14.5" customHeight="1" s="165">
      <c r="A441" s="7" t="n"/>
      <c r="B441" s="7" t="n"/>
      <c r="C441" s="7" t="n"/>
      <c r="D441" s="7" t="n"/>
      <c r="E441" s="7" t="n"/>
      <c r="F441" s="7" t="n"/>
      <c r="G441" s="120"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row>
    <row r="442" ht="14.5" customHeight="1" s="165">
      <c r="A442" s="7" t="n"/>
      <c r="B442" s="7" t="n"/>
      <c r="C442" s="7" t="n"/>
      <c r="D442" s="7" t="n"/>
      <c r="E442" s="7" t="n"/>
      <c r="F442" s="7" t="n"/>
      <c r="G442" s="120"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row>
    <row r="443" ht="14.5" customHeight="1" s="165">
      <c r="A443" s="7" t="n"/>
      <c r="B443" s="7" t="n"/>
      <c r="C443" s="7" t="n"/>
      <c r="D443" s="7" t="n"/>
      <c r="E443" s="7" t="n"/>
      <c r="F443" s="7" t="n"/>
      <c r="G443" s="120"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row>
    <row r="444" ht="14.5" customHeight="1" s="165">
      <c r="A444" s="7" t="n"/>
      <c r="B444" s="7" t="n"/>
      <c r="C444" s="7" t="n"/>
      <c r="D444" s="7" t="n"/>
      <c r="E444" s="7" t="n"/>
      <c r="F444" s="7" t="n"/>
      <c r="G444" s="120"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row>
    <row r="445" ht="14.5" customHeight="1" s="165">
      <c r="A445" s="7" t="n"/>
      <c r="B445" s="7" t="n"/>
      <c r="C445" s="7" t="n"/>
      <c r="D445" s="7" t="n"/>
      <c r="E445" s="7" t="n"/>
      <c r="F445" s="7" t="n"/>
      <c r="G445" s="120"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row>
    <row r="446" ht="14.5" customHeight="1" s="165">
      <c r="A446" s="7" t="n"/>
      <c r="B446" s="7" t="n"/>
      <c r="C446" s="7" t="n"/>
      <c r="D446" s="7" t="n"/>
      <c r="E446" s="7" t="n"/>
      <c r="F446" s="7" t="n"/>
      <c r="G446" s="120"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row>
    <row r="447" ht="14.5" customHeight="1" s="165">
      <c r="A447" s="7" t="n"/>
      <c r="B447" s="7" t="n"/>
      <c r="C447" s="7" t="n"/>
      <c r="D447" s="7" t="n"/>
      <c r="E447" s="7" t="n"/>
      <c r="F447" s="7" t="n"/>
      <c r="G447" s="120"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row>
    <row r="448" ht="14.5" customHeight="1" s="165">
      <c r="A448" s="7" t="n"/>
      <c r="B448" s="7" t="n"/>
      <c r="C448" s="7" t="n"/>
      <c r="D448" s="7" t="n"/>
      <c r="E448" s="7" t="n"/>
      <c r="F448" s="7" t="n"/>
      <c r="G448" s="120"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row>
    <row r="449" ht="14.5" customHeight="1" s="165">
      <c r="A449" s="7" t="n"/>
      <c r="B449" s="7" t="n"/>
      <c r="C449" s="7" t="n"/>
      <c r="D449" s="7" t="n"/>
      <c r="E449" s="7" t="n"/>
      <c r="F449" s="7" t="n"/>
      <c r="G449" s="120"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row>
    <row r="450" ht="14.5" customHeight="1" s="165">
      <c r="A450" s="7" t="n"/>
      <c r="B450" s="7" t="n"/>
      <c r="C450" s="7" t="n"/>
      <c r="D450" s="7" t="n"/>
      <c r="E450" s="7" t="n"/>
      <c r="F450" s="7" t="n"/>
      <c r="G450" s="120"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row>
    <row r="451" ht="14.5" customHeight="1" s="165">
      <c r="A451" s="7" t="n"/>
      <c r="B451" s="7" t="n"/>
      <c r="C451" s="7" t="n"/>
      <c r="D451" s="7" t="n"/>
      <c r="E451" s="7" t="n"/>
      <c r="F451" s="7" t="n"/>
      <c r="G451" s="120"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row>
    <row r="452" ht="14.5" customHeight="1" s="165">
      <c r="A452" s="7" t="n"/>
      <c r="B452" s="7" t="n"/>
      <c r="C452" s="7" t="n"/>
      <c r="D452" s="7" t="n"/>
      <c r="E452" s="7" t="n"/>
      <c r="F452" s="7" t="n"/>
      <c r="G452" s="120"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row>
    <row r="453" ht="14.5" customHeight="1" s="165">
      <c r="A453" s="7" t="n"/>
      <c r="B453" s="7" t="n"/>
      <c r="C453" s="7" t="n"/>
      <c r="D453" s="7" t="n"/>
      <c r="E453" s="7" t="n"/>
      <c r="F453" s="7" t="n"/>
      <c r="G453" s="120"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row>
    <row r="454" ht="14.5" customHeight="1" s="165">
      <c r="A454" s="7" t="n"/>
      <c r="B454" s="7" t="n"/>
      <c r="C454" s="7" t="n"/>
      <c r="D454" s="7" t="n"/>
      <c r="E454" s="7" t="n"/>
      <c r="F454" s="7" t="n"/>
      <c r="G454" s="120"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row>
    <row r="455" ht="14.5" customHeight="1" s="165">
      <c r="A455" s="7" t="n"/>
      <c r="B455" s="7" t="n"/>
      <c r="C455" s="7" t="n"/>
      <c r="D455" s="7" t="n"/>
      <c r="E455" s="7" t="n"/>
      <c r="F455" s="7" t="n"/>
      <c r="G455" s="120"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row>
    <row r="456" ht="14.5" customHeight="1" s="165">
      <c r="A456" s="7" t="n"/>
      <c r="B456" s="7" t="n"/>
      <c r="C456" s="7" t="n"/>
      <c r="D456" s="7" t="n"/>
      <c r="E456" s="7" t="n"/>
      <c r="F456" s="7" t="n"/>
      <c r="G456" s="120"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row>
    <row r="457" ht="14.5" customHeight="1" s="165">
      <c r="A457" s="7" t="n"/>
      <c r="B457" s="7" t="n"/>
      <c r="C457" s="7" t="n"/>
      <c r="D457" s="7" t="n"/>
      <c r="E457" s="7" t="n"/>
      <c r="F457" s="7" t="n"/>
      <c r="G457" s="120"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row>
    <row r="458" ht="14.5" customHeight="1" s="165">
      <c r="A458" s="7" t="n"/>
      <c r="B458" s="7" t="n"/>
      <c r="C458" s="7" t="n"/>
      <c r="D458" s="7" t="n"/>
      <c r="E458" s="7" t="n"/>
      <c r="F458" s="7" t="n"/>
      <c r="G458" s="120"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row>
    <row r="459" ht="14.5" customHeight="1" s="165">
      <c r="A459" s="7" t="n"/>
      <c r="B459" s="7" t="n"/>
      <c r="C459" s="7" t="n"/>
      <c r="D459" s="7" t="n"/>
      <c r="E459" s="7" t="n"/>
      <c r="F459" s="7" t="n"/>
      <c r="G459" s="120"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row>
    <row r="460" ht="14.5" customHeight="1" s="165">
      <c r="A460" s="7" t="n"/>
      <c r="B460" s="7" t="n"/>
      <c r="C460" s="7" t="n"/>
      <c r="D460" s="7" t="n"/>
      <c r="E460" s="7" t="n"/>
      <c r="F460" s="7" t="n"/>
      <c r="G460" s="120"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row>
    <row r="461" ht="14.5" customHeight="1" s="165">
      <c r="A461" s="7" t="n"/>
      <c r="B461" s="7" t="n"/>
      <c r="C461" s="7" t="n"/>
      <c r="D461" s="7" t="n"/>
      <c r="E461" s="7" t="n"/>
      <c r="F461" s="7" t="n"/>
      <c r="G461" s="120"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row>
    <row r="462" ht="14.5" customHeight="1" s="165">
      <c r="A462" s="7" t="n"/>
      <c r="B462" s="7" t="n"/>
      <c r="C462" s="7" t="n"/>
      <c r="D462" s="7" t="n"/>
      <c r="E462" s="7" t="n"/>
      <c r="F462" s="7" t="n"/>
      <c r="G462" s="120"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row>
    <row r="463" ht="14.5" customHeight="1" s="165">
      <c r="A463" s="7" t="n"/>
      <c r="B463" s="7" t="n"/>
      <c r="C463" s="7" t="n"/>
      <c r="D463" s="7" t="n"/>
      <c r="E463" s="7" t="n"/>
      <c r="F463" s="7" t="n"/>
      <c r="G463" s="120"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row>
    <row r="464" ht="14.5" customHeight="1" s="165">
      <c r="A464" s="7" t="n"/>
      <c r="B464" s="7" t="n"/>
      <c r="C464" s="7" t="n"/>
      <c r="D464" s="7" t="n"/>
      <c r="E464" s="7" t="n"/>
      <c r="F464" s="7" t="n"/>
      <c r="G464" s="120"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row>
    <row r="465" ht="14.5" customHeight="1" s="165">
      <c r="A465" s="7" t="n"/>
      <c r="B465" s="7" t="n"/>
      <c r="C465" s="7" t="n"/>
      <c r="D465" s="7" t="n"/>
      <c r="E465" s="7" t="n"/>
      <c r="F465" s="7" t="n"/>
      <c r="G465" s="120"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row>
    <row r="466" ht="14.5" customHeight="1" s="165">
      <c r="A466" s="7" t="n"/>
      <c r="B466" s="7" t="n"/>
      <c r="C466" s="7" t="n"/>
      <c r="D466" s="7" t="n"/>
      <c r="E466" s="7" t="n"/>
      <c r="F466" s="7" t="n"/>
      <c r="G466" s="120"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row>
    <row r="467" ht="14.5" customHeight="1" s="165">
      <c r="A467" s="7" t="n"/>
      <c r="B467" s="7" t="n"/>
      <c r="C467" s="7" t="n"/>
      <c r="D467" s="7" t="n"/>
      <c r="E467" s="7" t="n"/>
      <c r="F467" s="7" t="n"/>
      <c r="G467" s="120"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row>
    <row r="468" ht="14.5" customHeight="1" s="165">
      <c r="A468" s="7" t="n"/>
      <c r="B468" s="7" t="n"/>
      <c r="C468" s="7" t="n"/>
      <c r="D468" s="7" t="n"/>
      <c r="E468" s="7" t="n"/>
      <c r="F468" s="7" t="n"/>
      <c r="G468" s="120"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row>
    <row r="469" ht="14.5" customHeight="1" s="165">
      <c r="A469" s="7" t="n"/>
      <c r="B469" s="7" t="n"/>
      <c r="C469" s="7" t="n"/>
      <c r="D469" s="7" t="n"/>
      <c r="E469" s="7" t="n"/>
      <c r="F469" s="7" t="n"/>
      <c r="G469" s="120"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row>
    <row r="470" ht="14.5" customHeight="1" s="165">
      <c r="A470" s="7" t="n"/>
      <c r="B470" s="7" t="n"/>
      <c r="C470" s="7" t="n"/>
      <c r="D470" s="7" t="n"/>
      <c r="E470" s="7" t="n"/>
      <c r="F470" s="7" t="n"/>
      <c r="G470" s="120"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row>
    <row r="471" ht="14.5" customHeight="1" s="165">
      <c r="A471" s="7" t="n"/>
      <c r="B471" s="7" t="n"/>
      <c r="C471" s="7" t="n"/>
      <c r="D471" s="7" t="n"/>
      <c r="E471" s="7" t="n"/>
      <c r="F471" s="7" t="n"/>
      <c r="G471" s="120"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row>
    <row r="472" ht="14.5" customHeight="1" s="165">
      <c r="A472" s="7" t="n"/>
      <c r="B472" s="7" t="n"/>
      <c r="C472" s="7" t="n"/>
      <c r="D472" s="7" t="n"/>
      <c r="E472" s="7" t="n"/>
      <c r="F472" s="7" t="n"/>
      <c r="G472" s="120"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row>
    <row r="473" ht="14.5" customHeight="1" s="165">
      <c r="A473" s="7" t="n"/>
      <c r="B473" s="7" t="n"/>
      <c r="C473" s="7" t="n"/>
      <c r="D473" s="7" t="n"/>
      <c r="E473" s="7" t="n"/>
      <c r="F473" s="7" t="n"/>
      <c r="G473" s="120"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row>
    <row r="474" ht="14.5" customHeight="1" s="165">
      <c r="A474" s="7" t="n"/>
      <c r="B474" s="7" t="n"/>
      <c r="C474" s="7" t="n"/>
      <c r="D474" s="7" t="n"/>
      <c r="E474" s="7" t="n"/>
      <c r="F474" s="7" t="n"/>
      <c r="G474" s="120"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row>
    <row r="475" ht="14.5" customHeight="1" s="165">
      <c r="A475" s="7" t="n"/>
      <c r="B475" s="7" t="n"/>
      <c r="C475" s="7" t="n"/>
      <c r="D475" s="7" t="n"/>
      <c r="E475" s="7" t="n"/>
      <c r="F475" s="7" t="n"/>
      <c r="G475" s="120"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row>
    <row r="476" ht="14.5" customHeight="1" s="165">
      <c r="A476" s="7" t="n"/>
      <c r="B476" s="7" t="n"/>
      <c r="C476" s="7" t="n"/>
      <c r="D476" s="7" t="n"/>
      <c r="E476" s="7" t="n"/>
      <c r="F476" s="7" t="n"/>
      <c r="G476" s="120"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row>
    <row r="477" ht="14.5" customHeight="1" s="165">
      <c r="A477" s="7" t="n"/>
      <c r="B477" s="7" t="n"/>
      <c r="C477" s="7" t="n"/>
      <c r="D477" s="7" t="n"/>
      <c r="E477" s="7" t="n"/>
      <c r="F477" s="7" t="n"/>
      <c r="G477" s="120"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row>
    <row r="478" ht="14.5" customHeight="1" s="165">
      <c r="A478" s="7" t="n"/>
      <c r="B478" s="7" t="n"/>
      <c r="C478" s="7" t="n"/>
      <c r="D478" s="7" t="n"/>
      <c r="E478" s="7" t="n"/>
      <c r="F478" s="7" t="n"/>
      <c r="G478" s="120"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row>
    <row r="479" ht="14.5" customHeight="1" s="165">
      <c r="A479" s="7" t="n"/>
      <c r="B479" s="7" t="n"/>
      <c r="C479" s="7" t="n"/>
      <c r="D479" s="7" t="n"/>
      <c r="E479" s="7" t="n"/>
      <c r="F479" s="7" t="n"/>
      <c r="G479" s="120"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row>
    <row r="480" ht="14.5" customHeight="1" s="165">
      <c r="A480" s="7" t="n"/>
      <c r="B480" s="7" t="n"/>
      <c r="C480" s="7" t="n"/>
      <c r="D480" s="7" t="n"/>
      <c r="E480" s="7" t="n"/>
      <c r="F480" s="7" t="n"/>
      <c r="G480" s="120"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row>
    <row r="481" ht="14.5" customHeight="1" s="165">
      <c r="A481" s="7" t="n"/>
      <c r="B481" s="7" t="n"/>
      <c r="C481" s="7" t="n"/>
      <c r="D481" s="7" t="n"/>
      <c r="E481" s="7" t="n"/>
      <c r="F481" s="7" t="n"/>
      <c r="G481" s="120"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row>
    <row r="482" ht="14.5" customHeight="1" s="165">
      <c r="A482" s="7" t="n"/>
      <c r="B482" s="7" t="n"/>
      <c r="C482" s="7" t="n"/>
      <c r="D482" s="7" t="n"/>
      <c r="E482" s="7" t="n"/>
      <c r="F482" s="7" t="n"/>
      <c r="G482" s="120"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row>
    <row r="483" ht="14.5" customHeight="1" s="165">
      <c r="A483" s="7" t="n"/>
      <c r="B483" s="7" t="n"/>
      <c r="C483" s="7" t="n"/>
      <c r="D483" s="7" t="n"/>
      <c r="E483" s="7" t="n"/>
      <c r="F483" s="7" t="n"/>
      <c r="G483" s="120"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row>
    <row r="484" ht="14.5" customHeight="1" s="165">
      <c r="A484" s="7" t="n"/>
      <c r="B484" s="7" t="n"/>
      <c r="C484" s="7" t="n"/>
      <c r="D484" s="7" t="n"/>
      <c r="E484" s="7" t="n"/>
      <c r="F484" s="7" t="n"/>
      <c r="G484" s="120"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row>
    <row r="485" ht="14.5" customHeight="1" s="165">
      <c r="A485" s="7" t="n"/>
      <c r="B485" s="7" t="n"/>
      <c r="C485" s="7" t="n"/>
      <c r="D485" s="7" t="n"/>
      <c r="E485" s="7" t="n"/>
      <c r="F485" s="7" t="n"/>
      <c r="G485" s="120"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row>
    <row r="486" ht="14.5" customHeight="1" s="165">
      <c r="A486" s="7" t="n"/>
      <c r="B486" s="7" t="n"/>
      <c r="C486" s="7" t="n"/>
      <c r="D486" s="7" t="n"/>
      <c r="E486" s="7" t="n"/>
      <c r="F486" s="7" t="n"/>
      <c r="G486" s="120"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row>
    <row r="487" ht="14.5" customHeight="1" s="165">
      <c r="A487" s="7" t="n"/>
      <c r="B487" s="7" t="n"/>
      <c r="C487" s="7" t="n"/>
      <c r="D487" s="7" t="n"/>
      <c r="E487" s="7" t="n"/>
      <c r="F487" s="7" t="n"/>
      <c r="G487" s="120"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row>
    <row r="488" ht="14.5" customHeight="1" s="165">
      <c r="A488" s="7" t="n"/>
      <c r="B488" s="7" t="n"/>
      <c r="C488" s="7" t="n"/>
      <c r="D488" s="7" t="n"/>
      <c r="E488" s="7" t="n"/>
      <c r="F488" s="7" t="n"/>
      <c r="G488" s="120"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row>
    <row r="489" ht="14.5" customHeight="1" s="165">
      <c r="A489" s="7" t="n"/>
      <c r="B489" s="7" t="n"/>
      <c r="C489" s="7" t="n"/>
      <c r="D489" s="7" t="n"/>
      <c r="E489" s="7" t="n"/>
      <c r="F489" s="7" t="n"/>
      <c r="G489" s="120"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row>
    <row r="490" ht="14.5" customHeight="1" s="165">
      <c r="A490" s="7" t="n"/>
      <c r="B490" s="7" t="n"/>
      <c r="C490" s="7" t="n"/>
      <c r="D490" s="7" t="n"/>
      <c r="E490" s="7" t="n"/>
      <c r="F490" s="7" t="n"/>
      <c r="G490" s="120"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row>
    <row r="491" ht="14.5" customHeight="1" s="165">
      <c r="A491" s="7" t="n"/>
      <c r="B491" s="7" t="n"/>
      <c r="C491" s="7" t="n"/>
      <c r="D491" s="7" t="n"/>
      <c r="E491" s="7" t="n"/>
      <c r="F491" s="7" t="n"/>
      <c r="G491" s="120"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row>
    <row r="492" ht="14.5" customHeight="1" s="165">
      <c r="A492" s="7" t="n"/>
      <c r="B492" s="7" t="n"/>
      <c r="C492" s="7" t="n"/>
      <c r="D492" s="7" t="n"/>
      <c r="E492" s="7" t="n"/>
      <c r="F492" s="7" t="n"/>
      <c r="G492" s="120"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row>
    <row r="493" ht="14.5" customHeight="1" s="165">
      <c r="A493" s="7" t="n"/>
      <c r="B493" s="7" t="n"/>
      <c r="C493" s="7" t="n"/>
      <c r="D493" s="7" t="n"/>
      <c r="E493" s="7" t="n"/>
      <c r="F493" s="7" t="n"/>
      <c r="G493" s="120"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row>
    <row r="494" ht="14.5" customHeight="1" s="165">
      <c r="A494" s="7" t="n"/>
      <c r="B494" s="7" t="n"/>
      <c r="C494" s="7" t="n"/>
      <c r="D494" s="7" t="n"/>
      <c r="E494" s="7" t="n"/>
      <c r="F494" s="7" t="n"/>
      <c r="G494" s="120"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row>
    <row r="495" ht="14.5" customHeight="1" s="165">
      <c r="A495" s="7" t="n"/>
      <c r="B495" s="7" t="n"/>
      <c r="C495" s="7" t="n"/>
      <c r="D495" s="7" t="n"/>
      <c r="E495" s="7" t="n"/>
      <c r="F495" s="7" t="n"/>
      <c r="G495" s="120"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row>
    <row r="496" ht="14.5" customHeight="1" s="165">
      <c r="A496" s="7" t="n"/>
      <c r="B496" s="7" t="n"/>
      <c r="C496" s="7" t="n"/>
      <c r="D496" s="7" t="n"/>
      <c r="E496" s="7" t="n"/>
      <c r="F496" s="7" t="n"/>
      <c r="G496" s="120"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row>
    <row r="497" ht="14.5" customHeight="1" s="165">
      <c r="A497" s="7" t="n"/>
      <c r="B497" s="7" t="n"/>
      <c r="C497" s="7" t="n"/>
      <c r="D497" s="7" t="n"/>
      <c r="E497" s="7" t="n"/>
      <c r="F497" s="7" t="n"/>
      <c r="G497" s="120"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row>
    <row r="498" ht="14.5" customHeight="1" s="165">
      <c r="A498" s="7" t="n"/>
      <c r="B498" s="7" t="n"/>
      <c r="C498" s="7" t="n"/>
      <c r="D498" s="7" t="n"/>
      <c r="E498" s="7" t="n"/>
      <c r="F498" s="7" t="n"/>
      <c r="G498" s="120"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row>
    <row r="499" ht="14.5" customHeight="1" s="165">
      <c r="A499" s="7" t="n"/>
      <c r="B499" s="7" t="n"/>
      <c r="C499" s="7" t="n"/>
      <c r="D499" s="7" t="n"/>
      <c r="E499" s="7" t="n"/>
      <c r="F499" s="7" t="n"/>
      <c r="G499" s="120"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row>
    <row r="500" ht="14.5" customHeight="1" s="165">
      <c r="A500" s="7" t="n"/>
      <c r="B500" s="7" t="n"/>
      <c r="C500" s="7" t="n"/>
      <c r="D500" s="7" t="n"/>
      <c r="E500" s="7" t="n"/>
      <c r="F500" s="7" t="n"/>
      <c r="G500" s="120"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row>
    <row r="501" ht="14.5" customHeight="1" s="165">
      <c r="A501" s="7" t="n"/>
      <c r="B501" s="7" t="n"/>
      <c r="C501" s="7" t="n"/>
      <c r="D501" s="7" t="n"/>
      <c r="E501" s="7" t="n"/>
      <c r="F501" s="7" t="n"/>
      <c r="G501" s="120"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row>
    <row r="502" ht="14.5" customHeight="1" s="165">
      <c r="A502" s="7" t="n"/>
      <c r="B502" s="7" t="n"/>
      <c r="C502" s="7" t="n"/>
      <c r="D502" s="7" t="n"/>
      <c r="E502" s="7" t="n"/>
      <c r="F502" s="7" t="n"/>
      <c r="G502" s="120"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row>
    <row r="503" ht="14.5" customHeight="1" s="165">
      <c r="A503" s="7" t="n"/>
      <c r="B503" s="7" t="n"/>
      <c r="C503" s="7" t="n"/>
      <c r="D503" s="7" t="n"/>
      <c r="E503" s="7" t="n"/>
      <c r="F503" s="7" t="n"/>
      <c r="G503" s="120"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row>
    <row r="504" ht="14.5" customHeight="1" s="165">
      <c r="A504" s="7" t="n"/>
      <c r="B504" s="7" t="n"/>
      <c r="C504" s="7" t="n"/>
      <c r="D504" s="7" t="n"/>
      <c r="E504" s="7" t="n"/>
      <c r="F504" s="7" t="n"/>
      <c r="G504" s="120"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row>
    <row r="505" ht="14.5" customHeight="1" s="165">
      <c r="A505" s="7" t="n"/>
      <c r="B505" s="7" t="n"/>
      <c r="C505" s="7" t="n"/>
      <c r="D505" s="7" t="n"/>
      <c r="E505" s="7" t="n"/>
      <c r="F505" s="7" t="n"/>
      <c r="G505" s="120"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row>
    <row r="506" ht="14.5" customHeight="1" s="165">
      <c r="A506" s="7" t="n"/>
      <c r="B506" s="7" t="n"/>
      <c r="C506" s="7" t="n"/>
      <c r="D506" s="7" t="n"/>
      <c r="E506" s="7" t="n"/>
      <c r="F506" s="7" t="n"/>
      <c r="G506" s="120"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row>
    <row r="507" ht="14.5" customHeight="1" s="165">
      <c r="A507" s="7" t="n"/>
      <c r="B507" s="7" t="n"/>
      <c r="C507" s="7" t="n"/>
      <c r="D507" s="7" t="n"/>
      <c r="E507" s="7" t="n"/>
      <c r="F507" s="7" t="n"/>
      <c r="G507" s="120"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row>
    <row r="508" ht="14.5" customHeight="1" s="165">
      <c r="A508" s="7" t="n"/>
      <c r="B508" s="7" t="n"/>
      <c r="C508" s="7" t="n"/>
      <c r="D508" s="7" t="n"/>
      <c r="E508" s="7" t="n"/>
      <c r="F508" s="7" t="n"/>
      <c r="G508" s="120"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row>
    <row r="509" ht="14.5" customHeight="1" s="165">
      <c r="A509" s="7" t="n"/>
      <c r="B509" s="7" t="n"/>
      <c r="C509" s="7" t="n"/>
      <c r="D509" s="7" t="n"/>
      <c r="E509" s="7" t="n"/>
      <c r="F509" s="7" t="n"/>
      <c r="G509" s="120"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row>
    <row r="510" ht="14.5" customHeight="1" s="165">
      <c r="A510" s="7" t="n"/>
      <c r="B510" s="7" t="n"/>
      <c r="C510" s="7" t="n"/>
      <c r="D510" s="7" t="n"/>
      <c r="E510" s="7" t="n"/>
      <c r="F510" s="7" t="n"/>
      <c r="G510" s="120"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row>
    <row r="511" ht="14.5" customHeight="1" s="165">
      <c r="A511" s="7" t="n"/>
      <c r="B511" s="7" t="n"/>
      <c r="C511" s="7" t="n"/>
      <c r="D511" s="7" t="n"/>
      <c r="E511" s="7" t="n"/>
      <c r="F511" s="7" t="n"/>
      <c r="G511" s="120"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row>
    <row r="512" ht="14.5" customHeight="1" s="165">
      <c r="A512" s="7" t="n"/>
      <c r="B512" s="7" t="n"/>
      <c r="C512" s="7" t="n"/>
      <c r="D512" s="7" t="n"/>
      <c r="E512" s="7" t="n"/>
      <c r="F512" s="7" t="n"/>
      <c r="G512" s="120"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row>
    <row r="513" ht="14.5" customHeight="1" s="165">
      <c r="A513" s="7" t="n"/>
      <c r="B513" s="7" t="n"/>
      <c r="C513" s="7" t="n"/>
      <c r="D513" s="7" t="n"/>
      <c r="E513" s="7" t="n"/>
      <c r="F513" s="7" t="n"/>
      <c r="G513" s="120"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row>
    <row r="514" ht="14.5" customHeight="1" s="165">
      <c r="A514" s="7" t="n"/>
      <c r="B514" s="7" t="n"/>
      <c r="C514" s="7" t="n"/>
      <c r="D514" s="7" t="n"/>
      <c r="E514" s="7" t="n"/>
      <c r="F514" s="7" t="n"/>
      <c r="G514" s="120"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row>
    <row r="515" ht="14.5" customHeight="1" s="165">
      <c r="A515" s="7" t="n"/>
      <c r="B515" s="7" t="n"/>
      <c r="C515" s="7" t="n"/>
      <c r="D515" s="7" t="n"/>
      <c r="E515" s="7" t="n"/>
      <c r="F515" s="7" t="n"/>
      <c r="G515" s="120"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row>
    <row r="516" ht="14.5" customHeight="1" s="165">
      <c r="A516" s="7" t="n"/>
      <c r="B516" s="7" t="n"/>
      <c r="C516" s="7" t="n"/>
      <c r="D516" s="7" t="n"/>
      <c r="E516" s="7" t="n"/>
      <c r="F516" s="7" t="n"/>
      <c r="G516" s="120"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row>
    <row r="517" ht="14.5" customHeight="1" s="165">
      <c r="A517" s="7" t="n"/>
      <c r="B517" s="7" t="n"/>
      <c r="C517" s="7" t="n"/>
      <c r="D517" s="7" t="n"/>
      <c r="E517" s="7" t="n"/>
      <c r="F517" s="7" t="n"/>
      <c r="G517" s="120"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row>
    <row r="518" ht="14.5" customHeight="1" s="165">
      <c r="A518" s="7" t="n"/>
      <c r="B518" s="7" t="n"/>
      <c r="C518" s="7" t="n"/>
      <c r="D518" s="7" t="n"/>
      <c r="E518" s="7" t="n"/>
      <c r="F518" s="7" t="n"/>
      <c r="G518" s="120"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row>
    <row r="519" ht="14.5" customHeight="1" s="165">
      <c r="A519" s="7" t="n"/>
      <c r="B519" s="7" t="n"/>
      <c r="C519" s="7" t="n"/>
      <c r="D519" s="7" t="n"/>
      <c r="E519" s="7" t="n"/>
      <c r="F519" s="7" t="n"/>
      <c r="G519" s="120"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row>
    <row r="520" ht="14.5" customHeight="1" s="165">
      <c r="A520" s="7" t="n"/>
      <c r="B520" s="7" t="n"/>
      <c r="C520" s="7" t="n"/>
      <c r="D520" s="7" t="n"/>
      <c r="E520" s="7" t="n"/>
      <c r="F520" s="7" t="n"/>
      <c r="G520" s="120"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row>
    <row r="521" ht="14.5" customHeight="1" s="165">
      <c r="A521" s="7" t="n"/>
      <c r="B521" s="7" t="n"/>
      <c r="C521" s="7" t="n"/>
      <c r="D521" s="7" t="n"/>
      <c r="E521" s="7" t="n"/>
      <c r="F521" s="7" t="n"/>
      <c r="G521" s="120"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row>
    <row r="522" ht="14.5" customHeight="1" s="165">
      <c r="A522" s="7" t="n"/>
      <c r="B522" s="7" t="n"/>
      <c r="C522" s="7" t="n"/>
      <c r="D522" s="7" t="n"/>
      <c r="E522" s="7" t="n"/>
      <c r="F522" s="7" t="n"/>
      <c r="G522" s="120"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row>
    <row r="523" ht="14.5" customHeight="1" s="165">
      <c r="A523" s="7" t="n"/>
      <c r="B523" s="7" t="n"/>
      <c r="C523" s="7" t="n"/>
      <c r="D523" s="7" t="n"/>
      <c r="E523" s="7" t="n"/>
      <c r="F523" s="7" t="n"/>
      <c r="G523" s="120"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row>
    <row r="524" ht="14.5" customHeight="1" s="165">
      <c r="A524" s="7" t="n"/>
      <c r="B524" s="7" t="n"/>
      <c r="C524" s="7" t="n"/>
      <c r="D524" s="7" t="n"/>
      <c r="E524" s="7" t="n"/>
      <c r="F524" s="7" t="n"/>
      <c r="G524" s="120"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row>
    <row r="525" ht="14.5" customHeight="1" s="165">
      <c r="A525" s="7" t="n"/>
      <c r="B525" s="7" t="n"/>
      <c r="C525" s="7" t="n"/>
      <c r="D525" s="7" t="n"/>
      <c r="E525" s="7" t="n"/>
      <c r="F525" s="7" t="n"/>
      <c r="G525" s="120"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row>
    <row r="526" ht="14.5" customHeight="1" s="165">
      <c r="A526" s="7" t="n"/>
      <c r="B526" s="7" t="n"/>
      <c r="C526" s="7" t="n"/>
      <c r="D526" s="7" t="n"/>
      <c r="E526" s="7" t="n"/>
      <c r="F526" s="7" t="n"/>
      <c r="G526" s="120"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row>
    <row r="527" ht="14.5" customHeight="1" s="165">
      <c r="A527" s="7" t="n"/>
      <c r="B527" s="7" t="n"/>
      <c r="C527" s="7" t="n"/>
      <c r="D527" s="7" t="n"/>
      <c r="E527" s="7" t="n"/>
      <c r="F527" s="7" t="n"/>
      <c r="G527" s="120"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row>
    <row r="528" ht="14.5" customHeight="1" s="165">
      <c r="A528" s="7" t="n"/>
      <c r="B528" s="7" t="n"/>
      <c r="C528" s="7" t="n"/>
      <c r="D528" s="7" t="n"/>
      <c r="E528" s="7" t="n"/>
      <c r="F528" s="7" t="n"/>
      <c r="G528" s="120"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row>
    <row r="529" ht="14.5" customHeight="1" s="165">
      <c r="A529" s="7" t="n"/>
      <c r="B529" s="7" t="n"/>
      <c r="C529" s="7" t="n"/>
      <c r="D529" s="7" t="n"/>
      <c r="E529" s="7" t="n"/>
      <c r="F529" s="7" t="n"/>
      <c r="G529" s="120"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row>
    <row r="530" ht="14.5" customHeight="1" s="165">
      <c r="A530" s="7" t="n"/>
      <c r="B530" s="7" t="n"/>
      <c r="C530" s="7" t="n"/>
      <c r="D530" s="7" t="n"/>
      <c r="E530" s="7" t="n"/>
      <c r="F530" s="7" t="n"/>
      <c r="G530" s="120"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row>
    <row r="531" ht="14.5" customHeight="1" s="165">
      <c r="A531" s="7" t="n"/>
      <c r="B531" s="7" t="n"/>
      <c r="C531" s="7" t="n"/>
      <c r="D531" s="7" t="n"/>
      <c r="E531" s="7" t="n"/>
      <c r="F531" s="7" t="n"/>
      <c r="G531" s="120"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row>
    <row r="532" ht="14.5" customHeight="1" s="165">
      <c r="A532" s="7" t="n"/>
      <c r="B532" s="7" t="n"/>
      <c r="C532" s="7" t="n"/>
      <c r="D532" s="7" t="n"/>
      <c r="E532" s="7" t="n"/>
      <c r="F532" s="7" t="n"/>
      <c r="G532" s="120"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row>
    <row r="533" ht="14.5" customHeight="1" s="165">
      <c r="A533" s="7" t="n"/>
      <c r="B533" s="7" t="n"/>
      <c r="C533" s="7" t="n"/>
      <c r="D533" s="7" t="n"/>
      <c r="E533" s="7" t="n"/>
      <c r="F533" s="7" t="n"/>
      <c r="G533" s="120"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row>
    <row r="534" ht="14.5" customHeight="1" s="165">
      <c r="A534" s="7" t="n"/>
      <c r="B534" s="7" t="n"/>
      <c r="C534" s="7" t="n"/>
      <c r="D534" s="7" t="n"/>
      <c r="E534" s="7" t="n"/>
      <c r="F534" s="7" t="n"/>
      <c r="G534" s="120"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row>
    <row r="535" ht="14.5" customHeight="1" s="165">
      <c r="A535" s="7" t="n"/>
      <c r="B535" s="7" t="n"/>
      <c r="C535" s="7" t="n"/>
      <c r="D535" s="7" t="n"/>
      <c r="E535" s="7" t="n"/>
      <c r="F535" s="7" t="n"/>
      <c r="G535" s="120"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row>
    <row r="536" ht="14.5" customHeight="1" s="165">
      <c r="A536" s="7" t="n"/>
      <c r="B536" s="7" t="n"/>
      <c r="C536" s="7" t="n"/>
      <c r="D536" s="7" t="n"/>
      <c r="E536" s="7" t="n"/>
      <c r="F536" s="7" t="n"/>
      <c r="G536" s="120"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row>
    <row r="537" ht="14.5" customHeight="1" s="165">
      <c r="A537" s="7" t="n"/>
      <c r="B537" s="7" t="n"/>
      <c r="C537" s="7" t="n"/>
      <c r="D537" s="7" t="n"/>
      <c r="E537" s="7" t="n"/>
      <c r="F537" s="7" t="n"/>
      <c r="G537" s="120"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row>
    <row r="538" ht="14.5" customHeight="1" s="165">
      <c r="A538" s="7" t="n"/>
      <c r="B538" s="7" t="n"/>
      <c r="C538" s="7" t="n"/>
      <c r="D538" s="7" t="n"/>
      <c r="E538" s="7" t="n"/>
      <c r="F538" s="7" t="n"/>
      <c r="G538" s="120"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row>
    <row r="539" ht="14.5" customHeight="1" s="165">
      <c r="A539" s="7" t="n"/>
      <c r="B539" s="7" t="n"/>
      <c r="C539" s="7" t="n"/>
      <c r="D539" s="7" t="n"/>
      <c r="E539" s="7" t="n"/>
      <c r="F539" s="7" t="n"/>
      <c r="G539" s="120"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row>
    <row r="540" ht="14.5" customHeight="1" s="165">
      <c r="A540" s="7" t="n"/>
      <c r="B540" s="7" t="n"/>
      <c r="C540" s="7" t="n"/>
      <c r="D540" s="7" t="n"/>
      <c r="E540" s="7" t="n"/>
      <c r="F540" s="7" t="n"/>
      <c r="G540" s="120"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row>
    <row r="541" ht="14.5" customHeight="1" s="165">
      <c r="A541" s="7" t="n"/>
      <c r="B541" s="7" t="n"/>
      <c r="C541" s="7" t="n"/>
      <c r="D541" s="7" t="n"/>
      <c r="E541" s="7" t="n"/>
      <c r="F541" s="7" t="n"/>
      <c r="G541" s="120"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row>
    <row r="542" ht="14.5" customHeight="1" s="165">
      <c r="A542" s="7" t="n"/>
      <c r="B542" s="7" t="n"/>
      <c r="C542" s="7" t="n"/>
      <c r="D542" s="7" t="n"/>
      <c r="E542" s="7" t="n"/>
      <c r="F542" s="7" t="n"/>
      <c r="G542" s="120"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row>
    <row r="543" ht="14.5" customHeight="1" s="165">
      <c r="A543" s="7" t="n"/>
      <c r="B543" s="7" t="n"/>
      <c r="C543" s="7" t="n"/>
      <c r="D543" s="7" t="n"/>
      <c r="E543" s="7" t="n"/>
      <c r="F543" s="7" t="n"/>
      <c r="G543" s="120"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row>
    <row r="544" ht="14.5" customHeight="1" s="165">
      <c r="A544" s="7" t="n"/>
      <c r="B544" s="7" t="n"/>
      <c r="C544" s="7" t="n"/>
      <c r="D544" s="7" t="n"/>
      <c r="E544" s="7" t="n"/>
      <c r="F544" s="7" t="n"/>
      <c r="G544" s="120"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row>
    <row r="545" ht="14.5" customHeight="1" s="165">
      <c r="A545" s="7" t="n"/>
      <c r="B545" s="7" t="n"/>
      <c r="C545" s="7" t="n"/>
      <c r="D545" s="7" t="n"/>
      <c r="E545" s="7" t="n"/>
      <c r="F545" s="7" t="n"/>
      <c r="G545" s="120"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row>
    <row r="546" ht="14.5" customHeight="1" s="165">
      <c r="A546" s="7" t="n"/>
      <c r="B546" s="7" t="n"/>
      <c r="C546" s="7" t="n"/>
      <c r="D546" s="7" t="n"/>
      <c r="E546" s="7" t="n"/>
      <c r="F546" s="7" t="n"/>
      <c r="G546" s="120"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row>
    <row r="547" ht="14.5" customHeight="1" s="165">
      <c r="A547" s="7" t="n"/>
      <c r="B547" s="7" t="n"/>
      <c r="C547" s="7" t="n"/>
      <c r="D547" s="7" t="n"/>
      <c r="E547" s="7" t="n"/>
      <c r="F547" s="7" t="n"/>
      <c r="G547" s="120"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row>
    <row r="548" ht="14.5" customHeight="1" s="165">
      <c r="A548" s="7" t="n"/>
      <c r="B548" s="7" t="n"/>
      <c r="C548" s="7" t="n"/>
      <c r="D548" s="7" t="n"/>
      <c r="E548" s="7" t="n"/>
      <c r="F548" s="7" t="n"/>
      <c r="G548" s="120"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row>
    <row r="549" ht="14.5" customHeight="1" s="165">
      <c r="A549" s="7" t="n"/>
      <c r="B549" s="7" t="n"/>
      <c r="C549" s="7" t="n"/>
      <c r="D549" s="7" t="n"/>
      <c r="E549" s="7" t="n"/>
      <c r="F549" s="7" t="n"/>
      <c r="G549" s="120"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row>
    <row r="550" ht="14.5" customHeight="1" s="165">
      <c r="A550" s="7" t="n"/>
      <c r="B550" s="7" t="n"/>
      <c r="C550" s="7" t="n"/>
      <c r="D550" s="7" t="n"/>
      <c r="E550" s="7" t="n"/>
      <c r="F550" s="7" t="n"/>
      <c r="G550" s="120"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row>
    <row r="551" ht="14.5" customHeight="1" s="165">
      <c r="A551" s="7" t="n"/>
      <c r="B551" s="7" t="n"/>
      <c r="C551" s="7" t="n"/>
      <c r="D551" s="7" t="n"/>
      <c r="E551" s="7" t="n"/>
      <c r="F551" s="7" t="n"/>
      <c r="G551" s="120"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row>
    <row r="552" ht="14.5" customHeight="1" s="165">
      <c r="A552" s="7" t="n"/>
      <c r="B552" s="7" t="n"/>
      <c r="C552" s="7" t="n"/>
      <c r="D552" s="7" t="n"/>
      <c r="E552" s="7" t="n"/>
      <c r="F552" s="7" t="n"/>
      <c r="G552" s="120"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row>
    <row r="553" ht="14.5" customHeight="1" s="165">
      <c r="A553" s="7" t="n"/>
      <c r="B553" s="7" t="n"/>
      <c r="C553" s="7" t="n"/>
      <c r="D553" s="7" t="n"/>
      <c r="E553" s="7" t="n"/>
      <c r="F553" s="7" t="n"/>
      <c r="G553" s="120"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row>
    <row r="554" ht="14.5" customHeight="1" s="165">
      <c r="A554" s="7" t="n"/>
      <c r="B554" s="7" t="n"/>
      <c r="C554" s="7" t="n"/>
      <c r="D554" s="7" t="n"/>
      <c r="E554" s="7" t="n"/>
      <c r="F554" s="7" t="n"/>
      <c r="G554" s="120"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row>
    <row r="555" ht="14.5" customHeight="1" s="165">
      <c r="A555" s="7" t="n"/>
      <c r="B555" s="7" t="n"/>
      <c r="C555" s="7" t="n"/>
      <c r="D555" s="7" t="n"/>
      <c r="E555" s="7" t="n"/>
      <c r="F555" s="7" t="n"/>
      <c r="G555" s="120"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row>
    <row r="556" ht="14.5" customHeight="1" s="165">
      <c r="A556" s="7" t="n"/>
      <c r="B556" s="7" t="n"/>
      <c r="C556" s="7" t="n"/>
      <c r="D556" s="7" t="n"/>
      <c r="E556" s="7" t="n"/>
      <c r="F556" s="7" t="n"/>
      <c r="G556" s="120"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row>
    <row r="557" ht="14.5" customHeight="1" s="165">
      <c r="A557" s="7" t="n"/>
      <c r="B557" s="7" t="n"/>
      <c r="C557" s="7" t="n"/>
      <c r="D557" s="7" t="n"/>
      <c r="E557" s="7" t="n"/>
      <c r="F557" s="7" t="n"/>
      <c r="G557" s="120"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row>
    <row r="558" ht="14.5" customHeight="1" s="165">
      <c r="A558" s="7" t="n"/>
      <c r="B558" s="7" t="n"/>
      <c r="C558" s="7" t="n"/>
      <c r="D558" s="7" t="n"/>
      <c r="E558" s="7" t="n"/>
      <c r="F558" s="7" t="n"/>
      <c r="G558" s="120"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row>
    <row r="559" ht="14.5" customHeight="1" s="165">
      <c r="A559" s="7" t="n"/>
      <c r="B559" s="7" t="n"/>
      <c r="C559" s="7" t="n"/>
      <c r="D559" s="7" t="n"/>
      <c r="E559" s="7" t="n"/>
      <c r="F559" s="7" t="n"/>
      <c r="G559" s="120"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row>
    <row r="560" ht="14.5" customHeight="1" s="165">
      <c r="A560" s="7" t="n"/>
      <c r="B560" s="7" t="n"/>
      <c r="C560" s="7" t="n"/>
      <c r="D560" s="7" t="n"/>
      <c r="E560" s="7" t="n"/>
      <c r="F560" s="7" t="n"/>
      <c r="G560" s="120"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row>
    <row r="561" ht="14.5" customHeight="1" s="165">
      <c r="A561" s="7" t="n"/>
      <c r="B561" s="7" t="n"/>
      <c r="C561" s="7" t="n"/>
      <c r="D561" s="7" t="n"/>
      <c r="E561" s="7" t="n"/>
      <c r="F561" s="7" t="n"/>
      <c r="G561" s="120"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row>
    <row r="562" ht="14.5" customHeight="1" s="165">
      <c r="A562" s="7" t="n"/>
      <c r="B562" s="7" t="n"/>
      <c r="C562" s="7" t="n"/>
      <c r="D562" s="7" t="n"/>
      <c r="E562" s="7" t="n"/>
      <c r="F562" s="7" t="n"/>
      <c r="G562" s="120"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row>
    <row r="563" ht="14.5" customHeight="1" s="165">
      <c r="A563" s="7" t="n"/>
      <c r="B563" s="7" t="n"/>
      <c r="C563" s="7" t="n"/>
      <c r="D563" s="7" t="n"/>
      <c r="E563" s="7" t="n"/>
      <c r="F563" s="7" t="n"/>
      <c r="G563" s="120"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row>
    <row r="564" ht="14.5" customHeight="1" s="165">
      <c r="A564" s="7" t="n"/>
      <c r="B564" s="7" t="n"/>
      <c r="C564" s="7" t="n"/>
      <c r="D564" s="7" t="n"/>
      <c r="E564" s="7" t="n"/>
      <c r="F564" s="7" t="n"/>
      <c r="G564" s="120"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row>
    <row r="565" ht="14.5" customHeight="1" s="165">
      <c r="A565" s="7" t="n"/>
      <c r="B565" s="7" t="n"/>
      <c r="C565" s="7" t="n"/>
      <c r="D565" s="7" t="n"/>
      <c r="E565" s="7" t="n"/>
      <c r="F565" s="7" t="n"/>
      <c r="G565" s="120"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row>
    <row r="566" ht="14.5" customHeight="1" s="165">
      <c r="A566" s="7" t="n"/>
      <c r="B566" s="7" t="n"/>
      <c r="C566" s="7" t="n"/>
      <c r="D566" s="7" t="n"/>
      <c r="E566" s="7" t="n"/>
      <c r="F566" s="7" t="n"/>
      <c r="G566" s="120"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row>
    <row r="567" ht="14.5" customHeight="1" s="165">
      <c r="A567" s="7" t="n"/>
      <c r="B567" s="7" t="n"/>
      <c r="C567" s="7" t="n"/>
      <c r="D567" s="7" t="n"/>
      <c r="E567" s="7" t="n"/>
      <c r="F567" s="7" t="n"/>
      <c r="G567" s="120"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row>
    <row r="568" ht="14.5" customHeight="1" s="165">
      <c r="A568" s="7" t="n"/>
      <c r="B568" s="7" t="n"/>
      <c r="C568" s="7" t="n"/>
      <c r="D568" s="7" t="n"/>
      <c r="E568" s="7" t="n"/>
      <c r="F568" s="7" t="n"/>
      <c r="G568" s="120"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row>
    <row r="569" ht="14.5" customHeight="1" s="165">
      <c r="A569" s="7" t="n"/>
      <c r="B569" s="7" t="n"/>
      <c r="C569" s="7" t="n"/>
      <c r="D569" s="7" t="n"/>
      <c r="E569" s="7" t="n"/>
      <c r="F569" s="7" t="n"/>
      <c r="G569" s="120"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row>
    <row r="570" ht="14.5" customHeight="1" s="165">
      <c r="A570" s="7" t="n"/>
      <c r="B570" s="7" t="n"/>
      <c r="C570" s="7" t="n"/>
      <c r="D570" s="7" t="n"/>
      <c r="E570" s="7" t="n"/>
      <c r="F570" s="7" t="n"/>
      <c r="G570" s="120"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row>
    <row r="571" ht="14.5" customHeight="1" s="165">
      <c r="A571" s="7" t="n"/>
      <c r="B571" s="7" t="n"/>
      <c r="C571" s="7" t="n"/>
      <c r="D571" s="7" t="n"/>
      <c r="E571" s="7" t="n"/>
      <c r="F571" s="7" t="n"/>
      <c r="G571" s="120"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row>
    <row r="572" ht="14.5" customHeight="1" s="165">
      <c r="A572" s="7" t="n"/>
      <c r="B572" s="7" t="n"/>
      <c r="C572" s="7" t="n"/>
      <c r="D572" s="7" t="n"/>
      <c r="E572" s="7" t="n"/>
      <c r="F572" s="7" t="n"/>
      <c r="G572" s="120"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row>
    <row r="573" ht="14.5" customHeight="1" s="165">
      <c r="A573" s="7" t="n"/>
      <c r="B573" s="7" t="n"/>
      <c r="C573" s="7" t="n"/>
      <c r="D573" s="7" t="n"/>
      <c r="E573" s="7" t="n"/>
      <c r="F573" s="7" t="n"/>
      <c r="G573" s="120"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row>
    <row r="574" ht="14.5" customHeight="1" s="165">
      <c r="A574" s="7" t="n"/>
      <c r="B574" s="7" t="n"/>
      <c r="C574" s="7" t="n"/>
      <c r="D574" s="7" t="n"/>
      <c r="E574" s="7" t="n"/>
      <c r="F574" s="7" t="n"/>
      <c r="G574" s="120"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row>
    <row r="575" ht="14.5" customHeight="1" s="165">
      <c r="A575" s="7" t="n"/>
      <c r="B575" s="7" t="n"/>
      <c r="C575" s="7" t="n"/>
      <c r="D575" s="7" t="n"/>
      <c r="E575" s="7" t="n"/>
      <c r="F575" s="7" t="n"/>
      <c r="G575" s="120"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row>
    <row r="576" ht="14.5" customHeight="1" s="165">
      <c r="A576" s="7" t="n"/>
      <c r="B576" s="7" t="n"/>
      <c r="C576" s="7" t="n"/>
      <c r="D576" s="7" t="n"/>
      <c r="E576" s="7" t="n"/>
      <c r="F576" s="7" t="n"/>
      <c r="G576" s="120"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row>
    <row r="577" ht="14.5" customHeight="1" s="165">
      <c r="A577" s="7" t="n"/>
      <c r="B577" s="7" t="n"/>
      <c r="C577" s="7" t="n"/>
      <c r="D577" s="7" t="n"/>
      <c r="E577" s="7" t="n"/>
      <c r="F577" s="7" t="n"/>
      <c r="G577" s="120"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row>
    <row r="578" ht="14.5" customHeight="1" s="165">
      <c r="A578" s="7" t="n"/>
      <c r="B578" s="7" t="n"/>
      <c r="C578" s="7" t="n"/>
      <c r="D578" s="7" t="n"/>
      <c r="E578" s="7" t="n"/>
      <c r="F578" s="7" t="n"/>
      <c r="G578" s="120"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row>
    <row r="579" ht="14.5" customHeight="1" s="165">
      <c r="A579" s="7" t="n"/>
      <c r="B579" s="7" t="n"/>
      <c r="C579" s="7" t="n"/>
      <c r="D579" s="7" t="n"/>
      <c r="E579" s="7" t="n"/>
      <c r="F579" s="7" t="n"/>
      <c r="G579" s="120"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row>
    <row r="580" ht="14.5" customHeight="1" s="165">
      <c r="A580" s="7" t="n"/>
      <c r="B580" s="7" t="n"/>
      <c r="C580" s="7" t="n"/>
      <c r="D580" s="7" t="n"/>
      <c r="E580" s="7" t="n"/>
      <c r="F580" s="7" t="n"/>
      <c r="G580" s="120"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row>
    <row r="581" ht="14.5" customHeight="1" s="165">
      <c r="A581" s="7" t="n"/>
      <c r="B581" s="7" t="n"/>
      <c r="C581" s="7" t="n"/>
      <c r="D581" s="7" t="n"/>
      <c r="E581" s="7" t="n"/>
      <c r="F581" s="7" t="n"/>
      <c r="G581" s="120"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row>
    <row r="582" ht="14.5" customHeight="1" s="165">
      <c r="A582" s="7" t="n"/>
      <c r="B582" s="7" t="n"/>
      <c r="C582" s="7" t="n"/>
      <c r="D582" s="7" t="n"/>
      <c r="E582" s="7" t="n"/>
      <c r="F582" s="7" t="n"/>
      <c r="G582" s="120"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row>
    <row r="583" ht="14.5" customHeight="1" s="165">
      <c r="A583" s="7" t="n"/>
      <c r="B583" s="7" t="n"/>
      <c r="C583" s="7" t="n"/>
      <c r="D583" s="7" t="n"/>
      <c r="E583" s="7" t="n"/>
      <c r="F583" s="7" t="n"/>
      <c r="G583" s="120"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row>
    <row r="584" ht="14.5" customHeight="1" s="165">
      <c r="A584" s="7" t="n"/>
      <c r="B584" s="7" t="n"/>
      <c r="C584" s="7" t="n"/>
      <c r="D584" s="7" t="n"/>
      <c r="E584" s="7" t="n"/>
      <c r="F584" s="7" t="n"/>
      <c r="G584" s="120"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row>
    <row r="585" ht="14.5" customHeight="1" s="165">
      <c r="A585" s="7" t="n"/>
      <c r="B585" s="7" t="n"/>
      <c r="C585" s="7" t="n"/>
      <c r="D585" s="7" t="n"/>
      <c r="E585" s="7" t="n"/>
      <c r="F585" s="7" t="n"/>
      <c r="G585" s="120"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row>
    <row r="586" ht="14.5" customHeight="1" s="165">
      <c r="A586" s="7" t="n"/>
      <c r="B586" s="7" t="n"/>
      <c r="C586" s="7" t="n"/>
      <c r="D586" s="7" t="n"/>
      <c r="E586" s="7" t="n"/>
      <c r="F586" s="7" t="n"/>
      <c r="G586" s="120"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row>
    <row r="587" ht="14.5" customHeight="1" s="165">
      <c r="A587" s="7" t="n"/>
      <c r="B587" s="7" t="n"/>
      <c r="C587" s="7" t="n"/>
      <c r="D587" s="7" t="n"/>
      <c r="E587" s="7" t="n"/>
      <c r="F587" s="7" t="n"/>
      <c r="G587" s="120"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row>
    <row r="588" ht="14.5" customHeight="1" s="165">
      <c r="A588" s="7" t="n"/>
      <c r="B588" s="7" t="n"/>
      <c r="C588" s="7" t="n"/>
      <c r="D588" s="7" t="n"/>
      <c r="E588" s="7" t="n"/>
      <c r="F588" s="7" t="n"/>
      <c r="G588" s="120"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row>
    <row r="589" ht="14.5" customHeight="1" s="165">
      <c r="A589" s="7" t="n"/>
      <c r="B589" s="7" t="n"/>
      <c r="C589" s="7" t="n"/>
      <c r="D589" s="7" t="n"/>
      <c r="E589" s="7" t="n"/>
      <c r="F589" s="7" t="n"/>
      <c r="G589" s="120"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row>
    <row r="590" ht="14.5" customHeight="1" s="165">
      <c r="A590" s="7" t="n"/>
      <c r="B590" s="7" t="n"/>
      <c r="C590" s="7" t="n"/>
      <c r="D590" s="7" t="n"/>
      <c r="E590" s="7" t="n"/>
      <c r="F590" s="7" t="n"/>
      <c r="G590" s="120"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row>
    <row r="591" ht="14.5" customHeight="1" s="165">
      <c r="A591" s="7" t="n"/>
      <c r="B591" s="7" t="n"/>
      <c r="C591" s="7" t="n"/>
      <c r="D591" s="7" t="n"/>
      <c r="E591" s="7" t="n"/>
      <c r="F591" s="7" t="n"/>
      <c r="G591" s="120"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row>
    <row r="592" ht="14.5" customHeight="1" s="165">
      <c r="A592" s="7" t="n"/>
      <c r="B592" s="7" t="n"/>
      <c r="C592" s="7" t="n"/>
      <c r="D592" s="7" t="n"/>
      <c r="E592" s="7" t="n"/>
      <c r="F592" s="7" t="n"/>
      <c r="G592" s="120"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row>
    <row r="593" ht="14.5" customHeight="1" s="165">
      <c r="A593" s="7" t="n"/>
      <c r="B593" s="7" t="n"/>
      <c r="C593" s="7" t="n"/>
      <c r="D593" s="7" t="n"/>
      <c r="E593" s="7" t="n"/>
      <c r="F593" s="7" t="n"/>
      <c r="G593" s="120"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row>
    <row r="594" ht="14.5" customHeight="1" s="165">
      <c r="A594" s="7" t="n"/>
      <c r="B594" s="7" t="n"/>
      <c r="C594" s="7" t="n"/>
      <c r="D594" s="7" t="n"/>
      <c r="E594" s="7" t="n"/>
      <c r="F594" s="7" t="n"/>
      <c r="G594" s="120"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row>
    <row r="595" ht="14.5" customHeight="1" s="165">
      <c r="A595" s="7" t="n"/>
      <c r="B595" s="7" t="n"/>
      <c r="C595" s="7" t="n"/>
      <c r="D595" s="7" t="n"/>
      <c r="E595" s="7" t="n"/>
      <c r="F595" s="7" t="n"/>
      <c r="G595" s="120"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row>
    <row r="596" ht="14.5" customHeight="1" s="165">
      <c r="A596" s="7" t="n"/>
      <c r="B596" s="7" t="n"/>
      <c r="C596" s="7" t="n"/>
      <c r="D596" s="7" t="n"/>
      <c r="E596" s="7" t="n"/>
      <c r="F596" s="7" t="n"/>
      <c r="G596" s="120"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row>
    <row r="597" ht="14.5" customHeight="1" s="165">
      <c r="A597" s="7" t="n"/>
      <c r="B597" s="7" t="n"/>
      <c r="C597" s="7" t="n"/>
      <c r="D597" s="7" t="n"/>
      <c r="E597" s="7" t="n"/>
      <c r="F597" s="7" t="n"/>
      <c r="G597" s="120"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row>
    <row r="598" ht="14.5" customHeight="1" s="165">
      <c r="A598" s="7" t="n"/>
      <c r="B598" s="7" t="n"/>
      <c r="C598" s="7" t="n"/>
      <c r="D598" s="7" t="n"/>
      <c r="E598" s="7" t="n"/>
      <c r="F598" s="7" t="n"/>
      <c r="G598" s="120"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row>
    <row r="599" ht="14.5" customHeight="1" s="165">
      <c r="A599" s="7" t="n"/>
      <c r="B599" s="7" t="n"/>
      <c r="C599" s="7" t="n"/>
      <c r="D599" s="7" t="n"/>
      <c r="E599" s="7" t="n"/>
      <c r="F599" s="7" t="n"/>
      <c r="G599" s="120"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row>
    <row r="600" ht="14.5" customHeight="1" s="165">
      <c r="A600" s="7" t="n"/>
      <c r="B600" s="7" t="n"/>
      <c r="C600" s="7" t="n"/>
      <c r="D600" s="7" t="n"/>
      <c r="E600" s="7" t="n"/>
      <c r="F600" s="7" t="n"/>
      <c r="G600" s="120"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row>
    <row r="601" ht="14.5" customHeight="1" s="165">
      <c r="A601" s="7" t="n"/>
      <c r="B601" s="7" t="n"/>
      <c r="C601" s="7" t="n"/>
      <c r="D601" s="7" t="n"/>
      <c r="E601" s="7" t="n"/>
      <c r="F601" s="7" t="n"/>
      <c r="G601" s="120"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row>
    <row r="602" ht="14.5" customHeight="1" s="165">
      <c r="A602" s="7" t="n"/>
      <c r="B602" s="7" t="n"/>
      <c r="C602" s="7" t="n"/>
      <c r="D602" s="7" t="n"/>
      <c r="E602" s="7" t="n"/>
      <c r="F602" s="7" t="n"/>
      <c r="G602" s="120"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row>
    <row r="603" ht="14.5" customHeight="1" s="165">
      <c r="A603" s="7" t="n"/>
      <c r="B603" s="7" t="n"/>
      <c r="C603" s="7" t="n"/>
      <c r="D603" s="7" t="n"/>
      <c r="E603" s="7" t="n"/>
      <c r="F603" s="7" t="n"/>
      <c r="G603" s="120"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row>
    <row r="604" ht="14.5" customHeight="1" s="165">
      <c r="A604" s="7" t="n"/>
      <c r="B604" s="7" t="n"/>
      <c r="C604" s="7" t="n"/>
      <c r="D604" s="7" t="n"/>
      <c r="E604" s="7" t="n"/>
      <c r="F604" s="7" t="n"/>
      <c r="G604" s="120"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row>
    <row r="605" ht="14.5" customHeight="1" s="165">
      <c r="A605" s="7" t="n"/>
      <c r="B605" s="7" t="n"/>
      <c r="C605" s="7" t="n"/>
      <c r="D605" s="7" t="n"/>
      <c r="E605" s="7" t="n"/>
      <c r="F605" s="7" t="n"/>
      <c r="G605" s="120"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row>
    <row r="606" ht="14.5" customHeight="1" s="165">
      <c r="A606" s="7" t="n"/>
      <c r="B606" s="7" t="n"/>
      <c r="C606" s="7" t="n"/>
      <c r="D606" s="7" t="n"/>
      <c r="E606" s="7" t="n"/>
      <c r="F606" s="7" t="n"/>
      <c r="G606" s="120"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row>
    <row r="607" ht="14.5" customHeight="1" s="165">
      <c r="A607" s="7" t="n"/>
      <c r="B607" s="7" t="n"/>
      <c r="C607" s="7" t="n"/>
      <c r="D607" s="7" t="n"/>
      <c r="E607" s="7" t="n"/>
      <c r="F607" s="7" t="n"/>
      <c r="G607" s="120"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row>
    <row r="608" ht="14.5" customHeight="1" s="165">
      <c r="A608" s="7" t="n"/>
      <c r="B608" s="7" t="n"/>
      <c r="C608" s="7" t="n"/>
      <c r="D608" s="7" t="n"/>
      <c r="E608" s="7" t="n"/>
      <c r="F608" s="7" t="n"/>
      <c r="G608" s="120"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row>
    <row r="609" ht="14.5" customHeight="1" s="165">
      <c r="A609" s="7" t="n"/>
      <c r="B609" s="7" t="n"/>
      <c r="C609" s="7" t="n"/>
      <c r="D609" s="7" t="n"/>
      <c r="E609" s="7" t="n"/>
      <c r="F609" s="7" t="n"/>
      <c r="G609" s="120"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row>
    <row r="610" ht="14.5" customHeight="1" s="165">
      <c r="A610" s="7" t="n"/>
      <c r="B610" s="7" t="n"/>
      <c r="C610" s="7" t="n"/>
      <c r="D610" s="7" t="n"/>
      <c r="E610" s="7" t="n"/>
      <c r="F610" s="7" t="n"/>
      <c r="G610" s="120"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row>
    <row r="611" ht="14.5" customHeight="1" s="165">
      <c r="A611" s="7" t="n"/>
      <c r="B611" s="7" t="n"/>
      <c r="C611" s="7" t="n"/>
      <c r="D611" s="7" t="n"/>
      <c r="E611" s="7" t="n"/>
      <c r="F611" s="7" t="n"/>
      <c r="G611" s="120"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row>
    <row r="612" ht="14.5" customHeight="1" s="165">
      <c r="A612" s="7" t="n"/>
      <c r="B612" s="7" t="n"/>
      <c r="C612" s="7" t="n"/>
      <c r="D612" s="7" t="n"/>
      <c r="E612" s="7" t="n"/>
      <c r="F612" s="7" t="n"/>
      <c r="G612" s="120"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row>
    <row r="613" ht="14.5" customHeight="1" s="165">
      <c r="A613" s="7" t="n"/>
      <c r="B613" s="7" t="n"/>
      <c r="C613" s="7" t="n"/>
      <c r="D613" s="7" t="n"/>
      <c r="E613" s="7" t="n"/>
      <c r="F613" s="7" t="n"/>
      <c r="G613" s="120"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row>
    <row r="614" ht="14.5" customHeight="1" s="165">
      <c r="A614" s="7" t="n"/>
      <c r="B614" s="7" t="n"/>
      <c r="C614" s="7" t="n"/>
      <c r="D614" s="7" t="n"/>
      <c r="E614" s="7" t="n"/>
      <c r="F614" s="7" t="n"/>
      <c r="G614" s="120"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row>
    <row r="615" ht="14.5" customHeight="1" s="165">
      <c r="A615" s="7" t="n"/>
      <c r="B615" s="7" t="n"/>
      <c r="C615" s="7" t="n"/>
      <c r="D615" s="7" t="n"/>
      <c r="E615" s="7" t="n"/>
      <c r="F615" s="7" t="n"/>
      <c r="G615" s="120"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row>
    <row r="616" ht="14.5" customHeight="1" s="165">
      <c r="A616" s="7" t="n"/>
      <c r="B616" s="7" t="n"/>
      <c r="C616" s="7" t="n"/>
      <c r="D616" s="7" t="n"/>
      <c r="E616" s="7" t="n"/>
      <c r="F616" s="7" t="n"/>
      <c r="G616" s="120"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row>
    <row r="617" ht="14.5" customHeight="1" s="165">
      <c r="A617" s="7" t="n"/>
      <c r="B617" s="7" t="n"/>
      <c r="C617" s="7" t="n"/>
      <c r="D617" s="7" t="n"/>
      <c r="E617" s="7" t="n"/>
      <c r="F617" s="7" t="n"/>
      <c r="G617" s="120"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row>
    <row r="618" ht="14.5" customHeight="1" s="165">
      <c r="A618" s="7" t="n"/>
      <c r="B618" s="7" t="n"/>
      <c r="C618" s="7" t="n"/>
      <c r="D618" s="7" t="n"/>
      <c r="E618" s="7" t="n"/>
      <c r="F618" s="7" t="n"/>
      <c r="G618" s="120"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row>
    <row r="619" ht="14.5" customHeight="1" s="165">
      <c r="A619" s="7" t="n"/>
      <c r="B619" s="7" t="n"/>
      <c r="C619" s="7" t="n"/>
      <c r="D619" s="7" t="n"/>
      <c r="E619" s="7" t="n"/>
      <c r="F619" s="7" t="n"/>
      <c r="G619" s="120"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row>
    <row r="620" ht="14.5" customHeight="1" s="165">
      <c r="A620" s="7" t="n"/>
      <c r="B620" s="7" t="n"/>
      <c r="C620" s="7" t="n"/>
      <c r="D620" s="7" t="n"/>
      <c r="E620" s="7" t="n"/>
      <c r="F620" s="7" t="n"/>
      <c r="G620" s="120"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row>
    <row r="621" ht="14.5" customHeight="1" s="165">
      <c r="A621" s="7" t="n"/>
      <c r="B621" s="7" t="n"/>
      <c r="C621" s="7" t="n"/>
      <c r="D621" s="7" t="n"/>
      <c r="E621" s="7" t="n"/>
      <c r="F621" s="7" t="n"/>
      <c r="G621" s="120"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row>
    <row r="622" ht="14.5" customHeight="1" s="165">
      <c r="A622" s="7" t="n"/>
      <c r="B622" s="7" t="n"/>
      <c r="C622" s="7" t="n"/>
      <c r="D622" s="7" t="n"/>
      <c r="E622" s="7" t="n"/>
      <c r="F622" s="7" t="n"/>
      <c r="G622" s="120"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row>
    <row r="623" ht="14.5" customHeight="1" s="165">
      <c r="A623" s="7" t="n"/>
      <c r="B623" s="7" t="n"/>
      <c r="C623" s="7" t="n"/>
      <c r="D623" s="7" t="n"/>
      <c r="E623" s="7" t="n"/>
      <c r="F623" s="7" t="n"/>
      <c r="G623" s="120"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row>
    <row r="624" ht="14.5" customHeight="1" s="165">
      <c r="A624" s="7" t="n"/>
      <c r="B624" s="7" t="n"/>
      <c r="C624" s="7" t="n"/>
      <c r="D624" s="7" t="n"/>
      <c r="E624" s="7" t="n"/>
      <c r="F624" s="7" t="n"/>
      <c r="G624" s="120"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row>
    <row r="625" ht="14.5" customHeight="1" s="165">
      <c r="A625" s="7" t="n"/>
      <c r="B625" s="7" t="n"/>
      <c r="C625" s="7" t="n"/>
      <c r="D625" s="7" t="n"/>
      <c r="E625" s="7" t="n"/>
      <c r="F625" s="7" t="n"/>
      <c r="G625" s="120"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row>
    <row r="626" ht="14.5" customHeight="1" s="165">
      <c r="A626" s="7" t="n"/>
      <c r="B626" s="7" t="n"/>
      <c r="C626" s="7" t="n"/>
      <c r="D626" s="7" t="n"/>
      <c r="E626" s="7" t="n"/>
      <c r="F626" s="7" t="n"/>
      <c r="G626" s="120"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row>
    <row r="627" ht="14.5" customHeight="1" s="165">
      <c r="A627" s="7" t="n"/>
      <c r="B627" s="7" t="n"/>
      <c r="C627" s="7" t="n"/>
      <c r="D627" s="7" t="n"/>
      <c r="E627" s="7" t="n"/>
      <c r="F627" s="7" t="n"/>
      <c r="G627" s="120"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row>
    <row r="628" ht="14.5" customHeight="1" s="165">
      <c r="A628" s="7" t="n"/>
      <c r="B628" s="7" t="n"/>
      <c r="C628" s="7" t="n"/>
      <c r="D628" s="7" t="n"/>
      <c r="E628" s="7" t="n"/>
      <c r="F628" s="7" t="n"/>
      <c r="G628" s="120"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row>
    <row r="629" ht="14.5" customHeight="1" s="165">
      <c r="A629" s="7" t="n"/>
      <c r="B629" s="7" t="n"/>
      <c r="C629" s="7" t="n"/>
      <c r="D629" s="7" t="n"/>
      <c r="E629" s="7" t="n"/>
      <c r="F629" s="7" t="n"/>
      <c r="G629" s="120"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row>
    <row r="630" ht="14.5" customHeight="1" s="165">
      <c r="A630" s="7" t="n"/>
      <c r="B630" s="7" t="n"/>
      <c r="C630" s="7" t="n"/>
      <c r="D630" s="7" t="n"/>
      <c r="E630" s="7" t="n"/>
      <c r="F630" s="7" t="n"/>
      <c r="G630" s="120"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row>
    <row r="631" ht="14.5" customHeight="1" s="165">
      <c r="A631" s="7" t="n"/>
      <c r="B631" s="7" t="n"/>
      <c r="C631" s="7" t="n"/>
      <c r="D631" s="7" t="n"/>
      <c r="E631" s="7" t="n"/>
      <c r="F631" s="7" t="n"/>
      <c r="G631" s="120"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row>
    <row r="632" ht="14.5" customHeight="1" s="165">
      <c r="A632" s="7" t="n"/>
      <c r="B632" s="7" t="n"/>
      <c r="C632" s="7" t="n"/>
      <c r="D632" s="7" t="n"/>
      <c r="E632" s="7" t="n"/>
      <c r="F632" s="7" t="n"/>
      <c r="G632" s="120"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row>
    <row r="633" ht="14.5" customHeight="1" s="165">
      <c r="A633" s="7" t="n"/>
      <c r="B633" s="7" t="n"/>
      <c r="C633" s="7" t="n"/>
      <c r="D633" s="7" t="n"/>
      <c r="E633" s="7" t="n"/>
      <c r="F633" s="7" t="n"/>
      <c r="G633" s="120"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row>
    <row r="634" ht="14.5" customHeight="1" s="165">
      <c r="A634" s="7" t="n"/>
      <c r="B634" s="7" t="n"/>
      <c r="C634" s="7" t="n"/>
      <c r="D634" s="7" t="n"/>
      <c r="E634" s="7" t="n"/>
      <c r="F634" s="7" t="n"/>
      <c r="G634" s="120"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row>
    <row r="635" ht="14.5" customHeight="1" s="165">
      <c r="A635" s="7" t="n"/>
      <c r="B635" s="7" t="n"/>
      <c r="C635" s="7" t="n"/>
      <c r="D635" s="7" t="n"/>
      <c r="E635" s="7" t="n"/>
      <c r="F635" s="7" t="n"/>
      <c r="G635" s="120"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row>
    <row r="636" ht="14.5" customHeight="1" s="165">
      <c r="A636" s="7" t="n"/>
      <c r="B636" s="7" t="n"/>
      <c r="C636" s="7" t="n"/>
      <c r="D636" s="7" t="n"/>
      <c r="E636" s="7" t="n"/>
      <c r="F636" s="7" t="n"/>
      <c r="G636" s="120"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row>
    <row r="637" ht="14.5" customHeight="1" s="165">
      <c r="A637" s="7" t="n"/>
      <c r="B637" s="7" t="n"/>
      <c r="C637" s="7" t="n"/>
      <c r="D637" s="7" t="n"/>
      <c r="E637" s="7" t="n"/>
      <c r="F637" s="7" t="n"/>
      <c r="G637" s="120"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row>
    <row r="638" ht="14.5" customHeight="1" s="165">
      <c r="A638" s="7" t="n"/>
      <c r="B638" s="7" t="n"/>
      <c r="C638" s="7" t="n"/>
      <c r="D638" s="7" t="n"/>
      <c r="E638" s="7" t="n"/>
      <c r="F638" s="7" t="n"/>
      <c r="G638" s="120"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row>
    <row r="639" ht="14.5" customHeight="1" s="165">
      <c r="A639" s="7" t="n"/>
      <c r="B639" s="7" t="n"/>
      <c r="C639" s="7" t="n"/>
      <c r="D639" s="7" t="n"/>
      <c r="E639" s="7" t="n"/>
      <c r="F639" s="7" t="n"/>
      <c r="G639" s="120"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row>
    <row r="640" ht="14.5" customHeight="1" s="165">
      <c r="A640" s="7" t="n"/>
      <c r="B640" s="7" t="n"/>
      <c r="C640" s="7" t="n"/>
      <c r="D640" s="7" t="n"/>
      <c r="E640" s="7" t="n"/>
      <c r="F640" s="7" t="n"/>
      <c r="G640" s="120"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row>
    <row r="641" ht="14.5" customHeight="1" s="165">
      <c r="A641" s="7" t="n"/>
      <c r="B641" s="7" t="n"/>
      <c r="C641" s="7" t="n"/>
      <c r="D641" s="7" t="n"/>
      <c r="E641" s="7" t="n"/>
      <c r="F641" s="7" t="n"/>
      <c r="G641" s="120"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row>
    <row r="642" ht="14.5" customHeight="1" s="165">
      <c r="A642" s="7" t="n"/>
      <c r="B642" s="7" t="n"/>
      <c r="C642" s="7" t="n"/>
      <c r="D642" s="7" t="n"/>
      <c r="E642" s="7" t="n"/>
      <c r="F642" s="7" t="n"/>
      <c r="G642" s="120"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row>
    <row r="643" ht="14.5" customHeight="1" s="165">
      <c r="A643" s="7" t="n"/>
      <c r="B643" s="7" t="n"/>
      <c r="C643" s="7" t="n"/>
      <c r="D643" s="7" t="n"/>
      <c r="E643" s="7" t="n"/>
      <c r="F643" s="7" t="n"/>
      <c r="G643" s="120"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row>
    <row r="644" ht="14.5" customHeight="1" s="165">
      <c r="A644" s="7" t="n"/>
      <c r="B644" s="7" t="n"/>
      <c r="C644" s="7" t="n"/>
      <c r="D644" s="7" t="n"/>
      <c r="E644" s="7" t="n"/>
      <c r="F644" s="7" t="n"/>
      <c r="G644" s="120"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row>
    <row r="645" ht="14.5" customHeight="1" s="165">
      <c r="A645" s="7" t="n"/>
      <c r="B645" s="7" t="n"/>
      <c r="C645" s="7" t="n"/>
      <c r="D645" s="7" t="n"/>
      <c r="E645" s="7" t="n"/>
      <c r="F645" s="7" t="n"/>
      <c r="G645" s="120"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row>
    <row r="646" ht="14.5" customHeight="1" s="165">
      <c r="A646" s="7" t="n"/>
      <c r="B646" s="7" t="n"/>
      <c r="C646" s="7" t="n"/>
      <c r="D646" s="7" t="n"/>
      <c r="E646" s="7" t="n"/>
      <c r="F646" s="7" t="n"/>
      <c r="G646" s="120"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row>
    <row r="647" ht="14.5" customHeight="1" s="165">
      <c r="A647" s="7" t="n"/>
      <c r="B647" s="7" t="n"/>
      <c r="C647" s="7" t="n"/>
      <c r="D647" s="7" t="n"/>
      <c r="E647" s="7" t="n"/>
      <c r="F647" s="7" t="n"/>
      <c r="G647" s="120"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row>
    <row r="648" ht="14.5" customHeight="1" s="165">
      <c r="A648" s="7" t="n"/>
      <c r="B648" s="7" t="n"/>
      <c r="C648" s="7" t="n"/>
      <c r="D648" s="7" t="n"/>
      <c r="E648" s="7" t="n"/>
      <c r="F648" s="7" t="n"/>
      <c r="G648" s="120"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row>
    <row r="649" ht="14.5" customHeight="1" s="165">
      <c r="A649" s="7" t="n"/>
      <c r="B649" s="7" t="n"/>
      <c r="C649" s="7" t="n"/>
      <c r="D649" s="7" t="n"/>
      <c r="E649" s="7" t="n"/>
      <c r="F649" s="7" t="n"/>
      <c r="G649" s="120"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row>
    <row r="650" ht="14.5" customHeight="1" s="165">
      <c r="A650" s="7" t="n"/>
      <c r="B650" s="7" t="n"/>
      <c r="C650" s="7" t="n"/>
      <c r="D650" s="7" t="n"/>
      <c r="E650" s="7" t="n"/>
      <c r="F650" s="7" t="n"/>
      <c r="G650" s="120"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row>
    <row r="651" ht="14.5" customHeight="1" s="165">
      <c r="A651" s="7" t="n"/>
      <c r="B651" s="7" t="n"/>
      <c r="C651" s="7" t="n"/>
      <c r="D651" s="7" t="n"/>
      <c r="E651" s="7" t="n"/>
      <c r="F651" s="7" t="n"/>
      <c r="G651" s="120"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row>
    <row r="652" ht="14.5" customHeight="1" s="165">
      <c r="A652" s="7" t="n"/>
      <c r="B652" s="7" t="n"/>
      <c r="C652" s="7" t="n"/>
      <c r="D652" s="7" t="n"/>
      <c r="E652" s="7" t="n"/>
      <c r="F652" s="7" t="n"/>
      <c r="G652" s="120"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row>
    <row r="653" ht="14.5" customHeight="1" s="165">
      <c r="A653" s="7" t="n"/>
      <c r="B653" s="7" t="n"/>
      <c r="C653" s="7" t="n"/>
      <c r="D653" s="7" t="n"/>
      <c r="E653" s="7" t="n"/>
      <c r="F653" s="7" t="n"/>
      <c r="G653" s="120"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row>
    <row r="654" ht="14.5" customHeight="1" s="165">
      <c r="A654" s="7" t="n"/>
      <c r="B654" s="7" t="n"/>
      <c r="C654" s="7" t="n"/>
      <c r="D654" s="7" t="n"/>
      <c r="E654" s="7" t="n"/>
      <c r="F654" s="7" t="n"/>
      <c r="G654" s="120"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row>
    <row r="655" ht="14.5" customHeight="1" s="165">
      <c r="A655" s="7" t="n"/>
      <c r="B655" s="7" t="n"/>
      <c r="C655" s="7" t="n"/>
      <c r="D655" s="7" t="n"/>
      <c r="E655" s="7" t="n"/>
      <c r="F655" s="7" t="n"/>
      <c r="G655" s="120"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row>
    <row r="656" ht="14.5" customHeight="1" s="165">
      <c r="A656" s="7" t="n"/>
      <c r="B656" s="7" t="n"/>
      <c r="C656" s="7" t="n"/>
      <c r="D656" s="7" t="n"/>
      <c r="E656" s="7" t="n"/>
      <c r="F656" s="7" t="n"/>
      <c r="G656" s="120"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row>
    <row r="657" ht="14.5" customHeight="1" s="165">
      <c r="A657" s="7" t="n"/>
      <c r="B657" s="7" t="n"/>
      <c r="C657" s="7" t="n"/>
      <c r="D657" s="7" t="n"/>
      <c r="E657" s="7" t="n"/>
      <c r="F657" s="7" t="n"/>
      <c r="G657" s="120"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row>
    <row r="658" ht="14.5" customHeight="1" s="165">
      <c r="A658" s="7" t="n"/>
      <c r="B658" s="7" t="n"/>
      <c r="C658" s="7" t="n"/>
      <c r="D658" s="7" t="n"/>
      <c r="E658" s="7" t="n"/>
      <c r="F658" s="7" t="n"/>
      <c r="G658" s="120"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row>
    <row r="659" ht="14.5" customHeight="1" s="165">
      <c r="A659" s="7" t="n"/>
      <c r="B659" s="7" t="n"/>
      <c r="C659" s="7" t="n"/>
      <c r="D659" s="7" t="n"/>
      <c r="E659" s="7" t="n"/>
      <c r="F659" s="7" t="n"/>
      <c r="G659" s="120"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row>
    <row r="660" ht="14.5" customHeight="1" s="165">
      <c r="A660" s="7" t="n"/>
      <c r="B660" s="7" t="n"/>
      <c r="C660" s="7" t="n"/>
      <c r="D660" s="7" t="n"/>
      <c r="E660" s="7" t="n"/>
      <c r="F660" s="7" t="n"/>
      <c r="G660" s="120"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row>
    <row r="661" ht="14.5" customHeight="1" s="165">
      <c r="A661" s="7" t="n"/>
      <c r="B661" s="7" t="n"/>
      <c r="C661" s="7" t="n"/>
      <c r="D661" s="7" t="n"/>
      <c r="E661" s="7" t="n"/>
      <c r="F661" s="7" t="n"/>
      <c r="G661" s="120"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row>
    <row r="662" ht="14.5" customHeight="1" s="165">
      <c r="A662" s="7" t="n"/>
      <c r="B662" s="7" t="n"/>
      <c r="C662" s="7" t="n"/>
      <c r="D662" s="7" t="n"/>
      <c r="E662" s="7" t="n"/>
      <c r="F662" s="7" t="n"/>
      <c r="G662" s="120"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row>
    <row r="663" ht="14.5" customHeight="1" s="165">
      <c r="A663" s="7" t="n"/>
      <c r="B663" s="7" t="n"/>
      <c r="C663" s="7" t="n"/>
      <c r="D663" s="7" t="n"/>
      <c r="E663" s="7" t="n"/>
      <c r="F663" s="7" t="n"/>
      <c r="G663" s="120"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row>
    <row r="664" ht="14.5" customHeight="1" s="165">
      <c r="A664" s="7" t="n"/>
      <c r="B664" s="7" t="n"/>
      <c r="C664" s="7" t="n"/>
      <c r="D664" s="7" t="n"/>
      <c r="E664" s="7" t="n"/>
      <c r="F664" s="7" t="n"/>
      <c r="G664" s="120"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row>
    <row r="665" ht="14.5" customHeight="1" s="165">
      <c r="A665" s="7" t="n"/>
      <c r="B665" s="7" t="n"/>
      <c r="C665" s="7" t="n"/>
      <c r="D665" s="7" t="n"/>
      <c r="E665" s="7" t="n"/>
      <c r="F665" s="7" t="n"/>
      <c r="G665" s="120"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row>
    <row r="666" ht="14.5" customHeight="1" s="165">
      <c r="A666" s="7" t="n"/>
      <c r="B666" s="7" t="n"/>
      <c r="C666" s="7" t="n"/>
      <c r="D666" s="7" t="n"/>
      <c r="E666" s="7" t="n"/>
      <c r="F666" s="7" t="n"/>
      <c r="G666" s="120"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row>
    <row r="667" ht="14.5" customHeight="1" s="165">
      <c r="A667" s="7" t="n"/>
      <c r="B667" s="7" t="n"/>
      <c r="C667" s="7" t="n"/>
      <c r="D667" s="7" t="n"/>
      <c r="E667" s="7" t="n"/>
      <c r="F667" s="7" t="n"/>
      <c r="G667" s="120"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row>
    <row r="668" ht="14.5" customHeight="1" s="165">
      <c r="A668" s="7" t="n"/>
      <c r="B668" s="7" t="n"/>
      <c r="C668" s="7" t="n"/>
      <c r="D668" s="7" t="n"/>
      <c r="E668" s="7" t="n"/>
      <c r="F668" s="7" t="n"/>
      <c r="G668" s="120"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row>
    <row r="669" ht="14.5" customHeight="1" s="165">
      <c r="A669" s="7" t="n"/>
      <c r="B669" s="7" t="n"/>
      <c r="C669" s="7" t="n"/>
      <c r="D669" s="7" t="n"/>
      <c r="E669" s="7" t="n"/>
      <c r="F669" s="7" t="n"/>
      <c r="G669" s="120"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row>
    <row r="670" ht="14.5" customHeight="1" s="165">
      <c r="A670" s="7" t="n"/>
      <c r="B670" s="7" t="n"/>
      <c r="C670" s="7" t="n"/>
      <c r="D670" s="7" t="n"/>
      <c r="E670" s="7" t="n"/>
      <c r="F670" s="7" t="n"/>
      <c r="G670" s="120"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row>
    <row r="671" ht="14.5" customHeight="1" s="165">
      <c r="A671" s="7" t="n"/>
      <c r="B671" s="7" t="n"/>
      <c r="C671" s="7" t="n"/>
      <c r="D671" s="7" t="n"/>
      <c r="E671" s="7" t="n"/>
      <c r="F671" s="7" t="n"/>
      <c r="G671" s="120"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row>
    <row r="672" ht="14.5" customHeight="1" s="165">
      <c r="A672" s="7" t="n"/>
      <c r="B672" s="7" t="n"/>
      <c r="C672" s="7" t="n"/>
      <c r="D672" s="7" t="n"/>
      <c r="E672" s="7" t="n"/>
      <c r="F672" s="7" t="n"/>
      <c r="G672" s="120"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row>
    <row r="673" ht="14.5" customHeight="1" s="165">
      <c r="A673" s="7" t="n"/>
      <c r="B673" s="7" t="n"/>
      <c r="C673" s="7" t="n"/>
      <c r="D673" s="7" t="n"/>
      <c r="E673" s="7" t="n"/>
      <c r="F673" s="7" t="n"/>
      <c r="G673" s="120"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row>
    <row r="674" ht="14.5" customHeight="1" s="165">
      <c r="A674" s="7" t="n"/>
      <c r="B674" s="7" t="n"/>
      <c r="C674" s="7" t="n"/>
      <c r="D674" s="7" t="n"/>
      <c r="E674" s="7" t="n"/>
      <c r="F674" s="7" t="n"/>
      <c r="G674" s="120"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row>
    <row r="675" ht="14.5" customHeight="1" s="165">
      <c r="A675" s="7" t="n"/>
      <c r="B675" s="7" t="n"/>
      <c r="C675" s="7" t="n"/>
      <c r="D675" s="7" t="n"/>
      <c r="E675" s="7" t="n"/>
      <c r="F675" s="7" t="n"/>
      <c r="G675" s="120"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row>
    <row r="676" ht="14.5" customHeight="1" s="165">
      <c r="A676" s="7" t="n"/>
      <c r="B676" s="7" t="n"/>
      <c r="C676" s="7" t="n"/>
      <c r="D676" s="7" t="n"/>
      <c r="E676" s="7" t="n"/>
      <c r="F676" s="7" t="n"/>
      <c r="G676" s="120"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row>
    <row r="677" ht="14.5" customHeight="1" s="165">
      <c r="A677" s="7" t="n"/>
      <c r="B677" s="7" t="n"/>
      <c r="C677" s="7" t="n"/>
      <c r="D677" s="7" t="n"/>
      <c r="E677" s="7" t="n"/>
      <c r="F677" s="7" t="n"/>
      <c r="G677" s="120"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row>
    <row r="678" ht="14.5" customHeight="1" s="165">
      <c r="A678" s="7" t="n"/>
      <c r="B678" s="7" t="n"/>
      <c r="C678" s="7" t="n"/>
      <c r="D678" s="7" t="n"/>
      <c r="E678" s="7" t="n"/>
      <c r="F678" s="7" t="n"/>
      <c r="G678" s="120"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row>
    <row r="679" ht="14.5" customHeight="1" s="165">
      <c r="A679" s="7" t="n"/>
      <c r="B679" s="7" t="n"/>
      <c r="C679" s="7" t="n"/>
      <c r="D679" s="7" t="n"/>
      <c r="E679" s="7" t="n"/>
      <c r="F679" s="7" t="n"/>
      <c r="G679" s="120"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row>
    <row r="680" ht="14.5" customHeight="1" s="165">
      <c r="A680" s="7" t="n"/>
      <c r="B680" s="7" t="n"/>
      <c r="C680" s="7" t="n"/>
      <c r="D680" s="7" t="n"/>
      <c r="E680" s="7" t="n"/>
      <c r="F680" s="7" t="n"/>
      <c r="G680" s="120"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row>
    <row r="681" ht="14.5" customHeight="1" s="165">
      <c r="A681" s="7" t="n"/>
      <c r="B681" s="7" t="n"/>
      <c r="C681" s="7" t="n"/>
      <c r="D681" s="7" t="n"/>
      <c r="E681" s="7" t="n"/>
      <c r="F681" s="7" t="n"/>
      <c r="G681" s="120"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row>
    <row r="682" ht="14.5" customHeight="1" s="165">
      <c r="A682" s="7" t="n"/>
      <c r="B682" s="7" t="n"/>
      <c r="C682" s="7" t="n"/>
      <c r="D682" s="7" t="n"/>
      <c r="E682" s="7" t="n"/>
      <c r="F682" s="7" t="n"/>
      <c r="G682" s="120"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row>
    <row r="683" ht="14.5" customHeight="1" s="165">
      <c r="A683" s="7" t="n"/>
      <c r="B683" s="7" t="n"/>
      <c r="C683" s="7" t="n"/>
      <c r="D683" s="7" t="n"/>
      <c r="E683" s="7" t="n"/>
      <c r="F683" s="7" t="n"/>
      <c r="G683" s="120"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row>
    <row r="684" ht="14.5" customHeight="1" s="165">
      <c r="A684" s="7" t="n"/>
      <c r="B684" s="7" t="n"/>
      <c r="C684" s="7" t="n"/>
      <c r="D684" s="7" t="n"/>
      <c r="E684" s="7" t="n"/>
      <c r="F684" s="7" t="n"/>
      <c r="G684" s="120"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row>
    <row r="685" ht="14.5" customHeight="1" s="165">
      <c r="A685" s="7" t="n"/>
      <c r="B685" s="7" t="n"/>
      <c r="C685" s="7" t="n"/>
      <c r="D685" s="7" t="n"/>
      <c r="E685" s="7" t="n"/>
      <c r="F685" s="7" t="n"/>
      <c r="G685" s="120"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row>
    <row r="686" ht="14.5" customHeight="1" s="165">
      <c r="A686" s="7" t="n"/>
      <c r="B686" s="7" t="n"/>
      <c r="C686" s="7" t="n"/>
      <c r="D686" s="7" t="n"/>
      <c r="E686" s="7" t="n"/>
      <c r="F686" s="7" t="n"/>
      <c r="G686" s="120"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row>
    <row r="687" ht="14.5" customHeight="1" s="165">
      <c r="A687" s="7" t="n"/>
      <c r="B687" s="7" t="n"/>
      <c r="C687" s="7" t="n"/>
      <c r="D687" s="7" t="n"/>
      <c r="E687" s="7" t="n"/>
      <c r="F687" s="7" t="n"/>
      <c r="G687" s="120"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row>
    <row r="688" ht="14.5" customHeight="1" s="165">
      <c r="A688" s="7" t="n"/>
      <c r="B688" s="7" t="n"/>
      <c r="C688" s="7" t="n"/>
      <c r="D688" s="7" t="n"/>
      <c r="E688" s="7" t="n"/>
      <c r="F688" s="7" t="n"/>
      <c r="G688" s="120"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row>
    <row r="689" ht="14.5" customHeight="1" s="165">
      <c r="A689" s="7" t="n"/>
      <c r="B689" s="7" t="n"/>
      <c r="C689" s="7" t="n"/>
      <c r="D689" s="7" t="n"/>
      <c r="E689" s="7" t="n"/>
      <c r="F689" s="7" t="n"/>
      <c r="G689" s="120"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row>
    <row r="690" ht="14.5" customHeight="1" s="165">
      <c r="A690" s="7" t="n"/>
      <c r="B690" s="7" t="n"/>
      <c r="C690" s="7" t="n"/>
      <c r="D690" s="7" t="n"/>
      <c r="E690" s="7" t="n"/>
      <c r="F690" s="7" t="n"/>
      <c r="G690" s="120"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row>
    <row r="691" ht="14.5" customHeight="1" s="165">
      <c r="A691" s="7" t="n"/>
      <c r="B691" s="7" t="n"/>
      <c r="C691" s="7" t="n"/>
      <c r="D691" s="7" t="n"/>
      <c r="E691" s="7" t="n"/>
      <c r="F691" s="7" t="n"/>
      <c r="G691" s="120"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row>
    <row r="692" ht="14.5" customHeight="1" s="165">
      <c r="A692" s="7" t="n"/>
      <c r="B692" s="7" t="n"/>
      <c r="C692" s="7" t="n"/>
      <c r="D692" s="7" t="n"/>
      <c r="E692" s="7" t="n"/>
      <c r="F692" s="7" t="n"/>
      <c r="G692" s="120"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row>
    <row r="693" ht="14.5" customHeight="1" s="165">
      <c r="A693" s="7" t="n"/>
      <c r="B693" s="7" t="n"/>
      <c r="C693" s="7" t="n"/>
      <c r="D693" s="7" t="n"/>
      <c r="E693" s="7" t="n"/>
      <c r="F693" s="7" t="n"/>
      <c r="G693" s="120"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row>
    <row r="694" ht="14.5" customHeight="1" s="165">
      <c r="A694" s="7" t="n"/>
      <c r="B694" s="7" t="n"/>
      <c r="C694" s="7" t="n"/>
      <c r="D694" s="7" t="n"/>
      <c r="E694" s="7" t="n"/>
      <c r="F694" s="7" t="n"/>
      <c r="G694" s="120"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row>
    <row r="695" ht="14.5" customHeight="1" s="165">
      <c r="A695" s="7" t="n"/>
      <c r="B695" s="7" t="n"/>
      <c r="C695" s="7" t="n"/>
      <c r="D695" s="7" t="n"/>
      <c r="E695" s="7" t="n"/>
      <c r="F695" s="7" t="n"/>
      <c r="G695" s="120"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row>
    <row r="696" ht="14.5" customHeight="1" s="165">
      <c r="A696" s="7" t="n"/>
      <c r="B696" s="7" t="n"/>
      <c r="C696" s="7" t="n"/>
      <c r="D696" s="7" t="n"/>
      <c r="E696" s="7" t="n"/>
      <c r="F696" s="7" t="n"/>
      <c r="G696" s="120"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row>
    <row r="697" ht="14.5" customHeight="1" s="165">
      <c r="A697" s="7" t="n"/>
      <c r="B697" s="7" t="n"/>
      <c r="C697" s="7" t="n"/>
      <c r="D697" s="7" t="n"/>
      <c r="E697" s="7" t="n"/>
      <c r="F697" s="7" t="n"/>
      <c r="G697" s="120"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row>
    <row r="698" ht="14.5" customHeight="1" s="165">
      <c r="A698" s="7" t="n"/>
      <c r="B698" s="7" t="n"/>
      <c r="C698" s="7" t="n"/>
      <c r="D698" s="7" t="n"/>
      <c r="E698" s="7" t="n"/>
      <c r="F698" s="7" t="n"/>
      <c r="G698" s="120"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row>
    <row r="699" ht="14.5" customHeight="1" s="165">
      <c r="A699" s="7" t="n"/>
      <c r="B699" s="7" t="n"/>
      <c r="C699" s="7" t="n"/>
      <c r="D699" s="7" t="n"/>
      <c r="E699" s="7" t="n"/>
      <c r="F699" s="7" t="n"/>
      <c r="G699" s="120"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row>
    <row r="700" ht="14.5" customHeight="1" s="165">
      <c r="A700" s="7" t="n"/>
      <c r="B700" s="7" t="n"/>
      <c r="C700" s="7" t="n"/>
      <c r="D700" s="7" t="n"/>
      <c r="E700" s="7" t="n"/>
      <c r="F700" s="7" t="n"/>
      <c r="G700" s="120"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row>
    <row r="701" ht="14.5" customHeight="1" s="165">
      <c r="A701" s="7" t="n"/>
      <c r="B701" s="7" t="n"/>
      <c r="C701" s="7" t="n"/>
      <c r="D701" s="7" t="n"/>
      <c r="E701" s="7" t="n"/>
      <c r="F701" s="7" t="n"/>
      <c r="G701" s="120"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row>
    <row r="702" ht="14.5" customHeight="1" s="165">
      <c r="A702" s="7" t="n"/>
      <c r="B702" s="7" t="n"/>
      <c r="C702" s="7" t="n"/>
      <c r="D702" s="7" t="n"/>
      <c r="E702" s="7" t="n"/>
      <c r="F702" s="7" t="n"/>
      <c r="G702" s="120"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row>
    <row r="703" ht="14.5" customHeight="1" s="165">
      <c r="A703" s="7" t="n"/>
      <c r="B703" s="7" t="n"/>
      <c r="C703" s="7" t="n"/>
      <c r="D703" s="7" t="n"/>
      <c r="E703" s="7" t="n"/>
      <c r="F703" s="7" t="n"/>
      <c r="G703" s="120"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row>
    <row r="704" ht="14.5" customHeight="1" s="165">
      <c r="A704" s="7" t="n"/>
      <c r="B704" s="7" t="n"/>
      <c r="C704" s="7" t="n"/>
      <c r="D704" s="7" t="n"/>
      <c r="E704" s="7" t="n"/>
      <c r="F704" s="7" t="n"/>
      <c r="G704" s="120"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row>
    <row r="705" ht="14.5" customHeight="1" s="165">
      <c r="A705" s="7" t="n"/>
      <c r="B705" s="7" t="n"/>
      <c r="C705" s="7" t="n"/>
      <c r="D705" s="7" t="n"/>
      <c r="E705" s="7" t="n"/>
      <c r="F705" s="7" t="n"/>
      <c r="G705" s="120"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row>
    <row r="706" ht="14.5" customHeight="1" s="165">
      <c r="A706" s="7" t="n"/>
      <c r="B706" s="7" t="n"/>
      <c r="C706" s="7" t="n"/>
      <c r="D706" s="7" t="n"/>
      <c r="E706" s="7" t="n"/>
      <c r="F706" s="7" t="n"/>
      <c r="G706" s="120"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row>
    <row r="707" ht="14.5" customHeight="1" s="165">
      <c r="A707" s="7" t="n"/>
      <c r="B707" s="7" t="n"/>
      <c r="C707" s="7" t="n"/>
      <c r="D707" s="7" t="n"/>
      <c r="E707" s="7" t="n"/>
      <c r="F707" s="7" t="n"/>
      <c r="G707" s="120"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row>
    <row r="708" ht="14.5" customHeight="1" s="165">
      <c r="A708" s="7" t="n"/>
      <c r="B708" s="7" t="n"/>
      <c r="C708" s="7" t="n"/>
      <c r="D708" s="7" t="n"/>
      <c r="E708" s="7" t="n"/>
      <c r="F708" s="7" t="n"/>
      <c r="G708" s="120"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row>
    <row r="709" ht="14.5" customHeight="1" s="165">
      <c r="A709" s="7" t="n"/>
      <c r="B709" s="7" t="n"/>
      <c r="C709" s="7" t="n"/>
      <c r="D709" s="7" t="n"/>
      <c r="E709" s="7" t="n"/>
      <c r="F709" s="7" t="n"/>
      <c r="G709" s="120"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row>
    <row r="710" ht="14.5" customHeight="1" s="165">
      <c r="A710" s="7" t="n"/>
      <c r="B710" s="7" t="n"/>
      <c r="C710" s="7" t="n"/>
      <c r="D710" s="7" t="n"/>
      <c r="E710" s="7" t="n"/>
      <c r="F710" s="7" t="n"/>
      <c r="G710" s="120"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row>
    <row r="711" ht="14.5" customHeight="1" s="165">
      <c r="A711" s="7" t="n"/>
      <c r="B711" s="7" t="n"/>
      <c r="C711" s="7" t="n"/>
      <c r="D711" s="7" t="n"/>
      <c r="E711" s="7" t="n"/>
      <c r="F711" s="7" t="n"/>
      <c r="G711" s="120"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row>
    <row r="712" ht="14.5" customHeight="1" s="165">
      <c r="A712" s="7" t="n"/>
      <c r="B712" s="7" t="n"/>
      <c r="C712" s="7" t="n"/>
      <c r="D712" s="7" t="n"/>
      <c r="E712" s="7" t="n"/>
      <c r="F712" s="7" t="n"/>
      <c r="G712" s="120"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row>
    <row r="713" ht="14.5" customHeight="1" s="165">
      <c r="A713" s="7" t="n"/>
      <c r="B713" s="7" t="n"/>
      <c r="C713" s="7" t="n"/>
      <c r="D713" s="7" t="n"/>
      <c r="E713" s="7" t="n"/>
      <c r="F713" s="7" t="n"/>
      <c r="G713" s="120"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row>
    <row r="714" ht="14.5" customHeight="1" s="165">
      <c r="A714" s="7" t="n"/>
      <c r="B714" s="7" t="n"/>
      <c r="C714" s="7" t="n"/>
      <c r="D714" s="7" t="n"/>
      <c r="E714" s="7" t="n"/>
      <c r="F714" s="7" t="n"/>
      <c r="G714" s="120"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row>
    <row r="715" ht="14.5" customHeight="1" s="165">
      <c r="A715" s="7" t="n"/>
      <c r="B715" s="7" t="n"/>
      <c r="C715" s="7" t="n"/>
      <c r="D715" s="7" t="n"/>
      <c r="E715" s="7" t="n"/>
      <c r="F715" s="7" t="n"/>
      <c r="G715" s="120"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row>
    <row r="716" ht="14.5" customHeight="1" s="165">
      <c r="A716" s="7" t="n"/>
      <c r="B716" s="7" t="n"/>
      <c r="C716" s="7" t="n"/>
      <c r="D716" s="7" t="n"/>
      <c r="E716" s="7" t="n"/>
      <c r="F716" s="7" t="n"/>
      <c r="G716" s="120"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row>
    <row r="717" ht="14.5" customHeight="1" s="165">
      <c r="A717" s="7" t="n"/>
      <c r="B717" s="7" t="n"/>
      <c r="C717" s="7" t="n"/>
      <c r="D717" s="7" t="n"/>
      <c r="E717" s="7" t="n"/>
      <c r="F717" s="7" t="n"/>
      <c r="G717" s="120"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row>
    <row r="718" ht="14.5" customHeight="1" s="165">
      <c r="A718" s="7" t="n"/>
      <c r="B718" s="7" t="n"/>
      <c r="C718" s="7" t="n"/>
      <c r="D718" s="7" t="n"/>
      <c r="E718" s="7" t="n"/>
      <c r="F718" s="7" t="n"/>
      <c r="G718" s="120"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row>
    <row r="719" ht="14.5" customHeight="1" s="165">
      <c r="A719" s="7" t="n"/>
      <c r="B719" s="7" t="n"/>
      <c r="C719" s="7" t="n"/>
      <c r="D719" s="7" t="n"/>
      <c r="E719" s="7" t="n"/>
      <c r="F719" s="7" t="n"/>
      <c r="G719" s="120"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row>
    <row r="720" ht="14.5" customHeight="1" s="165">
      <c r="A720" s="7" t="n"/>
      <c r="B720" s="7" t="n"/>
      <c r="C720" s="7" t="n"/>
      <c r="D720" s="7" t="n"/>
      <c r="E720" s="7" t="n"/>
      <c r="F720" s="7" t="n"/>
      <c r="G720" s="120"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row>
    <row r="721" ht="14.5" customHeight="1" s="165">
      <c r="A721" s="7" t="n"/>
      <c r="B721" s="7" t="n"/>
      <c r="C721" s="7" t="n"/>
      <c r="D721" s="7" t="n"/>
      <c r="E721" s="7" t="n"/>
      <c r="F721" s="7" t="n"/>
      <c r="G721" s="120"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row>
    <row r="722" ht="14.5" customHeight="1" s="165">
      <c r="A722" s="7" t="n"/>
      <c r="B722" s="7" t="n"/>
      <c r="C722" s="7" t="n"/>
      <c r="D722" s="7" t="n"/>
      <c r="E722" s="7" t="n"/>
      <c r="F722" s="7" t="n"/>
      <c r="G722" s="120"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row>
    <row r="723" ht="14.5" customHeight="1" s="165">
      <c r="A723" s="7" t="n"/>
      <c r="B723" s="7" t="n"/>
      <c r="C723" s="7" t="n"/>
      <c r="D723" s="7" t="n"/>
      <c r="E723" s="7" t="n"/>
      <c r="F723" s="7" t="n"/>
      <c r="G723" s="120"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row>
    <row r="724" ht="14.5" customHeight="1" s="165">
      <c r="A724" s="7" t="n"/>
      <c r="B724" s="7" t="n"/>
      <c r="C724" s="7" t="n"/>
      <c r="D724" s="7" t="n"/>
      <c r="E724" s="7" t="n"/>
      <c r="F724" s="7" t="n"/>
      <c r="G724" s="120"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row>
    <row r="725" ht="14.5" customHeight="1" s="165">
      <c r="A725" s="7" t="n"/>
      <c r="B725" s="7" t="n"/>
      <c r="C725" s="7" t="n"/>
      <c r="D725" s="7" t="n"/>
      <c r="E725" s="7" t="n"/>
      <c r="F725" s="7" t="n"/>
      <c r="G725" s="120"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row>
    <row r="726" ht="14.5" customHeight="1" s="165">
      <c r="A726" s="7" t="n"/>
      <c r="B726" s="7" t="n"/>
      <c r="C726" s="7" t="n"/>
      <c r="D726" s="7" t="n"/>
      <c r="E726" s="7" t="n"/>
      <c r="F726" s="7" t="n"/>
      <c r="G726" s="120"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row>
    <row r="727" ht="14.5" customHeight="1" s="165">
      <c r="A727" s="7" t="n"/>
      <c r="B727" s="7" t="n"/>
      <c r="C727" s="7" t="n"/>
      <c r="D727" s="7" t="n"/>
      <c r="E727" s="7" t="n"/>
      <c r="F727" s="7" t="n"/>
      <c r="G727" s="120"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row>
    <row r="728" ht="14.5" customHeight="1" s="165">
      <c r="A728" s="7" t="n"/>
      <c r="B728" s="7" t="n"/>
      <c r="C728" s="7" t="n"/>
      <c r="D728" s="7" t="n"/>
      <c r="E728" s="7" t="n"/>
      <c r="F728" s="7" t="n"/>
      <c r="G728" s="120"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row>
    <row r="729" ht="14.5" customHeight="1" s="165">
      <c r="A729" s="7" t="n"/>
      <c r="B729" s="7" t="n"/>
      <c r="C729" s="7" t="n"/>
      <c r="D729" s="7" t="n"/>
      <c r="E729" s="7" t="n"/>
      <c r="F729" s="7" t="n"/>
      <c r="G729" s="120"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row>
    <row r="730" ht="14.5" customHeight="1" s="165">
      <c r="A730" s="7" t="n"/>
      <c r="B730" s="7" t="n"/>
      <c r="C730" s="7" t="n"/>
      <c r="D730" s="7" t="n"/>
      <c r="E730" s="7" t="n"/>
      <c r="F730" s="7" t="n"/>
      <c r="G730" s="120"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row>
    <row r="731" ht="14.5" customHeight="1" s="165">
      <c r="A731" s="7" t="n"/>
      <c r="B731" s="7" t="n"/>
      <c r="C731" s="7" t="n"/>
      <c r="D731" s="7" t="n"/>
      <c r="E731" s="7" t="n"/>
      <c r="F731" s="7" t="n"/>
      <c r="G731" s="120"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row>
    <row r="732" ht="14.5" customHeight="1" s="165">
      <c r="A732" s="7" t="n"/>
      <c r="B732" s="7" t="n"/>
      <c r="C732" s="7" t="n"/>
      <c r="D732" s="7" t="n"/>
      <c r="E732" s="7" t="n"/>
      <c r="F732" s="7" t="n"/>
      <c r="G732" s="120"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row>
    <row r="733" ht="14.5" customHeight="1" s="165">
      <c r="A733" s="7" t="n"/>
      <c r="B733" s="7" t="n"/>
      <c r="C733" s="7" t="n"/>
      <c r="D733" s="7" t="n"/>
      <c r="E733" s="7" t="n"/>
      <c r="F733" s="7" t="n"/>
      <c r="G733" s="120"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row>
    <row r="734" ht="14.5" customHeight="1" s="165">
      <c r="A734" s="7" t="n"/>
      <c r="B734" s="7" t="n"/>
      <c r="C734" s="7" t="n"/>
      <c r="D734" s="7" t="n"/>
      <c r="E734" s="7" t="n"/>
      <c r="F734" s="7" t="n"/>
      <c r="G734" s="120"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row>
    <row r="735" ht="14.5" customHeight="1" s="165">
      <c r="A735" s="7" t="n"/>
      <c r="B735" s="7" t="n"/>
      <c r="C735" s="7" t="n"/>
      <c r="D735" s="7" t="n"/>
      <c r="E735" s="7" t="n"/>
      <c r="F735" s="7" t="n"/>
      <c r="G735" s="120"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row>
    <row r="736" ht="14.5" customHeight="1" s="165">
      <c r="A736" s="7" t="n"/>
      <c r="B736" s="7" t="n"/>
      <c r="C736" s="7" t="n"/>
      <c r="D736" s="7" t="n"/>
      <c r="E736" s="7" t="n"/>
      <c r="F736" s="7" t="n"/>
      <c r="G736" s="120"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row>
    <row r="737" ht="14.5" customHeight="1" s="165">
      <c r="A737" s="7" t="n"/>
      <c r="B737" s="7" t="n"/>
      <c r="C737" s="7" t="n"/>
      <c r="D737" s="7" t="n"/>
      <c r="E737" s="7" t="n"/>
      <c r="F737" s="7" t="n"/>
      <c r="G737" s="120"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row>
    <row r="738" ht="14.5" customHeight="1" s="165">
      <c r="A738" s="7" t="n"/>
      <c r="B738" s="7" t="n"/>
      <c r="C738" s="7" t="n"/>
      <c r="D738" s="7" t="n"/>
      <c r="E738" s="7" t="n"/>
      <c r="F738" s="7" t="n"/>
      <c r="G738" s="120"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row>
    <row r="739" ht="14.5" customHeight="1" s="165">
      <c r="A739" s="7" t="n"/>
      <c r="B739" s="7" t="n"/>
      <c r="C739" s="7" t="n"/>
      <c r="D739" s="7" t="n"/>
      <c r="E739" s="7" t="n"/>
      <c r="F739" s="7" t="n"/>
      <c r="G739" s="120"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row>
    <row r="740" ht="14.5" customHeight="1" s="165">
      <c r="A740" s="7" t="n"/>
      <c r="B740" s="7" t="n"/>
      <c r="C740" s="7" t="n"/>
      <c r="D740" s="7" t="n"/>
      <c r="E740" s="7" t="n"/>
      <c r="F740" s="7" t="n"/>
      <c r="G740" s="120"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row>
    <row r="741" ht="14.5" customHeight="1" s="165">
      <c r="A741" s="7" t="n"/>
      <c r="B741" s="7" t="n"/>
      <c r="C741" s="7" t="n"/>
      <c r="D741" s="7" t="n"/>
      <c r="E741" s="7" t="n"/>
      <c r="F741" s="7" t="n"/>
      <c r="G741" s="120"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row>
    <row r="742" ht="14.5" customHeight="1" s="165">
      <c r="A742" s="7" t="n"/>
      <c r="B742" s="7" t="n"/>
      <c r="C742" s="7" t="n"/>
      <c r="D742" s="7" t="n"/>
      <c r="E742" s="7" t="n"/>
      <c r="F742" s="7" t="n"/>
      <c r="G742" s="120"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row>
    <row r="743" ht="14.5" customHeight="1" s="165">
      <c r="A743" s="7" t="n"/>
      <c r="B743" s="7" t="n"/>
      <c r="C743" s="7" t="n"/>
      <c r="D743" s="7" t="n"/>
      <c r="E743" s="7" t="n"/>
      <c r="F743" s="7" t="n"/>
      <c r="G743" s="120"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row>
    <row r="744" ht="14.5" customHeight="1" s="165">
      <c r="A744" s="7" t="n"/>
      <c r="B744" s="7" t="n"/>
      <c r="C744" s="7" t="n"/>
      <c r="D744" s="7" t="n"/>
      <c r="E744" s="7" t="n"/>
      <c r="F744" s="7" t="n"/>
      <c r="G744" s="120"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row>
    <row r="745" ht="14.5" customHeight="1" s="165">
      <c r="A745" s="7" t="n"/>
      <c r="B745" s="7" t="n"/>
      <c r="C745" s="7" t="n"/>
      <c r="D745" s="7" t="n"/>
      <c r="E745" s="7" t="n"/>
      <c r="F745" s="7" t="n"/>
      <c r="G745" s="120"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row>
    <row r="746" ht="14.5" customHeight="1" s="165">
      <c r="A746" s="7" t="n"/>
      <c r="B746" s="7" t="n"/>
      <c r="C746" s="7" t="n"/>
      <c r="D746" s="7" t="n"/>
      <c r="E746" s="7" t="n"/>
      <c r="F746" s="7" t="n"/>
      <c r="G746" s="120"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row>
    <row r="747" ht="14.5" customHeight="1" s="165">
      <c r="A747" s="7" t="n"/>
      <c r="B747" s="7" t="n"/>
      <c r="C747" s="7" t="n"/>
      <c r="D747" s="7" t="n"/>
      <c r="E747" s="7" t="n"/>
      <c r="F747" s="7" t="n"/>
      <c r="G747" s="120"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row>
    <row r="748" ht="14.5" customHeight="1" s="165">
      <c r="A748" s="7" t="n"/>
      <c r="B748" s="7" t="n"/>
      <c r="C748" s="7" t="n"/>
      <c r="D748" s="7" t="n"/>
      <c r="E748" s="7" t="n"/>
      <c r="F748" s="7" t="n"/>
      <c r="G748" s="120"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row>
    <row r="749" ht="14.5" customHeight="1" s="165">
      <c r="A749" s="7" t="n"/>
      <c r="B749" s="7" t="n"/>
      <c r="C749" s="7" t="n"/>
      <c r="D749" s="7" t="n"/>
      <c r="E749" s="7" t="n"/>
      <c r="F749" s="7" t="n"/>
      <c r="G749" s="120"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row>
    <row r="750" ht="14.5" customHeight="1" s="165">
      <c r="A750" s="7" t="n"/>
      <c r="B750" s="7" t="n"/>
      <c r="C750" s="7" t="n"/>
      <c r="D750" s="7" t="n"/>
      <c r="E750" s="7" t="n"/>
      <c r="F750" s="7" t="n"/>
      <c r="G750" s="120"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row>
    <row r="751" ht="14.5" customHeight="1" s="165">
      <c r="A751" s="7" t="n"/>
      <c r="B751" s="7" t="n"/>
      <c r="C751" s="7" t="n"/>
      <c r="D751" s="7" t="n"/>
      <c r="E751" s="7" t="n"/>
      <c r="F751" s="7" t="n"/>
      <c r="G751" s="120"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row>
    <row r="752" ht="14.5" customHeight="1" s="165">
      <c r="A752" s="7" t="n"/>
      <c r="B752" s="7" t="n"/>
      <c r="C752" s="7" t="n"/>
      <c r="D752" s="7" t="n"/>
      <c r="E752" s="7" t="n"/>
      <c r="F752" s="7" t="n"/>
      <c r="G752" s="120"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row>
    <row r="753" ht="14.5" customHeight="1" s="165">
      <c r="A753" s="7" t="n"/>
      <c r="B753" s="7" t="n"/>
      <c r="C753" s="7" t="n"/>
      <c r="D753" s="7" t="n"/>
      <c r="E753" s="7" t="n"/>
      <c r="F753" s="7" t="n"/>
      <c r="G753" s="120"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row>
    <row r="754" ht="14.5" customHeight="1" s="165">
      <c r="A754" s="7" t="n"/>
      <c r="B754" s="7" t="n"/>
      <c r="C754" s="7" t="n"/>
      <c r="D754" s="7" t="n"/>
      <c r="E754" s="7" t="n"/>
      <c r="F754" s="7" t="n"/>
      <c r="G754" s="120"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row>
    <row r="755" ht="14.5" customHeight="1" s="165">
      <c r="A755" s="7" t="n"/>
      <c r="B755" s="7" t="n"/>
      <c r="C755" s="7" t="n"/>
      <c r="D755" s="7" t="n"/>
      <c r="E755" s="7" t="n"/>
      <c r="F755" s="7" t="n"/>
      <c r="G755" s="120"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row>
    <row r="756" ht="14.5" customHeight="1" s="165">
      <c r="A756" s="7" t="n"/>
      <c r="B756" s="7" t="n"/>
      <c r="C756" s="7" t="n"/>
      <c r="D756" s="7" t="n"/>
      <c r="E756" s="7" t="n"/>
      <c r="F756" s="7" t="n"/>
      <c r="G756" s="120"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row>
    <row r="757" ht="14.5" customHeight="1" s="165">
      <c r="A757" s="7" t="n"/>
      <c r="B757" s="7" t="n"/>
      <c r="C757" s="7" t="n"/>
      <c r="D757" s="7" t="n"/>
      <c r="E757" s="7" t="n"/>
      <c r="F757" s="7" t="n"/>
      <c r="G757" s="120"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row>
    <row r="758" ht="14.5" customHeight="1" s="165">
      <c r="A758" s="7" t="n"/>
      <c r="B758" s="7" t="n"/>
      <c r="C758" s="7" t="n"/>
      <c r="D758" s="7" t="n"/>
      <c r="E758" s="7" t="n"/>
      <c r="F758" s="7" t="n"/>
      <c r="G758" s="120"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row>
    <row r="759" ht="14.5" customHeight="1" s="165">
      <c r="A759" s="7" t="n"/>
      <c r="B759" s="7" t="n"/>
      <c r="C759" s="7" t="n"/>
      <c r="D759" s="7" t="n"/>
      <c r="E759" s="7" t="n"/>
      <c r="F759" s="7" t="n"/>
      <c r="G759" s="120"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row>
    <row r="760" ht="14.5" customHeight="1" s="165">
      <c r="A760" s="7" t="n"/>
      <c r="B760" s="7" t="n"/>
      <c r="C760" s="7" t="n"/>
      <c r="D760" s="7" t="n"/>
      <c r="E760" s="7" t="n"/>
      <c r="F760" s="7" t="n"/>
      <c r="G760" s="120"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row>
    <row r="761" ht="14.5" customHeight="1" s="165">
      <c r="A761" s="7" t="n"/>
      <c r="B761" s="7" t="n"/>
      <c r="C761" s="7" t="n"/>
      <c r="D761" s="7" t="n"/>
      <c r="E761" s="7" t="n"/>
      <c r="F761" s="7" t="n"/>
      <c r="G761" s="120"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row>
    <row r="762" ht="14.5" customHeight="1" s="165">
      <c r="A762" s="7" t="n"/>
      <c r="B762" s="7" t="n"/>
      <c r="C762" s="7" t="n"/>
      <c r="D762" s="7" t="n"/>
      <c r="E762" s="7" t="n"/>
      <c r="F762" s="7" t="n"/>
      <c r="G762" s="120"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row>
    <row r="763" ht="14.5" customHeight="1" s="165">
      <c r="A763" s="7" t="n"/>
      <c r="B763" s="7" t="n"/>
      <c r="C763" s="7" t="n"/>
      <c r="D763" s="7" t="n"/>
      <c r="E763" s="7" t="n"/>
      <c r="F763" s="7" t="n"/>
      <c r="G763" s="120"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row>
    <row r="764" ht="14.5" customHeight="1" s="165">
      <c r="A764" s="7" t="n"/>
      <c r="B764" s="7" t="n"/>
      <c r="C764" s="7" t="n"/>
      <c r="D764" s="7" t="n"/>
      <c r="E764" s="7" t="n"/>
      <c r="F764" s="7" t="n"/>
      <c r="G764" s="120"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row>
    <row r="765" ht="14.5" customHeight="1" s="165">
      <c r="A765" s="7" t="n"/>
      <c r="B765" s="7" t="n"/>
      <c r="C765" s="7" t="n"/>
      <c r="D765" s="7" t="n"/>
      <c r="E765" s="7" t="n"/>
      <c r="F765" s="7" t="n"/>
      <c r="G765" s="120"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row>
    <row r="766" ht="14.5" customHeight="1" s="165">
      <c r="A766" s="7" t="n"/>
      <c r="B766" s="7" t="n"/>
      <c r="C766" s="7" t="n"/>
      <c r="D766" s="7" t="n"/>
      <c r="E766" s="7" t="n"/>
      <c r="F766" s="7" t="n"/>
      <c r="G766" s="120"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row>
    <row r="767" ht="14.5" customHeight="1" s="165">
      <c r="A767" s="7" t="n"/>
      <c r="B767" s="7" t="n"/>
      <c r="C767" s="7" t="n"/>
      <c r="D767" s="7" t="n"/>
      <c r="E767" s="7" t="n"/>
      <c r="F767" s="7" t="n"/>
      <c r="G767" s="120"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row>
    <row r="768" ht="14.5" customHeight="1" s="165">
      <c r="A768" s="7" t="n"/>
      <c r="B768" s="7" t="n"/>
      <c r="C768" s="7" t="n"/>
      <c r="D768" s="7" t="n"/>
      <c r="E768" s="7" t="n"/>
      <c r="F768" s="7" t="n"/>
      <c r="G768" s="120"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row>
    <row r="769" ht="14.5" customHeight="1" s="165">
      <c r="A769" s="7" t="n"/>
      <c r="B769" s="7" t="n"/>
      <c r="C769" s="7" t="n"/>
      <c r="D769" s="7" t="n"/>
      <c r="E769" s="7" t="n"/>
      <c r="F769" s="7" t="n"/>
      <c r="G769" s="120"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row>
    <row r="770" ht="14.5" customHeight="1" s="165">
      <c r="A770" s="7" t="n"/>
      <c r="B770" s="7" t="n"/>
      <c r="C770" s="7" t="n"/>
      <c r="D770" s="7" t="n"/>
      <c r="E770" s="7" t="n"/>
      <c r="F770" s="7" t="n"/>
      <c r="G770" s="120"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row>
    <row r="771" ht="14.5" customHeight="1" s="165">
      <c r="A771" s="7" t="n"/>
      <c r="B771" s="7" t="n"/>
      <c r="C771" s="7" t="n"/>
      <c r="D771" s="7" t="n"/>
      <c r="E771" s="7" t="n"/>
      <c r="F771" s="7" t="n"/>
      <c r="G771" s="120"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row>
    <row r="772" ht="14.5" customHeight="1" s="165">
      <c r="A772" s="7" t="n"/>
      <c r="B772" s="7" t="n"/>
      <c r="C772" s="7" t="n"/>
      <c r="D772" s="7" t="n"/>
      <c r="E772" s="7" t="n"/>
      <c r="F772" s="7" t="n"/>
      <c r="G772" s="120"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row>
    <row r="773" ht="14.5" customHeight="1" s="165">
      <c r="A773" s="7" t="n"/>
      <c r="B773" s="7" t="n"/>
      <c r="C773" s="7" t="n"/>
      <c r="D773" s="7" t="n"/>
      <c r="E773" s="7" t="n"/>
      <c r="F773" s="7" t="n"/>
      <c r="G773" s="120"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row>
    <row r="774" ht="14.5" customHeight="1" s="165">
      <c r="A774" s="7" t="n"/>
      <c r="B774" s="7" t="n"/>
      <c r="C774" s="7" t="n"/>
      <c r="D774" s="7" t="n"/>
      <c r="E774" s="7" t="n"/>
      <c r="F774" s="7" t="n"/>
      <c r="G774" s="120"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row>
    <row r="775" ht="14.5" customHeight="1" s="165">
      <c r="A775" s="7" t="n"/>
      <c r="B775" s="7" t="n"/>
      <c r="C775" s="7" t="n"/>
      <c r="D775" s="7" t="n"/>
      <c r="E775" s="7" t="n"/>
      <c r="F775" s="7" t="n"/>
      <c r="G775" s="120"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row>
    <row r="776" ht="14.5" customHeight="1" s="165">
      <c r="A776" s="7" t="n"/>
      <c r="B776" s="7" t="n"/>
      <c r="C776" s="7" t="n"/>
      <c r="D776" s="7" t="n"/>
      <c r="E776" s="7" t="n"/>
      <c r="F776" s="7" t="n"/>
      <c r="G776" s="120"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row>
    <row r="777" ht="14.5" customHeight="1" s="165">
      <c r="A777" s="7" t="n"/>
      <c r="B777" s="7" t="n"/>
      <c r="C777" s="7" t="n"/>
      <c r="D777" s="7" t="n"/>
      <c r="E777" s="7" t="n"/>
      <c r="F777" s="7" t="n"/>
      <c r="G777" s="120"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row>
    <row r="778" ht="14.5" customHeight="1" s="165">
      <c r="A778" s="7" t="n"/>
      <c r="B778" s="7" t="n"/>
      <c r="C778" s="7" t="n"/>
      <c r="D778" s="7" t="n"/>
      <c r="E778" s="7" t="n"/>
      <c r="F778" s="7" t="n"/>
      <c r="G778" s="120"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row>
    <row r="779" ht="14.5" customHeight="1" s="165">
      <c r="A779" s="7" t="n"/>
      <c r="B779" s="7" t="n"/>
      <c r="C779" s="7" t="n"/>
      <c r="D779" s="7" t="n"/>
      <c r="E779" s="7" t="n"/>
      <c r="F779" s="7" t="n"/>
      <c r="G779" s="120"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row>
    <row r="780" ht="14.5" customHeight="1" s="165">
      <c r="A780" s="7" t="n"/>
      <c r="B780" s="7" t="n"/>
      <c r="C780" s="7" t="n"/>
      <c r="D780" s="7" t="n"/>
      <c r="E780" s="7" t="n"/>
      <c r="F780" s="7" t="n"/>
      <c r="G780" s="120"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row>
    <row r="781" ht="14.5" customHeight="1" s="165">
      <c r="A781" s="7" t="n"/>
      <c r="B781" s="7" t="n"/>
      <c r="C781" s="7" t="n"/>
      <c r="D781" s="7" t="n"/>
      <c r="E781" s="7" t="n"/>
      <c r="F781" s="7" t="n"/>
      <c r="G781" s="120"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row>
    <row r="782" ht="14.5" customHeight="1" s="165">
      <c r="A782" s="7" t="n"/>
      <c r="B782" s="7" t="n"/>
      <c r="C782" s="7" t="n"/>
      <c r="D782" s="7" t="n"/>
      <c r="E782" s="7" t="n"/>
      <c r="F782" s="7" t="n"/>
      <c r="G782" s="120"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row>
    <row r="783" ht="14.5" customHeight="1" s="165">
      <c r="A783" s="7" t="n"/>
      <c r="B783" s="7" t="n"/>
      <c r="C783" s="7" t="n"/>
      <c r="D783" s="7" t="n"/>
      <c r="E783" s="7" t="n"/>
      <c r="F783" s="7" t="n"/>
      <c r="G783" s="120"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row>
    <row r="784" ht="14.5" customHeight="1" s="165">
      <c r="A784" s="7" t="n"/>
      <c r="B784" s="7" t="n"/>
      <c r="C784" s="7" t="n"/>
      <c r="D784" s="7" t="n"/>
      <c r="E784" s="7" t="n"/>
      <c r="F784" s="7" t="n"/>
      <c r="G784" s="120"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row>
    <row r="785" ht="14.5" customHeight="1" s="165">
      <c r="A785" s="7" t="n"/>
      <c r="B785" s="7" t="n"/>
      <c r="C785" s="7" t="n"/>
      <c r="D785" s="7" t="n"/>
      <c r="E785" s="7" t="n"/>
      <c r="F785" s="7" t="n"/>
      <c r="G785" s="120"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row>
    <row r="786" ht="14.5" customHeight="1" s="165">
      <c r="A786" s="7" t="n"/>
      <c r="B786" s="7" t="n"/>
      <c r="C786" s="7" t="n"/>
      <c r="D786" s="7" t="n"/>
      <c r="E786" s="7" t="n"/>
      <c r="F786" s="7" t="n"/>
      <c r="G786" s="120"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row>
    <row r="787" ht="14.5" customHeight="1" s="165">
      <c r="A787" s="7" t="n"/>
      <c r="B787" s="7" t="n"/>
      <c r="C787" s="7" t="n"/>
      <c r="D787" s="7" t="n"/>
      <c r="E787" s="7" t="n"/>
      <c r="F787" s="7" t="n"/>
      <c r="G787" s="120"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row>
    <row r="788" ht="14.5" customHeight="1" s="165">
      <c r="A788" s="7" t="n"/>
      <c r="B788" s="7" t="n"/>
      <c r="C788" s="7" t="n"/>
      <c r="D788" s="7" t="n"/>
      <c r="E788" s="7" t="n"/>
      <c r="F788" s="7" t="n"/>
      <c r="G788" s="120"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row>
    <row r="789" ht="14.5" customHeight="1" s="165">
      <c r="A789" s="7" t="n"/>
      <c r="B789" s="7" t="n"/>
      <c r="C789" s="7" t="n"/>
      <c r="D789" s="7" t="n"/>
      <c r="E789" s="7" t="n"/>
      <c r="F789" s="7" t="n"/>
      <c r="G789" s="120"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row>
    <row r="790" ht="14.5" customHeight="1" s="165">
      <c r="A790" s="7" t="n"/>
      <c r="B790" s="7" t="n"/>
      <c r="C790" s="7" t="n"/>
      <c r="D790" s="7" t="n"/>
      <c r="E790" s="7" t="n"/>
      <c r="F790" s="7" t="n"/>
      <c r="G790" s="120"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row>
    <row r="791" ht="14.5" customHeight="1" s="165">
      <c r="A791" s="7" t="n"/>
      <c r="B791" s="7" t="n"/>
      <c r="C791" s="7" t="n"/>
      <c r="D791" s="7" t="n"/>
      <c r="E791" s="7" t="n"/>
      <c r="F791" s="7" t="n"/>
      <c r="G791" s="120"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row>
    <row r="792" ht="14.5" customHeight="1" s="165">
      <c r="A792" s="7" t="n"/>
      <c r="B792" s="7" t="n"/>
      <c r="C792" s="7" t="n"/>
      <c r="D792" s="7" t="n"/>
      <c r="E792" s="7" t="n"/>
      <c r="F792" s="7" t="n"/>
      <c r="G792" s="120"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row>
    <row r="793" ht="14.5" customHeight="1" s="165">
      <c r="A793" s="7" t="n"/>
      <c r="B793" s="7" t="n"/>
      <c r="C793" s="7" t="n"/>
      <c r="D793" s="7" t="n"/>
      <c r="E793" s="7" t="n"/>
      <c r="F793" s="7" t="n"/>
      <c r="G793" s="120"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row>
    <row r="794" ht="14.5" customHeight="1" s="165">
      <c r="A794" s="7" t="n"/>
      <c r="B794" s="7" t="n"/>
      <c r="C794" s="7" t="n"/>
      <c r="D794" s="7" t="n"/>
      <c r="E794" s="7" t="n"/>
      <c r="F794" s="7" t="n"/>
      <c r="G794" s="120"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row>
    <row r="795" ht="14.5" customHeight="1" s="165">
      <c r="A795" s="7" t="n"/>
      <c r="B795" s="7" t="n"/>
      <c r="C795" s="7" t="n"/>
      <c r="D795" s="7" t="n"/>
      <c r="E795" s="7" t="n"/>
      <c r="F795" s="7" t="n"/>
      <c r="G795" s="120"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row>
    <row r="796" ht="14.5" customHeight="1" s="165">
      <c r="A796" s="7" t="n"/>
      <c r="B796" s="7" t="n"/>
      <c r="C796" s="7" t="n"/>
      <c r="D796" s="7" t="n"/>
      <c r="E796" s="7" t="n"/>
      <c r="F796" s="7" t="n"/>
      <c r="G796" s="120"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row>
    <row r="797" ht="14.5" customHeight="1" s="165">
      <c r="A797" s="7" t="n"/>
      <c r="B797" s="7" t="n"/>
      <c r="C797" s="7" t="n"/>
      <c r="D797" s="7" t="n"/>
      <c r="E797" s="7" t="n"/>
      <c r="F797" s="7" t="n"/>
      <c r="G797" s="120"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row>
    <row r="798" ht="14.5" customHeight="1" s="165">
      <c r="A798" s="7" t="n"/>
      <c r="B798" s="7" t="n"/>
      <c r="C798" s="7" t="n"/>
      <c r="D798" s="7" t="n"/>
      <c r="E798" s="7" t="n"/>
      <c r="F798" s="7" t="n"/>
      <c r="G798" s="120"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row>
    <row r="799" ht="14.5" customHeight="1" s="165">
      <c r="A799" s="7" t="n"/>
      <c r="B799" s="7" t="n"/>
      <c r="C799" s="7" t="n"/>
      <c r="D799" s="7" t="n"/>
      <c r="E799" s="7" t="n"/>
      <c r="F799" s="7" t="n"/>
      <c r="G799" s="120"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row>
    <row r="800" ht="14.5" customHeight="1" s="165">
      <c r="A800" s="7" t="n"/>
      <c r="B800" s="7" t="n"/>
      <c r="C800" s="7" t="n"/>
      <c r="D800" s="7" t="n"/>
      <c r="E800" s="7" t="n"/>
      <c r="F800" s="7" t="n"/>
      <c r="G800" s="120"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row>
    <row r="801" ht="14.5" customHeight="1" s="165">
      <c r="A801" s="7" t="n"/>
      <c r="B801" s="7" t="n"/>
      <c r="C801" s="7" t="n"/>
      <c r="D801" s="7" t="n"/>
      <c r="E801" s="7" t="n"/>
      <c r="F801" s="7" t="n"/>
      <c r="G801" s="120"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row>
    <row r="802" ht="14.5" customHeight="1" s="165">
      <c r="A802" s="7" t="n"/>
      <c r="B802" s="7" t="n"/>
      <c r="C802" s="7" t="n"/>
      <c r="D802" s="7" t="n"/>
      <c r="E802" s="7" t="n"/>
      <c r="F802" s="7" t="n"/>
      <c r="G802" s="120"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row>
    <row r="803" ht="14.5" customHeight="1" s="165">
      <c r="A803" s="7" t="n"/>
      <c r="B803" s="7" t="n"/>
      <c r="C803" s="7" t="n"/>
      <c r="D803" s="7" t="n"/>
      <c r="E803" s="7" t="n"/>
      <c r="F803" s="7" t="n"/>
      <c r="G803" s="120"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row>
    <row r="804" ht="14.5" customHeight="1" s="165">
      <c r="A804" s="7" t="n"/>
      <c r="B804" s="7" t="n"/>
      <c r="C804" s="7" t="n"/>
      <c r="D804" s="7" t="n"/>
      <c r="E804" s="7" t="n"/>
      <c r="F804" s="7" t="n"/>
      <c r="G804" s="120"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row>
    <row r="805" ht="14.5" customHeight="1" s="165">
      <c r="A805" s="7" t="n"/>
      <c r="B805" s="7" t="n"/>
      <c r="C805" s="7" t="n"/>
      <c r="D805" s="7" t="n"/>
      <c r="E805" s="7" t="n"/>
      <c r="F805" s="7" t="n"/>
      <c r="G805" s="120"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row>
    <row r="806" ht="14.5" customHeight="1" s="165">
      <c r="A806" s="7" t="n"/>
      <c r="B806" s="7" t="n"/>
      <c r="C806" s="7" t="n"/>
      <c r="D806" s="7" t="n"/>
      <c r="E806" s="7" t="n"/>
      <c r="F806" s="7" t="n"/>
      <c r="G806" s="120"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row>
    <row r="807" ht="14.5" customHeight="1" s="165">
      <c r="A807" s="7" t="n"/>
      <c r="B807" s="7" t="n"/>
      <c r="C807" s="7" t="n"/>
      <c r="D807" s="7" t="n"/>
      <c r="E807" s="7" t="n"/>
      <c r="F807" s="7" t="n"/>
      <c r="G807" s="120"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row>
    <row r="808" ht="14.5" customHeight="1" s="165">
      <c r="A808" s="7" t="n"/>
      <c r="B808" s="7" t="n"/>
      <c r="C808" s="7" t="n"/>
      <c r="D808" s="7" t="n"/>
      <c r="E808" s="7" t="n"/>
      <c r="F808" s="7" t="n"/>
      <c r="G808" s="120"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row>
    <row r="809" ht="14.5" customHeight="1" s="165">
      <c r="A809" s="7" t="n"/>
      <c r="B809" s="7" t="n"/>
      <c r="C809" s="7" t="n"/>
      <c r="D809" s="7" t="n"/>
      <c r="E809" s="7" t="n"/>
      <c r="F809" s="7" t="n"/>
      <c r="G809" s="120"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row>
    <row r="810" ht="14.5" customHeight="1" s="165">
      <c r="A810" s="7" t="n"/>
      <c r="B810" s="7" t="n"/>
      <c r="C810" s="7" t="n"/>
      <c r="D810" s="7" t="n"/>
      <c r="E810" s="7" t="n"/>
      <c r="F810" s="7" t="n"/>
      <c r="G810" s="120"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row>
    <row r="811" ht="14.5" customHeight="1" s="165">
      <c r="A811" s="7" t="n"/>
      <c r="B811" s="7" t="n"/>
      <c r="C811" s="7" t="n"/>
      <c r="D811" s="7" t="n"/>
      <c r="E811" s="7" t="n"/>
      <c r="F811" s="7" t="n"/>
      <c r="G811" s="120"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row>
    <row r="812" ht="14.5" customHeight="1" s="165">
      <c r="A812" s="7" t="n"/>
      <c r="B812" s="7" t="n"/>
      <c r="C812" s="7" t="n"/>
      <c r="D812" s="7" t="n"/>
      <c r="E812" s="7" t="n"/>
      <c r="F812" s="7" t="n"/>
      <c r="G812" s="120"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row>
    <row r="813" ht="14.5" customHeight="1" s="165">
      <c r="A813" s="7" t="n"/>
      <c r="B813" s="7" t="n"/>
      <c r="C813" s="7" t="n"/>
      <c r="D813" s="7" t="n"/>
      <c r="E813" s="7" t="n"/>
      <c r="F813" s="7" t="n"/>
      <c r="G813" s="120"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row>
    <row r="814" ht="14.5" customHeight="1" s="165">
      <c r="A814" s="7" t="n"/>
      <c r="B814" s="7" t="n"/>
      <c r="C814" s="7" t="n"/>
      <c r="D814" s="7" t="n"/>
      <c r="E814" s="7" t="n"/>
      <c r="F814" s="7" t="n"/>
      <c r="G814" s="120"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row>
    <row r="815" ht="14.5" customHeight="1" s="165">
      <c r="A815" s="7" t="n"/>
      <c r="B815" s="7" t="n"/>
      <c r="C815" s="7" t="n"/>
      <c r="D815" s="7" t="n"/>
      <c r="E815" s="7" t="n"/>
      <c r="F815" s="7" t="n"/>
      <c r="G815" s="120"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row>
    <row r="816" ht="14.5" customHeight="1" s="165">
      <c r="A816" s="7" t="n"/>
      <c r="B816" s="7" t="n"/>
      <c r="C816" s="7" t="n"/>
      <c r="D816" s="7" t="n"/>
      <c r="E816" s="7" t="n"/>
      <c r="F816" s="7" t="n"/>
      <c r="G816" s="120"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row>
    <row r="817" ht="14.5" customHeight="1" s="165">
      <c r="A817" s="7" t="n"/>
      <c r="B817" s="7" t="n"/>
      <c r="C817" s="7" t="n"/>
      <c r="D817" s="7" t="n"/>
      <c r="E817" s="7" t="n"/>
      <c r="F817" s="7" t="n"/>
      <c r="G817" s="120"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row>
    <row r="818" ht="14.5" customHeight="1" s="165">
      <c r="A818" s="7" t="n"/>
      <c r="B818" s="7" t="n"/>
      <c r="C818" s="7" t="n"/>
      <c r="D818" s="7" t="n"/>
      <c r="E818" s="7" t="n"/>
      <c r="F818" s="7" t="n"/>
      <c r="G818" s="120"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row>
    <row r="819" ht="14.5" customHeight="1" s="165">
      <c r="A819" s="7" t="n"/>
      <c r="B819" s="7" t="n"/>
      <c r="C819" s="7" t="n"/>
      <c r="D819" s="7" t="n"/>
      <c r="E819" s="7" t="n"/>
      <c r="F819" s="7" t="n"/>
      <c r="G819" s="120"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row>
    <row r="820" ht="14.5" customHeight="1" s="165">
      <c r="A820" s="7" t="n"/>
      <c r="B820" s="7" t="n"/>
      <c r="C820" s="7" t="n"/>
      <c r="D820" s="7" t="n"/>
      <c r="E820" s="7" t="n"/>
      <c r="F820" s="7" t="n"/>
      <c r="G820" s="120"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row>
    <row r="821" ht="14.5" customHeight="1" s="165">
      <c r="A821" s="7" t="n"/>
      <c r="B821" s="7" t="n"/>
      <c r="C821" s="7" t="n"/>
      <c r="D821" s="7" t="n"/>
      <c r="E821" s="7" t="n"/>
      <c r="F821" s="7" t="n"/>
      <c r="G821" s="120"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row>
    <row r="822" ht="14.5" customHeight="1" s="165">
      <c r="A822" s="7" t="n"/>
      <c r="B822" s="7" t="n"/>
      <c r="C822" s="7" t="n"/>
      <c r="D822" s="7" t="n"/>
      <c r="E822" s="7" t="n"/>
      <c r="F822" s="7" t="n"/>
      <c r="G822" s="120"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row>
    <row r="823" ht="14.5" customHeight="1" s="165">
      <c r="A823" s="7" t="n"/>
      <c r="B823" s="7" t="n"/>
      <c r="C823" s="7" t="n"/>
      <c r="D823" s="7" t="n"/>
      <c r="E823" s="7" t="n"/>
      <c r="F823" s="7" t="n"/>
      <c r="G823" s="120"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row>
    <row r="824" ht="14.5" customHeight="1" s="165">
      <c r="A824" s="7" t="n"/>
      <c r="B824" s="7" t="n"/>
      <c r="C824" s="7" t="n"/>
      <c r="D824" s="7" t="n"/>
      <c r="E824" s="7" t="n"/>
      <c r="F824" s="7" t="n"/>
      <c r="G824" s="120"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row>
    <row r="825" ht="14.5" customHeight="1" s="165">
      <c r="A825" s="7" t="n"/>
      <c r="B825" s="7" t="n"/>
      <c r="C825" s="7" t="n"/>
      <c r="D825" s="7" t="n"/>
      <c r="E825" s="7" t="n"/>
      <c r="F825" s="7" t="n"/>
      <c r="G825" s="120"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row>
    <row r="826" ht="14.5" customHeight="1" s="165">
      <c r="A826" s="7" t="n"/>
      <c r="B826" s="7" t="n"/>
      <c r="C826" s="7" t="n"/>
      <c r="D826" s="7" t="n"/>
      <c r="E826" s="7" t="n"/>
      <c r="F826" s="7" t="n"/>
      <c r="G826" s="120"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row>
    <row r="827" ht="14.5" customHeight="1" s="165">
      <c r="A827" s="7" t="n"/>
      <c r="B827" s="7" t="n"/>
      <c r="C827" s="7" t="n"/>
      <c r="D827" s="7" t="n"/>
      <c r="E827" s="7" t="n"/>
      <c r="F827" s="7" t="n"/>
      <c r="G827" s="120"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row>
    <row r="828" ht="14.5" customHeight="1" s="165">
      <c r="A828" s="7" t="n"/>
      <c r="B828" s="7" t="n"/>
      <c r="C828" s="7" t="n"/>
      <c r="D828" s="7" t="n"/>
      <c r="E828" s="7" t="n"/>
      <c r="F828" s="7" t="n"/>
      <c r="G828" s="120"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row>
    <row r="829" ht="14.5" customHeight="1" s="165">
      <c r="A829" s="7" t="n"/>
      <c r="B829" s="7" t="n"/>
      <c r="C829" s="7" t="n"/>
      <c r="D829" s="7" t="n"/>
      <c r="E829" s="7" t="n"/>
      <c r="F829" s="7" t="n"/>
      <c r="G829" s="120"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row>
    <row r="830" ht="14.5" customHeight="1" s="165">
      <c r="A830" s="7" t="n"/>
      <c r="B830" s="7" t="n"/>
      <c r="C830" s="7" t="n"/>
      <c r="D830" s="7" t="n"/>
      <c r="E830" s="7" t="n"/>
      <c r="F830" s="7" t="n"/>
      <c r="G830" s="120"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row>
    <row r="831" ht="14.5" customHeight="1" s="165">
      <c r="A831" s="7" t="n"/>
      <c r="B831" s="7" t="n"/>
      <c r="C831" s="7" t="n"/>
      <c r="D831" s="7" t="n"/>
      <c r="E831" s="7" t="n"/>
      <c r="F831" s="7" t="n"/>
      <c r="G831" s="120"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row>
    <row r="832" ht="14.5" customHeight="1" s="165">
      <c r="A832" s="7" t="n"/>
      <c r="B832" s="7" t="n"/>
      <c r="C832" s="7" t="n"/>
      <c r="D832" s="7" t="n"/>
      <c r="E832" s="7" t="n"/>
      <c r="F832" s="7" t="n"/>
      <c r="G832" s="120"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row>
    <row r="833" ht="14.5" customHeight="1" s="165">
      <c r="A833" s="7" t="n"/>
      <c r="B833" s="7" t="n"/>
      <c r="C833" s="7" t="n"/>
      <c r="D833" s="7" t="n"/>
      <c r="E833" s="7" t="n"/>
      <c r="F833" s="7" t="n"/>
      <c r="G833" s="120"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row>
    <row r="834" ht="14.5" customHeight="1" s="165">
      <c r="A834" s="7" t="n"/>
      <c r="B834" s="7" t="n"/>
      <c r="C834" s="7" t="n"/>
      <c r="D834" s="7" t="n"/>
      <c r="E834" s="7" t="n"/>
      <c r="F834" s="7" t="n"/>
      <c r="G834" s="120"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row>
    <row r="835" ht="14.5" customHeight="1" s="165">
      <c r="A835" s="7" t="n"/>
      <c r="B835" s="7" t="n"/>
      <c r="C835" s="7" t="n"/>
      <c r="D835" s="7" t="n"/>
      <c r="E835" s="7" t="n"/>
      <c r="F835" s="7" t="n"/>
      <c r="G835" s="120"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row>
    <row r="836" ht="14.5" customHeight="1" s="165">
      <c r="A836" s="7" t="n"/>
      <c r="B836" s="7" t="n"/>
      <c r="C836" s="7" t="n"/>
      <c r="D836" s="7" t="n"/>
      <c r="E836" s="7" t="n"/>
      <c r="F836" s="7" t="n"/>
      <c r="G836" s="120"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row>
    <row r="837" ht="14.5" customHeight="1" s="165">
      <c r="A837" s="7" t="n"/>
      <c r="B837" s="7" t="n"/>
      <c r="C837" s="7" t="n"/>
      <c r="D837" s="7" t="n"/>
      <c r="E837" s="7" t="n"/>
      <c r="F837" s="7" t="n"/>
      <c r="G837" s="120"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row>
    <row r="838" ht="14.5" customHeight="1" s="165">
      <c r="A838" s="7" t="n"/>
      <c r="B838" s="7" t="n"/>
      <c r="C838" s="7" t="n"/>
      <c r="D838" s="7" t="n"/>
      <c r="E838" s="7" t="n"/>
      <c r="F838" s="7" t="n"/>
      <c r="G838" s="120"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row>
    <row r="839" ht="14.5" customHeight="1" s="165">
      <c r="A839" s="7" t="n"/>
      <c r="B839" s="7" t="n"/>
      <c r="C839" s="7" t="n"/>
      <c r="D839" s="7" t="n"/>
      <c r="E839" s="7" t="n"/>
      <c r="F839" s="7" t="n"/>
      <c r="G839" s="120"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row>
    <row r="840" ht="14.5" customHeight="1" s="165">
      <c r="A840" s="7" t="n"/>
      <c r="B840" s="7" t="n"/>
      <c r="C840" s="7" t="n"/>
      <c r="D840" s="7" t="n"/>
      <c r="E840" s="7" t="n"/>
      <c r="F840" s="7" t="n"/>
      <c r="G840" s="120"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row>
    <row r="841" ht="14.5" customHeight="1" s="165">
      <c r="A841" s="7" t="n"/>
      <c r="B841" s="7" t="n"/>
      <c r="C841" s="7" t="n"/>
      <c r="D841" s="7" t="n"/>
      <c r="E841" s="7" t="n"/>
      <c r="F841" s="7" t="n"/>
      <c r="G841" s="120"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row>
    <row r="842" ht="14.5" customHeight="1" s="165">
      <c r="A842" s="7" t="n"/>
      <c r="B842" s="7" t="n"/>
      <c r="C842" s="7" t="n"/>
      <c r="D842" s="7" t="n"/>
      <c r="E842" s="7" t="n"/>
      <c r="F842" s="7" t="n"/>
      <c r="G842" s="120"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row>
    <row r="843" ht="14.5" customHeight="1" s="165">
      <c r="A843" s="7" t="n"/>
      <c r="B843" s="7" t="n"/>
      <c r="C843" s="7" t="n"/>
      <c r="D843" s="7" t="n"/>
      <c r="E843" s="7" t="n"/>
      <c r="F843" s="7" t="n"/>
      <c r="G843" s="120"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row>
    <row r="844" ht="14.5" customHeight="1" s="165">
      <c r="A844" s="7" t="n"/>
      <c r="B844" s="7" t="n"/>
      <c r="C844" s="7" t="n"/>
      <c r="D844" s="7" t="n"/>
      <c r="E844" s="7" t="n"/>
      <c r="F844" s="7" t="n"/>
      <c r="G844" s="120"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row>
    <row r="845" ht="14.5" customHeight="1" s="165">
      <c r="A845" s="7" t="n"/>
      <c r="B845" s="7" t="n"/>
      <c r="C845" s="7" t="n"/>
      <c r="D845" s="7" t="n"/>
      <c r="E845" s="7" t="n"/>
      <c r="F845" s="7" t="n"/>
      <c r="G845" s="120"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row>
    <row r="846" ht="14.5" customHeight="1" s="165">
      <c r="A846" s="7" t="n"/>
      <c r="B846" s="7" t="n"/>
      <c r="C846" s="7" t="n"/>
      <c r="D846" s="7" t="n"/>
      <c r="E846" s="7" t="n"/>
      <c r="F846" s="7" t="n"/>
      <c r="G846" s="120"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row>
    <row r="847" ht="14.5" customHeight="1" s="165">
      <c r="A847" s="7" t="n"/>
      <c r="B847" s="7" t="n"/>
      <c r="C847" s="7" t="n"/>
      <c r="D847" s="7" t="n"/>
      <c r="E847" s="7" t="n"/>
      <c r="F847" s="7" t="n"/>
      <c r="G847" s="120"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row>
    <row r="848" ht="14.5" customHeight="1" s="165">
      <c r="A848" s="7" t="n"/>
      <c r="B848" s="7" t="n"/>
      <c r="C848" s="7" t="n"/>
      <c r="D848" s="7" t="n"/>
      <c r="E848" s="7" t="n"/>
      <c r="F848" s="7" t="n"/>
      <c r="G848" s="120"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row>
    <row r="849" ht="14.5" customHeight="1" s="165">
      <c r="A849" s="7" t="n"/>
      <c r="B849" s="7" t="n"/>
      <c r="C849" s="7" t="n"/>
      <c r="D849" s="7" t="n"/>
      <c r="E849" s="7" t="n"/>
      <c r="F849" s="7" t="n"/>
      <c r="G849" s="120"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row>
    <row r="850" ht="14.5" customHeight="1" s="165">
      <c r="A850" s="7" t="n"/>
      <c r="B850" s="7" t="n"/>
      <c r="C850" s="7" t="n"/>
      <c r="D850" s="7" t="n"/>
      <c r="E850" s="7" t="n"/>
      <c r="F850" s="7" t="n"/>
      <c r="G850" s="120"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row>
    <row r="851" ht="14.5" customHeight="1" s="165">
      <c r="A851" s="7" t="n"/>
      <c r="B851" s="7" t="n"/>
      <c r="C851" s="7" t="n"/>
      <c r="D851" s="7" t="n"/>
      <c r="E851" s="7" t="n"/>
      <c r="F851" s="7" t="n"/>
      <c r="G851" s="120"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row>
    <row r="852" ht="14.5" customHeight="1" s="165">
      <c r="A852" s="7" t="n"/>
      <c r="B852" s="7" t="n"/>
      <c r="C852" s="7" t="n"/>
      <c r="D852" s="7" t="n"/>
      <c r="E852" s="7" t="n"/>
      <c r="F852" s="7" t="n"/>
      <c r="G852" s="120"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row>
    <row r="853" ht="14.5" customHeight="1" s="165">
      <c r="A853" s="7" t="n"/>
      <c r="B853" s="7" t="n"/>
      <c r="C853" s="7" t="n"/>
      <c r="D853" s="7" t="n"/>
      <c r="E853" s="7" t="n"/>
      <c r="F853" s="7" t="n"/>
      <c r="G853" s="120"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row>
    <row r="854" ht="14.5" customHeight="1" s="165">
      <c r="A854" s="7" t="n"/>
      <c r="B854" s="7" t="n"/>
      <c r="C854" s="7" t="n"/>
      <c r="D854" s="7" t="n"/>
      <c r="E854" s="7" t="n"/>
      <c r="F854" s="7" t="n"/>
      <c r="G854" s="120"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row>
    <row r="855" ht="14.5" customHeight="1" s="165">
      <c r="A855" s="7" t="n"/>
      <c r="B855" s="7" t="n"/>
      <c r="C855" s="7" t="n"/>
      <c r="D855" s="7" t="n"/>
      <c r="E855" s="7" t="n"/>
      <c r="F855" s="7" t="n"/>
      <c r="G855" s="120"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row>
    <row r="856" ht="14.5" customHeight="1" s="165">
      <c r="A856" s="7" t="n"/>
      <c r="B856" s="7" t="n"/>
      <c r="C856" s="7" t="n"/>
      <c r="D856" s="7" t="n"/>
      <c r="E856" s="7" t="n"/>
      <c r="F856" s="7" t="n"/>
      <c r="G856" s="120"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row>
    <row r="857" ht="14.5" customHeight="1" s="165">
      <c r="A857" s="7" t="n"/>
      <c r="B857" s="7" t="n"/>
      <c r="C857" s="7" t="n"/>
      <c r="D857" s="7" t="n"/>
      <c r="E857" s="7" t="n"/>
      <c r="F857" s="7" t="n"/>
      <c r="G857" s="120"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row>
    <row r="858" ht="14.5" customHeight="1" s="165">
      <c r="A858" s="7" t="n"/>
      <c r="B858" s="7" t="n"/>
      <c r="C858" s="7" t="n"/>
      <c r="D858" s="7" t="n"/>
      <c r="E858" s="7" t="n"/>
      <c r="F858" s="7" t="n"/>
      <c r="G858" s="120"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row>
    <row r="859" ht="14.5" customHeight="1" s="165">
      <c r="A859" s="7" t="n"/>
      <c r="B859" s="7" t="n"/>
      <c r="C859" s="7" t="n"/>
      <c r="D859" s="7" t="n"/>
      <c r="E859" s="7" t="n"/>
      <c r="F859" s="7" t="n"/>
      <c r="G859" s="120"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row>
    <row r="860" ht="14.5" customHeight="1" s="165">
      <c r="A860" s="7" t="n"/>
      <c r="B860" s="7" t="n"/>
      <c r="C860" s="7" t="n"/>
      <c r="D860" s="7" t="n"/>
      <c r="E860" s="7" t="n"/>
      <c r="F860" s="7" t="n"/>
      <c r="G860" s="120"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row>
    <row r="861" ht="14.5" customHeight="1" s="165">
      <c r="A861" s="7" t="n"/>
      <c r="B861" s="7" t="n"/>
      <c r="C861" s="7" t="n"/>
      <c r="D861" s="7" t="n"/>
      <c r="E861" s="7" t="n"/>
      <c r="F861" s="7" t="n"/>
      <c r="G861" s="120"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row>
    <row r="862" ht="14.5" customHeight="1" s="165">
      <c r="A862" s="7" t="n"/>
      <c r="B862" s="7" t="n"/>
      <c r="C862" s="7" t="n"/>
      <c r="D862" s="7" t="n"/>
      <c r="E862" s="7" t="n"/>
      <c r="F862" s="7" t="n"/>
      <c r="G862" s="120"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row>
    <row r="863" ht="14.5" customHeight="1" s="165">
      <c r="A863" s="7" t="n"/>
      <c r="B863" s="7" t="n"/>
      <c r="C863" s="7" t="n"/>
      <c r="D863" s="7" t="n"/>
      <c r="E863" s="7" t="n"/>
      <c r="F863" s="7" t="n"/>
      <c r="G863" s="120"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row>
    <row r="864" ht="14.5" customHeight="1" s="165">
      <c r="A864" s="7" t="n"/>
      <c r="B864" s="7" t="n"/>
      <c r="C864" s="7" t="n"/>
      <c r="D864" s="7" t="n"/>
      <c r="E864" s="7" t="n"/>
      <c r="F864" s="7" t="n"/>
      <c r="G864" s="120"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row>
    <row r="865" ht="14.5" customHeight="1" s="165">
      <c r="A865" s="7" t="n"/>
      <c r="B865" s="7" t="n"/>
      <c r="C865" s="7" t="n"/>
      <c r="D865" s="7" t="n"/>
      <c r="E865" s="7" t="n"/>
      <c r="F865" s="7" t="n"/>
      <c r="G865" s="120"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row>
    <row r="866" ht="14.5" customHeight="1" s="165">
      <c r="A866" s="7" t="n"/>
      <c r="B866" s="7" t="n"/>
      <c r="C866" s="7" t="n"/>
      <c r="D866" s="7" t="n"/>
      <c r="E866" s="7" t="n"/>
      <c r="F866" s="7" t="n"/>
      <c r="G866" s="120"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row>
    <row r="867" ht="14.5" customHeight="1" s="165">
      <c r="A867" s="7" t="n"/>
      <c r="B867" s="7" t="n"/>
      <c r="C867" s="7" t="n"/>
      <c r="D867" s="7" t="n"/>
      <c r="E867" s="7" t="n"/>
      <c r="F867" s="7" t="n"/>
      <c r="G867" s="120"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row>
    <row r="868" ht="14.5" customHeight="1" s="165">
      <c r="A868" s="7" t="n"/>
      <c r="B868" s="7" t="n"/>
      <c r="C868" s="7" t="n"/>
      <c r="D868" s="7" t="n"/>
      <c r="E868" s="7" t="n"/>
      <c r="F868" s="7" t="n"/>
      <c r="G868" s="120"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row>
    <row r="869" ht="14.5" customHeight="1" s="165">
      <c r="A869" s="7" t="n"/>
      <c r="B869" s="7" t="n"/>
      <c r="C869" s="7" t="n"/>
      <c r="D869" s="7" t="n"/>
      <c r="E869" s="7" t="n"/>
      <c r="F869" s="7" t="n"/>
      <c r="G869" s="120"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row>
    <row r="870" ht="14.5" customHeight="1" s="165">
      <c r="A870" s="7" t="n"/>
      <c r="B870" s="7" t="n"/>
      <c r="C870" s="7" t="n"/>
      <c r="D870" s="7" t="n"/>
      <c r="E870" s="7" t="n"/>
      <c r="F870" s="7" t="n"/>
      <c r="G870" s="120"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row>
    <row r="871" ht="14.5" customHeight="1" s="165">
      <c r="A871" s="7" t="n"/>
      <c r="B871" s="7" t="n"/>
      <c r="C871" s="7" t="n"/>
      <c r="D871" s="7" t="n"/>
      <c r="E871" s="7" t="n"/>
      <c r="F871" s="7" t="n"/>
      <c r="G871" s="120"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row>
    <row r="872" ht="14.5" customHeight="1" s="165">
      <c r="A872" s="7" t="n"/>
      <c r="B872" s="7" t="n"/>
      <c r="C872" s="7" t="n"/>
      <c r="D872" s="7" t="n"/>
      <c r="E872" s="7" t="n"/>
      <c r="F872" s="7" t="n"/>
      <c r="G872" s="120"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row>
    <row r="873" ht="14.5" customHeight="1" s="165">
      <c r="A873" s="7" t="n"/>
      <c r="B873" s="7" t="n"/>
      <c r="C873" s="7" t="n"/>
      <c r="D873" s="7" t="n"/>
      <c r="E873" s="7" t="n"/>
      <c r="F873" s="7" t="n"/>
      <c r="G873" s="120"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row>
    <row r="874" ht="14.5" customHeight="1" s="165">
      <c r="A874" s="7" t="n"/>
      <c r="B874" s="7" t="n"/>
      <c r="C874" s="7" t="n"/>
      <c r="D874" s="7" t="n"/>
      <c r="E874" s="7" t="n"/>
      <c r="F874" s="7" t="n"/>
      <c r="G874" s="120"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row>
    <row r="875" ht="14.5" customHeight="1" s="165">
      <c r="A875" s="7" t="n"/>
      <c r="B875" s="7" t="n"/>
      <c r="C875" s="7" t="n"/>
      <c r="D875" s="7" t="n"/>
      <c r="E875" s="7" t="n"/>
      <c r="F875" s="7" t="n"/>
      <c r="G875" s="120"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row>
    <row r="876" ht="14.5" customHeight="1" s="165">
      <c r="A876" s="7" t="n"/>
      <c r="B876" s="7" t="n"/>
      <c r="C876" s="7" t="n"/>
      <c r="D876" s="7" t="n"/>
      <c r="E876" s="7" t="n"/>
      <c r="F876" s="7" t="n"/>
      <c r="G876" s="120"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row>
    <row r="877" ht="14.5" customHeight="1" s="165">
      <c r="A877" s="7" t="n"/>
      <c r="B877" s="7" t="n"/>
      <c r="C877" s="7" t="n"/>
      <c r="D877" s="7" t="n"/>
      <c r="E877" s="7" t="n"/>
      <c r="F877" s="7" t="n"/>
      <c r="G877" s="120"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row>
    <row r="878" ht="14.5" customHeight="1" s="165">
      <c r="A878" s="7" t="n"/>
      <c r="B878" s="7" t="n"/>
      <c r="C878" s="7" t="n"/>
      <c r="D878" s="7" t="n"/>
      <c r="E878" s="7" t="n"/>
      <c r="F878" s="7" t="n"/>
      <c r="G878" s="120"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row>
    <row r="879" ht="14.5" customHeight="1" s="165">
      <c r="A879" s="7" t="n"/>
      <c r="B879" s="7" t="n"/>
      <c r="C879" s="7" t="n"/>
      <c r="D879" s="7" t="n"/>
      <c r="E879" s="7" t="n"/>
      <c r="F879" s="7" t="n"/>
      <c r="G879" s="120"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row>
    <row r="880" ht="14.5" customHeight="1" s="165">
      <c r="A880" s="7" t="n"/>
      <c r="B880" s="7" t="n"/>
      <c r="C880" s="7" t="n"/>
      <c r="D880" s="7" t="n"/>
      <c r="E880" s="7" t="n"/>
      <c r="F880" s="7" t="n"/>
      <c r="G880" s="120"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row>
    <row r="881" ht="14.5" customHeight="1" s="165">
      <c r="A881" s="7" t="n"/>
      <c r="B881" s="7" t="n"/>
      <c r="C881" s="7" t="n"/>
      <c r="D881" s="7" t="n"/>
      <c r="E881" s="7" t="n"/>
      <c r="F881" s="7" t="n"/>
      <c r="G881" s="120"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row>
    <row r="882" ht="14.5" customHeight="1" s="165">
      <c r="A882" s="7" t="n"/>
      <c r="B882" s="7" t="n"/>
      <c r="C882" s="7" t="n"/>
      <c r="D882" s="7" t="n"/>
      <c r="E882" s="7" t="n"/>
      <c r="F882" s="7" t="n"/>
      <c r="G882" s="120"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row>
    <row r="883" ht="14.5" customHeight="1" s="165">
      <c r="A883" s="7" t="n"/>
      <c r="B883" s="7" t="n"/>
      <c r="C883" s="7" t="n"/>
      <c r="D883" s="7" t="n"/>
      <c r="E883" s="7" t="n"/>
      <c r="F883" s="7" t="n"/>
      <c r="G883" s="120"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row>
    <row r="884" ht="14.5" customHeight="1" s="165">
      <c r="A884" s="7" t="n"/>
      <c r="B884" s="7" t="n"/>
      <c r="C884" s="7" t="n"/>
      <c r="D884" s="7" t="n"/>
      <c r="E884" s="7" t="n"/>
      <c r="F884" s="7" t="n"/>
      <c r="G884" s="120"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row>
    <row r="885" ht="14.5" customHeight="1" s="165">
      <c r="A885" s="7" t="n"/>
      <c r="B885" s="7" t="n"/>
      <c r="C885" s="7" t="n"/>
      <c r="D885" s="7" t="n"/>
      <c r="E885" s="7" t="n"/>
      <c r="F885" s="7" t="n"/>
      <c r="G885" s="120"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row>
    <row r="886" ht="14.5" customHeight="1" s="165">
      <c r="A886" s="7" t="n"/>
      <c r="B886" s="7" t="n"/>
      <c r="C886" s="7" t="n"/>
      <c r="D886" s="7" t="n"/>
      <c r="E886" s="7" t="n"/>
      <c r="F886" s="7" t="n"/>
      <c r="G886" s="120"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row>
    <row r="887" ht="14.5" customHeight="1" s="165">
      <c r="A887" s="7" t="n"/>
      <c r="B887" s="7" t="n"/>
      <c r="C887" s="7" t="n"/>
      <c r="D887" s="7" t="n"/>
      <c r="E887" s="7" t="n"/>
      <c r="F887" s="7" t="n"/>
      <c r="G887" s="120"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row>
    <row r="888" ht="14.5" customHeight="1" s="165">
      <c r="A888" s="7" t="n"/>
      <c r="B888" s="7" t="n"/>
      <c r="C888" s="7" t="n"/>
      <c r="D888" s="7" t="n"/>
      <c r="E888" s="7" t="n"/>
      <c r="F888" s="7" t="n"/>
      <c r="G888" s="120"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row>
    <row r="889" ht="14.5" customHeight="1" s="165">
      <c r="A889" s="7" t="n"/>
      <c r="B889" s="7" t="n"/>
      <c r="C889" s="7" t="n"/>
      <c r="D889" s="7" t="n"/>
      <c r="E889" s="7" t="n"/>
      <c r="F889" s="7" t="n"/>
      <c r="G889" s="120"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row>
    <row r="890" ht="14.5" customHeight="1" s="165">
      <c r="A890" s="7" t="n"/>
      <c r="B890" s="7" t="n"/>
      <c r="C890" s="7" t="n"/>
      <c r="D890" s="7" t="n"/>
      <c r="E890" s="7" t="n"/>
      <c r="F890" s="7" t="n"/>
      <c r="G890" s="120"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row>
    <row r="891" ht="14.5" customHeight="1" s="165">
      <c r="A891" s="7" t="n"/>
      <c r="B891" s="7" t="n"/>
      <c r="C891" s="7" t="n"/>
      <c r="D891" s="7" t="n"/>
      <c r="E891" s="7" t="n"/>
      <c r="F891" s="7" t="n"/>
      <c r="G891" s="120"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row>
    <row r="892" ht="14.5" customHeight="1" s="165">
      <c r="A892" s="7" t="n"/>
      <c r="B892" s="7" t="n"/>
      <c r="C892" s="7" t="n"/>
      <c r="D892" s="7" t="n"/>
      <c r="E892" s="7" t="n"/>
      <c r="F892" s="7" t="n"/>
      <c r="G892" s="120"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row>
    <row r="893" ht="14.5" customHeight="1" s="165">
      <c r="A893" s="7" t="n"/>
      <c r="B893" s="7" t="n"/>
      <c r="C893" s="7" t="n"/>
      <c r="D893" s="7" t="n"/>
      <c r="E893" s="7" t="n"/>
      <c r="F893" s="7" t="n"/>
      <c r="G893" s="120"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row>
    <row r="894" ht="14.5" customHeight="1" s="165">
      <c r="A894" s="7" t="n"/>
      <c r="B894" s="7" t="n"/>
      <c r="C894" s="7" t="n"/>
      <c r="D894" s="7" t="n"/>
      <c r="E894" s="7" t="n"/>
      <c r="F894" s="7" t="n"/>
      <c r="G894" s="120"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row>
    <row r="895" ht="14.5" customHeight="1" s="165">
      <c r="A895" s="7" t="n"/>
      <c r="B895" s="7" t="n"/>
      <c r="C895" s="7" t="n"/>
      <c r="D895" s="7" t="n"/>
      <c r="E895" s="7" t="n"/>
      <c r="F895" s="7" t="n"/>
      <c r="G895" s="120"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row>
    <row r="896" ht="14.5" customHeight="1" s="165">
      <c r="A896" s="7" t="n"/>
      <c r="B896" s="7" t="n"/>
      <c r="C896" s="7" t="n"/>
      <c r="D896" s="7" t="n"/>
      <c r="E896" s="7" t="n"/>
      <c r="F896" s="7" t="n"/>
      <c r="G896" s="120"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row>
    <row r="897" ht="14.5" customHeight="1" s="165">
      <c r="A897" s="7" t="n"/>
      <c r="B897" s="7" t="n"/>
      <c r="C897" s="7" t="n"/>
      <c r="D897" s="7" t="n"/>
      <c r="E897" s="7" t="n"/>
      <c r="F897" s="7" t="n"/>
      <c r="G897" s="120"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row>
    <row r="898" ht="14.5" customHeight="1" s="165">
      <c r="A898" s="7" t="n"/>
      <c r="B898" s="7" t="n"/>
      <c r="C898" s="7" t="n"/>
      <c r="D898" s="7" t="n"/>
      <c r="E898" s="7" t="n"/>
      <c r="F898" s="7" t="n"/>
      <c r="G898" s="120"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row>
    <row r="899" ht="14.5" customHeight="1" s="165">
      <c r="A899" s="7" t="n"/>
      <c r="B899" s="7" t="n"/>
      <c r="C899" s="7" t="n"/>
      <c r="D899" s="7" t="n"/>
      <c r="E899" s="7" t="n"/>
      <c r="F899" s="7" t="n"/>
      <c r="G899" s="120"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row>
    <row r="900" ht="14.5" customHeight="1" s="165">
      <c r="A900" s="7" t="n"/>
      <c r="B900" s="7" t="n"/>
      <c r="C900" s="7" t="n"/>
      <c r="D900" s="7" t="n"/>
      <c r="E900" s="7" t="n"/>
      <c r="F900" s="7" t="n"/>
      <c r="G900" s="120"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row>
    <row r="901" ht="14.5" customHeight="1" s="165">
      <c r="A901" s="7" t="n"/>
      <c r="B901" s="7" t="n"/>
      <c r="C901" s="7" t="n"/>
      <c r="D901" s="7" t="n"/>
      <c r="E901" s="7" t="n"/>
      <c r="F901" s="7" t="n"/>
      <c r="G901" s="120"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row>
    <row r="902" ht="14.5" customHeight="1" s="165">
      <c r="A902" s="7" t="n"/>
      <c r="B902" s="7" t="n"/>
      <c r="C902" s="7" t="n"/>
      <c r="D902" s="7" t="n"/>
      <c r="E902" s="7" t="n"/>
      <c r="F902" s="7" t="n"/>
      <c r="G902" s="120"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row>
    <row r="903" ht="14.5" customHeight="1" s="165">
      <c r="A903" s="7" t="n"/>
      <c r="B903" s="7" t="n"/>
      <c r="C903" s="7" t="n"/>
      <c r="D903" s="7" t="n"/>
      <c r="E903" s="7" t="n"/>
      <c r="F903" s="7" t="n"/>
      <c r="G903" s="120"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row>
    <row r="904" ht="14.5" customHeight="1" s="165">
      <c r="A904" s="7" t="n"/>
      <c r="B904" s="7" t="n"/>
      <c r="C904" s="7" t="n"/>
      <c r="D904" s="7" t="n"/>
      <c r="E904" s="7" t="n"/>
      <c r="F904" s="7" t="n"/>
      <c r="G904" s="120"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row>
    <row r="905" ht="14.5" customHeight="1" s="165">
      <c r="A905" s="7" t="n"/>
      <c r="B905" s="7" t="n"/>
      <c r="C905" s="7" t="n"/>
      <c r="D905" s="7" t="n"/>
      <c r="E905" s="7" t="n"/>
      <c r="F905" s="7" t="n"/>
      <c r="G905" s="120"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row>
    <row r="906" ht="14.5" customHeight="1" s="165">
      <c r="A906" s="7" t="n"/>
      <c r="B906" s="7" t="n"/>
      <c r="C906" s="7" t="n"/>
      <c r="D906" s="7" t="n"/>
      <c r="E906" s="7" t="n"/>
      <c r="F906" s="7" t="n"/>
      <c r="G906" s="120"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row>
    <row r="907" ht="14.5" customHeight="1" s="165">
      <c r="A907" s="7" t="n"/>
      <c r="B907" s="7" t="n"/>
      <c r="C907" s="7" t="n"/>
      <c r="D907" s="7" t="n"/>
      <c r="E907" s="7" t="n"/>
      <c r="F907" s="7" t="n"/>
      <c r="G907" s="120"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row>
    <row r="908" ht="14.5" customHeight="1" s="165">
      <c r="A908" s="7" t="n"/>
      <c r="B908" s="7" t="n"/>
      <c r="C908" s="7" t="n"/>
      <c r="D908" s="7" t="n"/>
      <c r="E908" s="7" t="n"/>
      <c r="F908" s="7" t="n"/>
      <c r="G908" s="120"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row>
    <row r="909" ht="14.5" customHeight="1" s="165">
      <c r="A909" s="7" t="n"/>
      <c r="B909" s="7" t="n"/>
      <c r="C909" s="7" t="n"/>
      <c r="D909" s="7" t="n"/>
      <c r="E909" s="7" t="n"/>
      <c r="F909" s="7" t="n"/>
      <c r="G909" s="120"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row>
    <row r="910" ht="14.5" customHeight="1" s="165">
      <c r="A910" s="7" t="n"/>
      <c r="B910" s="7" t="n"/>
      <c r="C910" s="7" t="n"/>
      <c r="D910" s="7" t="n"/>
      <c r="E910" s="7" t="n"/>
      <c r="F910" s="7" t="n"/>
      <c r="G910" s="120"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row>
    <row r="911" ht="14.5" customHeight="1" s="165">
      <c r="A911" s="7" t="n"/>
      <c r="B911" s="7" t="n"/>
      <c r="C911" s="7" t="n"/>
      <c r="D911" s="7" t="n"/>
      <c r="E911" s="7" t="n"/>
      <c r="F911" s="7" t="n"/>
      <c r="G911" s="120"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row>
    <row r="912" ht="14.5" customHeight="1" s="165">
      <c r="A912" s="7" t="n"/>
      <c r="B912" s="7" t="n"/>
      <c r="C912" s="7" t="n"/>
      <c r="D912" s="7" t="n"/>
      <c r="E912" s="7" t="n"/>
      <c r="F912" s="7" t="n"/>
      <c r="G912" s="120"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row>
    <row r="913" ht="14.5" customHeight="1" s="165">
      <c r="A913" s="7" t="n"/>
      <c r="B913" s="7" t="n"/>
      <c r="C913" s="7" t="n"/>
      <c r="D913" s="7" t="n"/>
      <c r="E913" s="7" t="n"/>
      <c r="F913" s="7" t="n"/>
      <c r="G913" s="120"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row>
    <row r="914" ht="14.5" customHeight="1" s="165">
      <c r="A914" s="7" t="n"/>
      <c r="B914" s="7" t="n"/>
      <c r="C914" s="7" t="n"/>
      <c r="D914" s="7" t="n"/>
      <c r="E914" s="7" t="n"/>
      <c r="F914" s="7" t="n"/>
      <c r="G914" s="120"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row>
    <row r="915" ht="14.5" customHeight="1" s="165">
      <c r="A915" s="7" t="n"/>
      <c r="B915" s="7" t="n"/>
      <c r="C915" s="7" t="n"/>
      <c r="D915" s="7" t="n"/>
      <c r="E915" s="7" t="n"/>
      <c r="F915" s="7" t="n"/>
      <c r="G915" s="120"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row>
    <row r="916" ht="14.5" customHeight="1" s="165">
      <c r="A916" s="7" t="n"/>
      <c r="B916" s="7" t="n"/>
      <c r="C916" s="7" t="n"/>
      <c r="D916" s="7" t="n"/>
      <c r="E916" s="7" t="n"/>
      <c r="F916" s="7" t="n"/>
      <c r="G916" s="120"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row>
    <row r="917" ht="14.5" customHeight="1" s="165">
      <c r="A917" s="7" t="n"/>
      <c r="B917" s="7" t="n"/>
      <c r="C917" s="7" t="n"/>
      <c r="D917" s="7" t="n"/>
      <c r="E917" s="7" t="n"/>
      <c r="F917" s="7" t="n"/>
      <c r="G917" s="120"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row>
    <row r="918" ht="14.5" customHeight="1" s="165">
      <c r="A918" s="7" t="n"/>
      <c r="B918" s="7" t="n"/>
      <c r="C918" s="7" t="n"/>
      <c r="D918" s="7" t="n"/>
      <c r="E918" s="7" t="n"/>
      <c r="F918" s="7" t="n"/>
      <c r="G918" s="120"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row>
    <row r="919" ht="14.5" customHeight="1" s="165">
      <c r="A919" s="7" t="n"/>
      <c r="B919" s="7" t="n"/>
      <c r="C919" s="7" t="n"/>
      <c r="D919" s="7" t="n"/>
      <c r="E919" s="7" t="n"/>
      <c r="F919" s="7" t="n"/>
      <c r="G919" s="120"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row>
    <row r="920" ht="14.5" customHeight="1" s="165">
      <c r="A920" s="7" t="n"/>
      <c r="B920" s="7" t="n"/>
      <c r="C920" s="7" t="n"/>
      <c r="D920" s="7" t="n"/>
      <c r="E920" s="7" t="n"/>
      <c r="F920" s="7" t="n"/>
      <c r="G920" s="120"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row>
    <row r="921" ht="14.5" customHeight="1" s="165">
      <c r="A921" s="7" t="n"/>
      <c r="B921" s="7" t="n"/>
      <c r="C921" s="7" t="n"/>
      <c r="D921" s="7" t="n"/>
      <c r="E921" s="7" t="n"/>
      <c r="F921" s="7" t="n"/>
      <c r="G921" s="120"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row>
    <row r="922" ht="14.5" customHeight="1" s="165">
      <c r="A922" s="7" t="n"/>
      <c r="B922" s="7" t="n"/>
      <c r="C922" s="7" t="n"/>
      <c r="D922" s="7" t="n"/>
      <c r="E922" s="7" t="n"/>
      <c r="F922" s="7" t="n"/>
      <c r="G922" s="120"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row>
    <row r="923" ht="14.5" customHeight="1" s="165">
      <c r="A923" s="7" t="n"/>
      <c r="B923" s="7" t="n"/>
      <c r="C923" s="7" t="n"/>
      <c r="D923" s="7" t="n"/>
      <c r="E923" s="7" t="n"/>
      <c r="F923" s="7" t="n"/>
      <c r="G923" s="120"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row>
    <row r="924" ht="14.5" customHeight="1" s="165">
      <c r="A924" s="7" t="n"/>
      <c r="B924" s="7" t="n"/>
      <c r="C924" s="7" t="n"/>
      <c r="D924" s="7" t="n"/>
      <c r="E924" s="7" t="n"/>
      <c r="F924" s="7" t="n"/>
      <c r="G924" s="120"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row>
    <row r="925" ht="14.5" customHeight="1" s="165">
      <c r="A925" s="7" t="n"/>
      <c r="B925" s="7" t="n"/>
      <c r="C925" s="7" t="n"/>
      <c r="D925" s="7" t="n"/>
      <c r="E925" s="7" t="n"/>
      <c r="F925" s="7" t="n"/>
      <c r="G925" s="120"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row>
    <row r="926" ht="14.5" customHeight="1" s="165">
      <c r="A926" s="7" t="n"/>
      <c r="B926" s="7" t="n"/>
      <c r="C926" s="7" t="n"/>
      <c r="D926" s="7" t="n"/>
      <c r="E926" s="7" t="n"/>
      <c r="F926" s="7" t="n"/>
      <c r="G926" s="120"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row>
    <row r="927" ht="14.5" customHeight="1" s="165">
      <c r="A927" s="7" t="n"/>
      <c r="B927" s="7" t="n"/>
      <c r="C927" s="7" t="n"/>
      <c r="D927" s="7" t="n"/>
      <c r="E927" s="7" t="n"/>
      <c r="F927" s="7" t="n"/>
      <c r="G927" s="120"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row>
    <row r="928" ht="14.5" customHeight="1" s="165">
      <c r="A928" s="7" t="n"/>
      <c r="B928" s="7" t="n"/>
      <c r="C928" s="7" t="n"/>
      <c r="D928" s="7" t="n"/>
      <c r="E928" s="7" t="n"/>
      <c r="F928" s="7" t="n"/>
      <c r="G928" s="120"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row>
    <row r="929" ht="14.5" customHeight="1" s="165">
      <c r="A929" s="7" t="n"/>
      <c r="B929" s="7" t="n"/>
      <c r="C929" s="7" t="n"/>
      <c r="D929" s="7" t="n"/>
      <c r="E929" s="7" t="n"/>
      <c r="F929" s="7" t="n"/>
      <c r="G929" s="120"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row>
    <row r="930" ht="14.5" customHeight="1" s="165">
      <c r="A930" s="7" t="n"/>
      <c r="B930" s="7" t="n"/>
      <c r="C930" s="7" t="n"/>
      <c r="D930" s="7" t="n"/>
      <c r="E930" s="7" t="n"/>
      <c r="F930" s="7" t="n"/>
      <c r="G930" s="120"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row>
    <row r="931" ht="14.5" customHeight="1" s="165">
      <c r="A931" s="7" t="n"/>
      <c r="B931" s="7" t="n"/>
      <c r="C931" s="7" t="n"/>
      <c r="D931" s="7" t="n"/>
      <c r="E931" s="7" t="n"/>
      <c r="F931" s="7" t="n"/>
      <c r="G931" s="120"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row>
    <row r="932" ht="14.5" customHeight="1" s="165">
      <c r="A932" s="7" t="n"/>
      <c r="B932" s="7" t="n"/>
      <c r="C932" s="7" t="n"/>
      <c r="D932" s="7" t="n"/>
      <c r="E932" s="7" t="n"/>
      <c r="F932" s="7" t="n"/>
      <c r="G932" s="120"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row>
    <row r="933" ht="14.5" customHeight="1" s="165">
      <c r="A933" s="7" t="n"/>
      <c r="B933" s="7" t="n"/>
      <c r="C933" s="7" t="n"/>
      <c r="D933" s="7" t="n"/>
      <c r="E933" s="7" t="n"/>
      <c r="F933" s="7" t="n"/>
      <c r="G933" s="120"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row>
    <row r="934" ht="14.5" customHeight="1" s="165">
      <c r="A934" s="7" t="n"/>
      <c r="B934" s="7" t="n"/>
      <c r="C934" s="7" t="n"/>
      <c r="D934" s="7" t="n"/>
      <c r="E934" s="7" t="n"/>
      <c r="F934" s="7" t="n"/>
      <c r="G934" s="120"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row>
    <row r="935" ht="14.5" customHeight="1" s="165">
      <c r="A935" s="7" t="n"/>
      <c r="B935" s="7" t="n"/>
      <c r="C935" s="7" t="n"/>
      <c r="D935" s="7" t="n"/>
      <c r="E935" s="7" t="n"/>
      <c r="F935" s="7" t="n"/>
      <c r="G935" s="120"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row>
    <row r="936" ht="14.5" customHeight="1" s="165">
      <c r="A936" s="7" t="n"/>
      <c r="B936" s="7" t="n"/>
      <c r="C936" s="7" t="n"/>
      <c r="D936" s="7" t="n"/>
      <c r="E936" s="7" t="n"/>
      <c r="F936" s="7" t="n"/>
      <c r="G936" s="120"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row>
    <row r="937" ht="14.5" customHeight="1" s="165">
      <c r="A937" s="7" t="n"/>
      <c r="B937" s="7" t="n"/>
      <c r="C937" s="7" t="n"/>
      <c r="D937" s="7" t="n"/>
      <c r="E937" s="7" t="n"/>
      <c r="F937" s="7" t="n"/>
      <c r="G937" s="120"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row>
    <row r="938" ht="14.5" customHeight="1" s="165">
      <c r="A938" s="7" t="n"/>
      <c r="B938" s="7" t="n"/>
      <c r="C938" s="7" t="n"/>
      <c r="D938" s="7" t="n"/>
      <c r="E938" s="7" t="n"/>
      <c r="F938" s="7" t="n"/>
      <c r="G938" s="120"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row>
    <row r="939" ht="14.5" customHeight="1" s="165">
      <c r="A939" s="7" t="n"/>
      <c r="B939" s="7" t="n"/>
      <c r="C939" s="7" t="n"/>
      <c r="D939" s="7" t="n"/>
      <c r="E939" s="7" t="n"/>
      <c r="F939" s="7" t="n"/>
      <c r="G939" s="120"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row>
    <row r="940" ht="14.5" customHeight="1" s="165">
      <c r="A940" s="7" t="n"/>
      <c r="B940" s="7" t="n"/>
      <c r="C940" s="7" t="n"/>
      <c r="D940" s="7" t="n"/>
      <c r="E940" s="7" t="n"/>
      <c r="F940" s="7" t="n"/>
      <c r="G940" s="120"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row>
    <row r="941" ht="14.5" customHeight="1" s="165">
      <c r="A941" s="7" t="n"/>
      <c r="B941" s="7" t="n"/>
      <c r="C941" s="7" t="n"/>
      <c r="D941" s="7" t="n"/>
      <c r="E941" s="7" t="n"/>
      <c r="F941" s="7" t="n"/>
      <c r="G941" s="120"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row>
    <row r="942" ht="14.5" customHeight="1" s="165">
      <c r="A942" s="7" t="n"/>
      <c r="B942" s="7" t="n"/>
      <c r="C942" s="7" t="n"/>
      <c r="D942" s="7" t="n"/>
      <c r="E942" s="7" t="n"/>
      <c r="F942" s="7" t="n"/>
      <c r="G942" s="120"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row>
    <row r="943" ht="14.5" customHeight="1" s="165">
      <c r="A943" s="7" t="n"/>
      <c r="B943" s="7" t="n"/>
      <c r="C943" s="7" t="n"/>
      <c r="D943" s="7" t="n"/>
      <c r="E943" s="7" t="n"/>
      <c r="F943" s="7" t="n"/>
      <c r="G943" s="120"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row>
    <row r="944" ht="14.5" customHeight="1" s="165">
      <c r="A944" s="7" t="n"/>
      <c r="B944" s="7" t="n"/>
      <c r="C944" s="7" t="n"/>
      <c r="D944" s="7" t="n"/>
      <c r="E944" s="7" t="n"/>
      <c r="F944" s="7" t="n"/>
      <c r="G944" s="120"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row>
    <row r="945" ht="14.5" customHeight="1" s="165">
      <c r="A945" s="7" t="n"/>
      <c r="B945" s="7" t="n"/>
      <c r="C945" s="7" t="n"/>
      <c r="D945" s="7" t="n"/>
      <c r="E945" s="7" t="n"/>
      <c r="F945" s="7" t="n"/>
      <c r="G945" s="120"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row>
    <row r="946" ht="14.5" customHeight="1" s="165">
      <c r="A946" s="7" t="n"/>
      <c r="B946" s="7" t="n"/>
      <c r="C946" s="7" t="n"/>
      <c r="D946" s="7" t="n"/>
      <c r="E946" s="7" t="n"/>
      <c r="F946" s="7" t="n"/>
      <c r="G946" s="120"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row>
    <row r="947" ht="14.5" customHeight="1" s="165">
      <c r="A947" s="7" t="n"/>
      <c r="B947" s="7" t="n"/>
      <c r="C947" s="7" t="n"/>
      <c r="D947" s="7" t="n"/>
      <c r="E947" s="7" t="n"/>
      <c r="F947" s="7" t="n"/>
      <c r="G947" s="120"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row>
    <row r="948" ht="14.5" customHeight="1" s="165">
      <c r="A948" s="7" t="n"/>
      <c r="B948" s="7" t="n"/>
      <c r="C948" s="7" t="n"/>
      <c r="D948" s="7" t="n"/>
      <c r="E948" s="7" t="n"/>
      <c r="F948" s="7" t="n"/>
      <c r="G948" s="120"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row>
    <row r="949" ht="14.5" customHeight="1" s="165">
      <c r="A949" s="7" t="n"/>
      <c r="B949" s="7" t="n"/>
      <c r="C949" s="7" t="n"/>
      <c r="D949" s="7" t="n"/>
      <c r="E949" s="7" t="n"/>
      <c r="F949" s="7" t="n"/>
      <c r="G949" s="120"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row>
    <row r="950" ht="14.5" customHeight="1" s="165">
      <c r="A950" s="7" t="n"/>
      <c r="B950" s="7" t="n"/>
      <c r="C950" s="7" t="n"/>
      <c r="D950" s="7" t="n"/>
      <c r="E950" s="7" t="n"/>
      <c r="F950" s="7" t="n"/>
      <c r="G950" s="120"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row>
    <row r="951" ht="14.5" customHeight="1" s="165">
      <c r="A951" s="7" t="n"/>
      <c r="B951" s="7" t="n"/>
      <c r="C951" s="7" t="n"/>
      <c r="D951" s="7" t="n"/>
      <c r="E951" s="7" t="n"/>
      <c r="F951" s="7" t="n"/>
      <c r="G951" s="120"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row>
    <row r="952" ht="14.5" customHeight="1" s="165">
      <c r="A952" s="7" t="n"/>
      <c r="B952" s="7" t="n"/>
      <c r="C952" s="7" t="n"/>
      <c r="D952" s="7" t="n"/>
      <c r="E952" s="7" t="n"/>
      <c r="F952" s="7" t="n"/>
      <c r="G952" s="120"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row>
    <row r="953" ht="14.5" customHeight="1" s="165">
      <c r="A953" s="7" t="n"/>
      <c r="B953" s="7" t="n"/>
      <c r="C953" s="7" t="n"/>
      <c r="D953" s="7" t="n"/>
      <c r="E953" s="7" t="n"/>
      <c r="F953" s="7" t="n"/>
      <c r="G953" s="120"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row>
    <row r="954" ht="14.5" customHeight="1" s="165">
      <c r="A954" s="7" t="n"/>
      <c r="B954" s="7" t="n"/>
      <c r="C954" s="7" t="n"/>
      <c r="D954" s="7" t="n"/>
      <c r="E954" s="7" t="n"/>
      <c r="F954" s="7" t="n"/>
      <c r="G954" s="120"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row>
    <row r="955" ht="14.5" customHeight="1" s="165">
      <c r="A955" s="7" t="n"/>
      <c r="B955" s="7" t="n"/>
      <c r="C955" s="7" t="n"/>
      <c r="D955" s="7" t="n"/>
      <c r="E955" s="7" t="n"/>
      <c r="F955" s="7" t="n"/>
      <c r="G955" s="120"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row>
    <row r="956" ht="14.5" customHeight="1" s="165">
      <c r="A956" s="7" t="n"/>
      <c r="B956" s="7" t="n"/>
      <c r="C956" s="7" t="n"/>
      <c r="D956" s="7" t="n"/>
      <c r="E956" s="7" t="n"/>
      <c r="F956" s="7" t="n"/>
      <c r="G956" s="120"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row>
    <row r="957" ht="14.5" customHeight="1" s="165">
      <c r="A957" s="7" t="n"/>
      <c r="B957" s="7" t="n"/>
      <c r="C957" s="7" t="n"/>
      <c r="D957" s="7" t="n"/>
      <c r="E957" s="7" t="n"/>
      <c r="F957" s="7" t="n"/>
      <c r="G957" s="120"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row>
    <row r="958" ht="14.5" customHeight="1" s="165">
      <c r="A958" s="7" t="n"/>
      <c r="B958" s="7" t="n"/>
      <c r="C958" s="7" t="n"/>
      <c r="D958" s="7" t="n"/>
      <c r="E958" s="7" t="n"/>
      <c r="F958" s="7" t="n"/>
      <c r="G958" s="120"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row>
    <row r="959" ht="14.5" customHeight="1" s="165">
      <c r="A959" s="7" t="n"/>
      <c r="B959" s="7" t="n"/>
      <c r="C959" s="7" t="n"/>
      <c r="D959" s="7" t="n"/>
      <c r="E959" s="7" t="n"/>
      <c r="F959" s="7" t="n"/>
      <c r="G959" s="120"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row>
    <row r="960" ht="14.5" customHeight="1" s="165">
      <c r="A960" s="7" t="n"/>
      <c r="B960" s="7" t="n"/>
      <c r="C960" s="7" t="n"/>
      <c r="D960" s="7" t="n"/>
      <c r="E960" s="7" t="n"/>
      <c r="F960" s="7" t="n"/>
      <c r="G960" s="120"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row>
    <row r="961" ht="14.5" customHeight="1" s="165">
      <c r="A961" s="7" t="n"/>
      <c r="B961" s="7" t="n"/>
      <c r="C961" s="7" t="n"/>
      <c r="D961" s="7" t="n"/>
      <c r="E961" s="7" t="n"/>
      <c r="F961" s="7" t="n"/>
      <c r="G961" s="120"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row>
    <row r="962" ht="14.5" customHeight="1" s="165">
      <c r="A962" s="7" t="n"/>
      <c r="B962" s="7" t="n"/>
      <c r="C962" s="7" t="n"/>
      <c r="D962" s="7" t="n"/>
      <c r="E962" s="7" t="n"/>
      <c r="F962" s="7" t="n"/>
      <c r="G962" s="120"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row>
    <row r="963" ht="14.5" customHeight="1" s="165">
      <c r="A963" s="7" t="n"/>
      <c r="B963" s="7" t="n"/>
      <c r="C963" s="7" t="n"/>
      <c r="D963" s="7" t="n"/>
      <c r="E963" s="7" t="n"/>
      <c r="F963" s="7" t="n"/>
      <c r="G963" s="120"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row>
    <row r="964" ht="14.5" customHeight="1" s="165">
      <c r="A964" s="7" t="n"/>
      <c r="B964" s="7" t="n"/>
      <c r="C964" s="7" t="n"/>
      <c r="D964" s="7" t="n"/>
      <c r="E964" s="7" t="n"/>
      <c r="F964" s="7" t="n"/>
      <c r="G964" s="120"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row>
    <row r="965" ht="14.5" customHeight="1" s="165">
      <c r="A965" s="7" t="n"/>
      <c r="B965" s="7" t="n"/>
      <c r="C965" s="7" t="n"/>
      <c r="D965" s="7" t="n"/>
      <c r="E965" s="7" t="n"/>
      <c r="F965" s="7" t="n"/>
      <c r="G965" s="120"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row>
    <row r="966" ht="14.5" customHeight="1" s="165">
      <c r="A966" s="7" t="n"/>
      <c r="B966" s="7" t="n"/>
      <c r="C966" s="7" t="n"/>
      <c r="D966" s="7" t="n"/>
      <c r="E966" s="7" t="n"/>
      <c r="F966" s="7" t="n"/>
      <c r="G966" s="120"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row>
    <row r="967" ht="14.5" customHeight="1" s="165">
      <c r="A967" s="7" t="n"/>
      <c r="B967" s="7" t="n"/>
      <c r="C967" s="7" t="n"/>
      <c r="D967" s="7" t="n"/>
      <c r="E967" s="7" t="n"/>
      <c r="F967" s="7" t="n"/>
      <c r="G967" s="120"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row>
    <row r="968" ht="14.5" customHeight="1" s="165">
      <c r="A968" s="7" t="n"/>
      <c r="B968" s="7" t="n"/>
      <c r="C968" s="7" t="n"/>
      <c r="D968" s="7" t="n"/>
      <c r="E968" s="7" t="n"/>
      <c r="F968" s="7" t="n"/>
      <c r="G968" s="120"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row>
    <row r="969" ht="14.5" customHeight="1" s="165">
      <c r="A969" s="7" t="n"/>
      <c r="B969" s="7" t="n"/>
      <c r="C969" s="7" t="n"/>
      <c r="D969" s="7" t="n"/>
      <c r="E969" s="7" t="n"/>
      <c r="F969" s="7" t="n"/>
      <c r="G969" s="120"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row>
    <row r="970" ht="14.5" customHeight="1" s="165">
      <c r="A970" s="7" t="n"/>
      <c r="B970" s="7" t="n"/>
      <c r="C970" s="7" t="n"/>
      <c r="D970" s="7" t="n"/>
      <c r="E970" s="7" t="n"/>
      <c r="F970" s="7" t="n"/>
      <c r="G970" s="120"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row>
    <row r="971" ht="14.5" customHeight="1" s="165">
      <c r="A971" s="7" t="n"/>
      <c r="B971" s="7" t="n"/>
      <c r="C971" s="7" t="n"/>
      <c r="D971" s="7" t="n"/>
      <c r="E971" s="7" t="n"/>
      <c r="F971" s="7" t="n"/>
      <c r="G971" s="120"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row>
    <row r="972" ht="14.5" customHeight="1" s="165">
      <c r="A972" s="7" t="n"/>
      <c r="B972" s="7" t="n"/>
      <c r="C972" s="7" t="n"/>
      <c r="D972" s="7" t="n"/>
      <c r="E972" s="7" t="n"/>
      <c r="F972" s="7" t="n"/>
      <c r="G972" s="120"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row>
    <row r="973" ht="14.5" customHeight="1" s="165">
      <c r="A973" s="7" t="n"/>
      <c r="B973" s="7" t="n"/>
      <c r="C973" s="7" t="n"/>
      <c r="D973" s="7" t="n"/>
      <c r="E973" s="7" t="n"/>
      <c r="F973" s="7" t="n"/>
      <c r="G973" s="120"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row>
    <row r="974" ht="14.5" customHeight="1" s="165">
      <c r="A974" s="7" t="n"/>
      <c r="B974" s="7" t="n"/>
      <c r="C974" s="7" t="n"/>
      <c r="D974" s="7" t="n"/>
      <c r="E974" s="7" t="n"/>
      <c r="F974" s="7" t="n"/>
      <c r="G974" s="120"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row>
    <row r="975" ht="14.5" customHeight="1" s="165">
      <c r="A975" s="7" t="n"/>
      <c r="B975" s="7" t="n"/>
      <c r="C975" s="7" t="n"/>
      <c r="D975" s="7" t="n"/>
      <c r="E975" s="7" t="n"/>
      <c r="F975" s="7" t="n"/>
      <c r="G975" s="120"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row>
    <row r="976" ht="14.5" customHeight="1" s="165">
      <c r="A976" s="7" t="n"/>
      <c r="B976" s="7" t="n"/>
      <c r="C976" s="7" t="n"/>
      <c r="D976" s="7" t="n"/>
      <c r="E976" s="7" t="n"/>
      <c r="F976" s="7" t="n"/>
      <c r="G976" s="120"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row>
    <row r="977" ht="14.5" customHeight="1" s="165">
      <c r="A977" s="7" t="n"/>
      <c r="B977" s="7" t="n"/>
      <c r="C977" s="7" t="n"/>
      <c r="D977" s="7" t="n"/>
      <c r="E977" s="7" t="n"/>
      <c r="F977" s="7" t="n"/>
      <c r="G977" s="120"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row>
    <row r="978" ht="14.5" customHeight="1" s="165">
      <c r="A978" s="7" t="n"/>
      <c r="B978" s="7" t="n"/>
      <c r="C978" s="7" t="n"/>
      <c r="D978" s="7" t="n"/>
      <c r="E978" s="7" t="n"/>
      <c r="F978" s="7" t="n"/>
      <c r="G978" s="120"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row>
    <row r="979" ht="14.5" customHeight="1" s="165">
      <c r="A979" s="7" t="n"/>
      <c r="B979" s="7" t="n"/>
      <c r="C979" s="7" t="n"/>
      <c r="D979" s="7" t="n"/>
      <c r="E979" s="7" t="n"/>
      <c r="F979" s="7" t="n"/>
      <c r="G979" s="120"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row>
    <row r="980" ht="14.5" customHeight="1" s="165">
      <c r="A980" s="7" t="n"/>
      <c r="B980" s="7" t="n"/>
      <c r="C980" s="7" t="n"/>
      <c r="D980" s="7" t="n"/>
      <c r="E980" s="7" t="n"/>
      <c r="F980" s="7" t="n"/>
      <c r="G980" s="120"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row>
    <row r="981" ht="14.5" customHeight="1" s="165">
      <c r="A981" s="7" t="n"/>
      <c r="B981" s="7" t="n"/>
      <c r="C981" s="7" t="n"/>
      <c r="D981" s="7" t="n"/>
      <c r="E981" s="7" t="n"/>
      <c r="F981" s="7" t="n"/>
      <c r="G981" s="120"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row>
    <row r="982" ht="14.5" customHeight="1" s="165">
      <c r="A982" s="7" t="n"/>
      <c r="B982" s="7" t="n"/>
      <c r="C982" s="7" t="n"/>
      <c r="D982" s="7" t="n"/>
      <c r="E982" s="7" t="n"/>
      <c r="F982" s="7" t="n"/>
      <c r="G982" s="120"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row>
    <row r="983" ht="14.5" customHeight="1" s="165">
      <c r="A983" s="7" t="n"/>
      <c r="B983" s="7" t="n"/>
      <c r="C983" s="7" t="n"/>
      <c r="D983" s="7" t="n"/>
      <c r="E983" s="7" t="n"/>
      <c r="F983" s="7" t="n"/>
      <c r="G983" s="120"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row>
    <row r="984" ht="14.5" customHeight="1" s="165">
      <c r="A984" s="7" t="n"/>
      <c r="B984" s="7" t="n"/>
      <c r="C984" s="7" t="n"/>
      <c r="D984" s="7" t="n"/>
      <c r="E984" s="7" t="n"/>
      <c r="F984" s="7" t="n"/>
      <c r="G984" s="120"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row>
    <row r="985" ht="14.5" customHeight="1" s="165">
      <c r="A985" s="7" t="n"/>
      <c r="B985" s="7" t="n"/>
      <c r="C985" s="7" t="n"/>
      <c r="D985" s="7" t="n"/>
      <c r="E985" s="7" t="n"/>
      <c r="F985" s="7" t="n"/>
      <c r="G985" s="120"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row>
    <row r="986" ht="14.5" customHeight="1" s="165">
      <c r="A986" s="7" t="n"/>
      <c r="B986" s="7" t="n"/>
      <c r="C986" s="7" t="n"/>
      <c r="D986" s="7" t="n"/>
      <c r="E986" s="7" t="n"/>
      <c r="F986" s="7" t="n"/>
      <c r="G986" s="120"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row>
    <row r="987" ht="14.5" customHeight="1" s="165">
      <c r="A987" s="7" t="n"/>
      <c r="B987" s="7" t="n"/>
      <c r="C987" s="7" t="n"/>
      <c r="D987" s="7" t="n"/>
      <c r="E987" s="7" t="n"/>
      <c r="F987" s="7" t="n"/>
      <c r="G987" s="120"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row>
    <row r="988" ht="14.5" customHeight="1" s="165">
      <c r="A988" s="7" t="n"/>
      <c r="B988" s="7" t="n"/>
      <c r="C988" s="7" t="n"/>
      <c r="D988" s="7" t="n"/>
      <c r="E988" s="7" t="n"/>
      <c r="F988" s="7" t="n"/>
      <c r="G988" s="120"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row>
    <row r="989" ht="14.5" customHeight="1" s="165">
      <c r="A989" s="7" t="n"/>
      <c r="B989" s="7" t="n"/>
      <c r="C989" s="7" t="n"/>
      <c r="D989" s="7" t="n"/>
      <c r="E989" s="7" t="n"/>
      <c r="F989" s="7" t="n"/>
      <c r="G989" s="120"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row>
    <row r="990" ht="14.5" customHeight="1" s="165">
      <c r="A990" s="7" t="n"/>
      <c r="B990" s="7" t="n"/>
      <c r="C990" s="7" t="n"/>
      <c r="D990" s="7" t="n"/>
      <c r="E990" s="7" t="n"/>
      <c r="F990" s="7" t="n"/>
      <c r="G990" s="120"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row>
    <row r="991" ht="14.5" customHeight="1" s="165">
      <c r="A991" s="7" t="n"/>
      <c r="B991" s="7" t="n"/>
      <c r="C991" s="7" t="n"/>
      <c r="D991" s="7" t="n"/>
      <c r="E991" s="7" t="n"/>
      <c r="F991" s="7" t="n"/>
      <c r="G991" s="120"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row>
    <row r="992" ht="14.5" customHeight="1" s="165">
      <c r="A992" s="7" t="n"/>
      <c r="B992" s="7" t="n"/>
      <c r="C992" s="7" t="n"/>
      <c r="D992" s="7" t="n"/>
      <c r="E992" s="7" t="n"/>
      <c r="F992" s="7" t="n"/>
      <c r="G992" s="120"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row>
    <row r="993" ht="14.5" customHeight="1" s="165">
      <c r="A993" s="7" t="n"/>
      <c r="B993" s="7" t="n"/>
      <c r="C993" s="7" t="n"/>
      <c r="D993" s="7" t="n"/>
      <c r="E993" s="7" t="n"/>
      <c r="F993" s="7" t="n"/>
      <c r="G993" s="120" t="n"/>
      <c r="H993" s="7" t="n"/>
      <c r="I993" s="7" t="n"/>
      <c r="J993" s="7" t="n"/>
      <c r="K993" s="7" t="n"/>
      <c r="L993" s="7" t="n"/>
      <c r="M993" s="7" t="n"/>
      <c r="N993" s="7" t="n"/>
      <c r="O993" s="7" t="n"/>
      <c r="P993" s="7" t="n"/>
      <c r="Q993" s="7" t="n"/>
      <c r="R993" s="7" t="n"/>
      <c r="S993" s="7" t="n"/>
      <c r="T993" s="7" t="n"/>
      <c r="U993" s="7" t="n"/>
      <c r="V993" s="7" t="n"/>
      <c r="W993" s="7" t="n"/>
      <c r="X993" s="7" t="n"/>
      <c r="Y993" s="7" t="n"/>
      <c r="Z993" s="7" t="n"/>
      <c r="AA993" s="7" t="n"/>
    </row>
    <row r="994" ht="14.5" customHeight="1" s="165">
      <c r="A994" s="7" t="n"/>
      <c r="B994" s="7" t="n"/>
      <c r="C994" s="7" t="n"/>
      <c r="D994" s="7" t="n"/>
      <c r="E994" s="7" t="n"/>
      <c r="F994" s="7" t="n"/>
      <c r="G994" s="120" t="n"/>
      <c r="H994" s="7" t="n"/>
      <c r="I994" s="7" t="n"/>
      <c r="J994" s="7" t="n"/>
      <c r="K994" s="7" t="n"/>
      <c r="L994" s="7" t="n"/>
      <c r="M994" s="7" t="n"/>
      <c r="N994" s="7" t="n"/>
      <c r="O994" s="7" t="n"/>
      <c r="P994" s="7" t="n"/>
      <c r="Q994" s="7" t="n"/>
      <c r="R994" s="7" t="n"/>
      <c r="S994" s="7" t="n"/>
      <c r="T994" s="7" t="n"/>
      <c r="U994" s="7" t="n"/>
      <c r="V994" s="7" t="n"/>
      <c r="W994" s="7" t="n"/>
      <c r="X994" s="7" t="n"/>
      <c r="Y994" s="7" t="n"/>
      <c r="Z994" s="7" t="n"/>
      <c r="AA994" s="7" t="n"/>
    </row>
    <row r="995" ht="14.5" customHeight="1" s="165">
      <c r="A995" s="7" t="n"/>
      <c r="B995" s="7" t="n"/>
      <c r="C995" s="7" t="n"/>
      <c r="D995" s="7" t="n"/>
      <c r="E995" s="7" t="n"/>
      <c r="F995" s="7" t="n"/>
      <c r="G995" s="120" t="n"/>
      <c r="H995" s="7" t="n"/>
      <c r="I995" s="7" t="n"/>
      <c r="J995" s="7" t="n"/>
      <c r="K995" s="7" t="n"/>
      <c r="L995" s="7" t="n"/>
      <c r="M995" s="7" t="n"/>
      <c r="N995" s="7" t="n"/>
      <c r="O995" s="7" t="n"/>
      <c r="P995" s="7" t="n"/>
      <c r="Q995" s="7" t="n"/>
      <c r="R995" s="7" t="n"/>
      <c r="S995" s="7" t="n"/>
      <c r="T995" s="7" t="n"/>
      <c r="U995" s="7" t="n"/>
      <c r="V995" s="7" t="n"/>
      <c r="W995" s="7" t="n"/>
      <c r="X995" s="7" t="n"/>
      <c r="Y995" s="7" t="n"/>
      <c r="Z995" s="7" t="n"/>
      <c r="AA995" s="7" t="n"/>
    </row>
    <row r="996" ht="14.5" customHeight="1" s="165">
      <c r="A996" s="7" t="n"/>
      <c r="B996" s="7" t="n"/>
      <c r="C996" s="7" t="n"/>
      <c r="D996" s="7" t="n"/>
      <c r="E996" s="7" t="n"/>
      <c r="F996" s="7" t="n"/>
      <c r="G996" s="120" t="n"/>
      <c r="H996" s="7" t="n"/>
      <c r="I996" s="7" t="n"/>
      <c r="J996" s="7" t="n"/>
      <c r="K996" s="7" t="n"/>
      <c r="L996" s="7" t="n"/>
      <c r="M996" s="7" t="n"/>
      <c r="N996" s="7" t="n"/>
      <c r="O996" s="7" t="n"/>
      <c r="P996" s="7" t="n"/>
      <c r="Q996" s="7" t="n"/>
      <c r="R996" s="7" t="n"/>
      <c r="S996" s="7" t="n"/>
      <c r="T996" s="7" t="n"/>
      <c r="U996" s="7" t="n"/>
      <c r="V996" s="7" t="n"/>
      <c r="W996" s="7" t="n"/>
      <c r="X996" s="7" t="n"/>
      <c r="Y996" s="7" t="n"/>
      <c r="Z996" s="7" t="n"/>
      <c r="AA996" s="7" t="n"/>
    </row>
    <row r="997" ht="14.5" customHeight="1" s="165">
      <c r="A997" s="7" t="n"/>
      <c r="B997" s="7" t="n"/>
      <c r="C997" s="7" t="n"/>
      <c r="D997" s="7" t="n"/>
      <c r="E997" s="7" t="n"/>
      <c r="F997" s="7" t="n"/>
      <c r="G997" s="120" t="n"/>
      <c r="H997" s="7" t="n"/>
      <c r="I997" s="7" t="n"/>
      <c r="J997" s="7" t="n"/>
      <c r="K997" s="7" t="n"/>
      <c r="L997" s="7" t="n"/>
      <c r="M997" s="7" t="n"/>
      <c r="N997" s="7" t="n"/>
      <c r="O997" s="7" t="n"/>
      <c r="P997" s="7" t="n"/>
      <c r="Q997" s="7" t="n"/>
      <c r="R997" s="7" t="n"/>
      <c r="S997" s="7" t="n"/>
      <c r="T997" s="7" t="n"/>
      <c r="U997" s="7" t="n"/>
      <c r="V997" s="7" t="n"/>
      <c r="W997" s="7" t="n"/>
      <c r="X997" s="7" t="n"/>
      <c r="Y997" s="7" t="n"/>
      <c r="Z997" s="7" t="n"/>
      <c r="AA997" s="7" t="n"/>
    </row>
    <row r="998" ht="14.5" customHeight="1" s="165">
      <c r="A998" s="7" t="n"/>
      <c r="B998" s="7" t="n"/>
      <c r="C998" s="7" t="n"/>
      <c r="D998" s="7" t="n"/>
      <c r="E998" s="7" t="n"/>
      <c r="F998" s="7" t="n"/>
      <c r="G998" s="120"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row>
    <row r="999" ht="14.5" customHeight="1" s="165">
      <c r="A999" s="7" t="n"/>
      <c r="B999" s="7" t="n"/>
      <c r="C999" s="7" t="n"/>
      <c r="D999" s="7" t="n"/>
      <c r="E999" s="7" t="n"/>
      <c r="F999" s="7" t="n"/>
      <c r="G999" s="120" t="n"/>
      <c r="H999" s="7" t="n"/>
      <c r="I999" s="7" t="n"/>
      <c r="J999" s="7" t="n"/>
      <c r="K999" s="7" t="n"/>
      <c r="L999" s="7" t="n"/>
      <c r="M999" s="7" t="n"/>
      <c r="N999" s="7" t="n"/>
      <c r="O999" s="7" t="n"/>
      <c r="P999" s="7" t="n"/>
      <c r="Q999" s="7" t="n"/>
      <c r="R999" s="7" t="n"/>
      <c r="S999" s="7" t="n"/>
      <c r="T999" s="7" t="n"/>
      <c r="U999" s="7" t="n"/>
      <c r="V999" s="7" t="n"/>
      <c r="W999" s="7" t="n"/>
      <c r="X999" s="7" t="n"/>
      <c r="Y999" s="7" t="n"/>
      <c r="Z999" s="7" t="n"/>
      <c r="AA999" s="7" t="n"/>
    </row>
    <row r="1000" ht="14.5" customHeight="1" s="165">
      <c r="A1000" s="7" t="n"/>
      <c r="B1000" s="7" t="n"/>
      <c r="C1000" s="7" t="n"/>
      <c r="D1000" s="7" t="n"/>
      <c r="E1000" s="7" t="n"/>
      <c r="F1000" s="7" t="n"/>
      <c r="G1000" s="120"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selection activeCell="G5" sqref="G5"/>
    </sheetView>
  </sheetViews>
  <sheetFormatPr baseColWidth="10" defaultColWidth="14.453125" defaultRowHeight="15" customHeight="1"/>
  <cols>
    <col width="22.54296875" customWidth="1" style="165" min="1" max="1"/>
    <col width="22.26953125" customWidth="1" style="165" min="2" max="2"/>
    <col width="53" customWidth="1" style="165" min="7" max="7"/>
  </cols>
  <sheetData>
    <row r="1" ht="29" customHeight="1" s="165">
      <c r="A1" s="129" t="inlineStr">
        <is>
          <t>Aktives Szenario</t>
        </is>
      </c>
      <c r="B1" s="129" t="inlineStr">
        <is>
          <t>gering</t>
        </is>
      </c>
      <c r="C1" s="129" t="inlineStr">
        <is>
          <t>Einheit</t>
        </is>
      </c>
      <c r="D1" s="130" t="inlineStr">
        <is>
          <t>Gering (Auto-Fokus)</t>
        </is>
      </c>
      <c r="E1" s="129" t="inlineStr">
        <is>
          <t>Normal (Hybrid)</t>
        </is>
      </c>
      <c r="F1" s="131" t="inlineStr">
        <is>
          <t>Stark (Pack-Fokus)</t>
        </is>
      </c>
      <c r="G1" s="129" t="inlineStr">
        <is>
          <t>Argumentation / Quelle</t>
        </is>
      </c>
      <c r="H1" s="7" t="n"/>
      <c r="I1" s="7" t="n"/>
      <c r="J1" s="7" t="n"/>
      <c r="K1" s="7" t="n"/>
      <c r="L1" s="7" t="n"/>
      <c r="M1" s="7" t="n"/>
      <c r="N1" s="7" t="n"/>
      <c r="O1" s="7" t="n"/>
      <c r="P1" s="7" t="n"/>
      <c r="Q1" s="7" t="n"/>
      <c r="R1" s="7" t="n"/>
      <c r="S1" s="7" t="n"/>
      <c r="T1" s="7" t="n"/>
      <c r="U1" s="7" t="n"/>
      <c r="V1" s="7" t="n"/>
      <c r="W1" s="7" t="n"/>
      <c r="X1" s="7" t="n"/>
      <c r="Y1" s="7" t="n"/>
      <c r="Z1" s="7" t="n"/>
    </row>
    <row r="2" ht="14.5" customHeight="1" s="165">
      <c r="A2" s="132" t="inlineStr">
        <is>
          <t>Kategorie</t>
        </is>
      </c>
      <c r="B2" s="133" t="inlineStr">
        <is>
          <t>Variable</t>
        </is>
      </c>
      <c r="C2" s="133" t="inlineStr">
        <is>
          <t>Einheit</t>
        </is>
      </c>
      <c r="D2" s="133" t="inlineStr">
        <is>
          <t>Gering</t>
        </is>
      </c>
      <c r="E2" s="133" t="inlineStr">
        <is>
          <t>Normal</t>
        </is>
      </c>
      <c r="F2" s="133" t="inlineStr">
        <is>
          <t>Stark</t>
        </is>
      </c>
      <c r="G2" s="134" t="inlineStr">
        <is>
          <t>Quelle</t>
        </is>
      </c>
      <c r="H2" s="7" t="n"/>
      <c r="I2" s="7" t="n"/>
      <c r="J2" s="7" t="n"/>
      <c r="K2" s="7" t="n"/>
      <c r="L2" s="7" t="n"/>
      <c r="M2" s="7" t="n"/>
      <c r="N2" s="7" t="n"/>
      <c r="O2" s="7" t="n"/>
      <c r="P2" s="7" t="n"/>
      <c r="Q2" s="7" t="n"/>
      <c r="R2" s="7" t="n"/>
      <c r="S2" s="7" t="n"/>
      <c r="T2" s="7" t="n"/>
      <c r="U2" s="7" t="n"/>
      <c r="V2" s="7" t="n"/>
      <c r="W2" s="7" t="n"/>
      <c r="X2" s="7" t="n"/>
      <c r="Y2" s="7" t="n"/>
      <c r="Z2" s="7" t="n"/>
    </row>
    <row r="3" ht="29" customHeight="1" s="165">
      <c r="A3" s="135" t="inlineStr">
        <is>
          <t>Markt-Mix</t>
        </is>
      </c>
      <c r="B3" s="136" t="inlineStr">
        <is>
          <t>Anteil Packaging</t>
        </is>
      </c>
      <c r="C3" s="136" t="inlineStr">
        <is>
          <t>%</t>
        </is>
      </c>
      <c r="D3" s="137" t="n">
        <v>0.1</v>
      </c>
      <c r="E3" s="137" t="n">
        <v>0.6</v>
      </c>
      <c r="F3" s="137" t="n">
        <v>0.8</v>
      </c>
      <c r="G3" s="138" t="inlineStr">
        <is>
          <t>Lothar: Packaging hat schnellere Zyklen.</t>
        </is>
      </c>
      <c r="H3" s="7" t="n"/>
      <c r="I3" s="7" t="n"/>
      <c r="J3" s="7" t="n"/>
      <c r="K3" s="7" t="n"/>
      <c r="L3" s="7" t="n"/>
      <c r="M3" s="7" t="n"/>
      <c r="N3" s="7" t="n"/>
      <c r="O3" s="7" t="n"/>
      <c r="P3" s="7" t="n"/>
      <c r="Q3" s="7" t="n"/>
      <c r="R3" s="7" t="n"/>
      <c r="S3" s="7" t="n"/>
      <c r="T3" s="7" t="n"/>
      <c r="U3" s="7" t="n"/>
      <c r="V3" s="7" t="n"/>
      <c r="W3" s="7" t="n"/>
      <c r="X3" s="7" t="n"/>
      <c r="Y3" s="7" t="n"/>
      <c r="Z3" s="7" t="n"/>
    </row>
    <row r="4" ht="29" customHeight="1" s="165">
      <c r="A4" s="135" t="inlineStr">
        <is>
          <t>Vertrieb</t>
        </is>
      </c>
      <c r="B4" s="136" t="inlineStr">
        <is>
          <t>Startmonat Kunden</t>
        </is>
      </c>
      <c r="C4" s="136" t="inlineStr">
        <is>
          <t>Monate</t>
        </is>
      </c>
      <c r="D4" s="248" t="n">
        <v>17</v>
      </c>
      <c r="E4" s="248" t="n">
        <v>8</v>
      </c>
      <c r="F4" s="248" t="n">
        <v>4</v>
      </c>
      <c r="G4" s="138" t="inlineStr">
        <is>
          <t>Lothar: IT-Hürden bei Automotive Tier-1.</t>
        </is>
      </c>
      <c r="H4" s="7" t="n"/>
      <c r="I4" s="7" t="n"/>
      <c r="J4" s="7" t="n"/>
      <c r="K4" s="7" t="n"/>
      <c r="L4" s="7" t="n"/>
      <c r="M4" s="7" t="n"/>
      <c r="N4" s="7" t="n"/>
      <c r="O4" s="7" t="n"/>
      <c r="P4" s="7" t="n"/>
      <c r="Q4" s="7" t="n"/>
      <c r="R4" s="7" t="n"/>
      <c r="S4" s="7" t="n"/>
      <c r="T4" s="7" t="n"/>
      <c r="U4" s="7" t="n"/>
      <c r="V4" s="7" t="n"/>
      <c r="W4" s="7" t="n"/>
      <c r="X4" s="7" t="n"/>
      <c r="Y4" s="7" t="n"/>
      <c r="Z4" s="7" t="n"/>
    </row>
    <row r="5" ht="29" customHeight="1" s="165">
      <c r="A5" s="135" t="inlineStr">
        <is>
          <t>Revenue 1</t>
        </is>
      </c>
      <c r="B5" s="136" t="inlineStr">
        <is>
          <t>Startpreis Seat/Monat</t>
        </is>
      </c>
      <c r="C5" s="136" t="inlineStr">
        <is>
          <t>€/Monat</t>
        </is>
      </c>
      <c r="D5" s="248" t="n">
        <v>200</v>
      </c>
      <c r="E5" s="248" t="n">
        <v>350</v>
      </c>
      <c r="F5" s="248" t="n">
        <v>450</v>
      </c>
      <c r="G5" s="138" t="inlineStr">
        <is>
          <t>Value-based Pricing in Packaging (White Paper).</t>
        </is>
      </c>
      <c r="H5" s="7" t="n"/>
      <c r="I5" s="7" t="n"/>
      <c r="J5" s="7" t="n"/>
      <c r="K5" s="7" t="n"/>
      <c r="L5" s="7" t="n"/>
      <c r="M5" s="7" t="n"/>
      <c r="N5" s="7" t="n"/>
      <c r="O5" s="7" t="n"/>
      <c r="P5" s="7" t="n"/>
      <c r="Q5" s="7" t="n"/>
      <c r="R5" s="7" t="n"/>
      <c r="S5" s="7" t="n"/>
      <c r="T5" s="7" t="n"/>
      <c r="U5" s="7" t="n"/>
      <c r="V5" s="7" t="n"/>
      <c r="W5" s="7" t="n"/>
      <c r="X5" s="7" t="n"/>
      <c r="Y5" s="7" t="n"/>
      <c r="Z5" s="7" t="n"/>
    </row>
    <row r="6" ht="87" customHeight="1" s="165">
      <c r="A6" s="135" t="inlineStr">
        <is>
          <t>Revenue 2</t>
        </is>
      </c>
      <c r="B6" s="136" t="inlineStr">
        <is>
          <t>Implementation-Support-Tagessatz</t>
        </is>
      </c>
      <c r="C6" s="136" t="inlineStr">
        <is>
          <t>€/Tag</t>
        </is>
      </c>
      <c r="D6" s="249" t="n">
        <v>1000</v>
      </c>
      <c r="E6" s="249" t="n">
        <v>1200</v>
      </c>
      <c r="F6" s="249" t="n">
        <v>1500</v>
      </c>
      <c r="G6" s="138" t="inlineStr">
        <is>
          <t>Implementation-Support-Tagessatz: gering=1.000 €/Tag | normal=1.200 €/Tag | stark=1.500 €/Tag. Basiert auf Expertenstatus (Haag/Candemir) und Marktniveau B2B Industrie.</t>
        </is>
      </c>
      <c r="H6" s="7" t="n"/>
      <c r="I6" s="7" t="n"/>
      <c r="J6" s="7" t="n"/>
      <c r="K6" s="7" t="n"/>
      <c r="L6" s="7" t="n"/>
      <c r="M6" s="7" t="n"/>
      <c r="N6" s="7" t="n"/>
      <c r="O6" s="7" t="n"/>
      <c r="P6" s="7" t="n"/>
      <c r="Q6" s="7" t="n"/>
      <c r="R6" s="7" t="n"/>
      <c r="S6" s="7" t="n"/>
      <c r="T6" s="7" t="n"/>
      <c r="U6" s="7" t="n"/>
      <c r="V6" s="7" t="n"/>
      <c r="W6" s="7" t="n"/>
      <c r="X6" s="7" t="n"/>
      <c r="Y6" s="7" t="n"/>
      <c r="Z6" s="7" t="n"/>
    </row>
    <row r="7" ht="29" customHeight="1" s="165">
      <c r="A7" s="135" t="inlineStr">
        <is>
          <t>Effizienz</t>
        </is>
      </c>
      <c r="B7" s="136" t="inlineStr">
        <is>
          <t>Iterations-Reduktion</t>
        </is>
      </c>
      <c r="C7" s="136" t="inlineStr">
        <is>
          <t>Faktor</t>
        </is>
      </c>
      <c r="D7" s="136" t="inlineStr">
        <is>
          <t>1,2x</t>
        </is>
      </c>
      <c r="E7" s="136" t="inlineStr">
        <is>
          <t>2,0x</t>
        </is>
      </c>
      <c r="F7" s="136" t="inlineStr">
        <is>
          <t>3,0x</t>
        </is>
      </c>
      <c r="G7" s="138" t="inlineStr">
        <is>
          <t>White Paper: Redesign Trap vermeiden.</t>
        </is>
      </c>
      <c r="H7" s="7" t="n"/>
      <c r="I7" s="7" t="n"/>
      <c r="J7" s="7" t="n"/>
      <c r="K7" s="7" t="n"/>
      <c r="L7" s="7" t="n"/>
      <c r="M7" s="7" t="n"/>
      <c r="N7" s="7" t="n"/>
      <c r="O7" s="7" t="n"/>
      <c r="P7" s="7" t="n"/>
      <c r="Q7" s="7" t="n"/>
      <c r="R7" s="7" t="n"/>
      <c r="S7" s="7" t="n"/>
      <c r="T7" s="7" t="n"/>
      <c r="U7" s="7" t="n"/>
      <c r="V7" s="7" t="n"/>
      <c r="W7" s="7" t="n"/>
      <c r="X7" s="7" t="n"/>
      <c r="Y7" s="7" t="n"/>
      <c r="Z7" s="7" t="n"/>
    </row>
    <row r="8" ht="29" customHeight="1" s="165">
      <c r="A8" s="139" t="inlineStr">
        <is>
          <t>Kosten</t>
        </is>
      </c>
      <c r="B8" s="140" t="inlineStr">
        <is>
          <t>Onboarding-Aufwand</t>
        </is>
      </c>
      <c r="C8" s="140" t="inlineStr">
        <is>
          <t>Stunden</t>
        </is>
      </c>
      <c r="D8" s="140" t="n">
        <v>120</v>
      </c>
      <c r="E8" s="140" t="n">
        <v>60</v>
      </c>
      <c r="F8" s="140" t="n">
        <v>30</v>
      </c>
      <c r="G8" s="141" t="inlineStr">
        <is>
          <t>Lothar: Hoher Aufwand bei alten IT-Systemen.</t>
        </is>
      </c>
      <c r="H8" s="7" t="n"/>
      <c r="I8" s="7" t="n"/>
      <c r="J8" s="7" t="n"/>
      <c r="K8" s="7" t="n"/>
      <c r="L8" s="7" t="n"/>
      <c r="M8" s="7" t="n"/>
      <c r="N8" s="7" t="n"/>
      <c r="O8" s="7" t="n"/>
      <c r="P8" s="7" t="n"/>
      <c r="Q8" s="7" t="n"/>
      <c r="R8" s="7" t="n"/>
      <c r="S8" s="7" t="n"/>
      <c r="T8" s="7" t="n"/>
      <c r="U8" s="7" t="n"/>
      <c r="V8" s="7" t="n"/>
      <c r="W8" s="7" t="n"/>
      <c r="X8" s="7" t="n"/>
      <c r="Y8" s="7" t="n"/>
      <c r="Z8" s="7" t="n"/>
    </row>
    <row r="9" ht="29" customHeight="1" s="165">
      <c r="A9" s="146" t="inlineStr">
        <is>
          <t xml:space="preserve">Detailbeschreibung </t>
        </is>
      </c>
      <c r="B9" s="147" t="n"/>
      <c r="C9" s="147" t="n"/>
      <c r="D9" s="147" t="n"/>
      <c r="E9" s="147" t="n"/>
      <c r="F9" s="147" t="n"/>
      <c r="G9" s="147" t="n"/>
      <c r="H9" s="7" t="n"/>
      <c r="I9" s="7" t="n"/>
      <c r="J9" s="7" t="n"/>
      <c r="K9" s="7" t="n"/>
      <c r="L9" s="7" t="n"/>
      <c r="M9" s="7" t="n"/>
      <c r="N9" s="7" t="n"/>
      <c r="O9" s="7" t="n"/>
      <c r="P9" s="7" t="n"/>
      <c r="Q9" s="7" t="n"/>
      <c r="R9" s="7" t="n"/>
      <c r="S9" s="7" t="n"/>
      <c r="T9" s="7" t="n"/>
      <c r="U9" s="7" t="n"/>
      <c r="V9" s="7" t="n"/>
      <c r="W9" s="7" t="n"/>
      <c r="X9" s="7" t="n"/>
      <c r="Y9" s="7" t="n"/>
      <c r="Z9" s="7" t="n"/>
    </row>
    <row r="10" ht="39" customHeight="1" s="165">
      <c r="A10" s="108" t="inlineStr">
        <is>
          <t>Revenue 2: Implementation-Support Einsatztage je Kunde initial</t>
        </is>
      </c>
      <c r="B10" s="142" t="inlineStr">
        <is>
          <t>Implementation-Support-Tage/Einsatz</t>
        </is>
      </c>
      <c r="C10" s="142" t="inlineStr">
        <is>
          <t>Tage/Einsatz</t>
        </is>
      </c>
      <c r="D10" s="143">
        <f>Szenarien_Analyse!C8</f>
        <v/>
      </c>
      <c r="E10" s="143">
        <f>Szenarien_Analyse!D8</f>
        <v/>
      </c>
      <c r="F10" s="143">
        <f>Szenarien_Analyse!E8</f>
        <v/>
      </c>
      <c r="G10" s="142" t="inlineStr">
        <is>
          <t>Referenziert Szenarien_Analyse Z.8 (dort bearbeitbar). gering=5 Tage | normal=10 Tage | stark=20 Tage. Direkte Eingabe hier überschreibt die Szenarien-Referenz.</t>
        </is>
      </c>
      <c r="H10" s="7" t="n"/>
      <c r="I10" s="7" t="n"/>
      <c r="J10" s="7" t="n"/>
      <c r="K10" s="7" t="n"/>
      <c r="L10" s="7" t="n"/>
      <c r="M10" s="7" t="n"/>
      <c r="N10" s="7" t="n"/>
      <c r="O10" s="7" t="n"/>
      <c r="P10" s="7" t="n"/>
      <c r="Q10" s="7" t="n"/>
      <c r="R10" s="7" t="n"/>
      <c r="S10" s="7" t="n"/>
      <c r="T10" s="7" t="n"/>
      <c r="U10" s="7" t="n"/>
      <c r="V10" s="7" t="n"/>
      <c r="W10" s="7" t="n"/>
      <c r="X10" s="7" t="n"/>
      <c r="Y10" s="7" t="n"/>
      <c r="Z10" s="7" t="n"/>
    </row>
    <row r="11" ht="100" customHeight="1" s="165">
      <c r="A11" s="108" t="inlineStr">
        <is>
          <t>Revenue 2: Buchungs-Wahrscheinlichkeit Implementation-Support je Kunde</t>
        </is>
      </c>
      <c r="B11" s="142" t="inlineStr">
        <is>
          <t>Buchungs-Wahrscheinlichkeit Implementation-Support</t>
        </is>
      </c>
      <c r="C11" s="144" t="inlineStr">
        <is>
          <t>%</t>
        </is>
      </c>
      <c r="D11" s="145">
        <f>Szenarien_Analyse!C5</f>
        <v/>
      </c>
      <c r="E11" s="145">
        <f>Szenarien_Analyse!D5</f>
        <v/>
      </c>
      <c r="F11" s="145">
        <f>Szenarien_Analyse!E5</f>
        <v/>
      </c>
      <c r="G11" s="142" t="inlineStr">
        <is>
          <t>Referenziert Szenarien_Analyse Z.5 (dort bearbeitbar). a) gering=20% – jeder 5. Kunde kauft Implementation-Support, b) normal=50% – jeder 2. Kunde, c) stark=100% – jeder Kunde kauft Implementation-Support-Tage.</t>
        </is>
      </c>
      <c r="H11" s="7" t="n"/>
      <c r="I11" s="7" t="n"/>
      <c r="J11" s="7" t="n"/>
      <c r="K11" s="7" t="n"/>
      <c r="L11" s="7" t="n"/>
      <c r="M11" s="7" t="n"/>
      <c r="N11" s="7" t="n"/>
      <c r="O11" s="7" t="n"/>
      <c r="P11" s="7" t="n"/>
      <c r="Q11" s="7" t="n"/>
      <c r="R11" s="7" t="n"/>
      <c r="S11" s="7" t="n"/>
      <c r="T11" s="7" t="n"/>
      <c r="U11" s="7" t="n"/>
      <c r="V11" s="7" t="n"/>
      <c r="W11" s="7" t="n"/>
      <c r="X11" s="7" t="n"/>
      <c r="Y11" s="7" t="n"/>
      <c r="Z11" s="7" t="n"/>
    </row>
    <row r="12" ht="56.5" customHeight="1" s="165">
      <c r="A12" s="108" t="inlineStr">
        <is>
          <t>Retention: Net Revenue Retention (NRR)</t>
        </is>
      </c>
      <c r="B12" s="142" t="inlineStr">
        <is>
          <t>Net Revenue Retention (NRR)</t>
        </is>
      </c>
      <c r="C12" s="142" t="inlineStr">
        <is>
          <t>%</t>
        </is>
      </c>
      <c r="D12" s="145" t="n">
        <v>1.05</v>
      </c>
      <c r="E12" s="145">
        <f>Szenarien_Analyse!D9</f>
        <v/>
      </c>
      <c r="F12" s="145">
        <f>Szenarien_Analyse!E9</f>
        <v/>
      </c>
      <c r="G12" s="142" t="inlineStr">
        <is>
          <t>Szenarioabhängig (Szenarien_Analyse Z.9). Gering=105% | Normal=115% | Stark=130%.</t>
        </is>
      </c>
      <c r="H12" s="7" t="n"/>
      <c r="I12" s="7" t="n"/>
      <c r="J12" s="7" t="n"/>
      <c r="K12" s="7" t="n"/>
      <c r="L12" s="7" t="n"/>
      <c r="M12" s="7" t="n"/>
      <c r="N12" s="7" t="n"/>
      <c r="O12" s="7" t="n"/>
      <c r="P12" s="7" t="n"/>
      <c r="Q12" s="7" t="n"/>
      <c r="R12" s="7" t="n"/>
      <c r="S12" s="7" t="n"/>
      <c r="T12" s="7" t="n"/>
      <c r="U12" s="7" t="n"/>
      <c r="V12" s="7" t="n"/>
      <c r="W12" s="7" t="n"/>
      <c r="X12" s="7" t="n"/>
      <c r="Y12" s="7" t="n"/>
      <c r="Z12" s="7" t="n"/>
    </row>
    <row r="13" ht="75" customHeight="1" s="165">
      <c r="A13" s="108" t="inlineStr">
        <is>
          <t>Retention: Jährliche Churn Rate</t>
        </is>
      </c>
      <c r="B13" s="142" t="inlineStr">
        <is>
          <t>Churn Rate</t>
        </is>
      </c>
      <c r="C13" s="142" t="inlineStr">
        <is>
          <t>%/Jahr</t>
        </is>
      </c>
      <c r="D13" s="145">
        <f>Szenarien_Analyse!C10</f>
        <v/>
      </c>
      <c r="E13" s="145">
        <f>Szenarien_Analyse!D10</f>
        <v/>
      </c>
      <c r="F13" s="145">
        <f>Szenarien_Analyse!E10</f>
        <v/>
      </c>
      <c r="G13" s="142" t="inlineStr">
        <is>
          <t>Szenarioabhängig (Szenarien_Analyse Z.10). Gering=10% | Normal=6% | Stark=3%.</t>
        </is>
      </c>
      <c r="H13" s="7" t="n"/>
      <c r="I13" s="7" t="n"/>
      <c r="J13" s="7" t="n"/>
      <c r="K13" s="7" t="n"/>
      <c r="L13" s="7" t="n"/>
      <c r="M13" s="7" t="n"/>
      <c r="N13" s="7" t="n"/>
      <c r="O13" s="7" t="n"/>
      <c r="P13" s="7" t="n"/>
      <c r="Q13" s="7" t="n"/>
      <c r="R13" s="7" t="n"/>
      <c r="S13" s="7" t="n"/>
      <c r="T13" s="7" t="n"/>
      <c r="U13" s="7" t="n"/>
      <c r="V13" s="7" t="n"/>
      <c r="W13" s="7" t="n"/>
      <c r="X13" s="7" t="n"/>
      <c r="Y13" s="7" t="n"/>
      <c r="Z13" s="7" t="n"/>
    </row>
    <row r="14" ht="101" customHeight="1" s="165">
      <c r="A14" s="108" t="inlineStr">
        <is>
          <t>Implementation-Support: Startmonat erster Implementation-Support-Umsatz</t>
        </is>
      </c>
      <c r="B14" s="142" t="inlineStr">
        <is>
          <t>Implementation-Support-Startmonat</t>
        </is>
      </c>
      <c r="C14" s="142" t="inlineStr">
        <is>
          <t>Monat</t>
        </is>
      </c>
      <c r="D14" s="143">
        <f>Szenarien_Analyse!C11</f>
        <v/>
      </c>
      <c r="E14" s="143">
        <f>Szenarien_Analyse!D11</f>
        <v/>
      </c>
      <c r="F14" s="143">
        <f>Szenarien_Analyse!E11</f>
        <v/>
      </c>
      <c r="G14" s="142" t="inlineStr">
        <is>
          <t>Szenarioabhängig (Szenarien_Analyse Z.11). Gering=3 | Normal=4 | Stark=6.</t>
        </is>
      </c>
      <c r="H14" s="7" t="n"/>
      <c r="I14" s="7" t="n"/>
      <c r="J14" s="7" t="n"/>
      <c r="K14" s="7" t="n"/>
      <c r="L14" s="7" t="n"/>
      <c r="M14" s="7" t="n"/>
      <c r="N14" s="7" t="n"/>
      <c r="O14" s="7" t="n"/>
      <c r="P14" s="7" t="n"/>
      <c r="Q14" s="7" t="n"/>
      <c r="R14" s="7" t="n"/>
      <c r="S14" s="7" t="n"/>
      <c r="T14" s="7" t="n"/>
      <c r="U14" s="7" t="n"/>
      <c r="V14" s="7" t="n"/>
      <c r="W14" s="7" t="n"/>
      <c r="X14" s="7" t="n"/>
      <c r="Y14" s="7" t="n"/>
      <c r="Z14" s="7" t="n"/>
    </row>
    <row r="15" ht="14.5" customHeight="1" s="16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ht="14.5" customHeight="1" s="165">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ht="14.5" customHeight="1" s="165">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ht="14.5" customHeight="1" s="165">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ht="14.5" customHeight="1" s="165">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ht="14.5" customHeight="1" s="165">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ht="14.5" customHeight="1" s="165">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ht="14.5" customHeight="1" s="165">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ht="14.5" customHeight="1" s="165">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ht="14.5" customHeight="1" s="165">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ht="14.5" customHeight="1" s="16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ht="14.5" customHeight="1" s="165">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ht="14.5" customHeight="1" s="165">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ht="14.5" customHeight="1" s="165">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ht="14.5" customHeight="1" s="165">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ht="14.5" customHeight="1" s="165">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ht="14.5" customHeight="1" s="165">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ht="14.5" customHeight="1" s="165">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ht="14.5" customHeight="1" s="165">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ht="14.5" customHeight="1" s="165">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ht="14.5" customHeight="1" s="16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ht="14.5" customHeight="1" s="165">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ht="14.5" customHeight="1" s="165">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ht="14.5" customHeight="1" s="165">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ht="14.5" customHeight="1" s="165">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ht="14.5" customHeight="1" s="165">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ht="14.5" customHeight="1" s="165">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ht="14.5" customHeight="1" s="165">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ht="14.5" customHeight="1" s="165">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ht="14.5" customHeight="1" s="165">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ht="14.5" customHeight="1" s="16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ht="14.5" customHeight="1" s="165">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ht="14.5" customHeight="1" s="165">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ht="14.5" customHeight="1" s="165">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ht="14.5" customHeight="1" s="165">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4.5" customHeight="1" s="165">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4.5" customHeight="1" s="165">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4.5" customHeight="1" s="165">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4.5" customHeight="1" s="165">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4.5" customHeight="1" s="165">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4.5" customHeight="1" s="16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4.5" customHeight="1" s="165">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4.5" customHeight="1" s="165">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4.5" customHeight="1" s="165">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4.5" customHeight="1" s="165">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4.5" customHeight="1" s="165">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4.5" customHeight="1" s="165">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4.5" customHeight="1" s="165">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4.5" customHeight="1" s="165">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4.5" customHeight="1" s="165">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4.5" customHeight="1" s="1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4.5" customHeight="1" s="165">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4.5" customHeight="1" s="165">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4.5" customHeight="1" s="165">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4.5" customHeight="1" s="165">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4.5" customHeight="1" s="165">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4.5" customHeight="1" s="165">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4.5" customHeight="1" s="165">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4.5" customHeight="1" s="165">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4.5" customHeight="1" s="165">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4.5" customHeight="1" s="16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4.5" customHeight="1" s="165">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4.5" customHeight="1" s="165">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4.5" customHeight="1" s="165">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4.5" customHeight="1" s="165">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4.5" customHeight="1" s="165">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4.5" customHeight="1" s="165">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4.5" customHeight="1" s="165">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4.5" customHeight="1" s="165">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4.5" customHeight="1" s="165">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4.5" customHeight="1" s="16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4.5" customHeight="1" s="165">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4.5" customHeight="1" s="165">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4.5" customHeight="1" s="165">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4.5" customHeight="1" s="165">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4.5" customHeight="1" s="165">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4.5" customHeight="1" s="165">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4.5" customHeight="1" s="165">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4.5" customHeight="1" s="165">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4.5" customHeight="1" s="165">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4.5" customHeight="1" s="16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4.5" customHeight="1" s="165">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4.5" customHeight="1" s="165">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4.5" customHeight="1" s="165">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4.5" customHeight="1" s="165">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4.5" customHeight="1" s="165">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4.5" customHeight="1" s="165">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4.5" customHeight="1" s="165">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4.5" customHeight="1" s="165">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4.5" customHeight="1" s="165">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4.5" customHeight="1" s="16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4.5" customHeight="1" s="165">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4.5" customHeight="1" s="165">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4.5" customHeight="1" s="165">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4.5" customHeight="1" s="165">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4.5" customHeight="1" s="165">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4.5" customHeight="1" s="165">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4.5" customHeight="1" s="165">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4.5" customHeight="1" s="165">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4.5" customHeight="1" s="165">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4.5" customHeight="1" s="16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4.5" customHeight="1" s="165">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4.5" customHeight="1" s="165">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4.5" customHeight="1" s="165">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4.5" customHeight="1" s="165">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4.5" customHeight="1" s="165">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4.5" customHeight="1" s="165">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4.5" customHeight="1" s="165">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4.5" customHeight="1" s="165">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4.5" customHeight="1" s="165">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4.5" customHeight="1" s="16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4.5" customHeight="1" s="165">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4.5" customHeight="1" s="165">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4.5" customHeight="1" s="165">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4.5" customHeight="1" s="165">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4.5" customHeight="1" s="165">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4.5" customHeight="1" s="165">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4.5" customHeight="1" s="165">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4.5" customHeight="1" s="165">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4.5" customHeight="1" s="165">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4.5" customHeight="1" s="16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4.5" customHeight="1" s="165">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4.5" customHeight="1" s="165">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4.5" customHeight="1" s="165">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4.5" customHeight="1" s="165">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4.5" customHeight="1" s="165">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4.5" customHeight="1" s="165">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4.5" customHeight="1" s="165">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4.5" customHeight="1" s="165">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4.5" customHeight="1" s="165">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4.5" customHeight="1" s="16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4.5" customHeight="1" s="165">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4.5" customHeight="1" s="165">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4.5" customHeight="1" s="165">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4.5" customHeight="1" s="165">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4.5" customHeight="1" s="165">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4.5" customHeight="1" s="165">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4.5" customHeight="1" s="165">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4.5" customHeight="1" s="165">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4.5" customHeight="1" s="165">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4.5" customHeight="1" s="16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4.5" customHeight="1" s="165">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4.5" customHeight="1" s="165">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4.5" customHeight="1" s="165">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4.5" customHeight="1" s="165">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4.5" customHeight="1" s="165">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4.5" customHeight="1" s="165">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4.5" customHeight="1" s="165">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4.5" customHeight="1" s="165">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4.5" customHeight="1" s="165">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4.5" customHeight="1" s="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4.5" customHeight="1" s="165">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4.5" customHeight="1" s="165">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4.5" customHeight="1" s="165">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4.5" customHeight="1" s="165">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4.5" customHeight="1" s="165">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4.5" customHeight="1" s="165">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4.5" customHeight="1" s="165">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4.5" customHeight="1" s="165">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4.5" customHeight="1" s="165">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4.5" customHeight="1" s="16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4.5" customHeight="1" s="165">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4.5" customHeight="1" s="165">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4.5" customHeight="1" s="165">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4.5" customHeight="1" s="165">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4.5" customHeight="1" s="165">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4.5" customHeight="1" s="165">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4.5" customHeight="1" s="165">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4.5" customHeight="1" s="165">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4.5" customHeight="1" s="165">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4.5" customHeight="1" s="16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4.5" customHeight="1" s="165">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4.5" customHeight="1" s="165">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4.5" customHeight="1" s="165">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4.5" customHeight="1" s="165">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4.5" customHeight="1" s="165">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4.5" customHeight="1" s="165">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4.5" customHeight="1" s="165">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4.5" customHeight="1" s="165">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4.5" customHeight="1" s="165">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4.5" customHeight="1" s="16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4.5" customHeight="1" s="165">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4.5" customHeight="1" s="165">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4.5" customHeight="1" s="165">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4.5" customHeight="1" s="165">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4.5" customHeight="1" s="165">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4.5" customHeight="1" s="165">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4.5" customHeight="1" s="165">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4.5" customHeight="1" s="165">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4.5" customHeight="1" s="165">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4.5" customHeight="1" s="16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4.5" customHeight="1" s="165">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4.5" customHeight="1" s="165">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4.5" customHeight="1" s="165">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4.5" customHeight="1" s="165">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4.5" customHeight="1" s="165">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4.5" customHeight="1" s="165">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4.5" customHeight="1" s="165">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4.5" customHeight="1" s="165">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4.5" customHeight="1" s="165">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4.5" customHeight="1" s="16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4.5" customHeight="1" s="165">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4.5" customHeight="1" s="165">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4.5" customHeight="1" s="165">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4.5" customHeight="1" s="165">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4.5" customHeight="1" s="165">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4.5" customHeight="1" s="165">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4.5" customHeight="1" s="165">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4.5" customHeight="1" s="165">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4.5" customHeight="1" s="165">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4.5" customHeight="1" s="16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4.5" customHeight="1" s="165">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4.5" customHeight="1" s="165">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4.5" customHeight="1" s="165">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4.5" customHeight="1" s="165">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4.5" customHeight="1" s="165">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4.5" customHeight="1" s="165">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4.5" customHeight="1" s="165">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4.5" customHeight="1" s="165">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4.5" customHeight="1" s="165">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4.5" customHeight="1" s="16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4.5" customHeight="1" s="165">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4.5" customHeight="1" s="165">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4.5" customHeight="1" s="165">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4.5" customHeight="1" s="165">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4.5" customHeight="1" s="165">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4.5" customHeight="1" s="165">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4.5" customHeight="1" s="165">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4.5" customHeight="1" s="165">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4.5" customHeight="1" s="165">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4.5" customHeight="1" s="16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4.5" customHeight="1" s="165">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4.5" customHeight="1" s="165">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4.5" customHeight="1" s="165">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4.5" customHeight="1" s="165">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4.5" customHeight="1" s="165">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4.5" customHeight="1" s="165">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4.5" customHeight="1" s="165">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4.5" customHeight="1" s="165">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4.5" customHeight="1" s="165">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4.5" customHeight="1" s="16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4.5" customHeight="1" s="165">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4.5" customHeight="1" s="165">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4.5" customHeight="1" s="165">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4.5" customHeight="1" s="165">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4.5" customHeight="1" s="165">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4.5" customHeight="1" s="165">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4.5" customHeight="1" s="165">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4.5" customHeight="1" s="165">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4.5" customHeight="1" s="165">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4.5" customHeight="1" s="1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4.5" customHeight="1" s="165">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4.5" customHeight="1" s="165">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4.5" customHeight="1" s="165">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4.5" customHeight="1" s="165">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4.5" customHeight="1" s="165">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4.5" customHeight="1" s="165">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4.5" customHeight="1" s="165">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4.5" customHeight="1" s="165">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4.5" customHeight="1" s="165">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4.5" customHeight="1" s="16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4.5" customHeight="1" s="165">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4.5" customHeight="1" s="165">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4.5" customHeight="1" s="165">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4.5" customHeight="1" s="165">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4.5" customHeight="1" s="165">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4.5" customHeight="1" s="165">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4.5" customHeight="1" s="165">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4.5" customHeight="1" s="165">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4.5" customHeight="1" s="165">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4.5" customHeight="1" s="16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4.5" customHeight="1" s="165">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4.5" customHeight="1" s="165">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4.5" customHeight="1" s="165">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4.5" customHeight="1" s="165">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4.5" customHeight="1" s="165">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4.5" customHeight="1" s="165">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4.5" customHeight="1" s="165">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4.5" customHeight="1" s="165">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4.5" customHeight="1" s="165">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4.5" customHeight="1" s="16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4.5" customHeight="1" s="165">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4.5" customHeight="1" s="165">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4.5" customHeight="1" s="165">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4.5" customHeight="1" s="165">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4.5" customHeight="1" s="165">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4.5" customHeight="1" s="165">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4.5" customHeight="1" s="165">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4.5" customHeight="1" s="165">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4.5" customHeight="1" s="165">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4.5" customHeight="1" s="16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4.5" customHeight="1" s="165">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4.5" customHeight="1" s="165">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4.5" customHeight="1" s="165">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4.5" customHeight="1" s="165">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4.5" customHeight="1" s="165">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4.5" customHeight="1" s="165">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4.5" customHeight="1" s="165">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4.5" customHeight="1" s="165">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4.5" customHeight="1" s="165">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4.5" customHeight="1" s="16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4.5" customHeight="1" s="165">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4.5" customHeight="1" s="165">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4.5" customHeight="1" s="165">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4.5" customHeight="1" s="165">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4.5" customHeight="1" s="165">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4.5" customHeight="1" s="165">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4.5" customHeight="1" s="165">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4.5" customHeight="1" s="165">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4.5" customHeight="1" s="165">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4.5" customHeight="1" s="16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4.5" customHeight="1" s="165">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4.5" customHeight="1" s="165">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4.5" customHeight="1" s="165">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4.5" customHeight="1" s="165">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4.5" customHeight="1" s="165">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4.5" customHeight="1" s="165">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4.5" customHeight="1" s="165">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4.5" customHeight="1" s="165">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4.5" customHeight="1" s="165">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4.5" customHeight="1" s="16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4.5" customHeight="1" s="165">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4.5" customHeight="1" s="165">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4.5" customHeight="1" s="165">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4.5" customHeight="1" s="165">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4.5" customHeight="1" s="165">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4.5" customHeight="1" s="165">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4.5" customHeight="1" s="165">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4.5" customHeight="1" s="165">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4.5" customHeight="1" s="165">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4.5" customHeight="1" s="16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4.5" customHeight="1" s="165">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4.5" customHeight="1" s="165">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4.5" customHeight="1" s="165">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4.5" customHeight="1" s="165">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4.5" customHeight="1" s="165">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4.5" customHeight="1" s="165">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4.5" customHeight="1" s="165">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4.5" customHeight="1" s="165">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4.5" customHeight="1" s="165">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4.5" customHeight="1" s="16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4.5" customHeight="1" s="165">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4.5" customHeight="1" s="165">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4.5" customHeight="1" s="165">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4.5" customHeight="1" s="165">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4.5" customHeight="1" s="165">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4.5" customHeight="1" s="165">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4.5" customHeight="1" s="165">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4.5" customHeight="1" s="165">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4.5" customHeight="1" s="165">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4.5" customHeight="1" s="1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4.5" customHeight="1" s="165">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4.5" customHeight="1" s="165">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4.5" customHeight="1" s="165">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4.5" customHeight="1" s="165">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4.5" customHeight="1" s="165">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4.5" customHeight="1" s="165">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4.5" customHeight="1" s="165">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4.5" customHeight="1" s="165">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4.5" customHeight="1" s="165">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4.5" customHeight="1" s="16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4.5" customHeight="1" s="165">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4.5" customHeight="1" s="165">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4.5" customHeight="1" s="165">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4.5" customHeight="1" s="165">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4.5" customHeight="1" s="165">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4.5" customHeight="1" s="165">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4.5" customHeight="1" s="165">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4.5" customHeight="1" s="165">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4.5" customHeight="1" s="165">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4.5" customHeight="1" s="16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4.5" customHeight="1" s="165">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4.5" customHeight="1" s="165">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4.5" customHeight="1" s="165">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4.5" customHeight="1" s="165">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4.5" customHeight="1" s="165">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4.5" customHeight="1" s="165">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4.5" customHeight="1" s="165">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4.5" customHeight="1" s="165">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4.5" customHeight="1" s="165">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4.5" customHeight="1" s="16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4.5" customHeight="1" s="165">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4.5" customHeight="1" s="165">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4.5" customHeight="1" s="165">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4.5" customHeight="1" s="165">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4.5" customHeight="1" s="165">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4.5" customHeight="1" s="165">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4.5" customHeight="1" s="165">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4.5" customHeight="1" s="165">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4.5" customHeight="1" s="165">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4.5" customHeight="1" s="16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4.5" customHeight="1" s="165">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4.5" customHeight="1" s="165">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4.5" customHeight="1" s="165">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4.5" customHeight="1" s="165">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4.5" customHeight="1" s="165">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4.5" customHeight="1" s="165">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4.5" customHeight="1" s="165">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4.5" customHeight="1" s="165">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4.5" customHeight="1" s="165">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4.5" customHeight="1" s="16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4.5" customHeight="1" s="165">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4.5" customHeight="1" s="165">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4.5" customHeight="1" s="165">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4.5" customHeight="1" s="165">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4.5" customHeight="1" s="165">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4.5" customHeight="1" s="165">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4.5" customHeight="1" s="165">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4.5" customHeight="1" s="165">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4.5" customHeight="1" s="165">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4.5" customHeight="1" s="16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4.5" customHeight="1" s="165">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4.5" customHeight="1" s="165">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4.5" customHeight="1" s="165">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4.5" customHeight="1" s="165">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4.5" customHeight="1" s="165">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4.5" customHeight="1" s="165">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4.5" customHeight="1" s="165">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4.5" customHeight="1" s="165">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4.5" customHeight="1" s="165">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4.5" customHeight="1" s="16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4.5" customHeight="1" s="165">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4.5" customHeight="1" s="165">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4.5" customHeight="1" s="165">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4.5" customHeight="1" s="165">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4.5" customHeight="1" s="165">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4.5" customHeight="1" s="165">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4.5" customHeight="1" s="165">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4.5" customHeight="1" s="165">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4.5" customHeight="1" s="165">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4.5" customHeight="1" s="16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4.5" customHeight="1" s="165">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4.5" customHeight="1" s="165">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4.5" customHeight="1" s="165">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4.5" customHeight="1" s="165">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4.5" customHeight="1" s="165">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4.5" customHeight="1" s="165">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4.5" customHeight="1" s="165">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4.5" customHeight="1" s="165">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4.5" customHeight="1" s="165">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4.5" customHeight="1" s="16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4.5" customHeight="1" s="165">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4.5" customHeight="1" s="165">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4.5" customHeight="1" s="165">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4.5" customHeight="1" s="165">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4.5" customHeight="1" s="165">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4.5" customHeight="1" s="165">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4.5" customHeight="1" s="165">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4.5" customHeight="1" s="165">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4.5" customHeight="1" s="165">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4.5" customHeight="1" s="1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4.5" customHeight="1" s="165">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4.5" customHeight="1" s="165">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4.5" customHeight="1" s="165">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4.5" customHeight="1" s="165">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4.5" customHeight="1" s="165">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4.5" customHeight="1" s="165">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4.5" customHeight="1" s="165">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4.5" customHeight="1" s="165">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4.5" customHeight="1" s="165">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4.5" customHeight="1" s="16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4.5" customHeight="1" s="165">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4.5" customHeight="1" s="165">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4.5" customHeight="1" s="165">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4.5" customHeight="1" s="165">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4.5" customHeight="1" s="165">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4.5" customHeight="1" s="165">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4.5" customHeight="1" s="165">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4.5" customHeight="1" s="165">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4.5" customHeight="1" s="165">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4.5" customHeight="1" s="16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4.5" customHeight="1" s="165">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4.5" customHeight="1" s="165">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4.5" customHeight="1" s="165">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4.5" customHeight="1" s="165">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4.5" customHeight="1" s="165">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4.5" customHeight="1" s="165">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4.5" customHeight="1" s="165">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4.5" customHeight="1" s="165">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4.5" customHeight="1" s="165">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4.5" customHeight="1" s="16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4.5" customHeight="1" s="165">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4.5" customHeight="1" s="165">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4.5" customHeight="1" s="165">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4.5" customHeight="1" s="165">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4.5" customHeight="1" s="165">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4.5" customHeight="1" s="165">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4.5" customHeight="1" s="165">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4.5" customHeight="1" s="165">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4.5" customHeight="1" s="165">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4.5" customHeight="1" s="16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4.5" customHeight="1" s="165">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4.5" customHeight="1" s="165">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4.5" customHeight="1" s="165">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4.5" customHeight="1" s="165">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4.5" customHeight="1" s="165">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4.5" customHeight="1" s="165">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4.5" customHeight="1" s="165">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4.5" customHeight="1" s="165">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4.5" customHeight="1" s="165">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4.5" customHeight="1" s="16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4.5" customHeight="1" s="165">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4.5" customHeight="1" s="165">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4.5" customHeight="1" s="165">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4.5" customHeight="1" s="165">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4.5" customHeight="1" s="165">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4.5" customHeight="1" s="165">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4.5" customHeight="1" s="165">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4.5" customHeight="1" s="165">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4.5" customHeight="1" s="165">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4.5" customHeight="1" s="16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4.5" customHeight="1" s="165">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4.5" customHeight="1" s="165">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4.5" customHeight="1" s="165">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4.5" customHeight="1" s="165">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4.5" customHeight="1" s="165">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4.5" customHeight="1" s="165">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4.5" customHeight="1" s="165">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4.5" customHeight="1" s="165">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4.5" customHeight="1" s="165">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4.5" customHeight="1" s="16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4.5" customHeight="1" s="165">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4.5" customHeight="1" s="165">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4.5" customHeight="1" s="165">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4.5" customHeight="1" s="165">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4.5" customHeight="1" s="165">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4.5" customHeight="1" s="165">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4.5" customHeight="1" s="165">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4.5" customHeight="1" s="165">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4.5" customHeight="1" s="165">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4.5" customHeight="1" s="16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4.5" customHeight="1" s="165">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4.5" customHeight="1" s="165">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4.5" customHeight="1" s="165">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4.5" customHeight="1" s="165">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4.5" customHeight="1" s="165">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4.5" customHeight="1" s="165">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4.5" customHeight="1" s="165">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4.5" customHeight="1" s="165">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4.5" customHeight="1" s="165">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4.5" customHeight="1" s="16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4.5" customHeight="1" s="165">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4.5" customHeight="1" s="165">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4.5" customHeight="1" s="165">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4.5" customHeight="1" s="165">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4.5" customHeight="1" s="165">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4.5" customHeight="1" s="165">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4.5" customHeight="1" s="165">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4.5" customHeight="1" s="165">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4.5" customHeight="1" s="165">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4.5" customHeight="1" s="1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4.5" customHeight="1" s="165">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4.5" customHeight="1" s="165">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4.5" customHeight="1" s="165">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4.5" customHeight="1" s="165">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4.5" customHeight="1" s="165">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4.5" customHeight="1" s="165">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4.5" customHeight="1" s="165">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4.5" customHeight="1" s="165">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4.5" customHeight="1" s="165">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4.5" customHeight="1" s="16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4.5" customHeight="1" s="165">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4.5" customHeight="1" s="165">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4.5" customHeight="1" s="165">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4.5" customHeight="1" s="165">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4.5" customHeight="1" s="165">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4.5" customHeight="1" s="165">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4.5" customHeight="1" s="165">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4.5" customHeight="1" s="165">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4.5" customHeight="1" s="165">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4.5" customHeight="1" s="16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4.5" customHeight="1" s="165">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4.5" customHeight="1" s="165">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4.5" customHeight="1" s="165">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4.5" customHeight="1" s="165">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4.5" customHeight="1" s="165">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4.5" customHeight="1" s="165">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4.5" customHeight="1" s="165">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4.5" customHeight="1" s="165">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4.5" customHeight="1" s="165">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4.5" customHeight="1" s="16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4.5" customHeight="1" s="165">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4.5" customHeight="1" s="165">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4.5" customHeight="1" s="165">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4.5" customHeight="1" s="165">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4.5" customHeight="1" s="165">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4.5" customHeight="1" s="165">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4.5" customHeight="1" s="165">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4.5" customHeight="1" s="165">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4.5" customHeight="1" s="165">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4.5" customHeight="1" s="16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4.5" customHeight="1" s="165">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4.5" customHeight="1" s="165">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4.5" customHeight="1" s="165">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4.5" customHeight="1" s="165">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4.5" customHeight="1" s="165">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4.5" customHeight="1" s="165">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4.5" customHeight="1" s="165">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4.5" customHeight="1" s="165">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4.5" customHeight="1" s="165">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4.5" customHeight="1" s="16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4.5" customHeight="1" s="165">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4.5" customHeight="1" s="165">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4.5" customHeight="1" s="165">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4.5" customHeight="1" s="165">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4.5" customHeight="1" s="165">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4.5" customHeight="1" s="165">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4.5" customHeight="1" s="165">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4.5" customHeight="1" s="165">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4.5" customHeight="1" s="165">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4.5" customHeight="1" s="16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4.5" customHeight="1" s="165">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4.5" customHeight="1" s="165">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4.5" customHeight="1" s="165">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4.5" customHeight="1" s="165">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4.5" customHeight="1" s="165">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4.5" customHeight="1" s="165">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4.5" customHeight="1" s="165">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4.5" customHeight="1" s="165">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4.5" customHeight="1" s="165">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4.5" customHeight="1" s="16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4.5" customHeight="1" s="165">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4.5" customHeight="1" s="165">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4.5" customHeight="1" s="165">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4.5" customHeight="1" s="165">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4.5" customHeight="1" s="165">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4.5" customHeight="1" s="165">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4.5" customHeight="1" s="165">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4.5" customHeight="1" s="165">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4.5" customHeight="1" s="165">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4.5" customHeight="1" s="16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4.5" customHeight="1" s="165">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4.5" customHeight="1" s="165">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4.5" customHeight="1" s="165">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4.5" customHeight="1" s="165">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4.5" customHeight="1" s="165">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4.5" customHeight="1" s="165">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4.5" customHeight="1" s="165">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4.5" customHeight="1" s="165">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4.5" customHeight="1" s="165">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4.5" customHeight="1" s="16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4.5" customHeight="1" s="165">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4.5" customHeight="1" s="165">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4.5" customHeight="1" s="165">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4.5" customHeight="1" s="165">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4.5" customHeight="1" s="165">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4.5" customHeight="1" s="165">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4.5" customHeight="1" s="165">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4.5" customHeight="1" s="165">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4.5" customHeight="1" s="165">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4.5" customHeight="1" s="1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4.5" customHeight="1" s="165">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4.5" customHeight="1" s="165">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4.5" customHeight="1" s="165">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4.5" customHeight="1" s="165">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4.5" customHeight="1" s="165">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4.5" customHeight="1" s="165">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4.5" customHeight="1" s="165">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4.5" customHeight="1" s="165">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4.5" customHeight="1" s="165">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4.5" customHeight="1" s="16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4.5" customHeight="1" s="165">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4.5" customHeight="1" s="165">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4.5" customHeight="1" s="165">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4.5" customHeight="1" s="165">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4.5" customHeight="1" s="165">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4.5" customHeight="1" s="165">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4.5" customHeight="1" s="165">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4.5" customHeight="1" s="165">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4.5" customHeight="1" s="165">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4.5" customHeight="1" s="16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4.5" customHeight="1" s="165">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4.5" customHeight="1" s="165">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4.5" customHeight="1" s="165">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4.5" customHeight="1" s="165">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4.5" customHeight="1" s="165">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4.5" customHeight="1" s="165">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4.5" customHeight="1" s="165">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4.5" customHeight="1" s="165">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4.5" customHeight="1" s="165">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4.5" customHeight="1" s="16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4.5" customHeight="1" s="165">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4.5" customHeight="1" s="165">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4.5" customHeight="1" s="165">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4.5" customHeight="1" s="165">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4.5" customHeight="1" s="165">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4.5" customHeight="1" s="165">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4.5" customHeight="1" s="165">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4.5" customHeight="1" s="165">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4.5" customHeight="1" s="165">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4.5" customHeight="1" s="16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4.5" customHeight="1" s="165">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4.5" customHeight="1" s="165">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4.5" customHeight="1" s="165">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4.5" customHeight="1" s="165">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4.5" customHeight="1" s="165">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4.5" customHeight="1" s="165">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4.5" customHeight="1" s="165">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4.5" customHeight="1" s="165">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4.5" customHeight="1" s="165">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4.5" customHeight="1" s="16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4.5" customHeight="1" s="165">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4.5" customHeight="1" s="165">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4.5" customHeight="1" s="165">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4.5" customHeight="1" s="165">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4.5" customHeight="1" s="165">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4.5" customHeight="1" s="165">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4.5" customHeight="1" s="165">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4.5" customHeight="1" s="165">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4.5" customHeight="1" s="165">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4.5" customHeight="1" s="16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4.5" customHeight="1" s="165">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4.5" customHeight="1" s="165">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4.5" customHeight="1" s="165">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4.5" customHeight="1" s="165">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4.5" customHeight="1" s="165">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4.5" customHeight="1" s="165">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4.5" customHeight="1" s="165">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4.5" customHeight="1" s="165">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4.5" customHeight="1" s="165">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4.5" customHeight="1" s="16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4.5" customHeight="1" s="165">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4.5" customHeight="1" s="165">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4.5" customHeight="1" s="165">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4.5" customHeight="1" s="165">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4.5" customHeight="1" s="165">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4.5" customHeight="1" s="165">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4.5" customHeight="1" s="165">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4.5" customHeight="1" s="165">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4.5" customHeight="1" s="165">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4.5" customHeight="1" s="16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4.5" customHeight="1" s="165">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4.5" customHeight="1" s="165">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4.5" customHeight="1" s="165">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4.5" customHeight="1" s="165">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4.5" customHeight="1" s="165">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4.5" customHeight="1" s="165">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4.5" customHeight="1" s="165">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4.5" customHeight="1" s="165">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4.5" customHeight="1" s="165">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4.5" customHeight="1" s="16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4.5" customHeight="1" s="165">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4.5" customHeight="1" s="165">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4.5" customHeight="1" s="165">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4.5" customHeight="1" s="165">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4.5" customHeight="1" s="165">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4.5" customHeight="1" s="165">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4.5" customHeight="1" s="165">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4.5" customHeight="1" s="165">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4.5" customHeight="1" s="165">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4.5" customHeight="1" s="1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4.5" customHeight="1" s="165">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4.5" customHeight="1" s="165">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4.5" customHeight="1" s="165">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4.5" customHeight="1" s="165">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4.5" customHeight="1" s="165">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4.5" customHeight="1" s="165">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4.5" customHeight="1" s="165">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4.5" customHeight="1" s="165">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4.5" customHeight="1" s="165">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4.5" customHeight="1" s="16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4.5" customHeight="1" s="165">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4.5" customHeight="1" s="165">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4.5" customHeight="1" s="165">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4.5" customHeight="1" s="165">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4.5" customHeight="1" s="165">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4.5" customHeight="1" s="165">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4.5" customHeight="1" s="165">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4.5" customHeight="1" s="165">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4.5" customHeight="1" s="165">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4.5" customHeight="1" s="16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4.5" customHeight="1" s="165">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4.5" customHeight="1" s="165">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4.5" customHeight="1" s="165">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4.5" customHeight="1" s="165">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4.5" customHeight="1" s="165">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4.5" customHeight="1" s="165">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4.5" customHeight="1" s="165">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4.5" customHeight="1" s="165">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4.5" customHeight="1" s="165">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4.5" customHeight="1" s="16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4.5" customHeight="1" s="165">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4.5" customHeight="1" s="165">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4.5" customHeight="1" s="165">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4.5" customHeight="1" s="165">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4.5" customHeight="1" s="165">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4.5" customHeight="1" s="165">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4.5" customHeight="1" s="165">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4.5" customHeight="1" s="165">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4.5" customHeight="1" s="165">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4.5" customHeight="1" s="16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4.5" customHeight="1" s="165">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4.5" customHeight="1" s="165">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4.5" customHeight="1" s="165">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4.5" customHeight="1" s="165">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4.5" customHeight="1" s="165">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4.5" customHeight="1" s="165">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4.5" customHeight="1" s="165">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4.5" customHeight="1" s="165">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4.5" customHeight="1" s="165">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4.5" customHeight="1" s="16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4.5" customHeight="1" s="165">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4.5" customHeight="1" s="165">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4.5" customHeight="1" s="165">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4.5" customHeight="1" s="165">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4.5" customHeight="1" s="165">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4.5" customHeight="1" s="165">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4.5" customHeight="1" s="165">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4.5" customHeight="1" s="165">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4.5" customHeight="1" s="165">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4.5" customHeight="1" s="16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4.5" customHeight="1" s="165">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4.5" customHeight="1" s="165">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4.5" customHeight="1" s="165">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4.5" customHeight="1" s="165">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4.5" customHeight="1" s="165">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4.5" customHeight="1" s="165">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4.5" customHeight="1" s="165">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4.5" customHeight="1" s="165">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4.5" customHeight="1" s="165">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4.5" customHeight="1" s="16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4.5" customHeight="1" s="165">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4.5" customHeight="1" s="165">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4.5" customHeight="1" s="165">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4.5" customHeight="1" s="165">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4.5" customHeight="1" s="165">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4.5" customHeight="1" s="165">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4.5" customHeight="1" s="165">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4.5" customHeight="1" s="165">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4.5" customHeight="1" s="165">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4.5" customHeight="1" s="16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4.5" customHeight="1" s="165">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4.5" customHeight="1" s="165">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4.5" customHeight="1" s="165">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4.5" customHeight="1" s="165">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4.5" customHeight="1" s="165">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4.5" customHeight="1" s="165">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4.5" customHeight="1" s="165">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4.5" customHeight="1" s="165">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4.5" customHeight="1" s="165">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4.5" customHeight="1" s="16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4.5" customHeight="1" s="165">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4.5" customHeight="1" s="165">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4.5" customHeight="1" s="165">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4.5" customHeight="1" s="165">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4.5" customHeight="1" s="165">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4.5" customHeight="1" s="165">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4.5" customHeight="1" s="165">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4.5" customHeight="1" s="165">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4.5" customHeight="1" s="165">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4.5" customHeight="1" s="1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4.5" customHeight="1" s="165">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4.5" customHeight="1" s="165">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4.5" customHeight="1" s="165">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4.5" customHeight="1" s="165">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4.5" customHeight="1" s="165">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4.5" customHeight="1" s="165">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4.5" customHeight="1" s="165">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4.5" customHeight="1" s="165">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4.5" customHeight="1" s="165">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4.5" customHeight="1" s="16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4.5" customHeight="1" s="165">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4.5" customHeight="1" s="165">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4.5" customHeight="1" s="165">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4.5" customHeight="1" s="165">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4.5" customHeight="1" s="165">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4.5" customHeight="1" s="165">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4.5" customHeight="1" s="165">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4.5" customHeight="1" s="165">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4.5" customHeight="1" s="165">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4.5" customHeight="1" s="16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4.5" customHeight="1" s="165">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4.5" customHeight="1" s="165">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4.5" customHeight="1" s="165">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4.5" customHeight="1" s="165">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4.5" customHeight="1" s="165">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4.5" customHeight="1" s="165">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4.5" customHeight="1" s="165">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4.5" customHeight="1" s="165">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4.5" customHeight="1" s="165">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4.5" customHeight="1" s="16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4.5" customHeight="1" s="165">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4.5" customHeight="1" s="165">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4.5" customHeight="1" s="165">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4.5" customHeight="1" s="165">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4.5" customHeight="1" s="165">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4.5" customHeight="1" s="165">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4.5" customHeight="1" s="165">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4.5" customHeight="1" s="165">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4.5" customHeight="1" s="165">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4.5" customHeight="1" s="16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4.5" customHeight="1" s="165">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4.5" customHeight="1" s="165">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4.5" customHeight="1" s="165">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4.5" customHeight="1" s="165">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4.5" customHeight="1" s="165">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4.5" customHeight="1" s="165">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4.5" customHeight="1" s="165">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4.5" customHeight="1" s="165">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4.5" customHeight="1" s="165">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4.5" customHeight="1" s="16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4.5" customHeight="1" s="165">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4.5" customHeight="1" s="165">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4.5" customHeight="1" s="165">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4.5" customHeight="1" s="165">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4.5" customHeight="1" s="165">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4.5" customHeight="1" s="165">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4.5" customHeight="1" s="165">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4.5" customHeight="1" s="165">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4.5" customHeight="1" s="165">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4.5" customHeight="1" s="16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4.5" customHeight="1" s="165">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4.5" customHeight="1" s="165">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4.5" customHeight="1" s="165">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4.5" customHeight="1" s="165">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4.5" customHeight="1" s="165">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4.5" customHeight="1" s="165">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4.5" customHeight="1" s="165">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4.5" customHeight="1" s="165">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4.5" customHeight="1" s="165">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4.5" customHeight="1" s="16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4.5" customHeight="1" s="165">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4.5" customHeight="1" s="165">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4.5" customHeight="1" s="165">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4.5" customHeight="1" s="165">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4.5" customHeight="1" s="165">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4.5" customHeight="1" s="165">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4.5" customHeight="1" s="165">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4.5" customHeight="1" s="165">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4.5" customHeight="1" s="165">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4.5" customHeight="1" s="16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4.5" customHeight="1" s="165">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4.5" customHeight="1" s="165">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4.5" customHeight="1" s="165">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4.5" customHeight="1" s="165">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4.5" customHeight="1" s="165">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4.5" customHeight="1" s="165">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4.5" customHeight="1" s="165">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4.5" customHeight="1" s="165">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4.5" customHeight="1" s="165">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4.5" customHeight="1" s="16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4.5" customHeight="1" s="165">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4.5" customHeight="1" s="165">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4.5" customHeight="1" s="165">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4.5" customHeight="1" s="165">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4.5" customHeight="1" s="165">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4.5" customHeight="1" s="165">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4.5" customHeight="1" s="165">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4.5" customHeight="1" s="165">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4.5" customHeight="1" s="165">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4.5" customHeight="1" s="1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4.5" customHeight="1" s="165">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4.5" customHeight="1" s="165">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4.5" customHeight="1" s="165">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4.5" customHeight="1" s="165">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4.5" customHeight="1" s="165">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4.5" customHeight="1" s="165">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4.5" customHeight="1" s="165">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4.5" customHeight="1" s="165">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4.5" customHeight="1" s="165">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4.5" customHeight="1" s="16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4.5" customHeight="1" s="165">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4.5" customHeight="1" s="165">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4.5" customHeight="1" s="165">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4.5" customHeight="1" s="165">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4.5" customHeight="1" s="165">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4.5" customHeight="1" s="165">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4.5" customHeight="1" s="165">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4.5" customHeight="1" s="165">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4.5" customHeight="1" s="165">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4.5" customHeight="1" s="16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4.5" customHeight="1" s="165">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4.5" customHeight="1" s="165">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4.5" customHeight="1" s="165">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4.5" customHeight="1" s="165">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4.5" customHeight="1" s="165">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4.5" customHeight="1" s="165">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4.5" customHeight="1" s="165">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4.5" customHeight="1" s="165">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4.5" customHeight="1" s="165">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4.5" customHeight="1" s="16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4.5" customHeight="1" s="165">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4.5" customHeight="1" s="165">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4.5" customHeight="1" s="165">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4.5" customHeight="1" s="165">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4.5" customHeight="1" s="165">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4.5" customHeight="1" s="165">
      <c r="A1001" s="7"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sheetData>
  <dataValidations count="1">
    <dataValidation sqref="B1" showDropDown="0" showInputMessage="0" showErrorMessage="1" allowBlank="1" type="list">
      <formula1>"gering,normal,stark"</formula1>
    </dataValidation>
  </dataValidations>
  <pageMargins left="0.75" right="0.75" top="1" bottom="1" header="0.5" footer="0.5"/>
</worksheet>
</file>

<file path=xl/worksheets/sheet5.xml><?xml version="1.0" encoding="utf-8"?>
<worksheet xmlns="http://schemas.openxmlformats.org/spreadsheetml/2006/main">
  <sheetPr>
    <tabColor rgb="FF0000FF"/>
    <outlinePr summaryBelow="1" summaryRight="1"/>
    <pageSetUpPr/>
  </sheetPr>
  <dimension ref="A1:AA991"/>
  <sheetViews>
    <sheetView workbookViewId="0">
      <pane ySplit="1" topLeftCell="A2" activePane="bottomLeft" state="frozen"/>
      <selection activeCell="L4" sqref="L4"/>
      <selection pane="bottomLeft" activeCell="C24" sqref="C24"/>
    </sheetView>
  </sheetViews>
  <sheetFormatPr baseColWidth="10" defaultColWidth="14.453125" defaultRowHeight="15" customHeight="1"/>
  <cols>
    <col width="30.08984375" customWidth="1" style="165" min="1" max="1"/>
    <col width="17.08984375" customWidth="1" style="165" min="2" max="2"/>
    <col width="30.08984375" customWidth="1" style="165" min="3" max="3"/>
    <col width="49.7265625" customWidth="1" style="165" min="4" max="4"/>
    <col width="42.453125" customWidth="1" style="165" min="5" max="6"/>
    <col width="30.08984375" customWidth="1" style="165" min="7" max="27"/>
  </cols>
  <sheetData>
    <row r="1" ht="14.25" customHeight="1" s="165">
      <c r="A1" s="12" t="inlineStr">
        <is>
          <t>ZENTRALE EINGABEWERTE</t>
        </is>
      </c>
      <c r="B1" s="12" t="inlineStr">
        <is>
          <t>Wert</t>
        </is>
      </c>
      <c r="C1" s="12" t="inlineStr">
        <is>
          <t>Erklärung / Hinweis</t>
        </is>
      </c>
      <c r="D1" s="13" t="inlineStr">
        <is>
          <t>Bemerkungen</t>
        </is>
      </c>
      <c r="E1" s="14" t="inlineStr">
        <is>
          <t>Szenarioauswahl: gering, normal, stark</t>
        </is>
      </c>
      <c r="F1" s="7" t="n"/>
      <c r="G1" s="7" t="n"/>
      <c r="H1" s="7" t="n"/>
      <c r="I1" s="7" t="n"/>
      <c r="J1" s="7" t="n"/>
      <c r="K1" s="7" t="n"/>
      <c r="L1" s="7" t="n"/>
      <c r="M1" s="7" t="n"/>
      <c r="N1" s="7" t="n"/>
      <c r="O1" s="7" t="n"/>
      <c r="P1" s="7" t="n"/>
      <c r="Q1" s="7" t="n"/>
      <c r="R1" s="7" t="n"/>
      <c r="S1" s="7" t="n"/>
      <c r="T1" s="7" t="n"/>
      <c r="U1" s="7" t="n"/>
      <c r="V1" s="7" t="n"/>
      <c r="W1" s="7" t="n"/>
      <c r="X1" s="7" t="n"/>
      <c r="Y1" s="7" t="n"/>
      <c r="Z1" s="7" t="n"/>
      <c r="AA1" s="7" t="n"/>
    </row>
    <row r="2" ht="86.5" customHeight="1" s="165">
      <c r="A2" s="201" t="inlineStr">
        <is>
          <t>To Do 10.3.26:
*   Den Begriff Consulting verändern in Implementierungs Support.
*   Checken ob die wesentlichen Parameter in Bezug auf Kostenhöhe et cetera abgeglichen worden sind mit den Informationen aus der Tabelle für den initialen Startpunkt Funding ideation Phase.
*   Einen anderen Kostensatz annehmen in Bezug auf Anwaltskosten.
*   Checken ob die absoluten Kostenhöhen so passen.
*   Checken welche Annahmen hinter den Produkt Feature Entwicklungen stecken können.
*   Wie es mit der entsprechenden Mannschaft eine Produktentwicklung und ein Rollout stattfinden kann wie er geplant ist.
*   Berücksichtigen dass einerseits Produkte gebaut andererseits aber auch Implementierung Projekte geleitet und umgesetzt werden müssen.
*   Diese Fragen auch auf das Thema Customer Success und Sales beziehungsweise Investor Relations ausrollen.
*   Prüfen ob Olaf René für diese Aufgaben ausreichend Zeit und Kapazität haben.
*   Mouaz in der Lage ist in dem verfügbaren Zeitrahmen diese Aufgaben umzusetzen, was realistischerweise berücksichtigt werden muss um diese Aufgaben tatsächlich auch umzusetzen.
*   Ziel sollte eine Szenario beschreibungs sein der besprochenen Vorgehensweise.
*   Ziel sollte auch sein hier die entsprechenden Bezüge zu den einzelnen Phasen herzustellen und genau zu beschreiben was in jeder Phase gemacht wird, was in jeder Phase kundenseitig und Revenue-seitig erreicht werden muss, welche Anforderungen damit verbunden sind und wie die Kunden gefunden werden sollen.
*   Also sprich wie viele Letters of Intent, wie viele Pilot-Kunden brauchen wir, in welchen Branchen und was bedeutet das Final für das Produkt.</t>
        </is>
      </c>
      <c r="E2" s="16">
        <f>'00_Input_Sandbox'!$B$1</f>
        <v/>
      </c>
      <c r="F2" s="7" t="n"/>
      <c r="G2" s="7" t="n"/>
      <c r="H2" s="7" t="n"/>
      <c r="I2" s="7" t="n"/>
      <c r="J2" s="7" t="n"/>
      <c r="K2" s="7" t="n"/>
      <c r="L2" s="7" t="n"/>
      <c r="M2" s="7" t="n"/>
      <c r="N2" s="7" t="n"/>
      <c r="O2" s="7" t="n"/>
      <c r="P2" s="7" t="n"/>
      <c r="Q2" s="7" t="n"/>
      <c r="R2" s="7" t="n"/>
      <c r="S2" s="7" t="n"/>
      <c r="T2" s="7" t="n"/>
      <c r="U2" s="7" t="n"/>
      <c r="V2" s="7" t="n"/>
      <c r="W2" s="7" t="n"/>
      <c r="X2" s="7" t="n"/>
      <c r="Y2" s="7" t="n"/>
      <c r="Z2" s="7" t="n"/>
      <c r="AA2" s="7" t="n"/>
    </row>
    <row r="3" ht="14.25" customHeight="1" s="165">
      <c r="A3" s="17" t="inlineStr">
        <is>
          <t>ALLGEMEINE EINSTELLUNGEN</t>
        </is>
      </c>
      <c r="B3" s="18" t="n"/>
      <c r="C3" s="18" t="n"/>
      <c r="D3" s="18"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row>
    <row r="4" ht="14.25" customHeight="1" s="165">
      <c r="A4" s="19" t="inlineStr">
        <is>
          <t>Firmenname</t>
        </is>
      </c>
      <c r="B4" s="20" t="inlineStr">
        <is>
          <t>LoopforgeLab GmbH</t>
        </is>
      </c>
      <c r="C4" s="21" t="inlineStr">
        <is>
          <t>Name des Unternehmens</t>
        </is>
      </c>
      <c r="D4" s="21"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row>
    <row r="5" ht="14.25" customHeight="1" s="165">
      <c r="A5" s="19" t="inlineStr">
        <is>
          <t>Startdatum</t>
        </is>
      </c>
      <c r="B5" s="22" t="n">
        <v>46113</v>
      </c>
      <c r="C5" s="21" t="inlineStr">
        <is>
          <t>Beginn der Projektionen</t>
        </is>
      </c>
      <c r="D5" s="21"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row>
    <row r="6" ht="14.25" customHeight="1" s="165">
      <c r="A6" s="19" t="inlineStr">
        <is>
          <t>Währung</t>
        </is>
      </c>
      <c r="B6" s="20" t="inlineStr">
        <is>
          <t>EUR</t>
        </is>
      </c>
      <c r="C6" s="21" t="inlineStr">
        <is>
          <t>EUR für DACH-Startups</t>
        </is>
      </c>
      <c r="D6" s="21"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row>
    <row r="7" ht="14.25" customHeight="1" s="165">
      <c r="A7" s="19" t="inlineStr">
        <is>
          <t>Steuersatz</t>
        </is>
      </c>
      <c r="B7" s="23" t="n">
        <v>0.3</v>
      </c>
      <c r="C7" s="21" t="inlineStr">
        <is>
          <t>KSt + GewSt (~30% in DE)</t>
        </is>
      </c>
      <c r="D7" s="24" t="inlineStr">
        <is>
          <t>Übernahme des Standardsatzes (KSt + GewSt in Deutschland).</t>
        </is>
      </c>
      <c r="E7" s="7" t="n"/>
      <c r="F7" s="7" t="n"/>
      <c r="G7" s="7" t="n"/>
      <c r="H7" s="7" t="n"/>
      <c r="I7" s="7" t="n"/>
      <c r="J7" s="7" t="n"/>
      <c r="K7" s="7" t="n"/>
      <c r="L7" s="7" t="n"/>
      <c r="M7" s="7" t="n"/>
      <c r="N7" s="7" t="n"/>
      <c r="O7" s="7" t="n"/>
      <c r="P7" s="7" t="n"/>
      <c r="Q7" s="7" t="n"/>
      <c r="R7" s="7" t="n"/>
      <c r="S7" s="7" t="n"/>
      <c r="T7" s="7" t="n"/>
      <c r="U7" s="7" t="n"/>
      <c r="V7" s="7" t="n"/>
      <c r="W7" s="7" t="n"/>
      <c r="X7" s="7" t="n"/>
      <c r="Y7" s="7" t="n"/>
      <c r="Z7" s="7" t="n"/>
      <c r="AA7" s="7" t="n"/>
    </row>
    <row r="8" ht="14.25" customHeight="1" s="165">
      <c r="A8" s="7" t="n"/>
      <c r="B8" s="7" t="n"/>
      <c r="C8" s="7" t="n"/>
      <c r="D8" s="15"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row>
    <row r="9" ht="14.25" customHeight="1" s="165">
      <c r="A9" s="17" t="inlineStr">
        <is>
          <t>FINANZIERUNGSRUNDEN</t>
        </is>
      </c>
      <c r="B9" s="18" t="n"/>
      <c r="C9" s="18" t="n"/>
      <c r="D9" s="18"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row>
    <row r="10" ht="14.25" customHeight="1" s="165">
      <c r="A10" s="19" t="inlineStr">
        <is>
          <t>Ideation Phase</t>
        </is>
      </c>
      <c r="B10" s="25" t="n">
        <v>90000</v>
      </c>
      <c r="C10" s="21" t="inlineStr">
        <is>
          <t>Typisch: 100.000-500.000€</t>
        </is>
      </c>
      <c r="D10" s="24" t="inlineStr">
        <is>
          <t>Phase: 1.4.26 bis 15.7.2026
MVP-Anschubfinanzierung; stellt keine Unternehmensbewertung dar.</t>
        </is>
      </c>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row>
    <row r="11" ht="14.25" customHeight="1" s="165">
      <c r="A11" s="19" t="inlineStr">
        <is>
          <t>Ideation Phase</t>
        </is>
      </c>
      <c r="B11" s="20" t="n">
        <v>1</v>
      </c>
      <c r="C11" s="21" t="inlineStr">
        <is>
          <t>Monat der Einzahlung</t>
        </is>
      </c>
      <c r="D11" s="24" t="inlineStr">
        <is>
          <t>MVP-Entwicklung und IP-Aufbau starten unmittelbar.</t>
        </is>
      </c>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row>
    <row r="12" ht="14.25" customHeight="1" s="165">
      <c r="A12" s="19" t="inlineStr">
        <is>
          <t>Pre-Seed Betrag</t>
        </is>
      </c>
      <c r="B12" s="25" t="n">
        <v>1500000</v>
      </c>
      <c r="C12" s="21" t="inlineStr">
        <is>
          <t>Typisch: 500.000-2.000.000€</t>
        </is>
      </c>
      <c r="D12" s="24" t="inlineStr">
        <is>
          <t>Pre-Seed Phase ab VC Pitch im Juli '26 (1.5M-3M Bewertung).</t>
        </is>
      </c>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row>
    <row r="13" ht="14.25" customHeight="1" s="165">
      <c r="A13" s="19" t="inlineStr">
        <is>
          <t>Pre-Seed Monat</t>
        </is>
      </c>
      <c r="B13" s="20" t="n">
        <v>5</v>
      </c>
      <c r="C13" s="21" t="inlineStr">
        <is>
          <t>Typisch: Monat 5</t>
        </is>
      </c>
      <c r="D13" s="24" t="inlineStr">
        <is>
          <t xml:space="preserve">Juli 2026 entspricht Monat 5 Fokus auf Pilot-Traction. </t>
        </is>
      </c>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row>
    <row r="14" ht="14.25" customHeight="1" s="165">
      <c r="A14" s="19" t="inlineStr">
        <is>
          <t>Seed Betrag</t>
        </is>
      </c>
      <c r="B14" s="25" t="n">
        <v>4000000</v>
      </c>
      <c r="C14" s="21" t="inlineStr">
        <is>
          <t>Typisch: 3.000.000-10.000.000€</t>
        </is>
      </c>
      <c r="D14" s="24" t="inlineStr">
        <is>
          <t>Abhängig von Pilotprojekten und Reife des Produktes</t>
        </is>
      </c>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row>
    <row r="15" ht="14.25" customHeight="1" s="165">
      <c r="A15" s="19" t="inlineStr">
        <is>
          <t>Seed Monat</t>
        </is>
      </c>
      <c r="B15" s="20" t="n">
        <v>17</v>
      </c>
      <c r="C15" s="21" t="inlineStr">
        <is>
          <t>Typisch: Monat 17</t>
        </is>
      </c>
      <c r="D15" s="24" t="inlineStr">
        <is>
          <t>Geplant für Mitte 2027.</t>
        </is>
      </c>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row>
    <row r="16" ht="14.25" customHeight="1" s="165">
      <c r="A16" s="19" t="inlineStr">
        <is>
          <t>Series A Betrag</t>
        </is>
      </c>
      <c r="B16" s="25" t="n">
        <v>10000000</v>
      </c>
      <c r="C16" s="21" t="inlineStr">
        <is>
          <t>Typisch: 10.000.000-25.000.000€</t>
        </is>
      </c>
      <c r="D16" s="24" t="inlineStr">
        <is>
          <t>Vorerst unverändert als langfristige Wachstumsambition.</t>
        </is>
      </c>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row>
    <row r="17" ht="14.25" customHeight="1" s="165">
      <c r="A17" s="19" t="inlineStr">
        <is>
          <t>Series A Monat</t>
        </is>
      </c>
      <c r="B17" s="20" t="n">
        <v>36</v>
      </c>
      <c r="C17" s="21" t="inlineStr">
        <is>
          <t>Typisch: Monat 35</t>
        </is>
      </c>
      <c r="D17" s="24" t="inlineStr">
        <is>
          <t>Geplant für Herbst 2028.</t>
        </is>
      </c>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row>
    <row r="18" ht="14.25" customHeight="1" s="165">
      <c r="A18" s="7" t="n"/>
      <c r="B18" s="7" t="n"/>
      <c r="C18" s="7" t="n"/>
      <c r="D18" s="15"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row>
    <row r="19" ht="14.25" customHeight="1" s="165">
      <c r="A19" s="17" t="inlineStr">
        <is>
          <t>REVENUE-ANNAHMEN (SaaS/ARR)</t>
        </is>
      </c>
      <c r="B19" s="18" t="n"/>
      <c r="C19" s="18" t="n"/>
      <c r="D19" s="18"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row>
    <row r="20" ht="14.25" customHeight="1" s="165">
      <c r="A20" s="19" t="inlineStr">
        <is>
          <t>Startpreis pro Seat/Jahr</t>
        </is>
      </c>
      <c r="B20" s="26">
        <f>VLOOKUP("Startpreis Seat/Monat",'00_Input_Sandbox'!$B$2:$F$19,IF('00_Input_Sandbox'!$B$1="gering",3,IF('00_Input_Sandbox'!$B$1="normal",4,5)),FALSE)*12</f>
        <v/>
      </c>
      <c r="C20" s="21" t="inlineStr">
        <is>
          <t>Jährliche Lizenzgebühr pro Nutzer</t>
        </is>
      </c>
      <c r="D20" s="21" t="inlineStr">
        <is>
          <t>1. Realistisch? Hängt auch ab vom Business Modell..Pricing basierend auf Wettbewerb oder auf voraussichtlichem Einsparpotential?
2. weitere Erlösquellen? Beratung? Implementierungsaufwand?
Hybrid-Modell: Deckt Fixkosten und partizipiert am TCO-Einsparwert. [1]</t>
        </is>
      </c>
      <c r="E20" s="15" t="n"/>
      <c r="F20" s="15"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G20" s="7" t="n"/>
      <c r="H20" s="7" t="n"/>
      <c r="I20" s="7" t="n"/>
      <c r="J20" s="7" t="n"/>
      <c r="K20" s="7" t="n"/>
      <c r="L20" s="7" t="n"/>
      <c r="M20" s="7" t="n"/>
      <c r="N20" s="7" t="n"/>
      <c r="O20" s="7" t="n"/>
      <c r="P20" s="7" t="n"/>
      <c r="Q20" s="7" t="n"/>
      <c r="R20" s="7" t="n"/>
      <c r="S20" s="7" t="n"/>
      <c r="T20" s="7" t="n"/>
      <c r="U20" s="7" t="n"/>
      <c r="V20" s="7" t="n"/>
      <c r="W20" s="7" t="n"/>
      <c r="X20" s="7" t="n"/>
      <c r="Y20" s="7" t="n"/>
      <c r="Z20" s="7" t="n"/>
      <c r="AA20" s="7" t="n"/>
    </row>
    <row r="21" ht="14.25" customHeight="1" s="165">
      <c r="A21" s="19" t="inlineStr">
        <is>
          <t>Preiserhöhung/Jahr</t>
        </is>
      </c>
      <c r="B21" s="27" t="n">
        <v>0.05</v>
      </c>
      <c r="C21" s="21" t="inlineStr">
        <is>
          <t>Typisch: 3-5% p.a.</t>
        </is>
      </c>
      <c r="D21" s="24" t="inlineStr">
        <is>
          <t>Standard für AI-SaaS 2026 (Kompensation Inferenz/Innovation). [4]</t>
        </is>
      </c>
      <c r="E21" s="24" t="n"/>
      <c r="F21" s="24" t="n"/>
      <c r="G21" s="7" t="n"/>
      <c r="H21" s="7" t="n"/>
      <c r="I21" s="7" t="n"/>
      <c r="J21" s="7" t="n"/>
      <c r="K21" s="7" t="n"/>
      <c r="L21" s="7" t="n"/>
      <c r="M21" s="7" t="n"/>
      <c r="N21" s="7" t="n"/>
      <c r="O21" s="7" t="n"/>
      <c r="P21" s="7" t="n"/>
      <c r="Q21" s="7" t="n"/>
      <c r="R21" s="7" t="n"/>
      <c r="S21" s="7" t="n"/>
      <c r="T21" s="7" t="n"/>
      <c r="U21" s="7" t="n"/>
      <c r="V21" s="7" t="n"/>
      <c r="W21" s="7" t="n"/>
      <c r="X21" s="7" t="n"/>
      <c r="Y21" s="7" t="n"/>
      <c r="Z21" s="7" t="n"/>
      <c r="AA21" s="7" t="n"/>
    </row>
    <row r="22" ht="14.25" customHeight="1" s="165">
      <c r="A22" s="19" t="inlineStr">
        <is>
          <t>Erste zahlende Kunden Monat</t>
        </is>
      </c>
      <c r="B22" s="26">
        <f>VLOOKUP("Startmonat Kunden",'00_Input_Sandbox'!$B$2:$F$19,IF('00_Input_Sandbox'!$B$1="gering",3,IF('00_Input_Sandbox'!$B$1="normal",4,5)),FALSE)</f>
        <v/>
      </c>
      <c r="C22" s="21" t="inlineStr">
        <is>
          <t>Wann erster Umsatz?</t>
        </is>
      </c>
      <c r="D22" s="21" t="inlineStr">
        <is>
          <t>Erster Umsatz in Monat 8 (Start: 04/26)…Realistisch? Wie lange Lead-Time? Zielkunden? Beachhead-Market?
Weitere Begründung: wenn im Automotivebereich: Puffer für Sales-Zyklen (9-12 Mon.) und TISAX im Mittelstand. [1</t>
        </is>
      </c>
      <c r="E22" s="24" t="n"/>
      <c r="F22" s="24" t="n"/>
      <c r="G22" s="7" t="n"/>
      <c r="H22" s="7" t="n"/>
      <c r="I22" s="7" t="n"/>
      <c r="J22" s="7" t="n"/>
      <c r="K22" s="7" t="n"/>
      <c r="L22" s="7" t="n"/>
      <c r="M22" s="7" t="n"/>
      <c r="N22" s="7" t="n"/>
      <c r="O22" s="7" t="n"/>
      <c r="P22" s="7" t="n"/>
      <c r="Q22" s="7" t="n"/>
      <c r="R22" s="7" t="n"/>
      <c r="S22" s="7" t="n"/>
      <c r="T22" s="7" t="n"/>
      <c r="U22" s="7" t="n"/>
      <c r="V22" s="7" t="n"/>
      <c r="W22" s="7" t="n"/>
      <c r="X22" s="7" t="n"/>
      <c r="Y22" s="7" t="n"/>
      <c r="Z22" s="7" t="n"/>
      <c r="AA22" s="7" t="n"/>
    </row>
    <row r="23" ht="14.25" customHeight="1" s="165">
      <c r="A23" s="19" t="inlineStr">
        <is>
          <t>Initiale Seats</t>
        </is>
      </c>
      <c r="B23" s="20" t="n">
        <v>3</v>
      </c>
      <c r="C23" s="21" t="inlineStr">
        <is>
          <t>Anzahl Seats beim Kunden</t>
        </is>
      </c>
      <c r="D23" s="21" t="inlineStr">
        <is>
          <t>Realistisch? Hängt von Kundengrösse ab. Implementierungsaufwand je Kunde mit einkalkulieren
weitere Aspekte: Kalkulieren mit 1-2 Projekten/ Start mit Pilotprojekten (Werke) zur ROI-Validierung ("Land&amp;Expand")</t>
        </is>
      </c>
      <c r="E23" s="24" t="n"/>
      <c r="F23" s="24" t="n"/>
      <c r="G23" s="7" t="n"/>
      <c r="H23" s="7" t="n"/>
      <c r="I23" s="7" t="n"/>
      <c r="J23" s="7" t="n"/>
      <c r="K23" s="7" t="n"/>
      <c r="L23" s="7" t="n"/>
      <c r="M23" s="7" t="n"/>
      <c r="N23" s="7" t="n"/>
      <c r="O23" s="7" t="n"/>
      <c r="P23" s="7" t="n"/>
      <c r="Q23" s="7" t="n"/>
      <c r="R23" s="7" t="n"/>
      <c r="S23" s="7" t="n"/>
      <c r="T23" s="7" t="n"/>
      <c r="U23" s="7" t="n"/>
      <c r="V23" s="7" t="n"/>
      <c r="W23" s="7" t="n"/>
      <c r="X23" s="7" t="n"/>
      <c r="Y23" s="7" t="n"/>
      <c r="Z23" s="7" t="n"/>
      <c r="AA23" s="7" t="n"/>
    </row>
    <row r="24" ht="14.25" customHeight="1" s="165">
      <c r="A24" s="19" t="inlineStr">
        <is>
          <t>Monatliche Seat-Wachstumsrate</t>
        </is>
      </c>
      <c r="B24" s="23" t="n">
        <v>0.03</v>
      </c>
      <c r="C24" s="21" t="inlineStr">
        <is>
          <t>Wachstum neue Seats/Monat</t>
        </is>
      </c>
      <c r="D24" s="28"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24" t="n"/>
      <c r="F24" s="24" t="n"/>
      <c r="G24" s="7" t="n"/>
      <c r="H24" s="7" t="n"/>
      <c r="I24" s="7" t="n"/>
      <c r="J24" s="7" t="n"/>
      <c r="K24" s="7" t="n"/>
      <c r="L24" s="7" t="n"/>
      <c r="M24" s="7" t="n"/>
      <c r="N24" s="7" t="n"/>
      <c r="O24" s="7" t="n"/>
      <c r="P24" s="7" t="n"/>
      <c r="Q24" s="7" t="n"/>
      <c r="R24" s="7" t="n"/>
      <c r="S24" s="7" t="n"/>
      <c r="T24" s="7" t="n"/>
      <c r="U24" s="7" t="n"/>
      <c r="V24" s="7" t="n"/>
      <c r="W24" s="7" t="n"/>
      <c r="X24" s="7" t="n"/>
      <c r="Y24" s="7" t="n"/>
      <c r="Z24" s="7" t="n"/>
      <c r="AA24" s="7" t="n"/>
    </row>
    <row r="25" ht="14.25" customHeight="1" s="165">
      <c r="A25" s="19" t="inlineStr">
        <is>
          <t>Enterprise-Deals ab Monat</t>
        </is>
      </c>
      <c r="B25" s="20" t="n">
        <v>20</v>
      </c>
      <c r="C25" s="21" t="inlineStr">
        <is>
          <t xml:space="preserve">Fokus auf Packaging Industrie
Wenn Automotive: Verschiebung durch längere Technical Validation und Compliance-Hürden. </t>
        </is>
      </c>
      <c r="D25" s="21" t="inlineStr">
        <is>
          <t>Start ab Fertigstellung MVP in der Seed Phase</t>
        </is>
      </c>
      <c r="E25" s="24" t="n"/>
      <c r="F25" s="24"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G25" s="7" t="n"/>
      <c r="H25" s="7" t="n"/>
      <c r="I25" s="7" t="n"/>
      <c r="J25" s="7" t="n"/>
      <c r="K25" s="7" t="n"/>
      <c r="L25" s="7" t="n"/>
      <c r="M25" s="7" t="n"/>
      <c r="N25" s="7" t="n"/>
      <c r="O25" s="7" t="n"/>
      <c r="P25" s="7" t="n"/>
      <c r="Q25" s="7" t="n"/>
      <c r="R25" s="7" t="n"/>
      <c r="S25" s="7" t="n"/>
      <c r="T25" s="7" t="n"/>
      <c r="U25" s="7" t="n"/>
      <c r="V25" s="7" t="n"/>
      <c r="W25" s="7" t="n"/>
      <c r="X25" s="7" t="n"/>
      <c r="Y25" s="7" t="n"/>
      <c r="Z25" s="7" t="n"/>
      <c r="AA25" s="7" t="n"/>
    </row>
    <row r="26" ht="14.25" customHeight="1" s="165">
      <c r="A26" s="19" t="inlineStr">
        <is>
          <t>Durchschnitt Enterprise ARR</t>
        </is>
      </c>
      <c r="B26" s="25" t="n">
        <v>25000</v>
      </c>
      <c r="C26" s="21" t="inlineStr">
        <is>
          <t>Typisch: 50.000-200.000€/Jahr</t>
        </is>
      </c>
      <c r="D26" s="24" t="inlineStr">
        <is>
          <t>Höheres Volumen durch Tiefe der Integration: hier Annahme von weiteren Benefits wie Einbeziehung von DPP &amp; Sustainability</t>
        </is>
      </c>
      <c r="E26" s="29" t="n"/>
      <c r="F26" s="29" t="n"/>
      <c r="G26" s="7" t="n"/>
      <c r="H26" s="7" t="n"/>
      <c r="I26" s="7" t="n"/>
      <c r="J26" s="7" t="n"/>
      <c r="K26" s="7" t="n"/>
      <c r="L26" s="7" t="n"/>
      <c r="M26" s="7" t="n"/>
      <c r="N26" s="7" t="n"/>
      <c r="O26" s="7" t="n"/>
      <c r="P26" s="7" t="n"/>
      <c r="Q26" s="7" t="n"/>
      <c r="R26" s="7" t="n"/>
      <c r="S26" s="7" t="n"/>
      <c r="T26" s="7" t="n"/>
      <c r="U26" s="7" t="n"/>
      <c r="V26" s="7" t="n"/>
      <c r="W26" s="7" t="n"/>
      <c r="X26" s="7" t="n"/>
      <c r="Y26" s="7" t="n"/>
      <c r="Z26" s="7" t="n"/>
      <c r="AA26" s="7" t="n"/>
    </row>
    <row r="27" ht="14.25" customHeight="1" s="165">
      <c r="A27" s="19" t="inlineStr">
        <is>
          <t>Enterprise Deals pro Quartal</t>
        </is>
      </c>
      <c r="B27" s="20" t="n">
        <v>1</v>
      </c>
      <c r="C27" s="21" t="inlineStr">
        <is>
          <t>Neue Enterprise-Deals pro Quartal</t>
        </is>
      </c>
      <c r="D27" s="21" t="n"/>
      <c r="E27" s="24" t="n"/>
      <c r="F27" s="24" t="n"/>
      <c r="G27" s="7" t="n"/>
      <c r="H27" s="7" t="n"/>
      <c r="I27" s="7" t="n"/>
      <c r="J27" s="7" t="n"/>
      <c r="K27" s="7" t="n"/>
      <c r="L27" s="7" t="n"/>
      <c r="M27" s="7" t="n"/>
      <c r="N27" s="7" t="n"/>
      <c r="O27" s="7" t="n"/>
      <c r="P27" s="7" t="n"/>
      <c r="Q27" s="7" t="n"/>
      <c r="R27" s="7" t="n"/>
      <c r="S27" s="7" t="n"/>
      <c r="T27" s="7" t="n"/>
      <c r="U27" s="7" t="n"/>
      <c r="V27" s="7" t="n"/>
      <c r="W27" s="7" t="n"/>
      <c r="X27" s="7" t="n"/>
      <c r="Y27" s="7" t="n"/>
      <c r="Z27" s="7" t="n"/>
      <c r="AA27" s="7" t="n"/>
    </row>
    <row r="28" ht="14.25" customHeight="1" s="165">
      <c r="A28" s="19" t="inlineStr">
        <is>
          <t>Jährliche Churn Rate</t>
        </is>
      </c>
      <c r="B28" s="97">
        <f>VLOOKUP("Churn Rate",'00_Input_Sandbox'!$B$2:$F$19,IF('00_Input_Sandbox'!$B$1="gering",3,IF('00_Input_Sandbox'!$B$1="normal",4,5)),FALSE)</f>
        <v/>
      </c>
      <c r="C28" s="21" t="inlineStr">
        <is>
          <t>Jährliche Churn Rate (szenarioabhängig): Gering=10% | Normal=6% | Stark=3%</t>
        </is>
      </c>
      <c r="D28" s="21" t="inlineStr">
        <is>
          <t>Treiber-Matrix: Churn jetzt szenarioabhängig (vorher fest 15%). Automotive: 10% (Budgetzyklen). Packaging: 3% (hoher Switching-Cost).</t>
        </is>
      </c>
      <c r="E28" s="24" t="n"/>
      <c r="F28" s="24" t="n"/>
      <c r="G28" s="7" t="n"/>
      <c r="H28" s="7" t="n"/>
      <c r="I28" s="7" t="n"/>
      <c r="J28" s="7" t="n"/>
      <c r="K28" s="7" t="n"/>
      <c r="L28" s="7" t="n"/>
      <c r="M28" s="7" t="n"/>
      <c r="N28" s="7" t="n"/>
      <c r="O28" s="7" t="n"/>
      <c r="P28" s="7" t="n"/>
      <c r="Q28" s="7" t="n"/>
      <c r="R28" s="7" t="n"/>
      <c r="S28" s="7" t="n"/>
      <c r="T28" s="7" t="n"/>
      <c r="U28" s="7" t="n"/>
      <c r="V28" s="7" t="n"/>
      <c r="W28" s="7" t="n"/>
      <c r="X28" s="7" t="n"/>
      <c r="Y28" s="7" t="n"/>
      <c r="Z28" s="7" t="n"/>
      <c r="AA28" s="7" t="n"/>
    </row>
    <row r="29" ht="14.25" customHeight="1" s="165">
      <c r="A29" s="19" t="inlineStr">
        <is>
          <t>Net Revenue Retention</t>
        </is>
      </c>
      <c r="B29" s="98">
        <f>VLOOKUP("Net Revenue Retention (NRR)",'00_Input_Sandbox'!$B$2:$F$19,IF('00_Input_Sandbox'!$B$1="gering",3,IF('00_Input_Sandbox'!$B$1="normal",4,5)),FALSE)</f>
        <v/>
      </c>
      <c r="C29" s="21" t="inlineStr">
        <is>
          <t>Net Revenue Retention (szenarioabhängig): Gering=105% | Normal=115% | Stark=130%</t>
        </is>
      </c>
      <c r="D29" s="21" t="inlineStr">
        <is>
          <t>Treiber-Matrix: NRR jetzt szenarioabhängig (vorher fest 125%). Expansion-Umsatz minus Churn. NRR&gt;100%=Bestandskunden wachsen.</t>
        </is>
      </c>
      <c r="E29" s="24" t="n"/>
      <c r="F29" s="24" t="n"/>
      <c r="G29" s="7" t="n"/>
      <c r="H29" s="7" t="n"/>
      <c r="I29" s="7" t="n"/>
      <c r="J29" s="7" t="n"/>
      <c r="K29" s="7" t="n"/>
      <c r="L29" s="7" t="n"/>
      <c r="M29" s="7" t="n"/>
      <c r="N29" s="7" t="n"/>
      <c r="O29" s="7" t="n"/>
      <c r="P29" s="7" t="n"/>
      <c r="Q29" s="7" t="n"/>
      <c r="R29" s="7" t="n"/>
      <c r="S29" s="7" t="n"/>
      <c r="T29" s="7" t="n"/>
      <c r="U29" s="7" t="n"/>
      <c r="V29" s="7" t="n"/>
      <c r="W29" s="7" t="n"/>
      <c r="X29" s="7" t="n"/>
      <c r="Y29" s="7" t="n"/>
      <c r="Z29" s="7" t="n"/>
      <c r="AA29" s="7" t="n"/>
    </row>
    <row r="30" ht="14.25" customHeight="1" s="165">
      <c r="A30" s="7" t="n"/>
      <c r="B30" s="7" t="n"/>
      <c r="C30" s="7" t="n"/>
      <c r="D30" s="15"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row>
    <row r="31" ht="14.25" customHeight="1" s="165">
      <c r="A31" s="17" t="inlineStr">
        <is>
          <t>GEHÄLTER (Brutto/Jahr)</t>
        </is>
      </c>
      <c r="B31" s="18" t="n"/>
      <c r="C31" s="18" t="n"/>
      <c r="D31" s="18"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row>
    <row r="32" ht="14.25" customHeight="1" s="165">
      <c r="A32" s="19" t="inlineStr">
        <is>
          <t>CEO Gehalt</t>
        </is>
      </c>
      <c r="B32" s="177" t="n">
        <v>100000</v>
      </c>
      <c r="C32" s="21" t="inlineStr">
        <is>
          <t>Bestätigtes Gründergehalt: CEO/CTO/CCO je €100.000/Jahr (Brutto)</t>
        </is>
      </c>
      <c r="D32" s="238" t="inlineStr">
        <is>
          <t>Rene: negotiatable for Ideation Phase</t>
        </is>
      </c>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row>
    <row r="33" ht="14.25" customHeight="1" s="165">
      <c r="A33" s="19" t="inlineStr">
        <is>
          <t>CTO Gehalt</t>
        </is>
      </c>
      <c r="B33" s="25" t="n">
        <v>100000</v>
      </c>
      <c r="C33" s="21" t="inlineStr">
        <is>
          <t>Bestätigtes Gründergehalt: CEO/CTO/CCO je €100.000/Jahr (Brutto)</t>
        </is>
      </c>
      <c r="D33" s="21"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row>
    <row r="34" ht="14.25" customHeight="1" s="165">
      <c r="A34" s="19" t="inlineStr">
        <is>
          <t>CCO Gehalt</t>
        </is>
      </c>
      <c r="B34" s="25" t="n">
        <v>100000</v>
      </c>
      <c r="C34" s="21" t="inlineStr">
        <is>
          <t>Bestätigtes Gründergehalt: CEO/CTO/CCO je €100.000/Jahr (Brutto)</t>
        </is>
      </c>
      <c r="D34" s="21"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row>
    <row r="35" ht="14.25" customHeight="1" s="165">
      <c r="A35" s="236" t="inlineStr">
        <is>
          <t>Software Developer</t>
        </is>
      </c>
      <c r="B35" s="25" t="n">
        <v>75000</v>
      </c>
      <c r="C35" s="21" t="inlineStr">
        <is>
          <t>Typisch: 55.000-90.000€</t>
        </is>
      </c>
      <c r="D35" s="24" t="inlineStr">
        <is>
          <t>Source: various Sources (https://claude.ai/chat/0f63ea1a-6930-460c-954d-87864e88929e)</t>
        </is>
      </c>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row>
    <row r="36" ht="14.25" customHeight="1" s="165">
      <c r="A36" s="236" t="inlineStr">
        <is>
          <t>Junior Software Developer</t>
        </is>
      </c>
      <c r="B36" s="25" t="n">
        <v>52000</v>
      </c>
      <c r="C36" s="21" t="inlineStr">
        <is>
          <t>Typisch: 42.000-58.000€</t>
        </is>
      </c>
      <c r="D36" s="24" t="inlineStr">
        <is>
          <t>Source: various Sources (https://claude.ai/chat/0f63ea1a-6930-460c-954d-87864e88929e)</t>
        </is>
      </c>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row>
    <row r="37" ht="14.25" customHeight="1" s="165">
      <c r="A37" s="236" t="inlineStr">
        <is>
          <t>ML/AI Engineer Gehalt</t>
        </is>
      </c>
      <c r="B37" s="25" t="n">
        <v>70000</v>
      </c>
      <c r="C37" s="21" t="inlineStr">
        <is>
          <t>Typisch: 50.000-125.000€</t>
        </is>
      </c>
      <c r="D37" s="24" t="inlineStr">
        <is>
          <t>Source: various Sources (https://claude.ai/chat/0f63ea1a-6930-460c-954d-87864e88929e)</t>
        </is>
      </c>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row>
    <row r="38" ht="14.25" customHeight="1" s="165">
      <c r="A38" s="236" t="inlineStr">
        <is>
          <t>Site Reliability Engineer</t>
        </is>
      </c>
      <c r="B38" s="25" t="n">
        <v>70000</v>
      </c>
      <c r="C38" s="21" t="inlineStr">
        <is>
          <t>Typisch: 50.000-110.000€</t>
        </is>
      </c>
      <c r="D38" s="24" t="inlineStr">
        <is>
          <t>Source: various Sources (https://claude.ai/chat/0f63ea1a-6930-460c-954d-87864e88929e)</t>
        </is>
      </c>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row>
    <row r="39" ht="14.25" customFormat="1" customHeight="1" s="178">
      <c r="A39" s="237" t="inlineStr">
        <is>
          <t>UX/UI Designer</t>
        </is>
      </c>
      <c r="B39" s="232" t="n">
        <v>50000</v>
      </c>
      <c r="C39" s="21" t="inlineStr">
        <is>
          <t>Typisch: 42.000-80.000€</t>
        </is>
      </c>
      <c r="D39" s="24" t="inlineStr">
        <is>
          <t>Source: various Sources (https://claude.ai/chat/0f63ea1a-6930-460c-954d-87864e88929e)</t>
        </is>
      </c>
      <c r="E39" s="235" t="n"/>
      <c r="F39" s="235" t="n"/>
      <c r="G39" s="235" t="n"/>
      <c r="H39" s="235" t="n"/>
      <c r="I39" s="235" t="n"/>
      <c r="J39" s="235" t="n"/>
      <c r="K39" s="235" t="n"/>
      <c r="L39" s="235" t="n"/>
      <c r="M39" s="235" t="n"/>
      <c r="N39" s="235" t="n"/>
      <c r="O39" s="235" t="n"/>
      <c r="P39" s="235" t="n"/>
      <c r="Q39" s="235" t="n"/>
      <c r="R39" s="235" t="n"/>
      <c r="S39" s="235" t="n"/>
      <c r="T39" s="235" t="n"/>
      <c r="U39" s="235" t="n"/>
      <c r="V39" s="235" t="n"/>
      <c r="W39" s="235" t="n"/>
      <c r="X39" s="235" t="n"/>
      <c r="Y39" s="235" t="n"/>
      <c r="Z39" s="235" t="n"/>
      <c r="AA39" s="235" t="n"/>
    </row>
    <row r="40" ht="30.5" customFormat="1" customHeight="1" s="178">
      <c r="A40" s="237" t="inlineStr">
        <is>
          <t>Mechanical Engineer (incl. SoftwareDev)</t>
        </is>
      </c>
      <c r="B40" s="232" t="n">
        <v>70000</v>
      </c>
      <c r="C40" s="21" t="inlineStr">
        <is>
          <t>Typisch: 45.000-85.000€</t>
        </is>
      </c>
      <c r="D40" s="24" t="inlineStr">
        <is>
          <t>Source: various Sources (https://claude.ai/chat/0f63ea1a-6930-460c-954d-87864e88929e)</t>
        </is>
      </c>
      <c r="E40" s="235" t="n"/>
      <c r="F40" s="235" t="n"/>
      <c r="G40" s="235" t="n"/>
      <c r="H40" s="235" t="n"/>
      <c r="I40" s="235" t="n"/>
      <c r="J40" s="235" t="n"/>
      <c r="K40" s="235" t="n"/>
      <c r="L40" s="235" t="n"/>
      <c r="M40" s="235" t="n"/>
      <c r="N40" s="235" t="n"/>
      <c r="O40" s="235" t="n"/>
      <c r="P40" s="235" t="n"/>
      <c r="Q40" s="235" t="n"/>
      <c r="R40" s="235" t="n"/>
      <c r="S40" s="235" t="n"/>
      <c r="T40" s="235" t="n"/>
      <c r="U40" s="235" t="n"/>
      <c r="V40" s="235" t="n"/>
      <c r="W40" s="235" t="n"/>
      <c r="X40" s="235" t="n"/>
      <c r="Y40" s="235" t="n"/>
      <c r="Z40" s="235" t="n"/>
      <c r="AA40" s="235" t="n"/>
    </row>
    <row r="41" ht="14.25" customHeight="1" s="165">
      <c r="A41" s="19" t="inlineStr">
        <is>
          <t>Customer Key Account Gehalt</t>
        </is>
      </c>
      <c r="B41" s="25" t="n">
        <v>100000</v>
      </c>
      <c r="C41" s="21" t="inlineStr">
        <is>
          <t>Typisch: 50.000-70.000€ + Provision</t>
        </is>
      </c>
      <c r="D41" s="24" t="inlineStr">
        <is>
          <t>Split 50/50 (65k fix + 65k var); zwingend für Enterprise-Vertrieb. [12</t>
        </is>
      </c>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row>
    <row r="42" ht="14.25" customHeight="1" s="165">
      <c r="A42" s="19" t="inlineStr">
        <is>
          <t>Marketing Manager Gehalt</t>
        </is>
      </c>
      <c r="B42" s="25" t="n">
        <v>65000</v>
      </c>
      <c r="C42" s="21" t="inlineStr">
        <is>
          <t>Typisch: 55.000-75.000€</t>
        </is>
      </c>
      <c r="D42" s="24" t="inlineStr">
        <is>
          <t>Anpassung an Marktniveau für B2B-Industrie-Spezialisten.</t>
        </is>
      </c>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row>
    <row r="43" ht="14.25" customFormat="1" customHeight="1" s="178">
      <c r="A43" s="240" t="inlineStr">
        <is>
          <t>Marketing Assistant Gehalt</t>
        </is>
      </c>
      <c r="B43" s="232" t="n">
        <v>45000</v>
      </c>
      <c r="C43" s="233" t="n"/>
      <c r="D43" s="234" t="n"/>
      <c r="E43" s="235" t="n"/>
      <c r="F43" s="235" t="n"/>
      <c r="G43" s="235" t="n"/>
      <c r="H43" s="235" t="n"/>
      <c r="I43" s="235" t="n"/>
      <c r="J43" s="235" t="n"/>
      <c r="K43" s="235" t="n"/>
      <c r="L43" s="235" t="n"/>
      <c r="M43" s="235" t="n"/>
      <c r="N43" s="235" t="n"/>
      <c r="O43" s="235" t="n"/>
      <c r="P43" s="235" t="n"/>
      <c r="Q43" s="235" t="n"/>
      <c r="R43" s="235" t="n"/>
      <c r="S43" s="235" t="n"/>
      <c r="T43" s="235" t="n"/>
      <c r="U43" s="235" t="n"/>
      <c r="V43" s="235" t="n"/>
      <c r="W43" s="235" t="n"/>
      <c r="X43" s="235" t="n"/>
      <c r="Y43" s="235" t="n"/>
      <c r="Z43" s="235" t="n"/>
      <c r="AA43" s="235" t="n"/>
    </row>
    <row r="44" ht="14.25" customHeight="1" s="165">
      <c r="A44" s="19" t="inlineStr">
        <is>
          <t>Customer Success Gehalt</t>
        </is>
      </c>
      <c r="B44" s="25" t="n">
        <v>52000</v>
      </c>
      <c r="C44" s="21" t="inlineStr">
        <is>
          <t>Typisch: 45.000-60.000€</t>
        </is>
      </c>
      <c r="D44" s="24"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row>
    <row r="45" ht="14.25" customHeight="1" s="165">
      <c r="A45" s="19" t="inlineStr">
        <is>
          <t>Office Manager Gehalt</t>
        </is>
      </c>
      <c r="B45" s="25" t="n">
        <v>45000</v>
      </c>
      <c r="C45" s="21" t="inlineStr">
        <is>
          <t>Typisch: 40.000-50.000€</t>
        </is>
      </c>
      <c r="D45" s="21"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row>
    <row r="46" ht="14.25" customHeight="1" s="165">
      <c r="A46" s="19" t="inlineStr">
        <is>
          <t>Finance Manager</t>
        </is>
      </c>
      <c r="B46" s="25" t="n">
        <v>80000</v>
      </c>
      <c r="C46" s="21" t="n"/>
      <c r="D46" s="24"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row>
    <row r="47" ht="14.25" customHeight="1" s="165">
      <c r="A47" s="19" t="inlineStr">
        <is>
          <t>Jährliche Gehaltserhöhung</t>
        </is>
      </c>
      <c r="B47" s="27" t="n">
        <v>0.03</v>
      </c>
      <c r="C47" s="21" t="inlineStr">
        <is>
          <t>Typisch: 3-5%</t>
        </is>
      </c>
      <c r="D47" s="24" t="inlineStr">
        <is>
          <t>Berücksichtigt Inflations- und Kompetenzentwicklung im Tech-Sektor.</t>
        </is>
      </c>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row>
    <row r="48" ht="14.25" customHeight="1" s="165">
      <c r="A48" s="19" t="inlineStr">
        <is>
          <t>Lohnnebenkosten</t>
        </is>
      </c>
      <c r="B48" s="23" t="n">
        <v>0.21</v>
      </c>
      <c r="C48" s="21" t="inlineStr">
        <is>
          <t>AG-Anteil Sozialversicherung ~20-21%</t>
        </is>
      </c>
      <c r="D48" s="24" t="inlineStr">
        <is>
          <t>Übernahme des gesetzlichen AG-Anteils.</t>
        </is>
      </c>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row>
    <row r="49" ht="14.25" customHeight="1" s="165">
      <c r="A49" s="7" t="n"/>
      <c r="B49" s="7" t="n"/>
      <c r="C49" s="7" t="n"/>
      <c r="D49" s="15"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row>
    <row r="50" ht="14.25" customHeight="1" s="165">
      <c r="A50" s="17" t="inlineStr">
        <is>
          <t>EINSTELLUNGSPLAN (Eintrittsmonat)</t>
        </is>
      </c>
      <c r="B50" s="30" t="inlineStr">
        <is>
          <t>geplanter Bedarf/ Zeitpunkt des geplanten Eintritts</t>
        </is>
      </c>
      <c r="C50" s="31" t="inlineStr">
        <is>
          <t>WICHTIG: KEINE Zeilen löschen. Wenn nicht benötigt, einfach SPALTE B nicht befüllen</t>
        </is>
      </c>
      <c r="D50" s="30" t="n"/>
      <c r="E50" s="32" t="inlineStr">
        <is>
          <t>Tatsächlicher Eintritt ins Unternehmen</t>
        </is>
      </c>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row>
    <row r="51" ht="14.25" customHeight="1" s="165">
      <c r="A51" s="19" t="inlineStr">
        <is>
          <t>1. Software Developer</t>
        </is>
      </c>
      <c r="B51" s="7" t="n">
        <v>5</v>
      </c>
      <c r="C51" s="21" t="inlineStr">
        <is>
          <t>Software Developer</t>
        </is>
      </c>
      <c r="D51" s="24" t="n"/>
      <c r="E51" s="16">
        <f>B51</f>
        <v/>
      </c>
      <c r="F51" s="24" t="n"/>
      <c r="G51" s="7" t="n"/>
      <c r="H51" s="7" t="n"/>
      <c r="I51" s="7" t="n"/>
      <c r="J51" s="7" t="n"/>
      <c r="K51" s="7" t="n"/>
      <c r="L51" s="7" t="n"/>
      <c r="M51" s="7" t="n"/>
      <c r="N51" s="7" t="n"/>
      <c r="O51" s="7" t="n"/>
      <c r="P51" s="7" t="n"/>
      <c r="Q51" s="7" t="n"/>
      <c r="R51" s="7" t="n"/>
      <c r="S51" s="7" t="n"/>
      <c r="T51" s="7" t="n"/>
      <c r="U51" s="7" t="n"/>
      <c r="V51" s="7" t="n"/>
      <c r="W51" s="7" t="n"/>
      <c r="X51" s="7" t="n"/>
      <c r="Y51" s="7" t="n"/>
      <c r="Z51" s="7" t="n"/>
      <c r="AA51" s="7" t="n"/>
    </row>
    <row r="52" ht="14.25" customHeight="1" s="165">
      <c r="A52" s="19" t="inlineStr">
        <is>
          <t>2. Software Developer</t>
        </is>
      </c>
      <c r="B52" s="20" t="n">
        <v>17</v>
      </c>
      <c r="C52" s="21" t="inlineStr">
        <is>
          <t>Software Developer</t>
        </is>
      </c>
      <c r="D52" s="24" t="n"/>
      <c r="E52" s="16">
        <f>B52</f>
        <v/>
      </c>
      <c r="F52" s="24" t="n"/>
      <c r="G52" s="7" t="n"/>
      <c r="H52" s="7" t="n"/>
      <c r="I52" s="7" t="n"/>
      <c r="J52" s="7" t="n"/>
      <c r="K52" s="7" t="n"/>
      <c r="L52" s="7" t="n"/>
      <c r="M52" s="7" t="n"/>
      <c r="N52" s="7" t="n"/>
      <c r="O52" s="7" t="n"/>
      <c r="P52" s="7" t="n"/>
      <c r="Q52" s="7" t="n"/>
      <c r="R52" s="7" t="n"/>
      <c r="S52" s="7" t="n"/>
      <c r="T52" s="7" t="n"/>
      <c r="U52" s="7" t="n"/>
      <c r="V52" s="7" t="n"/>
      <c r="W52" s="7" t="n"/>
      <c r="X52" s="7" t="n"/>
      <c r="Y52" s="7" t="n"/>
      <c r="Z52" s="7" t="n"/>
      <c r="AA52" s="7" t="n"/>
    </row>
    <row r="53" ht="14.25" customHeight="1" s="165">
      <c r="A53" s="19" t="inlineStr">
        <is>
          <t>1. Junior Software Developer</t>
        </is>
      </c>
      <c r="B53" s="20" t="n">
        <v>9</v>
      </c>
      <c r="C53" s="21" t="inlineStr">
        <is>
          <t>Junior Developer</t>
        </is>
      </c>
      <c r="D53" s="24" t="n"/>
      <c r="E53" s="16">
        <f>B53</f>
        <v/>
      </c>
      <c r="F53" s="24" t="n"/>
      <c r="G53" s="7" t="n"/>
      <c r="H53" s="7" t="n"/>
      <c r="I53" s="7" t="n"/>
      <c r="J53" s="7" t="n"/>
      <c r="K53" s="7" t="n"/>
      <c r="L53" s="7" t="n"/>
      <c r="M53" s="7" t="n"/>
      <c r="N53" s="7" t="n"/>
      <c r="O53" s="7" t="n"/>
      <c r="P53" s="7" t="n"/>
      <c r="Q53" s="7" t="n"/>
      <c r="R53" s="7" t="n"/>
      <c r="S53" s="7" t="n"/>
      <c r="T53" s="7" t="n"/>
      <c r="U53" s="7" t="n"/>
      <c r="V53" s="7" t="n"/>
      <c r="W53" s="7" t="n"/>
      <c r="X53" s="7" t="n"/>
      <c r="Y53" s="7" t="n"/>
      <c r="Z53" s="7" t="n"/>
      <c r="AA53" s="7" t="n"/>
    </row>
    <row r="54" ht="14.25" customHeight="1" s="165">
      <c r="A54" s="19" t="inlineStr">
        <is>
          <t>1. ML/AI Engineer</t>
        </is>
      </c>
      <c r="B54" s="20" t="n">
        <v>8</v>
      </c>
      <c r="C54" s="21" t="inlineStr">
        <is>
          <t>ML/AI Spezialist</t>
        </is>
      </c>
      <c r="D54" s="24" t="n"/>
      <c r="E54" s="16">
        <f>B54</f>
        <v/>
      </c>
      <c r="F54" s="24" t="n"/>
      <c r="G54" s="7" t="n"/>
      <c r="H54" s="7" t="n"/>
      <c r="I54" s="7" t="n"/>
      <c r="J54" s="7" t="n"/>
      <c r="K54" s="7" t="n"/>
      <c r="L54" s="7" t="n"/>
      <c r="M54" s="7" t="n"/>
      <c r="N54" s="7" t="n"/>
      <c r="O54" s="7" t="n"/>
      <c r="P54" s="7" t="n"/>
      <c r="Q54" s="7" t="n"/>
      <c r="R54" s="7" t="n"/>
      <c r="S54" s="7" t="n"/>
      <c r="T54" s="7" t="n"/>
      <c r="U54" s="7" t="n"/>
      <c r="V54" s="7" t="n"/>
      <c r="W54" s="7" t="n"/>
      <c r="X54" s="7" t="n"/>
      <c r="Y54" s="7" t="n"/>
      <c r="Z54" s="7" t="n"/>
      <c r="AA54" s="7" t="n"/>
    </row>
    <row r="55" ht="14.25" customHeight="1" s="165">
      <c r="A55" s="19" t="inlineStr">
        <is>
          <t>1. Mechanical Engineer</t>
        </is>
      </c>
      <c r="B55" s="20" t="n">
        <v>11</v>
      </c>
      <c r="C55" s="21" t="inlineStr">
        <is>
          <t>Mec Engineer/Developer</t>
        </is>
      </c>
      <c r="D55" s="185" t="inlineStr">
        <is>
          <t>combining mechanical engineering with CAD automation, robotics software, or embedded systems</t>
        </is>
      </c>
      <c r="E55" s="16">
        <f>B55</f>
        <v/>
      </c>
      <c r="F55" s="24" t="n"/>
      <c r="G55" s="7" t="n"/>
      <c r="H55" s="7" t="n"/>
      <c r="I55" s="7" t="n"/>
      <c r="J55" s="7" t="n"/>
      <c r="K55" s="7" t="n"/>
      <c r="L55" s="7" t="n"/>
      <c r="M55" s="7" t="n"/>
      <c r="N55" s="7" t="n"/>
      <c r="O55" s="7" t="n"/>
      <c r="P55" s="7" t="n"/>
      <c r="Q55" s="7" t="n"/>
      <c r="R55" s="7" t="n"/>
      <c r="S55" s="7" t="n"/>
      <c r="T55" s="7" t="n"/>
      <c r="U55" s="7" t="n"/>
      <c r="V55" s="7" t="n"/>
      <c r="W55" s="7" t="n"/>
      <c r="X55" s="7" t="n"/>
      <c r="Y55" s="7" t="n"/>
      <c r="Z55" s="7" t="n"/>
      <c r="AA55" s="7" t="n"/>
    </row>
    <row r="56" ht="14.25" customHeight="1" s="165">
      <c r="A56" s="19" t="inlineStr">
        <is>
          <t>1. UX/UI Designer</t>
        </is>
      </c>
      <c r="B56" s="20" t="n">
        <v>12</v>
      </c>
      <c r="C56" s="21" t="inlineStr">
        <is>
          <t>UX/UI Designer</t>
        </is>
      </c>
      <c r="D56" s="24" t="n"/>
      <c r="E56" s="16">
        <f>B56</f>
        <v/>
      </c>
      <c r="F56" s="24" t="n"/>
      <c r="G56" s="7" t="n"/>
      <c r="H56" s="7" t="n"/>
      <c r="I56" s="7" t="n"/>
      <c r="J56" s="7" t="n"/>
      <c r="K56" s="7" t="n"/>
      <c r="L56" s="7" t="n"/>
      <c r="M56" s="7" t="n"/>
      <c r="N56" s="7" t="n"/>
      <c r="O56" s="7" t="n"/>
      <c r="P56" s="7" t="n"/>
      <c r="Q56" s="7" t="n"/>
      <c r="R56" s="7" t="n"/>
      <c r="S56" s="7" t="n"/>
      <c r="T56" s="7" t="n"/>
      <c r="U56" s="7" t="n"/>
      <c r="V56" s="7" t="n"/>
      <c r="W56" s="7" t="n"/>
      <c r="X56" s="7" t="n"/>
      <c r="Y56" s="7" t="n"/>
      <c r="Z56" s="7" t="n"/>
      <c r="AA56" s="7" t="n"/>
    </row>
    <row r="57" ht="14.25" customHeight="1" s="165">
      <c r="A57" s="19" t="inlineStr">
        <is>
          <t>1. Customer Key Account</t>
        </is>
      </c>
      <c r="B57" s="20" t="n">
        <v>17</v>
      </c>
      <c r="C57" s="21" t="inlineStr">
        <is>
          <t>Sales &amp; Key Account DACH</t>
        </is>
      </c>
      <c r="D57" s="24" t="n"/>
      <c r="E57" s="16">
        <f>B57</f>
        <v/>
      </c>
      <c r="F57" s="24" t="n"/>
      <c r="G57" s="7" t="n"/>
      <c r="H57" s="7" t="n"/>
      <c r="I57" s="7" t="n"/>
      <c r="J57" s="7" t="n"/>
      <c r="K57" s="7" t="n"/>
      <c r="L57" s="7" t="n"/>
      <c r="M57" s="7" t="n"/>
      <c r="N57" s="7" t="n"/>
      <c r="O57" s="7" t="n"/>
      <c r="P57" s="7" t="n"/>
      <c r="Q57" s="7" t="n"/>
      <c r="R57" s="7" t="n"/>
      <c r="S57" s="7" t="n"/>
      <c r="T57" s="7" t="n"/>
      <c r="U57" s="7" t="n"/>
      <c r="V57" s="7" t="n"/>
      <c r="W57" s="7" t="n"/>
      <c r="X57" s="7" t="n"/>
      <c r="Y57" s="7" t="n"/>
      <c r="Z57" s="7" t="n"/>
      <c r="AA57" s="7" t="n"/>
    </row>
    <row r="58" ht="14.25" customFormat="1" customHeight="1" s="178">
      <c r="A58" s="240" t="inlineStr">
        <is>
          <t>2. Customer Key Account</t>
        </is>
      </c>
      <c r="B58" s="239" t="n">
        <v>20</v>
      </c>
      <c r="C58" s="21" t="inlineStr">
        <is>
          <t>Sales &amp; Key Account DACH</t>
        </is>
      </c>
      <c r="D58" s="234" t="n"/>
      <c r="E58" s="186">
        <f>B58</f>
        <v/>
      </c>
      <c r="F58" s="234" t="n"/>
      <c r="G58" s="235" t="n"/>
      <c r="H58" s="235" t="n"/>
      <c r="I58" s="235" t="n"/>
      <c r="J58" s="235" t="n"/>
      <c r="K58" s="235" t="n"/>
      <c r="L58" s="235" t="n"/>
      <c r="M58" s="235" t="n"/>
      <c r="N58" s="235" t="n"/>
      <c r="O58" s="235" t="n"/>
      <c r="P58" s="235" t="n"/>
      <c r="Q58" s="235" t="n"/>
      <c r="R58" s="235" t="n"/>
      <c r="S58" s="235" t="n"/>
      <c r="T58" s="235" t="n"/>
      <c r="U58" s="235" t="n"/>
      <c r="V58" s="235" t="n"/>
      <c r="W58" s="235" t="n"/>
      <c r="X58" s="235" t="n"/>
      <c r="Y58" s="235" t="n"/>
      <c r="Z58" s="235" t="n"/>
      <c r="AA58" s="235" t="n"/>
    </row>
    <row r="59" ht="14.25" customFormat="1" customHeight="1" s="178">
      <c r="A59" s="240" t="inlineStr">
        <is>
          <t>3. Customer Key Account</t>
        </is>
      </c>
      <c r="B59" s="239" t="n">
        <v>29</v>
      </c>
      <c r="C59" s="21" t="inlineStr">
        <is>
          <t>Sales &amp; Key Account PL/CZ/Benelux</t>
        </is>
      </c>
      <c r="D59" s="234" t="n"/>
      <c r="E59" s="186">
        <f>B59</f>
        <v/>
      </c>
      <c r="F59" s="234" t="n"/>
      <c r="G59" s="235" t="n"/>
      <c r="H59" s="235" t="n"/>
      <c r="I59" s="235" t="n"/>
      <c r="J59" s="235" t="n"/>
      <c r="K59" s="235" t="n"/>
      <c r="L59" s="235" t="n"/>
      <c r="M59" s="235" t="n"/>
      <c r="N59" s="235" t="n"/>
      <c r="O59" s="235" t="n"/>
      <c r="P59" s="235" t="n"/>
      <c r="Q59" s="235" t="n"/>
      <c r="R59" s="235" t="n"/>
      <c r="S59" s="235" t="n"/>
      <c r="T59" s="235" t="n"/>
      <c r="U59" s="235" t="n"/>
      <c r="V59" s="235" t="n"/>
      <c r="W59" s="235" t="n"/>
      <c r="X59" s="235" t="n"/>
      <c r="Y59" s="235" t="n"/>
      <c r="Z59" s="235" t="n"/>
      <c r="AA59" s="235" t="n"/>
    </row>
    <row r="60" ht="14.25" customHeight="1" s="165">
      <c r="A60" s="19" t="inlineStr">
        <is>
          <t>1. Marketing Assistant</t>
        </is>
      </c>
      <c r="B60" s="20" t="n">
        <v>20</v>
      </c>
      <c r="C60" s="21" t="inlineStr">
        <is>
          <t>Marketing Support</t>
        </is>
      </c>
      <c r="D60" s="24" t="n"/>
      <c r="E60" s="16">
        <f>B60</f>
        <v/>
      </c>
      <c r="F60" s="24" t="n"/>
      <c r="G60" s="7" t="n"/>
      <c r="H60" s="7" t="n"/>
      <c r="I60" s="7" t="n"/>
      <c r="J60" s="7" t="n"/>
      <c r="K60" s="7" t="n"/>
      <c r="L60" s="7" t="n"/>
      <c r="M60" s="7" t="n"/>
      <c r="N60" s="7" t="n"/>
      <c r="O60" s="7" t="n"/>
      <c r="P60" s="7" t="n"/>
      <c r="Q60" s="7" t="n"/>
      <c r="R60" s="7" t="n"/>
      <c r="S60" s="7" t="n"/>
      <c r="T60" s="7" t="n"/>
      <c r="U60" s="7" t="n"/>
      <c r="V60" s="7" t="n"/>
      <c r="W60" s="7" t="n"/>
      <c r="X60" s="7" t="n"/>
      <c r="Y60" s="7" t="n"/>
      <c r="Z60" s="7" t="n"/>
      <c r="AA60" s="7" t="n"/>
    </row>
    <row r="61" ht="14.25" customFormat="1" customHeight="1" s="178">
      <c r="A61" s="240" t="inlineStr">
        <is>
          <t>2. Marketing Assistant</t>
        </is>
      </c>
      <c r="B61" s="239" t="n">
        <v>29</v>
      </c>
      <c r="C61" s="233" t="inlineStr">
        <is>
          <t>Marketing Support</t>
        </is>
      </c>
      <c r="D61" s="234" t="n"/>
      <c r="E61" s="186">
        <f>B61</f>
        <v/>
      </c>
      <c r="F61" s="234" t="n"/>
      <c r="G61" s="235" t="n"/>
      <c r="H61" s="235" t="n"/>
      <c r="I61" s="235" t="n"/>
      <c r="J61" s="235" t="n"/>
      <c r="K61" s="235" t="n"/>
      <c r="L61" s="235" t="n"/>
      <c r="M61" s="235" t="n"/>
      <c r="N61" s="235" t="n"/>
      <c r="O61" s="235" t="n"/>
      <c r="P61" s="235" t="n"/>
      <c r="Q61" s="235" t="n"/>
      <c r="R61" s="235" t="n"/>
      <c r="S61" s="235" t="n"/>
      <c r="T61" s="235" t="n"/>
      <c r="U61" s="235" t="n"/>
      <c r="V61" s="235" t="n"/>
      <c r="W61" s="235" t="n"/>
      <c r="X61" s="235" t="n"/>
      <c r="Y61" s="235" t="n"/>
      <c r="Z61" s="235" t="n"/>
      <c r="AA61" s="235" t="n"/>
    </row>
    <row r="62" ht="14.25" customHeight="1" s="165">
      <c r="A62" s="240" t="inlineStr">
        <is>
          <t>1. Marketing Manager</t>
        </is>
      </c>
      <c r="B62" s="20" t="n">
        <v>18</v>
      </c>
      <c r="C62" s="21" t="inlineStr">
        <is>
          <t>Marketing</t>
        </is>
      </c>
      <c r="D62" s="24" t="n"/>
      <c r="E62" s="16">
        <f>B62</f>
        <v/>
      </c>
      <c r="F62" s="24" t="n"/>
      <c r="G62" s="7" t="n"/>
      <c r="H62" s="7" t="n"/>
      <c r="I62" s="7" t="n"/>
      <c r="J62" s="7" t="n"/>
      <c r="K62" s="7" t="n"/>
      <c r="L62" s="7" t="n"/>
      <c r="M62" s="7" t="n"/>
      <c r="N62" s="7" t="n"/>
      <c r="O62" s="7" t="n"/>
      <c r="P62" s="7" t="n"/>
      <c r="Q62" s="7" t="n"/>
      <c r="R62" s="7" t="n"/>
      <c r="S62" s="7" t="n"/>
      <c r="T62" s="7" t="n"/>
      <c r="U62" s="7" t="n"/>
      <c r="V62" s="7" t="n"/>
      <c r="W62" s="7" t="n"/>
      <c r="X62" s="7" t="n"/>
      <c r="Y62" s="7" t="n"/>
      <c r="Z62" s="7" t="n"/>
      <c r="AA62" s="7" t="n"/>
    </row>
    <row r="63" ht="14.25" customHeight="1" s="165">
      <c r="A63" s="19" t="inlineStr">
        <is>
          <t>1. Office Manager</t>
        </is>
      </c>
      <c r="B63" s="20" t="n">
        <v>14</v>
      </c>
      <c r="C63" s="21" t="inlineStr">
        <is>
          <t>Admin/Office</t>
        </is>
      </c>
      <c r="D63" s="24" t="n"/>
      <c r="E63" s="16">
        <f>B63</f>
        <v/>
      </c>
      <c r="F63" s="24" t="n"/>
      <c r="G63" s="7" t="n"/>
      <c r="H63" s="7" t="n"/>
      <c r="I63" s="7" t="n"/>
      <c r="J63" s="7" t="n"/>
      <c r="K63" s="7" t="n"/>
      <c r="L63" s="7" t="n"/>
      <c r="M63" s="7" t="n"/>
      <c r="N63" s="7" t="n"/>
      <c r="O63" s="7" t="n"/>
      <c r="P63" s="7" t="n"/>
      <c r="Q63" s="7" t="n"/>
      <c r="R63" s="7" t="n"/>
      <c r="S63" s="7" t="n"/>
      <c r="T63" s="7" t="n"/>
      <c r="U63" s="7" t="n"/>
      <c r="V63" s="7" t="n"/>
      <c r="W63" s="7" t="n"/>
      <c r="X63" s="7" t="n"/>
      <c r="Y63" s="7" t="n"/>
      <c r="Z63" s="7" t="n"/>
      <c r="AA63" s="7" t="n"/>
    </row>
    <row r="64" ht="14.25" customHeight="1" s="165">
      <c r="A64" s="19" t="inlineStr">
        <is>
          <t>1. Customer Success</t>
        </is>
      </c>
      <c r="B64" s="20" t="n">
        <v>24</v>
      </c>
      <c r="C64" s="21" t="inlineStr">
        <is>
          <t>CS Mgr</t>
        </is>
      </c>
      <c r="D64" s="24" t="inlineStr">
        <is>
          <t>taking care of Customer Projects and Support</t>
        </is>
      </c>
      <c r="E64" s="16">
        <f>B64</f>
        <v/>
      </c>
      <c r="F64" s="24" t="n"/>
      <c r="G64" s="7" t="n"/>
      <c r="H64" s="7" t="n"/>
      <c r="I64" s="7" t="n"/>
      <c r="J64" s="7" t="n"/>
      <c r="K64" s="7" t="n"/>
      <c r="L64" s="7" t="n"/>
      <c r="M64" s="7" t="n"/>
      <c r="N64" s="7" t="n"/>
      <c r="O64" s="7" t="n"/>
      <c r="P64" s="7" t="n"/>
      <c r="Q64" s="7" t="n"/>
      <c r="R64" s="7" t="n"/>
      <c r="S64" s="7" t="n"/>
      <c r="T64" s="7" t="n"/>
      <c r="U64" s="7" t="n"/>
      <c r="V64" s="7" t="n"/>
      <c r="W64" s="7" t="n"/>
      <c r="X64" s="7" t="n"/>
      <c r="Y64" s="7" t="n"/>
      <c r="Z64" s="7" t="n"/>
      <c r="AA64" s="7" t="n"/>
    </row>
    <row r="65" ht="14.25" customHeight="1" s="165">
      <c r="A65" s="19" t="inlineStr">
        <is>
          <t>1. Finance Manager</t>
        </is>
      </c>
      <c r="B65" s="20" t="n">
        <v>19</v>
      </c>
      <c r="C65" s="21" t="inlineStr">
        <is>
          <t>Finance/Controlling</t>
        </is>
      </c>
      <c r="D65" s="24" t="inlineStr">
        <is>
          <t>Notwendig für professionelles Reporting ab Seed-Phase.</t>
        </is>
      </c>
      <c r="E65" s="16">
        <f>B65</f>
        <v/>
      </c>
      <c r="F65" s="24" t="n"/>
      <c r="G65" s="7" t="n"/>
      <c r="H65" s="7" t="n"/>
      <c r="I65" s="7" t="n"/>
      <c r="J65" s="7" t="n"/>
      <c r="K65" s="7" t="n"/>
      <c r="L65" s="7" t="n"/>
      <c r="M65" s="7" t="n"/>
      <c r="N65" s="7" t="n"/>
      <c r="O65" s="7" t="n"/>
      <c r="P65" s="7" t="n"/>
      <c r="Q65" s="7" t="n"/>
      <c r="R65" s="7" t="n"/>
      <c r="S65" s="7" t="n"/>
      <c r="T65" s="7" t="n"/>
      <c r="U65" s="7" t="n"/>
      <c r="V65" s="7" t="n"/>
      <c r="W65" s="7" t="n"/>
      <c r="X65" s="7" t="n"/>
      <c r="Y65" s="7" t="n"/>
      <c r="Z65" s="7" t="n"/>
      <c r="AA65" s="7" t="n"/>
    </row>
    <row r="66" ht="14.25" customHeight="1" s="165">
      <c r="A66" s="7" t="n"/>
      <c r="B66" s="7" t="n"/>
      <c r="C66" s="7" t="n"/>
      <c r="D66" s="15"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row>
    <row r="67" ht="14.25" customHeight="1" s="165">
      <c r="A67" s="17" t="inlineStr">
        <is>
          <t>TECHNOLOGIE &amp; CLOUD KOSTEN</t>
        </is>
      </c>
      <c r="B67" s="18" t="n"/>
      <c r="C67" s="18" t="n"/>
      <c r="D67" s="18"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row>
    <row r="68" ht="14.25" customHeight="1" s="165">
      <c r="A68" s="19" t="inlineStr">
        <is>
          <t>Cloud/Hosting Basis</t>
        </is>
      </c>
      <c r="B68" s="25" t="n">
        <v>2000</v>
      </c>
      <c r="C68" s="21" t="inlineStr">
        <is>
          <t>AWS/Azure/GCP Grundkosten €/Monat</t>
        </is>
      </c>
      <c r="D68" s="24" t="inlineStr">
        <is>
          <t>Höhere Last durch GPU-Inferenz und Vektordatenbanken. 
800→2.000 €/Monat (Treiber-Matrix)</t>
        </is>
      </c>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row>
    <row r="69" ht="14.25" customHeight="1" s="165">
      <c r="A69" s="19" t="inlineStr">
        <is>
          <t>Cloud Skalierung pro Seat</t>
        </is>
      </c>
      <c r="B69" s="25" t="n">
        <v>80</v>
      </c>
      <c r="C69" s="21" t="inlineStr">
        <is>
          <t>Variable Kosten €/Seat/Monat</t>
        </is>
      </c>
      <c r="D69" s="24" t="inlineStr">
        <is>
          <t>Wechsel von Seat- auf Projekt-Basis (AI-intensive Rechenlast). 
50→80 €/Seat/Monat (Treiber-Matrix)</t>
        </is>
      </c>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row>
    <row r="70" ht="14.25" customHeight="1" s="165">
      <c r="A70" s="19" t="inlineStr">
        <is>
          <t>AI/ML APIs Basis</t>
        </is>
      </c>
      <c r="B70" s="25" t="n">
        <v>2000</v>
      </c>
      <c r="C70" s="21" t="inlineStr">
        <is>
          <t>OpenAI/Anthropic etc. €/Monat</t>
        </is>
      </c>
      <c r="D70" s="21" t="inlineStr">
        <is>
          <t>Nutzung von Frontier Models (GPT-5/Claude) für Design-Logic. 
600→2.000 €/Monat (Treiber-Matrix)</t>
        </is>
      </c>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row>
    <row r="71" ht="14.25" customHeight="1" s="165">
      <c r="A71" s="19" t="inlineStr">
        <is>
          <t>AI Kosten Wachstum/Monat</t>
        </is>
      </c>
      <c r="B71" s="27" t="n">
        <v>0.08</v>
      </c>
      <c r="C71" s="21" t="inlineStr">
        <is>
          <t>Steigerung mit Nutzung</t>
        </is>
      </c>
      <c r="D71" s="24" t="inlineStr">
        <is>
          <t>Skalierung proportional zur Nutzung und Datentiefe.
3%→8%/Monat (Treiber-Matrix)</t>
        </is>
      </c>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row>
    <row r="72" ht="14.25" customHeight="1" s="165">
      <c r="A72" s="19" t="inlineStr">
        <is>
          <t>SaaS Tools intern Basis</t>
        </is>
      </c>
      <c r="B72" s="25" t="n">
        <v>400</v>
      </c>
      <c r="C72" s="21" t="inlineStr">
        <is>
          <t>Slack, Notion, GitHub etc. €/Monat</t>
        </is>
      </c>
      <c r="D72" s="24" t="inlineStr">
        <is>
          <t>Slack; Notion; GitHub etc. (unverändert).</t>
        </is>
      </c>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row>
    <row r="73" ht="14.25" customHeight="1" s="165">
      <c r="A73" s="19" t="inlineStr">
        <is>
          <t>SaaS Tools pro MA</t>
        </is>
      </c>
      <c r="B73" s="25" t="n">
        <v>100</v>
      </c>
      <c r="C73" s="21" t="inlineStr">
        <is>
          <t>Zusätzliche Lizenzen €/MA/Monat</t>
        </is>
      </c>
      <c r="D73" s="24" t="inlineStr">
        <is>
          <t>Inklusive KI-Coding-Tools (Copilot/Cursor) für Dev-Effizienz.</t>
        </is>
      </c>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row>
    <row r="74" ht="14.25" customHeight="1" s="165">
      <c r="A74" s="19" t="inlineStr">
        <is>
          <t>Software-Lizenzen Dev</t>
        </is>
      </c>
      <c r="B74" s="25" t="n">
        <v>5000</v>
      </c>
      <c r="C74" s="21" t="inlineStr">
        <is>
          <t>IDE, Frameworks €/Jahr</t>
        </is>
      </c>
      <c r="D74" s="24" t="inlineStr">
        <is>
          <t>Spezialisierte Engineering-Tools und Frameworks (IDE).</t>
        </is>
      </c>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row>
    <row r="75" ht="14.25" customHeight="1" s="165">
      <c r="A75" s="19" t="inlineStr">
        <is>
          <t>Sicherheit &amp; Compliance</t>
        </is>
      </c>
      <c r="B75" s="25" t="n">
        <v>3500</v>
      </c>
      <c r="C75" s="21" t="inlineStr">
        <is>
          <t>Security Tools €/Monat</t>
        </is>
      </c>
      <c r="D75" s="24" t="inlineStr">
        <is>
          <t>Puffer für TISAX-Audits und laufendes Compliance-Monitoring. [17</t>
        </is>
      </c>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row>
    <row r="76" ht="14.25" customHeight="1" s="165">
      <c r="A76" s="7" t="n"/>
      <c r="B76" s="7" t="n"/>
      <c r="C76" s="7" t="n"/>
      <c r="D76" s="15"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row>
    <row r="77" ht="14.25" customHeight="1" s="165">
      <c r="A77" s="17" t="inlineStr">
        <is>
          <t>HARDWARE &amp; EQUIPMENT</t>
        </is>
      </c>
      <c r="B77" s="18" t="n"/>
      <c r="C77" s="18" t="n"/>
      <c r="D77" s="18"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row>
    <row r="78" ht="79.5" customHeight="1" s="165">
      <c r="A78" s="182" t="inlineStr">
        <is>
          <t>Laptop pro MA</t>
        </is>
      </c>
      <c r="B78" s="183" t="n">
        <v>2500</v>
      </c>
      <c r="C78" s="184" t="inlineStr">
        <is>
          <t>Typisch: 1.500-3.000€</t>
        </is>
      </c>
      <c r="D78" s="185" t="inlineStr">
        <is>
          <t>High-End Hardware zwingend für KI-Entwicklung (lokale Inferenz).
--&gt;CHANGE to smaller numbers, at least Think of renting IT (GROVER)</t>
        </is>
      </c>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row>
    <row r="79" ht="29" customHeight="1" s="165">
      <c r="A79" s="19" t="inlineStr">
        <is>
          <t>Monitor &amp; Peripherie</t>
        </is>
      </c>
      <c r="B79" s="181" t="n">
        <v>800</v>
      </c>
      <c r="C79" s="21" t="inlineStr">
        <is>
          <t>Typisch: 500-1.000€</t>
        </is>
      </c>
      <c r="D79" s="185" t="inlineStr">
        <is>
          <t>Standard-Setup für Tech-Mitarbeiter.</t>
        </is>
      </c>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row>
    <row r="80" ht="28" customHeight="1" s="165">
      <c r="A80" s="19" t="inlineStr">
        <is>
          <t>Ersatz-Zyklus Monate</t>
        </is>
      </c>
      <c r="B80" s="20" t="n">
        <v>36</v>
      </c>
      <c r="C80" s="21" t="inlineStr">
        <is>
          <t>Typisch: 36-48 Monate</t>
        </is>
      </c>
      <c r="D80" s="24" t="inlineStr">
        <is>
          <t>Branchenüblicher Turnus.</t>
        </is>
      </c>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row>
    <row r="81" ht="29.5" customHeight="1" s="165">
      <c r="A81" s="19" t="inlineStr">
        <is>
          <t>Sonstige IT-Ausstattung/Jahr</t>
        </is>
      </c>
      <c r="B81" s="25" t="n">
        <v>2000</v>
      </c>
      <c r="C81" s="21" t="inlineStr">
        <is>
          <t>Server, Netzwerk etc.</t>
        </is>
      </c>
      <c r="D81" s="24" t="inlineStr">
        <is>
          <t>Puffer für Serverkomponenten/Netzwerk.</t>
        </is>
      </c>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row>
    <row r="82" ht="14.25" customHeight="1" s="165">
      <c r="A82" s="7" t="n"/>
      <c r="B82" s="7" t="n"/>
      <c r="C82" s="7" t="n"/>
      <c r="D82" s="15"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row>
    <row r="83" ht="14.25" customHeight="1" s="165">
      <c r="A83" s="17" t="inlineStr">
        <is>
          <t>BÜRO &amp; FACILITIES</t>
        </is>
      </c>
      <c r="B83" s="18" t="n"/>
      <c r="C83" s="18" t="n"/>
      <c r="D83" s="18"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row>
    <row r="84" ht="14.25" customHeight="1" s="165">
      <c r="A84" s="19" t="inlineStr">
        <is>
          <t>Büromiete</t>
        </is>
      </c>
      <c r="B84" s="25" t="n">
        <v>1500</v>
      </c>
      <c r="C84" s="21" t="inlineStr">
        <is>
          <t>Coworking anfangs €/Monat</t>
        </is>
      </c>
      <c r="D84" s="24" t="inlineStr">
        <is>
          <t>Coworking-Fokus in der ersten Phase (Berlin Mitte/Kreuzberg).</t>
        </is>
      </c>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row>
    <row r="85" ht="14.25" customHeight="1" s="165">
      <c r="A85" s="19" t="inlineStr">
        <is>
          <t>Büro-Upgrade ab Monat</t>
        </is>
      </c>
      <c r="B85" s="20" t="n">
        <v>18</v>
      </c>
      <c r="C85" s="21" t="inlineStr">
        <is>
          <t>Wann größeres Büro?</t>
        </is>
      </c>
      <c r="D85" s="24" t="inlineStr">
        <is>
          <t>Shift analog zur Einstellung von Solution Architects (Teamgröße).</t>
        </is>
      </c>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row>
    <row r="86" ht="14.25" customHeight="1" s="165">
      <c r="A86" s="19" t="inlineStr">
        <is>
          <t>Neue Büromiete</t>
        </is>
      </c>
      <c r="B86" s="25" t="n">
        <v>4500</v>
      </c>
      <c r="C86" s="21" t="inlineStr">
        <is>
          <t>Kosten nach Upgrade €/Monat</t>
        </is>
      </c>
      <c r="D86" s="24" t="inlineStr">
        <is>
          <t>Anpassung an Berliner Marktpreise für ca. 15-20 Personen.</t>
        </is>
      </c>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row>
    <row r="87" ht="14.25" customHeight="1" s="165">
      <c r="A87" s="19" t="inlineStr">
        <is>
          <t>Nebenkosten</t>
        </is>
      </c>
      <c r="B87" s="25" t="n">
        <v>300</v>
      </c>
      <c r="C87" s="21" t="inlineStr">
        <is>
          <t>Strom, Wasser, Heizung €/Monat</t>
        </is>
      </c>
      <c r="D87" s="24" t="inlineStr">
        <is>
          <t>Übernahme.</t>
        </is>
      </c>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row>
    <row r="88" ht="14.25" customHeight="1" s="165">
      <c r="A88" s="19" t="inlineStr">
        <is>
          <t>Internet &amp; Telefon</t>
        </is>
      </c>
      <c r="B88" s="25" t="n">
        <v>150</v>
      </c>
      <c r="C88" s="21" t="inlineStr">
        <is>
          <t>€/Monat</t>
        </is>
      </c>
      <c r="D88" s="24" t="inlineStr">
        <is>
          <t>Übernahme.</t>
        </is>
      </c>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row>
    <row r="89" ht="14.25" customHeight="1" s="165">
      <c r="A89" s="19" t="inlineStr">
        <is>
          <t>Büroausstattung Initial</t>
        </is>
      </c>
      <c r="B89" s="25" t="n">
        <v>5000</v>
      </c>
      <c r="C89" s="21" t="inlineStr">
        <is>
          <t>Möbel, Einrichtung €</t>
        </is>
      </c>
      <c r="D89" s="24" t="inlineStr">
        <is>
          <t>Möbel und IT-Grundausstattung für Erst-Team.</t>
        </is>
      </c>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row>
    <row r="90" ht="14.25" customHeight="1" s="165">
      <c r="A90" s="19" t="inlineStr">
        <is>
          <t>Bürobedarf pro MA</t>
        </is>
      </c>
      <c r="B90" s="25" t="n">
        <v>30</v>
      </c>
      <c r="C90" s="21" t="inlineStr">
        <is>
          <t>Verbrauchsmaterial €/MA/Monat</t>
        </is>
      </c>
      <c r="D90" s="24" t="inlineStr">
        <is>
          <t>Verbrauchsmaterial (unverändert).</t>
        </is>
      </c>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row>
    <row r="91" ht="14.25" customHeight="1" s="165">
      <c r="A91" s="7" t="n"/>
      <c r="B91" s="7" t="n"/>
      <c r="C91" s="7" t="n"/>
      <c r="D91" s="15"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row>
    <row r="92" ht="14.25" customHeight="1" s="165">
      <c r="A92" s="17" t="inlineStr">
        <is>
          <t>PROFESSIONAL SERVICES</t>
        </is>
      </c>
      <c r="B92" s="18" t="n"/>
      <c r="C92" s="18" t="n"/>
      <c r="D92" s="18"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row>
    <row r="93" ht="14.25" customHeight="1" s="165">
      <c r="A93" s="19" t="inlineStr">
        <is>
          <t>Rechtsanwalt Basis/Jahr</t>
        </is>
      </c>
      <c r="B93" s="25" t="n">
        <v>8000</v>
      </c>
      <c r="C93" s="21" t="inlineStr">
        <is>
          <t>Laufende Beratung €/Jahr</t>
        </is>
      </c>
      <c r="D93" s="21"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row>
    <row r="94" ht="29" customHeight="1" s="165">
      <c r="A94" s="19" t="inlineStr">
        <is>
          <t>RA pro Finanzierung</t>
        </is>
      </c>
      <c r="B94" s="25" t="n">
        <v>15000</v>
      </c>
      <c r="C94" s="21" t="inlineStr">
        <is>
          <t>Zusätzlich bei Funding €</t>
        </is>
      </c>
      <c r="D94" s="179" t="inlineStr">
        <is>
          <t>Ändern, 15k€ sind vermutlich zu hoch
Für C13 Founding Phase: less effort</t>
        </is>
      </c>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row>
    <row r="95" ht="14.25" customHeight="1" s="165">
      <c r="A95" s="19" t="inlineStr">
        <is>
          <t>Steuerberater</t>
        </is>
      </c>
      <c r="B95" s="25" t="n">
        <v>800</v>
      </c>
      <c r="C95" s="21" t="inlineStr">
        <is>
          <t>Laufende Buchhaltung €/Monat</t>
        </is>
      </c>
      <c r="D95" s="21"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row>
    <row r="96" ht="14.25" customHeight="1" s="165">
      <c r="A96" s="19" t="inlineStr">
        <is>
          <t>Wirtschaftsprüfer/Jahr</t>
        </is>
      </c>
      <c r="B96" s="25" t="n">
        <v>12000</v>
      </c>
      <c r="C96" s="21" t="inlineStr">
        <is>
          <t>Ab Series A €/Jahr</t>
        </is>
      </c>
      <c r="D96" s="21"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row>
    <row r="97" ht="14.25" customHeight="1" s="165">
      <c r="A97" s="19" t="inlineStr">
        <is>
          <t>WP ab Monat</t>
        </is>
      </c>
      <c r="B97" s="20" t="n">
        <v>17</v>
      </c>
      <c r="C97" s="21" t="inlineStr">
        <is>
          <t>Ab wann Wirtschaftsprüfer?
Start mit tatsächlicher Seed-Phase Mitte 2027.</t>
        </is>
      </c>
      <c r="D97" s="21"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row>
    <row r="98" ht="14.25" customHeight="1" s="165">
      <c r="A98" s="19" t="inlineStr">
        <is>
          <t>Unternehmensberater/Jahr</t>
        </is>
      </c>
      <c r="B98" s="25" t="n">
        <v>5000</v>
      </c>
      <c r="C98" s="21" t="inlineStr">
        <is>
          <t>Optional €/Jahr
Optionaler Puffer für Spezialberatung (DPP/MDR).</t>
        </is>
      </c>
      <c r="D98" s="21"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row>
    <row r="99" ht="14.25" customHeight="1" s="165">
      <c r="A99" s="7" t="n"/>
      <c r="B99" s="7" t="n"/>
      <c r="C99" s="7" t="n"/>
      <c r="D99" s="15"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row>
    <row r="100" ht="14.25" customHeight="1" s="165">
      <c r="A100" s="17" t="inlineStr">
        <is>
          <t>VERSICHERUNGEN &amp; BANK</t>
        </is>
      </c>
      <c r="B100" s="18" t="n"/>
      <c r="C100" s="18" t="n"/>
      <c r="D100" s="18"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row>
    <row r="101" ht="14.25" customHeight="1" s="165">
      <c r="A101" s="19" t="inlineStr">
        <is>
          <t>D&amp;O Versicherung/Jahr</t>
        </is>
      </c>
      <c r="B101" s="25" t="n">
        <v>3000</v>
      </c>
      <c r="C101" s="21" t="inlineStr">
        <is>
          <t>Directors &amp; Officers €/Jahr
Schutz für Management (Standard-Satz).</t>
        </is>
      </c>
      <c r="D101" s="21"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row>
    <row r="102" ht="14.25" customHeight="1" s="165">
      <c r="A102" s="19" t="inlineStr">
        <is>
          <t>Betriebshaftpflicht/Jahr</t>
        </is>
      </c>
      <c r="B102" s="25" t="n">
        <v>1500</v>
      </c>
      <c r="C102" s="21" t="inlineStr">
        <is>
          <t>€/Jahr
Deckung für industrielle Software-Einsätze.</t>
        </is>
      </c>
      <c r="D102" s="21"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row>
    <row r="103" ht="14.25" customHeight="1" s="165">
      <c r="A103" s="19" t="inlineStr">
        <is>
          <t>Cyber-Versicherung/Jahr</t>
        </is>
      </c>
      <c r="B103" s="25" t="n">
        <v>2000</v>
      </c>
      <c r="C103" s="21" t="inlineStr">
        <is>
          <t>€/Jahr
Kritisch bei Verarbeitung von Kundendaten (IP-Schutz).</t>
        </is>
      </c>
      <c r="D103" s="21"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row>
    <row r="104" ht="14.25" customHeight="1" s="165">
      <c r="A104" s="19" t="inlineStr">
        <is>
          <t>Bankgebühren</t>
        </is>
      </c>
      <c r="B104" s="25" t="n">
        <v>50</v>
      </c>
      <c r="C104" s="21" t="inlineStr">
        <is>
          <t>Kontoführung €/Monat</t>
        </is>
      </c>
      <c r="D104" s="21"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row>
    <row r="105" ht="14.25" customHeight="1" s="165">
      <c r="A105" s="19" t="inlineStr">
        <is>
          <t>Payment Processing</t>
        </is>
      </c>
      <c r="B105" s="27" t="n">
        <v>0.025</v>
      </c>
      <c r="C105" s="21" t="inlineStr">
        <is>
          <t>Stripe/PayPal ~2-3% vom Umsatz
Anteil am Umsatz für SaaS-Billing-Systeme (Stripe etc.).</t>
        </is>
      </c>
      <c r="D105" s="21"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row>
    <row r="106" ht="14.25" customHeight="1" s="165">
      <c r="A106" s="7" t="n"/>
      <c r="B106" s="7" t="n"/>
      <c r="C106" s="7" t="n"/>
      <c r="D106" s="15"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row>
    <row r="107" ht="14.25" customHeight="1" s="165">
      <c r="A107" s="17" t="inlineStr">
        <is>
          <t>MARKETING &amp; SALES</t>
        </is>
      </c>
      <c r="B107" s="18" t="n"/>
      <c r="C107" s="18" t="n"/>
      <c r="D107" s="18"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row>
    <row r="108" ht="14.25" customHeight="1" s="165">
      <c r="A108" s="19" t="inlineStr">
        <is>
          <t>Paid Ads Budget Initial</t>
        </is>
      </c>
      <c r="B108" s="25" t="n">
        <v>1000</v>
      </c>
      <c r="C108" s="21" t="inlineStr">
        <is>
          <t>Google, LinkedIn etc. €/Monat
Fokus eher auf Content/SEO (Industrie-Vertrieb).</t>
        </is>
      </c>
      <c r="D108" s="21" t="inlineStr">
        <is>
          <t>300→1.000 €/Monat (Treiber-Matrix)</t>
        </is>
      </c>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row>
    <row r="109" ht="14.25" customHeight="1" s="165">
      <c r="A109" s="19" t="inlineStr">
        <is>
          <t>Ads Budget Wachstum/Monat</t>
        </is>
      </c>
      <c r="B109" s="27" t="n">
        <v>0.03</v>
      </c>
      <c r="C109" s="21" t="inlineStr">
        <is>
          <t>Monatliche Steigerung
Skalierung mit Marktbekanntheit.</t>
        </is>
      </c>
      <c r="D109" s="21"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row>
    <row r="110" ht="14.25" customHeight="1" s="165">
      <c r="A110" s="19" t="inlineStr">
        <is>
          <t>Content &amp; SEO</t>
        </is>
      </c>
      <c r="B110" s="25" t="n">
        <v>2500</v>
      </c>
      <c r="C110" s="21" t="inlineStr">
        <is>
          <t>€/Monat
Fokus auf Whitepaper zu ROI; TCO und DPP-Compliance.</t>
        </is>
      </c>
      <c r="D110" s="21" t="inlineStr">
        <is>
          <t>1.000→2.500 €/Monat (Treiber-Matrix)</t>
        </is>
      </c>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row>
    <row r="111" ht="14.25" customFormat="1" customHeight="1" s="178">
      <c r="A111" s="19" t="inlineStr">
        <is>
          <t>Events &amp; Messen/Ideation</t>
        </is>
      </c>
      <c r="B111" s="232" t="n"/>
      <c r="C111" s="233" t="n"/>
      <c r="D111" s="233" t="n"/>
      <c r="E111" s="235" t="n"/>
      <c r="F111" s="235" t="n"/>
      <c r="G111" s="235" t="n"/>
      <c r="H111" s="235" t="n"/>
      <c r="I111" s="235" t="n"/>
      <c r="J111" s="235" t="n"/>
      <c r="K111" s="235" t="n"/>
      <c r="L111" s="235" t="n"/>
      <c r="M111" s="235" t="n"/>
      <c r="N111" s="235" t="n"/>
      <c r="O111" s="235" t="n"/>
      <c r="P111" s="235" t="n"/>
      <c r="Q111" s="235" t="n"/>
      <c r="R111" s="235" t="n"/>
      <c r="S111" s="235" t="n"/>
      <c r="T111" s="235" t="n"/>
      <c r="U111" s="235" t="n"/>
      <c r="V111" s="235" t="n"/>
      <c r="W111" s="235" t="n"/>
      <c r="X111" s="235" t="n"/>
      <c r="Y111" s="235" t="n"/>
      <c r="Z111" s="235" t="n"/>
      <c r="AA111" s="235" t="n"/>
    </row>
    <row r="112" ht="14.25" customFormat="1" customHeight="1" s="178">
      <c r="A112" s="19" t="inlineStr">
        <is>
          <t>Events &amp; Messen/Pre-Seed</t>
        </is>
      </c>
      <c r="B112" s="232" t="n"/>
      <c r="C112" s="233" t="n"/>
      <c r="D112" s="233" t="n"/>
      <c r="E112" s="235" t="n"/>
      <c r="F112" s="235" t="n"/>
      <c r="G112" s="235" t="n"/>
      <c r="H112" s="235" t="n"/>
      <c r="I112" s="235" t="n"/>
      <c r="J112" s="235" t="n"/>
      <c r="K112" s="235" t="n"/>
      <c r="L112" s="235" t="n"/>
      <c r="M112" s="235" t="n"/>
      <c r="N112" s="235" t="n"/>
      <c r="O112" s="235" t="n"/>
      <c r="P112" s="235" t="n"/>
      <c r="Q112" s="235" t="n"/>
      <c r="R112" s="235" t="n"/>
      <c r="S112" s="235" t="n"/>
      <c r="T112" s="235" t="n"/>
      <c r="U112" s="235" t="n"/>
      <c r="V112" s="235" t="n"/>
      <c r="W112" s="235" t="n"/>
      <c r="X112" s="235" t="n"/>
      <c r="Y112" s="235" t="n"/>
      <c r="Z112" s="235" t="n"/>
      <c r="AA112" s="235" t="n"/>
    </row>
    <row r="113" ht="14.25" customFormat="1" customHeight="1" s="178">
      <c r="A113" s="19" t="inlineStr">
        <is>
          <t>Events &amp; Messen/Seed</t>
        </is>
      </c>
      <c r="B113" s="232" t="n"/>
      <c r="C113" s="233" t="n"/>
      <c r="D113" s="233" t="n"/>
      <c r="E113" s="235" t="n"/>
      <c r="F113" s="235" t="n"/>
      <c r="G113" s="235" t="n"/>
      <c r="H113" s="235" t="n"/>
      <c r="I113" s="235" t="n"/>
      <c r="J113" s="235" t="n"/>
      <c r="K113" s="235" t="n"/>
      <c r="L113" s="235" t="n"/>
      <c r="M113" s="235" t="n"/>
      <c r="N113" s="235" t="n"/>
      <c r="O113" s="235" t="n"/>
      <c r="P113" s="235" t="n"/>
      <c r="Q113" s="235" t="n"/>
      <c r="R113" s="235" t="n"/>
      <c r="S113" s="235" t="n"/>
      <c r="T113" s="235" t="n"/>
      <c r="U113" s="235" t="n"/>
      <c r="V113" s="235" t="n"/>
      <c r="W113" s="235" t="n"/>
      <c r="X113" s="235" t="n"/>
      <c r="Y113" s="235" t="n"/>
      <c r="Z113" s="235" t="n"/>
      <c r="AA113" s="235" t="n"/>
    </row>
    <row r="114" ht="14.25" customFormat="1" customHeight="1" s="178">
      <c r="A114" s="19" t="inlineStr">
        <is>
          <t>Events &amp; Messen/Series A</t>
        </is>
      </c>
      <c r="B114" s="232" t="n"/>
      <c r="C114" s="233" t="n"/>
      <c r="D114" s="233" t="n"/>
      <c r="E114" s="235" t="n"/>
      <c r="F114" s="235" t="n"/>
      <c r="G114" s="235" t="n"/>
      <c r="H114" s="235" t="n"/>
      <c r="I114" s="235" t="n"/>
      <c r="J114" s="235" t="n"/>
      <c r="K114" s="235" t="n"/>
      <c r="L114" s="235" t="n"/>
      <c r="M114" s="235" t="n"/>
      <c r="N114" s="235" t="n"/>
      <c r="O114" s="235" t="n"/>
      <c r="P114" s="235" t="n"/>
      <c r="Q114" s="235" t="n"/>
      <c r="R114" s="235" t="n"/>
      <c r="S114" s="235" t="n"/>
      <c r="T114" s="235" t="n"/>
      <c r="U114" s="235" t="n"/>
      <c r="V114" s="235" t="n"/>
      <c r="W114" s="235" t="n"/>
      <c r="X114" s="235" t="n"/>
      <c r="Y114" s="235" t="n"/>
      <c r="Z114" s="235" t="n"/>
      <c r="AA114" s="235" t="n"/>
    </row>
    <row r="115" ht="14.25" customHeight="1" s="165">
      <c r="A115" s="19" t="inlineStr">
        <is>
          <t>Events &amp; Messen/Series B</t>
        </is>
      </c>
      <c r="B115" s="25" t="n">
        <v>25000</v>
      </c>
      <c r="C115" s="21" t="inlineStr">
        <is>
          <t>Teilnahme, Stände €/Jahr
Präsenz auf Leitmessen (Hannover Messe; SPS) ??.</t>
        </is>
      </c>
      <c r="D115" s="21" t="inlineStr">
        <is>
          <t>25.000→50.000 €/Jahr (Treiber-Matrix)</t>
        </is>
      </c>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row>
    <row r="116" ht="14.25" customHeight="1" s="165">
      <c r="A116" s="19" t="inlineStr">
        <is>
          <t>Sales Tools</t>
        </is>
      </c>
      <c r="B116" s="25" t="n">
        <v>300</v>
      </c>
      <c r="C116" s="21" t="inlineStr">
        <is>
          <t>CRM, Outreach €/Monat
CRM und Sales Intelligence (unverändert).</t>
        </is>
      </c>
      <c r="D116" s="21"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row>
    <row r="117" ht="14.25" customHeight="1" s="165">
      <c r="A117" s="19" t="inlineStr">
        <is>
          <t>Sales Provision</t>
        </is>
      </c>
      <c r="B117" s="27" t="n">
        <v>0.12</v>
      </c>
      <c r="C117" s="21" t="inlineStr">
        <is>
          <t>Vertriebsprovision % vom neuen ARR
Anteil am neuen ARR als Anreiz für Verkäufer (AEs).</t>
        </is>
      </c>
      <c r="D117" s="21" t="inlineStr">
        <is>
          <t>8%→12% vom neuen ARR (Treiber-Matrix)</t>
        </is>
      </c>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row>
    <row r="118" ht="14.25" customHeight="1" s="165">
      <c r="A118" s="19" t="inlineStr">
        <is>
          <t>Reisekosten Sales/MA/Monat</t>
        </is>
      </c>
      <c r="B118" s="25" t="n">
        <v>700</v>
      </c>
      <c r="C118" s="21" t="inlineStr">
        <is>
          <t>€/MA/Monat
Notwendig für Werksbegehungen und Kundenbesuche.</t>
        </is>
      </c>
      <c r="D118" s="21" t="inlineStr">
        <is>
          <t>300→700 €/MA/Monat (Treiber-Matrix)</t>
        </is>
      </c>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row>
    <row r="119" ht="14.25" customHeight="1" s="165">
      <c r="A119" s="7" t="n"/>
      <c r="B119" s="7" t="n"/>
      <c r="C119" s="7" t="n"/>
      <c r="D119" s="15"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row>
    <row r="120" ht="14.25" customHeight="1" s="165">
      <c r="A120" s="17" t="inlineStr">
        <is>
          <t>SONSTIGE KOSTEN</t>
        </is>
      </c>
      <c r="B120" s="18" t="n"/>
      <c r="C120" s="18" t="n"/>
      <c r="D120" s="18"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row>
    <row r="121" ht="14.25" customHeight="1" s="165">
      <c r="A121" s="19" t="inlineStr">
        <is>
          <t>Reisekosten allgemein/MA/Jahr</t>
        </is>
      </c>
      <c r="B121" s="25" t="n">
        <v>2000</v>
      </c>
      <c r="C121" s="21" t="inlineStr">
        <is>
          <t>€/MA/Jahr</t>
        </is>
      </c>
      <c r="D121" s="24" t="inlineStr">
        <is>
          <t>Team-Mobilität und Kooperationen.</t>
        </is>
      </c>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row>
    <row r="122" ht="14.25" customHeight="1" s="165">
      <c r="A122" s="19" t="inlineStr">
        <is>
          <t>Weiterbildung/MA/Jahr</t>
        </is>
      </c>
      <c r="B122" s="25" t="n">
        <v>1500</v>
      </c>
      <c r="C122" s="21" t="inlineStr">
        <is>
          <t>€/MA/Jahr</t>
        </is>
      </c>
      <c r="D122" s="24" t="inlineStr">
        <is>
          <t>Besonders wichtig im ML-Bereich (Konferenzen/Kurse).</t>
        </is>
      </c>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row>
    <row r="123" ht="14.25" customHeight="1" s="165">
      <c r="A123" s="19" t="inlineStr">
        <is>
          <t>Team Events/MA/Jahr</t>
        </is>
      </c>
      <c r="B123" s="25" t="n">
        <v>1000</v>
      </c>
      <c r="C123" s="21" t="inlineStr">
        <is>
          <t>€/MA/Jahr</t>
        </is>
      </c>
      <c r="D123" s="24" t="inlineStr">
        <is>
          <t>Mitarbeiterbindung im kompetitiven Berliner Markt.</t>
        </is>
      </c>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row>
    <row r="124" ht="14.25" customHeight="1" s="165">
      <c r="A124" s="19" t="inlineStr">
        <is>
          <t>Sonstiges/Puffer</t>
        </is>
      </c>
      <c r="B124" s="27" t="n">
        <v>0.05</v>
      </c>
      <c r="C124" s="21" t="inlineStr">
        <is>
          <t>% der OpEx, Unvorhergesehenes</t>
        </is>
      </c>
      <c r="D124" s="24" t="inlineStr">
        <is>
          <t>Vorsichtsprinzip für ungeplante Ausgaben (OpEx).</t>
        </is>
      </c>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row>
    <row r="125" ht="14.25" customHeight="1" s="165">
      <c r="A125" s="19" t="inlineStr">
        <is>
          <t>Abschreibungsdauer Jahre</t>
        </is>
      </c>
      <c r="B125" s="20" t="n">
        <v>3</v>
      </c>
      <c r="C125" s="21" t="inlineStr">
        <is>
          <t>Für CapEx, typisch 3-5 Jahre</t>
        </is>
      </c>
      <c r="D125" s="24" t="inlineStr">
        <is>
          <t>Standard für Hardware und Lizenzen (CapEx).</t>
        </is>
      </c>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row>
    <row r="126" ht="20" customHeight="1" s="165">
      <c r="A126" s="162" t="inlineStr">
        <is>
          <t>ℹ DATENFLUSS Implementation-Support:  Szenarien_Analyse (Z.5 Wskt. / Z.8 Tage / Z.11 Startmonat)  →  Sandbox (Z.11 Tage / Z.12 Wskt. / Z.15 Startmonat)  →  Inputs (Z.138 Tagessatz / Z.139 Wskt. / Z.140 Tage / Z.141 Startmonat)  →  Revenue Z.28-29 → P&amp;L</t>
        </is>
      </c>
      <c r="B126" s="149" t="n"/>
      <c r="C126" s="149" t="n"/>
      <c r="D126" s="150"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row>
    <row r="127" ht="14.25" customHeight="1" s="165">
      <c r="A127" s="53" t="inlineStr">
        <is>
          <t>Implementation-Support REVENUE-PARAMETER</t>
        </is>
      </c>
      <c r="B127" s="54" t="n"/>
      <c r="C127" s="54" t="n"/>
      <c r="D127" s="55"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row>
    <row r="128" ht="60" customHeight="1" s="165">
      <c r="A128" s="56" t="inlineStr">
        <is>
          <t>Implementation-Support Tagessatz (€/Tag)</t>
        </is>
      </c>
      <c r="B128" s="57">
        <f>VLOOKUP("Implementation-Support-Tagessatz",'00_Input_Sandbox'!$B$2:$F$19,IF('00_Input_Sandbox'!$B$1="gering",3,IF('00_Input_Sandbox'!$B$1="normal",4,5)),FALSE)</f>
        <v/>
      </c>
      <c r="C128" s="58" t="inlineStr">
        <is>
          <t>EUR pro Beratertag je Szenario: gering=1.000€ | normal=1.200€ | stark=1.500€</t>
        </is>
      </c>
      <c r="D128" s="59"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row>
    <row r="129" ht="90" customHeight="1" s="165">
      <c r="A129" s="56" t="inlineStr">
        <is>
          <t>Buchungs-Wahrscheinlichkeit Implementation-Support je Kunde (%)</t>
        </is>
      </c>
      <c r="B129" s="70">
        <f>VLOOKUP("Buchungs-Wahrscheinlichkeit Implementation-Support",'00_Input_Sandbox'!$B$2:$F$19,IF('00_Input_Sandbox'!$B$1="gering",3,IF('00_Input_Sandbox'!$B$1="normal",4,5)),FALSE)</f>
        <v/>
      </c>
      <c r="C129" s="58" t="inlineStr">
        <is>
          <t>Wahrscheinlichkeit je Szenario (aus Szenarien_Analyse/Sandbox): gering=20% | normal=50% | stark=100%</t>
        </is>
      </c>
      <c r="D129" s="59" t="inlineStr">
        <is>
          <t>Steuerung der Buchungsquote:
a) 20 % (gering) = Konservativ – 1 von 5 Kunden kauft Implementation-Support
b) 50 % (normal) = Realistisch  – jeder 2. Kunde kauft Implementation-Support
c) 100 % (stark) = Voll-Auslastung – jeder Kunde kauft Implementation-Support
Kategorien Implementation-Support-Leistung:
  • Implementierungsbegleitung: techn. Integration vor Ort
  • Schulung: Anwenderschulung, Train-the-Trainer
  • Spez. Kundenanforderungen &amp; Datenbereinigung: Datenmigration, Stammdaten, individuelle Anpassungen</t>
        </is>
      </c>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row>
    <row r="130" ht="60" customHeight="1" s="165">
      <c r="A130" s="56" t="inlineStr">
        <is>
          <t>Implementation-Support-Tage pro Einsatz</t>
        </is>
      </c>
      <c r="B130" s="57">
        <f>VLOOKUP("Implementation-Support-Tage/Einsatz",'00_Input_Sandbox'!$B$2:$F$19,IF('00_Input_Sandbox'!$B$1="gering",3,IF('00_Input_Sandbox'!$B$1="normal",4,5)),FALSE)</f>
        <v/>
      </c>
      <c r="C130" s="58" t="inlineStr">
        <is>
          <t>Implementation-Support-Tage je Einsatz/Kunde (aus Szenarien_Analyse/Sandbox): gering=5 | normal=10 | stark=20 Tage</t>
        </is>
      </c>
      <c r="D130" s="59"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row>
    <row r="131" ht="55" customHeight="1" s="165">
      <c r="A131" s="99" t="inlineStr">
        <is>
          <t>Implementation-Support-Startmonat</t>
        </is>
      </c>
      <c r="B131" s="57">
        <f>VLOOKUP("Implementation-Support-Startmonat",'00_Input_Sandbox'!$B$2:$F$19,IF('00_Input_Sandbox'!$B$1="gering",3,IF('00_Input_Sandbox'!$B$1="normal",4,5)),FALSE)</f>
        <v/>
      </c>
      <c r="C131" s="7" t="inlineStr">
        <is>
          <t>Monat des ersten Implementation-Support-Umsatzes (aus Sandbox/Szenarien_Analyse)</t>
        </is>
      </c>
      <c r="D131" s="59" t="inlineStr">
        <is>
          <t>Treiber-Matrix Z.21: Implementation-Support startet als Enabler vor dem SaaS-Produkt. Gering=Monat 3 | Normal=Monat 4 | Stark=Monat 6. Revenue-Formel prüft: IF(Monat &gt;= Implementation-Support-Startmonat, Umsatz, 0).</t>
        </is>
      </c>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row>
    <row r="132" ht="14.25" customHeight="1" s="165">
      <c r="A132" s="7" t="n"/>
      <c r="B132" s="7" t="n"/>
      <c r="C132" s="7" t="n"/>
      <c r="D132" s="15"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row>
    <row r="133" ht="14.25" customHeight="1" s="165">
      <c r="A133" s="7" t="n"/>
      <c r="B133" s="7" t="n"/>
      <c r="C133" s="7" t="n"/>
      <c r="D133" s="15"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row>
    <row r="134" ht="14.25" customHeight="1" s="165">
      <c r="A134" s="7" t="n"/>
      <c r="B134" s="7" t="n"/>
      <c r="C134" s="7" t="n"/>
      <c r="D134" s="15"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row>
    <row r="135" ht="14.25" customHeight="1" s="165">
      <c r="A135" s="7" t="n"/>
      <c r="B135" s="7" t="n"/>
      <c r="C135" s="7" t="n"/>
      <c r="D135" s="15"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row>
    <row r="136" ht="14.25" customHeight="1" s="165">
      <c r="A136" s="7" t="n"/>
      <c r="B136" s="7" t="n"/>
      <c r="C136" s="7" t="n"/>
      <c r="D136" s="15"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row>
    <row r="137" ht="14.25" customHeight="1" s="165">
      <c r="A137" s="7" t="n"/>
      <c r="B137" s="7" t="n"/>
      <c r="C137" s="7" t="n"/>
      <c r="D137" s="15"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row>
    <row r="138" ht="14.25" customHeight="1" s="165">
      <c r="A138" s="7" t="n"/>
      <c r="B138" s="7" t="n"/>
      <c r="C138" s="7" t="n"/>
      <c r="D138" s="15"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row>
    <row r="139" ht="14.25" customHeight="1" s="165">
      <c r="A139" s="7" t="n"/>
      <c r="B139" s="7" t="n"/>
      <c r="C139" s="7" t="n"/>
      <c r="D139" s="15"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row>
    <row r="140" ht="14.25" customHeight="1" s="165">
      <c r="A140" s="7" t="n"/>
      <c r="B140" s="7" t="n"/>
      <c r="C140" s="7" t="n"/>
      <c r="D140" s="15"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row>
    <row r="141" ht="14.25" customHeight="1" s="165">
      <c r="A141" s="7" t="n"/>
      <c r="B141" s="7" t="n"/>
      <c r="C141" s="7" t="n"/>
      <c r="D141" s="15"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row>
    <row r="142" ht="14.25" customHeight="1" s="165">
      <c r="A142" s="7" t="n"/>
      <c r="B142" s="7" t="n"/>
      <c r="C142" s="7" t="n"/>
      <c r="D142" s="15"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row>
    <row r="143" ht="14.25" customHeight="1" s="165">
      <c r="A143" s="7" t="n"/>
      <c r="B143" s="7" t="n"/>
      <c r="C143" s="7" t="n"/>
      <c r="D143" s="15"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row>
    <row r="144" ht="14.25" customHeight="1" s="165">
      <c r="A144" s="7" t="n"/>
      <c r="B144" s="7" t="n"/>
      <c r="C144" s="7" t="n"/>
      <c r="D144" s="15"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row>
    <row r="145" ht="14.25" customHeight="1" s="165">
      <c r="A145" s="7" t="n"/>
      <c r="B145" s="7" t="n"/>
      <c r="C145" s="7" t="n"/>
      <c r="D145" s="15"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row>
    <row r="146" ht="14.25" customHeight="1" s="165">
      <c r="A146" s="7" t="n"/>
      <c r="B146" s="7" t="n"/>
      <c r="C146" s="7" t="n"/>
      <c r="D146" s="15"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row>
    <row r="147" ht="14.25" customHeight="1" s="165">
      <c r="A147" s="7" t="n"/>
      <c r="B147" s="7" t="n"/>
      <c r="C147" s="7" t="n"/>
      <c r="D147" s="15"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row>
    <row r="148" ht="14.25" customHeight="1" s="165">
      <c r="A148" s="7" t="n"/>
      <c r="B148" s="7" t="n"/>
      <c r="C148" s="7" t="n"/>
      <c r="D148" s="15"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row>
    <row r="149" ht="14.25" customHeight="1" s="165">
      <c r="A149" s="7" t="n"/>
      <c r="B149" s="7" t="n"/>
      <c r="C149" s="7" t="n"/>
      <c r="D149" s="15"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row>
    <row r="150" ht="14.25" customHeight="1" s="165">
      <c r="A150" s="7" t="n"/>
      <c r="B150" s="7" t="n"/>
      <c r="C150" s="7" t="n"/>
      <c r="D150" s="15"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row>
    <row r="151" ht="14.25" customHeight="1" s="165">
      <c r="A151" s="7" t="n"/>
      <c r="B151" s="7" t="n"/>
      <c r="C151" s="7" t="n"/>
      <c r="D151" s="15"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row>
    <row r="152" ht="14.25" customHeight="1" s="165">
      <c r="A152" s="7" t="n"/>
      <c r="B152" s="7" t="n"/>
      <c r="C152" s="7" t="n"/>
      <c r="D152" s="15"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row>
    <row r="153" ht="14.25" customHeight="1" s="165">
      <c r="A153" s="7" t="n"/>
      <c r="B153" s="7" t="n"/>
      <c r="C153" s="7" t="n"/>
      <c r="D153" s="15"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row>
    <row r="154" ht="14.25" customHeight="1" s="165">
      <c r="A154" s="7" t="n"/>
      <c r="B154" s="7" t="n"/>
      <c r="C154" s="7" t="n"/>
      <c r="D154" s="15"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row>
    <row r="155" ht="14.25" customHeight="1" s="165">
      <c r="A155" s="7" t="n"/>
      <c r="B155" s="7" t="n"/>
      <c r="C155" s="7" t="n"/>
      <c r="D155" s="15"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row>
    <row r="156" ht="14.25" customHeight="1" s="165">
      <c r="A156" s="7" t="n"/>
      <c r="B156" s="7" t="n"/>
      <c r="C156" s="7" t="n"/>
      <c r="D156" s="15"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row>
    <row r="157" ht="14.25" customHeight="1" s="165">
      <c r="A157" s="7" t="n"/>
      <c r="B157" s="7" t="n"/>
      <c r="C157" s="7" t="n"/>
      <c r="D157" s="15"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row>
    <row r="158" ht="14.25" customHeight="1" s="165">
      <c r="A158" s="7" t="n"/>
      <c r="B158" s="7" t="n"/>
      <c r="C158" s="7" t="n"/>
      <c r="D158" s="15"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row>
    <row r="159" ht="14.25" customHeight="1" s="165">
      <c r="A159" s="7" t="n"/>
      <c r="B159" s="7" t="n"/>
      <c r="C159" s="7" t="n"/>
      <c r="D159" s="15"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row>
    <row r="160" ht="14.25" customHeight="1" s="165">
      <c r="A160" s="7" t="n"/>
      <c r="B160" s="7" t="n"/>
      <c r="C160" s="7" t="n"/>
      <c r="D160" s="15"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row>
    <row r="161" ht="14.25" customHeight="1" s="165">
      <c r="A161" s="7" t="n"/>
      <c r="B161" s="7" t="n"/>
      <c r="C161" s="7" t="n"/>
      <c r="D161" s="15"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row>
    <row r="162" ht="14.25" customHeight="1" s="165">
      <c r="A162" s="7" t="n"/>
      <c r="B162" s="7" t="n"/>
      <c r="C162" s="7" t="n"/>
      <c r="D162" s="15"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row>
    <row r="163" ht="14.25" customHeight="1" s="165">
      <c r="A163" s="7" t="n"/>
      <c r="B163" s="7" t="n"/>
      <c r="C163" s="7" t="n"/>
      <c r="D163" s="15"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row>
    <row r="164" ht="14.25" customHeight="1" s="165">
      <c r="A164" s="7" t="n"/>
      <c r="B164" s="7" t="n"/>
      <c r="C164" s="7" t="n"/>
      <c r="D164" s="15"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row>
    <row r="165" ht="14.25" customHeight="1" s="165">
      <c r="A165" s="7" t="n"/>
      <c r="B165" s="7" t="n"/>
      <c r="C165" s="7" t="n"/>
      <c r="D165" s="15"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row>
    <row r="166" ht="14.25" customHeight="1" s="165">
      <c r="A166" s="7" t="n"/>
      <c r="B166" s="7" t="n"/>
      <c r="C166" s="7" t="n"/>
      <c r="D166" s="15"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row>
    <row r="167" ht="14.25" customHeight="1" s="165">
      <c r="A167" s="7" t="n"/>
      <c r="B167" s="7" t="n"/>
      <c r="C167" s="7" t="n"/>
      <c r="D167" s="15"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row>
    <row r="168" ht="14.25" customHeight="1" s="165">
      <c r="A168" s="7" t="n"/>
      <c r="B168" s="7" t="n"/>
      <c r="C168" s="7" t="n"/>
      <c r="D168" s="15"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row>
    <row r="169" ht="14.25" customHeight="1" s="165">
      <c r="A169" s="7" t="n"/>
      <c r="B169" s="7" t="n"/>
      <c r="C169" s="7" t="n"/>
      <c r="D169" s="15"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row>
    <row r="170" ht="14.25" customHeight="1" s="165">
      <c r="A170" s="7" t="n"/>
      <c r="B170" s="7" t="n"/>
      <c r="C170" s="7" t="n"/>
      <c r="D170" s="15"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row>
    <row r="171" ht="14.25" customHeight="1" s="165">
      <c r="A171" s="7" t="n"/>
      <c r="B171" s="7" t="n"/>
      <c r="C171" s="7" t="n"/>
      <c r="D171" s="15"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row>
    <row r="172" ht="14.25" customHeight="1" s="165">
      <c r="A172" s="7" t="n"/>
      <c r="B172" s="7" t="n"/>
      <c r="C172" s="7" t="n"/>
      <c r="D172" s="15"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row>
    <row r="173" ht="14.25" customHeight="1" s="165">
      <c r="A173" s="7" t="n"/>
      <c r="B173" s="7" t="n"/>
      <c r="C173" s="7" t="n"/>
      <c r="D173" s="15"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row>
    <row r="174" ht="14.25" customHeight="1" s="165">
      <c r="A174" s="7" t="n"/>
      <c r="B174" s="7" t="n"/>
      <c r="C174" s="7" t="n"/>
      <c r="D174" s="15"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row>
    <row r="175" ht="14.25" customHeight="1" s="165">
      <c r="A175" s="7" t="n"/>
      <c r="B175" s="7" t="n"/>
      <c r="C175" s="7" t="n"/>
      <c r="D175" s="15"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row>
    <row r="176" ht="14.25" customHeight="1" s="165">
      <c r="A176" s="7" t="n"/>
      <c r="B176" s="7" t="n"/>
      <c r="C176" s="7" t="n"/>
      <c r="D176" s="15"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row>
    <row r="177" ht="14.25" customHeight="1" s="165">
      <c r="A177" s="7" t="n"/>
      <c r="B177" s="7" t="n"/>
      <c r="C177" s="7" t="n"/>
      <c r="D177" s="15"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row>
    <row r="178" ht="14.25" customHeight="1" s="165">
      <c r="A178" s="7" t="n"/>
      <c r="B178" s="7" t="n"/>
      <c r="C178" s="7" t="n"/>
      <c r="D178" s="15"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row>
    <row r="179" ht="14.25" customHeight="1" s="165">
      <c r="A179" s="7" t="n"/>
      <c r="B179" s="7" t="n"/>
      <c r="C179" s="7" t="n"/>
      <c r="D179" s="15"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row>
    <row r="180" ht="14.25" customHeight="1" s="165">
      <c r="A180" s="7" t="n"/>
      <c r="B180" s="7" t="n"/>
      <c r="C180" s="7" t="n"/>
      <c r="D180" s="15"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row>
    <row r="181" ht="14.25" customHeight="1" s="165">
      <c r="A181" s="7" t="n"/>
      <c r="B181" s="7" t="n"/>
      <c r="C181" s="7" t="n"/>
      <c r="D181" s="15"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row>
    <row r="182" ht="14.25" customHeight="1" s="165">
      <c r="A182" s="7" t="n"/>
      <c r="B182" s="7" t="n"/>
      <c r="C182" s="7" t="n"/>
      <c r="D182" s="15"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row>
    <row r="183" ht="14.25" customHeight="1" s="165">
      <c r="A183" s="7" t="n"/>
      <c r="B183" s="7" t="n"/>
      <c r="C183" s="7" t="n"/>
      <c r="D183" s="15"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row>
    <row r="184" ht="14.25" customHeight="1" s="165">
      <c r="A184" s="7" t="n"/>
      <c r="B184" s="7" t="n"/>
      <c r="C184" s="7" t="n"/>
      <c r="D184" s="15"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row>
    <row r="185" ht="14.25" customHeight="1" s="165">
      <c r="A185" s="7" t="n"/>
      <c r="B185" s="7" t="n"/>
      <c r="C185" s="7" t="n"/>
      <c r="D185" s="15"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row>
    <row r="186" ht="14.25" customHeight="1" s="165">
      <c r="A186" s="7" t="n"/>
      <c r="B186" s="7" t="n"/>
      <c r="C186" s="7" t="n"/>
      <c r="D186" s="15"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row>
    <row r="187" ht="14.25" customHeight="1" s="165">
      <c r="A187" s="7" t="n"/>
      <c r="B187" s="7" t="n"/>
      <c r="C187" s="7" t="n"/>
      <c r="D187" s="15"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row>
    <row r="188" ht="14.25" customHeight="1" s="165">
      <c r="A188" s="7" t="n"/>
      <c r="B188" s="7" t="n"/>
      <c r="C188" s="7" t="n"/>
      <c r="D188" s="15"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row>
    <row r="189" ht="14.25" customHeight="1" s="165">
      <c r="A189" s="7" t="n"/>
      <c r="B189" s="7" t="n"/>
      <c r="C189" s="7" t="n"/>
      <c r="D189" s="15"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row>
    <row r="190" ht="14.25" customHeight="1" s="165">
      <c r="A190" s="7" t="n"/>
      <c r="B190" s="7" t="n"/>
      <c r="C190" s="7" t="n"/>
      <c r="D190" s="15"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row>
    <row r="191" ht="14.25" customHeight="1" s="165">
      <c r="A191" s="7" t="n"/>
      <c r="B191" s="7" t="n"/>
      <c r="C191" s="7" t="n"/>
      <c r="D191" s="15"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row>
    <row r="192" ht="14.25" customHeight="1" s="165">
      <c r="A192" s="7" t="n"/>
      <c r="B192" s="7" t="n"/>
      <c r="C192" s="7" t="n"/>
      <c r="D192" s="15"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row>
    <row r="193" ht="14.25" customHeight="1" s="165">
      <c r="A193" s="7" t="n"/>
      <c r="B193" s="7" t="n"/>
      <c r="C193" s="7" t="n"/>
      <c r="D193" s="15"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row>
    <row r="194" ht="14.25" customHeight="1" s="165">
      <c r="A194" s="7" t="n"/>
      <c r="B194" s="7" t="n"/>
      <c r="C194" s="7" t="n"/>
      <c r="D194" s="15"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row>
    <row r="195" ht="14.25" customHeight="1" s="165">
      <c r="A195" s="7" t="n"/>
      <c r="B195" s="7" t="n"/>
      <c r="C195" s="7" t="n"/>
      <c r="D195" s="15"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row>
    <row r="196" ht="14.25" customHeight="1" s="165">
      <c r="A196" s="7" t="n"/>
      <c r="B196" s="7" t="n"/>
      <c r="C196" s="7" t="n"/>
      <c r="D196" s="15"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row>
    <row r="197" ht="14.25" customHeight="1" s="165">
      <c r="A197" s="7" t="n"/>
      <c r="B197" s="7" t="n"/>
      <c r="C197" s="7" t="n"/>
      <c r="D197" s="15"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row>
    <row r="198" ht="14.25" customHeight="1" s="165">
      <c r="A198" s="7" t="n"/>
      <c r="B198" s="7" t="n"/>
      <c r="C198" s="7" t="n"/>
      <c r="D198" s="15"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row>
    <row r="199" ht="14.25" customHeight="1" s="165">
      <c r="A199" s="7" t="n"/>
      <c r="B199" s="7" t="n"/>
      <c r="C199" s="7" t="n"/>
      <c r="D199" s="15"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row>
    <row r="200" ht="14.25" customHeight="1" s="165">
      <c r="A200" s="7" t="n"/>
      <c r="B200" s="7" t="n"/>
      <c r="C200" s="7" t="n"/>
      <c r="D200" s="15"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row>
    <row r="201" ht="14.25" customHeight="1" s="165">
      <c r="A201" s="7" t="n"/>
      <c r="B201" s="7" t="n"/>
      <c r="C201" s="7" t="n"/>
      <c r="D201" s="15"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row>
    <row r="202" ht="14.25" customHeight="1" s="165">
      <c r="A202" s="7" t="n"/>
      <c r="B202" s="7" t="n"/>
      <c r="C202" s="7" t="n"/>
      <c r="D202" s="15"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row>
    <row r="203" ht="14.25" customHeight="1" s="165">
      <c r="A203" s="7" t="n"/>
      <c r="B203" s="7" t="n"/>
      <c r="C203" s="7" t="n"/>
      <c r="D203" s="15"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row>
    <row r="204" ht="14.25" customHeight="1" s="165">
      <c r="A204" s="7" t="n"/>
      <c r="B204" s="7" t="n"/>
      <c r="C204" s="7" t="n"/>
      <c r="D204" s="15"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row>
    <row r="205" ht="14.25" customHeight="1" s="165">
      <c r="A205" s="7" t="n"/>
      <c r="B205" s="7" t="n"/>
      <c r="C205" s="7" t="n"/>
      <c r="D205" s="15"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row>
    <row r="206" ht="14.25" customHeight="1" s="165">
      <c r="A206" s="7" t="n"/>
      <c r="B206" s="7" t="n"/>
      <c r="C206" s="7" t="n"/>
      <c r="D206" s="15"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row>
    <row r="207" ht="14.25" customHeight="1" s="165">
      <c r="A207" s="7" t="n"/>
      <c r="B207" s="7" t="n"/>
      <c r="C207" s="7" t="n"/>
      <c r="D207" s="15"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row>
    <row r="208" ht="14.25" customHeight="1" s="165">
      <c r="A208" s="7" t="n"/>
      <c r="B208" s="7" t="n"/>
      <c r="C208" s="7" t="n"/>
      <c r="D208" s="15"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row>
    <row r="209" ht="14.25" customHeight="1" s="165">
      <c r="A209" s="7" t="n"/>
      <c r="B209" s="7" t="n"/>
      <c r="C209" s="7" t="n"/>
      <c r="D209" s="15"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row>
    <row r="210" ht="14.25" customHeight="1" s="165">
      <c r="A210" s="7" t="n"/>
      <c r="B210" s="7" t="n"/>
      <c r="C210" s="7" t="n"/>
      <c r="D210" s="15"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row>
    <row r="211" ht="14.25" customHeight="1" s="165">
      <c r="A211" s="7" t="n"/>
      <c r="B211" s="7" t="n"/>
      <c r="C211" s="7" t="n"/>
      <c r="D211" s="15"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row>
    <row r="212" ht="14.25" customHeight="1" s="165">
      <c r="A212" s="7" t="n"/>
      <c r="B212" s="7" t="n"/>
      <c r="C212" s="7" t="n"/>
      <c r="D212" s="15"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row>
    <row r="213" ht="14.25" customHeight="1" s="165">
      <c r="A213" s="7" t="n"/>
      <c r="B213" s="7" t="n"/>
      <c r="C213" s="7" t="n"/>
      <c r="D213" s="15"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row>
    <row r="214" ht="14.25" customHeight="1" s="165">
      <c r="A214" s="7" t="n"/>
      <c r="B214" s="7" t="n"/>
      <c r="C214" s="7" t="n"/>
      <c r="D214" s="15"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row>
    <row r="215" ht="14.25" customHeight="1" s="165">
      <c r="A215" s="7" t="n"/>
      <c r="B215" s="7" t="n"/>
      <c r="C215" s="7" t="n"/>
      <c r="D215" s="15"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row>
    <row r="216" ht="14.25" customHeight="1" s="165">
      <c r="A216" s="7" t="n"/>
      <c r="B216" s="7" t="n"/>
      <c r="C216" s="7" t="n"/>
      <c r="D216" s="15"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row>
    <row r="217" ht="14.25" customHeight="1" s="165">
      <c r="A217" s="7" t="n"/>
      <c r="B217" s="7" t="n"/>
      <c r="C217" s="7" t="n"/>
      <c r="D217" s="15"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row>
    <row r="218" ht="14.25" customHeight="1" s="165">
      <c r="A218" s="7" t="n"/>
      <c r="B218" s="7" t="n"/>
      <c r="C218" s="7" t="n"/>
      <c r="D218" s="15"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row>
    <row r="219" ht="14.25" customHeight="1" s="165">
      <c r="A219" s="7" t="n"/>
      <c r="B219" s="7" t="n"/>
      <c r="C219" s="7" t="n"/>
      <c r="D219" s="15"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row>
    <row r="220" ht="14.25" customHeight="1" s="165">
      <c r="A220" s="7" t="n"/>
      <c r="B220" s="7" t="n"/>
      <c r="C220" s="7" t="n"/>
      <c r="D220" s="15"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row>
    <row r="221" ht="14.25" customHeight="1" s="165">
      <c r="A221" s="7" t="n"/>
      <c r="B221" s="7" t="n"/>
      <c r="C221" s="7" t="n"/>
      <c r="D221" s="15"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row>
    <row r="222" ht="14.25" customHeight="1" s="165">
      <c r="A222" s="7" t="n"/>
      <c r="B222" s="7" t="n"/>
      <c r="C222" s="7" t="n"/>
      <c r="D222" s="15"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row>
    <row r="223" ht="14.25" customHeight="1" s="165">
      <c r="A223" s="7" t="n"/>
      <c r="B223" s="7" t="n"/>
      <c r="C223" s="7" t="n"/>
      <c r="D223" s="15"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row>
    <row r="224" ht="14.25" customHeight="1" s="165">
      <c r="A224" s="7" t="n"/>
      <c r="B224" s="7" t="n"/>
      <c r="C224" s="7" t="n"/>
      <c r="D224" s="15"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row>
    <row r="225" ht="14.25" customHeight="1" s="165">
      <c r="A225" s="7" t="n"/>
      <c r="B225" s="7" t="n"/>
      <c r="C225" s="7" t="n"/>
      <c r="D225" s="15"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row>
    <row r="226" ht="14.25" customHeight="1" s="165">
      <c r="A226" s="7" t="n"/>
      <c r="B226" s="7" t="n"/>
      <c r="C226" s="7" t="n"/>
      <c r="D226" s="15"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row>
    <row r="227" ht="14.25" customHeight="1" s="165">
      <c r="A227" s="7" t="n"/>
      <c r="B227" s="7" t="n"/>
      <c r="C227" s="7" t="n"/>
      <c r="D227" s="15"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row>
    <row r="228" ht="14.25" customHeight="1" s="165">
      <c r="A228" s="7" t="n"/>
      <c r="B228" s="7" t="n"/>
      <c r="C228" s="7" t="n"/>
      <c r="D228" s="15"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row>
    <row r="229" ht="14.25" customHeight="1" s="165">
      <c r="A229" s="7" t="n"/>
      <c r="B229" s="7" t="n"/>
      <c r="C229" s="7" t="n"/>
      <c r="D229" s="15"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row>
    <row r="230" ht="14.25" customHeight="1" s="165">
      <c r="A230" s="7" t="n"/>
      <c r="B230" s="7" t="n"/>
      <c r="C230" s="7" t="n"/>
      <c r="D230" s="15"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row>
    <row r="231" ht="14.25" customHeight="1" s="165">
      <c r="A231" s="7" t="n"/>
      <c r="B231" s="7" t="n"/>
      <c r="C231" s="7" t="n"/>
      <c r="D231" s="15"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row>
    <row r="232" ht="14.25" customHeight="1" s="165">
      <c r="A232" s="7" t="n"/>
      <c r="B232" s="7" t="n"/>
      <c r="C232" s="7" t="n"/>
      <c r="D232" s="15"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row>
    <row r="233" ht="14.25" customHeight="1" s="165">
      <c r="A233" s="7" t="n"/>
      <c r="B233" s="7" t="n"/>
      <c r="C233" s="7" t="n"/>
      <c r="D233" s="15"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row>
    <row r="234" ht="14.25" customHeight="1" s="165">
      <c r="A234" s="7" t="n"/>
      <c r="B234" s="7" t="n"/>
      <c r="C234" s="7" t="n"/>
      <c r="D234" s="15"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row>
    <row r="235" ht="14.25" customHeight="1" s="165">
      <c r="A235" s="7" t="n"/>
      <c r="B235" s="7" t="n"/>
      <c r="C235" s="7" t="n"/>
      <c r="D235" s="15"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row>
    <row r="236" ht="14.25" customHeight="1" s="165">
      <c r="A236" s="7" t="n"/>
      <c r="B236" s="7" t="n"/>
      <c r="C236" s="7" t="n"/>
      <c r="D236" s="15"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row>
    <row r="237" ht="14.25" customHeight="1" s="165">
      <c r="A237" s="7" t="n"/>
      <c r="B237" s="7" t="n"/>
      <c r="C237" s="7" t="n"/>
      <c r="D237" s="15"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row>
    <row r="238" ht="14.25" customHeight="1" s="165">
      <c r="A238" s="7" t="n"/>
      <c r="B238" s="7" t="n"/>
      <c r="C238" s="7" t="n"/>
      <c r="D238" s="15"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row>
    <row r="239" ht="14.25" customHeight="1" s="165">
      <c r="A239" s="7" t="n"/>
      <c r="B239" s="7" t="n"/>
      <c r="C239" s="7" t="n"/>
      <c r="D239" s="15"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row>
    <row r="240" ht="14.25" customHeight="1" s="165">
      <c r="A240" s="7" t="n"/>
      <c r="B240" s="7" t="n"/>
      <c r="C240" s="7" t="n"/>
      <c r="D240" s="15"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row>
    <row r="241" ht="14.25" customHeight="1" s="165">
      <c r="A241" s="7" t="n"/>
      <c r="B241" s="7" t="n"/>
      <c r="C241" s="7" t="n"/>
      <c r="D241" s="15"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row>
    <row r="242" ht="14.25" customHeight="1" s="165">
      <c r="A242" s="7" t="n"/>
      <c r="B242" s="7" t="n"/>
      <c r="C242" s="7" t="n"/>
      <c r="D242" s="15"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row>
    <row r="243" ht="14.25" customHeight="1" s="165">
      <c r="A243" s="7" t="n"/>
      <c r="B243" s="7" t="n"/>
      <c r="C243" s="7" t="n"/>
      <c r="D243" s="15"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row>
    <row r="244" ht="14.25" customHeight="1" s="165">
      <c r="A244" s="7" t="n"/>
      <c r="B244" s="7" t="n"/>
      <c r="C244" s="7" t="n"/>
      <c r="D244" s="15"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row>
    <row r="245" ht="14.25" customHeight="1" s="165">
      <c r="A245" s="7" t="n"/>
      <c r="B245" s="7" t="n"/>
      <c r="C245" s="7" t="n"/>
      <c r="D245" s="15"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row>
    <row r="246" ht="14.25" customHeight="1" s="165">
      <c r="A246" s="7" t="n"/>
      <c r="B246" s="7" t="n"/>
      <c r="C246" s="7" t="n"/>
      <c r="D246" s="15"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row>
    <row r="247" ht="14.25" customHeight="1" s="165">
      <c r="A247" s="7" t="n"/>
      <c r="B247" s="7" t="n"/>
      <c r="C247" s="7" t="n"/>
      <c r="D247" s="15"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row>
    <row r="248" ht="14.25" customHeight="1" s="165">
      <c r="A248" s="7" t="n"/>
      <c r="B248" s="7" t="n"/>
      <c r="C248" s="7" t="n"/>
      <c r="D248" s="15"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row>
    <row r="249" ht="14.25" customHeight="1" s="165">
      <c r="A249" s="7" t="n"/>
      <c r="B249" s="7" t="n"/>
      <c r="C249" s="7" t="n"/>
      <c r="D249" s="15"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row>
    <row r="250" ht="14.25" customHeight="1" s="165">
      <c r="A250" s="7" t="n"/>
      <c r="B250" s="7" t="n"/>
      <c r="C250" s="7" t="n"/>
      <c r="D250" s="15"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row>
    <row r="251" ht="14.25" customHeight="1" s="165">
      <c r="A251" s="7" t="n"/>
      <c r="B251" s="7" t="n"/>
      <c r="C251" s="7" t="n"/>
      <c r="D251" s="15"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row>
    <row r="252" ht="14.25" customHeight="1" s="165">
      <c r="A252" s="7" t="n"/>
      <c r="B252" s="7" t="n"/>
      <c r="C252" s="7" t="n"/>
      <c r="D252" s="15"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row>
    <row r="253" ht="14.25" customHeight="1" s="165">
      <c r="A253" s="7" t="n"/>
      <c r="B253" s="7" t="n"/>
      <c r="C253" s="7" t="n"/>
      <c r="D253" s="15"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row>
    <row r="254" ht="14.25" customHeight="1" s="165">
      <c r="A254" s="7" t="n"/>
      <c r="B254" s="7" t="n"/>
      <c r="C254" s="7" t="n"/>
      <c r="D254" s="15"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row>
    <row r="255" ht="14.25" customHeight="1" s="165">
      <c r="A255" s="7" t="n"/>
      <c r="B255" s="7" t="n"/>
      <c r="C255" s="7" t="n"/>
      <c r="D255" s="15"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row>
    <row r="256" ht="14.25" customHeight="1" s="165">
      <c r="A256" s="7" t="n"/>
      <c r="B256" s="7" t="n"/>
      <c r="C256" s="7" t="n"/>
      <c r="D256" s="15"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row>
    <row r="257" ht="14.25" customHeight="1" s="165">
      <c r="A257" s="7" t="n"/>
      <c r="B257" s="7" t="n"/>
      <c r="C257" s="7" t="n"/>
      <c r="D257" s="15"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row>
    <row r="258" ht="14.25" customHeight="1" s="165">
      <c r="A258" s="7" t="n"/>
      <c r="B258" s="7" t="n"/>
      <c r="C258" s="7" t="n"/>
      <c r="D258" s="15"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row>
    <row r="259" ht="14.25" customHeight="1" s="165">
      <c r="A259" s="7" t="n"/>
      <c r="B259" s="7" t="n"/>
      <c r="C259" s="7" t="n"/>
      <c r="D259" s="15"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row>
    <row r="260" ht="14.25" customHeight="1" s="165">
      <c r="A260" s="7" t="n"/>
      <c r="B260" s="7" t="n"/>
      <c r="C260" s="7" t="n"/>
      <c r="D260" s="15"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row>
    <row r="261" ht="14.25" customHeight="1" s="165">
      <c r="A261" s="7" t="n"/>
      <c r="B261" s="7" t="n"/>
      <c r="C261" s="7" t="n"/>
      <c r="D261" s="15"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row>
    <row r="262" ht="14.25" customHeight="1" s="165">
      <c r="A262" s="7" t="n"/>
      <c r="B262" s="7" t="n"/>
      <c r="C262" s="7" t="n"/>
      <c r="D262" s="15"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row>
    <row r="263" ht="14.25" customHeight="1" s="165">
      <c r="A263" s="7" t="n"/>
      <c r="B263" s="7" t="n"/>
      <c r="C263" s="7" t="n"/>
      <c r="D263" s="15"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row>
    <row r="264" ht="14.25" customHeight="1" s="165">
      <c r="A264" s="7" t="n"/>
      <c r="B264" s="7" t="n"/>
      <c r="C264" s="7" t="n"/>
      <c r="D264" s="15"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row>
    <row r="265" ht="14.25" customHeight="1" s="165">
      <c r="A265" s="7" t="n"/>
      <c r="B265" s="7" t="n"/>
      <c r="C265" s="7" t="n"/>
      <c r="D265" s="15"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row>
    <row r="266" ht="14.25" customHeight="1" s="165">
      <c r="A266" s="7" t="n"/>
      <c r="B266" s="7" t="n"/>
      <c r="C266" s="7" t="n"/>
      <c r="D266" s="15"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row>
    <row r="267" ht="14.25" customHeight="1" s="165">
      <c r="A267" s="7" t="n"/>
      <c r="B267" s="7" t="n"/>
      <c r="C267" s="7" t="n"/>
      <c r="D267" s="15"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row>
    <row r="268" ht="14.25" customHeight="1" s="165">
      <c r="A268" s="7" t="n"/>
      <c r="B268" s="7" t="n"/>
      <c r="C268" s="7" t="n"/>
      <c r="D268" s="15"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row>
    <row r="269" ht="14.25" customHeight="1" s="165">
      <c r="A269" s="7" t="n"/>
      <c r="B269" s="7" t="n"/>
      <c r="C269" s="7" t="n"/>
      <c r="D269" s="15"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row>
    <row r="270" ht="14.25" customHeight="1" s="165">
      <c r="A270" s="7" t="n"/>
      <c r="B270" s="7" t="n"/>
      <c r="C270" s="7" t="n"/>
      <c r="D270" s="15"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row>
    <row r="271" ht="14.25" customHeight="1" s="165">
      <c r="A271" s="7" t="n"/>
      <c r="B271" s="7" t="n"/>
      <c r="C271" s="7" t="n"/>
      <c r="D271" s="15"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row>
    <row r="272" ht="14.25" customHeight="1" s="165">
      <c r="A272" s="7" t="n"/>
      <c r="B272" s="7" t="n"/>
      <c r="C272" s="7" t="n"/>
      <c r="D272" s="15"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row>
    <row r="273" ht="14.25" customHeight="1" s="165">
      <c r="A273" s="7" t="n"/>
      <c r="B273" s="7" t="n"/>
      <c r="C273" s="7" t="n"/>
      <c r="D273" s="15"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row>
    <row r="274" ht="14.25" customHeight="1" s="165">
      <c r="A274" s="7" t="n"/>
      <c r="B274" s="7" t="n"/>
      <c r="C274" s="7" t="n"/>
      <c r="D274" s="15"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row>
    <row r="275" ht="14.25" customHeight="1" s="165">
      <c r="A275" s="7" t="n"/>
      <c r="B275" s="7" t="n"/>
      <c r="C275" s="7" t="n"/>
      <c r="D275" s="15"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row>
    <row r="276" ht="14.25" customHeight="1" s="165">
      <c r="A276" s="7" t="n"/>
      <c r="B276" s="7" t="n"/>
      <c r="C276" s="7" t="n"/>
      <c r="D276" s="15"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row>
    <row r="277" ht="14.25" customHeight="1" s="165">
      <c r="A277" s="7" t="n"/>
      <c r="B277" s="7" t="n"/>
      <c r="C277" s="7" t="n"/>
      <c r="D277" s="15"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row>
    <row r="278" ht="14.25" customHeight="1" s="165">
      <c r="A278" s="7" t="n"/>
      <c r="B278" s="7" t="n"/>
      <c r="C278" s="7" t="n"/>
      <c r="D278" s="15"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row>
    <row r="279" ht="14.25" customHeight="1" s="165">
      <c r="A279" s="7" t="n"/>
      <c r="B279" s="7" t="n"/>
      <c r="C279" s="7" t="n"/>
      <c r="D279" s="15"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row>
    <row r="280" ht="14.25" customHeight="1" s="165">
      <c r="A280" s="7" t="n"/>
      <c r="B280" s="7" t="n"/>
      <c r="C280" s="7" t="n"/>
      <c r="D280" s="15"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row>
    <row r="281" ht="14.25" customHeight="1" s="165">
      <c r="A281" s="7" t="n"/>
      <c r="B281" s="7" t="n"/>
      <c r="C281" s="7" t="n"/>
      <c r="D281" s="15"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row>
    <row r="282" ht="14.25" customHeight="1" s="165">
      <c r="A282" s="7" t="n"/>
      <c r="B282" s="7" t="n"/>
      <c r="C282" s="7" t="n"/>
      <c r="D282" s="15"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row>
    <row r="283" ht="14.25" customHeight="1" s="165">
      <c r="A283" s="7" t="n"/>
      <c r="B283" s="7" t="n"/>
      <c r="C283" s="7" t="n"/>
      <c r="D283" s="15"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row>
    <row r="284" ht="14.25" customHeight="1" s="165">
      <c r="A284" s="7" t="n"/>
      <c r="B284" s="7" t="n"/>
      <c r="C284" s="7" t="n"/>
      <c r="D284" s="15"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row>
    <row r="285" ht="14.25" customHeight="1" s="165">
      <c r="A285" s="7" t="n"/>
      <c r="B285" s="7" t="n"/>
      <c r="C285" s="7" t="n"/>
      <c r="D285" s="15"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row>
    <row r="286" ht="14.25" customHeight="1" s="165">
      <c r="A286" s="7" t="n"/>
      <c r="B286" s="7" t="n"/>
      <c r="C286" s="7" t="n"/>
      <c r="D286" s="15"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row>
    <row r="287" ht="14.25" customHeight="1" s="165">
      <c r="A287" s="7" t="n"/>
      <c r="B287" s="7" t="n"/>
      <c r="C287" s="7" t="n"/>
      <c r="D287" s="15"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row>
    <row r="288" ht="14.25" customHeight="1" s="165">
      <c r="A288" s="7" t="n"/>
      <c r="B288" s="7" t="n"/>
      <c r="C288" s="7" t="n"/>
      <c r="D288" s="15"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row>
    <row r="289" ht="14.25" customHeight="1" s="165">
      <c r="A289" s="7" t="n"/>
      <c r="B289" s="7" t="n"/>
      <c r="C289" s="7" t="n"/>
      <c r="D289" s="15"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row>
    <row r="290" ht="14.25" customHeight="1" s="165">
      <c r="A290" s="7" t="n"/>
      <c r="B290" s="7" t="n"/>
      <c r="C290" s="7" t="n"/>
      <c r="D290" s="15"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row>
    <row r="291" ht="14.25" customHeight="1" s="165">
      <c r="A291" s="7" t="n"/>
      <c r="B291" s="7" t="n"/>
      <c r="C291" s="7" t="n"/>
      <c r="D291" s="15"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row>
    <row r="292" ht="14.25" customHeight="1" s="165">
      <c r="A292" s="7" t="n"/>
      <c r="B292" s="7" t="n"/>
      <c r="C292" s="7" t="n"/>
      <c r="D292" s="15"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row>
    <row r="293" ht="14.25" customHeight="1" s="165">
      <c r="A293" s="7" t="n"/>
      <c r="B293" s="7" t="n"/>
      <c r="C293" s="7" t="n"/>
      <c r="D293" s="15"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row>
    <row r="294" ht="14.25" customHeight="1" s="165">
      <c r="A294" s="7" t="n"/>
      <c r="B294" s="7" t="n"/>
      <c r="C294" s="7" t="n"/>
      <c r="D294" s="15"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row>
    <row r="295" ht="14.25" customHeight="1" s="165">
      <c r="A295" s="7" t="n"/>
      <c r="B295" s="7" t="n"/>
      <c r="C295" s="7" t="n"/>
      <c r="D295" s="15"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row>
    <row r="296" ht="14.25" customHeight="1" s="165">
      <c r="A296" s="7" t="n"/>
      <c r="B296" s="7" t="n"/>
      <c r="C296" s="7" t="n"/>
      <c r="D296" s="15"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row>
    <row r="297" ht="14.25" customHeight="1" s="165">
      <c r="A297" s="7" t="n"/>
      <c r="B297" s="7" t="n"/>
      <c r="C297" s="7" t="n"/>
      <c r="D297" s="15"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row>
    <row r="298" ht="14.25" customHeight="1" s="165">
      <c r="A298" s="7" t="n"/>
      <c r="B298" s="7" t="n"/>
      <c r="C298" s="7" t="n"/>
      <c r="D298" s="15"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row>
    <row r="299" ht="14.25" customHeight="1" s="165">
      <c r="A299" s="7" t="n"/>
      <c r="B299" s="7" t="n"/>
      <c r="C299" s="7" t="n"/>
      <c r="D299" s="15"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row>
    <row r="300" ht="14.25" customHeight="1" s="165">
      <c r="A300" s="7" t="n"/>
      <c r="B300" s="7" t="n"/>
      <c r="C300" s="7" t="n"/>
      <c r="D300" s="15"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row>
    <row r="301" ht="14.25" customHeight="1" s="165">
      <c r="A301" s="7" t="n"/>
      <c r="B301" s="7" t="n"/>
      <c r="C301" s="7" t="n"/>
      <c r="D301" s="15"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row>
    <row r="302" ht="14.25" customHeight="1" s="165">
      <c r="A302" s="7" t="n"/>
      <c r="B302" s="7" t="n"/>
      <c r="C302" s="7" t="n"/>
      <c r="D302" s="15"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row>
    <row r="303" ht="14.25" customHeight="1" s="165">
      <c r="A303" s="7" t="n"/>
      <c r="B303" s="7" t="n"/>
      <c r="C303" s="7" t="n"/>
      <c r="D303" s="15"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row>
    <row r="304" ht="14.25" customHeight="1" s="165">
      <c r="A304" s="7" t="n"/>
      <c r="B304" s="7" t="n"/>
      <c r="C304" s="7" t="n"/>
      <c r="D304" s="15"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row>
    <row r="305" ht="14.25" customHeight="1" s="165">
      <c r="A305" s="7" t="n"/>
      <c r="B305" s="7" t="n"/>
      <c r="C305" s="7" t="n"/>
      <c r="D305" s="15"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row>
    <row r="306" ht="14.25" customHeight="1" s="165">
      <c r="A306" s="7" t="n"/>
      <c r="B306" s="7" t="n"/>
      <c r="C306" s="7" t="n"/>
      <c r="D306" s="15"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row>
    <row r="307" ht="14.25" customHeight="1" s="165">
      <c r="A307" s="7" t="n"/>
      <c r="B307" s="7" t="n"/>
      <c r="C307" s="7" t="n"/>
      <c r="D307" s="15"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row>
    <row r="308" ht="14.25" customHeight="1" s="165">
      <c r="A308" s="7" t="n"/>
      <c r="B308" s="7" t="n"/>
      <c r="C308" s="7" t="n"/>
      <c r="D308" s="15"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row>
    <row r="309" ht="14.25" customHeight="1" s="165">
      <c r="A309" s="7" t="n"/>
      <c r="B309" s="7" t="n"/>
      <c r="C309" s="7" t="n"/>
      <c r="D309" s="15"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row>
    <row r="310" ht="14.25" customHeight="1" s="165">
      <c r="A310" s="7" t="n"/>
      <c r="B310" s="7" t="n"/>
      <c r="C310" s="7" t="n"/>
      <c r="D310" s="15"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row>
    <row r="311" ht="14.25" customHeight="1" s="165">
      <c r="A311" s="7" t="n"/>
      <c r="B311" s="7" t="n"/>
      <c r="C311" s="7" t="n"/>
      <c r="D311" s="15"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row>
    <row r="312" ht="14.25" customHeight="1" s="165">
      <c r="A312" s="7" t="n"/>
      <c r="B312" s="7" t="n"/>
      <c r="C312" s="7" t="n"/>
      <c r="D312" s="15"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row>
    <row r="313" ht="14.25" customHeight="1" s="165">
      <c r="A313" s="7" t="n"/>
      <c r="B313" s="7" t="n"/>
      <c r="C313" s="7" t="n"/>
      <c r="D313" s="15"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row>
    <row r="314" ht="14.25" customHeight="1" s="165">
      <c r="A314" s="7" t="n"/>
      <c r="B314" s="7" t="n"/>
      <c r="C314" s="7" t="n"/>
      <c r="D314" s="15"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row>
    <row r="315" ht="14.25" customHeight="1" s="165">
      <c r="A315" s="7" t="n"/>
      <c r="B315" s="7" t="n"/>
      <c r="C315" s="7" t="n"/>
      <c r="D315" s="15"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row>
    <row r="316" ht="14.25" customHeight="1" s="165">
      <c r="A316" s="7" t="n"/>
      <c r="B316" s="7" t="n"/>
      <c r="C316" s="7" t="n"/>
      <c r="D316" s="15"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row>
    <row r="317" ht="14.25" customHeight="1" s="165">
      <c r="A317" s="7" t="n"/>
      <c r="B317" s="7" t="n"/>
      <c r="C317" s="7" t="n"/>
      <c r="D317" s="15"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row>
    <row r="318" ht="14.25" customHeight="1" s="165">
      <c r="A318" s="7" t="n"/>
      <c r="B318" s="7" t="n"/>
      <c r="C318" s="7" t="n"/>
      <c r="D318" s="15"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row>
    <row r="319" ht="14.25" customHeight="1" s="165">
      <c r="A319" s="7" t="n"/>
      <c r="B319" s="7" t="n"/>
      <c r="C319" s="7" t="n"/>
      <c r="D319" s="15"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row>
    <row r="320" ht="14.25" customHeight="1" s="165">
      <c r="A320" s="7" t="n"/>
      <c r="B320" s="7" t="n"/>
      <c r="C320" s="7" t="n"/>
      <c r="D320" s="15"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row>
    <row r="321" ht="14.25" customHeight="1" s="165">
      <c r="A321" s="7" t="n"/>
      <c r="B321" s="7" t="n"/>
      <c r="C321" s="7" t="n"/>
      <c r="D321" s="15"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row>
    <row r="322" ht="14.25" customHeight="1" s="165">
      <c r="A322" s="7" t="n"/>
      <c r="B322" s="7" t="n"/>
      <c r="C322" s="7" t="n"/>
      <c r="D322" s="15"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row>
    <row r="323" ht="14.25" customHeight="1" s="165">
      <c r="A323" s="7" t="n"/>
      <c r="B323" s="7" t="n"/>
      <c r="C323" s="7" t="n"/>
      <c r="D323" s="15"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row>
    <row r="324" ht="14.25" customHeight="1" s="165">
      <c r="A324" s="7" t="n"/>
      <c r="B324" s="7" t="n"/>
      <c r="C324" s="7" t="n"/>
      <c r="D324" s="15"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row>
    <row r="325" ht="14.25" customHeight="1" s="165">
      <c r="A325" s="7" t="n"/>
      <c r="B325" s="7" t="n"/>
      <c r="C325" s="7" t="n"/>
      <c r="D325" s="15"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row>
    <row r="326" ht="14.25" customHeight="1" s="165">
      <c r="A326" s="7" t="n"/>
      <c r="B326" s="7" t="n"/>
      <c r="C326" s="7" t="n"/>
      <c r="D326" s="15"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row>
    <row r="327" ht="14.25" customHeight="1" s="165">
      <c r="A327" s="7" t="n"/>
      <c r="B327" s="7" t="n"/>
      <c r="C327" s="7" t="n"/>
      <c r="D327" s="15"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row>
    <row r="328" ht="14.25" customHeight="1" s="165">
      <c r="A328" s="7" t="n"/>
      <c r="B328" s="7" t="n"/>
      <c r="C328" s="7" t="n"/>
      <c r="D328" s="15"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row>
    <row r="329" ht="14.25" customHeight="1" s="165">
      <c r="A329" s="7" t="n"/>
      <c r="B329" s="7" t="n"/>
      <c r="C329" s="7" t="n"/>
      <c r="D329" s="15"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row>
    <row r="330" ht="14.25" customHeight="1" s="165">
      <c r="A330" s="7" t="n"/>
      <c r="B330" s="7" t="n"/>
      <c r="C330" s="7" t="n"/>
      <c r="D330" s="15"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row>
    <row r="331" ht="14.25" customHeight="1" s="165">
      <c r="A331" s="7" t="n"/>
      <c r="B331" s="7" t="n"/>
      <c r="C331" s="7" t="n"/>
      <c r="D331" s="15"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row>
    <row r="332" ht="14.25" customHeight="1" s="165">
      <c r="A332" s="7" t="n"/>
      <c r="B332" s="7" t="n"/>
      <c r="C332" s="7" t="n"/>
      <c r="D332" s="15"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row>
    <row r="333" ht="14.25" customHeight="1" s="165">
      <c r="A333" s="7" t="n"/>
      <c r="B333" s="7" t="n"/>
      <c r="C333" s="7" t="n"/>
      <c r="D333" s="15"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row>
    <row r="334" ht="14.25" customHeight="1" s="165">
      <c r="A334" s="7" t="n"/>
      <c r="B334" s="7" t="n"/>
      <c r="C334" s="7" t="n"/>
      <c r="D334" s="15"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row>
    <row r="335" ht="14.25" customHeight="1" s="165">
      <c r="A335" s="7" t="n"/>
      <c r="B335" s="7" t="n"/>
      <c r="C335" s="7" t="n"/>
      <c r="D335" s="15"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row>
    <row r="336" ht="14.25" customHeight="1" s="165">
      <c r="A336" s="7" t="n"/>
      <c r="B336" s="7" t="n"/>
      <c r="C336" s="7" t="n"/>
      <c r="D336" s="15"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row>
    <row r="337" ht="14.25" customHeight="1" s="165">
      <c r="A337" s="7" t="n"/>
      <c r="B337" s="7" t="n"/>
      <c r="C337" s="7" t="n"/>
      <c r="D337" s="15"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row>
    <row r="338" ht="14.25" customHeight="1" s="165">
      <c r="A338" s="7" t="n"/>
      <c r="B338" s="7" t="n"/>
      <c r="C338" s="7" t="n"/>
      <c r="D338" s="15"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row>
    <row r="339" ht="14.25" customHeight="1" s="165">
      <c r="A339" s="7" t="n"/>
      <c r="B339" s="7" t="n"/>
      <c r="C339" s="7" t="n"/>
      <c r="D339" s="15"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row>
    <row r="340" ht="14.25" customHeight="1" s="165">
      <c r="A340" s="7" t="n"/>
      <c r="B340" s="7" t="n"/>
      <c r="C340" s="7" t="n"/>
      <c r="D340" s="15"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row>
    <row r="341" ht="14.25" customHeight="1" s="165">
      <c r="A341" s="7" t="n"/>
      <c r="B341" s="7" t="n"/>
      <c r="C341" s="7" t="n"/>
      <c r="D341" s="15"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row>
    <row r="342" ht="14.25" customHeight="1" s="165">
      <c r="A342" s="7" t="n"/>
      <c r="B342" s="7" t="n"/>
      <c r="C342" s="7" t="n"/>
      <c r="D342" s="15"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row>
    <row r="343" ht="14.25" customHeight="1" s="165">
      <c r="A343" s="7" t="n"/>
      <c r="B343" s="7" t="n"/>
      <c r="C343" s="7" t="n"/>
      <c r="D343" s="15"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row>
    <row r="344" ht="14.25" customHeight="1" s="165">
      <c r="A344" s="7" t="n"/>
      <c r="B344" s="7" t="n"/>
      <c r="C344" s="7" t="n"/>
      <c r="D344" s="15"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row>
    <row r="345" ht="14.25" customHeight="1" s="165">
      <c r="A345" s="7" t="n"/>
      <c r="B345" s="7" t="n"/>
      <c r="C345" s="7" t="n"/>
      <c r="D345" s="15"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row>
    <row r="346" ht="14.25" customHeight="1" s="165">
      <c r="A346" s="7" t="n"/>
      <c r="B346" s="7" t="n"/>
      <c r="C346" s="7" t="n"/>
      <c r="D346" s="15"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row>
    <row r="347" ht="14.25" customHeight="1" s="165">
      <c r="A347" s="7" t="n"/>
      <c r="B347" s="7" t="n"/>
      <c r="C347" s="7" t="n"/>
      <c r="D347" s="15"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row>
    <row r="348" ht="14.25" customHeight="1" s="165">
      <c r="A348" s="7" t="n"/>
      <c r="B348" s="7" t="n"/>
      <c r="C348" s="7" t="n"/>
      <c r="D348" s="15"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row>
    <row r="349" ht="14.25" customHeight="1" s="165">
      <c r="A349" s="7" t="n"/>
      <c r="B349" s="7" t="n"/>
      <c r="C349" s="7" t="n"/>
      <c r="D349" s="15"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row>
    <row r="350" ht="14.25" customHeight="1" s="165">
      <c r="A350" s="7" t="n"/>
      <c r="B350" s="7" t="n"/>
      <c r="C350" s="7" t="n"/>
      <c r="D350" s="15"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row>
    <row r="351" ht="14.25" customHeight="1" s="165">
      <c r="A351" s="7" t="n"/>
      <c r="B351" s="7" t="n"/>
      <c r="C351" s="7" t="n"/>
      <c r="D351" s="15"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row>
    <row r="352" ht="14.25" customHeight="1" s="165">
      <c r="A352" s="7" t="n"/>
      <c r="B352" s="7" t="n"/>
      <c r="C352" s="7" t="n"/>
      <c r="D352" s="15"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row>
    <row r="353" ht="14.25" customHeight="1" s="165">
      <c r="A353" s="7" t="n"/>
      <c r="B353" s="7" t="n"/>
      <c r="C353" s="7" t="n"/>
      <c r="D353" s="15"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row>
    <row r="354" ht="14.25" customHeight="1" s="165">
      <c r="A354" s="7" t="n"/>
      <c r="B354" s="7" t="n"/>
      <c r="C354" s="7" t="n"/>
      <c r="D354" s="15"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row>
    <row r="355" ht="14.25" customHeight="1" s="165">
      <c r="A355" s="7" t="n"/>
      <c r="B355" s="7" t="n"/>
      <c r="C355" s="7" t="n"/>
      <c r="D355" s="15"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row>
    <row r="356" ht="14.25" customHeight="1" s="165">
      <c r="A356" s="7" t="n"/>
      <c r="B356" s="7" t="n"/>
      <c r="C356" s="7" t="n"/>
      <c r="D356" s="15"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row>
    <row r="357" ht="14.25" customHeight="1" s="165">
      <c r="A357" s="7" t="n"/>
      <c r="B357" s="7" t="n"/>
      <c r="C357" s="7" t="n"/>
      <c r="D357" s="15"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row>
    <row r="358" ht="14.25" customHeight="1" s="165">
      <c r="A358" s="7" t="n"/>
      <c r="B358" s="7" t="n"/>
      <c r="C358" s="7" t="n"/>
      <c r="D358" s="15"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row>
    <row r="359" ht="14.25" customHeight="1" s="165">
      <c r="A359" s="7" t="n"/>
      <c r="B359" s="7" t="n"/>
      <c r="C359" s="7" t="n"/>
      <c r="D359" s="15"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row>
    <row r="360" ht="14.25" customHeight="1" s="165">
      <c r="A360" s="7" t="n"/>
      <c r="B360" s="7" t="n"/>
      <c r="C360" s="7" t="n"/>
      <c r="D360" s="15"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row>
    <row r="361" ht="14.25" customHeight="1" s="165">
      <c r="A361" s="7" t="n"/>
      <c r="B361" s="7" t="n"/>
      <c r="C361" s="7" t="n"/>
      <c r="D361" s="15"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row>
    <row r="362" ht="14.25" customHeight="1" s="165">
      <c r="A362" s="7" t="n"/>
      <c r="B362" s="7" t="n"/>
      <c r="C362" s="7" t="n"/>
      <c r="D362" s="15"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row>
    <row r="363" ht="14.25" customHeight="1" s="165">
      <c r="A363" s="7" t="n"/>
      <c r="B363" s="7" t="n"/>
      <c r="C363" s="7" t="n"/>
      <c r="D363" s="15"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row>
    <row r="364" ht="14.25" customHeight="1" s="165">
      <c r="A364" s="7" t="n"/>
      <c r="B364" s="7" t="n"/>
      <c r="C364" s="7" t="n"/>
      <c r="D364" s="15"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row>
    <row r="365" ht="14.25" customHeight="1" s="165">
      <c r="A365" s="7" t="n"/>
      <c r="B365" s="7" t="n"/>
      <c r="C365" s="7" t="n"/>
      <c r="D365" s="15"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row>
    <row r="366" ht="14.25" customHeight="1" s="165">
      <c r="A366" s="7" t="n"/>
      <c r="B366" s="7" t="n"/>
      <c r="C366" s="7" t="n"/>
      <c r="D366" s="15"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row>
    <row r="367" ht="14.25" customHeight="1" s="165">
      <c r="A367" s="7" t="n"/>
      <c r="B367" s="7" t="n"/>
      <c r="C367" s="7" t="n"/>
      <c r="D367" s="15"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row>
    <row r="368" ht="14.25" customHeight="1" s="165">
      <c r="A368" s="7" t="n"/>
      <c r="B368" s="7" t="n"/>
      <c r="C368" s="7" t="n"/>
      <c r="D368" s="15"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row>
    <row r="369" ht="14.25" customHeight="1" s="165">
      <c r="A369" s="7" t="n"/>
      <c r="B369" s="7" t="n"/>
      <c r="C369" s="7" t="n"/>
      <c r="D369" s="15"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row>
    <row r="370" ht="14.25" customHeight="1" s="165">
      <c r="A370" s="7" t="n"/>
      <c r="B370" s="7" t="n"/>
      <c r="C370" s="7" t="n"/>
      <c r="D370" s="15"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row>
    <row r="371" ht="14.25" customHeight="1" s="165">
      <c r="A371" s="7" t="n"/>
      <c r="B371" s="7" t="n"/>
      <c r="C371" s="7" t="n"/>
      <c r="D371" s="15"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row>
    <row r="372" ht="14.25" customHeight="1" s="165">
      <c r="A372" s="7" t="n"/>
      <c r="B372" s="7" t="n"/>
      <c r="C372" s="7" t="n"/>
      <c r="D372" s="15"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row>
    <row r="373" ht="14.25" customHeight="1" s="165">
      <c r="A373" s="7" t="n"/>
      <c r="B373" s="7" t="n"/>
      <c r="C373" s="7" t="n"/>
      <c r="D373" s="15"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row>
    <row r="374" ht="14.25" customHeight="1" s="165">
      <c r="A374" s="7" t="n"/>
      <c r="B374" s="7" t="n"/>
      <c r="C374" s="7" t="n"/>
      <c r="D374" s="15"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row>
    <row r="375" ht="14.25" customHeight="1" s="165">
      <c r="A375" s="7" t="n"/>
      <c r="B375" s="7" t="n"/>
      <c r="C375" s="7" t="n"/>
      <c r="D375" s="15"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row>
    <row r="376" ht="14.25" customHeight="1" s="165">
      <c r="A376" s="7" t="n"/>
      <c r="B376" s="7" t="n"/>
      <c r="C376" s="7" t="n"/>
      <c r="D376" s="15"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row>
    <row r="377" ht="14.25" customHeight="1" s="165">
      <c r="A377" s="7" t="n"/>
      <c r="B377" s="7" t="n"/>
      <c r="C377" s="7" t="n"/>
      <c r="D377" s="15"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row>
    <row r="378" ht="14.25" customHeight="1" s="165">
      <c r="A378" s="7" t="n"/>
      <c r="B378" s="7" t="n"/>
      <c r="C378" s="7" t="n"/>
      <c r="D378" s="15"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row>
    <row r="379" ht="14.25" customHeight="1" s="165">
      <c r="A379" s="7" t="n"/>
      <c r="B379" s="7" t="n"/>
      <c r="C379" s="7" t="n"/>
      <c r="D379" s="15"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row>
    <row r="380" ht="14.25" customHeight="1" s="165">
      <c r="A380" s="7" t="n"/>
      <c r="B380" s="7" t="n"/>
      <c r="C380" s="7" t="n"/>
      <c r="D380" s="15"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row>
    <row r="381" ht="14.25" customHeight="1" s="165">
      <c r="A381" s="7" t="n"/>
      <c r="B381" s="7" t="n"/>
      <c r="C381" s="7" t="n"/>
      <c r="D381" s="15"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row>
    <row r="382" ht="14.25" customHeight="1" s="165">
      <c r="A382" s="7" t="n"/>
      <c r="B382" s="7" t="n"/>
      <c r="C382" s="7" t="n"/>
      <c r="D382" s="15"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row>
    <row r="383" ht="14.25" customHeight="1" s="165">
      <c r="A383" s="7" t="n"/>
      <c r="B383" s="7" t="n"/>
      <c r="C383" s="7" t="n"/>
      <c r="D383" s="15"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row>
    <row r="384" ht="14.25" customHeight="1" s="165">
      <c r="A384" s="7" t="n"/>
      <c r="B384" s="7" t="n"/>
      <c r="C384" s="7" t="n"/>
      <c r="D384" s="15"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row>
    <row r="385" ht="14.25" customHeight="1" s="165">
      <c r="A385" s="7" t="n"/>
      <c r="B385" s="7" t="n"/>
      <c r="C385" s="7" t="n"/>
      <c r="D385" s="15"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row>
    <row r="386" ht="14.25" customHeight="1" s="165">
      <c r="A386" s="7" t="n"/>
      <c r="B386" s="7" t="n"/>
      <c r="C386" s="7" t="n"/>
      <c r="D386" s="15"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row>
    <row r="387" ht="14.25" customHeight="1" s="165">
      <c r="A387" s="7" t="n"/>
      <c r="B387" s="7" t="n"/>
      <c r="C387" s="7" t="n"/>
      <c r="D387" s="15"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row>
    <row r="388" ht="14.25" customHeight="1" s="165">
      <c r="A388" s="7" t="n"/>
      <c r="B388" s="7" t="n"/>
      <c r="C388" s="7" t="n"/>
      <c r="D388" s="15"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row>
    <row r="389" ht="14.25" customHeight="1" s="165">
      <c r="A389" s="7" t="n"/>
      <c r="B389" s="7" t="n"/>
      <c r="C389" s="7" t="n"/>
      <c r="D389" s="15"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row>
    <row r="390" ht="14.25" customHeight="1" s="165">
      <c r="A390" s="7" t="n"/>
      <c r="B390" s="7" t="n"/>
      <c r="C390" s="7" t="n"/>
      <c r="D390" s="15"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row>
    <row r="391" ht="14.25" customHeight="1" s="165">
      <c r="A391" s="7" t="n"/>
      <c r="B391" s="7" t="n"/>
      <c r="C391" s="7" t="n"/>
      <c r="D391" s="15"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row>
    <row r="392" ht="14.25" customHeight="1" s="165">
      <c r="A392" s="7" t="n"/>
      <c r="B392" s="7" t="n"/>
      <c r="C392" s="7" t="n"/>
      <c r="D392" s="15"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row>
    <row r="393" ht="14.25" customHeight="1" s="165">
      <c r="A393" s="7" t="n"/>
      <c r="B393" s="7" t="n"/>
      <c r="C393" s="7" t="n"/>
      <c r="D393" s="15"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row>
    <row r="394" ht="14.25" customHeight="1" s="165">
      <c r="A394" s="7" t="n"/>
      <c r="B394" s="7" t="n"/>
      <c r="C394" s="7" t="n"/>
      <c r="D394" s="15"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row>
    <row r="395" ht="14.25" customHeight="1" s="165">
      <c r="A395" s="7" t="n"/>
      <c r="B395" s="7" t="n"/>
      <c r="C395" s="7" t="n"/>
      <c r="D395" s="15"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row>
    <row r="396" ht="14.25" customHeight="1" s="165">
      <c r="A396" s="7" t="n"/>
      <c r="B396" s="7" t="n"/>
      <c r="C396" s="7" t="n"/>
      <c r="D396" s="15"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row>
    <row r="397" ht="14.25" customHeight="1" s="165">
      <c r="A397" s="7" t="n"/>
      <c r="B397" s="7" t="n"/>
      <c r="C397" s="7" t="n"/>
      <c r="D397" s="15"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row>
    <row r="398" ht="14.25" customHeight="1" s="165">
      <c r="A398" s="7" t="n"/>
      <c r="B398" s="7" t="n"/>
      <c r="C398" s="7" t="n"/>
      <c r="D398" s="15"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row>
    <row r="399" ht="14.25" customHeight="1" s="165">
      <c r="A399" s="7" t="n"/>
      <c r="B399" s="7" t="n"/>
      <c r="C399" s="7" t="n"/>
      <c r="D399" s="15"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row>
    <row r="400" ht="14.25" customHeight="1" s="165">
      <c r="A400" s="7" t="n"/>
      <c r="B400" s="7" t="n"/>
      <c r="C400" s="7" t="n"/>
      <c r="D400" s="15"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row>
    <row r="401" ht="14.25" customHeight="1" s="165">
      <c r="A401" s="7" t="n"/>
      <c r="B401" s="7" t="n"/>
      <c r="C401" s="7" t="n"/>
      <c r="D401" s="15"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row>
    <row r="402" ht="14.25" customHeight="1" s="165">
      <c r="A402" s="7" t="n"/>
      <c r="B402" s="7" t="n"/>
      <c r="C402" s="7" t="n"/>
      <c r="D402" s="15"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row>
    <row r="403" ht="14.25" customHeight="1" s="165">
      <c r="A403" s="7" t="n"/>
      <c r="B403" s="7" t="n"/>
      <c r="C403" s="7" t="n"/>
      <c r="D403" s="15"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row>
    <row r="404" ht="14.25" customHeight="1" s="165">
      <c r="A404" s="7" t="n"/>
      <c r="B404" s="7" t="n"/>
      <c r="C404" s="7" t="n"/>
      <c r="D404" s="15"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row>
    <row r="405" ht="14.25" customHeight="1" s="165">
      <c r="A405" s="7" t="n"/>
      <c r="B405" s="7" t="n"/>
      <c r="C405" s="7" t="n"/>
      <c r="D405" s="15"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row>
    <row r="406" ht="14.25" customHeight="1" s="165">
      <c r="A406" s="7" t="n"/>
      <c r="B406" s="7" t="n"/>
      <c r="C406" s="7" t="n"/>
      <c r="D406" s="15"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row>
    <row r="407" ht="14.25" customHeight="1" s="165">
      <c r="A407" s="7" t="n"/>
      <c r="B407" s="7" t="n"/>
      <c r="C407" s="7" t="n"/>
      <c r="D407" s="15"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row>
    <row r="408" ht="14.25" customHeight="1" s="165">
      <c r="A408" s="7" t="n"/>
      <c r="B408" s="7" t="n"/>
      <c r="C408" s="7" t="n"/>
      <c r="D408" s="15"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row>
    <row r="409" ht="14.25" customHeight="1" s="165">
      <c r="A409" s="7" t="n"/>
      <c r="B409" s="7" t="n"/>
      <c r="C409" s="7" t="n"/>
      <c r="D409" s="15"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row>
    <row r="410" ht="14.25" customHeight="1" s="165">
      <c r="A410" s="7" t="n"/>
      <c r="B410" s="7" t="n"/>
      <c r="C410" s="7" t="n"/>
      <c r="D410" s="15"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row>
    <row r="411" ht="14.25" customHeight="1" s="165">
      <c r="A411" s="7" t="n"/>
      <c r="B411" s="7" t="n"/>
      <c r="C411" s="7" t="n"/>
      <c r="D411" s="15"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row>
    <row r="412" ht="14.25" customHeight="1" s="165">
      <c r="A412" s="7" t="n"/>
      <c r="B412" s="7" t="n"/>
      <c r="C412" s="7" t="n"/>
      <c r="D412" s="15"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row>
    <row r="413" ht="14.25" customHeight="1" s="165">
      <c r="A413" s="7" t="n"/>
      <c r="B413" s="7" t="n"/>
      <c r="C413" s="7" t="n"/>
      <c r="D413" s="15"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row>
    <row r="414" ht="14.25" customHeight="1" s="165">
      <c r="A414" s="7" t="n"/>
      <c r="B414" s="7" t="n"/>
      <c r="C414" s="7" t="n"/>
      <c r="D414" s="15"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row>
    <row r="415" ht="14.25" customHeight="1" s="165">
      <c r="A415" s="7" t="n"/>
      <c r="B415" s="7" t="n"/>
      <c r="C415" s="7" t="n"/>
      <c r="D415" s="15"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row>
    <row r="416" ht="14.25" customHeight="1" s="165">
      <c r="A416" s="7" t="n"/>
      <c r="B416" s="7" t="n"/>
      <c r="C416" s="7" t="n"/>
      <c r="D416" s="15"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row>
    <row r="417" ht="14.25" customHeight="1" s="165">
      <c r="A417" s="7" t="n"/>
      <c r="B417" s="7" t="n"/>
      <c r="C417" s="7" t="n"/>
      <c r="D417" s="15"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row>
    <row r="418" ht="14.25" customHeight="1" s="165">
      <c r="A418" s="7" t="n"/>
      <c r="B418" s="7" t="n"/>
      <c r="C418" s="7" t="n"/>
      <c r="D418" s="15"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row>
    <row r="419" ht="14.25" customHeight="1" s="165">
      <c r="A419" s="7" t="n"/>
      <c r="B419" s="7" t="n"/>
      <c r="C419" s="7" t="n"/>
      <c r="D419" s="15"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row>
    <row r="420" ht="14.25" customHeight="1" s="165">
      <c r="A420" s="7" t="n"/>
      <c r="B420" s="7" t="n"/>
      <c r="C420" s="7" t="n"/>
      <c r="D420" s="15"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row>
    <row r="421" ht="14.25" customHeight="1" s="165">
      <c r="A421" s="7" t="n"/>
      <c r="B421" s="7" t="n"/>
      <c r="C421" s="7" t="n"/>
      <c r="D421" s="15"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row>
    <row r="422" ht="14.25" customHeight="1" s="165">
      <c r="A422" s="7" t="n"/>
      <c r="B422" s="7" t="n"/>
      <c r="C422" s="7" t="n"/>
      <c r="D422" s="15"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row>
    <row r="423" ht="14.25" customHeight="1" s="165">
      <c r="A423" s="7" t="n"/>
      <c r="B423" s="7" t="n"/>
      <c r="C423" s="7" t="n"/>
      <c r="D423" s="15"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row>
    <row r="424" ht="14.25" customHeight="1" s="165">
      <c r="A424" s="7" t="n"/>
      <c r="B424" s="7" t="n"/>
      <c r="C424" s="7" t="n"/>
      <c r="D424" s="15"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row>
    <row r="425" ht="14.25" customHeight="1" s="165">
      <c r="A425" s="7" t="n"/>
      <c r="B425" s="7" t="n"/>
      <c r="C425" s="7" t="n"/>
      <c r="D425" s="15"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row>
    <row r="426" ht="14.25" customHeight="1" s="165">
      <c r="A426" s="7" t="n"/>
      <c r="B426" s="7" t="n"/>
      <c r="C426" s="7" t="n"/>
      <c r="D426" s="15"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row>
    <row r="427" ht="14.25" customHeight="1" s="165">
      <c r="A427" s="7" t="n"/>
      <c r="B427" s="7" t="n"/>
      <c r="C427" s="7" t="n"/>
      <c r="D427" s="15"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row>
    <row r="428" ht="14.25" customHeight="1" s="165">
      <c r="A428" s="7" t="n"/>
      <c r="B428" s="7" t="n"/>
      <c r="C428" s="7" t="n"/>
      <c r="D428" s="15"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row>
    <row r="429" ht="14.25" customHeight="1" s="165">
      <c r="A429" s="7" t="n"/>
      <c r="B429" s="7" t="n"/>
      <c r="C429" s="7" t="n"/>
      <c r="D429" s="15"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row>
    <row r="430" ht="14.25" customHeight="1" s="165">
      <c r="A430" s="7" t="n"/>
      <c r="B430" s="7" t="n"/>
      <c r="C430" s="7" t="n"/>
      <c r="D430" s="15"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row>
    <row r="431" ht="14.25" customHeight="1" s="165">
      <c r="A431" s="7" t="n"/>
      <c r="B431" s="7" t="n"/>
      <c r="C431" s="7" t="n"/>
      <c r="D431" s="15"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row>
    <row r="432" ht="14.25" customHeight="1" s="165">
      <c r="A432" s="7" t="n"/>
      <c r="B432" s="7" t="n"/>
      <c r="C432" s="7" t="n"/>
      <c r="D432" s="15"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row>
    <row r="433" ht="14.25" customHeight="1" s="165">
      <c r="A433" s="7" t="n"/>
      <c r="B433" s="7" t="n"/>
      <c r="C433" s="7" t="n"/>
      <c r="D433" s="15"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row>
    <row r="434" ht="14.25" customHeight="1" s="165">
      <c r="A434" s="7" t="n"/>
      <c r="B434" s="7" t="n"/>
      <c r="C434" s="7" t="n"/>
      <c r="D434" s="15"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row>
    <row r="435" ht="14.25" customHeight="1" s="165">
      <c r="A435" s="7" t="n"/>
      <c r="B435" s="7" t="n"/>
      <c r="C435" s="7" t="n"/>
      <c r="D435" s="15"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row>
    <row r="436" ht="14.25" customHeight="1" s="165">
      <c r="A436" s="7" t="n"/>
      <c r="B436" s="7" t="n"/>
      <c r="C436" s="7" t="n"/>
      <c r="D436" s="15"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row>
    <row r="437" ht="14.25" customHeight="1" s="165">
      <c r="A437" s="7" t="n"/>
      <c r="B437" s="7" t="n"/>
      <c r="C437" s="7" t="n"/>
      <c r="D437" s="15"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row>
    <row r="438" ht="14.25" customHeight="1" s="165">
      <c r="A438" s="7" t="n"/>
      <c r="B438" s="7" t="n"/>
      <c r="C438" s="7" t="n"/>
      <c r="D438" s="15"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row>
    <row r="439" ht="14.25" customHeight="1" s="165">
      <c r="A439" s="7" t="n"/>
      <c r="B439" s="7" t="n"/>
      <c r="C439" s="7" t="n"/>
      <c r="D439" s="15"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row>
    <row r="440" ht="14.25" customHeight="1" s="165">
      <c r="A440" s="7" t="n"/>
      <c r="B440" s="7" t="n"/>
      <c r="C440" s="7" t="n"/>
      <c r="D440" s="15"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row>
    <row r="441" ht="14.25" customHeight="1" s="165">
      <c r="A441" s="7" t="n"/>
      <c r="B441" s="7" t="n"/>
      <c r="C441" s="7" t="n"/>
      <c r="D441" s="15"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row>
    <row r="442" ht="14.25" customHeight="1" s="165">
      <c r="A442" s="7" t="n"/>
      <c r="B442" s="7" t="n"/>
      <c r="C442" s="7" t="n"/>
      <c r="D442" s="15"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row>
    <row r="443" ht="14.25" customHeight="1" s="165">
      <c r="A443" s="7" t="n"/>
      <c r="B443" s="7" t="n"/>
      <c r="C443" s="7" t="n"/>
      <c r="D443" s="15"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row>
    <row r="444" ht="14.25" customHeight="1" s="165">
      <c r="A444" s="7" t="n"/>
      <c r="B444" s="7" t="n"/>
      <c r="C444" s="7" t="n"/>
      <c r="D444" s="15"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row>
    <row r="445" ht="14.25" customHeight="1" s="165">
      <c r="A445" s="7" t="n"/>
      <c r="B445" s="7" t="n"/>
      <c r="C445" s="7" t="n"/>
      <c r="D445" s="15"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row>
    <row r="446" ht="14.25" customHeight="1" s="165">
      <c r="A446" s="7" t="n"/>
      <c r="B446" s="7" t="n"/>
      <c r="C446" s="7" t="n"/>
      <c r="D446" s="15"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row>
    <row r="447" ht="14.25" customHeight="1" s="165">
      <c r="A447" s="7" t="n"/>
      <c r="B447" s="7" t="n"/>
      <c r="C447" s="7" t="n"/>
      <c r="D447" s="15"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row>
    <row r="448" ht="14.25" customHeight="1" s="165">
      <c r="A448" s="7" t="n"/>
      <c r="B448" s="7" t="n"/>
      <c r="C448" s="7" t="n"/>
      <c r="D448" s="15"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row>
    <row r="449" ht="14.25" customHeight="1" s="165">
      <c r="A449" s="7" t="n"/>
      <c r="B449" s="7" t="n"/>
      <c r="C449" s="7" t="n"/>
      <c r="D449" s="15"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row>
    <row r="450" ht="14.25" customHeight="1" s="165">
      <c r="A450" s="7" t="n"/>
      <c r="B450" s="7" t="n"/>
      <c r="C450" s="7" t="n"/>
      <c r="D450" s="15"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row>
    <row r="451" ht="14.25" customHeight="1" s="165">
      <c r="A451" s="7" t="n"/>
      <c r="B451" s="7" t="n"/>
      <c r="C451" s="7" t="n"/>
      <c r="D451" s="15"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row>
    <row r="452" ht="14.25" customHeight="1" s="165">
      <c r="A452" s="7" t="n"/>
      <c r="B452" s="7" t="n"/>
      <c r="C452" s="7" t="n"/>
      <c r="D452" s="15"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row>
    <row r="453" ht="14.25" customHeight="1" s="165">
      <c r="A453" s="7" t="n"/>
      <c r="B453" s="7" t="n"/>
      <c r="C453" s="7" t="n"/>
      <c r="D453" s="15"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row>
    <row r="454" ht="14.25" customHeight="1" s="165">
      <c r="A454" s="7" t="n"/>
      <c r="B454" s="7" t="n"/>
      <c r="C454" s="7" t="n"/>
      <c r="D454" s="15"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row>
    <row r="455" ht="14.25" customHeight="1" s="165">
      <c r="A455" s="7" t="n"/>
      <c r="B455" s="7" t="n"/>
      <c r="C455" s="7" t="n"/>
      <c r="D455" s="15"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row>
    <row r="456" ht="14.25" customHeight="1" s="165">
      <c r="A456" s="7" t="n"/>
      <c r="B456" s="7" t="n"/>
      <c r="C456" s="7" t="n"/>
      <c r="D456" s="15"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row>
    <row r="457" ht="14.25" customHeight="1" s="165">
      <c r="A457" s="7" t="n"/>
      <c r="B457" s="7" t="n"/>
      <c r="C457" s="7" t="n"/>
      <c r="D457" s="15"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row>
    <row r="458" ht="14.25" customHeight="1" s="165">
      <c r="A458" s="7" t="n"/>
      <c r="B458" s="7" t="n"/>
      <c r="C458" s="7" t="n"/>
      <c r="D458" s="15"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row>
    <row r="459" ht="14.25" customHeight="1" s="165">
      <c r="A459" s="7" t="n"/>
      <c r="B459" s="7" t="n"/>
      <c r="C459" s="7" t="n"/>
      <c r="D459" s="15"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row>
    <row r="460" ht="14.25" customHeight="1" s="165">
      <c r="A460" s="7" t="n"/>
      <c r="B460" s="7" t="n"/>
      <c r="C460" s="7" t="n"/>
      <c r="D460" s="15"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row>
    <row r="461" ht="14.25" customHeight="1" s="165">
      <c r="A461" s="7" t="n"/>
      <c r="B461" s="7" t="n"/>
      <c r="C461" s="7" t="n"/>
      <c r="D461" s="15"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row>
    <row r="462" ht="14.25" customHeight="1" s="165">
      <c r="A462" s="7" t="n"/>
      <c r="B462" s="7" t="n"/>
      <c r="C462" s="7" t="n"/>
      <c r="D462" s="15"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row>
    <row r="463" ht="14.25" customHeight="1" s="165">
      <c r="A463" s="7" t="n"/>
      <c r="B463" s="7" t="n"/>
      <c r="C463" s="7" t="n"/>
      <c r="D463" s="15"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row>
    <row r="464" ht="14.25" customHeight="1" s="165">
      <c r="A464" s="7" t="n"/>
      <c r="B464" s="7" t="n"/>
      <c r="C464" s="7" t="n"/>
      <c r="D464" s="15"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row>
    <row r="465" ht="14.25" customHeight="1" s="165">
      <c r="A465" s="7" t="n"/>
      <c r="B465" s="7" t="n"/>
      <c r="C465" s="7" t="n"/>
      <c r="D465" s="15"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row>
    <row r="466" ht="14.25" customHeight="1" s="165">
      <c r="A466" s="7" t="n"/>
      <c r="B466" s="7" t="n"/>
      <c r="C466" s="7" t="n"/>
      <c r="D466" s="15"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row>
    <row r="467" ht="14.25" customHeight="1" s="165">
      <c r="A467" s="7" t="n"/>
      <c r="B467" s="7" t="n"/>
      <c r="C467" s="7" t="n"/>
      <c r="D467" s="15"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row>
    <row r="468" ht="14.25" customHeight="1" s="165">
      <c r="A468" s="7" t="n"/>
      <c r="B468" s="7" t="n"/>
      <c r="C468" s="7" t="n"/>
      <c r="D468" s="15"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row>
    <row r="469" ht="14.25" customHeight="1" s="165">
      <c r="A469" s="7" t="n"/>
      <c r="B469" s="7" t="n"/>
      <c r="C469" s="7" t="n"/>
      <c r="D469" s="15"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row>
    <row r="470" ht="14.25" customHeight="1" s="165">
      <c r="A470" s="7" t="n"/>
      <c r="B470" s="7" t="n"/>
      <c r="C470" s="7" t="n"/>
      <c r="D470" s="15"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row>
    <row r="471" ht="14.25" customHeight="1" s="165">
      <c r="A471" s="7" t="n"/>
      <c r="B471" s="7" t="n"/>
      <c r="C471" s="7" t="n"/>
      <c r="D471" s="15"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row>
    <row r="472" ht="14.25" customHeight="1" s="165">
      <c r="A472" s="7" t="n"/>
      <c r="B472" s="7" t="n"/>
      <c r="C472" s="7" t="n"/>
      <c r="D472" s="15"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row>
    <row r="473" ht="14.25" customHeight="1" s="165">
      <c r="A473" s="7" t="n"/>
      <c r="B473" s="7" t="n"/>
      <c r="C473" s="7" t="n"/>
      <c r="D473" s="15"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row>
    <row r="474" ht="14.25" customHeight="1" s="165">
      <c r="A474" s="7" t="n"/>
      <c r="B474" s="7" t="n"/>
      <c r="C474" s="7" t="n"/>
      <c r="D474" s="15"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row>
    <row r="475" ht="14.25" customHeight="1" s="165">
      <c r="A475" s="7" t="n"/>
      <c r="B475" s="7" t="n"/>
      <c r="C475" s="7" t="n"/>
      <c r="D475" s="15"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row>
    <row r="476" ht="14.25" customHeight="1" s="165">
      <c r="A476" s="7" t="n"/>
      <c r="B476" s="7" t="n"/>
      <c r="C476" s="7" t="n"/>
      <c r="D476" s="15"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row>
    <row r="477" ht="14.25" customHeight="1" s="165">
      <c r="A477" s="7" t="n"/>
      <c r="B477" s="7" t="n"/>
      <c r="C477" s="7" t="n"/>
      <c r="D477" s="15"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row>
    <row r="478" ht="14.25" customHeight="1" s="165">
      <c r="A478" s="7" t="n"/>
      <c r="B478" s="7" t="n"/>
      <c r="C478" s="7" t="n"/>
      <c r="D478" s="15"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row>
    <row r="479" ht="14.25" customHeight="1" s="165">
      <c r="A479" s="7" t="n"/>
      <c r="B479" s="7" t="n"/>
      <c r="C479" s="7" t="n"/>
      <c r="D479" s="15"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row>
    <row r="480" ht="14.25" customHeight="1" s="165">
      <c r="A480" s="7" t="n"/>
      <c r="B480" s="7" t="n"/>
      <c r="C480" s="7" t="n"/>
      <c r="D480" s="15"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row>
    <row r="481" ht="14.25" customHeight="1" s="165">
      <c r="A481" s="7" t="n"/>
      <c r="B481" s="7" t="n"/>
      <c r="C481" s="7" t="n"/>
      <c r="D481" s="15"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row>
    <row r="482" ht="14.25" customHeight="1" s="165">
      <c r="A482" s="7" t="n"/>
      <c r="B482" s="7" t="n"/>
      <c r="C482" s="7" t="n"/>
      <c r="D482" s="15"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row>
    <row r="483" ht="14.25" customHeight="1" s="165">
      <c r="A483" s="7" t="n"/>
      <c r="B483" s="7" t="n"/>
      <c r="C483" s="7" t="n"/>
      <c r="D483" s="15"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row>
    <row r="484" ht="14.25" customHeight="1" s="165">
      <c r="A484" s="7" t="n"/>
      <c r="B484" s="7" t="n"/>
      <c r="C484" s="7" t="n"/>
      <c r="D484" s="15"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row>
    <row r="485" ht="14.25" customHeight="1" s="165">
      <c r="A485" s="7" t="n"/>
      <c r="B485" s="7" t="n"/>
      <c r="C485" s="7" t="n"/>
      <c r="D485" s="15"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row>
    <row r="486" ht="14.25" customHeight="1" s="165">
      <c r="A486" s="7" t="n"/>
      <c r="B486" s="7" t="n"/>
      <c r="C486" s="7" t="n"/>
      <c r="D486" s="15"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row>
    <row r="487" ht="14.25" customHeight="1" s="165">
      <c r="A487" s="7" t="n"/>
      <c r="B487" s="7" t="n"/>
      <c r="C487" s="7" t="n"/>
      <c r="D487" s="15"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row>
    <row r="488" ht="14.25" customHeight="1" s="165">
      <c r="A488" s="7" t="n"/>
      <c r="B488" s="7" t="n"/>
      <c r="C488" s="7" t="n"/>
      <c r="D488" s="15"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row>
    <row r="489" ht="14.25" customHeight="1" s="165">
      <c r="A489" s="7" t="n"/>
      <c r="B489" s="7" t="n"/>
      <c r="C489" s="7" t="n"/>
      <c r="D489" s="15"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row>
    <row r="490" ht="14.25" customHeight="1" s="165">
      <c r="A490" s="7" t="n"/>
      <c r="B490" s="7" t="n"/>
      <c r="C490" s="7" t="n"/>
      <c r="D490" s="15"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row>
    <row r="491" ht="14.25" customHeight="1" s="165">
      <c r="A491" s="7" t="n"/>
      <c r="B491" s="7" t="n"/>
      <c r="C491" s="7" t="n"/>
      <c r="D491" s="15"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row>
    <row r="492" ht="14.25" customHeight="1" s="165">
      <c r="A492" s="7" t="n"/>
      <c r="B492" s="7" t="n"/>
      <c r="C492" s="7" t="n"/>
      <c r="D492" s="15"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row>
    <row r="493" ht="14.25" customHeight="1" s="165">
      <c r="A493" s="7" t="n"/>
      <c r="B493" s="7" t="n"/>
      <c r="C493" s="7" t="n"/>
      <c r="D493" s="15"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row>
    <row r="494" ht="14.25" customHeight="1" s="165">
      <c r="A494" s="7" t="n"/>
      <c r="B494" s="7" t="n"/>
      <c r="C494" s="7" t="n"/>
      <c r="D494" s="15"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row>
    <row r="495" ht="14.25" customHeight="1" s="165">
      <c r="A495" s="7" t="n"/>
      <c r="B495" s="7" t="n"/>
      <c r="C495" s="7" t="n"/>
      <c r="D495" s="15"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row>
    <row r="496" ht="14.25" customHeight="1" s="165">
      <c r="A496" s="7" t="n"/>
      <c r="B496" s="7" t="n"/>
      <c r="C496" s="7" t="n"/>
      <c r="D496" s="15"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row>
    <row r="497" ht="14.25" customHeight="1" s="165">
      <c r="A497" s="7" t="n"/>
      <c r="B497" s="7" t="n"/>
      <c r="C497" s="7" t="n"/>
      <c r="D497" s="15"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row>
    <row r="498" ht="14.25" customHeight="1" s="165">
      <c r="A498" s="7" t="n"/>
      <c r="B498" s="7" t="n"/>
      <c r="C498" s="7" t="n"/>
      <c r="D498" s="15"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row>
    <row r="499" ht="14.25" customHeight="1" s="165">
      <c r="A499" s="7" t="n"/>
      <c r="B499" s="7" t="n"/>
      <c r="C499" s="7" t="n"/>
      <c r="D499" s="15"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row>
    <row r="500" ht="14.25" customHeight="1" s="165">
      <c r="A500" s="7" t="n"/>
      <c r="B500" s="7" t="n"/>
      <c r="C500" s="7" t="n"/>
      <c r="D500" s="15"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row>
    <row r="501" ht="14.25" customHeight="1" s="165">
      <c r="A501" s="7" t="n"/>
      <c r="B501" s="7" t="n"/>
      <c r="C501" s="7" t="n"/>
      <c r="D501" s="15"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row>
    <row r="502" ht="14.25" customHeight="1" s="165">
      <c r="A502" s="7" t="n"/>
      <c r="B502" s="7" t="n"/>
      <c r="C502" s="7" t="n"/>
      <c r="D502" s="15"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row>
    <row r="503" ht="14.25" customHeight="1" s="165">
      <c r="A503" s="7" t="n"/>
      <c r="B503" s="7" t="n"/>
      <c r="C503" s="7" t="n"/>
      <c r="D503" s="15"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row>
    <row r="504" ht="14.25" customHeight="1" s="165">
      <c r="A504" s="7" t="n"/>
      <c r="B504" s="7" t="n"/>
      <c r="C504" s="7" t="n"/>
      <c r="D504" s="15"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row>
    <row r="505" ht="14.25" customHeight="1" s="165">
      <c r="A505" s="7" t="n"/>
      <c r="B505" s="7" t="n"/>
      <c r="C505" s="7" t="n"/>
      <c r="D505" s="15"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row>
    <row r="506" ht="14.25" customHeight="1" s="165">
      <c r="A506" s="7" t="n"/>
      <c r="B506" s="7" t="n"/>
      <c r="C506" s="7" t="n"/>
      <c r="D506" s="15"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row>
    <row r="507" ht="14.25" customHeight="1" s="165">
      <c r="A507" s="7" t="n"/>
      <c r="B507" s="7" t="n"/>
      <c r="C507" s="7" t="n"/>
      <c r="D507" s="15"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row>
    <row r="508" ht="14.25" customHeight="1" s="165">
      <c r="A508" s="7" t="n"/>
      <c r="B508" s="7" t="n"/>
      <c r="C508" s="7" t="n"/>
      <c r="D508" s="15"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row>
    <row r="509" ht="14.25" customHeight="1" s="165">
      <c r="A509" s="7" t="n"/>
      <c r="B509" s="7" t="n"/>
      <c r="C509" s="7" t="n"/>
      <c r="D509" s="15"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row>
    <row r="510" ht="14.25" customHeight="1" s="165">
      <c r="A510" s="7" t="n"/>
      <c r="B510" s="7" t="n"/>
      <c r="C510" s="7" t="n"/>
      <c r="D510" s="15"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row>
    <row r="511" ht="14.25" customHeight="1" s="165">
      <c r="A511" s="7" t="n"/>
      <c r="B511" s="7" t="n"/>
      <c r="C511" s="7" t="n"/>
      <c r="D511" s="15"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row>
    <row r="512" ht="14.25" customHeight="1" s="165">
      <c r="A512" s="7" t="n"/>
      <c r="B512" s="7" t="n"/>
      <c r="C512" s="7" t="n"/>
      <c r="D512" s="15"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row>
    <row r="513" ht="14.25" customHeight="1" s="165">
      <c r="A513" s="7" t="n"/>
      <c r="B513" s="7" t="n"/>
      <c r="C513" s="7" t="n"/>
      <c r="D513" s="15"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row>
    <row r="514" ht="14.25" customHeight="1" s="165">
      <c r="A514" s="7" t="n"/>
      <c r="B514" s="7" t="n"/>
      <c r="C514" s="7" t="n"/>
      <c r="D514" s="15"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row>
    <row r="515" ht="14.25" customHeight="1" s="165">
      <c r="A515" s="7" t="n"/>
      <c r="B515" s="7" t="n"/>
      <c r="C515" s="7" t="n"/>
      <c r="D515" s="15"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row>
    <row r="516" ht="14.25" customHeight="1" s="165">
      <c r="A516" s="7" t="n"/>
      <c r="B516" s="7" t="n"/>
      <c r="C516" s="7" t="n"/>
      <c r="D516" s="15"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row>
    <row r="517" ht="14.25" customHeight="1" s="165">
      <c r="A517" s="7" t="n"/>
      <c r="B517" s="7" t="n"/>
      <c r="C517" s="7" t="n"/>
      <c r="D517" s="15"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row>
    <row r="518" ht="14.25" customHeight="1" s="165">
      <c r="A518" s="7" t="n"/>
      <c r="B518" s="7" t="n"/>
      <c r="C518" s="7" t="n"/>
      <c r="D518" s="15"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row>
    <row r="519" ht="14.25" customHeight="1" s="165">
      <c r="A519" s="7" t="n"/>
      <c r="B519" s="7" t="n"/>
      <c r="C519" s="7" t="n"/>
      <c r="D519" s="15"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row>
    <row r="520" ht="14.25" customHeight="1" s="165">
      <c r="A520" s="7" t="n"/>
      <c r="B520" s="7" t="n"/>
      <c r="C520" s="7" t="n"/>
      <c r="D520" s="15"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row>
    <row r="521" ht="14.25" customHeight="1" s="165">
      <c r="A521" s="7" t="n"/>
      <c r="B521" s="7" t="n"/>
      <c r="C521" s="7" t="n"/>
      <c r="D521" s="15"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row>
    <row r="522" ht="14.25" customHeight="1" s="165">
      <c r="A522" s="7" t="n"/>
      <c r="B522" s="7" t="n"/>
      <c r="C522" s="7" t="n"/>
      <c r="D522" s="15"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row>
    <row r="523" ht="14.25" customHeight="1" s="165">
      <c r="A523" s="7" t="n"/>
      <c r="B523" s="7" t="n"/>
      <c r="C523" s="7" t="n"/>
      <c r="D523" s="15"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row>
    <row r="524" ht="14.25" customHeight="1" s="165">
      <c r="A524" s="7" t="n"/>
      <c r="B524" s="7" t="n"/>
      <c r="C524" s="7" t="n"/>
      <c r="D524" s="15"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row>
    <row r="525" ht="14.25" customHeight="1" s="165">
      <c r="A525" s="7" t="n"/>
      <c r="B525" s="7" t="n"/>
      <c r="C525" s="7" t="n"/>
      <c r="D525" s="15"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row>
    <row r="526" ht="14.25" customHeight="1" s="165">
      <c r="A526" s="7" t="n"/>
      <c r="B526" s="7" t="n"/>
      <c r="C526" s="7" t="n"/>
      <c r="D526" s="15"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row>
    <row r="527" ht="14.25" customHeight="1" s="165">
      <c r="A527" s="7" t="n"/>
      <c r="B527" s="7" t="n"/>
      <c r="C527" s="7" t="n"/>
      <c r="D527" s="15"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row>
    <row r="528" ht="14.25" customHeight="1" s="165">
      <c r="A528" s="7" t="n"/>
      <c r="B528" s="7" t="n"/>
      <c r="C528" s="7" t="n"/>
      <c r="D528" s="15"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row>
    <row r="529" ht="14.25" customHeight="1" s="165">
      <c r="A529" s="7" t="n"/>
      <c r="B529" s="7" t="n"/>
      <c r="C529" s="7" t="n"/>
      <c r="D529" s="15"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row>
    <row r="530" ht="14.25" customHeight="1" s="165">
      <c r="A530" s="7" t="n"/>
      <c r="B530" s="7" t="n"/>
      <c r="C530" s="7" t="n"/>
      <c r="D530" s="15"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row>
    <row r="531" ht="14.25" customHeight="1" s="165">
      <c r="A531" s="7" t="n"/>
      <c r="B531" s="7" t="n"/>
      <c r="C531" s="7" t="n"/>
      <c r="D531" s="15"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row>
    <row r="532" ht="14.25" customHeight="1" s="165">
      <c r="A532" s="7" t="n"/>
      <c r="B532" s="7" t="n"/>
      <c r="C532" s="7" t="n"/>
      <c r="D532" s="15"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row>
    <row r="533" ht="14.25" customHeight="1" s="165">
      <c r="A533" s="7" t="n"/>
      <c r="B533" s="7" t="n"/>
      <c r="C533" s="7" t="n"/>
      <c r="D533" s="15"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row>
    <row r="534" ht="14.25" customHeight="1" s="165">
      <c r="A534" s="7" t="n"/>
      <c r="B534" s="7" t="n"/>
      <c r="C534" s="7" t="n"/>
      <c r="D534" s="15"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row>
    <row r="535" ht="14.25" customHeight="1" s="165">
      <c r="A535" s="7" t="n"/>
      <c r="B535" s="7" t="n"/>
      <c r="C535" s="7" t="n"/>
      <c r="D535" s="15"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row>
    <row r="536" ht="14.25" customHeight="1" s="165">
      <c r="A536" s="7" t="n"/>
      <c r="B536" s="7" t="n"/>
      <c r="C536" s="7" t="n"/>
      <c r="D536" s="15"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row>
    <row r="537" ht="14.25" customHeight="1" s="165">
      <c r="A537" s="7" t="n"/>
      <c r="B537" s="7" t="n"/>
      <c r="C537" s="7" t="n"/>
      <c r="D537" s="15"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row>
    <row r="538" ht="14.25" customHeight="1" s="165">
      <c r="A538" s="7" t="n"/>
      <c r="B538" s="7" t="n"/>
      <c r="C538" s="7" t="n"/>
      <c r="D538" s="15"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row>
    <row r="539" ht="14.25" customHeight="1" s="165">
      <c r="A539" s="7" t="n"/>
      <c r="B539" s="7" t="n"/>
      <c r="C539" s="7" t="n"/>
      <c r="D539" s="15"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row>
    <row r="540" ht="14.25" customHeight="1" s="165">
      <c r="A540" s="7" t="n"/>
      <c r="B540" s="7" t="n"/>
      <c r="C540" s="7" t="n"/>
      <c r="D540" s="15"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row>
    <row r="541" ht="14.25" customHeight="1" s="165">
      <c r="A541" s="7" t="n"/>
      <c r="B541" s="7" t="n"/>
      <c r="C541" s="7" t="n"/>
      <c r="D541" s="15"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row>
    <row r="542" ht="14.25" customHeight="1" s="165">
      <c r="A542" s="7" t="n"/>
      <c r="B542" s="7" t="n"/>
      <c r="C542" s="7" t="n"/>
      <c r="D542" s="15"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row>
    <row r="543" ht="14.25" customHeight="1" s="165">
      <c r="A543" s="7" t="n"/>
      <c r="B543" s="7" t="n"/>
      <c r="C543" s="7" t="n"/>
      <c r="D543" s="15"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row>
    <row r="544" ht="14.25" customHeight="1" s="165">
      <c r="A544" s="7" t="n"/>
      <c r="B544" s="7" t="n"/>
      <c r="C544" s="7" t="n"/>
      <c r="D544" s="15"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row>
    <row r="545" ht="14.25" customHeight="1" s="165">
      <c r="A545" s="7" t="n"/>
      <c r="B545" s="7" t="n"/>
      <c r="C545" s="7" t="n"/>
      <c r="D545" s="15"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row>
    <row r="546" ht="14.25" customHeight="1" s="165">
      <c r="A546" s="7" t="n"/>
      <c r="B546" s="7" t="n"/>
      <c r="C546" s="7" t="n"/>
      <c r="D546" s="15"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row>
    <row r="547" ht="14.25" customHeight="1" s="165">
      <c r="A547" s="7" t="n"/>
      <c r="B547" s="7" t="n"/>
      <c r="C547" s="7" t="n"/>
      <c r="D547" s="15"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row>
    <row r="548" ht="14.25" customHeight="1" s="165">
      <c r="A548" s="7" t="n"/>
      <c r="B548" s="7" t="n"/>
      <c r="C548" s="7" t="n"/>
      <c r="D548" s="15"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row>
    <row r="549" ht="14.25" customHeight="1" s="165">
      <c r="A549" s="7" t="n"/>
      <c r="B549" s="7" t="n"/>
      <c r="C549" s="7" t="n"/>
      <c r="D549" s="15"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row>
    <row r="550" ht="14.25" customHeight="1" s="165">
      <c r="A550" s="7" t="n"/>
      <c r="B550" s="7" t="n"/>
      <c r="C550" s="7" t="n"/>
      <c r="D550" s="15"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row>
    <row r="551" ht="14.25" customHeight="1" s="165">
      <c r="A551" s="7" t="n"/>
      <c r="B551" s="7" t="n"/>
      <c r="C551" s="7" t="n"/>
      <c r="D551" s="15"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row>
    <row r="552" ht="14.25" customHeight="1" s="165">
      <c r="A552" s="7" t="n"/>
      <c r="B552" s="7" t="n"/>
      <c r="C552" s="7" t="n"/>
      <c r="D552" s="15"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row>
    <row r="553" ht="14.25" customHeight="1" s="165">
      <c r="A553" s="7" t="n"/>
      <c r="B553" s="7" t="n"/>
      <c r="C553" s="7" t="n"/>
      <c r="D553" s="15"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row>
    <row r="554" ht="14.25" customHeight="1" s="165">
      <c r="A554" s="7" t="n"/>
      <c r="B554" s="7" t="n"/>
      <c r="C554" s="7" t="n"/>
      <c r="D554" s="15"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row>
    <row r="555" ht="14.25" customHeight="1" s="165">
      <c r="A555" s="7" t="n"/>
      <c r="B555" s="7" t="n"/>
      <c r="C555" s="7" t="n"/>
      <c r="D555" s="15"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row>
    <row r="556" ht="14.25" customHeight="1" s="165">
      <c r="A556" s="7" t="n"/>
      <c r="B556" s="7" t="n"/>
      <c r="C556" s="7" t="n"/>
      <c r="D556" s="15"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row>
    <row r="557" ht="14.25" customHeight="1" s="165">
      <c r="A557" s="7" t="n"/>
      <c r="B557" s="7" t="n"/>
      <c r="C557" s="7" t="n"/>
      <c r="D557" s="15"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row>
    <row r="558" ht="14.25" customHeight="1" s="165">
      <c r="A558" s="7" t="n"/>
      <c r="B558" s="7" t="n"/>
      <c r="C558" s="7" t="n"/>
      <c r="D558" s="15"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row>
    <row r="559" ht="14.25" customHeight="1" s="165">
      <c r="A559" s="7" t="n"/>
      <c r="B559" s="7" t="n"/>
      <c r="C559" s="7" t="n"/>
      <c r="D559" s="15"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row>
    <row r="560" ht="14.25" customHeight="1" s="165">
      <c r="A560" s="7" t="n"/>
      <c r="B560" s="7" t="n"/>
      <c r="C560" s="7" t="n"/>
      <c r="D560" s="15"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row>
    <row r="561" ht="14.25" customHeight="1" s="165">
      <c r="A561" s="7" t="n"/>
      <c r="B561" s="7" t="n"/>
      <c r="C561" s="7" t="n"/>
      <c r="D561" s="15"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row>
    <row r="562" ht="14.25" customHeight="1" s="165">
      <c r="A562" s="7" t="n"/>
      <c r="B562" s="7" t="n"/>
      <c r="C562" s="7" t="n"/>
      <c r="D562" s="15"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row>
    <row r="563" ht="14.25" customHeight="1" s="165">
      <c r="A563" s="7" t="n"/>
      <c r="B563" s="7" t="n"/>
      <c r="C563" s="7" t="n"/>
      <c r="D563" s="15"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row>
    <row r="564" ht="14.25" customHeight="1" s="165">
      <c r="A564" s="7" t="n"/>
      <c r="B564" s="7" t="n"/>
      <c r="C564" s="7" t="n"/>
      <c r="D564" s="15"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row>
    <row r="565" ht="14.25" customHeight="1" s="165">
      <c r="A565" s="7" t="n"/>
      <c r="B565" s="7" t="n"/>
      <c r="C565" s="7" t="n"/>
      <c r="D565" s="15"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row>
    <row r="566" ht="14.25" customHeight="1" s="165">
      <c r="A566" s="7" t="n"/>
      <c r="B566" s="7" t="n"/>
      <c r="C566" s="7" t="n"/>
      <c r="D566" s="15"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row>
    <row r="567" ht="14.25" customHeight="1" s="165">
      <c r="A567" s="7" t="n"/>
      <c r="B567" s="7" t="n"/>
      <c r="C567" s="7" t="n"/>
      <c r="D567" s="15"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row>
    <row r="568" ht="14.25" customHeight="1" s="165">
      <c r="A568" s="7" t="n"/>
      <c r="B568" s="7" t="n"/>
      <c r="C568" s="7" t="n"/>
      <c r="D568" s="15"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row>
    <row r="569" ht="14.25" customHeight="1" s="165">
      <c r="A569" s="7" t="n"/>
      <c r="B569" s="7" t="n"/>
      <c r="C569" s="7" t="n"/>
      <c r="D569" s="15"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row>
    <row r="570" ht="14.25" customHeight="1" s="165">
      <c r="A570" s="7" t="n"/>
      <c r="B570" s="7" t="n"/>
      <c r="C570" s="7" t="n"/>
      <c r="D570" s="15"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row>
    <row r="571" ht="14.25" customHeight="1" s="165">
      <c r="A571" s="7" t="n"/>
      <c r="B571" s="7" t="n"/>
      <c r="C571" s="7" t="n"/>
      <c r="D571" s="15"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row>
    <row r="572" ht="14.25" customHeight="1" s="165">
      <c r="A572" s="7" t="n"/>
      <c r="B572" s="7" t="n"/>
      <c r="C572" s="7" t="n"/>
      <c r="D572" s="15"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row>
    <row r="573" ht="14.25" customHeight="1" s="165">
      <c r="A573" s="7" t="n"/>
      <c r="B573" s="7" t="n"/>
      <c r="C573" s="7" t="n"/>
      <c r="D573" s="15"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row>
    <row r="574" ht="14.25" customHeight="1" s="165">
      <c r="A574" s="7" t="n"/>
      <c r="B574" s="7" t="n"/>
      <c r="C574" s="7" t="n"/>
      <c r="D574" s="15"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row>
    <row r="575" ht="14.25" customHeight="1" s="165">
      <c r="A575" s="7" t="n"/>
      <c r="B575" s="7" t="n"/>
      <c r="C575" s="7" t="n"/>
      <c r="D575" s="15"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row>
    <row r="576" ht="14.25" customHeight="1" s="165">
      <c r="A576" s="7" t="n"/>
      <c r="B576" s="7" t="n"/>
      <c r="C576" s="7" t="n"/>
      <c r="D576" s="15"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row>
    <row r="577" ht="14.25" customHeight="1" s="165">
      <c r="A577" s="7" t="n"/>
      <c r="B577" s="7" t="n"/>
      <c r="C577" s="7" t="n"/>
      <c r="D577" s="15"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row>
    <row r="578" ht="14.25" customHeight="1" s="165">
      <c r="A578" s="7" t="n"/>
      <c r="B578" s="7" t="n"/>
      <c r="C578" s="7" t="n"/>
      <c r="D578" s="15"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row>
    <row r="579" ht="14.25" customHeight="1" s="165">
      <c r="A579" s="7" t="n"/>
      <c r="B579" s="7" t="n"/>
      <c r="C579" s="7" t="n"/>
      <c r="D579" s="15"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row>
    <row r="580" ht="14.25" customHeight="1" s="165">
      <c r="A580" s="7" t="n"/>
      <c r="B580" s="7" t="n"/>
      <c r="C580" s="7" t="n"/>
      <c r="D580" s="15"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row>
    <row r="581" ht="14.25" customHeight="1" s="165">
      <c r="A581" s="7" t="n"/>
      <c r="B581" s="7" t="n"/>
      <c r="C581" s="7" t="n"/>
      <c r="D581" s="15"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row>
    <row r="582" ht="14.25" customHeight="1" s="165">
      <c r="A582" s="7" t="n"/>
      <c r="B582" s="7" t="n"/>
      <c r="C582" s="7" t="n"/>
      <c r="D582" s="15"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row>
    <row r="583" ht="14.25" customHeight="1" s="165">
      <c r="A583" s="7" t="n"/>
      <c r="B583" s="7" t="n"/>
      <c r="C583" s="7" t="n"/>
      <c r="D583" s="15"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row>
    <row r="584" ht="14.25" customHeight="1" s="165">
      <c r="A584" s="7" t="n"/>
      <c r="B584" s="7" t="n"/>
      <c r="C584" s="7" t="n"/>
      <c r="D584" s="15"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row>
    <row r="585" ht="14.25" customHeight="1" s="165">
      <c r="A585" s="7" t="n"/>
      <c r="B585" s="7" t="n"/>
      <c r="C585" s="7" t="n"/>
      <c r="D585" s="15"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row>
    <row r="586" ht="14.25" customHeight="1" s="165">
      <c r="A586" s="7" t="n"/>
      <c r="B586" s="7" t="n"/>
      <c r="C586" s="7" t="n"/>
      <c r="D586" s="15"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row>
    <row r="587" ht="14.25" customHeight="1" s="165">
      <c r="A587" s="7" t="n"/>
      <c r="B587" s="7" t="n"/>
      <c r="C587" s="7" t="n"/>
      <c r="D587" s="15"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row>
    <row r="588" ht="14.25" customHeight="1" s="165">
      <c r="A588" s="7" t="n"/>
      <c r="B588" s="7" t="n"/>
      <c r="C588" s="7" t="n"/>
      <c r="D588" s="15"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row>
    <row r="589" ht="14.25" customHeight="1" s="165">
      <c r="A589" s="7" t="n"/>
      <c r="B589" s="7" t="n"/>
      <c r="C589" s="7" t="n"/>
      <c r="D589" s="15"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row>
    <row r="590" ht="14.25" customHeight="1" s="165">
      <c r="A590" s="7" t="n"/>
      <c r="B590" s="7" t="n"/>
      <c r="C590" s="7" t="n"/>
      <c r="D590" s="15"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row>
    <row r="591" ht="14.25" customHeight="1" s="165">
      <c r="A591" s="7" t="n"/>
      <c r="B591" s="7" t="n"/>
      <c r="C591" s="7" t="n"/>
      <c r="D591" s="15"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row>
    <row r="592" ht="14.25" customHeight="1" s="165">
      <c r="A592" s="7" t="n"/>
      <c r="B592" s="7" t="n"/>
      <c r="C592" s="7" t="n"/>
      <c r="D592" s="15"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row>
    <row r="593" ht="14.25" customHeight="1" s="165">
      <c r="A593" s="7" t="n"/>
      <c r="B593" s="7" t="n"/>
      <c r="C593" s="7" t="n"/>
      <c r="D593" s="15"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row>
    <row r="594" ht="14.25" customHeight="1" s="165">
      <c r="A594" s="7" t="n"/>
      <c r="B594" s="7" t="n"/>
      <c r="C594" s="7" t="n"/>
      <c r="D594" s="15"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row>
    <row r="595" ht="14.25" customHeight="1" s="165">
      <c r="A595" s="7" t="n"/>
      <c r="B595" s="7" t="n"/>
      <c r="C595" s="7" t="n"/>
      <c r="D595" s="15"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row>
    <row r="596" ht="14.25" customHeight="1" s="165">
      <c r="A596" s="7" t="n"/>
      <c r="B596" s="7" t="n"/>
      <c r="C596" s="7" t="n"/>
      <c r="D596" s="15"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row>
    <row r="597" ht="14.25" customHeight="1" s="165">
      <c r="A597" s="7" t="n"/>
      <c r="B597" s="7" t="n"/>
      <c r="C597" s="7" t="n"/>
      <c r="D597" s="15"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row>
    <row r="598" ht="14.25" customHeight="1" s="165">
      <c r="A598" s="7" t="n"/>
      <c r="B598" s="7" t="n"/>
      <c r="C598" s="7" t="n"/>
      <c r="D598" s="15"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row>
    <row r="599" ht="14.25" customHeight="1" s="165">
      <c r="A599" s="7" t="n"/>
      <c r="B599" s="7" t="n"/>
      <c r="C599" s="7" t="n"/>
      <c r="D599" s="15"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row>
    <row r="600" ht="14.25" customHeight="1" s="165">
      <c r="A600" s="7" t="n"/>
      <c r="B600" s="7" t="n"/>
      <c r="C600" s="7" t="n"/>
      <c r="D600" s="15"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row>
    <row r="601" ht="14.25" customHeight="1" s="165">
      <c r="A601" s="7" t="n"/>
      <c r="B601" s="7" t="n"/>
      <c r="C601" s="7" t="n"/>
      <c r="D601" s="15"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row>
    <row r="602" ht="14.25" customHeight="1" s="165">
      <c r="A602" s="7" t="n"/>
      <c r="B602" s="7" t="n"/>
      <c r="C602" s="7" t="n"/>
      <c r="D602" s="15"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row>
    <row r="603" ht="14.25" customHeight="1" s="165">
      <c r="A603" s="7" t="n"/>
      <c r="B603" s="7" t="n"/>
      <c r="C603" s="7" t="n"/>
      <c r="D603" s="15"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row>
    <row r="604" ht="14.25" customHeight="1" s="165">
      <c r="A604" s="7" t="n"/>
      <c r="B604" s="7" t="n"/>
      <c r="C604" s="7" t="n"/>
      <c r="D604" s="15"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row>
    <row r="605" ht="14.25" customHeight="1" s="165">
      <c r="A605" s="7" t="n"/>
      <c r="B605" s="7" t="n"/>
      <c r="C605" s="7" t="n"/>
      <c r="D605" s="15"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row>
    <row r="606" ht="14.25" customHeight="1" s="165">
      <c r="A606" s="7" t="n"/>
      <c r="B606" s="7" t="n"/>
      <c r="C606" s="7" t="n"/>
      <c r="D606" s="15"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row>
    <row r="607" ht="14.25" customHeight="1" s="165">
      <c r="A607" s="7" t="n"/>
      <c r="B607" s="7" t="n"/>
      <c r="C607" s="7" t="n"/>
      <c r="D607" s="15"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row>
    <row r="608" ht="14.25" customHeight="1" s="165">
      <c r="A608" s="7" t="n"/>
      <c r="B608" s="7" t="n"/>
      <c r="C608" s="7" t="n"/>
      <c r="D608" s="15"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row>
    <row r="609" ht="14.25" customHeight="1" s="165">
      <c r="A609" s="7" t="n"/>
      <c r="B609" s="7" t="n"/>
      <c r="C609" s="7" t="n"/>
      <c r="D609" s="15"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row>
    <row r="610" ht="14.25" customHeight="1" s="165">
      <c r="A610" s="7" t="n"/>
      <c r="B610" s="7" t="n"/>
      <c r="C610" s="7" t="n"/>
      <c r="D610" s="15"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row>
    <row r="611" ht="14.25" customHeight="1" s="165">
      <c r="A611" s="7" t="n"/>
      <c r="B611" s="7" t="n"/>
      <c r="C611" s="7" t="n"/>
      <c r="D611" s="15"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row>
    <row r="612" ht="14.25" customHeight="1" s="165">
      <c r="A612" s="7" t="n"/>
      <c r="B612" s="7" t="n"/>
      <c r="C612" s="7" t="n"/>
      <c r="D612" s="15"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row>
    <row r="613" ht="14.25" customHeight="1" s="165">
      <c r="A613" s="7" t="n"/>
      <c r="B613" s="7" t="n"/>
      <c r="C613" s="7" t="n"/>
      <c r="D613" s="15"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row>
    <row r="614" ht="14.25" customHeight="1" s="165">
      <c r="A614" s="7" t="n"/>
      <c r="B614" s="7" t="n"/>
      <c r="C614" s="7" t="n"/>
      <c r="D614" s="15"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row>
    <row r="615" ht="14.25" customHeight="1" s="165">
      <c r="A615" s="7" t="n"/>
      <c r="B615" s="7" t="n"/>
      <c r="C615" s="7" t="n"/>
      <c r="D615" s="15"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row>
    <row r="616" ht="14.25" customHeight="1" s="165">
      <c r="A616" s="7" t="n"/>
      <c r="B616" s="7" t="n"/>
      <c r="C616" s="7" t="n"/>
      <c r="D616" s="15"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row>
    <row r="617" ht="14.25" customHeight="1" s="165">
      <c r="A617" s="7" t="n"/>
      <c r="B617" s="7" t="n"/>
      <c r="C617" s="7" t="n"/>
      <c r="D617" s="15"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row>
    <row r="618" ht="14.25" customHeight="1" s="165">
      <c r="A618" s="7" t="n"/>
      <c r="B618" s="7" t="n"/>
      <c r="C618" s="7" t="n"/>
      <c r="D618" s="15"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row>
    <row r="619" ht="14.25" customHeight="1" s="165">
      <c r="A619" s="7" t="n"/>
      <c r="B619" s="7" t="n"/>
      <c r="C619" s="7" t="n"/>
      <c r="D619" s="15"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row>
    <row r="620" ht="14.25" customHeight="1" s="165">
      <c r="A620" s="7" t="n"/>
      <c r="B620" s="7" t="n"/>
      <c r="C620" s="7" t="n"/>
      <c r="D620" s="15"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row>
    <row r="621" ht="14.25" customHeight="1" s="165">
      <c r="A621" s="7" t="n"/>
      <c r="B621" s="7" t="n"/>
      <c r="C621" s="7" t="n"/>
      <c r="D621" s="15"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row>
    <row r="622" ht="14.25" customHeight="1" s="165">
      <c r="A622" s="7" t="n"/>
      <c r="B622" s="7" t="n"/>
      <c r="C622" s="7" t="n"/>
      <c r="D622" s="15"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row>
    <row r="623" ht="14.25" customHeight="1" s="165">
      <c r="A623" s="7" t="n"/>
      <c r="B623" s="7" t="n"/>
      <c r="C623" s="7" t="n"/>
      <c r="D623" s="15"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row>
    <row r="624" ht="14.25" customHeight="1" s="165">
      <c r="A624" s="7" t="n"/>
      <c r="B624" s="7" t="n"/>
      <c r="C624" s="7" t="n"/>
      <c r="D624" s="15"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row>
    <row r="625" ht="14.25" customHeight="1" s="165">
      <c r="A625" s="7" t="n"/>
      <c r="B625" s="7" t="n"/>
      <c r="C625" s="7" t="n"/>
      <c r="D625" s="15"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row>
    <row r="626" ht="14.25" customHeight="1" s="165">
      <c r="A626" s="7" t="n"/>
      <c r="B626" s="7" t="n"/>
      <c r="C626" s="7" t="n"/>
      <c r="D626" s="15"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row>
    <row r="627" ht="14.25" customHeight="1" s="165">
      <c r="A627" s="7" t="n"/>
      <c r="B627" s="7" t="n"/>
      <c r="C627" s="7" t="n"/>
      <c r="D627" s="15"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row>
    <row r="628" ht="14.25" customHeight="1" s="165">
      <c r="A628" s="7" t="n"/>
      <c r="B628" s="7" t="n"/>
      <c r="C628" s="7" t="n"/>
      <c r="D628" s="15"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row>
    <row r="629" ht="14.25" customHeight="1" s="165">
      <c r="A629" s="7" t="n"/>
      <c r="B629" s="7" t="n"/>
      <c r="C629" s="7" t="n"/>
      <c r="D629" s="15"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row>
    <row r="630" ht="14.25" customHeight="1" s="165">
      <c r="A630" s="7" t="n"/>
      <c r="B630" s="7" t="n"/>
      <c r="C630" s="7" t="n"/>
      <c r="D630" s="15"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row>
    <row r="631" ht="14.25" customHeight="1" s="165">
      <c r="A631" s="7" t="n"/>
      <c r="B631" s="7" t="n"/>
      <c r="C631" s="7" t="n"/>
      <c r="D631" s="15"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row>
    <row r="632" ht="14.25" customHeight="1" s="165">
      <c r="A632" s="7" t="n"/>
      <c r="B632" s="7" t="n"/>
      <c r="C632" s="7" t="n"/>
      <c r="D632" s="15"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row>
    <row r="633" ht="14.25" customHeight="1" s="165">
      <c r="A633" s="7" t="n"/>
      <c r="B633" s="7" t="n"/>
      <c r="C633" s="7" t="n"/>
      <c r="D633" s="15"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row>
    <row r="634" ht="14.25" customHeight="1" s="165">
      <c r="A634" s="7" t="n"/>
      <c r="B634" s="7" t="n"/>
      <c r="C634" s="7" t="n"/>
      <c r="D634" s="15"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row>
    <row r="635" ht="14.25" customHeight="1" s="165">
      <c r="A635" s="7" t="n"/>
      <c r="B635" s="7" t="n"/>
      <c r="C635" s="7" t="n"/>
      <c r="D635" s="15"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row>
    <row r="636" ht="14.25" customHeight="1" s="165">
      <c r="A636" s="7" t="n"/>
      <c r="B636" s="7" t="n"/>
      <c r="C636" s="7" t="n"/>
      <c r="D636" s="15"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row>
    <row r="637" ht="14.25" customHeight="1" s="165">
      <c r="A637" s="7" t="n"/>
      <c r="B637" s="7" t="n"/>
      <c r="C637" s="7" t="n"/>
      <c r="D637" s="15"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row>
    <row r="638" ht="14.25" customHeight="1" s="165">
      <c r="A638" s="7" t="n"/>
      <c r="B638" s="7" t="n"/>
      <c r="C638" s="7" t="n"/>
      <c r="D638" s="15"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row>
    <row r="639" ht="14.25" customHeight="1" s="165">
      <c r="A639" s="7" t="n"/>
      <c r="B639" s="7" t="n"/>
      <c r="C639" s="7" t="n"/>
      <c r="D639" s="15"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row>
    <row r="640" ht="14.25" customHeight="1" s="165">
      <c r="A640" s="7" t="n"/>
      <c r="B640" s="7" t="n"/>
      <c r="C640" s="7" t="n"/>
      <c r="D640" s="15"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row>
    <row r="641" ht="14.25" customHeight="1" s="165">
      <c r="A641" s="7" t="n"/>
      <c r="B641" s="7" t="n"/>
      <c r="C641" s="7" t="n"/>
      <c r="D641" s="15"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row>
    <row r="642" ht="14.25" customHeight="1" s="165">
      <c r="A642" s="7" t="n"/>
      <c r="B642" s="7" t="n"/>
      <c r="C642" s="7" t="n"/>
      <c r="D642" s="15"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row>
    <row r="643" ht="14.25" customHeight="1" s="165">
      <c r="A643" s="7" t="n"/>
      <c r="B643" s="7" t="n"/>
      <c r="C643" s="7" t="n"/>
      <c r="D643" s="15"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row>
    <row r="644" ht="14.25" customHeight="1" s="165">
      <c r="A644" s="7" t="n"/>
      <c r="B644" s="7" t="n"/>
      <c r="C644" s="7" t="n"/>
      <c r="D644" s="15"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row>
    <row r="645" ht="14.25" customHeight="1" s="165">
      <c r="A645" s="7" t="n"/>
      <c r="B645" s="7" t="n"/>
      <c r="C645" s="7" t="n"/>
      <c r="D645" s="15"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row>
    <row r="646" ht="14.25" customHeight="1" s="165">
      <c r="A646" s="7" t="n"/>
      <c r="B646" s="7" t="n"/>
      <c r="C646" s="7" t="n"/>
      <c r="D646" s="15"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row>
    <row r="647" ht="14.25" customHeight="1" s="165">
      <c r="A647" s="7" t="n"/>
      <c r="B647" s="7" t="n"/>
      <c r="C647" s="7" t="n"/>
      <c r="D647" s="15"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row>
    <row r="648" ht="14.25" customHeight="1" s="165">
      <c r="A648" s="7" t="n"/>
      <c r="B648" s="7" t="n"/>
      <c r="C648" s="7" t="n"/>
      <c r="D648" s="15"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row>
    <row r="649" ht="14.25" customHeight="1" s="165">
      <c r="A649" s="7" t="n"/>
      <c r="B649" s="7" t="n"/>
      <c r="C649" s="7" t="n"/>
      <c r="D649" s="15"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row>
    <row r="650" ht="14.25" customHeight="1" s="165">
      <c r="A650" s="7" t="n"/>
      <c r="B650" s="7" t="n"/>
      <c r="C650" s="7" t="n"/>
      <c r="D650" s="15"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row>
    <row r="651" ht="14.25" customHeight="1" s="165">
      <c r="A651" s="7" t="n"/>
      <c r="B651" s="7" t="n"/>
      <c r="C651" s="7" t="n"/>
      <c r="D651" s="15"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row>
    <row r="652" ht="14.25" customHeight="1" s="165">
      <c r="A652" s="7" t="n"/>
      <c r="B652" s="7" t="n"/>
      <c r="C652" s="7" t="n"/>
      <c r="D652" s="15"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row>
    <row r="653" ht="14.25" customHeight="1" s="165">
      <c r="A653" s="7" t="n"/>
      <c r="B653" s="7" t="n"/>
      <c r="C653" s="7" t="n"/>
      <c r="D653" s="15"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row>
    <row r="654" ht="14.25" customHeight="1" s="165">
      <c r="A654" s="7" t="n"/>
      <c r="B654" s="7" t="n"/>
      <c r="C654" s="7" t="n"/>
      <c r="D654" s="15"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row>
    <row r="655" ht="14.25" customHeight="1" s="165">
      <c r="A655" s="7" t="n"/>
      <c r="B655" s="7" t="n"/>
      <c r="C655" s="7" t="n"/>
      <c r="D655" s="15"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row>
    <row r="656" ht="14.25" customHeight="1" s="165">
      <c r="A656" s="7" t="n"/>
      <c r="B656" s="7" t="n"/>
      <c r="C656" s="7" t="n"/>
      <c r="D656" s="15"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row>
    <row r="657" ht="14.25" customHeight="1" s="165">
      <c r="A657" s="7" t="n"/>
      <c r="B657" s="7" t="n"/>
      <c r="C657" s="7" t="n"/>
      <c r="D657" s="15"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row>
    <row r="658" ht="14.25" customHeight="1" s="165">
      <c r="A658" s="7" t="n"/>
      <c r="B658" s="7" t="n"/>
      <c r="C658" s="7" t="n"/>
      <c r="D658" s="15"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row>
    <row r="659" ht="14.25" customHeight="1" s="165">
      <c r="A659" s="7" t="n"/>
      <c r="B659" s="7" t="n"/>
      <c r="C659" s="7" t="n"/>
      <c r="D659" s="15"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row>
    <row r="660" ht="14.25" customHeight="1" s="165">
      <c r="A660" s="7" t="n"/>
      <c r="B660" s="7" t="n"/>
      <c r="C660" s="7" t="n"/>
      <c r="D660" s="15"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row>
    <row r="661" ht="14.25" customHeight="1" s="165">
      <c r="A661" s="7" t="n"/>
      <c r="B661" s="7" t="n"/>
      <c r="C661" s="7" t="n"/>
      <c r="D661" s="15"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row>
    <row r="662" ht="14.25" customHeight="1" s="165">
      <c r="A662" s="7" t="n"/>
      <c r="B662" s="7" t="n"/>
      <c r="C662" s="7" t="n"/>
      <c r="D662" s="15"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row>
    <row r="663" ht="14.25" customHeight="1" s="165">
      <c r="A663" s="7" t="n"/>
      <c r="B663" s="7" t="n"/>
      <c r="C663" s="7" t="n"/>
      <c r="D663" s="15"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row>
    <row r="664" ht="14.25" customHeight="1" s="165">
      <c r="A664" s="7" t="n"/>
      <c r="B664" s="7" t="n"/>
      <c r="C664" s="7" t="n"/>
      <c r="D664" s="15"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row>
    <row r="665" ht="14.25" customHeight="1" s="165">
      <c r="A665" s="7" t="n"/>
      <c r="B665" s="7" t="n"/>
      <c r="C665" s="7" t="n"/>
      <c r="D665" s="15"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row>
    <row r="666" ht="14.25" customHeight="1" s="165">
      <c r="A666" s="7" t="n"/>
      <c r="B666" s="7" t="n"/>
      <c r="C666" s="7" t="n"/>
      <c r="D666" s="15"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row>
    <row r="667" ht="14.25" customHeight="1" s="165">
      <c r="A667" s="7" t="n"/>
      <c r="B667" s="7" t="n"/>
      <c r="C667" s="7" t="n"/>
      <c r="D667" s="15"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row>
    <row r="668" ht="14.25" customHeight="1" s="165">
      <c r="A668" s="7" t="n"/>
      <c r="B668" s="7" t="n"/>
      <c r="C668" s="7" t="n"/>
      <c r="D668" s="15"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row>
    <row r="669" ht="14.25" customHeight="1" s="165">
      <c r="A669" s="7" t="n"/>
      <c r="B669" s="7" t="n"/>
      <c r="C669" s="7" t="n"/>
      <c r="D669" s="15"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row>
    <row r="670" ht="14.25" customHeight="1" s="165">
      <c r="A670" s="7" t="n"/>
      <c r="B670" s="7" t="n"/>
      <c r="C670" s="7" t="n"/>
      <c r="D670" s="15"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row>
    <row r="671" ht="14.25" customHeight="1" s="165">
      <c r="A671" s="7" t="n"/>
      <c r="B671" s="7" t="n"/>
      <c r="C671" s="7" t="n"/>
      <c r="D671" s="15"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row>
    <row r="672" ht="14.25" customHeight="1" s="165">
      <c r="A672" s="7" t="n"/>
      <c r="B672" s="7" t="n"/>
      <c r="C672" s="7" t="n"/>
      <c r="D672" s="15"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row>
    <row r="673" ht="14.25" customHeight="1" s="165">
      <c r="A673" s="7" t="n"/>
      <c r="B673" s="7" t="n"/>
      <c r="C673" s="7" t="n"/>
      <c r="D673" s="15"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row>
    <row r="674" ht="14.25" customHeight="1" s="165">
      <c r="A674" s="7" t="n"/>
      <c r="B674" s="7" t="n"/>
      <c r="C674" s="7" t="n"/>
      <c r="D674" s="15"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row>
    <row r="675" ht="14.25" customHeight="1" s="165">
      <c r="A675" s="7" t="n"/>
      <c r="B675" s="7" t="n"/>
      <c r="C675" s="7" t="n"/>
      <c r="D675" s="15"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row>
    <row r="676" ht="14.25" customHeight="1" s="165">
      <c r="A676" s="7" t="n"/>
      <c r="B676" s="7" t="n"/>
      <c r="C676" s="7" t="n"/>
      <c r="D676" s="15"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row>
    <row r="677" ht="14.25" customHeight="1" s="165">
      <c r="A677" s="7" t="n"/>
      <c r="B677" s="7" t="n"/>
      <c r="C677" s="7" t="n"/>
      <c r="D677" s="15"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row>
    <row r="678" ht="14.25" customHeight="1" s="165">
      <c r="A678" s="7" t="n"/>
      <c r="B678" s="7" t="n"/>
      <c r="C678" s="7" t="n"/>
      <c r="D678" s="15"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row>
    <row r="679" ht="14.25" customHeight="1" s="165">
      <c r="A679" s="7" t="n"/>
      <c r="B679" s="7" t="n"/>
      <c r="C679" s="7" t="n"/>
      <c r="D679" s="15"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row>
    <row r="680" ht="14.25" customHeight="1" s="165">
      <c r="A680" s="7" t="n"/>
      <c r="B680" s="7" t="n"/>
      <c r="C680" s="7" t="n"/>
      <c r="D680" s="15"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row>
    <row r="681" ht="14.25" customHeight="1" s="165">
      <c r="A681" s="7" t="n"/>
      <c r="B681" s="7" t="n"/>
      <c r="C681" s="7" t="n"/>
      <c r="D681" s="15"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row>
    <row r="682" ht="14.25" customHeight="1" s="165">
      <c r="A682" s="7" t="n"/>
      <c r="B682" s="7" t="n"/>
      <c r="C682" s="7" t="n"/>
      <c r="D682" s="15"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row>
    <row r="683" ht="14.25" customHeight="1" s="165">
      <c r="A683" s="7" t="n"/>
      <c r="B683" s="7" t="n"/>
      <c r="C683" s="7" t="n"/>
      <c r="D683" s="15"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row>
    <row r="684" ht="14.25" customHeight="1" s="165">
      <c r="A684" s="7" t="n"/>
      <c r="B684" s="7" t="n"/>
      <c r="C684" s="7" t="n"/>
      <c r="D684" s="15"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row>
    <row r="685" ht="14.25" customHeight="1" s="165">
      <c r="A685" s="7" t="n"/>
      <c r="B685" s="7" t="n"/>
      <c r="C685" s="7" t="n"/>
      <c r="D685" s="15"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row>
    <row r="686" ht="14.25" customHeight="1" s="165">
      <c r="A686" s="7" t="n"/>
      <c r="B686" s="7" t="n"/>
      <c r="C686" s="7" t="n"/>
      <c r="D686" s="15"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row>
    <row r="687" ht="14.25" customHeight="1" s="165">
      <c r="A687" s="7" t="n"/>
      <c r="B687" s="7" t="n"/>
      <c r="C687" s="7" t="n"/>
      <c r="D687" s="15"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row>
    <row r="688" ht="14.25" customHeight="1" s="165">
      <c r="A688" s="7" t="n"/>
      <c r="B688" s="7" t="n"/>
      <c r="C688" s="7" t="n"/>
      <c r="D688" s="15"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row>
    <row r="689" ht="14.25" customHeight="1" s="165">
      <c r="A689" s="7" t="n"/>
      <c r="B689" s="7" t="n"/>
      <c r="C689" s="7" t="n"/>
      <c r="D689" s="15"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row>
    <row r="690" ht="14.25" customHeight="1" s="165">
      <c r="A690" s="7" t="n"/>
      <c r="B690" s="7" t="n"/>
      <c r="C690" s="7" t="n"/>
      <c r="D690" s="15"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row>
    <row r="691" ht="14.25" customHeight="1" s="165">
      <c r="A691" s="7" t="n"/>
      <c r="B691" s="7" t="n"/>
      <c r="C691" s="7" t="n"/>
      <c r="D691" s="15"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row>
    <row r="692" ht="14.25" customHeight="1" s="165">
      <c r="A692" s="7" t="n"/>
      <c r="B692" s="7" t="n"/>
      <c r="C692" s="7" t="n"/>
      <c r="D692" s="15"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row>
    <row r="693" ht="14.25" customHeight="1" s="165">
      <c r="A693" s="7" t="n"/>
      <c r="B693" s="7" t="n"/>
      <c r="C693" s="7" t="n"/>
      <c r="D693" s="15"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row>
    <row r="694" ht="14.25" customHeight="1" s="165">
      <c r="A694" s="7" t="n"/>
      <c r="B694" s="7" t="n"/>
      <c r="C694" s="7" t="n"/>
      <c r="D694" s="15"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row>
    <row r="695" ht="14.25" customHeight="1" s="165">
      <c r="A695" s="7" t="n"/>
      <c r="B695" s="7" t="n"/>
      <c r="C695" s="7" t="n"/>
      <c r="D695" s="15"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row>
    <row r="696" ht="14.25" customHeight="1" s="165">
      <c r="A696" s="7" t="n"/>
      <c r="B696" s="7" t="n"/>
      <c r="C696" s="7" t="n"/>
      <c r="D696" s="15"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row>
    <row r="697" ht="14.25" customHeight="1" s="165">
      <c r="A697" s="7" t="n"/>
      <c r="B697" s="7" t="n"/>
      <c r="C697" s="7" t="n"/>
      <c r="D697" s="15"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row>
    <row r="698" ht="14.25" customHeight="1" s="165">
      <c r="A698" s="7" t="n"/>
      <c r="B698" s="7" t="n"/>
      <c r="C698" s="7" t="n"/>
      <c r="D698" s="15"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row>
    <row r="699" ht="14.25" customHeight="1" s="165">
      <c r="A699" s="7" t="n"/>
      <c r="B699" s="7" t="n"/>
      <c r="C699" s="7" t="n"/>
      <c r="D699" s="15"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row>
    <row r="700" ht="14.25" customHeight="1" s="165">
      <c r="A700" s="7" t="n"/>
      <c r="B700" s="7" t="n"/>
      <c r="C700" s="7" t="n"/>
      <c r="D700" s="15"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row>
    <row r="701" ht="14.25" customHeight="1" s="165">
      <c r="A701" s="7" t="n"/>
      <c r="B701" s="7" t="n"/>
      <c r="C701" s="7" t="n"/>
      <c r="D701" s="15"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row>
    <row r="702" ht="14.25" customHeight="1" s="165">
      <c r="A702" s="7" t="n"/>
      <c r="B702" s="7" t="n"/>
      <c r="C702" s="7" t="n"/>
      <c r="D702" s="15"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row>
    <row r="703" ht="14.25" customHeight="1" s="165">
      <c r="A703" s="7" t="n"/>
      <c r="B703" s="7" t="n"/>
      <c r="C703" s="7" t="n"/>
      <c r="D703" s="15"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row>
    <row r="704" ht="14.25" customHeight="1" s="165">
      <c r="A704" s="7" t="n"/>
      <c r="B704" s="7" t="n"/>
      <c r="C704" s="7" t="n"/>
      <c r="D704" s="15"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row>
    <row r="705" ht="14.25" customHeight="1" s="165">
      <c r="A705" s="7" t="n"/>
      <c r="B705" s="7" t="n"/>
      <c r="C705" s="7" t="n"/>
      <c r="D705" s="15"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row>
    <row r="706" ht="14.25" customHeight="1" s="165">
      <c r="A706" s="7" t="n"/>
      <c r="B706" s="7" t="n"/>
      <c r="C706" s="7" t="n"/>
      <c r="D706" s="15"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row>
    <row r="707" ht="14.25" customHeight="1" s="165">
      <c r="A707" s="7" t="n"/>
      <c r="B707" s="7" t="n"/>
      <c r="C707" s="7" t="n"/>
      <c r="D707" s="15"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row>
    <row r="708" ht="14.25" customHeight="1" s="165">
      <c r="A708" s="7" t="n"/>
      <c r="B708" s="7" t="n"/>
      <c r="C708" s="7" t="n"/>
      <c r="D708" s="15"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row>
    <row r="709" ht="14.25" customHeight="1" s="165">
      <c r="A709" s="7" t="n"/>
      <c r="B709" s="7" t="n"/>
      <c r="C709" s="7" t="n"/>
      <c r="D709" s="15"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row>
    <row r="710" ht="14.25" customHeight="1" s="165">
      <c r="A710" s="7" t="n"/>
      <c r="B710" s="7" t="n"/>
      <c r="C710" s="7" t="n"/>
      <c r="D710" s="15"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row>
    <row r="711" ht="14.25" customHeight="1" s="165">
      <c r="A711" s="7" t="n"/>
      <c r="B711" s="7" t="n"/>
      <c r="C711" s="7" t="n"/>
      <c r="D711" s="15"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row>
    <row r="712" ht="14.25" customHeight="1" s="165">
      <c r="A712" s="7" t="n"/>
      <c r="B712" s="7" t="n"/>
      <c r="C712" s="7" t="n"/>
      <c r="D712" s="15"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row>
    <row r="713" ht="14.25" customHeight="1" s="165">
      <c r="A713" s="7" t="n"/>
      <c r="B713" s="7" t="n"/>
      <c r="C713" s="7" t="n"/>
      <c r="D713" s="15"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row>
    <row r="714" ht="14.25" customHeight="1" s="165">
      <c r="A714" s="7" t="n"/>
      <c r="B714" s="7" t="n"/>
      <c r="C714" s="7" t="n"/>
      <c r="D714" s="15"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row>
    <row r="715" ht="14.25" customHeight="1" s="165">
      <c r="A715" s="7" t="n"/>
      <c r="B715" s="7" t="n"/>
      <c r="C715" s="7" t="n"/>
      <c r="D715" s="15"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row>
    <row r="716" ht="14.25" customHeight="1" s="165">
      <c r="A716" s="7" t="n"/>
      <c r="B716" s="7" t="n"/>
      <c r="C716" s="7" t="n"/>
      <c r="D716" s="15"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row>
    <row r="717" ht="14.25" customHeight="1" s="165">
      <c r="A717" s="7" t="n"/>
      <c r="B717" s="7" t="n"/>
      <c r="C717" s="7" t="n"/>
      <c r="D717" s="15"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row>
    <row r="718" ht="14.25" customHeight="1" s="165">
      <c r="A718" s="7" t="n"/>
      <c r="B718" s="7" t="n"/>
      <c r="C718" s="7" t="n"/>
      <c r="D718" s="15"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row>
    <row r="719" ht="14.25" customHeight="1" s="165">
      <c r="A719" s="7" t="n"/>
      <c r="B719" s="7" t="n"/>
      <c r="C719" s="7" t="n"/>
      <c r="D719" s="15"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row>
    <row r="720" ht="14.25" customHeight="1" s="165">
      <c r="A720" s="7" t="n"/>
      <c r="B720" s="7" t="n"/>
      <c r="C720" s="7" t="n"/>
      <c r="D720" s="15"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row>
    <row r="721" ht="14.25" customHeight="1" s="165">
      <c r="A721" s="7" t="n"/>
      <c r="B721" s="7" t="n"/>
      <c r="C721" s="7" t="n"/>
      <c r="D721" s="15"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row>
    <row r="722" ht="14.25" customHeight="1" s="165">
      <c r="A722" s="7" t="n"/>
      <c r="B722" s="7" t="n"/>
      <c r="C722" s="7" t="n"/>
      <c r="D722" s="15"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row>
    <row r="723" ht="14.25" customHeight="1" s="165">
      <c r="A723" s="7" t="n"/>
      <c r="B723" s="7" t="n"/>
      <c r="C723" s="7" t="n"/>
      <c r="D723" s="15"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row>
    <row r="724" ht="14.25" customHeight="1" s="165">
      <c r="A724" s="7" t="n"/>
      <c r="B724" s="7" t="n"/>
      <c r="C724" s="7" t="n"/>
      <c r="D724" s="15"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row>
    <row r="725" ht="14.25" customHeight="1" s="165">
      <c r="A725" s="7" t="n"/>
      <c r="B725" s="7" t="n"/>
      <c r="C725" s="7" t="n"/>
      <c r="D725" s="15"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row>
    <row r="726" ht="14.25" customHeight="1" s="165">
      <c r="A726" s="7" t="n"/>
      <c r="B726" s="7" t="n"/>
      <c r="C726" s="7" t="n"/>
      <c r="D726" s="15"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row>
    <row r="727" ht="14.25" customHeight="1" s="165">
      <c r="A727" s="7" t="n"/>
      <c r="B727" s="7" t="n"/>
      <c r="C727" s="7" t="n"/>
      <c r="D727" s="15"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row>
    <row r="728" ht="14.25" customHeight="1" s="165">
      <c r="A728" s="7" t="n"/>
      <c r="B728" s="7" t="n"/>
      <c r="C728" s="7" t="n"/>
      <c r="D728" s="15"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row>
    <row r="729" ht="14.25" customHeight="1" s="165">
      <c r="A729" s="7" t="n"/>
      <c r="B729" s="7" t="n"/>
      <c r="C729" s="7" t="n"/>
      <c r="D729" s="15"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row>
    <row r="730" ht="14.25" customHeight="1" s="165">
      <c r="A730" s="7" t="n"/>
      <c r="B730" s="7" t="n"/>
      <c r="C730" s="7" t="n"/>
      <c r="D730" s="15"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row>
    <row r="731" ht="14.25" customHeight="1" s="165">
      <c r="A731" s="7" t="n"/>
      <c r="B731" s="7" t="n"/>
      <c r="C731" s="7" t="n"/>
      <c r="D731" s="15"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row>
    <row r="732" ht="14.25" customHeight="1" s="165">
      <c r="A732" s="7" t="n"/>
      <c r="B732" s="7" t="n"/>
      <c r="C732" s="7" t="n"/>
      <c r="D732" s="15"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row>
    <row r="733" ht="14.25" customHeight="1" s="165">
      <c r="A733" s="7" t="n"/>
      <c r="B733" s="7" t="n"/>
      <c r="C733" s="7" t="n"/>
      <c r="D733" s="15"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row>
    <row r="734" ht="14.25" customHeight="1" s="165">
      <c r="A734" s="7" t="n"/>
      <c r="B734" s="7" t="n"/>
      <c r="C734" s="7" t="n"/>
      <c r="D734" s="15"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row>
    <row r="735" ht="14.25" customHeight="1" s="165">
      <c r="A735" s="7" t="n"/>
      <c r="B735" s="7" t="n"/>
      <c r="C735" s="7" t="n"/>
      <c r="D735" s="15"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row>
    <row r="736" ht="14.25" customHeight="1" s="165">
      <c r="A736" s="7" t="n"/>
      <c r="B736" s="7" t="n"/>
      <c r="C736" s="7" t="n"/>
      <c r="D736" s="15"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row>
    <row r="737" ht="14.25" customHeight="1" s="165">
      <c r="A737" s="7" t="n"/>
      <c r="B737" s="7" t="n"/>
      <c r="C737" s="7" t="n"/>
      <c r="D737" s="15"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row>
    <row r="738" ht="14.25" customHeight="1" s="165">
      <c r="A738" s="7" t="n"/>
      <c r="B738" s="7" t="n"/>
      <c r="C738" s="7" t="n"/>
      <c r="D738" s="15"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row>
    <row r="739" ht="14.25" customHeight="1" s="165">
      <c r="A739" s="7" t="n"/>
      <c r="B739" s="7" t="n"/>
      <c r="C739" s="7" t="n"/>
      <c r="D739" s="15"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row>
    <row r="740" ht="14.25" customHeight="1" s="165">
      <c r="A740" s="7" t="n"/>
      <c r="B740" s="7" t="n"/>
      <c r="C740" s="7" t="n"/>
      <c r="D740" s="15"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row>
    <row r="741" ht="14.25" customHeight="1" s="165">
      <c r="A741" s="7" t="n"/>
      <c r="B741" s="7" t="n"/>
      <c r="C741" s="7" t="n"/>
      <c r="D741" s="15"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row>
    <row r="742" ht="14.25" customHeight="1" s="165">
      <c r="A742" s="7" t="n"/>
      <c r="B742" s="7" t="n"/>
      <c r="C742" s="7" t="n"/>
      <c r="D742" s="15"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row>
    <row r="743" ht="14.25" customHeight="1" s="165">
      <c r="A743" s="7" t="n"/>
      <c r="B743" s="7" t="n"/>
      <c r="C743" s="7" t="n"/>
      <c r="D743" s="15"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row>
    <row r="744" ht="14.25" customHeight="1" s="165">
      <c r="A744" s="7" t="n"/>
      <c r="B744" s="7" t="n"/>
      <c r="C744" s="7" t="n"/>
      <c r="D744" s="15"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row>
    <row r="745" ht="14.25" customHeight="1" s="165">
      <c r="A745" s="7" t="n"/>
      <c r="B745" s="7" t="n"/>
      <c r="C745" s="7" t="n"/>
      <c r="D745" s="15"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row>
    <row r="746" ht="14.25" customHeight="1" s="165">
      <c r="A746" s="7" t="n"/>
      <c r="B746" s="7" t="n"/>
      <c r="C746" s="7" t="n"/>
      <c r="D746" s="15"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row>
    <row r="747" ht="14.25" customHeight="1" s="165">
      <c r="A747" s="7" t="n"/>
      <c r="B747" s="7" t="n"/>
      <c r="C747" s="7" t="n"/>
      <c r="D747" s="15"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row>
    <row r="748" ht="14.25" customHeight="1" s="165">
      <c r="A748" s="7" t="n"/>
      <c r="B748" s="7" t="n"/>
      <c r="C748" s="7" t="n"/>
      <c r="D748" s="15"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row>
    <row r="749" ht="14.25" customHeight="1" s="165">
      <c r="A749" s="7" t="n"/>
      <c r="B749" s="7" t="n"/>
      <c r="C749" s="7" t="n"/>
      <c r="D749" s="15"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row>
    <row r="750" ht="14.25" customHeight="1" s="165">
      <c r="A750" s="7" t="n"/>
      <c r="B750" s="7" t="n"/>
      <c r="C750" s="7" t="n"/>
      <c r="D750" s="15"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row>
    <row r="751" ht="14.25" customHeight="1" s="165">
      <c r="A751" s="7" t="n"/>
      <c r="B751" s="7" t="n"/>
      <c r="C751" s="7" t="n"/>
      <c r="D751" s="15"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row>
    <row r="752" ht="14.25" customHeight="1" s="165">
      <c r="A752" s="7" t="n"/>
      <c r="B752" s="7" t="n"/>
      <c r="C752" s="7" t="n"/>
      <c r="D752" s="15"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row>
    <row r="753" ht="14.25" customHeight="1" s="165">
      <c r="A753" s="7" t="n"/>
      <c r="B753" s="7" t="n"/>
      <c r="C753" s="7" t="n"/>
      <c r="D753" s="15"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row>
    <row r="754" ht="14.25" customHeight="1" s="165">
      <c r="A754" s="7" t="n"/>
      <c r="B754" s="7" t="n"/>
      <c r="C754" s="7" t="n"/>
      <c r="D754" s="15"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row>
    <row r="755" ht="14.25" customHeight="1" s="165">
      <c r="A755" s="7" t="n"/>
      <c r="B755" s="7" t="n"/>
      <c r="C755" s="7" t="n"/>
      <c r="D755" s="15"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row>
    <row r="756" ht="14.25" customHeight="1" s="165">
      <c r="A756" s="7" t="n"/>
      <c r="B756" s="7" t="n"/>
      <c r="C756" s="7" t="n"/>
      <c r="D756" s="15"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row>
    <row r="757" ht="14.25" customHeight="1" s="165">
      <c r="A757" s="7" t="n"/>
      <c r="B757" s="7" t="n"/>
      <c r="C757" s="7" t="n"/>
      <c r="D757" s="15"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row>
    <row r="758" ht="14.25" customHeight="1" s="165">
      <c r="A758" s="7" t="n"/>
      <c r="B758" s="7" t="n"/>
      <c r="C758" s="7" t="n"/>
      <c r="D758" s="15"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row>
    <row r="759" ht="14.25" customHeight="1" s="165">
      <c r="A759" s="7" t="n"/>
      <c r="B759" s="7" t="n"/>
      <c r="C759" s="7" t="n"/>
      <c r="D759" s="15"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row>
    <row r="760" ht="14.25" customHeight="1" s="165">
      <c r="A760" s="7" t="n"/>
      <c r="B760" s="7" t="n"/>
      <c r="C760" s="7" t="n"/>
      <c r="D760" s="15"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row>
    <row r="761" ht="14.25" customHeight="1" s="165">
      <c r="A761" s="7" t="n"/>
      <c r="B761" s="7" t="n"/>
      <c r="C761" s="7" t="n"/>
      <c r="D761" s="15"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row>
    <row r="762" ht="14.25" customHeight="1" s="165">
      <c r="A762" s="7" t="n"/>
      <c r="B762" s="7" t="n"/>
      <c r="C762" s="7" t="n"/>
      <c r="D762" s="15"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row>
    <row r="763" ht="14.25" customHeight="1" s="165">
      <c r="A763" s="7" t="n"/>
      <c r="B763" s="7" t="n"/>
      <c r="C763" s="7" t="n"/>
      <c r="D763" s="15"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row>
    <row r="764" ht="14.25" customHeight="1" s="165">
      <c r="A764" s="7" t="n"/>
      <c r="B764" s="7" t="n"/>
      <c r="C764" s="7" t="n"/>
      <c r="D764" s="15"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row>
    <row r="765" ht="14.25" customHeight="1" s="165">
      <c r="A765" s="7" t="n"/>
      <c r="B765" s="7" t="n"/>
      <c r="C765" s="7" t="n"/>
      <c r="D765" s="15"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row>
    <row r="766" ht="14.25" customHeight="1" s="165">
      <c r="A766" s="7" t="n"/>
      <c r="B766" s="7" t="n"/>
      <c r="C766" s="7" t="n"/>
      <c r="D766" s="15"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row>
    <row r="767" ht="14.25" customHeight="1" s="165">
      <c r="A767" s="7" t="n"/>
      <c r="B767" s="7" t="n"/>
      <c r="C767" s="7" t="n"/>
      <c r="D767" s="15"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row>
    <row r="768" ht="14.25" customHeight="1" s="165">
      <c r="A768" s="7" t="n"/>
      <c r="B768" s="7" t="n"/>
      <c r="C768" s="7" t="n"/>
      <c r="D768" s="15"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row>
    <row r="769" ht="14.25" customHeight="1" s="165">
      <c r="A769" s="7" t="n"/>
      <c r="B769" s="7" t="n"/>
      <c r="C769" s="7" t="n"/>
      <c r="D769" s="15"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row>
    <row r="770" ht="14.25" customHeight="1" s="165">
      <c r="A770" s="7" t="n"/>
      <c r="B770" s="7" t="n"/>
      <c r="C770" s="7" t="n"/>
      <c r="D770" s="15"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row>
    <row r="771" ht="14.25" customHeight="1" s="165">
      <c r="A771" s="7" t="n"/>
      <c r="B771" s="7" t="n"/>
      <c r="C771" s="7" t="n"/>
      <c r="D771" s="15"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row>
    <row r="772" ht="14.25" customHeight="1" s="165">
      <c r="A772" s="7" t="n"/>
      <c r="B772" s="7" t="n"/>
      <c r="C772" s="7" t="n"/>
      <c r="D772" s="15"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row>
    <row r="773" ht="14.25" customHeight="1" s="165">
      <c r="A773" s="7" t="n"/>
      <c r="B773" s="7" t="n"/>
      <c r="C773" s="7" t="n"/>
      <c r="D773" s="15"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row>
    <row r="774" ht="14.25" customHeight="1" s="165">
      <c r="A774" s="7" t="n"/>
      <c r="B774" s="7" t="n"/>
      <c r="C774" s="7" t="n"/>
      <c r="D774" s="15"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row>
    <row r="775" ht="14.25" customHeight="1" s="165">
      <c r="A775" s="7" t="n"/>
      <c r="B775" s="7" t="n"/>
      <c r="C775" s="7" t="n"/>
      <c r="D775" s="15"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row>
    <row r="776" ht="14.25" customHeight="1" s="165">
      <c r="A776" s="7" t="n"/>
      <c r="B776" s="7" t="n"/>
      <c r="C776" s="7" t="n"/>
      <c r="D776" s="15"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row>
    <row r="777" ht="14.25" customHeight="1" s="165">
      <c r="A777" s="7" t="n"/>
      <c r="B777" s="7" t="n"/>
      <c r="C777" s="7" t="n"/>
      <c r="D777" s="15"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row>
    <row r="778" ht="14.25" customHeight="1" s="165">
      <c r="A778" s="7" t="n"/>
      <c r="B778" s="7" t="n"/>
      <c r="C778" s="7" t="n"/>
      <c r="D778" s="15"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row>
    <row r="779" ht="14.25" customHeight="1" s="165">
      <c r="A779" s="7" t="n"/>
      <c r="B779" s="7" t="n"/>
      <c r="C779" s="7" t="n"/>
      <c r="D779" s="15"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row>
    <row r="780" ht="14.25" customHeight="1" s="165">
      <c r="A780" s="7" t="n"/>
      <c r="B780" s="7" t="n"/>
      <c r="C780" s="7" t="n"/>
      <c r="D780" s="15"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row>
    <row r="781" ht="14.25" customHeight="1" s="165">
      <c r="A781" s="7" t="n"/>
      <c r="B781" s="7" t="n"/>
      <c r="C781" s="7" t="n"/>
      <c r="D781" s="15"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row>
    <row r="782" ht="14.25" customHeight="1" s="165">
      <c r="A782" s="7" t="n"/>
      <c r="B782" s="7" t="n"/>
      <c r="C782" s="7" t="n"/>
      <c r="D782" s="15"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row>
    <row r="783" ht="14.25" customHeight="1" s="165">
      <c r="A783" s="7" t="n"/>
      <c r="B783" s="7" t="n"/>
      <c r="C783" s="7" t="n"/>
      <c r="D783" s="15"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row>
    <row r="784" ht="14.25" customHeight="1" s="165">
      <c r="A784" s="7" t="n"/>
      <c r="B784" s="7" t="n"/>
      <c r="C784" s="7" t="n"/>
      <c r="D784" s="15"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row>
    <row r="785" ht="14.25" customHeight="1" s="165">
      <c r="A785" s="7" t="n"/>
      <c r="B785" s="7" t="n"/>
      <c r="C785" s="7" t="n"/>
      <c r="D785" s="15"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row>
    <row r="786" ht="14.25" customHeight="1" s="165">
      <c r="A786" s="7" t="n"/>
      <c r="B786" s="7" t="n"/>
      <c r="C786" s="7" t="n"/>
      <c r="D786" s="15"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row>
    <row r="787" ht="14.25" customHeight="1" s="165">
      <c r="A787" s="7" t="n"/>
      <c r="B787" s="7" t="n"/>
      <c r="C787" s="7" t="n"/>
      <c r="D787" s="15"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row>
    <row r="788" ht="14.25" customHeight="1" s="165">
      <c r="A788" s="7" t="n"/>
      <c r="B788" s="7" t="n"/>
      <c r="C788" s="7" t="n"/>
      <c r="D788" s="15"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row>
    <row r="789" ht="14.25" customHeight="1" s="165">
      <c r="A789" s="7" t="n"/>
      <c r="B789" s="7" t="n"/>
      <c r="C789" s="7" t="n"/>
      <c r="D789" s="15"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row>
    <row r="790" ht="14.25" customHeight="1" s="165">
      <c r="A790" s="7" t="n"/>
      <c r="B790" s="7" t="n"/>
      <c r="C790" s="7" t="n"/>
      <c r="D790" s="15"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row>
    <row r="791" ht="14.25" customHeight="1" s="165">
      <c r="A791" s="7" t="n"/>
      <c r="B791" s="7" t="n"/>
      <c r="C791" s="7" t="n"/>
      <c r="D791" s="15"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row>
    <row r="792" ht="14.25" customHeight="1" s="165">
      <c r="A792" s="7" t="n"/>
      <c r="B792" s="7" t="n"/>
      <c r="C792" s="7" t="n"/>
      <c r="D792" s="15"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row>
    <row r="793" ht="14.25" customHeight="1" s="165">
      <c r="A793" s="7" t="n"/>
      <c r="B793" s="7" t="n"/>
      <c r="C793" s="7" t="n"/>
      <c r="D793" s="15"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row>
    <row r="794" ht="14.25" customHeight="1" s="165">
      <c r="A794" s="7" t="n"/>
      <c r="B794" s="7" t="n"/>
      <c r="C794" s="7" t="n"/>
      <c r="D794" s="15"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row>
    <row r="795" ht="14.25" customHeight="1" s="165">
      <c r="A795" s="7" t="n"/>
      <c r="B795" s="7" t="n"/>
      <c r="C795" s="7" t="n"/>
      <c r="D795" s="15"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row>
    <row r="796" ht="14.25" customHeight="1" s="165">
      <c r="A796" s="7" t="n"/>
      <c r="B796" s="7" t="n"/>
      <c r="C796" s="7" t="n"/>
      <c r="D796" s="15"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row>
    <row r="797" ht="14.25" customHeight="1" s="165">
      <c r="A797" s="7" t="n"/>
      <c r="B797" s="7" t="n"/>
      <c r="C797" s="7" t="n"/>
      <c r="D797" s="15"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row>
    <row r="798" ht="14.25" customHeight="1" s="165">
      <c r="A798" s="7" t="n"/>
      <c r="B798" s="7" t="n"/>
      <c r="C798" s="7" t="n"/>
      <c r="D798" s="15"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row>
    <row r="799" ht="14.25" customHeight="1" s="165">
      <c r="A799" s="7" t="n"/>
      <c r="B799" s="7" t="n"/>
      <c r="C799" s="7" t="n"/>
      <c r="D799" s="15"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row>
    <row r="800" ht="14.25" customHeight="1" s="165">
      <c r="A800" s="7" t="n"/>
      <c r="B800" s="7" t="n"/>
      <c r="C800" s="7" t="n"/>
      <c r="D800" s="15"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row>
    <row r="801" ht="14.25" customHeight="1" s="165">
      <c r="A801" s="7" t="n"/>
      <c r="B801" s="7" t="n"/>
      <c r="C801" s="7" t="n"/>
      <c r="D801" s="15"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row>
    <row r="802" ht="14.25" customHeight="1" s="165">
      <c r="A802" s="7" t="n"/>
      <c r="B802" s="7" t="n"/>
      <c r="C802" s="7" t="n"/>
      <c r="D802" s="15"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row>
    <row r="803" ht="14.25" customHeight="1" s="165">
      <c r="A803" s="7" t="n"/>
      <c r="B803" s="7" t="n"/>
      <c r="C803" s="7" t="n"/>
      <c r="D803" s="15"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row>
    <row r="804" ht="14.25" customHeight="1" s="165">
      <c r="A804" s="7" t="n"/>
      <c r="B804" s="7" t="n"/>
      <c r="C804" s="7" t="n"/>
      <c r="D804" s="15"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row>
    <row r="805" ht="14.25" customHeight="1" s="165">
      <c r="A805" s="7" t="n"/>
      <c r="B805" s="7" t="n"/>
      <c r="C805" s="7" t="n"/>
      <c r="D805" s="15"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row>
    <row r="806" ht="14.25" customHeight="1" s="165">
      <c r="A806" s="7" t="n"/>
      <c r="B806" s="7" t="n"/>
      <c r="C806" s="7" t="n"/>
      <c r="D806" s="15"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row>
    <row r="807" ht="14.25" customHeight="1" s="165">
      <c r="A807" s="7" t="n"/>
      <c r="B807" s="7" t="n"/>
      <c r="C807" s="7" t="n"/>
      <c r="D807" s="15"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row>
    <row r="808" ht="14.25" customHeight="1" s="165">
      <c r="A808" s="7" t="n"/>
      <c r="B808" s="7" t="n"/>
      <c r="C808" s="7" t="n"/>
      <c r="D808" s="15"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row>
    <row r="809" ht="14.25" customHeight="1" s="165">
      <c r="A809" s="7" t="n"/>
      <c r="B809" s="7" t="n"/>
      <c r="C809" s="7" t="n"/>
      <c r="D809" s="15"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row>
    <row r="810" ht="14.25" customHeight="1" s="165">
      <c r="A810" s="7" t="n"/>
      <c r="B810" s="7" t="n"/>
      <c r="C810" s="7" t="n"/>
      <c r="D810" s="15"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row>
    <row r="811" ht="14.25" customHeight="1" s="165">
      <c r="A811" s="7" t="n"/>
      <c r="B811" s="7" t="n"/>
      <c r="C811" s="7" t="n"/>
      <c r="D811" s="15"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row>
    <row r="812" ht="14.25" customHeight="1" s="165">
      <c r="A812" s="7" t="n"/>
      <c r="B812" s="7" t="n"/>
      <c r="C812" s="7" t="n"/>
      <c r="D812" s="15"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row>
    <row r="813" ht="14.25" customHeight="1" s="165">
      <c r="A813" s="7" t="n"/>
      <c r="B813" s="7" t="n"/>
      <c r="C813" s="7" t="n"/>
      <c r="D813" s="15"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row>
    <row r="814" ht="14.25" customHeight="1" s="165">
      <c r="A814" s="7" t="n"/>
      <c r="B814" s="7" t="n"/>
      <c r="C814" s="7" t="n"/>
      <c r="D814" s="15"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row>
    <row r="815" ht="14.25" customHeight="1" s="165">
      <c r="A815" s="7" t="n"/>
      <c r="B815" s="7" t="n"/>
      <c r="C815" s="7" t="n"/>
      <c r="D815" s="15"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row>
    <row r="816" ht="14.25" customHeight="1" s="165">
      <c r="A816" s="7" t="n"/>
      <c r="B816" s="7" t="n"/>
      <c r="C816" s="7" t="n"/>
      <c r="D816" s="15"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row>
    <row r="817" ht="14.25" customHeight="1" s="165">
      <c r="A817" s="7" t="n"/>
      <c r="B817" s="7" t="n"/>
      <c r="C817" s="7" t="n"/>
      <c r="D817" s="15"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row>
    <row r="818" ht="14.25" customHeight="1" s="165">
      <c r="A818" s="7" t="n"/>
      <c r="B818" s="7" t="n"/>
      <c r="C818" s="7" t="n"/>
      <c r="D818" s="15"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row>
    <row r="819" ht="14.25" customHeight="1" s="165">
      <c r="A819" s="7" t="n"/>
      <c r="B819" s="7" t="n"/>
      <c r="C819" s="7" t="n"/>
      <c r="D819" s="15"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row>
    <row r="820" ht="14.25" customHeight="1" s="165">
      <c r="A820" s="7" t="n"/>
      <c r="B820" s="7" t="n"/>
      <c r="C820" s="7" t="n"/>
      <c r="D820" s="15"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row>
    <row r="821" ht="14.25" customHeight="1" s="165">
      <c r="A821" s="7" t="n"/>
      <c r="B821" s="7" t="n"/>
      <c r="C821" s="7" t="n"/>
      <c r="D821" s="15"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row>
    <row r="822" ht="14.25" customHeight="1" s="165">
      <c r="A822" s="7" t="n"/>
      <c r="B822" s="7" t="n"/>
      <c r="C822" s="7" t="n"/>
      <c r="D822" s="15"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row>
    <row r="823" ht="14.25" customHeight="1" s="165">
      <c r="A823" s="7" t="n"/>
      <c r="B823" s="7" t="n"/>
      <c r="C823" s="7" t="n"/>
      <c r="D823" s="15"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row>
    <row r="824" ht="14.25" customHeight="1" s="165">
      <c r="A824" s="7" t="n"/>
      <c r="B824" s="7" t="n"/>
      <c r="C824" s="7" t="n"/>
      <c r="D824" s="15"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row>
    <row r="825" ht="14.25" customHeight="1" s="165">
      <c r="A825" s="7" t="n"/>
      <c r="B825" s="7" t="n"/>
      <c r="C825" s="7" t="n"/>
      <c r="D825" s="15"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row>
    <row r="826" ht="14.25" customHeight="1" s="165">
      <c r="A826" s="7" t="n"/>
      <c r="B826" s="7" t="n"/>
      <c r="C826" s="7" t="n"/>
      <c r="D826" s="15"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row>
    <row r="827" ht="14.25" customHeight="1" s="165">
      <c r="A827" s="7" t="n"/>
      <c r="B827" s="7" t="n"/>
      <c r="C827" s="7" t="n"/>
      <c r="D827" s="15"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row>
    <row r="828" ht="14.25" customHeight="1" s="165">
      <c r="A828" s="7" t="n"/>
      <c r="B828" s="7" t="n"/>
      <c r="C828" s="7" t="n"/>
      <c r="D828" s="15"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row>
    <row r="829" ht="14.25" customHeight="1" s="165">
      <c r="A829" s="7" t="n"/>
      <c r="B829" s="7" t="n"/>
      <c r="C829" s="7" t="n"/>
      <c r="D829" s="15"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row>
    <row r="830" ht="14.25" customHeight="1" s="165">
      <c r="A830" s="7" t="n"/>
      <c r="B830" s="7" t="n"/>
      <c r="C830" s="7" t="n"/>
      <c r="D830" s="15"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row>
    <row r="831" ht="14.25" customHeight="1" s="165">
      <c r="A831" s="7" t="n"/>
      <c r="B831" s="7" t="n"/>
      <c r="C831" s="7" t="n"/>
      <c r="D831" s="15"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row>
    <row r="832" ht="14.25" customHeight="1" s="165">
      <c r="A832" s="7" t="n"/>
      <c r="B832" s="7" t="n"/>
      <c r="C832" s="7" t="n"/>
      <c r="D832" s="15"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row>
    <row r="833" ht="14.25" customHeight="1" s="165">
      <c r="A833" s="7" t="n"/>
      <c r="B833" s="7" t="n"/>
      <c r="C833" s="7" t="n"/>
      <c r="D833" s="15"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row>
    <row r="834" ht="14.25" customHeight="1" s="165">
      <c r="A834" s="7" t="n"/>
      <c r="B834" s="7" t="n"/>
      <c r="C834" s="7" t="n"/>
      <c r="D834" s="15"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row>
    <row r="835" ht="14.25" customHeight="1" s="165">
      <c r="A835" s="7" t="n"/>
      <c r="B835" s="7" t="n"/>
      <c r="C835" s="7" t="n"/>
      <c r="D835" s="15"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row>
    <row r="836" ht="14.25" customHeight="1" s="165">
      <c r="A836" s="7" t="n"/>
      <c r="B836" s="7" t="n"/>
      <c r="C836" s="7" t="n"/>
      <c r="D836" s="15"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row>
    <row r="837" ht="14.25" customHeight="1" s="165">
      <c r="A837" s="7" t="n"/>
      <c r="B837" s="7" t="n"/>
      <c r="C837" s="7" t="n"/>
      <c r="D837" s="15"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row>
    <row r="838" ht="14.25" customHeight="1" s="165">
      <c r="A838" s="7" t="n"/>
      <c r="B838" s="7" t="n"/>
      <c r="C838" s="7" t="n"/>
      <c r="D838" s="15"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row>
    <row r="839" ht="14.25" customHeight="1" s="165">
      <c r="A839" s="7" t="n"/>
      <c r="B839" s="7" t="n"/>
      <c r="C839" s="7" t="n"/>
      <c r="D839" s="15"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row>
    <row r="840" ht="14.25" customHeight="1" s="165">
      <c r="A840" s="7" t="n"/>
      <c r="B840" s="7" t="n"/>
      <c r="C840" s="7" t="n"/>
      <c r="D840" s="15"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row>
    <row r="841" ht="14.25" customHeight="1" s="165">
      <c r="A841" s="7" t="n"/>
      <c r="B841" s="7" t="n"/>
      <c r="C841" s="7" t="n"/>
      <c r="D841" s="15"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row>
    <row r="842" ht="14.25" customHeight="1" s="165">
      <c r="A842" s="7" t="n"/>
      <c r="B842" s="7" t="n"/>
      <c r="C842" s="7" t="n"/>
      <c r="D842" s="15"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row>
    <row r="843" ht="14.25" customHeight="1" s="165">
      <c r="A843" s="7" t="n"/>
      <c r="B843" s="7" t="n"/>
      <c r="C843" s="7" t="n"/>
      <c r="D843" s="15"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row>
    <row r="844" ht="14.25" customHeight="1" s="165">
      <c r="A844" s="7" t="n"/>
      <c r="B844" s="7" t="n"/>
      <c r="C844" s="7" t="n"/>
      <c r="D844" s="15"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row>
    <row r="845" ht="14.25" customHeight="1" s="165">
      <c r="A845" s="7" t="n"/>
      <c r="B845" s="7" t="n"/>
      <c r="C845" s="7" t="n"/>
      <c r="D845" s="15"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row>
    <row r="846" ht="14.25" customHeight="1" s="165">
      <c r="A846" s="7" t="n"/>
      <c r="B846" s="7" t="n"/>
      <c r="C846" s="7" t="n"/>
      <c r="D846" s="15"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row>
    <row r="847" ht="14.25" customHeight="1" s="165">
      <c r="A847" s="7" t="n"/>
      <c r="B847" s="7" t="n"/>
      <c r="C847" s="7" t="n"/>
      <c r="D847" s="15"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row>
    <row r="848" ht="14.25" customHeight="1" s="165">
      <c r="A848" s="7" t="n"/>
      <c r="B848" s="7" t="n"/>
      <c r="C848" s="7" t="n"/>
      <c r="D848" s="15"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row>
    <row r="849" ht="14.25" customHeight="1" s="165">
      <c r="A849" s="7" t="n"/>
      <c r="B849" s="7" t="n"/>
      <c r="C849" s="7" t="n"/>
      <c r="D849" s="15"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row>
    <row r="850" ht="14.25" customHeight="1" s="165">
      <c r="A850" s="7" t="n"/>
      <c r="B850" s="7" t="n"/>
      <c r="C850" s="7" t="n"/>
      <c r="D850" s="15"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row>
    <row r="851" ht="14.25" customHeight="1" s="165">
      <c r="A851" s="7" t="n"/>
      <c r="B851" s="7" t="n"/>
      <c r="C851" s="7" t="n"/>
      <c r="D851" s="15"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row>
    <row r="852" ht="14.25" customHeight="1" s="165">
      <c r="A852" s="7" t="n"/>
      <c r="B852" s="7" t="n"/>
      <c r="C852" s="7" t="n"/>
      <c r="D852" s="15"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row>
    <row r="853" ht="14.25" customHeight="1" s="165">
      <c r="A853" s="7" t="n"/>
      <c r="B853" s="7" t="n"/>
      <c r="C853" s="7" t="n"/>
      <c r="D853" s="15"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row>
    <row r="854" ht="14.25" customHeight="1" s="165">
      <c r="A854" s="7" t="n"/>
      <c r="B854" s="7" t="n"/>
      <c r="C854" s="7" t="n"/>
      <c r="D854" s="15"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row>
    <row r="855" ht="14.25" customHeight="1" s="165">
      <c r="A855" s="7" t="n"/>
      <c r="B855" s="7" t="n"/>
      <c r="C855" s="7" t="n"/>
      <c r="D855" s="15"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row>
    <row r="856" ht="14.25" customHeight="1" s="165">
      <c r="A856" s="7" t="n"/>
      <c r="B856" s="7" t="n"/>
      <c r="C856" s="7" t="n"/>
      <c r="D856" s="15"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row>
    <row r="857" ht="14.25" customHeight="1" s="165">
      <c r="A857" s="7" t="n"/>
      <c r="B857" s="7" t="n"/>
      <c r="C857" s="7" t="n"/>
      <c r="D857" s="15"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row>
    <row r="858" ht="14.25" customHeight="1" s="165">
      <c r="A858" s="7" t="n"/>
      <c r="B858" s="7" t="n"/>
      <c r="C858" s="7" t="n"/>
      <c r="D858" s="15"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row>
    <row r="859" ht="14.25" customHeight="1" s="165">
      <c r="A859" s="7" t="n"/>
      <c r="B859" s="7" t="n"/>
      <c r="C859" s="7" t="n"/>
      <c r="D859" s="15"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row>
    <row r="860" ht="14.25" customHeight="1" s="165">
      <c r="A860" s="7" t="n"/>
      <c r="B860" s="7" t="n"/>
      <c r="C860" s="7" t="n"/>
      <c r="D860" s="15"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row>
    <row r="861" ht="14.25" customHeight="1" s="165">
      <c r="A861" s="7" t="n"/>
      <c r="B861" s="7" t="n"/>
      <c r="C861" s="7" t="n"/>
      <c r="D861" s="15"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row>
    <row r="862" ht="14.25" customHeight="1" s="165">
      <c r="A862" s="7" t="n"/>
      <c r="B862" s="7" t="n"/>
      <c r="C862" s="7" t="n"/>
      <c r="D862" s="15"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row>
    <row r="863" ht="14.25" customHeight="1" s="165">
      <c r="A863" s="7" t="n"/>
      <c r="B863" s="7" t="n"/>
      <c r="C863" s="7" t="n"/>
      <c r="D863" s="15"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row>
    <row r="864" ht="14.25" customHeight="1" s="165">
      <c r="A864" s="7" t="n"/>
      <c r="B864" s="7" t="n"/>
      <c r="C864" s="7" t="n"/>
      <c r="D864" s="15"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row>
    <row r="865" ht="14.25" customHeight="1" s="165">
      <c r="A865" s="7" t="n"/>
      <c r="B865" s="7" t="n"/>
      <c r="C865" s="7" t="n"/>
      <c r="D865" s="15"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row>
    <row r="866" ht="14.25" customHeight="1" s="165">
      <c r="A866" s="7" t="n"/>
      <c r="B866" s="7" t="n"/>
      <c r="C866" s="7" t="n"/>
      <c r="D866" s="15"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row>
    <row r="867" ht="14.25" customHeight="1" s="165">
      <c r="A867" s="7" t="n"/>
      <c r="B867" s="7" t="n"/>
      <c r="C867" s="7" t="n"/>
      <c r="D867" s="15"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row>
    <row r="868" ht="14.25" customHeight="1" s="165">
      <c r="A868" s="7" t="n"/>
      <c r="B868" s="7" t="n"/>
      <c r="C868" s="7" t="n"/>
      <c r="D868" s="15"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row>
    <row r="869" ht="14.25" customHeight="1" s="165">
      <c r="A869" s="7" t="n"/>
      <c r="B869" s="7" t="n"/>
      <c r="C869" s="7" t="n"/>
      <c r="D869" s="15"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row>
    <row r="870" ht="14.25" customHeight="1" s="165">
      <c r="A870" s="7" t="n"/>
      <c r="B870" s="7" t="n"/>
      <c r="C870" s="7" t="n"/>
      <c r="D870" s="15"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row>
    <row r="871" ht="14.25" customHeight="1" s="165">
      <c r="A871" s="7" t="n"/>
      <c r="B871" s="7" t="n"/>
      <c r="C871" s="7" t="n"/>
      <c r="D871" s="15"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row>
    <row r="872" ht="14.25" customHeight="1" s="165">
      <c r="A872" s="7" t="n"/>
      <c r="B872" s="7" t="n"/>
      <c r="C872" s="7" t="n"/>
      <c r="D872" s="15"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row>
    <row r="873" ht="14.25" customHeight="1" s="165">
      <c r="A873" s="7" t="n"/>
      <c r="B873" s="7" t="n"/>
      <c r="C873" s="7" t="n"/>
      <c r="D873" s="15"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row>
    <row r="874" ht="14.25" customHeight="1" s="165">
      <c r="A874" s="7" t="n"/>
      <c r="B874" s="7" t="n"/>
      <c r="C874" s="7" t="n"/>
      <c r="D874" s="15"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row>
    <row r="875" ht="14.25" customHeight="1" s="165">
      <c r="A875" s="7" t="n"/>
      <c r="B875" s="7" t="n"/>
      <c r="C875" s="7" t="n"/>
      <c r="D875" s="15"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row>
    <row r="876" ht="14.25" customHeight="1" s="165">
      <c r="A876" s="7" t="n"/>
      <c r="B876" s="7" t="n"/>
      <c r="C876" s="7" t="n"/>
      <c r="D876" s="15"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row>
    <row r="877" ht="14.25" customHeight="1" s="165">
      <c r="A877" s="7" t="n"/>
      <c r="B877" s="7" t="n"/>
      <c r="C877" s="7" t="n"/>
      <c r="D877" s="15"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row>
    <row r="878" ht="14.25" customHeight="1" s="165">
      <c r="A878" s="7" t="n"/>
      <c r="B878" s="7" t="n"/>
      <c r="C878" s="7" t="n"/>
      <c r="D878" s="15"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row>
    <row r="879" ht="14.25" customHeight="1" s="165">
      <c r="A879" s="7" t="n"/>
      <c r="B879" s="7" t="n"/>
      <c r="C879" s="7" t="n"/>
      <c r="D879" s="15"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row>
    <row r="880" ht="14.25" customHeight="1" s="165">
      <c r="A880" s="7" t="n"/>
      <c r="B880" s="7" t="n"/>
      <c r="C880" s="7" t="n"/>
      <c r="D880" s="15"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row>
    <row r="881" ht="14.25" customHeight="1" s="165">
      <c r="A881" s="7" t="n"/>
      <c r="B881" s="7" t="n"/>
      <c r="C881" s="7" t="n"/>
      <c r="D881" s="15"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row>
    <row r="882" ht="14.25" customHeight="1" s="165">
      <c r="A882" s="7" t="n"/>
      <c r="B882" s="7" t="n"/>
      <c r="C882" s="7" t="n"/>
      <c r="D882" s="15"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row>
    <row r="883" ht="14.25" customHeight="1" s="165">
      <c r="A883" s="7" t="n"/>
      <c r="B883" s="7" t="n"/>
      <c r="C883" s="7" t="n"/>
      <c r="D883" s="15"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row>
    <row r="884" ht="14.25" customHeight="1" s="165">
      <c r="A884" s="7" t="n"/>
      <c r="B884" s="7" t="n"/>
      <c r="C884" s="7" t="n"/>
      <c r="D884" s="15"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row>
    <row r="885" ht="14.25" customHeight="1" s="165">
      <c r="A885" s="7" t="n"/>
      <c r="B885" s="7" t="n"/>
      <c r="C885" s="7" t="n"/>
      <c r="D885" s="15"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row>
    <row r="886" ht="14.25" customHeight="1" s="165">
      <c r="A886" s="7" t="n"/>
      <c r="B886" s="7" t="n"/>
      <c r="C886" s="7" t="n"/>
      <c r="D886" s="15"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row>
    <row r="887" ht="14.25" customHeight="1" s="165">
      <c r="A887" s="7" t="n"/>
      <c r="B887" s="7" t="n"/>
      <c r="C887" s="7" t="n"/>
      <c r="D887" s="15"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row>
    <row r="888" ht="14.25" customHeight="1" s="165">
      <c r="A888" s="7" t="n"/>
      <c r="B888" s="7" t="n"/>
      <c r="C888" s="7" t="n"/>
      <c r="D888" s="15"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row>
    <row r="889" ht="14.25" customHeight="1" s="165">
      <c r="A889" s="7" t="n"/>
      <c r="B889" s="7" t="n"/>
      <c r="C889" s="7" t="n"/>
      <c r="D889" s="15"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row>
    <row r="890" ht="14.25" customHeight="1" s="165">
      <c r="A890" s="7" t="n"/>
      <c r="B890" s="7" t="n"/>
      <c r="C890" s="7" t="n"/>
      <c r="D890" s="15"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row>
    <row r="891" ht="14.25" customHeight="1" s="165">
      <c r="A891" s="7" t="n"/>
      <c r="B891" s="7" t="n"/>
      <c r="C891" s="7" t="n"/>
      <c r="D891" s="15"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row>
    <row r="892" ht="14.25" customHeight="1" s="165">
      <c r="A892" s="7" t="n"/>
      <c r="B892" s="7" t="n"/>
      <c r="C892" s="7" t="n"/>
      <c r="D892" s="15"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row>
    <row r="893" ht="14.25" customHeight="1" s="165">
      <c r="A893" s="7" t="n"/>
      <c r="B893" s="7" t="n"/>
      <c r="C893" s="7" t="n"/>
      <c r="D893" s="15"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row>
    <row r="894" ht="14.25" customHeight="1" s="165">
      <c r="A894" s="7" t="n"/>
      <c r="B894" s="7" t="n"/>
      <c r="C894" s="7" t="n"/>
      <c r="D894" s="15"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row>
    <row r="895" ht="14.25" customHeight="1" s="165">
      <c r="A895" s="7" t="n"/>
      <c r="B895" s="7" t="n"/>
      <c r="C895" s="7" t="n"/>
      <c r="D895" s="15"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row>
    <row r="896" ht="14.25" customHeight="1" s="165">
      <c r="A896" s="7" t="n"/>
      <c r="B896" s="7" t="n"/>
      <c r="C896" s="7" t="n"/>
      <c r="D896" s="15"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row>
    <row r="897" ht="14.25" customHeight="1" s="165">
      <c r="A897" s="7" t="n"/>
      <c r="B897" s="7" t="n"/>
      <c r="C897" s="7" t="n"/>
      <c r="D897" s="15"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row>
    <row r="898" ht="14.25" customHeight="1" s="165">
      <c r="A898" s="7" t="n"/>
      <c r="B898" s="7" t="n"/>
      <c r="C898" s="7" t="n"/>
      <c r="D898" s="15"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row>
    <row r="899" ht="14.25" customHeight="1" s="165">
      <c r="A899" s="7" t="n"/>
      <c r="B899" s="7" t="n"/>
      <c r="C899" s="7" t="n"/>
      <c r="D899" s="15"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row>
    <row r="900" ht="14.25" customHeight="1" s="165">
      <c r="A900" s="7" t="n"/>
      <c r="B900" s="7" t="n"/>
      <c r="C900" s="7" t="n"/>
      <c r="D900" s="15"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row>
    <row r="901" ht="14.25" customHeight="1" s="165">
      <c r="A901" s="7" t="n"/>
      <c r="B901" s="7" t="n"/>
      <c r="C901" s="7" t="n"/>
      <c r="D901" s="15"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row>
    <row r="902" ht="14.25" customHeight="1" s="165">
      <c r="A902" s="7" t="n"/>
      <c r="B902" s="7" t="n"/>
      <c r="C902" s="7" t="n"/>
      <c r="D902" s="15"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row>
    <row r="903" ht="14.25" customHeight="1" s="165">
      <c r="A903" s="7" t="n"/>
      <c r="B903" s="7" t="n"/>
      <c r="C903" s="7" t="n"/>
      <c r="D903" s="15"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row>
    <row r="904" ht="14.25" customHeight="1" s="165">
      <c r="A904" s="7" t="n"/>
      <c r="B904" s="7" t="n"/>
      <c r="C904" s="7" t="n"/>
      <c r="D904" s="15"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row>
    <row r="905" ht="14.25" customHeight="1" s="165">
      <c r="A905" s="7" t="n"/>
      <c r="B905" s="7" t="n"/>
      <c r="C905" s="7" t="n"/>
      <c r="D905" s="15"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row>
    <row r="906" ht="14.25" customHeight="1" s="165">
      <c r="A906" s="7" t="n"/>
      <c r="B906" s="7" t="n"/>
      <c r="C906" s="7" t="n"/>
      <c r="D906" s="15"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row>
    <row r="907" ht="14.25" customHeight="1" s="165">
      <c r="A907" s="7" t="n"/>
      <c r="B907" s="7" t="n"/>
      <c r="C907" s="7" t="n"/>
      <c r="D907" s="15"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row>
    <row r="908" ht="14.25" customHeight="1" s="165">
      <c r="A908" s="7" t="n"/>
      <c r="B908" s="7" t="n"/>
      <c r="C908" s="7" t="n"/>
      <c r="D908" s="15"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row>
    <row r="909" ht="14.25" customHeight="1" s="165">
      <c r="A909" s="7" t="n"/>
      <c r="B909" s="7" t="n"/>
      <c r="C909" s="7" t="n"/>
      <c r="D909" s="15"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row>
    <row r="910" ht="14.25" customHeight="1" s="165">
      <c r="A910" s="7" t="n"/>
      <c r="B910" s="7" t="n"/>
      <c r="C910" s="7" t="n"/>
      <c r="D910" s="15"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row>
    <row r="911" ht="14.25" customHeight="1" s="165">
      <c r="A911" s="7" t="n"/>
      <c r="B911" s="7" t="n"/>
      <c r="C911" s="7" t="n"/>
      <c r="D911" s="15"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row>
    <row r="912" ht="14.25" customHeight="1" s="165">
      <c r="A912" s="7" t="n"/>
      <c r="B912" s="7" t="n"/>
      <c r="C912" s="7" t="n"/>
      <c r="D912" s="15"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row>
    <row r="913" ht="14.25" customHeight="1" s="165">
      <c r="A913" s="7" t="n"/>
      <c r="B913" s="7" t="n"/>
      <c r="C913" s="7" t="n"/>
      <c r="D913" s="15"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row>
    <row r="914" ht="14.25" customHeight="1" s="165">
      <c r="A914" s="7" t="n"/>
      <c r="B914" s="7" t="n"/>
      <c r="C914" s="7" t="n"/>
      <c r="D914" s="15"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row>
    <row r="915" ht="14.25" customHeight="1" s="165">
      <c r="A915" s="7" t="n"/>
      <c r="B915" s="7" t="n"/>
      <c r="C915" s="7" t="n"/>
      <c r="D915" s="15"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row>
    <row r="916" ht="14.25" customHeight="1" s="165">
      <c r="A916" s="7" t="n"/>
      <c r="B916" s="7" t="n"/>
      <c r="C916" s="7" t="n"/>
      <c r="D916" s="15"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row>
    <row r="917" ht="14.25" customHeight="1" s="165">
      <c r="A917" s="7" t="n"/>
      <c r="B917" s="7" t="n"/>
      <c r="C917" s="7" t="n"/>
      <c r="D917" s="15"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row>
    <row r="918" ht="14.25" customHeight="1" s="165">
      <c r="A918" s="7" t="n"/>
      <c r="B918" s="7" t="n"/>
      <c r="C918" s="7" t="n"/>
      <c r="D918" s="15"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row>
    <row r="919" ht="14.25" customHeight="1" s="165">
      <c r="A919" s="7" t="n"/>
      <c r="B919" s="7" t="n"/>
      <c r="C919" s="7" t="n"/>
      <c r="D919" s="15"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row>
    <row r="920" ht="14.25" customHeight="1" s="165">
      <c r="A920" s="7" t="n"/>
      <c r="B920" s="7" t="n"/>
      <c r="C920" s="7" t="n"/>
      <c r="D920" s="15"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row>
    <row r="921" ht="14.25" customHeight="1" s="165">
      <c r="A921" s="7" t="n"/>
      <c r="B921" s="7" t="n"/>
      <c r="C921" s="7" t="n"/>
      <c r="D921" s="15"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row>
    <row r="922" ht="14.25" customHeight="1" s="165">
      <c r="A922" s="7" t="n"/>
      <c r="B922" s="7" t="n"/>
      <c r="C922" s="7" t="n"/>
      <c r="D922" s="15"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row>
    <row r="923" ht="14.25" customHeight="1" s="165">
      <c r="A923" s="7" t="n"/>
      <c r="B923" s="7" t="n"/>
      <c r="C923" s="7" t="n"/>
      <c r="D923" s="15"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row>
    <row r="924" ht="14.25" customHeight="1" s="165">
      <c r="A924" s="7" t="n"/>
      <c r="B924" s="7" t="n"/>
      <c r="C924" s="7" t="n"/>
      <c r="D924" s="15"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row>
    <row r="925" ht="14.25" customHeight="1" s="165">
      <c r="A925" s="7" t="n"/>
      <c r="B925" s="7" t="n"/>
      <c r="C925" s="7" t="n"/>
      <c r="D925" s="15"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row>
    <row r="926" ht="14.25" customHeight="1" s="165">
      <c r="A926" s="7" t="n"/>
      <c r="B926" s="7" t="n"/>
      <c r="C926" s="7" t="n"/>
      <c r="D926" s="15"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row>
    <row r="927" ht="14.25" customHeight="1" s="165">
      <c r="A927" s="7" t="n"/>
      <c r="B927" s="7" t="n"/>
      <c r="C927" s="7" t="n"/>
      <c r="D927" s="15"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row>
    <row r="928" ht="14.25" customHeight="1" s="165">
      <c r="A928" s="7" t="n"/>
      <c r="B928" s="7" t="n"/>
      <c r="C928" s="7" t="n"/>
      <c r="D928" s="15"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row>
    <row r="929" ht="14.25" customHeight="1" s="165">
      <c r="A929" s="7" t="n"/>
      <c r="B929" s="7" t="n"/>
      <c r="C929" s="7" t="n"/>
      <c r="D929" s="15"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row>
    <row r="930" ht="14.25" customHeight="1" s="165">
      <c r="A930" s="7" t="n"/>
      <c r="B930" s="7" t="n"/>
      <c r="C930" s="7" t="n"/>
      <c r="D930" s="15"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row>
    <row r="931" ht="14.25" customHeight="1" s="165">
      <c r="A931" s="7" t="n"/>
      <c r="B931" s="7" t="n"/>
      <c r="C931" s="7" t="n"/>
      <c r="D931" s="15"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row>
    <row r="932" ht="14.25" customHeight="1" s="165">
      <c r="A932" s="7" t="n"/>
      <c r="B932" s="7" t="n"/>
      <c r="C932" s="7" t="n"/>
      <c r="D932" s="15"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row>
    <row r="933" ht="14.25" customHeight="1" s="165">
      <c r="A933" s="7" t="n"/>
      <c r="B933" s="7" t="n"/>
      <c r="C933" s="7" t="n"/>
      <c r="D933" s="15"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row>
    <row r="934" ht="14.25" customHeight="1" s="165">
      <c r="A934" s="7" t="n"/>
      <c r="B934" s="7" t="n"/>
      <c r="C934" s="7" t="n"/>
      <c r="D934" s="15"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row>
    <row r="935" ht="14.25" customHeight="1" s="165">
      <c r="A935" s="7" t="n"/>
      <c r="B935" s="7" t="n"/>
      <c r="C935" s="7" t="n"/>
      <c r="D935" s="15"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row>
    <row r="936" ht="14.25" customHeight="1" s="165">
      <c r="A936" s="7" t="n"/>
      <c r="B936" s="7" t="n"/>
      <c r="C936" s="7" t="n"/>
      <c r="D936" s="15"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row>
    <row r="937" ht="14.25" customHeight="1" s="165">
      <c r="A937" s="7" t="n"/>
      <c r="B937" s="7" t="n"/>
      <c r="C937" s="7" t="n"/>
      <c r="D937" s="15"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row>
    <row r="938" ht="14.25" customHeight="1" s="165">
      <c r="A938" s="7" t="n"/>
      <c r="B938" s="7" t="n"/>
      <c r="C938" s="7" t="n"/>
      <c r="D938" s="15"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row>
    <row r="939" ht="14.25" customHeight="1" s="165">
      <c r="A939" s="7" t="n"/>
      <c r="B939" s="7" t="n"/>
      <c r="C939" s="7" t="n"/>
      <c r="D939" s="15"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row>
    <row r="940" ht="14.25" customHeight="1" s="165">
      <c r="A940" s="7" t="n"/>
      <c r="B940" s="7" t="n"/>
      <c r="C940" s="7" t="n"/>
      <c r="D940" s="15"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row>
    <row r="941" ht="14.25" customHeight="1" s="165">
      <c r="A941" s="7" t="n"/>
      <c r="B941" s="7" t="n"/>
      <c r="C941" s="7" t="n"/>
      <c r="D941" s="15"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row>
    <row r="942" ht="14.25" customHeight="1" s="165">
      <c r="A942" s="7" t="n"/>
      <c r="B942" s="7" t="n"/>
      <c r="C942" s="7" t="n"/>
      <c r="D942" s="15"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row>
    <row r="943" ht="14.25" customHeight="1" s="165">
      <c r="A943" s="7" t="n"/>
      <c r="B943" s="7" t="n"/>
      <c r="C943" s="7" t="n"/>
      <c r="D943" s="15"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row>
    <row r="944" ht="14.25" customHeight="1" s="165">
      <c r="A944" s="7" t="n"/>
      <c r="B944" s="7" t="n"/>
      <c r="C944" s="7" t="n"/>
      <c r="D944" s="15"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row>
    <row r="945" ht="14.25" customHeight="1" s="165">
      <c r="A945" s="7" t="n"/>
      <c r="B945" s="7" t="n"/>
      <c r="C945" s="7" t="n"/>
      <c r="D945" s="15"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row>
    <row r="946" ht="14.25" customHeight="1" s="165">
      <c r="A946" s="7" t="n"/>
      <c r="B946" s="7" t="n"/>
      <c r="C946" s="7" t="n"/>
      <c r="D946" s="15"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row>
    <row r="947" ht="14.25" customHeight="1" s="165">
      <c r="A947" s="7" t="n"/>
      <c r="B947" s="7" t="n"/>
      <c r="C947" s="7" t="n"/>
      <c r="D947" s="15"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row>
    <row r="948" ht="14.25" customHeight="1" s="165">
      <c r="A948" s="7" t="n"/>
      <c r="B948" s="7" t="n"/>
      <c r="C948" s="7" t="n"/>
      <c r="D948" s="15"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row>
    <row r="949" ht="14.25" customHeight="1" s="165">
      <c r="A949" s="7" t="n"/>
      <c r="B949" s="7" t="n"/>
      <c r="C949" s="7" t="n"/>
      <c r="D949" s="15"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row>
    <row r="950" ht="14.25" customHeight="1" s="165">
      <c r="A950" s="7" t="n"/>
      <c r="B950" s="7" t="n"/>
      <c r="C950" s="7" t="n"/>
      <c r="D950" s="15"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row>
    <row r="951" ht="14.25" customHeight="1" s="165">
      <c r="A951" s="7" t="n"/>
      <c r="B951" s="7" t="n"/>
      <c r="C951" s="7" t="n"/>
      <c r="D951" s="15"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row>
    <row r="952" ht="14.25" customHeight="1" s="165">
      <c r="A952" s="7" t="n"/>
      <c r="B952" s="7" t="n"/>
      <c r="C952" s="7" t="n"/>
      <c r="D952" s="15"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row>
    <row r="953" ht="14.25" customHeight="1" s="165">
      <c r="A953" s="7" t="n"/>
      <c r="B953" s="7" t="n"/>
      <c r="C953" s="7" t="n"/>
      <c r="D953" s="15"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row>
    <row r="954" ht="14.25" customHeight="1" s="165">
      <c r="A954" s="7" t="n"/>
      <c r="B954" s="7" t="n"/>
      <c r="C954" s="7" t="n"/>
      <c r="D954" s="15"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row>
    <row r="955" ht="14.25" customHeight="1" s="165">
      <c r="A955" s="7" t="n"/>
      <c r="B955" s="7" t="n"/>
      <c r="C955" s="7" t="n"/>
      <c r="D955" s="15"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row>
    <row r="956" ht="14.25" customHeight="1" s="165">
      <c r="A956" s="7" t="n"/>
      <c r="B956" s="7" t="n"/>
      <c r="C956" s="7" t="n"/>
      <c r="D956" s="15"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row>
    <row r="957" ht="14.25" customHeight="1" s="165">
      <c r="A957" s="7" t="n"/>
      <c r="B957" s="7" t="n"/>
      <c r="C957" s="7" t="n"/>
      <c r="D957" s="15"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row>
    <row r="958" ht="14.25" customHeight="1" s="165">
      <c r="A958" s="7" t="n"/>
      <c r="B958" s="7" t="n"/>
      <c r="C958" s="7" t="n"/>
      <c r="D958" s="15"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row>
    <row r="959" ht="14.25" customHeight="1" s="165">
      <c r="A959" s="7" t="n"/>
      <c r="B959" s="7" t="n"/>
      <c r="C959" s="7" t="n"/>
      <c r="D959" s="15"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row>
    <row r="960" ht="14.25" customHeight="1" s="165">
      <c r="A960" s="7" t="n"/>
      <c r="B960" s="7" t="n"/>
      <c r="C960" s="7" t="n"/>
      <c r="D960" s="15"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row>
    <row r="961" ht="14.25" customHeight="1" s="165">
      <c r="A961" s="7" t="n"/>
      <c r="B961" s="7" t="n"/>
      <c r="C961" s="7" t="n"/>
      <c r="D961" s="15"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row>
    <row r="962" ht="14.25" customHeight="1" s="165">
      <c r="A962" s="7" t="n"/>
      <c r="B962" s="7" t="n"/>
      <c r="C962" s="7" t="n"/>
      <c r="D962" s="15"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row>
    <row r="963" ht="14.25" customHeight="1" s="165">
      <c r="A963" s="7" t="n"/>
      <c r="B963" s="7" t="n"/>
      <c r="C963" s="7" t="n"/>
      <c r="D963" s="15"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row>
    <row r="964" ht="14.25" customHeight="1" s="165">
      <c r="A964" s="7" t="n"/>
      <c r="B964" s="7" t="n"/>
      <c r="C964" s="7" t="n"/>
      <c r="D964" s="15"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row>
    <row r="965" ht="14.25" customHeight="1" s="165">
      <c r="A965" s="7" t="n"/>
      <c r="B965" s="7" t="n"/>
      <c r="C965" s="7" t="n"/>
      <c r="D965" s="15"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row>
    <row r="966" ht="14.25" customHeight="1" s="165">
      <c r="A966" s="7" t="n"/>
      <c r="B966" s="7" t="n"/>
      <c r="C966" s="7" t="n"/>
      <c r="D966" s="15"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row>
    <row r="967" ht="14.25" customHeight="1" s="165">
      <c r="A967" s="7" t="n"/>
      <c r="B967" s="7" t="n"/>
      <c r="C967" s="7" t="n"/>
      <c r="D967" s="15"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row>
    <row r="968" ht="14.25" customHeight="1" s="165">
      <c r="A968" s="7" t="n"/>
      <c r="B968" s="7" t="n"/>
      <c r="C968" s="7" t="n"/>
      <c r="D968" s="15"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row>
    <row r="969" ht="14.25" customHeight="1" s="165">
      <c r="A969" s="7" t="n"/>
      <c r="B969" s="7" t="n"/>
      <c r="C969" s="7" t="n"/>
      <c r="D969" s="15"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row>
    <row r="970" ht="14.25" customHeight="1" s="165">
      <c r="A970" s="7" t="n"/>
      <c r="B970" s="7" t="n"/>
      <c r="C970" s="7" t="n"/>
      <c r="D970" s="15"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row>
    <row r="971" ht="14.25" customHeight="1" s="165">
      <c r="A971" s="7" t="n"/>
      <c r="B971" s="7" t="n"/>
      <c r="C971" s="7" t="n"/>
      <c r="D971" s="15"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row>
    <row r="972" ht="14.25" customHeight="1" s="165">
      <c r="A972" s="7" t="n"/>
      <c r="B972" s="7" t="n"/>
      <c r="C972" s="7" t="n"/>
      <c r="D972" s="15"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row>
    <row r="973" ht="14.25" customHeight="1" s="165">
      <c r="A973" s="7" t="n"/>
      <c r="B973" s="7" t="n"/>
      <c r="C973" s="7" t="n"/>
      <c r="D973" s="15"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row>
    <row r="974" ht="14.25" customHeight="1" s="165">
      <c r="A974" s="7" t="n"/>
      <c r="B974" s="7" t="n"/>
      <c r="C974" s="7" t="n"/>
      <c r="D974" s="15"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row>
    <row r="975" ht="14.25" customHeight="1" s="165">
      <c r="A975" s="7" t="n"/>
      <c r="B975" s="7" t="n"/>
      <c r="C975" s="7" t="n"/>
      <c r="D975" s="15"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row>
    <row r="976" ht="14.25" customHeight="1" s="165">
      <c r="A976" s="7" t="n"/>
      <c r="B976" s="7" t="n"/>
      <c r="C976" s="7" t="n"/>
      <c r="D976" s="15"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row>
    <row r="977" ht="14.25" customHeight="1" s="165">
      <c r="A977" s="7" t="n"/>
      <c r="B977" s="7" t="n"/>
      <c r="C977" s="7" t="n"/>
      <c r="D977" s="15"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row>
    <row r="978" ht="14.25" customHeight="1" s="165">
      <c r="A978" s="7" t="n"/>
      <c r="B978" s="7" t="n"/>
      <c r="C978" s="7" t="n"/>
      <c r="D978" s="15"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row>
    <row r="979" ht="14.25" customHeight="1" s="165">
      <c r="A979" s="7" t="n"/>
      <c r="B979" s="7" t="n"/>
      <c r="C979" s="7" t="n"/>
      <c r="D979" s="15"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row>
    <row r="980" ht="14.25" customHeight="1" s="165">
      <c r="A980" s="7" t="n"/>
      <c r="B980" s="7" t="n"/>
      <c r="C980" s="7" t="n"/>
      <c r="D980" s="15"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row>
    <row r="981" ht="14.25" customHeight="1" s="165">
      <c r="A981" s="7" t="n"/>
      <c r="B981" s="7" t="n"/>
      <c r="C981" s="7" t="n"/>
      <c r="D981" s="15"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row>
    <row r="982" ht="14.25" customHeight="1" s="165">
      <c r="A982" s="7" t="n"/>
      <c r="B982" s="7" t="n"/>
      <c r="C982" s="7" t="n"/>
      <c r="D982" s="15"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row>
    <row r="983" ht="14.25" customHeight="1" s="165">
      <c r="A983" s="7" t="n"/>
      <c r="B983" s="7" t="n"/>
      <c r="C983" s="7" t="n"/>
      <c r="D983" s="15"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row>
    <row r="984" ht="14.25" customHeight="1" s="165">
      <c r="A984" s="7" t="n"/>
      <c r="B984" s="7" t="n"/>
      <c r="C984" s="7" t="n"/>
      <c r="D984" s="15"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row>
    <row r="985" ht="14.25" customHeight="1" s="165">
      <c r="A985" s="7" t="n"/>
      <c r="B985" s="7" t="n"/>
      <c r="C985" s="7" t="n"/>
      <c r="D985" s="15"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row>
    <row r="986" ht="14.25" customHeight="1" s="165">
      <c r="A986" s="7" t="n"/>
      <c r="B986" s="7" t="n"/>
      <c r="C986" s="7" t="n"/>
      <c r="D986" s="15"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row>
    <row r="987" ht="14.25" customHeight="1" s="165">
      <c r="A987" s="7" t="n"/>
      <c r="B987" s="7" t="n"/>
      <c r="C987" s="7" t="n"/>
      <c r="D987" s="15"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row>
    <row r="988" ht="14.25" customHeight="1" s="165">
      <c r="A988" s="7" t="n"/>
      <c r="B988" s="7" t="n"/>
      <c r="C988" s="7" t="n"/>
      <c r="D988" s="15"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row>
    <row r="989" ht="14.25" customHeight="1" s="165">
      <c r="A989" s="7" t="n"/>
      <c r="B989" s="7" t="n"/>
      <c r="C989" s="7" t="n"/>
      <c r="D989" s="15"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row>
    <row r="990" ht="14.25" customHeight="1" s="165">
      <c r="A990" s="7" t="n"/>
      <c r="B990" s="7" t="n"/>
      <c r="C990" s="7" t="n"/>
      <c r="D990" s="15"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row>
    <row r="991" ht="14.25" customHeight="1" s="165">
      <c r="A991" s="7" t="n"/>
      <c r="B991" s="7" t="n"/>
      <c r="C991" s="7" t="n"/>
      <c r="D991" s="15"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row>
  </sheetData>
  <mergeCells count="2">
    <mergeCell ref="A126:D126"/>
    <mergeCell ref="A2:D2"/>
  </mergeCells>
  <conditionalFormatting sqref="E2">
    <cfRule type="cellIs" priority="1" operator="equal" dxfId="2">
      <formula>4</formula>
    </cfRule>
    <cfRule type="cellIs" priority="2" operator="equal" dxfId="1">
      <formula>5</formula>
    </cfRule>
    <cfRule type="cellIs" priority="3" operator="equal" dxfId="0">
      <formula>6</formula>
    </cfRule>
  </conditionalFormatting>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activeCell="L4" sqref="L4"/>
      <selection pane="topRight" activeCell="L4" sqref="L4"/>
      <selection pane="bottomLeft" activeCell="L4" sqref="L4"/>
      <selection pane="bottomRight" activeCell="D10" sqref="D10"/>
    </sheetView>
  </sheetViews>
  <sheetFormatPr baseColWidth="10" defaultColWidth="14.453125" defaultRowHeight="15" customHeight="1"/>
  <cols>
    <col width="35" customWidth="1" style="165" min="1" max="1"/>
    <col width="12" customWidth="1" style="165" min="2" max="53"/>
  </cols>
  <sheetData>
    <row r="1" ht="14.25" customHeight="1" s="165">
      <c r="A1" s="1" t="inlineStr">
        <is>
          <t>GEWINN- UND VERLUSTRECHNUNG (P&amp;L)</t>
        </is>
      </c>
    </row>
    <row r="2" ht="14.25" customHeight="1" s="165"/>
    <row r="3" ht="14.25" customHeight="1" s="165">
      <c r="A3" s="33" t="inlineStr">
        <is>
          <t>Position</t>
        </is>
      </c>
      <c r="B3" s="33" t="inlineStr">
        <is>
          <t>M1</t>
        </is>
      </c>
      <c r="C3" s="33" t="inlineStr">
        <is>
          <t>M2</t>
        </is>
      </c>
      <c r="D3" s="33" t="inlineStr">
        <is>
          <t>M3</t>
        </is>
      </c>
      <c r="E3" s="33" t="inlineStr">
        <is>
          <t>M4</t>
        </is>
      </c>
      <c r="F3" s="33" t="inlineStr">
        <is>
          <t>M5</t>
        </is>
      </c>
      <c r="G3" s="33" t="inlineStr">
        <is>
          <t>M6</t>
        </is>
      </c>
      <c r="H3" s="33" t="inlineStr">
        <is>
          <t>M7</t>
        </is>
      </c>
      <c r="I3" s="33" t="inlineStr">
        <is>
          <t>M8</t>
        </is>
      </c>
      <c r="J3" s="33" t="inlineStr">
        <is>
          <t>M9</t>
        </is>
      </c>
      <c r="K3" s="33" t="inlineStr">
        <is>
          <t>M10</t>
        </is>
      </c>
      <c r="L3" s="33" t="inlineStr">
        <is>
          <t>M11</t>
        </is>
      </c>
      <c r="M3" s="33" t="inlineStr">
        <is>
          <t>M12</t>
        </is>
      </c>
      <c r="N3" s="33" t="inlineStr">
        <is>
          <t>M13</t>
        </is>
      </c>
      <c r="O3" s="33" t="inlineStr">
        <is>
          <t>M14</t>
        </is>
      </c>
      <c r="P3" s="33" t="inlineStr">
        <is>
          <t>M15</t>
        </is>
      </c>
      <c r="Q3" s="33" t="inlineStr">
        <is>
          <t>M16</t>
        </is>
      </c>
      <c r="R3" s="33" t="inlineStr">
        <is>
          <t>M17</t>
        </is>
      </c>
      <c r="S3" s="33" t="inlineStr">
        <is>
          <t>M18</t>
        </is>
      </c>
      <c r="T3" s="33" t="inlineStr">
        <is>
          <t>M19</t>
        </is>
      </c>
      <c r="U3" s="33" t="inlineStr">
        <is>
          <t>M20</t>
        </is>
      </c>
      <c r="V3" s="33" t="inlineStr">
        <is>
          <t>M21</t>
        </is>
      </c>
      <c r="W3" s="33" t="inlineStr">
        <is>
          <t>M22</t>
        </is>
      </c>
      <c r="X3" s="33" t="inlineStr">
        <is>
          <t>M23</t>
        </is>
      </c>
      <c r="Y3" s="33" t="inlineStr">
        <is>
          <t>M24</t>
        </is>
      </c>
      <c r="Z3" s="33" t="inlineStr">
        <is>
          <t>M25</t>
        </is>
      </c>
      <c r="AA3" s="33" t="inlineStr">
        <is>
          <t>M26</t>
        </is>
      </c>
      <c r="AB3" s="33" t="inlineStr">
        <is>
          <t>M27</t>
        </is>
      </c>
      <c r="AC3" s="33" t="inlineStr">
        <is>
          <t>M28</t>
        </is>
      </c>
      <c r="AD3" s="33" t="inlineStr">
        <is>
          <t>M29</t>
        </is>
      </c>
      <c r="AE3" s="33" t="inlineStr">
        <is>
          <t>M30</t>
        </is>
      </c>
      <c r="AF3" s="33" t="inlineStr">
        <is>
          <t>M31</t>
        </is>
      </c>
      <c r="AG3" s="33" t="inlineStr">
        <is>
          <t>M32</t>
        </is>
      </c>
      <c r="AH3" s="33" t="inlineStr">
        <is>
          <t>M33</t>
        </is>
      </c>
      <c r="AI3" s="33" t="inlineStr">
        <is>
          <t>M34</t>
        </is>
      </c>
      <c r="AJ3" s="33" t="inlineStr">
        <is>
          <t>M35</t>
        </is>
      </c>
      <c r="AK3" s="33" t="inlineStr">
        <is>
          <t>M36</t>
        </is>
      </c>
      <c r="AL3" s="33" t="inlineStr">
        <is>
          <t>M37</t>
        </is>
      </c>
      <c r="AM3" s="33" t="inlineStr">
        <is>
          <t>M38</t>
        </is>
      </c>
      <c r="AN3" s="33" t="inlineStr">
        <is>
          <t>M39</t>
        </is>
      </c>
      <c r="AO3" s="33" t="inlineStr">
        <is>
          <t>M40</t>
        </is>
      </c>
      <c r="AP3" s="33" t="inlineStr">
        <is>
          <t>M41</t>
        </is>
      </c>
      <c r="AQ3" s="33" t="inlineStr">
        <is>
          <t>M42</t>
        </is>
      </c>
      <c r="AR3" s="33" t="inlineStr">
        <is>
          <t>M43</t>
        </is>
      </c>
      <c r="AS3" s="33" t="inlineStr">
        <is>
          <t>M44</t>
        </is>
      </c>
      <c r="AT3" s="33" t="inlineStr">
        <is>
          <t>M45</t>
        </is>
      </c>
      <c r="AU3" s="33" t="inlineStr">
        <is>
          <t>M46</t>
        </is>
      </c>
      <c r="AV3" s="33" t="inlineStr">
        <is>
          <t>M47</t>
        </is>
      </c>
      <c r="AW3" s="33" t="inlineStr">
        <is>
          <t>M48</t>
        </is>
      </c>
      <c r="AX3" s="33" t="inlineStr">
        <is>
          <t>M49</t>
        </is>
      </c>
      <c r="AY3" s="33" t="inlineStr">
        <is>
          <t>M50</t>
        </is>
      </c>
      <c r="AZ3" s="33" t="inlineStr">
        <is>
          <t>M51</t>
        </is>
      </c>
      <c r="BA3" s="33" t="inlineStr">
        <is>
          <t>M52</t>
        </is>
      </c>
    </row>
    <row r="4" ht="14.25" customHeight="1" s="165">
      <c r="A4" s="2" t="inlineStr">
        <is>
          <t>REVENUE</t>
        </is>
      </c>
    </row>
    <row r="5" ht="14.25" customHeight="1" s="165">
      <c r="A5" s="3" t="inlineStr">
        <is>
          <t>Subscription Revenue</t>
        </is>
      </c>
      <c r="B5" s="34">
        <f>Revenue!B10</f>
        <v/>
      </c>
      <c r="C5" s="34">
        <f>Revenue!C10</f>
        <v/>
      </c>
      <c r="D5" s="34">
        <f>Revenue!D10</f>
        <v/>
      </c>
      <c r="E5" s="34">
        <f>Revenue!E10</f>
        <v/>
      </c>
      <c r="F5" s="34">
        <f>Revenue!F10</f>
        <v/>
      </c>
      <c r="G5" s="34">
        <f>Revenue!G10</f>
        <v/>
      </c>
      <c r="H5" s="34">
        <f>Revenue!H10</f>
        <v/>
      </c>
      <c r="I5" s="34">
        <f>Revenue!I10</f>
        <v/>
      </c>
      <c r="J5" s="34">
        <f>Revenue!J10</f>
        <v/>
      </c>
      <c r="K5" s="34">
        <f>Revenue!K10</f>
        <v/>
      </c>
      <c r="L5" s="34">
        <f>Revenue!L10</f>
        <v/>
      </c>
      <c r="M5" s="34">
        <f>Revenue!M10</f>
        <v/>
      </c>
      <c r="N5" s="34">
        <f>Revenue!N10</f>
        <v/>
      </c>
      <c r="O5" s="34">
        <f>Revenue!O10</f>
        <v/>
      </c>
      <c r="P5" s="34">
        <f>Revenue!P10</f>
        <v/>
      </c>
      <c r="Q5" s="34">
        <f>Revenue!Q10</f>
        <v/>
      </c>
      <c r="R5" s="34">
        <f>Revenue!R10</f>
        <v/>
      </c>
      <c r="S5" s="34">
        <f>Revenue!S10</f>
        <v/>
      </c>
      <c r="T5" s="34">
        <f>Revenue!T10</f>
        <v/>
      </c>
      <c r="U5" s="34">
        <f>Revenue!U10</f>
        <v/>
      </c>
      <c r="V5" s="34">
        <f>Revenue!V10</f>
        <v/>
      </c>
      <c r="W5" s="34">
        <f>Revenue!W10</f>
        <v/>
      </c>
      <c r="X5" s="34">
        <f>Revenue!X10</f>
        <v/>
      </c>
      <c r="Y5" s="34">
        <f>Revenue!Y10</f>
        <v/>
      </c>
      <c r="Z5" s="34">
        <f>Revenue!Z10</f>
        <v/>
      </c>
      <c r="AA5" s="34">
        <f>Revenue!AA10</f>
        <v/>
      </c>
      <c r="AB5" s="34">
        <f>Revenue!AB10</f>
        <v/>
      </c>
      <c r="AC5" s="34">
        <f>Revenue!AC10</f>
        <v/>
      </c>
      <c r="AD5" s="34">
        <f>Revenue!AD10</f>
        <v/>
      </c>
      <c r="AE5" s="34">
        <f>Revenue!AE10</f>
        <v/>
      </c>
      <c r="AF5" s="34">
        <f>Revenue!AF10</f>
        <v/>
      </c>
      <c r="AG5" s="34">
        <f>Revenue!AG10</f>
        <v/>
      </c>
      <c r="AH5" s="34">
        <f>Revenue!AH10</f>
        <v/>
      </c>
      <c r="AI5" s="34">
        <f>Revenue!AI10</f>
        <v/>
      </c>
      <c r="AJ5" s="34">
        <f>Revenue!AJ10</f>
        <v/>
      </c>
      <c r="AK5" s="34">
        <f>Revenue!AK10</f>
        <v/>
      </c>
      <c r="AL5" s="34">
        <f>Revenue!AL10</f>
        <v/>
      </c>
      <c r="AM5" s="34">
        <f>Revenue!AM10</f>
        <v/>
      </c>
      <c r="AN5" s="34">
        <f>Revenue!AN10</f>
        <v/>
      </c>
      <c r="AO5" s="34">
        <f>Revenue!AO10</f>
        <v/>
      </c>
      <c r="AP5" s="34">
        <f>Revenue!AP10</f>
        <v/>
      </c>
      <c r="AQ5" s="34">
        <f>Revenue!AQ10</f>
        <v/>
      </c>
      <c r="AR5" s="34">
        <f>Revenue!AR10</f>
        <v/>
      </c>
      <c r="AS5" s="34">
        <f>Revenue!AS10</f>
        <v/>
      </c>
      <c r="AT5" s="34">
        <f>Revenue!AT10</f>
        <v/>
      </c>
      <c r="AU5" s="34">
        <f>Revenue!AU10</f>
        <v/>
      </c>
      <c r="AV5" s="34">
        <f>Revenue!AV10</f>
        <v/>
      </c>
      <c r="AW5" s="34">
        <f>Revenue!AW10</f>
        <v/>
      </c>
      <c r="AX5" s="34">
        <f>Revenue!AX10</f>
        <v/>
      </c>
      <c r="AY5" s="34">
        <f>Revenue!AY10</f>
        <v/>
      </c>
      <c r="AZ5" s="34">
        <f>Revenue!AZ10</f>
        <v/>
      </c>
      <c r="BA5" s="34">
        <f>Revenue!BA10</f>
        <v/>
      </c>
    </row>
    <row r="6" ht="14.25" customHeight="1" s="165">
      <c r="A6" s="3" t="inlineStr">
        <is>
          <t>Enterprise Revenue</t>
        </is>
      </c>
      <c r="B6" s="34">
        <f>Revenue!B17</f>
        <v/>
      </c>
      <c r="C6" s="34">
        <f>Revenue!C17</f>
        <v/>
      </c>
      <c r="D6" s="34">
        <f>Revenue!D17</f>
        <v/>
      </c>
      <c r="E6" s="34">
        <f>Revenue!E17</f>
        <v/>
      </c>
      <c r="F6" s="34">
        <f>Revenue!F17</f>
        <v/>
      </c>
      <c r="G6" s="34">
        <f>Revenue!G17</f>
        <v/>
      </c>
      <c r="H6" s="34">
        <f>Revenue!H17</f>
        <v/>
      </c>
      <c r="I6" s="34">
        <f>Revenue!I17</f>
        <v/>
      </c>
      <c r="J6" s="34">
        <f>Revenue!J17</f>
        <v/>
      </c>
      <c r="K6" s="34">
        <f>Revenue!K17</f>
        <v/>
      </c>
      <c r="L6" s="34">
        <f>Revenue!L17</f>
        <v/>
      </c>
      <c r="M6" s="34">
        <f>Revenue!M17</f>
        <v/>
      </c>
      <c r="N6" s="34">
        <f>Revenue!N17</f>
        <v/>
      </c>
      <c r="O6" s="34">
        <f>Revenue!O17</f>
        <v/>
      </c>
      <c r="P6" s="34">
        <f>Revenue!P17</f>
        <v/>
      </c>
      <c r="Q6" s="34">
        <f>Revenue!Q17</f>
        <v/>
      </c>
      <c r="R6" s="34">
        <f>Revenue!R17</f>
        <v/>
      </c>
      <c r="S6" s="34">
        <f>Revenue!S17</f>
        <v/>
      </c>
      <c r="T6" s="34">
        <f>Revenue!T17</f>
        <v/>
      </c>
      <c r="U6" s="34">
        <f>Revenue!U17</f>
        <v/>
      </c>
      <c r="V6" s="34">
        <f>Revenue!V17</f>
        <v/>
      </c>
      <c r="W6" s="34">
        <f>Revenue!W17</f>
        <v/>
      </c>
      <c r="X6" s="34">
        <f>Revenue!X17</f>
        <v/>
      </c>
      <c r="Y6" s="34">
        <f>Revenue!Y17</f>
        <v/>
      </c>
      <c r="Z6" s="34">
        <f>Revenue!Z17</f>
        <v/>
      </c>
      <c r="AA6" s="34">
        <f>Revenue!AA17</f>
        <v/>
      </c>
      <c r="AB6" s="34">
        <f>Revenue!AB17</f>
        <v/>
      </c>
      <c r="AC6" s="34">
        <f>Revenue!AC17</f>
        <v/>
      </c>
      <c r="AD6" s="34">
        <f>Revenue!AD17</f>
        <v/>
      </c>
      <c r="AE6" s="34">
        <f>Revenue!AE17</f>
        <v/>
      </c>
      <c r="AF6" s="34">
        <f>Revenue!AF17</f>
        <v/>
      </c>
      <c r="AG6" s="34">
        <f>Revenue!AG17</f>
        <v/>
      </c>
      <c r="AH6" s="34">
        <f>Revenue!AH17</f>
        <v/>
      </c>
      <c r="AI6" s="34">
        <f>Revenue!AI17</f>
        <v/>
      </c>
      <c r="AJ6" s="34">
        <f>Revenue!AJ17</f>
        <v/>
      </c>
      <c r="AK6" s="34">
        <f>Revenue!AK17</f>
        <v/>
      </c>
      <c r="AL6" s="34">
        <f>Revenue!AL17</f>
        <v/>
      </c>
      <c r="AM6" s="34">
        <f>Revenue!AM17</f>
        <v/>
      </c>
      <c r="AN6" s="34">
        <f>Revenue!AN17</f>
        <v/>
      </c>
      <c r="AO6" s="34">
        <f>Revenue!AO17</f>
        <v/>
      </c>
      <c r="AP6" s="34">
        <f>Revenue!AP17</f>
        <v/>
      </c>
      <c r="AQ6" s="34">
        <f>Revenue!AQ17</f>
        <v/>
      </c>
      <c r="AR6" s="34">
        <f>Revenue!AR17</f>
        <v/>
      </c>
      <c r="AS6" s="34">
        <f>Revenue!AS17</f>
        <v/>
      </c>
      <c r="AT6" s="34">
        <f>Revenue!AT17</f>
        <v/>
      </c>
      <c r="AU6" s="34">
        <f>Revenue!AU17</f>
        <v/>
      </c>
      <c r="AV6" s="34">
        <f>Revenue!AV17</f>
        <v/>
      </c>
      <c r="AW6" s="34">
        <f>Revenue!AW17</f>
        <v/>
      </c>
      <c r="AX6" s="34">
        <f>Revenue!AX17</f>
        <v/>
      </c>
      <c r="AY6" s="34">
        <f>Revenue!AY17</f>
        <v/>
      </c>
      <c r="AZ6" s="34">
        <f>Revenue!AZ17</f>
        <v/>
      </c>
      <c r="BA6" s="34">
        <f>Revenue!BA17</f>
        <v/>
      </c>
    </row>
    <row r="7" ht="14.25" customHeight="1" s="165">
      <c r="A7" s="60" t="inlineStr">
        <is>
          <t>Implementation Support Revenue</t>
        </is>
      </c>
      <c r="B7" s="61">
        <f>Revenue!B30</f>
        <v/>
      </c>
      <c r="C7" s="61">
        <f>Revenue!C30</f>
        <v/>
      </c>
      <c r="D7" s="61">
        <f>Revenue!D30</f>
        <v/>
      </c>
      <c r="E7" s="61">
        <f>Revenue!E30</f>
        <v/>
      </c>
      <c r="F7" s="61">
        <f>Revenue!F30</f>
        <v/>
      </c>
      <c r="G7" s="61">
        <f>Revenue!G30</f>
        <v/>
      </c>
      <c r="H7" s="61">
        <f>Revenue!H30</f>
        <v/>
      </c>
      <c r="I7" s="61">
        <f>Revenue!I30</f>
        <v/>
      </c>
      <c r="J7" s="61">
        <f>Revenue!J30</f>
        <v/>
      </c>
      <c r="K7" s="61">
        <f>Revenue!K30</f>
        <v/>
      </c>
      <c r="L7" s="61">
        <f>Revenue!L30</f>
        <v/>
      </c>
      <c r="M7" s="61">
        <f>Revenue!M30</f>
        <v/>
      </c>
      <c r="N7" s="61">
        <f>Revenue!N30</f>
        <v/>
      </c>
      <c r="O7" s="61">
        <f>Revenue!O30</f>
        <v/>
      </c>
      <c r="P7" s="61">
        <f>Revenue!P30</f>
        <v/>
      </c>
      <c r="Q7" s="61">
        <f>Revenue!Q30</f>
        <v/>
      </c>
      <c r="R7" s="61">
        <f>Revenue!R30</f>
        <v/>
      </c>
      <c r="S7" s="61">
        <f>Revenue!S30</f>
        <v/>
      </c>
      <c r="T7" s="61">
        <f>Revenue!T30</f>
        <v/>
      </c>
      <c r="U7" s="61">
        <f>Revenue!U30</f>
        <v/>
      </c>
      <c r="V7" s="61">
        <f>Revenue!V30</f>
        <v/>
      </c>
      <c r="W7" s="61">
        <f>Revenue!W30</f>
        <v/>
      </c>
      <c r="X7" s="61">
        <f>Revenue!X30</f>
        <v/>
      </c>
      <c r="Y7" s="61">
        <f>Revenue!Y30</f>
        <v/>
      </c>
      <c r="Z7" s="61">
        <f>Revenue!Z30</f>
        <v/>
      </c>
      <c r="AA7" s="61">
        <f>Revenue!AA30</f>
        <v/>
      </c>
      <c r="AB7" s="61">
        <f>Revenue!AB30</f>
        <v/>
      </c>
      <c r="AC7" s="61">
        <f>Revenue!AC30</f>
        <v/>
      </c>
      <c r="AD7" s="61">
        <f>Revenue!AD30</f>
        <v/>
      </c>
      <c r="AE7" s="61">
        <f>Revenue!AE30</f>
        <v/>
      </c>
      <c r="AF7" s="61">
        <f>Revenue!AF30</f>
        <v/>
      </c>
      <c r="AG7" s="61">
        <f>Revenue!AG30</f>
        <v/>
      </c>
      <c r="AH7" s="61">
        <f>Revenue!AH30</f>
        <v/>
      </c>
      <c r="AI7" s="61">
        <f>Revenue!AI30</f>
        <v/>
      </c>
      <c r="AJ7" s="61">
        <f>Revenue!AJ30</f>
        <v/>
      </c>
      <c r="AK7" s="61">
        <f>Revenue!AK30</f>
        <v/>
      </c>
      <c r="AL7" s="61">
        <f>Revenue!AL30</f>
        <v/>
      </c>
      <c r="AM7" s="61">
        <f>Revenue!AM30</f>
        <v/>
      </c>
      <c r="AN7" s="61">
        <f>Revenue!AN30</f>
        <v/>
      </c>
      <c r="AO7" s="61">
        <f>Revenue!AO30</f>
        <v/>
      </c>
      <c r="AP7" s="61">
        <f>Revenue!AP30</f>
        <v/>
      </c>
      <c r="AQ7" s="61">
        <f>Revenue!AQ30</f>
        <v/>
      </c>
      <c r="AR7" s="61">
        <f>Revenue!AR30</f>
        <v/>
      </c>
      <c r="AS7" s="61">
        <f>Revenue!AS30</f>
        <v/>
      </c>
      <c r="AT7" s="61">
        <f>Revenue!AT30</f>
        <v/>
      </c>
      <c r="AU7" s="61">
        <f>Revenue!AU30</f>
        <v/>
      </c>
      <c r="AV7" s="61">
        <f>Revenue!AV30</f>
        <v/>
      </c>
      <c r="AW7" s="61">
        <f>Revenue!AW30</f>
        <v/>
      </c>
      <c r="AX7" s="61">
        <f>Revenue!AX30</f>
        <v/>
      </c>
      <c r="AY7" s="61">
        <f>Revenue!AY30</f>
        <v/>
      </c>
      <c r="AZ7" s="61">
        <f>Revenue!AZ30</f>
        <v/>
      </c>
      <c r="BA7" s="61">
        <f>Revenue!BA30</f>
        <v/>
      </c>
    </row>
    <row r="8" ht="14.25" customHeight="1" s="165">
      <c r="A8" s="2" t="inlineStr">
        <is>
          <t>TOTAL REVENUE</t>
        </is>
      </c>
      <c r="B8" s="35">
        <f>B5+B6+B7</f>
        <v/>
      </c>
      <c r="C8" s="35">
        <f>C5+C6+C7</f>
        <v/>
      </c>
      <c r="D8" s="35">
        <f>D5+D6+D7</f>
        <v/>
      </c>
      <c r="E8" s="35">
        <f>E5+E6+E7</f>
        <v/>
      </c>
      <c r="F8" s="35">
        <f>F5+F6+F7</f>
        <v/>
      </c>
      <c r="G8" s="35">
        <f>G5+G6+G7</f>
        <v/>
      </c>
      <c r="H8" s="35">
        <f>H5+H6+H7</f>
        <v/>
      </c>
      <c r="I8" s="35">
        <f>I5+I6+I7</f>
        <v/>
      </c>
      <c r="J8" s="35">
        <f>J5+J6+J7</f>
        <v/>
      </c>
      <c r="K8" s="35">
        <f>K5+K6+K7</f>
        <v/>
      </c>
      <c r="L8" s="35">
        <f>L5+L6+L7</f>
        <v/>
      </c>
      <c r="M8" s="35">
        <f>M5+M6+M7</f>
        <v/>
      </c>
      <c r="N8" s="35">
        <f>N5+N6+N7</f>
        <v/>
      </c>
      <c r="O8" s="35">
        <f>O5+O6+O7</f>
        <v/>
      </c>
      <c r="P8" s="35">
        <f>P5+P6+P7</f>
        <v/>
      </c>
      <c r="Q8" s="35">
        <f>Q5+Q6+Q7</f>
        <v/>
      </c>
      <c r="R8" s="35">
        <f>R5+R6+R7</f>
        <v/>
      </c>
      <c r="S8" s="35">
        <f>S5+S6+S7</f>
        <v/>
      </c>
      <c r="T8" s="35">
        <f>T5+T6+T7</f>
        <v/>
      </c>
      <c r="U8" s="35">
        <f>U5+U6+U7</f>
        <v/>
      </c>
      <c r="V8" s="35">
        <f>V5+V6+V7</f>
        <v/>
      </c>
      <c r="W8" s="35">
        <f>W5+W6+W7</f>
        <v/>
      </c>
      <c r="X8" s="35">
        <f>X5+X6+X7</f>
        <v/>
      </c>
      <c r="Y8" s="35">
        <f>Y5+Y6+Y7</f>
        <v/>
      </c>
      <c r="Z8" s="35">
        <f>Z5+Z6+Z7</f>
        <v/>
      </c>
      <c r="AA8" s="35">
        <f>AA5+AA6+AA7</f>
        <v/>
      </c>
      <c r="AB8" s="35">
        <f>AB5+AB6+AB7</f>
        <v/>
      </c>
      <c r="AC8" s="35">
        <f>AC5+AC6+AC7</f>
        <v/>
      </c>
      <c r="AD8" s="35">
        <f>AD5+AD6+AD7</f>
        <v/>
      </c>
      <c r="AE8" s="35">
        <f>AE5+AE6+AE7</f>
        <v/>
      </c>
      <c r="AF8" s="35">
        <f>AF5+AF6+AF7</f>
        <v/>
      </c>
      <c r="AG8" s="35">
        <f>AG5+AG6+AG7</f>
        <v/>
      </c>
      <c r="AH8" s="35">
        <f>AH5+AH6+AH7</f>
        <v/>
      </c>
      <c r="AI8" s="35">
        <f>AI5+AI6+AI7</f>
        <v/>
      </c>
      <c r="AJ8" s="35">
        <f>AJ5+AJ6+AJ7</f>
        <v/>
      </c>
      <c r="AK8" s="35">
        <f>AK5+AK6+AK7</f>
        <v/>
      </c>
      <c r="AL8" s="35">
        <f>AL5+AL6+AL7</f>
        <v/>
      </c>
      <c r="AM8" s="35">
        <f>AM5+AM6+AM7</f>
        <v/>
      </c>
      <c r="AN8" s="35">
        <f>AN5+AN6+AN7</f>
        <v/>
      </c>
      <c r="AO8" s="35">
        <f>AO5+AO6+AO7</f>
        <v/>
      </c>
      <c r="AP8" s="35">
        <f>AP5+AP6+AP7</f>
        <v/>
      </c>
      <c r="AQ8" s="35">
        <f>AQ5+AQ6+AQ7</f>
        <v/>
      </c>
      <c r="AR8" s="35">
        <f>AR5+AR6+AR7</f>
        <v/>
      </c>
      <c r="AS8" s="35">
        <f>AS5+AS6+AS7</f>
        <v/>
      </c>
      <c r="AT8" s="35">
        <f>AT5+AT6+AT7</f>
        <v/>
      </c>
      <c r="AU8" s="35">
        <f>AU5+AU6+AU7</f>
        <v/>
      </c>
      <c r="AV8" s="35">
        <f>AV5+AV6+AV7</f>
        <v/>
      </c>
      <c r="AW8" s="35">
        <f>AW5+AW6+AW7</f>
        <v/>
      </c>
      <c r="AX8" s="35">
        <f>AX5+AX6+AX7</f>
        <v/>
      </c>
      <c r="AY8" s="35">
        <f>AY5+AY6+AY7</f>
        <v/>
      </c>
      <c r="AZ8" s="35">
        <f>AZ5+AZ6+AZ7</f>
        <v/>
      </c>
      <c r="BA8" s="35">
        <f>BA5+BA6+BA7</f>
        <v/>
      </c>
    </row>
    <row r="9" ht="14.25" customHeight="1" s="165">
      <c r="A9" s="2" t="inlineStr">
        <is>
          <t>COST OF GOODS SOLD (COGS)</t>
        </is>
      </c>
    </row>
    <row r="10" ht="14.25" customHeight="1" s="165">
      <c r="A10" s="3" t="inlineStr">
        <is>
          <t>Cloud Hosting (variable)</t>
        </is>
      </c>
      <c r="B10" s="34">
        <f>Costs!B49</f>
        <v/>
      </c>
      <c r="C10" s="34">
        <f>Costs!C49</f>
        <v/>
      </c>
      <c r="D10" s="34">
        <f>Costs!D49</f>
        <v/>
      </c>
      <c r="E10" s="34">
        <f>Costs!E49</f>
        <v/>
      </c>
      <c r="F10" s="34">
        <f>Costs!F49</f>
        <v/>
      </c>
      <c r="G10" s="34">
        <f>Costs!G49</f>
        <v/>
      </c>
      <c r="H10" s="34">
        <f>Costs!H49</f>
        <v/>
      </c>
      <c r="I10" s="34">
        <f>Costs!I49</f>
        <v/>
      </c>
      <c r="J10" s="34">
        <f>Costs!J49</f>
        <v/>
      </c>
      <c r="K10" s="34">
        <f>Costs!K49</f>
        <v/>
      </c>
      <c r="L10" s="34">
        <f>Costs!L49</f>
        <v/>
      </c>
      <c r="M10" s="34">
        <f>Costs!M49</f>
        <v/>
      </c>
      <c r="N10" s="34">
        <f>Costs!N49</f>
        <v/>
      </c>
      <c r="O10" s="34">
        <f>Costs!O49</f>
        <v/>
      </c>
      <c r="P10" s="34">
        <f>Costs!P49</f>
        <v/>
      </c>
      <c r="Q10" s="34">
        <f>Costs!Q49</f>
        <v/>
      </c>
      <c r="R10" s="34">
        <f>Costs!R49</f>
        <v/>
      </c>
      <c r="S10" s="34">
        <f>Costs!S49</f>
        <v/>
      </c>
      <c r="T10" s="34">
        <f>Costs!T49</f>
        <v/>
      </c>
      <c r="U10" s="34">
        <f>Costs!U49</f>
        <v/>
      </c>
      <c r="V10" s="34">
        <f>Costs!V49</f>
        <v/>
      </c>
      <c r="W10" s="34">
        <f>Costs!W49</f>
        <v/>
      </c>
      <c r="X10" s="34">
        <f>Costs!X49</f>
        <v/>
      </c>
      <c r="Y10" s="34">
        <f>Costs!Y49</f>
        <v/>
      </c>
      <c r="Z10" s="34">
        <f>Costs!Z49</f>
        <v/>
      </c>
      <c r="AA10" s="34">
        <f>Costs!AA49</f>
        <v/>
      </c>
      <c r="AB10" s="34">
        <f>Costs!AB49</f>
        <v/>
      </c>
      <c r="AC10" s="34">
        <f>Costs!AC49</f>
        <v/>
      </c>
      <c r="AD10" s="34">
        <f>Costs!AD49</f>
        <v/>
      </c>
      <c r="AE10" s="34">
        <f>Costs!AE49</f>
        <v/>
      </c>
      <c r="AF10" s="34">
        <f>Costs!AF49</f>
        <v/>
      </c>
      <c r="AG10" s="34">
        <f>Costs!AG49</f>
        <v/>
      </c>
      <c r="AH10" s="34">
        <f>Costs!AH49</f>
        <v/>
      </c>
      <c r="AI10" s="34">
        <f>Costs!AI49</f>
        <v/>
      </c>
      <c r="AJ10" s="34">
        <f>Costs!AJ49</f>
        <v/>
      </c>
      <c r="AK10" s="34">
        <f>Costs!AK49</f>
        <v/>
      </c>
      <c r="AL10" s="34">
        <f>Costs!AL49</f>
        <v/>
      </c>
      <c r="AM10" s="34">
        <f>Costs!AM49</f>
        <v/>
      </c>
      <c r="AN10" s="34">
        <f>Costs!AN49</f>
        <v/>
      </c>
      <c r="AO10" s="34">
        <f>Costs!AO49</f>
        <v/>
      </c>
      <c r="AP10" s="34">
        <f>Costs!AP49</f>
        <v/>
      </c>
      <c r="AQ10" s="34">
        <f>Costs!AQ49</f>
        <v/>
      </c>
      <c r="AR10" s="34">
        <f>Costs!AR49</f>
        <v/>
      </c>
      <c r="AS10" s="34">
        <f>Costs!AS49</f>
        <v/>
      </c>
      <c r="AT10" s="34">
        <f>Costs!AT49</f>
        <v/>
      </c>
      <c r="AU10" s="34">
        <f>Costs!AU49</f>
        <v/>
      </c>
      <c r="AV10" s="34">
        <f>Costs!AV49</f>
        <v/>
      </c>
      <c r="AW10" s="34">
        <f>Costs!AW49</f>
        <v/>
      </c>
      <c r="AX10" s="34">
        <f>Costs!AX49</f>
        <v/>
      </c>
      <c r="AY10" s="34">
        <f>Costs!AY49</f>
        <v/>
      </c>
      <c r="AZ10" s="34">
        <f>Costs!AZ49</f>
        <v/>
      </c>
      <c r="BA10" s="34">
        <f>Costs!BA49</f>
        <v/>
      </c>
    </row>
    <row r="11" ht="14.25" customHeight="1" s="165">
      <c r="A11" s="3" t="inlineStr">
        <is>
          <t>AI/ML API Kosten</t>
        </is>
      </c>
      <c r="B11" s="34">
        <f>Costs!B50</f>
        <v/>
      </c>
      <c r="C11" s="34">
        <f>Costs!C50</f>
        <v/>
      </c>
      <c r="D11" s="34">
        <f>Costs!D50</f>
        <v/>
      </c>
      <c r="E11" s="34">
        <f>Costs!E50</f>
        <v/>
      </c>
      <c r="F11" s="34">
        <f>Costs!F50</f>
        <v/>
      </c>
      <c r="G11" s="34">
        <f>Costs!G50</f>
        <v/>
      </c>
      <c r="H11" s="34">
        <f>Costs!H50</f>
        <v/>
      </c>
      <c r="I11" s="34">
        <f>Costs!I50</f>
        <v/>
      </c>
      <c r="J11" s="34">
        <f>Costs!J50</f>
        <v/>
      </c>
      <c r="K11" s="34">
        <f>Costs!K50</f>
        <v/>
      </c>
      <c r="L11" s="34">
        <f>Costs!L50</f>
        <v/>
      </c>
      <c r="M11" s="34">
        <f>Costs!M50</f>
        <v/>
      </c>
      <c r="N11" s="34">
        <f>Costs!N50</f>
        <v/>
      </c>
      <c r="O11" s="34">
        <f>Costs!O50</f>
        <v/>
      </c>
      <c r="P11" s="34">
        <f>Costs!P50</f>
        <v/>
      </c>
      <c r="Q11" s="34">
        <f>Costs!Q50</f>
        <v/>
      </c>
      <c r="R11" s="34">
        <f>Costs!R50</f>
        <v/>
      </c>
      <c r="S11" s="34">
        <f>Costs!S50</f>
        <v/>
      </c>
      <c r="T11" s="34">
        <f>Costs!T50</f>
        <v/>
      </c>
      <c r="U11" s="34">
        <f>Costs!U50</f>
        <v/>
      </c>
      <c r="V11" s="34">
        <f>Costs!V50</f>
        <v/>
      </c>
      <c r="W11" s="34">
        <f>Costs!W50</f>
        <v/>
      </c>
      <c r="X11" s="34">
        <f>Costs!X50</f>
        <v/>
      </c>
      <c r="Y11" s="34">
        <f>Costs!Y50</f>
        <v/>
      </c>
      <c r="Z11" s="34">
        <f>Costs!Z50</f>
        <v/>
      </c>
      <c r="AA11" s="34">
        <f>Costs!AA50</f>
        <v/>
      </c>
      <c r="AB11" s="34">
        <f>Costs!AB50</f>
        <v/>
      </c>
      <c r="AC11" s="34">
        <f>Costs!AC50</f>
        <v/>
      </c>
      <c r="AD11" s="34">
        <f>Costs!AD50</f>
        <v/>
      </c>
      <c r="AE11" s="34">
        <f>Costs!AE50</f>
        <v/>
      </c>
      <c r="AF11" s="34">
        <f>Costs!AF50</f>
        <v/>
      </c>
      <c r="AG11" s="34">
        <f>Costs!AG50</f>
        <v/>
      </c>
      <c r="AH11" s="34">
        <f>Costs!AH50</f>
        <v/>
      </c>
      <c r="AI11" s="34">
        <f>Costs!AI50</f>
        <v/>
      </c>
      <c r="AJ11" s="34">
        <f>Costs!AJ50</f>
        <v/>
      </c>
      <c r="AK11" s="34">
        <f>Costs!AK50</f>
        <v/>
      </c>
      <c r="AL11" s="34">
        <f>Costs!AL50</f>
        <v/>
      </c>
      <c r="AM11" s="34">
        <f>Costs!AM50</f>
        <v/>
      </c>
      <c r="AN11" s="34">
        <f>Costs!AN50</f>
        <v/>
      </c>
      <c r="AO11" s="34">
        <f>Costs!AO50</f>
        <v/>
      </c>
      <c r="AP11" s="34">
        <f>Costs!AP50</f>
        <v/>
      </c>
      <c r="AQ11" s="34">
        <f>Costs!AQ50</f>
        <v/>
      </c>
      <c r="AR11" s="34">
        <f>Costs!AR50</f>
        <v/>
      </c>
      <c r="AS11" s="34">
        <f>Costs!AS50</f>
        <v/>
      </c>
      <c r="AT11" s="34">
        <f>Costs!AT50</f>
        <v/>
      </c>
      <c r="AU11" s="34">
        <f>Costs!AU50</f>
        <v/>
      </c>
      <c r="AV11" s="34">
        <f>Costs!AV50</f>
        <v/>
      </c>
      <c r="AW11" s="34">
        <f>Costs!AW50</f>
        <v/>
      </c>
      <c r="AX11" s="34">
        <f>Costs!AX50</f>
        <v/>
      </c>
      <c r="AY11" s="34">
        <f>Costs!AY50</f>
        <v/>
      </c>
      <c r="AZ11" s="34">
        <f>Costs!AZ50</f>
        <v/>
      </c>
      <c r="BA11" s="34">
        <f>Costs!BA50</f>
        <v/>
      </c>
    </row>
    <row r="12" ht="14.25" customHeight="1" s="165">
      <c r="A12" s="3" t="inlineStr">
        <is>
          <t>Payment Processing</t>
        </is>
      </c>
      <c r="B12" s="34">
        <f>Costs!B95</f>
        <v/>
      </c>
      <c r="C12" s="34">
        <f>Costs!C95</f>
        <v/>
      </c>
      <c r="D12" s="34">
        <f>Costs!D95</f>
        <v/>
      </c>
      <c r="E12" s="34">
        <f>Costs!E95</f>
        <v/>
      </c>
      <c r="F12" s="34">
        <f>Costs!F95</f>
        <v/>
      </c>
      <c r="G12" s="34">
        <f>Costs!G95</f>
        <v/>
      </c>
      <c r="H12" s="34">
        <f>Costs!H95</f>
        <v/>
      </c>
      <c r="I12" s="34">
        <f>Costs!I95</f>
        <v/>
      </c>
      <c r="J12" s="34">
        <f>Costs!J95</f>
        <v/>
      </c>
      <c r="K12" s="34">
        <f>Costs!K95</f>
        <v/>
      </c>
      <c r="L12" s="34">
        <f>Costs!L95</f>
        <v/>
      </c>
      <c r="M12" s="34">
        <f>Costs!M95</f>
        <v/>
      </c>
      <c r="N12" s="34">
        <f>Costs!N95</f>
        <v/>
      </c>
      <c r="O12" s="34">
        <f>Costs!O95</f>
        <v/>
      </c>
      <c r="P12" s="34">
        <f>Costs!P95</f>
        <v/>
      </c>
      <c r="Q12" s="34">
        <f>Costs!Q95</f>
        <v/>
      </c>
      <c r="R12" s="34">
        <f>Costs!R95</f>
        <v/>
      </c>
      <c r="S12" s="34">
        <f>Costs!S95</f>
        <v/>
      </c>
      <c r="T12" s="34">
        <f>Costs!T95</f>
        <v/>
      </c>
      <c r="U12" s="34">
        <f>Costs!U95</f>
        <v/>
      </c>
      <c r="V12" s="34">
        <f>Costs!V95</f>
        <v/>
      </c>
      <c r="W12" s="34">
        <f>Costs!W95</f>
        <v/>
      </c>
      <c r="X12" s="34">
        <f>Costs!X95</f>
        <v/>
      </c>
      <c r="Y12" s="34">
        <f>Costs!Y95</f>
        <v/>
      </c>
      <c r="Z12" s="34">
        <f>Costs!Z95</f>
        <v/>
      </c>
      <c r="AA12" s="34">
        <f>Costs!AA95</f>
        <v/>
      </c>
      <c r="AB12" s="34">
        <f>Costs!AB95</f>
        <v/>
      </c>
      <c r="AC12" s="34">
        <f>Costs!AC95</f>
        <v/>
      </c>
      <c r="AD12" s="34">
        <f>Costs!AD95</f>
        <v/>
      </c>
      <c r="AE12" s="34">
        <f>Costs!AE95</f>
        <v/>
      </c>
      <c r="AF12" s="34">
        <f>Costs!AF95</f>
        <v/>
      </c>
      <c r="AG12" s="34">
        <f>Costs!AG95</f>
        <v/>
      </c>
      <c r="AH12" s="34">
        <f>Costs!AH95</f>
        <v/>
      </c>
      <c r="AI12" s="34">
        <f>Costs!AI95</f>
        <v/>
      </c>
      <c r="AJ12" s="34">
        <f>Costs!AJ95</f>
        <v/>
      </c>
      <c r="AK12" s="34">
        <f>Costs!AK95</f>
        <v/>
      </c>
      <c r="AL12" s="34">
        <f>Costs!AL95</f>
        <v/>
      </c>
      <c r="AM12" s="34">
        <f>Costs!AM95</f>
        <v/>
      </c>
      <c r="AN12" s="34">
        <f>Costs!AN95</f>
        <v/>
      </c>
      <c r="AO12" s="34">
        <f>Costs!AO95</f>
        <v/>
      </c>
      <c r="AP12" s="34">
        <f>Costs!AP95</f>
        <v/>
      </c>
      <c r="AQ12" s="34">
        <f>Costs!AQ95</f>
        <v/>
      </c>
      <c r="AR12" s="34">
        <f>Costs!AR95</f>
        <v/>
      </c>
      <c r="AS12" s="34">
        <f>Costs!AS95</f>
        <v/>
      </c>
      <c r="AT12" s="34">
        <f>Costs!AT95</f>
        <v/>
      </c>
      <c r="AU12" s="34">
        <f>Costs!AU95</f>
        <v/>
      </c>
      <c r="AV12" s="34">
        <f>Costs!AV95</f>
        <v/>
      </c>
      <c r="AW12" s="34">
        <f>Costs!AW95</f>
        <v/>
      </c>
      <c r="AX12" s="34">
        <f>Costs!AX95</f>
        <v/>
      </c>
      <c r="AY12" s="34">
        <f>Costs!AY95</f>
        <v/>
      </c>
      <c r="AZ12" s="34">
        <f>Costs!AZ95</f>
        <v/>
      </c>
      <c r="BA12" s="34">
        <f>Costs!BA95</f>
        <v/>
      </c>
    </row>
    <row r="13" ht="14.25" customHeight="1" s="165">
      <c r="A13" s="2" t="inlineStr">
        <is>
          <t>TOTAL COGS</t>
        </is>
      </c>
      <c r="B13" s="35">
        <f>SUM(B10:B12)</f>
        <v/>
      </c>
      <c r="C13" s="35">
        <f>SUM(C10:C12)</f>
        <v/>
      </c>
      <c r="D13" s="35">
        <f>SUM(D10:D12)</f>
        <v/>
      </c>
      <c r="E13" s="35">
        <f>SUM(E10:E12)</f>
        <v/>
      </c>
      <c r="F13" s="35">
        <f>SUM(F10:F12)</f>
        <v/>
      </c>
      <c r="G13" s="35">
        <f>SUM(G10:G12)</f>
        <v/>
      </c>
      <c r="H13" s="35">
        <f>SUM(H10:H12)</f>
        <v/>
      </c>
      <c r="I13" s="35">
        <f>SUM(I10:I12)</f>
        <v/>
      </c>
      <c r="J13" s="35">
        <f>SUM(J10:J12)</f>
        <v/>
      </c>
      <c r="K13" s="35">
        <f>SUM(K10:K12)</f>
        <v/>
      </c>
      <c r="L13" s="35">
        <f>SUM(L10:L12)</f>
        <v/>
      </c>
      <c r="M13" s="35">
        <f>SUM(M10:M12)</f>
        <v/>
      </c>
      <c r="N13" s="35">
        <f>SUM(N10:N12)</f>
        <v/>
      </c>
      <c r="O13" s="35">
        <f>SUM(O10:O12)</f>
        <v/>
      </c>
      <c r="P13" s="35">
        <f>SUM(P10:P12)</f>
        <v/>
      </c>
      <c r="Q13" s="35">
        <f>SUM(Q10:Q12)</f>
        <v/>
      </c>
      <c r="R13" s="35">
        <f>SUM(R10:R12)</f>
        <v/>
      </c>
      <c r="S13" s="35">
        <f>SUM(S10:S12)</f>
        <v/>
      </c>
      <c r="T13" s="35">
        <f>SUM(T10:T12)</f>
        <v/>
      </c>
      <c r="U13" s="35">
        <f>SUM(U10:U12)</f>
        <v/>
      </c>
      <c r="V13" s="35">
        <f>SUM(V10:V12)</f>
        <v/>
      </c>
      <c r="W13" s="35">
        <f>SUM(W10:W12)</f>
        <v/>
      </c>
      <c r="X13" s="35">
        <f>SUM(X10:X12)</f>
        <v/>
      </c>
      <c r="Y13" s="35">
        <f>SUM(Y10:Y12)</f>
        <v/>
      </c>
      <c r="Z13" s="35">
        <f>SUM(Z10:Z12)</f>
        <v/>
      </c>
      <c r="AA13" s="35">
        <f>SUM(AA10:AA12)</f>
        <v/>
      </c>
      <c r="AB13" s="35">
        <f>SUM(AB10:AB12)</f>
        <v/>
      </c>
      <c r="AC13" s="35">
        <f>SUM(AC10:AC12)</f>
        <v/>
      </c>
      <c r="AD13" s="35">
        <f>SUM(AD10:AD12)</f>
        <v/>
      </c>
      <c r="AE13" s="35">
        <f>SUM(AE10:AE12)</f>
        <v/>
      </c>
      <c r="AF13" s="35">
        <f>SUM(AF10:AF12)</f>
        <v/>
      </c>
      <c r="AG13" s="35">
        <f>SUM(AG10:AG12)</f>
        <v/>
      </c>
      <c r="AH13" s="35">
        <f>SUM(AH10:AH12)</f>
        <v/>
      </c>
      <c r="AI13" s="35">
        <f>SUM(AI10:AI12)</f>
        <v/>
      </c>
      <c r="AJ13" s="35">
        <f>SUM(AJ10:AJ12)</f>
        <v/>
      </c>
      <c r="AK13" s="35">
        <f>SUM(AK10:AK12)</f>
        <v/>
      </c>
      <c r="AL13" s="35">
        <f>SUM(AL10:AL12)</f>
        <v/>
      </c>
      <c r="AM13" s="35">
        <f>SUM(AM10:AM12)</f>
        <v/>
      </c>
      <c r="AN13" s="35">
        <f>SUM(AN10:AN12)</f>
        <v/>
      </c>
      <c r="AO13" s="35">
        <f>SUM(AO10:AO12)</f>
        <v/>
      </c>
      <c r="AP13" s="35">
        <f>SUM(AP10:AP12)</f>
        <v/>
      </c>
      <c r="AQ13" s="35">
        <f>SUM(AQ10:AQ12)</f>
        <v/>
      </c>
      <c r="AR13" s="35">
        <f>SUM(AR10:AR12)</f>
        <v/>
      </c>
      <c r="AS13" s="35">
        <f>SUM(AS10:AS12)</f>
        <v/>
      </c>
      <c r="AT13" s="35">
        <f>SUM(AT10:AT12)</f>
        <v/>
      </c>
      <c r="AU13" s="35">
        <f>SUM(AU10:AU12)</f>
        <v/>
      </c>
      <c r="AV13" s="35">
        <f>SUM(AV10:AV12)</f>
        <v/>
      </c>
      <c r="AW13" s="35">
        <f>SUM(AW10:AW12)</f>
        <v/>
      </c>
      <c r="AX13" s="35">
        <f>SUM(AX10:AX12)</f>
        <v/>
      </c>
      <c r="AY13" s="35">
        <f>SUM(AY10:AY12)</f>
        <v/>
      </c>
      <c r="AZ13" s="35">
        <f>SUM(AZ10:AZ12)</f>
        <v/>
      </c>
      <c r="BA13" s="35">
        <f>SUM(BA10:BA12)</f>
        <v/>
      </c>
    </row>
    <row r="14" ht="14.25" customHeight="1" s="165"/>
    <row r="15" ht="14.25" customHeight="1" s="165">
      <c r="A15" s="2" t="inlineStr">
        <is>
          <t>GROSS PROFIT</t>
        </is>
      </c>
      <c r="B15" s="35">
        <f>B8-B13</f>
        <v/>
      </c>
      <c r="C15" s="35">
        <f>C8-C13</f>
        <v/>
      </c>
      <c r="D15" s="35">
        <f>D8-D13</f>
        <v/>
      </c>
      <c r="E15" s="35">
        <f>E8-E13</f>
        <v/>
      </c>
      <c r="F15" s="35">
        <f>F8-F13</f>
        <v/>
      </c>
      <c r="G15" s="35">
        <f>G8-G13</f>
        <v/>
      </c>
      <c r="H15" s="35">
        <f>H8-H13</f>
        <v/>
      </c>
      <c r="I15" s="35">
        <f>I8-I13</f>
        <v/>
      </c>
      <c r="J15" s="35">
        <f>J8-J13</f>
        <v/>
      </c>
      <c r="K15" s="35">
        <f>K8-K13</f>
        <v/>
      </c>
      <c r="L15" s="35">
        <f>L8-L13</f>
        <v/>
      </c>
      <c r="M15" s="35">
        <f>M8-M13</f>
        <v/>
      </c>
      <c r="N15" s="35">
        <f>N8-N13</f>
        <v/>
      </c>
      <c r="O15" s="35">
        <f>O8-O13</f>
        <v/>
      </c>
      <c r="P15" s="35">
        <f>P8-P13</f>
        <v/>
      </c>
      <c r="Q15" s="35">
        <f>Q8-Q13</f>
        <v/>
      </c>
      <c r="R15" s="35">
        <f>R8-R13</f>
        <v/>
      </c>
      <c r="S15" s="35">
        <f>S8-S13</f>
        <v/>
      </c>
      <c r="T15" s="35">
        <f>T8-T13</f>
        <v/>
      </c>
      <c r="U15" s="35">
        <f>U8-U13</f>
        <v/>
      </c>
      <c r="V15" s="35">
        <f>V8-V13</f>
        <v/>
      </c>
      <c r="W15" s="35">
        <f>W8-W13</f>
        <v/>
      </c>
      <c r="X15" s="35">
        <f>X8-X13</f>
        <v/>
      </c>
      <c r="Y15" s="35">
        <f>Y8-Y13</f>
        <v/>
      </c>
      <c r="Z15" s="35">
        <f>Z8-Z13</f>
        <v/>
      </c>
      <c r="AA15" s="35">
        <f>AA8-AA13</f>
        <v/>
      </c>
      <c r="AB15" s="35">
        <f>AB8-AB13</f>
        <v/>
      </c>
      <c r="AC15" s="35">
        <f>AC8-AC13</f>
        <v/>
      </c>
      <c r="AD15" s="35">
        <f>AD8-AD13</f>
        <v/>
      </c>
      <c r="AE15" s="35">
        <f>AE8-AE13</f>
        <v/>
      </c>
      <c r="AF15" s="35">
        <f>AF8-AF13</f>
        <v/>
      </c>
      <c r="AG15" s="35">
        <f>AG8-AG13</f>
        <v/>
      </c>
      <c r="AH15" s="35">
        <f>AH8-AH13</f>
        <v/>
      </c>
      <c r="AI15" s="35">
        <f>AI8-AI13</f>
        <v/>
      </c>
      <c r="AJ15" s="35">
        <f>AJ8-AJ13</f>
        <v/>
      </c>
      <c r="AK15" s="35">
        <f>AK8-AK13</f>
        <v/>
      </c>
      <c r="AL15" s="35">
        <f>AL8-AL13</f>
        <v/>
      </c>
      <c r="AM15" s="35">
        <f>AM8-AM13</f>
        <v/>
      </c>
      <c r="AN15" s="35">
        <f>AN8-AN13</f>
        <v/>
      </c>
      <c r="AO15" s="35">
        <f>AO8-AO13</f>
        <v/>
      </c>
      <c r="AP15" s="35">
        <f>AP8-AP13</f>
        <v/>
      </c>
      <c r="AQ15" s="35">
        <f>AQ8-AQ13</f>
        <v/>
      </c>
      <c r="AR15" s="35">
        <f>AR8-AR13</f>
        <v/>
      </c>
      <c r="AS15" s="35">
        <f>AS8-AS13</f>
        <v/>
      </c>
      <c r="AT15" s="35">
        <f>AT8-AT13</f>
        <v/>
      </c>
      <c r="AU15" s="35">
        <f>AU8-AU13</f>
        <v/>
      </c>
      <c r="AV15" s="35">
        <f>AV8-AV13</f>
        <v/>
      </c>
      <c r="AW15" s="35">
        <f>AW8-AW13</f>
        <v/>
      </c>
      <c r="AX15" s="35">
        <f>AX8-AX13</f>
        <v/>
      </c>
      <c r="AY15" s="35">
        <f>AY8-AY13</f>
        <v/>
      </c>
      <c r="AZ15" s="35">
        <f>AZ8-AZ13</f>
        <v/>
      </c>
      <c r="BA15" s="35">
        <f>BA8-BA13</f>
        <v/>
      </c>
    </row>
    <row r="16" ht="14.25" customHeight="1" s="165">
      <c r="A16" s="3" t="inlineStr">
        <is>
          <t>Gross Margin %</t>
        </is>
      </c>
      <c r="B16" s="36">
        <f>IFERROR(B15/B8,0)</f>
        <v/>
      </c>
      <c r="C16" s="36">
        <f>IFERROR(C15/C8,0)</f>
        <v/>
      </c>
      <c r="D16" s="36">
        <f>IFERROR(D15/D8,0)</f>
        <v/>
      </c>
      <c r="E16" s="36">
        <f>IFERROR(E15/E8,0)</f>
        <v/>
      </c>
      <c r="F16" s="36">
        <f>IFERROR(F15/F8,0)</f>
        <v/>
      </c>
      <c r="G16" s="36">
        <f>IFERROR(G15/G8,0)</f>
        <v/>
      </c>
      <c r="H16" s="36">
        <f>IFERROR(H15/H8,0)</f>
        <v/>
      </c>
      <c r="I16" s="36">
        <f>IFERROR(I15/I8,0)</f>
        <v/>
      </c>
      <c r="J16" s="36">
        <f>IFERROR(J15/J8,0)</f>
        <v/>
      </c>
      <c r="K16" s="36">
        <f>IFERROR(K15/K8,0)</f>
        <v/>
      </c>
      <c r="L16" s="36">
        <f>IFERROR(L15/L8,0)</f>
        <v/>
      </c>
      <c r="M16" s="36">
        <f>IFERROR(M15/M8,0)</f>
        <v/>
      </c>
      <c r="N16" s="36">
        <f>IFERROR(N15/N8,0)</f>
        <v/>
      </c>
      <c r="O16" s="36">
        <f>IFERROR(O15/O8,0)</f>
        <v/>
      </c>
      <c r="P16" s="36">
        <f>IFERROR(P15/P8,0)</f>
        <v/>
      </c>
      <c r="Q16" s="36">
        <f>IFERROR(Q15/Q8,0)</f>
        <v/>
      </c>
      <c r="R16" s="36">
        <f>IFERROR(R15/R8,0)</f>
        <v/>
      </c>
      <c r="S16" s="36">
        <f>IFERROR(S15/S8,0)</f>
        <v/>
      </c>
      <c r="T16" s="36">
        <f>IFERROR(T15/T8,0)</f>
        <v/>
      </c>
      <c r="U16" s="36">
        <f>IFERROR(U15/U8,0)</f>
        <v/>
      </c>
      <c r="V16" s="36">
        <f>IFERROR(V15/V8,0)</f>
        <v/>
      </c>
      <c r="W16" s="36">
        <f>IFERROR(W15/W8,0)</f>
        <v/>
      </c>
      <c r="X16" s="36">
        <f>IFERROR(X15/X8,0)</f>
        <v/>
      </c>
      <c r="Y16" s="36">
        <f>IFERROR(Y15/Y8,0)</f>
        <v/>
      </c>
      <c r="Z16" s="36">
        <f>IFERROR(Z15/Z8,0)</f>
        <v/>
      </c>
      <c r="AA16" s="36">
        <f>IFERROR(AA15/AA8,0)</f>
        <v/>
      </c>
      <c r="AB16" s="36">
        <f>IFERROR(AB15/AB8,0)</f>
        <v/>
      </c>
      <c r="AC16" s="36">
        <f>IFERROR(AC15/AC8,0)</f>
        <v/>
      </c>
      <c r="AD16" s="36">
        <f>IFERROR(AD15/AD8,0)</f>
        <v/>
      </c>
      <c r="AE16" s="36">
        <f>IFERROR(AE15/AE8,0)</f>
        <v/>
      </c>
      <c r="AF16" s="36">
        <f>IFERROR(AF15/AF8,0)</f>
        <v/>
      </c>
      <c r="AG16" s="36">
        <f>IFERROR(AG15/AG8,0)</f>
        <v/>
      </c>
      <c r="AH16" s="36">
        <f>IFERROR(AH15/AH8,0)</f>
        <v/>
      </c>
      <c r="AI16" s="36">
        <f>IFERROR(AI15/AI8,0)</f>
        <v/>
      </c>
      <c r="AJ16" s="36">
        <f>IFERROR(AJ15/AJ8,0)</f>
        <v/>
      </c>
      <c r="AK16" s="36">
        <f>IFERROR(AK15/AK8,0)</f>
        <v/>
      </c>
      <c r="AL16" s="36">
        <f>IFERROR(AL15/AL8,0)</f>
        <v/>
      </c>
      <c r="AM16" s="36">
        <f>IFERROR(AM15/AM8,0)</f>
        <v/>
      </c>
      <c r="AN16" s="36">
        <f>IFERROR(AN15/AN8,0)</f>
        <v/>
      </c>
      <c r="AO16" s="36">
        <f>IFERROR(AO15/AO8,0)</f>
        <v/>
      </c>
      <c r="AP16" s="36">
        <f>IFERROR(AP15/AP8,0)</f>
        <v/>
      </c>
      <c r="AQ16" s="36">
        <f>IFERROR(AQ15/AQ8,0)</f>
        <v/>
      </c>
      <c r="AR16" s="36">
        <f>IFERROR(AR15/AR8,0)</f>
        <v/>
      </c>
      <c r="AS16" s="36">
        <f>IFERROR(AS15/AS8,0)</f>
        <v/>
      </c>
      <c r="AT16" s="36">
        <f>IFERROR(AT15/AT8,0)</f>
        <v/>
      </c>
      <c r="AU16" s="36">
        <f>IFERROR(AU15/AU8,0)</f>
        <v/>
      </c>
      <c r="AV16" s="36">
        <f>IFERROR(AV15/AV8,0)</f>
        <v/>
      </c>
      <c r="AW16" s="36">
        <f>IFERROR(AW15/AW8,0)</f>
        <v/>
      </c>
      <c r="AX16" s="36">
        <f>IFERROR(AX15/AX8,0)</f>
        <v/>
      </c>
      <c r="AY16" s="36">
        <f>IFERROR(AY15/AY8,0)</f>
        <v/>
      </c>
      <c r="AZ16" s="36">
        <f>IFERROR(AZ15/AZ8,0)</f>
        <v/>
      </c>
      <c r="BA16" s="36">
        <f>IFERROR(BA15/BA8,0)</f>
        <v/>
      </c>
    </row>
    <row r="17" ht="14.25" customHeight="1" s="165"/>
    <row r="18" ht="14.25" customHeight="1" s="165">
      <c r="A18" s="2" t="inlineStr">
        <is>
          <t>OPERATING EXPENSES</t>
        </is>
      </c>
    </row>
    <row r="19" ht="14.25" customHeight="1" s="165">
      <c r="A19" s="3" t="inlineStr">
        <is>
          <t>Total Personnel</t>
        </is>
      </c>
      <c r="B19" s="34">
        <f>Costs!B45</f>
        <v/>
      </c>
      <c r="C19" s="34">
        <f>Costs!C45</f>
        <v/>
      </c>
      <c r="D19" s="34">
        <f>Costs!D45</f>
        <v/>
      </c>
      <c r="E19" s="34">
        <f>Costs!E45</f>
        <v/>
      </c>
      <c r="F19" s="34">
        <f>Costs!F45</f>
        <v/>
      </c>
      <c r="G19" s="34">
        <f>Costs!G45</f>
        <v/>
      </c>
      <c r="H19" s="34">
        <f>Costs!H45</f>
        <v/>
      </c>
      <c r="I19" s="34">
        <f>Costs!I45</f>
        <v/>
      </c>
      <c r="J19" s="34">
        <f>Costs!J45</f>
        <v/>
      </c>
      <c r="K19" s="34">
        <f>Costs!K45</f>
        <v/>
      </c>
      <c r="L19" s="34">
        <f>Costs!L45</f>
        <v/>
      </c>
      <c r="M19" s="34">
        <f>Costs!M45</f>
        <v/>
      </c>
      <c r="N19" s="34">
        <f>Costs!N45</f>
        <v/>
      </c>
      <c r="O19" s="34">
        <f>Costs!O45</f>
        <v/>
      </c>
      <c r="P19" s="34">
        <f>Costs!P45</f>
        <v/>
      </c>
      <c r="Q19" s="34">
        <f>Costs!Q45</f>
        <v/>
      </c>
      <c r="R19" s="34">
        <f>Costs!R45</f>
        <v/>
      </c>
      <c r="S19" s="34">
        <f>Costs!S45</f>
        <v/>
      </c>
      <c r="T19" s="34">
        <f>Costs!T45</f>
        <v/>
      </c>
      <c r="U19" s="34">
        <f>Costs!U45</f>
        <v/>
      </c>
      <c r="V19" s="34">
        <f>Costs!V45</f>
        <v/>
      </c>
      <c r="W19" s="34">
        <f>Costs!W45</f>
        <v/>
      </c>
      <c r="X19" s="34">
        <f>Costs!X45</f>
        <v/>
      </c>
      <c r="Y19" s="34">
        <f>Costs!Y45</f>
        <v/>
      </c>
      <c r="Z19" s="34">
        <f>Costs!Z45</f>
        <v/>
      </c>
      <c r="AA19" s="34">
        <f>Costs!AA45</f>
        <v/>
      </c>
      <c r="AB19" s="34">
        <f>Costs!AB45</f>
        <v/>
      </c>
      <c r="AC19" s="34">
        <f>Costs!AC45</f>
        <v/>
      </c>
      <c r="AD19" s="34">
        <f>Costs!AD45</f>
        <v/>
      </c>
      <c r="AE19" s="34">
        <f>Costs!AE45</f>
        <v/>
      </c>
      <c r="AF19" s="34">
        <f>Costs!AF45</f>
        <v/>
      </c>
      <c r="AG19" s="34">
        <f>Costs!AG45</f>
        <v/>
      </c>
      <c r="AH19" s="34">
        <f>Costs!AH45</f>
        <v/>
      </c>
      <c r="AI19" s="34">
        <f>Costs!AI45</f>
        <v/>
      </c>
      <c r="AJ19" s="34">
        <f>Costs!AJ45</f>
        <v/>
      </c>
      <c r="AK19" s="34">
        <f>Costs!AK45</f>
        <v/>
      </c>
      <c r="AL19" s="34">
        <f>Costs!AL45</f>
        <v/>
      </c>
      <c r="AM19" s="34">
        <f>Costs!AM45</f>
        <v/>
      </c>
      <c r="AN19" s="34">
        <f>Costs!AN45</f>
        <v/>
      </c>
      <c r="AO19" s="34">
        <f>Costs!AO45</f>
        <v/>
      </c>
      <c r="AP19" s="34">
        <f>Costs!AP45</f>
        <v/>
      </c>
      <c r="AQ19" s="34">
        <f>Costs!AQ45</f>
        <v/>
      </c>
      <c r="AR19" s="34">
        <f>Costs!AR45</f>
        <v/>
      </c>
      <c r="AS19" s="34">
        <f>Costs!AS45</f>
        <v/>
      </c>
      <c r="AT19" s="34">
        <f>Costs!AT45</f>
        <v/>
      </c>
      <c r="AU19" s="34">
        <f>Costs!AU45</f>
        <v/>
      </c>
      <c r="AV19" s="34">
        <f>Costs!AV45</f>
        <v/>
      </c>
      <c r="AW19" s="34">
        <f>Costs!AW45</f>
        <v/>
      </c>
      <c r="AX19" s="34">
        <f>Costs!AX45</f>
        <v/>
      </c>
      <c r="AY19" s="34">
        <f>Costs!AY45</f>
        <v/>
      </c>
      <c r="AZ19" s="34">
        <f>Costs!AZ45</f>
        <v/>
      </c>
      <c r="BA19" s="34">
        <f>Costs!BA45</f>
        <v/>
      </c>
    </row>
    <row r="20" ht="14.25" customHeight="1" s="165">
      <c r="A20" s="3" t="inlineStr">
        <is>
          <t>Total Technology</t>
        </is>
      </c>
      <c r="B20" s="34">
        <f>Costs!B54</f>
        <v/>
      </c>
      <c r="C20" s="34">
        <f>Costs!C54</f>
        <v/>
      </c>
      <c r="D20" s="34">
        <f>Costs!D54</f>
        <v/>
      </c>
      <c r="E20" s="34">
        <f>Costs!E54</f>
        <v/>
      </c>
      <c r="F20" s="34">
        <f>Costs!F54</f>
        <v/>
      </c>
      <c r="G20" s="34">
        <f>Costs!G54</f>
        <v/>
      </c>
      <c r="H20" s="34">
        <f>Costs!H54</f>
        <v/>
      </c>
      <c r="I20" s="34">
        <f>Costs!I54</f>
        <v/>
      </c>
      <c r="J20" s="34">
        <f>Costs!J54</f>
        <v/>
      </c>
      <c r="K20" s="34">
        <f>Costs!K54</f>
        <v/>
      </c>
      <c r="L20" s="34">
        <f>Costs!L54</f>
        <v/>
      </c>
      <c r="M20" s="34">
        <f>Costs!M54</f>
        <v/>
      </c>
      <c r="N20" s="34">
        <f>Costs!N54</f>
        <v/>
      </c>
      <c r="O20" s="34">
        <f>Costs!O54</f>
        <v/>
      </c>
      <c r="P20" s="34">
        <f>Costs!P54</f>
        <v/>
      </c>
      <c r="Q20" s="34">
        <f>Costs!Q54</f>
        <v/>
      </c>
      <c r="R20" s="34">
        <f>Costs!R54</f>
        <v/>
      </c>
      <c r="S20" s="34">
        <f>Costs!S54</f>
        <v/>
      </c>
      <c r="T20" s="34">
        <f>Costs!T54</f>
        <v/>
      </c>
      <c r="U20" s="34">
        <f>Costs!U54</f>
        <v/>
      </c>
      <c r="V20" s="34">
        <f>Costs!V54</f>
        <v/>
      </c>
      <c r="W20" s="34">
        <f>Costs!W54</f>
        <v/>
      </c>
      <c r="X20" s="34">
        <f>Costs!X54</f>
        <v/>
      </c>
      <c r="Y20" s="34">
        <f>Costs!Y54</f>
        <v/>
      </c>
      <c r="Z20" s="34">
        <f>Costs!Z54</f>
        <v/>
      </c>
      <c r="AA20" s="34">
        <f>Costs!AA54</f>
        <v/>
      </c>
      <c r="AB20" s="34">
        <f>Costs!AB54</f>
        <v/>
      </c>
      <c r="AC20" s="34">
        <f>Costs!AC54</f>
        <v/>
      </c>
      <c r="AD20" s="34">
        <f>Costs!AD54</f>
        <v/>
      </c>
      <c r="AE20" s="34">
        <f>Costs!AE54</f>
        <v/>
      </c>
      <c r="AF20" s="34">
        <f>Costs!AF54</f>
        <v/>
      </c>
      <c r="AG20" s="34">
        <f>Costs!AG54</f>
        <v/>
      </c>
      <c r="AH20" s="34">
        <f>Costs!AH54</f>
        <v/>
      </c>
      <c r="AI20" s="34">
        <f>Costs!AI54</f>
        <v/>
      </c>
      <c r="AJ20" s="34">
        <f>Costs!AJ54</f>
        <v/>
      </c>
      <c r="AK20" s="34">
        <f>Costs!AK54</f>
        <v/>
      </c>
      <c r="AL20" s="34">
        <f>Costs!AL54</f>
        <v/>
      </c>
      <c r="AM20" s="34">
        <f>Costs!AM54</f>
        <v/>
      </c>
      <c r="AN20" s="34">
        <f>Costs!AN54</f>
        <v/>
      </c>
      <c r="AO20" s="34">
        <f>Costs!AO54</f>
        <v/>
      </c>
      <c r="AP20" s="34">
        <f>Costs!AP54</f>
        <v/>
      </c>
      <c r="AQ20" s="34">
        <f>Costs!AQ54</f>
        <v/>
      </c>
      <c r="AR20" s="34">
        <f>Costs!AR54</f>
        <v/>
      </c>
      <c r="AS20" s="34">
        <f>Costs!AS54</f>
        <v/>
      </c>
      <c r="AT20" s="34">
        <f>Costs!AT54</f>
        <v/>
      </c>
      <c r="AU20" s="34">
        <f>Costs!AU54</f>
        <v/>
      </c>
      <c r="AV20" s="34">
        <f>Costs!AV54</f>
        <v/>
      </c>
      <c r="AW20" s="34">
        <f>Costs!AW54</f>
        <v/>
      </c>
      <c r="AX20" s="34">
        <f>Costs!AX54</f>
        <v/>
      </c>
      <c r="AY20" s="34">
        <f>Costs!AY54</f>
        <v/>
      </c>
      <c r="AZ20" s="34">
        <f>Costs!AZ54</f>
        <v/>
      </c>
      <c r="BA20" s="34">
        <f>Costs!BA54</f>
        <v/>
      </c>
    </row>
    <row r="21" ht="14.25" customHeight="1" s="165">
      <c r="A21" s="3" t="inlineStr">
        <is>
          <t>Total Office/Facilities</t>
        </is>
      </c>
      <c r="B21" s="34">
        <f>Costs!B61</f>
        <v/>
      </c>
      <c r="C21" s="34">
        <f>Costs!C61</f>
        <v/>
      </c>
      <c r="D21" s="34">
        <f>Costs!D61</f>
        <v/>
      </c>
      <c r="E21" s="34">
        <f>Costs!E61</f>
        <v/>
      </c>
      <c r="F21" s="34">
        <f>Costs!F61</f>
        <v/>
      </c>
      <c r="G21" s="34">
        <f>Costs!G61</f>
        <v/>
      </c>
      <c r="H21" s="34">
        <f>Costs!H61</f>
        <v/>
      </c>
      <c r="I21" s="34">
        <f>Costs!I61</f>
        <v/>
      </c>
      <c r="J21" s="34">
        <f>Costs!J61</f>
        <v/>
      </c>
      <c r="K21" s="34">
        <f>Costs!K61</f>
        <v/>
      </c>
      <c r="L21" s="34">
        <f>Costs!L61</f>
        <v/>
      </c>
      <c r="M21" s="34">
        <f>Costs!M61</f>
        <v/>
      </c>
      <c r="N21" s="34">
        <f>Costs!N61</f>
        <v/>
      </c>
      <c r="O21" s="34">
        <f>Costs!O61</f>
        <v/>
      </c>
      <c r="P21" s="34">
        <f>Costs!P61</f>
        <v/>
      </c>
      <c r="Q21" s="34">
        <f>Costs!Q61</f>
        <v/>
      </c>
      <c r="R21" s="34">
        <f>Costs!R61</f>
        <v/>
      </c>
      <c r="S21" s="34">
        <f>Costs!S61</f>
        <v/>
      </c>
      <c r="T21" s="34">
        <f>Costs!T61</f>
        <v/>
      </c>
      <c r="U21" s="34">
        <f>Costs!U61</f>
        <v/>
      </c>
      <c r="V21" s="34">
        <f>Costs!V61</f>
        <v/>
      </c>
      <c r="W21" s="34">
        <f>Costs!W61</f>
        <v/>
      </c>
      <c r="X21" s="34">
        <f>Costs!X61</f>
        <v/>
      </c>
      <c r="Y21" s="34">
        <f>Costs!Y61</f>
        <v/>
      </c>
      <c r="Z21" s="34">
        <f>Costs!Z61</f>
        <v/>
      </c>
      <c r="AA21" s="34">
        <f>Costs!AA61</f>
        <v/>
      </c>
      <c r="AB21" s="34">
        <f>Costs!AB61</f>
        <v/>
      </c>
      <c r="AC21" s="34">
        <f>Costs!AC61</f>
        <v/>
      </c>
      <c r="AD21" s="34">
        <f>Costs!AD61</f>
        <v/>
      </c>
      <c r="AE21" s="34">
        <f>Costs!AE61</f>
        <v/>
      </c>
      <c r="AF21" s="34">
        <f>Costs!AF61</f>
        <v/>
      </c>
      <c r="AG21" s="34">
        <f>Costs!AG61</f>
        <v/>
      </c>
      <c r="AH21" s="34">
        <f>Costs!AH61</f>
        <v/>
      </c>
      <c r="AI21" s="34">
        <f>Costs!AI61</f>
        <v/>
      </c>
      <c r="AJ21" s="34">
        <f>Costs!AJ61</f>
        <v/>
      </c>
      <c r="AK21" s="34">
        <f>Costs!AK61</f>
        <v/>
      </c>
      <c r="AL21" s="34">
        <f>Costs!AL61</f>
        <v/>
      </c>
      <c r="AM21" s="34">
        <f>Costs!AM61</f>
        <v/>
      </c>
      <c r="AN21" s="34">
        <f>Costs!AN61</f>
        <v/>
      </c>
      <c r="AO21" s="34">
        <f>Costs!AO61</f>
        <v/>
      </c>
      <c r="AP21" s="34">
        <f>Costs!AP61</f>
        <v/>
      </c>
      <c r="AQ21" s="34">
        <f>Costs!AQ61</f>
        <v/>
      </c>
      <c r="AR21" s="34">
        <f>Costs!AR61</f>
        <v/>
      </c>
      <c r="AS21" s="34">
        <f>Costs!AS61</f>
        <v/>
      </c>
      <c r="AT21" s="34">
        <f>Costs!AT61</f>
        <v/>
      </c>
      <c r="AU21" s="34">
        <f>Costs!AU61</f>
        <v/>
      </c>
      <c r="AV21" s="34">
        <f>Costs!AV61</f>
        <v/>
      </c>
      <c r="AW21" s="34">
        <f>Costs!AW61</f>
        <v/>
      </c>
      <c r="AX21" s="34">
        <f>Costs!AX61</f>
        <v/>
      </c>
      <c r="AY21" s="34">
        <f>Costs!AY61</f>
        <v/>
      </c>
      <c r="AZ21" s="34">
        <f>Costs!AZ61</f>
        <v/>
      </c>
      <c r="BA21" s="34">
        <f>Costs!BA61</f>
        <v/>
      </c>
    </row>
    <row r="22" ht="14.25" customHeight="1" s="165">
      <c r="A22" s="3" t="inlineStr">
        <is>
          <t>Total Professional Services</t>
        </is>
      </c>
      <c r="B22" s="34">
        <f>Costs!B68</f>
        <v/>
      </c>
      <c r="C22" s="34">
        <f>Costs!C68</f>
        <v/>
      </c>
      <c r="D22" s="34">
        <f>Costs!D68</f>
        <v/>
      </c>
      <c r="E22" s="34">
        <f>Costs!E68</f>
        <v/>
      </c>
      <c r="F22" s="34">
        <f>Costs!F68</f>
        <v/>
      </c>
      <c r="G22" s="34">
        <f>Costs!G68</f>
        <v/>
      </c>
      <c r="H22" s="34">
        <f>Costs!H68</f>
        <v/>
      </c>
      <c r="I22" s="34">
        <f>Costs!I68</f>
        <v/>
      </c>
      <c r="J22" s="34">
        <f>Costs!J68</f>
        <v/>
      </c>
      <c r="K22" s="34">
        <f>Costs!K68</f>
        <v/>
      </c>
      <c r="L22" s="34">
        <f>Costs!L68</f>
        <v/>
      </c>
      <c r="M22" s="34">
        <f>Costs!M68</f>
        <v/>
      </c>
      <c r="N22" s="34">
        <f>Costs!N68</f>
        <v/>
      </c>
      <c r="O22" s="34">
        <f>Costs!O68</f>
        <v/>
      </c>
      <c r="P22" s="34">
        <f>Costs!P68</f>
        <v/>
      </c>
      <c r="Q22" s="34">
        <f>Costs!Q68</f>
        <v/>
      </c>
      <c r="R22" s="34">
        <f>Costs!R68</f>
        <v/>
      </c>
      <c r="S22" s="34">
        <f>Costs!S68</f>
        <v/>
      </c>
      <c r="T22" s="34">
        <f>Costs!T68</f>
        <v/>
      </c>
      <c r="U22" s="34">
        <f>Costs!U68</f>
        <v/>
      </c>
      <c r="V22" s="34">
        <f>Costs!V68</f>
        <v/>
      </c>
      <c r="W22" s="34">
        <f>Costs!W68</f>
        <v/>
      </c>
      <c r="X22" s="34">
        <f>Costs!X68</f>
        <v/>
      </c>
      <c r="Y22" s="34">
        <f>Costs!Y68</f>
        <v/>
      </c>
      <c r="Z22" s="34">
        <f>Costs!Z68</f>
        <v/>
      </c>
      <c r="AA22" s="34">
        <f>Costs!AA68</f>
        <v/>
      </c>
      <c r="AB22" s="34">
        <f>Costs!AB68</f>
        <v/>
      </c>
      <c r="AC22" s="34">
        <f>Costs!AC68</f>
        <v/>
      </c>
      <c r="AD22" s="34">
        <f>Costs!AD68</f>
        <v/>
      </c>
      <c r="AE22" s="34">
        <f>Costs!AE68</f>
        <v/>
      </c>
      <c r="AF22" s="34">
        <f>Costs!AF68</f>
        <v/>
      </c>
      <c r="AG22" s="34">
        <f>Costs!AG68</f>
        <v/>
      </c>
      <c r="AH22" s="34">
        <f>Costs!AH68</f>
        <v/>
      </c>
      <c r="AI22" s="34">
        <f>Costs!AI68</f>
        <v/>
      </c>
      <c r="AJ22" s="34">
        <f>Costs!AJ68</f>
        <v/>
      </c>
      <c r="AK22" s="34">
        <f>Costs!AK68</f>
        <v/>
      </c>
      <c r="AL22" s="34">
        <f>Costs!AL68</f>
        <v/>
      </c>
      <c r="AM22" s="34">
        <f>Costs!AM68</f>
        <v/>
      </c>
      <c r="AN22" s="34">
        <f>Costs!AN68</f>
        <v/>
      </c>
      <c r="AO22" s="34">
        <f>Costs!AO68</f>
        <v/>
      </c>
      <c r="AP22" s="34">
        <f>Costs!AP68</f>
        <v/>
      </c>
      <c r="AQ22" s="34">
        <f>Costs!AQ68</f>
        <v/>
      </c>
      <c r="AR22" s="34">
        <f>Costs!AR68</f>
        <v/>
      </c>
      <c r="AS22" s="34">
        <f>Costs!AS68</f>
        <v/>
      </c>
      <c r="AT22" s="34">
        <f>Costs!AT68</f>
        <v/>
      </c>
      <c r="AU22" s="34">
        <f>Costs!AU68</f>
        <v/>
      </c>
      <c r="AV22" s="34">
        <f>Costs!AV68</f>
        <v/>
      </c>
      <c r="AW22" s="34">
        <f>Costs!AW68</f>
        <v/>
      </c>
      <c r="AX22" s="34">
        <f>Costs!AX68</f>
        <v/>
      </c>
      <c r="AY22" s="34">
        <f>Costs!AY68</f>
        <v/>
      </c>
      <c r="AZ22" s="34">
        <f>Costs!AZ68</f>
        <v/>
      </c>
      <c r="BA22" s="34">
        <f>Costs!BA68</f>
        <v/>
      </c>
    </row>
    <row r="23" ht="14.25" customHeight="1" s="165">
      <c r="A23" s="3" t="inlineStr">
        <is>
          <t>Total Insurance &amp; Bank</t>
        </is>
      </c>
      <c r="B23" s="34">
        <f>Costs!B75</f>
        <v/>
      </c>
      <c r="C23" s="34">
        <f>Costs!C75</f>
        <v/>
      </c>
      <c r="D23" s="34">
        <f>Costs!D75</f>
        <v/>
      </c>
      <c r="E23" s="34">
        <f>Costs!E75</f>
        <v/>
      </c>
      <c r="F23" s="34">
        <f>Costs!F75</f>
        <v/>
      </c>
      <c r="G23" s="34">
        <f>Costs!G75</f>
        <v/>
      </c>
      <c r="H23" s="34">
        <f>Costs!H75</f>
        <v/>
      </c>
      <c r="I23" s="34">
        <f>Costs!I75</f>
        <v/>
      </c>
      <c r="J23" s="34">
        <f>Costs!J75</f>
        <v/>
      </c>
      <c r="K23" s="34">
        <f>Costs!K75</f>
        <v/>
      </c>
      <c r="L23" s="34">
        <f>Costs!L75</f>
        <v/>
      </c>
      <c r="M23" s="34">
        <f>Costs!M75</f>
        <v/>
      </c>
      <c r="N23" s="34">
        <f>Costs!N75</f>
        <v/>
      </c>
      <c r="O23" s="34">
        <f>Costs!O75</f>
        <v/>
      </c>
      <c r="P23" s="34">
        <f>Costs!P75</f>
        <v/>
      </c>
      <c r="Q23" s="34">
        <f>Costs!Q75</f>
        <v/>
      </c>
      <c r="R23" s="34">
        <f>Costs!R75</f>
        <v/>
      </c>
      <c r="S23" s="34">
        <f>Costs!S75</f>
        <v/>
      </c>
      <c r="T23" s="34">
        <f>Costs!T75</f>
        <v/>
      </c>
      <c r="U23" s="34">
        <f>Costs!U75</f>
        <v/>
      </c>
      <c r="V23" s="34">
        <f>Costs!V75</f>
        <v/>
      </c>
      <c r="W23" s="34">
        <f>Costs!W75</f>
        <v/>
      </c>
      <c r="X23" s="34">
        <f>Costs!X75</f>
        <v/>
      </c>
      <c r="Y23" s="34">
        <f>Costs!Y75</f>
        <v/>
      </c>
      <c r="Z23" s="34">
        <f>Costs!Z75</f>
        <v/>
      </c>
      <c r="AA23" s="34">
        <f>Costs!AA75</f>
        <v/>
      </c>
      <c r="AB23" s="34">
        <f>Costs!AB75</f>
        <v/>
      </c>
      <c r="AC23" s="34">
        <f>Costs!AC75</f>
        <v/>
      </c>
      <c r="AD23" s="34">
        <f>Costs!AD75</f>
        <v/>
      </c>
      <c r="AE23" s="34">
        <f>Costs!AE75</f>
        <v/>
      </c>
      <c r="AF23" s="34">
        <f>Costs!AF75</f>
        <v/>
      </c>
      <c r="AG23" s="34">
        <f>Costs!AG75</f>
        <v/>
      </c>
      <c r="AH23" s="34">
        <f>Costs!AH75</f>
        <v/>
      </c>
      <c r="AI23" s="34">
        <f>Costs!AI75</f>
        <v/>
      </c>
      <c r="AJ23" s="34">
        <f>Costs!AJ75</f>
        <v/>
      </c>
      <c r="AK23" s="34">
        <f>Costs!AK75</f>
        <v/>
      </c>
      <c r="AL23" s="34">
        <f>Costs!AL75</f>
        <v/>
      </c>
      <c r="AM23" s="34">
        <f>Costs!AM75</f>
        <v/>
      </c>
      <c r="AN23" s="34">
        <f>Costs!AN75</f>
        <v/>
      </c>
      <c r="AO23" s="34">
        <f>Costs!AO75</f>
        <v/>
      </c>
      <c r="AP23" s="34">
        <f>Costs!AP75</f>
        <v/>
      </c>
      <c r="AQ23" s="34">
        <f>Costs!AQ75</f>
        <v/>
      </c>
      <c r="AR23" s="34">
        <f>Costs!AR75</f>
        <v/>
      </c>
      <c r="AS23" s="34">
        <f>Costs!AS75</f>
        <v/>
      </c>
      <c r="AT23" s="34">
        <f>Costs!AT75</f>
        <v/>
      </c>
      <c r="AU23" s="34">
        <f>Costs!AU75</f>
        <v/>
      </c>
      <c r="AV23" s="34">
        <f>Costs!AV75</f>
        <v/>
      </c>
      <c r="AW23" s="34">
        <f>Costs!AW75</f>
        <v/>
      </c>
      <c r="AX23" s="34">
        <f>Costs!AX75</f>
        <v/>
      </c>
      <c r="AY23" s="34">
        <f>Costs!AY75</f>
        <v/>
      </c>
      <c r="AZ23" s="34">
        <f>Costs!AZ75</f>
        <v/>
      </c>
      <c r="BA23" s="34">
        <f>Costs!BA75</f>
        <v/>
      </c>
    </row>
    <row r="24" ht="14.25" customHeight="1" s="165">
      <c r="A24" s="3" t="inlineStr">
        <is>
          <t>Total Marketing &amp; Sales</t>
        </is>
      </c>
      <c r="B24" s="34">
        <f>Costs!B84</f>
        <v/>
      </c>
      <c r="C24" s="34">
        <f>Costs!C84</f>
        <v/>
      </c>
      <c r="D24" s="34">
        <f>Costs!D84</f>
        <v/>
      </c>
      <c r="E24" s="34">
        <f>Costs!E84</f>
        <v/>
      </c>
      <c r="F24" s="34">
        <f>Costs!F84</f>
        <v/>
      </c>
      <c r="G24" s="34">
        <f>Costs!G84</f>
        <v/>
      </c>
      <c r="H24" s="34">
        <f>Costs!H84</f>
        <v/>
      </c>
      <c r="I24" s="34">
        <f>Costs!I84</f>
        <v/>
      </c>
      <c r="J24" s="34">
        <f>Costs!J84</f>
        <v/>
      </c>
      <c r="K24" s="34">
        <f>Costs!K84</f>
        <v/>
      </c>
      <c r="L24" s="34">
        <f>Costs!L84</f>
        <v/>
      </c>
      <c r="M24" s="34">
        <f>Costs!M84</f>
        <v/>
      </c>
      <c r="N24" s="34">
        <f>Costs!N84</f>
        <v/>
      </c>
      <c r="O24" s="34">
        <f>Costs!O84</f>
        <v/>
      </c>
      <c r="P24" s="34">
        <f>Costs!P84</f>
        <v/>
      </c>
      <c r="Q24" s="34">
        <f>Costs!Q84</f>
        <v/>
      </c>
      <c r="R24" s="34">
        <f>Costs!R84</f>
        <v/>
      </c>
      <c r="S24" s="34">
        <f>Costs!S84</f>
        <v/>
      </c>
      <c r="T24" s="34">
        <f>Costs!T84</f>
        <v/>
      </c>
      <c r="U24" s="34">
        <f>Costs!U84</f>
        <v/>
      </c>
      <c r="V24" s="34">
        <f>Costs!V84</f>
        <v/>
      </c>
      <c r="W24" s="34">
        <f>Costs!W84</f>
        <v/>
      </c>
      <c r="X24" s="34">
        <f>Costs!X84</f>
        <v/>
      </c>
      <c r="Y24" s="34">
        <f>Costs!Y84</f>
        <v/>
      </c>
      <c r="Z24" s="34">
        <f>Costs!Z84</f>
        <v/>
      </c>
      <c r="AA24" s="34">
        <f>Costs!AA84</f>
        <v/>
      </c>
      <c r="AB24" s="34">
        <f>Costs!AB84</f>
        <v/>
      </c>
      <c r="AC24" s="34">
        <f>Costs!AC84</f>
        <v/>
      </c>
      <c r="AD24" s="34">
        <f>Costs!AD84</f>
        <v/>
      </c>
      <c r="AE24" s="34">
        <f>Costs!AE84</f>
        <v/>
      </c>
      <c r="AF24" s="34">
        <f>Costs!AF84</f>
        <v/>
      </c>
      <c r="AG24" s="34">
        <f>Costs!AG84</f>
        <v/>
      </c>
      <c r="AH24" s="34">
        <f>Costs!AH84</f>
        <v/>
      </c>
      <c r="AI24" s="34">
        <f>Costs!AI84</f>
        <v/>
      </c>
      <c r="AJ24" s="34">
        <f>Costs!AJ84</f>
        <v/>
      </c>
      <c r="AK24" s="34">
        <f>Costs!AK84</f>
        <v/>
      </c>
      <c r="AL24" s="34">
        <f>Costs!AL84</f>
        <v/>
      </c>
      <c r="AM24" s="34">
        <f>Costs!AM84</f>
        <v/>
      </c>
      <c r="AN24" s="34">
        <f>Costs!AN84</f>
        <v/>
      </c>
      <c r="AO24" s="34">
        <f>Costs!AO84</f>
        <v/>
      </c>
      <c r="AP24" s="34">
        <f>Costs!AP84</f>
        <v/>
      </c>
      <c r="AQ24" s="34">
        <f>Costs!AQ84</f>
        <v/>
      </c>
      <c r="AR24" s="34">
        <f>Costs!AR84</f>
        <v/>
      </c>
      <c r="AS24" s="34">
        <f>Costs!AS84</f>
        <v/>
      </c>
      <c r="AT24" s="34">
        <f>Costs!AT84</f>
        <v/>
      </c>
      <c r="AU24" s="34">
        <f>Costs!AU84</f>
        <v/>
      </c>
      <c r="AV24" s="34">
        <f>Costs!AV84</f>
        <v/>
      </c>
      <c r="AW24" s="34">
        <f>Costs!AW84</f>
        <v/>
      </c>
      <c r="AX24" s="34">
        <f>Costs!AX84</f>
        <v/>
      </c>
      <c r="AY24" s="34">
        <f>Costs!AY84</f>
        <v/>
      </c>
      <c r="AZ24" s="34">
        <f>Costs!AZ84</f>
        <v/>
      </c>
      <c r="BA24" s="34">
        <f>Costs!BA84</f>
        <v/>
      </c>
    </row>
    <row r="25" ht="14.25" customHeight="1" s="165">
      <c r="A25" s="3" t="inlineStr">
        <is>
          <t>Total Other OpEx</t>
        </is>
      </c>
      <c r="B25" s="34">
        <f>Costs!B92</f>
        <v/>
      </c>
      <c r="C25" s="34">
        <f>Costs!C92</f>
        <v/>
      </c>
      <c r="D25" s="34">
        <f>Costs!D92</f>
        <v/>
      </c>
      <c r="E25" s="34">
        <f>Costs!E92</f>
        <v/>
      </c>
      <c r="F25" s="34">
        <f>Costs!F92</f>
        <v/>
      </c>
      <c r="G25" s="34">
        <f>Costs!G92</f>
        <v/>
      </c>
      <c r="H25" s="34">
        <f>Costs!H92</f>
        <v/>
      </c>
      <c r="I25" s="34">
        <f>Costs!I92</f>
        <v/>
      </c>
      <c r="J25" s="34">
        <f>Costs!J92</f>
        <v/>
      </c>
      <c r="K25" s="34">
        <f>Costs!K92</f>
        <v/>
      </c>
      <c r="L25" s="34">
        <f>Costs!L92</f>
        <v/>
      </c>
      <c r="M25" s="34">
        <f>Costs!M92</f>
        <v/>
      </c>
      <c r="N25" s="34">
        <f>Costs!N92</f>
        <v/>
      </c>
      <c r="O25" s="34">
        <f>Costs!O92</f>
        <v/>
      </c>
      <c r="P25" s="34">
        <f>Costs!P92</f>
        <v/>
      </c>
      <c r="Q25" s="34">
        <f>Costs!Q92</f>
        <v/>
      </c>
      <c r="R25" s="34">
        <f>Costs!R92</f>
        <v/>
      </c>
      <c r="S25" s="34">
        <f>Costs!S92</f>
        <v/>
      </c>
      <c r="T25" s="34">
        <f>Costs!T92</f>
        <v/>
      </c>
      <c r="U25" s="34">
        <f>Costs!U92</f>
        <v/>
      </c>
      <c r="V25" s="34">
        <f>Costs!V92</f>
        <v/>
      </c>
      <c r="W25" s="34">
        <f>Costs!W92</f>
        <v/>
      </c>
      <c r="X25" s="34">
        <f>Costs!X92</f>
        <v/>
      </c>
      <c r="Y25" s="34">
        <f>Costs!Y92</f>
        <v/>
      </c>
      <c r="Z25" s="34">
        <f>Costs!Z92</f>
        <v/>
      </c>
      <c r="AA25" s="34">
        <f>Costs!AA92</f>
        <v/>
      </c>
      <c r="AB25" s="34">
        <f>Costs!AB92</f>
        <v/>
      </c>
      <c r="AC25" s="34">
        <f>Costs!AC92</f>
        <v/>
      </c>
      <c r="AD25" s="34">
        <f>Costs!AD92</f>
        <v/>
      </c>
      <c r="AE25" s="34">
        <f>Costs!AE92</f>
        <v/>
      </c>
      <c r="AF25" s="34">
        <f>Costs!AF92</f>
        <v/>
      </c>
      <c r="AG25" s="34">
        <f>Costs!AG92</f>
        <v/>
      </c>
      <c r="AH25" s="34">
        <f>Costs!AH92</f>
        <v/>
      </c>
      <c r="AI25" s="34">
        <f>Costs!AI92</f>
        <v/>
      </c>
      <c r="AJ25" s="34">
        <f>Costs!AJ92</f>
        <v/>
      </c>
      <c r="AK25" s="34">
        <f>Costs!AK92</f>
        <v/>
      </c>
      <c r="AL25" s="34">
        <f>Costs!AL92</f>
        <v/>
      </c>
      <c r="AM25" s="34">
        <f>Costs!AM92</f>
        <v/>
      </c>
      <c r="AN25" s="34">
        <f>Costs!AN92</f>
        <v/>
      </c>
      <c r="AO25" s="34">
        <f>Costs!AO92</f>
        <v/>
      </c>
      <c r="AP25" s="34">
        <f>Costs!AP92</f>
        <v/>
      </c>
      <c r="AQ25" s="34">
        <f>Costs!AQ92</f>
        <v/>
      </c>
      <c r="AR25" s="34">
        <f>Costs!AR92</f>
        <v/>
      </c>
      <c r="AS25" s="34">
        <f>Costs!AS92</f>
        <v/>
      </c>
      <c r="AT25" s="34">
        <f>Costs!AT92</f>
        <v/>
      </c>
      <c r="AU25" s="34">
        <f>Costs!AU92</f>
        <v/>
      </c>
      <c r="AV25" s="34">
        <f>Costs!AV92</f>
        <v/>
      </c>
      <c r="AW25" s="34">
        <f>Costs!AW92</f>
        <v/>
      </c>
      <c r="AX25" s="34">
        <f>Costs!AX92</f>
        <v/>
      </c>
      <c r="AY25" s="34">
        <f>Costs!AY92</f>
        <v/>
      </c>
      <c r="AZ25" s="34">
        <f>Costs!AZ92</f>
        <v/>
      </c>
      <c r="BA25" s="34">
        <f>Costs!BA92</f>
        <v/>
      </c>
    </row>
    <row r="26" ht="14.25" customHeight="1" s="165">
      <c r="A26" s="3" t="inlineStr">
        <is>
          <t>Contingency/Buffer</t>
        </is>
      </c>
      <c r="B26" s="34">
        <f>Costs!B97</f>
        <v/>
      </c>
      <c r="C26" s="34">
        <f>Costs!C97</f>
        <v/>
      </c>
      <c r="D26" s="34">
        <f>Costs!D97</f>
        <v/>
      </c>
      <c r="E26" s="34">
        <f>Costs!E97</f>
        <v/>
      </c>
      <c r="F26" s="34">
        <f>Costs!F97</f>
        <v/>
      </c>
      <c r="G26" s="34">
        <f>Costs!G97</f>
        <v/>
      </c>
      <c r="H26" s="34">
        <f>Costs!H97</f>
        <v/>
      </c>
      <c r="I26" s="34">
        <f>Costs!I97</f>
        <v/>
      </c>
      <c r="J26" s="34">
        <f>Costs!J97</f>
        <v/>
      </c>
      <c r="K26" s="34">
        <f>Costs!K97</f>
        <v/>
      </c>
      <c r="L26" s="34">
        <f>Costs!L97</f>
        <v/>
      </c>
      <c r="M26" s="34">
        <f>Costs!M97</f>
        <v/>
      </c>
      <c r="N26" s="34">
        <f>Costs!N97</f>
        <v/>
      </c>
      <c r="O26" s="34">
        <f>Costs!O97</f>
        <v/>
      </c>
      <c r="P26" s="34">
        <f>Costs!P97</f>
        <v/>
      </c>
      <c r="Q26" s="34">
        <f>Costs!Q97</f>
        <v/>
      </c>
      <c r="R26" s="34">
        <f>Costs!R97</f>
        <v/>
      </c>
      <c r="S26" s="34">
        <f>Costs!S97</f>
        <v/>
      </c>
      <c r="T26" s="34">
        <f>Costs!T97</f>
        <v/>
      </c>
      <c r="U26" s="34">
        <f>Costs!U97</f>
        <v/>
      </c>
      <c r="V26" s="34">
        <f>Costs!V97</f>
        <v/>
      </c>
      <c r="W26" s="34">
        <f>Costs!W97</f>
        <v/>
      </c>
      <c r="X26" s="34">
        <f>Costs!X97</f>
        <v/>
      </c>
      <c r="Y26" s="34">
        <f>Costs!Y97</f>
        <v/>
      </c>
      <c r="Z26" s="34">
        <f>Costs!Z97</f>
        <v/>
      </c>
      <c r="AA26" s="34">
        <f>Costs!AA97</f>
        <v/>
      </c>
      <c r="AB26" s="34">
        <f>Costs!AB97</f>
        <v/>
      </c>
      <c r="AC26" s="34">
        <f>Costs!AC97</f>
        <v/>
      </c>
      <c r="AD26" s="34">
        <f>Costs!AD97</f>
        <v/>
      </c>
      <c r="AE26" s="34">
        <f>Costs!AE97</f>
        <v/>
      </c>
      <c r="AF26" s="34">
        <f>Costs!AF97</f>
        <v/>
      </c>
      <c r="AG26" s="34">
        <f>Costs!AG97</f>
        <v/>
      </c>
      <c r="AH26" s="34">
        <f>Costs!AH97</f>
        <v/>
      </c>
      <c r="AI26" s="34">
        <f>Costs!AI97</f>
        <v/>
      </c>
      <c r="AJ26" s="34">
        <f>Costs!AJ97</f>
        <v/>
      </c>
      <c r="AK26" s="34">
        <f>Costs!AK97</f>
        <v/>
      </c>
      <c r="AL26" s="34">
        <f>Costs!AL97</f>
        <v/>
      </c>
      <c r="AM26" s="34">
        <f>Costs!AM97</f>
        <v/>
      </c>
      <c r="AN26" s="34">
        <f>Costs!AN97</f>
        <v/>
      </c>
      <c r="AO26" s="34">
        <f>Costs!AO97</f>
        <v/>
      </c>
      <c r="AP26" s="34">
        <f>Costs!AP97</f>
        <v/>
      </c>
      <c r="AQ26" s="34">
        <f>Costs!AQ97</f>
        <v/>
      </c>
      <c r="AR26" s="34">
        <f>Costs!AR97</f>
        <v/>
      </c>
      <c r="AS26" s="34">
        <f>Costs!AS97</f>
        <v/>
      </c>
      <c r="AT26" s="34">
        <f>Costs!AT97</f>
        <v/>
      </c>
      <c r="AU26" s="34">
        <f>Costs!AU97</f>
        <v/>
      </c>
      <c r="AV26" s="34">
        <f>Costs!AV97</f>
        <v/>
      </c>
      <c r="AW26" s="34">
        <f>Costs!AW97</f>
        <v/>
      </c>
      <c r="AX26" s="34">
        <f>Costs!AX97</f>
        <v/>
      </c>
      <c r="AY26" s="34">
        <f>Costs!AY97</f>
        <v/>
      </c>
      <c r="AZ26" s="34">
        <f>Costs!AZ97</f>
        <v/>
      </c>
      <c r="BA26" s="34">
        <f>Costs!BA97</f>
        <v/>
      </c>
    </row>
    <row r="27" ht="14.25" customHeight="1" s="165">
      <c r="A27" s="2" t="inlineStr">
        <is>
          <t>TOTAL OPERATING EXPENSES</t>
        </is>
      </c>
      <c r="B27" s="35">
        <f>SUM(B19:B26)</f>
        <v/>
      </c>
      <c r="C27" s="35">
        <f>SUM(C19:C26)</f>
        <v/>
      </c>
      <c r="D27" s="35">
        <f>SUM(D19:D26)</f>
        <v/>
      </c>
      <c r="E27" s="35">
        <f>SUM(E19:E26)</f>
        <v/>
      </c>
      <c r="F27" s="35">
        <f>SUM(F19:F26)</f>
        <v/>
      </c>
      <c r="G27" s="35">
        <f>SUM(G19:G26)</f>
        <v/>
      </c>
      <c r="H27" s="35">
        <f>SUM(H19:H26)</f>
        <v/>
      </c>
      <c r="I27" s="35">
        <f>SUM(I19:I26)</f>
        <v/>
      </c>
      <c r="J27" s="35">
        <f>SUM(J19:J26)</f>
        <v/>
      </c>
      <c r="K27" s="35">
        <f>SUM(K19:K26)</f>
        <v/>
      </c>
      <c r="L27" s="35">
        <f>SUM(L19:L26)</f>
        <v/>
      </c>
      <c r="M27" s="35">
        <f>SUM(M19:M26)</f>
        <v/>
      </c>
      <c r="N27" s="35">
        <f>SUM(N19:N26)</f>
        <v/>
      </c>
      <c r="O27" s="35">
        <f>SUM(O19:O26)</f>
        <v/>
      </c>
      <c r="P27" s="35">
        <f>SUM(P19:P26)</f>
        <v/>
      </c>
      <c r="Q27" s="35">
        <f>SUM(Q19:Q26)</f>
        <v/>
      </c>
      <c r="R27" s="35">
        <f>SUM(R19:R26)</f>
        <v/>
      </c>
      <c r="S27" s="35">
        <f>SUM(S19:S26)</f>
        <v/>
      </c>
      <c r="T27" s="35">
        <f>SUM(T19:T26)</f>
        <v/>
      </c>
      <c r="U27" s="35">
        <f>SUM(U19:U26)</f>
        <v/>
      </c>
      <c r="V27" s="35">
        <f>SUM(V19:V26)</f>
        <v/>
      </c>
      <c r="W27" s="35">
        <f>SUM(W19:W26)</f>
        <v/>
      </c>
      <c r="X27" s="35">
        <f>SUM(X19:X26)</f>
        <v/>
      </c>
      <c r="Y27" s="35">
        <f>SUM(Y19:Y26)</f>
        <v/>
      </c>
      <c r="Z27" s="35">
        <f>SUM(Z19:Z26)</f>
        <v/>
      </c>
      <c r="AA27" s="35">
        <f>SUM(AA19:AA26)</f>
        <v/>
      </c>
      <c r="AB27" s="35">
        <f>SUM(AB19:AB26)</f>
        <v/>
      </c>
      <c r="AC27" s="35">
        <f>SUM(AC19:AC26)</f>
        <v/>
      </c>
      <c r="AD27" s="35">
        <f>SUM(AD19:AD26)</f>
        <v/>
      </c>
      <c r="AE27" s="35">
        <f>SUM(AE19:AE26)</f>
        <v/>
      </c>
      <c r="AF27" s="35">
        <f>SUM(AF19:AF26)</f>
        <v/>
      </c>
      <c r="AG27" s="35">
        <f>SUM(AG19:AG26)</f>
        <v/>
      </c>
      <c r="AH27" s="35">
        <f>SUM(AH19:AH26)</f>
        <v/>
      </c>
      <c r="AI27" s="35">
        <f>SUM(AI19:AI26)</f>
        <v/>
      </c>
      <c r="AJ27" s="35">
        <f>SUM(AJ19:AJ26)</f>
        <v/>
      </c>
      <c r="AK27" s="35">
        <f>SUM(AK19:AK26)</f>
        <v/>
      </c>
      <c r="AL27" s="35">
        <f>SUM(AL19:AL26)</f>
        <v/>
      </c>
      <c r="AM27" s="35">
        <f>SUM(AM19:AM26)</f>
        <v/>
      </c>
      <c r="AN27" s="35">
        <f>SUM(AN19:AN26)</f>
        <v/>
      </c>
      <c r="AO27" s="35">
        <f>SUM(AO19:AO26)</f>
        <v/>
      </c>
      <c r="AP27" s="35">
        <f>SUM(AP19:AP26)</f>
        <v/>
      </c>
      <c r="AQ27" s="35">
        <f>SUM(AQ19:AQ26)</f>
        <v/>
      </c>
      <c r="AR27" s="35">
        <f>SUM(AR19:AR26)</f>
        <v/>
      </c>
      <c r="AS27" s="35">
        <f>SUM(AS19:AS26)</f>
        <v/>
      </c>
      <c r="AT27" s="35">
        <f>SUM(AT19:AT26)</f>
        <v/>
      </c>
      <c r="AU27" s="35">
        <f>SUM(AU19:AU26)</f>
        <v/>
      </c>
      <c r="AV27" s="35">
        <f>SUM(AV19:AV26)</f>
        <v/>
      </c>
      <c r="AW27" s="35">
        <f>SUM(AW19:AW26)</f>
        <v/>
      </c>
      <c r="AX27" s="35">
        <f>SUM(AX19:AX26)</f>
        <v/>
      </c>
      <c r="AY27" s="35">
        <f>SUM(AY19:AY26)</f>
        <v/>
      </c>
      <c r="AZ27" s="35">
        <f>SUM(AZ19:AZ26)</f>
        <v/>
      </c>
      <c r="BA27" s="35">
        <f>SUM(BA19:BA26)</f>
        <v/>
      </c>
    </row>
    <row r="28" ht="14.25" customHeight="1" s="165"/>
    <row r="29" ht="14.25" customHeight="1" s="165">
      <c r="A29" s="2" t="inlineStr">
        <is>
          <t>EBITDA</t>
        </is>
      </c>
      <c r="B29" s="35">
        <f>B15-B27</f>
        <v/>
      </c>
      <c r="C29" s="35">
        <f>C15-C27</f>
        <v/>
      </c>
      <c r="D29" s="35">
        <f>D15-D27</f>
        <v/>
      </c>
      <c r="E29" s="35">
        <f>E15-E27</f>
        <v/>
      </c>
      <c r="F29" s="35">
        <f>F15-F27</f>
        <v/>
      </c>
      <c r="G29" s="35">
        <f>G15-G27</f>
        <v/>
      </c>
      <c r="H29" s="35">
        <f>H15-H27</f>
        <v/>
      </c>
      <c r="I29" s="35">
        <f>I15-I27</f>
        <v/>
      </c>
      <c r="J29" s="35">
        <f>J15-J27</f>
        <v/>
      </c>
      <c r="K29" s="35">
        <f>K15-K27</f>
        <v/>
      </c>
      <c r="L29" s="35">
        <f>L15-L27</f>
        <v/>
      </c>
      <c r="M29" s="35">
        <f>M15-M27</f>
        <v/>
      </c>
      <c r="N29" s="35">
        <f>N15-N27</f>
        <v/>
      </c>
      <c r="O29" s="35">
        <f>O15-O27</f>
        <v/>
      </c>
      <c r="P29" s="35">
        <f>P15-P27</f>
        <v/>
      </c>
      <c r="Q29" s="35">
        <f>Q15-Q27</f>
        <v/>
      </c>
      <c r="R29" s="35">
        <f>R15-R27</f>
        <v/>
      </c>
      <c r="S29" s="35">
        <f>S15-S27</f>
        <v/>
      </c>
      <c r="T29" s="35">
        <f>T15-T27</f>
        <v/>
      </c>
      <c r="U29" s="35">
        <f>U15-U27</f>
        <v/>
      </c>
      <c r="V29" s="35">
        <f>V15-V27</f>
        <v/>
      </c>
      <c r="W29" s="35">
        <f>W15-W27</f>
        <v/>
      </c>
      <c r="X29" s="35">
        <f>X15-X27</f>
        <v/>
      </c>
      <c r="Y29" s="35">
        <f>Y15-Y27</f>
        <v/>
      </c>
      <c r="Z29" s="35">
        <f>Z15-Z27</f>
        <v/>
      </c>
      <c r="AA29" s="35">
        <f>AA15-AA27</f>
        <v/>
      </c>
      <c r="AB29" s="35">
        <f>AB15-AB27</f>
        <v/>
      </c>
      <c r="AC29" s="35">
        <f>AC15-AC27</f>
        <v/>
      </c>
      <c r="AD29" s="35">
        <f>AD15-AD27</f>
        <v/>
      </c>
      <c r="AE29" s="35">
        <f>AE15-AE27</f>
        <v/>
      </c>
      <c r="AF29" s="35">
        <f>AF15-AF27</f>
        <v/>
      </c>
      <c r="AG29" s="35">
        <f>AG15-AG27</f>
        <v/>
      </c>
      <c r="AH29" s="35">
        <f>AH15-AH27</f>
        <v/>
      </c>
      <c r="AI29" s="35">
        <f>AI15-AI27</f>
        <v/>
      </c>
      <c r="AJ29" s="35">
        <f>AJ15-AJ27</f>
        <v/>
      </c>
      <c r="AK29" s="35">
        <f>AK15-AK27</f>
        <v/>
      </c>
      <c r="AL29" s="35">
        <f>AL15-AL27</f>
        <v/>
      </c>
      <c r="AM29" s="35">
        <f>AM15-AM27</f>
        <v/>
      </c>
      <c r="AN29" s="35">
        <f>AN15-AN27</f>
        <v/>
      </c>
      <c r="AO29" s="35">
        <f>AO15-AO27</f>
        <v/>
      </c>
      <c r="AP29" s="35">
        <f>AP15-AP27</f>
        <v/>
      </c>
      <c r="AQ29" s="35">
        <f>AQ15-AQ27</f>
        <v/>
      </c>
      <c r="AR29" s="35">
        <f>AR15-AR27</f>
        <v/>
      </c>
      <c r="AS29" s="35">
        <f>AS15-AS27</f>
        <v/>
      </c>
      <c r="AT29" s="35">
        <f>AT15-AT27</f>
        <v/>
      </c>
      <c r="AU29" s="35">
        <f>AU15-AU27</f>
        <v/>
      </c>
      <c r="AV29" s="35">
        <f>AV15-AV27</f>
        <v/>
      </c>
      <c r="AW29" s="35">
        <f>AW15-AW27</f>
        <v/>
      </c>
      <c r="AX29" s="35">
        <f>AX15-AX27</f>
        <v/>
      </c>
      <c r="AY29" s="35">
        <f>AY15-AY27</f>
        <v/>
      </c>
      <c r="AZ29" s="35">
        <f>AZ15-AZ27</f>
        <v/>
      </c>
      <c r="BA29" s="35">
        <f>BA15-BA27</f>
        <v/>
      </c>
    </row>
    <row r="30" ht="14.25" customHeight="1" s="165">
      <c r="A30" s="3" t="inlineStr">
        <is>
          <t>EBITDA Margin %</t>
        </is>
      </c>
      <c r="B30" s="36">
        <f>IFERROR(B29/B8,0)</f>
        <v/>
      </c>
      <c r="C30" s="36">
        <f>IFERROR(C29/C8,0)</f>
        <v/>
      </c>
      <c r="D30" s="36">
        <f>IFERROR(D29/D8,0)</f>
        <v/>
      </c>
      <c r="E30" s="36">
        <f>IFERROR(E29/E8,0)</f>
        <v/>
      </c>
      <c r="F30" s="36">
        <f>IFERROR(F29/F8,0)</f>
        <v/>
      </c>
      <c r="G30" s="36">
        <f>IFERROR(G29/G8,0)</f>
        <v/>
      </c>
      <c r="H30" s="36">
        <f>IFERROR(H29/H8,0)</f>
        <v/>
      </c>
      <c r="I30" s="36">
        <f>IFERROR(I29/I8,0)</f>
        <v/>
      </c>
      <c r="J30" s="36">
        <f>IFERROR(J29/J8,0)</f>
        <v/>
      </c>
      <c r="K30" s="36">
        <f>IFERROR(K29/K8,0)</f>
        <v/>
      </c>
      <c r="L30" s="36">
        <f>IFERROR(L29/L8,0)</f>
        <v/>
      </c>
      <c r="M30" s="36">
        <f>IFERROR(M29/M8,0)</f>
        <v/>
      </c>
      <c r="N30" s="36">
        <f>IFERROR(N29/N8,0)</f>
        <v/>
      </c>
      <c r="O30" s="36">
        <f>IFERROR(O29/O8,0)</f>
        <v/>
      </c>
      <c r="P30" s="36">
        <f>IFERROR(P29/P8,0)</f>
        <v/>
      </c>
      <c r="Q30" s="36">
        <f>IFERROR(Q29/Q8,0)</f>
        <v/>
      </c>
      <c r="R30" s="36">
        <f>IFERROR(R29/R8,0)</f>
        <v/>
      </c>
      <c r="S30" s="36">
        <f>IFERROR(S29/S8,0)</f>
        <v/>
      </c>
      <c r="T30" s="36">
        <f>IFERROR(T29/T8,0)</f>
        <v/>
      </c>
      <c r="U30" s="36">
        <f>IFERROR(U29/U8,0)</f>
        <v/>
      </c>
      <c r="V30" s="36">
        <f>IFERROR(V29/V8,0)</f>
        <v/>
      </c>
      <c r="W30" s="36">
        <f>IFERROR(W29/W8,0)</f>
        <v/>
      </c>
      <c r="X30" s="36">
        <f>IFERROR(X29/X8,0)</f>
        <v/>
      </c>
      <c r="Y30" s="36">
        <f>IFERROR(Y29/Y8,0)</f>
        <v/>
      </c>
      <c r="Z30" s="36">
        <f>IFERROR(Z29/Z8,0)</f>
        <v/>
      </c>
      <c r="AA30" s="36">
        <f>IFERROR(AA29/AA8,0)</f>
        <v/>
      </c>
      <c r="AB30" s="36">
        <f>IFERROR(AB29/AB8,0)</f>
        <v/>
      </c>
      <c r="AC30" s="36">
        <f>IFERROR(AC29/AC8,0)</f>
        <v/>
      </c>
      <c r="AD30" s="36">
        <f>IFERROR(AD29/AD8,0)</f>
        <v/>
      </c>
      <c r="AE30" s="36">
        <f>IFERROR(AE29/AE8,0)</f>
        <v/>
      </c>
      <c r="AF30" s="36">
        <f>IFERROR(AF29/AF8,0)</f>
        <v/>
      </c>
      <c r="AG30" s="36">
        <f>IFERROR(AG29/AG8,0)</f>
        <v/>
      </c>
      <c r="AH30" s="36">
        <f>IFERROR(AH29/AH8,0)</f>
        <v/>
      </c>
      <c r="AI30" s="36">
        <f>IFERROR(AI29/AI8,0)</f>
        <v/>
      </c>
      <c r="AJ30" s="36">
        <f>IFERROR(AJ29/AJ8,0)</f>
        <v/>
      </c>
      <c r="AK30" s="36">
        <f>IFERROR(AK29/AK8,0)</f>
        <v/>
      </c>
      <c r="AL30" s="36">
        <f>IFERROR(AL29/AL8,0)</f>
        <v/>
      </c>
      <c r="AM30" s="36">
        <f>IFERROR(AM29/AM8,0)</f>
        <v/>
      </c>
      <c r="AN30" s="36">
        <f>IFERROR(AN29/AN8,0)</f>
        <v/>
      </c>
      <c r="AO30" s="36">
        <f>IFERROR(AO29/AO8,0)</f>
        <v/>
      </c>
      <c r="AP30" s="36">
        <f>IFERROR(AP29/AP8,0)</f>
        <v/>
      </c>
      <c r="AQ30" s="36">
        <f>IFERROR(AQ29/AQ8,0)</f>
        <v/>
      </c>
      <c r="AR30" s="36">
        <f>IFERROR(AR29/AR8,0)</f>
        <v/>
      </c>
      <c r="AS30" s="36">
        <f>IFERROR(AS29/AS8,0)</f>
        <v/>
      </c>
      <c r="AT30" s="36">
        <f>IFERROR(AT29/AT8,0)</f>
        <v/>
      </c>
      <c r="AU30" s="36">
        <f>IFERROR(AU29/AU8,0)</f>
        <v/>
      </c>
      <c r="AV30" s="36">
        <f>IFERROR(AV29/AV8,0)</f>
        <v/>
      </c>
      <c r="AW30" s="36">
        <f>IFERROR(AW29/AW8,0)</f>
        <v/>
      </c>
      <c r="AX30" s="36">
        <f>IFERROR(AX29/AX8,0)</f>
        <v/>
      </c>
      <c r="AY30" s="36">
        <f>IFERROR(AY29/AY8,0)</f>
        <v/>
      </c>
      <c r="AZ30" s="36">
        <f>IFERROR(AZ29/AZ8,0)</f>
        <v/>
      </c>
      <c r="BA30" s="36">
        <f>IFERROR(BA29/BA8,0)</f>
        <v/>
      </c>
    </row>
    <row r="31" ht="14.25" customHeight="1" s="165"/>
    <row r="32" ht="14.25" customHeight="1" s="165">
      <c r="A32" s="3" t="inlineStr">
        <is>
          <t>Depreciation &amp; Amortization</t>
        </is>
      </c>
      <c r="B32" s="37">
        <f>Costs!B90/Inputs!$B$125/12</f>
        <v/>
      </c>
      <c r="C32" s="37">
        <f>Costs!C90/Inputs!$B$125/12</f>
        <v/>
      </c>
      <c r="D32" s="37">
        <f>Costs!D90/Inputs!$B$125/12</f>
        <v/>
      </c>
      <c r="E32" s="37">
        <f>Costs!E90/Inputs!$B$125/12</f>
        <v/>
      </c>
      <c r="F32" s="37">
        <f>Costs!F90/Inputs!$B$125/12</f>
        <v/>
      </c>
      <c r="G32" s="37">
        <f>Costs!G90/Inputs!$B$125/12</f>
        <v/>
      </c>
      <c r="H32" s="37">
        <f>Costs!H90/Inputs!$B$125/12</f>
        <v/>
      </c>
      <c r="I32" s="37">
        <f>Costs!I90/Inputs!$B$125/12</f>
        <v/>
      </c>
      <c r="J32" s="37">
        <f>Costs!J90/Inputs!$B$125/12</f>
        <v/>
      </c>
      <c r="K32" s="37">
        <f>Costs!K90/Inputs!$B$125/12</f>
        <v/>
      </c>
      <c r="L32" s="37">
        <f>Costs!L90/Inputs!$B$125/12</f>
        <v/>
      </c>
      <c r="M32" s="37">
        <f>Costs!M90/Inputs!$B$125/12</f>
        <v/>
      </c>
      <c r="N32" s="37">
        <f>Costs!N90/Inputs!$B$125/12</f>
        <v/>
      </c>
      <c r="O32" s="37">
        <f>Costs!O90/Inputs!$B$125/12</f>
        <v/>
      </c>
      <c r="P32" s="37">
        <f>Costs!P90/Inputs!$B$125/12</f>
        <v/>
      </c>
      <c r="Q32" s="37">
        <f>Costs!Q90/Inputs!$B$125/12</f>
        <v/>
      </c>
      <c r="R32" s="37">
        <f>Costs!R90/Inputs!$B$125/12</f>
        <v/>
      </c>
      <c r="S32" s="37">
        <f>Costs!S90/Inputs!$B$125/12</f>
        <v/>
      </c>
      <c r="T32" s="37">
        <f>Costs!T90/Inputs!$B$125/12</f>
        <v/>
      </c>
      <c r="U32" s="37">
        <f>Costs!U90/Inputs!$B$125/12</f>
        <v/>
      </c>
      <c r="V32" s="37">
        <f>Costs!V90/Inputs!$B$125/12</f>
        <v/>
      </c>
      <c r="W32" s="37">
        <f>Costs!W90/Inputs!$B$125/12</f>
        <v/>
      </c>
      <c r="X32" s="37">
        <f>Costs!X90/Inputs!$B$125/12</f>
        <v/>
      </c>
      <c r="Y32" s="37">
        <f>Costs!Y90/Inputs!$B$125/12</f>
        <v/>
      </c>
      <c r="Z32" s="37">
        <f>Costs!Z90/Inputs!$B$125/12</f>
        <v/>
      </c>
      <c r="AA32" s="37">
        <f>Costs!AA90/Inputs!$B$125/12</f>
        <v/>
      </c>
      <c r="AB32" s="37">
        <f>Costs!AB90/Inputs!$B$125/12</f>
        <v/>
      </c>
      <c r="AC32" s="37">
        <f>Costs!AC90/Inputs!$B$125/12</f>
        <v/>
      </c>
      <c r="AD32" s="37">
        <f>Costs!AD90/Inputs!$B$125/12</f>
        <v/>
      </c>
      <c r="AE32" s="37">
        <f>Costs!AE90/Inputs!$B$125/12</f>
        <v/>
      </c>
      <c r="AF32" s="37">
        <f>Costs!AF90/Inputs!$B$125/12</f>
        <v/>
      </c>
      <c r="AG32" s="37">
        <f>Costs!AG90/Inputs!$B$125/12</f>
        <v/>
      </c>
      <c r="AH32" s="37">
        <f>Costs!AH90/Inputs!$B$125/12</f>
        <v/>
      </c>
      <c r="AI32" s="37">
        <f>Costs!AI90/Inputs!$B$125/12</f>
        <v/>
      </c>
      <c r="AJ32" s="37">
        <f>Costs!AJ90/Inputs!$B$125/12</f>
        <v/>
      </c>
      <c r="AK32" s="37">
        <f>Costs!AK90/Inputs!$B$125/12</f>
        <v/>
      </c>
      <c r="AL32" s="37">
        <f>Costs!AL90/Inputs!$B$125/12</f>
        <v/>
      </c>
      <c r="AM32" s="37">
        <f>Costs!AM90/Inputs!$B$125/12</f>
        <v/>
      </c>
      <c r="AN32" s="37">
        <f>Costs!AN90/Inputs!$B$125/12</f>
        <v/>
      </c>
      <c r="AO32" s="37">
        <f>Costs!AO90/Inputs!$B$125/12</f>
        <v/>
      </c>
      <c r="AP32" s="37">
        <f>Costs!AP90/Inputs!$B$125/12</f>
        <v/>
      </c>
      <c r="AQ32" s="37">
        <f>Costs!AQ90/Inputs!$B$125/12</f>
        <v/>
      </c>
      <c r="AR32" s="37">
        <f>Costs!AR90/Inputs!$B$125/12</f>
        <v/>
      </c>
      <c r="AS32" s="37">
        <f>Costs!AS90/Inputs!$B$125/12</f>
        <v/>
      </c>
      <c r="AT32" s="37">
        <f>Costs!AT90/Inputs!$B$125/12</f>
        <v/>
      </c>
      <c r="AU32" s="37">
        <f>Costs!AU90/Inputs!$B$125/12</f>
        <v/>
      </c>
      <c r="AV32" s="37">
        <f>Costs!AV90/Inputs!$B$125/12</f>
        <v/>
      </c>
      <c r="AW32" s="37">
        <f>Costs!AW90/Inputs!$B$125/12</f>
        <v/>
      </c>
      <c r="AX32" s="37">
        <f>Costs!AX90/Inputs!$B$125/12</f>
        <v/>
      </c>
      <c r="AY32" s="37">
        <f>Costs!AY90/Inputs!$B$125/12</f>
        <v/>
      </c>
      <c r="AZ32" s="37">
        <f>Costs!AZ90/Inputs!$B$125/12</f>
        <v/>
      </c>
      <c r="BA32" s="37">
        <f>Costs!BA90/Inputs!$B$125/12</f>
        <v/>
      </c>
    </row>
    <row r="33" ht="14.25" customHeight="1" s="165"/>
    <row r="34" ht="14.25" customHeight="1" s="165">
      <c r="A34" s="2" t="inlineStr">
        <is>
          <t>EBIT (Operating Income)</t>
        </is>
      </c>
      <c r="B34" s="35">
        <f>B29-B32</f>
        <v/>
      </c>
      <c r="C34" s="35">
        <f>C29-C32</f>
        <v/>
      </c>
      <c r="D34" s="35">
        <f>D29-D32</f>
        <v/>
      </c>
      <c r="E34" s="35">
        <f>E29-E32</f>
        <v/>
      </c>
      <c r="F34" s="35">
        <f>F29-F32</f>
        <v/>
      </c>
      <c r="G34" s="35">
        <f>G29-G32</f>
        <v/>
      </c>
      <c r="H34" s="35">
        <f>H29-H32</f>
        <v/>
      </c>
      <c r="I34" s="35">
        <f>I29-I32</f>
        <v/>
      </c>
      <c r="J34" s="35">
        <f>J29-J32</f>
        <v/>
      </c>
      <c r="K34" s="35">
        <f>K29-K32</f>
        <v/>
      </c>
      <c r="L34" s="35">
        <f>L29-L32</f>
        <v/>
      </c>
      <c r="M34" s="35">
        <f>M29-M32</f>
        <v/>
      </c>
      <c r="N34" s="35">
        <f>N29-N32</f>
        <v/>
      </c>
      <c r="O34" s="35">
        <f>O29-O32</f>
        <v/>
      </c>
      <c r="P34" s="35">
        <f>P29-P32</f>
        <v/>
      </c>
      <c r="Q34" s="35">
        <f>Q29-Q32</f>
        <v/>
      </c>
      <c r="R34" s="35">
        <f>R29-R32</f>
        <v/>
      </c>
      <c r="S34" s="35">
        <f>S29-S32</f>
        <v/>
      </c>
      <c r="T34" s="35">
        <f>T29-T32</f>
        <v/>
      </c>
      <c r="U34" s="35">
        <f>U29-U32</f>
        <v/>
      </c>
      <c r="V34" s="35">
        <f>V29-V32</f>
        <v/>
      </c>
      <c r="W34" s="35">
        <f>W29-W32</f>
        <v/>
      </c>
      <c r="X34" s="35">
        <f>X29-X32</f>
        <v/>
      </c>
      <c r="Y34" s="35">
        <f>Y29-Y32</f>
        <v/>
      </c>
      <c r="Z34" s="35">
        <f>Z29-Z32</f>
        <v/>
      </c>
      <c r="AA34" s="35">
        <f>AA29-AA32</f>
        <v/>
      </c>
      <c r="AB34" s="35">
        <f>AB29-AB32</f>
        <v/>
      </c>
      <c r="AC34" s="35">
        <f>AC29-AC32</f>
        <v/>
      </c>
      <c r="AD34" s="35">
        <f>AD29-AD32</f>
        <v/>
      </c>
      <c r="AE34" s="35">
        <f>AE29-AE32</f>
        <v/>
      </c>
      <c r="AF34" s="35">
        <f>AF29-AF32</f>
        <v/>
      </c>
      <c r="AG34" s="35">
        <f>AG29-AG32</f>
        <v/>
      </c>
      <c r="AH34" s="35">
        <f>AH29-AH32</f>
        <v/>
      </c>
      <c r="AI34" s="35">
        <f>AI29-AI32</f>
        <v/>
      </c>
      <c r="AJ34" s="35">
        <f>AJ29-AJ32</f>
        <v/>
      </c>
      <c r="AK34" s="35">
        <f>AK29-AK32</f>
        <v/>
      </c>
      <c r="AL34" s="35">
        <f>AL29-AL32</f>
        <v/>
      </c>
      <c r="AM34" s="35">
        <f>AM29-AM32</f>
        <v/>
      </c>
      <c r="AN34" s="35">
        <f>AN29-AN32</f>
        <v/>
      </c>
      <c r="AO34" s="35">
        <f>AO29-AO32</f>
        <v/>
      </c>
      <c r="AP34" s="35">
        <f>AP29-AP32</f>
        <v/>
      </c>
      <c r="AQ34" s="35">
        <f>AQ29-AQ32</f>
        <v/>
      </c>
      <c r="AR34" s="35">
        <f>AR29-AR32</f>
        <v/>
      </c>
      <c r="AS34" s="35">
        <f>AS29-AS32</f>
        <v/>
      </c>
      <c r="AT34" s="35">
        <f>AT29-AT32</f>
        <v/>
      </c>
      <c r="AU34" s="35">
        <f>AU29-AU32</f>
        <v/>
      </c>
      <c r="AV34" s="35">
        <f>AV29-AV32</f>
        <v/>
      </c>
      <c r="AW34" s="35">
        <f>AW29-AW32</f>
        <v/>
      </c>
      <c r="AX34" s="35">
        <f>AX29-AX32</f>
        <v/>
      </c>
      <c r="AY34" s="35">
        <f>AY29-AY32</f>
        <v/>
      </c>
      <c r="AZ34" s="35">
        <f>AZ29-AZ32</f>
        <v/>
      </c>
      <c r="BA34" s="35">
        <f>BA29-BA32</f>
        <v/>
      </c>
    </row>
    <row r="35" ht="14.25" customHeight="1" s="165"/>
    <row r="36" ht="14.25" customHeight="1" s="165">
      <c r="A36" s="2" t="inlineStr">
        <is>
          <t>EBT (Earnings Before Tax)</t>
        </is>
      </c>
      <c r="B36" s="35">
        <f>B34</f>
        <v/>
      </c>
      <c r="C36" s="35">
        <f>C34</f>
        <v/>
      </c>
      <c r="D36" s="35">
        <f>D34</f>
        <v/>
      </c>
      <c r="E36" s="35">
        <f>E34</f>
        <v/>
      </c>
      <c r="F36" s="35">
        <f>F34</f>
        <v/>
      </c>
      <c r="G36" s="35">
        <f>G34</f>
        <v/>
      </c>
      <c r="H36" s="35">
        <f>H34</f>
        <v/>
      </c>
      <c r="I36" s="35">
        <f>I34</f>
        <v/>
      </c>
      <c r="J36" s="35">
        <f>J34</f>
        <v/>
      </c>
      <c r="K36" s="35">
        <f>K34</f>
        <v/>
      </c>
      <c r="L36" s="35">
        <f>L34</f>
        <v/>
      </c>
      <c r="M36" s="35">
        <f>M34</f>
        <v/>
      </c>
      <c r="N36" s="35">
        <f>N34</f>
        <v/>
      </c>
      <c r="O36" s="35">
        <f>O34</f>
        <v/>
      </c>
      <c r="P36" s="35">
        <f>P34</f>
        <v/>
      </c>
      <c r="Q36" s="35">
        <f>Q34</f>
        <v/>
      </c>
      <c r="R36" s="35">
        <f>R34</f>
        <v/>
      </c>
      <c r="S36" s="35">
        <f>S34</f>
        <v/>
      </c>
      <c r="T36" s="35">
        <f>T34</f>
        <v/>
      </c>
      <c r="U36" s="35">
        <f>U34</f>
        <v/>
      </c>
      <c r="V36" s="35">
        <f>V34</f>
        <v/>
      </c>
      <c r="W36" s="35">
        <f>W34</f>
        <v/>
      </c>
      <c r="X36" s="35">
        <f>X34</f>
        <v/>
      </c>
      <c r="Y36" s="35">
        <f>Y34</f>
        <v/>
      </c>
      <c r="Z36" s="35">
        <f>Z34</f>
        <v/>
      </c>
      <c r="AA36" s="35">
        <f>AA34</f>
        <v/>
      </c>
      <c r="AB36" s="35">
        <f>AB34</f>
        <v/>
      </c>
      <c r="AC36" s="35">
        <f>AC34</f>
        <v/>
      </c>
      <c r="AD36" s="35">
        <f>AD34</f>
        <v/>
      </c>
      <c r="AE36" s="35">
        <f>AE34</f>
        <v/>
      </c>
      <c r="AF36" s="35">
        <f>AF34</f>
        <v/>
      </c>
      <c r="AG36" s="35">
        <f>AG34</f>
        <v/>
      </c>
      <c r="AH36" s="35">
        <f>AH34</f>
        <v/>
      </c>
      <c r="AI36" s="35">
        <f>AI34</f>
        <v/>
      </c>
      <c r="AJ36" s="35">
        <f>AJ34</f>
        <v/>
      </c>
      <c r="AK36" s="35">
        <f>AK34</f>
        <v/>
      </c>
      <c r="AL36" s="35">
        <f>AL34</f>
        <v/>
      </c>
      <c r="AM36" s="35">
        <f>AM34</f>
        <v/>
      </c>
      <c r="AN36" s="35">
        <f>AN34</f>
        <v/>
      </c>
      <c r="AO36" s="35">
        <f>AO34</f>
        <v/>
      </c>
      <c r="AP36" s="35">
        <f>AP34</f>
        <v/>
      </c>
      <c r="AQ36" s="35">
        <f>AQ34</f>
        <v/>
      </c>
      <c r="AR36" s="35">
        <f>AR34</f>
        <v/>
      </c>
      <c r="AS36" s="35">
        <f>AS34</f>
        <v/>
      </c>
      <c r="AT36" s="35">
        <f>AT34</f>
        <v/>
      </c>
      <c r="AU36" s="35">
        <f>AU34</f>
        <v/>
      </c>
      <c r="AV36" s="35">
        <f>AV34</f>
        <v/>
      </c>
      <c r="AW36" s="35">
        <f>AW34</f>
        <v/>
      </c>
      <c r="AX36" s="35">
        <f>AX34</f>
        <v/>
      </c>
      <c r="AY36" s="35">
        <f>AY34</f>
        <v/>
      </c>
      <c r="AZ36" s="35">
        <f>AZ34</f>
        <v/>
      </c>
      <c r="BA36" s="35">
        <f>BA34</f>
        <v/>
      </c>
    </row>
    <row r="37" ht="14.25" customHeight="1" s="165">
      <c r="A37" s="3" t="inlineStr">
        <is>
          <t>Income Tax</t>
        </is>
      </c>
      <c r="B37" s="37">
        <f>IF(B36&gt;0,B36*Inputs!$B$7,0)</f>
        <v/>
      </c>
      <c r="C37" s="37">
        <f>IF(C36&gt;0,C36*Inputs!$B$7,0)</f>
        <v/>
      </c>
      <c r="D37" s="37">
        <f>IF(D36&gt;0,D36*Inputs!$B$7,0)</f>
        <v/>
      </c>
      <c r="E37" s="37">
        <f>IF(E36&gt;0,E36*Inputs!$B$7,0)</f>
        <v/>
      </c>
      <c r="F37" s="37">
        <f>IF(F36&gt;0,F36*Inputs!$B$7,0)</f>
        <v/>
      </c>
      <c r="G37" s="37">
        <f>IF(G36&gt;0,G36*Inputs!$B$7,0)</f>
        <v/>
      </c>
      <c r="H37" s="37">
        <f>IF(H36&gt;0,H36*Inputs!$B$7,0)</f>
        <v/>
      </c>
      <c r="I37" s="37">
        <f>IF(I36&gt;0,I36*Inputs!$B$7,0)</f>
        <v/>
      </c>
      <c r="J37" s="37">
        <f>IF(J36&gt;0,J36*Inputs!$B$7,0)</f>
        <v/>
      </c>
      <c r="K37" s="37">
        <f>IF(K36&gt;0,K36*Inputs!$B$7,0)</f>
        <v/>
      </c>
      <c r="L37" s="37">
        <f>IF(L36&gt;0,L36*Inputs!$B$7,0)</f>
        <v/>
      </c>
      <c r="M37" s="37">
        <f>IF(M36&gt;0,M36*Inputs!$B$7,0)</f>
        <v/>
      </c>
      <c r="N37" s="37">
        <f>IF(N36&gt;0,N36*Inputs!$B$7,0)</f>
        <v/>
      </c>
      <c r="O37" s="37">
        <f>IF(O36&gt;0,O36*Inputs!$B$7,0)</f>
        <v/>
      </c>
      <c r="P37" s="37">
        <f>IF(P36&gt;0,P36*Inputs!$B$7,0)</f>
        <v/>
      </c>
      <c r="Q37" s="37">
        <f>IF(Q36&gt;0,Q36*Inputs!$B$7,0)</f>
        <v/>
      </c>
      <c r="R37" s="37">
        <f>IF(R36&gt;0,R36*Inputs!$B$7,0)</f>
        <v/>
      </c>
      <c r="S37" s="37">
        <f>IF(S36&gt;0,S36*Inputs!$B$7,0)</f>
        <v/>
      </c>
      <c r="T37" s="37">
        <f>IF(T36&gt;0,T36*Inputs!$B$7,0)</f>
        <v/>
      </c>
      <c r="U37" s="37">
        <f>IF(U36&gt;0,U36*Inputs!$B$7,0)</f>
        <v/>
      </c>
      <c r="V37" s="37">
        <f>IF(V36&gt;0,V36*Inputs!$B$7,0)</f>
        <v/>
      </c>
      <c r="W37" s="37">
        <f>IF(W36&gt;0,W36*Inputs!$B$7,0)</f>
        <v/>
      </c>
      <c r="X37" s="37">
        <f>IF(X36&gt;0,X36*Inputs!$B$7,0)</f>
        <v/>
      </c>
      <c r="Y37" s="37">
        <f>IF(Y36&gt;0,Y36*Inputs!$B$7,0)</f>
        <v/>
      </c>
      <c r="Z37" s="37">
        <f>IF(Z36&gt;0,Z36*Inputs!$B$7,0)</f>
        <v/>
      </c>
      <c r="AA37" s="37">
        <f>IF(AA36&gt;0,AA36*Inputs!$B$7,0)</f>
        <v/>
      </c>
      <c r="AB37" s="37">
        <f>IF(AB36&gt;0,AB36*Inputs!$B$7,0)</f>
        <v/>
      </c>
      <c r="AC37" s="37">
        <f>IF(AC36&gt;0,AC36*Inputs!$B$7,0)</f>
        <v/>
      </c>
      <c r="AD37" s="37">
        <f>IF(AD36&gt;0,AD36*Inputs!$B$7,0)</f>
        <v/>
      </c>
      <c r="AE37" s="37">
        <f>IF(AE36&gt;0,AE36*Inputs!$B$7,0)</f>
        <v/>
      </c>
      <c r="AF37" s="37">
        <f>IF(AF36&gt;0,AF36*Inputs!$B$7,0)</f>
        <v/>
      </c>
      <c r="AG37" s="37">
        <f>IF(AG36&gt;0,AG36*Inputs!$B$7,0)</f>
        <v/>
      </c>
      <c r="AH37" s="37">
        <f>IF(AH36&gt;0,AH36*Inputs!$B$7,0)</f>
        <v/>
      </c>
      <c r="AI37" s="37">
        <f>IF(AI36&gt;0,AI36*Inputs!$B$7,0)</f>
        <v/>
      </c>
      <c r="AJ37" s="37">
        <f>IF(AJ36&gt;0,AJ36*Inputs!$B$7,0)</f>
        <v/>
      </c>
      <c r="AK37" s="37">
        <f>IF(AK36&gt;0,AK36*Inputs!$B$7,0)</f>
        <v/>
      </c>
      <c r="AL37" s="37">
        <f>IF(AL36&gt;0,AL36*Inputs!$B$7,0)</f>
        <v/>
      </c>
      <c r="AM37" s="37">
        <f>IF(AM36&gt;0,AM36*Inputs!$B$7,0)</f>
        <v/>
      </c>
      <c r="AN37" s="37">
        <f>IF(AN36&gt;0,AN36*Inputs!$B$7,0)</f>
        <v/>
      </c>
      <c r="AO37" s="37">
        <f>IF(AO36&gt;0,AO36*Inputs!$B$7,0)</f>
        <v/>
      </c>
      <c r="AP37" s="37">
        <f>IF(AP36&gt;0,AP36*Inputs!$B$7,0)</f>
        <v/>
      </c>
      <c r="AQ37" s="37">
        <f>IF(AQ36&gt;0,AQ36*Inputs!$B$7,0)</f>
        <v/>
      </c>
      <c r="AR37" s="37">
        <f>IF(AR36&gt;0,AR36*Inputs!$B$7,0)</f>
        <v/>
      </c>
      <c r="AS37" s="37">
        <f>IF(AS36&gt;0,AS36*Inputs!$B$7,0)</f>
        <v/>
      </c>
      <c r="AT37" s="37">
        <f>IF(AT36&gt;0,AT36*Inputs!$B$7,0)</f>
        <v/>
      </c>
      <c r="AU37" s="37">
        <f>IF(AU36&gt;0,AU36*Inputs!$B$7,0)</f>
        <v/>
      </c>
      <c r="AV37" s="37">
        <f>IF(AV36&gt;0,AV36*Inputs!$B$7,0)</f>
        <v/>
      </c>
      <c r="AW37" s="37">
        <f>IF(AW36&gt;0,AW36*Inputs!$B$7,0)</f>
        <v/>
      </c>
      <c r="AX37" s="37">
        <f>IF(AX36&gt;0,AX36*Inputs!$B$7,0)</f>
        <v/>
      </c>
      <c r="AY37" s="37">
        <f>IF(AY36&gt;0,AY36*Inputs!$B$7,0)</f>
        <v/>
      </c>
      <c r="AZ37" s="37">
        <f>IF(AZ36&gt;0,AZ36*Inputs!$B$7,0)</f>
        <v/>
      </c>
      <c r="BA37" s="37">
        <f>IF(BA36&gt;0,BA36*Inputs!$B$7,0)</f>
        <v/>
      </c>
    </row>
    <row r="38" ht="14.25" customHeight="1" s="165"/>
    <row r="39" ht="14.25" customHeight="1" s="165">
      <c r="A39" s="2" t="inlineStr">
        <is>
          <t>NET INCOME</t>
        </is>
      </c>
      <c r="B39" s="35">
        <f>B36-B37</f>
        <v/>
      </c>
      <c r="C39" s="35">
        <f>C36-C37</f>
        <v/>
      </c>
      <c r="D39" s="35">
        <f>D36-D37</f>
        <v/>
      </c>
      <c r="E39" s="35">
        <f>E36-E37</f>
        <v/>
      </c>
      <c r="F39" s="35">
        <f>F36-F37</f>
        <v/>
      </c>
      <c r="G39" s="35">
        <f>G36-G37</f>
        <v/>
      </c>
      <c r="H39" s="35">
        <f>H36-H37</f>
        <v/>
      </c>
      <c r="I39" s="35">
        <f>I36-I37</f>
        <v/>
      </c>
      <c r="J39" s="35">
        <f>J36-J37</f>
        <v/>
      </c>
      <c r="K39" s="35">
        <f>K36-K37</f>
        <v/>
      </c>
      <c r="L39" s="35">
        <f>L36-L37</f>
        <v/>
      </c>
      <c r="M39" s="35">
        <f>M36-M37</f>
        <v/>
      </c>
      <c r="N39" s="35">
        <f>N36-N37</f>
        <v/>
      </c>
      <c r="O39" s="35">
        <f>O36-O37</f>
        <v/>
      </c>
      <c r="P39" s="35">
        <f>P36-P37</f>
        <v/>
      </c>
      <c r="Q39" s="35">
        <f>Q36-Q37</f>
        <v/>
      </c>
      <c r="R39" s="35">
        <f>R36-R37</f>
        <v/>
      </c>
      <c r="S39" s="35">
        <f>S36-S37</f>
        <v/>
      </c>
      <c r="T39" s="35">
        <f>T36-T37</f>
        <v/>
      </c>
      <c r="U39" s="35">
        <f>U36-U37</f>
        <v/>
      </c>
      <c r="V39" s="35">
        <f>V36-V37</f>
        <v/>
      </c>
      <c r="W39" s="35">
        <f>W36-W37</f>
        <v/>
      </c>
      <c r="X39" s="35">
        <f>X36-X37</f>
        <v/>
      </c>
      <c r="Y39" s="35">
        <f>Y36-Y37</f>
        <v/>
      </c>
      <c r="Z39" s="35">
        <f>Z36-Z37</f>
        <v/>
      </c>
      <c r="AA39" s="35">
        <f>AA36-AA37</f>
        <v/>
      </c>
      <c r="AB39" s="35">
        <f>AB36-AB37</f>
        <v/>
      </c>
      <c r="AC39" s="35">
        <f>AC36-AC37</f>
        <v/>
      </c>
      <c r="AD39" s="35">
        <f>AD36-AD37</f>
        <v/>
      </c>
      <c r="AE39" s="35">
        <f>AE36-AE37</f>
        <v/>
      </c>
      <c r="AF39" s="35">
        <f>AF36-AF37</f>
        <v/>
      </c>
      <c r="AG39" s="35">
        <f>AG36-AG37</f>
        <v/>
      </c>
      <c r="AH39" s="35">
        <f>AH36-AH37</f>
        <v/>
      </c>
      <c r="AI39" s="35">
        <f>AI36-AI37</f>
        <v/>
      </c>
      <c r="AJ39" s="35">
        <f>AJ36-AJ37</f>
        <v/>
      </c>
      <c r="AK39" s="35">
        <f>AK36-AK37</f>
        <v/>
      </c>
      <c r="AL39" s="35">
        <f>AL36-AL37</f>
        <v/>
      </c>
      <c r="AM39" s="35">
        <f>AM36-AM37</f>
        <v/>
      </c>
      <c r="AN39" s="35">
        <f>AN36-AN37</f>
        <v/>
      </c>
      <c r="AO39" s="35">
        <f>AO36-AO37</f>
        <v/>
      </c>
      <c r="AP39" s="35">
        <f>AP36-AP37</f>
        <v/>
      </c>
      <c r="AQ39" s="35">
        <f>AQ36-AQ37</f>
        <v/>
      </c>
      <c r="AR39" s="35">
        <f>AR36-AR37</f>
        <v/>
      </c>
      <c r="AS39" s="35">
        <f>AS36-AS37</f>
        <v/>
      </c>
      <c r="AT39" s="35">
        <f>AT36-AT37</f>
        <v/>
      </c>
      <c r="AU39" s="35">
        <f>AU36-AU37</f>
        <v/>
      </c>
      <c r="AV39" s="35">
        <f>AV36-AV37</f>
        <v/>
      </c>
      <c r="AW39" s="35">
        <f>AW36-AW37</f>
        <v/>
      </c>
      <c r="AX39" s="35">
        <f>AX36-AX37</f>
        <v/>
      </c>
      <c r="AY39" s="35">
        <f>AY36-AY37</f>
        <v/>
      </c>
      <c r="AZ39" s="35">
        <f>AZ36-AZ37</f>
        <v/>
      </c>
      <c r="BA39" s="35">
        <f>BA36-BA37</f>
        <v/>
      </c>
    </row>
    <row r="40" ht="14.25" customHeight="1" s="165">
      <c r="A40" s="3" t="inlineStr">
        <is>
          <t>Net Margin %</t>
        </is>
      </c>
      <c r="B40" s="36">
        <f>IFERROR(B39/B8,0)</f>
        <v/>
      </c>
      <c r="C40" s="36">
        <f>IFERROR(C39/C8,0)</f>
        <v/>
      </c>
      <c r="D40" s="36">
        <f>IFERROR(D39/D8,0)</f>
        <v/>
      </c>
      <c r="E40" s="36">
        <f>IFERROR(E39/E8,0)</f>
        <v/>
      </c>
      <c r="F40" s="36">
        <f>IFERROR(F39/F8,0)</f>
        <v/>
      </c>
      <c r="G40" s="36">
        <f>IFERROR(G39/G8,0)</f>
        <v/>
      </c>
      <c r="H40" s="36">
        <f>IFERROR(H39/H8,0)</f>
        <v/>
      </c>
      <c r="I40" s="36">
        <f>IFERROR(I39/I8,0)</f>
        <v/>
      </c>
      <c r="J40" s="36">
        <f>IFERROR(J39/J8,0)</f>
        <v/>
      </c>
      <c r="K40" s="36">
        <f>IFERROR(K39/K8,0)</f>
        <v/>
      </c>
      <c r="L40" s="36">
        <f>IFERROR(L39/L8,0)</f>
        <v/>
      </c>
      <c r="M40" s="36">
        <f>IFERROR(M39/M8,0)</f>
        <v/>
      </c>
      <c r="N40" s="36">
        <f>IFERROR(N39/N8,0)</f>
        <v/>
      </c>
      <c r="O40" s="36">
        <f>IFERROR(O39/O8,0)</f>
        <v/>
      </c>
      <c r="P40" s="36">
        <f>IFERROR(P39/P8,0)</f>
        <v/>
      </c>
      <c r="Q40" s="36">
        <f>IFERROR(Q39/Q8,0)</f>
        <v/>
      </c>
      <c r="R40" s="36">
        <f>IFERROR(R39/R8,0)</f>
        <v/>
      </c>
      <c r="S40" s="36">
        <f>IFERROR(S39/S8,0)</f>
        <v/>
      </c>
      <c r="T40" s="36">
        <f>IFERROR(T39/T8,0)</f>
        <v/>
      </c>
      <c r="U40" s="36">
        <f>IFERROR(U39/U8,0)</f>
        <v/>
      </c>
      <c r="V40" s="36">
        <f>IFERROR(V39/V8,0)</f>
        <v/>
      </c>
      <c r="W40" s="36">
        <f>IFERROR(W39/W8,0)</f>
        <v/>
      </c>
      <c r="X40" s="36">
        <f>IFERROR(X39/X8,0)</f>
        <v/>
      </c>
      <c r="Y40" s="36">
        <f>IFERROR(Y39/Y8,0)</f>
        <v/>
      </c>
      <c r="Z40" s="36">
        <f>IFERROR(Z39/Z8,0)</f>
        <v/>
      </c>
      <c r="AA40" s="36">
        <f>IFERROR(AA39/AA8,0)</f>
        <v/>
      </c>
      <c r="AB40" s="36">
        <f>IFERROR(AB39/AB8,0)</f>
        <v/>
      </c>
      <c r="AC40" s="36">
        <f>IFERROR(AC39/AC8,0)</f>
        <v/>
      </c>
      <c r="AD40" s="36">
        <f>IFERROR(AD39/AD8,0)</f>
        <v/>
      </c>
      <c r="AE40" s="36">
        <f>IFERROR(AE39/AE8,0)</f>
        <v/>
      </c>
      <c r="AF40" s="36">
        <f>IFERROR(AF39/AF8,0)</f>
        <v/>
      </c>
      <c r="AG40" s="36">
        <f>IFERROR(AG39/AG8,0)</f>
        <v/>
      </c>
      <c r="AH40" s="36">
        <f>IFERROR(AH39/AH8,0)</f>
        <v/>
      </c>
      <c r="AI40" s="36">
        <f>IFERROR(AI39/AI8,0)</f>
        <v/>
      </c>
      <c r="AJ40" s="36">
        <f>IFERROR(AJ39/AJ8,0)</f>
        <v/>
      </c>
      <c r="AK40" s="36">
        <f>IFERROR(AK39/AK8,0)</f>
        <v/>
      </c>
      <c r="AL40" s="36">
        <f>IFERROR(AL39/AL8,0)</f>
        <v/>
      </c>
      <c r="AM40" s="36">
        <f>IFERROR(AM39/AM8,0)</f>
        <v/>
      </c>
      <c r="AN40" s="36">
        <f>IFERROR(AN39/AN8,0)</f>
        <v/>
      </c>
      <c r="AO40" s="36">
        <f>IFERROR(AO39/AO8,0)</f>
        <v/>
      </c>
      <c r="AP40" s="36">
        <f>IFERROR(AP39/AP8,0)</f>
        <v/>
      </c>
      <c r="AQ40" s="36">
        <f>IFERROR(AQ39/AQ8,0)</f>
        <v/>
      </c>
      <c r="AR40" s="36">
        <f>IFERROR(AR39/AR8,0)</f>
        <v/>
      </c>
      <c r="AS40" s="36">
        <f>IFERROR(AS39/AS8,0)</f>
        <v/>
      </c>
      <c r="AT40" s="36">
        <f>IFERROR(AT39/AT8,0)</f>
        <v/>
      </c>
      <c r="AU40" s="36">
        <f>IFERROR(AU39/AU8,0)</f>
        <v/>
      </c>
      <c r="AV40" s="36">
        <f>IFERROR(AV39/AV8,0)</f>
        <v/>
      </c>
      <c r="AW40" s="36">
        <f>IFERROR(AW39/AW8,0)</f>
        <v/>
      </c>
      <c r="AX40" s="36">
        <f>IFERROR(AX39/AX8,0)</f>
        <v/>
      </c>
      <c r="AY40" s="36">
        <f>IFERROR(AY39/AY8,0)</f>
        <v/>
      </c>
      <c r="AZ40" s="36">
        <f>IFERROR(AZ39/AZ8,0)</f>
        <v/>
      </c>
      <c r="BA40" s="36">
        <f>IFERROR(BA39/BA8,0)</f>
        <v/>
      </c>
    </row>
    <row r="41" ht="14.25" customHeight="1" s="165"/>
    <row r="42" ht="14.25" customHeight="1" s="165"/>
    <row r="43" ht="14.25" customHeight="1" s="165"/>
    <row r="44" ht="14.25" customHeight="1" s="165"/>
    <row r="45" ht="14.25" customHeight="1" s="165"/>
    <row r="46" ht="14.25" customHeight="1" s="165"/>
    <row r="47" ht="14.25" customHeight="1" s="165"/>
    <row r="48" ht="14.25" customHeight="1" s="165"/>
    <row r="49" ht="14.25" customHeight="1" s="165"/>
    <row r="50" ht="14.25" customHeight="1" s="165"/>
    <row r="51" ht="14.25" customHeight="1" s="165"/>
    <row r="52" ht="14.25" customHeight="1" s="165"/>
    <row r="53" ht="14.25" customHeight="1" s="165"/>
    <row r="54" ht="14.25" customHeight="1" s="165"/>
    <row r="55" ht="14.25" customHeight="1" s="165"/>
    <row r="56" ht="14.25" customHeight="1" s="165"/>
    <row r="57" ht="14.25" customHeight="1" s="165"/>
    <row r="58" ht="14.25" customHeight="1" s="165"/>
    <row r="59" ht="14.25" customHeight="1" s="165"/>
    <row r="60" ht="14.25" customHeight="1" s="165"/>
    <row r="61" ht="14.25" customHeight="1" s="165"/>
    <row r="62" ht="14.25" customHeight="1" s="165"/>
    <row r="63" ht="14.25" customHeight="1" s="165"/>
    <row r="64" ht="14.25" customHeight="1" s="165"/>
    <row r="65" ht="14.25" customHeight="1" s="165"/>
    <row r="66" ht="14.25" customHeight="1" s="165"/>
    <row r="67" ht="14.25" customHeight="1" s="165"/>
    <row r="68" ht="14.25" customHeight="1" s="165"/>
    <row r="69" ht="14.25" customHeight="1" s="165"/>
    <row r="70" ht="14.25" customHeight="1" s="165"/>
    <row r="71" ht="14.25" customHeight="1" s="165"/>
    <row r="72" ht="14.25" customHeight="1" s="165"/>
    <row r="73" ht="14.25" customHeight="1" s="165"/>
    <row r="74" ht="14.25" customHeight="1" s="165"/>
    <row r="75" ht="14.25" customHeight="1" s="165"/>
    <row r="76" ht="14.25" customHeight="1" s="165"/>
    <row r="77" ht="14.25" customHeight="1" s="165"/>
    <row r="78" ht="14.25" customHeight="1" s="165"/>
    <row r="79" ht="14.25" customHeight="1" s="165"/>
    <row r="80" ht="14.25" customHeight="1" s="165"/>
    <row r="81" ht="14.25" customHeight="1" s="165"/>
    <row r="82" ht="14.25" customHeight="1" s="165"/>
    <row r="83" ht="14.25" customHeight="1" s="165"/>
    <row r="84" ht="14.25" customHeight="1" s="165"/>
    <row r="85" ht="14.25" customHeight="1" s="165"/>
    <row r="86" ht="14.25" customHeight="1" s="165"/>
    <row r="87" ht="14.25" customHeight="1" s="165"/>
    <row r="88" ht="14.25" customHeight="1" s="165"/>
    <row r="89" ht="14.25" customHeight="1" s="165"/>
    <row r="90" ht="14.25" customHeight="1" s="165"/>
    <row r="91" ht="14.25" customHeight="1" s="165"/>
    <row r="92" ht="14.25" customHeight="1" s="165"/>
    <row r="93" ht="14.25" customHeight="1" s="165"/>
    <row r="94" ht="14.25" customHeight="1" s="165"/>
    <row r="95" ht="14.25" customHeight="1" s="165"/>
    <row r="96" ht="14.25" customHeight="1" s="165"/>
    <row r="97" ht="14.25" customHeight="1" s="165"/>
    <row r="98" ht="14.25" customHeight="1" s="165"/>
    <row r="99" ht="14.25" customHeight="1" s="165"/>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row r="968" ht="14.25" customHeight="1" s="165"/>
    <row r="969" ht="14.25" customHeight="1" s="165"/>
    <row r="970" ht="14.25" customHeight="1" s="165"/>
    <row r="971" ht="14.25" customHeight="1" s="165"/>
    <row r="972" ht="14.25" customHeight="1" s="165"/>
    <row r="973" ht="14.25" customHeight="1" s="165"/>
    <row r="974" ht="14.25" customHeight="1" s="165"/>
    <row r="975" ht="14.25" customHeight="1" s="165"/>
    <row r="976" ht="14.25" customHeight="1" s="165"/>
    <row r="977" ht="14.25" customHeight="1" s="165"/>
    <row r="978" ht="14.25" customHeight="1" s="165"/>
    <row r="979" ht="14.25" customHeight="1" s="165"/>
    <row r="980" ht="14.25" customHeight="1" s="165"/>
    <row r="981" ht="14.25" customHeight="1" s="165"/>
    <row r="982" ht="14.25" customHeight="1" s="165"/>
    <row r="983" ht="14.25" customHeight="1" s="165"/>
    <row r="984" ht="14.25" customHeight="1" s="165"/>
    <row r="985" ht="14.25" customHeight="1" s="165"/>
    <row r="986" ht="14.25" customHeight="1" s="165"/>
    <row r="987" ht="14.25" customHeight="1" s="165"/>
    <row r="988" ht="14.25" customHeight="1" s="165"/>
    <row r="989" ht="14.25" customHeight="1" s="165"/>
    <row r="990" ht="14.25" customHeight="1" s="165"/>
    <row r="991" ht="14.25" customHeight="1" s="165"/>
    <row r="992" ht="14.25" customHeight="1" s="165"/>
    <row r="993" ht="14.25" customHeight="1" s="165"/>
    <row r="994" ht="14.25" customHeight="1" s="165"/>
    <row r="995" ht="14.25" customHeight="1" s="165"/>
    <row r="996" ht="14.25" customHeight="1" s="165"/>
    <row r="997" ht="14.25" customHeight="1" s="165"/>
    <row r="998" ht="14.25" customHeight="1" s="165"/>
    <row r="999" ht="14.25" customHeight="1" s="165"/>
    <row r="1000" ht="14.25" customHeight="1" s="165"/>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8" sqref="A8"/>
    </sheetView>
  </sheetViews>
  <sheetFormatPr baseColWidth="10" defaultRowHeight="14.5"/>
  <cols>
    <col width="26" customWidth="1" style="190" min="1" max="1"/>
    <col width="14.54296875" customWidth="1" style="190" min="2" max="2"/>
    <col width="22.26953125" customWidth="1" style="190" min="3" max="3"/>
    <col width="15.90625" customWidth="1" style="190" min="4" max="4"/>
    <col width="42" customWidth="1" style="190" min="5" max="5"/>
    <col width="14.36328125" customWidth="1" style="190" min="6" max="6"/>
    <col width="21.36328125" customWidth="1" style="190" min="7" max="7"/>
    <col width="18.6328125" customWidth="1" style="190" min="8" max="8"/>
    <col width="28.08984375" customWidth="1" style="190" min="9" max="9"/>
    <col width="10.90625" customWidth="1" style="190" min="10" max="16384"/>
  </cols>
  <sheetData>
    <row r="1" ht="29" customHeight="1" s="165">
      <c r="A1" s="223" t="inlineStr">
        <is>
          <t>IT/Product Development/Framework</t>
        </is>
      </c>
      <c r="B1" s="218" t="inlineStr">
        <is>
          <t>Phase</t>
        </is>
      </c>
      <c r="C1" s="218" t="inlineStr">
        <is>
          <t>Content</t>
        </is>
      </c>
      <c r="D1" s="218" t="inlineStr">
        <is>
          <t>Phase</t>
        </is>
      </c>
      <c r="E1" s="218" t="inlineStr">
        <is>
          <t>Content</t>
        </is>
      </c>
      <c r="F1" s="218" t="inlineStr">
        <is>
          <t>Phase</t>
        </is>
      </c>
      <c r="G1" s="218" t="inlineStr">
        <is>
          <t>Content</t>
        </is>
      </c>
      <c r="H1" s="218" t="inlineStr">
        <is>
          <t>Phase</t>
        </is>
      </c>
      <c r="I1" s="218" t="inlineStr">
        <is>
          <t>Content</t>
        </is>
      </c>
      <c r="J1" s="230" t="inlineStr">
        <is>
          <t>Phase</t>
        </is>
      </c>
      <c r="K1" s="189" t="inlineStr">
        <is>
          <t>Content</t>
        </is>
      </c>
    </row>
    <row r="2" customFormat="1" s="192">
      <c r="A2" s="230" t="inlineStr">
        <is>
          <t>Month (starting Apr 26)</t>
        </is>
      </c>
      <c r="B2" s="218" t="inlineStr">
        <is>
          <t>M1-M4</t>
        </is>
      </c>
      <c r="C2" s="218" t="n"/>
      <c r="D2" s="218" t="inlineStr">
        <is>
          <t>M5-M16</t>
        </is>
      </c>
      <c r="E2" s="218" t="n"/>
      <c r="F2" s="218" t="inlineStr">
        <is>
          <t>M17-M28</t>
        </is>
      </c>
      <c r="G2" s="218" t="n"/>
      <c r="H2" s="218" t="inlineStr">
        <is>
          <t>M29-M40</t>
        </is>
      </c>
      <c r="I2" s="218" t="n"/>
      <c r="J2" s="230" t="inlineStr">
        <is>
          <t>M41-M52</t>
        </is>
      </c>
      <c r="K2" s="230" t="n"/>
    </row>
    <row r="3" ht="29" customHeight="1" s="165">
      <c r="B3" s="208" t="inlineStr">
        <is>
          <t>April to Jul 2026</t>
        </is>
      </c>
      <c r="C3" s="207" t="n"/>
      <c r="D3" s="208" t="inlineStr">
        <is>
          <t>Aug 2026 to Jul 2027</t>
        </is>
      </c>
      <c r="E3" s="207" t="n"/>
      <c r="F3" s="208" t="inlineStr">
        <is>
          <t>Aug 2027 to Jul 2028</t>
        </is>
      </c>
      <c r="G3" s="207" t="n"/>
      <c r="H3" s="208" t="inlineStr">
        <is>
          <t>Aug 2028 to Jul 2029</t>
        </is>
      </c>
      <c r="I3" s="207" t="n"/>
      <c r="J3" s="194" t="inlineStr">
        <is>
          <t>Aug 2029 to Jul 2030</t>
        </is>
      </c>
    </row>
    <row r="4" ht="58" customFormat="1" customHeight="1" s="192">
      <c r="B4" s="208" t="inlineStr">
        <is>
          <t>IDEATION Phase</t>
        </is>
      </c>
      <c r="C4" s="207" t="n"/>
      <c r="D4" s="219" t="inlineStr">
        <is>
          <t>PRE-SEED</t>
        </is>
      </c>
      <c r="E4" s="207" t="n"/>
      <c r="F4" s="220" t="inlineStr">
        <is>
          <t>SEED</t>
        </is>
      </c>
      <c r="G4" s="207" t="n"/>
      <c r="H4" s="221" t="inlineStr">
        <is>
          <t>SERIES A</t>
        </is>
      </c>
      <c r="I4" s="207" t="n"/>
      <c r="J4" s="214" t="inlineStr">
        <is>
          <t>Series B??
NOT PART OF OUR C13 Forecast</t>
        </is>
      </c>
    </row>
    <row r="5" ht="58" customFormat="1" customHeight="1" s="192">
      <c r="A5" s="194" t="inlineStr">
        <is>
          <t>Companies to be served</t>
        </is>
      </c>
      <c r="B5" s="208" t="n"/>
      <c r="C5" s="207" t="n"/>
      <c r="D5" s="208" t="inlineStr">
        <is>
          <t>3 (SME)</t>
        </is>
      </c>
      <c r="E5" s="222" t="inlineStr">
        <is>
          <t>"Bottleneck" is Sales (Rene/Olaf)
--&gt;Existence of "MVP" is essential!!</t>
        </is>
      </c>
      <c r="F5" s="207" t="n"/>
      <c r="G5" s="208" t="inlineStr">
        <is>
          <t>2 Enterprises, 15 Mid-Size and 10 SMEs (27 cumulative)</t>
        </is>
      </c>
      <c r="H5" s="207" t="n"/>
      <c r="I5" s="208" t="inlineStr">
        <is>
          <t>6 Enterprises, 44 Mid-Size Companies, 30 SMEs (80 cumulative)
(ARR: 5.6M by mid July 2029)</t>
        </is>
      </c>
    </row>
    <row r="6" customFormat="1" s="192">
      <c r="A6" s="205" t="inlineStr">
        <is>
          <t>Large OEM (Enterprise Deals)</t>
        </is>
      </c>
      <c r="B6" s="211" t="n">
        <v>0</v>
      </c>
      <c r="C6" s="211" t="n"/>
      <c r="D6" s="211" t="n">
        <v>0</v>
      </c>
      <c r="E6" s="211" t="n"/>
      <c r="F6" s="250" t="n">
        <v>2</v>
      </c>
      <c r="G6" s="211" t="n"/>
      <c r="H6" s="250" t="n">
        <v>3</v>
      </c>
      <c r="I6" s="211" t="n"/>
      <c r="J6" s="251" t="n">
        <v>6</v>
      </c>
    </row>
    <row r="7" customFormat="1" s="192">
      <c r="A7" s="206" t="inlineStr">
        <is>
          <t>Mid-size OEM</t>
        </is>
      </c>
      <c r="B7" s="211" t="n">
        <v>0</v>
      </c>
      <c r="C7" s="211" t="n"/>
      <c r="D7" s="211" t="n">
        <v>0</v>
      </c>
      <c r="E7" s="211" t="n"/>
      <c r="F7" s="250" t="n">
        <v>15</v>
      </c>
      <c r="G7" s="211" t="n"/>
      <c r="H7" s="250" t="n">
        <v>30</v>
      </c>
      <c r="I7" s="211" t="n"/>
      <c r="J7" s="251" t="n">
        <v>50</v>
      </c>
    </row>
    <row r="8" customFormat="1" s="192">
      <c r="A8" s="205" t="inlineStr">
        <is>
          <t>SME</t>
        </is>
      </c>
      <c r="B8" s="211" t="n">
        <v>0</v>
      </c>
      <c r="C8" s="211" t="n"/>
      <c r="D8" s="213" t="n">
        <v>3</v>
      </c>
      <c r="E8" s="211" t="n"/>
      <c r="F8" s="250" t="n">
        <v>10</v>
      </c>
      <c r="G8" s="211" t="n"/>
      <c r="H8" s="250" t="n">
        <v>20</v>
      </c>
      <c r="I8" s="211" t="n"/>
      <c r="J8" s="251" t="n">
        <v>60</v>
      </c>
    </row>
    <row r="9" customFormat="1" s="192">
      <c r="A9" s="204" t="inlineStr">
        <is>
          <t>Cumulative</t>
        </is>
      </c>
      <c r="B9" s="211" t="n"/>
      <c r="C9" s="211" t="n"/>
      <c r="D9" s="213" t="n">
        <v>3</v>
      </c>
      <c r="E9" s="211" t="n"/>
      <c r="F9" s="250">
        <f>D9+F6+F7+F8</f>
        <v/>
      </c>
      <c r="G9" s="211" t="n"/>
      <c r="H9" s="250">
        <f>F9+H6+H7+H8</f>
        <v/>
      </c>
      <c r="I9" s="211" t="n"/>
      <c r="J9" s="251">
        <f>H9+J6+J7+J8</f>
        <v/>
      </c>
    </row>
    <row r="10" customFormat="1" s="192">
      <c r="A10" s="203" t="n"/>
      <c r="B10" s="208" t="n"/>
      <c r="C10" s="207" t="n"/>
      <c r="D10" s="252" t="n"/>
      <c r="E10" s="207" t="n"/>
      <c r="F10" s="252" t="n"/>
      <c r="G10" s="207" t="n"/>
      <c r="H10" s="252" t="n"/>
      <c r="I10" s="207" t="n"/>
      <c r="J10" s="217" t="n"/>
    </row>
    <row r="11" ht="90" customFormat="1" customHeight="1" s="192">
      <c r="A11" s="194" t="inlineStr">
        <is>
          <t>Co Founder Salary</t>
        </is>
      </c>
      <c r="B11" s="194" t="n"/>
      <c r="C11" s="194" t="inlineStr">
        <is>
          <t>see: INPUT:
Agreement: 100k€ per Cofounder as "AG-Brutto", ie. Approx. 52.000€/yr Netto</t>
        </is>
      </c>
      <c r="D11" s="194" t="n"/>
      <c r="G11" s="194" t="n"/>
      <c r="H11" s="194" t="n"/>
    </row>
    <row r="12" ht="158" customFormat="1" customHeight="1" s="192">
      <c r="A12" s="194" t="inlineStr">
        <is>
          <t>Product features
Product Development per Phase</t>
        </is>
      </c>
      <c r="B12" s="194" t="n"/>
      <c r="C12" s="194" t="inlineStr">
        <is>
          <t>`-MVP "light"
Getting LOIs</t>
        </is>
      </c>
      <c r="D12" s="194" t="n"/>
      <c r="E12" s="187" t="inlineStr">
        <is>
          <t>-Plugins into one incumbent solution
-Calculate manufacturing costs (BOM requirements)
FEATURES of the MVP:
-Core Engine
-API for data ingestion &amp; Normalisation
-Data Integration (CAD, BOM, Processes costs, Supply data, EU regulations)
-Manufacturing Cost engine
-Operator Cost (TOC) engine
-User Interface
-(think about creating RfQ documents..is necessary for the mvp?)</t>
        </is>
      </c>
      <c r="G12" s="194" t="inlineStr">
        <is>
          <t>`-Integration into more incumbent solutions
-Similarity and tribal knowledge engine
-Compliance engine
-Trade off and scnario analysis
-Functional model and failure mode integration
-…</t>
        </is>
      </c>
      <c r="H12" s="194" t="n"/>
      <c r="I12" s="187" t="inlineStr">
        <is>
          <t>-Product Scaling
-TCO Engine
-Lifecycle Cost Engine
-Propriatory Scoring Model for Products (depending on requirements)
-Recommending alternative features of products/ decisions to take("Recommending System")</t>
        </is>
      </c>
    </row>
    <row r="13" ht="148.5" customHeight="1" s="165">
      <c r="A13" s="191" t="inlineStr">
        <is>
          <t>People (IT)</t>
        </is>
      </c>
      <c r="E13" s="188" t="inlineStr">
        <is>
          <t xml:space="preserve">-Number of SW Engineers needed for MVP:
-2 Developers
-1 ML/AI Engineer (optional)
-1 Site Reliability Engineer
-1 UX/UI (optional)
-1 Mechanical Engineer/Developer (who would love to work as a developer)
--&gt;people estimation are "conservative"
--&gt;ramp up of personnel over 12 month
</t>
        </is>
      </c>
      <c r="G13" s="188" t="inlineStr">
        <is>
          <t>1 Developer</t>
        </is>
      </c>
    </row>
    <row r="14" ht="45.5" customHeight="1" s="165">
      <c r="A14" s="191" t="inlineStr">
        <is>
          <t>People (Marketing)</t>
        </is>
      </c>
      <c r="E14" s="191" t="inlineStr">
        <is>
          <t xml:space="preserve">`-1 Customer Key Account </t>
        </is>
      </c>
      <c r="G14" s="191" t="inlineStr">
        <is>
          <t>`-2 to 3 Sales/Marketing People
-big budget for Sales/Marketing</t>
        </is>
      </c>
      <c r="I14" s="191" t="inlineStr">
        <is>
          <t>`-2 to 3 Sales/Marketing People
-big budget for Sales/Marketing</t>
        </is>
      </c>
    </row>
    <row r="15" ht="37" customHeight="1" s="165">
      <c r="A15" s="191" t="inlineStr">
        <is>
          <t>IT Licenses</t>
        </is>
      </c>
      <c r="E15" s="188" t="inlineStr">
        <is>
          <t>-Licenses for  incumbent solutions (Autodesk, Siemens NX, Catia, PTC??</t>
        </is>
      </c>
    </row>
    <row r="16" ht="65" customHeight="1" s="165">
      <c r="A16" s="191" t="inlineStr">
        <is>
          <t>IT Equipment</t>
        </is>
      </c>
      <c r="C16" s="188" t="inlineStr">
        <is>
          <t>-Budget for IT Licenses: 200€/month
-no new equipment needed for the founders</t>
        </is>
      </c>
    </row>
    <row r="18" ht="29" customHeight="1" s="165">
      <c r="A18" s="191" t="inlineStr">
        <is>
          <t>Office (permanent)</t>
        </is>
      </c>
      <c r="C18" s="191" t="inlineStr">
        <is>
          <t>no office in the first month</t>
        </is>
      </c>
      <c r="G18" s="191" t="inlineStr">
        <is>
          <t>Office Space</t>
        </is>
      </c>
    </row>
    <row r="19" ht="29" customHeight="1" s="165">
      <c r="A19" s="194" t="inlineStr">
        <is>
          <t>Office (Coworking Space)</t>
        </is>
      </c>
      <c r="C19" s="191" t="inlineStr">
        <is>
          <t>`-400€/Desk/month</t>
        </is>
      </c>
      <c r="E19" s="191" t="inlineStr">
        <is>
          <t>3 Desks/month? --&gt;Meeting Place and conference room optional</t>
        </is>
      </c>
    </row>
    <row r="20" customFormat="1" s="192">
      <c r="A20" s="194" t="n"/>
    </row>
    <row r="23" ht="72.5" customHeight="1" s="165">
      <c r="A23" s="191" t="inlineStr">
        <is>
          <t>Fees (Lawyers, Notary,..)</t>
        </is>
      </c>
      <c r="C23" s="191" t="inlineStr">
        <is>
          <t>less spent in the ideation phase</t>
        </is>
      </c>
      <c r="E23" s="191" t="inlineStr">
        <is>
          <t>regular sum from here onwards</t>
        </is>
      </c>
      <c r="H23" s="191" t="inlineStr">
        <is>
          <t>higher? Sum according to more Stakeholders and bigger financing round</t>
        </is>
      </c>
    </row>
  </sheetData>
  <pageMargins left="0.7" right="0.7" top="0.787401575" bottom="0.787401575" header="0.3" footer="0.3"/>
</worksheet>
</file>

<file path=xl/worksheets/sheet8.xml><?xml version="1.0" encoding="utf-8"?>
<worksheet xmlns="http://schemas.openxmlformats.org/spreadsheetml/2006/main">
  <sheetPr>
    <tabColor rgb="FF00B050"/>
    <outlinePr summaryBelow="1" summaryRight="1"/>
    <pageSetUpPr/>
  </sheetPr>
  <dimension ref="A1:BA32"/>
  <sheetViews>
    <sheetView workbookViewId="0">
      <pane xSplit="1" ySplit="4" topLeftCell="B5" activePane="bottomRight" state="frozen"/>
      <selection activeCell="L4" sqref="L4"/>
      <selection pane="topRight" activeCell="L4" sqref="L4"/>
      <selection pane="bottomLeft" activeCell="L4" sqref="L4"/>
      <selection pane="bottomRight" activeCell="F13" sqref="F13"/>
    </sheetView>
  </sheetViews>
  <sheetFormatPr baseColWidth="10" defaultColWidth="14.453125" defaultRowHeight="15" customHeight="1"/>
  <cols>
    <col width="35" customWidth="1" style="165" min="1" max="1"/>
    <col width="12" customWidth="1" style="165" min="2" max="53"/>
  </cols>
  <sheetData>
    <row r="1" ht="14.25" customHeight="1" s="165">
      <c r="A1" s="1" t="inlineStr">
        <is>
          <t>UMSATZMODELL - Detaillierte Aufschlüsselung</t>
        </is>
      </c>
    </row>
    <row r="2" ht="14.25" customHeight="1" s="165">
      <c r="B2" s="38" t="n">
        <v>46113</v>
      </c>
      <c r="C2" s="38" t="n">
        <v>46143</v>
      </c>
      <c r="D2" s="38" t="n">
        <v>46174</v>
      </c>
      <c r="E2" s="38" t="n">
        <v>46204</v>
      </c>
      <c r="F2" s="38" t="n">
        <v>46235</v>
      </c>
      <c r="G2" s="38" t="n">
        <v>46266</v>
      </c>
      <c r="H2" s="38" t="n">
        <v>46296</v>
      </c>
      <c r="I2" s="38" t="n">
        <v>46327</v>
      </c>
      <c r="J2" s="38" t="n">
        <v>46357</v>
      </c>
      <c r="K2" s="38" t="n">
        <v>46388</v>
      </c>
      <c r="L2" s="38" t="n">
        <v>46419</v>
      </c>
      <c r="M2" s="38" t="n">
        <v>46447</v>
      </c>
      <c r="N2" s="38" t="n">
        <v>46478</v>
      </c>
      <c r="O2" s="38" t="n">
        <v>46508</v>
      </c>
      <c r="P2" s="38" t="n">
        <v>46539</v>
      </c>
      <c r="Q2" s="38" t="n">
        <v>46569</v>
      </c>
      <c r="R2" s="38" t="n">
        <v>46600</v>
      </c>
      <c r="S2" s="38" t="n">
        <v>46631</v>
      </c>
      <c r="T2" s="38" t="n">
        <v>46661</v>
      </c>
      <c r="U2" s="38" t="n">
        <v>46692</v>
      </c>
      <c r="V2" s="38" t="n">
        <v>46722</v>
      </c>
      <c r="W2" s="38" t="n">
        <v>46753</v>
      </c>
      <c r="X2" s="38" t="n">
        <v>46784</v>
      </c>
      <c r="Y2" s="38" t="n">
        <v>46813</v>
      </c>
      <c r="Z2" s="38" t="n">
        <v>46844</v>
      </c>
      <c r="AA2" s="38" t="n">
        <v>46874</v>
      </c>
      <c r="AB2" s="38" t="n">
        <v>46905</v>
      </c>
      <c r="AC2" s="38" t="n">
        <v>46935</v>
      </c>
      <c r="AD2" s="38" t="n">
        <v>46966</v>
      </c>
      <c r="AE2" s="38" t="n">
        <v>46997</v>
      </c>
      <c r="AF2" s="38" t="n">
        <v>47027</v>
      </c>
      <c r="AG2" s="38" t="n">
        <v>47058</v>
      </c>
      <c r="AH2" s="38" t="n">
        <v>47088</v>
      </c>
      <c r="AI2" s="38" t="n">
        <v>47119</v>
      </c>
      <c r="AJ2" s="38" t="n">
        <v>47150</v>
      </c>
      <c r="AK2" s="38" t="n">
        <v>47178</v>
      </c>
      <c r="AL2" s="38" t="n">
        <v>47209</v>
      </c>
      <c r="AM2" s="38" t="n">
        <v>47239</v>
      </c>
      <c r="AN2" s="38" t="n">
        <v>47270</v>
      </c>
      <c r="AO2" s="38" t="n">
        <v>47300</v>
      </c>
      <c r="AP2" s="38" t="n">
        <v>47331</v>
      </c>
      <c r="AQ2" s="38" t="n">
        <v>47362</v>
      </c>
      <c r="AR2" s="38" t="n">
        <v>47392</v>
      </c>
      <c r="AS2" s="38" t="n">
        <v>47423</v>
      </c>
      <c r="AT2" s="38" t="n">
        <v>47453</v>
      </c>
      <c r="AU2" s="38" t="n">
        <v>47484</v>
      </c>
      <c r="AV2" s="38" t="n">
        <v>47515</v>
      </c>
      <c r="AW2" s="38" t="n">
        <v>47543</v>
      </c>
      <c r="AX2" s="38" t="n">
        <v>47574</v>
      </c>
      <c r="AY2" s="38" t="n">
        <v>47604</v>
      </c>
      <c r="AZ2" s="38" t="n">
        <v>47635</v>
      </c>
      <c r="BA2" s="38" t="n">
        <v>47665</v>
      </c>
    </row>
    <row r="3" ht="14.25" customFormat="1" customHeight="1" s="178">
      <c r="A3" s="186" t="inlineStr">
        <is>
          <t>Startup-Phasen</t>
        </is>
      </c>
      <c r="B3" s="228" t="inlineStr">
        <is>
          <t>Ideation</t>
        </is>
      </c>
      <c r="C3" s="228" t="inlineStr">
        <is>
          <t>Ideation</t>
        </is>
      </c>
      <c r="D3" s="228" t="inlineStr">
        <is>
          <t>Ideation</t>
        </is>
      </c>
      <c r="E3" s="228" t="inlineStr">
        <is>
          <t>Ideation</t>
        </is>
      </c>
      <c r="F3" s="224" t="inlineStr">
        <is>
          <t>Pre-Seed</t>
        </is>
      </c>
      <c r="G3" s="224" t="inlineStr">
        <is>
          <t>Pre-Seed</t>
        </is>
      </c>
      <c r="H3" s="224" t="inlineStr">
        <is>
          <t>Pre-Seed</t>
        </is>
      </c>
      <c r="I3" s="224" t="inlineStr">
        <is>
          <t>Pre-Seed</t>
        </is>
      </c>
      <c r="J3" s="224" t="inlineStr">
        <is>
          <t>Pre-Seed</t>
        </is>
      </c>
      <c r="K3" s="224" t="inlineStr">
        <is>
          <t>Pre-Seed</t>
        </is>
      </c>
      <c r="L3" s="224" t="inlineStr">
        <is>
          <t>Pre-Seed</t>
        </is>
      </c>
      <c r="M3" s="224" t="inlineStr">
        <is>
          <t>Pre-Seed</t>
        </is>
      </c>
      <c r="N3" s="224" t="inlineStr">
        <is>
          <t>Pre-Seed</t>
        </is>
      </c>
      <c r="O3" s="224" t="inlineStr">
        <is>
          <t>Pre-Seed</t>
        </is>
      </c>
      <c r="P3" s="224" t="inlineStr">
        <is>
          <t>Pre-Seed</t>
        </is>
      </c>
      <c r="Q3" s="224" t="inlineStr">
        <is>
          <t>Pre-Seed</t>
        </is>
      </c>
      <c r="R3" s="225" t="inlineStr">
        <is>
          <t>Seed</t>
        </is>
      </c>
      <c r="S3" s="225" t="inlineStr">
        <is>
          <t>Seed</t>
        </is>
      </c>
      <c r="T3" s="225" t="inlineStr">
        <is>
          <t>Seed</t>
        </is>
      </c>
      <c r="U3" s="225" t="inlineStr">
        <is>
          <t>Seed</t>
        </is>
      </c>
      <c r="V3" s="225" t="inlineStr">
        <is>
          <t>Seed</t>
        </is>
      </c>
      <c r="W3" s="225" t="inlineStr">
        <is>
          <t>Seed</t>
        </is>
      </c>
      <c r="X3" s="225" t="inlineStr">
        <is>
          <t>Seed</t>
        </is>
      </c>
      <c r="Y3" s="225" t="inlineStr">
        <is>
          <t>Seed</t>
        </is>
      </c>
      <c r="Z3" s="225" t="inlineStr">
        <is>
          <t>Seed</t>
        </is>
      </c>
      <c r="AA3" s="225" t="inlineStr">
        <is>
          <t>Seed</t>
        </is>
      </c>
      <c r="AB3" s="225" t="inlineStr">
        <is>
          <t>Seed</t>
        </is>
      </c>
      <c r="AC3" s="225" t="inlineStr">
        <is>
          <t>Seed</t>
        </is>
      </c>
      <c r="AD3" s="226" t="inlineStr">
        <is>
          <t>Series A</t>
        </is>
      </c>
      <c r="AE3" s="226" t="inlineStr">
        <is>
          <t>Series A</t>
        </is>
      </c>
      <c r="AF3" s="226" t="inlineStr">
        <is>
          <t>Series A</t>
        </is>
      </c>
      <c r="AG3" s="226" t="inlineStr">
        <is>
          <t>Series A</t>
        </is>
      </c>
      <c r="AH3" s="226" t="inlineStr">
        <is>
          <t>Series A</t>
        </is>
      </c>
      <c r="AI3" s="226" t="inlineStr">
        <is>
          <t>Series A</t>
        </is>
      </c>
      <c r="AJ3" s="226" t="inlineStr">
        <is>
          <t>Series A</t>
        </is>
      </c>
      <c r="AK3" s="226" t="inlineStr">
        <is>
          <t>Series A</t>
        </is>
      </c>
      <c r="AL3" s="226" t="inlineStr">
        <is>
          <t>Series A</t>
        </is>
      </c>
      <c r="AM3" s="226" t="inlineStr">
        <is>
          <t>Series A</t>
        </is>
      </c>
      <c r="AN3" s="226" t="inlineStr">
        <is>
          <t>Series A</t>
        </is>
      </c>
      <c r="AO3" s="226" t="inlineStr">
        <is>
          <t>Series A</t>
        </is>
      </c>
      <c r="AP3" s="227" t="inlineStr">
        <is>
          <t>Series B</t>
        </is>
      </c>
      <c r="AQ3" s="227" t="inlineStr">
        <is>
          <t>Series B</t>
        </is>
      </c>
      <c r="AR3" s="227" t="inlineStr">
        <is>
          <t>Series B</t>
        </is>
      </c>
      <c r="AS3" s="227" t="inlineStr">
        <is>
          <t>Series B</t>
        </is>
      </c>
      <c r="AT3" s="227" t="inlineStr">
        <is>
          <t>Series B</t>
        </is>
      </c>
      <c r="AU3" s="227" t="inlineStr">
        <is>
          <t>Series B</t>
        </is>
      </c>
      <c r="AV3" s="227" t="inlineStr">
        <is>
          <t>Series B</t>
        </is>
      </c>
      <c r="AW3" s="227" t="inlineStr">
        <is>
          <t>Series B</t>
        </is>
      </c>
      <c r="AX3" s="227" t="inlineStr">
        <is>
          <t>Series B</t>
        </is>
      </c>
      <c r="AY3" s="227" t="inlineStr">
        <is>
          <t>Series B</t>
        </is>
      </c>
      <c r="AZ3" s="227" t="inlineStr">
        <is>
          <t>Series B</t>
        </is>
      </c>
      <c r="BA3" s="227" t="inlineStr">
        <is>
          <t>Series B</t>
        </is>
      </c>
    </row>
    <row r="4" ht="14.25" customHeight="1" s="165">
      <c r="A4" s="33" t="inlineStr">
        <is>
          <t>Kennzahl</t>
        </is>
      </c>
      <c r="B4" s="33" t="inlineStr">
        <is>
          <t>M1</t>
        </is>
      </c>
      <c r="C4" s="33" t="inlineStr">
        <is>
          <t>M2</t>
        </is>
      </c>
      <c r="D4" s="33" t="inlineStr">
        <is>
          <t>M3</t>
        </is>
      </c>
      <c r="E4" s="33" t="inlineStr">
        <is>
          <t>M4</t>
        </is>
      </c>
      <c r="F4" s="33" t="inlineStr">
        <is>
          <t>M5</t>
        </is>
      </c>
      <c r="G4" s="33" t="inlineStr">
        <is>
          <t>M6</t>
        </is>
      </c>
      <c r="H4" s="33" t="inlineStr">
        <is>
          <t>M7</t>
        </is>
      </c>
      <c r="I4" s="33" t="inlineStr">
        <is>
          <t>M8</t>
        </is>
      </c>
      <c r="J4" s="33" t="inlineStr">
        <is>
          <t>M9</t>
        </is>
      </c>
      <c r="K4" s="33" t="inlineStr">
        <is>
          <t>M10</t>
        </is>
      </c>
      <c r="L4" s="33" t="inlineStr">
        <is>
          <t>M11</t>
        </is>
      </c>
      <c r="M4" s="33" t="inlineStr">
        <is>
          <t>M12</t>
        </is>
      </c>
      <c r="N4" s="33" t="inlineStr">
        <is>
          <t>M13</t>
        </is>
      </c>
      <c r="O4" s="33" t="inlineStr">
        <is>
          <t>M14</t>
        </is>
      </c>
      <c r="P4" s="33" t="inlineStr">
        <is>
          <t>M15</t>
        </is>
      </c>
      <c r="Q4" s="33" t="inlineStr">
        <is>
          <t>M16</t>
        </is>
      </c>
      <c r="R4" s="33" t="inlineStr">
        <is>
          <t>M17</t>
        </is>
      </c>
      <c r="S4" s="33" t="inlineStr">
        <is>
          <t>M18</t>
        </is>
      </c>
      <c r="T4" s="33" t="inlineStr">
        <is>
          <t>M19</t>
        </is>
      </c>
      <c r="U4" s="33" t="inlineStr">
        <is>
          <t>M20</t>
        </is>
      </c>
      <c r="V4" s="33" t="inlineStr">
        <is>
          <t>M21</t>
        </is>
      </c>
      <c r="W4" s="33" t="inlineStr">
        <is>
          <t>M22</t>
        </is>
      </c>
      <c r="X4" s="33" t="inlineStr">
        <is>
          <t>M23</t>
        </is>
      </c>
      <c r="Y4" s="33" t="inlineStr">
        <is>
          <t>M24</t>
        </is>
      </c>
      <c r="Z4" s="33" t="inlineStr">
        <is>
          <t>M25</t>
        </is>
      </c>
      <c r="AA4" s="33" t="inlineStr">
        <is>
          <t>M26</t>
        </is>
      </c>
      <c r="AB4" s="33" t="inlineStr">
        <is>
          <t>M27</t>
        </is>
      </c>
      <c r="AC4" s="33" t="inlineStr">
        <is>
          <t>M28</t>
        </is>
      </c>
      <c r="AD4" s="33" t="inlineStr">
        <is>
          <t>M29</t>
        </is>
      </c>
      <c r="AE4" s="33" t="inlineStr">
        <is>
          <t>M30</t>
        </is>
      </c>
      <c r="AF4" s="33" t="inlineStr">
        <is>
          <t>M31</t>
        </is>
      </c>
      <c r="AG4" s="33" t="inlineStr">
        <is>
          <t>M32</t>
        </is>
      </c>
      <c r="AH4" s="33" t="inlineStr">
        <is>
          <t>M33</t>
        </is>
      </c>
      <c r="AI4" s="33" t="inlineStr">
        <is>
          <t>M34</t>
        </is>
      </c>
      <c r="AJ4" s="33" t="inlineStr">
        <is>
          <t>M35</t>
        </is>
      </c>
      <c r="AK4" s="33" t="inlineStr">
        <is>
          <t>M36</t>
        </is>
      </c>
      <c r="AL4" s="33" t="inlineStr">
        <is>
          <t>M37</t>
        </is>
      </c>
      <c r="AM4" s="33" t="inlineStr">
        <is>
          <t>M38</t>
        </is>
      </c>
      <c r="AN4" s="33" t="inlineStr">
        <is>
          <t>M39</t>
        </is>
      </c>
      <c r="AO4" s="33" t="inlineStr">
        <is>
          <t>M40</t>
        </is>
      </c>
      <c r="AP4" s="33" t="inlineStr">
        <is>
          <t>M41</t>
        </is>
      </c>
      <c r="AQ4" s="33" t="inlineStr">
        <is>
          <t>M42</t>
        </is>
      </c>
      <c r="AR4" s="33" t="inlineStr">
        <is>
          <t>M43</t>
        </is>
      </c>
      <c r="AS4" s="33" t="inlineStr">
        <is>
          <t>M44</t>
        </is>
      </c>
      <c r="AT4" s="33" t="inlineStr">
        <is>
          <t>M45</t>
        </is>
      </c>
      <c r="AU4" s="33" t="inlineStr">
        <is>
          <t>M46</t>
        </is>
      </c>
      <c r="AV4" s="33" t="inlineStr">
        <is>
          <t>M47</t>
        </is>
      </c>
      <c r="AW4" s="33" t="inlineStr">
        <is>
          <t>M48</t>
        </is>
      </c>
      <c r="AX4" s="33" t="inlineStr">
        <is>
          <t>M49</t>
        </is>
      </c>
      <c r="AY4" s="33" t="inlineStr">
        <is>
          <t>M50</t>
        </is>
      </c>
      <c r="AZ4" s="33" t="inlineStr">
        <is>
          <t>M51</t>
        </is>
      </c>
      <c r="BA4" s="33" t="inlineStr">
        <is>
          <t>M52</t>
        </is>
      </c>
    </row>
    <row r="5" ht="32.5" customHeight="1" s="165">
      <c r="A5" s="19" t="inlineStr">
        <is>
          <t>Preis pro Seat/Monat (€)
(gilt für SME und Mid-Comps)</t>
        </is>
      </c>
      <c r="B5" s="37">
        <f>IFERROR(Inputs!$B$20/12*(1+Inputs!$B$21)^(INT((1-1)/12)),0)</f>
        <v/>
      </c>
      <c r="C5" s="37">
        <f>Inputs!$B$20/12*(1+Inputs!$B$21)^INT((2-1)/12)</f>
        <v/>
      </c>
      <c r="D5" s="37">
        <f>Inputs!$B$20/12*(1+Inputs!$B$21)^INT((3-1)/12)</f>
        <v/>
      </c>
      <c r="E5" s="37">
        <f>Inputs!$B$20/12*(1+Inputs!$B$21)^INT((4-1)/12)</f>
        <v/>
      </c>
      <c r="F5" s="37">
        <f>Inputs!$B$20/12*(1+Inputs!$B$21)^INT((5-1)/12)</f>
        <v/>
      </c>
      <c r="G5" s="37">
        <f>Inputs!$B$20/12*(1+Inputs!$B$21)^INT((6-1)/12)</f>
        <v/>
      </c>
      <c r="H5" s="37">
        <f>Inputs!$B$20/12*(1+Inputs!$B$21)^INT((7-1)/12)</f>
        <v/>
      </c>
      <c r="I5" s="37">
        <f>Inputs!$B$20/12*(1+Inputs!$B$21)^INT((8-1)/12)</f>
        <v/>
      </c>
      <c r="J5" s="37">
        <f>Inputs!$B$20/12*(1+Inputs!$B$21)^INT((9-1)/12)</f>
        <v/>
      </c>
      <c r="K5" s="37">
        <f>Inputs!$B$20/12*(1+Inputs!$B$21)^INT((10-1)/12)</f>
        <v/>
      </c>
      <c r="L5" s="37">
        <f>Inputs!$B$20/12*(1+Inputs!$B$21)^INT((11-1)/12)</f>
        <v/>
      </c>
      <c r="M5" s="37">
        <f>Inputs!$B$20/12*(1+Inputs!$B$21)^INT((12-1)/12)</f>
        <v/>
      </c>
      <c r="N5" s="37">
        <f>Inputs!$B$20/12*(1+Inputs!$B$21)^INT((13-1)/12)</f>
        <v/>
      </c>
      <c r="O5" s="37">
        <f>Inputs!$B$20/12*(1+Inputs!$B$21)^INT((14-1)/12)</f>
        <v/>
      </c>
      <c r="P5" s="37">
        <f>Inputs!$B$20/12*(1+Inputs!$B$21)^INT((15-1)/12)</f>
        <v/>
      </c>
      <c r="Q5" s="37">
        <f>Inputs!$B$20/12*(1+Inputs!$B$21)^INT((16-1)/12)</f>
        <v/>
      </c>
      <c r="R5" s="37">
        <f>Inputs!$B$20/12*(1+Inputs!$B$21)^INT((17-1)/12)</f>
        <v/>
      </c>
      <c r="S5" s="37">
        <f>Inputs!$B$20/12*(1+Inputs!$B$21)^INT((18-1)/12)</f>
        <v/>
      </c>
      <c r="T5" s="37">
        <f>Inputs!$B$20/12*(1+Inputs!$B$21)^INT((19-1)/12)</f>
        <v/>
      </c>
      <c r="U5" s="37">
        <f>Inputs!$B$20/12*(1+Inputs!$B$21)^INT((20-1)/12)</f>
        <v/>
      </c>
      <c r="V5" s="37">
        <f>Inputs!$B$20/12*(1+Inputs!$B$21)^INT((21-1)/12)</f>
        <v/>
      </c>
      <c r="W5" s="37">
        <f>Inputs!$B$20/12*(1+Inputs!$B$21)^INT((22-1)/12)</f>
        <v/>
      </c>
      <c r="X5" s="37">
        <f>Inputs!$B$20/12*(1+Inputs!$B$21)^INT((23-1)/12)</f>
        <v/>
      </c>
      <c r="Y5" s="37">
        <f>Inputs!$B$20/12*(1+Inputs!$B$21)^INT((24-1)/12)</f>
        <v/>
      </c>
      <c r="Z5" s="37">
        <f>Inputs!$B$20/12*(1+Inputs!$B$21)^INT((25-1)/12)</f>
        <v/>
      </c>
      <c r="AA5" s="37">
        <f>Inputs!$B$20/12*(1+Inputs!$B$21)^INT((26-1)/12)</f>
        <v/>
      </c>
      <c r="AB5" s="37">
        <f>Inputs!$B$20/12*(1+Inputs!$B$21)^INT((27-1)/12)</f>
        <v/>
      </c>
      <c r="AC5" s="37">
        <f>Inputs!$B$20/12*(1+Inputs!$B$21)^INT((28-1)/12)</f>
        <v/>
      </c>
      <c r="AD5" s="37">
        <f>Inputs!$B$20/12*(1+Inputs!$B$21)^INT((29-1)/12)</f>
        <v/>
      </c>
      <c r="AE5" s="37">
        <f>Inputs!$B$20/12*(1+Inputs!$B$21)^INT((30-1)/12)</f>
        <v/>
      </c>
      <c r="AF5" s="37">
        <f>Inputs!$B$20/12*(1+Inputs!$B$21)^INT((31-1)/12)</f>
        <v/>
      </c>
      <c r="AG5" s="37">
        <f>Inputs!$B$20/12*(1+Inputs!$B$21)^INT((32-1)/12)</f>
        <v/>
      </c>
      <c r="AH5" s="37">
        <f>Inputs!$B$20/12*(1+Inputs!$B$21)^INT((33-1)/12)</f>
        <v/>
      </c>
      <c r="AI5" s="37">
        <f>Inputs!$B$20/12*(1+Inputs!$B$21)^INT((34-1)/12)</f>
        <v/>
      </c>
      <c r="AJ5" s="37">
        <f>Inputs!$B$20/12*(1+Inputs!$B$21)^INT((35-1)/12)</f>
        <v/>
      </c>
      <c r="AK5" s="37">
        <f>Inputs!$B$20/12*(1+Inputs!$B$21)^INT((36-1)/12)</f>
        <v/>
      </c>
      <c r="AL5" s="37">
        <f>Inputs!$B$20/12*(1+Inputs!$B$21)^INT((37-1)/12)</f>
        <v/>
      </c>
      <c r="AM5" s="37">
        <f>Inputs!$B$20/12*(1+Inputs!$B$21)^INT((38-1)/12)</f>
        <v/>
      </c>
      <c r="AN5" s="37">
        <f>Inputs!$B$20/12*(1+Inputs!$B$21)^INT((39-1)/12)</f>
        <v/>
      </c>
      <c r="AO5" s="37">
        <f>Inputs!$B$20/12*(1+Inputs!$B$21)^INT((40-1)/12)</f>
        <v/>
      </c>
      <c r="AP5" s="37">
        <f>Inputs!$B$20/12*(1+Inputs!$B$21)^INT((41-1)/12)</f>
        <v/>
      </c>
      <c r="AQ5" s="37">
        <f>Inputs!$B$20/12*(1+Inputs!$B$21)^INT((42-1)/12)</f>
        <v/>
      </c>
      <c r="AR5" s="37">
        <f>Inputs!$B$20/12*(1+Inputs!$B$21)^INT((43-1)/12)</f>
        <v/>
      </c>
      <c r="AS5" s="37">
        <f>Inputs!$B$20/12*(1+Inputs!$B$21)^INT((44-1)/12)</f>
        <v/>
      </c>
      <c r="AT5" s="37">
        <f>Inputs!$B$20/12*(1+Inputs!$B$21)^INT((45-1)/12)</f>
        <v/>
      </c>
      <c r="AU5" s="37">
        <f>Inputs!$B$20/12*(1+Inputs!$B$21)^INT((46-1)/12)</f>
        <v/>
      </c>
      <c r="AV5" s="37">
        <f>Inputs!$B$20/12*(1+Inputs!$B$21)^INT((47-1)/12)</f>
        <v/>
      </c>
      <c r="AW5" s="37">
        <f>Inputs!$B$20/12*(1+Inputs!$B$21)^INT((48-1)/12)</f>
        <v/>
      </c>
      <c r="AX5" s="37">
        <f>Inputs!$B$20/12*(1+Inputs!$B$21)^INT((49-1)/12)</f>
        <v/>
      </c>
      <c r="AY5" s="37">
        <f>Inputs!$B$20/12*(1+Inputs!$B$21)^INT((50-1)/12)</f>
        <v/>
      </c>
      <c r="AZ5" s="37">
        <f>Inputs!$B$20/12*(1+Inputs!$B$21)^INT((51-1)/12)</f>
        <v/>
      </c>
      <c r="BA5" s="37">
        <f>Inputs!$B$20/12*(1+Inputs!$B$21)^INT((52-1)/12)</f>
        <v/>
      </c>
    </row>
    <row r="6" ht="14.25" customHeight="1" s="165">
      <c r="A6" s="3" t="inlineStr">
        <is>
          <t>Neue Seats</t>
        </is>
      </c>
      <c r="B6" s="37">
        <f>IF(1&gt;=Inputs!$B$22,Inputs!$B$23,0)</f>
        <v/>
      </c>
      <c r="C6" s="37">
        <f>IF(2&gt;=Inputs!$B$22,IF(2=Inputs!$B$22,Inputs!$B$23,ROUND(B9*Inputs!$B$24,0)),0)</f>
        <v/>
      </c>
      <c r="D6" s="37">
        <f>IF(3&gt;=Inputs!$B$22,IF(3=Inputs!$B$22,Inputs!$B$23,ROUND(C9*Inputs!$B$24,0)),0)</f>
        <v/>
      </c>
      <c r="E6" s="37">
        <f>IF(4&gt;=Inputs!$B$22,IF(4=Inputs!$B$22,Inputs!$B$23,ROUND(D9*Inputs!$B$24,0)),0)</f>
        <v/>
      </c>
      <c r="F6" s="37">
        <f>IF(5&gt;=Inputs!$B$22,IF(5=Inputs!$B$22,Inputs!$B$23,ROUND(E9*Inputs!$B$24,0)),0)</f>
        <v/>
      </c>
      <c r="G6" s="37">
        <f>IF(6&gt;=Inputs!$B$22,IF(6=Inputs!$B$22,Inputs!$B$23,ROUND(F9*Inputs!$B$24,0)),0)</f>
        <v/>
      </c>
      <c r="H6" s="37">
        <f>IF(7&gt;=Inputs!$B$22,IF(7=Inputs!$B$22,Inputs!$B$23,ROUND(G9*Inputs!$B$24,0)),0)</f>
        <v/>
      </c>
      <c r="I6" s="37">
        <f>IF(8&gt;=Inputs!$B$22,IF(8=Inputs!$B$22,Inputs!$B$23,ROUND(H9*Inputs!$B$24,0)),0)</f>
        <v/>
      </c>
      <c r="J6" s="37">
        <f>IF(9&gt;=Inputs!$B$22,IF(9=Inputs!$B$22,Inputs!$B$23,ROUND(I9*Inputs!$B$24,0)),0)</f>
        <v/>
      </c>
      <c r="K6" s="37">
        <f>IF(10&gt;=Inputs!$B$22,IF(10=Inputs!$B$22,Inputs!$B$23,ROUND(J9*Inputs!$B$24,0)),0)</f>
        <v/>
      </c>
      <c r="L6" s="37">
        <f>IF(11&gt;=Inputs!$B$22,IF(11=Inputs!$B$22,Inputs!$B$23,ROUND(K9*Inputs!$B$24,0)),0)</f>
        <v/>
      </c>
      <c r="M6" s="37">
        <f>IF(12&gt;=Inputs!$B$22,IF(12=Inputs!$B$22,Inputs!$B$23,ROUND(L9*Inputs!$B$24,0)),0)</f>
        <v/>
      </c>
      <c r="N6" s="37">
        <f>IF(13&gt;=Inputs!$B$22,IF(13=Inputs!$B$22,Inputs!$B$23,ROUND(M9*Inputs!$B$24,0)),0)</f>
        <v/>
      </c>
      <c r="O6" s="37">
        <f>IF(14&gt;=Inputs!$B$22,IF(14=Inputs!$B$22,Inputs!$B$23,ROUND(N9*Inputs!$B$24,0)),0)</f>
        <v/>
      </c>
      <c r="P6" s="37">
        <f>IF(15&gt;=Inputs!$B$22,IF(15=Inputs!$B$22,Inputs!$B$23,ROUND(O9*Inputs!$B$24,0)),0)</f>
        <v/>
      </c>
      <c r="Q6" s="37">
        <f>IF(16&gt;=Inputs!$B$22,IF(16=Inputs!$B$22,Inputs!$B$23,ROUND(P9*Inputs!$B$24,0)),0)</f>
        <v/>
      </c>
      <c r="R6" s="37">
        <f>IF(17&gt;=Inputs!$B$22,IF(17=Inputs!$B$22,Inputs!$B$23,ROUND(Q9*Inputs!$B$24,0)),0)</f>
        <v/>
      </c>
      <c r="S6" s="37">
        <f>IF(18&gt;=Inputs!$B$22,IF(18=Inputs!$B$22,Inputs!$B$23,ROUND(R9*Inputs!$B$24,0)),0)</f>
        <v/>
      </c>
      <c r="T6" s="37">
        <f>IF(19&gt;=Inputs!$B$22,IF(19=Inputs!$B$22,Inputs!$B$23,ROUND(S9*Inputs!$B$24,0)),0)</f>
        <v/>
      </c>
      <c r="U6" s="37">
        <f>IF(20&gt;=Inputs!$B$22,IF(20=Inputs!$B$22,Inputs!$B$23,ROUND(T9*Inputs!$B$24,0)),0)</f>
        <v/>
      </c>
      <c r="V6" s="37">
        <f>IF(21&gt;=Inputs!$B$22,IF(21=Inputs!$B$22,Inputs!$B$23,ROUND(U9*Inputs!$B$24,0)),0)</f>
        <v/>
      </c>
      <c r="W6" s="37">
        <f>IF(22&gt;=Inputs!$B$22,IF(22=Inputs!$B$22,Inputs!$B$23,ROUND(V9*Inputs!$B$24,0)),0)</f>
        <v/>
      </c>
      <c r="X6" s="37">
        <f>IF(23&gt;=Inputs!$B$22,IF(23=Inputs!$B$22,Inputs!$B$23,ROUND(W9*Inputs!$B$24,0)),0)</f>
        <v/>
      </c>
      <c r="Y6" s="37">
        <f>IF(24&gt;=Inputs!$B$22,IF(24=Inputs!$B$22,Inputs!$B$23,ROUND(X9*Inputs!$B$24,0)),0)</f>
        <v/>
      </c>
      <c r="Z6" s="37">
        <f>IF(25&gt;=Inputs!$B$22,IF(25=Inputs!$B$22,Inputs!$B$23,ROUND(Y9*Inputs!$B$24,0)),0)</f>
        <v/>
      </c>
      <c r="AA6" s="37">
        <f>IF(26&gt;=Inputs!$B$22,IF(26=Inputs!$B$22,Inputs!$B$23,ROUND(Z9*Inputs!$B$24,0)),0)</f>
        <v/>
      </c>
      <c r="AB6" s="37">
        <f>IF(27&gt;=Inputs!$B$22,IF(27=Inputs!$B$22,Inputs!$B$23,ROUND(AA9*Inputs!$B$24,0)),0)</f>
        <v/>
      </c>
      <c r="AC6" s="37">
        <f>IF(28&gt;=Inputs!$B$22,IF(28=Inputs!$B$22,Inputs!$B$23,ROUND(AB9*Inputs!$B$24,0)),0)</f>
        <v/>
      </c>
      <c r="AD6" s="37">
        <f>IF(29&gt;=Inputs!$B$22,IF(29=Inputs!$B$22,Inputs!$B$23,ROUND(AC9*Inputs!$B$24,0)),0)</f>
        <v/>
      </c>
      <c r="AE6" s="37">
        <f>IF(30&gt;=Inputs!$B$22,IF(30=Inputs!$B$22,Inputs!$B$23,ROUND(AD9*Inputs!$B$24,0)),0)</f>
        <v/>
      </c>
      <c r="AF6" s="37">
        <f>IF(31&gt;=Inputs!$B$22,IF(31=Inputs!$B$22,Inputs!$B$23,ROUND(AE9*Inputs!$B$24,0)),0)</f>
        <v/>
      </c>
      <c r="AG6" s="37">
        <f>IF(32&gt;=Inputs!$B$22,IF(32=Inputs!$B$22,Inputs!$B$23,ROUND(AF9*Inputs!$B$24,0)),0)</f>
        <v/>
      </c>
      <c r="AH6" s="37">
        <f>IF(33&gt;=Inputs!$B$22,IF(33=Inputs!$B$22,Inputs!$B$23,ROUND(AG9*Inputs!$B$24,0)),0)</f>
        <v/>
      </c>
      <c r="AI6" s="37">
        <f>IF(34&gt;=Inputs!$B$22,IF(34=Inputs!$B$22,Inputs!$B$23,ROUND(AH9*Inputs!$B$24,0)),0)</f>
        <v/>
      </c>
      <c r="AJ6" s="37">
        <f>IF(35&gt;=Inputs!$B$22,IF(35=Inputs!$B$22,Inputs!$B$23,ROUND(AI9*Inputs!$B$24,0)),0)</f>
        <v/>
      </c>
      <c r="AK6" s="37">
        <f>IF(36&gt;=Inputs!$B$22,IF(36=Inputs!$B$22,Inputs!$B$23,ROUND(AJ9*Inputs!$B$24,0)),0)</f>
        <v/>
      </c>
      <c r="AL6" s="37">
        <f>IF(37&gt;=Inputs!$B$22,IF(37=Inputs!$B$22,Inputs!$B$23,ROUND(AK9*Inputs!$B$24,0)),0)</f>
        <v/>
      </c>
      <c r="AM6" s="37">
        <f>IF(38&gt;=Inputs!$B$22,IF(38=Inputs!$B$22,Inputs!$B$23,ROUND(AL9*Inputs!$B$24,0)),0)</f>
        <v/>
      </c>
      <c r="AN6" s="37">
        <f>IF(39&gt;=Inputs!$B$22,IF(39=Inputs!$B$22,Inputs!$B$23,ROUND(AM9*Inputs!$B$24,0)),0)</f>
        <v/>
      </c>
      <c r="AO6" s="37">
        <f>IF(40&gt;=Inputs!$B$22,IF(40=Inputs!$B$22,Inputs!$B$23,ROUND(AN9*Inputs!$B$24,0)),0)</f>
        <v/>
      </c>
      <c r="AP6" s="37">
        <f>IF(41&gt;=Inputs!$B$22,IF(41=Inputs!$B$22,Inputs!$B$23,ROUND(AO9*Inputs!$B$24,0)),0)</f>
        <v/>
      </c>
      <c r="AQ6" s="37">
        <f>IF(42&gt;=Inputs!$B$22,IF(42=Inputs!$B$22,Inputs!$B$23,ROUND(AP9*Inputs!$B$24,0)),0)</f>
        <v/>
      </c>
      <c r="AR6" s="37">
        <f>IF(43&gt;=Inputs!$B$22,IF(43=Inputs!$B$22,Inputs!$B$23,ROUND(AQ9*Inputs!$B$24,0)),0)</f>
        <v/>
      </c>
      <c r="AS6" s="37">
        <f>IF(44&gt;=Inputs!$B$22,IF(44=Inputs!$B$22,Inputs!$B$23,ROUND(AR9*Inputs!$B$24,0)),0)</f>
        <v/>
      </c>
      <c r="AT6" s="37">
        <f>IF(45&gt;=Inputs!$B$22,IF(45=Inputs!$B$22,Inputs!$B$23,ROUND(AS9*Inputs!$B$24,0)),0)</f>
        <v/>
      </c>
      <c r="AU6" s="37">
        <f>IF(46&gt;=Inputs!$B$22,IF(46=Inputs!$B$22,Inputs!$B$23,ROUND(AT9*Inputs!$B$24,0)),0)</f>
        <v/>
      </c>
      <c r="AV6" s="37">
        <f>IF(47&gt;=Inputs!$B$22,IF(47=Inputs!$B$22,Inputs!$B$23,ROUND(AU9*Inputs!$B$24,0)),0)</f>
        <v/>
      </c>
      <c r="AW6" s="37">
        <f>IF(48&gt;=Inputs!$B$22,IF(48=Inputs!$B$22,Inputs!$B$23,ROUND(AV9*Inputs!$B$24,0)),0)</f>
        <v/>
      </c>
      <c r="AX6" s="37">
        <f>IF(49&gt;=Inputs!$B$22,IF(49=Inputs!$B$22,Inputs!$B$23,ROUND(AW9*Inputs!$B$24,0)),0)</f>
        <v/>
      </c>
      <c r="AY6" s="37">
        <f>IF(50&gt;=Inputs!$B$22,IF(50=Inputs!$B$22,Inputs!$B$23,ROUND(AX9*Inputs!$B$24,0)),0)</f>
        <v/>
      </c>
      <c r="AZ6" s="37">
        <f>IF(51&gt;=Inputs!$B$22,IF(51=Inputs!$B$22,Inputs!$B$23,ROUND(AY9*Inputs!$B$24,0)),0)</f>
        <v/>
      </c>
      <c r="BA6" s="37">
        <f>IF(52&gt;=Inputs!$B$22,IF(52=Inputs!$B$22,Inputs!$B$23,ROUND(AZ9*Inputs!$B$24,0)),0)</f>
        <v/>
      </c>
    </row>
    <row r="7" ht="14.25" customHeight="1" s="165">
      <c r="A7" s="3" t="inlineStr">
        <is>
          <t>Churned Seats</t>
        </is>
      </c>
      <c r="B7" s="37">
        <f>0</f>
        <v/>
      </c>
      <c r="C7" s="37">
        <f>IF(B9&gt;0,ROUND(B9*Inputs!$B$28/12,0),0)</f>
        <v/>
      </c>
      <c r="D7" s="37">
        <f>IF(C9&gt;0,ROUND(C9*Inputs!$B$28/12,0),0)</f>
        <v/>
      </c>
      <c r="E7" s="37">
        <f>IF(D9&gt;0,ROUND(D9*Inputs!$B$28/12,0),0)</f>
        <v/>
      </c>
      <c r="F7" s="37">
        <f>IF(E9&gt;0,ROUND(E9*Inputs!$B$28/12,0),0)</f>
        <v/>
      </c>
      <c r="G7" s="37">
        <f>IF(F9&gt;0,ROUND(F9*Inputs!$B$28/12,0),0)</f>
        <v/>
      </c>
      <c r="H7" s="37">
        <f>IF(G9&gt;0,ROUND(G9*Inputs!$B$28/12,0),0)</f>
        <v/>
      </c>
      <c r="I7" s="37">
        <f>IF(H9&gt;0,ROUND(H9*Inputs!$B$28/12,0),0)</f>
        <v/>
      </c>
      <c r="J7" s="37">
        <f>IF(I9&gt;0,ROUND(I9*Inputs!$B$28/12,0),0)</f>
        <v/>
      </c>
      <c r="K7" s="37">
        <f>IF(J9&gt;0,ROUND(J9*Inputs!$B$28/12,0),0)</f>
        <v/>
      </c>
      <c r="L7" s="37">
        <f>IF(K9&gt;0,ROUND(K9*Inputs!$B$28/12,0),0)</f>
        <v/>
      </c>
      <c r="M7" s="37">
        <f>IF(L9&gt;0,ROUND(L9*Inputs!$B$28/12,0),0)</f>
        <v/>
      </c>
      <c r="N7" s="37">
        <f>IF(M9&gt;0,ROUND(M9*Inputs!$B$28/12,0),0)</f>
        <v/>
      </c>
      <c r="O7" s="37">
        <f>IF(N9&gt;0,ROUND(N9*Inputs!$B$28/12,0),0)</f>
        <v/>
      </c>
      <c r="P7" s="37">
        <f>IF(O9&gt;0,ROUND(O9*Inputs!$B$28/12,0),0)</f>
        <v/>
      </c>
      <c r="Q7" s="37">
        <f>IF(P9&gt;0,ROUND(P9*Inputs!$B$28/12,0),0)</f>
        <v/>
      </c>
      <c r="R7" s="37">
        <f>IF(Q9&gt;0,ROUND(Q9*Inputs!$B$28/12,0),0)</f>
        <v/>
      </c>
      <c r="S7" s="37">
        <f>IF(R9&gt;0,ROUND(R9*Inputs!$B$28/12,0),0)</f>
        <v/>
      </c>
      <c r="T7" s="37">
        <f>IF(S9&gt;0,ROUND(S9*Inputs!$B$28/12,0),0)</f>
        <v/>
      </c>
      <c r="U7" s="37">
        <f>IF(T9&gt;0,ROUND(T9*Inputs!$B$28/12,0),0)</f>
        <v/>
      </c>
      <c r="V7" s="37">
        <f>IF(U9&gt;0,ROUND(U9*Inputs!$B$28/12,0),0)</f>
        <v/>
      </c>
      <c r="W7" s="37">
        <f>IF(V9&gt;0,ROUND(V9*Inputs!$B$28/12,0),0)</f>
        <v/>
      </c>
      <c r="X7" s="37">
        <f>IF(W9&gt;0,ROUND(W9*Inputs!$B$28/12,0),0)</f>
        <v/>
      </c>
      <c r="Y7" s="37">
        <f>IF(X9&gt;0,ROUND(X9*Inputs!$B$28/12,0),0)</f>
        <v/>
      </c>
      <c r="Z7" s="37">
        <f>IF(Y9&gt;0,ROUND(Y9*Inputs!$B$28/12,0),0)</f>
        <v/>
      </c>
      <c r="AA7" s="37">
        <f>IF(Z9&gt;0,ROUND(Z9*Inputs!$B$28/12,0),0)</f>
        <v/>
      </c>
      <c r="AB7" s="37">
        <f>IF(AA9&gt;0,ROUND(AA9*Inputs!$B$28/12,0),0)</f>
        <v/>
      </c>
      <c r="AC7" s="37">
        <f>IF(AB9&gt;0,ROUND(AB9*Inputs!$B$28/12,0),0)</f>
        <v/>
      </c>
      <c r="AD7" s="37">
        <f>IF(AC9&gt;0,ROUND(AC9*Inputs!$B$28/12,0),0)</f>
        <v/>
      </c>
      <c r="AE7" s="37">
        <f>IF(AD9&gt;0,ROUND(AD9*Inputs!$B$28/12,0),0)</f>
        <v/>
      </c>
      <c r="AF7" s="37">
        <f>IF(AE9&gt;0,ROUND(AE9*Inputs!$B$28/12,0),0)</f>
        <v/>
      </c>
      <c r="AG7" s="37">
        <f>IF(AF9&gt;0,ROUND(AF9*Inputs!$B$28/12,0),0)</f>
        <v/>
      </c>
      <c r="AH7" s="37">
        <f>IF(AG9&gt;0,ROUND(AG9*Inputs!$B$28/12,0),0)</f>
        <v/>
      </c>
      <c r="AI7" s="37">
        <f>IF(AH9&gt;0,ROUND(AH9*Inputs!$B$28/12,0),0)</f>
        <v/>
      </c>
      <c r="AJ7" s="37">
        <f>IF(AI9&gt;0,ROUND(AI9*Inputs!$B$28/12,0),0)</f>
        <v/>
      </c>
      <c r="AK7" s="37">
        <f>IF(AJ9&gt;0,ROUND(AJ9*Inputs!$B$28/12,0),0)</f>
        <v/>
      </c>
      <c r="AL7" s="37">
        <f>IF(AK9&gt;0,ROUND(AK9*Inputs!$B$28/12,0),0)</f>
        <v/>
      </c>
      <c r="AM7" s="37">
        <f>IF(AL9&gt;0,ROUND(AL9*Inputs!$B$28/12,0),0)</f>
        <v/>
      </c>
      <c r="AN7" s="37">
        <f>IF(AM9&gt;0,ROUND(AM9*Inputs!$B$28/12,0),0)</f>
        <v/>
      </c>
      <c r="AO7" s="37">
        <f>IF(AN9&gt;0,ROUND(AN9*Inputs!$B$28/12,0),0)</f>
        <v/>
      </c>
      <c r="AP7" s="37">
        <f>IF(AO9&gt;0,ROUND(AO9*Inputs!$B$28/12,0),0)</f>
        <v/>
      </c>
      <c r="AQ7" s="37">
        <f>IF(AP9&gt;0,ROUND(AP9*Inputs!$B$28/12,0),0)</f>
        <v/>
      </c>
      <c r="AR7" s="37">
        <f>IF(AQ9&gt;0,ROUND(AQ9*Inputs!$B$28/12,0),0)</f>
        <v/>
      </c>
      <c r="AS7" s="37">
        <f>IF(AR9&gt;0,ROUND(AR9*Inputs!$B$28/12,0),0)</f>
        <v/>
      </c>
      <c r="AT7" s="37">
        <f>IF(AS9&gt;0,ROUND(AS9*Inputs!$B$28/12,0),0)</f>
        <v/>
      </c>
      <c r="AU7" s="37">
        <f>IF(AT9&gt;0,ROUND(AT9*Inputs!$B$28/12,0),0)</f>
        <v/>
      </c>
      <c r="AV7" s="37">
        <f>IF(AU9&gt;0,ROUND(AU9*Inputs!$B$28/12,0),0)</f>
        <v/>
      </c>
      <c r="AW7" s="37">
        <f>IF(AV9&gt;0,ROUND(AV9*Inputs!$B$28/12,0),0)</f>
        <v/>
      </c>
      <c r="AX7" s="37">
        <f>IF(AW9&gt;0,ROUND(AW9*Inputs!$B$28/12,0),0)</f>
        <v/>
      </c>
      <c r="AY7" s="37">
        <f>IF(AX9&gt;0,ROUND(AX9*Inputs!$B$28/12,0),0)</f>
        <v/>
      </c>
      <c r="AZ7" s="37">
        <f>IF(AY9&gt;0,ROUND(AY9*Inputs!$B$28/12,0),0)</f>
        <v/>
      </c>
      <c r="BA7" s="37">
        <f>IF(AZ9&gt;0,ROUND(AZ9*Inputs!$B$28/12,0),0)</f>
        <v/>
      </c>
    </row>
    <row r="8" ht="14.25" customHeight="1" s="165">
      <c r="A8" s="3" t="inlineStr">
        <is>
          <t>Net New Seats</t>
        </is>
      </c>
      <c r="B8" s="37">
        <f>B6-B7</f>
        <v/>
      </c>
      <c r="C8" s="37">
        <f>C6-C7</f>
        <v/>
      </c>
      <c r="D8" s="37">
        <f>D6-D7</f>
        <v/>
      </c>
      <c r="E8" s="37">
        <f>E6-E7</f>
        <v/>
      </c>
      <c r="F8" s="37">
        <f>F6-F7</f>
        <v/>
      </c>
      <c r="G8" s="37">
        <f>G6-G7</f>
        <v/>
      </c>
      <c r="H8" s="37">
        <f>H6-H7</f>
        <v/>
      </c>
      <c r="I8" s="37">
        <f>I6-I7</f>
        <v/>
      </c>
      <c r="J8" s="37">
        <f>J6-J7</f>
        <v/>
      </c>
      <c r="K8" s="37">
        <f>K6-K7</f>
        <v/>
      </c>
      <c r="L8" s="37">
        <f>L6-L7</f>
        <v/>
      </c>
      <c r="M8" s="37">
        <f>M6-M7</f>
        <v/>
      </c>
      <c r="N8" s="37">
        <f>N6-N7</f>
        <v/>
      </c>
      <c r="O8" s="37">
        <f>O6-O7</f>
        <v/>
      </c>
      <c r="P8" s="37">
        <f>P6-P7</f>
        <v/>
      </c>
      <c r="Q8" s="37">
        <f>Q6-Q7</f>
        <v/>
      </c>
      <c r="R8" s="37">
        <f>R6-R7</f>
        <v/>
      </c>
      <c r="S8" s="37">
        <f>S6-S7</f>
        <v/>
      </c>
      <c r="T8" s="37">
        <f>T6-T7</f>
        <v/>
      </c>
      <c r="U8" s="37">
        <f>U6-U7</f>
        <v/>
      </c>
      <c r="V8" s="37">
        <f>V6-V7</f>
        <v/>
      </c>
      <c r="W8" s="37">
        <f>W6-W7</f>
        <v/>
      </c>
      <c r="X8" s="37">
        <f>X6-X7</f>
        <v/>
      </c>
      <c r="Y8" s="37">
        <f>Y6-Y7</f>
        <v/>
      </c>
      <c r="Z8" s="37">
        <f>Z6-Z7</f>
        <v/>
      </c>
      <c r="AA8" s="37">
        <f>AA6-AA7</f>
        <v/>
      </c>
      <c r="AB8" s="37">
        <f>AB6-AB7</f>
        <v/>
      </c>
      <c r="AC8" s="37">
        <f>AC6-AC7</f>
        <v/>
      </c>
      <c r="AD8" s="37">
        <f>AD6-AD7</f>
        <v/>
      </c>
      <c r="AE8" s="37">
        <f>AE6-AE7</f>
        <v/>
      </c>
      <c r="AF8" s="37">
        <f>AF6-AF7</f>
        <v/>
      </c>
      <c r="AG8" s="37">
        <f>AG6-AG7</f>
        <v/>
      </c>
      <c r="AH8" s="37">
        <f>AH6-AH7</f>
        <v/>
      </c>
      <c r="AI8" s="37">
        <f>AI6-AI7</f>
        <v/>
      </c>
      <c r="AJ8" s="37">
        <f>AJ6-AJ7</f>
        <v/>
      </c>
      <c r="AK8" s="37">
        <f>AK6-AK7</f>
        <v/>
      </c>
      <c r="AL8" s="37">
        <f>AL6-AL7</f>
        <v/>
      </c>
      <c r="AM8" s="37">
        <f>AM6-AM7</f>
        <v/>
      </c>
      <c r="AN8" s="37">
        <f>AN6-AN7</f>
        <v/>
      </c>
      <c r="AO8" s="37">
        <f>AO6-AO7</f>
        <v/>
      </c>
      <c r="AP8" s="37">
        <f>AP6-AP7</f>
        <v/>
      </c>
      <c r="AQ8" s="37">
        <f>AQ6-AQ7</f>
        <v/>
      </c>
      <c r="AR8" s="37">
        <f>AR6-AR7</f>
        <v/>
      </c>
      <c r="AS8" s="37">
        <f>AS6-AS7</f>
        <v/>
      </c>
      <c r="AT8" s="37">
        <f>AT6-AT7</f>
        <v/>
      </c>
      <c r="AU8" s="37">
        <f>AU6-AU7</f>
        <v/>
      </c>
      <c r="AV8" s="37">
        <f>AV6-AV7</f>
        <v/>
      </c>
      <c r="AW8" s="37">
        <f>AW6-AW7</f>
        <v/>
      </c>
      <c r="AX8" s="37">
        <f>AX6-AX7</f>
        <v/>
      </c>
      <c r="AY8" s="37">
        <f>AY6-AY7</f>
        <v/>
      </c>
      <c r="AZ8" s="37">
        <f>AZ6-AZ7</f>
        <v/>
      </c>
      <c r="BA8" s="37">
        <f>BA6-BA7</f>
        <v/>
      </c>
    </row>
    <row r="9" ht="14.25" customHeight="1" s="165">
      <c r="A9" s="3" t="inlineStr">
        <is>
          <t>Total Active Seats</t>
        </is>
      </c>
      <c r="B9" s="37">
        <f>B8</f>
        <v/>
      </c>
      <c r="C9" s="37">
        <f>B9+C8</f>
        <v/>
      </c>
      <c r="D9" s="37">
        <f>C9+D8</f>
        <v/>
      </c>
      <c r="E9" s="37">
        <f>D9+E8</f>
        <v/>
      </c>
      <c r="F9" s="37">
        <f>E9+F8</f>
        <v/>
      </c>
      <c r="G9" s="37">
        <f>F9+G8</f>
        <v/>
      </c>
      <c r="H9" s="37">
        <f>G9+H8</f>
        <v/>
      </c>
      <c r="I9" s="37">
        <f>H9+I8</f>
        <v/>
      </c>
      <c r="J9" s="37">
        <f>I9+J8</f>
        <v/>
      </c>
      <c r="K9" s="37">
        <f>J9+K8</f>
        <v/>
      </c>
      <c r="L9" s="37">
        <f>K9+L8</f>
        <v/>
      </c>
      <c r="M9" s="37">
        <f>L9+M8</f>
        <v/>
      </c>
      <c r="N9" s="37">
        <f>M9+N8</f>
        <v/>
      </c>
      <c r="O9" s="37">
        <f>N9+O8</f>
        <v/>
      </c>
      <c r="P9" s="37">
        <f>O9+P8</f>
        <v/>
      </c>
      <c r="Q9" s="37">
        <f>P9+Q8</f>
        <v/>
      </c>
      <c r="R9" s="37">
        <f>Q9+R8</f>
        <v/>
      </c>
      <c r="S9" s="37">
        <f>R9+S8</f>
        <v/>
      </c>
      <c r="T9" s="37">
        <f>S9+T8</f>
        <v/>
      </c>
      <c r="U9" s="37">
        <f>T9+U8</f>
        <v/>
      </c>
      <c r="V9" s="37">
        <f>U9+V8</f>
        <v/>
      </c>
      <c r="W9" s="37">
        <f>V9+W8</f>
        <v/>
      </c>
      <c r="X9" s="37">
        <f>W9+X8</f>
        <v/>
      </c>
      <c r="Y9" s="37">
        <f>X9+Y8</f>
        <v/>
      </c>
      <c r="Z9" s="37">
        <f>Y9+Z8</f>
        <v/>
      </c>
      <c r="AA9" s="37">
        <f>Z9+AA8</f>
        <v/>
      </c>
      <c r="AB9" s="37">
        <f>AA9+AB8</f>
        <v/>
      </c>
      <c r="AC9" s="37">
        <f>AB9+AC8</f>
        <v/>
      </c>
      <c r="AD9" s="37">
        <f>AC9+AD8</f>
        <v/>
      </c>
      <c r="AE9" s="37">
        <f>AD9+AE8</f>
        <v/>
      </c>
      <c r="AF9" s="37">
        <f>AE9+AF8</f>
        <v/>
      </c>
      <c r="AG9" s="37">
        <f>AF9+AG8</f>
        <v/>
      </c>
      <c r="AH9" s="37">
        <f>AG9+AH8</f>
        <v/>
      </c>
      <c r="AI9" s="37">
        <f>AH9+AI8</f>
        <v/>
      </c>
      <c r="AJ9" s="37">
        <f>AI9+AJ8</f>
        <v/>
      </c>
      <c r="AK9" s="37">
        <f>AJ9+AK8</f>
        <v/>
      </c>
      <c r="AL9" s="37">
        <f>AK9+AL8</f>
        <v/>
      </c>
      <c r="AM9" s="37">
        <f>AL9+AM8</f>
        <v/>
      </c>
      <c r="AN9" s="37">
        <f>AM9+AN8</f>
        <v/>
      </c>
      <c r="AO9" s="37">
        <f>AN9+AO8</f>
        <v/>
      </c>
      <c r="AP9" s="37">
        <f>AO9+AP8</f>
        <v/>
      </c>
      <c r="AQ9" s="37">
        <f>AP9+AQ8</f>
        <v/>
      </c>
      <c r="AR9" s="37">
        <f>AQ9+AR8</f>
        <v/>
      </c>
      <c r="AS9" s="37">
        <f>AR9+AS8</f>
        <v/>
      </c>
      <c r="AT9" s="37">
        <f>AS9+AT8</f>
        <v/>
      </c>
      <c r="AU9" s="37">
        <f>AT9+AU8</f>
        <v/>
      </c>
      <c r="AV9" s="37">
        <f>AU9+AV8</f>
        <v/>
      </c>
      <c r="AW9" s="37">
        <f>AV9+AW8</f>
        <v/>
      </c>
      <c r="AX9" s="37">
        <f>AW9+AX8</f>
        <v/>
      </c>
      <c r="AY9" s="37">
        <f>AX9+AY8</f>
        <v/>
      </c>
      <c r="AZ9" s="37">
        <f>AY9+AZ8</f>
        <v/>
      </c>
      <c r="BA9" s="37">
        <f>AZ9+BA8</f>
        <v/>
      </c>
    </row>
    <row r="10" ht="14.25" customHeight="1" s="165">
      <c r="A10" s="3" t="inlineStr">
        <is>
          <t>Monthly Subscription Revenue (€)</t>
        </is>
      </c>
      <c r="B10" s="37">
        <f>B9*B5</f>
        <v/>
      </c>
      <c r="C10" s="37">
        <f>C9*C5</f>
        <v/>
      </c>
      <c r="D10" s="37">
        <f>D9*D5</f>
        <v/>
      </c>
      <c r="E10" s="37">
        <f>E9*E5</f>
        <v/>
      </c>
      <c r="F10" s="37">
        <f>F9*F5</f>
        <v/>
      </c>
      <c r="G10" s="37">
        <f>G9*G5</f>
        <v/>
      </c>
      <c r="H10" s="37">
        <f>H9*H5</f>
        <v/>
      </c>
      <c r="I10" s="37">
        <f>I9*I5</f>
        <v/>
      </c>
      <c r="J10" s="37">
        <f>J9*J5</f>
        <v/>
      </c>
      <c r="K10" s="37">
        <f>K9*K5</f>
        <v/>
      </c>
      <c r="L10" s="37">
        <f>L9*L5</f>
        <v/>
      </c>
      <c r="M10" s="37">
        <f>M9*M5</f>
        <v/>
      </c>
      <c r="N10" s="37">
        <f>N9*N5</f>
        <v/>
      </c>
      <c r="O10" s="37">
        <f>O9*O5</f>
        <v/>
      </c>
      <c r="P10" s="37">
        <f>P9*P5</f>
        <v/>
      </c>
      <c r="Q10" s="37">
        <f>Q9*Q5</f>
        <v/>
      </c>
      <c r="R10" s="37">
        <f>R9*R5</f>
        <v/>
      </c>
      <c r="S10" s="37">
        <f>S9*S5</f>
        <v/>
      </c>
      <c r="T10" s="37">
        <f>T9*T5</f>
        <v/>
      </c>
      <c r="U10" s="37">
        <f>U9*U5</f>
        <v/>
      </c>
      <c r="V10" s="37">
        <f>V9*V5</f>
        <v/>
      </c>
      <c r="W10" s="37">
        <f>W9*W5</f>
        <v/>
      </c>
      <c r="X10" s="37">
        <f>X9*X5</f>
        <v/>
      </c>
      <c r="Y10" s="37">
        <f>Y9*Y5</f>
        <v/>
      </c>
      <c r="Z10" s="37">
        <f>Z9*Z5</f>
        <v/>
      </c>
      <c r="AA10" s="37">
        <f>AA9*AA5</f>
        <v/>
      </c>
      <c r="AB10" s="37">
        <f>AB9*AB5</f>
        <v/>
      </c>
      <c r="AC10" s="37">
        <f>AC9*AC5</f>
        <v/>
      </c>
      <c r="AD10" s="37">
        <f>AD9*AD5</f>
        <v/>
      </c>
      <c r="AE10" s="37">
        <f>AE9*AE5</f>
        <v/>
      </c>
      <c r="AF10" s="37">
        <f>AF9*AF5</f>
        <v/>
      </c>
      <c r="AG10" s="37">
        <f>AG9*AG5</f>
        <v/>
      </c>
      <c r="AH10" s="37">
        <f>AH9*AH5</f>
        <v/>
      </c>
      <c r="AI10" s="37">
        <f>AI9*AI5</f>
        <v/>
      </c>
      <c r="AJ10" s="37">
        <f>AJ9*AJ5</f>
        <v/>
      </c>
      <c r="AK10" s="37">
        <f>AK9*AK5</f>
        <v/>
      </c>
      <c r="AL10" s="37">
        <f>AL9*AL5</f>
        <v/>
      </c>
      <c r="AM10" s="37">
        <f>AM9*AM5</f>
        <v/>
      </c>
      <c r="AN10" s="37">
        <f>AN9*AN5</f>
        <v/>
      </c>
      <c r="AO10" s="37">
        <f>AO9*AO5</f>
        <v/>
      </c>
      <c r="AP10" s="37">
        <f>AP9*AP5</f>
        <v/>
      </c>
      <c r="AQ10" s="37">
        <f>AQ9*AQ5</f>
        <v/>
      </c>
      <c r="AR10" s="37">
        <f>AR9*AR5</f>
        <v/>
      </c>
      <c r="AS10" s="37">
        <f>AS9*AS5</f>
        <v/>
      </c>
      <c r="AT10" s="37">
        <f>AT9*AT5</f>
        <v/>
      </c>
      <c r="AU10" s="37">
        <f>AU9*AU5</f>
        <v/>
      </c>
      <c r="AV10" s="37">
        <f>AV9*AV5</f>
        <v/>
      </c>
      <c r="AW10" s="37">
        <f>AW9*AW5</f>
        <v/>
      </c>
      <c r="AX10" s="37">
        <f>AX9*AX5</f>
        <v/>
      </c>
      <c r="AY10" s="37">
        <f>AY9*AY5</f>
        <v/>
      </c>
      <c r="AZ10" s="37">
        <f>AZ9*AZ5</f>
        <v/>
      </c>
      <c r="BA10" s="37">
        <f>BA9*BA5</f>
        <v/>
      </c>
    </row>
    <row r="11" ht="14.25" customHeight="1" s="165">
      <c r="A11" s="3" t="inlineStr">
        <is>
          <t>Subscription ARR (€)</t>
        </is>
      </c>
      <c r="B11" s="37">
        <f>B10*12</f>
        <v/>
      </c>
      <c r="C11" s="37">
        <f>C10*12</f>
        <v/>
      </c>
      <c r="D11" s="37">
        <f>D10*12</f>
        <v/>
      </c>
      <c r="E11" s="37">
        <f>E10*12</f>
        <v/>
      </c>
      <c r="F11" s="37">
        <f>F10*12</f>
        <v/>
      </c>
      <c r="G11" s="37">
        <f>G10*12</f>
        <v/>
      </c>
      <c r="H11" s="37">
        <f>H10*12</f>
        <v/>
      </c>
      <c r="I11" s="37">
        <f>I10*12</f>
        <v/>
      </c>
      <c r="J11" s="37">
        <f>J10*12</f>
        <v/>
      </c>
      <c r="K11" s="37">
        <f>K10*12</f>
        <v/>
      </c>
      <c r="L11" s="37">
        <f>L10*12</f>
        <v/>
      </c>
      <c r="M11" s="37">
        <f>M10*12</f>
        <v/>
      </c>
      <c r="N11" s="37">
        <f>N10*12</f>
        <v/>
      </c>
      <c r="O11" s="37">
        <f>O10*12</f>
        <v/>
      </c>
      <c r="P11" s="37">
        <f>P10*12</f>
        <v/>
      </c>
      <c r="Q11" s="37">
        <f>Q10*12</f>
        <v/>
      </c>
      <c r="R11" s="37">
        <f>R10*12</f>
        <v/>
      </c>
      <c r="S11" s="37">
        <f>S10*12</f>
        <v/>
      </c>
      <c r="T11" s="37">
        <f>T10*12</f>
        <v/>
      </c>
      <c r="U11" s="37">
        <f>U10*12</f>
        <v/>
      </c>
      <c r="V11" s="37">
        <f>V10*12</f>
        <v/>
      </c>
      <c r="W11" s="37">
        <f>W10*12</f>
        <v/>
      </c>
      <c r="X11" s="37">
        <f>X10*12</f>
        <v/>
      </c>
      <c r="Y11" s="37">
        <f>Y10*12</f>
        <v/>
      </c>
      <c r="Z11" s="37">
        <f>Z10*12</f>
        <v/>
      </c>
      <c r="AA11" s="37">
        <f>AA10*12</f>
        <v/>
      </c>
      <c r="AB11" s="37">
        <f>AB10*12</f>
        <v/>
      </c>
      <c r="AC11" s="37">
        <f>AC10*12</f>
        <v/>
      </c>
      <c r="AD11" s="37">
        <f>AD10*12</f>
        <v/>
      </c>
      <c r="AE11" s="37">
        <f>AE10*12</f>
        <v/>
      </c>
      <c r="AF11" s="37">
        <f>AF10*12</f>
        <v/>
      </c>
      <c r="AG11" s="37">
        <f>AG10*12</f>
        <v/>
      </c>
      <c r="AH11" s="37">
        <f>AH10*12</f>
        <v/>
      </c>
      <c r="AI11" s="37">
        <f>AI10*12</f>
        <v/>
      </c>
      <c r="AJ11" s="37">
        <f>AJ10*12</f>
        <v/>
      </c>
      <c r="AK11" s="37">
        <f>AK10*12</f>
        <v/>
      </c>
      <c r="AL11" s="37">
        <f>AL10*12</f>
        <v/>
      </c>
      <c r="AM11" s="37">
        <f>AM10*12</f>
        <v/>
      </c>
      <c r="AN11" s="37">
        <f>AN10*12</f>
        <v/>
      </c>
      <c r="AO11" s="37">
        <f>AO10*12</f>
        <v/>
      </c>
      <c r="AP11" s="37">
        <f>AP10*12</f>
        <v/>
      </c>
      <c r="AQ11" s="37">
        <f>AQ10*12</f>
        <v/>
      </c>
      <c r="AR11" s="37">
        <f>AR10*12</f>
        <v/>
      </c>
      <c r="AS11" s="37">
        <f>AS10*12</f>
        <v/>
      </c>
      <c r="AT11" s="37">
        <f>AT10*12</f>
        <v/>
      </c>
      <c r="AU11" s="37">
        <f>AU10*12</f>
        <v/>
      </c>
      <c r="AV11" s="37">
        <f>AV10*12</f>
        <v/>
      </c>
      <c r="AW11" s="37">
        <f>AW10*12</f>
        <v/>
      </c>
      <c r="AX11" s="37">
        <f>AX10*12</f>
        <v/>
      </c>
      <c r="AY11" s="37">
        <f>AY10*12</f>
        <v/>
      </c>
      <c r="AZ11" s="37">
        <f>AZ10*12</f>
        <v/>
      </c>
      <c r="BA11" s="37">
        <f>BA10*12</f>
        <v/>
      </c>
    </row>
    <row r="12" ht="20" customHeight="1" s="165">
      <c r="A12" s="73" t="n"/>
    </row>
    <row r="13" ht="18" customHeight="1" s="165">
      <c r="A13" s="74" t="inlineStr">
        <is>
          <t>Neue Enterprise-Deals (Quartal)</t>
        </is>
      </c>
      <c r="B13" s="37">
        <f>IF(AND(1&gt;=Inputs!$B$25,MOD(1-Inputs!$B$25,3)=0),Inputs!$B$27,0)</f>
        <v/>
      </c>
      <c r="C13" s="37">
        <f>IF(AND(2&gt;=Inputs!$B$25,MOD(2-Inputs!$B$25,3)=0),Inputs!$B$27,0)</f>
        <v/>
      </c>
      <c r="D13" s="37">
        <f>IF(AND(3&gt;=Inputs!$B$25,MOD(3-Inputs!$B$25,3)=0),Inputs!$B$27,0)</f>
        <v/>
      </c>
      <c r="E13" s="37">
        <f>IF(AND(4&gt;=Inputs!$B$25,MOD(4-Inputs!$B$25,3)=0),Inputs!$B$27,0)</f>
        <v/>
      </c>
      <c r="F13" s="37">
        <f>IF(AND(5&gt;=Inputs!$B$25,MOD(5-Inputs!$B$25,3)=0),Inputs!$B$27,0)</f>
        <v/>
      </c>
      <c r="G13" s="37">
        <f>IF(AND(6&gt;=Inputs!$B$25,MOD(6-Inputs!$B$25,3)=0),Inputs!$B$27,0)</f>
        <v/>
      </c>
      <c r="H13" s="37">
        <f>IF(AND(7&gt;=Inputs!$B$25,MOD(7-Inputs!$B$25,3)=0),Inputs!$B$27,0)</f>
        <v/>
      </c>
      <c r="I13" s="37">
        <f>IF(AND(8&gt;=Inputs!$B$25,MOD(8-Inputs!$B$25,3)=0),Inputs!$B$27,0)</f>
        <v/>
      </c>
      <c r="J13" s="37">
        <f>IF(AND(9&gt;=Inputs!$B$25,MOD(9-Inputs!$B$25,3)=0),Inputs!$B$27,0)</f>
        <v/>
      </c>
      <c r="K13" s="37">
        <f>IF(AND(10&gt;=Inputs!$B$25,MOD(10-Inputs!$B$25,3)=0),Inputs!$B$27,0)</f>
        <v/>
      </c>
      <c r="L13" s="37">
        <f>IF(AND(11&gt;=Inputs!$B$25,MOD(11-Inputs!$B$25,3)=0),Inputs!$B$27,0)</f>
        <v/>
      </c>
      <c r="M13" s="37">
        <f>IF(AND(12&gt;=Inputs!$B$25,MOD(12-Inputs!$B$25,3)=0),Inputs!$B$27,0)</f>
        <v/>
      </c>
      <c r="N13" s="37">
        <f>IF(AND(13&gt;=Inputs!$B$25,MOD(13-Inputs!$B$25,3)=0),Inputs!$B$27,0)</f>
        <v/>
      </c>
      <c r="O13" s="37">
        <f>IF(AND(14&gt;=Inputs!$B$25,MOD(14-Inputs!$B$25,3)=0),Inputs!$B$27,0)</f>
        <v/>
      </c>
      <c r="P13" s="37">
        <f>IF(AND(15&gt;=Inputs!$B$25,MOD(15-Inputs!$B$25,3)=0),Inputs!$B$27,0)</f>
        <v/>
      </c>
      <c r="Q13" s="37">
        <f>IF(AND(16&gt;=Inputs!$B$25,MOD(16-Inputs!$B$25,3)=0),Inputs!$B$27,0)</f>
        <v/>
      </c>
      <c r="R13" s="37">
        <f>IF(AND(17&gt;=Inputs!$B$25,MOD(17-Inputs!$B$25,3)=0),Inputs!$B$27,0)</f>
        <v/>
      </c>
      <c r="S13" s="37">
        <f>IF(AND(18&gt;=Inputs!$B$25,MOD(18-Inputs!$B$25,3)=0),Inputs!$B$27,0)</f>
        <v/>
      </c>
      <c r="T13" s="37">
        <f>IF(AND(19&gt;=Inputs!$B$25,MOD(19-Inputs!$B$25,3)=0),Inputs!$B$27,0)</f>
        <v/>
      </c>
      <c r="U13" s="37">
        <f>IF(AND(20&gt;=Inputs!$B$25,MOD(20-Inputs!$B$25,3)=0),Inputs!$B$27,0)</f>
        <v/>
      </c>
      <c r="V13" s="37">
        <f>IF(AND(21&gt;=Inputs!$B$25,MOD(21-Inputs!$B$25,3)=0),Inputs!$B$27,0)</f>
        <v/>
      </c>
      <c r="W13" s="37">
        <f>IF(AND(22&gt;=Inputs!$B$25,MOD(22-Inputs!$B$25,3)=0),Inputs!$B$27,0)</f>
        <v/>
      </c>
      <c r="X13" s="37">
        <f>IF(AND(23&gt;=Inputs!$B$25,MOD(23-Inputs!$B$25,3)=0),Inputs!$B$27,0)</f>
        <v/>
      </c>
      <c r="Y13" s="37">
        <f>IF(AND(24&gt;=Inputs!$B$25,MOD(24-Inputs!$B$25,3)=0),Inputs!$B$27,0)</f>
        <v/>
      </c>
      <c r="Z13" s="37">
        <f>IF(AND(25&gt;=Inputs!$B$25,MOD(25-Inputs!$B$25,3)=0),Inputs!$B$27,0)</f>
        <v/>
      </c>
      <c r="AA13" s="37">
        <f>IF(AND(26&gt;=Inputs!$B$25,MOD(26-Inputs!$B$25,3)=0),Inputs!$B$27,0)</f>
        <v/>
      </c>
      <c r="AB13" s="37">
        <f>IF(AND(27&gt;=Inputs!$B$25,MOD(27-Inputs!$B$25,3)=0),Inputs!$B$27,0)</f>
        <v/>
      </c>
      <c r="AC13" s="37">
        <f>IF(AND(28&gt;=Inputs!$B$25,MOD(28-Inputs!$B$25,3)=0),Inputs!$B$27,0)</f>
        <v/>
      </c>
      <c r="AD13" s="37">
        <f>IF(AND(29&gt;=Inputs!$B$25,MOD(29-Inputs!$B$25,3)=0),Inputs!$B$27,0)</f>
        <v/>
      </c>
      <c r="AE13" s="37">
        <f>IF(AND(30&gt;=Inputs!$B$25,MOD(30-Inputs!$B$25,3)=0),Inputs!$B$27,0)</f>
        <v/>
      </c>
      <c r="AF13" s="37">
        <f>IF(AND(31&gt;=Inputs!$B$25,MOD(31-Inputs!$B$25,3)=0),Inputs!$B$27,0)</f>
        <v/>
      </c>
      <c r="AG13" s="37">
        <f>IF(AND(32&gt;=Inputs!$B$25,MOD(32-Inputs!$B$25,3)=0),Inputs!$B$27,0)</f>
        <v/>
      </c>
      <c r="AH13" s="37">
        <f>IF(AND(33&gt;=Inputs!$B$25,MOD(33-Inputs!$B$25,3)=0),Inputs!$B$27,0)</f>
        <v/>
      </c>
      <c r="AI13" s="37">
        <f>IF(AND(34&gt;=Inputs!$B$25,MOD(34-Inputs!$B$25,3)=0),Inputs!$B$27,0)</f>
        <v/>
      </c>
      <c r="AJ13" s="37">
        <f>IF(AND(35&gt;=Inputs!$B$25,MOD(35-Inputs!$B$25,3)=0),Inputs!$B$27,0)</f>
        <v/>
      </c>
      <c r="AK13" s="37">
        <f>IF(AND(36&gt;=Inputs!$B$25,MOD(36-Inputs!$B$25,3)=0),Inputs!$B$27,0)</f>
        <v/>
      </c>
      <c r="AL13" s="37">
        <f>IF(AND(37&gt;=Inputs!$B$25,MOD(37-Inputs!$B$25,3)=0),Inputs!$B$27,0)</f>
        <v/>
      </c>
      <c r="AM13" s="37">
        <f>IF(AND(38&gt;=Inputs!$B$25,MOD(38-Inputs!$B$25,3)=0),Inputs!$B$27,0)</f>
        <v/>
      </c>
      <c r="AN13" s="37">
        <f>IF(AND(39&gt;=Inputs!$B$25,MOD(39-Inputs!$B$25,3)=0),Inputs!$B$27,0)</f>
        <v/>
      </c>
      <c r="AO13" s="37">
        <f>IF(AND(40&gt;=Inputs!$B$25,MOD(40-Inputs!$B$25,3)=0),Inputs!$B$27,0)</f>
        <v/>
      </c>
      <c r="AP13" s="37">
        <f>IF(AND(41&gt;=Inputs!$B$25,MOD(41-Inputs!$B$25,3)=0),Inputs!$B$27,0)</f>
        <v/>
      </c>
      <c r="AQ13" s="37">
        <f>IF(AND(42&gt;=Inputs!$B$25,MOD(42-Inputs!$B$25,3)=0),Inputs!$B$27,0)</f>
        <v/>
      </c>
      <c r="AR13" s="37">
        <f>IF(AND(43&gt;=Inputs!$B$25,MOD(43-Inputs!$B$25,3)=0),Inputs!$B$27,0)</f>
        <v/>
      </c>
      <c r="AS13" s="37">
        <f>IF(AND(44&gt;=Inputs!$B$25,MOD(44-Inputs!$B$25,3)=0),Inputs!$B$27,0)</f>
        <v/>
      </c>
      <c r="AT13" s="37">
        <f>IF(AND(45&gt;=Inputs!$B$25,MOD(45-Inputs!$B$25,3)=0),Inputs!$B$27,0)</f>
        <v/>
      </c>
      <c r="AU13" s="37">
        <f>IF(AND(46&gt;=Inputs!$B$25,MOD(46-Inputs!$B$25,3)=0),Inputs!$B$27,0)</f>
        <v/>
      </c>
      <c r="AV13" s="37">
        <f>IF(AND(47&gt;=Inputs!$B$25,MOD(47-Inputs!$B$25,3)=0),Inputs!$B$27,0)</f>
        <v/>
      </c>
      <c r="AW13" s="37">
        <f>IF(AND(48&gt;=Inputs!$B$25,MOD(48-Inputs!$B$25,3)=0),Inputs!$B$27,0)</f>
        <v/>
      </c>
      <c r="AX13" s="37">
        <f>IF(AND(49&gt;=Inputs!$B$25,MOD(49-Inputs!$B$25,3)=0),Inputs!$B$27,0)</f>
        <v/>
      </c>
      <c r="AY13" s="37">
        <f>IF(AND(50&gt;=Inputs!$B$25,MOD(50-Inputs!$B$25,3)=0),Inputs!$B$27,0)</f>
        <v/>
      </c>
      <c r="AZ13" s="37">
        <f>IF(AND(51&gt;=Inputs!$B$25,MOD(51-Inputs!$B$25,3)=0),Inputs!$B$27,0)</f>
        <v/>
      </c>
      <c r="BA13" s="37">
        <f>IF(AND(52&gt;=Inputs!$B$25,MOD(52-Inputs!$B$25,3)=0),Inputs!$B$27,0)</f>
        <v/>
      </c>
    </row>
    <row r="14" ht="14.25" customHeight="1" s="165">
      <c r="A14" s="3" t="inlineStr">
        <is>
          <t>Churned Enterprise</t>
        </is>
      </c>
      <c r="B14" s="37">
        <f>0</f>
        <v/>
      </c>
      <c r="C14" s="37">
        <f>IF(B15&gt;0,IF(MOD(2,12)=0,ROUND(B15*Inputs!$B$28,0),0),0)</f>
        <v/>
      </c>
      <c r="D14" s="37">
        <f>IF(C15&gt;0,IF(MOD(3,12)=0,ROUND(C15*Inputs!$B$28,0),0),0)</f>
        <v/>
      </c>
      <c r="E14" s="37">
        <f>IF(D15&gt;0,IF(MOD(4,12)=0,ROUND(D15*Inputs!$B$28,0),0),0)</f>
        <v/>
      </c>
      <c r="F14" s="37">
        <f>IF(E15&gt;0,IF(MOD(5,12)=0,ROUND(E15*Inputs!$B$28,0),0),0)</f>
        <v/>
      </c>
      <c r="G14" s="37">
        <f>IF(F15&gt;0,IF(MOD(6,12)=0,ROUND(F15*Inputs!$B$28,0),0),0)</f>
        <v/>
      </c>
      <c r="H14" s="37">
        <f>IF(G15&gt;0,IF(MOD(7,12)=0,ROUND(G15*Inputs!$B$28,0),0),0)</f>
        <v/>
      </c>
      <c r="I14" s="37">
        <f>IF(H15&gt;0,IF(MOD(8,12)=0,ROUND(H15*Inputs!$B$28,0),0),0)</f>
        <v/>
      </c>
      <c r="J14" s="37">
        <f>IF(I15&gt;0,IF(MOD(9,12)=0,ROUND(I15*Inputs!$B$28,0),0),0)</f>
        <v/>
      </c>
      <c r="K14" s="37">
        <f>IF(J15&gt;0,IF(MOD(10,12)=0,ROUND(J15*Inputs!$B$28,0),0),0)</f>
        <v/>
      </c>
      <c r="L14" s="37">
        <f>IF(K15&gt;0,IF(MOD(11,12)=0,ROUND(K15*Inputs!$B$28,0),0),0)</f>
        <v/>
      </c>
      <c r="M14" s="37">
        <f>IF(L15&gt;0,IF(MOD(12,12)=0,ROUND(L15*Inputs!$B$28,0),0),0)</f>
        <v/>
      </c>
      <c r="N14" s="37">
        <f>IF(M15&gt;0,IF(MOD(13,12)=0,ROUND(M15*Inputs!$B$28,0),0),0)</f>
        <v/>
      </c>
      <c r="O14" s="37">
        <f>IF(N15&gt;0,IF(MOD(14,12)=0,ROUND(N15*Inputs!$B$28,0),0),0)</f>
        <v/>
      </c>
      <c r="P14" s="37">
        <f>IF(O15&gt;0,IF(MOD(15,12)=0,ROUND(O15*Inputs!$B$28,0),0),0)</f>
        <v/>
      </c>
      <c r="Q14" s="37">
        <f>IF(P15&gt;0,IF(MOD(16,12)=0,ROUND(P15*Inputs!$B$28,0),0),0)</f>
        <v/>
      </c>
      <c r="R14" s="37">
        <f>IF(Q15&gt;0,IF(MOD(17,12)=0,ROUND(Q15*Inputs!$B$28,0),0),0)</f>
        <v/>
      </c>
      <c r="S14" s="37">
        <f>IF(R15&gt;0,IF(MOD(18,12)=0,ROUND(R15*Inputs!$B$28,0),0),0)</f>
        <v/>
      </c>
      <c r="T14" s="37">
        <f>IF(S15&gt;0,IF(MOD(19,12)=0,ROUND(S15*Inputs!$B$28,0),0),0)</f>
        <v/>
      </c>
      <c r="U14" s="37">
        <f>IF(T15&gt;0,IF(MOD(20,12)=0,ROUND(T15*Inputs!$B$28,0),0),0)</f>
        <v/>
      </c>
      <c r="V14" s="37">
        <f>IF(U15&gt;0,IF(MOD(21,12)=0,ROUND(U15*Inputs!$B$28,0),0),0)</f>
        <v/>
      </c>
      <c r="W14" s="37">
        <f>IF(V15&gt;0,IF(MOD(22,12)=0,ROUND(V15*Inputs!$B$28,0),0),0)</f>
        <v/>
      </c>
      <c r="X14" s="37">
        <f>IF(W15&gt;0,IF(MOD(23,12)=0,ROUND(W15*Inputs!$B$28,0),0),0)</f>
        <v/>
      </c>
      <c r="Y14" s="37">
        <f>IF(X15&gt;0,IF(MOD(24,12)=0,ROUND(X15*Inputs!$B$28,0),0),0)</f>
        <v/>
      </c>
      <c r="Z14" s="37">
        <f>IF(Y15&gt;0,IF(MOD(25,12)=0,ROUND(Y15*Inputs!$B$28,0),0),0)</f>
        <v/>
      </c>
      <c r="AA14" s="37">
        <f>IF(Z15&gt;0,IF(MOD(26,12)=0,ROUND(Z15*Inputs!$B$28,0),0),0)</f>
        <v/>
      </c>
      <c r="AB14" s="37">
        <f>IF(AA15&gt;0,IF(MOD(27,12)=0,ROUND(AA15*Inputs!$B$28,0),0),0)</f>
        <v/>
      </c>
      <c r="AC14" s="37">
        <f>IF(AB15&gt;0,IF(MOD(28,12)=0,ROUND(AB15*Inputs!$B$28,0),0),0)</f>
        <v/>
      </c>
      <c r="AD14" s="37">
        <f>IF(AC15&gt;0,IF(MOD(29,12)=0,ROUND(AC15*Inputs!$B$28,0),0),0)</f>
        <v/>
      </c>
      <c r="AE14" s="37">
        <f>IF(AD15&gt;0,IF(MOD(30,12)=0,ROUND(AD15*Inputs!$B$28,0),0),0)</f>
        <v/>
      </c>
      <c r="AF14" s="37">
        <f>IF(AE15&gt;0,IF(MOD(31,12)=0,ROUND(AE15*Inputs!$B$28,0),0),0)</f>
        <v/>
      </c>
      <c r="AG14" s="37">
        <f>IF(AF15&gt;0,IF(MOD(32,12)=0,ROUND(AF15*Inputs!$B$28,0),0),0)</f>
        <v/>
      </c>
      <c r="AH14" s="37">
        <f>IF(AG15&gt;0,IF(MOD(33,12)=0,ROUND(AG15*Inputs!$B$28,0),0),0)</f>
        <v/>
      </c>
      <c r="AI14" s="37">
        <f>IF(AH15&gt;0,IF(MOD(34,12)=0,ROUND(AH15*Inputs!$B$28,0),0),0)</f>
        <v/>
      </c>
      <c r="AJ14" s="37">
        <f>IF(AI15&gt;0,IF(MOD(35,12)=0,ROUND(AI15*Inputs!$B$28,0),0),0)</f>
        <v/>
      </c>
      <c r="AK14" s="37">
        <f>IF(AJ15&gt;0,IF(MOD(36,12)=0,ROUND(AJ15*Inputs!$B$28,0),0),0)</f>
        <v/>
      </c>
      <c r="AL14" s="37">
        <f>IF(AK15&gt;0,IF(MOD(37,12)=0,ROUND(AK15*Inputs!$B$28,0),0),0)</f>
        <v/>
      </c>
      <c r="AM14" s="37">
        <f>IF(AL15&gt;0,IF(MOD(38,12)=0,ROUND(AL15*Inputs!$B$28,0),0),0)</f>
        <v/>
      </c>
      <c r="AN14" s="37">
        <f>IF(AM15&gt;0,IF(MOD(39,12)=0,ROUND(AM15*Inputs!$B$28,0),0),0)</f>
        <v/>
      </c>
      <c r="AO14" s="37">
        <f>IF(AN15&gt;0,IF(MOD(40,12)=0,ROUND(AN15*Inputs!$B$28,0),0),0)</f>
        <v/>
      </c>
      <c r="AP14" s="37">
        <f>IF(AO15&gt;0,IF(MOD(41,12)=0,ROUND(AO15*Inputs!$B$28,0),0),0)</f>
        <v/>
      </c>
      <c r="AQ14" s="37">
        <f>IF(AP15&gt;0,IF(MOD(42,12)=0,ROUND(AP15*Inputs!$B$28,0),0),0)</f>
        <v/>
      </c>
      <c r="AR14" s="37">
        <f>IF(AQ15&gt;0,IF(MOD(43,12)=0,ROUND(AQ15*Inputs!$B$28,0),0),0)</f>
        <v/>
      </c>
      <c r="AS14" s="37">
        <f>IF(AR15&gt;0,IF(MOD(44,12)=0,ROUND(AR15*Inputs!$B$28,0),0),0)</f>
        <v/>
      </c>
      <c r="AT14" s="37">
        <f>IF(AS15&gt;0,IF(MOD(45,12)=0,ROUND(AS15*Inputs!$B$28,0),0),0)</f>
        <v/>
      </c>
      <c r="AU14" s="37">
        <f>IF(AT15&gt;0,IF(MOD(46,12)=0,ROUND(AT15*Inputs!$B$28,0),0),0)</f>
        <v/>
      </c>
      <c r="AV14" s="37">
        <f>IF(AU15&gt;0,IF(MOD(47,12)=0,ROUND(AU15*Inputs!$B$28,0),0),0)</f>
        <v/>
      </c>
      <c r="AW14" s="37">
        <f>IF(AV15&gt;0,IF(MOD(48,12)=0,ROUND(AV15*Inputs!$B$28,0),0),0)</f>
        <v/>
      </c>
      <c r="AX14" s="37">
        <f>IF(AW15&gt;0,IF(MOD(49,12)=0,ROUND(AW15*Inputs!$B$28,0),0),0)</f>
        <v/>
      </c>
      <c r="AY14" s="37">
        <f>IF(AX15&gt;0,IF(MOD(50,12)=0,ROUND(AX15*Inputs!$B$28,0),0),0)</f>
        <v/>
      </c>
      <c r="AZ14" s="37">
        <f>IF(AY15&gt;0,IF(MOD(51,12)=0,ROUND(AY15*Inputs!$B$28,0),0),0)</f>
        <v/>
      </c>
      <c r="BA14" s="37">
        <f>IF(AZ15&gt;0,IF(MOD(52,12)=0,ROUND(AZ15*Inputs!$B$28,0),0),0)</f>
        <v/>
      </c>
    </row>
    <row r="15" ht="14.25" customHeight="1" s="165">
      <c r="A15" s="3" t="inlineStr">
        <is>
          <t>Active Enterprise Contracts</t>
        </is>
      </c>
      <c r="B15" s="37">
        <f>B13-B14</f>
        <v/>
      </c>
      <c r="C15" s="37">
        <f>B15+C13-C14</f>
        <v/>
      </c>
      <c r="D15" s="37">
        <f>C15+D13-D14</f>
        <v/>
      </c>
      <c r="E15" s="37">
        <f>D15+E13-E14</f>
        <v/>
      </c>
      <c r="F15" s="37">
        <f>E15+F13-F14</f>
        <v/>
      </c>
      <c r="G15" s="37">
        <f>F15+G13-G14</f>
        <v/>
      </c>
      <c r="H15" s="37">
        <f>G15+H13-H14</f>
        <v/>
      </c>
      <c r="I15" s="37">
        <f>H15+I13-I14</f>
        <v/>
      </c>
      <c r="J15" s="37">
        <f>I15+J13-J14</f>
        <v/>
      </c>
      <c r="K15" s="37">
        <f>J15+K13-K14</f>
        <v/>
      </c>
      <c r="L15" s="37">
        <f>K15+L13-L14</f>
        <v/>
      </c>
      <c r="M15" s="37">
        <f>L15+M13-M14</f>
        <v/>
      </c>
      <c r="N15" s="37">
        <f>M15+N13-N14</f>
        <v/>
      </c>
      <c r="O15" s="37">
        <f>N15+O13-O14</f>
        <v/>
      </c>
      <c r="P15" s="37">
        <f>O15+P13-P14</f>
        <v/>
      </c>
      <c r="Q15" s="37">
        <f>P15+Q13-Q14</f>
        <v/>
      </c>
      <c r="R15" s="37">
        <f>Q15+R13-R14</f>
        <v/>
      </c>
      <c r="S15" s="37">
        <f>R15+S13-S14</f>
        <v/>
      </c>
      <c r="T15" s="37">
        <f>S15+T13-T14</f>
        <v/>
      </c>
      <c r="U15" s="37">
        <f>T15+U13-U14</f>
        <v/>
      </c>
      <c r="V15" s="37">
        <f>U15+V13-V14</f>
        <v/>
      </c>
      <c r="W15" s="37">
        <f>V15+W13-W14</f>
        <v/>
      </c>
      <c r="X15" s="37">
        <f>W15+X13-X14</f>
        <v/>
      </c>
      <c r="Y15" s="37">
        <f>X15+Y13-Y14</f>
        <v/>
      </c>
      <c r="Z15" s="37">
        <f>Y15+Z13-Z14</f>
        <v/>
      </c>
      <c r="AA15" s="37">
        <f>Z15+AA13-AA14</f>
        <v/>
      </c>
      <c r="AB15" s="37">
        <f>AA15+AB13-AB14</f>
        <v/>
      </c>
      <c r="AC15" s="37">
        <f>AB15+AC13-AC14</f>
        <v/>
      </c>
      <c r="AD15" s="37">
        <f>AC15+AD13-AD14</f>
        <v/>
      </c>
      <c r="AE15" s="37">
        <f>AD15+AE13-AE14</f>
        <v/>
      </c>
      <c r="AF15" s="37">
        <f>AE15+AF13-AF14</f>
        <v/>
      </c>
      <c r="AG15" s="37">
        <f>AF15+AG13-AG14</f>
        <v/>
      </c>
      <c r="AH15" s="37">
        <f>AG15+AH13-AH14</f>
        <v/>
      </c>
      <c r="AI15" s="37">
        <f>AH15+AI13-AI14</f>
        <v/>
      </c>
      <c r="AJ15" s="37">
        <f>AI15+AJ13-AJ14</f>
        <v/>
      </c>
      <c r="AK15" s="37">
        <f>AJ15+AK13-AK14</f>
        <v/>
      </c>
      <c r="AL15" s="37">
        <f>AK15+AL13-AL14</f>
        <v/>
      </c>
      <c r="AM15" s="37">
        <f>AL15+AM13-AM14</f>
        <v/>
      </c>
      <c r="AN15" s="37">
        <f>AM15+AN13-AN14</f>
        <v/>
      </c>
      <c r="AO15" s="37">
        <f>AN15+AO13-AO14</f>
        <v/>
      </c>
      <c r="AP15" s="37">
        <f>AO15+AP13-AP14</f>
        <v/>
      </c>
      <c r="AQ15" s="37">
        <f>AP15+AQ13-AQ14</f>
        <v/>
      </c>
      <c r="AR15" s="37">
        <f>AQ15+AR13-AR14</f>
        <v/>
      </c>
      <c r="AS15" s="37">
        <f>AR15+AS13-AS14</f>
        <v/>
      </c>
      <c r="AT15" s="37">
        <f>AS15+AT13-AT14</f>
        <v/>
      </c>
      <c r="AU15" s="37">
        <f>AT15+AU13-AU14</f>
        <v/>
      </c>
      <c r="AV15" s="37">
        <f>AU15+AV13-AV14</f>
        <v/>
      </c>
      <c r="AW15" s="37">
        <f>AV15+AW13-AW14</f>
        <v/>
      </c>
      <c r="AX15" s="37">
        <f>AW15+AX13-AX14</f>
        <v/>
      </c>
      <c r="AY15" s="37">
        <f>AX15+AY13-AY14</f>
        <v/>
      </c>
      <c r="AZ15" s="37">
        <f>AY15+AZ13-AZ14</f>
        <v/>
      </c>
      <c r="BA15" s="37">
        <f>AZ15+BA13-BA14</f>
        <v/>
      </c>
    </row>
    <row r="16" ht="14.25" customHeight="1" s="165">
      <c r="A16" s="3" t="inlineStr">
        <is>
          <t>Avg Enterprise ACV (€)</t>
        </is>
      </c>
      <c r="B16" s="37">
        <f>Inputs!$B$26*(1+Inputs!$B$21)^INT((1-1)/12)</f>
        <v/>
      </c>
      <c r="C16" s="37">
        <f>Inputs!$B$26*(1+Inputs!$B$21)^INT((2-1)/12)</f>
        <v/>
      </c>
      <c r="D16" s="37">
        <f>Inputs!$B$26*(1+Inputs!$B$21)^INT((3-1)/12)</f>
        <v/>
      </c>
      <c r="E16" s="37">
        <f>Inputs!$B$26*(1+Inputs!$B$21)^INT((4-1)/12)</f>
        <v/>
      </c>
      <c r="F16" s="37">
        <f>Inputs!$B$26*(1+Inputs!$B$21)^INT((5-1)/12)</f>
        <v/>
      </c>
      <c r="G16" s="37">
        <f>Inputs!$B$26*(1+Inputs!$B$21)^INT((6-1)/12)</f>
        <v/>
      </c>
      <c r="H16" s="37">
        <f>Inputs!$B$26*(1+Inputs!$B$21)^INT((7-1)/12)</f>
        <v/>
      </c>
      <c r="I16" s="37">
        <f>Inputs!$B$26*(1+Inputs!$B$21)^INT((8-1)/12)</f>
        <v/>
      </c>
      <c r="J16" s="37">
        <f>Inputs!$B$26*(1+Inputs!$B$21)^INT((9-1)/12)</f>
        <v/>
      </c>
      <c r="K16" s="37">
        <f>Inputs!$B$26*(1+Inputs!$B$21)^INT((10-1)/12)</f>
        <v/>
      </c>
      <c r="L16" s="37">
        <f>Inputs!$B$26*(1+Inputs!$B$21)^INT((11-1)/12)</f>
        <v/>
      </c>
      <c r="M16" s="37">
        <f>Inputs!$B$26*(1+Inputs!$B$21)^INT((12-1)/12)</f>
        <v/>
      </c>
      <c r="N16" s="37">
        <f>Inputs!$B$26*(1+Inputs!$B$21)^INT((13-1)/12)</f>
        <v/>
      </c>
      <c r="O16" s="37">
        <f>Inputs!$B$26*(1+Inputs!$B$21)^INT((14-1)/12)</f>
        <v/>
      </c>
      <c r="P16" s="37">
        <f>Inputs!$B$26*(1+Inputs!$B$21)^INT((15-1)/12)</f>
        <v/>
      </c>
      <c r="Q16" s="37">
        <f>Inputs!$B$26*(1+Inputs!$B$21)^INT((16-1)/12)</f>
        <v/>
      </c>
      <c r="R16" s="37">
        <f>Inputs!$B$26*(1+Inputs!$B$21)^INT((17-1)/12)</f>
        <v/>
      </c>
      <c r="S16" s="37">
        <f>Inputs!$B$26*(1+Inputs!$B$21)^INT((18-1)/12)</f>
        <v/>
      </c>
      <c r="T16" s="37">
        <f>Inputs!$B$26*(1+Inputs!$B$21)^INT((19-1)/12)</f>
        <v/>
      </c>
      <c r="U16" s="37">
        <f>Inputs!$B$26*(1+Inputs!$B$21)^INT((20-1)/12)</f>
        <v/>
      </c>
      <c r="V16" s="37">
        <f>Inputs!$B$26*(1+Inputs!$B$21)^INT((21-1)/12)</f>
        <v/>
      </c>
      <c r="W16" s="37">
        <f>Inputs!$B$26*(1+Inputs!$B$21)^INT((22-1)/12)</f>
        <v/>
      </c>
      <c r="X16" s="37">
        <f>Inputs!$B$26*(1+Inputs!$B$21)^INT((23-1)/12)</f>
        <v/>
      </c>
      <c r="Y16" s="37">
        <f>Inputs!$B$26*(1+Inputs!$B$21)^INT((24-1)/12)</f>
        <v/>
      </c>
      <c r="Z16" s="37">
        <f>Inputs!$B$26*(1+Inputs!$B$21)^INT((25-1)/12)</f>
        <v/>
      </c>
      <c r="AA16" s="37">
        <f>Inputs!$B$26*(1+Inputs!$B$21)^INT((26-1)/12)</f>
        <v/>
      </c>
      <c r="AB16" s="37">
        <f>Inputs!$B$26*(1+Inputs!$B$21)^INT((27-1)/12)</f>
        <v/>
      </c>
      <c r="AC16" s="37">
        <f>Inputs!$B$26*(1+Inputs!$B$21)^INT((28-1)/12)</f>
        <v/>
      </c>
      <c r="AD16" s="37">
        <f>Inputs!$B$26*(1+Inputs!$B$21)^INT((29-1)/12)</f>
        <v/>
      </c>
      <c r="AE16" s="37">
        <f>Inputs!$B$26*(1+Inputs!$B$21)^INT((30-1)/12)</f>
        <v/>
      </c>
      <c r="AF16" s="37">
        <f>Inputs!$B$26*(1+Inputs!$B$21)^INT((31-1)/12)</f>
        <v/>
      </c>
      <c r="AG16" s="37">
        <f>Inputs!$B$26*(1+Inputs!$B$21)^INT((32-1)/12)</f>
        <v/>
      </c>
      <c r="AH16" s="37">
        <f>Inputs!$B$26*(1+Inputs!$B$21)^INT((33-1)/12)</f>
        <v/>
      </c>
      <c r="AI16" s="37">
        <f>Inputs!$B$26*(1+Inputs!$B$21)^INT((34-1)/12)</f>
        <v/>
      </c>
      <c r="AJ16" s="37">
        <f>Inputs!$B$26*(1+Inputs!$B$21)^INT((35-1)/12)</f>
        <v/>
      </c>
      <c r="AK16" s="37">
        <f>Inputs!$B$26*(1+Inputs!$B$21)^INT((36-1)/12)</f>
        <v/>
      </c>
      <c r="AL16" s="37">
        <f>Inputs!$B$26*(1+Inputs!$B$21)^INT((37-1)/12)</f>
        <v/>
      </c>
      <c r="AM16" s="37">
        <f>Inputs!$B$26*(1+Inputs!$B$21)^INT((38-1)/12)</f>
        <v/>
      </c>
      <c r="AN16" s="37">
        <f>Inputs!$B$26*(1+Inputs!$B$21)^INT((39-1)/12)</f>
        <v/>
      </c>
      <c r="AO16" s="37">
        <f>Inputs!$B$26*(1+Inputs!$B$21)^INT((40-1)/12)</f>
        <v/>
      </c>
      <c r="AP16" s="37">
        <f>Inputs!$B$26*(1+Inputs!$B$21)^INT((41-1)/12)</f>
        <v/>
      </c>
      <c r="AQ16" s="37">
        <f>Inputs!$B$26*(1+Inputs!$B$21)^INT((42-1)/12)</f>
        <v/>
      </c>
      <c r="AR16" s="37">
        <f>Inputs!$B$26*(1+Inputs!$B$21)^INT((43-1)/12)</f>
        <v/>
      </c>
      <c r="AS16" s="37">
        <f>Inputs!$B$26*(1+Inputs!$B$21)^INT((44-1)/12)</f>
        <v/>
      </c>
      <c r="AT16" s="37">
        <f>Inputs!$B$26*(1+Inputs!$B$21)^INT((45-1)/12)</f>
        <v/>
      </c>
      <c r="AU16" s="37">
        <f>Inputs!$B$26*(1+Inputs!$B$21)^INT((46-1)/12)</f>
        <v/>
      </c>
      <c r="AV16" s="37">
        <f>Inputs!$B$26*(1+Inputs!$B$21)^INT((47-1)/12)</f>
        <v/>
      </c>
      <c r="AW16" s="37">
        <f>Inputs!$B$26*(1+Inputs!$B$21)^INT((48-1)/12)</f>
        <v/>
      </c>
      <c r="AX16" s="37">
        <f>Inputs!$B$26*(1+Inputs!$B$21)^INT((49-1)/12)</f>
        <v/>
      </c>
      <c r="AY16" s="37">
        <f>Inputs!$B$26*(1+Inputs!$B$21)^INT((50-1)/12)</f>
        <v/>
      </c>
      <c r="AZ16" s="37">
        <f>Inputs!$B$26*(1+Inputs!$B$21)^INT((51-1)/12)</f>
        <v/>
      </c>
      <c r="BA16" s="37">
        <f>Inputs!$B$26*(1+Inputs!$B$21)^INT((52-1)/12)</f>
        <v/>
      </c>
    </row>
    <row r="17" ht="14.25" customHeight="1" s="165">
      <c r="A17" s="3" t="inlineStr">
        <is>
          <t>Enterprise Monthly Revenue (€)</t>
        </is>
      </c>
      <c r="B17" s="37">
        <f>B15*B16/12</f>
        <v/>
      </c>
      <c r="C17" s="37">
        <f>C15*C16/12</f>
        <v/>
      </c>
      <c r="D17" s="37">
        <f>D15*D16/12</f>
        <v/>
      </c>
      <c r="E17" s="37">
        <f>E15*E16/12</f>
        <v/>
      </c>
      <c r="F17" s="37">
        <f>F15*F16/12</f>
        <v/>
      </c>
      <c r="G17" s="37">
        <f>G15*G16/12</f>
        <v/>
      </c>
      <c r="H17" s="37">
        <f>H15*H16/12</f>
        <v/>
      </c>
      <c r="I17" s="37">
        <f>I15*I16/12</f>
        <v/>
      </c>
      <c r="J17" s="37">
        <f>J15*J16/12</f>
        <v/>
      </c>
      <c r="K17" s="37">
        <f>K15*K16/12</f>
        <v/>
      </c>
      <c r="L17" s="37">
        <f>L15*L16/12</f>
        <v/>
      </c>
      <c r="M17" s="37">
        <f>M15*M16/12</f>
        <v/>
      </c>
      <c r="N17" s="37">
        <f>N15*N16/12</f>
        <v/>
      </c>
      <c r="O17" s="37">
        <f>O15*O16/12</f>
        <v/>
      </c>
      <c r="P17" s="37">
        <f>P15*P16/12</f>
        <v/>
      </c>
      <c r="Q17" s="37">
        <f>Q15*Q16/12</f>
        <v/>
      </c>
      <c r="R17" s="37">
        <f>R15*R16/12</f>
        <v/>
      </c>
      <c r="S17" s="37">
        <f>S15*S16/12</f>
        <v/>
      </c>
      <c r="T17" s="37">
        <f>T15*T16/12</f>
        <v/>
      </c>
      <c r="U17" s="37">
        <f>U15*U16/12</f>
        <v/>
      </c>
      <c r="V17" s="37">
        <f>V15*V16/12</f>
        <v/>
      </c>
      <c r="W17" s="37">
        <f>W15*W16/12</f>
        <v/>
      </c>
      <c r="X17" s="37">
        <f>X15*X16/12</f>
        <v/>
      </c>
      <c r="Y17" s="37">
        <f>Y15*Y16/12</f>
        <v/>
      </c>
      <c r="Z17" s="37">
        <f>Z15*Z16/12</f>
        <v/>
      </c>
      <c r="AA17" s="37">
        <f>AA15*AA16/12</f>
        <v/>
      </c>
      <c r="AB17" s="37">
        <f>AB15*AB16/12</f>
        <v/>
      </c>
      <c r="AC17" s="37">
        <f>AC15*AC16/12</f>
        <v/>
      </c>
      <c r="AD17" s="37">
        <f>AD15*AD16/12</f>
        <v/>
      </c>
      <c r="AE17" s="37">
        <f>AE15*AE16/12</f>
        <v/>
      </c>
      <c r="AF17" s="37">
        <f>AF15*AF16/12</f>
        <v/>
      </c>
      <c r="AG17" s="37">
        <f>AG15*AG16/12</f>
        <v/>
      </c>
      <c r="AH17" s="37">
        <f>AH15*AH16/12</f>
        <v/>
      </c>
      <c r="AI17" s="37">
        <f>AI15*AI16/12</f>
        <v/>
      </c>
      <c r="AJ17" s="37">
        <f>AJ15*AJ16/12</f>
        <v/>
      </c>
      <c r="AK17" s="37">
        <f>AK15*AK16/12</f>
        <v/>
      </c>
      <c r="AL17" s="37">
        <f>AL15*AL16/12</f>
        <v/>
      </c>
      <c r="AM17" s="37">
        <f>AM15*AM16/12</f>
        <v/>
      </c>
      <c r="AN17" s="37">
        <f>AN15*AN16/12</f>
        <v/>
      </c>
      <c r="AO17" s="37">
        <f>AO15*AO16/12</f>
        <v/>
      </c>
      <c r="AP17" s="37">
        <f>AP15*AP16/12</f>
        <v/>
      </c>
      <c r="AQ17" s="37">
        <f>AQ15*AQ16/12</f>
        <v/>
      </c>
      <c r="AR17" s="37">
        <f>AR15*AR16/12</f>
        <v/>
      </c>
      <c r="AS17" s="37">
        <f>AS15*AS16/12</f>
        <v/>
      </c>
      <c r="AT17" s="37">
        <f>AT15*AT16/12</f>
        <v/>
      </c>
      <c r="AU17" s="37">
        <f>AU15*AU16/12</f>
        <v/>
      </c>
      <c r="AV17" s="37">
        <f>AV15*AV16/12</f>
        <v/>
      </c>
      <c r="AW17" s="37">
        <f>AW15*AW16/12</f>
        <v/>
      </c>
      <c r="AX17" s="37">
        <f>AX15*AX16/12</f>
        <v/>
      </c>
      <c r="AY17" s="37">
        <f>AY15*AY16/12</f>
        <v/>
      </c>
      <c r="AZ17" s="37">
        <f>AZ15*AZ16/12</f>
        <v/>
      </c>
      <c r="BA17" s="37">
        <f>BA15*BA16/12</f>
        <v/>
      </c>
    </row>
    <row r="18" ht="16" customHeight="1" s="165">
      <c r="A18" s="75" t="inlineStr">
        <is>
          <t>── RECURRING REVENUE (SaaS-Metriken, ohne Implementation-Support) ──</t>
        </is>
      </c>
      <c r="B18" s="62" t="n"/>
      <c r="C18" s="62" t="n"/>
      <c r="D18" s="62" t="n"/>
      <c r="E18" s="62" t="n"/>
      <c r="F18" s="62" t="n"/>
      <c r="G18" s="62" t="n"/>
      <c r="H18" s="62" t="n"/>
      <c r="I18" s="62" t="n"/>
      <c r="J18" s="62" t="n"/>
      <c r="K18" s="62" t="n"/>
      <c r="L18" s="62" t="n"/>
      <c r="M18" s="62" t="n"/>
      <c r="N18" s="62" t="n"/>
      <c r="O18" s="62" t="n"/>
      <c r="P18" s="62" t="n"/>
      <c r="Q18" s="62" t="n"/>
      <c r="R18" s="62" t="n"/>
      <c r="S18" s="62" t="n"/>
      <c r="T18" s="62" t="n"/>
      <c r="U18" s="62" t="n"/>
      <c r="V18" s="62" t="n"/>
      <c r="W18" s="62" t="n"/>
      <c r="X18" s="62" t="n"/>
      <c r="Y18" s="62" t="n"/>
      <c r="Z18" s="62" t="n"/>
      <c r="AA18" s="62" t="n"/>
      <c r="AB18" s="62" t="n"/>
      <c r="AC18" s="62" t="n"/>
      <c r="AD18" s="62" t="n"/>
      <c r="AE18" s="62" t="n"/>
      <c r="AF18" s="62" t="n"/>
      <c r="AG18" s="62" t="n"/>
      <c r="AH18" s="62" t="n"/>
      <c r="AI18" s="62" t="n"/>
      <c r="AJ18" s="62" t="n"/>
      <c r="AK18" s="62" t="n"/>
      <c r="AL18" s="62" t="n"/>
      <c r="AM18" s="62" t="n"/>
      <c r="AN18" s="62" t="n"/>
      <c r="AO18" s="62" t="n"/>
      <c r="AP18" s="62" t="n"/>
      <c r="AQ18" s="62" t="n"/>
      <c r="AR18" s="62" t="n"/>
      <c r="AS18" s="62" t="n"/>
      <c r="AT18" s="62" t="n"/>
      <c r="AU18" s="62" t="n"/>
      <c r="AV18" s="62" t="n"/>
      <c r="AW18" s="62" t="n"/>
      <c r="AX18" s="62" t="n"/>
      <c r="AY18" s="62" t="n"/>
      <c r="AZ18" s="62" t="n"/>
      <c r="BA18" s="62" t="n"/>
    </row>
    <row r="19" ht="41" customHeight="1" s="165">
      <c r="A19" s="74" t="inlineStr">
        <is>
          <t>MRR – Monthly Recurring Revenue (Lizenzen)</t>
        </is>
      </c>
      <c r="B19" s="37">
        <f>B10+B17</f>
        <v/>
      </c>
      <c r="C19" s="37">
        <f>C10+C17</f>
        <v/>
      </c>
      <c r="D19" s="37">
        <f>D10+D17</f>
        <v/>
      </c>
      <c r="E19" s="37">
        <f>E10+E17</f>
        <v/>
      </c>
      <c r="F19" s="37">
        <f>F10+F17</f>
        <v/>
      </c>
      <c r="G19" s="37">
        <f>G10+G17</f>
        <v/>
      </c>
      <c r="H19" s="37">
        <f>H10+H17</f>
        <v/>
      </c>
      <c r="I19" s="37">
        <f>I10+I17</f>
        <v/>
      </c>
      <c r="J19" s="37">
        <f>J10+J17</f>
        <v/>
      </c>
      <c r="K19" s="37">
        <f>K10+K17</f>
        <v/>
      </c>
      <c r="L19" s="37">
        <f>L10+L17</f>
        <v/>
      </c>
      <c r="M19" s="37">
        <f>M10+M17</f>
        <v/>
      </c>
      <c r="N19" s="37">
        <f>N10+N17</f>
        <v/>
      </c>
      <c r="O19" s="37">
        <f>O10+O17</f>
        <v/>
      </c>
      <c r="P19" s="37">
        <f>P10+P17</f>
        <v/>
      </c>
      <c r="Q19" s="37">
        <f>Q10+Q17</f>
        <v/>
      </c>
      <c r="R19" s="37">
        <f>R10+R17</f>
        <v/>
      </c>
      <c r="S19" s="37">
        <f>S10+S17</f>
        <v/>
      </c>
      <c r="T19" s="37">
        <f>T10+T17</f>
        <v/>
      </c>
      <c r="U19" s="37">
        <f>U10+U17</f>
        <v/>
      </c>
      <c r="V19" s="37">
        <f>V10+V17</f>
        <v/>
      </c>
      <c r="W19" s="37">
        <f>W10+W17</f>
        <v/>
      </c>
      <c r="X19" s="37">
        <f>X10+X17</f>
        <v/>
      </c>
      <c r="Y19" s="37">
        <f>Y10+Y17</f>
        <v/>
      </c>
      <c r="Z19" s="37">
        <f>Z10+Z17</f>
        <v/>
      </c>
      <c r="AA19" s="37">
        <f>AA10+AA17</f>
        <v/>
      </c>
      <c r="AB19" s="37">
        <f>AB10+AB17</f>
        <v/>
      </c>
      <c r="AC19" s="37">
        <f>AC10+AC17</f>
        <v/>
      </c>
      <c r="AD19" s="37">
        <f>AD10+AD17</f>
        <v/>
      </c>
      <c r="AE19" s="37">
        <f>AE10+AE17</f>
        <v/>
      </c>
      <c r="AF19" s="37">
        <f>AF10+AF17</f>
        <v/>
      </c>
      <c r="AG19" s="37">
        <f>AG10+AG17</f>
        <v/>
      </c>
      <c r="AH19" s="37">
        <f>AH10+AH17</f>
        <v/>
      </c>
      <c r="AI19" s="37">
        <f>AI10+AI17</f>
        <v/>
      </c>
      <c r="AJ19" s="37">
        <f>AJ10+AJ17</f>
        <v/>
      </c>
      <c r="AK19" s="37">
        <f>AK10+AK17</f>
        <v/>
      </c>
      <c r="AL19" s="37">
        <f>AL10+AL17</f>
        <v/>
      </c>
      <c r="AM19" s="37">
        <f>AM10+AM17</f>
        <v/>
      </c>
      <c r="AN19" s="37">
        <f>AN10+AN17</f>
        <v/>
      </c>
      <c r="AO19" s="37">
        <f>AO10+AO17</f>
        <v/>
      </c>
      <c r="AP19" s="37">
        <f>AP10+AP17</f>
        <v/>
      </c>
      <c r="AQ19" s="37">
        <f>AQ10+AQ17</f>
        <v/>
      </c>
      <c r="AR19" s="37">
        <f>AR10+AR17</f>
        <v/>
      </c>
      <c r="AS19" s="37">
        <f>AS10+AS17</f>
        <v/>
      </c>
      <c r="AT19" s="37">
        <f>AT10+AT17</f>
        <v/>
      </c>
      <c r="AU19" s="37">
        <f>AU10+AU17</f>
        <v/>
      </c>
      <c r="AV19" s="37">
        <f>AV10+AV17</f>
        <v/>
      </c>
      <c r="AW19" s="37">
        <f>AW10+AW17</f>
        <v/>
      </c>
      <c r="AX19" s="37">
        <f>AX10+AX17</f>
        <v/>
      </c>
      <c r="AY19" s="37">
        <f>AY10+AY17</f>
        <v/>
      </c>
      <c r="AZ19" s="37">
        <f>AZ10+AZ17</f>
        <v/>
      </c>
      <c r="BA19" s="37">
        <f>BA10+BA17</f>
        <v/>
      </c>
    </row>
    <row r="20" ht="40.5" customHeight="1" s="165">
      <c r="A20" s="74" t="inlineStr">
        <is>
          <t>ARR – Annual Recurring Revenue (Lizenzen = MRR × 12)</t>
        </is>
      </c>
      <c r="B20" s="37">
        <f>B19*12</f>
        <v/>
      </c>
      <c r="C20" s="37">
        <f>C19*12</f>
        <v/>
      </c>
      <c r="D20" s="37">
        <f>D19*12</f>
        <v/>
      </c>
      <c r="E20" s="37">
        <f>E19*12</f>
        <v/>
      </c>
      <c r="F20" s="37">
        <f>F19*12</f>
        <v/>
      </c>
      <c r="G20" s="37">
        <f>G19*12</f>
        <v/>
      </c>
      <c r="H20" s="37">
        <f>H19*12</f>
        <v/>
      </c>
      <c r="I20" s="37">
        <f>I19*12</f>
        <v/>
      </c>
      <c r="J20" s="37">
        <f>J19*12</f>
        <v/>
      </c>
      <c r="K20" s="37">
        <f>K19*12</f>
        <v/>
      </c>
      <c r="L20" s="37">
        <f>L19*12</f>
        <v/>
      </c>
      <c r="M20" s="37">
        <f>M19*12</f>
        <v/>
      </c>
      <c r="N20" s="37">
        <f>N19*12</f>
        <v/>
      </c>
      <c r="O20" s="37">
        <f>O19*12</f>
        <v/>
      </c>
      <c r="P20" s="37">
        <f>P19*12</f>
        <v/>
      </c>
      <c r="Q20" s="37">
        <f>Q19*12</f>
        <v/>
      </c>
      <c r="R20" s="37">
        <f>R19*12</f>
        <v/>
      </c>
      <c r="S20" s="37">
        <f>S19*12</f>
        <v/>
      </c>
      <c r="T20" s="37">
        <f>T19*12</f>
        <v/>
      </c>
      <c r="U20" s="37">
        <f>U19*12</f>
        <v/>
      </c>
      <c r="V20" s="37">
        <f>V19*12</f>
        <v/>
      </c>
      <c r="W20" s="37">
        <f>W19*12</f>
        <v/>
      </c>
      <c r="X20" s="37">
        <f>X19*12</f>
        <v/>
      </c>
      <c r="Y20" s="37">
        <f>Y19*12</f>
        <v/>
      </c>
      <c r="Z20" s="37">
        <f>Z19*12</f>
        <v/>
      </c>
      <c r="AA20" s="37">
        <f>AA19*12</f>
        <v/>
      </c>
      <c r="AB20" s="37">
        <f>AB19*12</f>
        <v/>
      </c>
      <c r="AC20" s="37">
        <f>AC19*12</f>
        <v/>
      </c>
      <c r="AD20" s="37">
        <f>AD19*12</f>
        <v/>
      </c>
      <c r="AE20" s="37">
        <f>AE19*12</f>
        <v/>
      </c>
      <c r="AF20" s="37">
        <f>AF19*12</f>
        <v/>
      </c>
      <c r="AG20" s="37">
        <f>AG19*12</f>
        <v/>
      </c>
      <c r="AH20" s="37">
        <f>AH19*12</f>
        <v/>
      </c>
      <c r="AI20" s="37">
        <f>AI19*12</f>
        <v/>
      </c>
      <c r="AJ20" s="37">
        <f>AJ19*12</f>
        <v/>
      </c>
      <c r="AK20" s="37">
        <f>AK19*12</f>
        <v/>
      </c>
      <c r="AL20" s="37">
        <f>AL19*12</f>
        <v/>
      </c>
      <c r="AM20" s="37">
        <f>AM19*12</f>
        <v/>
      </c>
      <c r="AN20" s="37">
        <f>AN19*12</f>
        <v/>
      </c>
      <c r="AO20" s="37">
        <f>AO19*12</f>
        <v/>
      </c>
      <c r="AP20" s="37">
        <f>AP19*12</f>
        <v/>
      </c>
      <c r="AQ20" s="37">
        <f>AQ19*12</f>
        <v/>
      </c>
      <c r="AR20" s="37">
        <f>AR19*12</f>
        <v/>
      </c>
      <c r="AS20" s="37">
        <f>AS19*12</f>
        <v/>
      </c>
      <c r="AT20" s="37">
        <f>AT19*12</f>
        <v/>
      </c>
      <c r="AU20" s="37">
        <f>AU19*12</f>
        <v/>
      </c>
      <c r="AV20" s="37">
        <f>AV19*12</f>
        <v/>
      </c>
      <c r="AW20" s="37">
        <f>AW19*12</f>
        <v/>
      </c>
      <c r="AX20" s="37">
        <f>AX19*12</f>
        <v/>
      </c>
      <c r="AY20" s="37">
        <f>AY19*12</f>
        <v/>
      </c>
      <c r="AZ20" s="37">
        <f>AZ19*12</f>
        <v/>
      </c>
      <c r="BA20" s="37">
        <f>BA19*12</f>
        <v/>
      </c>
    </row>
    <row r="21" ht="40.5" customHeight="1" s="165">
      <c r="A21" s="76" t="inlineStr">
        <is>
          <t>Total Monthly Revenue (Lizenzen + Implementation-Support)</t>
        </is>
      </c>
      <c r="B21" s="77">
        <f>B19+B30</f>
        <v/>
      </c>
      <c r="C21" s="77">
        <f>C19+C30</f>
        <v/>
      </c>
      <c r="D21" s="77">
        <f>D19+D30</f>
        <v/>
      </c>
      <c r="E21" s="77">
        <f>E19+E30</f>
        <v/>
      </c>
      <c r="F21" s="77">
        <f>F19+F30</f>
        <v/>
      </c>
      <c r="G21" s="77">
        <f>G19+G30</f>
        <v/>
      </c>
      <c r="H21" s="77">
        <f>H19+H30</f>
        <v/>
      </c>
      <c r="I21" s="77">
        <f>I19+I30</f>
        <v/>
      </c>
      <c r="J21" s="77">
        <f>J19+J30</f>
        <v/>
      </c>
      <c r="K21" s="77">
        <f>K19+K30</f>
        <v/>
      </c>
      <c r="L21" s="77">
        <f>L19+L30</f>
        <v/>
      </c>
      <c r="M21" s="77">
        <f>M19+M30</f>
        <v/>
      </c>
      <c r="N21" s="77">
        <f>N19+N30</f>
        <v/>
      </c>
      <c r="O21" s="77">
        <f>O19+O30</f>
        <v/>
      </c>
      <c r="P21" s="77">
        <f>P19+P30</f>
        <v/>
      </c>
      <c r="Q21" s="77">
        <f>Q19+Q30</f>
        <v/>
      </c>
      <c r="R21" s="77">
        <f>R19+R30</f>
        <v/>
      </c>
      <c r="S21" s="77">
        <f>S19+S30</f>
        <v/>
      </c>
      <c r="T21" s="77">
        <f>T19+T30</f>
        <v/>
      </c>
      <c r="U21" s="77">
        <f>U19+U30</f>
        <v/>
      </c>
      <c r="V21" s="77">
        <f>V19+V30</f>
        <v/>
      </c>
      <c r="W21" s="77">
        <f>W19+W30</f>
        <v/>
      </c>
      <c r="X21" s="77">
        <f>X19+X30</f>
        <v/>
      </c>
      <c r="Y21" s="77">
        <f>Y19+Y30</f>
        <v/>
      </c>
      <c r="Z21" s="77">
        <f>Z19+Z30</f>
        <v/>
      </c>
      <c r="AA21" s="77">
        <f>AA19+AA30</f>
        <v/>
      </c>
      <c r="AB21" s="77">
        <f>AB19+AB30</f>
        <v/>
      </c>
      <c r="AC21" s="77">
        <f>AC19+AC30</f>
        <v/>
      </c>
      <c r="AD21" s="77">
        <f>AD19+AD30</f>
        <v/>
      </c>
      <c r="AE21" s="77">
        <f>AE19+AE30</f>
        <v/>
      </c>
      <c r="AF21" s="77">
        <f>AF19+AF30</f>
        <v/>
      </c>
      <c r="AG21" s="77">
        <f>AG19+AG30</f>
        <v/>
      </c>
      <c r="AH21" s="77">
        <f>AH19+AH30</f>
        <v/>
      </c>
      <c r="AI21" s="77">
        <f>AI19+AI30</f>
        <v/>
      </c>
      <c r="AJ21" s="77">
        <f>AJ19+AJ30</f>
        <v/>
      </c>
      <c r="AK21" s="77">
        <f>AK19+AK30</f>
        <v/>
      </c>
      <c r="AL21" s="77">
        <f>AL19+AL30</f>
        <v/>
      </c>
      <c r="AM21" s="77">
        <f>AM19+AM30</f>
        <v/>
      </c>
      <c r="AN21" s="77">
        <f>AN19+AN30</f>
        <v/>
      </c>
      <c r="AO21" s="77">
        <f>AO19+AO30</f>
        <v/>
      </c>
      <c r="AP21" s="77">
        <f>AP19+AP30</f>
        <v/>
      </c>
      <c r="AQ21" s="77">
        <f>AQ19+AQ30</f>
        <v/>
      </c>
      <c r="AR21" s="77">
        <f>AR19+AR30</f>
        <v/>
      </c>
      <c r="AS21" s="77">
        <f>AS19+AS30</f>
        <v/>
      </c>
      <c r="AT21" s="77">
        <f>AT19+AT30</f>
        <v/>
      </c>
      <c r="AU21" s="77">
        <f>AU19+AU30</f>
        <v/>
      </c>
      <c r="AV21" s="77">
        <f>AV19+AV30</f>
        <v/>
      </c>
      <c r="AW21" s="77">
        <f>AW19+AW30</f>
        <v/>
      </c>
      <c r="AX21" s="77">
        <f>AX19+AX30</f>
        <v/>
      </c>
      <c r="AY21" s="77">
        <f>AY19+AY30</f>
        <v/>
      </c>
      <c r="AZ21" s="77">
        <f>AZ19+AZ30</f>
        <v/>
      </c>
      <c r="BA21" s="77">
        <f>BA19+BA30</f>
        <v/>
      </c>
    </row>
    <row r="22" ht="14.25" customHeight="1" s="165">
      <c r="A22" s="3" t="inlineStr">
        <is>
          <t>ARR Growth % (MoM)</t>
        </is>
      </c>
      <c r="B22" s="36">
        <f>""</f>
        <v/>
      </c>
      <c r="C22" s="36">
        <f>IFERROR(C20/B20-1,"")</f>
        <v/>
      </c>
      <c r="D22" s="36">
        <f>IFERROR(D20/C20-1,"")</f>
        <v/>
      </c>
      <c r="E22" s="36">
        <f>IFERROR(E20/D20-1,"")</f>
        <v/>
      </c>
      <c r="F22" s="36">
        <f>IFERROR(F20/E20-1,"")</f>
        <v/>
      </c>
      <c r="G22" s="36">
        <f>IFERROR(G20/F20-1,"")</f>
        <v/>
      </c>
      <c r="H22" s="36">
        <f>IFERROR(H20/G20-1,"")</f>
        <v/>
      </c>
      <c r="I22" s="36">
        <f>IFERROR(I20/H20-1,"")</f>
        <v/>
      </c>
      <c r="J22" s="36">
        <f>IFERROR(J20/I20-1,"")</f>
        <v/>
      </c>
      <c r="K22" s="36">
        <f>IFERROR(K20/J20-1,"")</f>
        <v/>
      </c>
      <c r="L22" s="36">
        <f>IFERROR(L20/K20-1,"")</f>
        <v/>
      </c>
      <c r="M22" s="36">
        <f>IFERROR(M20/L20-1,"")</f>
        <v/>
      </c>
      <c r="N22" s="36">
        <f>IFERROR(N20/M20-1,"")</f>
        <v/>
      </c>
      <c r="O22" s="36">
        <f>IFERROR(O20/N20-1,"")</f>
        <v/>
      </c>
      <c r="P22" s="36">
        <f>IFERROR(P20/O20-1,"")</f>
        <v/>
      </c>
      <c r="Q22" s="36">
        <f>IFERROR(Q20/P20-1,"")</f>
        <v/>
      </c>
      <c r="R22" s="36">
        <f>IFERROR(R20/Q20-1,"")</f>
        <v/>
      </c>
      <c r="S22" s="36">
        <f>IFERROR(S20/R20-1,"")</f>
        <v/>
      </c>
      <c r="T22" s="36">
        <f>IFERROR(T20/S20-1,"")</f>
        <v/>
      </c>
      <c r="U22" s="36">
        <f>IFERROR(U20/T20-1,"")</f>
        <v/>
      </c>
      <c r="V22" s="36">
        <f>IFERROR(V20/U20-1,"")</f>
        <v/>
      </c>
      <c r="W22" s="36">
        <f>IFERROR(W20/V20-1,"")</f>
        <v/>
      </c>
      <c r="X22" s="36">
        <f>IFERROR(X20/W20-1,"")</f>
        <v/>
      </c>
      <c r="Y22" s="36">
        <f>IFERROR(Y20/X20-1,"")</f>
        <v/>
      </c>
      <c r="Z22" s="36">
        <f>IFERROR(Z20/Y20-1,"")</f>
        <v/>
      </c>
      <c r="AA22" s="36">
        <f>IFERROR(AA20/Z20-1,"")</f>
        <v/>
      </c>
      <c r="AB22" s="36">
        <f>IFERROR(AB20/AA20-1,"")</f>
        <v/>
      </c>
      <c r="AC22" s="36">
        <f>IFERROR(AC20/AB20-1,"")</f>
        <v/>
      </c>
      <c r="AD22" s="36">
        <f>IFERROR(AD20/AC20-1,"")</f>
        <v/>
      </c>
      <c r="AE22" s="36">
        <f>IFERROR(AE20/AD20-1,"")</f>
        <v/>
      </c>
      <c r="AF22" s="36">
        <f>IFERROR(AF20/AE20-1,"")</f>
        <v/>
      </c>
      <c r="AG22" s="36">
        <f>IFERROR(AG20/AF20-1,"")</f>
        <v/>
      </c>
      <c r="AH22" s="36">
        <f>IFERROR(AH20/AG20-1,"")</f>
        <v/>
      </c>
      <c r="AI22" s="36">
        <f>IFERROR(AI20/AH20-1,"")</f>
        <v/>
      </c>
      <c r="AJ22" s="36">
        <f>IFERROR(AJ20/AI20-1,"")</f>
        <v/>
      </c>
      <c r="AK22" s="36">
        <f>IFERROR(AK20/AJ20-1,"")</f>
        <v/>
      </c>
      <c r="AL22" s="36">
        <f>IFERROR(AL20/AK20-1,"")</f>
        <v/>
      </c>
      <c r="AM22" s="36">
        <f>IFERROR(AM20/AL20-1,"")</f>
        <v/>
      </c>
      <c r="AN22" s="36">
        <f>IFERROR(AN20/AM20-1,"")</f>
        <v/>
      </c>
      <c r="AO22" s="36">
        <f>IFERROR(AO20/AN20-1,"")</f>
        <v/>
      </c>
      <c r="AP22" s="36">
        <f>IFERROR(AP20/AO20-1,"")</f>
        <v/>
      </c>
      <c r="AQ22" s="36">
        <f>IFERROR(AQ20/AP20-1,"")</f>
        <v/>
      </c>
      <c r="AR22" s="36">
        <f>IFERROR(AR20/AQ20-1,"")</f>
        <v/>
      </c>
      <c r="AS22" s="36">
        <f>IFERROR(AS20/AR20-1,"")</f>
        <v/>
      </c>
      <c r="AT22" s="36">
        <f>IFERROR(AT20/AS20-1,"")</f>
        <v/>
      </c>
      <c r="AU22" s="36">
        <f>IFERROR(AU20/AT20-1,"")</f>
        <v/>
      </c>
      <c r="AV22" s="36">
        <f>IFERROR(AV20/AU20-1,"")</f>
        <v/>
      </c>
      <c r="AW22" s="36">
        <f>IFERROR(AW20/AV20-1,"")</f>
        <v/>
      </c>
      <c r="AX22" s="36">
        <f>IFERROR(AX20/AW20-1,"")</f>
        <v/>
      </c>
      <c r="AY22" s="36">
        <f>IFERROR(AY20/AX20-1,"")</f>
        <v/>
      </c>
      <c r="AZ22" s="36">
        <f>IFERROR(AZ20/AY20-1,"")</f>
        <v/>
      </c>
      <c r="BA22" s="36">
        <f>IFERROR(BA20/AZ20-1,"")</f>
        <v/>
      </c>
    </row>
    <row r="23" ht="14.25" customHeight="1" s="165">
      <c r="A23" s="3" t="inlineStr">
        <is>
          <t>Net Revenue Retention %</t>
        </is>
      </c>
      <c r="B23" s="36">
        <f>Inputs!$B$29</f>
        <v/>
      </c>
      <c r="C23" s="36">
        <f>Inputs!$B$29</f>
        <v/>
      </c>
      <c r="D23" s="36">
        <f>Inputs!$B$29</f>
        <v/>
      </c>
      <c r="E23" s="36">
        <f>Inputs!$B$29</f>
        <v/>
      </c>
      <c r="F23" s="36">
        <f>Inputs!$B$29</f>
        <v/>
      </c>
      <c r="G23" s="36">
        <f>Inputs!$B$29</f>
        <v/>
      </c>
      <c r="H23" s="36">
        <f>Inputs!$B$29</f>
        <v/>
      </c>
      <c r="I23" s="36">
        <f>Inputs!$B$29</f>
        <v/>
      </c>
      <c r="J23" s="36">
        <f>Inputs!$B$29</f>
        <v/>
      </c>
      <c r="K23" s="36">
        <f>Inputs!$B$29</f>
        <v/>
      </c>
      <c r="L23" s="36">
        <f>Inputs!$B$29</f>
        <v/>
      </c>
      <c r="M23" s="36">
        <f>Inputs!$B$29</f>
        <v/>
      </c>
      <c r="N23" s="36">
        <f>Inputs!$B$29</f>
        <v/>
      </c>
      <c r="O23" s="36">
        <f>Inputs!$B$29</f>
        <v/>
      </c>
      <c r="P23" s="36">
        <f>Inputs!$B$29</f>
        <v/>
      </c>
      <c r="Q23" s="36">
        <f>Inputs!$B$29</f>
        <v/>
      </c>
      <c r="R23" s="36">
        <f>Inputs!$B$29</f>
        <v/>
      </c>
      <c r="S23" s="36">
        <f>Inputs!$B$29</f>
        <v/>
      </c>
      <c r="T23" s="36">
        <f>Inputs!$B$29</f>
        <v/>
      </c>
      <c r="U23" s="36">
        <f>Inputs!$B$29</f>
        <v/>
      </c>
      <c r="V23" s="36">
        <f>Inputs!$B$29</f>
        <v/>
      </c>
      <c r="W23" s="36">
        <f>Inputs!$B$29</f>
        <v/>
      </c>
      <c r="X23" s="36">
        <f>Inputs!$B$29</f>
        <v/>
      </c>
      <c r="Y23" s="36">
        <f>Inputs!$B$29</f>
        <v/>
      </c>
      <c r="Z23" s="36">
        <f>Inputs!$B$29</f>
        <v/>
      </c>
      <c r="AA23" s="36">
        <f>Inputs!$B$29</f>
        <v/>
      </c>
      <c r="AB23" s="36">
        <f>Inputs!$B$29</f>
        <v/>
      </c>
      <c r="AC23" s="36">
        <f>Inputs!$B$29</f>
        <v/>
      </c>
      <c r="AD23" s="36">
        <f>Inputs!$B$29</f>
        <v/>
      </c>
      <c r="AE23" s="36">
        <f>Inputs!$B$29</f>
        <v/>
      </c>
      <c r="AF23" s="36">
        <f>Inputs!$B$29</f>
        <v/>
      </c>
      <c r="AG23" s="36">
        <f>Inputs!$B$29</f>
        <v/>
      </c>
      <c r="AH23" s="36">
        <f>Inputs!$B$29</f>
        <v/>
      </c>
      <c r="AI23" s="36">
        <f>Inputs!$B$29</f>
        <v/>
      </c>
      <c r="AJ23" s="36">
        <f>Inputs!$B$29</f>
        <v/>
      </c>
      <c r="AK23" s="36">
        <f>Inputs!$B$29</f>
        <v/>
      </c>
      <c r="AL23" s="36">
        <f>Inputs!$B$29</f>
        <v/>
      </c>
      <c r="AM23" s="36">
        <f>Inputs!$B$29</f>
        <v/>
      </c>
      <c r="AN23" s="36">
        <f>Inputs!$B$29</f>
        <v/>
      </c>
      <c r="AO23" s="36">
        <f>Inputs!$B$29</f>
        <v/>
      </c>
      <c r="AP23" s="36">
        <f>Inputs!$B$29</f>
        <v/>
      </c>
      <c r="AQ23" s="36">
        <f>Inputs!$B$29</f>
        <v/>
      </c>
      <c r="AR23" s="36">
        <f>Inputs!$B$29</f>
        <v/>
      </c>
      <c r="AS23" s="36">
        <f>Inputs!$B$29</f>
        <v/>
      </c>
      <c r="AT23" s="36">
        <f>Inputs!$B$29</f>
        <v/>
      </c>
      <c r="AU23" s="36">
        <f>Inputs!$B$29</f>
        <v/>
      </c>
      <c r="AV23" s="36">
        <f>Inputs!$B$29</f>
        <v/>
      </c>
      <c r="AW23" s="36">
        <f>Inputs!$B$29</f>
        <v/>
      </c>
      <c r="AX23" s="36">
        <f>Inputs!$B$29</f>
        <v/>
      </c>
      <c r="AY23" s="36">
        <f>Inputs!$B$29</f>
        <v/>
      </c>
      <c r="AZ23" s="36">
        <f>Inputs!$B$29</f>
        <v/>
      </c>
      <c r="BA23" s="36">
        <f>Inputs!$B$29</f>
        <v/>
      </c>
    </row>
    <row r="24" ht="14.25" customHeight="1" s="165">
      <c r="A24" s="3" t="inlineStr">
        <is>
          <t>Gross New ARR (€)</t>
        </is>
      </c>
      <c r="B24" s="37">
        <f>B6*B5*12+B13*B16</f>
        <v/>
      </c>
      <c r="C24" s="37">
        <f>C6*C5*12+C13*C16</f>
        <v/>
      </c>
      <c r="D24" s="37">
        <f>D6*D5*12+D13*D16</f>
        <v/>
      </c>
      <c r="E24" s="37">
        <f>E6*E5*12+E13*E16</f>
        <v/>
      </c>
      <c r="F24" s="37">
        <f>F6*F5*12+F13*F16</f>
        <v/>
      </c>
      <c r="G24" s="37">
        <f>G6*G5*12+G13*G16</f>
        <v/>
      </c>
      <c r="H24" s="37">
        <f>H6*H5*12+H13*H16</f>
        <v/>
      </c>
      <c r="I24" s="37">
        <f>I6*I5*12+I13*I16</f>
        <v/>
      </c>
      <c r="J24" s="37">
        <f>J6*J5*12+J13*J16</f>
        <v/>
      </c>
      <c r="K24" s="37">
        <f>K6*K5*12+K13*K16</f>
        <v/>
      </c>
      <c r="L24" s="37">
        <f>L6*L5*12+L13*L16</f>
        <v/>
      </c>
      <c r="M24" s="37">
        <f>M6*M5*12+M13*M16</f>
        <v/>
      </c>
      <c r="N24" s="37">
        <f>N6*N5*12+N13*N16</f>
        <v/>
      </c>
      <c r="O24" s="37">
        <f>O6*O5*12+O13*O16</f>
        <v/>
      </c>
      <c r="P24" s="37">
        <f>P6*P5*12+P13*P16</f>
        <v/>
      </c>
      <c r="Q24" s="37">
        <f>Q6*Q5*12+Q13*Q16</f>
        <v/>
      </c>
      <c r="R24" s="37">
        <f>R6*R5*12+R13*R16</f>
        <v/>
      </c>
      <c r="S24" s="37">
        <f>S6*S5*12+S13*S16</f>
        <v/>
      </c>
      <c r="T24" s="37">
        <f>T6*T5*12+T13*T16</f>
        <v/>
      </c>
      <c r="U24" s="37">
        <f>U6*U5*12+U13*U16</f>
        <v/>
      </c>
      <c r="V24" s="37">
        <f>V6*V5*12+V13*V16</f>
        <v/>
      </c>
      <c r="W24" s="37">
        <f>W6*W5*12+W13*W16</f>
        <v/>
      </c>
      <c r="X24" s="37">
        <f>X6*X5*12+X13*X16</f>
        <v/>
      </c>
      <c r="Y24" s="37">
        <f>Y6*Y5*12+Y13*Y16</f>
        <v/>
      </c>
      <c r="Z24" s="37">
        <f>Z6*Z5*12+Z13*Z16</f>
        <v/>
      </c>
      <c r="AA24" s="37">
        <f>AA6*AA5*12+AA13*AA16</f>
        <v/>
      </c>
      <c r="AB24" s="37">
        <f>AB6*AB5*12+AB13*AB16</f>
        <v/>
      </c>
      <c r="AC24" s="37">
        <f>AC6*AC5*12+AC13*AC16</f>
        <v/>
      </c>
      <c r="AD24" s="37">
        <f>AD6*AD5*12+AD13*AD16</f>
        <v/>
      </c>
      <c r="AE24" s="37">
        <f>AE6*AE5*12+AE13*AE16</f>
        <v/>
      </c>
      <c r="AF24" s="37">
        <f>AF6*AF5*12+AF13*AF16</f>
        <v/>
      </c>
      <c r="AG24" s="37">
        <f>AG6*AG5*12+AG13*AG16</f>
        <v/>
      </c>
      <c r="AH24" s="37">
        <f>AH6*AH5*12+AH13*AH16</f>
        <v/>
      </c>
      <c r="AI24" s="37">
        <f>AI6*AI5*12+AI13*AI16</f>
        <v/>
      </c>
      <c r="AJ24" s="37">
        <f>AJ6*AJ5*12+AJ13*AJ16</f>
        <v/>
      </c>
      <c r="AK24" s="37">
        <f>AK6*AK5*12+AK13*AK16</f>
        <v/>
      </c>
      <c r="AL24" s="37">
        <f>AL6*AL5*12+AL13*AL16</f>
        <v/>
      </c>
      <c r="AM24" s="37">
        <f>AM6*AM5*12+AM13*AM16</f>
        <v/>
      </c>
      <c r="AN24" s="37">
        <f>AN6*AN5*12+AN13*AN16</f>
        <v/>
      </c>
      <c r="AO24" s="37">
        <f>AO6*AO5*12+AO13*AO16</f>
        <v/>
      </c>
      <c r="AP24" s="37">
        <f>AP6*AP5*12+AP13*AP16</f>
        <v/>
      </c>
      <c r="AQ24" s="37">
        <f>AQ6*AQ5*12+AQ13*AQ16</f>
        <v/>
      </c>
      <c r="AR24" s="37">
        <f>AR6*AR5*12+AR13*AR16</f>
        <v/>
      </c>
      <c r="AS24" s="37">
        <f>AS6*AS5*12+AS13*AS16</f>
        <v/>
      </c>
      <c r="AT24" s="37">
        <f>AT6*AT5*12+AT13*AT16</f>
        <v/>
      </c>
      <c r="AU24" s="37">
        <f>AU6*AU5*12+AU13*AU16</f>
        <v/>
      </c>
      <c r="AV24" s="37">
        <f>AV6*AV5*12+AV13*AV16</f>
        <v/>
      </c>
      <c r="AW24" s="37">
        <f>AW6*AW5*12+AW13*AW16</f>
        <v/>
      </c>
      <c r="AX24" s="37">
        <f>AX6*AX5*12+AX13*AX16</f>
        <v/>
      </c>
      <c r="AY24" s="37">
        <f>AY6*AY5*12+AY13*AY16</f>
        <v/>
      </c>
      <c r="AZ24" s="37">
        <f>AZ6*AZ5*12+AZ13*AZ16</f>
        <v/>
      </c>
      <c r="BA24" s="37">
        <f>BA6*BA5*12+BA13*BA16</f>
        <v/>
      </c>
    </row>
    <row r="25" ht="14.25" customHeight="1" s="165"/>
    <row r="26" ht="14.25" customHeight="1" s="165">
      <c r="A26" s="53" t="inlineStr">
        <is>
          <t>── Implementation-Support REVENUE ──</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row>
    <row r="27" ht="14.25" customHeight="1" s="165">
      <c r="A27" s="153" t="inlineStr">
        <is>
          <t>Active Subscription Customers</t>
        </is>
      </c>
      <c r="B27" s="64">
        <f>IF(B9&gt;0, MAX(1, ROUND(B9/Inputs!$B$23, 0)), 0)</f>
        <v/>
      </c>
      <c r="C27" s="64">
        <f>IF(C9&gt;0, MAX(1, ROUND(C9/Inputs!$B$23, 0)), 0)</f>
        <v/>
      </c>
      <c r="D27" s="64">
        <f>IF(D9&gt;0, MAX(1, ROUND(D9/Inputs!$B$23, 0)), 0)</f>
        <v/>
      </c>
      <c r="E27" s="64">
        <f>IF(E9&gt;0, MAX(1, ROUND(E9/Inputs!$B$23, 0)), 0)</f>
        <v/>
      </c>
      <c r="F27" s="64">
        <f>IF(F9&gt;0, MAX(1, ROUND(F9/Inputs!$B$23, 0)), 0)</f>
        <v/>
      </c>
      <c r="G27" s="64">
        <f>IF(G9&gt;0, MAX(1, ROUND(G9/Inputs!$B$23, 0)), 0)</f>
        <v/>
      </c>
      <c r="H27" s="64">
        <f>IF(H9&gt;0, MAX(1, ROUND(H9/Inputs!$B$23, 0)), 0)</f>
        <v/>
      </c>
      <c r="I27" s="64">
        <f>IF(I9&gt;0, MAX(1, ROUND(I9/Inputs!$B$23, 0)), 0)</f>
        <v/>
      </c>
      <c r="J27" s="64">
        <f>IF(J9&gt;0, MAX(1, ROUND(J9/Inputs!$B$23, 0)), 0)</f>
        <v/>
      </c>
      <c r="K27" s="64">
        <f>IF(K9&gt;0, MAX(1, ROUND(K9/Inputs!$B$23, 0)), 0)</f>
        <v/>
      </c>
      <c r="L27" s="64">
        <f>IF(L9&gt;0, MAX(1, ROUND(L9/Inputs!$B$23, 0)), 0)</f>
        <v/>
      </c>
      <c r="M27" s="64">
        <f>IF(M9&gt;0, MAX(1, ROUND(M9/Inputs!$B$23, 0)), 0)</f>
        <v/>
      </c>
      <c r="N27" s="64">
        <f>IF(N9&gt;0, MAX(1, ROUND(N9/Inputs!$B$23, 0)), 0)</f>
        <v/>
      </c>
      <c r="O27" s="64">
        <f>IF(O9&gt;0, MAX(1, ROUND(O9/Inputs!$B$23, 0)), 0)</f>
        <v/>
      </c>
      <c r="P27" s="64">
        <f>IF(P9&gt;0, MAX(1, ROUND(P9/Inputs!$B$23, 0)), 0)</f>
        <v/>
      </c>
      <c r="Q27" s="64">
        <f>IF(Q9&gt;0, MAX(1, ROUND(Q9/Inputs!$B$23, 0)), 0)</f>
        <v/>
      </c>
      <c r="R27" s="64">
        <f>IF(R9&gt;0, MAX(1, ROUND(R9/Inputs!$B$23, 0)), 0)</f>
        <v/>
      </c>
      <c r="S27" s="64">
        <f>IF(S9&gt;0, MAX(1, ROUND(S9/Inputs!$B$23, 0)), 0)</f>
        <v/>
      </c>
      <c r="T27" s="64">
        <f>IF(T9&gt;0, MAX(1, ROUND(T9/Inputs!$B$23, 0)), 0)</f>
        <v/>
      </c>
      <c r="U27" s="64">
        <f>IF(U9&gt;0, MAX(1, ROUND(U9/Inputs!$B$23, 0)), 0)</f>
        <v/>
      </c>
      <c r="V27" s="64">
        <f>IF(V9&gt;0, MAX(1, ROUND(V9/Inputs!$B$23, 0)), 0)</f>
        <v/>
      </c>
      <c r="W27" s="64">
        <f>IF(W9&gt;0, MAX(1, ROUND(W9/Inputs!$B$23, 0)), 0)</f>
        <v/>
      </c>
      <c r="X27" s="64">
        <f>IF(X9&gt;0, MAX(1, ROUND(X9/Inputs!$B$23, 0)), 0)</f>
        <v/>
      </c>
      <c r="Y27" s="64">
        <f>IF(Y9&gt;0, MAX(1, ROUND(Y9/Inputs!$B$23, 0)), 0)</f>
        <v/>
      </c>
      <c r="Z27" s="64">
        <f>IF(Z9&gt;0, MAX(1, ROUND(Z9/Inputs!$B$23, 0)), 0)</f>
        <v/>
      </c>
      <c r="AA27" s="64">
        <f>IF(AA9&gt;0, MAX(1, ROUND(AA9/Inputs!$B$23, 0)), 0)</f>
        <v/>
      </c>
      <c r="AB27" s="64">
        <f>IF(AB9&gt;0, MAX(1, ROUND(AB9/Inputs!$B$23, 0)), 0)</f>
        <v/>
      </c>
      <c r="AC27" s="64">
        <f>IF(AC9&gt;0, MAX(1, ROUND(AC9/Inputs!$B$23, 0)), 0)</f>
        <v/>
      </c>
      <c r="AD27" s="64">
        <f>IF(AD9&gt;0, MAX(1, ROUND(AD9/Inputs!$B$23, 0)), 0)</f>
        <v/>
      </c>
      <c r="AE27" s="64">
        <f>IF(AE9&gt;0, MAX(1, ROUND(AE9/Inputs!$B$23, 0)), 0)</f>
        <v/>
      </c>
      <c r="AF27" s="64">
        <f>IF(AF9&gt;0, MAX(1, ROUND(AF9/Inputs!$B$23, 0)), 0)</f>
        <v/>
      </c>
      <c r="AG27" s="64">
        <f>IF(AG9&gt;0, MAX(1, ROUND(AG9/Inputs!$B$23, 0)), 0)</f>
        <v/>
      </c>
      <c r="AH27" s="64">
        <f>IF(AH9&gt;0, MAX(1, ROUND(AH9/Inputs!$B$23, 0)), 0)</f>
        <v/>
      </c>
      <c r="AI27" s="64">
        <f>IF(AI9&gt;0, MAX(1, ROUND(AI9/Inputs!$B$23, 0)), 0)</f>
        <v/>
      </c>
      <c r="AJ27" s="64">
        <f>IF(AJ9&gt;0, MAX(1, ROUND(AJ9/Inputs!$B$23, 0)), 0)</f>
        <v/>
      </c>
      <c r="AK27" s="64">
        <f>IF(AK9&gt;0, MAX(1, ROUND(AK9/Inputs!$B$23, 0)), 0)</f>
        <v/>
      </c>
      <c r="AL27" s="64">
        <f>IF(AL9&gt;0, MAX(1, ROUND(AL9/Inputs!$B$23, 0)), 0)</f>
        <v/>
      </c>
      <c r="AM27" s="64">
        <f>IF(AM9&gt;0, MAX(1, ROUND(AM9/Inputs!$B$23, 0)), 0)</f>
        <v/>
      </c>
      <c r="AN27" s="64">
        <f>IF(AN9&gt;0, MAX(1, ROUND(AN9/Inputs!$B$23, 0)), 0)</f>
        <v/>
      </c>
      <c r="AO27" s="64">
        <f>IF(AO9&gt;0, MAX(1, ROUND(AO9/Inputs!$B$23, 0)), 0)</f>
        <v/>
      </c>
      <c r="AP27" s="64">
        <f>IF(AP9&gt;0, MAX(1, ROUND(AP9/Inputs!$B$23, 0)), 0)</f>
        <v/>
      </c>
      <c r="AQ27" s="64">
        <f>IF(AQ9&gt;0, MAX(1, ROUND(AQ9/Inputs!$B$23, 0)), 0)</f>
        <v/>
      </c>
      <c r="AR27" s="64">
        <f>IF(AR9&gt;0, MAX(1, ROUND(AR9/Inputs!$B$23, 0)), 0)</f>
        <v/>
      </c>
      <c r="AS27" s="64">
        <f>IF(AS9&gt;0, MAX(1, ROUND(AS9/Inputs!$B$23, 0)), 0)</f>
        <v/>
      </c>
      <c r="AT27" s="64">
        <f>IF(AT9&gt;0, MAX(1, ROUND(AT9/Inputs!$B$23, 0)), 0)</f>
        <v/>
      </c>
      <c r="AU27" s="64">
        <f>IF(AU9&gt;0, MAX(1, ROUND(AU9/Inputs!$B$23, 0)), 0)</f>
        <v/>
      </c>
      <c r="AV27" s="64">
        <f>IF(AV9&gt;0, MAX(1, ROUND(AV9/Inputs!$B$23, 0)), 0)</f>
        <v/>
      </c>
      <c r="AW27" s="64">
        <f>IF(AW9&gt;0, MAX(1, ROUND(AW9/Inputs!$B$23, 0)), 0)</f>
        <v/>
      </c>
      <c r="AX27" s="64">
        <f>IF(AX9&gt;0, MAX(1, ROUND(AX9/Inputs!$B$23, 0)), 0)</f>
        <v/>
      </c>
      <c r="AY27" s="64">
        <f>IF(AY9&gt;0, MAX(1, ROUND(AY9/Inputs!$B$23, 0)), 0)</f>
        <v/>
      </c>
      <c r="AZ27" s="64">
        <f>IF(AZ9&gt;0, MAX(1, ROUND(AZ9/Inputs!$B$23, 0)), 0)</f>
        <v/>
      </c>
      <c r="BA27" s="64">
        <f>IF(BA9&gt;0, MAX(1, ROUND(BA9/Inputs!$B$23, 0)), 0)</f>
        <v/>
      </c>
    </row>
    <row r="28" ht="14.25" customHeight="1" s="165">
      <c r="A28" s="153" t="inlineStr">
        <is>
          <t>Total Active Customers (inkl. Enterprise)</t>
        </is>
      </c>
      <c r="B28" s="64">
        <f>B27+B15</f>
        <v/>
      </c>
      <c r="C28" s="64">
        <f>C27+C15</f>
        <v/>
      </c>
      <c r="D28" s="64">
        <f>D27+D15</f>
        <v/>
      </c>
      <c r="E28" s="64">
        <f>E27+E15</f>
        <v/>
      </c>
      <c r="F28" s="64">
        <f>F27+F15</f>
        <v/>
      </c>
      <c r="G28" s="64">
        <f>G27+G15</f>
        <v/>
      </c>
      <c r="H28" s="64">
        <f>H27+H15</f>
        <v/>
      </c>
      <c r="I28" s="64">
        <f>I27+I15</f>
        <v/>
      </c>
      <c r="J28" s="64">
        <f>J27+J15</f>
        <v/>
      </c>
      <c r="K28" s="64">
        <f>K27+K15</f>
        <v/>
      </c>
      <c r="L28" s="64">
        <f>L27+L15</f>
        <v/>
      </c>
      <c r="M28" s="64">
        <f>M27+M15</f>
        <v/>
      </c>
      <c r="N28" s="64">
        <f>N27+N15</f>
        <v/>
      </c>
      <c r="O28" s="64">
        <f>O27+O15</f>
        <v/>
      </c>
      <c r="P28" s="64">
        <f>P27+P15</f>
        <v/>
      </c>
      <c r="Q28" s="64">
        <f>Q27+Q15</f>
        <v/>
      </c>
      <c r="R28" s="64">
        <f>R27+R15</f>
        <v/>
      </c>
      <c r="S28" s="64">
        <f>S27+S15</f>
        <v/>
      </c>
      <c r="T28" s="64">
        <f>T27+T15</f>
        <v/>
      </c>
      <c r="U28" s="64">
        <f>U27+U15</f>
        <v/>
      </c>
      <c r="V28" s="64">
        <f>V27+V15</f>
        <v/>
      </c>
      <c r="W28" s="64">
        <f>W27+W15</f>
        <v/>
      </c>
      <c r="X28" s="64">
        <f>X27+X15</f>
        <v/>
      </c>
      <c r="Y28" s="64">
        <f>Y27+Y15</f>
        <v/>
      </c>
      <c r="Z28" s="64">
        <f>Z27+Z15</f>
        <v/>
      </c>
      <c r="AA28" s="64">
        <f>AA27+AA15</f>
        <v/>
      </c>
      <c r="AB28" s="64">
        <f>AB27+AB15</f>
        <v/>
      </c>
      <c r="AC28" s="64">
        <f>AC27+AC15</f>
        <v/>
      </c>
      <c r="AD28" s="64">
        <f>AD27+AD15</f>
        <v/>
      </c>
      <c r="AE28" s="64">
        <f>AE27+AE15</f>
        <v/>
      </c>
      <c r="AF28" s="64">
        <f>AF27+AF15</f>
        <v/>
      </c>
      <c r="AG28" s="64">
        <f>AG27+AG15</f>
        <v/>
      </c>
      <c r="AH28" s="64">
        <f>AH27+AH15</f>
        <v/>
      </c>
      <c r="AI28" s="64">
        <f>AI27+AI15</f>
        <v/>
      </c>
      <c r="AJ28" s="64">
        <f>AJ27+AJ15</f>
        <v/>
      </c>
      <c r="AK28" s="64">
        <f>AK27+AK15</f>
        <v/>
      </c>
      <c r="AL28" s="64">
        <f>AL27+AL15</f>
        <v/>
      </c>
      <c r="AM28" s="64">
        <f>AM27+AM15</f>
        <v/>
      </c>
      <c r="AN28" s="64">
        <f>AN27+AN15</f>
        <v/>
      </c>
      <c r="AO28" s="64">
        <f>AO27+AO15</f>
        <v/>
      </c>
      <c r="AP28" s="64">
        <f>AP27+AP15</f>
        <v/>
      </c>
      <c r="AQ28" s="64">
        <f>AQ27+AQ15</f>
        <v/>
      </c>
      <c r="AR28" s="64">
        <f>AR27+AR15</f>
        <v/>
      </c>
      <c r="AS28" s="64">
        <f>AS27+AS15</f>
        <v/>
      </c>
      <c r="AT28" s="64">
        <f>AT27+AT15</f>
        <v/>
      </c>
      <c r="AU28" s="64">
        <f>AU27+AU15</f>
        <v/>
      </c>
      <c r="AV28" s="64">
        <f>AV27+AV15</f>
        <v/>
      </c>
      <c r="AW28" s="64">
        <f>AW27+AW15</f>
        <v/>
      </c>
      <c r="AX28" s="64">
        <f>AX27+AX15</f>
        <v/>
      </c>
      <c r="AY28" s="64">
        <f>AY27+AY15</f>
        <v/>
      </c>
      <c r="AZ28" s="64">
        <f>AZ27+AZ15</f>
        <v/>
      </c>
      <c r="BA28" s="64">
        <f>BA27+BA15</f>
        <v/>
      </c>
    </row>
    <row r="29" ht="27.5" customHeight="1" s="165">
      <c r="A29" s="153" t="inlineStr">
        <is>
          <t>Implementation-Support-Tage/Monat  [ab Startmonat; Kunden × Wskt. × Tage/Einsatz]</t>
        </is>
      </c>
      <c r="B29" s="64">
        <f>IF(1&gt;=Inputs!$B$131,B28*Inputs!$B$129*Inputs!$B$130,0)</f>
        <v/>
      </c>
      <c r="C29" s="64">
        <f>IF(2&gt;=Inputs!$B$131,C28*Inputs!$B$129*Inputs!$B$130,0)</f>
        <v/>
      </c>
      <c r="D29" s="64">
        <f>IF(3&gt;=Inputs!$B$131,D28*Inputs!$B$129*Inputs!$B$130,0)</f>
        <v/>
      </c>
      <c r="E29" s="64">
        <f>IF(4&gt;=Inputs!$B$131,E28*Inputs!$B$129*Inputs!$B$130,0)</f>
        <v/>
      </c>
      <c r="F29" s="64">
        <f>IF(5&gt;=Inputs!$B$131,F28*Inputs!$B$129*Inputs!$B$130,0)</f>
        <v/>
      </c>
      <c r="G29" s="64">
        <f>IF(6&gt;=Inputs!$B$131,G28*Inputs!$B$129*Inputs!$B$130,0)</f>
        <v/>
      </c>
      <c r="H29" s="64">
        <f>IF(7&gt;=Inputs!$B$131,H28*Inputs!$B$129*Inputs!$B$130,0)</f>
        <v/>
      </c>
      <c r="I29" s="64">
        <f>IF(8&gt;=Inputs!$B$131,I28*Inputs!$B$129*Inputs!$B$130,0)</f>
        <v/>
      </c>
      <c r="J29" s="64">
        <f>IF(9&gt;=Inputs!$B$131,J28*Inputs!$B$129*Inputs!$B$130,0)</f>
        <v/>
      </c>
      <c r="K29" s="64">
        <f>IF(10&gt;=Inputs!$B$131,K28*Inputs!$B$129*Inputs!$B$130,0)</f>
        <v/>
      </c>
      <c r="L29" s="64">
        <f>IF(11&gt;=Inputs!$B$131,L28*Inputs!$B$129*Inputs!$B$130,0)</f>
        <v/>
      </c>
      <c r="M29" s="64">
        <f>IF(12&gt;=Inputs!$B$131,M28*Inputs!$B$129*Inputs!$B$130,0)</f>
        <v/>
      </c>
      <c r="N29" s="64">
        <f>IF(13&gt;=Inputs!$B$131,N28*Inputs!$B$129*Inputs!$B$130,0)</f>
        <v/>
      </c>
      <c r="O29" s="64">
        <f>IF(14&gt;=Inputs!$B$131,O28*Inputs!$B$129*Inputs!$B$130,0)</f>
        <v/>
      </c>
      <c r="P29" s="64">
        <f>IF(15&gt;=Inputs!$B$131,P28*Inputs!$B$129*Inputs!$B$130,0)</f>
        <v/>
      </c>
      <c r="Q29" s="64">
        <f>IF(16&gt;=Inputs!$B$131,Q28*Inputs!$B$129*Inputs!$B$130,0)</f>
        <v/>
      </c>
      <c r="R29" s="64">
        <f>IF(17&gt;=Inputs!$B$131,R28*Inputs!$B$129*Inputs!$B$130,0)</f>
        <v/>
      </c>
      <c r="S29" s="64">
        <f>IF(18&gt;=Inputs!$B$131,S28*Inputs!$B$129*Inputs!$B$130,0)</f>
        <v/>
      </c>
      <c r="T29" s="64">
        <f>IF(19&gt;=Inputs!$B$131,T28*Inputs!$B$129*Inputs!$B$130,0)</f>
        <v/>
      </c>
      <c r="U29" s="64">
        <f>IF(20&gt;=Inputs!$B$131,U28*Inputs!$B$129*Inputs!$B$130,0)</f>
        <v/>
      </c>
      <c r="V29" s="64">
        <f>IF(21&gt;=Inputs!$B$131,V28*Inputs!$B$129*Inputs!$B$130,0)</f>
        <v/>
      </c>
      <c r="W29" s="64">
        <f>IF(22&gt;=Inputs!$B$131,W28*Inputs!$B$129*Inputs!$B$130,0)</f>
        <v/>
      </c>
      <c r="X29" s="64">
        <f>IF(23&gt;=Inputs!$B$131,X28*Inputs!$B$129*Inputs!$B$130,0)</f>
        <v/>
      </c>
      <c r="Y29" s="64">
        <f>IF(24&gt;=Inputs!$B$131,Y28*Inputs!$B$129*Inputs!$B$130,0)</f>
        <v/>
      </c>
      <c r="Z29" s="64">
        <f>IF(25&gt;=Inputs!$B$131,Z28*Inputs!$B$129*Inputs!$B$130,0)</f>
        <v/>
      </c>
      <c r="AA29" s="64">
        <f>IF(26&gt;=Inputs!$B$131,AA28*Inputs!$B$129*Inputs!$B$130,0)</f>
        <v/>
      </c>
      <c r="AB29" s="64">
        <f>IF(27&gt;=Inputs!$B$131,AB28*Inputs!$B$129*Inputs!$B$130,0)</f>
        <v/>
      </c>
      <c r="AC29" s="64">
        <f>IF(28&gt;=Inputs!$B$131,AC28*Inputs!$B$129*Inputs!$B$130,0)</f>
        <v/>
      </c>
      <c r="AD29" s="64">
        <f>IF(29&gt;=Inputs!$B$131,AD28*Inputs!$B$129*Inputs!$B$130,0)</f>
        <v/>
      </c>
      <c r="AE29" s="64">
        <f>IF(30&gt;=Inputs!$B$131,AE28*Inputs!$B$129*Inputs!$B$130,0)</f>
        <v/>
      </c>
      <c r="AF29" s="64">
        <f>IF(31&gt;=Inputs!$B$131,AF28*Inputs!$B$129*Inputs!$B$130,0)</f>
        <v/>
      </c>
      <c r="AG29" s="64">
        <f>IF(32&gt;=Inputs!$B$131,AG28*Inputs!$B$129*Inputs!$B$130,0)</f>
        <v/>
      </c>
      <c r="AH29" s="64">
        <f>IF(33&gt;=Inputs!$B$131,AH28*Inputs!$B$129*Inputs!$B$130,0)</f>
        <v/>
      </c>
      <c r="AI29" s="64">
        <f>IF(34&gt;=Inputs!$B$131,AI28*Inputs!$B$129*Inputs!$B$130,0)</f>
        <v/>
      </c>
      <c r="AJ29" s="64">
        <f>IF(35&gt;=Inputs!$B$131,AJ28*Inputs!$B$129*Inputs!$B$130,0)</f>
        <v/>
      </c>
      <c r="AK29" s="64">
        <f>IF(36&gt;=Inputs!$B$131,AK28*Inputs!$B$129*Inputs!$B$130,0)</f>
        <v/>
      </c>
      <c r="AL29" s="64">
        <f>IF(37&gt;=Inputs!$B$131,AL28*Inputs!$B$129*Inputs!$B$130,0)</f>
        <v/>
      </c>
      <c r="AM29" s="64">
        <f>IF(38&gt;=Inputs!$B$131,AM28*Inputs!$B$129*Inputs!$B$130,0)</f>
        <v/>
      </c>
      <c r="AN29" s="64">
        <f>IF(39&gt;=Inputs!$B$131,AN28*Inputs!$B$129*Inputs!$B$130,0)</f>
        <v/>
      </c>
      <c r="AO29" s="64">
        <f>IF(40&gt;=Inputs!$B$131,AO28*Inputs!$B$129*Inputs!$B$130,0)</f>
        <v/>
      </c>
      <c r="AP29" s="64">
        <f>IF(41&gt;=Inputs!$B$131,AP28*Inputs!$B$129*Inputs!$B$130,0)</f>
        <v/>
      </c>
      <c r="AQ29" s="64">
        <f>IF(42&gt;=Inputs!$B$131,AQ28*Inputs!$B$129*Inputs!$B$130,0)</f>
        <v/>
      </c>
      <c r="AR29" s="64">
        <f>IF(43&gt;=Inputs!$B$131,AR28*Inputs!$B$129*Inputs!$B$130,0)</f>
        <v/>
      </c>
      <c r="AS29" s="64">
        <f>IF(44&gt;=Inputs!$B$131,AS28*Inputs!$B$129*Inputs!$B$130,0)</f>
        <v/>
      </c>
      <c r="AT29" s="64">
        <f>IF(45&gt;=Inputs!$B$131,AT28*Inputs!$B$129*Inputs!$B$130,0)</f>
        <v/>
      </c>
      <c r="AU29" s="64">
        <f>IF(46&gt;=Inputs!$B$131,AU28*Inputs!$B$129*Inputs!$B$130,0)</f>
        <v/>
      </c>
      <c r="AV29" s="64">
        <f>IF(47&gt;=Inputs!$B$131,AV28*Inputs!$B$129*Inputs!$B$130,0)</f>
        <v/>
      </c>
      <c r="AW29" s="64">
        <f>IF(48&gt;=Inputs!$B$131,AW28*Inputs!$B$129*Inputs!$B$130,0)</f>
        <v/>
      </c>
      <c r="AX29" s="64">
        <f>IF(49&gt;=Inputs!$B$131,AX28*Inputs!$B$129*Inputs!$B$130,0)</f>
        <v/>
      </c>
      <c r="AY29" s="64">
        <f>IF(50&gt;=Inputs!$B$131,AY28*Inputs!$B$129*Inputs!$B$130,0)</f>
        <v/>
      </c>
      <c r="AZ29" s="64">
        <f>IF(51&gt;=Inputs!$B$131,AZ28*Inputs!$B$129*Inputs!$B$130,0)</f>
        <v/>
      </c>
      <c r="BA29" s="64">
        <f>IF(52&gt;=Inputs!$B$131,BA28*Inputs!$B$129*Inputs!$B$130,0)</f>
        <v/>
      </c>
    </row>
    <row r="30" ht="14.25" customHeight="1" s="165">
      <c r="A30" s="160" t="inlineStr">
        <is>
          <t>Implementation-Support Revenue (€/Monat)  [= Tage/Mo × Tagessatz]</t>
        </is>
      </c>
      <c r="B30" s="61">
        <f>B29*Inputs!$B$128</f>
        <v/>
      </c>
      <c r="C30" s="61">
        <f>C29*Inputs!$B$128</f>
        <v/>
      </c>
      <c r="D30" s="61">
        <f>D29*Inputs!$B$128</f>
        <v/>
      </c>
      <c r="E30" s="61">
        <f>E29*Inputs!$B$128</f>
        <v/>
      </c>
      <c r="F30" s="61">
        <f>F29*Inputs!$B$128</f>
        <v/>
      </c>
      <c r="G30" s="61">
        <f>G29*Inputs!$B$128</f>
        <v/>
      </c>
      <c r="H30" s="61">
        <f>H29*Inputs!$B$128</f>
        <v/>
      </c>
      <c r="I30" s="61">
        <f>I29*Inputs!$B$128</f>
        <v/>
      </c>
      <c r="J30" s="61">
        <f>J29*Inputs!$B$128</f>
        <v/>
      </c>
      <c r="K30" s="61">
        <f>K29*Inputs!$B$128</f>
        <v/>
      </c>
      <c r="L30" s="61">
        <f>L29*Inputs!$B$128</f>
        <v/>
      </c>
      <c r="M30" s="61">
        <f>M29*Inputs!$B$128</f>
        <v/>
      </c>
      <c r="N30" s="61">
        <f>N29*Inputs!$B$128</f>
        <v/>
      </c>
      <c r="O30" s="61">
        <f>O29*Inputs!$B$128</f>
        <v/>
      </c>
      <c r="P30" s="61">
        <f>P29*Inputs!$B$128</f>
        <v/>
      </c>
      <c r="Q30" s="61">
        <f>Q29*Inputs!$B$128</f>
        <v/>
      </c>
      <c r="R30" s="61">
        <f>R29*Inputs!$B$128</f>
        <v/>
      </c>
      <c r="S30" s="61">
        <f>S29*Inputs!$B$128</f>
        <v/>
      </c>
      <c r="T30" s="61">
        <f>T29*Inputs!$B$128</f>
        <v/>
      </c>
      <c r="U30" s="61">
        <f>U29*Inputs!$B$128</f>
        <v/>
      </c>
      <c r="V30" s="61">
        <f>V29*Inputs!$B$128</f>
        <v/>
      </c>
      <c r="W30" s="61">
        <f>W29*Inputs!$B$128</f>
        <v/>
      </c>
      <c r="X30" s="61">
        <f>X29*Inputs!$B$128</f>
        <v/>
      </c>
      <c r="Y30" s="61">
        <f>Y29*Inputs!$B$128</f>
        <v/>
      </c>
      <c r="Z30" s="61">
        <f>Z29*Inputs!$B$128</f>
        <v/>
      </c>
      <c r="AA30" s="61">
        <f>AA29*Inputs!$B$128</f>
        <v/>
      </c>
      <c r="AB30" s="61">
        <f>AB29*Inputs!$B$128</f>
        <v/>
      </c>
      <c r="AC30" s="61">
        <f>AC29*Inputs!$B$128</f>
        <v/>
      </c>
      <c r="AD30" s="61">
        <f>AD29*Inputs!$B$128</f>
        <v/>
      </c>
      <c r="AE30" s="61">
        <f>AE29*Inputs!$B$128</f>
        <v/>
      </c>
      <c r="AF30" s="61">
        <f>AF29*Inputs!$B$128</f>
        <v/>
      </c>
      <c r="AG30" s="61">
        <f>AG29*Inputs!$B$128</f>
        <v/>
      </c>
      <c r="AH30" s="61">
        <f>AH29*Inputs!$B$128</f>
        <v/>
      </c>
      <c r="AI30" s="61">
        <f>AI29*Inputs!$B$128</f>
        <v/>
      </c>
      <c r="AJ30" s="61">
        <f>AJ29*Inputs!$B$128</f>
        <v/>
      </c>
      <c r="AK30" s="61">
        <f>AK29*Inputs!$B$128</f>
        <v/>
      </c>
      <c r="AL30" s="61">
        <f>AL29*Inputs!$B$128</f>
        <v/>
      </c>
      <c r="AM30" s="61">
        <f>AM29*Inputs!$B$128</f>
        <v/>
      </c>
      <c r="AN30" s="61">
        <f>AN29*Inputs!$B$128</f>
        <v/>
      </c>
      <c r="AO30" s="61">
        <f>AO29*Inputs!$B$128</f>
        <v/>
      </c>
      <c r="AP30" s="61">
        <f>AP29*Inputs!$B$128</f>
        <v/>
      </c>
      <c r="AQ30" s="61">
        <f>AQ29*Inputs!$B$128</f>
        <v/>
      </c>
      <c r="AR30" s="61">
        <f>AR29*Inputs!$B$128</f>
        <v/>
      </c>
      <c r="AS30" s="61">
        <f>AS29*Inputs!$B$128</f>
        <v/>
      </c>
      <c r="AT30" s="61">
        <f>AT29*Inputs!$B$128</f>
        <v/>
      </c>
      <c r="AU30" s="61">
        <f>AU29*Inputs!$B$128</f>
        <v/>
      </c>
      <c r="AV30" s="61">
        <f>AV29*Inputs!$B$128</f>
        <v/>
      </c>
      <c r="AW30" s="61">
        <f>AW29*Inputs!$B$128</f>
        <v/>
      </c>
      <c r="AX30" s="61">
        <f>AX29*Inputs!$B$128</f>
        <v/>
      </c>
      <c r="AY30" s="61">
        <f>AY29*Inputs!$B$128</f>
        <v/>
      </c>
      <c r="AZ30" s="61">
        <f>AZ29*Inputs!$B$128</f>
        <v/>
      </c>
      <c r="BA30" s="61">
        <f>BA29*Inputs!$B$128</f>
        <v/>
      </c>
    </row>
    <row r="31" ht="14.25" customHeight="1" s="165"/>
    <row r="32" ht="55" customHeight="1" s="165">
      <c r="A32" s="158" t="inlineStr">
        <is>
          <t>ℹ Hinweis MRR/ARR vs. Total Revenue:
MRR/ARR (Z19/20) = ausschließlich wiederkehrende Lizenzumsätze (Subscription Seats + Enterprise-Verträge). Implementation-Support ist projektbezogen, nicht-wiederkehrend → kein Bestandteil von MRR/ARR (SaaS-Standard: SaaStr/OpenView/a16z).
Total Monthly Revenue (Z21) = MRR + Implementation-Support → fließt in P&amp;L TOTAL REVENUE.</t>
        </is>
      </c>
      <c r="B32" s="149" t="n"/>
      <c r="C32" s="149" t="n"/>
      <c r="D32" s="149" t="n"/>
      <c r="E32" s="149" t="n"/>
      <c r="F32" s="149" t="n"/>
      <c r="G32" s="149" t="n"/>
      <c r="H32" s="149" t="n"/>
      <c r="I32" s="149" t="n"/>
      <c r="J32" s="150" t="n"/>
    </row>
    <row r="33" ht="14.25" customHeight="1" s="165"/>
    <row r="34" ht="14.25" customHeight="1" s="165"/>
    <row r="35" ht="14.25" customHeight="1" s="165"/>
    <row r="36" ht="14.25" customHeight="1" s="165"/>
    <row r="37" ht="14.25" customHeight="1" s="165"/>
    <row r="38" ht="14.25" customHeight="1" s="165"/>
    <row r="39" ht="14.25" customHeight="1" s="165"/>
    <row r="40" ht="14.25" customHeight="1" s="165"/>
    <row r="41" ht="14.25" customHeight="1" s="165"/>
    <row r="42" ht="14.25" customHeight="1" s="165"/>
    <row r="43" ht="14.25" customHeight="1" s="165"/>
    <row r="44" ht="14.25" customHeight="1" s="165"/>
    <row r="45" ht="14.25" customHeight="1" s="165"/>
    <row r="46" ht="14.25" customHeight="1" s="165"/>
    <row r="47" ht="14.25" customHeight="1" s="165"/>
    <row r="48" ht="14.25" customHeight="1" s="165"/>
    <row r="49" ht="14.25" customHeight="1" s="165"/>
    <row r="50" ht="14.25" customHeight="1" s="165"/>
    <row r="51" ht="14.25" customHeight="1" s="165"/>
    <row r="52" ht="14.25" customHeight="1" s="165"/>
    <row r="53" ht="14.25" customHeight="1" s="165"/>
    <row r="54" ht="14.25" customHeight="1" s="165"/>
    <row r="55" ht="14.25" customHeight="1" s="165"/>
    <row r="56" ht="14.25" customHeight="1" s="165"/>
    <row r="57" ht="14.25" customHeight="1" s="165"/>
    <row r="58" ht="14.25" customHeight="1" s="165"/>
    <row r="59" ht="14.25" customHeight="1" s="165"/>
    <row r="60" ht="14.25" customHeight="1" s="165"/>
    <row r="61" ht="14.25" customHeight="1" s="165"/>
    <row r="62" ht="14.25" customHeight="1" s="165"/>
    <row r="63" ht="14.25" customHeight="1" s="165"/>
    <row r="64" ht="14.25" customHeight="1" s="165"/>
    <row r="65" ht="14.25" customHeight="1" s="165"/>
    <row r="66" ht="14.25" customHeight="1" s="165"/>
    <row r="67" ht="14.25" customHeight="1" s="165"/>
    <row r="68" ht="14.25" customHeight="1" s="165"/>
    <row r="69" ht="14.25" customHeight="1" s="165"/>
    <row r="70" ht="14.25" customHeight="1" s="165"/>
    <row r="71" ht="14.25" customHeight="1" s="165"/>
    <row r="72" ht="14.25" customHeight="1" s="165"/>
    <row r="73" ht="14.25" customHeight="1" s="165"/>
    <row r="74" ht="14.25" customHeight="1" s="165"/>
    <row r="75" ht="14.25" customHeight="1" s="165"/>
    <row r="76" ht="14.25" customHeight="1" s="165"/>
    <row r="77" ht="14.25" customHeight="1" s="165"/>
    <row r="78" ht="14.25" customHeight="1" s="165"/>
    <row r="79" ht="14.25" customHeight="1" s="165"/>
    <row r="80" ht="14.25" customHeight="1" s="165"/>
    <row r="81" ht="14.25" customHeight="1" s="165"/>
    <row r="82" ht="14.25" customHeight="1" s="165"/>
    <row r="83" ht="14.25" customHeight="1" s="165"/>
    <row r="84" ht="14.25" customHeight="1" s="165"/>
    <row r="85" ht="14.25" customHeight="1" s="165"/>
    <row r="86" ht="14.25" customHeight="1" s="165"/>
    <row r="87" ht="14.25" customHeight="1" s="165"/>
    <row r="88" ht="14.25" customHeight="1" s="165"/>
    <row r="89" ht="14.25" customHeight="1" s="165"/>
    <row r="90" ht="14.25" customHeight="1" s="165"/>
    <row r="91" ht="14.25" customHeight="1" s="165"/>
    <row r="92" ht="14.25" customHeight="1" s="165"/>
    <row r="93" ht="14.25" customHeight="1" s="165"/>
    <row r="94" ht="14.25" customHeight="1" s="165"/>
    <row r="95" ht="14.25" customHeight="1" s="165"/>
    <row r="96" ht="14.25" customHeight="1" s="165"/>
    <row r="97" ht="14.25" customHeight="1" s="165"/>
    <row r="98" ht="14.25" customHeight="1" s="165"/>
    <row r="99" ht="14.25" customHeight="1" s="165"/>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row r="968" ht="14.25" customHeight="1" s="165"/>
    <row r="969" ht="14.25" customHeight="1" s="165"/>
    <row r="970" ht="14.25" customHeight="1" s="165"/>
    <row r="971" ht="14.25" customHeight="1" s="165"/>
    <row r="972" ht="14.25" customHeight="1" s="165"/>
    <row r="973" ht="14.25" customHeight="1" s="165"/>
    <row r="974" ht="14.25" customHeight="1" s="165"/>
    <row r="975" ht="14.25" customHeight="1" s="165"/>
    <row r="976" ht="14.25" customHeight="1" s="165"/>
    <row r="977" ht="14.25" customHeight="1" s="165"/>
    <row r="978" ht="14.25" customHeight="1" s="165"/>
    <row r="979" ht="14.25" customHeight="1" s="165"/>
    <row r="980" ht="14.25" customHeight="1" s="165"/>
    <row r="981" ht="14.25" customHeight="1" s="165"/>
    <row r="982" ht="14.25" customHeight="1" s="165"/>
    <row r="983" ht="14.25" customHeight="1" s="165"/>
    <row r="984" ht="14.25" customHeight="1" s="165"/>
    <row r="985" ht="14.25" customHeight="1" s="165"/>
    <row r="986" ht="14.25" customHeight="1" s="165"/>
    <row r="987" ht="14.25" customHeight="1" s="165"/>
    <row r="988" ht="14.25" customHeight="1" s="165"/>
    <row r="989" ht="14.25" customHeight="1" s="165"/>
    <row r="990" ht="14.25" customHeight="1" s="165"/>
    <row r="991" ht="14.25" customHeight="1" s="165"/>
    <row r="992" ht="14.25" customHeight="1" s="165"/>
    <row r="993" ht="14.25" customHeight="1" s="165"/>
    <row r="994" ht="14.25" customHeight="1" s="165"/>
    <row r="995" ht="14.25" customHeight="1" s="165"/>
    <row r="996" ht="14.25" customHeight="1" s="165"/>
    <row r="997" ht="14.25" customHeight="1" s="165"/>
    <row r="998" ht="14.25" customHeight="1" s="165"/>
    <row r="999" ht="14.25" customHeight="1" s="165"/>
    <row r="1000" ht="14.25" customHeight="1" s="165"/>
    <row r="1001" ht="14.25" customHeight="1" s="165"/>
  </sheetData>
  <mergeCells count="1">
    <mergeCell ref="A32:J32"/>
  </mergeCells>
  <pageMargins left="0.75" right="0.75" top="1" bottom="1" header="0" footer="0"/>
  <pageSetup orientation="landscape"/>
</worksheet>
</file>

<file path=xl/worksheets/sheet9.xml><?xml version="1.0" encoding="utf-8"?>
<worksheet xmlns="http://schemas.openxmlformats.org/spreadsheetml/2006/main">
  <sheetPr>
    <tabColor rgb="FFFF0000"/>
    <outlinePr summaryBelow="1" summaryRight="1"/>
    <pageSetUpPr/>
  </sheetPr>
  <dimension ref="A1:BA99"/>
  <sheetViews>
    <sheetView tabSelected="1" workbookViewId="0">
      <pane xSplit="1" ySplit="4" topLeftCell="B5" activePane="bottomRight" state="frozen"/>
      <selection activeCell="L4" sqref="L4"/>
      <selection pane="topRight" activeCell="L4" sqref="L4"/>
      <selection pane="bottomLeft" activeCell="L4" sqref="L4"/>
      <selection pane="bottomRight" activeCell="B48" sqref="B48"/>
    </sheetView>
  </sheetViews>
  <sheetFormatPr baseColWidth="10" defaultColWidth="14.453125" defaultRowHeight="15" customHeight="1"/>
  <cols>
    <col width="35" customWidth="1" style="165" min="1" max="1"/>
    <col width="12" customWidth="1" style="165" min="2" max="53"/>
  </cols>
  <sheetData>
    <row r="1" ht="72" customHeight="1" s="165">
      <c r="A1" s="1" t="inlineStr">
        <is>
          <t>KOSTENDETAILS</t>
        </is>
      </c>
      <c r="B1" s="201" t="inlineStr">
        <is>
          <t>To do 10.3.2026
- Phasen einfügen anhand der Tabelle, die mit Rene und Mouaz abgesprochen worden ist.
- Meilensteine in den Spalten markieren, das heißt wann werden entsprechende Funding-Zahlungen hier fällig?
- Außerdem klar schauen ob der Aufwuchs an Personal modelliert werden kann oder ob er hier hart eingegeben werden muss.
- Auf jeden Fall deutlich machen wo hier Kostensteigerungen durch den Einsatz von Personal stattfinden.</t>
        </is>
      </c>
    </row>
    <row r="2" ht="14.25" customHeight="1" s="165">
      <c r="B2" s="38" t="n">
        <v>46113</v>
      </c>
      <c r="C2" s="38" t="n">
        <v>46143</v>
      </c>
      <c r="D2" s="38" t="n">
        <v>46174</v>
      </c>
      <c r="E2" s="38" t="n">
        <v>46204</v>
      </c>
      <c r="F2" s="38" t="n">
        <v>46235</v>
      </c>
      <c r="G2" s="38" t="n">
        <v>46266</v>
      </c>
      <c r="H2" s="38" t="n">
        <v>46296</v>
      </c>
      <c r="I2" s="38" t="n">
        <v>46327</v>
      </c>
      <c r="J2" s="38" t="n">
        <v>46357</v>
      </c>
      <c r="K2" s="38" t="n">
        <v>46388</v>
      </c>
      <c r="L2" s="38" t="n">
        <v>46419</v>
      </c>
      <c r="M2" s="38" t="n">
        <v>46447</v>
      </c>
      <c r="N2" s="38" t="n">
        <v>46478</v>
      </c>
      <c r="O2" s="38" t="n">
        <v>46508</v>
      </c>
      <c r="P2" s="38" t="n">
        <v>46539</v>
      </c>
      <c r="Q2" s="38" t="n">
        <v>46569</v>
      </c>
      <c r="R2" s="38" t="n">
        <v>46600</v>
      </c>
      <c r="S2" s="38" t="n">
        <v>46631</v>
      </c>
      <c r="T2" s="38" t="n">
        <v>46661</v>
      </c>
      <c r="U2" s="38" t="n">
        <v>46692</v>
      </c>
      <c r="V2" s="38" t="n">
        <v>46722</v>
      </c>
      <c r="W2" s="38" t="n">
        <v>46753</v>
      </c>
      <c r="X2" s="38" t="n">
        <v>46784</v>
      </c>
      <c r="Y2" s="38" t="n">
        <v>46813</v>
      </c>
      <c r="Z2" s="38" t="n">
        <v>46844</v>
      </c>
      <c r="AA2" s="38" t="n">
        <v>46874</v>
      </c>
      <c r="AB2" s="38" t="n">
        <v>46905</v>
      </c>
      <c r="AC2" s="38" t="n">
        <v>46935</v>
      </c>
      <c r="AD2" s="38" t="n">
        <v>46966</v>
      </c>
      <c r="AE2" s="38" t="n">
        <v>46997</v>
      </c>
      <c r="AF2" s="38" t="n">
        <v>47027</v>
      </c>
      <c r="AG2" s="38" t="n">
        <v>47058</v>
      </c>
      <c r="AH2" s="38" t="n">
        <v>47088</v>
      </c>
      <c r="AI2" s="38" t="n">
        <v>47119</v>
      </c>
      <c r="AJ2" s="38" t="n">
        <v>47150</v>
      </c>
      <c r="AK2" s="38" t="n">
        <v>47178</v>
      </c>
      <c r="AL2" s="38" t="n">
        <v>47209</v>
      </c>
      <c r="AM2" s="38" t="n">
        <v>47239</v>
      </c>
      <c r="AN2" s="38" t="n">
        <v>47270</v>
      </c>
      <c r="AO2" s="38" t="n">
        <v>47300</v>
      </c>
      <c r="AP2" s="38" t="n">
        <v>47331</v>
      </c>
      <c r="AQ2" s="38" t="n">
        <v>47362</v>
      </c>
      <c r="AR2" s="38" t="n">
        <v>47392</v>
      </c>
      <c r="AS2" s="38" t="n">
        <v>47423</v>
      </c>
      <c r="AT2" s="38" t="n">
        <v>47453</v>
      </c>
      <c r="AU2" s="38" t="n">
        <v>47484</v>
      </c>
      <c r="AV2" s="38" t="n">
        <v>47515</v>
      </c>
      <c r="AW2" s="38" t="n">
        <v>47543</v>
      </c>
      <c r="AX2" s="38" t="n">
        <v>47574</v>
      </c>
      <c r="AY2" s="38" t="n">
        <v>47604</v>
      </c>
      <c r="AZ2" s="38" t="n">
        <v>47635</v>
      </c>
      <c r="BA2" s="38" t="n">
        <v>47665</v>
      </c>
    </row>
    <row r="3" ht="14.25" customFormat="1" customHeight="1" s="178">
      <c r="A3" s="186" t="inlineStr">
        <is>
          <t>Startup-Phasen</t>
        </is>
      </c>
      <c r="B3" s="228" t="inlineStr">
        <is>
          <t>Ideation</t>
        </is>
      </c>
      <c r="C3" s="228" t="inlineStr">
        <is>
          <t>Ideation</t>
        </is>
      </c>
      <c r="D3" s="228" t="inlineStr">
        <is>
          <t>Ideation</t>
        </is>
      </c>
      <c r="E3" s="228" t="inlineStr">
        <is>
          <t>Ideation</t>
        </is>
      </c>
      <c r="F3" s="224" t="inlineStr">
        <is>
          <t>Pre-Seed</t>
        </is>
      </c>
      <c r="G3" s="224" t="inlineStr">
        <is>
          <t>Pre-Seed</t>
        </is>
      </c>
      <c r="H3" s="224" t="inlineStr">
        <is>
          <t>Pre-Seed</t>
        </is>
      </c>
      <c r="I3" s="224" t="inlineStr">
        <is>
          <t>Pre-Seed</t>
        </is>
      </c>
      <c r="J3" s="224" t="inlineStr">
        <is>
          <t>Pre-Seed</t>
        </is>
      </c>
      <c r="K3" s="224" t="inlineStr">
        <is>
          <t>Pre-Seed</t>
        </is>
      </c>
      <c r="L3" s="224" t="inlineStr">
        <is>
          <t>Pre-Seed</t>
        </is>
      </c>
      <c r="M3" s="224" t="inlineStr">
        <is>
          <t>Pre-Seed</t>
        </is>
      </c>
      <c r="N3" s="224" t="inlineStr">
        <is>
          <t>Pre-Seed</t>
        </is>
      </c>
      <c r="O3" s="224" t="inlineStr">
        <is>
          <t>Pre-Seed</t>
        </is>
      </c>
      <c r="P3" s="224" t="inlineStr">
        <is>
          <t>Pre-Seed</t>
        </is>
      </c>
      <c r="Q3" s="224" t="inlineStr">
        <is>
          <t>Pre-Seed</t>
        </is>
      </c>
      <c r="R3" s="225" t="inlineStr">
        <is>
          <t>Seed</t>
        </is>
      </c>
      <c r="S3" s="225" t="inlineStr">
        <is>
          <t>Seed</t>
        </is>
      </c>
      <c r="T3" s="225" t="inlineStr">
        <is>
          <t>Seed</t>
        </is>
      </c>
      <c r="U3" s="225" t="inlineStr">
        <is>
          <t>Seed</t>
        </is>
      </c>
      <c r="V3" s="225" t="inlineStr">
        <is>
          <t>Seed</t>
        </is>
      </c>
      <c r="W3" s="225" t="inlineStr">
        <is>
          <t>Seed</t>
        </is>
      </c>
      <c r="X3" s="225" t="inlineStr">
        <is>
          <t>Seed</t>
        </is>
      </c>
      <c r="Y3" s="225" t="inlineStr">
        <is>
          <t>Seed</t>
        </is>
      </c>
      <c r="Z3" s="225" t="inlineStr">
        <is>
          <t>Seed</t>
        </is>
      </c>
      <c r="AA3" s="225" t="inlineStr">
        <is>
          <t>Seed</t>
        </is>
      </c>
      <c r="AB3" s="225" t="inlineStr">
        <is>
          <t>Seed</t>
        </is>
      </c>
      <c r="AC3" s="225" t="inlineStr">
        <is>
          <t>Seed</t>
        </is>
      </c>
      <c r="AD3" s="226" t="inlineStr">
        <is>
          <t>Series A</t>
        </is>
      </c>
      <c r="AE3" s="226" t="inlineStr">
        <is>
          <t>Series A</t>
        </is>
      </c>
      <c r="AF3" s="226" t="inlineStr">
        <is>
          <t>Series A</t>
        </is>
      </c>
      <c r="AG3" s="226" t="inlineStr">
        <is>
          <t>Series A</t>
        </is>
      </c>
      <c r="AH3" s="226" t="inlineStr">
        <is>
          <t>Series A</t>
        </is>
      </c>
      <c r="AI3" s="226" t="inlineStr">
        <is>
          <t>Series A</t>
        </is>
      </c>
      <c r="AJ3" s="226" t="inlineStr">
        <is>
          <t>Series A</t>
        </is>
      </c>
      <c r="AK3" s="226" t="inlineStr">
        <is>
          <t>Series A</t>
        </is>
      </c>
      <c r="AL3" s="226" t="inlineStr">
        <is>
          <t>Series A</t>
        </is>
      </c>
      <c r="AM3" s="226" t="inlineStr">
        <is>
          <t>Series A</t>
        </is>
      </c>
      <c r="AN3" s="226" t="inlineStr">
        <is>
          <t>Series A</t>
        </is>
      </c>
      <c r="AO3" s="226" t="inlineStr">
        <is>
          <t>Series A</t>
        </is>
      </c>
      <c r="AP3" s="227" t="inlineStr">
        <is>
          <t>Series B</t>
        </is>
      </c>
      <c r="AQ3" s="227" t="inlineStr">
        <is>
          <t>Series B</t>
        </is>
      </c>
      <c r="AR3" s="227" t="inlineStr">
        <is>
          <t>Series B</t>
        </is>
      </c>
      <c r="AS3" s="227" t="inlineStr">
        <is>
          <t>Series B</t>
        </is>
      </c>
      <c r="AT3" s="227" t="inlineStr">
        <is>
          <t>Series B</t>
        </is>
      </c>
      <c r="AU3" s="227" t="inlineStr">
        <is>
          <t>Series B</t>
        </is>
      </c>
      <c r="AV3" s="227" t="inlineStr">
        <is>
          <t>Series B</t>
        </is>
      </c>
      <c r="AW3" s="227" t="inlineStr">
        <is>
          <t>Series B</t>
        </is>
      </c>
      <c r="AX3" s="227" t="inlineStr">
        <is>
          <t>Series B</t>
        </is>
      </c>
      <c r="AY3" s="227" t="inlineStr">
        <is>
          <t>Series B</t>
        </is>
      </c>
      <c r="AZ3" s="227" t="inlineStr">
        <is>
          <t>Series B</t>
        </is>
      </c>
      <c r="BA3" s="227" t="inlineStr">
        <is>
          <t>Series B</t>
        </is>
      </c>
    </row>
    <row r="4" ht="14.25" customHeight="1" s="165">
      <c r="A4" s="33" t="inlineStr">
        <is>
          <t>Kostenposition</t>
        </is>
      </c>
      <c r="B4" s="33" t="inlineStr">
        <is>
          <t>M1</t>
        </is>
      </c>
      <c r="C4" s="33" t="inlineStr">
        <is>
          <t>M2</t>
        </is>
      </c>
      <c r="D4" s="33" t="inlineStr">
        <is>
          <t>M3</t>
        </is>
      </c>
      <c r="E4" s="33" t="inlineStr">
        <is>
          <t>M4</t>
        </is>
      </c>
      <c r="F4" s="33" t="inlineStr">
        <is>
          <t>M5</t>
        </is>
      </c>
      <c r="G4" s="33" t="inlineStr">
        <is>
          <t>M6</t>
        </is>
      </c>
      <c r="H4" s="33" t="inlineStr">
        <is>
          <t>M7</t>
        </is>
      </c>
      <c r="I4" s="33" t="inlineStr">
        <is>
          <t>M8</t>
        </is>
      </c>
      <c r="J4" s="33" t="inlineStr">
        <is>
          <t>M9</t>
        </is>
      </c>
      <c r="K4" s="33" t="inlineStr">
        <is>
          <t>M10</t>
        </is>
      </c>
      <c r="L4" s="33" t="inlineStr">
        <is>
          <t>M11</t>
        </is>
      </c>
      <c r="M4" s="33" t="inlineStr">
        <is>
          <t>M12</t>
        </is>
      </c>
      <c r="N4" s="33" t="inlineStr">
        <is>
          <t>M13</t>
        </is>
      </c>
      <c r="O4" s="33" t="inlineStr">
        <is>
          <t>M14</t>
        </is>
      </c>
      <c r="P4" s="33" t="inlineStr">
        <is>
          <t>M15</t>
        </is>
      </c>
      <c r="Q4" s="33" t="inlineStr">
        <is>
          <t>M16</t>
        </is>
      </c>
      <c r="R4" s="33" t="inlineStr">
        <is>
          <t>M17</t>
        </is>
      </c>
      <c r="S4" s="33" t="inlineStr">
        <is>
          <t>M18</t>
        </is>
      </c>
      <c r="T4" s="33" t="inlineStr">
        <is>
          <t>M19</t>
        </is>
      </c>
      <c r="U4" s="33" t="inlineStr">
        <is>
          <t>M20</t>
        </is>
      </c>
      <c r="V4" s="33" t="inlineStr">
        <is>
          <t>M21</t>
        </is>
      </c>
      <c r="W4" s="33" t="inlineStr">
        <is>
          <t>M22</t>
        </is>
      </c>
      <c r="X4" s="33" t="inlineStr">
        <is>
          <t>M23</t>
        </is>
      </c>
      <c r="Y4" s="33" t="inlineStr">
        <is>
          <t>M24</t>
        </is>
      </c>
      <c r="Z4" s="33" t="inlineStr">
        <is>
          <t>M25</t>
        </is>
      </c>
      <c r="AA4" s="33" t="inlineStr">
        <is>
          <t>M26</t>
        </is>
      </c>
      <c r="AB4" s="33" t="inlineStr">
        <is>
          <t>M27</t>
        </is>
      </c>
      <c r="AC4" s="33" t="inlineStr">
        <is>
          <t>M28</t>
        </is>
      </c>
      <c r="AD4" s="33" t="inlineStr">
        <is>
          <t>M29</t>
        </is>
      </c>
      <c r="AE4" s="33" t="inlineStr">
        <is>
          <t>M30</t>
        </is>
      </c>
      <c r="AF4" s="33" t="inlineStr">
        <is>
          <t>M31</t>
        </is>
      </c>
      <c r="AG4" s="33" t="inlineStr">
        <is>
          <t>M32</t>
        </is>
      </c>
      <c r="AH4" s="33" t="inlineStr">
        <is>
          <t>M33</t>
        </is>
      </c>
      <c r="AI4" s="33" t="inlineStr">
        <is>
          <t>M34</t>
        </is>
      </c>
      <c r="AJ4" s="33" t="inlineStr">
        <is>
          <t>M35</t>
        </is>
      </c>
      <c r="AK4" s="33" t="inlineStr">
        <is>
          <t>M36</t>
        </is>
      </c>
      <c r="AL4" s="33" t="inlineStr">
        <is>
          <t>M37</t>
        </is>
      </c>
      <c r="AM4" s="33" t="inlineStr">
        <is>
          <t>M38</t>
        </is>
      </c>
      <c r="AN4" s="33" t="inlineStr">
        <is>
          <t>M39</t>
        </is>
      </c>
      <c r="AO4" s="33" t="inlineStr">
        <is>
          <t>M40</t>
        </is>
      </c>
      <c r="AP4" s="33" t="inlineStr">
        <is>
          <t>M41</t>
        </is>
      </c>
      <c r="AQ4" s="33" t="inlineStr">
        <is>
          <t>M42</t>
        </is>
      </c>
      <c r="AR4" s="33" t="inlineStr">
        <is>
          <t>M43</t>
        </is>
      </c>
      <c r="AS4" s="33" t="inlineStr">
        <is>
          <t>M44</t>
        </is>
      </c>
      <c r="AT4" s="33" t="inlineStr">
        <is>
          <t>M45</t>
        </is>
      </c>
      <c r="AU4" s="33" t="inlineStr">
        <is>
          <t>M46</t>
        </is>
      </c>
      <c r="AV4" s="33" t="inlineStr">
        <is>
          <t>M47</t>
        </is>
      </c>
      <c r="AW4" s="33" t="inlineStr">
        <is>
          <t>M48</t>
        </is>
      </c>
      <c r="AX4" s="33" t="inlineStr">
        <is>
          <t>M49</t>
        </is>
      </c>
      <c r="AY4" s="33" t="inlineStr">
        <is>
          <t>M50</t>
        </is>
      </c>
      <c r="AZ4" s="33" t="inlineStr">
        <is>
          <t>M51</t>
        </is>
      </c>
      <c r="BA4" s="33" t="inlineStr">
        <is>
          <t>M52</t>
        </is>
      </c>
    </row>
    <row r="5" ht="14.25" customHeight="1" s="165">
      <c r="A5" s="2" t="inlineStr">
        <is>
          <t>HEADCOUNT PLAN</t>
        </is>
      </c>
    </row>
    <row r="6" ht="14.25" customHeight="1" s="165">
      <c r="A6" s="3" t="inlineStr">
        <is>
          <t>Executives (CEO, CTO, CCO)</t>
        </is>
      </c>
      <c r="B6" s="39" t="n">
        <v>3</v>
      </c>
      <c r="C6" s="39" t="n">
        <v>3</v>
      </c>
      <c r="D6" s="39" t="n">
        <v>3</v>
      </c>
      <c r="E6" s="39" t="n">
        <v>3</v>
      </c>
      <c r="F6" s="39" t="n">
        <v>3</v>
      </c>
      <c r="G6" s="39" t="n">
        <v>3</v>
      </c>
      <c r="H6" s="39" t="n">
        <v>3</v>
      </c>
      <c r="I6" s="39" t="n">
        <v>3</v>
      </c>
      <c r="J6" s="39" t="n">
        <v>3</v>
      </c>
      <c r="K6" s="39" t="n">
        <v>3</v>
      </c>
      <c r="L6" s="39" t="n">
        <v>3</v>
      </c>
      <c r="M6" s="39" t="n">
        <v>3</v>
      </c>
      <c r="N6" s="39" t="n">
        <v>3</v>
      </c>
      <c r="O6" s="39" t="n">
        <v>3</v>
      </c>
      <c r="P6" s="39" t="n">
        <v>3</v>
      </c>
      <c r="Q6" s="39" t="n">
        <v>3</v>
      </c>
      <c r="R6" s="39" t="n">
        <v>3</v>
      </c>
      <c r="S6" s="39" t="n">
        <v>3</v>
      </c>
      <c r="T6" s="39" t="n">
        <v>3</v>
      </c>
      <c r="U6" s="39" t="n">
        <v>3</v>
      </c>
      <c r="V6" s="39" t="n">
        <v>3</v>
      </c>
      <c r="W6" s="39" t="n">
        <v>3</v>
      </c>
      <c r="X6" s="39" t="n">
        <v>3</v>
      </c>
      <c r="Y6" s="39" t="n">
        <v>3</v>
      </c>
      <c r="Z6" s="39" t="n">
        <v>3</v>
      </c>
      <c r="AA6" s="39" t="n">
        <v>3</v>
      </c>
      <c r="AB6" s="39" t="n">
        <v>3</v>
      </c>
      <c r="AC6" s="39" t="n">
        <v>3</v>
      </c>
      <c r="AD6" s="39" t="n">
        <v>3</v>
      </c>
      <c r="AE6" s="39" t="n">
        <v>3</v>
      </c>
      <c r="AF6" s="39" t="n">
        <v>3</v>
      </c>
      <c r="AG6" s="39" t="n">
        <v>3</v>
      </c>
      <c r="AH6" s="39" t="n">
        <v>3</v>
      </c>
      <c r="AI6" s="39" t="n">
        <v>3</v>
      </c>
      <c r="AJ6" s="39" t="n">
        <v>3</v>
      </c>
      <c r="AK6" s="39" t="n">
        <v>3</v>
      </c>
      <c r="AL6" s="39" t="n">
        <v>3</v>
      </c>
      <c r="AM6" s="39" t="n">
        <v>3</v>
      </c>
      <c r="AN6" s="39" t="n">
        <v>3</v>
      </c>
      <c r="AO6" s="39" t="n">
        <v>3</v>
      </c>
      <c r="AP6" s="39" t="n">
        <v>3</v>
      </c>
      <c r="AQ6" s="39" t="n">
        <v>3</v>
      </c>
      <c r="AR6" s="39" t="n">
        <v>3</v>
      </c>
      <c r="AS6" s="39" t="n">
        <v>3</v>
      </c>
      <c r="AT6" s="39" t="n">
        <v>3</v>
      </c>
      <c r="AU6" s="39" t="n">
        <v>3</v>
      </c>
      <c r="AV6" s="39" t="n">
        <v>3</v>
      </c>
      <c r="AW6" s="39" t="n">
        <v>3</v>
      </c>
      <c r="AX6" s="39" t="n">
        <v>3</v>
      </c>
      <c r="AY6" s="39" t="n">
        <v>3</v>
      </c>
      <c r="AZ6" s="39" t="n">
        <v>3</v>
      </c>
      <c r="BA6" s="39" t="n">
        <v>3</v>
      </c>
    </row>
    <row r="7" ht="14.25" customHeight="1" s="165">
      <c r="A7" s="19" t="inlineStr">
        <is>
          <t>1. Software Developer</t>
        </is>
      </c>
      <c r="B7" s="39">
        <f>IF(COLUMNS($B$7:B7) &gt;= Inputs!$E$51, 1, 0)</f>
        <v/>
      </c>
      <c r="C7" s="39">
        <f>IF(COLUMNS($B$7:C7) &gt;= Inputs!$E$51, 1, 0)</f>
        <v/>
      </c>
      <c r="D7" s="39">
        <f>IF(COLUMNS($B$7:D7) &gt;= Inputs!$E$51, 1, 0)</f>
        <v/>
      </c>
      <c r="E7" s="39">
        <f>IF(COLUMNS($B$7:E7) &gt;= Inputs!$E$51, 1, 0)</f>
        <v/>
      </c>
      <c r="F7" s="39">
        <f>IF(COLUMNS($B$7:F7) &gt;= Inputs!$E$51, 1, 0)</f>
        <v/>
      </c>
      <c r="G7" s="39">
        <f>IF(COLUMNS($B$7:G7) &gt;= Inputs!$E$51, 1, 0)</f>
        <v/>
      </c>
      <c r="H7" s="39">
        <f>IF(COLUMNS($B$7:H7) &gt;= Inputs!$E$51, 1, 0)</f>
        <v/>
      </c>
      <c r="I7" s="39">
        <f>IF(COLUMNS($B$7:I7) &gt;= Inputs!$E$51, 1, 0)</f>
        <v/>
      </c>
      <c r="J7" s="39">
        <f>IF(COLUMNS($B$7:J7) &gt;= Inputs!$E$51, 1, 0)</f>
        <v/>
      </c>
      <c r="K7" s="39">
        <f>IF(COLUMNS($B$7:K7) &gt;= Inputs!$E$51, 1, 0)</f>
        <v/>
      </c>
      <c r="L7" s="39">
        <f>IF(COLUMNS($B$7:L7) &gt;= Inputs!$E$51, 1, 0)</f>
        <v/>
      </c>
      <c r="M7" s="39">
        <f>IF(COLUMNS($B$7:M7) &gt;= Inputs!$E$51, 1, 0)</f>
        <v/>
      </c>
      <c r="N7" s="39">
        <f>IF(COLUMNS($B$7:N7) &gt;= Inputs!$E$51, 1, 0)</f>
        <v/>
      </c>
      <c r="O7" s="39">
        <f>IF(COLUMNS($B$7:O7) &gt;= Inputs!$E$51, 1, 0)</f>
        <v/>
      </c>
      <c r="P7" s="39">
        <f>IF(COLUMNS($B$7:P7) &gt;= Inputs!$E$51, 1, 0)</f>
        <v/>
      </c>
      <c r="Q7" s="39">
        <f>IF(COLUMNS($B$7:Q7) &gt;= Inputs!$E$51, 1, 0)</f>
        <v/>
      </c>
      <c r="R7" s="39">
        <f>IF(COLUMNS($B$7:R7) &gt;= Inputs!$E$51, 1, 0)</f>
        <v/>
      </c>
      <c r="S7" s="39">
        <f>IF(COLUMNS($B$7:S7) &gt;= Inputs!$E$51, 1, 0)</f>
        <v/>
      </c>
      <c r="T7" s="39">
        <f>IF(COLUMNS($B$7:T7) &gt;= Inputs!$E$51, 1, 0)</f>
        <v/>
      </c>
      <c r="U7" s="39">
        <f>IF(COLUMNS($B$7:U7) &gt;= Inputs!$E$51, 1, 0)</f>
        <v/>
      </c>
      <c r="V7" s="39">
        <f>IF(COLUMNS($B$7:V7) &gt;= Inputs!$E$51, 1, 0)</f>
        <v/>
      </c>
      <c r="W7" s="39">
        <f>IF(COLUMNS($B$7:W7) &gt;= Inputs!$E$51, 1, 0)</f>
        <v/>
      </c>
      <c r="X7" s="39">
        <f>IF(COLUMNS($B$7:X7) &gt;= Inputs!$E$51, 1, 0)</f>
        <v/>
      </c>
      <c r="Y7" s="39">
        <f>IF(COLUMNS($B$7:Y7) &gt;= Inputs!$E$51, 1, 0)</f>
        <v/>
      </c>
      <c r="Z7" s="39">
        <f>IF(COLUMNS($B$7:Z7) &gt;= Inputs!$E$51, 1, 0)</f>
        <v/>
      </c>
      <c r="AA7" s="39">
        <f>IF(COLUMNS($B$7:AA7) &gt;= Inputs!$E$51, 1, 0)</f>
        <v/>
      </c>
      <c r="AB7" s="39">
        <f>IF(COLUMNS($B$7:AB7) &gt;= Inputs!$E$51, 1, 0)</f>
        <v/>
      </c>
      <c r="AC7" s="39">
        <f>IF(COLUMNS($B$7:AC7) &gt;= Inputs!$E$51, 1, 0)</f>
        <v/>
      </c>
      <c r="AD7" s="39">
        <f>IF(COLUMNS($B$7:AD7) &gt;= Inputs!$E$51, 1, 0)</f>
        <v/>
      </c>
      <c r="AE7" s="39">
        <f>IF(COLUMNS($B$7:AE7) &gt;= Inputs!$E$51, 1, 0)</f>
        <v/>
      </c>
      <c r="AF7" s="39">
        <f>IF(COLUMNS($B$7:AF7) &gt;= Inputs!$E$51, 1, 0)</f>
        <v/>
      </c>
      <c r="AG7" s="39">
        <f>IF(COLUMNS($B$7:AG7) &gt;= Inputs!$E$51, 1, 0)</f>
        <v/>
      </c>
      <c r="AH7" s="39">
        <f>IF(COLUMNS($B$7:AH7) &gt;= Inputs!$E$51, 1, 0)</f>
        <v/>
      </c>
      <c r="AI7" s="39">
        <f>IF(COLUMNS($B$7:AI7) &gt;= Inputs!$E$51, 1, 0)</f>
        <v/>
      </c>
      <c r="AJ7" s="39">
        <f>IF(COLUMNS($B$7:AJ7) &gt;= Inputs!$E$51, 1, 0)</f>
        <v/>
      </c>
      <c r="AK7" s="39">
        <f>IF(COLUMNS($B$7:AK7) &gt;= Inputs!$E$51, 1, 0)</f>
        <v/>
      </c>
      <c r="AL7" s="39">
        <f>IF(COLUMNS($B$7:AL7) &gt;= Inputs!$E$51, 1, 0)</f>
        <v/>
      </c>
      <c r="AM7" s="39">
        <f>IF(COLUMNS($B$7:AM7) &gt;= Inputs!$E$51, 1, 0)</f>
        <v/>
      </c>
      <c r="AN7" s="39">
        <f>IF(COLUMNS($B$7:AN7) &gt;= Inputs!$E$51, 1, 0)</f>
        <v/>
      </c>
      <c r="AO7" s="39">
        <f>IF(COLUMNS($B$7:AO7) &gt;= Inputs!$E$51, 1, 0)</f>
        <v/>
      </c>
      <c r="AP7" s="39">
        <f>IF(COLUMNS($B$7:AP7) &gt;= Inputs!$E$51, 1, 0)</f>
        <v/>
      </c>
      <c r="AQ7" s="39">
        <f>IF(COLUMNS($B$7:AQ7) &gt;= Inputs!$E$51, 1, 0)</f>
        <v/>
      </c>
      <c r="AR7" s="39">
        <f>IF(COLUMNS($B$7:AR7) &gt;= Inputs!$E$51, 1, 0)</f>
        <v/>
      </c>
      <c r="AS7" s="39">
        <f>IF(COLUMNS($B$7:AS7) &gt;= Inputs!$E$51, 1, 0)</f>
        <v/>
      </c>
      <c r="AT7" s="39">
        <f>IF(COLUMNS($B$7:AT7) &gt;= Inputs!$E$51, 1, 0)</f>
        <v/>
      </c>
      <c r="AU7" s="39">
        <f>IF(COLUMNS($B$7:AU7) &gt;= Inputs!$E$51, 1, 0)</f>
        <v/>
      </c>
      <c r="AV7" s="39">
        <f>IF(COLUMNS($B$7:AV7) &gt;= Inputs!$E$51, 1, 0)</f>
        <v/>
      </c>
      <c r="AW7" s="39">
        <f>IF(COLUMNS($B$7:AW7) &gt;= Inputs!$E$51, 1, 0)</f>
        <v/>
      </c>
      <c r="AX7" s="39">
        <f>IF(COLUMNS($B$7:AX7) &gt;= Inputs!$E$51, 1, 0)</f>
        <v/>
      </c>
      <c r="AY7" s="39">
        <f>IF(COLUMNS($B$7:AY7) &gt;= Inputs!$E$51, 1, 0)</f>
        <v/>
      </c>
      <c r="AZ7" s="39">
        <f>IF(COLUMNS($B$7:AZ7) &gt;= Inputs!$E$51, 1, 0)</f>
        <v/>
      </c>
      <c r="BA7" s="39">
        <f>IF(COLUMNS($B$7:BA7) &gt;= Inputs!$E$51, 1, 0)</f>
        <v/>
      </c>
    </row>
    <row r="8" ht="14.25" customHeight="1" s="165">
      <c r="A8" s="19" t="inlineStr">
        <is>
          <t>2. Software Developer</t>
        </is>
      </c>
      <c r="B8" s="39">
        <f>IF(COLUMNS($B$8:B8)&gt;=Inputs!$E$52,1,0)</f>
        <v/>
      </c>
      <c r="C8" s="39">
        <f>IF(COLUMNS($B$8:C8)&gt;=Inputs!$E$52,1,0)</f>
        <v/>
      </c>
      <c r="D8" s="39">
        <f>IF(COLUMNS($B$8:D8)&gt;=Inputs!$E$52,1,0)</f>
        <v/>
      </c>
      <c r="E8" s="39">
        <f>IF(COLUMNS($B$8:E8)&gt;=Inputs!$E$52,1,0)</f>
        <v/>
      </c>
      <c r="F8" s="39">
        <f>IF(COLUMNS($B$8:F8)&gt;=Inputs!$E$52,1,0)</f>
        <v/>
      </c>
      <c r="G8" s="39">
        <f>IF(COLUMNS($B$8:G8)&gt;=Inputs!$E$52,1,0)</f>
        <v/>
      </c>
      <c r="H8" s="39">
        <f>IF(COLUMNS($B$8:H8)&gt;=Inputs!$E$52,1,0)</f>
        <v/>
      </c>
      <c r="I8" s="39">
        <f>IF(COLUMNS($B$8:I8)&gt;=Inputs!$E$52,1,0)</f>
        <v/>
      </c>
      <c r="J8" s="39">
        <f>IF(COLUMNS($B$8:J8)&gt;=Inputs!$E$52,1,0)</f>
        <v/>
      </c>
      <c r="K8" s="39">
        <f>IF(COLUMNS($B$8:K8)&gt;=Inputs!$E$52,1,0)</f>
        <v/>
      </c>
      <c r="L8" s="39">
        <f>IF(COLUMNS($B$8:L8)&gt;=Inputs!$E$52,1,0)</f>
        <v/>
      </c>
      <c r="M8" s="39">
        <f>IF(COLUMNS($B$8:M8)&gt;=Inputs!$E$52,1,0)</f>
        <v/>
      </c>
      <c r="N8" s="39">
        <f>IF(COLUMNS($B$8:N8)&gt;=Inputs!$E$52,1,0)</f>
        <v/>
      </c>
      <c r="O8" s="39">
        <f>IF(COLUMNS($B$8:O8)&gt;=Inputs!$E$52,1,0)</f>
        <v/>
      </c>
      <c r="P8" s="39">
        <f>IF(COLUMNS($B$8:P8)&gt;=Inputs!$E$52,1,0)</f>
        <v/>
      </c>
      <c r="Q8" s="39">
        <f>IF(COLUMNS($B$8:Q8)&gt;=Inputs!$E$52,1,0)</f>
        <v/>
      </c>
      <c r="R8" s="39">
        <f>IF(COLUMNS($B$8:R8)&gt;=Inputs!$E$52,1,0)</f>
        <v/>
      </c>
      <c r="S8" s="39">
        <f>IF(COLUMNS($B$8:S8)&gt;=Inputs!$E$52,1,0)</f>
        <v/>
      </c>
      <c r="T8" s="39">
        <f>IF(COLUMNS($B$8:T8)&gt;=Inputs!$E$52,1,0)</f>
        <v/>
      </c>
      <c r="U8" s="39">
        <f>IF(COLUMNS($B$8:U8)&gt;=Inputs!$E$52,1,0)</f>
        <v/>
      </c>
      <c r="V8" s="39">
        <f>IF(COLUMNS($B$8:V8)&gt;=Inputs!$E$52,1,0)</f>
        <v/>
      </c>
      <c r="W8" s="39">
        <f>IF(COLUMNS($B$8:W8)&gt;=Inputs!$E$52,1,0)</f>
        <v/>
      </c>
      <c r="X8" s="39">
        <f>IF(COLUMNS($B$8:X8)&gt;=Inputs!$E$52,1,0)</f>
        <v/>
      </c>
      <c r="Y8" s="39">
        <f>IF(COLUMNS($B$8:Y8)&gt;=Inputs!$E$52,1,0)</f>
        <v/>
      </c>
      <c r="Z8" s="39">
        <f>IF(COLUMNS($B$8:Z8)&gt;=Inputs!$E$52,1,0)</f>
        <v/>
      </c>
      <c r="AA8" s="39">
        <f>IF(COLUMNS($B$8:AA8)&gt;=Inputs!$E$52,1,0)</f>
        <v/>
      </c>
      <c r="AB8" s="39">
        <f>IF(COLUMNS($B$8:AB8)&gt;=Inputs!$E$52,1,0)</f>
        <v/>
      </c>
      <c r="AC8" s="39">
        <f>IF(COLUMNS($B$8:AC8)&gt;=Inputs!$E$52,1,0)</f>
        <v/>
      </c>
      <c r="AD8" s="39">
        <f>IF(COLUMNS($B$8:AD8)&gt;=Inputs!$E$52,1,0)</f>
        <v/>
      </c>
      <c r="AE8" s="39">
        <f>IF(COLUMNS($B$8:AE8)&gt;=Inputs!$E$52,1,0)</f>
        <v/>
      </c>
      <c r="AF8" s="39">
        <f>IF(COLUMNS($B$8:AF8)&gt;=Inputs!$E$52,1,0)</f>
        <v/>
      </c>
      <c r="AG8" s="39">
        <f>IF(COLUMNS($B$8:AG8)&gt;=Inputs!$E$52,1,0)</f>
        <v/>
      </c>
      <c r="AH8" s="39">
        <f>IF(COLUMNS($B$8:AH8)&gt;=Inputs!$E$52,1,0)</f>
        <v/>
      </c>
      <c r="AI8" s="39">
        <f>IF(COLUMNS($B$8:AI8)&gt;=Inputs!$E$52,1,0)</f>
        <v/>
      </c>
      <c r="AJ8" s="39">
        <f>IF(COLUMNS($B$8:AJ8)&gt;=Inputs!$E$52,1,0)</f>
        <v/>
      </c>
      <c r="AK8" s="39">
        <f>IF(COLUMNS($B$8:AK8)&gt;=Inputs!$E$52,1,0)</f>
        <v/>
      </c>
      <c r="AL8" s="39">
        <f>IF(COLUMNS($B$8:AL8)&gt;=Inputs!$E$52,1,0)</f>
        <v/>
      </c>
      <c r="AM8" s="39">
        <f>IF(COLUMNS($B$8:AM8)&gt;=Inputs!$E$52,1,0)</f>
        <v/>
      </c>
      <c r="AN8" s="39">
        <f>IF(COLUMNS($B$8:AN8)&gt;=Inputs!$E$52,1,0)</f>
        <v/>
      </c>
      <c r="AO8" s="39">
        <f>IF(COLUMNS($B$8:AO8)&gt;=Inputs!$E$52,1,0)</f>
        <v/>
      </c>
      <c r="AP8" s="39">
        <f>IF(COLUMNS($B$8:AP8)&gt;=Inputs!$E$52,1,0)</f>
        <v/>
      </c>
      <c r="AQ8" s="39">
        <f>IF(COLUMNS($B$8:AQ8)&gt;=Inputs!$E$52,1,0)</f>
        <v/>
      </c>
      <c r="AR8" s="39">
        <f>IF(COLUMNS($B$8:AR8)&gt;=Inputs!$E$52,1,0)</f>
        <v/>
      </c>
      <c r="AS8" s="39">
        <f>IF(COLUMNS($B$8:AS8)&gt;=Inputs!$E$52,1,0)</f>
        <v/>
      </c>
      <c r="AT8" s="39">
        <f>IF(COLUMNS($B$8:AT8)&gt;=Inputs!$E$52,1,0)</f>
        <v/>
      </c>
      <c r="AU8" s="39">
        <f>IF(COLUMNS($B$8:AU8)&gt;=Inputs!$E$52,1,0)</f>
        <v/>
      </c>
      <c r="AV8" s="39">
        <f>IF(COLUMNS($B$8:AV8)&gt;=Inputs!$E$52,1,0)</f>
        <v/>
      </c>
      <c r="AW8" s="39">
        <f>IF(COLUMNS($B$8:AW8)&gt;=Inputs!$E$52,1,0)</f>
        <v/>
      </c>
      <c r="AX8" s="39">
        <f>IF(COLUMNS($B$8:AX8)&gt;=Inputs!$E$52,1,0)</f>
        <v/>
      </c>
      <c r="AY8" s="39">
        <f>IF(COLUMNS($B$8:AY8)&gt;=Inputs!$E$52,1,0)</f>
        <v/>
      </c>
      <c r="AZ8" s="39">
        <f>IF(COLUMNS($B$8:AZ8)&gt;=Inputs!$E$52,1,0)</f>
        <v/>
      </c>
      <c r="BA8" s="39">
        <f>IF(COLUMNS($B$8:BA8)&gt;=Inputs!$E$52,1,0)</f>
        <v/>
      </c>
    </row>
    <row r="9" ht="14.25" customHeight="1" s="165">
      <c r="A9" s="19" t="inlineStr">
        <is>
          <t>1. Junior Software Developer</t>
        </is>
      </c>
      <c r="B9" s="39">
        <f>IF(COLUMNS($B$9:B9) &gt;= Inputs!$E$53, 1, 0)</f>
        <v/>
      </c>
      <c r="C9" s="39">
        <f>IF(COLUMNS($B$9:C9) &gt;= Inputs!$E$53, 1, 0)</f>
        <v/>
      </c>
      <c r="D9" s="39">
        <f>IF(COLUMNS($B$9:D9) &gt;= Inputs!$E$53, 1, 0)</f>
        <v/>
      </c>
      <c r="E9" s="39">
        <f>IF(COLUMNS($B$9:E9) &gt;= Inputs!$E$53, 1, 0)</f>
        <v/>
      </c>
      <c r="F9" s="39">
        <f>IF(COLUMNS($B$9:F9) &gt;= Inputs!$E$53, 1, 0)</f>
        <v/>
      </c>
      <c r="G9" s="39">
        <f>IF(COLUMNS($B$9:G9) &gt;= Inputs!$E$53, 1, 0)</f>
        <v/>
      </c>
      <c r="H9" s="39">
        <f>IF(COLUMNS($B$9:H9) &gt;= Inputs!$E$53, 1, 0)</f>
        <v/>
      </c>
      <c r="I9" s="39">
        <f>IF(COLUMNS($B$9:I9) &gt;= Inputs!$E$53, 1, 0)</f>
        <v/>
      </c>
      <c r="J9" s="39">
        <f>IF(COLUMNS($B$9:J9) &gt;= Inputs!$E$53, 1, 0)</f>
        <v/>
      </c>
      <c r="K9" s="39">
        <f>IF(COLUMNS($B$9:K9) &gt;= Inputs!$E$53, 1, 0)</f>
        <v/>
      </c>
      <c r="L9" s="39">
        <f>IF(COLUMNS($B$9:L9) &gt;= Inputs!$E$53, 1, 0)</f>
        <v/>
      </c>
      <c r="M9" s="39">
        <f>IF(COLUMNS($B$9:M9) &gt;= Inputs!$E$53, 1, 0)</f>
        <v/>
      </c>
      <c r="N9" s="39">
        <f>IF(COLUMNS($B$9:N9) &gt;= Inputs!$E$53, 1, 0)</f>
        <v/>
      </c>
      <c r="O9" s="39">
        <f>IF(COLUMNS($B$9:O9) &gt;= Inputs!$E$53, 1, 0)</f>
        <v/>
      </c>
      <c r="P9" s="39">
        <f>IF(COLUMNS($B$9:P9) &gt;= Inputs!$E$53, 1, 0)</f>
        <v/>
      </c>
      <c r="Q9" s="39">
        <f>IF(COLUMNS($B$9:Q9) &gt;= Inputs!$E$53, 1, 0)</f>
        <v/>
      </c>
      <c r="R9" s="39">
        <f>IF(COLUMNS($B$9:R9) &gt;= Inputs!$E$53, 1, 0)</f>
        <v/>
      </c>
      <c r="S9" s="39">
        <f>IF(COLUMNS($B$9:S9) &gt;= Inputs!$E$53, 1, 0)</f>
        <v/>
      </c>
      <c r="T9" s="39">
        <f>IF(COLUMNS($B$9:T9) &gt;= Inputs!$E$53, 1, 0)</f>
        <v/>
      </c>
      <c r="U9" s="39">
        <f>IF(COLUMNS($B$9:U9) &gt;= Inputs!$E$53, 1, 0)</f>
        <v/>
      </c>
      <c r="V9" s="39">
        <f>IF(COLUMNS($B$9:V9) &gt;= Inputs!$E$53, 1, 0)</f>
        <v/>
      </c>
      <c r="W9" s="39">
        <f>IF(COLUMNS($B$9:W9) &gt;= Inputs!$E$53, 1, 0)</f>
        <v/>
      </c>
      <c r="X9" s="39">
        <f>IF(COLUMNS($B$9:X9) &gt;= Inputs!$E$53, 1, 0)</f>
        <v/>
      </c>
      <c r="Y9" s="39">
        <f>IF(COLUMNS($B$9:Y9) &gt;= Inputs!$E$53, 1, 0)</f>
        <v/>
      </c>
      <c r="Z9" s="39">
        <f>IF(COLUMNS($B$9:Z9) &gt;= Inputs!$E$53, 1, 0)</f>
        <v/>
      </c>
      <c r="AA9" s="39">
        <f>IF(COLUMNS($B$9:AA9) &gt;= Inputs!$E$53, 1, 0)</f>
        <v/>
      </c>
      <c r="AB9" s="39">
        <f>IF(COLUMNS($B$9:AB9) &gt;= Inputs!$E$53, 1, 0)</f>
        <v/>
      </c>
      <c r="AC9" s="39">
        <f>IF(COLUMNS($B$9:AC9) &gt;= Inputs!$E$53, 1, 0)</f>
        <v/>
      </c>
      <c r="AD9" s="39">
        <f>IF(COLUMNS($B$9:AD9) &gt;= Inputs!$E$53, 1, 0)</f>
        <v/>
      </c>
      <c r="AE9" s="39">
        <f>IF(COLUMNS($B$9:AE9) &gt;= Inputs!$E$53, 1, 0)</f>
        <v/>
      </c>
      <c r="AF9" s="39">
        <f>IF(COLUMNS($B$9:AF9) &gt;= Inputs!$E$53, 1, 0)</f>
        <v/>
      </c>
      <c r="AG9" s="39">
        <f>IF(COLUMNS($B$9:AG9) &gt;= Inputs!$E$53, 1, 0)</f>
        <v/>
      </c>
      <c r="AH9" s="39">
        <f>IF(COLUMNS($B$9:AH9) &gt;= Inputs!$E$53, 1, 0)</f>
        <v/>
      </c>
      <c r="AI9" s="39">
        <f>IF(COLUMNS($B$9:AI9) &gt;= Inputs!$E$53, 1, 0)</f>
        <v/>
      </c>
      <c r="AJ9" s="39">
        <f>IF(COLUMNS($B$9:AJ9) &gt;= Inputs!$E$53, 1, 0)</f>
        <v/>
      </c>
      <c r="AK9" s="39">
        <f>IF(COLUMNS($B$9:AK9) &gt;= Inputs!$E$53, 1, 0)</f>
        <v/>
      </c>
      <c r="AL9" s="39">
        <f>IF(COLUMNS($B$9:AL9) &gt;= Inputs!$E$53, 1, 0)</f>
        <v/>
      </c>
      <c r="AM9" s="39">
        <f>IF(COLUMNS($B$9:AM9) &gt;= Inputs!$E$53, 1, 0)</f>
        <v/>
      </c>
      <c r="AN9" s="39">
        <f>IF(COLUMNS($B$9:AN9) &gt;= Inputs!$E$53, 1, 0)</f>
        <v/>
      </c>
      <c r="AO9" s="39">
        <f>IF(COLUMNS($B$9:AO9) &gt;= Inputs!$E$53, 1, 0)</f>
        <v/>
      </c>
      <c r="AP9" s="39">
        <f>IF(COLUMNS($B$9:AP9) &gt;= Inputs!$E$53, 1, 0)</f>
        <v/>
      </c>
      <c r="AQ9" s="39">
        <f>IF(COLUMNS($B$9:AQ9) &gt;= Inputs!$E$53, 1, 0)</f>
        <v/>
      </c>
      <c r="AR9" s="39">
        <f>IF(COLUMNS($B$9:AR9) &gt;= Inputs!$E$53, 1, 0)</f>
        <v/>
      </c>
      <c r="AS9" s="39">
        <f>IF(COLUMNS($B$9:AS9) &gt;= Inputs!$E$53, 1, 0)</f>
        <v/>
      </c>
      <c r="AT9" s="39">
        <f>IF(COLUMNS($B$9:AT9) &gt;= Inputs!$E$53, 1, 0)</f>
        <v/>
      </c>
      <c r="AU9" s="39">
        <f>IF(COLUMNS($B$9:AU9) &gt;= Inputs!$E$53, 1, 0)</f>
        <v/>
      </c>
      <c r="AV9" s="39">
        <f>IF(COLUMNS($B$9:AV9) &gt;= Inputs!$E$53, 1, 0)</f>
        <v/>
      </c>
      <c r="AW9" s="39">
        <f>IF(COLUMNS($B$9:AW9) &gt;= Inputs!$E$53, 1, 0)</f>
        <v/>
      </c>
      <c r="AX9" s="39">
        <f>IF(COLUMNS($B$9:AX9) &gt;= Inputs!$E$53, 1, 0)</f>
        <v/>
      </c>
      <c r="AY9" s="39">
        <f>IF(COLUMNS($B$9:AY9) &gt;= Inputs!$E$53, 1, 0)</f>
        <v/>
      </c>
      <c r="AZ9" s="39">
        <f>IF(COLUMNS($B$9:AZ9) &gt;= Inputs!$E$53, 1, 0)</f>
        <v/>
      </c>
      <c r="BA9" s="39">
        <f>IF(COLUMNS($B$9:BA9) &gt;= Inputs!$E$53, 1, 0)</f>
        <v/>
      </c>
    </row>
    <row r="10" ht="14.25" customHeight="1" s="165">
      <c r="A10" s="19" t="inlineStr">
        <is>
          <t>1. ML/AI Engineer</t>
        </is>
      </c>
      <c r="B10" s="39">
        <f>IF(COLUMNS($B$10:B10) &gt;= Inputs!$E$54, 1, 0)</f>
        <v/>
      </c>
      <c r="C10" s="39">
        <f>IF(COLUMNS($B$10:C10) &gt;= Inputs!$E$54, 1, 0)</f>
        <v/>
      </c>
      <c r="D10" s="39">
        <f>IF(COLUMNS($B$10:D10) &gt;= Inputs!$E$54, 1, 0)</f>
        <v/>
      </c>
      <c r="E10" s="39">
        <f>IF(COLUMNS($B$10:E10) &gt;= Inputs!$E$54, 1, 0)</f>
        <v/>
      </c>
      <c r="F10" s="39">
        <f>IF(COLUMNS($B$10:F10) &gt;= Inputs!$E$54, 1, 0)</f>
        <v/>
      </c>
      <c r="G10" s="39">
        <f>IF(COLUMNS($B$10:G10) &gt;= Inputs!$E$54, 1, 0)</f>
        <v/>
      </c>
      <c r="H10" s="39">
        <f>IF(COLUMNS($B$10:H10) &gt;= Inputs!$E$54, 1, 0)</f>
        <v/>
      </c>
      <c r="I10" s="39">
        <f>IF(COLUMNS($B$10:I10) &gt;= Inputs!$E$54, 1, 0)</f>
        <v/>
      </c>
      <c r="J10" s="39">
        <f>IF(COLUMNS($B$10:J10) &gt;= Inputs!$E$54, 1, 0)</f>
        <v/>
      </c>
      <c r="K10" s="39">
        <f>IF(COLUMNS($B$10:K10) &gt;= Inputs!$E$54, 1, 0)</f>
        <v/>
      </c>
      <c r="L10" s="39">
        <f>IF(COLUMNS($B$10:L10) &gt;= Inputs!$E$54, 1, 0)</f>
        <v/>
      </c>
      <c r="M10" s="39">
        <f>IF(COLUMNS($B$10:M10) &gt;= Inputs!$E$54, 1, 0)</f>
        <v/>
      </c>
      <c r="N10" s="39">
        <f>IF(COLUMNS($B$10:N10) &gt;= Inputs!$E$54, 1, 0)</f>
        <v/>
      </c>
      <c r="O10" s="39">
        <f>IF(COLUMNS($B$10:O10) &gt;= Inputs!$E$54, 1, 0)</f>
        <v/>
      </c>
      <c r="P10" s="39">
        <f>IF(COLUMNS($B$10:P10) &gt;= Inputs!$E$54, 1, 0)</f>
        <v/>
      </c>
      <c r="Q10" s="39">
        <f>IF(COLUMNS($B$10:Q10) &gt;= Inputs!$E$54, 1, 0)</f>
        <v/>
      </c>
      <c r="R10" s="39">
        <f>IF(COLUMNS($B$10:R10) &gt;= Inputs!$E$54, 1, 0)</f>
        <v/>
      </c>
      <c r="S10" s="39">
        <f>IF(COLUMNS($B$10:S10) &gt;= Inputs!$E$54, 1, 0)</f>
        <v/>
      </c>
      <c r="T10" s="39">
        <f>IF(COLUMNS($B$10:T10) &gt;= Inputs!$E$54, 1, 0)</f>
        <v/>
      </c>
      <c r="U10" s="39">
        <f>IF(COLUMNS($B$10:U10) &gt;= Inputs!$E$54, 1, 0)</f>
        <v/>
      </c>
      <c r="V10" s="39">
        <f>IF(COLUMNS($B$10:V10) &gt;= Inputs!$E$54, 1, 0)</f>
        <v/>
      </c>
      <c r="W10" s="39">
        <f>IF(COLUMNS($B$10:W10) &gt;= Inputs!$E$54, 1, 0)</f>
        <v/>
      </c>
      <c r="X10" s="39">
        <f>IF(COLUMNS($B$10:X10) &gt;= Inputs!$E$54, 1, 0)</f>
        <v/>
      </c>
      <c r="Y10" s="39">
        <f>IF(COLUMNS($B$10:Y10) &gt;= Inputs!$E$54, 1, 0)</f>
        <v/>
      </c>
      <c r="Z10" s="39">
        <f>IF(COLUMNS($B$10:Z10) &gt;= Inputs!$E$54, 1, 0)</f>
        <v/>
      </c>
      <c r="AA10" s="39">
        <f>IF(COLUMNS($B$10:AA10) &gt;= Inputs!$E$54, 1, 0)</f>
        <v/>
      </c>
      <c r="AB10" s="39">
        <f>IF(COLUMNS($B$10:AB10) &gt;= Inputs!$E$54, 1, 0)</f>
        <v/>
      </c>
      <c r="AC10" s="39">
        <f>IF(COLUMNS($B$10:AC10) &gt;= Inputs!$E$54, 1, 0)</f>
        <v/>
      </c>
      <c r="AD10" s="39">
        <f>IF(COLUMNS($B$10:AD10) &gt;= Inputs!$E$54, 1, 0)</f>
        <v/>
      </c>
      <c r="AE10" s="39">
        <f>IF(COLUMNS($B$10:AE10) &gt;= Inputs!$E$54, 1, 0)</f>
        <v/>
      </c>
      <c r="AF10" s="39">
        <f>IF(COLUMNS($B$10:AF10) &gt;= Inputs!$E$54, 1, 0)</f>
        <v/>
      </c>
      <c r="AG10" s="39">
        <f>IF(COLUMNS($B$10:AG10) &gt;= Inputs!$E$54, 1, 0)</f>
        <v/>
      </c>
      <c r="AH10" s="39">
        <f>IF(COLUMNS($B$10:AH10) &gt;= Inputs!$E$54, 1, 0)</f>
        <v/>
      </c>
      <c r="AI10" s="39">
        <f>IF(COLUMNS($B$10:AI10) &gt;= Inputs!$E$54, 1, 0)</f>
        <v/>
      </c>
      <c r="AJ10" s="39">
        <f>IF(COLUMNS($B$10:AJ10) &gt;= Inputs!$E$54, 1, 0)</f>
        <v/>
      </c>
      <c r="AK10" s="39">
        <f>IF(COLUMNS($B$10:AK10) &gt;= Inputs!$E$54, 1, 0)</f>
        <v/>
      </c>
      <c r="AL10" s="39">
        <f>IF(COLUMNS($B$10:AL10) &gt;= Inputs!$E$54, 1, 0)</f>
        <v/>
      </c>
      <c r="AM10" s="39">
        <f>IF(COLUMNS($B$10:AM10) &gt;= Inputs!$E$54, 1, 0)</f>
        <v/>
      </c>
      <c r="AN10" s="39">
        <f>IF(COLUMNS($B$10:AN10) &gt;= Inputs!$E$54, 1, 0)</f>
        <v/>
      </c>
      <c r="AO10" s="39">
        <f>IF(COLUMNS($B$10:AO10) &gt;= Inputs!$E$54, 1, 0)</f>
        <v/>
      </c>
      <c r="AP10" s="39">
        <f>IF(COLUMNS($B$10:AP10) &gt;= Inputs!$E$54, 1, 0)</f>
        <v/>
      </c>
      <c r="AQ10" s="39">
        <f>IF(COLUMNS($B$10:AQ10) &gt;= Inputs!$E$54, 1, 0)</f>
        <v/>
      </c>
      <c r="AR10" s="39">
        <f>IF(COLUMNS($B$10:AR10) &gt;= Inputs!$E$54, 1, 0)</f>
        <v/>
      </c>
      <c r="AS10" s="39">
        <f>IF(COLUMNS($B$10:AS10) &gt;= Inputs!$E$54, 1, 0)</f>
        <v/>
      </c>
      <c r="AT10" s="39">
        <f>IF(COLUMNS($B$10:AT10) &gt;= Inputs!$E$54, 1, 0)</f>
        <v/>
      </c>
      <c r="AU10" s="39">
        <f>IF(COLUMNS($B$10:AU10) &gt;= Inputs!$E$54, 1, 0)</f>
        <v/>
      </c>
      <c r="AV10" s="39">
        <f>IF(COLUMNS($B$10:AV10) &gt;= Inputs!$E$54, 1, 0)</f>
        <v/>
      </c>
      <c r="AW10" s="39">
        <f>IF(COLUMNS($B$10:AW10) &gt;= Inputs!$E$54, 1, 0)</f>
        <v/>
      </c>
      <c r="AX10" s="39">
        <f>IF(COLUMNS($B$10:AX10) &gt;= Inputs!$E$54, 1, 0)</f>
        <v/>
      </c>
      <c r="AY10" s="39">
        <f>IF(COLUMNS($B$10:AY10) &gt;= Inputs!$E$54, 1, 0)</f>
        <v/>
      </c>
      <c r="AZ10" s="39">
        <f>IF(COLUMNS($B$10:AZ10) &gt;= Inputs!$E$54, 1, 0)</f>
        <v/>
      </c>
      <c r="BA10" s="39">
        <f>IF(COLUMNS($B$10:BA10) &gt;= Inputs!$E$54, 1, 0)</f>
        <v/>
      </c>
    </row>
    <row r="11" ht="14.25" customHeight="1" s="165">
      <c r="A11" s="19" t="inlineStr">
        <is>
          <t>1. Mechanical Engineer</t>
        </is>
      </c>
      <c r="B11" s="39">
        <f>IF(COLUMNS($B$11:B11)&gt;=Inputs!$E$55,1,0)</f>
        <v/>
      </c>
      <c r="C11" s="39">
        <f>IF(COLUMNS($B$11:C11)&gt;=Inputs!$E$55,1,0)</f>
        <v/>
      </c>
      <c r="D11" s="39">
        <f>IF(COLUMNS($B$11:D11)&gt;=Inputs!$E$55,1,0)</f>
        <v/>
      </c>
      <c r="E11" s="39">
        <f>IF(COLUMNS($B$11:E11)&gt;=Inputs!$E$55,1,0)</f>
        <v/>
      </c>
      <c r="F11" s="39">
        <f>IF(COLUMNS($B$11:F11)&gt;=Inputs!$E$55,1,0)</f>
        <v/>
      </c>
      <c r="G11" s="39">
        <f>IF(COLUMNS($B$11:G11)&gt;=Inputs!$E$55,1,0)</f>
        <v/>
      </c>
      <c r="H11" s="39">
        <f>IF(COLUMNS($B$11:H11)&gt;=Inputs!$E$55,1,0)</f>
        <v/>
      </c>
      <c r="I11" s="39">
        <f>IF(COLUMNS($B$11:I11)&gt;=Inputs!$E$55,1,0)</f>
        <v/>
      </c>
      <c r="J11" s="39">
        <f>IF(COLUMNS($B$11:J11)&gt;=Inputs!$E$55,1,0)</f>
        <v/>
      </c>
      <c r="K11" s="39">
        <f>IF(COLUMNS($B$11:K11)&gt;=Inputs!$E$55,1,0)</f>
        <v/>
      </c>
      <c r="L11" s="39">
        <f>IF(COLUMNS($B$11:L11)&gt;=Inputs!$E$55,1,0)</f>
        <v/>
      </c>
      <c r="M11" s="39">
        <f>IF(COLUMNS($B$11:M11)&gt;=Inputs!$E$55,1,0)</f>
        <v/>
      </c>
      <c r="N11" s="39">
        <f>IF(COLUMNS($B$11:N11)&gt;=Inputs!$E$55,1,0)</f>
        <v/>
      </c>
      <c r="O11" s="39">
        <f>IF(COLUMNS($B$11:O11)&gt;=Inputs!$E$55,1,0)</f>
        <v/>
      </c>
      <c r="P11" s="39">
        <f>IF(COLUMNS($B$11:P11)&gt;=Inputs!$E$55,1,0)</f>
        <v/>
      </c>
      <c r="Q11" s="39">
        <f>IF(COLUMNS($B$11:Q11)&gt;=Inputs!$E$55,1,0)</f>
        <v/>
      </c>
      <c r="R11" s="39">
        <f>IF(COLUMNS($B$11:R11)&gt;=Inputs!$E$55,1,0)</f>
        <v/>
      </c>
      <c r="S11" s="39">
        <f>IF(COLUMNS($B$11:S11)&gt;=Inputs!$E$55,1,0)</f>
        <v/>
      </c>
      <c r="T11" s="39">
        <f>IF(COLUMNS($B$11:T11)&gt;=Inputs!$E$55,1,0)</f>
        <v/>
      </c>
      <c r="U11" s="39">
        <f>IF(COLUMNS($B$11:U11)&gt;=Inputs!$E$55,1,0)</f>
        <v/>
      </c>
      <c r="V11" s="39">
        <f>IF(COLUMNS($B$11:V11)&gt;=Inputs!$E$55,1,0)</f>
        <v/>
      </c>
      <c r="W11" s="39">
        <f>IF(COLUMNS($B$11:W11)&gt;=Inputs!$E$55,1,0)</f>
        <v/>
      </c>
      <c r="X11" s="39">
        <f>IF(COLUMNS($B$11:X11)&gt;=Inputs!$E$55,1,0)</f>
        <v/>
      </c>
      <c r="Y11" s="39">
        <f>IF(COLUMNS($B$11:Y11)&gt;=Inputs!$E$55,1,0)</f>
        <v/>
      </c>
      <c r="Z11" s="39">
        <f>IF(COLUMNS($B$11:Z11)&gt;=Inputs!$E$55,1,0)</f>
        <v/>
      </c>
      <c r="AA11" s="39">
        <f>IF(COLUMNS($B$11:AA11)&gt;=Inputs!$E$55,1,0)</f>
        <v/>
      </c>
      <c r="AB11" s="39">
        <f>IF(COLUMNS($B$11:AB11)&gt;=Inputs!$E$55,1,0)</f>
        <v/>
      </c>
      <c r="AC11" s="39">
        <f>IF(COLUMNS($B$11:AC11)&gt;=Inputs!$E$55,1,0)</f>
        <v/>
      </c>
      <c r="AD11" s="39">
        <f>IF(COLUMNS($B$11:AD11)&gt;=Inputs!$E$55,1,0)</f>
        <v/>
      </c>
      <c r="AE11" s="39">
        <f>IF(COLUMNS($B$11:AE11)&gt;=Inputs!$E$55,1,0)</f>
        <v/>
      </c>
      <c r="AF11" s="39">
        <f>IF(COLUMNS($B$11:AF11)&gt;=Inputs!$E$55,1,0)</f>
        <v/>
      </c>
      <c r="AG11" s="39">
        <f>IF(COLUMNS($B$11:AG11)&gt;=Inputs!$E$55,1,0)</f>
        <v/>
      </c>
      <c r="AH11" s="39">
        <f>IF(COLUMNS($B$11:AH11)&gt;=Inputs!$E$55,1,0)</f>
        <v/>
      </c>
      <c r="AI11" s="39">
        <f>IF(COLUMNS($B$11:AI11)&gt;=Inputs!$E$55,1,0)</f>
        <v/>
      </c>
      <c r="AJ11" s="39">
        <f>IF(COLUMNS($B$11:AJ11)&gt;=Inputs!$E$55,1,0)</f>
        <v/>
      </c>
      <c r="AK11" s="39">
        <f>IF(COLUMNS($B$11:AK11)&gt;=Inputs!$E$55,1,0)</f>
        <v/>
      </c>
      <c r="AL11" s="39">
        <f>IF(COLUMNS($B$11:AL11)&gt;=Inputs!$E$55,1,0)</f>
        <v/>
      </c>
      <c r="AM11" s="39">
        <f>IF(COLUMNS($B$11:AM11)&gt;=Inputs!$E$55,1,0)</f>
        <v/>
      </c>
      <c r="AN11" s="39">
        <f>IF(COLUMNS($B$11:AN11)&gt;=Inputs!$E$55,1,0)</f>
        <v/>
      </c>
      <c r="AO11" s="39">
        <f>IF(COLUMNS($B$11:AO11)&gt;=Inputs!$E$55,1,0)</f>
        <v/>
      </c>
      <c r="AP11" s="39">
        <f>IF(COLUMNS($B$11:AP11)&gt;=Inputs!$E$55,1,0)</f>
        <v/>
      </c>
      <c r="AQ11" s="39">
        <f>IF(COLUMNS($B$11:AQ11)&gt;=Inputs!$E$55,1,0)</f>
        <v/>
      </c>
      <c r="AR11" s="39">
        <f>IF(COLUMNS($B$11:AR11)&gt;=Inputs!$E$55,1,0)</f>
        <v/>
      </c>
      <c r="AS11" s="39">
        <f>IF(COLUMNS($B$11:AS11)&gt;=Inputs!$E$55,1,0)</f>
        <v/>
      </c>
      <c r="AT11" s="39">
        <f>IF(COLUMNS($B$11:AT11)&gt;=Inputs!$E$55,1,0)</f>
        <v/>
      </c>
      <c r="AU11" s="39">
        <f>IF(COLUMNS($B$11:AU11)&gt;=Inputs!$E$55,1,0)</f>
        <v/>
      </c>
      <c r="AV11" s="39">
        <f>IF(COLUMNS($B$11:AV11)&gt;=Inputs!$E$55,1,0)</f>
        <v/>
      </c>
      <c r="AW11" s="39">
        <f>IF(COLUMNS($B$11:AW11)&gt;=Inputs!$E$55,1,0)</f>
        <v/>
      </c>
      <c r="AX11" s="39">
        <f>IF(COLUMNS($B$11:AX11)&gt;=Inputs!$E$55,1,0)</f>
        <v/>
      </c>
      <c r="AY11" s="39">
        <f>IF(COLUMNS($B$11:AY11)&gt;=Inputs!$E$55,1,0)</f>
        <v/>
      </c>
      <c r="AZ11" s="39">
        <f>IF(COLUMNS($B$11:AZ11)&gt;=Inputs!$E$55,1,0)</f>
        <v/>
      </c>
      <c r="BA11" s="39">
        <f>IF(COLUMNS($B$11:BA11)&gt;=Inputs!$E$55,1,0)</f>
        <v/>
      </c>
    </row>
    <row r="12" ht="14.25" customHeight="1" s="165">
      <c r="A12" s="19" t="inlineStr">
        <is>
          <t>1. UX/UI Designer</t>
        </is>
      </c>
      <c r="B12" s="39">
        <f>IF(COLUMNS($B$12:B12)&gt;=Inputs!$E$56,1,0)</f>
        <v/>
      </c>
      <c r="C12" s="39">
        <f>IF(COLUMNS($B$12:C12)&gt;=Inputs!$E$56,1,0)</f>
        <v/>
      </c>
      <c r="D12" s="39">
        <f>IF(COLUMNS($B$12:D12)&gt;=Inputs!$E$56,1,0)</f>
        <v/>
      </c>
      <c r="E12" s="39">
        <f>IF(COLUMNS($B$12:E12)&gt;=Inputs!$E$56,1,0)</f>
        <v/>
      </c>
      <c r="F12" s="39">
        <f>IF(COLUMNS($B$12:F12)&gt;=Inputs!$E$56,1,0)</f>
        <v/>
      </c>
      <c r="G12" s="39">
        <f>IF(COLUMNS($B$12:G12)&gt;=Inputs!$E$56,1,0)</f>
        <v/>
      </c>
      <c r="H12" s="39">
        <f>IF(COLUMNS($B$12:H12)&gt;=Inputs!$E$56,1,0)</f>
        <v/>
      </c>
      <c r="I12" s="39">
        <f>IF(COLUMNS($B$12:I12)&gt;=Inputs!$E$56,1,0)</f>
        <v/>
      </c>
      <c r="J12" s="39">
        <f>IF(COLUMNS($B$12:J12)&gt;=Inputs!$E$56,1,0)</f>
        <v/>
      </c>
      <c r="K12" s="39">
        <f>IF(COLUMNS($B$12:K12)&gt;=Inputs!$E$56,1,0)</f>
        <v/>
      </c>
      <c r="L12" s="39">
        <f>IF(COLUMNS($B$12:L12)&gt;=Inputs!$E$56,1,0)</f>
        <v/>
      </c>
      <c r="M12" s="39">
        <f>IF(COLUMNS($B$12:M12)&gt;=Inputs!$E$56,1,0)</f>
        <v/>
      </c>
      <c r="N12" s="39">
        <f>IF(COLUMNS($B$12:N12)&gt;=Inputs!$E$56,1,0)</f>
        <v/>
      </c>
      <c r="O12" s="39">
        <f>IF(COLUMNS($B$12:O12)&gt;=Inputs!$E$56,1,0)</f>
        <v/>
      </c>
      <c r="P12" s="39">
        <f>IF(COLUMNS($B$12:P12)&gt;=Inputs!$E$56,1,0)</f>
        <v/>
      </c>
      <c r="Q12" s="39">
        <f>IF(COLUMNS($B$12:Q12)&gt;=Inputs!$E$56,1,0)</f>
        <v/>
      </c>
      <c r="R12" s="39">
        <f>IF(COLUMNS($B$12:R12)&gt;=Inputs!$E$56,1,0)</f>
        <v/>
      </c>
      <c r="S12" s="39">
        <f>IF(COLUMNS($B$12:S12)&gt;=Inputs!$E$56,1,0)</f>
        <v/>
      </c>
      <c r="T12" s="39">
        <f>IF(COLUMNS($B$12:T12)&gt;=Inputs!$E$56,1,0)</f>
        <v/>
      </c>
      <c r="U12" s="39">
        <f>IF(COLUMNS($B$12:U12)&gt;=Inputs!$E$56,1,0)</f>
        <v/>
      </c>
      <c r="V12" s="39">
        <f>IF(COLUMNS($B$12:V12)&gt;=Inputs!$E$56,1,0)</f>
        <v/>
      </c>
      <c r="W12" s="39">
        <f>IF(COLUMNS($B$12:W12)&gt;=Inputs!$E$56,1,0)</f>
        <v/>
      </c>
      <c r="X12" s="39">
        <f>IF(COLUMNS($B$12:X12)&gt;=Inputs!$E$56,1,0)</f>
        <v/>
      </c>
      <c r="Y12" s="39">
        <f>IF(COLUMNS($B$12:Y12)&gt;=Inputs!$E$56,1,0)</f>
        <v/>
      </c>
      <c r="Z12" s="39">
        <f>IF(COLUMNS($B$12:Z12)&gt;=Inputs!$E$56,1,0)</f>
        <v/>
      </c>
      <c r="AA12" s="39">
        <f>IF(COLUMNS($B$12:AA12)&gt;=Inputs!$E$56,1,0)</f>
        <v/>
      </c>
      <c r="AB12" s="39">
        <f>IF(COLUMNS($B$12:AB12)&gt;=Inputs!$E$56,1,0)</f>
        <v/>
      </c>
      <c r="AC12" s="39">
        <f>IF(COLUMNS($B$12:AC12)&gt;=Inputs!$E$56,1,0)</f>
        <v/>
      </c>
      <c r="AD12" s="39">
        <f>IF(COLUMNS($B$12:AD12)&gt;=Inputs!$E$56,1,0)</f>
        <v/>
      </c>
      <c r="AE12" s="39">
        <f>IF(COLUMNS($B$12:AE12)&gt;=Inputs!$E$56,1,0)</f>
        <v/>
      </c>
      <c r="AF12" s="39">
        <f>IF(COLUMNS($B$12:AF12)&gt;=Inputs!$E$56,1,0)</f>
        <v/>
      </c>
      <c r="AG12" s="39">
        <f>IF(COLUMNS($B$12:AG12)&gt;=Inputs!$E$56,1,0)</f>
        <v/>
      </c>
      <c r="AH12" s="39">
        <f>IF(COLUMNS($B$12:AH12)&gt;=Inputs!$E$56,1,0)</f>
        <v/>
      </c>
      <c r="AI12" s="39">
        <f>IF(COLUMNS($B$12:AI12)&gt;=Inputs!$E$56,1,0)</f>
        <v/>
      </c>
      <c r="AJ12" s="39">
        <f>IF(COLUMNS($B$12:AJ12)&gt;=Inputs!$E$56,1,0)</f>
        <v/>
      </c>
      <c r="AK12" s="39">
        <f>IF(COLUMNS($B$12:AK12)&gt;=Inputs!$E$56,1,0)</f>
        <v/>
      </c>
      <c r="AL12" s="39">
        <f>IF(COLUMNS($B$12:AL12)&gt;=Inputs!$E$56,1,0)</f>
        <v/>
      </c>
      <c r="AM12" s="39">
        <f>IF(COLUMNS($B$12:AM12)&gt;=Inputs!$E$56,1,0)</f>
        <v/>
      </c>
      <c r="AN12" s="39">
        <f>IF(COLUMNS($B$12:AN12)&gt;=Inputs!$E$56,1,0)</f>
        <v/>
      </c>
      <c r="AO12" s="39">
        <f>IF(COLUMNS($B$12:AO12)&gt;=Inputs!$E$56,1,0)</f>
        <v/>
      </c>
      <c r="AP12" s="39">
        <f>IF(COLUMNS($B$12:AP12)&gt;=Inputs!$E$56,1,0)</f>
        <v/>
      </c>
      <c r="AQ12" s="39">
        <f>IF(COLUMNS($B$12:AQ12)&gt;=Inputs!$E$56,1,0)</f>
        <v/>
      </c>
      <c r="AR12" s="39">
        <f>IF(COLUMNS($B$12:AR12)&gt;=Inputs!$E$56,1,0)</f>
        <v/>
      </c>
      <c r="AS12" s="39">
        <f>IF(COLUMNS($B$12:AS12)&gt;=Inputs!$E$56,1,0)</f>
        <v/>
      </c>
      <c r="AT12" s="39">
        <f>IF(COLUMNS($B$12:AT12)&gt;=Inputs!$E$56,1,0)</f>
        <v/>
      </c>
      <c r="AU12" s="39">
        <f>IF(COLUMNS($B$12:AU12)&gt;=Inputs!$E$56,1,0)</f>
        <v/>
      </c>
      <c r="AV12" s="39">
        <f>IF(COLUMNS($B$12:AV12)&gt;=Inputs!$E$56,1,0)</f>
        <v/>
      </c>
      <c r="AW12" s="39">
        <f>IF(COLUMNS($B$12:AW12)&gt;=Inputs!$E$56,1,0)</f>
        <v/>
      </c>
      <c r="AX12" s="39">
        <f>IF(COLUMNS($B$12:AX12)&gt;=Inputs!$E$56,1,0)</f>
        <v/>
      </c>
      <c r="AY12" s="39">
        <f>IF(COLUMNS($B$12:AY12)&gt;=Inputs!$E$56,1,0)</f>
        <v/>
      </c>
      <c r="AZ12" s="39">
        <f>IF(COLUMNS($B$12:AZ12)&gt;=Inputs!$E$56,1,0)</f>
        <v/>
      </c>
      <c r="BA12" s="39">
        <f>IF(COLUMNS($B$12:BA12)&gt;=Inputs!$E$56,1,0)</f>
        <v/>
      </c>
    </row>
    <row r="13" ht="14.25" customHeight="1" s="165">
      <c r="A13" s="19" t="inlineStr">
        <is>
          <t>1. Customer Key Account</t>
        </is>
      </c>
      <c r="B13" s="39">
        <f>IF(COLUMNS($B$13:B13)&gt;=Inputs!$E$57,1,0)</f>
        <v/>
      </c>
      <c r="C13" s="39">
        <f>IF(COLUMNS($B$13:C13)&gt;=Inputs!$E$57,1,0)</f>
        <v/>
      </c>
      <c r="D13" s="39">
        <f>IF(COLUMNS($B$13:D13)&gt;=Inputs!$E$57,1,0)</f>
        <v/>
      </c>
      <c r="E13" s="39">
        <f>IF(COLUMNS($B$13:E13)&gt;=Inputs!$E$57,1,0)</f>
        <v/>
      </c>
      <c r="F13" s="39">
        <f>IF(COLUMNS($B$13:F13)&gt;=Inputs!$E$57,1,0)</f>
        <v/>
      </c>
      <c r="G13" s="39">
        <f>IF(COLUMNS($B$13:G13)&gt;=Inputs!$E$57,1,0)</f>
        <v/>
      </c>
      <c r="H13" s="39">
        <f>IF(COLUMNS($B$13:H13)&gt;=Inputs!$E$57,1,0)</f>
        <v/>
      </c>
      <c r="I13" s="39">
        <f>IF(COLUMNS($B$13:I13)&gt;=Inputs!$E$57,1,0)</f>
        <v/>
      </c>
      <c r="J13" s="39">
        <f>IF(COLUMNS($B$13:J13)&gt;=Inputs!$E$57,1,0)</f>
        <v/>
      </c>
      <c r="K13" s="39">
        <f>IF(COLUMNS($B$13:K13)&gt;=Inputs!$E$57,1,0)</f>
        <v/>
      </c>
      <c r="L13" s="39">
        <f>IF(COLUMNS($B$13:L13)&gt;=Inputs!$E$57,1,0)</f>
        <v/>
      </c>
      <c r="M13" s="39">
        <f>IF(COLUMNS($B$13:M13)&gt;=Inputs!$E$57,1,0)</f>
        <v/>
      </c>
      <c r="N13" s="39">
        <f>IF(COLUMNS($B$13:N13)&gt;=Inputs!$E$57,1,0)</f>
        <v/>
      </c>
      <c r="O13" s="39">
        <f>IF(COLUMNS($B$13:O13)&gt;=Inputs!$E$57,1,0)</f>
        <v/>
      </c>
      <c r="P13" s="39">
        <f>IF(COLUMNS($B$13:P13)&gt;=Inputs!$E$57,1,0)</f>
        <v/>
      </c>
      <c r="Q13" s="39">
        <f>IF(COLUMNS($B$13:Q13)&gt;=Inputs!$E$57,1,0)</f>
        <v/>
      </c>
      <c r="R13" s="39">
        <f>IF(COLUMNS($B$13:R13)&gt;=Inputs!$E$57,1,0)</f>
        <v/>
      </c>
      <c r="S13" s="39">
        <f>IF(COLUMNS($B$13:S13)&gt;=Inputs!$E$57,1,0)</f>
        <v/>
      </c>
      <c r="T13" s="39">
        <f>IF(COLUMNS($B$13:T13)&gt;=Inputs!$E$57,1,0)</f>
        <v/>
      </c>
      <c r="U13" s="39">
        <f>IF(COLUMNS($B$13:U13)&gt;=Inputs!$E$57,1,0)</f>
        <v/>
      </c>
      <c r="V13" s="39">
        <f>IF(COLUMNS($B$13:V13)&gt;=Inputs!$E$57,1,0)</f>
        <v/>
      </c>
      <c r="W13" s="39">
        <f>IF(COLUMNS($B$13:W13)&gt;=Inputs!$E$57,1,0)</f>
        <v/>
      </c>
      <c r="X13" s="39">
        <f>IF(COLUMNS($B$13:X13)&gt;=Inputs!$E$57,1,0)</f>
        <v/>
      </c>
      <c r="Y13" s="39">
        <f>IF(COLUMNS($B$13:Y13)&gt;=Inputs!$E$57,1,0)</f>
        <v/>
      </c>
      <c r="Z13" s="39">
        <f>IF(COLUMNS($B$13:Z13)&gt;=Inputs!$E$57,1,0)</f>
        <v/>
      </c>
      <c r="AA13" s="39">
        <f>IF(COLUMNS($B$13:AA13)&gt;=Inputs!$E$57,1,0)</f>
        <v/>
      </c>
      <c r="AB13" s="39">
        <f>IF(COLUMNS($B$13:AB13)&gt;=Inputs!$E$57,1,0)</f>
        <v/>
      </c>
      <c r="AC13" s="39">
        <f>IF(COLUMNS($B$13:AC13)&gt;=Inputs!$E$57,1,0)</f>
        <v/>
      </c>
      <c r="AD13" s="39">
        <f>IF(COLUMNS($B$13:AD13)&gt;=Inputs!$E$57,1,0)</f>
        <v/>
      </c>
      <c r="AE13" s="39">
        <f>IF(COLUMNS($B$13:AE13)&gt;=Inputs!$E$57,1,0)</f>
        <v/>
      </c>
      <c r="AF13" s="39">
        <f>IF(COLUMNS($B$13:AF13)&gt;=Inputs!$E$57,1,0)</f>
        <v/>
      </c>
      <c r="AG13" s="39">
        <f>IF(COLUMNS($B$13:AG13)&gt;=Inputs!$E$57,1,0)</f>
        <v/>
      </c>
      <c r="AH13" s="39">
        <f>IF(COLUMNS($B$13:AH13)&gt;=Inputs!$E$57,1,0)</f>
        <v/>
      </c>
      <c r="AI13" s="39">
        <f>IF(COLUMNS($B$13:AI13)&gt;=Inputs!$E$57,1,0)</f>
        <v/>
      </c>
      <c r="AJ13" s="39">
        <f>IF(COLUMNS($B$13:AJ13)&gt;=Inputs!$E$57,1,0)</f>
        <v/>
      </c>
      <c r="AK13" s="39">
        <f>IF(COLUMNS($B$13:AK13)&gt;=Inputs!$E$57,1,0)</f>
        <v/>
      </c>
      <c r="AL13" s="39">
        <f>IF(COLUMNS($B$13:AL13)&gt;=Inputs!$E$57,1,0)</f>
        <v/>
      </c>
      <c r="AM13" s="39">
        <f>IF(COLUMNS($B$13:AM13)&gt;=Inputs!$E$57,1,0)</f>
        <v/>
      </c>
      <c r="AN13" s="39">
        <f>IF(COLUMNS($B$13:AN13)&gt;=Inputs!$E$57,1,0)</f>
        <v/>
      </c>
      <c r="AO13" s="39">
        <f>IF(COLUMNS($B$13:AO13)&gt;=Inputs!$E$57,1,0)</f>
        <v/>
      </c>
      <c r="AP13" s="39">
        <f>IF(COLUMNS($B$13:AP13)&gt;=Inputs!$E$57,1,0)</f>
        <v/>
      </c>
      <c r="AQ13" s="39">
        <f>IF(COLUMNS($B$13:AQ13)&gt;=Inputs!$E$57,1,0)</f>
        <v/>
      </c>
      <c r="AR13" s="39">
        <f>IF(COLUMNS($B$13:AR13)&gt;=Inputs!$E$57,1,0)</f>
        <v/>
      </c>
      <c r="AS13" s="39">
        <f>IF(COLUMNS($B$13:AS13)&gt;=Inputs!$E$57,1,0)</f>
        <v/>
      </c>
      <c r="AT13" s="39">
        <f>IF(COLUMNS($B$13:AT13)&gt;=Inputs!$E$57,1,0)</f>
        <v/>
      </c>
      <c r="AU13" s="39">
        <f>IF(COLUMNS($B$13:AU13)&gt;=Inputs!$E$57,1,0)</f>
        <v/>
      </c>
      <c r="AV13" s="39">
        <f>IF(COLUMNS($B$13:AV13)&gt;=Inputs!$E$57,1,0)</f>
        <v/>
      </c>
      <c r="AW13" s="39">
        <f>IF(COLUMNS($B$13:AW13)&gt;=Inputs!$E$57,1,0)</f>
        <v/>
      </c>
      <c r="AX13" s="39">
        <f>IF(COLUMNS($B$13:AX13)&gt;=Inputs!$E$57,1,0)</f>
        <v/>
      </c>
      <c r="AY13" s="39">
        <f>IF(COLUMNS($B$13:AY13)&gt;=Inputs!$E$57,1,0)</f>
        <v/>
      </c>
      <c r="AZ13" s="39">
        <f>IF(COLUMNS($B$13:AZ13)&gt;=Inputs!$E$57,1,0)</f>
        <v/>
      </c>
      <c r="BA13" s="39">
        <f>IF(COLUMNS($B$13:BA13)&gt;=Inputs!$E$57,1,0)</f>
        <v/>
      </c>
    </row>
    <row r="14" ht="14.25" customHeight="1" s="165">
      <c r="A14" s="240" t="inlineStr">
        <is>
          <t>2. Customer Key Account</t>
        </is>
      </c>
      <c r="B14" s="39">
        <f>IF(COLUMNS($B$14:B14)&gt;=Inputs!$E$58,1,0)</f>
        <v/>
      </c>
      <c r="C14" s="39">
        <f>IF(COLUMNS($B$14:C14)&gt;=Inputs!$E$58,1,0)</f>
        <v/>
      </c>
      <c r="D14" s="39">
        <f>IF(COLUMNS($B$14:D14)&gt;=Inputs!$E$58,1,0)</f>
        <v/>
      </c>
      <c r="E14" s="39">
        <f>IF(COLUMNS($B$14:E14)&gt;=Inputs!$E$58,1,0)</f>
        <v/>
      </c>
      <c r="F14" s="39">
        <f>IF(COLUMNS($B$14:F14)&gt;=Inputs!$E$58,1,0)</f>
        <v/>
      </c>
      <c r="G14" s="39">
        <f>IF(COLUMNS($B$14:G14)&gt;=Inputs!$E$58,1,0)</f>
        <v/>
      </c>
      <c r="H14" s="39">
        <f>IF(COLUMNS($B$14:H14)&gt;=Inputs!$E$58,1,0)</f>
        <v/>
      </c>
      <c r="I14" s="39">
        <f>IF(COLUMNS($B$14:I14)&gt;=Inputs!$E$58,1,0)</f>
        <v/>
      </c>
      <c r="J14" s="39">
        <f>IF(COLUMNS($B$14:J14)&gt;=Inputs!$E$58,1,0)</f>
        <v/>
      </c>
      <c r="K14" s="39">
        <f>IF(COLUMNS($B$14:K14)&gt;=Inputs!$E$58,1,0)</f>
        <v/>
      </c>
      <c r="L14" s="39">
        <f>IF(COLUMNS($B$14:L14)&gt;=Inputs!$E$58,1,0)</f>
        <v/>
      </c>
      <c r="M14" s="39">
        <f>IF(COLUMNS($B$14:M14)&gt;=Inputs!$E$58,1,0)</f>
        <v/>
      </c>
      <c r="N14" s="39">
        <f>IF(COLUMNS($B$14:N14)&gt;=Inputs!$E$58,1,0)</f>
        <v/>
      </c>
      <c r="O14" s="39">
        <f>IF(COLUMNS($B$14:O14)&gt;=Inputs!$E$58,1,0)</f>
        <v/>
      </c>
      <c r="P14" s="39">
        <f>IF(COLUMNS($B$14:P14)&gt;=Inputs!$E$58,1,0)</f>
        <v/>
      </c>
      <c r="Q14" s="39">
        <f>IF(COLUMNS($B$14:Q14)&gt;=Inputs!$E$58,1,0)</f>
        <v/>
      </c>
      <c r="R14" s="39">
        <f>IF(COLUMNS($B$14:R14)&gt;=Inputs!$E$58,1,0)</f>
        <v/>
      </c>
      <c r="S14" s="39">
        <f>IF(COLUMNS($B$14:S14)&gt;=Inputs!$E$58,1,0)</f>
        <v/>
      </c>
      <c r="T14" s="39">
        <f>IF(COLUMNS($B$14:T14)&gt;=Inputs!$E$58,1,0)</f>
        <v/>
      </c>
      <c r="U14" s="39">
        <f>IF(COLUMNS($B$14:U14)&gt;=Inputs!$E$58,1,0)</f>
        <v/>
      </c>
      <c r="V14" s="39">
        <f>IF(COLUMNS($B$14:V14)&gt;=Inputs!$E$58,1,0)</f>
        <v/>
      </c>
      <c r="W14" s="39">
        <f>IF(COLUMNS($B$14:W14)&gt;=Inputs!$E$58,1,0)</f>
        <v/>
      </c>
      <c r="X14" s="39">
        <f>IF(COLUMNS($B$14:X14)&gt;=Inputs!$E$58,1,0)</f>
        <v/>
      </c>
      <c r="Y14" s="39">
        <f>IF(COLUMNS($B$14:Y14)&gt;=Inputs!$E$58,1,0)</f>
        <v/>
      </c>
      <c r="Z14" s="39">
        <f>IF(COLUMNS($B$14:Z14)&gt;=Inputs!$E$58,1,0)</f>
        <v/>
      </c>
      <c r="AA14" s="39">
        <f>IF(COLUMNS($B$14:AA14)&gt;=Inputs!$E$58,1,0)</f>
        <v/>
      </c>
      <c r="AB14" s="39">
        <f>IF(COLUMNS($B$14:AB14)&gt;=Inputs!$E$58,1,0)</f>
        <v/>
      </c>
      <c r="AC14" s="39">
        <f>IF(COLUMNS($B$14:AC14)&gt;=Inputs!$E$58,1,0)</f>
        <v/>
      </c>
      <c r="AD14" s="39">
        <f>IF(COLUMNS($B$14:AD14)&gt;=Inputs!$E$58,1,0)</f>
        <v/>
      </c>
      <c r="AE14" s="39">
        <f>IF(COLUMNS($B$14:AE14)&gt;=Inputs!$E$58,1,0)</f>
        <v/>
      </c>
      <c r="AF14" s="39">
        <f>IF(COLUMNS($B$14:AF14)&gt;=Inputs!$E$58,1,0)</f>
        <v/>
      </c>
      <c r="AG14" s="39">
        <f>IF(COLUMNS($B$14:AG14)&gt;=Inputs!$E$58,1,0)</f>
        <v/>
      </c>
      <c r="AH14" s="39">
        <f>IF(COLUMNS($B$14:AH14)&gt;=Inputs!$E$58,1,0)</f>
        <v/>
      </c>
      <c r="AI14" s="39">
        <f>IF(COLUMNS($B$14:AI14)&gt;=Inputs!$E$58,1,0)</f>
        <v/>
      </c>
      <c r="AJ14" s="39">
        <f>IF(COLUMNS($B$14:AJ14)&gt;=Inputs!$E$58,1,0)</f>
        <v/>
      </c>
      <c r="AK14" s="39">
        <f>IF(COLUMNS($B$14:AK14)&gt;=Inputs!$E$58,1,0)</f>
        <v/>
      </c>
      <c r="AL14" s="39">
        <f>IF(COLUMNS($B$14:AL14)&gt;=Inputs!$E$58,1,0)</f>
        <v/>
      </c>
      <c r="AM14" s="39">
        <f>IF(COLUMNS($B$14:AM14)&gt;=Inputs!$E$58,1,0)</f>
        <v/>
      </c>
      <c r="AN14" s="39">
        <f>IF(COLUMNS($B$14:AN14)&gt;=Inputs!$E$58,1,0)</f>
        <v/>
      </c>
      <c r="AO14" s="39">
        <f>IF(COLUMNS($B$14:AO14)&gt;=Inputs!$E$58,1,0)</f>
        <v/>
      </c>
      <c r="AP14" s="39">
        <f>IF(COLUMNS($B$14:AP14)&gt;=Inputs!$E$58,1,0)</f>
        <v/>
      </c>
      <c r="AQ14" s="39">
        <f>IF(COLUMNS($B$14:AQ14)&gt;=Inputs!$E$58,1,0)</f>
        <v/>
      </c>
      <c r="AR14" s="39">
        <f>IF(COLUMNS($B$14:AR14)&gt;=Inputs!$E$58,1,0)</f>
        <v/>
      </c>
      <c r="AS14" s="39">
        <f>IF(COLUMNS($B$14:AS14)&gt;=Inputs!$E$58,1,0)</f>
        <v/>
      </c>
      <c r="AT14" s="39">
        <f>IF(COLUMNS($B$14:AT14)&gt;=Inputs!$E$58,1,0)</f>
        <v/>
      </c>
      <c r="AU14" s="39">
        <f>IF(COLUMNS($B$14:AU14)&gt;=Inputs!$E$58,1,0)</f>
        <v/>
      </c>
      <c r="AV14" s="39">
        <f>IF(COLUMNS($B$14:AV14)&gt;=Inputs!$E$58,1,0)</f>
        <v/>
      </c>
      <c r="AW14" s="39">
        <f>IF(COLUMNS($B$14:AW14)&gt;=Inputs!$E$58,1,0)</f>
        <v/>
      </c>
      <c r="AX14" s="39">
        <f>IF(COLUMNS($B$14:AX14)&gt;=Inputs!$E$58,1,0)</f>
        <v/>
      </c>
      <c r="AY14" s="39">
        <f>IF(COLUMNS($B$14:AY14)&gt;=Inputs!$E$58,1,0)</f>
        <v/>
      </c>
      <c r="AZ14" s="39">
        <f>IF(COLUMNS($B$14:AZ14)&gt;=Inputs!$E$58,1,0)</f>
        <v/>
      </c>
      <c r="BA14" s="39">
        <f>IF(COLUMNS($B$14:BA14)&gt;=Inputs!$E$58,1,0)</f>
        <v/>
      </c>
    </row>
    <row r="15" ht="14.25" customHeight="1" s="165">
      <c r="A15" s="240" t="inlineStr">
        <is>
          <t>3. Customer Key Account</t>
        </is>
      </c>
      <c r="B15" s="39">
        <f>IF(COLUMNS($B$15:B15)&gt;=Inputs!$E$59,1,0)</f>
        <v/>
      </c>
      <c r="C15" s="39">
        <f>IF(COLUMNS($B$15:C15)&gt;=Inputs!$E$59,1,0)</f>
        <v/>
      </c>
      <c r="D15" s="39">
        <f>IF(COLUMNS($B$15:D15)&gt;=Inputs!$E$59,1,0)</f>
        <v/>
      </c>
      <c r="E15" s="39">
        <f>IF(COLUMNS($B$15:E15)&gt;=Inputs!$E$59,1,0)</f>
        <v/>
      </c>
      <c r="F15" s="39">
        <f>IF(COLUMNS($B$15:F15)&gt;=Inputs!$E$59,1,0)</f>
        <v/>
      </c>
      <c r="G15" s="39">
        <f>IF(COLUMNS($B$15:G15)&gt;=Inputs!$E$59,1,0)</f>
        <v/>
      </c>
      <c r="H15" s="39">
        <f>IF(COLUMNS($B$15:H15)&gt;=Inputs!$E$59,1,0)</f>
        <v/>
      </c>
      <c r="I15" s="39">
        <f>IF(COLUMNS($B$15:I15)&gt;=Inputs!$E$59,1,0)</f>
        <v/>
      </c>
      <c r="J15" s="39">
        <f>IF(COLUMNS($B$15:J15)&gt;=Inputs!$E$59,1,0)</f>
        <v/>
      </c>
      <c r="K15" s="39">
        <f>IF(COLUMNS($B$15:K15)&gt;=Inputs!$E$59,1,0)</f>
        <v/>
      </c>
      <c r="L15" s="39">
        <f>IF(COLUMNS($B$15:L15)&gt;=Inputs!$E$59,1,0)</f>
        <v/>
      </c>
      <c r="M15" s="39">
        <f>IF(COLUMNS($B$15:M15)&gt;=Inputs!$E$59,1,0)</f>
        <v/>
      </c>
      <c r="N15" s="39">
        <f>IF(COLUMNS($B$15:N15)&gt;=Inputs!$E$59,1,0)</f>
        <v/>
      </c>
      <c r="O15" s="39">
        <f>IF(COLUMNS($B$15:O15)&gt;=Inputs!$E$59,1,0)</f>
        <v/>
      </c>
      <c r="P15" s="39">
        <f>IF(COLUMNS($B$15:P15)&gt;=Inputs!$E$59,1,0)</f>
        <v/>
      </c>
      <c r="Q15" s="39">
        <f>IF(COLUMNS($B$15:Q15)&gt;=Inputs!$E$59,1,0)</f>
        <v/>
      </c>
      <c r="R15" s="39">
        <f>IF(COLUMNS($B$15:R15)&gt;=Inputs!$E$59,1,0)</f>
        <v/>
      </c>
      <c r="S15" s="39">
        <f>IF(COLUMNS($B$15:S15)&gt;=Inputs!$E$59,1,0)</f>
        <v/>
      </c>
      <c r="T15" s="39">
        <f>IF(COLUMNS($B$15:T15)&gt;=Inputs!$E$59,1,0)</f>
        <v/>
      </c>
      <c r="U15" s="39">
        <f>IF(COLUMNS($B$15:U15)&gt;=Inputs!$E$59,1,0)</f>
        <v/>
      </c>
      <c r="V15" s="39">
        <f>IF(COLUMNS($B$15:V15)&gt;=Inputs!$E$59,1,0)</f>
        <v/>
      </c>
      <c r="W15" s="39">
        <f>IF(COLUMNS($B$15:W15)&gt;=Inputs!$E$59,1,0)</f>
        <v/>
      </c>
      <c r="X15" s="39">
        <f>IF(COLUMNS($B$15:X15)&gt;=Inputs!$E$59,1,0)</f>
        <v/>
      </c>
      <c r="Y15" s="39">
        <f>IF(COLUMNS($B$15:Y15)&gt;=Inputs!$E$59,1,0)</f>
        <v/>
      </c>
      <c r="Z15" s="39">
        <f>IF(COLUMNS($B$15:Z15)&gt;=Inputs!$E$59,1,0)</f>
        <v/>
      </c>
      <c r="AA15" s="39">
        <f>IF(COLUMNS($B$15:AA15)&gt;=Inputs!$E$59,1,0)</f>
        <v/>
      </c>
      <c r="AB15" s="39">
        <f>IF(COLUMNS($B$15:AB15)&gt;=Inputs!$E$59,1,0)</f>
        <v/>
      </c>
      <c r="AC15" s="39">
        <f>IF(COLUMNS($B$15:AC15)&gt;=Inputs!$E$59,1,0)</f>
        <v/>
      </c>
      <c r="AD15" s="39">
        <f>IF(COLUMNS($B$15:AD15)&gt;=Inputs!$E$59,1,0)</f>
        <v/>
      </c>
      <c r="AE15" s="39">
        <f>IF(COLUMNS($B$15:AE15)&gt;=Inputs!$E$59,1,0)</f>
        <v/>
      </c>
      <c r="AF15" s="39">
        <f>IF(COLUMNS($B$15:AF15)&gt;=Inputs!$E$59,1,0)</f>
        <v/>
      </c>
      <c r="AG15" s="39">
        <f>IF(COLUMNS($B$15:AG15)&gt;=Inputs!$E$59,1,0)</f>
        <v/>
      </c>
      <c r="AH15" s="39">
        <f>IF(COLUMNS($B$15:AH15)&gt;=Inputs!$E$59,1,0)</f>
        <v/>
      </c>
      <c r="AI15" s="39">
        <f>IF(COLUMNS($B$15:AI15)&gt;=Inputs!$E$59,1,0)</f>
        <v/>
      </c>
      <c r="AJ15" s="39">
        <f>IF(COLUMNS($B$15:AJ15)&gt;=Inputs!$E$59,1,0)</f>
        <v/>
      </c>
      <c r="AK15" s="39">
        <f>IF(COLUMNS($B$15:AK15)&gt;=Inputs!$E$59,1,0)</f>
        <v/>
      </c>
      <c r="AL15" s="39">
        <f>IF(COLUMNS($B$15:AL15)&gt;=Inputs!$E$59,1,0)</f>
        <v/>
      </c>
      <c r="AM15" s="39">
        <f>IF(COLUMNS($B$15:AM15)&gt;=Inputs!$E$59,1,0)</f>
        <v/>
      </c>
      <c r="AN15" s="39">
        <f>IF(COLUMNS($B$15:AN15)&gt;=Inputs!$E$59,1,0)</f>
        <v/>
      </c>
      <c r="AO15" s="39">
        <f>IF(COLUMNS($B$15:AO15)&gt;=Inputs!$E$59,1,0)</f>
        <v/>
      </c>
      <c r="AP15" s="39">
        <f>IF(COLUMNS($B$15:AP15)&gt;=Inputs!$E$59,1,0)</f>
        <v/>
      </c>
      <c r="AQ15" s="39">
        <f>IF(COLUMNS($B$15:AQ15)&gt;=Inputs!$E$59,1,0)</f>
        <v/>
      </c>
      <c r="AR15" s="39">
        <f>IF(COLUMNS($B$15:AR15)&gt;=Inputs!$E$59,1,0)</f>
        <v/>
      </c>
      <c r="AS15" s="39">
        <f>IF(COLUMNS($B$15:AS15)&gt;=Inputs!$E$59,1,0)</f>
        <v/>
      </c>
      <c r="AT15" s="39">
        <f>IF(COLUMNS($B$15:AT15)&gt;=Inputs!$E$59,1,0)</f>
        <v/>
      </c>
      <c r="AU15" s="39">
        <f>IF(COLUMNS($B$15:AU15)&gt;=Inputs!$E$59,1,0)</f>
        <v/>
      </c>
      <c r="AV15" s="39">
        <f>IF(COLUMNS($B$15:AV15)&gt;=Inputs!$E$59,1,0)</f>
        <v/>
      </c>
      <c r="AW15" s="39">
        <f>IF(COLUMNS($B$15:AW15)&gt;=Inputs!$E$59,1,0)</f>
        <v/>
      </c>
      <c r="AX15" s="39">
        <f>IF(COLUMNS($B$15:AX15)&gt;=Inputs!$E$59,1,0)</f>
        <v/>
      </c>
      <c r="AY15" s="39">
        <f>IF(COLUMNS($B$15:AY15)&gt;=Inputs!$E$59,1,0)</f>
        <v/>
      </c>
      <c r="AZ15" s="39">
        <f>IF(COLUMNS($B$15:AZ15)&gt;=Inputs!$E$59,1,0)</f>
        <v/>
      </c>
      <c r="BA15" s="39">
        <f>IF(COLUMNS($B$15:BA15)&gt;=Inputs!$E$59,1,0)</f>
        <v/>
      </c>
    </row>
    <row r="16" ht="14.25" customHeight="1" s="165">
      <c r="A16" s="19" t="inlineStr">
        <is>
          <t>1. Marketing Assistant</t>
        </is>
      </c>
      <c r="B16" s="39">
        <f>IF(COLUMNS($B$16:B16)&gt;=Inputs!$E$60,1,0)</f>
        <v/>
      </c>
      <c r="C16" s="39">
        <f>IF(COLUMNS($B$16:C16)&gt;=Inputs!$E$60,1,0)</f>
        <v/>
      </c>
      <c r="D16" s="39">
        <f>IF(COLUMNS($B$16:D16)&gt;=Inputs!$E$60,1,0)</f>
        <v/>
      </c>
      <c r="E16" s="39">
        <f>IF(COLUMNS($B$16:E16)&gt;=Inputs!$E$60,1,0)</f>
        <v/>
      </c>
      <c r="F16" s="39">
        <f>IF(COLUMNS($B$16:F16)&gt;=Inputs!$E$60,1,0)</f>
        <v/>
      </c>
      <c r="G16" s="39">
        <f>IF(COLUMNS($B$16:G16)&gt;=Inputs!$E$60,1,0)</f>
        <v/>
      </c>
      <c r="H16" s="39">
        <f>IF(COLUMNS($B$16:H16)&gt;=Inputs!$E$60,1,0)</f>
        <v/>
      </c>
      <c r="I16" s="39">
        <f>IF(COLUMNS($B$16:I16)&gt;=Inputs!$E$60,1,0)</f>
        <v/>
      </c>
      <c r="J16" s="39">
        <f>IF(COLUMNS($B$16:J16)&gt;=Inputs!$E$60,1,0)</f>
        <v/>
      </c>
      <c r="K16" s="39">
        <f>IF(COLUMNS($B$16:K16)&gt;=Inputs!$E$60,1,0)</f>
        <v/>
      </c>
      <c r="L16" s="39">
        <f>IF(COLUMNS($B$16:L16)&gt;=Inputs!$E$60,1,0)</f>
        <v/>
      </c>
      <c r="M16" s="39">
        <f>IF(COLUMNS($B$16:M16)&gt;=Inputs!$E$60,1,0)</f>
        <v/>
      </c>
      <c r="N16" s="39">
        <f>IF(COLUMNS($B$16:N16)&gt;=Inputs!$E$60,1,0)</f>
        <v/>
      </c>
      <c r="O16" s="39">
        <f>IF(COLUMNS($B$16:O16)&gt;=Inputs!$E$60,1,0)</f>
        <v/>
      </c>
      <c r="P16" s="39">
        <f>IF(COLUMNS($B$16:P16)&gt;=Inputs!$E$60,1,0)</f>
        <v/>
      </c>
      <c r="Q16" s="39">
        <f>IF(COLUMNS($B$16:Q16)&gt;=Inputs!$E$60,1,0)</f>
        <v/>
      </c>
      <c r="R16" s="39">
        <f>IF(COLUMNS($B$16:R16)&gt;=Inputs!$E$60,1,0)</f>
        <v/>
      </c>
      <c r="S16" s="39">
        <f>IF(COLUMNS($B$16:S16)&gt;=Inputs!$E$60,1,0)</f>
        <v/>
      </c>
      <c r="T16" s="39">
        <f>IF(COLUMNS($B$16:T16)&gt;=Inputs!$E$60,1,0)</f>
        <v/>
      </c>
      <c r="U16" s="39">
        <f>IF(COLUMNS($B$16:U16)&gt;=Inputs!$E$60,1,0)</f>
        <v/>
      </c>
      <c r="V16" s="39">
        <f>IF(COLUMNS($B$16:V16)&gt;=Inputs!$E$60,1,0)</f>
        <v/>
      </c>
      <c r="W16" s="39">
        <f>IF(COLUMNS($B$16:W16)&gt;=Inputs!$E$60,1,0)</f>
        <v/>
      </c>
      <c r="X16" s="39">
        <f>IF(COLUMNS($B$16:X16)&gt;=Inputs!$E$60,1,0)</f>
        <v/>
      </c>
      <c r="Y16" s="39">
        <f>IF(COLUMNS($B$16:Y16)&gt;=Inputs!$E$60,1,0)</f>
        <v/>
      </c>
      <c r="Z16" s="39">
        <f>IF(COLUMNS($B$16:Z16)&gt;=Inputs!$E$60,1,0)</f>
        <v/>
      </c>
      <c r="AA16" s="39">
        <f>IF(COLUMNS($B$16:AA16)&gt;=Inputs!$E$60,1,0)</f>
        <v/>
      </c>
      <c r="AB16" s="39">
        <f>IF(COLUMNS($B$16:AB16)&gt;=Inputs!$E$60,1,0)</f>
        <v/>
      </c>
      <c r="AC16" s="39">
        <f>IF(COLUMNS($B$16:AC16)&gt;=Inputs!$E$60,1,0)</f>
        <v/>
      </c>
      <c r="AD16" s="39">
        <f>IF(COLUMNS($B$16:AD16)&gt;=Inputs!$E$60,1,0)</f>
        <v/>
      </c>
      <c r="AE16" s="39">
        <f>IF(COLUMNS($B$16:AE16)&gt;=Inputs!$E$60,1,0)</f>
        <v/>
      </c>
      <c r="AF16" s="39">
        <f>IF(COLUMNS($B$16:AF16)&gt;=Inputs!$E$60,1,0)</f>
        <v/>
      </c>
      <c r="AG16" s="39">
        <f>IF(COLUMNS($B$16:AG16)&gt;=Inputs!$E$60,1,0)</f>
        <v/>
      </c>
      <c r="AH16" s="39">
        <f>IF(COLUMNS($B$16:AH16)&gt;=Inputs!$E$60,1,0)</f>
        <v/>
      </c>
      <c r="AI16" s="39">
        <f>IF(COLUMNS($B$16:AI16)&gt;=Inputs!$E$60,1,0)</f>
        <v/>
      </c>
      <c r="AJ16" s="39">
        <f>IF(COLUMNS($B$16:AJ16)&gt;=Inputs!$E$60,1,0)</f>
        <v/>
      </c>
      <c r="AK16" s="39">
        <f>IF(COLUMNS($B$16:AK16)&gt;=Inputs!$E$60,1,0)</f>
        <v/>
      </c>
      <c r="AL16" s="39">
        <f>IF(COLUMNS($B$16:AL16)&gt;=Inputs!$E$60,1,0)</f>
        <v/>
      </c>
      <c r="AM16" s="39">
        <f>IF(COLUMNS($B$16:AM16)&gt;=Inputs!$E$60,1,0)</f>
        <v/>
      </c>
      <c r="AN16" s="39">
        <f>IF(COLUMNS($B$16:AN16)&gt;=Inputs!$E$60,1,0)</f>
        <v/>
      </c>
      <c r="AO16" s="39">
        <f>IF(COLUMNS($B$16:AO16)&gt;=Inputs!$E$60,1,0)</f>
        <v/>
      </c>
      <c r="AP16" s="39">
        <f>IF(COLUMNS($B$16:AP16)&gt;=Inputs!$E$60,1,0)</f>
        <v/>
      </c>
      <c r="AQ16" s="39">
        <f>IF(COLUMNS($B$16:AQ16)&gt;=Inputs!$E$60,1,0)</f>
        <v/>
      </c>
      <c r="AR16" s="39">
        <f>IF(COLUMNS($B$16:AR16)&gt;=Inputs!$E$60,1,0)</f>
        <v/>
      </c>
      <c r="AS16" s="39">
        <f>IF(COLUMNS($B$16:AS16)&gt;=Inputs!$E$60,1,0)</f>
        <v/>
      </c>
      <c r="AT16" s="39">
        <f>IF(COLUMNS($B$16:AT16)&gt;=Inputs!$E$60,1,0)</f>
        <v/>
      </c>
      <c r="AU16" s="39">
        <f>IF(COLUMNS($B$16:AU16)&gt;=Inputs!$E$60,1,0)</f>
        <v/>
      </c>
      <c r="AV16" s="39">
        <f>IF(COLUMNS($B$16:AV16)&gt;=Inputs!$E$60,1,0)</f>
        <v/>
      </c>
      <c r="AW16" s="39">
        <f>IF(COLUMNS($B$16:AW16)&gt;=Inputs!$E$60,1,0)</f>
        <v/>
      </c>
      <c r="AX16" s="39">
        <f>IF(COLUMNS($B$16:AX16)&gt;=Inputs!$E$60,1,0)</f>
        <v/>
      </c>
      <c r="AY16" s="39">
        <f>IF(COLUMNS($B$16:AY16)&gt;=Inputs!$E$60,1,0)</f>
        <v/>
      </c>
      <c r="AZ16" s="39">
        <f>IF(COLUMNS($B$16:AZ16)&gt;=Inputs!$E$60,1,0)</f>
        <v/>
      </c>
      <c r="BA16" s="39">
        <f>IF(COLUMNS($B$16:BA16)&gt;=Inputs!$E$60,1,0)</f>
        <v/>
      </c>
    </row>
    <row r="17" ht="14.25" customHeight="1" s="165">
      <c r="A17" s="240" t="inlineStr">
        <is>
          <t>2. Marketing Assistant</t>
        </is>
      </c>
      <c r="B17" s="39">
        <f>IF(COLUMNS($B$17:B17)&gt;=Inputs!$E$61,1,0)</f>
        <v/>
      </c>
      <c r="C17" s="39">
        <f>IF(COLUMNS($B$17:C17)&gt;=Inputs!$E$61,1,0)</f>
        <v/>
      </c>
      <c r="D17" s="39">
        <f>IF(COLUMNS($B$17:D17)&gt;=Inputs!$E$61,1,0)</f>
        <v/>
      </c>
      <c r="E17" s="39">
        <f>IF(COLUMNS($B$17:E17)&gt;=Inputs!$E$61,1,0)</f>
        <v/>
      </c>
      <c r="F17" s="39">
        <f>IF(COLUMNS($B$17:F17)&gt;=Inputs!$E$61,1,0)</f>
        <v/>
      </c>
      <c r="G17" s="39">
        <f>IF(COLUMNS($B$17:G17)&gt;=Inputs!$E$61,1,0)</f>
        <v/>
      </c>
      <c r="H17" s="39">
        <f>IF(COLUMNS($B$17:H17)&gt;=Inputs!$E$61,1,0)</f>
        <v/>
      </c>
      <c r="I17" s="39">
        <f>IF(COLUMNS($B$17:I17)&gt;=Inputs!$E$61,1,0)</f>
        <v/>
      </c>
      <c r="J17" s="39">
        <f>IF(COLUMNS($B$17:J17)&gt;=Inputs!$E$61,1,0)</f>
        <v/>
      </c>
      <c r="K17" s="39">
        <f>IF(COLUMNS($B$17:K17)&gt;=Inputs!$E$61,1,0)</f>
        <v/>
      </c>
      <c r="L17" s="39">
        <f>IF(COLUMNS($B$17:L17)&gt;=Inputs!$E$61,1,0)</f>
        <v/>
      </c>
      <c r="M17" s="39">
        <f>IF(COLUMNS($B$17:M17)&gt;=Inputs!$E$61,1,0)</f>
        <v/>
      </c>
      <c r="N17" s="39">
        <f>IF(COLUMNS($B$17:N17)&gt;=Inputs!$E$61,1,0)</f>
        <v/>
      </c>
      <c r="O17" s="39">
        <f>IF(COLUMNS($B$17:O17)&gt;=Inputs!$E$61,1,0)</f>
        <v/>
      </c>
      <c r="P17" s="39">
        <f>IF(COLUMNS($B$17:P17)&gt;=Inputs!$E$61,1,0)</f>
        <v/>
      </c>
      <c r="Q17" s="39">
        <f>IF(COLUMNS($B$17:Q17)&gt;=Inputs!$E$61,1,0)</f>
        <v/>
      </c>
      <c r="R17" s="39">
        <f>IF(COLUMNS($B$17:R17)&gt;=Inputs!$E$61,1,0)</f>
        <v/>
      </c>
      <c r="S17" s="39">
        <f>IF(COLUMNS($B$17:S17)&gt;=Inputs!$E$61,1,0)</f>
        <v/>
      </c>
      <c r="T17" s="39">
        <f>IF(COLUMNS($B$17:T17)&gt;=Inputs!$E$61,1,0)</f>
        <v/>
      </c>
      <c r="U17" s="39">
        <f>IF(COLUMNS($B$17:U17)&gt;=Inputs!$E$61,1,0)</f>
        <v/>
      </c>
      <c r="V17" s="39">
        <f>IF(COLUMNS($B$17:V17)&gt;=Inputs!$E$61,1,0)</f>
        <v/>
      </c>
      <c r="W17" s="39">
        <f>IF(COLUMNS($B$17:W17)&gt;=Inputs!$E$61,1,0)</f>
        <v/>
      </c>
      <c r="X17" s="39">
        <f>IF(COLUMNS($B$17:X17)&gt;=Inputs!$E$61,1,0)</f>
        <v/>
      </c>
      <c r="Y17" s="39">
        <f>IF(COLUMNS($B$17:Y17)&gt;=Inputs!$E$61,1,0)</f>
        <v/>
      </c>
      <c r="Z17" s="39">
        <f>IF(COLUMNS($B$17:Z17)&gt;=Inputs!$E$61,1,0)</f>
        <v/>
      </c>
      <c r="AA17" s="39">
        <f>IF(COLUMNS($B$17:AA17)&gt;=Inputs!$E$61,1,0)</f>
        <v/>
      </c>
      <c r="AB17" s="39">
        <f>IF(COLUMNS($B$17:AB17)&gt;=Inputs!$E$61,1,0)</f>
        <v/>
      </c>
      <c r="AC17" s="39">
        <f>IF(COLUMNS($B$17:AC17)&gt;=Inputs!$E$61,1,0)</f>
        <v/>
      </c>
      <c r="AD17" s="39">
        <f>IF(COLUMNS($B$17:AD17)&gt;=Inputs!$E$61,1,0)</f>
        <v/>
      </c>
      <c r="AE17" s="39">
        <f>IF(COLUMNS($B$17:AE17)&gt;=Inputs!$E$61,1,0)</f>
        <v/>
      </c>
      <c r="AF17" s="39">
        <f>IF(COLUMNS($B$17:AF17)&gt;=Inputs!$E$61,1,0)</f>
        <v/>
      </c>
      <c r="AG17" s="39">
        <f>IF(COLUMNS($B$17:AG17)&gt;=Inputs!$E$61,1,0)</f>
        <v/>
      </c>
      <c r="AH17" s="39">
        <f>IF(COLUMNS($B$17:AH17)&gt;=Inputs!$E$61,1,0)</f>
        <v/>
      </c>
      <c r="AI17" s="39">
        <f>IF(COLUMNS($B$17:AI17)&gt;=Inputs!$E$61,1,0)</f>
        <v/>
      </c>
      <c r="AJ17" s="39">
        <f>IF(COLUMNS($B$17:AJ17)&gt;=Inputs!$E$61,1,0)</f>
        <v/>
      </c>
      <c r="AK17" s="39">
        <f>IF(COLUMNS($B$17:AK17)&gt;=Inputs!$E$61,1,0)</f>
        <v/>
      </c>
      <c r="AL17" s="39">
        <f>IF(COLUMNS($B$17:AL17)&gt;=Inputs!$E$61,1,0)</f>
        <v/>
      </c>
      <c r="AM17" s="39">
        <f>IF(COLUMNS($B$17:AM17)&gt;=Inputs!$E$61,1,0)</f>
        <v/>
      </c>
      <c r="AN17" s="39">
        <f>IF(COLUMNS($B$17:AN17)&gt;=Inputs!$E$61,1,0)</f>
        <v/>
      </c>
      <c r="AO17" s="39">
        <f>IF(COLUMNS($B$17:AO17)&gt;=Inputs!$E$61,1,0)</f>
        <v/>
      </c>
      <c r="AP17" s="39">
        <f>IF(COLUMNS($B$17:AP17)&gt;=Inputs!$E$61,1,0)</f>
        <v/>
      </c>
      <c r="AQ17" s="39">
        <f>IF(COLUMNS($B$17:AQ17)&gt;=Inputs!$E$61,1,0)</f>
        <v/>
      </c>
      <c r="AR17" s="39">
        <f>IF(COLUMNS($B$17:AR17)&gt;=Inputs!$E$61,1,0)</f>
        <v/>
      </c>
      <c r="AS17" s="39">
        <f>IF(COLUMNS($B$17:AS17)&gt;=Inputs!$E$61,1,0)</f>
        <v/>
      </c>
      <c r="AT17" s="39">
        <f>IF(COLUMNS($B$17:AT17)&gt;=Inputs!$E$61,1,0)</f>
        <v/>
      </c>
      <c r="AU17" s="39">
        <f>IF(COLUMNS($B$17:AU17)&gt;=Inputs!$E$61,1,0)</f>
        <v/>
      </c>
      <c r="AV17" s="39">
        <f>IF(COLUMNS($B$17:AV17)&gt;=Inputs!$E$61,1,0)</f>
        <v/>
      </c>
      <c r="AW17" s="39">
        <f>IF(COLUMNS($B$17:AW17)&gt;=Inputs!$E$61,1,0)</f>
        <v/>
      </c>
      <c r="AX17" s="39">
        <f>IF(COLUMNS($B$17:AX17)&gt;=Inputs!$E$61,1,0)</f>
        <v/>
      </c>
      <c r="AY17" s="39">
        <f>IF(COLUMNS($B$17:AY17)&gt;=Inputs!$E$61,1,0)</f>
        <v/>
      </c>
      <c r="AZ17" s="39">
        <f>IF(COLUMNS($B$17:AZ17)&gt;=Inputs!$E$61,1,0)</f>
        <v/>
      </c>
      <c r="BA17" s="39">
        <f>IF(COLUMNS($B$17:BA17)&gt;=Inputs!$E$61,1,0)</f>
        <v/>
      </c>
    </row>
    <row r="18" ht="14.25" customHeight="1" s="165">
      <c r="A18" s="240" t="inlineStr">
        <is>
          <t>1. Marketing Manager</t>
        </is>
      </c>
      <c r="B18" s="39">
        <f>IF(COLUMNS($B$18:B18)&gt;=Inputs!$E$62,1,0)</f>
        <v/>
      </c>
      <c r="C18" s="39">
        <f>IF(COLUMNS($B$18:C18)&gt;=Inputs!$E$62,1,0)</f>
        <v/>
      </c>
      <c r="D18" s="39">
        <f>IF(COLUMNS($B$18:D18)&gt;=Inputs!$E$62,1,0)</f>
        <v/>
      </c>
      <c r="E18" s="39">
        <f>IF(COLUMNS($B$18:E18)&gt;=Inputs!$E$62,1,0)</f>
        <v/>
      </c>
      <c r="F18" s="39">
        <f>IF(COLUMNS($B$18:F18)&gt;=Inputs!$E$62,1,0)</f>
        <v/>
      </c>
      <c r="G18" s="39">
        <f>IF(COLUMNS($B$18:G18)&gt;=Inputs!$E$62,1,0)</f>
        <v/>
      </c>
      <c r="H18" s="39">
        <f>IF(COLUMNS($B$18:H18)&gt;=Inputs!$E$62,1,0)</f>
        <v/>
      </c>
      <c r="I18" s="39">
        <f>IF(COLUMNS($B$18:I18)&gt;=Inputs!$E$62,1,0)</f>
        <v/>
      </c>
      <c r="J18" s="39">
        <f>IF(COLUMNS($B$18:J18)&gt;=Inputs!$E$62,1,0)</f>
        <v/>
      </c>
      <c r="K18" s="39">
        <f>IF(COLUMNS($B$18:K18)&gt;=Inputs!$E$62,1,0)</f>
        <v/>
      </c>
      <c r="L18" s="39">
        <f>IF(COLUMNS($B$18:L18)&gt;=Inputs!$E$62,1,0)</f>
        <v/>
      </c>
      <c r="M18" s="39">
        <f>IF(COLUMNS($B$18:M18)&gt;=Inputs!$E$62,1,0)</f>
        <v/>
      </c>
      <c r="N18" s="39">
        <f>IF(COLUMNS($B$18:N18)&gt;=Inputs!$E$62,1,0)</f>
        <v/>
      </c>
      <c r="O18" s="39">
        <f>IF(COLUMNS($B$18:O18)&gt;=Inputs!$E$62,1,0)</f>
        <v/>
      </c>
      <c r="P18" s="39">
        <f>IF(COLUMNS($B$18:P18)&gt;=Inputs!$E$62,1,0)</f>
        <v/>
      </c>
      <c r="Q18" s="39">
        <f>IF(COLUMNS($B$18:Q18)&gt;=Inputs!$E$62,1,0)</f>
        <v/>
      </c>
      <c r="R18" s="39">
        <f>IF(COLUMNS($B$18:R18)&gt;=Inputs!$E$62,1,0)</f>
        <v/>
      </c>
      <c r="S18" s="39">
        <f>IF(COLUMNS($B$18:S18)&gt;=Inputs!$E$62,1,0)</f>
        <v/>
      </c>
      <c r="T18" s="39">
        <f>IF(COLUMNS($B$18:T18)&gt;=Inputs!$E$62,1,0)</f>
        <v/>
      </c>
      <c r="U18" s="39">
        <f>IF(COLUMNS($B$18:U18)&gt;=Inputs!$E$62,1,0)</f>
        <v/>
      </c>
      <c r="V18" s="39">
        <f>IF(COLUMNS($B$18:V18)&gt;=Inputs!$E$62,1,0)</f>
        <v/>
      </c>
      <c r="W18" s="39">
        <f>IF(COLUMNS($B$18:W18)&gt;=Inputs!$E$62,1,0)</f>
        <v/>
      </c>
      <c r="X18" s="39">
        <f>IF(COLUMNS($B$18:X18)&gt;=Inputs!$E$62,1,0)</f>
        <v/>
      </c>
      <c r="Y18" s="39">
        <f>IF(COLUMNS($B$18:Y18)&gt;=Inputs!$E$62,1,0)</f>
        <v/>
      </c>
      <c r="Z18" s="39">
        <f>IF(COLUMNS($B$18:Z18)&gt;=Inputs!$E$62,1,0)</f>
        <v/>
      </c>
      <c r="AA18" s="39">
        <f>IF(COLUMNS($B$18:AA18)&gt;=Inputs!$E$62,1,0)</f>
        <v/>
      </c>
      <c r="AB18" s="39">
        <f>IF(COLUMNS($B$18:AB18)&gt;=Inputs!$E$62,1,0)</f>
        <v/>
      </c>
      <c r="AC18" s="39">
        <f>IF(COLUMNS($B$18:AC18)&gt;=Inputs!$E$62,1,0)</f>
        <v/>
      </c>
      <c r="AD18" s="39">
        <f>IF(COLUMNS($B$18:AD18)&gt;=Inputs!$E$62,1,0)</f>
        <v/>
      </c>
      <c r="AE18" s="39">
        <f>IF(COLUMNS($B$18:AE18)&gt;=Inputs!$E$62,1,0)</f>
        <v/>
      </c>
      <c r="AF18" s="39">
        <f>IF(COLUMNS($B$18:AF18)&gt;=Inputs!$E$62,1,0)</f>
        <v/>
      </c>
      <c r="AG18" s="39">
        <f>IF(COLUMNS($B$18:AG18)&gt;=Inputs!$E$62,1,0)</f>
        <v/>
      </c>
      <c r="AH18" s="39">
        <f>IF(COLUMNS($B$18:AH18)&gt;=Inputs!$E$62,1,0)</f>
        <v/>
      </c>
      <c r="AI18" s="39">
        <f>IF(COLUMNS($B$18:AI18)&gt;=Inputs!$E$62,1,0)</f>
        <v/>
      </c>
      <c r="AJ18" s="39">
        <f>IF(COLUMNS($B$18:AJ18)&gt;=Inputs!$E$62,1,0)</f>
        <v/>
      </c>
      <c r="AK18" s="39">
        <f>IF(COLUMNS($B$18:AK18)&gt;=Inputs!$E$62,1,0)</f>
        <v/>
      </c>
      <c r="AL18" s="39">
        <f>IF(COLUMNS($B$18:AL18)&gt;=Inputs!$E$62,1,0)</f>
        <v/>
      </c>
      <c r="AM18" s="39">
        <f>IF(COLUMNS($B$18:AM18)&gt;=Inputs!$E$62,1,0)</f>
        <v/>
      </c>
      <c r="AN18" s="39">
        <f>IF(COLUMNS($B$18:AN18)&gt;=Inputs!$E$62,1,0)</f>
        <v/>
      </c>
      <c r="AO18" s="39">
        <f>IF(COLUMNS($B$18:AO18)&gt;=Inputs!$E$62,1,0)</f>
        <v/>
      </c>
      <c r="AP18" s="39">
        <f>IF(COLUMNS($B$18:AP18)&gt;=Inputs!$E$62,1,0)</f>
        <v/>
      </c>
      <c r="AQ18" s="39">
        <f>IF(COLUMNS($B$18:AQ18)&gt;=Inputs!$E$62,1,0)</f>
        <v/>
      </c>
      <c r="AR18" s="39">
        <f>IF(COLUMNS($B$18:AR18)&gt;=Inputs!$E$62,1,0)</f>
        <v/>
      </c>
      <c r="AS18" s="39">
        <f>IF(COLUMNS($B$18:AS18)&gt;=Inputs!$E$62,1,0)</f>
        <v/>
      </c>
      <c r="AT18" s="39">
        <f>IF(COLUMNS($B$18:AT18)&gt;=Inputs!$E$62,1,0)</f>
        <v/>
      </c>
      <c r="AU18" s="39">
        <f>IF(COLUMNS($B$18:AU18)&gt;=Inputs!$E$62,1,0)</f>
        <v/>
      </c>
      <c r="AV18" s="39">
        <f>IF(COLUMNS($B$18:AV18)&gt;=Inputs!$E$62,1,0)</f>
        <v/>
      </c>
      <c r="AW18" s="39">
        <f>IF(COLUMNS($B$18:AW18)&gt;=Inputs!$E$62,1,0)</f>
        <v/>
      </c>
      <c r="AX18" s="39">
        <f>IF(COLUMNS($B$18:AX18)&gt;=Inputs!$E$62,1,0)</f>
        <v/>
      </c>
      <c r="AY18" s="39">
        <f>IF(COLUMNS($B$18:AY18)&gt;=Inputs!$E$62,1,0)</f>
        <v/>
      </c>
      <c r="AZ18" s="39">
        <f>IF(COLUMNS($B$18:AZ18)&gt;=Inputs!$E$62,1,0)</f>
        <v/>
      </c>
      <c r="BA18" s="39">
        <f>IF(COLUMNS($B$18:BA18)&gt;=Inputs!$E$62,1,0)</f>
        <v/>
      </c>
    </row>
    <row r="19" ht="14.25" customHeight="1" s="165">
      <c r="A19" s="19" t="inlineStr">
        <is>
          <t>1. Office Manager</t>
        </is>
      </c>
      <c r="B19" s="39">
        <f>IF(COLUMNS($B$19:B19)&gt;=Inputs!$E$63,1,0)</f>
        <v/>
      </c>
      <c r="C19" s="39">
        <f>IF(COLUMNS($B$19:C19)&gt;=Inputs!$E$63,1,0)</f>
        <v/>
      </c>
      <c r="D19" s="39">
        <f>IF(COLUMNS($B$19:D19)&gt;=Inputs!$E$63,1,0)</f>
        <v/>
      </c>
      <c r="E19" s="39">
        <f>IF(COLUMNS($B$19:E19)&gt;=Inputs!$E$63,1,0)</f>
        <v/>
      </c>
      <c r="F19" s="39">
        <f>IF(COLUMNS($B$19:F19)&gt;=Inputs!$E$63,1,0)</f>
        <v/>
      </c>
      <c r="G19" s="39">
        <f>IF(COLUMNS($B$19:G19)&gt;=Inputs!$E$63,1,0)</f>
        <v/>
      </c>
      <c r="H19" s="39">
        <f>IF(COLUMNS($B$19:H19)&gt;=Inputs!$E$63,1,0)</f>
        <v/>
      </c>
      <c r="I19" s="39">
        <f>IF(COLUMNS($B$19:I19)&gt;=Inputs!$E$63,1,0)</f>
        <v/>
      </c>
      <c r="J19" s="39">
        <f>IF(COLUMNS($B$19:J19)&gt;=Inputs!$E$63,1,0)</f>
        <v/>
      </c>
      <c r="K19" s="39">
        <f>IF(COLUMNS($B$19:K19)&gt;=Inputs!$E$63,1,0)</f>
        <v/>
      </c>
      <c r="L19" s="39">
        <f>IF(COLUMNS($B$19:L19)&gt;=Inputs!$E$63,1,0)</f>
        <v/>
      </c>
      <c r="M19" s="39">
        <f>IF(COLUMNS($B$19:M19)&gt;=Inputs!$E$63,1,0)</f>
        <v/>
      </c>
      <c r="N19" s="39">
        <f>IF(COLUMNS($B$19:N19)&gt;=Inputs!$E$63,1,0)</f>
        <v/>
      </c>
      <c r="O19" s="39">
        <f>IF(COLUMNS($B$19:O19)&gt;=Inputs!$E$63,1,0)</f>
        <v/>
      </c>
      <c r="P19" s="39">
        <f>IF(COLUMNS($B$19:P19)&gt;=Inputs!$E$63,1,0)</f>
        <v/>
      </c>
      <c r="Q19" s="39">
        <f>IF(COLUMNS($B$19:Q19)&gt;=Inputs!$E$63,1,0)</f>
        <v/>
      </c>
      <c r="R19" s="39">
        <f>IF(COLUMNS($B$19:R19)&gt;=Inputs!$E$63,1,0)</f>
        <v/>
      </c>
      <c r="S19" s="39">
        <f>IF(COLUMNS($B$19:S19)&gt;=Inputs!$E$63,1,0)</f>
        <v/>
      </c>
      <c r="T19" s="39">
        <f>IF(COLUMNS($B$19:T19)&gt;=Inputs!$E$63,1,0)</f>
        <v/>
      </c>
      <c r="U19" s="39">
        <f>IF(COLUMNS($B$19:U19)&gt;=Inputs!$E$63,1,0)</f>
        <v/>
      </c>
      <c r="V19" s="39">
        <f>IF(COLUMNS($B$19:V19)&gt;=Inputs!$E$63,1,0)</f>
        <v/>
      </c>
      <c r="W19" s="39">
        <f>IF(COLUMNS($B$19:W19)&gt;=Inputs!$E$63,1,0)</f>
        <v/>
      </c>
      <c r="X19" s="39">
        <f>IF(COLUMNS($B$19:X19)&gt;=Inputs!$E$63,1,0)</f>
        <v/>
      </c>
      <c r="Y19" s="39">
        <f>IF(COLUMNS($B$19:Y19)&gt;=Inputs!$E$63,1,0)</f>
        <v/>
      </c>
      <c r="Z19" s="39">
        <f>IF(COLUMNS($B$19:Z19)&gt;=Inputs!$E$63,1,0)</f>
        <v/>
      </c>
      <c r="AA19" s="39">
        <f>IF(COLUMNS($B$19:AA19)&gt;=Inputs!$E$63,1,0)</f>
        <v/>
      </c>
      <c r="AB19" s="39">
        <f>IF(COLUMNS($B$19:AB19)&gt;=Inputs!$E$63,1,0)</f>
        <v/>
      </c>
      <c r="AC19" s="39">
        <f>IF(COLUMNS($B$19:AC19)&gt;=Inputs!$E$63,1,0)</f>
        <v/>
      </c>
      <c r="AD19" s="39">
        <f>IF(COLUMNS($B$19:AD19)&gt;=Inputs!$E$63,1,0)</f>
        <v/>
      </c>
      <c r="AE19" s="39">
        <f>IF(COLUMNS($B$19:AE19)&gt;=Inputs!$E$63,1,0)</f>
        <v/>
      </c>
      <c r="AF19" s="39">
        <f>IF(COLUMNS($B$19:AF19)&gt;=Inputs!$E$63,1,0)</f>
        <v/>
      </c>
      <c r="AG19" s="39">
        <f>IF(COLUMNS($B$19:AG19)&gt;=Inputs!$E$63,1,0)</f>
        <v/>
      </c>
      <c r="AH19" s="39">
        <f>IF(COLUMNS($B$19:AH19)&gt;=Inputs!$E$63,1,0)</f>
        <v/>
      </c>
      <c r="AI19" s="39">
        <f>IF(COLUMNS($B$19:AI19)&gt;=Inputs!$E$63,1,0)</f>
        <v/>
      </c>
      <c r="AJ19" s="39">
        <f>IF(COLUMNS($B$19:AJ19)&gt;=Inputs!$E$63,1,0)</f>
        <v/>
      </c>
      <c r="AK19" s="39">
        <f>IF(COLUMNS($B$19:AK19)&gt;=Inputs!$E$63,1,0)</f>
        <v/>
      </c>
      <c r="AL19" s="39">
        <f>IF(COLUMNS($B$19:AL19)&gt;=Inputs!$E$63,1,0)</f>
        <v/>
      </c>
      <c r="AM19" s="39">
        <f>IF(COLUMNS($B$19:AM19)&gt;=Inputs!$E$63,1,0)</f>
        <v/>
      </c>
      <c r="AN19" s="39">
        <f>IF(COLUMNS($B$19:AN19)&gt;=Inputs!$E$63,1,0)</f>
        <v/>
      </c>
      <c r="AO19" s="39">
        <f>IF(COLUMNS($B$19:AO19)&gt;=Inputs!$E$63,1,0)</f>
        <v/>
      </c>
      <c r="AP19" s="39">
        <f>IF(COLUMNS($B$19:AP19)&gt;=Inputs!$E$63,1,0)</f>
        <v/>
      </c>
      <c r="AQ19" s="39">
        <f>IF(COLUMNS($B$19:AQ19)&gt;=Inputs!$E$63,1,0)</f>
        <v/>
      </c>
      <c r="AR19" s="39">
        <f>IF(COLUMNS($B$19:AR19)&gt;=Inputs!$E$63,1,0)</f>
        <v/>
      </c>
      <c r="AS19" s="39">
        <f>IF(COLUMNS($B$19:AS19)&gt;=Inputs!$E$63,1,0)</f>
        <v/>
      </c>
      <c r="AT19" s="39">
        <f>IF(COLUMNS($B$19:AT19)&gt;=Inputs!$E$63,1,0)</f>
        <v/>
      </c>
      <c r="AU19" s="39">
        <f>IF(COLUMNS($B$19:AU19)&gt;=Inputs!$E$63,1,0)</f>
        <v/>
      </c>
      <c r="AV19" s="39">
        <f>IF(COLUMNS($B$19:AV19)&gt;=Inputs!$E$63,1,0)</f>
        <v/>
      </c>
      <c r="AW19" s="39">
        <f>IF(COLUMNS($B$19:AW19)&gt;=Inputs!$E$63,1,0)</f>
        <v/>
      </c>
      <c r="AX19" s="39">
        <f>IF(COLUMNS($B$19:AX19)&gt;=Inputs!$E$63,1,0)</f>
        <v/>
      </c>
      <c r="AY19" s="39">
        <f>IF(COLUMNS($B$19:AY19)&gt;=Inputs!$E$63,1,0)</f>
        <v/>
      </c>
      <c r="AZ19" s="39">
        <f>IF(COLUMNS($B$19:AZ19)&gt;=Inputs!$E$63,1,0)</f>
        <v/>
      </c>
      <c r="BA19" s="39">
        <f>IF(COLUMNS($B$19:BA19)&gt;=Inputs!$E$63,1,0)</f>
        <v/>
      </c>
    </row>
    <row r="20" ht="14.25" customHeight="1" s="165">
      <c r="A20" s="19" t="inlineStr">
        <is>
          <t>1. Customer Success</t>
        </is>
      </c>
      <c r="B20" s="39">
        <f>IF(COLUMNS($B$20:B20)&gt;=Inputs!$E$64,1,0)</f>
        <v/>
      </c>
      <c r="C20" s="39">
        <f>IF(COLUMNS($B$20:C20)&gt;=Inputs!$E$64,1,0)</f>
        <v/>
      </c>
      <c r="D20" s="39">
        <f>IF(COLUMNS($B$20:D20)&gt;=Inputs!$E$64,1,0)</f>
        <v/>
      </c>
      <c r="E20" s="39">
        <f>IF(COLUMNS($B$20:E20)&gt;=Inputs!$E$64,1,0)</f>
        <v/>
      </c>
      <c r="F20" s="39">
        <f>IF(COLUMNS($B$20:F20)&gt;=Inputs!$E$64,1,0)</f>
        <v/>
      </c>
      <c r="G20" s="39">
        <f>IF(COLUMNS($B$20:G20)&gt;=Inputs!$E$64,1,0)</f>
        <v/>
      </c>
      <c r="H20" s="39">
        <f>IF(COLUMNS($B$20:H20)&gt;=Inputs!$E$64,1,0)</f>
        <v/>
      </c>
      <c r="I20" s="39">
        <f>IF(COLUMNS($B$20:I20)&gt;=Inputs!$E$64,1,0)</f>
        <v/>
      </c>
      <c r="J20" s="39">
        <f>IF(COLUMNS($B$20:J20)&gt;=Inputs!$E$64,1,0)</f>
        <v/>
      </c>
      <c r="K20" s="39">
        <f>IF(COLUMNS($B$20:K20)&gt;=Inputs!$E$64,1,0)</f>
        <v/>
      </c>
      <c r="L20" s="39">
        <f>IF(COLUMNS($B$20:L20)&gt;=Inputs!$E$64,1,0)</f>
        <v/>
      </c>
      <c r="M20" s="39">
        <f>IF(COLUMNS($B$20:M20)&gt;=Inputs!$E$64,1,0)</f>
        <v/>
      </c>
      <c r="N20" s="39">
        <f>IF(COLUMNS($B$20:N20)&gt;=Inputs!$E$64,1,0)</f>
        <v/>
      </c>
      <c r="O20" s="39">
        <f>IF(COLUMNS($B$20:O20)&gt;=Inputs!$E$64,1,0)</f>
        <v/>
      </c>
      <c r="P20" s="39">
        <f>IF(COLUMNS($B$20:P20)&gt;=Inputs!$E$64,1,0)</f>
        <v/>
      </c>
      <c r="Q20" s="39">
        <f>IF(COLUMNS($B$20:Q20)&gt;=Inputs!$E$64,1,0)</f>
        <v/>
      </c>
      <c r="R20" s="39">
        <f>IF(COLUMNS($B$20:R20)&gt;=Inputs!$E$64,1,0)</f>
        <v/>
      </c>
      <c r="S20" s="39">
        <f>IF(COLUMNS($B$20:S20)&gt;=Inputs!$E$64,1,0)</f>
        <v/>
      </c>
      <c r="T20" s="39">
        <f>IF(COLUMNS($B$20:T20)&gt;=Inputs!$E$64,1,0)</f>
        <v/>
      </c>
      <c r="U20" s="39">
        <f>IF(COLUMNS($B$20:U20)&gt;=Inputs!$E$64,1,0)</f>
        <v/>
      </c>
      <c r="V20" s="39">
        <f>IF(COLUMNS($B$20:V20)&gt;=Inputs!$E$64,1,0)</f>
        <v/>
      </c>
      <c r="W20" s="39">
        <f>IF(COLUMNS($B$20:W20)&gt;=Inputs!$E$64,1,0)</f>
        <v/>
      </c>
      <c r="X20" s="39">
        <f>IF(COLUMNS($B$20:X20)&gt;=Inputs!$E$64,1,0)</f>
        <v/>
      </c>
      <c r="Y20" s="39">
        <f>IF(COLUMNS($B$20:Y20)&gt;=Inputs!$E$64,1,0)</f>
        <v/>
      </c>
      <c r="Z20" s="39">
        <f>IF(COLUMNS($B$20:Z20)&gt;=Inputs!$E$64,1,0)</f>
        <v/>
      </c>
      <c r="AA20" s="39">
        <f>IF(COLUMNS($B$20:AA20)&gt;=Inputs!$E$64,1,0)</f>
        <v/>
      </c>
      <c r="AB20" s="39">
        <f>IF(COLUMNS($B$20:AB20)&gt;=Inputs!$E$64,1,0)</f>
        <v/>
      </c>
      <c r="AC20" s="39">
        <f>IF(COLUMNS($B$20:AC20)&gt;=Inputs!$E$64,1,0)</f>
        <v/>
      </c>
      <c r="AD20" s="39">
        <f>IF(COLUMNS($B$20:AD20)&gt;=Inputs!$E$64,1,0)</f>
        <v/>
      </c>
      <c r="AE20" s="39">
        <f>IF(COLUMNS($B$20:AE20)&gt;=Inputs!$E$64,1,0)</f>
        <v/>
      </c>
      <c r="AF20" s="39">
        <f>IF(COLUMNS($B$20:AF20)&gt;=Inputs!$E$64,1,0)</f>
        <v/>
      </c>
      <c r="AG20" s="39">
        <f>IF(COLUMNS($B$20:AG20)&gt;=Inputs!$E$64,1,0)</f>
        <v/>
      </c>
      <c r="AH20" s="39">
        <f>IF(COLUMNS($B$20:AH20)&gt;=Inputs!$E$64,1,0)</f>
        <v/>
      </c>
      <c r="AI20" s="39">
        <f>IF(COLUMNS($B$20:AI20)&gt;=Inputs!$E$64,1,0)</f>
        <v/>
      </c>
      <c r="AJ20" s="39">
        <f>IF(COLUMNS($B$20:AJ20)&gt;=Inputs!$E$64,1,0)</f>
        <v/>
      </c>
      <c r="AK20" s="39">
        <f>IF(COLUMNS($B$20:AK20)&gt;=Inputs!$E$64,1,0)</f>
        <v/>
      </c>
      <c r="AL20" s="39">
        <f>IF(COLUMNS($B$20:AL20)&gt;=Inputs!$E$64,1,0)</f>
        <v/>
      </c>
      <c r="AM20" s="39">
        <f>IF(COLUMNS($B$20:AM20)&gt;=Inputs!$E$64,1,0)</f>
        <v/>
      </c>
      <c r="AN20" s="39">
        <f>IF(COLUMNS($B$20:AN20)&gt;=Inputs!$E$64,1,0)</f>
        <v/>
      </c>
      <c r="AO20" s="39">
        <f>IF(COLUMNS($B$20:AO20)&gt;=Inputs!$E$64,1,0)</f>
        <v/>
      </c>
      <c r="AP20" s="39">
        <f>IF(COLUMNS($B$20:AP20)&gt;=Inputs!$E$64,1,0)</f>
        <v/>
      </c>
      <c r="AQ20" s="39">
        <f>IF(COLUMNS($B$20:AQ20)&gt;=Inputs!$E$64,1,0)</f>
        <v/>
      </c>
      <c r="AR20" s="39">
        <f>IF(COLUMNS($B$20:AR20)&gt;=Inputs!$E$64,1,0)</f>
        <v/>
      </c>
      <c r="AS20" s="39">
        <f>IF(COLUMNS($B$20:AS20)&gt;=Inputs!$E$64,1,0)</f>
        <v/>
      </c>
      <c r="AT20" s="39">
        <f>IF(COLUMNS($B$20:AT20)&gt;=Inputs!$E$64,1,0)</f>
        <v/>
      </c>
      <c r="AU20" s="39">
        <f>IF(COLUMNS($B$20:AU20)&gt;=Inputs!$E$64,1,0)</f>
        <v/>
      </c>
      <c r="AV20" s="39">
        <f>IF(COLUMNS($B$20:AV20)&gt;=Inputs!$E$64,1,0)</f>
        <v/>
      </c>
      <c r="AW20" s="39">
        <f>IF(COLUMNS($B$20:AW20)&gt;=Inputs!$E$64,1,0)</f>
        <v/>
      </c>
      <c r="AX20" s="39">
        <f>IF(COLUMNS($B$20:AX20)&gt;=Inputs!$E$64,1,0)</f>
        <v/>
      </c>
      <c r="AY20" s="39">
        <f>IF(COLUMNS($B$20:AY20)&gt;=Inputs!$E$64,1,0)</f>
        <v/>
      </c>
      <c r="AZ20" s="39">
        <f>IF(COLUMNS($B$20:AZ20)&gt;=Inputs!$E$64,1,0)</f>
        <v/>
      </c>
      <c r="BA20" s="39">
        <f>IF(COLUMNS($B$20:BA20)&gt;=Inputs!$E$64,1,0)</f>
        <v/>
      </c>
    </row>
    <row r="21" ht="14.25" customHeight="1" s="165">
      <c r="A21" s="19" t="inlineStr">
        <is>
          <t>1. Finance Manager</t>
        </is>
      </c>
      <c r="B21" s="39">
        <f>IF(COLUMNS($B$21:B21)&gt;=Inputs!$E$65,1,0)</f>
        <v/>
      </c>
      <c r="C21" s="39">
        <f>IF(COLUMNS($B$21:C21)&gt;=Inputs!$E$65,1,0)</f>
        <v/>
      </c>
      <c r="D21" s="39">
        <f>IF(COLUMNS($B$21:D21)&gt;=Inputs!$E$65,1,0)</f>
        <v/>
      </c>
      <c r="E21" s="39">
        <f>IF(COLUMNS($B$21:E21)&gt;=Inputs!$E$65,1,0)</f>
        <v/>
      </c>
      <c r="F21" s="39">
        <f>IF(COLUMNS($B$21:F21)&gt;=Inputs!$E$65,1,0)</f>
        <v/>
      </c>
      <c r="G21" s="39">
        <f>IF(COLUMNS($B$21:G21)&gt;=Inputs!$E$65,1,0)</f>
        <v/>
      </c>
      <c r="H21" s="39">
        <f>IF(COLUMNS($B$21:H21)&gt;=Inputs!$E$65,1,0)</f>
        <v/>
      </c>
      <c r="I21" s="39">
        <f>IF(COLUMNS($B$21:I21)&gt;=Inputs!$E$65,1,0)</f>
        <v/>
      </c>
      <c r="J21" s="39">
        <f>IF(COLUMNS($B$21:J21)&gt;=Inputs!$E$65,1,0)</f>
        <v/>
      </c>
      <c r="K21" s="39">
        <f>IF(COLUMNS($B$21:K21)&gt;=Inputs!$E$65,1,0)</f>
        <v/>
      </c>
      <c r="L21" s="39">
        <f>IF(COLUMNS($B$21:L21)&gt;=Inputs!$E$65,1,0)</f>
        <v/>
      </c>
      <c r="M21" s="39">
        <f>IF(COLUMNS($B$21:M21)&gt;=Inputs!$E$65,1,0)</f>
        <v/>
      </c>
      <c r="N21" s="39">
        <f>IF(COLUMNS($B$21:N21)&gt;=Inputs!$E$65,1,0)</f>
        <v/>
      </c>
      <c r="O21" s="39">
        <f>IF(COLUMNS($B$21:O21)&gt;=Inputs!$E$65,1,0)</f>
        <v/>
      </c>
      <c r="P21" s="39">
        <f>IF(COLUMNS($B$21:P21)&gt;=Inputs!$E$65,1,0)</f>
        <v/>
      </c>
      <c r="Q21" s="39">
        <f>IF(COLUMNS($B$21:Q21)&gt;=Inputs!$E$65,1,0)</f>
        <v/>
      </c>
      <c r="R21" s="39">
        <f>IF(COLUMNS($B$21:R21)&gt;=Inputs!$E$65,1,0)</f>
        <v/>
      </c>
      <c r="S21" s="39">
        <f>IF(COLUMNS($B$21:S21)&gt;=Inputs!$E$65,1,0)</f>
        <v/>
      </c>
      <c r="T21" s="39">
        <f>IF(COLUMNS($B$21:T21)&gt;=Inputs!$E$65,1,0)</f>
        <v/>
      </c>
      <c r="U21" s="39">
        <f>IF(COLUMNS($B$21:U21)&gt;=Inputs!$E$65,1,0)</f>
        <v/>
      </c>
      <c r="V21" s="39">
        <f>IF(COLUMNS($B$21:V21)&gt;=Inputs!$E$65,1,0)</f>
        <v/>
      </c>
      <c r="W21" s="39">
        <f>IF(COLUMNS($B$21:W21)&gt;=Inputs!$E$65,1,0)</f>
        <v/>
      </c>
      <c r="X21" s="39">
        <f>IF(COLUMNS($B$21:X21)&gt;=Inputs!$E$65,1,0)</f>
        <v/>
      </c>
      <c r="Y21" s="39">
        <f>IF(COLUMNS($B$21:Y21)&gt;=Inputs!$E$65,1,0)</f>
        <v/>
      </c>
      <c r="Z21" s="39">
        <f>IF(COLUMNS($B$21:Z21)&gt;=Inputs!$E$65,1,0)</f>
        <v/>
      </c>
      <c r="AA21" s="39">
        <f>IF(COLUMNS($B$21:AA21)&gt;=Inputs!$E$65,1,0)</f>
        <v/>
      </c>
      <c r="AB21" s="39">
        <f>IF(COLUMNS($B$21:AB21)&gt;=Inputs!$E$65,1,0)</f>
        <v/>
      </c>
      <c r="AC21" s="39">
        <f>IF(COLUMNS($B$21:AC21)&gt;=Inputs!$E$65,1,0)</f>
        <v/>
      </c>
      <c r="AD21" s="39">
        <f>IF(COLUMNS($B$21:AD21)&gt;=Inputs!$E$65,1,0)</f>
        <v/>
      </c>
      <c r="AE21" s="39">
        <f>IF(COLUMNS($B$21:AE21)&gt;=Inputs!$E$65,1,0)</f>
        <v/>
      </c>
      <c r="AF21" s="39">
        <f>IF(COLUMNS($B$21:AF21)&gt;=Inputs!$E$65,1,0)</f>
        <v/>
      </c>
      <c r="AG21" s="39">
        <f>IF(COLUMNS($B$21:AG21)&gt;=Inputs!$E$65,1,0)</f>
        <v/>
      </c>
      <c r="AH21" s="39">
        <f>IF(COLUMNS($B$21:AH21)&gt;=Inputs!$E$65,1,0)</f>
        <v/>
      </c>
      <c r="AI21" s="39">
        <f>IF(COLUMNS($B$21:AI21)&gt;=Inputs!$E$65,1,0)</f>
        <v/>
      </c>
      <c r="AJ21" s="39">
        <f>IF(COLUMNS($B$21:AJ21)&gt;=Inputs!$E$65,1,0)</f>
        <v/>
      </c>
      <c r="AK21" s="39">
        <f>IF(COLUMNS($B$21:AK21)&gt;=Inputs!$E$65,1,0)</f>
        <v/>
      </c>
      <c r="AL21" s="39">
        <f>IF(COLUMNS($B$21:AL21)&gt;=Inputs!$E$65,1,0)</f>
        <v/>
      </c>
      <c r="AM21" s="39">
        <f>IF(COLUMNS($B$21:AM21)&gt;=Inputs!$E$65,1,0)</f>
        <v/>
      </c>
      <c r="AN21" s="39">
        <f>IF(COLUMNS($B$21:AN21)&gt;=Inputs!$E$65,1,0)</f>
        <v/>
      </c>
      <c r="AO21" s="39">
        <f>IF(COLUMNS($B$21:AO21)&gt;=Inputs!$E$65,1,0)</f>
        <v/>
      </c>
      <c r="AP21" s="39">
        <f>IF(COLUMNS($B$21:AP21)&gt;=Inputs!$E$65,1,0)</f>
        <v/>
      </c>
      <c r="AQ21" s="39">
        <f>IF(COLUMNS($B$21:AQ21)&gt;=Inputs!$E$65,1,0)</f>
        <v/>
      </c>
      <c r="AR21" s="39">
        <f>IF(COLUMNS($B$21:AR21)&gt;=Inputs!$E$65,1,0)</f>
        <v/>
      </c>
      <c r="AS21" s="39">
        <f>IF(COLUMNS($B$21:AS21)&gt;=Inputs!$E$65,1,0)</f>
        <v/>
      </c>
      <c r="AT21" s="39">
        <f>IF(COLUMNS($B$21:AT21)&gt;=Inputs!$E$65,1,0)</f>
        <v/>
      </c>
      <c r="AU21" s="39">
        <f>IF(COLUMNS($B$21:AU21)&gt;=Inputs!$E$65,1,0)</f>
        <v/>
      </c>
      <c r="AV21" s="39">
        <f>IF(COLUMNS($B$21:AV21)&gt;=Inputs!$E$65,1,0)</f>
        <v/>
      </c>
      <c r="AW21" s="39">
        <f>IF(COLUMNS($B$21:AW21)&gt;=Inputs!$E$65,1,0)</f>
        <v/>
      </c>
      <c r="AX21" s="39">
        <f>IF(COLUMNS($B$21:AX21)&gt;=Inputs!$E$65,1,0)</f>
        <v/>
      </c>
      <c r="AY21" s="39">
        <f>IF(COLUMNS($B$21:AY21)&gt;=Inputs!$E$65,1,0)</f>
        <v/>
      </c>
      <c r="AZ21" s="39">
        <f>IF(COLUMNS($B$21:AZ21)&gt;=Inputs!$E$65,1,0)</f>
        <v/>
      </c>
      <c r="BA21" s="39">
        <f>IF(COLUMNS($B$21:BA21)&gt;=Inputs!$E$65,1,0)</f>
        <v/>
      </c>
    </row>
    <row r="22" ht="14.25" customHeight="1" s="165">
      <c r="A22" s="2" t="inlineStr">
        <is>
          <t>TOTAL HEADCOUNT</t>
        </is>
      </c>
      <c r="B22" s="40">
        <f>SUM(B6:B21)</f>
        <v/>
      </c>
      <c r="C22" s="40">
        <f>SUM(C6:C21)</f>
        <v/>
      </c>
      <c r="D22" s="40">
        <f>SUM(D6:D21)</f>
        <v/>
      </c>
      <c r="E22" s="40">
        <f>SUM(E6:E21)</f>
        <v/>
      </c>
      <c r="F22" s="40">
        <f>SUM(F6:F21)</f>
        <v/>
      </c>
      <c r="G22" s="40">
        <f>SUM(G6:G21)</f>
        <v/>
      </c>
      <c r="H22" s="40">
        <f>SUM(H6:H21)</f>
        <v/>
      </c>
      <c r="I22" s="40">
        <f>SUM(I6:I21)</f>
        <v/>
      </c>
      <c r="J22" s="40">
        <f>SUM(J6:J21)</f>
        <v/>
      </c>
      <c r="K22" s="40">
        <f>SUM(K6:K21)</f>
        <v/>
      </c>
      <c r="L22" s="40">
        <f>SUM(L6:L21)</f>
        <v/>
      </c>
      <c r="M22" s="40">
        <f>SUM(M6:M21)</f>
        <v/>
      </c>
      <c r="N22" s="40">
        <f>SUM(N6:N21)</f>
        <v/>
      </c>
      <c r="O22" s="40">
        <f>SUM(O6:O21)</f>
        <v/>
      </c>
      <c r="P22" s="40">
        <f>SUM(P6:P21)</f>
        <v/>
      </c>
      <c r="Q22" s="40">
        <f>SUM(Q6:Q21)</f>
        <v/>
      </c>
      <c r="R22" s="40">
        <f>SUM(R6:R21)</f>
        <v/>
      </c>
      <c r="S22" s="40">
        <f>SUM(S6:S21)</f>
        <v/>
      </c>
      <c r="T22" s="40">
        <f>SUM(T6:T21)</f>
        <v/>
      </c>
      <c r="U22" s="40">
        <f>SUM(U6:U21)</f>
        <v/>
      </c>
      <c r="V22" s="40">
        <f>SUM(V6:V21)</f>
        <v/>
      </c>
      <c r="W22" s="40">
        <f>SUM(W6:W21)</f>
        <v/>
      </c>
      <c r="X22" s="40">
        <f>SUM(X6:X21)</f>
        <v/>
      </c>
      <c r="Y22" s="40">
        <f>SUM(Y6:Y21)</f>
        <v/>
      </c>
      <c r="Z22" s="40">
        <f>SUM(Z6:Z21)</f>
        <v/>
      </c>
      <c r="AA22" s="40">
        <f>SUM(AA6:AA21)</f>
        <v/>
      </c>
      <c r="AB22" s="40">
        <f>SUM(AB6:AB21)</f>
        <v/>
      </c>
      <c r="AC22" s="40">
        <f>SUM(AC6:AC21)</f>
        <v/>
      </c>
      <c r="AD22" s="40">
        <f>SUM(AD6:AD21)</f>
        <v/>
      </c>
      <c r="AE22" s="40">
        <f>SUM(AE6:AE21)</f>
        <v/>
      </c>
      <c r="AF22" s="40">
        <f>SUM(AF6:AF21)</f>
        <v/>
      </c>
      <c r="AG22" s="40">
        <f>SUM(AG6:AG21)</f>
        <v/>
      </c>
      <c r="AH22" s="40">
        <f>SUM(AH6:AH21)</f>
        <v/>
      </c>
      <c r="AI22" s="40">
        <f>SUM(AI6:AI21)</f>
        <v/>
      </c>
      <c r="AJ22" s="40">
        <f>SUM(AJ6:AJ21)</f>
        <v/>
      </c>
      <c r="AK22" s="40">
        <f>SUM(AK6:AK21)</f>
        <v/>
      </c>
      <c r="AL22" s="40">
        <f>SUM(AL6:AL21)</f>
        <v/>
      </c>
      <c r="AM22" s="40">
        <f>SUM(AM6:AM21)</f>
        <v/>
      </c>
      <c r="AN22" s="40">
        <f>SUM(AN6:AN21)</f>
        <v/>
      </c>
      <c r="AO22" s="40">
        <f>SUM(AO6:AO21)</f>
        <v/>
      </c>
      <c r="AP22" s="40">
        <f>SUM(AP6:AP21)</f>
        <v/>
      </c>
      <c r="AQ22" s="40">
        <f>SUM(AQ6:AQ21)</f>
        <v/>
      </c>
      <c r="AR22" s="40">
        <f>SUM(AR6:AR21)</f>
        <v/>
      </c>
      <c r="AS22" s="40">
        <f>SUM(AS6:AS21)</f>
        <v/>
      </c>
      <c r="AT22" s="40">
        <f>SUM(AT6:AT21)</f>
        <v/>
      </c>
      <c r="AU22" s="40">
        <f>SUM(AU6:AU21)</f>
        <v/>
      </c>
      <c r="AV22" s="40">
        <f>SUM(AV6:AV21)</f>
        <v/>
      </c>
      <c r="AW22" s="40">
        <f>SUM(AW6:AW21)</f>
        <v/>
      </c>
      <c r="AX22" s="40">
        <f>SUM(AX6:AX21)</f>
        <v/>
      </c>
      <c r="AY22" s="40">
        <f>SUM(AY6:AY21)</f>
        <v/>
      </c>
      <c r="AZ22" s="40">
        <f>SUM(AZ6:AZ21)</f>
        <v/>
      </c>
      <c r="BA22" s="40">
        <f>SUM(BA6:BA21)</f>
        <v/>
      </c>
    </row>
    <row r="23" ht="14.25" customHeight="1" s="165"/>
    <row r="24" ht="14.25" customHeight="1" s="165">
      <c r="A24" s="2" t="inlineStr">
        <is>
          <t>GEHÄLTER &amp; PERSONALKOSTEN</t>
        </is>
      </c>
    </row>
    <row r="25" ht="14.25" customHeight="1" s="165">
      <c r="A25" s="3" t="inlineStr">
        <is>
          <t>CEO Gehalt</t>
        </is>
      </c>
      <c r="B25" s="41">
        <f>B6/3 * (Inputs!$B$32 / 12) * (1 + Inputs!$B$47)^INT((COLUMNS($B$25:B25)-1) / 12)</f>
        <v/>
      </c>
      <c r="C25" s="41">
        <f>C6/3 * (Inputs!$B$32 / 12) * (1 + Inputs!$B$47)^INT((COLUMNS($B$25:C25)-1) / 12)</f>
        <v/>
      </c>
      <c r="D25" s="41">
        <f>D6/3 * (Inputs!$B$32 / 12) * (1 + Inputs!$B$47)^INT((COLUMNS($B$25:D25)-1) / 12)</f>
        <v/>
      </c>
      <c r="E25" s="41">
        <f>E6/3 * (Inputs!$B$32 / 12) * (1 + Inputs!$B$47)^INT((COLUMNS($B$25:E25)-1) / 12)</f>
        <v/>
      </c>
      <c r="F25" s="41">
        <f>F6/3 * (Inputs!$B$32 / 12) * (1 + Inputs!$B$47)^INT((COLUMNS($B$25:F25)-1) / 12)</f>
        <v/>
      </c>
      <c r="G25" s="41">
        <f>G6/3 * (Inputs!$B$32 / 12) * (1 + Inputs!$B$47)^INT((COLUMNS($B$25:G25)-1) / 12)</f>
        <v/>
      </c>
      <c r="H25" s="41">
        <f>H6/3 * (Inputs!$B$32 / 12) * (1 + Inputs!$B$47)^INT((COLUMNS($B$25:H25)-1) / 12)</f>
        <v/>
      </c>
      <c r="I25" s="41">
        <f>I6/3 * (Inputs!$B$32 / 12) * (1 + Inputs!$B$47)^INT((COLUMNS($B$25:I25)-1) / 12)</f>
        <v/>
      </c>
      <c r="J25" s="41">
        <f>J6/3 * (Inputs!$B$32 / 12) * (1 + Inputs!$B$47)^INT((COLUMNS($B$25:J25)-1) / 12)</f>
        <v/>
      </c>
      <c r="K25" s="41">
        <f>K6/3 * (Inputs!$B$32 / 12) * (1 + Inputs!$B$47)^INT((COLUMNS($B$25:K25)-1) / 12)</f>
        <v/>
      </c>
      <c r="L25" s="41">
        <f>L6/3 * (Inputs!$B$32 / 12) * (1 + Inputs!$B$47)^INT((COLUMNS($B$25:L25)-1) / 12)</f>
        <v/>
      </c>
      <c r="M25" s="41">
        <f>M6/3 * (Inputs!$B$32 / 12) * (1 + Inputs!$B$47)^INT((COLUMNS($B$25:M25)-1) / 12)</f>
        <v/>
      </c>
      <c r="N25" s="41">
        <f>N6/3 * (Inputs!$B$32 / 12) * (1 + Inputs!$B$47)^INT((COLUMNS($B$25:N25)-1) / 12)</f>
        <v/>
      </c>
      <c r="O25" s="41">
        <f>O6/3 * (Inputs!$B$32 / 12) * (1 + Inputs!$B$47)^INT((COLUMNS($B$25:O25)-1) / 12)</f>
        <v/>
      </c>
      <c r="P25" s="41">
        <f>P6/3 * (Inputs!$B$32 / 12) * (1 + Inputs!$B$47)^INT((COLUMNS($B$25:P25)-1) / 12)</f>
        <v/>
      </c>
      <c r="Q25" s="41">
        <f>Q6/3 * (Inputs!$B$32 / 12) * (1 + Inputs!$B$47)^INT((COLUMNS($B$25:Q25)-1) / 12)</f>
        <v/>
      </c>
      <c r="R25" s="41">
        <f>R6/3 * (Inputs!$B$32 / 12) * (1 + Inputs!$B$47)^INT((COLUMNS($B$25:R25)-1) / 12)</f>
        <v/>
      </c>
      <c r="S25" s="41">
        <f>S6/3 * (Inputs!$B$32 / 12) * (1 + Inputs!$B$47)^INT((COLUMNS($B$25:S25)-1) / 12)</f>
        <v/>
      </c>
      <c r="T25" s="41">
        <f>T6/3 * (Inputs!$B$32 / 12) * (1 + Inputs!$B$47)^INT((COLUMNS($B$25:T25)-1) / 12)</f>
        <v/>
      </c>
      <c r="U25" s="41">
        <f>U6/3 * (Inputs!$B$32 / 12) * (1 + Inputs!$B$47)^INT((COLUMNS($B$25:U25)-1) / 12)</f>
        <v/>
      </c>
      <c r="V25" s="41">
        <f>V6/3 * (Inputs!$B$32 / 12) * (1 + Inputs!$B$47)^INT((COLUMNS($B$25:V25)-1) / 12)</f>
        <v/>
      </c>
      <c r="W25" s="41">
        <f>W6/3 * (Inputs!$B$32 / 12) * (1 + Inputs!$B$47)^INT((COLUMNS($B$25:W25)-1) / 12)</f>
        <v/>
      </c>
      <c r="X25" s="41">
        <f>X6/3 * (Inputs!$B$32 / 12) * (1 + Inputs!$B$47)^INT((COLUMNS($B$25:X25)-1) / 12)</f>
        <v/>
      </c>
      <c r="Y25" s="41">
        <f>Y6/3 * (Inputs!$B$32 / 12) * (1 + Inputs!$B$47)^INT((COLUMNS($B$25:Y25)-1) / 12)</f>
        <v/>
      </c>
      <c r="Z25" s="41">
        <f>Z6/3 * (Inputs!$B$32 / 12) * (1 + Inputs!$B$47)^INT((COLUMNS($B$25:Z25)-1) / 12)</f>
        <v/>
      </c>
      <c r="AA25" s="41">
        <f>AA6/3 * (Inputs!$B$32 / 12) * (1 + Inputs!$B$47)^INT((COLUMNS($B$25:AA25)-1) / 12)</f>
        <v/>
      </c>
      <c r="AB25" s="41">
        <f>AB6/3 * (Inputs!$B$32 / 12) * (1 + Inputs!$B$47)^INT((COLUMNS($B$25:AB25)-1) / 12)</f>
        <v/>
      </c>
      <c r="AC25" s="41">
        <f>AC6/3 * (Inputs!$B$32 / 12) * (1 + Inputs!$B$47)^INT((COLUMNS($B$25:AC25)-1) / 12)</f>
        <v/>
      </c>
      <c r="AD25" s="41">
        <f>AD6/3 * (Inputs!$B$32 / 12) * (1 + Inputs!$B$47)^INT((COLUMNS($B$25:AD25)-1) / 12)</f>
        <v/>
      </c>
      <c r="AE25" s="41">
        <f>AE6/3 * (Inputs!$B$32 / 12) * (1 + Inputs!$B$47)^INT((COLUMNS($B$25:AE25)-1) / 12)</f>
        <v/>
      </c>
      <c r="AF25" s="41">
        <f>AF6/3 * (Inputs!$B$32 / 12) * (1 + Inputs!$B$47)^INT((COLUMNS($B$25:AF25)-1) / 12)</f>
        <v/>
      </c>
      <c r="AG25" s="41">
        <f>AG6/3 * (Inputs!$B$32 / 12) * (1 + Inputs!$B$47)^INT((COLUMNS($B$25:AG25)-1) / 12)</f>
        <v/>
      </c>
      <c r="AH25" s="41">
        <f>AH6/3 * (Inputs!$B$32 / 12) * (1 + Inputs!$B$47)^INT((COLUMNS($B$25:AH25)-1) / 12)</f>
        <v/>
      </c>
      <c r="AI25" s="41">
        <f>AI6/3 * (Inputs!$B$32 / 12) * (1 + Inputs!$B$47)^INT((COLUMNS($B$25:AI25)-1) / 12)</f>
        <v/>
      </c>
      <c r="AJ25" s="41">
        <f>AJ6/3 * (Inputs!$B$32 / 12) * (1 + Inputs!$B$47)^INT((COLUMNS($B$25:AJ25)-1) / 12)</f>
        <v/>
      </c>
      <c r="AK25" s="41">
        <f>AK6/3 * (Inputs!$B$32 / 12) * (1 + Inputs!$B$47)^INT((COLUMNS($B$25:AK25)-1) / 12)</f>
        <v/>
      </c>
      <c r="AL25" s="41">
        <f>AL6/3 * (Inputs!$B$32 / 12) * (1 + Inputs!$B$47)^INT((COLUMNS($B$25:AL25)-1) / 12)</f>
        <v/>
      </c>
      <c r="AM25" s="41">
        <f>AM6/3 * (Inputs!$B$32 / 12) * (1 + Inputs!$B$47)^INT((COLUMNS($B$25:AM25)-1) / 12)</f>
        <v/>
      </c>
      <c r="AN25" s="41">
        <f>AN6/3 * (Inputs!$B$32 / 12) * (1 + Inputs!$B$47)^INT((COLUMNS($B$25:AN25)-1) / 12)</f>
        <v/>
      </c>
      <c r="AO25" s="41">
        <f>AO6/3 * (Inputs!$B$32 / 12) * (1 + Inputs!$B$47)^INT((COLUMNS($B$25:AO25)-1) / 12)</f>
        <v/>
      </c>
      <c r="AP25" s="41">
        <f>AP6/3 * (Inputs!$B$32 / 12) * (1 + Inputs!$B$47)^INT((COLUMNS($B$25:AP25)-1) / 12)</f>
        <v/>
      </c>
      <c r="AQ25" s="41">
        <f>AQ6/3 * (Inputs!$B$32 / 12) * (1 + Inputs!$B$47)^INT((COLUMNS($B$25:AQ25)-1) / 12)</f>
        <v/>
      </c>
      <c r="AR25" s="41">
        <f>AR6/3 * (Inputs!$B$32 / 12) * (1 + Inputs!$B$47)^INT((COLUMNS($B$25:AR25)-1) / 12)</f>
        <v/>
      </c>
      <c r="AS25" s="41">
        <f>AS6/3 * (Inputs!$B$32 / 12) * (1 + Inputs!$B$47)^INT((COLUMNS($B$25:AS25)-1) / 12)</f>
        <v/>
      </c>
      <c r="AT25" s="41">
        <f>AT6/3 * (Inputs!$B$32 / 12) * (1 + Inputs!$B$47)^INT((COLUMNS($B$25:AT25)-1) / 12)</f>
        <v/>
      </c>
      <c r="AU25" s="41">
        <f>AU6/3 * (Inputs!$B$32 / 12) * (1 + Inputs!$B$47)^INT((COLUMNS($B$25:AU25)-1) / 12)</f>
        <v/>
      </c>
      <c r="AV25" s="41">
        <f>AV6/3 * (Inputs!$B$32 / 12) * (1 + Inputs!$B$47)^INT((COLUMNS($B$25:AV25)-1) / 12)</f>
        <v/>
      </c>
      <c r="AW25" s="41">
        <f>AW6/3 * (Inputs!$B$32 / 12) * (1 + Inputs!$B$47)^INT((COLUMNS($B$25:AW25)-1) / 12)</f>
        <v/>
      </c>
      <c r="AX25" s="41">
        <f>AX6/3 * (Inputs!$B$32 / 12) * (1 + Inputs!$B$47)^INT((COLUMNS($B$25:AX25)-1) / 12)</f>
        <v/>
      </c>
      <c r="AY25" s="41">
        <f>AY6/3 * (Inputs!$B$32 / 12) * (1 + Inputs!$B$47)^INT((COLUMNS($B$25:AY25)-1) / 12)</f>
        <v/>
      </c>
      <c r="AZ25" s="41">
        <f>AZ6/3 * (Inputs!$B$32 / 12) * (1 + Inputs!$B$47)^INT((COLUMNS($B$25:AZ25)-1) / 12)</f>
        <v/>
      </c>
      <c r="BA25" s="41">
        <f>BA6/3 * (Inputs!$B$32 / 12) * (1 + Inputs!$B$47)^INT((COLUMNS($B$25:BA25)-1) / 12)</f>
        <v/>
      </c>
    </row>
    <row r="26" ht="14.25" customHeight="1" s="165">
      <c r="A26" s="3" t="inlineStr">
        <is>
          <t>CTO Gehalt</t>
        </is>
      </c>
      <c r="B26" s="41">
        <f>B6/3 * (Inputs!$B$33 / 12) * (1 + Inputs!$B$47)^INT((COLUMNS($B$26:B26)-1) / 12)</f>
        <v/>
      </c>
      <c r="C26" s="41">
        <f>C6/3 * (Inputs!$B$33 / 12) * (1 + Inputs!$B$47)^INT((COLUMNS($B$26:C26)-1) / 12)</f>
        <v/>
      </c>
      <c r="D26" s="41">
        <f>D6/3 * (Inputs!$B$33 / 12) * (1 + Inputs!$B$47)^INT((COLUMNS($B$26:D26)-1) / 12)</f>
        <v/>
      </c>
      <c r="E26" s="41">
        <f>E6/3 * (Inputs!$B$33 / 12) * (1 + Inputs!$B$47)^INT((COLUMNS($B$26:E26)-1) / 12)</f>
        <v/>
      </c>
      <c r="F26" s="41">
        <f>F6/3 * (Inputs!$B$33 / 12) * (1 + Inputs!$B$47)^INT((COLUMNS($B$26:F26)-1) / 12)</f>
        <v/>
      </c>
      <c r="G26" s="41">
        <f>G6/3 * (Inputs!$B$33 / 12) * (1 + Inputs!$B$47)^INT((COLUMNS($B$26:G26)-1) / 12)</f>
        <v/>
      </c>
      <c r="H26" s="41">
        <f>H6/3 * (Inputs!$B$33 / 12) * (1 + Inputs!$B$47)^INT((COLUMNS($B$26:H26)-1) / 12)</f>
        <v/>
      </c>
      <c r="I26" s="41">
        <f>I6/3 * (Inputs!$B$33 / 12) * (1 + Inputs!$B$47)^INT((COLUMNS($B$26:I26)-1) / 12)</f>
        <v/>
      </c>
      <c r="J26" s="41">
        <f>J6/3 * (Inputs!$B$33 / 12) * (1 + Inputs!$B$47)^INT((COLUMNS($B$26:J26)-1) / 12)</f>
        <v/>
      </c>
      <c r="K26" s="41">
        <f>K6/3 * (Inputs!$B$33 / 12) * (1 + Inputs!$B$47)^INT((COLUMNS($B$26:K26)-1) / 12)</f>
        <v/>
      </c>
      <c r="L26" s="41">
        <f>L6/3 * (Inputs!$B$33 / 12) * (1 + Inputs!$B$47)^INT((COLUMNS($B$26:L26)-1) / 12)</f>
        <v/>
      </c>
      <c r="M26" s="41">
        <f>M6/3 * (Inputs!$B$33 / 12) * (1 + Inputs!$B$47)^INT((COLUMNS($B$26:M26)-1) / 12)</f>
        <v/>
      </c>
      <c r="N26" s="41">
        <f>N6/3 * (Inputs!$B$33 / 12) * (1 + Inputs!$B$47)^INT((COLUMNS($B$26:N26)-1) / 12)</f>
        <v/>
      </c>
      <c r="O26" s="41">
        <f>O6/3 * (Inputs!$B$33 / 12) * (1 + Inputs!$B$47)^INT((COLUMNS($B$26:O26)-1) / 12)</f>
        <v/>
      </c>
      <c r="P26" s="41">
        <f>P6/3 * (Inputs!$B$33 / 12) * (1 + Inputs!$B$47)^INT((COLUMNS($B$26:P26)-1) / 12)</f>
        <v/>
      </c>
      <c r="Q26" s="41">
        <f>Q6/3 * (Inputs!$B$33 / 12) * (1 + Inputs!$B$47)^INT((COLUMNS($B$26:Q26)-1) / 12)</f>
        <v/>
      </c>
      <c r="R26" s="41">
        <f>R6/3 * (Inputs!$B$33 / 12) * (1 + Inputs!$B$47)^INT((COLUMNS($B$26:R26)-1) / 12)</f>
        <v/>
      </c>
      <c r="S26" s="41">
        <f>S6/3 * (Inputs!$B$33 / 12) * (1 + Inputs!$B$47)^INT((COLUMNS($B$26:S26)-1) / 12)</f>
        <v/>
      </c>
      <c r="T26" s="41">
        <f>T6/3 * (Inputs!$B$33 / 12) * (1 + Inputs!$B$47)^INT((COLUMNS($B$26:T26)-1) / 12)</f>
        <v/>
      </c>
      <c r="U26" s="41">
        <f>U6/3 * (Inputs!$B$33 / 12) * (1 + Inputs!$B$47)^INT((COLUMNS($B$26:U26)-1) / 12)</f>
        <v/>
      </c>
      <c r="V26" s="41">
        <f>V6/3 * (Inputs!$B$33 / 12) * (1 + Inputs!$B$47)^INT((COLUMNS($B$26:V26)-1) / 12)</f>
        <v/>
      </c>
      <c r="W26" s="41">
        <f>W6/3 * (Inputs!$B$33 / 12) * (1 + Inputs!$B$47)^INT((COLUMNS($B$26:W26)-1) / 12)</f>
        <v/>
      </c>
      <c r="X26" s="41">
        <f>X6/3 * (Inputs!$B$33 / 12) * (1 + Inputs!$B$47)^INT((COLUMNS($B$26:X26)-1) / 12)</f>
        <v/>
      </c>
      <c r="Y26" s="41">
        <f>Y6/3 * (Inputs!$B$33 / 12) * (1 + Inputs!$B$47)^INT((COLUMNS($B$26:Y26)-1) / 12)</f>
        <v/>
      </c>
      <c r="Z26" s="41">
        <f>Z6/3 * (Inputs!$B$33 / 12) * (1 + Inputs!$B$47)^INT((COLUMNS($B$26:Z26)-1) / 12)</f>
        <v/>
      </c>
      <c r="AA26" s="41">
        <f>AA6/3 * (Inputs!$B$33 / 12) * (1 + Inputs!$B$47)^INT((COLUMNS($B$26:AA26)-1) / 12)</f>
        <v/>
      </c>
      <c r="AB26" s="41">
        <f>AB6/3 * (Inputs!$B$33 / 12) * (1 + Inputs!$B$47)^INT((COLUMNS($B$26:AB26)-1) / 12)</f>
        <v/>
      </c>
      <c r="AC26" s="41">
        <f>AC6/3 * (Inputs!$B$33 / 12) * (1 + Inputs!$B$47)^INT((COLUMNS($B$26:AC26)-1) / 12)</f>
        <v/>
      </c>
      <c r="AD26" s="41">
        <f>AD6/3 * (Inputs!$B$33 / 12) * (1 + Inputs!$B$47)^INT((COLUMNS($B$26:AD26)-1) / 12)</f>
        <v/>
      </c>
      <c r="AE26" s="41">
        <f>AE6/3 * (Inputs!$B$33 / 12) * (1 + Inputs!$B$47)^INT((COLUMNS($B$26:AE26)-1) / 12)</f>
        <v/>
      </c>
      <c r="AF26" s="41">
        <f>AF6/3 * (Inputs!$B$33 / 12) * (1 + Inputs!$B$47)^INT((COLUMNS($B$26:AF26)-1) / 12)</f>
        <v/>
      </c>
      <c r="AG26" s="41">
        <f>AG6/3 * (Inputs!$B$33 / 12) * (1 + Inputs!$B$47)^INT((COLUMNS($B$26:AG26)-1) / 12)</f>
        <v/>
      </c>
      <c r="AH26" s="41">
        <f>AH6/3 * (Inputs!$B$33 / 12) * (1 + Inputs!$B$47)^INT((COLUMNS($B$26:AH26)-1) / 12)</f>
        <v/>
      </c>
      <c r="AI26" s="41">
        <f>AI6/3 * (Inputs!$B$33 / 12) * (1 + Inputs!$B$47)^INT((COLUMNS($B$26:AI26)-1) / 12)</f>
        <v/>
      </c>
      <c r="AJ26" s="41">
        <f>AJ6/3 * (Inputs!$B$33 / 12) * (1 + Inputs!$B$47)^INT((COLUMNS($B$26:AJ26)-1) / 12)</f>
        <v/>
      </c>
      <c r="AK26" s="41">
        <f>AK6/3 * (Inputs!$B$33 / 12) * (1 + Inputs!$B$47)^INT((COLUMNS($B$26:AK26)-1) / 12)</f>
        <v/>
      </c>
      <c r="AL26" s="41">
        <f>AL6/3 * (Inputs!$B$33 / 12) * (1 + Inputs!$B$47)^INT((COLUMNS($B$26:AL26)-1) / 12)</f>
        <v/>
      </c>
      <c r="AM26" s="41">
        <f>AM6/3 * (Inputs!$B$33 / 12) * (1 + Inputs!$B$47)^INT((COLUMNS($B$26:AM26)-1) / 12)</f>
        <v/>
      </c>
      <c r="AN26" s="41">
        <f>AN6/3 * (Inputs!$B$33 / 12) * (1 + Inputs!$B$47)^INT((COLUMNS($B$26:AN26)-1) / 12)</f>
        <v/>
      </c>
      <c r="AO26" s="41">
        <f>AO6/3 * (Inputs!$B$33 / 12) * (1 + Inputs!$B$47)^INT((COLUMNS($B$26:AO26)-1) / 12)</f>
        <v/>
      </c>
      <c r="AP26" s="41">
        <f>AP6/3 * (Inputs!$B$33 / 12) * (1 + Inputs!$B$47)^INT((COLUMNS($B$26:AP26)-1) / 12)</f>
        <v/>
      </c>
      <c r="AQ26" s="41">
        <f>AQ6/3 * (Inputs!$B$33 / 12) * (1 + Inputs!$B$47)^INT((COLUMNS($B$26:AQ26)-1) / 12)</f>
        <v/>
      </c>
      <c r="AR26" s="41">
        <f>AR6/3 * (Inputs!$B$33 / 12) * (1 + Inputs!$B$47)^INT((COLUMNS($B$26:AR26)-1) / 12)</f>
        <v/>
      </c>
      <c r="AS26" s="41">
        <f>AS6/3 * (Inputs!$B$33 / 12) * (1 + Inputs!$B$47)^INT((COLUMNS($B$26:AS26)-1) / 12)</f>
        <v/>
      </c>
      <c r="AT26" s="41">
        <f>AT6/3 * (Inputs!$B$33 / 12) * (1 + Inputs!$B$47)^INT((COLUMNS($B$26:AT26)-1) / 12)</f>
        <v/>
      </c>
      <c r="AU26" s="41">
        <f>AU6/3 * (Inputs!$B$33 / 12) * (1 + Inputs!$B$47)^INT((COLUMNS($B$26:AU26)-1) / 12)</f>
        <v/>
      </c>
      <c r="AV26" s="41">
        <f>AV6/3 * (Inputs!$B$33 / 12) * (1 + Inputs!$B$47)^INT((COLUMNS($B$26:AV26)-1) / 12)</f>
        <v/>
      </c>
      <c r="AW26" s="41">
        <f>AW6/3 * (Inputs!$B$33 / 12) * (1 + Inputs!$B$47)^INT((COLUMNS($B$26:AW26)-1) / 12)</f>
        <v/>
      </c>
      <c r="AX26" s="41">
        <f>AX6/3 * (Inputs!$B$33 / 12) * (1 + Inputs!$B$47)^INT((COLUMNS($B$26:AX26)-1) / 12)</f>
        <v/>
      </c>
      <c r="AY26" s="41">
        <f>AY6/3 * (Inputs!$B$33 / 12) * (1 + Inputs!$B$47)^INT((COLUMNS($B$26:AY26)-1) / 12)</f>
        <v/>
      </c>
      <c r="AZ26" s="41">
        <f>AZ6/3 * (Inputs!$B$33 / 12) * (1 + Inputs!$B$47)^INT((COLUMNS($B$26:AZ26)-1) / 12)</f>
        <v/>
      </c>
      <c r="BA26" s="41">
        <f>BA6/3 * (Inputs!$B$33 / 12) * (1 + Inputs!$B$47)^INT((COLUMNS($B$26:BA26)-1) / 12)</f>
        <v/>
      </c>
    </row>
    <row r="27" ht="14.25" customHeight="1" s="165">
      <c r="A27" s="3" t="inlineStr">
        <is>
          <t>CCO Gehalt</t>
        </is>
      </c>
      <c r="B27" s="41">
        <f>B6/3 * (Inputs!$B$34 / 12) * (1 + Inputs!$B$47)^INT((COLUMNS($B$27:B27)-1) / 12)</f>
        <v/>
      </c>
      <c r="C27" s="41">
        <f>C6/3 * (Inputs!$B$34 / 12) * (1 + Inputs!$B$47)^INT((COLUMNS($B$27:C27)-1) / 12)</f>
        <v/>
      </c>
      <c r="D27" s="41">
        <f>D6/3 * (Inputs!$B$34 / 12) * (1 + Inputs!$B$47)^INT((COLUMNS($B$27:D27)-1) / 12)</f>
        <v/>
      </c>
      <c r="E27" s="41">
        <f>E6/3 * (Inputs!$B$34 / 12) * (1 + Inputs!$B$47)^INT((COLUMNS($B$27:E27)-1) / 12)</f>
        <v/>
      </c>
      <c r="F27" s="41">
        <f>F6/3 * (Inputs!$B$34 / 12) * (1 + Inputs!$B$47)^INT((COLUMNS($B$27:F27)-1) / 12)</f>
        <v/>
      </c>
      <c r="G27" s="41">
        <f>G6/3 * (Inputs!$B$34 / 12) * (1 + Inputs!$B$47)^INT((COLUMNS($B$27:G27)-1) / 12)</f>
        <v/>
      </c>
      <c r="H27" s="41">
        <f>H6/3 * (Inputs!$B$34 / 12) * (1 + Inputs!$B$47)^INT((COLUMNS($B$27:H27)-1) / 12)</f>
        <v/>
      </c>
      <c r="I27" s="41">
        <f>I6/3 * (Inputs!$B$34 / 12) * (1 + Inputs!$B$47)^INT((COLUMNS($B$27:I27)-1) / 12)</f>
        <v/>
      </c>
      <c r="J27" s="41">
        <f>J6/3 * (Inputs!$B$34 / 12) * (1 + Inputs!$B$47)^INT((COLUMNS($B$27:J27)-1) / 12)</f>
        <v/>
      </c>
      <c r="K27" s="41">
        <f>K6/3 * (Inputs!$B$34 / 12) * (1 + Inputs!$B$47)^INT((COLUMNS($B$27:K27)-1) / 12)</f>
        <v/>
      </c>
      <c r="L27" s="41">
        <f>L6/3 * (Inputs!$B$34 / 12) * (1 + Inputs!$B$47)^INT((COLUMNS($B$27:L27)-1) / 12)</f>
        <v/>
      </c>
      <c r="M27" s="41">
        <f>M6/3 * (Inputs!$B$34 / 12) * (1 + Inputs!$B$47)^INT((COLUMNS($B$27:M27)-1) / 12)</f>
        <v/>
      </c>
      <c r="N27" s="41">
        <f>N6/3 * (Inputs!$B$34 / 12) * (1 + Inputs!$B$47)^INT((COLUMNS($B$27:N27)-1) / 12)</f>
        <v/>
      </c>
      <c r="O27" s="41">
        <f>O6/3 * (Inputs!$B$34 / 12) * (1 + Inputs!$B$47)^INT((COLUMNS($B$27:O27)-1) / 12)</f>
        <v/>
      </c>
      <c r="P27" s="41">
        <f>P6/3 * (Inputs!$B$34 / 12) * (1 + Inputs!$B$47)^INT((COLUMNS($B$27:P27)-1) / 12)</f>
        <v/>
      </c>
      <c r="Q27" s="41">
        <f>Q6/3 * (Inputs!$B$34 / 12) * (1 + Inputs!$B$47)^INT((COLUMNS($B$27:Q27)-1) / 12)</f>
        <v/>
      </c>
      <c r="R27" s="41">
        <f>R6/3 * (Inputs!$B$34 / 12) * (1 + Inputs!$B$47)^INT((COLUMNS($B$27:R27)-1) / 12)</f>
        <v/>
      </c>
      <c r="S27" s="41">
        <f>S6/3 * (Inputs!$B$34 / 12) * (1 + Inputs!$B$47)^INT((COLUMNS($B$27:S27)-1) / 12)</f>
        <v/>
      </c>
      <c r="T27" s="41">
        <f>T6/3 * (Inputs!$B$34 / 12) * (1 + Inputs!$B$47)^INT((COLUMNS($B$27:T27)-1) / 12)</f>
        <v/>
      </c>
      <c r="U27" s="41">
        <f>U6/3 * (Inputs!$B$34 / 12) * (1 + Inputs!$B$47)^INT((COLUMNS($B$27:U27)-1) / 12)</f>
        <v/>
      </c>
      <c r="V27" s="41">
        <f>V6/3 * (Inputs!$B$34 / 12) * (1 + Inputs!$B$47)^INT((COLUMNS($B$27:V27)-1) / 12)</f>
        <v/>
      </c>
      <c r="W27" s="41">
        <f>W6/3 * (Inputs!$B$34 / 12) * (1 + Inputs!$B$47)^INT((COLUMNS($B$27:W27)-1) / 12)</f>
        <v/>
      </c>
      <c r="X27" s="41">
        <f>X6/3 * (Inputs!$B$34 / 12) * (1 + Inputs!$B$47)^INT((COLUMNS($B$27:X27)-1) / 12)</f>
        <v/>
      </c>
      <c r="Y27" s="41">
        <f>Y6/3 * (Inputs!$B$34 / 12) * (1 + Inputs!$B$47)^INT((COLUMNS($B$27:Y27)-1) / 12)</f>
        <v/>
      </c>
      <c r="Z27" s="41">
        <f>Z6/3 * (Inputs!$B$34 / 12) * (1 + Inputs!$B$47)^INT((COLUMNS($B$27:Z27)-1) / 12)</f>
        <v/>
      </c>
      <c r="AA27" s="41">
        <f>AA6/3 * (Inputs!$B$34 / 12) * (1 + Inputs!$B$47)^INT((COLUMNS($B$27:AA27)-1) / 12)</f>
        <v/>
      </c>
      <c r="AB27" s="41">
        <f>AB6/3 * (Inputs!$B$34 / 12) * (1 + Inputs!$B$47)^INT((COLUMNS($B$27:AB27)-1) / 12)</f>
        <v/>
      </c>
      <c r="AC27" s="41">
        <f>AC6/3 * (Inputs!$B$34 / 12) * (1 + Inputs!$B$47)^INT((COLUMNS($B$27:AC27)-1) / 12)</f>
        <v/>
      </c>
      <c r="AD27" s="41">
        <f>AD6/3 * (Inputs!$B$34 / 12) * (1 + Inputs!$B$47)^INT((COLUMNS($B$27:AD27)-1) / 12)</f>
        <v/>
      </c>
      <c r="AE27" s="41">
        <f>AE6/3 * (Inputs!$B$34 / 12) * (1 + Inputs!$B$47)^INT((COLUMNS($B$27:AE27)-1) / 12)</f>
        <v/>
      </c>
      <c r="AF27" s="41">
        <f>AF6/3 * (Inputs!$B$34 / 12) * (1 + Inputs!$B$47)^INT((COLUMNS($B$27:AF27)-1) / 12)</f>
        <v/>
      </c>
      <c r="AG27" s="41">
        <f>AG6/3 * (Inputs!$B$34 / 12) * (1 + Inputs!$B$47)^INT((COLUMNS($B$27:AG27)-1) / 12)</f>
        <v/>
      </c>
      <c r="AH27" s="41">
        <f>AH6/3 * (Inputs!$B$34 / 12) * (1 + Inputs!$B$47)^INT((COLUMNS($B$27:AH27)-1) / 12)</f>
        <v/>
      </c>
      <c r="AI27" s="41">
        <f>AI6/3 * (Inputs!$B$34 / 12) * (1 + Inputs!$B$47)^INT((COLUMNS($B$27:AI27)-1) / 12)</f>
        <v/>
      </c>
      <c r="AJ27" s="41">
        <f>AJ6/3 * (Inputs!$B$34 / 12) * (1 + Inputs!$B$47)^INT((COLUMNS($B$27:AJ27)-1) / 12)</f>
        <v/>
      </c>
      <c r="AK27" s="41">
        <f>AK6/3 * (Inputs!$B$34 / 12) * (1 + Inputs!$B$47)^INT((COLUMNS($B$27:AK27)-1) / 12)</f>
        <v/>
      </c>
      <c r="AL27" s="41">
        <f>AL6/3 * (Inputs!$B$34 / 12) * (1 + Inputs!$B$47)^INT((COLUMNS($B$27:AL27)-1) / 12)</f>
        <v/>
      </c>
      <c r="AM27" s="41">
        <f>AM6/3 * (Inputs!$B$34 / 12) * (1 + Inputs!$B$47)^INT((COLUMNS($B$27:AM27)-1) / 12)</f>
        <v/>
      </c>
      <c r="AN27" s="41">
        <f>AN6/3 * (Inputs!$B$34 / 12) * (1 + Inputs!$B$47)^INT((COLUMNS($B$27:AN27)-1) / 12)</f>
        <v/>
      </c>
      <c r="AO27" s="41">
        <f>AO6/3 * (Inputs!$B$34 / 12) * (1 + Inputs!$B$47)^INT((COLUMNS($B$27:AO27)-1) / 12)</f>
        <v/>
      </c>
      <c r="AP27" s="41">
        <f>AP6/3 * (Inputs!$B$34 / 12) * (1 + Inputs!$B$47)^INT((COLUMNS($B$27:AP27)-1) / 12)</f>
        <v/>
      </c>
      <c r="AQ27" s="41">
        <f>AQ6/3 * (Inputs!$B$34 / 12) * (1 + Inputs!$B$47)^INT((COLUMNS($B$27:AQ27)-1) / 12)</f>
        <v/>
      </c>
      <c r="AR27" s="41">
        <f>AR6/3 * (Inputs!$B$34 / 12) * (1 + Inputs!$B$47)^INT((COLUMNS($B$27:AR27)-1) / 12)</f>
        <v/>
      </c>
      <c r="AS27" s="41">
        <f>AS6/3 * (Inputs!$B$34 / 12) * (1 + Inputs!$B$47)^INT((COLUMNS($B$27:AS27)-1) / 12)</f>
        <v/>
      </c>
      <c r="AT27" s="41">
        <f>AT6/3 * (Inputs!$B$34 / 12) * (1 + Inputs!$B$47)^INT((COLUMNS($B$27:AT27)-1) / 12)</f>
        <v/>
      </c>
      <c r="AU27" s="41">
        <f>AU6/3 * (Inputs!$B$34 / 12) * (1 + Inputs!$B$47)^INT((COLUMNS($B$27:AU27)-1) / 12)</f>
        <v/>
      </c>
      <c r="AV27" s="41">
        <f>AV6/3 * (Inputs!$B$34 / 12) * (1 + Inputs!$B$47)^INT((COLUMNS($B$27:AV27)-1) / 12)</f>
        <v/>
      </c>
      <c r="AW27" s="41">
        <f>AW6/3 * (Inputs!$B$34 / 12) * (1 + Inputs!$B$47)^INT((COLUMNS($B$27:AW27)-1) / 12)</f>
        <v/>
      </c>
      <c r="AX27" s="41">
        <f>AX6/3 * (Inputs!$B$34 / 12) * (1 + Inputs!$B$47)^INT((COLUMNS($B$27:AX27)-1) / 12)</f>
        <v/>
      </c>
      <c r="AY27" s="41">
        <f>AY6/3 * (Inputs!$B$34 / 12) * (1 + Inputs!$B$47)^INT((COLUMNS($B$27:AY27)-1) / 12)</f>
        <v/>
      </c>
      <c r="AZ27" s="41">
        <f>AZ6/3 * (Inputs!$B$34 / 12) * (1 + Inputs!$B$47)^INT((COLUMNS($B$27:AZ27)-1) / 12)</f>
        <v/>
      </c>
      <c r="BA27" s="41">
        <f>BA6/3 * (Inputs!$B$34 / 12) * (1 + Inputs!$B$47)^INT((COLUMNS($B$27:BA27)-1) / 12)</f>
        <v/>
      </c>
    </row>
    <row r="28" ht="14.25" customHeight="1" s="165">
      <c r="A28" s="19" t="inlineStr">
        <is>
          <t>1. Software Developer Gehalt</t>
        </is>
      </c>
      <c r="B28" s="41">
        <f>B7 * (Inputs!$B$35 / 12) * (1 + Inputs!$B$47)^INT((COLUMNS($B$28:B28)-1) / 12)</f>
        <v/>
      </c>
      <c r="C28" s="41">
        <f>C7 * (Inputs!$B$35 / 12) * (1 + Inputs!$B$47)^INT((COLUMNS($B$28:C28)-1) / 12)</f>
        <v/>
      </c>
      <c r="D28" s="41">
        <f>D7 * (Inputs!$B$35 / 12) * (1 + Inputs!$B$47)^INT((COLUMNS($B$28:D28)-1) / 12)</f>
        <v/>
      </c>
      <c r="E28" s="41">
        <f>E7 * (Inputs!$B$35 / 12) * (1 + Inputs!$B$47)^INT((COLUMNS($B$28:E28)-1) / 12)</f>
        <v/>
      </c>
      <c r="F28" s="41">
        <f>F7 * (Inputs!$B$35 / 12) * (1 + Inputs!$B$47)^INT((COLUMNS($B$28:F28)-1) / 12)</f>
        <v/>
      </c>
      <c r="G28" s="41">
        <f>G7 * (Inputs!$B$35 / 12) * (1 + Inputs!$B$47)^INT((COLUMNS($B$28:G28)-1) / 12)</f>
        <v/>
      </c>
      <c r="H28" s="41">
        <f>H7 * (Inputs!$B$35 / 12) * (1 + Inputs!$B$47)^INT((COLUMNS($B$28:H28)-1) / 12)</f>
        <v/>
      </c>
      <c r="I28" s="41">
        <f>I7 * (Inputs!$B$35 / 12) * (1 + Inputs!$B$47)^INT((COLUMNS($B$28:I28)-1) / 12)</f>
        <v/>
      </c>
      <c r="J28" s="41">
        <f>J7 * (Inputs!$B$35 / 12) * (1 + Inputs!$B$47)^INT((COLUMNS($B$28:J28)-1) / 12)</f>
        <v/>
      </c>
      <c r="K28" s="41">
        <f>K7 * (Inputs!$B$35 / 12) * (1 + Inputs!$B$47)^INT((COLUMNS($B$28:K28)-1) / 12)</f>
        <v/>
      </c>
      <c r="L28" s="41">
        <f>L7 * (Inputs!$B$35 / 12) * (1 + Inputs!$B$47)^INT((COLUMNS($B$28:L28)-1) / 12)</f>
        <v/>
      </c>
      <c r="M28" s="41">
        <f>M7 * (Inputs!$B$35 / 12) * (1 + Inputs!$B$47)^INT((COLUMNS($B$28:M28)-1) / 12)</f>
        <v/>
      </c>
      <c r="N28" s="41">
        <f>N7 * (Inputs!$B$35 / 12) * (1 + Inputs!$B$47)^INT((COLUMNS($B$28:N28)-1) / 12)</f>
        <v/>
      </c>
      <c r="O28" s="41">
        <f>O7 * (Inputs!$B$35 / 12) * (1 + Inputs!$B$47)^INT((COLUMNS($B$28:O28)-1) / 12)</f>
        <v/>
      </c>
      <c r="P28" s="41">
        <f>P7 * (Inputs!$B$35 / 12) * (1 + Inputs!$B$47)^INT((COLUMNS($B$28:P28)-1) / 12)</f>
        <v/>
      </c>
      <c r="Q28" s="41">
        <f>Q7 * (Inputs!$B$35 / 12) * (1 + Inputs!$B$47)^INT((COLUMNS($B$28:Q28)-1) / 12)</f>
        <v/>
      </c>
      <c r="R28" s="41">
        <f>R7 * (Inputs!$B$35 / 12) * (1 + Inputs!$B$47)^INT((COLUMNS($B$28:R28)-1) / 12)</f>
        <v/>
      </c>
      <c r="S28" s="41">
        <f>S7 * (Inputs!$B$35 / 12) * (1 + Inputs!$B$47)^INT((COLUMNS($B$28:S28)-1) / 12)</f>
        <v/>
      </c>
      <c r="T28" s="41">
        <f>T7 * (Inputs!$B$35 / 12) * (1 + Inputs!$B$47)^INT((COLUMNS($B$28:T28)-1) / 12)</f>
        <v/>
      </c>
      <c r="U28" s="41">
        <f>U7 * (Inputs!$B$35 / 12) * (1 + Inputs!$B$47)^INT((COLUMNS($B$28:U28)-1) / 12)</f>
        <v/>
      </c>
      <c r="V28" s="41">
        <f>V7 * (Inputs!$B$35 / 12) * (1 + Inputs!$B$47)^INT((COLUMNS($B$28:V28)-1) / 12)</f>
        <v/>
      </c>
      <c r="W28" s="41">
        <f>W7 * (Inputs!$B$35 / 12) * (1 + Inputs!$B$47)^INT((COLUMNS($B$28:W28)-1) / 12)</f>
        <v/>
      </c>
      <c r="X28" s="41">
        <f>X7 * (Inputs!$B$35 / 12) * (1 + Inputs!$B$47)^INT((COLUMNS($B$28:X28)-1) / 12)</f>
        <v/>
      </c>
      <c r="Y28" s="41">
        <f>Y7 * (Inputs!$B$35 / 12) * (1 + Inputs!$B$47)^INT((COLUMNS($B$28:Y28)-1) / 12)</f>
        <v/>
      </c>
      <c r="Z28" s="41">
        <f>Z7 * (Inputs!$B$35 / 12) * (1 + Inputs!$B$47)^INT((COLUMNS($B$28:Z28)-1) / 12)</f>
        <v/>
      </c>
      <c r="AA28" s="41">
        <f>AA7 * (Inputs!$B$35 / 12) * (1 + Inputs!$B$47)^INT((COLUMNS($B$28:AA28)-1) / 12)</f>
        <v/>
      </c>
      <c r="AB28" s="41">
        <f>AB7 * (Inputs!$B$35 / 12) * (1 + Inputs!$B$47)^INT((COLUMNS($B$28:AB28)-1) / 12)</f>
        <v/>
      </c>
      <c r="AC28" s="41">
        <f>AC7 * (Inputs!$B$35 / 12) * (1 + Inputs!$B$47)^INT((COLUMNS($B$28:AC28)-1) / 12)</f>
        <v/>
      </c>
      <c r="AD28" s="41">
        <f>AD7 * (Inputs!$B$35 / 12) * (1 + Inputs!$B$47)^INT((COLUMNS($B$28:AD28)-1) / 12)</f>
        <v/>
      </c>
      <c r="AE28" s="41">
        <f>AE7 * (Inputs!$B$35 / 12) * (1 + Inputs!$B$47)^INT((COLUMNS($B$28:AE28)-1) / 12)</f>
        <v/>
      </c>
      <c r="AF28" s="41">
        <f>AF7 * (Inputs!$B$35 / 12) * (1 + Inputs!$B$47)^INT((COLUMNS($B$28:AF28)-1) / 12)</f>
        <v/>
      </c>
      <c r="AG28" s="41">
        <f>AG7 * (Inputs!$B$35 / 12) * (1 + Inputs!$B$47)^INT((COLUMNS($B$28:AG28)-1) / 12)</f>
        <v/>
      </c>
      <c r="AH28" s="41">
        <f>AH7 * (Inputs!$B$35 / 12) * (1 + Inputs!$B$47)^INT((COLUMNS($B$28:AH28)-1) / 12)</f>
        <v/>
      </c>
      <c r="AI28" s="41">
        <f>AI7 * (Inputs!$B$35 / 12) * (1 + Inputs!$B$47)^INT((COLUMNS($B$28:AI28)-1) / 12)</f>
        <v/>
      </c>
      <c r="AJ28" s="41">
        <f>AJ7 * (Inputs!$B$35 / 12) * (1 + Inputs!$B$47)^INT((COLUMNS($B$28:AJ28)-1) / 12)</f>
        <v/>
      </c>
      <c r="AK28" s="41">
        <f>AK7 * (Inputs!$B$35 / 12) * (1 + Inputs!$B$47)^INT((COLUMNS($B$28:AK28)-1) / 12)</f>
        <v/>
      </c>
      <c r="AL28" s="41">
        <f>AL7 * (Inputs!$B$35 / 12) * (1 + Inputs!$B$47)^INT((COLUMNS($B$28:AL28)-1) / 12)</f>
        <v/>
      </c>
      <c r="AM28" s="41">
        <f>AM7 * (Inputs!$B$35 / 12) * (1 + Inputs!$B$47)^INT((COLUMNS($B$28:AM28)-1) / 12)</f>
        <v/>
      </c>
      <c r="AN28" s="41">
        <f>AN7 * (Inputs!$B$35 / 12) * (1 + Inputs!$B$47)^INT((COLUMNS($B$28:AN28)-1) / 12)</f>
        <v/>
      </c>
      <c r="AO28" s="41">
        <f>AO7 * (Inputs!$B$35 / 12) * (1 + Inputs!$B$47)^INT((COLUMNS($B$28:AO28)-1) / 12)</f>
        <v/>
      </c>
      <c r="AP28" s="41">
        <f>AP7 * (Inputs!$B$35 / 12) * (1 + Inputs!$B$47)^INT((COLUMNS($B$28:AP28)-1) / 12)</f>
        <v/>
      </c>
      <c r="AQ28" s="41">
        <f>AQ7 * (Inputs!$B$35 / 12) * (1 + Inputs!$B$47)^INT((COLUMNS($B$28:AQ28)-1) / 12)</f>
        <v/>
      </c>
      <c r="AR28" s="41">
        <f>AR7 * (Inputs!$B$35 / 12) * (1 + Inputs!$B$47)^INT((COLUMNS($B$28:AR28)-1) / 12)</f>
        <v/>
      </c>
      <c r="AS28" s="41">
        <f>AS7 * (Inputs!$B$35 / 12) * (1 + Inputs!$B$47)^INT((COLUMNS($B$28:AS28)-1) / 12)</f>
        <v/>
      </c>
      <c r="AT28" s="41">
        <f>AT7 * (Inputs!$B$35 / 12) * (1 + Inputs!$B$47)^INT((COLUMNS($B$28:AT28)-1) / 12)</f>
        <v/>
      </c>
      <c r="AU28" s="41">
        <f>AU7 * (Inputs!$B$35 / 12) * (1 + Inputs!$B$47)^INT((COLUMNS($B$28:AU28)-1) / 12)</f>
        <v/>
      </c>
      <c r="AV28" s="41">
        <f>AV7 * (Inputs!$B$35 / 12) * (1 + Inputs!$B$47)^INT((COLUMNS($B$28:AV28)-1) / 12)</f>
        <v/>
      </c>
      <c r="AW28" s="41">
        <f>AW7 * (Inputs!$B$35 / 12) * (1 + Inputs!$B$47)^INT((COLUMNS($B$28:AW28)-1) / 12)</f>
        <v/>
      </c>
      <c r="AX28" s="41">
        <f>AX7 * (Inputs!$B$35 / 12) * (1 + Inputs!$B$47)^INT((COLUMNS($B$28:AX28)-1) / 12)</f>
        <v/>
      </c>
      <c r="AY28" s="41">
        <f>AY7 * (Inputs!$B$35 / 12) * (1 + Inputs!$B$47)^INT((COLUMNS($B$28:AY28)-1) / 12)</f>
        <v/>
      </c>
      <c r="AZ28" s="41">
        <f>AZ7 * (Inputs!$B$35 / 12) * (1 + Inputs!$B$47)^INT((COLUMNS($B$28:AZ28)-1) / 12)</f>
        <v/>
      </c>
      <c r="BA28" s="41">
        <f>BA7 * (Inputs!$B$35 / 12) * (1 + Inputs!$B$47)^INT((COLUMNS($B$28:BA28)-1) / 12)</f>
        <v/>
      </c>
    </row>
    <row r="29" ht="14.25" customHeight="1" s="165">
      <c r="A29" s="19" t="inlineStr">
        <is>
          <t>2. Software Developer Gehalt</t>
        </is>
      </c>
      <c r="B29" s="41">
        <f>B8 * (Inputs!$B$35 / 12) * (1 + Inputs!$B$47)^INT((COLUMNS($B$29:B29)-1) / 12)</f>
        <v/>
      </c>
      <c r="C29" s="41">
        <f>C8 * (Inputs!$B$35 / 12) * (1 + Inputs!$B$47)^INT((COLUMNS($B$29:C29)-1) / 12)</f>
        <v/>
      </c>
      <c r="D29" s="41">
        <f>D8 * (Inputs!$B$35 / 12) * (1 + Inputs!$B$47)^INT((COLUMNS($B$29:D29)-1) / 12)</f>
        <v/>
      </c>
      <c r="E29" s="41">
        <f>E8 * (Inputs!$B$35 / 12) * (1 + Inputs!$B$47)^INT((COLUMNS($B$29:E29)-1) / 12)</f>
        <v/>
      </c>
      <c r="F29" s="41">
        <f>F8 * (Inputs!$B$35 / 12) * (1 + Inputs!$B$47)^INT((COLUMNS($B$29:F29)-1) / 12)</f>
        <v/>
      </c>
      <c r="G29" s="41">
        <f>G8 * (Inputs!$B$35 / 12) * (1 + Inputs!$B$47)^INT((COLUMNS($B$29:G29)-1) / 12)</f>
        <v/>
      </c>
      <c r="H29" s="41">
        <f>H8 * (Inputs!$B$35 / 12) * (1 + Inputs!$B$47)^INT((COLUMNS($B$29:H29)-1) / 12)</f>
        <v/>
      </c>
      <c r="I29" s="41">
        <f>I8 * (Inputs!$B$35 / 12) * (1 + Inputs!$B$47)^INT((COLUMNS($B$29:I29)-1) / 12)</f>
        <v/>
      </c>
      <c r="J29" s="41">
        <f>J8 * (Inputs!$B$35 / 12) * (1 + Inputs!$B$47)^INT((COLUMNS($B$29:J29)-1) / 12)</f>
        <v/>
      </c>
      <c r="K29" s="41">
        <f>K8 * (Inputs!$B$35 / 12) * (1 + Inputs!$B$47)^INT((COLUMNS($B$29:K29)-1) / 12)</f>
        <v/>
      </c>
      <c r="L29" s="41">
        <f>L8 * (Inputs!$B$35 / 12) * (1 + Inputs!$B$47)^INT((COLUMNS($B$29:L29)-1) / 12)</f>
        <v/>
      </c>
      <c r="M29" s="41">
        <f>M8 * (Inputs!$B$35 / 12) * (1 + Inputs!$B$47)^INT((COLUMNS($B$29:M29)-1) / 12)</f>
        <v/>
      </c>
      <c r="N29" s="41">
        <f>N8 * (Inputs!$B$35 / 12) * (1 + Inputs!$B$47)^INT((COLUMNS($B$29:N29)-1) / 12)</f>
        <v/>
      </c>
      <c r="O29" s="41">
        <f>O8 * (Inputs!$B$35 / 12) * (1 + Inputs!$B$47)^INT((COLUMNS($B$29:O29)-1) / 12)</f>
        <v/>
      </c>
      <c r="P29" s="41">
        <f>P8 * (Inputs!$B$35 / 12) * (1 + Inputs!$B$47)^INT((COLUMNS($B$29:P29)-1) / 12)</f>
        <v/>
      </c>
      <c r="Q29" s="41">
        <f>Q8 * (Inputs!$B$35 / 12) * (1 + Inputs!$B$47)^INT((COLUMNS($B$29:Q29)-1) / 12)</f>
        <v/>
      </c>
      <c r="R29" s="41">
        <f>R8 * (Inputs!$B$35 / 12) * (1 + Inputs!$B$47)^INT((COLUMNS($B$29:R29)-1) / 12)</f>
        <v/>
      </c>
      <c r="S29" s="41">
        <f>S8 * (Inputs!$B$35 / 12) * (1 + Inputs!$B$47)^INT((COLUMNS($B$29:S29)-1) / 12)</f>
        <v/>
      </c>
      <c r="T29" s="41">
        <f>T8 * (Inputs!$B$35 / 12) * (1 + Inputs!$B$47)^INT((COLUMNS($B$29:T29)-1) / 12)</f>
        <v/>
      </c>
      <c r="U29" s="41">
        <f>U8 * (Inputs!$B$35 / 12) * (1 + Inputs!$B$47)^INT((COLUMNS($B$29:U29)-1) / 12)</f>
        <v/>
      </c>
      <c r="V29" s="41">
        <f>V8 * (Inputs!$B$35 / 12) * (1 + Inputs!$B$47)^INT((COLUMNS($B$29:V29)-1) / 12)</f>
        <v/>
      </c>
      <c r="W29" s="41">
        <f>W8 * (Inputs!$B$35 / 12) * (1 + Inputs!$B$47)^INT((COLUMNS($B$29:W29)-1) / 12)</f>
        <v/>
      </c>
      <c r="X29" s="41">
        <f>X8 * (Inputs!$B$35 / 12) * (1 + Inputs!$B$47)^INT((COLUMNS($B$29:X29)-1) / 12)</f>
        <v/>
      </c>
      <c r="Y29" s="41">
        <f>Y8 * (Inputs!$B$35 / 12) * (1 + Inputs!$B$47)^INT((COLUMNS($B$29:Y29)-1) / 12)</f>
        <v/>
      </c>
      <c r="Z29" s="41">
        <f>Z8 * (Inputs!$B$35 / 12) * (1 + Inputs!$B$47)^INT((COLUMNS($B$29:Z29)-1) / 12)</f>
        <v/>
      </c>
      <c r="AA29" s="41">
        <f>AA8 * (Inputs!$B$35 / 12) * (1 + Inputs!$B$47)^INT((COLUMNS($B$29:AA29)-1) / 12)</f>
        <v/>
      </c>
      <c r="AB29" s="41">
        <f>AB8 * (Inputs!$B$35 / 12) * (1 + Inputs!$B$47)^INT((COLUMNS($B$29:AB29)-1) / 12)</f>
        <v/>
      </c>
      <c r="AC29" s="41">
        <f>AC8 * (Inputs!$B$35 / 12) * (1 + Inputs!$B$47)^INT((COLUMNS($B$29:AC29)-1) / 12)</f>
        <v/>
      </c>
      <c r="AD29" s="41">
        <f>AD8 * (Inputs!$B$35 / 12) * (1 + Inputs!$B$47)^INT((COLUMNS($B$29:AD29)-1) / 12)</f>
        <v/>
      </c>
      <c r="AE29" s="41">
        <f>AE8 * (Inputs!$B$35 / 12) * (1 + Inputs!$B$47)^INT((COLUMNS($B$29:AE29)-1) / 12)</f>
        <v/>
      </c>
      <c r="AF29" s="41">
        <f>AF8 * (Inputs!$B$35 / 12) * (1 + Inputs!$B$47)^INT((COLUMNS($B$29:AF29)-1) / 12)</f>
        <v/>
      </c>
      <c r="AG29" s="41">
        <f>AG8 * (Inputs!$B$35 / 12) * (1 + Inputs!$B$47)^INT((COLUMNS($B$29:AG29)-1) / 12)</f>
        <v/>
      </c>
      <c r="AH29" s="41">
        <f>AH8 * (Inputs!$B$35 / 12) * (1 + Inputs!$B$47)^INT((COLUMNS($B$29:AH29)-1) / 12)</f>
        <v/>
      </c>
      <c r="AI29" s="41">
        <f>AI8 * (Inputs!$B$35 / 12) * (1 + Inputs!$B$47)^INT((COLUMNS($B$29:AI29)-1) / 12)</f>
        <v/>
      </c>
      <c r="AJ29" s="41">
        <f>AJ8 * (Inputs!$B$35 / 12) * (1 + Inputs!$B$47)^INT((COLUMNS($B$29:AJ29)-1) / 12)</f>
        <v/>
      </c>
      <c r="AK29" s="41">
        <f>AK8 * (Inputs!$B$35 / 12) * (1 + Inputs!$B$47)^INT((COLUMNS($B$29:AK29)-1) / 12)</f>
        <v/>
      </c>
      <c r="AL29" s="41">
        <f>AL8 * (Inputs!$B$35 / 12) * (1 + Inputs!$B$47)^INT((COLUMNS($B$29:AL29)-1) / 12)</f>
        <v/>
      </c>
      <c r="AM29" s="41">
        <f>AM8 * (Inputs!$B$35 / 12) * (1 + Inputs!$B$47)^INT((COLUMNS($B$29:AM29)-1) / 12)</f>
        <v/>
      </c>
      <c r="AN29" s="41">
        <f>AN8 * (Inputs!$B$35 / 12) * (1 + Inputs!$B$47)^INT((COLUMNS($B$29:AN29)-1) / 12)</f>
        <v/>
      </c>
      <c r="AO29" s="41">
        <f>AO8 * (Inputs!$B$35 / 12) * (1 + Inputs!$B$47)^INT((COLUMNS($B$29:AO29)-1) / 12)</f>
        <v/>
      </c>
      <c r="AP29" s="41">
        <f>AP8 * (Inputs!$B$35 / 12) * (1 + Inputs!$B$47)^INT((COLUMNS($B$29:AP29)-1) / 12)</f>
        <v/>
      </c>
      <c r="AQ29" s="41">
        <f>AQ8 * (Inputs!$B$35 / 12) * (1 + Inputs!$B$47)^INT((COLUMNS($B$29:AQ29)-1) / 12)</f>
        <v/>
      </c>
      <c r="AR29" s="41">
        <f>AR8 * (Inputs!$B$35 / 12) * (1 + Inputs!$B$47)^INT((COLUMNS($B$29:AR29)-1) / 12)</f>
        <v/>
      </c>
      <c r="AS29" s="41">
        <f>AS8 * (Inputs!$B$35 / 12) * (1 + Inputs!$B$47)^INT((COLUMNS($B$29:AS29)-1) / 12)</f>
        <v/>
      </c>
      <c r="AT29" s="41">
        <f>AT8 * (Inputs!$B$35 / 12) * (1 + Inputs!$B$47)^INT((COLUMNS($B$29:AT29)-1) / 12)</f>
        <v/>
      </c>
      <c r="AU29" s="41">
        <f>AU8 * (Inputs!$B$35 / 12) * (1 + Inputs!$B$47)^INT((COLUMNS($B$29:AU29)-1) / 12)</f>
        <v/>
      </c>
      <c r="AV29" s="41">
        <f>AV8 * (Inputs!$B$35 / 12) * (1 + Inputs!$B$47)^INT((COLUMNS($B$29:AV29)-1) / 12)</f>
        <v/>
      </c>
      <c r="AW29" s="41">
        <f>AW8 * (Inputs!$B$35 / 12) * (1 + Inputs!$B$47)^INT((COLUMNS($B$29:AW29)-1) / 12)</f>
        <v/>
      </c>
      <c r="AX29" s="41">
        <f>AX8 * (Inputs!$B$35 / 12) * (1 + Inputs!$B$47)^INT((COLUMNS($B$29:AX29)-1) / 12)</f>
        <v/>
      </c>
      <c r="AY29" s="41">
        <f>AY8 * (Inputs!$B$35 / 12) * (1 + Inputs!$B$47)^INT((COLUMNS($B$29:AY29)-1) / 12)</f>
        <v/>
      </c>
      <c r="AZ29" s="41">
        <f>AZ8 * (Inputs!$B$35 / 12) * (1 + Inputs!$B$47)^INT((COLUMNS($B$29:AZ29)-1) / 12)</f>
        <v/>
      </c>
      <c r="BA29" s="41">
        <f>BA8 * (Inputs!$B$35 / 12) * (1 + Inputs!$B$47)^INT((COLUMNS($B$29:BA29)-1) / 12)</f>
        <v/>
      </c>
    </row>
    <row r="30" ht="14.25" customHeight="1" s="165">
      <c r="A30" s="19" t="inlineStr">
        <is>
          <t>1. Junior Software Developer Gehalt</t>
        </is>
      </c>
      <c r="B30" s="41">
        <f>B9 * (Inputs!$B$36 / 12) * (1 + Inputs!$B$47)^INT((COLUMNS($B$30:B30)-1) / 12)</f>
        <v/>
      </c>
      <c r="C30" s="41">
        <f>C9 * (Inputs!$B$36 / 12) * (1 + Inputs!$B$47)^INT((COLUMNS($B$30:C30)-1) / 12)</f>
        <v/>
      </c>
      <c r="D30" s="41">
        <f>D9 * (Inputs!$B$36 / 12) * (1 + Inputs!$B$47)^INT((COLUMNS($B$30:D30)-1) / 12)</f>
        <v/>
      </c>
      <c r="E30" s="41">
        <f>E9 * (Inputs!$B$36 / 12) * (1 + Inputs!$B$47)^INT((COLUMNS($B$30:E30)-1) / 12)</f>
        <v/>
      </c>
      <c r="F30" s="41">
        <f>F9 * (Inputs!$B$36 / 12) * (1 + Inputs!$B$47)^INT((COLUMNS($B$30:F30)-1) / 12)</f>
        <v/>
      </c>
      <c r="G30" s="41">
        <f>G9 * (Inputs!$B$36 / 12) * (1 + Inputs!$B$47)^INT((COLUMNS($B$30:G30)-1) / 12)</f>
        <v/>
      </c>
      <c r="H30" s="41">
        <f>H9 * (Inputs!$B$36 / 12) * (1 + Inputs!$B$47)^INT((COLUMNS($B$30:H30)-1) / 12)</f>
        <v/>
      </c>
      <c r="I30" s="41">
        <f>I9 * (Inputs!$B$36 / 12) * (1 + Inputs!$B$47)^INT((COLUMNS($B$30:I30)-1) / 12)</f>
        <v/>
      </c>
      <c r="J30" s="41">
        <f>J9 * (Inputs!$B$36 / 12) * (1 + Inputs!$B$47)^INT((COLUMNS($B$30:J30)-1) / 12)</f>
        <v/>
      </c>
      <c r="K30" s="41">
        <f>K9 * (Inputs!$B$36 / 12) * (1 + Inputs!$B$47)^INT((COLUMNS($B$30:K30)-1) / 12)</f>
        <v/>
      </c>
      <c r="L30" s="41">
        <f>L9 * (Inputs!$B$36 / 12) * (1 + Inputs!$B$47)^INT((COLUMNS($B$30:L30)-1) / 12)</f>
        <v/>
      </c>
      <c r="M30" s="41">
        <f>M9 * (Inputs!$B$36 / 12) * (1 + Inputs!$B$47)^INT((COLUMNS($B$30:M30)-1) / 12)</f>
        <v/>
      </c>
      <c r="N30" s="41">
        <f>N9 * (Inputs!$B$36 / 12) * (1 + Inputs!$B$47)^INT((COLUMNS($B$30:N30)-1) / 12)</f>
        <v/>
      </c>
      <c r="O30" s="41">
        <f>O9 * (Inputs!$B$36 / 12) * (1 + Inputs!$B$47)^INT((COLUMNS($B$30:O30)-1) / 12)</f>
        <v/>
      </c>
      <c r="P30" s="41">
        <f>P9 * (Inputs!$B$36 / 12) * (1 + Inputs!$B$47)^INT((COLUMNS($B$30:P30)-1) / 12)</f>
        <v/>
      </c>
      <c r="Q30" s="41">
        <f>Q9 * (Inputs!$B$36 / 12) * (1 + Inputs!$B$47)^INT((COLUMNS($B$30:Q30)-1) / 12)</f>
        <v/>
      </c>
      <c r="R30" s="41">
        <f>R9 * (Inputs!$B$36 / 12) * (1 + Inputs!$B$47)^INT((COLUMNS($B$30:R30)-1) / 12)</f>
        <v/>
      </c>
      <c r="S30" s="41">
        <f>S9 * (Inputs!$B$36 / 12) * (1 + Inputs!$B$47)^INT((COLUMNS($B$30:S30)-1) / 12)</f>
        <v/>
      </c>
      <c r="T30" s="41">
        <f>T9 * (Inputs!$B$36 / 12) * (1 + Inputs!$B$47)^INT((COLUMNS($B$30:T30)-1) / 12)</f>
        <v/>
      </c>
      <c r="U30" s="41">
        <f>U9 * (Inputs!$B$36 / 12) * (1 + Inputs!$B$47)^INT((COLUMNS($B$30:U30)-1) / 12)</f>
        <v/>
      </c>
      <c r="V30" s="41">
        <f>V9 * (Inputs!$B$36 / 12) * (1 + Inputs!$B$47)^INT((COLUMNS($B$30:V30)-1) / 12)</f>
        <v/>
      </c>
      <c r="W30" s="41">
        <f>W9 * (Inputs!$B$36 / 12) * (1 + Inputs!$B$47)^INT((COLUMNS($B$30:W30)-1) / 12)</f>
        <v/>
      </c>
      <c r="X30" s="41">
        <f>X9 * (Inputs!$B$36 / 12) * (1 + Inputs!$B$47)^INT((COLUMNS($B$30:X30)-1) / 12)</f>
        <v/>
      </c>
      <c r="Y30" s="41">
        <f>Y9 * (Inputs!$B$36 / 12) * (1 + Inputs!$B$47)^INT((COLUMNS($B$30:Y30)-1) / 12)</f>
        <v/>
      </c>
      <c r="Z30" s="41">
        <f>Z9 * (Inputs!$B$36 / 12) * (1 + Inputs!$B$47)^INT((COLUMNS($B$30:Z30)-1) / 12)</f>
        <v/>
      </c>
      <c r="AA30" s="41">
        <f>AA9 * (Inputs!$B$36 / 12) * (1 + Inputs!$B$47)^INT((COLUMNS($B$30:AA30)-1) / 12)</f>
        <v/>
      </c>
      <c r="AB30" s="41">
        <f>AB9 * (Inputs!$B$36 / 12) * (1 + Inputs!$B$47)^INT((COLUMNS($B$30:AB30)-1) / 12)</f>
        <v/>
      </c>
      <c r="AC30" s="41">
        <f>AC9 * (Inputs!$B$36 / 12) * (1 + Inputs!$B$47)^INT((COLUMNS($B$30:AC30)-1) / 12)</f>
        <v/>
      </c>
      <c r="AD30" s="41">
        <f>AD9 * (Inputs!$B$36 / 12) * (1 + Inputs!$B$47)^INT((COLUMNS($B$30:AD30)-1) / 12)</f>
        <v/>
      </c>
      <c r="AE30" s="41">
        <f>AE9 * (Inputs!$B$36 / 12) * (1 + Inputs!$B$47)^INT((COLUMNS($B$30:AE30)-1) / 12)</f>
        <v/>
      </c>
      <c r="AF30" s="41">
        <f>AF9 * (Inputs!$B$36 / 12) * (1 + Inputs!$B$47)^INT((COLUMNS($B$30:AF30)-1) / 12)</f>
        <v/>
      </c>
      <c r="AG30" s="41">
        <f>AG9 * (Inputs!$B$36 / 12) * (1 + Inputs!$B$47)^INT((COLUMNS($B$30:AG30)-1) / 12)</f>
        <v/>
      </c>
      <c r="AH30" s="41">
        <f>AH9 * (Inputs!$B$36 / 12) * (1 + Inputs!$B$47)^INT((COLUMNS($B$30:AH30)-1) / 12)</f>
        <v/>
      </c>
      <c r="AI30" s="41">
        <f>AI9 * (Inputs!$B$36 / 12) * (1 + Inputs!$B$47)^INT((COLUMNS($B$30:AI30)-1) / 12)</f>
        <v/>
      </c>
      <c r="AJ30" s="41">
        <f>AJ9 * (Inputs!$B$36 / 12) * (1 + Inputs!$B$47)^INT((COLUMNS($B$30:AJ30)-1) / 12)</f>
        <v/>
      </c>
      <c r="AK30" s="41">
        <f>AK9 * (Inputs!$B$36 / 12) * (1 + Inputs!$B$47)^INT((COLUMNS($B$30:AK30)-1) / 12)</f>
        <v/>
      </c>
      <c r="AL30" s="41">
        <f>AL9 * (Inputs!$B$36 / 12) * (1 + Inputs!$B$47)^INT((COLUMNS($B$30:AL30)-1) / 12)</f>
        <v/>
      </c>
      <c r="AM30" s="41">
        <f>AM9 * (Inputs!$B$36 / 12) * (1 + Inputs!$B$47)^INT((COLUMNS($B$30:AM30)-1) / 12)</f>
        <v/>
      </c>
      <c r="AN30" s="41">
        <f>AN9 * (Inputs!$B$36 / 12) * (1 + Inputs!$B$47)^INT((COLUMNS($B$30:AN30)-1) / 12)</f>
        <v/>
      </c>
      <c r="AO30" s="41">
        <f>AO9 * (Inputs!$B$36 / 12) * (1 + Inputs!$B$47)^INT((COLUMNS($B$30:AO30)-1) / 12)</f>
        <v/>
      </c>
      <c r="AP30" s="41">
        <f>AP9 * (Inputs!$B$36 / 12) * (1 + Inputs!$B$47)^INT((COLUMNS($B$30:AP30)-1) / 12)</f>
        <v/>
      </c>
      <c r="AQ30" s="41">
        <f>AQ9 * (Inputs!$B$36 / 12) * (1 + Inputs!$B$47)^INT((COLUMNS($B$30:AQ30)-1) / 12)</f>
        <v/>
      </c>
      <c r="AR30" s="41">
        <f>AR9 * (Inputs!$B$36 / 12) * (1 + Inputs!$B$47)^INT((COLUMNS($B$30:AR30)-1) / 12)</f>
        <v/>
      </c>
      <c r="AS30" s="41">
        <f>AS9 * (Inputs!$B$36 / 12) * (1 + Inputs!$B$47)^INT((COLUMNS($B$30:AS30)-1) / 12)</f>
        <v/>
      </c>
      <c r="AT30" s="41">
        <f>AT9 * (Inputs!$B$36 / 12) * (1 + Inputs!$B$47)^INT((COLUMNS($B$30:AT30)-1) / 12)</f>
        <v/>
      </c>
      <c r="AU30" s="41">
        <f>AU9 * (Inputs!$B$36 / 12) * (1 + Inputs!$B$47)^INT((COLUMNS($B$30:AU30)-1) / 12)</f>
        <v/>
      </c>
      <c r="AV30" s="41">
        <f>AV9 * (Inputs!$B$36 / 12) * (1 + Inputs!$B$47)^INT((COLUMNS($B$30:AV30)-1) / 12)</f>
        <v/>
      </c>
      <c r="AW30" s="41">
        <f>AW9 * (Inputs!$B$36 / 12) * (1 + Inputs!$B$47)^INT((COLUMNS($B$30:AW30)-1) / 12)</f>
        <v/>
      </c>
      <c r="AX30" s="41">
        <f>AX9 * (Inputs!$B$36 / 12) * (1 + Inputs!$B$47)^INT((COLUMNS($B$30:AX30)-1) / 12)</f>
        <v/>
      </c>
      <c r="AY30" s="41">
        <f>AY9 * (Inputs!$B$36 / 12) * (1 + Inputs!$B$47)^INT((COLUMNS($B$30:AY30)-1) / 12)</f>
        <v/>
      </c>
      <c r="AZ30" s="41">
        <f>AZ9 * (Inputs!$B$36 / 12) * (1 + Inputs!$B$47)^INT((COLUMNS($B$30:AZ30)-1) / 12)</f>
        <v/>
      </c>
      <c r="BA30" s="41">
        <f>BA9 * (Inputs!$B$36 / 12) * (1 + Inputs!$B$47)^INT((COLUMNS($B$30:BA30)-1) / 12)</f>
        <v/>
      </c>
    </row>
    <row r="31" ht="14.25" customHeight="1" s="165">
      <c r="A31" s="19" t="inlineStr">
        <is>
          <t>1. ML/AI Engineer Gehalt</t>
        </is>
      </c>
      <c r="B31" s="41">
        <f>B10 * (Inputs!$B$37 / 12) * (1 + Inputs!$B$47)^INT((COLUMNS($B$31:B31)-1) / 12)</f>
        <v/>
      </c>
      <c r="C31" s="41">
        <f>C10 * (Inputs!$B$37 / 12) * (1 + Inputs!$B$47)^INT((COLUMNS($B$31:C31)-1) / 12)</f>
        <v/>
      </c>
      <c r="D31" s="41">
        <f>D10 * (Inputs!$B$37 / 12) * (1 + Inputs!$B$47)^INT((COLUMNS($B$31:D31)-1) / 12)</f>
        <v/>
      </c>
      <c r="E31" s="41">
        <f>E10 * (Inputs!$B$37 / 12) * (1 + Inputs!$B$47)^INT((COLUMNS($B$31:E31)-1) / 12)</f>
        <v/>
      </c>
      <c r="F31" s="41">
        <f>F10 * (Inputs!$B$37 / 12) * (1 + Inputs!$B$47)^INT((COLUMNS($B$31:F31)-1) / 12)</f>
        <v/>
      </c>
      <c r="G31" s="41">
        <f>G10 * (Inputs!$B$37 / 12) * (1 + Inputs!$B$47)^INT((COLUMNS($B$31:G31)-1) / 12)</f>
        <v/>
      </c>
      <c r="H31" s="41">
        <f>H10 * (Inputs!$B$37 / 12) * (1 + Inputs!$B$47)^INT((COLUMNS($B$31:H31)-1) / 12)</f>
        <v/>
      </c>
      <c r="I31" s="41">
        <f>I10 * (Inputs!$B$37 / 12) * (1 + Inputs!$B$47)^INT((COLUMNS($B$31:I31)-1) / 12)</f>
        <v/>
      </c>
      <c r="J31" s="41">
        <f>J10 * (Inputs!$B$37 / 12) * (1 + Inputs!$B$47)^INT((COLUMNS($B$31:J31)-1) / 12)</f>
        <v/>
      </c>
      <c r="K31" s="41">
        <f>K10 * (Inputs!$B$37 / 12) * (1 + Inputs!$B$47)^INT((COLUMNS($B$31:K31)-1) / 12)</f>
        <v/>
      </c>
      <c r="L31" s="41">
        <f>L10 * (Inputs!$B$37 / 12) * (1 + Inputs!$B$47)^INT((COLUMNS($B$31:L31)-1) / 12)</f>
        <v/>
      </c>
      <c r="M31" s="41">
        <f>M10 * (Inputs!$B$37 / 12) * (1 + Inputs!$B$47)^INT((COLUMNS($B$31:M31)-1) / 12)</f>
        <v/>
      </c>
      <c r="N31" s="41">
        <f>N10 * (Inputs!$B$37 / 12) * (1 + Inputs!$B$47)^INT((COLUMNS($B$31:N31)-1) / 12)</f>
        <v/>
      </c>
      <c r="O31" s="41">
        <f>O10 * (Inputs!$B$37 / 12) * (1 + Inputs!$B$47)^INT((COLUMNS($B$31:O31)-1) / 12)</f>
        <v/>
      </c>
      <c r="P31" s="41">
        <f>P10 * (Inputs!$B$37 / 12) * (1 + Inputs!$B$47)^INT((COLUMNS($B$31:P31)-1) / 12)</f>
        <v/>
      </c>
      <c r="Q31" s="41">
        <f>Q10 * (Inputs!$B$37 / 12) * (1 + Inputs!$B$47)^INT((COLUMNS($B$31:Q31)-1) / 12)</f>
        <v/>
      </c>
      <c r="R31" s="41">
        <f>R10 * (Inputs!$B$37 / 12) * (1 + Inputs!$B$47)^INT((COLUMNS($B$31:R31)-1) / 12)</f>
        <v/>
      </c>
      <c r="S31" s="41">
        <f>S10 * (Inputs!$B$37 / 12) * (1 + Inputs!$B$47)^INT((COLUMNS($B$31:S31)-1) / 12)</f>
        <v/>
      </c>
      <c r="T31" s="41">
        <f>T10 * (Inputs!$B$37 / 12) * (1 + Inputs!$B$47)^INT((COLUMNS($B$31:T31)-1) / 12)</f>
        <v/>
      </c>
      <c r="U31" s="41">
        <f>U10 * (Inputs!$B$37 / 12) * (1 + Inputs!$B$47)^INT((COLUMNS($B$31:U31)-1) / 12)</f>
        <v/>
      </c>
      <c r="V31" s="41">
        <f>V10 * (Inputs!$B$37 / 12) * (1 + Inputs!$B$47)^INT((COLUMNS($B$31:V31)-1) / 12)</f>
        <v/>
      </c>
      <c r="W31" s="41">
        <f>W10 * (Inputs!$B$37 / 12) * (1 + Inputs!$B$47)^INT((COLUMNS($B$31:W31)-1) / 12)</f>
        <v/>
      </c>
      <c r="X31" s="41">
        <f>X10 * (Inputs!$B$37 / 12) * (1 + Inputs!$B$47)^INT((COLUMNS($B$31:X31)-1) / 12)</f>
        <v/>
      </c>
      <c r="Y31" s="41">
        <f>Y10 * (Inputs!$B$37 / 12) * (1 + Inputs!$B$47)^INT((COLUMNS($B$31:Y31)-1) / 12)</f>
        <v/>
      </c>
      <c r="Z31" s="41">
        <f>Z10 * (Inputs!$B$37 / 12) * (1 + Inputs!$B$47)^INT((COLUMNS($B$31:Z31)-1) / 12)</f>
        <v/>
      </c>
      <c r="AA31" s="41">
        <f>AA10 * (Inputs!$B$37 / 12) * (1 + Inputs!$B$47)^INT((COLUMNS($B$31:AA31)-1) / 12)</f>
        <v/>
      </c>
      <c r="AB31" s="41">
        <f>AB10 * (Inputs!$B$37 / 12) * (1 + Inputs!$B$47)^INT((COLUMNS($B$31:AB31)-1) / 12)</f>
        <v/>
      </c>
      <c r="AC31" s="41">
        <f>AC10 * (Inputs!$B$37 / 12) * (1 + Inputs!$B$47)^INT((COLUMNS($B$31:AC31)-1) / 12)</f>
        <v/>
      </c>
      <c r="AD31" s="41">
        <f>AD10 * (Inputs!$B$37 / 12) * (1 + Inputs!$B$47)^INT((COLUMNS($B$31:AD31)-1) / 12)</f>
        <v/>
      </c>
      <c r="AE31" s="41">
        <f>AE10 * (Inputs!$B$37 / 12) * (1 + Inputs!$B$47)^INT((COLUMNS($B$31:AE31)-1) / 12)</f>
        <v/>
      </c>
      <c r="AF31" s="41">
        <f>AF10 * (Inputs!$B$37 / 12) * (1 + Inputs!$B$47)^INT((COLUMNS($B$31:AF31)-1) / 12)</f>
        <v/>
      </c>
      <c r="AG31" s="41">
        <f>AG10 * (Inputs!$B$37 / 12) * (1 + Inputs!$B$47)^INT((COLUMNS($B$31:AG31)-1) / 12)</f>
        <v/>
      </c>
      <c r="AH31" s="41">
        <f>AH10 * (Inputs!$B$37 / 12) * (1 + Inputs!$B$47)^INT((COLUMNS($B$31:AH31)-1) / 12)</f>
        <v/>
      </c>
      <c r="AI31" s="41">
        <f>AI10 * (Inputs!$B$37 / 12) * (1 + Inputs!$B$47)^INT((COLUMNS($B$31:AI31)-1) / 12)</f>
        <v/>
      </c>
      <c r="AJ31" s="41">
        <f>AJ10 * (Inputs!$B$37 / 12) * (1 + Inputs!$B$47)^INT((COLUMNS($B$31:AJ31)-1) / 12)</f>
        <v/>
      </c>
      <c r="AK31" s="41">
        <f>AK10 * (Inputs!$B$37 / 12) * (1 + Inputs!$B$47)^INT((COLUMNS($B$31:AK31)-1) / 12)</f>
        <v/>
      </c>
      <c r="AL31" s="41">
        <f>AL10 * (Inputs!$B$37 / 12) * (1 + Inputs!$B$47)^INT((COLUMNS($B$31:AL31)-1) / 12)</f>
        <v/>
      </c>
      <c r="AM31" s="41">
        <f>AM10 * (Inputs!$B$37 / 12) * (1 + Inputs!$B$47)^INT((COLUMNS($B$31:AM31)-1) / 12)</f>
        <v/>
      </c>
      <c r="AN31" s="41">
        <f>AN10 * (Inputs!$B$37 / 12) * (1 + Inputs!$B$47)^INT((COLUMNS($B$31:AN31)-1) / 12)</f>
        <v/>
      </c>
      <c r="AO31" s="41">
        <f>AO10 * (Inputs!$B$37 / 12) * (1 + Inputs!$B$47)^INT((COLUMNS($B$31:AO31)-1) / 12)</f>
        <v/>
      </c>
      <c r="AP31" s="41">
        <f>AP10 * (Inputs!$B$37 / 12) * (1 + Inputs!$B$47)^INT((COLUMNS($B$31:AP31)-1) / 12)</f>
        <v/>
      </c>
      <c r="AQ31" s="41">
        <f>AQ10 * (Inputs!$B$37 / 12) * (1 + Inputs!$B$47)^INT((COLUMNS($B$31:AQ31)-1) / 12)</f>
        <v/>
      </c>
      <c r="AR31" s="41">
        <f>AR10 * (Inputs!$B$37 / 12) * (1 + Inputs!$B$47)^INT((COLUMNS($B$31:AR31)-1) / 12)</f>
        <v/>
      </c>
      <c r="AS31" s="41">
        <f>AS10 * (Inputs!$B$37 / 12) * (1 + Inputs!$B$47)^INT((COLUMNS($B$31:AS31)-1) / 12)</f>
        <v/>
      </c>
      <c r="AT31" s="41">
        <f>AT10 * (Inputs!$B$37 / 12) * (1 + Inputs!$B$47)^INT((COLUMNS($B$31:AT31)-1) / 12)</f>
        <v/>
      </c>
      <c r="AU31" s="41">
        <f>AU10 * (Inputs!$B$37 / 12) * (1 + Inputs!$B$47)^INT((COLUMNS($B$31:AU31)-1) / 12)</f>
        <v/>
      </c>
      <c r="AV31" s="41">
        <f>AV10 * (Inputs!$B$37 / 12) * (1 + Inputs!$B$47)^INT((COLUMNS($B$31:AV31)-1) / 12)</f>
        <v/>
      </c>
      <c r="AW31" s="41">
        <f>AW10 * (Inputs!$B$37 / 12) * (1 + Inputs!$B$47)^INT((COLUMNS($B$31:AW31)-1) / 12)</f>
        <v/>
      </c>
      <c r="AX31" s="41">
        <f>AX10 * (Inputs!$B$37 / 12) * (1 + Inputs!$B$47)^INT((COLUMNS($B$31:AX31)-1) / 12)</f>
        <v/>
      </c>
      <c r="AY31" s="41">
        <f>AY10 * (Inputs!$B$37 / 12) * (1 + Inputs!$B$47)^INT((COLUMNS($B$31:AY31)-1) / 12)</f>
        <v/>
      </c>
      <c r="AZ31" s="41">
        <f>AZ10 * (Inputs!$B$37 / 12) * (1 + Inputs!$B$47)^INT((COLUMNS($B$31:AZ31)-1) / 12)</f>
        <v/>
      </c>
      <c r="BA31" s="41">
        <f>BA10 * (Inputs!$B$37 / 12) * (1 + Inputs!$B$47)^INT((COLUMNS($B$31:BA31)-1) / 12)</f>
        <v/>
      </c>
    </row>
    <row r="32" ht="14.25" customHeight="1" s="165">
      <c r="A32" s="19" t="inlineStr">
        <is>
          <t>1. Mechanical Engineer Gehalt</t>
        </is>
      </c>
      <c r="B32" s="41">
        <f>B11*(Inputs!$B$40/12)*(1+Inputs!$B$47)^INT((COLUMNS($B$32:B32)-1)/12)</f>
        <v/>
      </c>
      <c r="C32" s="41">
        <f>C11*(Inputs!$B$40/12)*(1+Inputs!$B$47)^INT((COLUMNS($B$32:C32)-1)/12)</f>
        <v/>
      </c>
      <c r="D32" s="41">
        <f>D11*(Inputs!$B$40/12)*(1+Inputs!$B$47)^INT((COLUMNS($B$32:D32)-1)/12)</f>
        <v/>
      </c>
      <c r="E32" s="41">
        <f>E11*(Inputs!$B$40/12)*(1+Inputs!$B$47)^INT((COLUMNS($B$32:E32)-1)/12)</f>
        <v/>
      </c>
      <c r="F32" s="41">
        <f>F11*(Inputs!$B$40/12)*(1+Inputs!$B$47)^INT((COLUMNS($B$32:F32)-1)/12)</f>
        <v/>
      </c>
      <c r="G32" s="41">
        <f>G11*(Inputs!$B$40/12)*(1+Inputs!$B$47)^INT((COLUMNS($B$32:G32)-1)/12)</f>
        <v/>
      </c>
      <c r="H32" s="41">
        <f>H11*(Inputs!$B$40/12)*(1+Inputs!$B$47)^INT((COLUMNS($B$32:H32)-1)/12)</f>
        <v/>
      </c>
      <c r="I32" s="41">
        <f>I11*(Inputs!$B$40/12)*(1+Inputs!$B$47)^INT((COLUMNS($B$32:I32)-1)/12)</f>
        <v/>
      </c>
      <c r="J32" s="41">
        <f>J11*(Inputs!$B$40/12)*(1+Inputs!$B$47)^INT((COLUMNS($B$32:J32)-1)/12)</f>
        <v/>
      </c>
      <c r="K32" s="41">
        <f>K11*(Inputs!$B$40/12)*(1+Inputs!$B$47)^INT((COLUMNS($B$32:K32)-1)/12)</f>
        <v/>
      </c>
      <c r="L32" s="41">
        <f>L11*(Inputs!$B$40/12)*(1+Inputs!$B$47)^INT((COLUMNS($B$32:L32)-1)/12)</f>
        <v/>
      </c>
      <c r="M32" s="41">
        <f>M11*(Inputs!$B$40/12)*(1+Inputs!$B$47)^INT((COLUMNS($B$32:M32)-1)/12)</f>
        <v/>
      </c>
      <c r="N32" s="41">
        <f>N11*(Inputs!$B$40/12)*(1+Inputs!$B$47)^INT((COLUMNS($B$32:N32)-1)/12)</f>
        <v/>
      </c>
      <c r="O32" s="41">
        <f>O11*(Inputs!$B$40/12)*(1+Inputs!$B$47)^INT((COLUMNS($B$32:O32)-1)/12)</f>
        <v/>
      </c>
      <c r="P32" s="41">
        <f>P11*(Inputs!$B$40/12)*(1+Inputs!$B$47)^INT((COLUMNS($B$32:P32)-1)/12)</f>
        <v/>
      </c>
      <c r="Q32" s="41">
        <f>Q11*(Inputs!$B$40/12)*(1+Inputs!$B$47)^INT((COLUMNS($B$32:Q32)-1)/12)</f>
        <v/>
      </c>
      <c r="R32" s="41">
        <f>R11*(Inputs!$B$40/12)*(1+Inputs!$B$47)^INT((COLUMNS($B$32:R32)-1)/12)</f>
        <v/>
      </c>
      <c r="S32" s="41">
        <f>S11*(Inputs!$B$40/12)*(1+Inputs!$B$47)^INT((COLUMNS($B$32:S32)-1)/12)</f>
        <v/>
      </c>
      <c r="T32" s="41">
        <f>T11*(Inputs!$B$40/12)*(1+Inputs!$B$47)^INT((COLUMNS($B$32:T32)-1)/12)</f>
        <v/>
      </c>
      <c r="U32" s="41">
        <f>U11*(Inputs!$B$40/12)*(1+Inputs!$B$47)^INT((COLUMNS($B$32:U32)-1)/12)</f>
        <v/>
      </c>
      <c r="V32" s="41">
        <f>V11*(Inputs!$B$40/12)*(1+Inputs!$B$47)^INT((COLUMNS($B$32:V32)-1)/12)</f>
        <v/>
      </c>
      <c r="W32" s="41">
        <f>W11*(Inputs!$B$40/12)*(1+Inputs!$B$47)^INT((COLUMNS($B$32:W32)-1)/12)</f>
        <v/>
      </c>
      <c r="X32" s="41">
        <f>X11*(Inputs!$B$40/12)*(1+Inputs!$B$47)^INT((COLUMNS($B$32:X32)-1)/12)</f>
        <v/>
      </c>
      <c r="Y32" s="41">
        <f>Y11*(Inputs!$B$40/12)*(1+Inputs!$B$47)^INT((COLUMNS($B$32:Y32)-1)/12)</f>
        <v/>
      </c>
      <c r="Z32" s="41">
        <f>Z11*(Inputs!$B$40/12)*(1+Inputs!$B$47)^INT((COLUMNS($B$32:Z32)-1)/12)</f>
        <v/>
      </c>
      <c r="AA32" s="41">
        <f>AA11*(Inputs!$B$40/12)*(1+Inputs!$B$47)^INT((COLUMNS($B$32:AA32)-1)/12)</f>
        <v/>
      </c>
      <c r="AB32" s="41">
        <f>AB11*(Inputs!$B$40/12)*(1+Inputs!$B$47)^INT((COLUMNS($B$32:AB32)-1)/12)</f>
        <v/>
      </c>
      <c r="AC32" s="41">
        <f>AC11*(Inputs!$B$40/12)*(1+Inputs!$B$47)^INT((COLUMNS($B$32:AC32)-1)/12)</f>
        <v/>
      </c>
      <c r="AD32" s="41">
        <f>AD11*(Inputs!$B$40/12)*(1+Inputs!$B$47)^INT((COLUMNS($B$32:AD32)-1)/12)</f>
        <v/>
      </c>
      <c r="AE32" s="41">
        <f>AE11*(Inputs!$B$40/12)*(1+Inputs!$B$47)^INT((COLUMNS($B$32:AE32)-1)/12)</f>
        <v/>
      </c>
      <c r="AF32" s="41">
        <f>AF11*(Inputs!$B$40/12)*(1+Inputs!$B$47)^INT((COLUMNS($B$32:AF32)-1)/12)</f>
        <v/>
      </c>
      <c r="AG32" s="41">
        <f>AG11*(Inputs!$B$40/12)*(1+Inputs!$B$47)^INT((COLUMNS($B$32:AG32)-1)/12)</f>
        <v/>
      </c>
      <c r="AH32" s="41">
        <f>AH11*(Inputs!$B$40/12)*(1+Inputs!$B$47)^INT((COLUMNS($B$32:AH32)-1)/12)</f>
        <v/>
      </c>
      <c r="AI32" s="41">
        <f>AI11*(Inputs!$B$40/12)*(1+Inputs!$B$47)^INT((COLUMNS($B$32:AI32)-1)/12)</f>
        <v/>
      </c>
      <c r="AJ32" s="41">
        <f>AJ11*(Inputs!$B$40/12)*(1+Inputs!$B$47)^INT((COLUMNS($B$32:AJ32)-1)/12)</f>
        <v/>
      </c>
      <c r="AK32" s="41">
        <f>AK11*(Inputs!$B$40/12)*(1+Inputs!$B$47)^INT((COLUMNS($B$32:AK32)-1)/12)</f>
        <v/>
      </c>
      <c r="AL32" s="41">
        <f>AL11*(Inputs!$B$40/12)*(1+Inputs!$B$47)^INT((COLUMNS($B$32:AL32)-1)/12)</f>
        <v/>
      </c>
      <c r="AM32" s="41">
        <f>AM11*(Inputs!$B$40/12)*(1+Inputs!$B$47)^INT((COLUMNS($B$32:AM32)-1)/12)</f>
        <v/>
      </c>
      <c r="AN32" s="41">
        <f>AN11*(Inputs!$B$40/12)*(1+Inputs!$B$47)^INT((COLUMNS($B$32:AN32)-1)/12)</f>
        <v/>
      </c>
      <c r="AO32" s="41">
        <f>AO11*(Inputs!$B$40/12)*(1+Inputs!$B$47)^INT((COLUMNS($B$32:AO32)-1)/12)</f>
        <v/>
      </c>
      <c r="AP32" s="41">
        <f>AP11*(Inputs!$B$40/12)*(1+Inputs!$B$47)^INT((COLUMNS($B$32:AP32)-1)/12)</f>
        <v/>
      </c>
      <c r="AQ32" s="41">
        <f>AQ11*(Inputs!$B$40/12)*(1+Inputs!$B$47)^INT((COLUMNS($B$32:AQ32)-1)/12)</f>
        <v/>
      </c>
      <c r="AR32" s="41">
        <f>AR11*(Inputs!$B$40/12)*(1+Inputs!$B$47)^INT((COLUMNS($B$32:AR32)-1)/12)</f>
        <v/>
      </c>
      <c r="AS32" s="41">
        <f>AS11*(Inputs!$B$40/12)*(1+Inputs!$B$47)^INT((COLUMNS($B$32:AS32)-1)/12)</f>
        <v/>
      </c>
      <c r="AT32" s="41">
        <f>AT11*(Inputs!$B$40/12)*(1+Inputs!$B$47)^INT((COLUMNS($B$32:AT32)-1)/12)</f>
        <v/>
      </c>
      <c r="AU32" s="41">
        <f>AU11*(Inputs!$B$40/12)*(1+Inputs!$B$47)^INT((COLUMNS($B$32:AU32)-1)/12)</f>
        <v/>
      </c>
      <c r="AV32" s="41">
        <f>AV11*(Inputs!$B$40/12)*(1+Inputs!$B$47)^INT((COLUMNS($B$32:AV32)-1)/12)</f>
        <v/>
      </c>
      <c r="AW32" s="41">
        <f>AW11*(Inputs!$B$40/12)*(1+Inputs!$B$47)^INT((COLUMNS($B$32:AW32)-1)/12)</f>
        <v/>
      </c>
      <c r="AX32" s="41">
        <f>AX11*(Inputs!$B$40/12)*(1+Inputs!$B$47)^INT((COLUMNS($B$32:AX32)-1)/12)</f>
        <v/>
      </c>
      <c r="AY32" s="41">
        <f>AY11*(Inputs!$B$40/12)*(1+Inputs!$B$47)^INT((COLUMNS($B$32:AY32)-1)/12)</f>
        <v/>
      </c>
      <c r="AZ32" s="41">
        <f>AZ11*(Inputs!$B$40/12)*(1+Inputs!$B$47)^INT((COLUMNS($B$32:AZ32)-1)/12)</f>
        <v/>
      </c>
      <c r="BA32" s="41">
        <f>BA11*(Inputs!$B$40/12)*(1+Inputs!$B$47)^INT((COLUMNS($B$32:BA32)-1)/12)</f>
        <v/>
      </c>
    </row>
    <row r="33" ht="14.25" customHeight="1" s="165">
      <c r="A33" s="19" t="inlineStr">
        <is>
          <t>1. UX/UI Designer Gehalt</t>
        </is>
      </c>
      <c r="B33" s="41">
        <f>B12*(Inputs!$B$39/12)*(1+Inputs!$B$47)^INT((COLUMNS($B$33:B33)-1)/12)</f>
        <v/>
      </c>
      <c r="C33" s="41">
        <f>C12*(Inputs!$B$39/12)*(1+Inputs!$B$47)^INT((COLUMNS($B$33:C33)-1)/12)</f>
        <v/>
      </c>
      <c r="D33" s="41">
        <f>D12*(Inputs!$B$39/12)*(1+Inputs!$B$47)^INT((COLUMNS($B$33:D33)-1)/12)</f>
        <v/>
      </c>
      <c r="E33" s="41">
        <f>E12*(Inputs!$B$39/12)*(1+Inputs!$B$47)^INT((COLUMNS($B$33:E33)-1)/12)</f>
        <v/>
      </c>
      <c r="F33" s="41">
        <f>F12*(Inputs!$B$39/12)*(1+Inputs!$B$47)^INT((COLUMNS($B$33:F33)-1)/12)</f>
        <v/>
      </c>
      <c r="G33" s="41">
        <f>G12*(Inputs!$B$39/12)*(1+Inputs!$B$47)^INT((COLUMNS($B$33:G33)-1)/12)</f>
        <v/>
      </c>
      <c r="H33" s="41">
        <f>H12*(Inputs!$B$39/12)*(1+Inputs!$B$47)^INT((COLUMNS($B$33:H33)-1)/12)</f>
        <v/>
      </c>
      <c r="I33" s="41">
        <f>I12*(Inputs!$B$39/12)*(1+Inputs!$B$47)^INT((COLUMNS($B$33:I33)-1)/12)</f>
        <v/>
      </c>
      <c r="J33" s="41">
        <f>J12*(Inputs!$B$39/12)*(1+Inputs!$B$47)^INT((COLUMNS($B$33:J33)-1)/12)</f>
        <v/>
      </c>
      <c r="K33" s="41">
        <f>K12*(Inputs!$B$39/12)*(1+Inputs!$B$47)^INT((COLUMNS($B$33:K33)-1)/12)</f>
        <v/>
      </c>
      <c r="L33" s="41">
        <f>L12*(Inputs!$B$39/12)*(1+Inputs!$B$47)^INT((COLUMNS($B$33:L33)-1)/12)</f>
        <v/>
      </c>
      <c r="M33" s="41">
        <f>M12*(Inputs!$B$39/12)*(1+Inputs!$B$47)^INT((COLUMNS($B$33:M33)-1)/12)</f>
        <v/>
      </c>
      <c r="N33" s="41">
        <f>N12*(Inputs!$B$39/12)*(1+Inputs!$B$47)^INT((COLUMNS($B$33:N33)-1)/12)</f>
        <v/>
      </c>
      <c r="O33" s="41">
        <f>O12*(Inputs!$B$39/12)*(1+Inputs!$B$47)^INT((COLUMNS($B$33:O33)-1)/12)</f>
        <v/>
      </c>
      <c r="P33" s="41">
        <f>P12*(Inputs!$B$39/12)*(1+Inputs!$B$47)^INT((COLUMNS($B$33:P33)-1)/12)</f>
        <v/>
      </c>
      <c r="Q33" s="41">
        <f>Q12*(Inputs!$B$39/12)*(1+Inputs!$B$47)^INT((COLUMNS($B$33:Q33)-1)/12)</f>
        <v/>
      </c>
      <c r="R33" s="41">
        <f>R12*(Inputs!$B$39/12)*(1+Inputs!$B$47)^INT((COLUMNS($B$33:R33)-1)/12)</f>
        <v/>
      </c>
      <c r="S33" s="41">
        <f>S12*(Inputs!$B$39/12)*(1+Inputs!$B$47)^INT((COLUMNS($B$33:S33)-1)/12)</f>
        <v/>
      </c>
      <c r="T33" s="41">
        <f>T12*(Inputs!$B$39/12)*(1+Inputs!$B$47)^INT((COLUMNS($B$33:T33)-1)/12)</f>
        <v/>
      </c>
      <c r="U33" s="41">
        <f>U12*(Inputs!$B$39/12)*(1+Inputs!$B$47)^INT((COLUMNS($B$33:U33)-1)/12)</f>
        <v/>
      </c>
      <c r="V33" s="41">
        <f>V12*(Inputs!$B$39/12)*(1+Inputs!$B$47)^INT((COLUMNS($B$33:V33)-1)/12)</f>
        <v/>
      </c>
      <c r="W33" s="41">
        <f>W12*(Inputs!$B$39/12)*(1+Inputs!$B$47)^INT((COLUMNS($B$33:W33)-1)/12)</f>
        <v/>
      </c>
      <c r="X33" s="41">
        <f>X12*(Inputs!$B$39/12)*(1+Inputs!$B$47)^INT((COLUMNS($B$33:X33)-1)/12)</f>
        <v/>
      </c>
      <c r="Y33" s="41">
        <f>Y12*(Inputs!$B$39/12)*(1+Inputs!$B$47)^INT((COLUMNS($B$33:Y33)-1)/12)</f>
        <v/>
      </c>
      <c r="Z33" s="41">
        <f>Z12*(Inputs!$B$39/12)*(1+Inputs!$B$47)^INT((COLUMNS($B$33:Z33)-1)/12)</f>
        <v/>
      </c>
      <c r="AA33" s="41">
        <f>AA12*(Inputs!$B$39/12)*(1+Inputs!$B$47)^INT((COLUMNS($B$33:AA33)-1)/12)</f>
        <v/>
      </c>
      <c r="AB33" s="41">
        <f>AB12*(Inputs!$B$39/12)*(1+Inputs!$B$47)^INT((COLUMNS($B$33:AB33)-1)/12)</f>
        <v/>
      </c>
      <c r="AC33" s="41">
        <f>AC12*(Inputs!$B$39/12)*(1+Inputs!$B$47)^INT((COLUMNS($B$33:AC33)-1)/12)</f>
        <v/>
      </c>
      <c r="AD33" s="41">
        <f>AD12*(Inputs!$B$39/12)*(1+Inputs!$B$47)^INT((COLUMNS($B$33:AD33)-1)/12)</f>
        <v/>
      </c>
      <c r="AE33" s="41">
        <f>AE12*(Inputs!$B$39/12)*(1+Inputs!$B$47)^INT((COLUMNS($B$33:AE33)-1)/12)</f>
        <v/>
      </c>
      <c r="AF33" s="41">
        <f>AF12*(Inputs!$B$39/12)*(1+Inputs!$B$47)^INT((COLUMNS($B$33:AF33)-1)/12)</f>
        <v/>
      </c>
      <c r="AG33" s="41">
        <f>AG12*(Inputs!$B$39/12)*(1+Inputs!$B$47)^INT((COLUMNS($B$33:AG33)-1)/12)</f>
        <v/>
      </c>
      <c r="AH33" s="41">
        <f>AH12*(Inputs!$B$39/12)*(1+Inputs!$B$47)^INT((COLUMNS($B$33:AH33)-1)/12)</f>
        <v/>
      </c>
      <c r="AI33" s="41">
        <f>AI12*(Inputs!$B$39/12)*(1+Inputs!$B$47)^INT((COLUMNS($B$33:AI33)-1)/12)</f>
        <v/>
      </c>
      <c r="AJ33" s="41">
        <f>AJ12*(Inputs!$B$39/12)*(1+Inputs!$B$47)^INT((COLUMNS($B$33:AJ33)-1)/12)</f>
        <v/>
      </c>
      <c r="AK33" s="41">
        <f>AK12*(Inputs!$B$39/12)*(1+Inputs!$B$47)^INT((COLUMNS($B$33:AK33)-1)/12)</f>
        <v/>
      </c>
      <c r="AL33" s="41">
        <f>AL12*(Inputs!$B$39/12)*(1+Inputs!$B$47)^INT((COLUMNS($B$33:AL33)-1)/12)</f>
        <v/>
      </c>
      <c r="AM33" s="41">
        <f>AM12*(Inputs!$B$39/12)*(1+Inputs!$B$47)^INT((COLUMNS($B$33:AM33)-1)/12)</f>
        <v/>
      </c>
      <c r="AN33" s="41">
        <f>AN12*(Inputs!$B$39/12)*(1+Inputs!$B$47)^INT((COLUMNS($B$33:AN33)-1)/12)</f>
        <v/>
      </c>
      <c r="AO33" s="41">
        <f>AO12*(Inputs!$B$39/12)*(1+Inputs!$B$47)^INT((COLUMNS($B$33:AO33)-1)/12)</f>
        <v/>
      </c>
      <c r="AP33" s="41">
        <f>AP12*(Inputs!$B$39/12)*(1+Inputs!$B$47)^INT((COLUMNS($B$33:AP33)-1)/12)</f>
        <v/>
      </c>
      <c r="AQ33" s="41">
        <f>AQ12*(Inputs!$B$39/12)*(1+Inputs!$B$47)^INT((COLUMNS($B$33:AQ33)-1)/12)</f>
        <v/>
      </c>
      <c r="AR33" s="41">
        <f>AR12*(Inputs!$B$39/12)*(1+Inputs!$B$47)^INT((COLUMNS($B$33:AR33)-1)/12)</f>
        <v/>
      </c>
      <c r="AS33" s="41">
        <f>AS12*(Inputs!$B$39/12)*(1+Inputs!$B$47)^INT((COLUMNS($B$33:AS33)-1)/12)</f>
        <v/>
      </c>
      <c r="AT33" s="41">
        <f>AT12*(Inputs!$B$39/12)*(1+Inputs!$B$47)^INT((COLUMNS($B$33:AT33)-1)/12)</f>
        <v/>
      </c>
      <c r="AU33" s="41">
        <f>AU12*(Inputs!$B$39/12)*(1+Inputs!$B$47)^INT((COLUMNS($B$33:AU33)-1)/12)</f>
        <v/>
      </c>
      <c r="AV33" s="41">
        <f>AV12*(Inputs!$B$39/12)*(1+Inputs!$B$47)^INT((COLUMNS($B$33:AV33)-1)/12)</f>
        <v/>
      </c>
      <c r="AW33" s="41">
        <f>AW12*(Inputs!$B$39/12)*(1+Inputs!$B$47)^INT((COLUMNS($B$33:AW33)-1)/12)</f>
        <v/>
      </c>
      <c r="AX33" s="41">
        <f>AX12*(Inputs!$B$39/12)*(1+Inputs!$B$47)^INT((COLUMNS($B$33:AX33)-1)/12)</f>
        <v/>
      </c>
      <c r="AY33" s="41">
        <f>AY12*(Inputs!$B$39/12)*(1+Inputs!$B$47)^INT((COLUMNS($B$33:AY33)-1)/12)</f>
        <v/>
      </c>
      <c r="AZ33" s="41">
        <f>AZ12*(Inputs!$B$39/12)*(1+Inputs!$B$47)^INT((COLUMNS($B$33:AZ33)-1)/12)</f>
        <v/>
      </c>
      <c r="BA33" s="41">
        <f>BA12*(Inputs!$B$39/12)*(1+Inputs!$B$47)^INT((COLUMNS($B$33:BA33)-1)/12)</f>
        <v/>
      </c>
    </row>
    <row r="34" ht="14.25" customHeight="1" s="165">
      <c r="A34" s="19" t="inlineStr">
        <is>
          <t>1. Customer Key Account Gehalt</t>
        </is>
      </c>
      <c r="B34" s="41">
        <f>B13 * (Inputs!$B$41 / 12) * (1 + Inputs!$B$47)^INT((COLUMNS($B$34:B34)-1) / 12)</f>
        <v/>
      </c>
      <c r="C34" s="41">
        <f>C13 * (Inputs!$B$41 / 12) * (1 + Inputs!$B$47)^INT((COLUMNS($B$34:C34)-1) / 12)</f>
        <v/>
      </c>
      <c r="D34" s="41">
        <f>D13 * (Inputs!$B$41 / 12) * (1 + Inputs!$B$47)^INT((COLUMNS($B$34:D34)-1) / 12)</f>
        <v/>
      </c>
      <c r="E34" s="41">
        <f>E13 * (Inputs!$B$41 / 12) * (1 + Inputs!$B$47)^INT((COLUMNS($B$34:E34)-1) / 12)</f>
        <v/>
      </c>
      <c r="F34" s="41">
        <f>F13 * (Inputs!$B$41 / 12) * (1 + Inputs!$B$47)^INT((COLUMNS($B$34:F34)-1) / 12)</f>
        <v/>
      </c>
      <c r="G34" s="41">
        <f>G13 * (Inputs!$B$41 / 12) * (1 + Inputs!$B$47)^INT((COLUMNS($B$34:G34)-1) / 12)</f>
        <v/>
      </c>
      <c r="H34" s="41">
        <f>H13 * (Inputs!$B$41 / 12) * (1 + Inputs!$B$47)^INT((COLUMNS($B$34:H34)-1) / 12)</f>
        <v/>
      </c>
      <c r="I34" s="41">
        <f>I13 * (Inputs!$B$41 / 12) * (1 + Inputs!$B$47)^INT((COLUMNS($B$34:I34)-1) / 12)</f>
        <v/>
      </c>
      <c r="J34" s="41">
        <f>J13 * (Inputs!$B$41 / 12) * (1 + Inputs!$B$47)^INT((COLUMNS($B$34:J34)-1) / 12)</f>
        <v/>
      </c>
      <c r="K34" s="41">
        <f>K13 * (Inputs!$B$41 / 12) * (1 + Inputs!$B$47)^INT((COLUMNS($B$34:K34)-1) / 12)</f>
        <v/>
      </c>
      <c r="L34" s="41">
        <f>L13 * (Inputs!$B$41 / 12) * (1 + Inputs!$B$47)^INT((COLUMNS($B$34:L34)-1) / 12)</f>
        <v/>
      </c>
      <c r="M34" s="41">
        <f>M13 * (Inputs!$B$41 / 12) * (1 + Inputs!$B$47)^INT((COLUMNS($B$34:M34)-1) / 12)</f>
        <v/>
      </c>
      <c r="N34" s="41">
        <f>N13 * (Inputs!$B$41 / 12) * (1 + Inputs!$B$47)^INT((COLUMNS($B$34:N34)-1) / 12)</f>
        <v/>
      </c>
      <c r="O34" s="41">
        <f>O13 * (Inputs!$B$41 / 12) * (1 + Inputs!$B$47)^INT((COLUMNS($B$34:O34)-1) / 12)</f>
        <v/>
      </c>
      <c r="P34" s="41">
        <f>P13 * (Inputs!$B$41 / 12) * (1 + Inputs!$B$47)^INT((COLUMNS($B$34:P34)-1) / 12)</f>
        <v/>
      </c>
      <c r="Q34" s="41">
        <f>Q13 * (Inputs!$B$41 / 12) * (1 + Inputs!$B$47)^INT((COLUMNS($B$34:Q34)-1) / 12)</f>
        <v/>
      </c>
      <c r="R34" s="41">
        <f>R13 * (Inputs!$B$41 / 12) * (1 + Inputs!$B$47)^INT((COLUMNS($B$34:R34)-1) / 12)</f>
        <v/>
      </c>
      <c r="S34" s="41">
        <f>S13 * (Inputs!$B$41 / 12) * (1 + Inputs!$B$47)^INT((COLUMNS($B$34:S34)-1) / 12)</f>
        <v/>
      </c>
      <c r="T34" s="41">
        <f>T13 * (Inputs!$B$41 / 12) * (1 + Inputs!$B$47)^INT((COLUMNS($B$34:T34)-1) / 12)</f>
        <v/>
      </c>
      <c r="U34" s="41">
        <f>U13 * (Inputs!$B$41 / 12) * (1 + Inputs!$B$47)^INT((COLUMNS($B$34:U34)-1) / 12)</f>
        <v/>
      </c>
      <c r="V34" s="41">
        <f>V13 * (Inputs!$B$41 / 12) * (1 + Inputs!$B$47)^INT((COLUMNS($B$34:V34)-1) / 12)</f>
        <v/>
      </c>
      <c r="W34" s="41">
        <f>W13 * (Inputs!$B$41 / 12) * (1 + Inputs!$B$47)^INT((COLUMNS($B$34:W34)-1) / 12)</f>
        <v/>
      </c>
      <c r="X34" s="41">
        <f>X13 * (Inputs!$B$41 / 12) * (1 + Inputs!$B$47)^INT((COLUMNS($B$34:X34)-1) / 12)</f>
        <v/>
      </c>
      <c r="Y34" s="41">
        <f>Y13 * (Inputs!$B$41 / 12) * (1 + Inputs!$B$47)^INT((COLUMNS($B$34:Y34)-1) / 12)</f>
        <v/>
      </c>
      <c r="Z34" s="41">
        <f>Z13 * (Inputs!$B$41 / 12) * (1 + Inputs!$B$47)^INT((COLUMNS($B$34:Z34)-1) / 12)</f>
        <v/>
      </c>
      <c r="AA34" s="41">
        <f>AA13 * (Inputs!$B$41 / 12) * (1 + Inputs!$B$47)^INT((COLUMNS($B$34:AA34)-1) / 12)</f>
        <v/>
      </c>
      <c r="AB34" s="41">
        <f>AB13 * (Inputs!$B$41 / 12) * (1 + Inputs!$B$47)^INT((COLUMNS($B$34:AB34)-1) / 12)</f>
        <v/>
      </c>
      <c r="AC34" s="41">
        <f>AC13 * (Inputs!$B$41 / 12) * (1 + Inputs!$B$47)^INT((COLUMNS($B$34:AC34)-1) / 12)</f>
        <v/>
      </c>
      <c r="AD34" s="41">
        <f>AD13 * (Inputs!$B$41 / 12) * (1 + Inputs!$B$47)^INT((COLUMNS($B$34:AD34)-1) / 12)</f>
        <v/>
      </c>
      <c r="AE34" s="41">
        <f>AE13 * (Inputs!$B$41 / 12) * (1 + Inputs!$B$47)^INT((COLUMNS($B$34:AE34)-1) / 12)</f>
        <v/>
      </c>
      <c r="AF34" s="41">
        <f>AF13 * (Inputs!$B$41 / 12) * (1 + Inputs!$B$47)^INT((COLUMNS($B$34:AF34)-1) / 12)</f>
        <v/>
      </c>
      <c r="AG34" s="41">
        <f>AG13 * (Inputs!$B$41 / 12) * (1 + Inputs!$B$47)^INT((COLUMNS($B$34:AG34)-1) / 12)</f>
        <v/>
      </c>
      <c r="AH34" s="41">
        <f>AH13 * (Inputs!$B$41 / 12) * (1 + Inputs!$B$47)^INT((COLUMNS($B$34:AH34)-1) / 12)</f>
        <v/>
      </c>
      <c r="AI34" s="41">
        <f>AI13 * (Inputs!$B$41 / 12) * (1 + Inputs!$B$47)^INT((COLUMNS($B$34:AI34)-1) / 12)</f>
        <v/>
      </c>
      <c r="AJ34" s="41">
        <f>AJ13 * (Inputs!$B$41 / 12) * (1 + Inputs!$B$47)^INT((COLUMNS($B$34:AJ34)-1) / 12)</f>
        <v/>
      </c>
      <c r="AK34" s="41">
        <f>AK13 * (Inputs!$B$41 / 12) * (1 + Inputs!$B$47)^INT((COLUMNS($B$34:AK34)-1) / 12)</f>
        <v/>
      </c>
      <c r="AL34" s="41">
        <f>AL13 * (Inputs!$B$41 / 12) * (1 + Inputs!$B$47)^INT((COLUMNS($B$34:AL34)-1) / 12)</f>
        <v/>
      </c>
      <c r="AM34" s="41">
        <f>AM13 * (Inputs!$B$41 / 12) * (1 + Inputs!$B$47)^INT((COLUMNS($B$34:AM34)-1) / 12)</f>
        <v/>
      </c>
      <c r="AN34" s="41">
        <f>AN13 * (Inputs!$B$41 / 12) * (1 + Inputs!$B$47)^INT((COLUMNS($B$34:AN34)-1) / 12)</f>
        <v/>
      </c>
      <c r="AO34" s="41">
        <f>AO13 * (Inputs!$B$41 / 12) * (1 + Inputs!$B$47)^INT((COLUMNS($B$34:AO34)-1) / 12)</f>
        <v/>
      </c>
      <c r="AP34" s="41">
        <f>AP13 * (Inputs!$B$41 / 12) * (1 + Inputs!$B$47)^INT((COLUMNS($B$34:AP34)-1) / 12)</f>
        <v/>
      </c>
      <c r="AQ34" s="41">
        <f>AQ13 * (Inputs!$B$41 / 12) * (1 + Inputs!$B$47)^INT((COLUMNS($B$34:AQ34)-1) / 12)</f>
        <v/>
      </c>
      <c r="AR34" s="41">
        <f>AR13 * (Inputs!$B$41 / 12) * (1 + Inputs!$B$47)^INT((COLUMNS($B$34:AR34)-1) / 12)</f>
        <v/>
      </c>
      <c r="AS34" s="41">
        <f>AS13 * (Inputs!$B$41 / 12) * (1 + Inputs!$B$47)^INT((COLUMNS($B$34:AS34)-1) / 12)</f>
        <v/>
      </c>
      <c r="AT34" s="41">
        <f>AT13 * (Inputs!$B$41 / 12) * (1 + Inputs!$B$47)^INT((COLUMNS($B$34:AT34)-1) / 12)</f>
        <v/>
      </c>
      <c r="AU34" s="41">
        <f>AU13 * (Inputs!$B$41 / 12) * (1 + Inputs!$B$47)^INT((COLUMNS($B$34:AU34)-1) / 12)</f>
        <v/>
      </c>
      <c r="AV34" s="41">
        <f>AV13 * (Inputs!$B$41 / 12) * (1 + Inputs!$B$47)^INT((COLUMNS($B$34:AV34)-1) / 12)</f>
        <v/>
      </c>
      <c r="AW34" s="41">
        <f>AW13 * (Inputs!$B$41 / 12) * (1 + Inputs!$B$47)^INT((COLUMNS($B$34:AW34)-1) / 12)</f>
        <v/>
      </c>
      <c r="AX34" s="41">
        <f>AX13 * (Inputs!$B$41 / 12) * (1 + Inputs!$B$47)^INT((COLUMNS($B$34:AX34)-1) / 12)</f>
        <v/>
      </c>
      <c r="AY34" s="41">
        <f>AY13 * (Inputs!$B$41 / 12) * (1 + Inputs!$B$47)^INT((COLUMNS($B$34:AY34)-1) / 12)</f>
        <v/>
      </c>
      <c r="AZ34" s="41">
        <f>AZ13 * (Inputs!$B$41 / 12) * (1 + Inputs!$B$47)^INT((COLUMNS($B$34:AZ34)-1) / 12)</f>
        <v/>
      </c>
      <c r="BA34" s="41">
        <f>BA13 * (Inputs!$B$41 / 12) * (1 + Inputs!$B$47)^INT((COLUMNS($B$34:BA34)-1) / 12)</f>
        <v/>
      </c>
    </row>
    <row r="35" ht="14.25" customHeight="1" s="165">
      <c r="A35" s="240" t="inlineStr">
        <is>
          <t>2. Customer Key Account Gehalt</t>
        </is>
      </c>
      <c r="B35" s="41">
        <f>B14*(Inputs!$B$41/12)*(1+Inputs!$B$47)^INT((COLUMNS($B$35:B35)-1)/12)</f>
        <v/>
      </c>
      <c r="C35" s="41">
        <f>C14*(Inputs!$B$41/12)*(1+Inputs!$B$47)^INT((COLUMNS($B$35:C35)-1)/12)</f>
        <v/>
      </c>
      <c r="D35" s="41">
        <f>D14*(Inputs!$B$41/12)*(1+Inputs!$B$47)^INT((COLUMNS($B$35:D35)-1)/12)</f>
        <v/>
      </c>
      <c r="E35" s="41">
        <f>E14*(Inputs!$B$41/12)*(1+Inputs!$B$47)^INT((COLUMNS($B$35:E35)-1)/12)</f>
        <v/>
      </c>
      <c r="F35" s="41">
        <f>F14*(Inputs!$B$41/12)*(1+Inputs!$B$47)^INT((COLUMNS($B$35:F35)-1)/12)</f>
        <v/>
      </c>
      <c r="G35" s="41">
        <f>G14*(Inputs!$B$41/12)*(1+Inputs!$B$47)^INT((COLUMNS($B$35:G35)-1)/12)</f>
        <v/>
      </c>
      <c r="H35" s="41">
        <f>H14*(Inputs!$B$41/12)*(1+Inputs!$B$47)^INT((COLUMNS($B$35:H35)-1)/12)</f>
        <v/>
      </c>
      <c r="I35" s="41">
        <f>I14*(Inputs!$B$41/12)*(1+Inputs!$B$47)^INT((COLUMNS($B$35:I35)-1)/12)</f>
        <v/>
      </c>
      <c r="J35" s="41">
        <f>J14*(Inputs!$B$41/12)*(1+Inputs!$B$47)^INT((COLUMNS($B$35:J35)-1)/12)</f>
        <v/>
      </c>
      <c r="K35" s="41">
        <f>K14*(Inputs!$B$41/12)*(1+Inputs!$B$47)^INT((COLUMNS($B$35:K35)-1)/12)</f>
        <v/>
      </c>
      <c r="L35" s="41">
        <f>L14*(Inputs!$B$41/12)*(1+Inputs!$B$47)^INT((COLUMNS($B$35:L35)-1)/12)</f>
        <v/>
      </c>
      <c r="M35" s="41">
        <f>M14*(Inputs!$B$41/12)*(1+Inputs!$B$47)^INT((COLUMNS($B$35:M35)-1)/12)</f>
        <v/>
      </c>
      <c r="N35" s="41">
        <f>N14*(Inputs!$B$41/12)*(1+Inputs!$B$47)^INT((COLUMNS($B$35:N35)-1)/12)</f>
        <v/>
      </c>
      <c r="O35" s="41">
        <f>O14*(Inputs!$B$41/12)*(1+Inputs!$B$47)^INT((COLUMNS($B$35:O35)-1)/12)</f>
        <v/>
      </c>
      <c r="P35" s="41">
        <f>P14*(Inputs!$B$41/12)*(1+Inputs!$B$47)^INT((COLUMNS($B$35:P35)-1)/12)</f>
        <v/>
      </c>
      <c r="Q35" s="41">
        <f>Q14*(Inputs!$B$41/12)*(1+Inputs!$B$47)^INT((COLUMNS($B$35:Q35)-1)/12)</f>
        <v/>
      </c>
      <c r="R35" s="41">
        <f>R14*(Inputs!$B$41/12)*(1+Inputs!$B$47)^INT((COLUMNS($B$35:R35)-1)/12)</f>
        <v/>
      </c>
      <c r="S35" s="41">
        <f>S14*(Inputs!$B$41/12)*(1+Inputs!$B$47)^INT((COLUMNS($B$35:S35)-1)/12)</f>
        <v/>
      </c>
      <c r="T35" s="41">
        <f>T14*(Inputs!$B$41/12)*(1+Inputs!$B$47)^INT((COLUMNS($B$35:T35)-1)/12)</f>
        <v/>
      </c>
      <c r="U35" s="41">
        <f>U14*(Inputs!$B$41/12)*(1+Inputs!$B$47)^INT((COLUMNS($B$35:U35)-1)/12)</f>
        <v/>
      </c>
      <c r="V35" s="41">
        <f>V14*(Inputs!$B$41/12)*(1+Inputs!$B$47)^INT((COLUMNS($B$35:V35)-1)/12)</f>
        <v/>
      </c>
      <c r="W35" s="41">
        <f>W14*(Inputs!$B$41/12)*(1+Inputs!$B$47)^INT((COLUMNS($B$35:W35)-1)/12)</f>
        <v/>
      </c>
      <c r="X35" s="41">
        <f>X14*(Inputs!$B$41/12)*(1+Inputs!$B$47)^INT((COLUMNS($B$35:X35)-1)/12)</f>
        <v/>
      </c>
      <c r="Y35" s="41">
        <f>Y14*(Inputs!$B$41/12)*(1+Inputs!$B$47)^INT((COLUMNS($B$35:Y35)-1)/12)</f>
        <v/>
      </c>
      <c r="Z35" s="41">
        <f>Z14*(Inputs!$B$41/12)*(1+Inputs!$B$47)^INT((COLUMNS($B$35:Z35)-1)/12)</f>
        <v/>
      </c>
      <c r="AA35" s="41">
        <f>AA14*(Inputs!$B$41/12)*(1+Inputs!$B$47)^INT((COLUMNS($B$35:AA35)-1)/12)</f>
        <v/>
      </c>
      <c r="AB35" s="41">
        <f>AB14*(Inputs!$B$41/12)*(1+Inputs!$B$47)^INT((COLUMNS($B$35:AB35)-1)/12)</f>
        <v/>
      </c>
      <c r="AC35" s="41">
        <f>AC14*(Inputs!$B$41/12)*(1+Inputs!$B$47)^INT((COLUMNS($B$35:AC35)-1)/12)</f>
        <v/>
      </c>
      <c r="AD35" s="41">
        <f>AD14*(Inputs!$B$41/12)*(1+Inputs!$B$47)^INT((COLUMNS($B$35:AD35)-1)/12)</f>
        <v/>
      </c>
      <c r="AE35" s="41">
        <f>AE14*(Inputs!$B$41/12)*(1+Inputs!$B$47)^INT((COLUMNS($B$35:AE35)-1)/12)</f>
        <v/>
      </c>
      <c r="AF35" s="41">
        <f>AF14*(Inputs!$B$41/12)*(1+Inputs!$B$47)^INT((COLUMNS($B$35:AF35)-1)/12)</f>
        <v/>
      </c>
      <c r="AG35" s="41">
        <f>AG14*(Inputs!$B$41/12)*(1+Inputs!$B$47)^INT((COLUMNS($B$35:AG35)-1)/12)</f>
        <v/>
      </c>
      <c r="AH35" s="41">
        <f>AH14*(Inputs!$B$41/12)*(1+Inputs!$B$47)^INT((COLUMNS($B$35:AH35)-1)/12)</f>
        <v/>
      </c>
      <c r="AI35" s="41">
        <f>AI14*(Inputs!$B$41/12)*(1+Inputs!$B$47)^INT((COLUMNS($B$35:AI35)-1)/12)</f>
        <v/>
      </c>
      <c r="AJ35" s="41">
        <f>AJ14*(Inputs!$B$41/12)*(1+Inputs!$B$47)^INT((COLUMNS($B$35:AJ35)-1)/12)</f>
        <v/>
      </c>
      <c r="AK35" s="41">
        <f>AK14*(Inputs!$B$41/12)*(1+Inputs!$B$47)^INT((COLUMNS($B$35:AK35)-1)/12)</f>
        <v/>
      </c>
      <c r="AL35" s="41">
        <f>AL14*(Inputs!$B$41/12)*(1+Inputs!$B$47)^INT((COLUMNS($B$35:AL35)-1)/12)</f>
        <v/>
      </c>
      <c r="AM35" s="41">
        <f>AM14*(Inputs!$B$41/12)*(1+Inputs!$B$47)^INT((COLUMNS($B$35:AM35)-1)/12)</f>
        <v/>
      </c>
      <c r="AN35" s="41">
        <f>AN14*(Inputs!$B$41/12)*(1+Inputs!$B$47)^INT((COLUMNS($B$35:AN35)-1)/12)</f>
        <v/>
      </c>
      <c r="AO35" s="41">
        <f>AO14*(Inputs!$B$41/12)*(1+Inputs!$B$47)^INT((COLUMNS($B$35:AO35)-1)/12)</f>
        <v/>
      </c>
      <c r="AP35" s="41">
        <f>AP14*(Inputs!$B$41/12)*(1+Inputs!$B$47)^INT((COLUMNS($B$35:AP35)-1)/12)</f>
        <v/>
      </c>
      <c r="AQ35" s="41">
        <f>AQ14*(Inputs!$B$41/12)*(1+Inputs!$B$47)^INT((COLUMNS($B$35:AQ35)-1)/12)</f>
        <v/>
      </c>
      <c r="AR35" s="41">
        <f>AR14*(Inputs!$B$41/12)*(1+Inputs!$B$47)^INT((COLUMNS($B$35:AR35)-1)/12)</f>
        <v/>
      </c>
      <c r="AS35" s="41">
        <f>AS14*(Inputs!$B$41/12)*(1+Inputs!$B$47)^INT((COLUMNS($B$35:AS35)-1)/12)</f>
        <v/>
      </c>
      <c r="AT35" s="41">
        <f>AT14*(Inputs!$B$41/12)*(1+Inputs!$B$47)^INT((COLUMNS($B$35:AT35)-1)/12)</f>
        <v/>
      </c>
      <c r="AU35" s="41">
        <f>AU14*(Inputs!$B$41/12)*(1+Inputs!$B$47)^INT((COLUMNS($B$35:AU35)-1)/12)</f>
        <v/>
      </c>
      <c r="AV35" s="41">
        <f>AV14*(Inputs!$B$41/12)*(1+Inputs!$B$47)^INT((COLUMNS($B$35:AV35)-1)/12)</f>
        <v/>
      </c>
      <c r="AW35" s="41">
        <f>AW14*(Inputs!$B$41/12)*(1+Inputs!$B$47)^INT((COLUMNS($B$35:AW35)-1)/12)</f>
        <v/>
      </c>
      <c r="AX35" s="41">
        <f>AX14*(Inputs!$B$41/12)*(1+Inputs!$B$47)^INT((COLUMNS($B$35:AX35)-1)/12)</f>
        <v/>
      </c>
      <c r="AY35" s="41">
        <f>AY14*(Inputs!$B$41/12)*(1+Inputs!$B$47)^INT((COLUMNS($B$35:AY35)-1)/12)</f>
        <v/>
      </c>
      <c r="AZ35" s="41">
        <f>AZ14*(Inputs!$B$41/12)*(1+Inputs!$B$47)^INT((COLUMNS($B$35:AZ35)-1)/12)</f>
        <v/>
      </c>
      <c r="BA35" s="41">
        <f>BA14*(Inputs!$B$41/12)*(1+Inputs!$B$47)^INT((COLUMNS($B$35:BA35)-1)/12)</f>
        <v/>
      </c>
    </row>
    <row r="36" ht="14.25" customHeight="1" s="165">
      <c r="A36" s="240" t="inlineStr">
        <is>
          <t>3. Customer Key Account Gehalt</t>
        </is>
      </c>
      <c r="B36" s="41">
        <f>B15*(Inputs!$B$41/12)*(1+Inputs!$B$47)^INT((COLUMNS($B$36:B36)-1)/12)</f>
        <v/>
      </c>
      <c r="C36" s="41">
        <f>C15*(Inputs!$B$41/12)*(1+Inputs!$B$47)^INT((COLUMNS($B$36:C36)-1)/12)</f>
        <v/>
      </c>
      <c r="D36" s="41">
        <f>D15*(Inputs!$B$41/12)*(1+Inputs!$B$47)^INT((COLUMNS($B$36:D36)-1)/12)</f>
        <v/>
      </c>
      <c r="E36" s="41">
        <f>E15*(Inputs!$B$41/12)*(1+Inputs!$B$47)^INT((COLUMNS($B$36:E36)-1)/12)</f>
        <v/>
      </c>
      <c r="F36" s="41">
        <f>F15*(Inputs!$B$41/12)*(1+Inputs!$B$47)^INT((COLUMNS($B$36:F36)-1)/12)</f>
        <v/>
      </c>
      <c r="G36" s="41">
        <f>G15*(Inputs!$B$41/12)*(1+Inputs!$B$47)^INT((COLUMNS($B$36:G36)-1)/12)</f>
        <v/>
      </c>
      <c r="H36" s="41">
        <f>H15*(Inputs!$B$41/12)*(1+Inputs!$B$47)^INT((COLUMNS($B$36:H36)-1)/12)</f>
        <v/>
      </c>
      <c r="I36" s="41">
        <f>I15*(Inputs!$B$41/12)*(1+Inputs!$B$47)^INT((COLUMNS($B$36:I36)-1)/12)</f>
        <v/>
      </c>
      <c r="J36" s="41">
        <f>J15*(Inputs!$B$41/12)*(1+Inputs!$B$47)^INT((COLUMNS($B$36:J36)-1)/12)</f>
        <v/>
      </c>
      <c r="K36" s="41">
        <f>K15*(Inputs!$B$41/12)*(1+Inputs!$B$47)^INT((COLUMNS($B$36:K36)-1)/12)</f>
        <v/>
      </c>
      <c r="L36" s="41">
        <f>L15*(Inputs!$B$41/12)*(1+Inputs!$B$47)^INT((COLUMNS($B$36:L36)-1)/12)</f>
        <v/>
      </c>
      <c r="M36" s="41">
        <f>M15*(Inputs!$B$41/12)*(1+Inputs!$B$47)^INT((COLUMNS($B$36:M36)-1)/12)</f>
        <v/>
      </c>
      <c r="N36" s="41">
        <f>N15*(Inputs!$B$41/12)*(1+Inputs!$B$47)^INT((COLUMNS($B$36:N36)-1)/12)</f>
        <v/>
      </c>
      <c r="O36" s="41">
        <f>O15*(Inputs!$B$41/12)*(1+Inputs!$B$47)^INT((COLUMNS($B$36:O36)-1)/12)</f>
        <v/>
      </c>
      <c r="P36" s="41">
        <f>P15*(Inputs!$B$41/12)*(1+Inputs!$B$47)^INT((COLUMNS($B$36:P36)-1)/12)</f>
        <v/>
      </c>
      <c r="Q36" s="41">
        <f>Q15*(Inputs!$B$41/12)*(1+Inputs!$B$47)^INT((COLUMNS($B$36:Q36)-1)/12)</f>
        <v/>
      </c>
      <c r="R36" s="41">
        <f>R15*(Inputs!$B$41/12)*(1+Inputs!$B$47)^INT((COLUMNS($B$36:R36)-1)/12)</f>
        <v/>
      </c>
      <c r="S36" s="41">
        <f>S15*(Inputs!$B$41/12)*(1+Inputs!$B$47)^INT((COLUMNS($B$36:S36)-1)/12)</f>
        <v/>
      </c>
      <c r="T36" s="41">
        <f>T15*(Inputs!$B$41/12)*(1+Inputs!$B$47)^INT((COLUMNS($B$36:T36)-1)/12)</f>
        <v/>
      </c>
      <c r="U36" s="41">
        <f>U15*(Inputs!$B$41/12)*(1+Inputs!$B$47)^INT((COLUMNS($B$36:U36)-1)/12)</f>
        <v/>
      </c>
      <c r="V36" s="41">
        <f>V15*(Inputs!$B$41/12)*(1+Inputs!$B$47)^INT((COLUMNS($B$36:V36)-1)/12)</f>
        <v/>
      </c>
      <c r="W36" s="41">
        <f>W15*(Inputs!$B$41/12)*(1+Inputs!$B$47)^INT((COLUMNS($B$36:W36)-1)/12)</f>
        <v/>
      </c>
      <c r="X36" s="41">
        <f>X15*(Inputs!$B$41/12)*(1+Inputs!$B$47)^INT((COLUMNS($B$36:X36)-1)/12)</f>
        <v/>
      </c>
      <c r="Y36" s="41">
        <f>Y15*(Inputs!$B$41/12)*(1+Inputs!$B$47)^INT((COLUMNS($B$36:Y36)-1)/12)</f>
        <v/>
      </c>
      <c r="Z36" s="41">
        <f>Z15*(Inputs!$B$41/12)*(1+Inputs!$B$47)^INT((COLUMNS($B$36:Z36)-1)/12)</f>
        <v/>
      </c>
      <c r="AA36" s="41">
        <f>AA15*(Inputs!$B$41/12)*(1+Inputs!$B$47)^INT((COLUMNS($B$36:AA36)-1)/12)</f>
        <v/>
      </c>
      <c r="AB36" s="41">
        <f>AB15*(Inputs!$B$41/12)*(1+Inputs!$B$47)^INT((COLUMNS($B$36:AB36)-1)/12)</f>
        <v/>
      </c>
      <c r="AC36" s="41">
        <f>AC15*(Inputs!$B$41/12)*(1+Inputs!$B$47)^INT((COLUMNS($B$36:AC36)-1)/12)</f>
        <v/>
      </c>
      <c r="AD36" s="41">
        <f>AD15*(Inputs!$B$41/12)*(1+Inputs!$B$47)^INT((COLUMNS($B$36:AD36)-1)/12)</f>
        <v/>
      </c>
      <c r="AE36" s="41">
        <f>AE15*(Inputs!$B$41/12)*(1+Inputs!$B$47)^INT((COLUMNS($B$36:AE36)-1)/12)</f>
        <v/>
      </c>
      <c r="AF36" s="41">
        <f>AF15*(Inputs!$B$41/12)*(1+Inputs!$B$47)^INT((COLUMNS($B$36:AF36)-1)/12)</f>
        <v/>
      </c>
      <c r="AG36" s="41">
        <f>AG15*(Inputs!$B$41/12)*(1+Inputs!$B$47)^INT((COLUMNS($B$36:AG36)-1)/12)</f>
        <v/>
      </c>
      <c r="AH36" s="41">
        <f>AH15*(Inputs!$B$41/12)*(1+Inputs!$B$47)^INT((COLUMNS($B$36:AH36)-1)/12)</f>
        <v/>
      </c>
      <c r="AI36" s="41">
        <f>AI15*(Inputs!$B$41/12)*(1+Inputs!$B$47)^INT((COLUMNS($B$36:AI36)-1)/12)</f>
        <v/>
      </c>
      <c r="AJ36" s="41">
        <f>AJ15*(Inputs!$B$41/12)*(1+Inputs!$B$47)^INT((COLUMNS($B$36:AJ36)-1)/12)</f>
        <v/>
      </c>
      <c r="AK36" s="41">
        <f>AK15*(Inputs!$B$41/12)*(1+Inputs!$B$47)^INT((COLUMNS($B$36:AK36)-1)/12)</f>
        <v/>
      </c>
      <c r="AL36" s="41">
        <f>AL15*(Inputs!$B$41/12)*(1+Inputs!$B$47)^INT((COLUMNS($B$36:AL36)-1)/12)</f>
        <v/>
      </c>
      <c r="AM36" s="41">
        <f>AM15*(Inputs!$B$41/12)*(1+Inputs!$B$47)^INT((COLUMNS($B$36:AM36)-1)/12)</f>
        <v/>
      </c>
      <c r="AN36" s="41">
        <f>AN15*(Inputs!$B$41/12)*(1+Inputs!$B$47)^INT((COLUMNS($B$36:AN36)-1)/12)</f>
        <v/>
      </c>
      <c r="AO36" s="41">
        <f>AO15*(Inputs!$B$41/12)*(1+Inputs!$B$47)^INT((COLUMNS($B$36:AO36)-1)/12)</f>
        <v/>
      </c>
      <c r="AP36" s="41">
        <f>AP15*(Inputs!$B$41/12)*(1+Inputs!$B$47)^INT((COLUMNS($B$36:AP36)-1)/12)</f>
        <v/>
      </c>
      <c r="AQ36" s="41">
        <f>AQ15*(Inputs!$B$41/12)*(1+Inputs!$B$47)^INT((COLUMNS($B$36:AQ36)-1)/12)</f>
        <v/>
      </c>
      <c r="AR36" s="41">
        <f>AR15*(Inputs!$B$41/12)*(1+Inputs!$B$47)^INT((COLUMNS($B$36:AR36)-1)/12)</f>
        <v/>
      </c>
      <c r="AS36" s="41">
        <f>AS15*(Inputs!$B$41/12)*(1+Inputs!$B$47)^INT((COLUMNS($B$36:AS36)-1)/12)</f>
        <v/>
      </c>
      <c r="AT36" s="41">
        <f>AT15*(Inputs!$B$41/12)*(1+Inputs!$B$47)^INT((COLUMNS($B$36:AT36)-1)/12)</f>
        <v/>
      </c>
      <c r="AU36" s="41">
        <f>AU15*(Inputs!$B$41/12)*(1+Inputs!$B$47)^INT((COLUMNS($B$36:AU36)-1)/12)</f>
        <v/>
      </c>
      <c r="AV36" s="41">
        <f>AV15*(Inputs!$B$41/12)*(1+Inputs!$B$47)^INT((COLUMNS($B$36:AV36)-1)/12)</f>
        <v/>
      </c>
      <c r="AW36" s="41">
        <f>AW15*(Inputs!$B$41/12)*(1+Inputs!$B$47)^INT((COLUMNS($B$36:AW36)-1)/12)</f>
        <v/>
      </c>
      <c r="AX36" s="41">
        <f>AX15*(Inputs!$B$41/12)*(1+Inputs!$B$47)^INT((COLUMNS($B$36:AX36)-1)/12)</f>
        <v/>
      </c>
      <c r="AY36" s="41">
        <f>AY15*(Inputs!$B$41/12)*(1+Inputs!$B$47)^INT((COLUMNS($B$36:AY36)-1)/12)</f>
        <v/>
      </c>
      <c r="AZ36" s="41">
        <f>AZ15*(Inputs!$B$41/12)*(1+Inputs!$B$47)^INT((COLUMNS($B$36:AZ36)-1)/12)</f>
        <v/>
      </c>
      <c r="BA36" s="41">
        <f>BA15*(Inputs!$B$41/12)*(1+Inputs!$B$47)^INT((COLUMNS($B$36:BA36)-1)/12)</f>
        <v/>
      </c>
    </row>
    <row r="37" ht="14.25" customHeight="1" s="165">
      <c r="A37" s="19" t="inlineStr">
        <is>
          <t>1. Marketing Assistant Gehalt</t>
        </is>
      </c>
      <c r="B37" s="41">
        <f>B16*(Inputs!$B$43/12)*(1+Inputs!$B$47)^INT((COLUMNS($B$37:B37)-1)/12)</f>
        <v/>
      </c>
      <c r="C37" s="41">
        <f>C16*(Inputs!$B$43/12)*(1+Inputs!$B$47)^INT((COLUMNS($B$37:C37)-1)/12)</f>
        <v/>
      </c>
      <c r="D37" s="41">
        <f>D16*(Inputs!$B$43/12)*(1+Inputs!$B$47)^INT((COLUMNS($B$37:D37)-1)/12)</f>
        <v/>
      </c>
      <c r="E37" s="41">
        <f>E16*(Inputs!$B$43/12)*(1+Inputs!$B$47)^INT((COLUMNS($B$37:E37)-1)/12)</f>
        <v/>
      </c>
      <c r="F37" s="41">
        <f>F16*(Inputs!$B$43/12)*(1+Inputs!$B$47)^INT((COLUMNS($B$37:F37)-1)/12)</f>
        <v/>
      </c>
      <c r="G37" s="41">
        <f>G16*(Inputs!$B$43/12)*(1+Inputs!$B$47)^INT((COLUMNS($B$37:G37)-1)/12)</f>
        <v/>
      </c>
      <c r="H37" s="41">
        <f>H16*(Inputs!$B$43/12)*(1+Inputs!$B$47)^INT((COLUMNS($B$37:H37)-1)/12)</f>
        <v/>
      </c>
      <c r="I37" s="41">
        <f>I16*(Inputs!$B$43/12)*(1+Inputs!$B$47)^INT((COLUMNS($B$37:I37)-1)/12)</f>
        <v/>
      </c>
      <c r="J37" s="41">
        <f>J16*(Inputs!$B$43/12)*(1+Inputs!$B$47)^INT((COLUMNS($B$37:J37)-1)/12)</f>
        <v/>
      </c>
      <c r="K37" s="41">
        <f>K16*(Inputs!$B$43/12)*(1+Inputs!$B$47)^INT((COLUMNS($B$37:K37)-1)/12)</f>
        <v/>
      </c>
      <c r="L37" s="41">
        <f>L16*(Inputs!$B$43/12)*(1+Inputs!$B$47)^INT((COLUMNS($B$37:L37)-1)/12)</f>
        <v/>
      </c>
      <c r="M37" s="41">
        <f>M16*(Inputs!$B$43/12)*(1+Inputs!$B$47)^INT((COLUMNS($B$37:M37)-1)/12)</f>
        <v/>
      </c>
      <c r="N37" s="41">
        <f>N16*(Inputs!$B$43/12)*(1+Inputs!$B$47)^INT((COLUMNS($B$37:N37)-1)/12)</f>
        <v/>
      </c>
      <c r="O37" s="41">
        <f>O16*(Inputs!$B$43/12)*(1+Inputs!$B$47)^INT((COLUMNS($B$37:O37)-1)/12)</f>
        <v/>
      </c>
      <c r="P37" s="41">
        <f>P16*(Inputs!$B$43/12)*(1+Inputs!$B$47)^INT((COLUMNS($B$37:P37)-1)/12)</f>
        <v/>
      </c>
      <c r="Q37" s="41">
        <f>Q16*(Inputs!$B$43/12)*(1+Inputs!$B$47)^INT((COLUMNS($B$37:Q37)-1)/12)</f>
        <v/>
      </c>
      <c r="R37" s="41">
        <f>R16*(Inputs!$B$43/12)*(1+Inputs!$B$47)^INT((COLUMNS($B$37:R37)-1)/12)</f>
        <v/>
      </c>
      <c r="S37" s="41">
        <f>S16*(Inputs!$B$43/12)*(1+Inputs!$B$47)^INT((COLUMNS($B$37:S37)-1)/12)</f>
        <v/>
      </c>
      <c r="T37" s="41">
        <f>T16*(Inputs!$B$43/12)*(1+Inputs!$B$47)^INT((COLUMNS($B$37:T37)-1)/12)</f>
        <v/>
      </c>
      <c r="U37" s="41">
        <f>U16*(Inputs!$B$43/12)*(1+Inputs!$B$47)^INT((COLUMNS($B$37:U37)-1)/12)</f>
        <v/>
      </c>
      <c r="V37" s="41">
        <f>V16*(Inputs!$B$43/12)*(1+Inputs!$B$47)^INT((COLUMNS($B$37:V37)-1)/12)</f>
        <v/>
      </c>
      <c r="W37" s="41">
        <f>W16*(Inputs!$B$43/12)*(1+Inputs!$B$47)^INT((COLUMNS($B$37:W37)-1)/12)</f>
        <v/>
      </c>
      <c r="X37" s="41">
        <f>X16*(Inputs!$B$43/12)*(1+Inputs!$B$47)^INT((COLUMNS($B$37:X37)-1)/12)</f>
        <v/>
      </c>
      <c r="Y37" s="41">
        <f>Y16*(Inputs!$B$43/12)*(1+Inputs!$B$47)^INT((COLUMNS($B$37:Y37)-1)/12)</f>
        <v/>
      </c>
      <c r="Z37" s="41">
        <f>Z16*(Inputs!$B$43/12)*(1+Inputs!$B$47)^INT((COLUMNS($B$37:Z37)-1)/12)</f>
        <v/>
      </c>
      <c r="AA37" s="41">
        <f>AA16*(Inputs!$B$43/12)*(1+Inputs!$B$47)^INT((COLUMNS($B$37:AA37)-1)/12)</f>
        <v/>
      </c>
      <c r="AB37" s="41">
        <f>AB16*(Inputs!$B$43/12)*(1+Inputs!$B$47)^INT((COLUMNS($B$37:AB37)-1)/12)</f>
        <v/>
      </c>
      <c r="AC37" s="41">
        <f>AC16*(Inputs!$B$43/12)*(1+Inputs!$B$47)^INT((COLUMNS($B$37:AC37)-1)/12)</f>
        <v/>
      </c>
      <c r="AD37" s="41">
        <f>AD16*(Inputs!$B$43/12)*(1+Inputs!$B$47)^INT((COLUMNS($B$37:AD37)-1)/12)</f>
        <v/>
      </c>
      <c r="AE37" s="41">
        <f>AE16*(Inputs!$B$43/12)*(1+Inputs!$B$47)^INT((COLUMNS($B$37:AE37)-1)/12)</f>
        <v/>
      </c>
      <c r="AF37" s="41">
        <f>AF16*(Inputs!$B$43/12)*(1+Inputs!$B$47)^INT((COLUMNS($B$37:AF37)-1)/12)</f>
        <v/>
      </c>
      <c r="AG37" s="41">
        <f>AG16*(Inputs!$B$43/12)*(1+Inputs!$B$47)^INT((COLUMNS($B$37:AG37)-1)/12)</f>
        <v/>
      </c>
      <c r="AH37" s="41">
        <f>AH16*(Inputs!$B$43/12)*(1+Inputs!$B$47)^INT((COLUMNS($B$37:AH37)-1)/12)</f>
        <v/>
      </c>
      <c r="AI37" s="41">
        <f>AI16*(Inputs!$B$43/12)*(1+Inputs!$B$47)^INT((COLUMNS($B$37:AI37)-1)/12)</f>
        <v/>
      </c>
      <c r="AJ37" s="41">
        <f>AJ16*(Inputs!$B$43/12)*(1+Inputs!$B$47)^INT((COLUMNS($B$37:AJ37)-1)/12)</f>
        <v/>
      </c>
      <c r="AK37" s="41">
        <f>AK16*(Inputs!$B$43/12)*(1+Inputs!$B$47)^INT((COLUMNS($B$37:AK37)-1)/12)</f>
        <v/>
      </c>
      <c r="AL37" s="41">
        <f>AL16*(Inputs!$B$43/12)*(1+Inputs!$B$47)^INT((COLUMNS($B$37:AL37)-1)/12)</f>
        <v/>
      </c>
      <c r="AM37" s="41">
        <f>AM16*(Inputs!$B$43/12)*(1+Inputs!$B$47)^INT((COLUMNS($B$37:AM37)-1)/12)</f>
        <v/>
      </c>
      <c r="AN37" s="41">
        <f>AN16*(Inputs!$B$43/12)*(1+Inputs!$B$47)^INT((COLUMNS($B$37:AN37)-1)/12)</f>
        <v/>
      </c>
      <c r="AO37" s="41">
        <f>AO16*(Inputs!$B$43/12)*(1+Inputs!$B$47)^INT((COLUMNS($B$37:AO37)-1)/12)</f>
        <v/>
      </c>
      <c r="AP37" s="41">
        <f>AP16*(Inputs!$B$43/12)*(1+Inputs!$B$47)^INT((COLUMNS($B$37:AP37)-1)/12)</f>
        <v/>
      </c>
      <c r="AQ37" s="41">
        <f>AQ16*(Inputs!$B$43/12)*(1+Inputs!$B$47)^INT((COLUMNS($B$37:AQ37)-1)/12)</f>
        <v/>
      </c>
      <c r="AR37" s="41">
        <f>AR16*(Inputs!$B$43/12)*(1+Inputs!$B$47)^INT((COLUMNS($B$37:AR37)-1)/12)</f>
        <v/>
      </c>
      <c r="AS37" s="41">
        <f>AS16*(Inputs!$B$43/12)*(1+Inputs!$B$47)^INT((COLUMNS($B$37:AS37)-1)/12)</f>
        <v/>
      </c>
      <c r="AT37" s="41">
        <f>AT16*(Inputs!$B$43/12)*(1+Inputs!$B$47)^INT((COLUMNS($B$37:AT37)-1)/12)</f>
        <v/>
      </c>
      <c r="AU37" s="41">
        <f>AU16*(Inputs!$B$43/12)*(1+Inputs!$B$47)^INT((COLUMNS($B$37:AU37)-1)/12)</f>
        <v/>
      </c>
      <c r="AV37" s="41">
        <f>AV16*(Inputs!$B$43/12)*(1+Inputs!$B$47)^INT((COLUMNS($B$37:AV37)-1)/12)</f>
        <v/>
      </c>
      <c r="AW37" s="41">
        <f>AW16*(Inputs!$B$43/12)*(1+Inputs!$B$47)^INT((COLUMNS($B$37:AW37)-1)/12)</f>
        <v/>
      </c>
      <c r="AX37" s="41">
        <f>AX16*(Inputs!$B$43/12)*(1+Inputs!$B$47)^INT((COLUMNS($B$37:AX37)-1)/12)</f>
        <v/>
      </c>
      <c r="AY37" s="41">
        <f>AY16*(Inputs!$B$43/12)*(1+Inputs!$B$47)^INT((COLUMNS($B$37:AY37)-1)/12)</f>
        <v/>
      </c>
      <c r="AZ37" s="41">
        <f>AZ16*(Inputs!$B$43/12)*(1+Inputs!$B$47)^INT((COLUMNS($B$37:AZ37)-1)/12)</f>
        <v/>
      </c>
      <c r="BA37" s="41">
        <f>BA16*(Inputs!$B$43/12)*(1+Inputs!$B$47)^INT((COLUMNS($B$37:BA37)-1)/12)</f>
        <v/>
      </c>
    </row>
    <row r="38" ht="14.25" customHeight="1" s="165">
      <c r="A38" s="240" t="inlineStr">
        <is>
          <t>2. Marketing Assistant Gehalt</t>
        </is>
      </c>
      <c r="B38" s="41">
        <f>B17*(Inputs!$B$43/12)*(1+Inputs!$B$47)^INT((COLUMNS($B$38:B38)-1)/12)</f>
        <v/>
      </c>
      <c r="C38" s="41">
        <f>C17*(Inputs!$B$43/12)*(1+Inputs!$B$47)^INT((COLUMNS($B$38:C38)-1)/12)</f>
        <v/>
      </c>
      <c r="D38" s="41">
        <f>D17*(Inputs!$B$43/12)*(1+Inputs!$B$47)^INT((COLUMNS($B$38:D38)-1)/12)</f>
        <v/>
      </c>
      <c r="E38" s="41">
        <f>E17*(Inputs!$B$43/12)*(1+Inputs!$B$47)^INT((COLUMNS($B$38:E38)-1)/12)</f>
        <v/>
      </c>
      <c r="F38" s="41">
        <f>F17*(Inputs!$B$43/12)*(1+Inputs!$B$47)^INT((COLUMNS($B$38:F38)-1)/12)</f>
        <v/>
      </c>
      <c r="G38" s="41">
        <f>G17*(Inputs!$B$43/12)*(1+Inputs!$B$47)^INT((COLUMNS($B$38:G38)-1)/12)</f>
        <v/>
      </c>
      <c r="H38" s="41">
        <f>H17*(Inputs!$B$43/12)*(1+Inputs!$B$47)^INT((COLUMNS($B$38:H38)-1)/12)</f>
        <v/>
      </c>
      <c r="I38" s="41">
        <f>I17*(Inputs!$B$43/12)*(1+Inputs!$B$47)^INT((COLUMNS($B$38:I38)-1)/12)</f>
        <v/>
      </c>
      <c r="J38" s="41">
        <f>J17*(Inputs!$B$43/12)*(1+Inputs!$B$47)^INT((COLUMNS($B$38:J38)-1)/12)</f>
        <v/>
      </c>
      <c r="K38" s="41">
        <f>K17*(Inputs!$B$43/12)*(1+Inputs!$B$47)^INT((COLUMNS($B$38:K38)-1)/12)</f>
        <v/>
      </c>
      <c r="L38" s="41">
        <f>L17*(Inputs!$B$43/12)*(1+Inputs!$B$47)^INT((COLUMNS($B$38:L38)-1)/12)</f>
        <v/>
      </c>
      <c r="M38" s="41">
        <f>M17*(Inputs!$B$43/12)*(1+Inputs!$B$47)^INT((COLUMNS($B$38:M38)-1)/12)</f>
        <v/>
      </c>
      <c r="N38" s="41">
        <f>N17*(Inputs!$B$43/12)*(1+Inputs!$B$47)^INT((COLUMNS($B$38:N38)-1)/12)</f>
        <v/>
      </c>
      <c r="O38" s="41">
        <f>O17*(Inputs!$B$43/12)*(1+Inputs!$B$47)^INT((COLUMNS($B$38:O38)-1)/12)</f>
        <v/>
      </c>
      <c r="P38" s="41">
        <f>P17*(Inputs!$B$43/12)*(1+Inputs!$B$47)^INT((COLUMNS($B$38:P38)-1)/12)</f>
        <v/>
      </c>
      <c r="Q38" s="41">
        <f>Q17*(Inputs!$B$43/12)*(1+Inputs!$B$47)^INT((COLUMNS($B$38:Q38)-1)/12)</f>
        <v/>
      </c>
      <c r="R38" s="41">
        <f>R17*(Inputs!$B$43/12)*(1+Inputs!$B$47)^INT((COLUMNS($B$38:R38)-1)/12)</f>
        <v/>
      </c>
      <c r="S38" s="41">
        <f>S17*(Inputs!$B$43/12)*(1+Inputs!$B$47)^INT((COLUMNS($B$38:S38)-1)/12)</f>
        <v/>
      </c>
      <c r="T38" s="41">
        <f>T17*(Inputs!$B$43/12)*(1+Inputs!$B$47)^INT((COLUMNS($B$38:T38)-1)/12)</f>
        <v/>
      </c>
      <c r="U38" s="41">
        <f>U17*(Inputs!$B$43/12)*(1+Inputs!$B$47)^INT((COLUMNS($B$38:U38)-1)/12)</f>
        <v/>
      </c>
      <c r="V38" s="41">
        <f>V17*(Inputs!$B$43/12)*(1+Inputs!$B$47)^INT((COLUMNS($B$38:V38)-1)/12)</f>
        <v/>
      </c>
      <c r="W38" s="41">
        <f>W17*(Inputs!$B$43/12)*(1+Inputs!$B$47)^INT((COLUMNS($B$38:W38)-1)/12)</f>
        <v/>
      </c>
      <c r="X38" s="41">
        <f>X17*(Inputs!$B$43/12)*(1+Inputs!$B$47)^INT((COLUMNS($B$38:X38)-1)/12)</f>
        <v/>
      </c>
      <c r="Y38" s="41">
        <f>Y17*(Inputs!$B$43/12)*(1+Inputs!$B$47)^INT((COLUMNS($B$38:Y38)-1)/12)</f>
        <v/>
      </c>
      <c r="Z38" s="41">
        <f>Z17*(Inputs!$B$43/12)*(1+Inputs!$B$47)^INT((COLUMNS($B$38:Z38)-1)/12)</f>
        <v/>
      </c>
      <c r="AA38" s="41">
        <f>AA17*(Inputs!$B$43/12)*(1+Inputs!$B$47)^INT((COLUMNS($B$38:AA38)-1)/12)</f>
        <v/>
      </c>
      <c r="AB38" s="41">
        <f>AB17*(Inputs!$B$43/12)*(1+Inputs!$B$47)^INT((COLUMNS($B$38:AB38)-1)/12)</f>
        <v/>
      </c>
      <c r="AC38" s="41">
        <f>AC17*(Inputs!$B$43/12)*(1+Inputs!$B$47)^INT((COLUMNS($B$38:AC38)-1)/12)</f>
        <v/>
      </c>
      <c r="AD38" s="41">
        <f>AD17*(Inputs!$B$43/12)*(1+Inputs!$B$47)^INT((COLUMNS($B$38:AD38)-1)/12)</f>
        <v/>
      </c>
      <c r="AE38" s="41">
        <f>AE17*(Inputs!$B$43/12)*(1+Inputs!$B$47)^INT((COLUMNS($B$38:AE38)-1)/12)</f>
        <v/>
      </c>
      <c r="AF38" s="41">
        <f>AF17*(Inputs!$B$43/12)*(1+Inputs!$B$47)^INT((COLUMNS($B$38:AF38)-1)/12)</f>
        <v/>
      </c>
      <c r="AG38" s="41">
        <f>AG17*(Inputs!$B$43/12)*(1+Inputs!$B$47)^INT((COLUMNS($B$38:AG38)-1)/12)</f>
        <v/>
      </c>
      <c r="AH38" s="41">
        <f>AH17*(Inputs!$B$43/12)*(1+Inputs!$B$47)^INT((COLUMNS($B$38:AH38)-1)/12)</f>
        <v/>
      </c>
      <c r="AI38" s="41">
        <f>AI17*(Inputs!$B$43/12)*(1+Inputs!$B$47)^INT((COLUMNS($B$38:AI38)-1)/12)</f>
        <v/>
      </c>
      <c r="AJ38" s="41">
        <f>AJ17*(Inputs!$B$43/12)*(1+Inputs!$B$47)^INT((COLUMNS($B$38:AJ38)-1)/12)</f>
        <v/>
      </c>
      <c r="AK38" s="41">
        <f>AK17*(Inputs!$B$43/12)*(1+Inputs!$B$47)^INT((COLUMNS($B$38:AK38)-1)/12)</f>
        <v/>
      </c>
      <c r="AL38" s="41">
        <f>AL17*(Inputs!$B$43/12)*(1+Inputs!$B$47)^INT((COLUMNS($B$38:AL38)-1)/12)</f>
        <v/>
      </c>
      <c r="AM38" s="41">
        <f>AM17*(Inputs!$B$43/12)*(1+Inputs!$B$47)^INT((COLUMNS($B$38:AM38)-1)/12)</f>
        <v/>
      </c>
      <c r="AN38" s="41">
        <f>AN17*(Inputs!$B$43/12)*(1+Inputs!$B$47)^INT((COLUMNS($B$38:AN38)-1)/12)</f>
        <v/>
      </c>
      <c r="AO38" s="41">
        <f>AO17*(Inputs!$B$43/12)*(1+Inputs!$B$47)^INT((COLUMNS($B$38:AO38)-1)/12)</f>
        <v/>
      </c>
      <c r="AP38" s="41">
        <f>AP17*(Inputs!$B$43/12)*(1+Inputs!$B$47)^INT((COLUMNS($B$38:AP38)-1)/12)</f>
        <v/>
      </c>
      <c r="AQ38" s="41">
        <f>AQ17*(Inputs!$B$43/12)*(1+Inputs!$B$47)^INT((COLUMNS($B$38:AQ38)-1)/12)</f>
        <v/>
      </c>
      <c r="AR38" s="41">
        <f>AR17*(Inputs!$B$43/12)*(1+Inputs!$B$47)^INT((COLUMNS($B$38:AR38)-1)/12)</f>
        <v/>
      </c>
      <c r="AS38" s="41">
        <f>AS17*(Inputs!$B$43/12)*(1+Inputs!$B$47)^INT((COLUMNS($B$38:AS38)-1)/12)</f>
        <v/>
      </c>
      <c r="AT38" s="41">
        <f>AT17*(Inputs!$B$43/12)*(1+Inputs!$B$47)^INT((COLUMNS($B$38:AT38)-1)/12)</f>
        <v/>
      </c>
      <c r="AU38" s="41">
        <f>AU17*(Inputs!$B$43/12)*(1+Inputs!$B$47)^INT((COLUMNS($B$38:AU38)-1)/12)</f>
        <v/>
      </c>
      <c r="AV38" s="41">
        <f>AV17*(Inputs!$B$43/12)*(1+Inputs!$B$47)^INT((COLUMNS($B$38:AV38)-1)/12)</f>
        <v/>
      </c>
      <c r="AW38" s="41">
        <f>AW17*(Inputs!$B$43/12)*(1+Inputs!$B$47)^INT((COLUMNS($B$38:AW38)-1)/12)</f>
        <v/>
      </c>
      <c r="AX38" s="41">
        <f>AX17*(Inputs!$B$43/12)*(1+Inputs!$B$47)^INT((COLUMNS($B$38:AX38)-1)/12)</f>
        <v/>
      </c>
      <c r="AY38" s="41">
        <f>AY17*(Inputs!$B$43/12)*(1+Inputs!$B$47)^INT((COLUMNS($B$38:AY38)-1)/12)</f>
        <v/>
      </c>
      <c r="AZ38" s="41">
        <f>AZ17*(Inputs!$B$43/12)*(1+Inputs!$B$47)^INT((COLUMNS($B$38:AZ38)-1)/12)</f>
        <v/>
      </c>
      <c r="BA38" s="41">
        <f>BA17*(Inputs!$B$43/12)*(1+Inputs!$B$47)^INT((COLUMNS($B$38:BA38)-1)/12)</f>
        <v/>
      </c>
    </row>
    <row r="39" ht="14.25" customHeight="1" s="165">
      <c r="A39" s="240" t="inlineStr">
        <is>
          <t>1. Marketing Manager Gehalt</t>
        </is>
      </c>
      <c r="B39" s="41">
        <f>B18*(Inputs!$B$42/12)*(1+Inputs!$B$47)^INT((COLUMNS($B$39:B39)-1)/12)</f>
        <v/>
      </c>
      <c r="C39" s="41">
        <f>C18*(Inputs!$B$42/12)*(1+Inputs!$B$47)^INT((COLUMNS($B$39:C39)-1)/12)</f>
        <v/>
      </c>
      <c r="D39" s="41">
        <f>D18*(Inputs!$B$42/12)*(1+Inputs!$B$47)^INT((COLUMNS($B$39:D39)-1)/12)</f>
        <v/>
      </c>
      <c r="E39" s="41">
        <f>E18*(Inputs!$B$42/12)*(1+Inputs!$B$47)^INT((COLUMNS($B$39:E39)-1)/12)</f>
        <v/>
      </c>
      <c r="F39" s="41">
        <f>F18*(Inputs!$B$42/12)*(1+Inputs!$B$47)^INT((COLUMNS($B$39:F39)-1)/12)</f>
        <v/>
      </c>
      <c r="G39" s="41">
        <f>G18*(Inputs!$B$42/12)*(1+Inputs!$B$47)^INT((COLUMNS($B$39:G39)-1)/12)</f>
        <v/>
      </c>
      <c r="H39" s="41">
        <f>H18*(Inputs!$B$42/12)*(1+Inputs!$B$47)^INT((COLUMNS($B$39:H39)-1)/12)</f>
        <v/>
      </c>
      <c r="I39" s="41">
        <f>I18*(Inputs!$B$42/12)*(1+Inputs!$B$47)^INT((COLUMNS($B$39:I39)-1)/12)</f>
        <v/>
      </c>
      <c r="J39" s="41">
        <f>J18*(Inputs!$B$42/12)*(1+Inputs!$B$47)^INT((COLUMNS($B$39:J39)-1)/12)</f>
        <v/>
      </c>
      <c r="K39" s="41">
        <f>K18*(Inputs!$B$42/12)*(1+Inputs!$B$47)^INT((COLUMNS($B$39:K39)-1)/12)</f>
        <v/>
      </c>
      <c r="L39" s="41">
        <f>L18*(Inputs!$B$42/12)*(1+Inputs!$B$47)^INT((COLUMNS($B$39:L39)-1)/12)</f>
        <v/>
      </c>
      <c r="M39" s="41">
        <f>M18*(Inputs!$B$42/12)*(1+Inputs!$B$47)^INT((COLUMNS($B$39:M39)-1)/12)</f>
        <v/>
      </c>
      <c r="N39" s="41">
        <f>N18*(Inputs!$B$42/12)*(1+Inputs!$B$47)^INT((COLUMNS($B$39:N39)-1)/12)</f>
        <v/>
      </c>
      <c r="O39" s="41">
        <f>O18*(Inputs!$B$42/12)*(1+Inputs!$B$47)^INT((COLUMNS($B$39:O39)-1)/12)</f>
        <v/>
      </c>
      <c r="P39" s="41">
        <f>P18*(Inputs!$B$42/12)*(1+Inputs!$B$47)^INT((COLUMNS($B$39:P39)-1)/12)</f>
        <v/>
      </c>
      <c r="Q39" s="41">
        <f>Q18*(Inputs!$B$42/12)*(1+Inputs!$B$47)^INT((COLUMNS($B$39:Q39)-1)/12)</f>
        <v/>
      </c>
      <c r="R39" s="41">
        <f>R18*(Inputs!$B$42/12)*(1+Inputs!$B$47)^INT((COLUMNS($B$39:R39)-1)/12)</f>
        <v/>
      </c>
      <c r="S39" s="41">
        <f>S18*(Inputs!$B$42/12)*(1+Inputs!$B$47)^INT((COLUMNS($B$39:S39)-1)/12)</f>
        <v/>
      </c>
      <c r="T39" s="41">
        <f>T18*(Inputs!$B$42/12)*(1+Inputs!$B$47)^INT((COLUMNS($B$39:T39)-1)/12)</f>
        <v/>
      </c>
      <c r="U39" s="41">
        <f>U18*(Inputs!$B$42/12)*(1+Inputs!$B$47)^INT((COLUMNS($B$39:U39)-1)/12)</f>
        <v/>
      </c>
      <c r="V39" s="41">
        <f>V18*(Inputs!$B$42/12)*(1+Inputs!$B$47)^INT((COLUMNS($B$39:V39)-1)/12)</f>
        <v/>
      </c>
      <c r="W39" s="41">
        <f>W18*(Inputs!$B$42/12)*(1+Inputs!$B$47)^INT((COLUMNS($B$39:W39)-1)/12)</f>
        <v/>
      </c>
      <c r="X39" s="41">
        <f>X18*(Inputs!$B$42/12)*(1+Inputs!$B$47)^INT((COLUMNS($B$39:X39)-1)/12)</f>
        <v/>
      </c>
      <c r="Y39" s="41">
        <f>Y18*(Inputs!$B$42/12)*(1+Inputs!$B$47)^INT((COLUMNS($B$39:Y39)-1)/12)</f>
        <v/>
      </c>
      <c r="Z39" s="41">
        <f>Z18*(Inputs!$B$42/12)*(1+Inputs!$B$47)^INT((COLUMNS($B$39:Z39)-1)/12)</f>
        <v/>
      </c>
      <c r="AA39" s="41">
        <f>AA18*(Inputs!$B$42/12)*(1+Inputs!$B$47)^INT((COLUMNS($B$39:AA39)-1)/12)</f>
        <v/>
      </c>
      <c r="AB39" s="41">
        <f>AB18*(Inputs!$B$42/12)*(1+Inputs!$B$47)^INT((COLUMNS($B$39:AB39)-1)/12)</f>
        <v/>
      </c>
      <c r="AC39" s="41">
        <f>AC18*(Inputs!$B$42/12)*(1+Inputs!$B$47)^INT((COLUMNS($B$39:AC39)-1)/12)</f>
        <v/>
      </c>
      <c r="AD39" s="41">
        <f>AD18*(Inputs!$B$42/12)*(1+Inputs!$B$47)^INT((COLUMNS($B$39:AD39)-1)/12)</f>
        <v/>
      </c>
      <c r="AE39" s="41">
        <f>AE18*(Inputs!$B$42/12)*(1+Inputs!$B$47)^INT((COLUMNS($B$39:AE39)-1)/12)</f>
        <v/>
      </c>
      <c r="AF39" s="41">
        <f>AF18*(Inputs!$B$42/12)*(1+Inputs!$B$47)^INT((COLUMNS($B$39:AF39)-1)/12)</f>
        <v/>
      </c>
      <c r="AG39" s="41">
        <f>AG18*(Inputs!$B$42/12)*(1+Inputs!$B$47)^INT((COLUMNS($B$39:AG39)-1)/12)</f>
        <v/>
      </c>
      <c r="AH39" s="41">
        <f>AH18*(Inputs!$B$42/12)*(1+Inputs!$B$47)^INT((COLUMNS($B$39:AH39)-1)/12)</f>
        <v/>
      </c>
      <c r="AI39" s="41">
        <f>AI18*(Inputs!$B$42/12)*(1+Inputs!$B$47)^INT((COLUMNS($B$39:AI39)-1)/12)</f>
        <v/>
      </c>
      <c r="AJ39" s="41">
        <f>AJ18*(Inputs!$B$42/12)*(1+Inputs!$B$47)^INT((COLUMNS($B$39:AJ39)-1)/12)</f>
        <v/>
      </c>
      <c r="AK39" s="41">
        <f>AK18*(Inputs!$B$42/12)*(1+Inputs!$B$47)^INT((COLUMNS($B$39:AK39)-1)/12)</f>
        <v/>
      </c>
      <c r="AL39" s="41">
        <f>AL18*(Inputs!$B$42/12)*(1+Inputs!$B$47)^INT((COLUMNS($B$39:AL39)-1)/12)</f>
        <v/>
      </c>
      <c r="AM39" s="41">
        <f>AM18*(Inputs!$B$42/12)*(1+Inputs!$B$47)^INT((COLUMNS($B$39:AM39)-1)/12)</f>
        <v/>
      </c>
      <c r="AN39" s="41">
        <f>AN18*(Inputs!$B$42/12)*(1+Inputs!$B$47)^INT((COLUMNS($B$39:AN39)-1)/12)</f>
        <v/>
      </c>
      <c r="AO39" s="41">
        <f>AO18*(Inputs!$B$42/12)*(1+Inputs!$B$47)^INT((COLUMNS($B$39:AO39)-1)/12)</f>
        <v/>
      </c>
      <c r="AP39" s="41">
        <f>AP18*(Inputs!$B$42/12)*(1+Inputs!$B$47)^INT((COLUMNS($B$39:AP39)-1)/12)</f>
        <v/>
      </c>
      <c r="AQ39" s="41">
        <f>AQ18*(Inputs!$B$42/12)*(1+Inputs!$B$47)^INT((COLUMNS($B$39:AQ39)-1)/12)</f>
        <v/>
      </c>
      <c r="AR39" s="41">
        <f>AR18*(Inputs!$B$42/12)*(1+Inputs!$B$47)^INT((COLUMNS($B$39:AR39)-1)/12)</f>
        <v/>
      </c>
      <c r="AS39" s="41">
        <f>AS18*(Inputs!$B$42/12)*(1+Inputs!$B$47)^INT((COLUMNS($B$39:AS39)-1)/12)</f>
        <v/>
      </c>
      <c r="AT39" s="41">
        <f>AT18*(Inputs!$B$42/12)*(1+Inputs!$B$47)^INT((COLUMNS($B$39:AT39)-1)/12)</f>
        <v/>
      </c>
      <c r="AU39" s="41">
        <f>AU18*(Inputs!$B$42/12)*(1+Inputs!$B$47)^INT((COLUMNS($B$39:AU39)-1)/12)</f>
        <v/>
      </c>
      <c r="AV39" s="41">
        <f>AV18*(Inputs!$B$42/12)*(1+Inputs!$B$47)^INT((COLUMNS($B$39:AV39)-1)/12)</f>
        <v/>
      </c>
      <c r="AW39" s="41">
        <f>AW18*(Inputs!$B$42/12)*(1+Inputs!$B$47)^INT((COLUMNS($B$39:AW39)-1)/12)</f>
        <v/>
      </c>
      <c r="AX39" s="41">
        <f>AX18*(Inputs!$B$42/12)*(1+Inputs!$B$47)^INT((COLUMNS($B$39:AX39)-1)/12)</f>
        <v/>
      </c>
      <c r="AY39" s="41">
        <f>AY18*(Inputs!$B$42/12)*(1+Inputs!$B$47)^INT((COLUMNS($B$39:AY39)-1)/12)</f>
        <v/>
      </c>
      <c r="AZ39" s="41">
        <f>AZ18*(Inputs!$B$42/12)*(1+Inputs!$B$47)^INT((COLUMNS($B$39:AZ39)-1)/12)</f>
        <v/>
      </c>
      <c r="BA39" s="41">
        <f>BA18*(Inputs!$B$42/12)*(1+Inputs!$B$47)^INT((COLUMNS($B$39:BA39)-1)/12)</f>
        <v/>
      </c>
    </row>
    <row r="40" ht="14.25" customHeight="1" s="165">
      <c r="A40" s="19" t="inlineStr">
        <is>
          <t>1. Office Manager Gehalt</t>
        </is>
      </c>
      <c r="B40" s="41">
        <f>B19*(Inputs!$B$45/12)*(1+Inputs!$B$47)^INT((COLUMNS($B$40:B40)-1)/12)</f>
        <v/>
      </c>
      <c r="C40" s="41">
        <f>C19*(Inputs!$B$45/12)*(1+Inputs!$B$47)^INT((COLUMNS($B$40:C40)-1)/12)</f>
        <v/>
      </c>
      <c r="D40" s="41">
        <f>D19*(Inputs!$B$45/12)*(1+Inputs!$B$47)^INT((COLUMNS($B$40:D40)-1)/12)</f>
        <v/>
      </c>
      <c r="E40" s="41">
        <f>E19*(Inputs!$B$45/12)*(1+Inputs!$B$47)^INT((COLUMNS($B$40:E40)-1)/12)</f>
        <v/>
      </c>
      <c r="F40" s="41">
        <f>F19*(Inputs!$B$45/12)*(1+Inputs!$B$47)^INT((COLUMNS($B$40:F40)-1)/12)</f>
        <v/>
      </c>
      <c r="G40" s="41">
        <f>G19*(Inputs!$B$45/12)*(1+Inputs!$B$47)^INT((COLUMNS($B$40:G40)-1)/12)</f>
        <v/>
      </c>
      <c r="H40" s="41">
        <f>H19*(Inputs!$B$45/12)*(1+Inputs!$B$47)^INT((COLUMNS($B$40:H40)-1)/12)</f>
        <v/>
      </c>
      <c r="I40" s="41">
        <f>I19*(Inputs!$B$45/12)*(1+Inputs!$B$47)^INT((COLUMNS($B$40:I40)-1)/12)</f>
        <v/>
      </c>
      <c r="J40" s="41">
        <f>J19*(Inputs!$B$45/12)*(1+Inputs!$B$47)^INT((COLUMNS($B$40:J40)-1)/12)</f>
        <v/>
      </c>
      <c r="K40" s="41">
        <f>K19*(Inputs!$B$45/12)*(1+Inputs!$B$47)^INT((COLUMNS($B$40:K40)-1)/12)</f>
        <v/>
      </c>
      <c r="L40" s="41">
        <f>L19*(Inputs!$B$45/12)*(1+Inputs!$B$47)^INT((COLUMNS($B$40:L40)-1)/12)</f>
        <v/>
      </c>
      <c r="M40" s="41">
        <f>M19*(Inputs!$B$45/12)*(1+Inputs!$B$47)^INT((COLUMNS($B$40:M40)-1)/12)</f>
        <v/>
      </c>
      <c r="N40" s="41">
        <f>N19*(Inputs!$B$45/12)*(1+Inputs!$B$47)^INT((COLUMNS($B$40:N40)-1)/12)</f>
        <v/>
      </c>
      <c r="O40" s="41">
        <f>O19*(Inputs!$B$45/12)*(1+Inputs!$B$47)^INT((COLUMNS($B$40:O40)-1)/12)</f>
        <v/>
      </c>
      <c r="P40" s="41">
        <f>P19*(Inputs!$B$45/12)*(1+Inputs!$B$47)^INT((COLUMNS($B$40:P40)-1)/12)</f>
        <v/>
      </c>
      <c r="Q40" s="41">
        <f>Q19*(Inputs!$B$45/12)*(1+Inputs!$B$47)^INT((COLUMNS($B$40:Q40)-1)/12)</f>
        <v/>
      </c>
      <c r="R40" s="41">
        <f>R19*(Inputs!$B$45/12)*(1+Inputs!$B$47)^INT((COLUMNS($B$40:R40)-1)/12)</f>
        <v/>
      </c>
      <c r="S40" s="41">
        <f>S19*(Inputs!$B$45/12)*(1+Inputs!$B$47)^INT((COLUMNS($B$40:S40)-1)/12)</f>
        <v/>
      </c>
      <c r="T40" s="41">
        <f>T19*(Inputs!$B$45/12)*(1+Inputs!$B$47)^INT((COLUMNS($B$40:T40)-1)/12)</f>
        <v/>
      </c>
      <c r="U40" s="41">
        <f>U19*(Inputs!$B$45/12)*(1+Inputs!$B$47)^INT((COLUMNS($B$40:U40)-1)/12)</f>
        <v/>
      </c>
      <c r="V40" s="41">
        <f>V19*(Inputs!$B$45/12)*(1+Inputs!$B$47)^INT((COLUMNS($B$40:V40)-1)/12)</f>
        <v/>
      </c>
      <c r="W40" s="41">
        <f>W19*(Inputs!$B$45/12)*(1+Inputs!$B$47)^INT((COLUMNS($B$40:W40)-1)/12)</f>
        <v/>
      </c>
      <c r="X40" s="41">
        <f>X19*(Inputs!$B$45/12)*(1+Inputs!$B$47)^INT((COLUMNS($B$40:X40)-1)/12)</f>
        <v/>
      </c>
      <c r="Y40" s="41">
        <f>Y19*(Inputs!$B$45/12)*(1+Inputs!$B$47)^INT((COLUMNS($B$40:Y40)-1)/12)</f>
        <v/>
      </c>
      <c r="Z40" s="41">
        <f>Z19*(Inputs!$B$45/12)*(1+Inputs!$B$47)^INT((COLUMNS($B$40:Z40)-1)/12)</f>
        <v/>
      </c>
      <c r="AA40" s="41">
        <f>AA19*(Inputs!$B$45/12)*(1+Inputs!$B$47)^INT((COLUMNS($B$40:AA40)-1)/12)</f>
        <v/>
      </c>
      <c r="AB40" s="41">
        <f>AB19*(Inputs!$B$45/12)*(1+Inputs!$B$47)^INT((COLUMNS($B$40:AB40)-1)/12)</f>
        <v/>
      </c>
      <c r="AC40" s="41">
        <f>AC19*(Inputs!$B$45/12)*(1+Inputs!$B$47)^INT((COLUMNS($B$40:AC40)-1)/12)</f>
        <v/>
      </c>
      <c r="AD40" s="41">
        <f>AD19*(Inputs!$B$45/12)*(1+Inputs!$B$47)^INT((COLUMNS($B$40:AD40)-1)/12)</f>
        <v/>
      </c>
      <c r="AE40" s="41">
        <f>AE19*(Inputs!$B$45/12)*(1+Inputs!$B$47)^INT((COLUMNS($B$40:AE40)-1)/12)</f>
        <v/>
      </c>
      <c r="AF40" s="41">
        <f>AF19*(Inputs!$B$45/12)*(1+Inputs!$B$47)^INT((COLUMNS($B$40:AF40)-1)/12)</f>
        <v/>
      </c>
      <c r="AG40" s="41">
        <f>AG19*(Inputs!$B$45/12)*(1+Inputs!$B$47)^INT((COLUMNS($B$40:AG40)-1)/12)</f>
        <v/>
      </c>
      <c r="AH40" s="41">
        <f>AH19*(Inputs!$B$45/12)*(1+Inputs!$B$47)^INT((COLUMNS($B$40:AH40)-1)/12)</f>
        <v/>
      </c>
      <c r="AI40" s="41">
        <f>AI19*(Inputs!$B$45/12)*(1+Inputs!$B$47)^INT((COLUMNS($B$40:AI40)-1)/12)</f>
        <v/>
      </c>
      <c r="AJ40" s="41">
        <f>AJ19*(Inputs!$B$45/12)*(1+Inputs!$B$47)^INT((COLUMNS($B$40:AJ40)-1)/12)</f>
        <v/>
      </c>
      <c r="AK40" s="41">
        <f>AK19*(Inputs!$B$45/12)*(1+Inputs!$B$47)^INT((COLUMNS($B$40:AK40)-1)/12)</f>
        <v/>
      </c>
      <c r="AL40" s="41">
        <f>AL19*(Inputs!$B$45/12)*(1+Inputs!$B$47)^INT((COLUMNS($B$40:AL40)-1)/12)</f>
        <v/>
      </c>
      <c r="AM40" s="41">
        <f>AM19*(Inputs!$B$45/12)*(1+Inputs!$B$47)^INT((COLUMNS($B$40:AM40)-1)/12)</f>
        <v/>
      </c>
      <c r="AN40" s="41">
        <f>AN19*(Inputs!$B$45/12)*(1+Inputs!$B$47)^INT((COLUMNS($B$40:AN40)-1)/12)</f>
        <v/>
      </c>
      <c r="AO40" s="41">
        <f>AO19*(Inputs!$B$45/12)*(1+Inputs!$B$47)^INT((COLUMNS($B$40:AO40)-1)/12)</f>
        <v/>
      </c>
      <c r="AP40" s="41">
        <f>AP19*(Inputs!$B$45/12)*(1+Inputs!$B$47)^INT((COLUMNS($B$40:AP40)-1)/12)</f>
        <v/>
      </c>
      <c r="AQ40" s="41">
        <f>AQ19*(Inputs!$B$45/12)*(1+Inputs!$B$47)^INT((COLUMNS($B$40:AQ40)-1)/12)</f>
        <v/>
      </c>
      <c r="AR40" s="41">
        <f>AR19*(Inputs!$B$45/12)*(1+Inputs!$B$47)^INT((COLUMNS($B$40:AR40)-1)/12)</f>
        <v/>
      </c>
      <c r="AS40" s="41">
        <f>AS19*(Inputs!$B$45/12)*(1+Inputs!$B$47)^INT((COLUMNS($B$40:AS40)-1)/12)</f>
        <v/>
      </c>
      <c r="AT40" s="41">
        <f>AT19*(Inputs!$B$45/12)*(1+Inputs!$B$47)^INT((COLUMNS($B$40:AT40)-1)/12)</f>
        <v/>
      </c>
      <c r="AU40" s="41">
        <f>AU19*(Inputs!$B$45/12)*(1+Inputs!$B$47)^INT((COLUMNS($B$40:AU40)-1)/12)</f>
        <v/>
      </c>
      <c r="AV40" s="41">
        <f>AV19*(Inputs!$B$45/12)*(1+Inputs!$B$47)^INT((COLUMNS($B$40:AV40)-1)/12)</f>
        <v/>
      </c>
      <c r="AW40" s="41">
        <f>AW19*(Inputs!$B$45/12)*(1+Inputs!$B$47)^INT((COLUMNS($B$40:AW40)-1)/12)</f>
        <v/>
      </c>
      <c r="AX40" s="41">
        <f>AX19*(Inputs!$B$45/12)*(1+Inputs!$B$47)^INT((COLUMNS($B$40:AX40)-1)/12)</f>
        <v/>
      </c>
      <c r="AY40" s="41">
        <f>AY19*(Inputs!$B$45/12)*(1+Inputs!$B$47)^INT((COLUMNS($B$40:AY40)-1)/12)</f>
        <v/>
      </c>
      <c r="AZ40" s="41">
        <f>AZ19*(Inputs!$B$45/12)*(1+Inputs!$B$47)^INT((COLUMNS($B$40:AZ40)-1)/12)</f>
        <v/>
      </c>
      <c r="BA40" s="41">
        <f>BA19*(Inputs!$B$45/12)*(1+Inputs!$B$47)^INT((COLUMNS($B$40:BA40)-1)/12)</f>
        <v/>
      </c>
    </row>
    <row r="41" ht="14.25" customHeight="1" s="165">
      <c r="A41" s="19" t="inlineStr">
        <is>
          <t>1. Customer Success Gehalt</t>
        </is>
      </c>
      <c r="B41" s="41">
        <f>B20*(Inputs!$B$44/12)*(1+Inputs!$B$47)^INT((COLUMNS($B$41:B41)-1)/12)</f>
        <v/>
      </c>
      <c r="C41" s="41">
        <f>C20*(Inputs!$B$44/12)*(1+Inputs!$B$47)^INT((COLUMNS($B$41:C41)-1)/12)</f>
        <v/>
      </c>
      <c r="D41" s="41">
        <f>D20*(Inputs!$B$44/12)*(1+Inputs!$B$47)^INT((COLUMNS($B$41:D41)-1)/12)</f>
        <v/>
      </c>
      <c r="E41" s="41">
        <f>E20*(Inputs!$B$44/12)*(1+Inputs!$B$47)^INT((COLUMNS($B$41:E41)-1)/12)</f>
        <v/>
      </c>
      <c r="F41" s="41">
        <f>F20*(Inputs!$B$44/12)*(1+Inputs!$B$47)^INT((COLUMNS($B$41:F41)-1)/12)</f>
        <v/>
      </c>
      <c r="G41" s="41">
        <f>G20*(Inputs!$B$44/12)*(1+Inputs!$B$47)^INT((COLUMNS($B$41:G41)-1)/12)</f>
        <v/>
      </c>
      <c r="H41" s="41">
        <f>H20*(Inputs!$B$44/12)*(1+Inputs!$B$47)^INT((COLUMNS($B$41:H41)-1)/12)</f>
        <v/>
      </c>
      <c r="I41" s="41">
        <f>I20*(Inputs!$B$44/12)*(1+Inputs!$B$47)^INT((COLUMNS($B$41:I41)-1)/12)</f>
        <v/>
      </c>
      <c r="J41" s="41">
        <f>J20*(Inputs!$B$44/12)*(1+Inputs!$B$47)^INT((COLUMNS($B$41:J41)-1)/12)</f>
        <v/>
      </c>
      <c r="K41" s="41">
        <f>K20*(Inputs!$B$44/12)*(1+Inputs!$B$47)^INT((COLUMNS($B$41:K41)-1)/12)</f>
        <v/>
      </c>
      <c r="L41" s="41">
        <f>L20*(Inputs!$B$44/12)*(1+Inputs!$B$47)^INT((COLUMNS($B$41:L41)-1)/12)</f>
        <v/>
      </c>
      <c r="M41" s="41">
        <f>M20*(Inputs!$B$44/12)*(1+Inputs!$B$47)^INT((COLUMNS($B$41:M41)-1)/12)</f>
        <v/>
      </c>
      <c r="N41" s="41">
        <f>N20*(Inputs!$B$44/12)*(1+Inputs!$B$47)^INT((COLUMNS($B$41:N41)-1)/12)</f>
        <v/>
      </c>
      <c r="O41" s="41">
        <f>O20*(Inputs!$B$44/12)*(1+Inputs!$B$47)^INT((COLUMNS($B$41:O41)-1)/12)</f>
        <v/>
      </c>
      <c r="P41" s="41">
        <f>P20*(Inputs!$B$44/12)*(1+Inputs!$B$47)^INT((COLUMNS($B$41:P41)-1)/12)</f>
        <v/>
      </c>
      <c r="Q41" s="41">
        <f>Q20*(Inputs!$B$44/12)*(1+Inputs!$B$47)^INT((COLUMNS($B$41:Q41)-1)/12)</f>
        <v/>
      </c>
      <c r="R41" s="41">
        <f>R20*(Inputs!$B$44/12)*(1+Inputs!$B$47)^INT((COLUMNS($B$41:R41)-1)/12)</f>
        <v/>
      </c>
      <c r="S41" s="41">
        <f>S20*(Inputs!$B$44/12)*(1+Inputs!$B$47)^INT((COLUMNS($B$41:S41)-1)/12)</f>
        <v/>
      </c>
      <c r="T41" s="41">
        <f>T20*(Inputs!$B$44/12)*(1+Inputs!$B$47)^INT((COLUMNS($B$41:T41)-1)/12)</f>
        <v/>
      </c>
      <c r="U41" s="41">
        <f>U20*(Inputs!$B$44/12)*(1+Inputs!$B$47)^INT((COLUMNS($B$41:U41)-1)/12)</f>
        <v/>
      </c>
      <c r="V41" s="41">
        <f>V20*(Inputs!$B$44/12)*(1+Inputs!$B$47)^INT((COLUMNS($B$41:V41)-1)/12)</f>
        <v/>
      </c>
      <c r="W41" s="41">
        <f>W20*(Inputs!$B$44/12)*(1+Inputs!$B$47)^INT((COLUMNS($B$41:W41)-1)/12)</f>
        <v/>
      </c>
      <c r="X41" s="41">
        <f>X20*(Inputs!$B$44/12)*(1+Inputs!$B$47)^INT((COLUMNS($B$41:X41)-1)/12)</f>
        <v/>
      </c>
      <c r="Y41" s="41">
        <f>Y20*(Inputs!$B$44/12)*(1+Inputs!$B$47)^INT((COLUMNS($B$41:Y41)-1)/12)</f>
        <v/>
      </c>
      <c r="Z41" s="41">
        <f>Z20*(Inputs!$B$44/12)*(1+Inputs!$B$47)^INT((COLUMNS($B$41:Z41)-1)/12)</f>
        <v/>
      </c>
      <c r="AA41" s="41">
        <f>AA20*(Inputs!$B$44/12)*(1+Inputs!$B$47)^INT((COLUMNS($B$41:AA41)-1)/12)</f>
        <v/>
      </c>
      <c r="AB41" s="41">
        <f>AB20*(Inputs!$B$44/12)*(1+Inputs!$B$47)^INT((COLUMNS($B$41:AB41)-1)/12)</f>
        <v/>
      </c>
      <c r="AC41" s="41">
        <f>AC20*(Inputs!$B$44/12)*(1+Inputs!$B$47)^INT((COLUMNS($B$41:AC41)-1)/12)</f>
        <v/>
      </c>
      <c r="AD41" s="41">
        <f>AD20*(Inputs!$B$44/12)*(1+Inputs!$B$47)^INT((COLUMNS($B$41:AD41)-1)/12)</f>
        <v/>
      </c>
      <c r="AE41" s="41">
        <f>AE20*(Inputs!$B$44/12)*(1+Inputs!$B$47)^INT((COLUMNS($B$41:AE41)-1)/12)</f>
        <v/>
      </c>
      <c r="AF41" s="41">
        <f>AF20*(Inputs!$B$44/12)*(1+Inputs!$B$47)^INT((COLUMNS($B$41:AF41)-1)/12)</f>
        <v/>
      </c>
      <c r="AG41" s="41">
        <f>AG20*(Inputs!$B$44/12)*(1+Inputs!$B$47)^INT((COLUMNS($B$41:AG41)-1)/12)</f>
        <v/>
      </c>
      <c r="AH41" s="41">
        <f>AH20*(Inputs!$B$44/12)*(1+Inputs!$B$47)^INT((COLUMNS($B$41:AH41)-1)/12)</f>
        <v/>
      </c>
      <c r="AI41" s="41">
        <f>AI20*(Inputs!$B$44/12)*(1+Inputs!$B$47)^INT((COLUMNS($B$41:AI41)-1)/12)</f>
        <v/>
      </c>
      <c r="AJ41" s="41">
        <f>AJ20*(Inputs!$B$44/12)*(1+Inputs!$B$47)^INT((COLUMNS($B$41:AJ41)-1)/12)</f>
        <v/>
      </c>
      <c r="AK41" s="41">
        <f>AK20*(Inputs!$B$44/12)*(1+Inputs!$B$47)^INT((COLUMNS($B$41:AK41)-1)/12)</f>
        <v/>
      </c>
      <c r="AL41" s="41">
        <f>AL20*(Inputs!$B$44/12)*(1+Inputs!$B$47)^INT((COLUMNS($B$41:AL41)-1)/12)</f>
        <v/>
      </c>
      <c r="AM41" s="41">
        <f>AM20*(Inputs!$B$44/12)*(1+Inputs!$B$47)^INT((COLUMNS($B$41:AM41)-1)/12)</f>
        <v/>
      </c>
      <c r="AN41" s="41">
        <f>AN20*(Inputs!$B$44/12)*(1+Inputs!$B$47)^INT((COLUMNS($B$41:AN41)-1)/12)</f>
        <v/>
      </c>
      <c r="AO41" s="41">
        <f>AO20*(Inputs!$B$44/12)*(1+Inputs!$B$47)^INT((COLUMNS($B$41:AO41)-1)/12)</f>
        <v/>
      </c>
      <c r="AP41" s="41">
        <f>AP20*(Inputs!$B$44/12)*(1+Inputs!$B$47)^INT((COLUMNS($B$41:AP41)-1)/12)</f>
        <v/>
      </c>
      <c r="AQ41" s="41">
        <f>AQ20*(Inputs!$B$44/12)*(1+Inputs!$B$47)^INT((COLUMNS($B$41:AQ41)-1)/12)</f>
        <v/>
      </c>
      <c r="AR41" s="41">
        <f>AR20*(Inputs!$B$44/12)*(1+Inputs!$B$47)^INT((COLUMNS($B$41:AR41)-1)/12)</f>
        <v/>
      </c>
      <c r="AS41" s="41">
        <f>AS20*(Inputs!$B$44/12)*(1+Inputs!$B$47)^INT((COLUMNS($B$41:AS41)-1)/12)</f>
        <v/>
      </c>
      <c r="AT41" s="41">
        <f>AT20*(Inputs!$B$44/12)*(1+Inputs!$B$47)^INT((COLUMNS($B$41:AT41)-1)/12)</f>
        <v/>
      </c>
      <c r="AU41" s="41">
        <f>AU20*(Inputs!$B$44/12)*(1+Inputs!$B$47)^INT((COLUMNS($B$41:AU41)-1)/12)</f>
        <v/>
      </c>
      <c r="AV41" s="41">
        <f>AV20*(Inputs!$B$44/12)*(1+Inputs!$B$47)^INT((COLUMNS($B$41:AV41)-1)/12)</f>
        <v/>
      </c>
      <c r="AW41" s="41">
        <f>AW20*(Inputs!$B$44/12)*(1+Inputs!$B$47)^INT((COLUMNS($B$41:AW41)-1)/12)</f>
        <v/>
      </c>
      <c r="AX41" s="41">
        <f>AX20*(Inputs!$B$44/12)*(1+Inputs!$B$47)^INT((COLUMNS($B$41:AX41)-1)/12)</f>
        <v/>
      </c>
      <c r="AY41" s="41">
        <f>AY20*(Inputs!$B$44/12)*(1+Inputs!$B$47)^INT((COLUMNS($B$41:AY41)-1)/12)</f>
        <v/>
      </c>
      <c r="AZ41" s="41">
        <f>AZ20*(Inputs!$B$44/12)*(1+Inputs!$B$47)^INT((COLUMNS($B$41:AZ41)-1)/12)</f>
        <v/>
      </c>
      <c r="BA41" s="41">
        <f>BA20*(Inputs!$B$44/12)*(1+Inputs!$B$47)^INT((COLUMNS($B$41:BA41)-1)/12)</f>
        <v/>
      </c>
    </row>
    <row r="42" ht="14.25" customHeight="1" s="165">
      <c r="A42" s="19" t="inlineStr">
        <is>
          <t>1. Finance Manager Gehalt</t>
        </is>
      </c>
      <c r="B42" s="41">
        <f>B21*(Inputs!$B$46/12)*(1+Inputs!$B$47)^INT((COLUMNS($B$42:B42)-1)/12)</f>
        <v/>
      </c>
      <c r="C42" s="41">
        <f>C21*(Inputs!$B$46/12)*(1+Inputs!$B$47)^INT((COLUMNS($B$42:C42)-1)/12)</f>
        <v/>
      </c>
      <c r="D42" s="41">
        <f>D21*(Inputs!$B$46/12)*(1+Inputs!$B$47)^INT((COLUMNS($B$42:D42)-1)/12)</f>
        <v/>
      </c>
      <c r="E42" s="41">
        <f>E21*(Inputs!$B$46/12)*(1+Inputs!$B$47)^INT((COLUMNS($B$42:E42)-1)/12)</f>
        <v/>
      </c>
      <c r="F42" s="41">
        <f>F21*(Inputs!$B$46/12)*(1+Inputs!$B$47)^INT((COLUMNS($B$42:F42)-1)/12)</f>
        <v/>
      </c>
      <c r="G42" s="41">
        <f>G21*(Inputs!$B$46/12)*(1+Inputs!$B$47)^INT((COLUMNS($B$42:G42)-1)/12)</f>
        <v/>
      </c>
      <c r="H42" s="41">
        <f>H21*(Inputs!$B$46/12)*(1+Inputs!$B$47)^INT((COLUMNS($B$42:H42)-1)/12)</f>
        <v/>
      </c>
      <c r="I42" s="41">
        <f>I21*(Inputs!$B$46/12)*(1+Inputs!$B$47)^INT((COLUMNS($B$42:I42)-1)/12)</f>
        <v/>
      </c>
      <c r="J42" s="41">
        <f>J21*(Inputs!$B$46/12)*(1+Inputs!$B$47)^INT((COLUMNS($B$42:J42)-1)/12)</f>
        <v/>
      </c>
      <c r="K42" s="41">
        <f>K21*(Inputs!$B$46/12)*(1+Inputs!$B$47)^INT((COLUMNS($B$42:K42)-1)/12)</f>
        <v/>
      </c>
      <c r="L42" s="41">
        <f>L21*(Inputs!$B$46/12)*(1+Inputs!$B$47)^INT((COLUMNS($B$42:L42)-1)/12)</f>
        <v/>
      </c>
      <c r="M42" s="41">
        <f>M21*(Inputs!$B$46/12)*(1+Inputs!$B$47)^INT((COLUMNS($B$42:M42)-1)/12)</f>
        <v/>
      </c>
      <c r="N42" s="41">
        <f>N21*(Inputs!$B$46/12)*(1+Inputs!$B$47)^INT((COLUMNS($B$42:N42)-1)/12)</f>
        <v/>
      </c>
      <c r="O42" s="41">
        <f>O21*(Inputs!$B$46/12)*(1+Inputs!$B$47)^INT((COLUMNS($B$42:O42)-1)/12)</f>
        <v/>
      </c>
      <c r="P42" s="41">
        <f>P21*(Inputs!$B$46/12)*(1+Inputs!$B$47)^INT((COLUMNS($B$42:P42)-1)/12)</f>
        <v/>
      </c>
      <c r="Q42" s="41">
        <f>Q21*(Inputs!$B$46/12)*(1+Inputs!$B$47)^INT((COLUMNS($B$42:Q42)-1)/12)</f>
        <v/>
      </c>
      <c r="R42" s="41">
        <f>R21*(Inputs!$B$46/12)*(1+Inputs!$B$47)^INT((COLUMNS($B$42:R42)-1)/12)</f>
        <v/>
      </c>
      <c r="S42" s="41">
        <f>S21*(Inputs!$B$46/12)*(1+Inputs!$B$47)^INT((COLUMNS($B$42:S42)-1)/12)</f>
        <v/>
      </c>
      <c r="T42" s="41">
        <f>T21*(Inputs!$B$46/12)*(1+Inputs!$B$47)^INT((COLUMNS($B$42:T42)-1)/12)</f>
        <v/>
      </c>
      <c r="U42" s="41">
        <f>U21*(Inputs!$B$46/12)*(1+Inputs!$B$47)^INT((COLUMNS($B$42:U42)-1)/12)</f>
        <v/>
      </c>
      <c r="V42" s="41">
        <f>V21*(Inputs!$B$46/12)*(1+Inputs!$B$47)^INT((COLUMNS($B$42:V42)-1)/12)</f>
        <v/>
      </c>
      <c r="W42" s="41">
        <f>W21*(Inputs!$B$46/12)*(1+Inputs!$B$47)^INT((COLUMNS($B$42:W42)-1)/12)</f>
        <v/>
      </c>
      <c r="X42" s="41">
        <f>X21*(Inputs!$B$46/12)*(1+Inputs!$B$47)^INT((COLUMNS($B$42:X42)-1)/12)</f>
        <v/>
      </c>
      <c r="Y42" s="41">
        <f>Y21*(Inputs!$B$46/12)*(1+Inputs!$B$47)^INT((COLUMNS($B$42:Y42)-1)/12)</f>
        <v/>
      </c>
      <c r="Z42" s="41">
        <f>Z21*(Inputs!$B$46/12)*(1+Inputs!$B$47)^INT((COLUMNS($B$42:Z42)-1)/12)</f>
        <v/>
      </c>
      <c r="AA42" s="41">
        <f>AA21*(Inputs!$B$46/12)*(1+Inputs!$B$47)^INT((COLUMNS($B$42:AA42)-1)/12)</f>
        <v/>
      </c>
      <c r="AB42" s="41">
        <f>AB21*(Inputs!$B$46/12)*(1+Inputs!$B$47)^INT((COLUMNS($B$42:AB42)-1)/12)</f>
        <v/>
      </c>
      <c r="AC42" s="41">
        <f>AC21*(Inputs!$B$46/12)*(1+Inputs!$B$47)^INT((COLUMNS($B$42:AC42)-1)/12)</f>
        <v/>
      </c>
      <c r="AD42" s="41">
        <f>AD21*(Inputs!$B$46/12)*(1+Inputs!$B$47)^INT((COLUMNS($B$42:AD42)-1)/12)</f>
        <v/>
      </c>
      <c r="AE42" s="41">
        <f>AE21*(Inputs!$B$46/12)*(1+Inputs!$B$47)^INT((COLUMNS($B$42:AE42)-1)/12)</f>
        <v/>
      </c>
      <c r="AF42" s="41">
        <f>AF21*(Inputs!$B$46/12)*(1+Inputs!$B$47)^INT((COLUMNS($B$42:AF42)-1)/12)</f>
        <v/>
      </c>
      <c r="AG42" s="41">
        <f>AG21*(Inputs!$B$46/12)*(1+Inputs!$B$47)^INT((COLUMNS($B$42:AG42)-1)/12)</f>
        <v/>
      </c>
      <c r="AH42" s="41">
        <f>AH21*(Inputs!$B$46/12)*(1+Inputs!$B$47)^INT((COLUMNS($B$42:AH42)-1)/12)</f>
        <v/>
      </c>
      <c r="AI42" s="41">
        <f>AI21*(Inputs!$B$46/12)*(1+Inputs!$B$47)^INT((COLUMNS($B$42:AI42)-1)/12)</f>
        <v/>
      </c>
      <c r="AJ42" s="41">
        <f>AJ21*(Inputs!$B$46/12)*(1+Inputs!$B$47)^INT((COLUMNS($B$42:AJ42)-1)/12)</f>
        <v/>
      </c>
      <c r="AK42" s="41">
        <f>AK21*(Inputs!$B$46/12)*(1+Inputs!$B$47)^INT((COLUMNS($B$42:AK42)-1)/12)</f>
        <v/>
      </c>
      <c r="AL42" s="41">
        <f>AL21*(Inputs!$B$46/12)*(1+Inputs!$B$47)^INT((COLUMNS($B$42:AL42)-1)/12)</f>
        <v/>
      </c>
      <c r="AM42" s="41">
        <f>AM21*(Inputs!$B$46/12)*(1+Inputs!$B$47)^INT((COLUMNS($B$42:AM42)-1)/12)</f>
        <v/>
      </c>
      <c r="AN42" s="41">
        <f>AN21*(Inputs!$B$46/12)*(1+Inputs!$B$47)^INT((COLUMNS($B$42:AN42)-1)/12)</f>
        <v/>
      </c>
      <c r="AO42" s="41">
        <f>AO21*(Inputs!$B$46/12)*(1+Inputs!$B$47)^INT((COLUMNS($B$42:AO42)-1)/12)</f>
        <v/>
      </c>
      <c r="AP42" s="41">
        <f>AP21*(Inputs!$B$46/12)*(1+Inputs!$B$47)^INT((COLUMNS($B$42:AP42)-1)/12)</f>
        <v/>
      </c>
      <c r="AQ42" s="41">
        <f>AQ21*(Inputs!$B$46/12)*(1+Inputs!$B$47)^INT((COLUMNS($B$42:AQ42)-1)/12)</f>
        <v/>
      </c>
      <c r="AR42" s="41">
        <f>AR21*(Inputs!$B$46/12)*(1+Inputs!$B$47)^INT((COLUMNS($B$42:AR42)-1)/12)</f>
        <v/>
      </c>
      <c r="AS42" s="41">
        <f>AS21*(Inputs!$B$46/12)*(1+Inputs!$B$47)^INT((COLUMNS($B$42:AS42)-1)/12)</f>
        <v/>
      </c>
      <c r="AT42" s="41">
        <f>AT21*(Inputs!$B$46/12)*(1+Inputs!$B$47)^INT((COLUMNS($B$42:AT42)-1)/12)</f>
        <v/>
      </c>
      <c r="AU42" s="41">
        <f>AU21*(Inputs!$B$46/12)*(1+Inputs!$B$47)^INT((COLUMNS($B$42:AU42)-1)/12)</f>
        <v/>
      </c>
      <c r="AV42" s="41">
        <f>AV21*(Inputs!$B$46/12)*(1+Inputs!$B$47)^INT((COLUMNS($B$42:AV42)-1)/12)</f>
        <v/>
      </c>
      <c r="AW42" s="41">
        <f>AW21*(Inputs!$B$46/12)*(1+Inputs!$B$47)^INT((COLUMNS($B$42:AW42)-1)/12)</f>
        <v/>
      </c>
      <c r="AX42" s="41">
        <f>AX21*(Inputs!$B$46/12)*(1+Inputs!$B$47)^INT((COLUMNS($B$42:AX42)-1)/12)</f>
        <v/>
      </c>
      <c r="AY42" s="41">
        <f>AY21*(Inputs!$B$46/12)*(1+Inputs!$B$47)^INT((COLUMNS($B$42:AY42)-1)/12)</f>
        <v/>
      </c>
      <c r="AZ42" s="41">
        <f>AZ21*(Inputs!$B$46/12)*(1+Inputs!$B$47)^INT((COLUMNS($B$42:AZ42)-1)/12)</f>
        <v/>
      </c>
      <c r="BA42" s="41">
        <f>BA21*(Inputs!$B$46/12)*(1+Inputs!$B$47)^INT((COLUMNS($B$42:BA42)-1)/12)</f>
        <v/>
      </c>
    </row>
    <row r="43" ht="14.25" customHeight="1" s="165">
      <c r="A43" s="2" t="inlineStr">
        <is>
          <t>Subtotal Brutto-Gehälter</t>
        </is>
      </c>
      <c r="B43" s="37">
        <f>SUM(B25:B42)</f>
        <v/>
      </c>
      <c r="C43" s="37">
        <f>SUM(C25:C42)</f>
        <v/>
      </c>
      <c r="D43" s="37">
        <f>SUM(D25:D42)</f>
        <v/>
      </c>
      <c r="E43" s="37">
        <f>SUM(E25:E42)</f>
        <v/>
      </c>
      <c r="F43" s="37">
        <f>SUM(F25:F42)</f>
        <v/>
      </c>
      <c r="G43" s="37">
        <f>SUM(G25:G42)</f>
        <v/>
      </c>
      <c r="H43" s="37">
        <f>SUM(H25:H42)</f>
        <v/>
      </c>
      <c r="I43" s="37">
        <f>SUM(I25:I42)</f>
        <v/>
      </c>
      <c r="J43" s="37">
        <f>SUM(J25:J42)</f>
        <v/>
      </c>
      <c r="K43" s="37">
        <f>SUM(K25:K42)</f>
        <v/>
      </c>
      <c r="L43" s="37">
        <f>SUM(L25:L42)</f>
        <v/>
      </c>
      <c r="M43" s="37">
        <f>SUM(M25:M42)</f>
        <v/>
      </c>
      <c r="N43" s="37">
        <f>SUM(N25:N42)</f>
        <v/>
      </c>
      <c r="O43" s="37">
        <f>SUM(O25:O42)</f>
        <v/>
      </c>
      <c r="P43" s="37">
        <f>SUM(P25:P42)</f>
        <v/>
      </c>
      <c r="Q43" s="37">
        <f>SUM(Q25:Q42)</f>
        <v/>
      </c>
      <c r="R43" s="37">
        <f>SUM(R25:R42)</f>
        <v/>
      </c>
      <c r="S43" s="37">
        <f>SUM(S25:S42)</f>
        <v/>
      </c>
      <c r="T43" s="37">
        <f>SUM(T25:T42)</f>
        <v/>
      </c>
      <c r="U43" s="37">
        <f>SUM(U25:U42)</f>
        <v/>
      </c>
      <c r="V43" s="37">
        <f>SUM(V25:V42)</f>
        <v/>
      </c>
      <c r="W43" s="37">
        <f>SUM(W25:W42)</f>
        <v/>
      </c>
      <c r="X43" s="37">
        <f>SUM(X25:X42)</f>
        <v/>
      </c>
      <c r="Y43" s="37">
        <f>SUM(Y25:Y42)</f>
        <v/>
      </c>
      <c r="Z43" s="37">
        <f>SUM(Z25:Z42)</f>
        <v/>
      </c>
      <c r="AA43" s="37">
        <f>SUM(AA25:AA42)</f>
        <v/>
      </c>
      <c r="AB43" s="37">
        <f>SUM(AB25:AB42)</f>
        <v/>
      </c>
      <c r="AC43" s="37">
        <f>SUM(AC25:AC42)</f>
        <v/>
      </c>
      <c r="AD43" s="37">
        <f>SUM(AD25:AD42)</f>
        <v/>
      </c>
      <c r="AE43" s="37">
        <f>SUM(AE25:AE42)</f>
        <v/>
      </c>
      <c r="AF43" s="37">
        <f>SUM(AF25:AF42)</f>
        <v/>
      </c>
      <c r="AG43" s="37">
        <f>SUM(AG25:AG42)</f>
        <v/>
      </c>
      <c r="AH43" s="37">
        <f>SUM(AH25:AH42)</f>
        <v/>
      </c>
      <c r="AI43" s="37">
        <f>SUM(AI25:AI42)</f>
        <v/>
      </c>
      <c r="AJ43" s="37">
        <f>SUM(AJ25:AJ42)</f>
        <v/>
      </c>
      <c r="AK43" s="37">
        <f>SUM(AK25:AK42)</f>
        <v/>
      </c>
      <c r="AL43" s="37">
        <f>SUM(AL25:AL42)</f>
        <v/>
      </c>
      <c r="AM43" s="37">
        <f>SUM(AM25:AM42)</f>
        <v/>
      </c>
      <c r="AN43" s="37">
        <f>SUM(AN25:AN42)</f>
        <v/>
      </c>
      <c r="AO43" s="37">
        <f>SUM(AO25:AO42)</f>
        <v/>
      </c>
      <c r="AP43" s="37">
        <f>SUM(AP25:AP42)</f>
        <v/>
      </c>
      <c r="AQ43" s="37">
        <f>SUM(AQ25:AQ42)</f>
        <v/>
      </c>
      <c r="AR43" s="37">
        <f>SUM(AR25:AR42)</f>
        <v/>
      </c>
      <c r="AS43" s="37">
        <f>SUM(AS25:AS42)</f>
        <v/>
      </c>
      <c r="AT43" s="37">
        <f>SUM(AT25:AT42)</f>
        <v/>
      </c>
      <c r="AU43" s="37">
        <f>SUM(AU25:AU42)</f>
        <v/>
      </c>
      <c r="AV43" s="37">
        <f>SUM(AV25:AV42)</f>
        <v/>
      </c>
      <c r="AW43" s="37">
        <f>SUM(AW25:AW42)</f>
        <v/>
      </c>
      <c r="AX43" s="37">
        <f>SUM(AX25:AX42)</f>
        <v/>
      </c>
      <c r="AY43" s="37">
        <f>SUM(AY25:AY42)</f>
        <v/>
      </c>
      <c r="AZ43" s="37">
        <f>SUM(AZ25:AZ42)</f>
        <v/>
      </c>
      <c r="BA43" s="37">
        <f>SUM(BA25:BA42)</f>
        <v/>
      </c>
    </row>
    <row r="44" ht="14.25" customHeight="1" s="165">
      <c r="A44" s="3" t="inlineStr">
        <is>
          <t>Lohnnebenkosten (AG-Anteil)</t>
        </is>
      </c>
      <c r="B44" s="37">
        <f>B43*Inputs!$B$48</f>
        <v/>
      </c>
      <c r="C44" s="37">
        <f>C43*Inputs!$B$48</f>
        <v/>
      </c>
      <c r="D44" s="37">
        <f>D43*Inputs!$B$48</f>
        <v/>
      </c>
      <c r="E44" s="37">
        <f>E43*Inputs!$B$48</f>
        <v/>
      </c>
      <c r="F44" s="37">
        <f>F43*Inputs!$B$48</f>
        <v/>
      </c>
      <c r="G44" s="37">
        <f>G43*Inputs!$B$48</f>
        <v/>
      </c>
      <c r="H44" s="37">
        <f>H43*Inputs!$B$48</f>
        <v/>
      </c>
      <c r="I44" s="37">
        <f>I43*Inputs!$B$48</f>
        <v/>
      </c>
      <c r="J44" s="37">
        <f>J43*Inputs!$B$48</f>
        <v/>
      </c>
      <c r="K44" s="37">
        <f>K43*Inputs!$B$48</f>
        <v/>
      </c>
      <c r="L44" s="37">
        <f>L43*Inputs!$B$48</f>
        <v/>
      </c>
      <c r="M44" s="37">
        <f>M43*Inputs!$B$48</f>
        <v/>
      </c>
      <c r="N44" s="37">
        <f>N43*Inputs!$B$48</f>
        <v/>
      </c>
      <c r="O44" s="37">
        <f>O43*Inputs!$B$48</f>
        <v/>
      </c>
      <c r="P44" s="37">
        <f>P43*Inputs!$B$48</f>
        <v/>
      </c>
      <c r="Q44" s="37">
        <f>Q43*Inputs!$B$48</f>
        <v/>
      </c>
      <c r="R44" s="37">
        <f>R43*Inputs!$B$48</f>
        <v/>
      </c>
      <c r="S44" s="37">
        <f>S43*Inputs!$B$48</f>
        <v/>
      </c>
      <c r="T44" s="37">
        <f>T43*Inputs!$B$48</f>
        <v/>
      </c>
      <c r="U44" s="37">
        <f>U43*Inputs!$B$48</f>
        <v/>
      </c>
      <c r="V44" s="37">
        <f>V43*Inputs!$B$48</f>
        <v/>
      </c>
      <c r="W44" s="37">
        <f>W43*Inputs!$B$48</f>
        <v/>
      </c>
      <c r="X44" s="37">
        <f>X43*Inputs!$B$48</f>
        <v/>
      </c>
      <c r="Y44" s="37">
        <f>Y43*Inputs!$B$48</f>
        <v/>
      </c>
      <c r="Z44" s="37">
        <f>Z43*Inputs!$B$48</f>
        <v/>
      </c>
      <c r="AA44" s="37">
        <f>AA43*Inputs!$B$48</f>
        <v/>
      </c>
      <c r="AB44" s="37">
        <f>AB43*Inputs!$B$48</f>
        <v/>
      </c>
      <c r="AC44" s="37">
        <f>AC43*Inputs!$B$48</f>
        <v/>
      </c>
      <c r="AD44" s="37">
        <f>AD43*Inputs!$B$48</f>
        <v/>
      </c>
      <c r="AE44" s="37">
        <f>AE43*Inputs!$B$48</f>
        <v/>
      </c>
      <c r="AF44" s="37">
        <f>AF43*Inputs!$B$48</f>
        <v/>
      </c>
      <c r="AG44" s="37">
        <f>AG43*Inputs!$B$48</f>
        <v/>
      </c>
      <c r="AH44" s="37">
        <f>AH43*Inputs!$B$48</f>
        <v/>
      </c>
      <c r="AI44" s="37">
        <f>AI43*Inputs!$B$48</f>
        <v/>
      </c>
      <c r="AJ44" s="37">
        <f>AJ43*Inputs!$B$48</f>
        <v/>
      </c>
      <c r="AK44" s="37">
        <f>AK43*Inputs!$B$48</f>
        <v/>
      </c>
      <c r="AL44" s="37">
        <f>AL43*Inputs!$B$48</f>
        <v/>
      </c>
      <c r="AM44" s="37">
        <f>AM43*Inputs!$B$48</f>
        <v/>
      </c>
      <c r="AN44" s="37">
        <f>AN43*Inputs!$B$48</f>
        <v/>
      </c>
      <c r="AO44" s="37">
        <f>AO43*Inputs!$B$48</f>
        <v/>
      </c>
      <c r="AP44" s="37">
        <f>AP43*Inputs!$B$48</f>
        <v/>
      </c>
      <c r="AQ44" s="37">
        <f>AQ43*Inputs!$B$48</f>
        <v/>
      </c>
      <c r="AR44" s="37">
        <f>AR43*Inputs!$B$48</f>
        <v/>
      </c>
      <c r="AS44" s="37">
        <f>AS43*Inputs!$B$48</f>
        <v/>
      </c>
      <c r="AT44" s="37">
        <f>AT43*Inputs!$B$48</f>
        <v/>
      </c>
      <c r="AU44" s="37">
        <f>AU43*Inputs!$B$48</f>
        <v/>
      </c>
      <c r="AV44" s="37">
        <f>AV43*Inputs!$B$48</f>
        <v/>
      </c>
      <c r="AW44" s="37">
        <f>AW43*Inputs!$B$48</f>
        <v/>
      </c>
      <c r="AX44" s="37">
        <f>AX43*Inputs!$B$48</f>
        <v/>
      </c>
      <c r="AY44" s="37">
        <f>AY43*Inputs!$B$48</f>
        <v/>
      </c>
      <c r="AZ44" s="37">
        <f>AZ43*Inputs!$B$48</f>
        <v/>
      </c>
      <c r="BA44" s="37">
        <f>BA43*Inputs!$B$48</f>
        <v/>
      </c>
    </row>
    <row r="45" ht="14.25" customHeight="1" s="165">
      <c r="A45" s="2" t="inlineStr">
        <is>
          <t>TOTAL PERSONALKOSTEN</t>
        </is>
      </c>
      <c r="B45" s="35">
        <f>B43+B44</f>
        <v/>
      </c>
      <c r="C45" s="35">
        <f>C43+C44</f>
        <v/>
      </c>
      <c r="D45" s="35">
        <f>D43+D44</f>
        <v/>
      </c>
      <c r="E45" s="35">
        <f>E43+E44</f>
        <v/>
      </c>
      <c r="F45" s="35">
        <f>F43+F44</f>
        <v/>
      </c>
      <c r="G45" s="35">
        <f>G43+G44</f>
        <v/>
      </c>
      <c r="H45" s="35">
        <f>H43+H44</f>
        <v/>
      </c>
      <c r="I45" s="35">
        <f>I43+I44</f>
        <v/>
      </c>
      <c r="J45" s="35">
        <f>J43+J44</f>
        <v/>
      </c>
      <c r="K45" s="35">
        <f>K43+K44</f>
        <v/>
      </c>
      <c r="L45" s="35">
        <f>L43+L44</f>
        <v/>
      </c>
      <c r="M45" s="35">
        <f>M43+M44</f>
        <v/>
      </c>
      <c r="N45" s="35">
        <f>N43+N44</f>
        <v/>
      </c>
      <c r="O45" s="35">
        <f>O43+O44</f>
        <v/>
      </c>
      <c r="P45" s="35">
        <f>P43+P44</f>
        <v/>
      </c>
      <c r="Q45" s="35">
        <f>Q43+Q44</f>
        <v/>
      </c>
      <c r="R45" s="35">
        <f>R43+R44</f>
        <v/>
      </c>
      <c r="S45" s="35">
        <f>S43+S44</f>
        <v/>
      </c>
      <c r="T45" s="35">
        <f>T43+T44</f>
        <v/>
      </c>
      <c r="U45" s="35">
        <f>U43+U44</f>
        <v/>
      </c>
      <c r="V45" s="35">
        <f>V43+V44</f>
        <v/>
      </c>
      <c r="W45" s="35">
        <f>W43+W44</f>
        <v/>
      </c>
      <c r="X45" s="35">
        <f>X43+X44</f>
        <v/>
      </c>
      <c r="Y45" s="35">
        <f>Y43+Y44</f>
        <v/>
      </c>
      <c r="Z45" s="35">
        <f>Z43+Z44</f>
        <v/>
      </c>
      <c r="AA45" s="35">
        <f>AA43+AA44</f>
        <v/>
      </c>
      <c r="AB45" s="35">
        <f>AB43+AB44</f>
        <v/>
      </c>
      <c r="AC45" s="35">
        <f>AC43+AC44</f>
        <v/>
      </c>
      <c r="AD45" s="35">
        <f>AD43+AD44</f>
        <v/>
      </c>
      <c r="AE45" s="35">
        <f>AE43+AE44</f>
        <v/>
      </c>
      <c r="AF45" s="35">
        <f>AF43+AF44</f>
        <v/>
      </c>
      <c r="AG45" s="35">
        <f>AG43+AG44</f>
        <v/>
      </c>
      <c r="AH45" s="35">
        <f>AH43+AH44</f>
        <v/>
      </c>
      <c r="AI45" s="35">
        <f>AI43+AI44</f>
        <v/>
      </c>
      <c r="AJ45" s="35">
        <f>AJ43+AJ44</f>
        <v/>
      </c>
      <c r="AK45" s="35">
        <f>AK43+AK44</f>
        <v/>
      </c>
      <c r="AL45" s="35">
        <f>AL43+AL44</f>
        <v/>
      </c>
      <c r="AM45" s="35">
        <f>AM43+AM44</f>
        <v/>
      </c>
      <c r="AN45" s="35">
        <f>AN43+AN44</f>
        <v/>
      </c>
      <c r="AO45" s="35">
        <f>AO43+AO44</f>
        <v/>
      </c>
      <c r="AP45" s="35">
        <f>AP43+AP44</f>
        <v/>
      </c>
      <c r="AQ45" s="35">
        <f>AQ43+AQ44</f>
        <v/>
      </c>
      <c r="AR45" s="35">
        <f>AR43+AR44</f>
        <v/>
      </c>
      <c r="AS45" s="35">
        <f>AS43+AS44</f>
        <v/>
      </c>
      <c r="AT45" s="35">
        <f>AT43+AT44</f>
        <v/>
      </c>
      <c r="AU45" s="35">
        <f>AU43+AU44</f>
        <v/>
      </c>
      <c r="AV45" s="35">
        <f>AV43+AV44</f>
        <v/>
      </c>
      <c r="AW45" s="35">
        <f>AW43+AW44</f>
        <v/>
      </c>
      <c r="AX45" s="35">
        <f>AX43+AX44</f>
        <v/>
      </c>
      <c r="AY45" s="35">
        <f>AY43+AY44</f>
        <v/>
      </c>
      <c r="AZ45" s="35">
        <f>AZ43+AZ44</f>
        <v/>
      </c>
      <c r="BA45" s="35">
        <f>BA43+BA44</f>
        <v/>
      </c>
    </row>
    <row r="46" ht="14.25" customHeight="1" s="165"/>
    <row r="47" ht="14.25" customHeight="1" s="165">
      <c r="A47" s="2" t="inlineStr">
        <is>
          <t>TECHNOLOGIEKOSTEN</t>
        </is>
      </c>
    </row>
    <row r="48" ht="14.25" customHeight="1" s="165">
      <c r="A48" s="3" t="inlineStr">
        <is>
          <t>Cloud Infrastructure (Basis)</t>
        </is>
      </c>
      <c r="B48" s="37">
        <f>Inputs!$B$68</f>
        <v/>
      </c>
      <c r="C48" s="37">
        <f>Inputs!$B$68</f>
        <v/>
      </c>
      <c r="D48" s="37">
        <f>Inputs!$B$68</f>
        <v/>
      </c>
      <c r="E48" s="37">
        <f>Inputs!$B$68</f>
        <v/>
      </c>
      <c r="F48" s="37">
        <f>Inputs!$B$68</f>
        <v/>
      </c>
      <c r="G48" s="37">
        <f>Inputs!$B$68</f>
        <v/>
      </c>
      <c r="H48" s="37">
        <f>Inputs!$B$68</f>
        <v/>
      </c>
      <c r="I48" s="37">
        <f>Inputs!$B$68</f>
        <v/>
      </c>
      <c r="J48" s="37">
        <f>Inputs!$B$68</f>
        <v/>
      </c>
      <c r="K48" s="37">
        <f>Inputs!$B$68</f>
        <v/>
      </c>
      <c r="L48" s="37">
        <f>Inputs!$B$68</f>
        <v/>
      </c>
      <c r="M48" s="37">
        <f>Inputs!$B$68</f>
        <v/>
      </c>
      <c r="N48" s="37">
        <f>Inputs!$B$68</f>
        <v/>
      </c>
      <c r="O48" s="37">
        <f>Inputs!$B$68</f>
        <v/>
      </c>
      <c r="P48" s="37">
        <f>Inputs!$B$68</f>
        <v/>
      </c>
      <c r="Q48" s="37">
        <f>Inputs!$B$68</f>
        <v/>
      </c>
      <c r="R48" s="37">
        <f>Inputs!$B$68</f>
        <v/>
      </c>
      <c r="S48" s="37">
        <f>Inputs!$B$68</f>
        <v/>
      </c>
      <c r="T48" s="37">
        <f>Inputs!$B$68</f>
        <v/>
      </c>
      <c r="U48" s="37">
        <f>Inputs!$B$68</f>
        <v/>
      </c>
      <c r="V48" s="37">
        <f>Inputs!$B$68</f>
        <v/>
      </c>
      <c r="W48" s="37">
        <f>Inputs!$B$68</f>
        <v/>
      </c>
      <c r="X48" s="37">
        <f>Inputs!$B$68</f>
        <v/>
      </c>
      <c r="Y48" s="37">
        <f>Inputs!$B$68</f>
        <v/>
      </c>
      <c r="Z48" s="37">
        <f>Inputs!$B$68</f>
        <v/>
      </c>
      <c r="AA48" s="37">
        <f>Inputs!$B$68</f>
        <v/>
      </c>
      <c r="AB48" s="37">
        <f>Inputs!$B$68</f>
        <v/>
      </c>
      <c r="AC48" s="37">
        <f>Inputs!$B$68</f>
        <v/>
      </c>
      <c r="AD48" s="37">
        <f>Inputs!$B$68</f>
        <v/>
      </c>
      <c r="AE48" s="37">
        <f>Inputs!$B$68</f>
        <v/>
      </c>
      <c r="AF48" s="37">
        <f>Inputs!$B$68</f>
        <v/>
      </c>
      <c r="AG48" s="37">
        <f>Inputs!$B$68</f>
        <v/>
      </c>
      <c r="AH48" s="37">
        <f>Inputs!$B$68</f>
        <v/>
      </c>
      <c r="AI48" s="37">
        <f>Inputs!$B$68</f>
        <v/>
      </c>
      <c r="AJ48" s="37">
        <f>Inputs!$B$68</f>
        <v/>
      </c>
      <c r="AK48" s="37">
        <f>Inputs!$B$68</f>
        <v/>
      </c>
      <c r="AL48" s="37">
        <f>Inputs!$B$68</f>
        <v/>
      </c>
      <c r="AM48" s="37">
        <f>Inputs!$B$68</f>
        <v/>
      </c>
      <c r="AN48" s="37">
        <f>Inputs!$B$68</f>
        <v/>
      </c>
      <c r="AO48" s="37">
        <f>Inputs!$B$68</f>
        <v/>
      </c>
      <c r="AP48" s="37">
        <f>Inputs!$B$68</f>
        <v/>
      </c>
      <c r="AQ48" s="37">
        <f>Inputs!$B$68</f>
        <v/>
      </c>
      <c r="AR48" s="37">
        <f>Inputs!$B$68</f>
        <v/>
      </c>
      <c r="AS48" s="37">
        <f>Inputs!$B$68</f>
        <v/>
      </c>
      <c r="AT48" s="37">
        <f>Inputs!$B$68</f>
        <v/>
      </c>
      <c r="AU48" s="37">
        <f>Inputs!$B$68</f>
        <v/>
      </c>
      <c r="AV48" s="37">
        <f>Inputs!$B$68</f>
        <v/>
      </c>
      <c r="AW48" s="37">
        <f>Inputs!$B$68</f>
        <v/>
      </c>
      <c r="AX48" s="37">
        <f>Inputs!$B$68</f>
        <v/>
      </c>
      <c r="AY48" s="37">
        <f>Inputs!$B$68</f>
        <v/>
      </c>
      <c r="AZ48" s="37">
        <f>Inputs!$B$68</f>
        <v/>
      </c>
      <c r="BA48" s="37">
        <f>Inputs!$B$68</f>
        <v/>
      </c>
    </row>
    <row r="49" ht="14.25" customHeight="1" s="165">
      <c r="A49" s="3" t="inlineStr">
        <is>
          <t>Cloud Infrastructure (Variable)</t>
        </is>
      </c>
      <c r="B49" s="34">
        <f>Revenue!B9*Inputs!$B$69</f>
        <v/>
      </c>
      <c r="C49" s="34">
        <f>Revenue!C9*Inputs!$B$69</f>
        <v/>
      </c>
      <c r="D49" s="34">
        <f>Revenue!D9*Inputs!$B$69</f>
        <v/>
      </c>
      <c r="E49" s="34">
        <f>Revenue!E9*Inputs!$B$69</f>
        <v/>
      </c>
      <c r="F49" s="34">
        <f>Revenue!F9*Inputs!$B$69</f>
        <v/>
      </c>
      <c r="G49" s="34">
        <f>Revenue!G9*Inputs!$B$69</f>
        <v/>
      </c>
      <c r="H49" s="34">
        <f>Revenue!H9*Inputs!$B$69</f>
        <v/>
      </c>
      <c r="I49" s="34">
        <f>Revenue!I9*Inputs!$B$69</f>
        <v/>
      </c>
      <c r="J49" s="34">
        <f>Revenue!J9*Inputs!$B$69</f>
        <v/>
      </c>
      <c r="K49" s="34">
        <f>Revenue!K9*Inputs!$B$69</f>
        <v/>
      </c>
      <c r="L49" s="34">
        <f>Revenue!L9*Inputs!$B$69</f>
        <v/>
      </c>
      <c r="M49" s="34">
        <f>Revenue!M9*Inputs!$B$69</f>
        <v/>
      </c>
      <c r="N49" s="34">
        <f>Revenue!N9*Inputs!$B$69</f>
        <v/>
      </c>
      <c r="O49" s="34">
        <f>Revenue!O9*Inputs!$B$69</f>
        <v/>
      </c>
      <c r="P49" s="34">
        <f>Revenue!P9*Inputs!$B$69</f>
        <v/>
      </c>
      <c r="Q49" s="34">
        <f>Revenue!Q9*Inputs!$B$69</f>
        <v/>
      </c>
      <c r="R49" s="34">
        <f>Revenue!R9*Inputs!$B$69</f>
        <v/>
      </c>
      <c r="S49" s="34">
        <f>Revenue!S9*Inputs!$B$69</f>
        <v/>
      </c>
      <c r="T49" s="34">
        <f>Revenue!T9*Inputs!$B$69</f>
        <v/>
      </c>
      <c r="U49" s="34">
        <f>Revenue!U9*Inputs!$B$69</f>
        <v/>
      </c>
      <c r="V49" s="34">
        <f>Revenue!V9*Inputs!$B$69</f>
        <v/>
      </c>
      <c r="W49" s="34">
        <f>Revenue!W9*Inputs!$B$69</f>
        <v/>
      </c>
      <c r="X49" s="34">
        <f>Revenue!X9*Inputs!$B$69</f>
        <v/>
      </c>
      <c r="Y49" s="34">
        <f>Revenue!Y9*Inputs!$B$69</f>
        <v/>
      </c>
      <c r="Z49" s="34">
        <f>Revenue!Z9*Inputs!$B$69</f>
        <v/>
      </c>
      <c r="AA49" s="34">
        <f>Revenue!AA9*Inputs!$B$69</f>
        <v/>
      </c>
      <c r="AB49" s="34">
        <f>Revenue!AB9*Inputs!$B$69</f>
        <v/>
      </c>
      <c r="AC49" s="34">
        <f>Revenue!AC9*Inputs!$B$69</f>
        <v/>
      </c>
      <c r="AD49" s="34">
        <f>Revenue!AD9*Inputs!$B$69</f>
        <v/>
      </c>
      <c r="AE49" s="34">
        <f>Revenue!AE9*Inputs!$B$69</f>
        <v/>
      </c>
      <c r="AF49" s="34">
        <f>Revenue!AF9*Inputs!$B$69</f>
        <v/>
      </c>
      <c r="AG49" s="34">
        <f>Revenue!AG9*Inputs!$B$69</f>
        <v/>
      </c>
      <c r="AH49" s="34">
        <f>Revenue!AH9*Inputs!$B$69</f>
        <v/>
      </c>
      <c r="AI49" s="34">
        <f>Revenue!AI9*Inputs!$B$69</f>
        <v/>
      </c>
      <c r="AJ49" s="34">
        <f>Revenue!AJ9*Inputs!$B$69</f>
        <v/>
      </c>
      <c r="AK49" s="34">
        <f>Revenue!AK9*Inputs!$B$69</f>
        <v/>
      </c>
      <c r="AL49" s="34">
        <f>Revenue!AL9*Inputs!$B$69</f>
        <v/>
      </c>
      <c r="AM49" s="34">
        <f>Revenue!AM9*Inputs!$B$69</f>
        <v/>
      </c>
      <c r="AN49" s="34">
        <f>Revenue!AN9*Inputs!$B$69</f>
        <v/>
      </c>
      <c r="AO49" s="34">
        <f>Revenue!AO9*Inputs!$B$69</f>
        <v/>
      </c>
      <c r="AP49" s="34">
        <f>Revenue!AP9*Inputs!$B$69</f>
        <v/>
      </c>
      <c r="AQ49" s="34">
        <f>Revenue!AQ9*Inputs!$B$69</f>
        <v/>
      </c>
      <c r="AR49" s="34">
        <f>Revenue!AR9*Inputs!$B$69</f>
        <v/>
      </c>
      <c r="AS49" s="34">
        <f>Revenue!AS9*Inputs!$B$69</f>
        <v/>
      </c>
      <c r="AT49" s="34">
        <f>Revenue!AT9*Inputs!$B$69</f>
        <v/>
      </c>
      <c r="AU49" s="34">
        <f>Revenue!AU9*Inputs!$B$69</f>
        <v/>
      </c>
      <c r="AV49" s="34">
        <f>Revenue!AV9*Inputs!$B$69</f>
        <v/>
      </c>
      <c r="AW49" s="34">
        <f>Revenue!AW9*Inputs!$B$69</f>
        <v/>
      </c>
      <c r="AX49" s="34">
        <f>Revenue!AX9*Inputs!$B$69</f>
        <v/>
      </c>
      <c r="AY49" s="34">
        <f>Revenue!AY9*Inputs!$B$69</f>
        <v/>
      </c>
      <c r="AZ49" s="34">
        <f>Revenue!AZ9*Inputs!$B$69</f>
        <v/>
      </c>
      <c r="BA49" s="34">
        <f>Revenue!BA9*Inputs!$B$69</f>
        <v/>
      </c>
    </row>
    <row r="50" ht="14.25" customHeight="1" s="165">
      <c r="A50" s="3" t="inlineStr">
        <is>
          <t>AI/ML API Kosten</t>
        </is>
      </c>
      <c r="B50" s="37">
        <f>Inputs!$B$70*(1+Inputs!$B$71)^(1-1)</f>
        <v/>
      </c>
      <c r="C50" s="37">
        <f>Inputs!$B$70*(1+Inputs!$B$71)^(2-1)</f>
        <v/>
      </c>
      <c r="D50" s="37">
        <f>Inputs!$B$70*(1+Inputs!$B$71)^(3-1)</f>
        <v/>
      </c>
      <c r="E50" s="37">
        <f>Inputs!$B$70*(1+Inputs!$B$71)^(4-1)</f>
        <v/>
      </c>
      <c r="F50" s="37">
        <f>Inputs!$B$70*(1+Inputs!$B$71)^(5-1)</f>
        <v/>
      </c>
      <c r="G50" s="37">
        <f>Inputs!$B$70*(1+Inputs!$B$71)^(6-1)</f>
        <v/>
      </c>
      <c r="H50" s="37">
        <f>Inputs!$B$70*(1+Inputs!$B$71)^(7-1)</f>
        <v/>
      </c>
      <c r="I50" s="37">
        <f>Inputs!$B$70*(1+Inputs!$B$71)^(8-1)</f>
        <v/>
      </c>
      <c r="J50" s="37">
        <f>Inputs!$B$70*(1+Inputs!$B$71)^(9-1)</f>
        <v/>
      </c>
      <c r="K50" s="37">
        <f>Inputs!$B$70*(1+Inputs!$B$71)^(10-1)</f>
        <v/>
      </c>
      <c r="L50" s="37">
        <f>Inputs!$B$70*(1+Inputs!$B$71)^(11-1)</f>
        <v/>
      </c>
      <c r="M50" s="37">
        <f>Inputs!$B$70*(1+Inputs!$B$71)^(12-1)</f>
        <v/>
      </c>
      <c r="N50" s="37">
        <f>Inputs!$B$70*(1+Inputs!$B$71)^(13-1)</f>
        <v/>
      </c>
      <c r="O50" s="37">
        <f>Inputs!$B$70*(1+Inputs!$B$71)^(14-1)</f>
        <v/>
      </c>
      <c r="P50" s="37">
        <f>Inputs!$B$70*(1+Inputs!$B$71)^(15-1)</f>
        <v/>
      </c>
      <c r="Q50" s="37">
        <f>Inputs!$B$70*(1+Inputs!$B$71)^(16-1)</f>
        <v/>
      </c>
      <c r="R50" s="37">
        <f>Inputs!$B$70*(1+Inputs!$B$71)^(17-1)</f>
        <v/>
      </c>
      <c r="S50" s="37">
        <f>Inputs!$B$70*(1+Inputs!$B$71)^(18-1)</f>
        <v/>
      </c>
      <c r="T50" s="37">
        <f>Inputs!$B$70*(1+Inputs!$B$71)^(19-1)</f>
        <v/>
      </c>
      <c r="U50" s="37">
        <f>Inputs!$B$70*(1+Inputs!$B$71)^(20-1)</f>
        <v/>
      </c>
      <c r="V50" s="37">
        <f>Inputs!$B$70*(1+Inputs!$B$71)^(21-1)</f>
        <v/>
      </c>
      <c r="W50" s="37">
        <f>Inputs!$B$70*(1+Inputs!$B$71)^(22-1)</f>
        <v/>
      </c>
      <c r="X50" s="37">
        <f>Inputs!$B$70*(1+Inputs!$B$71)^(23-1)</f>
        <v/>
      </c>
      <c r="Y50" s="37">
        <f>Inputs!$B$70*(1+Inputs!$B$71)^(24-1)</f>
        <v/>
      </c>
      <c r="Z50" s="37">
        <f>Inputs!$B$70*(1+Inputs!$B$71)^(25-1)</f>
        <v/>
      </c>
      <c r="AA50" s="37">
        <f>Inputs!$B$70*(1+Inputs!$B$71)^(26-1)</f>
        <v/>
      </c>
      <c r="AB50" s="37">
        <f>Inputs!$B$70*(1+Inputs!$B$71)^(27-1)</f>
        <v/>
      </c>
      <c r="AC50" s="37">
        <f>Inputs!$B$70*(1+Inputs!$B$71)^(28-1)</f>
        <v/>
      </c>
      <c r="AD50" s="37">
        <f>Inputs!$B$70*(1+Inputs!$B$71)^(29-1)</f>
        <v/>
      </c>
      <c r="AE50" s="37">
        <f>Inputs!$B$70*(1+Inputs!$B$71)^(30-1)</f>
        <v/>
      </c>
      <c r="AF50" s="37">
        <f>Inputs!$B$70*(1+Inputs!$B$71)^(31-1)</f>
        <v/>
      </c>
      <c r="AG50" s="37">
        <f>Inputs!$B$70*(1+Inputs!$B$71)^(32-1)</f>
        <v/>
      </c>
      <c r="AH50" s="37">
        <f>Inputs!$B$70*(1+Inputs!$B$71)^(33-1)</f>
        <v/>
      </c>
      <c r="AI50" s="37">
        <f>Inputs!$B$70*(1+Inputs!$B$71)^(34-1)</f>
        <v/>
      </c>
      <c r="AJ50" s="37">
        <f>Inputs!$B$70*(1+Inputs!$B$71)^(35-1)</f>
        <v/>
      </c>
      <c r="AK50" s="37">
        <f>Inputs!$B$70*(1+Inputs!$B$71)^(36-1)</f>
        <v/>
      </c>
      <c r="AL50" s="37">
        <f>Inputs!$B$70*(1+Inputs!$B$71)^(37-1)</f>
        <v/>
      </c>
      <c r="AM50" s="37">
        <f>Inputs!$B$70*(1+Inputs!$B$71)^(38-1)</f>
        <v/>
      </c>
      <c r="AN50" s="37">
        <f>Inputs!$B$70*(1+Inputs!$B$71)^(39-1)</f>
        <v/>
      </c>
      <c r="AO50" s="37">
        <f>Inputs!$B$70*(1+Inputs!$B$71)^(40-1)</f>
        <v/>
      </c>
      <c r="AP50" s="37">
        <f>Inputs!$B$70*(1+Inputs!$B$71)^(41-1)</f>
        <v/>
      </c>
      <c r="AQ50" s="37">
        <f>Inputs!$B$70*(1+Inputs!$B$71)^(42-1)</f>
        <v/>
      </c>
      <c r="AR50" s="37">
        <f>Inputs!$B$70*(1+Inputs!$B$71)^(43-1)</f>
        <v/>
      </c>
      <c r="AS50" s="37">
        <f>Inputs!$B$70*(1+Inputs!$B$71)^(44-1)</f>
        <v/>
      </c>
      <c r="AT50" s="37">
        <f>Inputs!$B$70*(1+Inputs!$B$71)^(45-1)</f>
        <v/>
      </c>
      <c r="AU50" s="37">
        <f>Inputs!$B$70*(1+Inputs!$B$71)^(46-1)</f>
        <v/>
      </c>
      <c r="AV50" s="37">
        <f>Inputs!$B$70*(1+Inputs!$B$71)^(47-1)</f>
        <v/>
      </c>
      <c r="AW50" s="37">
        <f>Inputs!$B$70*(1+Inputs!$B$71)^(48-1)</f>
        <v/>
      </c>
      <c r="AX50" s="37">
        <f>Inputs!$B$70*(1+Inputs!$B$71)^(49-1)</f>
        <v/>
      </c>
      <c r="AY50" s="37">
        <f>Inputs!$B$70*(1+Inputs!$B$71)^(50-1)</f>
        <v/>
      </c>
      <c r="AZ50" s="37">
        <f>Inputs!$B$70*(1+Inputs!$B$71)^(51-1)</f>
        <v/>
      </c>
      <c r="BA50" s="37">
        <f>Inputs!$B$70*(1+Inputs!$B$71)^(52-1)</f>
        <v/>
      </c>
    </row>
    <row r="51" ht="14.25" customHeight="1" s="165">
      <c r="A51" s="3" t="inlineStr">
        <is>
          <t>SaaS Tools intern</t>
        </is>
      </c>
      <c r="B51" s="37">
        <f>Inputs!$B$72+B22*Inputs!$B$73</f>
        <v/>
      </c>
      <c r="C51" s="37">
        <f>Inputs!$B$72+C22*Inputs!$B$73</f>
        <v/>
      </c>
      <c r="D51" s="37">
        <f>Inputs!$B$72+D22*Inputs!$B$73</f>
        <v/>
      </c>
      <c r="E51" s="37">
        <f>Inputs!$B$72+E22*Inputs!$B$73</f>
        <v/>
      </c>
      <c r="F51" s="37">
        <f>Inputs!$B$72+F22*Inputs!$B$73</f>
        <v/>
      </c>
      <c r="G51" s="37">
        <f>Inputs!$B$72+G22*Inputs!$B$73</f>
        <v/>
      </c>
      <c r="H51" s="37">
        <f>Inputs!$B$72+H22*Inputs!$B$73</f>
        <v/>
      </c>
      <c r="I51" s="37">
        <f>Inputs!$B$72+I22*Inputs!$B$73</f>
        <v/>
      </c>
      <c r="J51" s="37">
        <f>Inputs!$B$72+J22*Inputs!$B$73</f>
        <v/>
      </c>
      <c r="K51" s="37">
        <f>Inputs!$B$72+K22*Inputs!$B$73</f>
        <v/>
      </c>
      <c r="L51" s="37">
        <f>Inputs!$B$72+L22*Inputs!$B$73</f>
        <v/>
      </c>
      <c r="M51" s="37">
        <f>Inputs!$B$72+M22*Inputs!$B$73</f>
        <v/>
      </c>
      <c r="N51" s="37">
        <f>Inputs!$B$72+N22*Inputs!$B$73</f>
        <v/>
      </c>
      <c r="O51" s="37">
        <f>Inputs!$B$72+O22*Inputs!$B$73</f>
        <v/>
      </c>
      <c r="P51" s="37">
        <f>Inputs!$B$72+P22*Inputs!$B$73</f>
        <v/>
      </c>
      <c r="Q51" s="37">
        <f>Inputs!$B$72+Q22*Inputs!$B$73</f>
        <v/>
      </c>
      <c r="R51" s="37">
        <f>Inputs!$B$72+R22*Inputs!$B$73</f>
        <v/>
      </c>
      <c r="S51" s="37">
        <f>Inputs!$B$72+S22*Inputs!$B$73</f>
        <v/>
      </c>
      <c r="T51" s="37">
        <f>Inputs!$B$72+T22*Inputs!$B$73</f>
        <v/>
      </c>
      <c r="U51" s="37">
        <f>Inputs!$B$72+U22*Inputs!$B$73</f>
        <v/>
      </c>
      <c r="V51" s="37">
        <f>Inputs!$B$72+V22*Inputs!$B$73</f>
        <v/>
      </c>
      <c r="W51" s="37">
        <f>Inputs!$B$72+W22*Inputs!$B$73</f>
        <v/>
      </c>
      <c r="X51" s="37">
        <f>Inputs!$B$72+X22*Inputs!$B$73</f>
        <v/>
      </c>
      <c r="Y51" s="37">
        <f>Inputs!$B$72+Y22*Inputs!$B$73</f>
        <v/>
      </c>
      <c r="Z51" s="37">
        <f>Inputs!$B$72+Z22*Inputs!$B$73</f>
        <v/>
      </c>
      <c r="AA51" s="37">
        <f>Inputs!$B$72+AA22*Inputs!$B$73</f>
        <v/>
      </c>
      <c r="AB51" s="37">
        <f>Inputs!$B$72+AB22*Inputs!$B$73</f>
        <v/>
      </c>
      <c r="AC51" s="37">
        <f>Inputs!$B$72+AC22*Inputs!$B$73</f>
        <v/>
      </c>
      <c r="AD51" s="37">
        <f>Inputs!$B$72+AD22*Inputs!$B$73</f>
        <v/>
      </c>
      <c r="AE51" s="37">
        <f>Inputs!$B$72+AE22*Inputs!$B$73</f>
        <v/>
      </c>
      <c r="AF51" s="37">
        <f>Inputs!$B$72+AF22*Inputs!$B$73</f>
        <v/>
      </c>
      <c r="AG51" s="37">
        <f>Inputs!$B$72+AG22*Inputs!$B$73</f>
        <v/>
      </c>
      <c r="AH51" s="37">
        <f>Inputs!$B$72+AH22*Inputs!$B$73</f>
        <v/>
      </c>
      <c r="AI51" s="37">
        <f>Inputs!$B$72+AI22*Inputs!$B$73</f>
        <v/>
      </c>
      <c r="AJ51" s="37">
        <f>Inputs!$B$72+AJ22*Inputs!$B$73</f>
        <v/>
      </c>
      <c r="AK51" s="37">
        <f>Inputs!$B$72+AK22*Inputs!$B$73</f>
        <v/>
      </c>
      <c r="AL51" s="37">
        <f>Inputs!$B$72+AL22*Inputs!$B$73</f>
        <v/>
      </c>
      <c r="AM51" s="37">
        <f>Inputs!$B$72+AM22*Inputs!$B$73</f>
        <v/>
      </c>
      <c r="AN51" s="37">
        <f>Inputs!$B$72+AN22*Inputs!$B$73</f>
        <v/>
      </c>
      <c r="AO51" s="37">
        <f>Inputs!$B$72+AO22*Inputs!$B$73</f>
        <v/>
      </c>
      <c r="AP51" s="37">
        <f>Inputs!$B$72+AP22*Inputs!$B$73</f>
        <v/>
      </c>
      <c r="AQ51" s="37">
        <f>Inputs!$B$72+AQ22*Inputs!$B$73</f>
        <v/>
      </c>
      <c r="AR51" s="37">
        <f>Inputs!$B$72+AR22*Inputs!$B$73</f>
        <v/>
      </c>
      <c r="AS51" s="37">
        <f>Inputs!$B$72+AS22*Inputs!$B$73</f>
        <v/>
      </c>
      <c r="AT51" s="37">
        <f>Inputs!$B$72+AT22*Inputs!$B$73</f>
        <v/>
      </c>
      <c r="AU51" s="37">
        <f>Inputs!$B$72+AU22*Inputs!$B$73</f>
        <v/>
      </c>
      <c r="AV51" s="37">
        <f>Inputs!$B$72+AV22*Inputs!$B$73</f>
        <v/>
      </c>
      <c r="AW51" s="37">
        <f>Inputs!$B$72+AW22*Inputs!$B$73</f>
        <v/>
      </c>
      <c r="AX51" s="37">
        <f>Inputs!$B$72+AX22*Inputs!$B$73</f>
        <v/>
      </c>
      <c r="AY51" s="37">
        <f>Inputs!$B$72+AY22*Inputs!$B$73</f>
        <v/>
      </c>
      <c r="AZ51" s="37">
        <f>Inputs!$B$72+AZ22*Inputs!$B$73</f>
        <v/>
      </c>
      <c r="BA51" s="37">
        <f>Inputs!$B$72+BA22*Inputs!$B$73</f>
        <v/>
      </c>
    </row>
    <row r="52" ht="14.25" customHeight="1" s="165">
      <c r="A52" s="3" t="inlineStr">
        <is>
          <t>Software-Lizenzen Dev</t>
        </is>
      </c>
      <c r="B52" s="37">
        <f>Inputs!$B$74/12</f>
        <v/>
      </c>
      <c r="C52" s="37">
        <f>Inputs!$B$74/12</f>
        <v/>
      </c>
      <c r="D52" s="37">
        <f>Inputs!$B$74/12</f>
        <v/>
      </c>
      <c r="E52" s="37">
        <f>Inputs!$B$74/12</f>
        <v/>
      </c>
      <c r="F52" s="37">
        <f>Inputs!$B$74/12</f>
        <v/>
      </c>
      <c r="G52" s="37">
        <f>Inputs!$B$74/12</f>
        <v/>
      </c>
      <c r="H52" s="37">
        <f>Inputs!$B$74/12</f>
        <v/>
      </c>
      <c r="I52" s="37">
        <f>Inputs!$B$74/12</f>
        <v/>
      </c>
      <c r="J52" s="37">
        <f>Inputs!$B$74/12</f>
        <v/>
      </c>
      <c r="K52" s="37">
        <f>Inputs!$B$74/12</f>
        <v/>
      </c>
      <c r="L52" s="37">
        <f>Inputs!$B$74/12</f>
        <v/>
      </c>
      <c r="M52" s="37">
        <f>Inputs!$B$74/12</f>
        <v/>
      </c>
      <c r="N52" s="37">
        <f>Inputs!$B$74/12</f>
        <v/>
      </c>
      <c r="O52" s="37">
        <f>Inputs!$B$74/12</f>
        <v/>
      </c>
      <c r="P52" s="37">
        <f>Inputs!$B$74/12</f>
        <v/>
      </c>
      <c r="Q52" s="37">
        <f>Inputs!$B$74/12</f>
        <v/>
      </c>
      <c r="R52" s="37">
        <f>Inputs!$B$74/12</f>
        <v/>
      </c>
      <c r="S52" s="37">
        <f>Inputs!$B$74/12</f>
        <v/>
      </c>
      <c r="T52" s="37">
        <f>Inputs!$B$74/12</f>
        <v/>
      </c>
      <c r="U52" s="37">
        <f>Inputs!$B$74/12</f>
        <v/>
      </c>
      <c r="V52" s="37">
        <f>Inputs!$B$74/12</f>
        <v/>
      </c>
      <c r="W52" s="37">
        <f>Inputs!$B$74/12</f>
        <v/>
      </c>
      <c r="X52" s="37">
        <f>Inputs!$B$74/12</f>
        <v/>
      </c>
      <c r="Y52" s="37">
        <f>Inputs!$B$74/12</f>
        <v/>
      </c>
      <c r="Z52" s="37">
        <f>Inputs!$B$74/12</f>
        <v/>
      </c>
      <c r="AA52" s="37">
        <f>Inputs!$B$74/12</f>
        <v/>
      </c>
      <c r="AB52" s="37">
        <f>Inputs!$B$74/12</f>
        <v/>
      </c>
      <c r="AC52" s="37">
        <f>Inputs!$B$74/12</f>
        <v/>
      </c>
      <c r="AD52" s="37">
        <f>Inputs!$B$74/12</f>
        <v/>
      </c>
      <c r="AE52" s="37">
        <f>Inputs!$B$74/12</f>
        <v/>
      </c>
      <c r="AF52" s="37">
        <f>Inputs!$B$74/12</f>
        <v/>
      </c>
      <c r="AG52" s="37">
        <f>Inputs!$B$74/12</f>
        <v/>
      </c>
      <c r="AH52" s="37">
        <f>Inputs!$B$74/12</f>
        <v/>
      </c>
      <c r="AI52" s="37">
        <f>Inputs!$B$74/12</f>
        <v/>
      </c>
      <c r="AJ52" s="37">
        <f>Inputs!$B$74/12</f>
        <v/>
      </c>
      <c r="AK52" s="37">
        <f>Inputs!$B$74/12</f>
        <v/>
      </c>
      <c r="AL52" s="37">
        <f>Inputs!$B$74/12</f>
        <v/>
      </c>
      <c r="AM52" s="37">
        <f>Inputs!$B$74/12</f>
        <v/>
      </c>
      <c r="AN52" s="37">
        <f>Inputs!$B$74/12</f>
        <v/>
      </c>
      <c r="AO52" s="37">
        <f>Inputs!$B$74/12</f>
        <v/>
      </c>
      <c r="AP52" s="37">
        <f>Inputs!$B$74/12</f>
        <v/>
      </c>
      <c r="AQ52" s="37">
        <f>Inputs!$B$74/12</f>
        <v/>
      </c>
      <c r="AR52" s="37">
        <f>Inputs!$B$74/12</f>
        <v/>
      </c>
      <c r="AS52" s="37">
        <f>Inputs!$B$74/12</f>
        <v/>
      </c>
      <c r="AT52" s="37">
        <f>Inputs!$B$74/12</f>
        <v/>
      </c>
      <c r="AU52" s="37">
        <f>Inputs!$B$74/12</f>
        <v/>
      </c>
      <c r="AV52" s="37">
        <f>Inputs!$B$74/12</f>
        <v/>
      </c>
      <c r="AW52" s="37">
        <f>Inputs!$B$74/12</f>
        <v/>
      </c>
      <c r="AX52" s="37">
        <f>Inputs!$B$74/12</f>
        <v/>
      </c>
      <c r="AY52" s="37">
        <f>Inputs!$B$74/12</f>
        <v/>
      </c>
      <c r="AZ52" s="37">
        <f>Inputs!$B$74/12</f>
        <v/>
      </c>
      <c r="BA52" s="37">
        <f>Inputs!$B$74/12</f>
        <v/>
      </c>
    </row>
    <row r="53" ht="14.25" customHeight="1" s="165">
      <c r="A53" s="3" t="inlineStr">
        <is>
          <t>Sicherheit &amp; Compliance</t>
        </is>
      </c>
      <c r="B53" s="37">
        <f>Inputs!$B$75</f>
        <v/>
      </c>
      <c r="C53" s="37">
        <f>Inputs!$B$75</f>
        <v/>
      </c>
      <c r="D53" s="37">
        <f>Inputs!$B$75</f>
        <v/>
      </c>
      <c r="E53" s="37">
        <f>Inputs!$B$75</f>
        <v/>
      </c>
      <c r="F53" s="37">
        <f>Inputs!$B$75</f>
        <v/>
      </c>
      <c r="G53" s="37">
        <f>Inputs!$B$75</f>
        <v/>
      </c>
      <c r="H53" s="37">
        <f>Inputs!$B$75</f>
        <v/>
      </c>
      <c r="I53" s="37">
        <f>Inputs!$B$75</f>
        <v/>
      </c>
      <c r="J53" s="37">
        <f>Inputs!$B$75</f>
        <v/>
      </c>
      <c r="K53" s="37">
        <f>Inputs!$B$75</f>
        <v/>
      </c>
      <c r="L53" s="37">
        <f>Inputs!$B$75</f>
        <v/>
      </c>
      <c r="M53" s="37">
        <f>Inputs!$B$75</f>
        <v/>
      </c>
      <c r="N53" s="37">
        <f>Inputs!$B$75</f>
        <v/>
      </c>
      <c r="O53" s="37">
        <f>Inputs!$B$75</f>
        <v/>
      </c>
      <c r="P53" s="37">
        <f>Inputs!$B$75</f>
        <v/>
      </c>
      <c r="Q53" s="37">
        <f>Inputs!$B$75</f>
        <v/>
      </c>
      <c r="R53" s="37">
        <f>Inputs!$B$75</f>
        <v/>
      </c>
      <c r="S53" s="37">
        <f>Inputs!$B$75</f>
        <v/>
      </c>
      <c r="T53" s="37">
        <f>Inputs!$B$75</f>
        <v/>
      </c>
      <c r="U53" s="37">
        <f>Inputs!$B$75</f>
        <v/>
      </c>
      <c r="V53" s="37">
        <f>Inputs!$B$75</f>
        <v/>
      </c>
      <c r="W53" s="37">
        <f>Inputs!$B$75</f>
        <v/>
      </c>
      <c r="X53" s="37">
        <f>Inputs!$B$75</f>
        <v/>
      </c>
      <c r="Y53" s="37">
        <f>Inputs!$B$75</f>
        <v/>
      </c>
      <c r="Z53" s="37">
        <f>Inputs!$B$75</f>
        <v/>
      </c>
      <c r="AA53" s="37">
        <f>Inputs!$B$75</f>
        <v/>
      </c>
      <c r="AB53" s="37">
        <f>Inputs!$B$75</f>
        <v/>
      </c>
      <c r="AC53" s="37">
        <f>Inputs!$B$75</f>
        <v/>
      </c>
      <c r="AD53" s="37">
        <f>Inputs!$B$75</f>
        <v/>
      </c>
      <c r="AE53" s="37">
        <f>Inputs!$B$75</f>
        <v/>
      </c>
      <c r="AF53" s="37">
        <f>Inputs!$B$75</f>
        <v/>
      </c>
      <c r="AG53" s="37">
        <f>Inputs!$B$75</f>
        <v/>
      </c>
      <c r="AH53" s="37">
        <f>Inputs!$B$75</f>
        <v/>
      </c>
      <c r="AI53" s="37">
        <f>Inputs!$B$75</f>
        <v/>
      </c>
      <c r="AJ53" s="37">
        <f>Inputs!$B$75</f>
        <v/>
      </c>
      <c r="AK53" s="37">
        <f>Inputs!$B$75</f>
        <v/>
      </c>
      <c r="AL53" s="37">
        <f>Inputs!$B$75</f>
        <v/>
      </c>
      <c r="AM53" s="37">
        <f>Inputs!$B$75</f>
        <v/>
      </c>
      <c r="AN53" s="37">
        <f>Inputs!$B$75</f>
        <v/>
      </c>
      <c r="AO53" s="37">
        <f>Inputs!$B$75</f>
        <v/>
      </c>
      <c r="AP53" s="37">
        <f>Inputs!$B$75</f>
        <v/>
      </c>
      <c r="AQ53" s="37">
        <f>Inputs!$B$75</f>
        <v/>
      </c>
      <c r="AR53" s="37">
        <f>Inputs!$B$75</f>
        <v/>
      </c>
      <c r="AS53" s="37">
        <f>Inputs!$B$75</f>
        <v/>
      </c>
      <c r="AT53" s="37">
        <f>Inputs!$B$75</f>
        <v/>
      </c>
      <c r="AU53" s="37">
        <f>Inputs!$B$75</f>
        <v/>
      </c>
      <c r="AV53" s="37">
        <f>Inputs!$B$75</f>
        <v/>
      </c>
      <c r="AW53" s="37">
        <f>Inputs!$B$75</f>
        <v/>
      </c>
      <c r="AX53" s="37">
        <f>Inputs!$B$75</f>
        <v/>
      </c>
      <c r="AY53" s="37">
        <f>Inputs!$B$75</f>
        <v/>
      </c>
      <c r="AZ53" s="37">
        <f>Inputs!$B$75</f>
        <v/>
      </c>
      <c r="BA53" s="37">
        <f>Inputs!$B$75</f>
        <v/>
      </c>
    </row>
    <row r="54" ht="14.25" customHeight="1" s="165">
      <c r="A54" s="2" t="inlineStr">
        <is>
          <t>TOTAL TECHNOLOGIE</t>
        </is>
      </c>
      <c r="B54" s="35">
        <f>SUM(B48:B53)</f>
        <v/>
      </c>
      <c r="C54" s="35">
        <f>SUM(C48:C53)</f>
        <v/>
      </c>
      <c r="D54" s="35">
        <f>SUM(D48:D53)</f>
        <v/>
      </c>
      <c r="E54" s="35">
        <f>SUM(E48:E53)</f>
        <v/>
      </c>
      <c r="F54" s="35">
        <f>SUM(F48:F53)</f>
        <v/>
      </c>
      <c r="G54" s="35">
        <f>SUM(G48:G53)</f>
        <v/>
      </c>
      <c r="H54" s="35">
        <f>SUM(H48:H53)</f>
        <v/>
      </c>
      <c r="I54" s="35">
        <f>SUM(I48:I53)</f>
        <v/>
      </c>
      <c r="J54" s="35">
        <f>SUM(J48:J53)</f>
        <v/>
      </c>
      <c r="K54" s="35">
        <f>SUM(K48:K53)</f>
        <v/>
      </c>
      <c r="L54" s="35">
        <f>SUM(L48:L53)</f>
        <v/>
      </c>
      <c r="M54" s="35">
        <f>SUM(M48:M53)</f>
        <v/>
      </c>
      <c r="N54" s="35">
        <f>SUM(N48:N53)</f>
        <v/>
      </c>
      <c r="O54" s="35">
        <f>SUM(O48:O53)</f>
        <v/>
      </c>
      <c r="P54" s="35">
        <f>SUM(P48:P53)</f>
        <v/>
      </c>
      <c r="Q54" s="35">
        <f>SUM(Q48:Q53)</f>
        <v/>
      </c>
      <c r="R54" s="35">
        <f>SUM(R48:R53)</f>
        <v/>
      </c>
      <c r="S54" s="35">
        <f>SUM(S48:S53)</f>
        <v/>
      </c>
      <c r="T54" s="35">
        <f>SUM(T48:T53)</f>
        <v/>
      </c>
      <c r="U54" s="35">
        <f>SUM(U48:U53)</f>
        <v/>
      </c>
      <c r="V54" s="35">
        <f>SUM(V48:V53)</f>
        <v/>
      </c>
      <c r="W54" s="35">
        <f>SUM(W48:W53)</f>
        <v/>
      </c>
      <c r="X54" s="35">
        <f>SUM(X48:X53)</f>
        <v/>
      </c>
      <c r="Y54" s="35">
        <f>SUM(Y48:Y53)</f>
        <v/>
      </c>
      <c r="Z54" s="35">
        <f>SUM(Z48:Z53)</f>
        <v/>
      </c>
      <c r="AA54" s="35">
        <f>SUM(AA48:AA53)</f>
        <v/>
      </c>
      <c r="AB54" s="35">
        <f>SUM(AB48:AB53)</f>
        <v/>
      </c>
      <c r="AC54" s="35">
        <f>SUM(AC48:AC53)</f>
        <v/>
      </c>
      <c r="AD54" s="35">
        <f>SUM(AD48:AD53)</f>
        <v/>
      </c>
      <c r="AE54" s="35">
        <f>SUM(AE48:AE53)</f>
        <v/>
      </c>
      <c r="AF54" s="35">
        <f>SUM(AF48:AF53)</f>
        <v/>
      </c>
      <c r="AG54" s="35">
        <f>SUM(AG48:AG53)</f>
        <v/>
      </c>
      <c r="AH54" s="35">
        <f>SUM(AH48:AH53)</f>
        <v/>
      </c>
      <c r="AI54" s="35">
        <f>SUM(AI48:AI53)</f>
        <v/>
      </c>
      <c r="AJ54" s="35">
        <f>SUM(AJ48:AJ53)</f>
        <v/>
      </c>
      <c r="AK54" s="35">
        <f>SUM(AK48:AK53)</f>
        <v/>
      </c>
      <c r="AL54" s="35">
        <f>SUM(AL48:AL53)</f>
        <v/>
      </c>
      <c r="AM54" s="35">
        <f>SUM(AM48:AM53)</f>
        <v/>
      </c>
      <c r="AN54" s="35">
        <f>SUM(AN48:AN53)</f>
        <v/>
      </c>
      <c r="AO54" s="35">
        <f>SUM(AO48:AO53)</f>
        <v/>
      </c>
      <c r="AP54" s="35">
        <f>SUM(AP48:AP53)</f>
        <v/>
      </c>
      <c r="AQ54" s="35">
        <f>SUM(AQ48:AQ53)</f>
        <v/>
      </c>
      <c r="AR54" s="35">
        <f>SUM(AR48:AR53)</f>
        <v/>
      </c>
      <c r="AS54" s="35">
        <f>SUM(AS48:AS53)</f>
        <v/>
      </c>
      <c r="AT54" s="35">
        <f>SUM(AT48:AT53)</f>
        <v/>
      </c>
      <c r="AU54" s="35">
        <f>SUM(AU48:AU53)</f>
        <v/>
      </c>
      <c r="AV54" s="35">
        <f>SUM(AV48:AV53)</f>
        <v/>
      </c>
      <c r="AW54" s="35">
        <f>SUM(AW48:AW53)</f>
        <v/>
      </c>
      <c r="AX54" s="35">
        <f>SUM(AX48:AX53)</f>
        <v/>
      </c>
      <c r="AY54" s="35">
        <f>SUM(AY48:AY53)</f>
        <v/>
      </c>
      <c r="AZ54" s="35">
        <f>SUM(AZ48:AZ53)</f>
        <v/>
      </c>
      <c r="BA54" s="35">
        <f>SUM(BA48:BA53)</f>
        <v/>
      </c>
    </row>
    <row r="55" ht="14.25" customHeight="1" s="165"/>
    <row r="56" ht="14.25" customHeight="1" s="165">
      <c r="A56" s="2" t="inlineStr">
        <is>
          <t>BÜROKOSTEN</t>
        </is>
      </c>
    </row>
    <row r="57" ht="14.25" customHeight="1" s="165">
      <c r="A57" s="3" t="inlineStr">
        <is>
          <t>Büromiete</t>
        </is>
      </c>
      <c r="B57" s="37">
        <f>IF(1&gt;=Inputs!$B$85,Inputs!$B$86,Inputs!$B$84)</f>
        <v/>
      </c>
      <c r="C57" s="37">
        <f>IF(2&gt;=Inputs!$B$85,Inputs!$B$86,Inputs!$B$84)</f>
        <v/>
      </c>
      <c r="D57" s="37">
        <f>IF(3&gt;=Inputs!$B$85,Inputs!$B$86,Inputs!$B$84)</f>
        <v/>
      </c>
      <c r="E57" s="37">
        <f>IF(4&gt;=Inputs!$B$85,Inputs!$B$86,Inputs!$B$84)</f>
        <v/>
      </c>
      <c r="F57" s="37">
        <f>IF(5&gt;=Inputs!$B$85,Inputs!$B$86,Inputs!$B$84)</f>
        <v/>
      </c>
      <c r="G57" s="37">
        <f>IF(6&gt;=Inputs!$B$85,Inputs!$B$86,Inputs!$B$84)</f>
        <v/>
      </c>
      <c r="H57" s="37">
        <f>IF(7&gt;=Inputs!$B$85,Inputs!$B$86,Inputs!$B$84)</f>
        <v/>
      </c>
      <c r="I57" s="37">
        <f>IF(8&gt;=Inputs!$B$85,Inputs!$B$86,Inputs!$B$84)</f>
        <v/>
      </c>
      <c r="J57" s="37">
        <f>IF(9&gt;=Inputs!$B$85,Inputs!$B$86,Inputs!$B$84)</f>
        <v/>
      </c>
      <c r="K57" s="37">
        <f>IF(10&gt;=Inputs!$B$85,Inputs!$B$86,Inputs!$B$84)</f>
        <v/>
      </c>
      <c r="L57" s="37">
        <f>IF(11&gt;=Inputs!$B$85,Inputs!$B$86,Inputs!$B$84)</f>
        <v/>
      </c>
      <c r="M57" s="37">
        <f>IF(12&gt;=Inputs!$B$85,Inputs!$B$86,Inputs!$B$84)</f>
        <v/>
      </c>
      <c r="N57" s="37">
        <f>IF(13&gt;=Inputs!$B$85,Inputs!$B$86,Inputs!$B$84)</f>
        <v/>
      </c>
      <c r="O57" s="37">
        <f>IF(14&gt;=Inputs!$B$85,Inputs!$B$86,Inputs!$B$84)</f>
        <v/>
      </c>
      <c r="P57" s="37">
        <f>IF(15&gt;=Inputs!$B$85,Inputs!$B$86,Inputs!$B$84)</f>
        <v/>
      </c>
      <c r="Q57" s="37">
        <f>IF(16&gt;=Inputs!$B$85,Inputs!$B$86,Inputs!$B$84)</f>
        <v/>
      </c>
      <c r="R57" s="37">
        <f>IF(17&gt;=Inputs!$B$85,Inputs!$B$86,Inputs!$B$84)</f>
        <v/>
      </c>
      <c r="S57" s="37">
        <f>IF(18&gt;=Inputs!$B$85,Inputs!$B$86,Inputs!$B$84)</f>
        <v/>
      </c>
      <c r="T57" s="37">
        <f>IF(19&gt;=Inputs!$B$85,Inputs!$B$86,Inputs!$B$84)</f>
        <v/>
      </c>
      <c r="U57" s="37">
        <f>IF(20&gt;=Inputs!$B$85,Inputs!$B$86,Inputs!$B$84)</f>
        <v/>
      </c>
      <c r="V57" s="37">
        <f>IF(21&gt;=Inputs!$B$85,Inputs!$B$86,Inputs!$B$84)</f>
        <v/>
      </c>
      <c r="W57" s="37">
        <f>IF(22&gt;=Inputs!$B$85,Inputs!$B$86,Inputs!$B$84)</f>
        <v/>
      </c>
      <c r="X57" s="37">
        <f>IF(23&gt;=Inputs!$B$85,Inputs!$B$86,Inputs!$B$84)</f>
        <v/>
      </c>
      <c r="Y57" s="37">
        <f>IF(24&gt;=Inputs!$B$85,Inputs!$B$86,Inputs!$B$84)</f>
        <v/>
      </c>
      <c r="Z57" s="37">
        <f>IF(25&gt;=Inputs!$B$85,Inputs!$B$86,Inputs!$B$84)</f>
        <v/>
      </c>
      <c r="AA57" s="37">
        <f>IF(26&gt;=Inputs!$B$85,Inputs!$B$86,Inputs!$B$84)</f>
        <v/>
      </c>
      <c r="AB57" s="37">
        <f>IF(27&gt;=Inputs!$B$85,Inputs!$B$86,Inputs!$B$84)</f>
        <v/>
      </c>
      <c r="AC57" s="37">
        <f>IF(28&gt;=Inputs!$B$85,Inputs!$B$86,Inputs!$B$84)</f>
        <v/>
      </c>
      <c r="AD57" s="37">
        <f>IF(29&gt;=Inputs!$B$85,Inputs!$B$86,Inputs!$B$84)</f>
        <v/>
      </c>
      <c r="AE57" s="37">
        <f>IF(30&gt;=Inputs!$B$85,Inputs!$B$86,Inputs!$B$84)</f>
        <v/>
      </c>
      <c r="AF57" s="37">
        <f>IF(31&gt;=Inputs!$B$85,Inputs!$B$86,Inputs!$B$84)</f>
        <v/>
      </c>
      <c r="AG57" s="37">
        <f>IF(32&gt;=Inputs!$B$85,Inputs!$B$86,Inputs!$B$84)</f>
        <v/>
      </c>
      <c r="AH57" s="37">
        <f>IF(33&gt;=Inputs!$B$85,Inputs!$B$86,Inputs!$B$84)</f>
        <v/>
      </c>
      <c r="AI57" s="37">
        <f>IF(34&gt;=Inputs!$B$85,Inputs!$B$86,Inputs!$B$84)</f>
        <v/>
      </c>
      <c r="AJ57" s="37">
        <f>IF(35&gt;=Inputs!$B$85,Inputs!$B$86,Inputs!$B$84)</f>
        <v/>
      </c>
      <c r="AK57" s="37">
        <f>IF(36&gt;=Inputs!$B$85,Inputs!$B$86,Inputs!$B$84)</f>
        <v/>
      </c>
      <c r="AL57" s="37">
        <f>IF(37&gt;=Inputs!$B$85,Inputs!$B$86,Inputs!$B$84)</f>
        <v/>
      </c>
      <c r="AM57" s="37">
        <f>IF(38&gt;=Inputs!$B$85,Inputs!$B$86,Inputs!$B$84)</f>
        <v/>
      </c>
      <c r="AN57" s="37">
        <f>IF(39&gt;=Inputs!$B$85,Inputs!$B$86,Inputs!$B$84)</f>
        <v/>
      </c>
      <c r="AO57" s="37">
        <f>IF(40&gt;=Inputs!$B$85,Inputs!$B$86,Inputs!$B$84)</f>
        <v/>
      </c>
      <c r="AP57" s="37">
        <f>IF(41&gt;=Inputs!$B$85,Inputs!$B$86,Inputs!$B$84)</f>
        <v/>
      </c>
      <c r="AQ57" s="37">
        <f>IF(42&gt;=Inputs!$B$85,Inputs!$B$86,Inputs!$B$84)</f>
        <v/>
      </c>
      <c r="AR57" s="37">
        <f>IF(43&gt;=Inputs!$B$85,Inputs!$B$86,Inputs!$B$84)</f>
        <v/>
      </c>
      <c r="AS57" s="37">
        <f>IF(44&gt;=Inputs!$B$85,Inputs!$B$86,Inputs!$B$84)</f>
        <v/>
      </c>
      <c r="AT57" s="37">
        <f>IF(45&gt;=Inputs!$B$85,Inputs!$B$86,Inputs!$B$84)</f>
        <v/>
      </c>
      <c r="AU57" s="37">
        <f>IF(46&gt;=Inputs!$B$85,Inputs!$B$86,Inputs!$B$84)</f>
        <v/>
      </c>
      <c r="AV57" s="37">
        <f>IF(47&gt;=Inputs!$B$85,Inputs!$B$86,Inputs!$B$84)</f>
        <v/>
      </c>
      <c r="AW57" s="37">
        <f>IF(48&gt;=Inputs!$B$85,Inputs!$B$86,Inputs!$B$84)</f>
        <v/>
      </c>
      <c r="AX57" s="37">
        <f>IF(49&gt;=Inputs!$B$85,Inputs!$B$86,Inputs!$B$84)</f>
        <v/>
      </c>
      <c r="AY57" s="37">
        <f>IF(50&gt;=Inputs!$B$85,Inputs!$B$86,Inputs!$B$84)</f>
        <v/>
      </c>
      <c r="AZ57" s="37">
        <f>IF(51&gt;=Inputs!$B$85,Inputs!$B$86,Inputs!$B$84)</f>
        <v/>
      </c>
      <c r="BA57" s="37">
        <f>IF(52&gt;=Inputs!$B$85,Inputs!$B$86,Inputs!$B$84)</f>
        <v/>
      </c>
    </row>
    <row r="58" ht="14.25" customHeight="1" s="165">
      <c r="A58" s="3" t="inlineStr">
        <is>
          <t>Nebenkosten</t>
        </is>
      </c>
      <c r="B58" s="37">
        <f>Inputs!$B$87</f>
        <v/>
      </c>
      <c r="C58" s="37">
        <f>Inputs!$B$87</f>
        <v/>
      </c>
      <c r="D58" s="37">
        <f>Inputs!$B$87</f>
        <v/>
      </c>
      <c r="E58" s="37">
        <f>Inputs!$B$87</f>
        <v/>
      </c>
      <c r="F58" s="37">
        <f>Inputs!$B$87</f>
        <v/>
      </c>
      <c r="G58" s="37">
        <f>Inputs!$B$87</f>
        <v/>
      </c>
      <c r="H58" s="37">
        <f>Inputs!$B$87</f>
        <v/>
      </c>
      <c r="I58" s="37">
        <f>Inputs!$B$87</f>
        <v/>
      </c>
      <c r="J58" s="37">
        <f>Inputs!$B$87</f>
        <v/>
      </c>
      <c r="K58" s="37">
        <f>Inputs!$B$87</f>
        <v/>
      </c>
      <c r="L58" s="37">
        <f>Inputs!$B$87</f>
        <v/>
      </c>
      <c r="M58" s="37">
        <f>Inputs!$B$87</f>
        <v/>
      </c>
      <c r="N58" s="37">
        <f>Inputs!$B$87</f>
        <v/>
      </c>
      <c r="O58" s="37">
        <f>Inputs!$B$87</f>
        <v/>
      </c>
      <c r="P58" s="37">
        <f>Inputs!$B$87</f>
        <v/>
      </c>
      <c r="Q58" s="37">
        <f>Inputs!$B$87</f>
        <v/>
      </c>
      <c r="R58" s="37">
        <f>Inputs!$B$87</f>
        <v/>
      </c>
      <c r="S58" s="37">
        <f>Inputs!$B$87</f>
        <v/>
      </c>
      <c r="T58" s="37">
        <f>Inputs!$B$87</f>
        <v/>
      </c>
      <c r="U58" s="37">
        <f>Inputs!$B$87</f>
        <v/>
      </c>
      <c r="V58" s="37">
        <f>Inputs!$B$87</f>
        <v/>
      </c>
      <c r="W58" s="37">
        <f>Inputs!$B$87</f>
        <v/>
      </c>
      <c r="X58" s="37">
        <f>Inputs!$B$87</f>
        <v/>
      </c>
      <c r="Y58" s="37">
        <f>Inputs!$B$87</f>
        <v/>
      </c>
      <c r="Z58" s="37">
        <f>Inputs!$B$87</f>
        <v/>
      </c>
      <c r="AA58" s="37">
        <f>Inputs!$B$87</f>
        <v/>
      </c>
      <c r="AB58" s="37">
        <f>Inputs!$B$87</f>
        <v/>
      </c>
      <c r="AC58" s="37">
        <f>Inputs!$B$87</f>
        <v/>
      </c>
      <c r="AD58" s="37">
        <f>Inputs!$B$87</f>
        <v/>
      </c>
      <c r="AE58" s="37">
        <f>Inputs!$B$87</f>
        <v/>
      </c>
      <c r="AF58" s="37">
        <f>Inputs!$B$87</f>
        <v/>
      </c>
      <c r="AG58" s="37">
        <f>Inputs!$B$87</f>
        <v/>
      </c>
      <c r="AH58" s="37">
        <f>Inputs!$B$87</f>
        <v/>
      </c>
      <c r="AI58" s="37">
        <f>Inputs!$B$87</f>
        <v/>
      </c>
      <c r="AJ58" s="37">
        <f>Inputs!$B$87</f>
        <v/>
      </c>
      <c r="AK58" s="37">
        <f>Inputs!$B$87</f>
        <v/>
      </c>
      <c r="AL58" s="37">
        <f>Inputs!$B$87</f>
        <v/>
      </c>
      <c r="AM58" s="37">
        <f>Inputs!$B$87</f>
        <v/>
      </c>
      <c r="AN58" s="37">
        <f>Inputs!$B$87</f>
        <v/>
      </c>
      <c r="AO58" s="37">
        <f>Inputs!$B$87</f>
        <v/>
      </c>
      <c r="AP58" s="37">
        <f>Inputs!$B$87</f>
        <v/>
      </c>
      <c r="AQ58" s="37">
        <f>Inputs!$B$87</f>
        <v/>
      </c>
      <c r="AR58" s="37">
        <f>Inputs!$B$87</f>
        <v/>
      </c>
      <c r="AS58" s="37">
        <f>Inputs!$B$87</f>
        <v/>
      </c>
      <c r="AT58" s="37">
        <f>Inputs!$B$87</f>
        <v/>
      </c>
      <c r="AU58" s="37">
        <f>Inputs!$B$87</f>
        <v/>
      </c>
      <c r="AV58" s="37">
        <f>Inputs!$B$87</f>
        <v/>
      </c>
      <c r="AW58" s="37">
        <f>Inputs!$B$87</f>
        <v/>
      </c>
      <c r="AX58" s="37">
        <f>Inputs!$B$87</f>
        <v/>
      </c>
      <c r="AY58" s="37">
        <f>Inputs!$B$87</f>
        <v/>
      </c>
      <c r="AZ58" s="37">
        <f>Inputs!$B$87</f>
        <v/>
      </c>
      <c r="BA58" s="37">
        <f>Inputs!$B$87</f>
        <v/>
      </c>
    </row>
    <row r="59" ht="14.25" customHeight="1" s="165">
      <c r="A59" s="3" t="inlineStr">
        <is>
          <t>Internet &amp; Telefon</t>
        </is>
      </c>
      <c r="B59" s="37">
        <f>Inputs!$B$88</f>
        <v/>
      </c>
      <c r="C59" s="37">
        <f>Inputs!$B$88</f>
        <v/>
      </c>
      <c r="D59" s="37">
        <f>Inputs!$B$88</f>
        <v/>
      </c>
      <c r="E59" s="37">
        <f>Inputs!$B$88</f>
        <v/>
      </c>
      <c r="F59" s="37">
        <f>Inputs!$B$88</f>
        <v/>
      </c>
      <c r="G59" s="37">
        <f>Inputs!$B$88</f>
        <v/>
      </c>
      <c r="H59" s="37">
        <f>Inputs!$B$88</f>
        <v/>
      </c>
      <c r="I59" s="37">
        <f>Inputs!$B$88</f>
        <v/>
      </c>
      <c r="J59" s="37">
        <f>Inputs!$B$88</f>
        <v/>
      </c>
      <c r="K59" s="37">
        <f>Inputs!$B$88</f>
        <v/>
      </c>
      <c r="L59" s="37">
        <f>Inputs!$B$88</f>
        <v/>
      </c>
      <c r="M59" s="37">
        <f>Inputs!$B$88</f>
        <v/>
      </c>
      <c r="N59" s="37">
        <f>Inputs!$B$88</f>
        <v/>
      </c>
      <c r="O59" s="37">
        <f>Inputs!$B$88</f>
        <v/>
      </c>
      <c r="P59" s="37">
        <f>Inputs!$B$88</f>
        <v/>
      </c>
      <c r="Q59" s="37">
        <f>Inputs!$B$88</f>
        <v/>
      </c>
      <c r="R59" s="37">
        <f>Inputs!$B$88</f>
        <v/>
      </c>
      <c r="S59" s="37">
        <f>Inputs!$B$88</f>
        <v/>
      </c>
      <c r="T59" s="37">
        <f>Inputs!$B$88</f>
        <v/>
      </c>
      <c r="U59" s="37">
        <f>Inputs!$B$88</f>
        <v/>
      </c>
      <c r="V59" s="37">
        <f>Inputs!$B$88</f>
        <v/>
      </c>
      <c r="W59" s="37">
        <f>Inputs!$B$88</f>
        <v/>
      </c>
      <c r="X59" s="37">
        <f>Inputs!$B$88</f>
        <v/>
      </c>
      <c r="Y59" s="37">
        <f>Inputs!$B$88</f>
        <v/>
      </c>
      <c r="Z59" s="37">
        <f>Inputs!$B$88</f>
        <v/>
      </c>
      <c r="AA59" s="37">
        <f>Inputs!$B$88</f>
        <v/>
      </c>
      <c r="AB59" s="37">
        <f>Inputs!$B$88</f>
        <v/>
      </c>
      <c r="AC59" s="37">
        <f>Inputs!$B$88</f>
        <v/>
      </c>
      <c r="AD59" s="37">
        <f>Inputs!$B$88</f>
        <v/>
      </c>
      <c r="AE59" s="37">
        <f>Inputs!$B$88</f>
        <v/>
      </c>
      <c r="AF59" s="37">
        <f>Inputs!$B$88</f>
        <v/>
      </c>
      <c r="AG59" s="37">
        <f>Inputs!$B$88</f>
        <v/>
      </c>
      <c r="AH59" s="37">
        <f>Inputs!$B$88</f>
        <v/>
      </c>
      <c r="AI59" s="37">
        <f>Inputs!$B$88</f>
        <v/>
      </c>
      <c r="AJ59" s="37">
        <f>Inputs!$B$88</f>
        <v/>
      </c>
      <c r="AK59" s="37">
        <f>Inputs!$B$88</f>
        <v/>
      </c>
      <c r="AL59" s="37">
        <f>Inputs!$B$88</f>
        <v/>
      </c>
      <c r="AM59" s="37">
        <f>Inputs!$B$88</f>
        <v/>
      </c>
      <c r="AN59" s="37">
        <f>Inputs!$B$88</f>
        <v/>
      </c>
      <c r="AO59" s="37">
        <f>Inputs!$B$88</f>
        <v/>
      </c>
      <c r="AP59" s="37">
        <f>Inputs!$B$88</f>
        <v/>
      </c>
      <c r="AQ59" s="37">
        <f>Inputs!$B$88</f>
        <v/>
      </c>
      <c r="AR59" s="37">
        <f>Inputs!$B$88</f>
        <v/>
      </c>
      <c r="AS59" s="37">
        <f>Inputs!$B$88</f>
        <v/>
      </c>
      <c r="AT59" s="37">
        <f>Inputs!$B$88</f>
        <v/>
      </c>
      <c r="AU59" s="37">
        <f>Inputs!$B$88</f>
        <v/>
      </c>
      <c r="AV59" s="37">
        <f>Inputs!$B$88</f>
        <v/>
      </c>
      <c r="AW59" s="37">
        <f>Inputs!$B$88</f>
        <v/>
      </c>
      <c r="AX59" s="37">
        <f>Inputs!$B$88</f>
        <v/>
      </c>
      <c r="AY59" s="37">
        <f>Inputs!$B$88</f>
        <v/>
      </c>
      <c r="AZ59" s="37">
        <f>Inputs!$B$88</f>
        <v/>
      </c>
      <c r="BA59" s="37">
        <f>Inputs!$B$88</f>
        <v/>
      </c>
    </row>
    <row r="60" ht="14.25" customHeight="1" s="165">
      <c r="A60" s="3" t="inlineStr">
        <is>
          <t>Bürobedarf</t>
        </is>
      </c>
      <c r="B60" s="37">
        <f>B22*Inputs!$B$90</f>
        <v/>
      </c>
      <c r="C60" s="37">
        <f>C22*Inputs!$B$90</f>
        <v/>
      </c>
      <c r="D60" s="37">
        <f>D22*Inputs!$B$90</f>
        <v/>
      </c>
      <c r="E60" s="37">
        <f>E22*Inputs!$B$90</f>
        <v/>
      </c>
      <c r="F60" s="37">
        <f>F22*Inputs!$B$90</f>
        <v/>
      </c>
      <c r="G60" s="37">
        <f>G22*Inputs!$B$90</f>
        <v/>
      </c>
      <c r="H60" s="37">
        <f>H22*Inputs!$B$90</f>
        <v/>
      </c>
      <c r="I60" s="37">
        <f>I22*Inputs!$B$90</f>
        <v/>
      </c>
      <c r="J60" s="37">
        <f>J22*Inputs!$B$90</f>
        <v/>
      </c>
      <c r="K60" s="37">
        <f>K22*Inputs!$B$90</f>
        <v/>
      </c>
      <c r="L60" s="37">
        <f>L22*Inputs!$B$90</f>
        <v/>
      </c>
      <c r="M60" s="37">
        <f>M22*Inputs!$B$90</f>
        <v/>
      </c>
      <c r="N60" s="37">
        <f>N22*Inputs!$B$90</f>
        <v/>
      </c>
      <c r="O60" s="37">
        <f>O22*Inputs!$B$90</f>
        <v/>
      </c>
      <c r="P60" s="37">
        <f>P22*Inputs!$B$90</f>
        <v/>
      </c>
      <c r="Q60" s="37">
        <f>Q22*Inputs!$B$90</f>
        <v/>
      </c>
      <c r="R60" s="37">
        <f>R22*Inputs!$B$90</f>
        <v/>
      </c>
      <c r="S60" s="37">
        <f>S22*Inputs!$B$90</f>
        <v/>
      </c>
      <c r="T60" s="37">
        <f>T22*Inputs!$B$90</f>
        <v/>
      </c>
      <c r="U60" s="37">
        <f>U22*Inputs!$B$90</f>
        <v/>
      </c>
      <c r="V60" s="37">
        <f>V22*Inputs!$B$90</f>
        <v/>
      </c>
      <c r="W60" s="37">
        <f>W22*Inputs!$B$90</f>
        <v/>
      </c>
      <c r="X60" s="37">
        <f>X22*Inputs!$B$90</f>
        <v/>
      </c>
      <c r="Y60" s="37">
        <f>Y22*Inputs!$B$90</f>
        <v/>
      </c>
      <c r="Z60" s="37">
        <f>Z22*Inputs!$B$90</f>
        <v/>
      </c>
      <c r="AA60" s="37">
        <f>AA22*Inputs!$B$90</f>
        <v/>
      </c>
      <c r="AB60" s="37">
        <f>AB22*Inputs!$B$90</f>
        <v/>
      </c>
      <c r="AC60" s="37">
        <f>AC22*Inputs!$B$90</f>
        <v/>
      </c>
      <c r="AD60" s="37">
        <f>AD22*Inputs!$B$90</f>
        <v/>
      </c>
      <c r="AE60" s="37">
        <f>AE22*Inputs!$B$90</f>
        <v/>
      </c>
      <c r="AF60" s="37">
        <f>AF22*Inputs!$B$90</f>
        <v/>
      </c>
      <c r="AG60" s="37">
        <f>AG22*Inputs!$B$90</f>
        <v/>
      </c>
      <c r="AH60" s="37">
        <f>AH22*Inputs!$B$90</f>
        <v/>
      </c>
      <c r="AI60" s="37">
        <f>AI22*Inputs!$B$90</f>
        <v/>
      </c>
      <c r="AJ60" s="37">
        <f>AJ22*Inputs!$B$90</f>
        <v/>
      </c>
      <c r="AK60" s="37">
        <f>AK22*Inputs!$B$90</f>
        <v/>
      </c>
      <c r="AL60" s="37">
        <f>AL22*Inputs!$B$90</f>
        <v/>
      </c>
      <c r="AM60" s="37">
        <f>AM22*Inputs!$B$90</f>
        <v/>
      </c>
      <c r="AN60" s="37">
        <f>AN22*Inputs!$B$90</f>
        <v/>
      </c>
      <c r="AO60" s="37">
        <f>AO22*Inputs!$B$90</f>
        <v/>
      </c>
      <c r="AP60" s="37">
        <f>AP22*Inputs!$B$90</f>
        <v/>
      </c>
      <c r="AQ60" s="37">
        <f>AQ22*Inputs!$B$90</f>
        <v/>
      </c>
      <c r="AR60" s="37">
        <f>AR22*Inputs!$B$90</f>
        <v/>
      </c>
      <c r="AS60" s="37">
        <f>AS22*Inputs!$B$90</f>
        <v/>
      </c>
      <c r="AT60" s="37">
        <f>AT22*Inputs!$B$90</f>
        <v/>
      </c>
      <c r="AU60" s="37">
        <f>AU22*Inputs!$B$90</f>
        <v/>
      </c>
      <c r="AV60" s="37">
        <f>AV22*Inputs!$B$90</f>
        <v/>
      </c>
      <c r="AW60" s="37">
        <f>AW22*Inputs!$B$90</f>
        <v/>
      </c>
      <c r="AX60" s="37">
        <f>AX22*Inputs!$B$90</f>
        <v/>
      </c>
      <c r="AY60" s="37">
        <f>AY22*Inputs!$B$90</f>
        <v/>
      </c>
      <c r="AZ60" s="37">
        <f>AZ22*Inputs!$B$90</f>
        <v/>
      </c>
      <c r="BA60" s="37">
        <f>BA22*Inputs!$B$90</f>
        <v/>
      </c>
    </row>
    <row r="61" ht="14.25" customHeight="1" s="165">
      <c r="A61" s="2" t="inlineStr">
        <is>
          <t>TOTAL BÜRO</t>
        </is>
      </c>
      <c r="B61" s="35">
        <f>SUM(B57:B60)</f>
        <v/>
      </c>
      <c r="C61" s="35">
        <f>SUM(C57:C60)</f>
        <v/>
      </c>
      <c r="D61" s="35">
        <f>SUM(D57:D60)</f>
        <v/>
      </c>
      <c r="E61" s="35">
        <f>SUM(E57:E60)</f>
        <v/>
      </c>
      <c r="F61" s="35">
        <f>SUM(F57:F60)</f>
        <v/>
      </c>
      <c r="G61" s="35">
        <f>SUM(G57:G60)</f>
        <v/>
      </c>
      <c r="H61" s="35">
        <f>SUM(H57:H60)</f>
        <v/>
      </c>
      <c r="I61" s="35">
        <f>SUM(I57:I60)</f>
        <v/>
      </c>
      <c r="J61" s="35">
        <f>SUM(J57:J60)</f>
        <v/>
      </c>
      <c r="K61" s="35">
        <f>SUM(K57:K60)</f>
        <v/>
      </c>
      <c r="L61" s="35">
        <f>SUM(L57:L60)</f>
        <v/>
      </c>
      <c r="M61" s="35">
        <f>SUM(M57:M60)</f>
        <v/>
      </c>
      <c r="N61" s="35">
        <f>SUM(N57:N60)</f>
        <v/>
      </c>
      <c r="O61" s="35">
        <f>SUM(O57:O60)</f>
        <v/>
      </c>
      <c r="P61" s="35">
        <f>SUM(P57:P60)</f>
        <v/>
      </c>
      <c r="Q61" s="35">
        <f>SUM(Q57:Q60)</f>
        <v/>
      </c>
      <c r="R61" s="35">
        <f>SUM(R57:R60)</f>
        <v/>
      </c>
      <c r="S61" s="35">
        <f>SUM(S57:S60)</f>
        <v/>
      </c>
      <c r="T61" s="35">
        <f>SUM(T57:T60)</f>
        <v/>
      </c>
      <c r="U61" s="35">
        <f>SUM(U57:U60)</f>
        <v/>
      </c>
      <c r="V61" s="35">
        <f>SUM(V57:V60)</f>
        <v/>
      </c>
      <c r="W61" s="35">
        <f>SUM(W57:W60)</f>
        <v/>
      </c>
      <c r="X61" s="35">
        <f>SUM(X57:X60)</f>
        <v/>
      </c>
      <c r="Y61" s="35">
        <f>SUM(Y57:Y60)</f>
        <v/>
      </c>
      <c r="Z61" s="35">
        <f>SUM(Z57:Z60)</f>
        <v/>
      </c>
      <c r="AA61" s="35">
        <f>SUM(AA57:AA60)</f>
        <v/>
      </c>
      <c r="AB61" s="35">
        <f>SUM(AB57:AB60)</f>
        <v/>
      </c>
      <c r="AC61" s="35">
        <f>SUM(AC57:AC60)</f>
        <v/>
      </c>
      <c r="AD61" s="35">
        <f>SUM(AD57:AD60)</f>
        <v/>
      </c>
      <c r="AE61" s="35">
        <f>SUM(AE57:AE60)</f>
        <v/>
      </c>
      <c r="AF61" s="35">
        <f>SUM(AF57:AF60)</f>
        <v/>
      </c>
      <c r="AG61" s="35">
        <f>SUM(AG57:AG60)</f>
        <v/>
      </c>
      <c r="AH61" s="35">
        <f>SUM(AH57:AH60)</f>
        <v/>
      </c>
      <c r="AI61" s="35">
        <f>SUM(AI57:AI60)</f>
        <v/>
      </c>
      <c r="AJ61" s="35">
        <f>SUM(AJ57:AJ60)</f>
        <v/>
      </c>
      <c r="AK61" s="35">
        <f>SUM(AK57:AK60)</f>
        <v/>
      </c>
      <c r="AL61" s="35">
        <f>SUM(AL57:AL60)</f>
        <v/>
      </c>
      <c r="AM61" s="35">
        <f>SUM(AM57:AM60)</f>
        <v/>
      </c>
      <c r="AN61" s="35">
        <f>SUM(AN57:AN60)</f>
        <v/>
      </c>
      <c r="AO61" s="35">
        <f>SUM(AO57:AO60)</f>
        <v/>
      </c>
      <c r="AP61" s="35">
        <f>SUM(AP57:AP60)</f>
        <v/>
      </c>
      <c r="AQ61" s="35">
        <f>SUM(AQ57:AQ60)</f>
        <v/>
      </c>
      <c r="AR61" s="35">
        <f>SUM(AR57:AR60)</f>
        <v/>
      </c>
      <c r="AS61" s="35">
        <f>SUM(AS57:AS60)</f>
        <v/>
      </c>
      <c r="AT61" s="35">
        <f>SUM(AT57:AT60)</f>
        <v/>
      </c>
      <c r="AU61" s="35">
        <f>SUM(AU57:AU60)</f>
        <v/>
      </c>
      <c r="AV61" s="35">
        <f>SUM(AV57:AV60)</f>
        <v/>
      </c>
      <c r="AW61" s="35">
        <f>SUM(AW57:AW60)</f>
        <v/>
      </c>
      <c r="AX61" s="35">
        <f>SUM(AX57:AX60)</f>
        <v/>
      </c>
      <c r="AY61" s="35">
        <f>SUM(AY57:AY60)</f>
        <v/>
      </c>
      <c r="AZ61" s="35">
        <f>SUM(AZ57:AZ60)</f>
        <v/>
      </c>
      <c r="BA61" s="35">
        <f>SUM(BA57:BA60)</f>
        <v/>
      </c>
    </row>
    <row r="62" ht="14.25" customHeight="1" s="165"/>
    <row r="63" ht="14.25" customHeight="1" s="165">
      <c r="A63" s="2" t="inlineStr">
        <is>
          <t>PROFESSIONAL SERVICES</t>
        </is>
      </c>
    </row>
    <row r="64" ht="14.25" customHeight="1" s="165">
      <c r="A64" s="3" t="inlineStr">
        <is>
          <t>Rechtsanwalt (laufend)</t>
        </is>
      </c>
      <c r="B64" s="180">
        <f>Inputs!$B$93/12+IF(OR(1=Inputs!$B$11,1=Inputs!$B$13,1=Inputs!$B$15,1=Inputs!$B$17),Inputs!$B$94,0)</f>
        <v/>
      </c>
      <c r="C64" s="37">
        <f>Inputs!$B$93/12+IF(OR(2=Inputs!$B$11,2=Inputs!$B$13,2=Inputs!$B$15,2=Inputs!$B$17),Inputs!$B$94,0)</f>
        <v/>
      </c>
      <c r="D64" s="37">
        <f>Inputs!$B$93/12+IF(OR(3=Inputs!$B$11,3=Inputs!$B$13,3=Inputs!$B$15,3=Inputs!$B$17),Inputs!$B$94,0)</f>
        <v/>
      </c>
      <c r="E64" s="37">
        <f>Inputs!$B$93/12+IF(OR(4=Inputs!$B$11,4=Inputs!$B$13,4=Inputs!$B$15,4=Inputs!$B$17),Inputs!$B$94,0)</f>
        <v/>
      </c>
      <c r="F64" s="37">
        <f>Inputs!$B$93/12+IF(OR(5=Inputs!$B$11,5=Inputs!$B$13,5=Inputs!$B$15,5=Inputs!$B$17),Inputs!$B$94,0)</f>
        <v/>
      </c>
      <c r="G64" s="37">
        <f>Inputs!$B$93/12+IF(OR(6=Inputs!$B$11,6=Inputs!$B$13,6=Inputs!$B$15,6=Inputs!$B$17),Inputs!$B$94,0)</f>
        <v/>
      </c>
      <c r="H64" s="37">
        <f>Inputs!$B$93/12+IF(OR(7=Inputs!$B$11,7=Inputs!$B$13,7=Inputs!$B$15,7=Inputs!$B$17),Inputs!$B$94,0)</f>
        <v/>
      </c>
      <c r="I64" s="37">
        <f>Inputs!$B$93/12+IF(OR(8=Inputs!$B$11,8=Inputs!$B$13,8=Inputs!$B$15,8=Inputs!$B$17),Inputs!$B$94,0)</f>
        <v/>
      </c>
      <c r="J64" s="37">
        <f>Inputs!$B$93/12+IF(OR(9=Inputs!$B$11,9=Inputs!$B$13,9=Inputs!$B$15,9=Inputs!$B$17),Inputs!$B$94,0)</f>
        <v/>
      </c>
      <c r="K64" s="37">
        <f>Inputs!$B$93/12+IF(OR(10=Inputs!$B$11,10=Inputs!$B$13,10=Inputs!$B$15,10=Inputs!$B$17),Inputs!$B$94,0)</f>
        <v/>
      </c>
      <c r="L64" s="37">
        <f>Inputs!$B$93/12+IF(OR(11=Inputs!$B$11,11=Inputs!$B$13,11=Inputs!$B$15,11=Inputs!$B$17),Inputs!$B$94,0)</f>
        <v/>
      </c>
      <c r="M64" s="37">
        <f>Inputs!$B$93/12+IF(OR(12=Inputs!$B$11,12=Inputs!$B$13,12=Inputs!$B$15,12=Inputs!$B$17),Inputs!$B$94,0)</f>
        <v/>
      </c>
      <c r="N64" s="37">
        <f>Inputs!$B$93/12+IF(OR(13=Inputs!$B$11,13=Inputs!$B$13,13=Inputs!$B$15,13=Inputs!$B$17),Inputs!$B$94,0)</f>
        <v/>
      </c>
      <c r="O64" s="37">
        <f>Inputs!$B$93/12+IF(OR(14=Inputs!$B$11,14=Inputs!$B$13,14=Inputs!$B$15,14=Inputs!$B$17),Inputs!$B$94,0)</f>
        <v/>
      </c>
      <c r="P64" s="37">
        <f>Inputs!$B$93/12+IF(OR(15=Inputs!$B$11,15=Inputs!$B$13,15=Inputs!$B$15,15=Inputs!$B$17),Inputs!$B$94,0)</f>
        <v/>
      </c>
      <c r="Q64" s="37">
        <f>Inputs!$B$93/12+IF(OR(16=Inputs!$B$11,16=Inputs!$B$13,16=Inputs!$B$15,16=Inputs!$B$17),Inputs!$B$94,0)</f>
        <v/>
      </c>
      <c r="R64" s="37">
        <f>Inputs!$B$93/12+IF(OR(17=Inputs!$B$11,17=Inputs!$B$13,17=Inputs!$B$15,17=Inputs!$B$17),Inputs!$B$94,0)</f>
        <v/>
      </c>
      <c r="S64" s="37">
        <f>Inputs!$B$93/12+IF(OR(18=Inputs!$B$11,18=Inputs!$B$13,18=Inputs!$B$15,18=Inputs!$B$17),Inputs!$B$94,0)</f>
        <v/>
      </c>
      <c r="T64" s="37">
        <f>Inputs!$B$93/12+IF(OR(19=Inputs!$B$11,19=Inputs!$B$13,19=Inputs!$B$15,19=Inputs!$B$17),Inputs!$B$94,0)</f>
        <v/>
      </c>
      <c r="U64" s="37">
        <f>Inputs!$B$93/12+IF(OR(20=Inputs!$B$11,20=Inputs!$B$13,20=Inputs!$B$15,20=Inputs!$B$17),Inputs!$B$94,0)</f>
        <v/>
      </c>
      <c r="V64" s="37">
        <f>Inputs!$B$93/12+IF(OR(21=Inputs!$B$11,21=Inputs!$B$13,21=Inputs!$B$15,21=Inputs!$B$17),Inputs!$B$94,0)</f>
        <v/>
      </c>
      <c r="W64" s="37">
        <f>Inputs!$B$93/12+IF(OR(22=Inputs!$B$11,22=Inputs!$B$13,22=Inputs!$B$15,22=Inputs!$B$17),Inputs!$B$94,0)</f>
        <v/>
      </c>
      <c r="X64" s="37">
        <f>Inputs!$B$93/12+IF(OR(23=Inputs!$B$11,23=Inputs!$B$13,23=Inputs!$B$15,23=Inputs!$B$17),Inputs!$B$94,0)</f>
        <v/>
      </c>
      <c r="Y64" s="37">
        <f>Inputs!$B$93/12+IF(OR(24=Inputs!$B$11,24=Inputs!$B$13,24=Inputs!$B$15,24=Inputs!$B$17),Inputs!$B$94,0)</f>
        <v/>
      </c>
      <c r="Z64" s="37">
        <f>Inputs!$B$93/12+IF(OR(25=Inputs!$B$11,25=Inputs!$B$13,25=Inputs!$B$15,25=Inputs!$B$17),Inputs!$B$94,0)</f>
        <v/>
      </c>
      <c r="AA64" s="37">
        <f>Inputs!$B$93/12+IF(OR(26=Inputs!$B$11,26=Inputs!$B$13,26=Inputs!$B$15,26=Inputs!$B$17),Inputs!$B$94,0)</f>
        <v/>
      </c>
      <c r="AB64" s="37">
        <f>Inputs!$B$93/12+IF(OR(27=Inputs!$B$11,27=Inputs!$B$13,27=Inputs!$B$15,27=Inputs!$B$17),Inputs!$B$94,0)</f>
        <v/>
      </c>
      <c r="AC64" s="37">
        <f>Inputs!$B$93/12+IF(OR(28=Inputs!$B$11,28=Inputs!$B$13,28=Inputs!$B$15,28=Inputs!$B$17),Inputs!$B$94,0)</f>
        <v/>
      </c>
      <c r="AD64" s="37">
        <f>Inputs!$B$93/12+IF(OR(29=Inputs!$B$11,29=Inputs!$B$13,29=Inputs!$B$15,29=Inputs!$B$17),Inputs!$B$94,0)</f>
        <v/>
      </c>
      <c r="AE64" s="37">
        <f>Inputs!$B$93/12+IF(OR(30=Inputs!$B$11,30=Inputs!$B$13,30=Inputs!$B$15,30=Inputs!$B$17),Inputs!$B$94,0)</f>
        <v/>
      </c>
      <c r="AF64" s="37">
        <f>Inputs!$B$93/12+IF(OR(31=Inputs!$B$11,31=Inputs!$B$13,31=Inputs!$B$15,31=Inputs!$B$17),Inputs!$B$94,0)</f>
        <v/>
      </c>
      <c r="AG64" s="37">
        <f>Inputs!$B$93/12+IF(OR(32=Inputs!$B$11,32=Inputs!$B$13,32=Inputs!$B$15,32=Inputs!$B$17),Inputs!$B$94,0)</f>
        <v/>
      </c>
      <c r="AH64" s="37">
        <f>Inputs!$B$93/12+IF(OR(33=Inputs!$B$11,33=Inputs!$B$13,33=Inputs!$B$15,33=Inputs!$B$17),Inputs!$B$94,0)</f>
        <v/>
      </c>
      <c r="AI64" s="37">
        <f>Inputs!$B$93/12+IF(OR(34=Inputs!$B$11,34=Inputs!$B$13,34=Inputs!$B$15,34=Inputs!$B$17),Inputs!$B$94,0)</f>
        <v/>
      </c>
      <c r="AJ64" s="37">
        <f>Inputs!$B$93/12+IF(OR(35=Inputs!$B$11,35=Inputs!$B$13,35=Inputs!$B$15,35=Inputs!$B$17),Inputs!$B$94,0)</f>
        <v/>
      </c>
      <c r="AK64" s="37">
        <f>Inputs!$B$93/12+IF(OR(36=Inputs!$B$11,36=Inputs!$B$13,36=Inputs!$B$15,36=Inputs!$B$17),Inputs!$B$94,0)</f>
        <v/>
      </c>
      <c r="AL64" s="37">
        <f>Inputs!$B$93/12+IF(OR(37=Inputs!$B$11,37=Inputs!$B$13,37=Inputs!$B$15,37=Inputs!$B$17),Inputs!$B$94,0)</f>
        <v/>
      </c>
      <c r="AM64" s="37">
        <f>Inputs!$B$93/12+IF(OR(38=Inputs!$B$11,38=Inputs!$B$13,38=Inputs!$B$15,38=Inputs!$B$17),Inputs!$B$94,0)</f>
        <v/>
      </c>
      <c r="AN64" s="37">
        <f>Inputs!$B$93/12+IF(OR(39=Inputs!$B$11,39=Inputs!$B$13,39=Inputs!$B$15,39=Inputs!$B$17),Inputs!$B$94,0)</f>
        <v/>
      </c>
      <c r="AO64" s="37">
        <f>Inputs!$B$93/12+IF(OR(40=Inputs!$B$11,40=Inputs!$B$13,40=Inputs!$B$15,40=Inputs!$B$17),Inputs!$B$94,0)</f>
        <v/>
      </c>
      <c r="AP64" s="37">
        <f>Inputs!$B$93/12+IF(OR(41=Inputs!$B$11,41=Inputs!$B$13,41=Inputs!$B$15,41=Inputs!$B$17),Inputs!$B$94,0)</f>
        <v/>
      </c>
      <c r="AQ64" s="37">
        <f>Inputs!$B$93/12+IF(OR(42=Inputs!$B$11,42=Inputs!$B$13,42=Inputs!$B$15,42=Inputs!$B$17),Inputs!$B$94,0)</f>
        <v/>
      </c>
      <c r="AR64" s="37">
        <f>Inputs!$B$93/12+IF(OR(43=Inputs!$B$11,43=Inputs!$B$13,43=Inputs!$B$15,43=Inputs!$B$17),Inputs!$B$94,0)</f>
        <v/>
      </c>
      <c r="AS64" s="37">
        <f>Inputs!$B$93/12+IF(OR(44=Inputs!$B$11,44=Inputs!$B$13,44=Inputs!$B$15,44=Inputs!$B$17),Inputs!$B$94,0)</f>
        <v/>
      </c>
      <c r="AT64" s="37">
        <f>Inputs!$B$93/12+IF(OR(45=Inputs!$B$11,45=Inputs!$B$13,45=Inputs!$B$15,45=Inputs!$B$17),Inputs!$B$94,0)</f>
        <v/>
      </c>
      <c r="AU64" s="37">
        <f>Inputs!$B$93/12+IF(OR(46=Inputs!$B$11,46=Inputs!$B$13,46=Inputs!$B$15,46=Inputs!$B$17),Inputs!$B$94,0)</f>
        <v/>
      </c>
      <c r="AV64" s="37">
        <f>Inputs!$B$93/12+IF(OR(47=Inputs!$B$11,47=Inputs!$B$13,47=Inputs!$B$15,47=Inputs!$B$17),Inputs!$B$94,0)</f>
        <v/>
      </c>
      <c r="AW64" s="37">
        <f>Inputs!$B$93/12+IF(OR(48=Inputs!$B$11,48=Inputs!$B$13,48=Inputs!$B$15,48=Inputs!$B$17),Inputs!$B$94,0)</f>
        <v/>
      </c>
      <c r="AX64" s="37">
        <f>Inputs!$B$93/12+IF(OR(49=Inputs!$B$11,49=Inputs!$B$13,49=Inputs!$B$15,49=Inputs!$B$17),Inputs!$B$94,0)</f>
        <v/>
      </c>
      <c r="AY64" s="37">
        <f>Inputs!$B$93/12+IF(OR(50=Inputs!$B$11,50=Inputs!$B$13,50=Inputs!$B$15,50=Inputs!$B$17),Inputs!$B$94,0)</f>
        <v/>
      </c>
      <c r="AZ64" s="37">
        <f>Inputs!$B$93/12+IF(OR(51=Inputs!$B$11,51=Inputs!$B$13,51=Inputs!$B$15,51=Inputs!$B$17),Inputs!$B$94,0)</f>
        <v/>
      </c>
      <c r="BA64" s="37">
        <f>Inputs!$B$93/12+IF(OR(52=Inputs!$B$11,52=Inputs!$B$13,52=Inputs!$B$15,52=Inputs!$B$17),Inputs!$B$94,0)</f>
        <v/>
      </c>
    </row>
    <row r="65" ht="14.25" customHeight="1" s="165">
      <c r="A65" s="3" t="inlineStr">
        <is>
          <t>Steuerberater</t>
        </is>
      </c>
      <c r="B65" s="37">
        <f>Inputs!$B$95</f>
        <v/>
      </c>
      <c r="C65" s="37">
        <f>Inputs!$B$95</f>
        <v/>
      </c>
      <c r="D65" s="37">
        <f>Inputs!$B$95</f>
        <v/>
      </c>
      <c r="E65" s="37">
        <f>Inputs!$B$95</f>
        <v/>
      </c>
      <c r="F65" s="37">
        <f>Inputs!$B$95</f>
        <v/>
      </c>
      <c r="G65" s="37">
        <f>Inputs!$B$95</f>
        <v/>
      </c>
      <c r="H65" s="37">
        <f>Inputs!$B$95</f>
        <v/>
      </c>
      <c r="I65" s="37">
        <f>Inputs!$B$95</f>
        <v/>
      </c>
      <c r="J65" s="37">
        <f>Inputs!$B$95</f>
        <v/>
      </c>
      <c r="K65" s="37">
        <f>Inputs!$B$95</f>
        <v/>
      </c>
      <c r="L65" s="37">
        <f>Inputs!$B$95</f>
        <v/>
      </c>
      <c r="M65" s="37">
        <f>Inputs!$B$95</f>
        <v/>
      </c>
      <c r="N65" s="37">
        <f>Inputs!$B$95</f>
        <v/>
      </c>
      <c r="O65" s="37">
        <f>Inputs!$B$95</f>
        <v/>
      </c>
      <c r="P65" s="37">
        <f>Inputs!$B$95</f>
        <v/>
      </c>
      <c r="Q65" s="37">
        <f>Inputs!$B$95</f>
        <v/>
      </c>
      <c r="R65" s="37">
        <f>Inputs!$B$95</f>
        <v/>
      </c>
      <c r="S65" s="37">
        <f>Inputs!$B$95</f>
        <v/>
      </c>
      <c r="T65" s="37">
        <f>Inputs!$B$95</f>
        <v/>
      </c>
      <c r="U65" s="37">
        <f>Inputs!$B$95</f>
        <v/>
      </c>
      <c r="V65" s="37">
        <f>Inputs!$B$95</f>
        <v/>
      </c>
      <c r="W65" s="37">
        <f>Inputs!$B$95</f>
        <v/>
      </c>
      <c r="X65" s="37">
        <f>Inputs!$B$95</f>
        <v/>
      </c>
      <c r="Y65" s="37">
        <f>Inputs!$B$95</f>
        <v/>
      </c>
      <c r="Z65" s="37">
        <f>Inputs!$B$95</f>
        <v/>
      </c>
      <c r="AA65" s="37">
        <f>Inputs!$B$95</f>
        <v/>
      </c>
      <c r="AB65" s="37">
        <f>Inputs!$B$95</f>
        <v/>
      </c>
      <c r="AC65" s="37">
        <f>Inputs!$B$95</f>
        <v/>
      </c>
      <c r="AD65" s="37">
        <f>Inputs!$B$95</f>
        <v/>
      </c>
      <c r="AE65" s="37">
        <f>Inputs!$B$95</f>
        <v/>
      </c>
      <c r="AF65" s="37">
        <f>Inputs!$B$95</f>
        <v/>
      </c>
      <c r="AG65" s="37">
        <f>Inputs!$B$95</f>
        <v/>
      </c>
      <c r="AH65" s="37">
        <f>Inputs!$B$95</f>
        <v/>
      </c>
      <c r="AI65" s="37">
        <f>Inputs!$B$95</f>
        <v/>
      </c>
      <c r="AJ65" s="37">
        <f>Inputs!$B$95</f>
        <v/>
      </c>
      <c r="AK65" s="37">
        <f>Inputs!$B$95</f>
        <v/>
      </c>
      <c r="AL65" s="37">
        <f>Inputs!$B$95</f>
        <v/>
      </c>
      <c r="AM65" s="37">
        <f>Inputs!$B$95</f>
        <v/>
      </c>
      <c r="AN65" s="37">
        <f>Inputs!$B$95</f>
        <v/>
      </c>
      <c r="AO65" s="37">
        <f>Inputs!$B$95</f>
        <v/>
      </c>
      <c r="AP65" s="37">
        <f>Inputs!$B$95</f>
        <v/>
      </c>
      <c r="AQ65" s="37">
        <f>Inputs!$B$95</f>
        <v/>
      </c>
      <c r="AR65" s="37">
        <f>Inputs!$B$95</f>
        <v/>
      </c>
      <c r="AS65" s="37">
        <f>Inputs!$B$95</f>
        <v/>
      </c>
      <c r="AT65" s="37">
        <f>Inputs!$B$95</f>
        <v/>
      </c>
      <c r="AU65" s="37">
        <f>Inputs!$B$95</f>
        <v/>
      </c>
      <c r="AV65" s="37">
        <f>Inputs!$B$95</f>
        <v/>
      </c>
      <c r="AW65" s="37">
        <f>Inputs!$B$95</f>
        <v/>
      </c>
      <c r="AX65" s="37">
        <f>Inputs!$B$95</f>
        <v/>
      </c>
      <c r="AY65" s="37">
        <f>Inputs!$B$95</f>
        <v/>
      </c>
      <c r="AZ65" s="37">
        <f>Inputs!$B$95</f>
        <v/>
      </c>
      <c r="BA65" s="37">
        <f>Inputs!$B$95</f>
        <v/>
      </c>
    </row>
    <row r="66" ht="14.25" customHeight="1" s="165">
      <c r="A66" s="3" t="inlineStr">
        <is>
          <t>Wirtschaftsprüfer</t>
        </is>
      </c>
      <c r="B66" s="37">
        <f>IF(1&gt;=Inputs!$B$97,Inputs!$B$96/12,0)</f>
        <v/>
      </c>
      <c r="C66" s="37">
        <f>IF(2&gt;=Inputs!$B$97,Inputs!$B$96/12,0)</f>
        <v/>
      </c>
      <c r="D66" s="37">
        <f>IF(3&gt;=Inputs!$B$97,Inputs!$B$96/12,0)</f>
        <v/>
      </c>
      <c r="E66" s="37">
        <f>IF(4&gt;=Inputs!$B$97,Inputs!$B$96/12,0)</f>
        <v/>
      </c>
      <c r="F66" s="37">
        <f>IF(5&gt;=Inputs!$B$97,Inputs!$B$96/12,0)</f>
        <v/>
      </c>
      <c r="G66" s="37">
        <f>IF(6&gt;=Inputs!$B$97,Inputs!$B$96/12,0)</f>
        <v/>
      </c>
      <c r="H66" s="37">
        <f>IF(7&gt;=Inputs!$B$97,Inputs!$B$96/12,0)</f>
        <v/>
      </c>
      <c r="I66" s="37">
        <f>IF(8&gt;=Inputs!$B$97,Inputs!$B$96/12,0)</f>
        <v/>
      </c>
      <c r="J66" s="37">
        <f>IF(9&gt;=Inputs!$B$97,Inputs!$B$96/12,0)</f>
        <v/>
      </c>
      <c r="K66" s="37">
        <f>IF(10&gt;=Inputs!$B$97,Inputs!$B$96/12,0)</f>
        <v/>
      </c>
      <c r="L66" s="37">
        <f>IF(11&gt;=Inputs!$B$97,Inputs!$B$96/12,0)</f>
        <v/>
      </c>
      <c r="M66" s="37">
        <f>IF(12&gt;=Inputs!$B$97,Inputs!$B$96/12,0)</f>
        <v/>
      </c>
      <c r="N66" s="37">
        <f>IF(13&gt;=Inputs!$B$97,Inputs!$B$96/12,0)</f>
        <v/>
      </c>
      <c r="O66" s="37">
        <f>IF(14&gt;=Inputs!$B$97,Inputs!$B$96/12,0)</f>
        <v/>
      </c>
      <c r="P66" s="37">
        <f>IF(15&gt;=Inputs!$B$97,Inputs!$B$96/12,0)</f>
        <v/>
      </c>
      <c r="Q66" s="37">
        <f>IF(16&gt;=Inputs!$B$97,Inputs!$B$96/12,0)</f>
        <v/>
      </c>
      <c r="R66" s="37">
        <f>IF(17&gt;=Inputs!$B$97,Inputs!$B$96/12,0)</f>
        <v/>
      </c>
      <c r="S66" s="37">
        <f>IF(18&gt;=Inputs!$B$97,Inputs!$B$96/12,0)</f>
        <v/>
      </c>
      <c r="T66" s="37">
        <f>IF(19&gt;=Inputs!$B$97,Inputs!$B$96/12,0)</f>
        <v/>
      </c>
      <c r="U66" s="37">
        <f>IF(20&gt;=Inputs!$B$97,Inputs!$B$96/12,0)</f>
        <v/>
      </c>
      <c r="V66" s="37">
        <f>IF(21&gt;=Inputs!$B$97,Inputs!$B$96/12,0)</f>
        <v/>
      </c>
      <c r="W66" s="37">
        <f>IF(22&gt;=Inputs!$B$97,Inputs!$B$96/12,0)</f>
        <v/>
      </c>
      <c r="X66" s="37">
        <f>IF(23&gt;=Inputs!$B$97,Inputs!$B$96/12,0)</f>
        <v/>
      </c>
      <c r="Y66" s="37">
        <f>IF(24&gt;=Inputs!$B$97,Inputs!$B$96/12,0)</f>
        <v/>
      </c>
      <c r="Z66" s="37">
        <f>IF(25&gt;=Inputs!$B$97,Inputs!$B$96/12,0)</f>
        <v/>
      </c>
      <c r="AA66" s="37">
        <f>IF(26&gt;=Inputs!$B$97,Inputs!$B$96/12,0)</f>
        <v/>
      </c>
      <c r="AB66" s="37">
        <f>IF(27&gt;=Inputs!$B$97,Inputs!$B$96/12,0)</f>
        <v/>
      </c>
      <c r="AC66" s="37">
        <f>IF(28&gt;=Inputs!$B$97,Inputs!$B$96/12,0)</f>
        <v/>
      </c>
      <c r="AD66" s="37">
        <f>IF(29&gt;=Inputs!$B$97,Inputs!$B$96/12,0)</f>
        <v/>
      </c>
      <c r="AE66" s="37">
        <f>IF(30&gt;=Inputs!$B$97,Inputs!$B$96/12,0)</f>
        <v/>
      </c>
      <c r="AF66" s="37">
        <f>IF(31&gt;=Inputs!$B$97,Inputs!$B$96/12,0)</f>
        <v/>
      </c>
      <c r="AG66" s="37">
        <f>IF(32&gt;=Inputs!$B$97,Inputs!$B$96/12,0)</f>
        <v/>
      </c>
      <c r="AH66" s="37">
        <f>IF(33&gt;=Inputs!$B$97,Inputs!$B$96/12,0)</f>
        <v/>
      </c>
      <c r="AI66" s="37">
        <f>IF(34&gt;=Inputs!$B$97,Inputs!$B$96/12,0)</f>
        <v/>
      </c>
      <c r="AJ66" s="37">
        <f>IF(35&gt;=Inputs!$B$97,Inputs!$B$96/12,0)</f>
        <v/>
      </c>
      <c r="AK66" s="37">
        <f>IF(36&gt;=Inputs!$B$97,Inputs!$B$96/12,0)</f>
        <v/>
      </c>
      <c r="AL66" s="37">
        <f>IF(37&gt;=Inputs!$B$97,Inputs!$B$96/12,0)</f>
        <v/>
      </c>
      <c r="AM66" s="37">
        <f>IF(38&gt;=Inputs!$B$97,Inputs!$B$96/12,0)</f>
        <v/>
      </c>
      <c r="AN66" s="37">
        <f>IF(39&gt;=Inputs!$B$97,Inputs!$B$96/12,0)</f>
        <v/>
      </c>
      <c r="AO66" s="37">
        <f>IF(40&gt;=Inputs!$B$97,Inputs!$B$96/12,0)</f>
        <v/>
      </c>
      <c r="AP66" s="37">
        <f>IF(41&gt;=Inputs!$B$97,Inputs!$B$96/12,0)</f>
        <v/>
      </c>
      <c r="AQ66" s="37">
        <f>IF(42&gt;=Inputs!$B$97,Inputs!$B$96/12,0)</f>
        <v/>
      </c>
      <c r="AR66" s="37">
        <f>IF(43&gt;=Inputs!$B$97,Inputs!$B$96/12,0)</f>
        <v/>
      </c>
      <c r="AS66" s="37">
        <f>IF(44&gt;=Inputs!$B$97,Inputs!$B$96/12,0)</f>
        <v/>
      </c>
      <c r="AT66" s="37">
        <f>IF(45&gt;=Inputs!$B$97,Inputs!$B$96/12,0)</f>
        <v/>
      </c>
      <c r="AU66" s="37">
        <f>IF(46&gt;=Inputs!$B$97,Inputs!$B$96/12,0)</f>
        <v/>
      </c>
      <c r="AV66" s="37">
        <f>IF(47&gt;=Inputs!$B$97,Inputs!$B$96/12,0)</f>
        <v/>
      </c>
      <c r="AW66" s="37">
        <f>IF(48&gt;=Inputs!$B$97,Inputs!$B$96/12,0)</f>
        <v/>
      </c>
      <c r="AX66" s="37">
        <f>IF(49&gt;=Inputs!$B$97,Inputs!$B$96/12,0)</f>
        <v/>
      </c>
      <c r="AY66" s="37">
        <f>IF(50&gt;=Inputs!$B$97,Inputs!$B$96/12,0)</f>
        <v/>
      </c>
      <c r="AZ66" s="37">
        <f>IF(51&gt;=Inputs!$B$97,Inputs!$B$96/12,0)</f>
        <v/>
      </c>
      <c r="BA66" s="37">
        <f>IF(52&gt;=Inputs!$B$97,Inputs!$B$96/12,0)</f>
        <v/>
      </c>
    </row>
    <row r="67" ht="14.25" customHeight="1" s="165">
      <c r="A67" s="3" t="inlineStr">
        <is>
          <t>Unternehmensberater</t>
        </is>
      </c>
      <c r="B67" s="37">
        <f>Inputs!$B$98/12</f>
        <v/>
      </c>
      <c r="C67" s="37">
        <f>Inputs!$B$98/12</f>
        <v/>
      </c>
      <c r="D67" s="37">
        <f>Inputs!$B$98/12</f>
        <v/>
      </c>
      <c r="E67" s="37">
        <f>Inputs!$B$98/12</f>
        <v/>
      </c>
      <c r="F67" s="37">
        <f>Inputs!$B$98/12</f>
        <v/>
      </c>
      <c r="G67" s="37">
        <f>Inputs!$B$98/12</f>
        <v/>
      </c>
      <c r="H67" s="37">
        <f>Inputs!$B$98/12</f>
        <v/>
      </c>
      <c r="I67" s="37">
        <f>Inputs!$B$98/12</f>
        <v/>
      </c>
      <c r="J67" s="37">
        <f>Inputs!$B$98/12</f>
        <v/>
      </c>
      <c r="K67" s="37">
        <f>Inputs!$B$98/12</f>
        <v/>
      </c>
      <c r="L67" s="37">
        <f>Inputs!$B$98/12</f>
        <v/>
      </c>
      <c r="M67" s="37">
        <f>Inputs!$B$98/12</f>
        <v/>
      </c>
      <c r="N67" s="37">
        <f>Inputs!$B$98/12</f>
        <v/>
      </c>
      <c r="O67" s="37">
        <f>Inputs!$B$98/12</f>
        <v/>
      </c>
      <c r="P67" s="37">
        <f>Inputs!$B$98/12</f>
        <v/>
      </c>
      <c r="Q67" s="37">
        <f>Inputs!$B$98/12</f>
        <v/>
      </c>
      <c r="R67" s="37">
        <f>Inputs!$B$98/12</f>
        <v/>
      </c>
      <c r="S67" s="37">
        <f>Inputs!$B$98/12</f>
        <v/>
      </c>
      <c r="T67" s="37">
        <f>Inputs!$B$98/12</f>
        <v/>
      </c>
      <c r="U67" s="37">
        <f>Inputs!$B$98/12</f>
        <v/>
      </c>
      <c r="V67" s="37">
        <f>Inputs!$B$98/12</f>
        <v/>
      </c>
      <c r="W67" s="37">
        <f>Inputs!$B$98/12</f>
        <v/>
      </c>
      <c r="X67" s="37">
        <f>Inputs!$B$98/12</f>
        <v/>
      </c>
      <c r="Y67" s="37">
        <f>Inputs!$B$98/12</f>
        <v/>
      </c>
      <c r="Z67" s="37">
        <f>Inputs!$B$98/12</f>
        <v/>
      </c>
      <c r="AA67" s="37">
        <f>Inputs!$B$98/12</f>
        <v/>
      </c>
      <c r="AB67" s="37">
        <f>Inputs!$B$98/12</f>
        <v/>
      </c>
      <c r="AC67" s="37">
        <f>Inputs!$B$98/12</f>
        <v/>
      </c>
      <c r="AD67" s="37">
        <f>Inputs!$B$98/12</f>
        <v/>
      </c>
      <c r="AE67" s="37">
        <f>Inputs!$B$98/12</f>
        <v/>
      </c>
      <c r="AF67" s="37">
        <f>Inputs!$B$98/12</f>
        <v/>
      </c>
      <c r="AG67" s="37">
        <f>Inputs!$B$98/12</f>
        <v/>
      </c>
      <c r="AH67" s="37">
        <f>Inputs!$B$98/12</f>
        <v/>
      </c>
      <c r="AI67" s="37">
        <f>Inputs!$B$98/12</f>
        <v/>
      </c>
      <c r="AJ67" s="37">
        <f>Inputs!$B$98/12</f>
        <v/>
      </c>
      <c r="AK67" s="37">
        <f>Inputs!$B$98/12</f>
        <v/>
      </c>
      <c r="AL67" s="37">
        <f>Inputs!$B$98/12</f>
        <v/>
      </c>
      <c r="AM67" s="37">
        <f>Inputs!$B$98/12</f>
        <v/>
      </c>
      <c r="AN67" s="37">
        <f>Inputs!$B$98/12</f>
        <v/>
      </c>
      <c r="AO67" s="37">
        <f>Inputs!$B$98/12</f>
        <v/>
      </c>
      <c r="AP67" s="37">
        <f>Inputs!$B$98/12</f>
        <v/>
      </c>
      <c r="AQ67" s="37">
        <f>Inputs!$B$98/12</f>
        <v/>
      </c>
      <c r="AR67" s="37">
        <f>Inputs!$B$98/12</f>
        <v/>
      </c>
      <c r="AS67" s="37">
        <f>Inputs!$B$98/12</f>
        <v/>
      </c>
      <c r="AT67" s="37">
        <f>Inputs!$B$98/12</f>
        <v/>
      </c>
      <c r="AU67" s="37">
        <f>Inputs!$B$98/12</f>
        <v/>
      </c>
      <c r="AV67" s="37">
        <f>Inputs!$B$98/12</f>
        <v/>
      </c>
      <c r="AW67" s="37">
        <f>Inputs!$B$98/12</f>
        <v/>
      </c>
      <c r="AX67" s="37">
        <f>Inputs!$B$98/12</f>
        <v/>
      </c>
      <c r="AY67" s="37">
        <f>Inputs!$B$98/12</f>
        <v/>
      </c>
      <c r="AZ67" s="37">
        <f>Inputs!$B$98/12</f>
        <v/>
      </c>
      <c r="BA67" s="37">
        <f>Inputs!$B$98/12</f>
        <v/>
      </c>
    </row>
    <row r="68" ht="14.25" customHeight="1" s="165">
      <c r="A68" s="2" t="inlineStr">
        <is>
          <t>TOTAL PROFESSIONAL</t>
        </is>
      </c>
      <c r="B68" s="35">
        <f>SUM(B64:B67)</f>
        <v/>
      </c>
      <c r="C68" s="35">
        <f>SUM(C64:C67)</f>
        <v/>
      </c>
      <c r="D68" s="35">
        <f>SUM(D64:D67)</f>
        <v/>
      </c>
      <c r="E68" s="35">
        <f>SUM(E64:E67)</f>
        <v/>
      </c>
      <c r="F68" s="35">
        <f>SUM(F64:F67)</f>
        <v/>
      </c>
      <c r="G68" s="35">
        <f>SUM(G64:G67)</f>
        <v/>
      </c>
      <c r="H68" s="35">
        <f>SUM(H64:H67)</f>
        <v/>
      </c>
      <c r="I68" s="35">
        <f>SUM(I64:I67)</f>
        <v/>
      </c>
      <c r="J68" s="35">
        <f>SUM(J64:J67)</f>
        <v/>
      </c>
      <c r="K68" s="35">
        <f>SUM(K64:K67)</f>
        <v/>
      </c>
      <c r="L68" s="35">
        <f>SUM(L64:L67)</f>
        <v/>
      </c>
      <c r="M68" s="35">
        <f>SUM(M64:M67)</f>
        <v/>
      </c>
      <c r="N68" s="35">
        <f>SUM(N64:N67)</f>
        <v/>
      </c>
      <c r="O68" s="35">
        <f>SUM(O64:O67)</f>
        <v/>
      </c>
      <c r="P68" s="35">
        <f>SUM(P64:P67)</f>
        <v/>
      </c>
      <c r="Q68" s="35">
        <f>SUM(Q64:Q67)</f>
        <v/>
      </c>
      <c r="R68" s="35">
        <f>SUM(R64:R67)</f>
        <v/>
      </c>
      <c r="S68" s="35">
        <f>SUM(S64:S67)</f>
        <v/>
      </c>
      <c r="T68" s="35">
        <f>SUM(T64:T67)</f>
        <v/>
      </c>
      <c r="U68" s="35">
        <f>SUM(U64:U67)</f>
        <v/>
      </c>
      <c r="V68" s="35">
        <f>SUM(V64:V67)</f>
        <v/>
      </c>
      <c r="W68" s="35">
        <f>SUM(W64:W67)</f>
        <v/>
      </c>
      <c r="X68" s="35">
        <f>SUM(X64:X67)</f>
        <v/>
      </c>
      <c r="Y68" s="35">
        <f>SUM(Y64:Y67)</f>
        <v/>
      </c>
      <c r="Z68" s="35">
        <f>SUM(Z64:Z67)</f>
        <v/>
      </c>
      <c r="AA68" s="35">
        <f>SUM(AA64:AA67)</f>
        <v/>
      </c>
      <c r="AB68" s="35">
        <f>SUM(AB64:AB67)</f>
        <v/>
      </c>
      <c r="AC68" s="35">
        <f>SUM(AC64:AC67)</f>
        <v/>
      </c>
      <c r="AD68" s="35">
        <f>SUM(AD64:AD67)</f>
        <v/>
      </c>
      <c r="AE68" s="35">
        <f>SUM(AE64:AE67)</f>
        <v/>
      </c>
      <c r="AF68" s="35">
        <f>SUM(AF64:AF67)</f>
        <v/>
      </c>
      <c r="AG68" s="35">
        <f>SUM(AG64:AG67)</f>
        <v/>
      </c>
      <c r="AH68" s="35">
        <f>SUM(AH64:AH67)</f>
        <v/>
      </c>
      <c r="AI68" s="35">
        <f>SUM(AI64:AI67)</f>
        <v/>
      </c>
      <c r="AJ68" s="35">
        <f>SUM(AJ64:AJ67)</f>
        <v/>
      </c>
      <c r="AK68" s="35">
        <f>SUM(AK64:AK67)</f>
        <v/>
      </c>
      <c r="AL68" s="35">
        <f>SUM(AL64:AL67)</f>
        <v/>
      </c>
      <c r="AM68" s="35">
        <f>SUM(AM64:AM67)</f>
        <v/>
      </c>
      <c r="AN68" s="35">
        <f>SUM(AN64:AN67)</f>
        <v/>
      </c>
      <c r="AO68" s="35">
        <f>SUM(AO64:AO67)</f>
        <v/>
      </c>
      <c r="AP68" s="35">
        <f>SUM(AP64:AP67)</f>
        <v/>
      </c>
      <c r="AQ68" s="35">
        <f>SUM(AQ64:AQ67)</f>
        <v/>
      </c>
      <c r="AR68" s="35">
        <f>SUM(AR64:AR67)</f>
        <v/>
      </c>
      <c r="AS68" s="35">
        <f>SUM(AS64:AS67)</f>
        <v/>
      </c>
      <c r="AT68" s="35">
        <f>SUM(AT64:AT67)</f>
        <v/>
      </c>
      <c r="AU68" s="35">
        <f>SUM(AU64:AU67)</f>
        <v/>
      </c>
      <c r="AV68" s="35">
        <f>SUM(AV64:AV67)</f>
        <v/>
      </c>
      <c r="AW68" s="35">
        <f>SUM(AW64:AW67)</f>
        <v/>
      </c>
      <c r="AX68" s="35">
        <f>SUM(AX64:AX67)</f>
        <v/>
      </c>
      <c r="AY68" s="35">
        <f>SUM(AY64:AY67)</f>
        <v/>
      </c>
      <c r="AZ68" s="35">
        <f>SUM(AZ64:AZ67)</f>
        <v/>
      </c>
      <c r="BA68" s="35">
        <f>SUM(BA64:BA67)</f>
        <v/>
      </c>
    </row>
    <row r="69" ht="14.25" customHeight="1" s="165"/>
    <row r="70" ht="14.25" customHeight="1" s="165">
      <c r="A70" s="2" t="inlineStr">
        <is>
          <t>VERSICHERUNGEN &amp; BANK</t>
        </is>
      </c>
    </row>
    <row r="71" ht="14.25" customHeight="1" s="165">
      <c r="A71" s="3" t="inlineStr">
        <is>
          <t>D&amp;O Versicherung</t>
        </is>
      </c>
      <c r="B71" s="37">
        <f>Inputs!$B$101/12</f>
        <v/>
      </c>
      <c r="C71" s="37">
        <f>Inputs!$B$101/12</f>
        <v/>
      </c>
      <c r="D71" s="37">
        <f>Inputs!$B$101/12</f>
        <v/>
      </c>
      <c r="E71" s="37">
        <f>Inputs!$B$101/12</f>
        <v/>
      </c>
      <c r="F71" s="37">
        <f>Inputs!$B$101/12</f>
        <v/>
      </c>
      <c r="G71" s="37">
        <f>Inputs!$B$101/12</f>
        <v/>
      </c>
      <c r="H71" s="37">
        <f>Inputs!$B$101/12</f>
        <v/>
      </c>
      <c r="I71" s="37">
        <f>Inputs!$B$101/12</f>
        <v/>
      </c>
      <c r="J71" s="37">
        <f>Inputs!$B$101/12</f>
        <v/>
      </c>
      <c r="K71" s="37">
        <f>Inputs!$B$101/12</f>
        <v/>
      </c>
      <c r="L71" s="37">
        <f>Inputs!$B$101/12</f>
        <v/>
      </c>
      <c r="M71" s="37">
        <f>Inputs!$B$101/12</f>
        <v/>
      </c>
      <c r="N71" s="37">
        <f>Inputs!$B$101/12</f>
        <v/>
      </c>
      <c r="O71" s="37">
        <f>Inputs!$B$101/12</f>
        <v/>
      </c>
      <c r="P71" s="37">
        <f>Inputs!$B$101/12</f>
        <v/>
      </c>
      <c r="Q71" s="37">
        <f>Inputs!$B$101/12</f>
        <v/>
      </c>
      <c r="R71" s="37">
        <f>Inputs!$B$101/12</f>
        <v/>
      </c>
      <c r="S71" s="37">
        <f>Inputs!$B$101/12</f>
        <v/>
      </c>
      <c r="T71" s="37">
        <f>Inputs!$B$101/12</f>
        <v/>
      </c>
      <c r="U71" s="37">
        <f>Inputs!$B$101/12</f>
        <v/>
      </c>
      <c r="V71" s="37">
        <f>Inputs!$B$101/12</f>
        <v/>
      </c>
      <c r="W71" s="37">
        <f>Inputs!$B$101/12</f>
        <v/>
      </c>
      <c r="X71" s="37">
        <f>Inputs!$B$101/12</f>
        <v/>
      </c>
      <c r="Y71" s="37">
        <f>Inputs!$B$101/12</f>
        <v/>
      </c>
      <c r="Z71" s="37">
        <f>Inputs!$B$101/12</f>
        <v/>
      </c>
      <c r="AA71" s="37">
        <f>Inputs!$B$101/12</f>
        <v/>
      </c>
      <c r="AB71" s="37">
        <f>Inputs!$B$101/12</f>
        <v/>
      </c>
      <c r="AC71" s="37">
        <f>Inputs!$B$101/12</f>
        <v/>
      </c>
      <c r="AD71" s="37">
        <f>Inputs!$B$101/12</f>
        <v/>
      </c>
      <c r="AE71" s="37">
        <f>Inputs!$B$101/12</f>
        <v/>
      </c>
      <c r="AF71" s="37">
        <f>Inputs!$B$101/12</f>
        <v/>
      </c>
      <c r="AG71" s="37">
        <f>Inputs!$B$101/12</f>
        <v/>
      </c>
      <c r="AH71" s="37">
        <f>Inputs!$B$101/12</f>
        <v/>
      </c>
      <c r="AI71" s="37">
        <f>Inputs!$B$101/12</f>
        <v/>
      </c>
      <c r="AJ71" s="37">
        <f>Inputs!$B$101/12</f>
        <v/>
      </c>
      <c r="AK71" s="37">
        <f>Inputs!$B$101/12</f>
        <v/>
      </c>
      <c r="AL71" s="37">
        <f>Inputs!$B$101/12</f>
        <v/>
      </c>
      <c r="AM71" s="37">
        <f>Inputs!$B$101/12</f>
        <v/>
      </c>
      <c r="AN71" s="37">
        <f>Inputs!$B$101/12</f>
        <v/>
      </c>
      <c r="AO71" s="37">
        <f>Inputs!$B$101/12</f>
        <v/>
      </c>
      <c r="AP71" s="37">
        <f>Inputs!$B$101/12</f>
        <v/>
      </c>
      <c r="AQ71" s="37">
        <f>Inputs!$B$101/12</f>
        <v/>
      </c>
      <c r="AR71" s="37">
        <f>Inputs!$B$101/12</f>
        <v/>
      </c>
      <c r="AS71" s="37">
        <f>Inputs!$B$101/12</f>
        <v/>
      </c>
      <c r="AT71" s="37">
        <f>Inputs!$B$101/12</f>
        <v/>
      </c>
      <c r="AU71" s="37">
        <f>Inputs!$B$101/12</f>
        <v/>
      </c>
      <c r="AV71" s="37">
        <f>Inputs!$B$101/12</f>
        <v/>
      </c>
      <c r="AW71" s="37">
        <f>Inputs!$B$101/12</f>
        <v/>
      </c>
      <c r="AX71" s="37">
        <f>Inputs!$B$101/12</f>
        <v/>
      </c>
      <c r="AY71" s="37">
        <f>Inputs!$B$101/12</f>
        <v/>
      </c>
      <c r="AZ71" s="37">
        <f>Inputs!$B$101/12</f>
        <v/>
      </c>
      <c r="BA71" s="37">
        <f>Inputs!$B$101/12</f>
        <v/>
      </c>
    </row>
    <row r="72" ht="14.25" customHeight="1" s="165">
      <c r="A72" s="3" t="inlineStr">
        <is>
          <t>Betriebshaftpflicht</t>
        </is>
      </c>
      <c r="B72" s="37">
        <f>Inputs!$B$102/12</f>
        <v/>
      </c>
      <c r="C72" s="37">
        <f>Inputs!$B$102/12</f>
        <v/>
      </c>
      <c r="D72" s="37">
        <f>Inputs!$B$102/12</f>
        <v/>
      </c>
      <c r="E72" s="37">
        <f>Inputs!$B$102/12</f>
        <v/>
      </c>
      <c r="F72" s="37">
        <f>Inputs!$B$102/12</f>
        <v/>
      </c>
      <c r="G72" s="37">
        <f>Inputs!$B$102/12</f>
        <v/>
      </c>
      <c r="H72" s="37">
        <f>Inputs!$B$102/12</f>
        <v/>
      </c>
      <c r="I72" s="37">
        <f>Inputs!$B$102/12</f>
        <v/>
      </c>
      <c r="J72" s="37">
        <f>Inputs!$B$102/12</f>
        <v/>
      </c>
      <c r="K72" s="37">
        <f>Inputs!$B$102/12</f>
        <v/>
      </c>
      <c r="L72" s="37">
        <f>Inputs!$B$102/12</f>
        <v/>
      </c>
      <c r="M72" s="37">
        <f>Inputs!$B$102/12</f>
        <v/>
      </c>
      <c r="N72" s="37">
        <f>Inputs!$B$102/12</f>
        <v/>
      </c>
      <c r="O72" s="37">
        <f>Inputs!$B$102/12</f>
        <v/>
      </c>
      <c r="P72" s="37">
        <f>Inputs!$B$102/12</f>
        <v/>
      </c>
      <c r="Q72" s="37">
        <f>Inputs!$B$102/12</f>
        <v/>
      </c>
      <c r="R72" s="37">
        <f>Inputs!$B$102/12</f>
        <v/>
      </c>
      <c r="S72" s="37">
        <f>Inputs!$B$102/12</f>
        <v/>
      </c>
      <c r="T72" s="37">
        <f>Inputs!$B$102/12</f>
        <v/>
      </c>
      <c r="U72" s="37">
        <f>Inputs!$B$102/12</f>
        <v/>
      </c>
      <c r="V72" s="37">
        <f>Inputs!$B$102/12</f>
        <v/>
      </c>
      <c r="W72" s="37">
        <f>Inputs!$B$102/12</f>
        <v/>
      </c>
      <c r="X72" s="37">
        <f>Inputs!$B$102/12</f>
        <v/>
      </c>
      <c r="Y72" s="37">
        <f>Inputs!$B$102/12</f>
        <v/>
      </c>
      <c r="Z72" s="37">
        <f>Inputs!$B$102/12</f>
        <v/>
      </c>
      <c r="AA72" s="37">
        <f>Inputs!$B$102/12</f>
        <v/>
      </c>
      <c r="AB72" s="37">
        <f>Inputs!$B$102/12</f>
        <v/>
      </c>
      <c r="AC72" s="37">
        <f>Inputs!$B$102/12</f>
        <v/>
      </c>
      <c r="AD72" s="37">
        <f>Inputs!$B$102/12</f>
        <v/>
      </c>
      <c r="AE72" s="37">
        <f>Inputs!$B$102/12</f>
        <v/>
      </c>
      <c r="AF72" s="37">
        <f>Inputs!$B$102/12</f>
        <v/>
      </c>
      <c r="AG72" s="37">
        <f>Inputs!$B$102/12</f>
        <v/>
      </c>
      <c r="AH72" s="37">
        <f>Inputs!$B$102/12</f>
        <v/>
      </c>
      <c r="AI72" s="37">
        <f>Inputs!$B$102/12</f>
        <v/>
      </c>
      <c r="AJ72" s="37">
        <f>Inputs!$B$102/12</f>
        <v/>
      </c>
      <c r="AK72" s="37">
        <f>Inputs!$B$102/12</f>
        <v/>
      </c>
      <c r="AL72" s="37">
        <f>Inputs!$B$102/12</f>
        <v/>
      </c>
      <c r="AM72" s="37">
        <f>Inputs!$B$102/12</f>
        <v/>
      </c>
      <c r="AN72" s="37">
        <f>Inputs!$B$102/12</f>
        <v/>
      </c>
      <c r="AO72" s="37">
        <f>Inputs!$B$102/12</f>
        <v/>
      </c>
      <c r="AP72" s="37">
        <f>Inputs!$B$102/12</f>
        <v/>
      </c>
      <c r="AQ72" s="37">
        <f>Inputs!$B$102/12</f>
        <v/>
      </c>
      <c r="AR72" s="37">
        <f>Inputs!$B$102/12</f>
        <v/>
      </c>
      <c r="AS72" s="37">
        <f>Inputs!$B$102/12</f>
        <v/>
      </c>
      <c r="AT72" s="37">
        <f>Inputs!$B$102/12</f>
        <v/>
      </c>
      <c r="AU72" s="37">
        <f>Inputs!$B$102/12</f>
        <v/>
      </c>
      <c r="AV72" s="37">
        <f>Inputs!$B$102/12</f>
        <v/>
      </c>
      <c r="AW72" s="37">
        <f>Inputs!$B$102/12</f>
        <v/>
      </c>
      <c r="AX72" s="37">
        <f>Inputs!$B$102/12</f>
        <v/>
      </c>
      <c r="AY72" s="37">
        <f>Inputs!$B$102/12</f>
        <v/>
      </c>
      <c r="AZ72" s="37">
        <f>Inputs!$B$102/12</f>
        <v/>
      </c>
      <c r="BA72" s="37">
        <f>Inputs!$B$102/12</f>
        <v/>
      </c>
    </row>
    <row r="73" ht="14.25" customHeight="1" s="165">
      <c r="A73" s="3" t="inlineStr">
        <is>
          <t>Cyber-Versicherung</t>
        </is>
      </c>
      <c r="B73" s="37">
        <f>Inputs!$B$103/12</f>
        <v/>
      </c>
      <c r="C73" s="37">
        <f>Inputs!$B$103/12</f>
        <v/>
      </c>
      <c r="D73" s="37">
        <f>Inputs!$B$103/12</f>
        <v/>
      </c>
      <c r="E73" s="37">
        <f>Inputs!$B$103/12</f>
        <v/>
      </c>
      <c r="F73" s="37">
        <f>Inputs!$B$103/12</f>
        <v/>
      </c>
      <c r="G73" s="37">
        <f>Inputs!$B$103/12</f>
        <v/>
      </c>
      <c r="H73" s="37">
        <f>Inputs!$B$103/12</f>
        <v/>
      </c>
      <c r="I73" s="37">
        <f>Inputs!$B$103/12</f>
        <v/>
      </c>
      <c r="J73" s="37">
        <f>Inputs!$B$103/12</f>
        <v/>
      </c>
      <c r="K73" s="37">
        <f>Inputs!$B$103/12</f>
        <v/>
      </c>
      <c r="L73" s="37">
        <f>Inputs!$B$103/12</f>
        <v/>
      </c>
      <c r="M73" s="37">
        <f>Inputs!$B$103/12</f>
        <v/>
      </c>
      <c r="N73" s="37">
        <f>Inputs!$B$103/12</f>
        <v/>
      </c>
      <c r="O73" s="37">
        <f>Inputs!$B$103/12</f>
        <v/>
      </c>
      <c r="P73" s="37">
        <f>Inputs!$B$103/12</f>
        <v/>
      </c>
      <c r="Q73" s="37">
        <f>Inputs!$B$103/12</f>
        <v/>
      </c>
      <c r="R73" s="37">
        <f>Inputs!$B$103/12</f>
        <v/>
      </c>
      <c r="S73" s="37">
        <f>Inputs!$B$103/12</f>
        <v/>
      </c>
      <c r="T73" s="37">
        <f>Inputs!$B$103/12</f>
        <v/>
      </c>
      <c r="U73" s="37">
        <f>Inputs!$B$103/12</f>
        <v/>
      </c>
      <c r="V73" s="37">
        <f>Inputs!$B$103/12</f>
        <v/>
      </c>
      <c r="W73" s="37">
        <f>Inputs!$B$103/12</f>
        <v/>
      </c>
      <c r="X73" s="37">
        <f>Inputs!$B$103/12</f>
        <v/>
      </c>
      <c r="Y73" s="37">
        <f>Inputs!$B$103/12</f>
        <v/>
      </c>
      <c r="Z73" s="37">
        <f>Inputs!$B$103/12</f>
        <v/>
      </c>
      <c r="AA73" s="37">
        <f>Inputs!$B$103/12</f>
        <v/>
      </c>
      <c r="AB73" s="37">
        <f>Inputs!$B$103/12</f>
        <v/>
      </c>
      <c r="AC73" s="37">
        <f>Inputs!$B$103/12</f>
        <v/>
      </c>
      <c r="AD73" s="37">
        <f>Inputs!$B$103/12</f>
        <v/>
      </c>
      <c r="AE73" s="37">
        <f>Inputs!$B$103/12</f>
        <v/>
      </c>
      <c r="AF73" s="37">
        <f>Inputs!$B$103/12</f>
        <v/>
      </c>
      <c r="AG73" s="37">
        <f>Inputs!$B$103/12</f>
        <v/>
      </c>
      <c r="AH73" s="37">
        <f>Inputs!$B$103/12</f>
        <v/>
      </c>
      <c r="AI73" s="37">
        <f>Inputs!$B$103/12</f>
        <v/>
      </c>
      <c r="AJ73" s="37">
        <f>Inputs!$B$103/12</f>
        <v/>
      </c>
      <c r="AK73" s="37">
        <f>Inputs!$B$103/12</f>
        <v/>
      </c>
      <c r="AL73" s="37">
        <f>Inputs!$B$103/12</f>
        <v/>
      </c>
      <c r="AM73" s="37">
        <f>Inputs!$B$103/12</f>
        <v/>
      </c>
      <c r="AN73" s="37">
        <f>Inputs!$B$103/12</f>
        <v/>
      </c>
      <c r="AO73" s="37">
        <f>Inputs!$B$103/12</f>
        <v/>
      </c>
      <c r="AP73" s="37">
        <f>Inputs!$B$103/12</f>
        <v/>
      </c>
      <c r="AQ73" s="37">
        <f>Inputs!$B$103/12</f>
        <v/>
      </c>
      <c r="AR73" s="37">
        <f>Inputs!$B$103/12</f>
        <v/>
      </c>
      <c r="AS73" s="37">
        <f>Inputs!$B$103/12</f>
        <v/>
      </c>
      <c r="AT73" s="37">
        <f>Inputs!$B$103/12</f>
        <v/>
      </c>
      <c r="AU73" s="37">
        <f>Inputs!$B$103/12</f>
        <v/>
      </c>
      <c r="AV73" s="37">
        <f>Inputs!$B$103/12</f>
        <v/>
      </c>
      <c r="AW73" s="37">
        <f>Inputs!$B$103/12</f>
        <v/>
      </c>
      <c r="AX73" s="37">
        <f>Inputs!$B$103/12</f>
        <v/>
      </c>
      <c r="AY73" s="37">
        <f>Inputs!$B$103/12</f>
        <v/>
      </c>
      <c r="AZ73" s="37">
        <f>Inputs!$B$103/12</f>
        <v/>
      </c>
      <c r="BA73" s="37">
        <f>Inputs!$B$103/12</f>
        <v/>
      </c>
    </row>
    <row r="74" ht="14.25" customHeight="1" s="165">
      <c r="A74" s="3" t="inlineStr">
        <is>
          <t>Bankgebühren</t>
        </is>
      </c>
      <c r="B74" s="37">
        <f>Inputs!$B$104</f>
        <v/>
      </c>
      <c r="C74" s="37">
        <f>Inputs!$B$104</f>
        <v/>
      </c>
      <c r="D74" s="37">
        <f>Inputs!$B$104</f>
        <v/>
      </c>
      <c r="E74" s="37">
        <f>Inputs!$B$104</f>
        <v/>
      </c>
      <c r="F74" s="37">
        <f>Inputs!$B$104</f>
        <v/>
      </c>
      <c r="G74" s="37">
        <f>Inputs!$B$104</f>
        <v/>
      </c>
      <c r="H74" s="37">
        <f>Inputs!$B$104</f>
        <v/>
      </c>
      <c r="I74" s="37">
        <f>Inputs!$B$104</f>
        <v/>
      </c>
      <c r="J74" s="37">
        <f>Inputs!$B$104</f>
        <v/>
      </c>
      <c r="K74" s="37">
        <f>Inputs!$B$104</f>
        <v/>
      </c>
      <c r="L74" s="37">
        <f>Inputs!$B$104</f>
        <v/>
      </c>
      <c r="M74" s="37">
        <f>Inputs!$B$104</f>
        <v/>
      </c>
      <c r="N74" s="37">
        <f>Inputs!$B$104</f>
        <v/>
      </c>
      <c r="O74" s="37">
        <f>Inputs!$B$104</f>
        <v/>
      </c>
      <c r="P74" s="37">
        <f>Inputs!$B$104</f>
        <v/>
      </c>
      <c r="Q74" s="37">
        <f>Inputs!$B$104</f>
        <v/>
      </c>
      <c r="R74" s="37">
        <f>Inputs!$B$104</f>
        <v/>
      </c>
      <c r="S74" s="37">
        <f>Inputs!$B$104</f>
        <v/>
      </c>
      <c r="T74" s="37">
        <f>Inputs!$B$104</f>
        <v/>
      </c>
      <c r="U74" s="37">
        <f>Inputs!$B$104</f>
        <v/>
      </c>
      <c r="V74" s="37">
        <f>Inputs!$B$104</f>
        <v/>
      </c>
      <c r="W74" s="37">
        <f>Inputs!$B$104</f>
        <v/>
      </c>
      <c r="X74" s="37">
        <f>Inputs!$B$104</f>
        <v/>
      </c>
      <c r="Y74" s="37">
        <f>Inputs!$B$104</f>
        <v/>
      </c>
      <c r="Z74" s="37">
        <f>Inputs!$B$104</f>
        <v/>
      </c>
      <c r="AA74" s="37">
        <f>Inputs!$B$104</f>
        <v/>
      </c>
      <c r="AB74" s="37">
        <f>Inputs!$B$104</f>
        <v/>
      </c>
      <c r="AC74" s="37">
        <f>Inputs!$B$104</f>
        <v/>
      </c>
      <c r="AD74" s="37">
        <f>Inputs!$B$104</f>
        <v/>
      </c>
      <c r="AE74" s="37">
        <f>Inputs!$B$104</f>
        <v/>
      </c>
      <c r="AF74" s="37">
        <f>Inputs!$B$104</f>
        <v/>
      </c>
      <c r="AG74" s="37">
        <f>Inputs!$B$104</f>
        <v/>
      </c>
      <c r="AH74" s="37">
        <f>Inputs!$B$104</f>
        <v/>
      </c>
      <c r="AI74" s="37">
        <f>Inputs!$B$104</f>
        <v/>
      </c>
      <c r="AJ74" s="37">
        <f>Inputs!$B$104</f>
        <v/>
      </c>
      <c r="AK74" s="37">
        <f>Inputs!$B$104</f>
        <v/>
      </c>
      <c r="AL74" s="37">
        <f>Inputs!$B$104</f>
        <v/>
      </c>
      <c r="AM74" s="37">
        <f>Inputs!$B$104</f>
        <v/>
      </c>
      <c r="AN74" s="37">
        <f>Inputs!$B$104</f>
        <v/>
      </c>
      <c r="AO74" s="37">
        <f>Inputs!$B$104</f>
        <v/>
      </c>
      <c r="AP74" s="37">
        <f>Inputs!$B$104</f>
        <v/>
      </c>
      <c r="AQ74" s="37">
        <f>Inputs!$B$104</f>
        <v/>
      </c>
      <c r="AR74" s="37">
        <f>Inputs!$B$104</f>
        <v/>
      </c>
      <c r="AS74" s="37">
        <f>Inputs!$B$104</f>
        <v/>
      </c>
      <c r="AT74" s="37">
        <f>Inputs!$B$104</f>
        <v/>
      </c>
      <c r="AU74" s="37">
        <f>Inputs!$B$104</f>
        <v/>
      </c>
      <c r="AV74" s="37">
        <f>Inputs!$B$104</f>
        <v/>
      </c>
      <c r="AW74" s="37">
        <f>Inputs!$B$104</f>
        <v/>
      </c>
      <c r="AX74" s="37">
        <f>Inputs!$B$104</f>
        <v/>
      </c>
      <c r="AY74" s="37">
        <f>Inputs!$B$104</f>
        <v/>
      </c>
      <c r="AZ74" s="37">
        <f>Inputs!$B$104</f>
        <v/>
      </c>
      <c r="BA74" s="37">
        <f>Inputs!$B$104</f>
        <v/>
      </c>
    </row>
    <row r="75" ht="14.25" customHeight="1" s="165">
      <c r="A75" s="2" t="inlineStr">
        <is>
          <t>TOTAL VERSICHERUNG &amp; BANK</t>
        </is>
      </c>
      <c r="B75" s="35">
        <f>SUM(B71:B74)</f>
        <v/>
      </c>
      <c r="C75" s="35">
        <f>SUM(C71:C74)</f>
        <v/>
      </c>
      <c r="D75" s="35">
        <f>SUM(D71:D74)</f>
        <v/>
      </c>
      <c r="E75" s="35">
        <f>SUM(E71:E74)</f>
        <v/>
      </c>
      <c r="F75" s="35">
        <f>SUM(F71:F74)</f>
        <v/>
      </c>
      <c r="G75" s="35">
        <f>SUM(G71:G74)</f>
        <v/>
      </c>
      <c r="H75" s="35">
        <f>SUM(H71:H74)</f>
        <v/>
      </c>
      <c r="I75" s="35">
        <f>SUM(I71:I74)</f>
        <v/>
      </c>
      <c r="J75" s="35">
        <f>SUM(J71:J74)</f>
        <v/>
      </c>
      <c r="K75" s="35">
        <f>SUM(K71:K74)</f>
        <v/>
      </c>
      <c r="L75" s="35">
        <f>SUM(L71:L74)</f>
        <v/>
      </c>
      <c r="M75" s="35">
        <f>SUM(M71:M74)</f>
        <v/>
      </c>
      <c r="N75" s="35">
        <f>SUM(N71:N74)</f>
        <v/>
      </c>
      <c r="O75" s="35">
        <f>SUM(O71:O74)</f>
        <v/>
      </c>
      <c r="P75" s="35">
        <f>SUM(P71:P74)</f>
        <v/>
      </c>
      <c r="Q75" s="35">
        <f>SUM(Q71:Q74)</f>
        <v/>
      </c>
      <c r="R75" s="35">
        <f>SUM(R71:R74)</f>
        <v/>
      </c>
      <c r="S75" s="35">
        <f>SUM(S71:S74)</f>
        <v/>
      </c>
      <c r="T75" s="35">
        <f>SUM(T71:T74)</f>
        <v/>
      </c>
      <c r="U75" s="35">
        <f>SUM(U71:U74)</f>
        <v/>
      </c>
      <c r="V75" s="35">
        <f>SUM(V71:V74)</f>
        <v/>
      </c>
      <c r="W75" s="35">
        <f>SUM(W71:W74)</f>
        <v/>
      </c>
      <c r="X75" s="35">
        <f>SUM(X71:X74)</f>
        <v/>
      </c>
      <c r="Y75" s="35">
        <f>SUM(Y71:Y74)</f>
        <v/>
      </c>
      <c r="Z75" s="35">
        <f>SUM(Z71:Z74)</f>
        <v/>
      </c>
      <c r="AA75" s="35">
        <f>SUM(AA71:AA74)</f>
        <v/>
      </c>
      <c r="AB75" s="35">
        <f>SUM(AB71:AB74)</f>
        <v/>
      </c>
      <c r="AC75" s="35">
        <f>SUM(AC71:AC74)</f>
        <v/>
      </c>
      <c r="AD75" s="35">
        <f>SUM(AD71:AD74)</f>
        <v/>
      </c>
      <c r="AE75" s="35">
        <f>SUM(AE71:AE74)</f>
        <v/>
      </c>
      <c r="AF75" s="35">
        <f>SUM(AF71:AF74)</f>
        <v/>
      </c>
      <c r="AG75" s="35">
        <f>SUM(AG71:AG74)</f>
        <v/>
      </c>
      <c r="AH75" s="35">
        <f>SUM(AH71:AH74)</f>
        <v/>
      </c>
      <c r="AI75" s="35">
        <f>SUM(AI71:AI74)</f>
        <v/>
      </c>
      <c r="AJ75" s="35">
        <f>SUM(AJ71:AJ74)</f>
        <v/>
      </c>
      <c r="AK75" s="35">
        <f>SUM(AK71:AK74)</f>
        <v/>
      </c>
      <c r="AL75" s="35">
        <f>SUM(AL71:AL74)</f>
        <v/>
      </c>
      <c r="AM75" s="35">
        <f>SUM(AM71:AM74)</f>
        <v/>
      </c>
      <c r="AN75" s="35">
        <f>SUM(AN71:AN74)</f>
        <v/>
      </c>
      <c r="AO75" s="35">
        <f>SUM(AO71:AO74)</f>
        <v/>
      </c>
      <c r="AP75" s="35">
        <f>SUM(AP71:AP74)</f>
        <v/>
      </c>
      <c r="AQ75" s="35">
        <f>SUM(AQ71:AQ74)</f>
        <v/>
      </c>
      <c r="AR75" s="35">
        <f>SUM(AR71:AR74)</f>
        <v/>
      </c>
      <c r="AS75" s="35">
        <f>SUM(AS71:AS74)</f>
        <v/>
      </c>
      <c r="AT75" s="35">
        <f>SUM(AT71:AT74)</f>
        <v/>
      </c>
      <c r="AU75" s="35">
        <f>SUM(AU71:AU74)</f>
        <v/>
      </c>
      <c r="AV75" s="35">
        <f>SUM(AV71:AV74)</f>
        <v/>
      </c>
      <c r="AW75" s="35">
        <f>SUM(AW71:AW74)</f>
        <v/>
      </c>
      <c r="AX75" s="35">
        <f>SUM(AX71:AX74)</f>
        <v/>
      </c>
      <c r="AY75" s="35">
        <f>SUM(AY71:AY74)</f>
        <v/>
      </c>
      <c r="AZ75" s="35">
        <f>SUM(AZ71:AZ74)</f>
        <v/>
      </c>
      <c r="BA75" s="35">
        <f>SUM(BA71:BA74)</f>
        <v/>
      </c>
    </row>
    <row r="76" ht="14.25" customHeight="1" s="165"/>
    <row r="77" ht="14.25" customHeight="1" s="165">
      <c r="A77" s="2" t="inlineStr">
        <is>
          <t>MARKETING &amp; SALES KOSTEN</t>
        </is>
      </c>
    </row>
    <row r="78" ht="14.25" customHeight="1" s="165">
      <c r="A78" s="3" t="inlineStr">
        <is>
          <t>Paid Advertising</t>
        </is>
      </c>
      <c r="B78" s="37">
        <f>Inputs!$B$108*(1+Inputs!$B$109)^(1-1)</f>
        <v/>
      </c>
      <c r="C78" s="37">
        <f>Inputs!$B$108*(1+Inputs!$B$109)^(2-1)</f>
        <v/>
      </c>
      <c r="D78" s="37">
        <f>Inputs!$B$108*(1+Inputs!$B$109)^(3-1)</f>
        <v/>
      </c>
      <c r="E78" s="37">
        <f>Inputs!$B$108*(1+Inputs!$B$109)^(4-1)</f>
        <v/>
      </c>
      <c r="F78" s="37">
        <f>Inputs!$B$108*(1+Inputs!$B$109)^(5-1)</f>
        <v/>
      </c>
      <c r="G78" s="37">
        <f>Inputs!$B$108*(1+Inputs!$B$109)^(6-1)</f>
        <v/>
      </c>
      <c r="H78" s="37">
        <f>Inputs!$B$108*(1+Inputs!$B$109)^(7-1)</f>
        <v/>
      </c>
      <c r="I78" s="37">
        <f>Inputs!$B$108*(1+Inputs!$B$109)^(8-1)</f>
        <v/>
      </c>
      <c r="J78" s="37">
        <f>Inputs!$B$108*(1+Inputs!$B$109)^(9-1)</f>
        <v/>
      </c>
      <c r="K78" s="37">
        <f>Inputs!$B$108*(1+Inputs!$B$109)^(10-1)</f>
        <v/>
      </c>
      <c r="L78" s="37">
        <f>Inputs!$B$108*(1+Inputs!$B$109)^(11-1)</f>
        <v/>
      </c>
      <c r="M78" s="37">
        <f>Inputs!$B$108*(1+Inputs!$B$109)^(12-1)</f>
        <v/>
      </c>
      <c r="N78" s="37">
        <f>Inputs!$B$108*(1+Inputs!$B$109)^(13-1)</f>
        <v/>
      </c>
      <c r="O78" s="37">
        <f>Inputs!$B$108*(1+Inputs!$B$109)^(14-1)</f>
        <v/>
      </c>
      <c r="P78" s="37">
        <f>Inputs!$B$108*(1+Inputs!$B$109)^(15-1)</f>
        <v/>
      </c>
      <c r="Q78" s="37">
        <f>Inputs!$B$108*(1+Inputs!$B$109)^(16-1)</f>
        <v/>
      </c>
      <c r="R78" s="37">
        <f>Inputs!$B$108*(1+Inputs!$B$109)^(17-1)</f>
        <v/>
      </c>
      <c r="S78" s="37">
        <f>Inputs!$B$108*(1+Inputs!$B$109)^(18-1)</f>
        <v/>
      </c>
      <c r="T78" s="37">
        <f>Inputs!$B$108*(1+Inputs!$B$109)^(19-1)</f>
        <v/>
      </c>
      <c r="U78" s="37">
        <f>Inputs!$B$108*(1+Inputs!$B$109)^(20-1)</f>
        <v/>
      </c>
      <c r="V78" s="37">
        <f>Inputs!$B$108*(1+Inputs!$B$109)^(21-1)</f>
        <v/>
      </c>
      <c r="W78" s="37">
        <f>Inputs!$B$108*(1+Inputs!$B$109)^(22-1)</f>
        <v/>
      </c>
      <c r="X78" s="37">
        <f>Inputs!$B$108*(1+Inputs!$B$109)^(23-1)</f>
        <v/>
      </c>
      <c r="Y78" s="37">
        <f>Inputs!$B$108*(1+Inputs!$B$109)^(24-1)</f>
        <v/>
      </c>
      <c r="Z78" s="37">
        <f>Inputs!$B$108*(1+Inputs!$B$109)^(25-1)</f>
        <v/>
      </c>
      <c r="AA78" s="37">
        <f>Inputs!$B$108*(1+Inputs!$B$109)^(26-1)</f>
        <v/>
      </c>
      <c r="AB78" s="37">
        <f>Inputs!$B$108*(1+Inputs!$B$109)^(27-1)</f>
        <v/>
      </c>
      <c r="AC78" s="37">
        <f>Inputs!$B$108*(1+Inputs!$B$109)^(28-1)</f>
        <v/>
      </c>
      <c r="AD78" s="37">
        <f>Inputs!$B$108*(1+Inputs!$B$109)^(29-1)</f>
        <v/>
      </c>
      <c r="AE78" s="37">
        <f>Inputs!$B$108*(1+Inputs!$B$109)^(30-1)</f>
        <v/>
      </c>
      <c r="AF78" s="37">
        <f>Inputs!$B$108*(1+Inputs!$B$109)^(31-1)</f>
        <v/>
      </c>
      <c r="AG78" s="37">
        <f>Inputs!$B$108*(1+Inputs!$B$109)^(32-1)</f>
        <v/>
      </c>
      <c r="AH78" s="37">
        <f>Inputs!$B$108*(1+Inputs!$B$109)^(33-1)</f>
        <v/>
      </c>
      <c r="AI78" s="37">
        <f>Inputs!$B$108*(1+Inputs!$B$109)^(34-1)</f>
        <v/>
      </c>
      <c r="AJ78" s="37">
        <f>Inputs!$B$108*(1+Inputs!$B$109)^(35-1)</f>
        <v/>
      </c>
      <c r="AK78" s="37">
        <f>Inputs!$B$108*(1+Inputs!$B$109)^(36-1)</f>
        <v/>
      </c>
      <c r="AL78" s="37">
        <f>Inputs!$B$108*(1+Inputs!$B$109)^(37-1)</f>
        <v/>
      </c>
      <c r="AM78" s="37">
        <f>Inputs!$B$108*(1+Inputs!$B$109)^(38-1)</f>
        <v/>
      </c>
      <c r="AN78" s="37">
        <f>Inputs!$B$108*(1+Inputs!$B$109)^(39-1)</f>
        <v/>
      </c>
      <c r="AO78" s="37">
        <f>Inputs!$B$108*(1+Inputs!$B$109)^(40-1)</f>
        <v/>
      </c>
      <c r="AP78" s="37">
        <f>Inputs!$B$108*(1+Inputs!$B$109)^(41-1)</f>
        <v/>
      </c>
      <c r="AQ78" s="37">
        <f>Inputs!$B$108*(1+Inputs!$B$109)^(42-1)</f>
        <v/>
      </c>
      <c r="AR78" s="37">
        <f>Inputs!$B$108*(1+Inputs!$B$109)^(43-1)</f>
        <v/>
      </c>
      <c r="AS78" s="37">
        <f>Inputs!$B$108*(1+Inputs!$B$109)^(44-1)</f>
        <v/>
      </c>
      <c r="AT78" s="37">
        <f>Inputs!$B$108*(1+Inputs!$B$109)^(45-1)</f>
        <v/>
      </c>
      <c r="AU78" s="37">
        <f>Inputs!$B$108*(1+Inputs!$B$109)^(46-1)</f>
        <v/>
      </c>
      <c r="AV78" s="37">
        <f>Inputs!$B$108*(1+Inputs!$B$109)^(47-1)</f>
        <v/>
      </c>
      <c r="AW78" s="37">
        <f>Inputs!$B$108*(1+Inputs!$B$109)^(48-1)</f>
        <v/>
      </c>
      <c r="AX78" s="37">
        <f>Inputs!$B$108*(1+Inputs!$B$109)^(49-1)</f>
        <v/>
      </c>
      <c r="AY78" s="37">
        <f>Inputs!$B$108*(1+Inputs!$B$109)^(50-1)</f>
        <v/>
      </c>
      <c r="AZ78" s="37">
        <f>Inputs!$B$108*(1+Inputs!$B$109)^(51-1)</f>
        <v/>
      </c>
      <c r="BA78" s="37">
        <f>Inputs!$B$108*(1+Inputs!$B$109)^(52-1)</f>
        <v/>
      </c>
    </row>
    <row r="79" ht="14.25" customHeight="1" s="165">
      <c r="A79" s="3" t="inlineStr">
        <is>
          <t>Content &amp; SEO</t>
        </is>
      </c>
      <c r="B79" s="37">
        <f>Inputs!$B$110</f>
        <v/>
      </c>
      <c r="C79" s="37">
        <f>Inputs!$B$110</f>
        <v/>
      </c>
      <c r="D79" s="37">
        <f>Inputs!$B$110</f>
        <v/>
      </c>
      <c r="E79" s="37">
        <f>Inputs!$B$110</f>
        <v/>
      </c>
      <c r="F79" s="37">
        <f>Inputs!$B$110</f>
        <v/>
      </c>
      <c r="G79" s="37">
        <f>Inputs!$B$110</f>
        <v/>
      </c>
      <c r="H79" s="37">
        <f>Inputs!$B$110</f>
        <v/>
      </c>
      <c r="I79" s="37">
        <f>Inputs!$B$110</f>
        <v/>
      </c>
      <c r="J79" s="37">
        <f>Inputs!$B$110</f>
        <v/>
      </c>
      <c r="K79" s="37">
        <f>Inputs!$B$110</f>
        <v/>
      </c>
      <c r="L79" s="37">
        <f>Inputs!$B$110</f>
        <v/>
      </c>
      <c r="M79" s="37">
        <f>Inputs!$B$110</f>
        <v/>
      </c>
      <c r="N79" s="37">
        <f>Inputs!$B$110</f>
        <v/>
      </c>
      <c r="O79" s="37">
        <f>Inputs!$B$110</f>
        <v/>
      </c>
      <c r="P79" s="37">
        <f>Inputs!$B$110</f>
        <v/>
      </c>
      <c r="Q79" s="37">
        <f>Inputs!$B$110</f>
        <v/>
      </c>
      <c r="R79" s="37">
        <f>Inputs!$B$110</f>
        <v/>
      </c>
      <c r="S79" s="37">
        <f>Inputs!$B$110</f>
        <v/>
      </c>
      <c r="T79" s="37">
        <f>Inputs!$B$110</f>
        <v/>
      </c>
      <c r="U79" s="37">
        <f>Inputs!$B$110</f>
        <v/>
      </c>
      <c r="V79" s="37">
        <f>Inputs!$B$110</f>
        <v/>
      </c>
      <c r="W79" s="37">
        <f>Inputs!$B$110</f>
        <v/>
      </c>
      <c r="X79" s="37">
        <f>Inputs!$B$110</f>
        <v/>
      </c>
      <c r="Y79" s="37">
        <f>Inputs!$B$110</f>
        <v/>
      </c>
      <c r="Z79" s="37">
        <f>Inputs!$B$110</f>
        <v/>
      </c>
      <c r="AA79" s="37">
        <f>Inputs!$B$110</f>
        <v/>
      </c>
      <c r="AB79" s="37">
        <f>Inputs!$B$110</f>
        <v/>
      </c>
      <c r="AC79" s="37">
        <f>Inputs!$B$110</f>
        <v/>
      </c>
      <c r="AD79" s="37">
        <f>Inputs!$B$110</f>
        <v/>
      </c>
      <c r="AE79" s="37">
        <f>Inputs!$B$110</f>
        <v/>
      </c>
      <c r="AF79" s="37">
        <f>Inputs!$B$110</f>
        <v/>
      </c>
      <c r="AG79" s="37">
        <f>Inputs!$B$110</f>
        <v/>
      </c>
      <c r="AH79" s="37">
        <f>Inputs!$B$110</f>
        <v/>
      </c>
      <c r="AI79" s="37">
        <f>Inputs!$B$110</f>
        <v/>
      </c>
      <c r="AJ79" s="37">
        <f>Inputs!$B$110</f>
        <v/>
      </c>
      <c r="AK79" s="37">
        <f>Inputs!$B$110</f>
        <v/>
      </c>
      <c r="AL79" s="37">
        <f>Inputs!$B$110</f>
        <v/>
      </c>
      <c r="AM79" s="37">
        <f>Inputs!$B$110</f>
        <v/>
      </c>
      <c r="AN79" s="37">
        <f>Inputs!$B$110</f>
        <v/>
      </c>
      <c r="AO79" s="37">
        <f>Inputs!$B$110</f>
        <v/>
      </c>
      <c r="AP79" s="37">
        <f>Inputs!$B$110</f>
        <v/>
      </c>
      <c r="AQ79" s="37">
        <f>Inputs!$B$110</f>
        <v/>
      </c>
      <c r="AR79" s="37">
        <f>Inputs!$B$110</f>
        <v/>
      </c>
      <c r="AS79" s="37">
        <f>Inputs!$B$110</f>
        <v/>
      </c>
      <c r="AT79" s="37">
        <f>Inputs!$B$110</f>
        <v/>
      </c>
      <c r="AU79" s="37">
        <f>Inputs!$B$110</f>
        <v/>
      </c>
      <c r="AV79" s="37">
        <f>Inputs!$B$110</f>
        <v/>
      </c>
      <c r="AW79" s="37">
        <f>Inputs!$B$110</f>
        <v/>
      </c>
      <c r="AX79" s="37">
        <f>Inputs!$B$110</f>
        <v/>
      </c>
      <c r="AY79" s="37">
        <f>Inputs!$B$110</f>
        <v/>
      </c>
      <c r="AZ79" s="37">
        <f>Inputs!$B$110</f>
        <v/>
      </c>
      <c r="BA79" s="37">
        <f>Inputs!$B$110</f>
        <v/>
      </c>
    </row>
    <row r="80" ht="14.25" customHeight="1" s="165">
      <c r="A80" s="3" t="inlineStr">
        <is>
          <t>Events &amp; Messen</t>
        </is>
      </c>
      <c r="B80" s="37">
        <f>Inputs!$B$115/12</f>
        <v/>
      </c>
      <c r="C80" s="37">
        <f>Inputs!$B$115/12</f>
        <v/>
      </c>
      <c r="D80" s="37">
        <f>Inputs!$B$115/12</f>
        <v/>
      </c>
      <c r="E80" s="37">
        <f>Inputs!$B$115/12</f>
        <v/>
      </c>
      <c r="F80" s="37">
        <f>Inputs!$B$115/12</f>
        <v/>
      </c>
      <c r="G80" s="37">
        <f>Inputs!$B$115/12</f>
        <v/>
      </c>
      <c r="H80" s="37">
        <f>Inputs!$B$115/12</f>
        <v/>
      </c>
      <c r="I80" s="37">
        <f>Inputs!$B$115/12</f>
        <v/>
      </c>
      <c r="J80" s="37">
        <f>Inputs!$B$115/12</f>
        <v/>
      </c>
      <c r="K80" s="37">
        <f>Inputs!$B$115/12</f>
        <v/>
      </c>
      <c r="L80" s="37">
        <f>Inputs!$B$115/12</f>
        <v/>
      </c>
      <c r="M80" s="37">
        <f>Inputs!$B$115/12</f>
        <v/>
      </c>
      <c r="N80" s="37">
        <f>Inputs!$B$115/12</f>
        <v/>
      </c>
      <c r="O80" s="37">
        <f>Inputs!$B$115/12</f>
        <v/>
      </c>
      <c r="P80" s="37">
        <f>Inputs!$B$115/12</f>
        <v/>
      </c>
      <c r="Q80" s="37">
        <f>Inputs!$B$115/12</f>
        <v/>
      </c>
      <c r="R80" s="37">
        <f>Inputs!$B$115/12</f>
        <v/>
      </c>
      <c r="S80" s="37">
        <f>Inputs!$B$115/12</f>
        <v/>
      </c>
      <c r="T80" s="37">
        <f>Inputs!$B$115/12</f>
        <v/>
      </c>
      <c r="U80" s="37">
        <f>Inputs!$B$115/12</f>
        <v/>
      </c>
      <c r="V80" s="37">
        <f>Inputs!$B$115/12</f>
        <v/>
      </c>
      <c r="W80" s="37">
        <f>Inputs!$B$115/12</f>
        <v/>
      </c>
      <c r="X80" s="37">
        <f>Inputs!$B$115/12</f>
        <v/>
      </c>
      <c r="Y80" s="37">
        <f>Inputs!$B$115/12</f>
        <v/>
      </c>
      <c r="Z80" s="37">
        <f>Inputs!$B$115/12</f>
        <v/>
      </c>
      <c r="AA80" s="37">
        <f>Inputs!$B$115/12</f>
        <v/>
      </c>
      <c r="AB80" s="37">
        <f>Inputs!$B$115/12</f>
        <v/>
      </c>
      <c r="AC80" s="37">
        <f>Inputs!$B$115/12</f>
        <v/>
      </c>
      <c r="AD80" s="37">
        <f>Inputs!$B$115/12</f>
        <v/>
      </c>
      <c r="AE80" s="37">
        <f>Inputs!$B$115/12</f>
        <v/>
      </c>
      <c r="AF80" s="37">
        <f>Inputs!$B$115/12</f>
        <v/>
      </c>
      <c r="AG80" s="37">
        <f>Inputs!$B$115/12</f>
        <v/>
      </c>
      <c r="AH80" s="37">
        <f>Inputs!$B$115/12</f>
        <v/>
      </c>
      <c r="AI80" s="37">
        <f>Inputs!$B$115/12</f>
        <v/>
      </c>
      <c r="AJ80" s="37">
        <f>Inputs!$B$115/12</f>
        <v/>
      </c>
      <c r="AK80" s="37">
        <f>Inputs!$B$115/12</f>
        <v/>
      </c>
      <c r="AL80" s="37">
        <f>Inputs!$B$115/12</f>
        <v/>
      </c>
      <c r="AM80" s="37">
        <f>Inputs!$B$115/12</f>
        <v/>
      </c>
      <c r="AN80" s="37">
        <f>Inputs!$B$115/12</f>
        <v/>
      </c>
      <c r="AO80" s="37">
        <f>Inputs!$B$115/12</f>
        <v/>
      </c>
      <c r="AP80" s="37">
        <f>Inputs!$B$115/12</f>
        <v/>
      </c>
      <c r="AQ80" s="37">
        <f>Inputs!$B$115/12</f>
        <v/>
      </c>
      <c r="AR80" s="37">
        <f>Inputs!$B$115/12</f>
        <v/>
      </c>
      <c r="AS80" s="37">
        <f>Inputs!$B$115/12</f>
        <v/>
      </c>
      <c r="AT80" s="37">
        <f>Inputs!$B$115/12</f>
        <v/>
      </c>
      <c r="AU80" s="37">
        <f>Inputs!$B$115/12</f>
        <v/>
      </c>
      <c r="AV80" s="37">
        <f>Inputs!$B$115/12</f>
        <v/>
      </c>
      <c r="AW80" s="37">
        <f>Inputs!$B$115/12</f>
        <v/>
      </c>
      <c r="AX80" s="37">
        <f>Inputs!$B$115/12</f>
        <v/>
      </c>
      <c r="AY80" s="37">
        <f>Inputs!$B$115/12</f>
        <v/>
      </c>
      <c r="AZ80" s="37">
        <f>Inputs!$B$115/12</f>
        <v/>
      </c>
      <c r="BA80" s="37">
        <f>Inputs!$B$115/12</f>
        <v/>
      </c>
    </row>
    <row r="81" ht="14.25" customHeight="1" s="165">
      <c r="A81" s="3" t="inlineStr">
        <is>
          <t>Sales Tools</t>
        </is>
      </c>
      <c r="B81" s="37">
        <f>Inputs!$B$116</f>
        <v/>
      </c>
      <c r="C81" s="37">
        <f>Inputs!$B$116</f>
        <v/>
      </c>
      <c r="D81" s="37">
        <f>Inputs!$B$116</f>
        <v/>
      </c>
      <c r="E81" s="37">
        <f>Inputs!$B$116</f>
        <v/>
      </c>
      <c r="F81" s="37">
        <f>Inputs!$B$116</f>
        <v/>
      </c>
      <c r="G81" s="37">
        <f>Inputs!$B$116</f>
        <v/>
      </c>
      <c r="H81" s="37">
        <f>Inputs!$B$116</f>
        <v/>
      </c>
      <c r="I81" s="37">
        <f>Inputs!$B$116</f>
        <v/>
      </c>
      <c r="J81" s="37">
        <f>Inputs!$B$116</f>
        <v/>
      </c>
      <c r="K81" s="37">
        <f>Inputs!$B$116</f>
        <v/>
      </c>
      <c r="L81" s="37">
        <f>Inputs!$B$116</f>
        <v/>
      </c>
      <c r="M81" s="37">
        <f>Inputs!$B$116</f>
        <v/>
      </c>
      <c r="N81" s="37">
        <f>Inputs!$B$116</f>
        <v/>
      </c>
      <c r="O81" s="37">
        <f>Inputs!$B$116</f>
        <v/>
      </c>
      <c r="P81" s="37">
        <f>Inputs!$B$116</f>
        <v/>
      </c>
      <c r="Q81" s="37">
        <f>Inputs!$B$116</f>
        <v/>
      </c>
      <c r="R81" s="37">
        <f>Inputs!$B$116</f>
        <v/>
      </c>
      <c r="S81" s="37">
        <f>Inputs!$B$116</f>
        <v/>
      </c>
      <c r="T81" s="37">
        <f>Inputs!$B$116</f>
        <v/>
      </c>
      <c r="U81" s="37">
        <f>Inputs!$B$116</f>
        <v/>
      </c>
      <c r="V81" s="37">
        <f>Inputs!$B$116</f>
        <v/>
      </c>
      <c r="W81" s="37">
        <f>Inputs!$B$116</f>
        <v/>
      </c>
      <c r="X81" s="37">
        <f>Inputs!$B$116</f>
        <v/>
      </c>
      <c r="Y81" s="37">
        <f>Inputs!$B$116</f>
        <v/>
      </c>
      <c r="Z81" s="37">
        <f>Inputs!$B$116</f>
        <v/>
      </c>
      <c r="AA81" s="37">
        <f>Inputs!$B$116</f>
        <v/>
      </c>
      <c r="AB81" s="37">
        <f>Inputs!$B$116</f>
        <v/>
      </c>
      <c r="AC81" s="37">
        <f>Inputs!$B$116</f>
        <v/>
      </c>
      <c r="AD81" s="37">
        <f>Inputs!$B$116</f>
        <v/>
      </c>
      <c r="AE81" s="37">
        <f>Inputs!$B$116</f>
        <v/>
      </c>
      <c r="AF81" s="37">
        <f>Inputs!$B$116</f>
        <v/>
      </c>
      <c r="AG81" s="37">
        <f>Inputs!$B$116</f>
        <v/>
      </c>
      <c r="AH81" s="37">
        <f>Inputs!$B$116</f>
        <v/>
      </c>
      <c r="AI81" s="37">
        <f>Inputs!$B$116</f>
        <v/>
      </c>
      <c r="AJ81" s="37">
        <f>Inputs!$B$116</f>
        <v/>
      </c>
      <c r="AK81" s="37">
        <f>Inputs!$B$116</f>
        <v/>
      </c>
      <c r="AL81" s="37">
        <f>Inputs!$B$116</f>
        <v/>
      </c>
      <c r="AM81" s="37">
        <f>Inputs!$B$116</f>
        <v/>
      </c>
      <c r="AN81" s="37">
        <f>Inputs!$B$116</f>
        <v/>
      </c>
      <c r="AO81" s="37">
        <f>Inputs!$B$116</f>
        <v/>
      </c>
      <c r="AP81" s="37">
        <f>Inputs!$B$116</f>
        <v/>
      </c>
      <c r="AQ81" s="37">
        <f>Inputs!$B$116</f>
        <v/>
      </c>
      <c r="AR81" s="37">
        <f>Inputs!$B$116</f>
        <v/>
      </c>
      <c r="AS81" s="37">
        <f>Inputs!$B$116</f>
        <v/>
      </c>
      <c r="AT81" s="37">
        <f>Inputs!$B$116</f>
        <v/>
      </c>
      <c r="AU81" s="37">
        <f>Inputs!$B$116</f>
        <v/>
      </c>
      <c r="AV81" s="37">
        <f>Inputs!$B$116</f>
        <v/>
      </c>
      <c r="AW81" s="37">
        <f>Inputs!$B$116</f>
        <v/>
      </c>
      <c r="AX81" s="37">
        <f>Inputs!$B$116</f>
        <v/>
      </c>
      <c r="AY81" s="37">
        <f>Inputs!$B$116</f>
        <v/>
      </c>
      <c r="AZ81" s="37">
        <f>Inputs!$B$116</f>
        <v/>
      </c>
      <c r="BA81" s="37">
        <f>Inputs!$B$116</f>
        <v/>
      </c>
    </row>
    <row r="82" ht="14.25" customHeight="1" s="165">
      <c r="A82" s="3" t="inlineStr">
        <is>
          <t>Sales Provisionen</t>
        </is>
      </c>
      <c r="B82" s="34">
        <f>Revenue!B24/12*Inputs!$B$117</f>
        <v/>
      </c>
      <c r="C82" s="34">
        <f>Revenue!C24/12*Inputs!$B$117</f>
        <v/>
      </c>
      <c r="D82" s="34">
        <f>Revenue!D24/12*Inputs!$B$117</f>
        <v/>
      </c>
      <c r="E82" s="34">
        <f>Revenue!E24/12*Inputs!$B$117</f>
        <v/>
      </c>
      <c r="F82" s="34">
        <f>Revenue!F24/12*Inputs!$B$117</f>
        <v/>
      </c>
      <c r="G82" s="34">
        <f>Revenue!G24/12*Inputs!$B$117</f>
        <v/>
      </c>
      <c r="H82" s="34">
        <f>Revenue!H24/12*Inputs!$B$117</f>
        <v/>
      </c>
      <c r="I82" s="34">
        <f>Revenue!I24/12*Inputs!$B$117</f>
        <v/>
      </c>
      <c r="J82" s="34">
        <f>Revenue!J24/12*Inputs!$B$117</f>
        <v/>
      </c>
      <c r="K82" s="34">
        <f>Revenue!K24/12*Inputs!$B$117</f>
        <v/>
      </c>
      <c r="L82" s="34">
        <f>Revenue!L24/12*Inputs!$B$117</f>
        <v/>
      </c>
      <c r="M82" s="34">
        <f>Revenue!M24/12*Inputs!$B$117</f>
        <v/>
      </c>
      <c r="N82" s="34">
        <f>Revenue!N24/12*Inputs!$B$117</f>
        <v/>
      </c>
      <c r="O82" s="34">
        <f>Revenue!O24/12*Inputs!$B$117</f>
        <v/>
      </c>
      <c r="P82" s="34">
        <f>Revenue!P24/12*Inputs!$B$117</f>
        <v/>
      </c>
      <c r="Q82" s="34">
        <f>Revenue!Q24/12*Inputs!$B$117</f>
        <v/>
      </c>
      <c r="R82" s="34">
        <f>Revenue!R24/12*Inputs!$B$117</f>
        <v/>
      </c>
      <c r="S82" s="34">
        <f>Revenue!S24/12*Inputs!$B$117</f>
        <v/>
      </c>
      <c r="T82" s="34">
        <f>Revenue!T24/12*Inputs!$B$117</f>
        <v/>
      </c>
      <c r="U82" s="34">
        <f>Revenue!U24/12*Inputs!$B$117</f>
        <v/>
      </c>
      <c r="V82" s="34">
        <f>Revenue!V24/12*Inputs!$B$117</f>
        <v/>
      </c>
      <c r="W82" s="34">
        <f>Revenue!W24/12*Inputs!$B$117</f>
        <v/>
      </c>
      <c r="X82" s="34">
        <f>Revenue!X24/12*Inputs!$B$117</f>
        <v/>
      </c>
      <c r="Y82" s="34">
        <f>Revenue!Y24/12*Inputs!$B$117</f>
        <v/>
      </c>
      <c r="Z82" s="34">
        <f>Revenue!Z24/12*Inputs!$B$117</f>
        <v/>
      </c>
      <c r="AA82" s="34">
        <f>Revenue!AA24/12*Inputs!$B$117</f>
        <v/>
      </c>
      <c r="AB82" s="34">
        <f>Revenue!AB24/12*Inputs!$B$117</f>
        <v/>
      </c>
      <c r="AC82" s="34">
        <f>Revenue!AC24/12*Inputs!$B$117</f>
        <v/>
      </c>
      <c r="AD82" s="34">
        <f>Revenue!AD24/12*Inputs!$B$117</f>
        <v/>
      </c>
      <c r="AE82" s="34">
        <f>Revenue!AE24/12*Inputs!$B$117</f>
        <v/>
      </c>
      <c r="AF82" s="34">
        <f>Revenue!AF24/12*Inputs!$B$117</f>
        <v/>
      </c>
      <c r="AG82" s="34">
        <f>Revenue!AG24/12*Inputs!$B$117</f>
        <v/>
      </c>
      <c r="AH82" s="34">
        <f>Revenue!AH24/12*Inputs!$B$117</f>
        <v/>
      </c>
      <c r="AI82" s="34">
        <f>Revenue!AI24/12*Inputs!$B$117</f>
        <v/>
      </c>
      <c r="AJ82" s="34">
        <f>Revenue!AJ24/12*Inputs!$B$117</f>
        <v/>
      </c>
      <c r="AK82" s="34">
        <f>Revenue!AK24/12*Inputs!$B$117</f>
        <v/>
      </c>
      <c r="AL82" s="34">
        <f>Revenue!AL24/12*Inputs!$B$117</f>
        <v/>
      </c>
      <c r="AM82" s="34">
        <f>Revenue!AM24/12*Inputs!$B$117</f>
        <v/>
      </c>
      <c r="AN82" s="34">
        <f>Revenue!AN24/12*Inputs!$B$117</f>
        <v/>
      </c>
      <c r="AO82" s="34">
        <f>Revenue!AO24/12*Inputs!$B$117</f>
        <v/>
      </c>
      <c r="AP82" s="34">
        <f>Revenue!AP24/12*Inputs!$B$117</f>
        <v/>
      </c>
      <c r="AQ82" s="34">
        <f>Revenue!AQ24/12*Inputs!$B$117</f>
        <v/>
      </c>
      <c r="AR82" s="34">
        <f>Revenue!AR24/12*Inputs!$B$117</f>
        <v/>
      </c>
      <c r="AS82" s="34">
        <f>Revenue!AS24/12*Inputs!$B$117</f>
        <v/>
      </c>
      <c r="AT82" s="34">
        <f>Revenue!AT24/12*Inputs!$B$117</f>
        <v/>
      </c>
      <c r="AU82" s="34">
        <f>Revenue!AU24/12*Inputs!$B$117</f>
        <v/>
      </c>
      <c r="AV82" s="34">
        <f>Revenue!AV24/12*Inputs!$B$117</f>
        <v/>
      </c>
      <c r="AW82" s="34">
        <f>Revenue!AW24/12*Inputs!$B$117</f>
        <v/>
      </c>
      <c r="AX82" s="34">
        <f>Revenue!AX24/12*Inputs!$B$117</f>
        <v/>
      </c>
      <c r="AY82" s="34">
        <f>Revenue!AY24/12*Inputs!$B$117</f>
        <v/>
      </c>
      <c r="AZ82" s="34">
        <f>Revenue!AZ24/12*Inputs!$B$117</f>
        <v/>
      </c>
      <c r="BA82" s="34">
        <f>Revenue!BA24/12*Inputs!$B$117</f>
        <v/>
      </c>
    </row>
    <row r="83" ht="14.25" customHeight="1" s="165">
      <c r="A83" s="3" t="inlineStr">
        <is>
          <t>Reisekosten Sales</t>
        </is>
      </c>
      <c r="B83" s="37">
        <f>(B13+B14+B15)*Inputs!$B$118</f>
        <v/>
      </c>
      <c r="C83" s="37">
        <f>(C13+C14+C15)*Inputs!$B$118</f>
        <v/>
      </c>
      <c r="D83" s="37">
        <f>(D13+D14+D15)*Inputs!$B$118</f>
        <v/>
      </c>
      <c r="E83" s="37">
        <f>(E13+E14+E15)*Inputs!$B$118</f>
        <v/>
      </c>
      <c r="F83" s="37">
        <f>(F13+F14+F15)*Inputs!$B$118</f>
        <v/>
      </c>
      <c r="G83" s="37">
        <f>(G13+G14+G15)*Inputs!$B$118</f>
        <v/>
      </c>
      <c r="H83" s="37">
        <f>(H13+H14+H15)*Inputs!$B$118</f>
        <v/>
      </c>
      <c r="I83" s="37">
        <f>(I13+I14+I15)*Inputs!$B$118</f>
        <v/>
      </c>
      <c r="J83" s="37">
        <f>(J13+J14+J15)*Inputs!$B$118</f>
        <v/>
      </c>
      <c r="K83" s="37">
        <f>(K13+K14+K15)*Inputs!$B$118</f>
        <v/>
      </c>
      <c r="L83" s="37">
        <f>(L13+L14+L15)*Inputs!$B$118</f>
        <v/>
      </c>
      <c r="M83" s="37">
        <f>(M13+M14+M15)*Inputs!$B$118</f>
        <v/>
      </c>
      <c r="N83" s="37">
        <f>(N13+N14+N15)*Inputs!$B$118</f>
        <v/>
      </c>
      <c r="O83" s="37">
        <f>(O13+O14+O15)*Inputs!$B$118</f>
        <v/>
      </c>
      <c r="P83" s="37">
        <f>(P13+P14+P15)*Inputs!$B$118</f>
        <v/>
      </c>
      <c r="Q83" s="37">
        <f>(Q13+Q14+Q15)*Inputs!$B$118</f>
        <v/>
      </c>
      <c r="R83" s="37">
        <f>(R13+R14+R15)*Inputs!$B$118</f>
        <v/>
      </c>
      <c r="S83" s="37">
        <f>(S13+S14+S15)*Inputs!$B$118</f>
        <v/>
      </c>
      <c r="T83" s="37">
        <f>(T13+T14+T15)*Inputs!$B$118</f>
        <v/>
      </c>
      <c r="U83" s="37">
        <f>(U13+U14+U15)*Inputs!$B$118</f>
        <v/>
      </c>
      <c r="V83" s="37">
        <f>(V13+V14+V15)*Inputs!$B$118</f>
        <v/>
      </c>
      <c r="W83" s="37">
        <f>(W13+W14+W15)*Inputs!$B$118</f>
        <v/>
      </c>
      <c r="X83" s="37">
        <f>(X13+X14+X15)*Inputs!$B$118</f>
        <v/>
      </c>
      <c r="Y83" s="37">
        <f>(Y13+Y14+Y15)*Inputs!$B$118</f>
        <v/>
      </c>
      <c r="Z83" s="37">
        <f>(Z13+Z14+Z15)*Inputs!$B$118</f>
        <v/>
      </c>
      <c r="AA83" s="37">
        <f>(AA13+AA14+AA15)*Inputs!$B$118</f>
        <v/>
      </c>
      <c r="AB83" s="37">
        <f>(AB13+AB14+AB15)*Inputs!$B$118</f>
        <v/>
      </c>
      <c r="AC83" s="37">
        <f>(AC13+AC14+AC15)*Inputs!$B$118</f>
        <v/>
      </c>
      <c r="AD83" s="37">
        <f>(AD13+AD14+AD15)*Inputs!$B$118</f>
        <v/>
      </c>
      <c r="AE83" s="37">
        <f>(AE13+AE14+AE15)*Inputs!$B$118</f>
        <v/>
      </c>
      <c r="AF83" s="37">
        <f>(AF13+AF14+AF15)*Inputs!$B$118</f>
        <v/>
      </c>
      <c r="AG83" s="37">
        <f>(AG13+AG14+AG15)*Inputs!$B$118</f>
        <v/>
      </c>
      <c r="AH83" s="37">
        <f>(AH13+AH14+AH15)*Inputs!$B$118</f>
        <v/>
      </c>
      <c r="AI83" s="37">
        <f>(AI13+AI14+AI15)*Inputs!$B$118</f>
        <v/>
      </c>
      <c r="AJ83" s="37">
        <f>(AJ13+AJ14+AJ15)*Inputs!$B$118</f>
        <v/>
      </c>
      <c r="AK83" s="37">
        <f>(AK13+AK14+AK15)*Inputs!$B$118</f>
        <v/>
      </c>
      <c r="AL83" s="37">
        <f>(AL13+AL14+AL15)*Inputs!$B$118</f>
        <v/>
      </c>
      <c r="AM83" s="37">
        <f>(AM13+AM14+AM15)*Inputs!$B$118</f>
        <v/>
      </c>
      <c r="AN83" s="37">
        <f>(AN13+AN14+AN15)*Inputs!$B$118</f>
        <v/>
      </c>
      <c r="AO83" s="37">
        <f>(AO13+AO14+AO15)*Inputs!$B$118</f>
        <v/>
      </c>
      <c r="AP83" s="37">
        <f>(AP13+AP14+AP15)*Inputs!$B$118</f>
        <v/>
      </c>
      <c r="AQ83" s="37">
        <f>(AQ13+AQ14+AQ15)*Inputs!$B$118</f>
        <v/>
      </c>
      <c r="AR83" s="37">
        <f>(AR13+AR14+AR15)*Inputs!$B$118</f>
        <v/>
      </c>
      <c r="AS83" s="37">
        <f>(AS13+AS14+AS15)*Inputs!$B$118</f>
        <v/>
      </c>
      <c r="AT83" s="37">
        <f>(AT13+AT14+AT15)*Inputs!$B$118</f>
        <v/>
      </c>
      <c r="AU83" s="37">
        <f>(AU13+AU14+AU15)*Inputs!$B$118</f>
        <v/>
      </c>
      <c r="AV83" s="37">
        <f>(AV13+AV14+AV15)*Inputs!$B$118</f>
        <v/>
      </c>
      <c r="AW83" s="37">
        <f>(AW13+AW14+AW15)*Inputs!$B$118</f>
        <v/>
      </c>
      <c r="AX83" s="37">
        <f>(AX13+AX14+AX15)*Inputs!$B$118</f>
        <v/>
      </c>
      <c r="AY83" s="37">
        <f>(AY13+AY14+AY15)*Inputs!$B$118</f>
        <v/>
      </c>
      <c r="AZ83" s="37">
        <f>(AZ13+AZ14+AZ15)*Inputs!$B$118</f>
        <v/>
      </c>
      <c r="BA83" s="37">
        <f>(BA13+BA14+BA15)*Inputs!$B$118</f>
        <v/>
      </c>
    </row>
    <row r="84" ht="14.25" customHeight="1" s="165">
      <c r="A84" s="2" t="inlineStr">
        <is>
          <t>TOTAL MARKETING &amp; SALES</t>
        </is>
      </c>
      <c r="B84" s="35">
        <f>SUM(B78:B83)</f>
        <v/>
      </c>
      <c r="C84" s="35">
        <f>SUM(C78:C83)</f>
        <v/>
      </c>
      <c r="D84" s="35">
        <f>SUM(D78:D83)</f>
        <v/>
      </c>
      <c r="E84" s="35">
        <f>SUM(E78:E83)</f>
        <v/>
      </c>
      <c r="F84" s="35">
        <f>SUM(F78:F83)</f>
        <v/>
      </c>
      <c r="G84" s="35">
        <f>SUM(G78:G83)</f>
        <v/>
      </c>
      <c r="H84" s="35">
        <f>SUM(H78:H83)</f>
        <v/>
      </c>
      <c r="I84" s="35">
        <f>SUM(I78:I83)</f>
        <v/>
      </c>
      <c r="J84" s="35">
        <f>SUM(J78:J83)</f>
        <v/>
      </c>
      <c r="K84" s="35">
        <f>SUM(K78:K83)</f>
        <v/>
      </c>
      <c r="L84" s="35">
        <f>SUM(L78:L83)</f>
        <v/>
      </c>
      <c r="M84" s="35">
        <f>SUM(M78:M83)</f>
        <v/>
      </c>
      <c r="N84" s="35">
        <f>SUM(N78:N83)</f>
        <v/>
      </c>
      <c r="O84" s="35">
        <f>SUM(O78:O83)</f>
        <v/>
      </c>
      <c r="P84" s="35">
        <f>SUM(P78:P83)</f>
        <v/>
      </c>
      <c r="Q84" s="35">
        <f>SUM(Q78:Q83)</f>
        <v/>
      </c>
      <c r="R84" s="35">
        <f>SUM(R78:R83)</f>
        <v/>
      </c>
      <c r="S84" s="35">
        <f>SUM(S78:S83)</f>
        <v/>
      </c>
      <c r="T84" s="35">
        <f>SUM(T78:T83)</f>
        <v/>
      </c>
      <c r="U84" s="35">
        <f>SUM(U78:U83)</f>
        <v/>
      </c>
      <c r="V84" s="35">
        <f>SUM(V78:V83)</f>
        <v/>
      </c>
      <c r="W84" s="35">
        <f>SUM(W78:W83)</f>
        <v/>
      </c>
      <c r="X84" s="35">
        <f>SUM(X78:X83)</f>
        <v/>
      </c>
      <c r="Y84" s="35">
        <f>SUM(Y78:Y83)</f>
        <v/>
      </c>
      <c r="Z84" s="35">
        <f>SUM(Z78:Z83)</f>
        <v/>
      </c>
      <c r="AA84" s="35">
        <f>SUM(AA78:AA83)</f>
        <v/>
      </c>
      <c r="AB84" s="35">
        <f>SUM(AB78:AB83)</f>
        <v/>
      </c>
      <c r="AC84" s="35">
        <f>SUM(AC78:AC83)</f>
        <v/>
      </c>
      <c r="AD84" s="35">
        <f>SUM(AD78:AD83)</f>
        <v/>
      </c>
      <c r="AE84" s="35">
        <f>SUM(AE78:AE83)</f>
        <v/>
      </c>
      <c r="AF84" s="35">
        <f>SUM(AF78:AF83)</f>
        <v/>
      </c>
      <c r="AG84" s="35">
        <f>SUM(AG78:AG83)</f>
        <v/>
      </c>
      <c r="AH84" s="35">
        <f>SUM(AH78:AH83)</f>
        <v/>
      </c>
      <c r="AI84" s="35">
        <f>SUM(AI78:AI83)</f>
        <v/>
      </c>
      <c r="AJ84" s="35">
        <f>SUM(AJ78:AJ83)</f>
        <v/>
      </c>
      <c r="AK84" s="35">
        <f>SUM(AK78:AK83)</f>
        <v/>
      </c>
      <c r="AL84" s="35">
        <f>SUM(AL78:AL83)</f>
        <v/>
      </c>
      <c r="AM84" s="35">
        <f>SUM(AM78:AM83)</f>
        <v/>
      </c>
      <c r="AN84" s="35">
        <f>SUM(AN78:AN83)</f>
        <v/>
      </c>
      <c r="AO84" s="35">
        <f>SUM(AO78:AO83)</f>
        <v/>
      </c>
      <c r="AP84" s="35">
        <f>SUM(AP78:AP83)</f>
        <v/>
      </c>
      <c r="AQ84" s="35">
        <f>SUM(AQ78:AQ83)</f>
        <v/>
      </c>
      <c r="AR84" s="35">
        <f>SUM(AR78:AR83)</f>
        <v/>
      </c>
      <c r="AS84" s="35">
        <f>SUM(AS78:AS83)</f>
        <v/>
      </c>
      <c r="AT84" s="35">
        <f>SUM(AT78:AT83)</f>
        <v/>
      </c>
      <c r="AU84" s="35">
        <f>SUM(AU78:AU83)</f>
        <v/>
      </c>
      <c r="AV84" s="35">
        <f>SUM(AV78:AV83)</f>
        <v/>
      </c>
      <c r="AW84" s="35">
        <f>SUM(AW78:AW83)</f>
        <v/>
      </c>
      <c r="AX84" s="35">
        <f>SUM(AX78:AX83)</f>
        <v/>
      </c>
      <c r="AY84" s="35">
        <f>SUM(AY78:AY83)</f>
        <v/>
      </c>
      <c r="AZ84" s="35">
        <f>SUM(AZ78:AZ83)</f>
        <v/>
      </c>
      <c r="BA84" s="35">
        <f>SUM(BA78:BA83)</f>
        <v/>
      </c>
    </row>
    <row r="85" ht="14.25" customHeight="1" s="165"/>
    <row r="86" ht="14.25" customHeight="1" s="165">
      <c r="A86" s="2" t="inlineStr">
        <is>
          <t>SONSTIGE KOSTEN</t>
        </is>
      </c>
    </row>
    <row r="87" ht="14.25" customHeight="1" s="165">
      <c r="A87" s="3" t="inlineStr">
        <is>
          <t>Reisekosten allgemein</t>
        </is>
      </c>
      <c r="B87" s="37">
        <f>B22*Inputs!$B$121/12</f>
        <v/>
      </c>
      <c r="C87" s="37">
        <f>C22*Inputs!$B$121/12</f>
        <v/>
      </c>
      <c r="D87" s="37">
        <f>D22*Inputs!$B$121/12</f>
        <v/>
      </c>
      <c r="E87" s="37">
        <f>E22*Inputs!$B$121/12</f>
        <v/>
      </c>
      <c r="F87" s="37">
        <f>F22*Inputs!$B$121/12</f>
        <v/>
      </c>
      <c r="G87" s="37">
        <f>G22*Inputs!$B$121/12</f>
        <v/>
      </c>
      <c r="H87" s="37">
        <f>H22*Inputs!$B$121/12</f>
        <v/>
      </c>
      <c r="I87" s="37">
        <f>I22*Inputs!$B$121/12</f>
        <v/>
      </c>
      <c r="J87" s="37">
        <f>J22*Inputs!$B$121/12</f>
        <v/>
      </c>
      <c r="K87" s="37">
        <f>K22*Inputs!$B$121/12</f>
        <v/>
      </c>
      <c r="L87" s="37">
        <f>L22*Inputs!$B$121/12</f>
        <v/>
      </c>
      <c r="M87" s="37">
        <f>M22*Inputs!$B$121/12</f>
        <v/>
      </c>
      <c r="N87" s="37">
        <f>N22*Inputs!$B$121/12</f>
        <v/>
      </c>
      <c r="O87" s="37">
        <f>O22*Inputs!$B$121/12</f>
        <v/>
      </c>
      <c r="P87" s="37">
        <f>P22*Inputs!$B$121/12</f>
        <v/>
      </c>
      <c r="Q87" s="37">
        <f>Q22*Inputs!$B$121/12</f>
        <v/>
      </c>
      <c r="R87" s="37">
        <f>R22*Inputs!$B$121/12</f>
        <v/>
      </c>
      <c r="S87" s="37">
        <f>S22*Inputs!$B$121/12</f>
        <v/>
      </c>
      <c r="T87" s="37">
        <f>T22*Inputs!$B$121/12</f>
        <v/>
      </c>
      <c r="U87" s="37">
        <f>U22*Inputs!$B$121/12</f>
        <v/>
      </c>
      <c r="V87" s="37">
        <f>V22*Inputs!$B$121/12</f>
        <v/>
      </c>
      <c r="W87" s="37">
        <f>W22*Inputs!$B$121/12</f>
        <v/>
      </c>
      <c r="X87" s="37">
        <f>X22*Inputs!$B$121/12</f>
        <v/>
      </c>
      <c r="Y87" s="37">
        <f>Y22*Inputs!$B$121/12</f>
        <v/>
      </c>
      <c r="Z87" s="37">
        <f>Z22*Inputs!$B$121/12</f>
        <v/>
      </c>
      <c r="AA87" s="37">
        <f>AA22*Inputs!$B$121/12</f>
        <v/>
      </c>
      <c r="AB87" s="37">
        <f>AB22*Inputs!$B$121/12</f>
        <v/>
      </c>
      <c r="AC87" s="37">
        <f>AC22*Inputs!$B$121/12</f>
        <v/>
      </c>
      <c r="AD87" s="37">
        <f>AD22*Inputs!$B$121/12</f>
        <v/>
      </c>
      <c r="AE87" s="37">
        <f>AE22*Inputs!$B$121/12</f>
        <v/>
      </c>
      <c r="AF87" s="37">
        <f>AF22*Inputs!$B$121/12</f>
        <v/>
      </c>
      <c r="AG87" s="37">
        <f>AG22*Inputs!$B$121/12</f>
        <v/>
      </c>
      <c r="AH87" s="37">
        <f>AH22*Inputs!$B$121/12</f>
        <v/>
      </c>
      <c r="AI87" s="37">
        <f>AI22*Inputs!$B$121/12</f>
        <v/>
      </c>
      <c r="AJ87" s="37">
        <f>AJ22*Inputs!$B$121/12</f>
        <v/>
      </c>
      <c r="AK87" s="37">
        <f>AK22*Inputs!$B$121/12</f>
        <v/>
      </c>
      <c r="AL87" s="37">
        <f>AL22*Inputs!$B$121/12</f>
        <v/>
      </c>
      <c r="AM87" s="37">
        <f>AM22*Inputs!$B$121/12</f>
        <v/>
      </c>
      <c r="AN87" s="37">
        <f>AN22*Inputs!$B$121/12</f>
        <v/>
      </c>
      <c r="AO87" s="37">
        <f>AO22*Inputs!$B$121/12</f>
        <v/>
      </c>
      <c r="AP87" s="37">
        <f>AP22*Inputs!$B$121/12</f>
        <v/>
      </c>
      <c r="AQ87" s="37">
        <f>AQ22*Inputs!$B$121/12</f>
        <v/>
      </c>
      <c r="AR87" s="37">
        <f>AR22*Inputs!$B$121/12</f>
        <v/>
      </c>
      <c r="AS87" s="37">
        <f>AS22*Inputs!$B$121/12</f>
        <v/>
      </c>
      <c r="AT87" s="37">
        <f>AT22*Inputs!$B$121/12</f>
        <v/>
      </c>
      <c r="AU87" s="37">
        <f>AU22*Inputs!$B$121/12</f>
        <v/>
      </c>
      <c r="AV87" s="37">
        <f>AV22*Inputs!$B$121/12</f>
        <v/>
      </c>
      <c r="AW87" s="37">
        <f>AW22*Inputs!$B$121/12</f>
        <v/>
      </c>
      <c r="AX87" s="37">
        <f>AX22*Inputs!$B$121/12</f>
        <v/>
      </c>
      <c r="AY87" s="37">
        <f>AY22*Inputs!$B$121/12</f>
        <v/>
      </c>
      <c r="AZ87" s="37">
        <f>AZ22*Inputs!$B$121/12</f>
        <v/>
      </c>
      <c r="BA87" s="37">
        <f>BA22*Inputs!$B$121/12</f>
        <v/>
      </c>
    </row>
    <row r="88" ht="14.25" customHeight="1" s="165">
      <c r="A88" s="3" t="inlineStr">
        <is>
          <t>Weiterbildung</t>
        </is>
      </c>
      <c r="B88" s="37">
        <f>B22*Inputs!$B$122/12</f>
        <v/>
      </c>
      <c r="C88" s="37">
        <f>C22*Inputs!$B$122/12</f>
        <v/>
      </c>
      <c r="D88" s="37">
        <f>D22*Inputs!$B$122/12</f>
        <v/>
      </c>
      <c r="E88" s="37">
        <f>E22*Inputs!$B$122/12</f>
        <v/>
      </c>
      <c r="F88" s="37">
        <f>F22*Inputs!$B$122/12</f>
        <v/>
      </c>
      <c r="G88" s="37">
        <f>G22*Inputs!$B$122/12</f>
        <v/>
      </c>
      <c r="H88" s="37">
        <f>H22*Inputs!$B$122/12</f>
        <v/>
      </c>
      <c r="I88" s="37">
        <f>I22*Inputs!$B$122/12</f>
        <v/>
      </c>
      <c r="J88" s="37">
        <f>J22*Inputs!$B$122/12</f>
        <v/>
      </c>
      <c r="K88" s="37">
        <f>K22*Inputs!$B$122/12</f>
        <v/>
      </c>
      <c r="L88" s="37">
        <f>L22*Inputs!$B$122/12</f>
        <v/>
      </c>
      <c r="M88" s="37">
        <f>M22*Inputs!$B$122/12</f>
        <v/>
      </c>
      <c r="N88" s="37">
        <f>N22*Inputs!$B$122/12</f>
        <v/>
      </c>
      <c r="O88" s="37">
        <f>O22*Inputs!$B$122/12</f>
        <v/>
      </c>
      <c r="P88" s="37">
        <f>P22*Inputs!$B$122/12</f>
        <v/>
      </c>
      <c r="Q88" s="37">
        <f>Q22*Inputs!$B$122/12</f>
        <v/>
      </c>
      <c r="R88" s="37">
        <f>R22*Inputs!$B$122/12</f>
        <v/>
      </c>
      <c r="S88" s="37">
        <f>S22*Inputs!$B$122/12</f>
        <v/>
      </c>
      <c r="T88" s="37">
        <f>T22*Inputs!$B$122/12</f>
        <v/>
      </c>
      <c r="U88" s="37">
        <f>U22*Inputs!$B$122/12</f>
        <v/>
      </c>
      <c r="V88" s="37">
        <f>V22*Inputs!$B$122/12</f>
        <v/>
      </c>
      <c r="W88" s="37">
        <f>W22*Inputs!$B$122/12</f>
        <v/>
      </c>
      <c r="X88" s="37">
        <f>X22*Inputs!$B$122/12</f>
        <v/>
      </c>
      <c r="Y88" s="37">
        <f>Y22*Inputs!$B$122/12</f>
        <v/>
      </c>
      <c r="Z88" s="37">
        <f>Z22*Inputs!$B$122/12</f>
        <v/>
      </c>
      <c r="AA88" s="37">
        <f>AA22*Inputs!$B$122/12</f>
        <v/>
      </c>
      <c r="AB88" s="37">
        <f>AB22*Inputs!$B$122/12</f>
        <v/>
      </c>
      <c r="AC88" s="37">
        <f>AC22*Inputs!$B$122/12</f>
        <v/>
      </c>
      <c r="AD88" s="37">
        <f>AD22*Inputs!$B$122/12</f>
        <v/>
      </c>
      <c r="AE88" s="37">
        <f>AE22*Inputs!$B$122/12</f>
        <v/>
      </c>
      <c r="AF88" s="37">
        <f>AF22*Inputs!$B$122/12</f>
        <v/>
      </c>
      <c r="AG88" s="37">
        <f>AG22*Inputs!$B$122/12</f>
        <v/>
      </c>
      <c r="AH88" s="37">
        <f>AH22*Inputs!$B$122/12</f>
        <v/>
      </c>
      <c r="AI88" s="37">
        <f>AI22*Inputs!$B$122/12</f>
        <v/>
      </c>
      <c r="AJ88" s="37">
        <f>AJ22*Inputs!$B$122/12</f>
        <v/>
      </c>
      <c r="AK88" s="37">
        <f>AK22*Inputs!$B$122/12</f>
        <v/>
      </c>
      <c r="AL88" s="37">
        <f>AL22*Inputs!$B$122/12</f>
        <v/>
      </c>
      <c r="AM88" s="37">
        <f>AM22*Inputs!$B$122/12</f>
        <v/>
      </c>
      <c r="AN88" s="37">
        <f>AN22*Inputs!$B$122/12</f>
        <v/>
      </c>
      <c r="AO88" s="37">
        <f>AO22*Inputs!$B$122/12</f>
        <v/>
      </c>
      <c r="AP88" s="37">
        <f>AP22*Inputs!$B$122/12</f>
        <v/>
      </c>
      <c r="AQ88" s="37">
        <f>AQ22*Inputs!$B$122/12</f>
        <v/>
      </c>
      <c r="AR88" s="37">
        <f>AR22*Inputs!$B$122/12</f>
        <v/>
      </c>
      <c r="AS88" s="37">
        <f>AS22*Inputs!$B$122/12</f>
        <v/>
      </c>
      <c r="AT88" s="37">
        <f>AT22*Inputs!$B$122/12</f>
        <v/>
      </c>
      <c r="AU88" s="37">
        <f>AU22*Inputs!$B$122/12</f>
        <v/>
      </c>
      <c r="AV88" s="37">
        <f>AV22*Inputs!$B$122/12</f>
        <v/>
      </c>
      <c r="AW88" s="37">
        <f>AW22*Inputs!$B$122/12</f>
        <v/>
      </c>
      <c r="AX88" s="37">
        <f>AX22*Inputs!$B$122/12</f>
        <v/>
      </c>
      <c r="AY88" s="37">
        <f>AY22*Inputs!$B$122/12</f>
        <v/>
      </c>
      <c r="AZ88" s="37">
        <f>AZ22*Inputs!$B$122/12</f>
        <v/>
      </c>
      <c r="BA88" s="37">
        <f>BA22*Inputs!$B$122/12</f>
        <v/>
      </c>
    </row>
    <row r="89" ht="14.25" customHeight="1" s="165">
      <c r="A89" s="3" t="inlineStr">
        <is>
          <t>Team Events</t>
        </is>
      </c>
      <c r="B89" s="37">
        <f>B22*Inputs!$B$123/12</f>
        <v/>
      </c>
      <c r="C89" s="37">
        <f>C22*Inputs!$B$123/12</f>
        <v/>
      </c>
      <c r="D89" s="37">
        <f>D22*Inputs!$B$123/12</f>
        <v/>
      </c>
      <c r="E89" s="37">
        <f>E22*Inputs!$B$123/12</f>
        <v/>
      </c>
      <c r="F89" s="37">
        <f>F22*Inputs!$B$123/12</f>
        <v/>
      </c>
      <c r="G89" s="37">
        <f>G22*Inputs!$B$123/12</f>
        <v/>
      </c>
      <c r="H89" s="37">
        <f>H22*Inputs!$B$123/12</f>
        <v/>
      </c>
      <c r="I89" s="37">
        <f>I22*Inputs!$B$123/12</f>
        <v/>
      </c>
      <c r="J89" s="37">
        <f>J22*Inputs!$B$123/12</f>
        <v/>
      </c>
      <c r="K89" s="37">
        <f>K22*Inputs!$B$123/12</f>
        <v/>
      </c>
      <c r="L89" s="37">
        <f>L22*Inputs!$B$123/12</f>
        <v/>
      </c>
      <c r="M89" s="37">
        <f>M22*Inputs!$B$123/12</f>
        <v/>
      </c>
      <c r="N89" s="37">
        <f>N22*Inputs!$B$123/12</f>
        <v/>
      </c>
      <c r="O89" s="37">
        <f>O22*Inputs!$B$123/12</f>
        <v/>
      </c>
      <c r="P89" s="37">
        <f>P22*Inputs!$B$123/12</f>
        <v/>
      </c>
      <c r="Q89" s="37">
        <f>Q22*Inputs!$B$123/12</f>
        <v/>
      </c>
      <c r="R89" s="37">
        <f>R22*Inputs!$B$123/12</f>
        <v/>
      </c>
      <c r="S89" s="37">
        <f>S22*Inputs!$B$123/12</f>
        <v/>
      </c>
      <c r="T89" s="37">
        <f>T22*Inputs!$B$123/12</f>
        <v/>
      </c>
      <c r="U89" s="37">
        <f>U22*Inputs!$B$123/12</f>
        <v/>
      </c>
      <c r="V89" s="37">
        <f>V22*Inputs!$B$123/12</f>
        <v/>
      </c>
      <c r="W89" s="37">
        <f>W22*Inputs!$B$123/12</f>
        <v/>
      </c>
      <c r="X89" s="37">
        <f>X22*Inputs!$B$123/12</f>
        <v/>
      </c>
      <c r="Y89" s="37">
        <f>Y22*Inputs!$B$123/12</f>
        <v/>
      </c>
      <c r="Z89" s="37">
        <f>Z22*Inputs!$B$123/12</f>
        <v/>
      </c>
      <c r="AA89" s="37">
        <f>AA22*Inputs!$B$123/12</f>
        <v/>
      </c>
      <c r="AB89" s="37">
        <f>AB22*Inputs!$B$123/12</f>
        <v/>
      </c>
      <c r="AC89" s="37">
        <f>AC22*Inputs!$B$123/12</f>
        <v/>
      </c>
      <c r="AD89" s="37">
        <f>AD22*Inputs!$B$123/12</f>
        <v/>
      </c>
      <c r="AE89" s="37">
        <f>AE22*Inputs!$B$123/12</f>
        <v/>
      </c>
      <c r="AF89" s="37">
        <f>AF22*Inputs!$B$123/12</f>
        <v/>
      </c>
      <c r="AG89" s="37">
        <f>AG22*Inputs!$B$123/12</f>
        <v/>
      </c>
      <c r="AH89" s="37">
        <f>AH22*Inputs!$B$123/12</f>
        <v/>
      </c>
      <c r="AI89" s="37">
        <f>AI22*Inputs!$B$123/12</f>
        <v/>
      </c>
      <c r="AJ89" s="37">
        <f>AJ22*Inputs!$B$123/12</f>
        <v/>
      </c>
      <c r="AK89" s="37">
        <f>AK22*Inputs!$B$123/12</f>
        <v/>
      </c>
      <c r="AL89" s="37">
        <f>AL22*Inputs!$B$123/12</f>
        <v/>
      </c>
      <c r="AM89" s="37">
        <f>AM22*Inputs!$B$123/12</f>
        <v/>
      </c>
      <c r="AN89" s="37">
        <f>AN22*Inputs!$B$123/12</f>
        <v/>
      </c>
      <c r="AO89" s="37">
        <f>AO22*Inputs!$B$123/12</f>
        <v/>
      </c>
      <c r="AP89" s="37">
        <f>AP22*Inputs!$B$123/12</f>
        <v/>
      </c>
      <c r="AQ89" s="37">
        <f>AQ22*Inputs!$B$123/12</f>
        <v/>
      </c>
      <c r="AR89" s="37">
        <f>AR22*Inputs!$B$123/12</f>
        <v/>
      </c>
      <c r="AS89" s="37">
        <f>AS22*Inputs!$B$123/12</f>
        <v/>
      </c>
      <c r="AT89" s="37">
        <f>AT22*Inputs!$B$123/12</f>
        <v/>
      </c>
      <c r="AU89" s="37">
        <f>AU22*Inputs!$B$123/12</f>
        <v/>
      </c>
      <c r="AV89" s="37">
        <f>AV22*Inputs!$B$123/12</f>
        <v/>
      </c>
      <c r="AW89" s="37">
        <f>AW22*Inputs!$B$123/12</f>
        <v/>
      </c>
      <c r="AX89" s="37">
        <f>AX22*Inputs!$B$123/12</f>
        <v/>
      </c>
      <c r="AY89" s="37">
        <f>AY22*Inputs!$B$123/12</f>
        <v/>
      </c>
      <c r="AZ89" s="37">
        <f>AZ22*Inputs!$B$123/12</f>
        <v/>
      </c>
      <c r="BA89" s="37">
        <f>BA22*Inputs!$B$123/12</f>
        <v/>
      </c>
    </row>
    <row r="90" ht="14.25" customHeight="1" s="165">
      <c r="A90" s="3" t="inlineStr">
        <is>
          <t>Hardware (neue MA)</t>
        </is>
      </c>
      <c r="B90" s="37">
        <f>B22*(Inputs!$B$78+Inputs!$B$79)</f>
        <v/>
      </c>
      <c r="C90" s="37">
        <f>MAX(0,C22-B22)*(Inputs!$B$78+Inputs!$B$79)</f>
        <v/>
      </c>
      <c r="D90" s="37">
        <f>MAX(0,D22-C22)*(Inputs!$B$78+Inputs!$B$79)</f>
        <v/>
      </c>
      <c r="E90" s="37">
        <f>MAX(0,E22-D22)*(Inputs!$B$78+Inputs!$B$79)</f>
        <v/>
      </c>
      <c r="F90" s="37">
        <f>MAX(0,F22-E22)*(Inputs!$B$78+Inputs!$B$79)</f>
        <v/>
      </c>
      <c r="G90" s="37">
        <f>MAX(0,G22-F22)*(Inputs!$B$78+Inputs!$B$79)</f>
        <v/>
      </c>
      <c r="H90" s="37">
        <f>MAX(0,H22-G22)*(Inputs!$B$78+Inputs!$B$79)</f>
        <v/>
      </c>
      <c r="I90" s="37">
        <f>MAX(0,I22-H22)*(Inputs!$B$78+Inputs!$B$79)</f>
        <v/>
      </c>
      <c r="J90" s="37">
        <f>MAX(0,J22-I22)*(Inputs!$B$78+Inputs!$B$79)</f>
        <v/>
      </c>
      <c r="K90" s="37">
        <f>MAX(0,K22-J22)*(Inputs!$B$78+Inputs!$B$79)</f>
        <v/>
      </c>
      <c r="L90" s="37">
        <f>MAX(0,L22-K22)*(Inputs!$B$78+Inputs!$B$79)</f>
        <v/>
      </c>
      <c r="M90" s="37">
        <f>MAX(0,M22-L22)*(Inputs!$B$78+Inputs!$B$79)</f>
        <v/>
      </c>
      <c r="N90" s="37">
        <f>MAX(0,N22-M22)*(Inputs!$B$78+Inputs!$B$79)</f>
        <v/>
      </c>
      <c r="O90" s="37">
        <f>MAX(0,O22-N22)*(Inputs!$B$78+Inputs!$B$79)</f>
        <v/>
      </c>
      <c r="P90" s="37">
        <f>MAX(0,P22-O22)*(Inputs!$B$78+Inputs!$B$79)</f>
        <v/>
      </c>
      <c r="Q90" s="37">
        <f>MAX(0,Q22-P22)*(Inputs!$B$78+Inputs!$B$79)</f>
        <v/>
      </c>
      <c r="R90" s="37">
        <f>MAX(0,R22-Q22)*(Inputs!$B$78+Inputs!$B$79)</f>
        <v/>
      </c>
      <c r="S90" s="37">
        <f>MAX(0,S22-R22)*(Inputs!$B$78+Inputs!$B$79)</f>
        <v/>
      </c>
      <c r="T90" s="37">
        <f>MAX(0,T22-S22)*(Inputs!$B$78+Inputs!$B$79)</f>
        <v/>
      </c>
      <c r="U90" s="37">
        <f>MAX(0,U22-T22)*(Inputs!$B$78+Inputs!$B$79)</f>
        <v/>
      </c>
      <c r="V90" s="37">
        <f>MAX(0,V22-U22)*(Inputs!$B$78+Inputs!$B$79)</f>
        <v/>
      </c>
      <c r="W90" s="37">
        <f>MAX(0,W22-V22)*(Inputs!$B$78+Inputs!$B$79)</f>
        <v/>
      </c>
      <c r="X90" s="37">
        <f>MAX(0,X22-W22)*(Inputs!$B$78+Inputs!$B$79)</f>
        <v/>
      </c>
      <c r="Y90" s="37">
        <f>MAX(0,Y22-X22)*(Inputs!$B$78+Inputs!$B$79)</f>
        <v/>
      </c>
      <c r="Z90" s="37">
        <f>MAX(0,Z22-Y22)*(Inputs!$B$78+Inputs!$B$79)</f>
        <v/>
      </c>
      <c r="AA90" s="37">
        <f>MAX(0,AA22-Z22)*(Inputs!$B$78+Inputs!$B$79)</f>
        <v/>
      </c>
      <c r="AB90" s="37">
        <f>MAX(0,AB22-AA22)*(Inputs!$B$78+Inputs!$B$79)</f>
        <v/>
      </c>
      <c r="AC90" s="37">
        <f>MAX(0,AC22-AB22)*(Inputs!$B$78+Inputs!$B$79)</f>
        <v/>
      </c>
      <c r="AD90" s="37">
        <f>MAX(0,AD22-AC22)*(Inputs!$B$78+Inputs!$B$79)</f>
        <v/>
      </c>
      <c r="AE90" s="37">
        <f>MAX(0,AE22-AD22)*(Inputs!$B$78+Inputs!$B$79)</f>
        <v/>
      </c>
      <c r="AF90" s="37">
        <f>MAX(0,AF22-AE22)*(Inputs!$B$78+Inputs!$B$79)</f>
        <v/>
      </c>
      <c r="AG90" s="37">
        <f>MAX(0,AG22-AF22)*(Inputs!$B$78+Inputs!$B$79)</f>
        <v/>
      </c>
      <c r="AH90" s="37">
        <f>MAX(0,AH22-AG22)*(Inputs!$B$78+Inputs!$B$79)</f>
        <v/>
      </c>
      <c r="AI90" s="37">
        <f>MAX(0,AI22-AH22)*(Inputs!$B$78+Inputs!$B$79)</f>
        <v/>
      </c>
      <c r="AJ90" s="37">
        <f>MAX(0,AJ22-AI22)*(Inputs!$B$78+Inputs!$B$79)</f>
        <v/>
      </c>
      <c r="AK90" s="37">
        <f>MAX(0,AK22-AJ22)*(Inputs!$B$78+Inputs!$B$79)</f>
        <v/>
      </c>
      <c r="AL90" s="37">
        <f>MAX(0,AL22-AK22)*(Inputs!$B$78+Inputs!$B$79)</f>
        <v/>
      </c>
      <c r="AM90" s="37">
        <f>MAX(0,AM22-AL22)*(Inputs!$B$78+Inputs!$B$79)</f>
        <v/>
      </c>
      <c r="AN90" s="37">
        <f>MAX(0,AN22-AM22)*(Inputs!$B$78+Inputs!$B$79)</f>
        <v/>
      </c>
      <c r="AO90" s="37">
        <f>MAX(0,AO22-AN22)*(Inputs!$B$78+Inputs!$B$79)</f>
        <v/>
      </c>
      <c r="AP90" s="37">
        <f>MAX(0,AP22-AO22)*(Inputs!$B$78+Inputs!$B$79)</f>
        <v/>
      </c>
      <c r="AQ90" s="37">
        <f>MAX(0,AQ22-AP22)*(Inputs!$B$78+Inputs!$B$79)</f>
        <v/>
      </c>
      <c r="AR90" s="37">
        <f>MAX(0,AR22-AQ22)*(Inputs!$B$78+Inputs!$B$79)</f>
        <v/>
      </c>
      <c r="AS90" s="37">
        <f>MAX(0,AS22-AR22)*(Inputs!$B$78+Inputs!$B$79)</f>
        <v/>
      </c>
      <c r="AT90" s="37">
        <f>MAX(0,AT22-AS22)*(Inputs!$B$78+Inputs!$B$79)</f>
        <v/>
      </c>
      <c r="AU90" s="37">
        <f>MAX(0,AU22-AT22)*(Inputs!$B$78+Inputs!$B$79)</f>
        <v/>
      </c>
      <c r="AV90" s="37">
        <f>MAX(0,AV22-AU22)*(Inputs!$B$78+Inputs!$B$79)</f>
        <v/>
      </c>
      <c r="AW90" s="37">
        <f>MAX(0,AW22-AV22)*(Inputs!$B$78+Inputs!$B$79)</f>
        <v/>
      </c>
      <c r="AX90" s="37">
        <f>MAX(0,AX22-AW22)*(Inputs!$B$78+Inputs!$B$79)</f>
        <v/>
      </c>
      <c r="AY90" s="37">
        <f>MAX(0,AY22-AX22)*(Inputs!$B$78+Inputs!$B$79)</f>
        <v/>
      </c>
      <c r="AZ90" s="37">
        <f>MAX(0,AZ22-AY22)*(Inputs!$B$78+Inputs!$B$79)</f>
        <v/>
      </c>
      <c r="BA90" s="37">
        <f>MAX(0,BA22-AZ22)*(Inputs!$B$78+Inputs!$B$79)</f>
        <v/>
      </c>
    </row>
    <row r="91" ht="14.25" customHeight="1" s="165">
      <c r="A91" s="3" t="inlineStr">
        <is>
          <t>Sonstige IT-Ausstattung</t>
        </is>
      </c>
      <c r="B91" s="37">
        <f>Inputs!$B$81/12</f>
        <v/>
      </c>
      <c r="C91" s="37">
        <f>Inputs!$B$81/12</f>
        <v/>
      </c>
      <c r="D91" s="37">
        <f>Inputs!$B$81/12</f>
        <v/>
      </c>
      <c r="E91" s="37">
        <f>Inputs!$B$81/12</f>
        <v/>
      </c>
      <c r="F91" s="37">
        <f>Inputs!$B$81/12</f>
        <v/>
      </c>
      <c r="G91" s="37">
        <f>Inputs!$B$81/12</f>
        <v/>
      </c>
      <c r="H91" s="37">
        <f>Inputs!$B$81/12</f>
        <v/>
      </c>
      <c r="I91" s="37">
        <f>Inputs!$B$81/12</f>
        <v/>
      </c>
      <c r="J91" s="37">
        <f>Inputs!$B$81/12</f>
        <v/>
      </c>
      <c r="K91" s="37">
        <f>Inputs!$B$81/12</f>
        <v/>
      </c>
      <c r="L91" s="37">
        <f>Inputs!$B$81/12</f>
        <v/>
      </c>
      <c r="M91" s="37">
        <f>Inputs!$B$81/12</f>
        <v/>
      </c>
      <c r="N91" s="37">
        <f>Inputs!$B$81/12</f>
        <v/>
      </c>
      <c r="O91" s="37">
        <f>Inputs!$B$81/12</f>
        <v/>
      </c>
      <c r="P91" s="37">
        <f>Inputs!$B$81/12</f>
        <v/>
      </c>
      <c r="Q91" s="37">
        <f>Inputs!$B$81/12</f>
        <v/>
      </c>
      <c r="R91" s="37">
        <f>Inputs!$B$81/12</f>
        <v/>
      </c>
      <c r="S91" s="37">
        <f>Inputs!$B$81/12</f>
        <v/>
      </c>
      <c r="T91" s="37">
        <f>Inputs!$B$81/12</f>
        <v/>
      </c>
      <c r="U91" s="37">
        <f>Inputs!$B$81/12</f>
        <v/>
      </c>
      <c r="V91" s="37">
        <f>Inputs!$B$81/12</f>
        <v/>
      </c>
      <c r="W91" s="37">
        <f>Inputs!$B$81/12</f>
        <v/>
      </c>
      <c r="X91" s="37">
        <f>Inputs!$B$81/12</f>
        <v/>
      </c>
      <c r="Y91" s="37">
        <f>Inputs!$B$81/12</f>
        <v/>
      </c>
      <c r="Z91" s="37">
        <f>Inputs!$B$81/12</f>
        <v/>
      </c>
      <c r="AA91" s="37">
        <f>Inputs!$B$81/12</f>
        <v/>
      </c>
      <c r="AB91" s="37">
        <f>Inputs!$B$81/12</f>
        <v/>
      </c>
      <c r="AC91" s="37">
        <f>Inputs!$B$81/12</f>
        <v/>
      </c>
      <c r="AD91" s="37">
        <f>Inputs!$B$81/12</f>
        <v/>
      </c>
      <c r="AE91" s="37">
        <f>Inputs!$B$81/12</f>
        <v/>
      </c>
      <c r="AF91" s="37">
        <f>Inputs!$B$81/12</f>
        <v/>
      </c>
      <c r="AG91" s="37">
        <f>Inputs!$B$81/12</f>
        <v/>
      </c>
      <c r="AH91" s="37">
        <f>Inputs!$B$81/12</f>
        <v/>
      </c>
      <c r="AI91" s="37">
        <f>Inputs!$B$81/12</f>
        <v/>
      </c>
      <c r="AJ91" s="37">
        <f>Inputs!$B$81/12</f>
        <v/>
      </c>
      <c r="AK91" s="37">
        <f>Inputs!$B$81/12</f>
        <v/>
      </c>
      <c r="AL91" s="37">
        <f>Inputs!$B$81/12</f>
        <v/>
      </c>
      <c r="AM91" s="37">
        <f>Inputs!$B$81/12</f>
        <v/>
      </c>
      <c r="AN91" s="37">
        <f>Inputs!$B$81/12</f>
        <v/>
      </c>
      <c r="AO91" s="37">
        <f>Inputs!$B$81/12</f>
        <v/>
      </c>
      <c r="AP91" s="37">
        <f>Inputs!$B$81/12</f>
        <v/>
      </c>
      <c r="AQ91" s="37">
        <f>Inputs!$B$81/12</f>
        <v/>
      </c>
      <c r="AR91" s="37">
        <f>Inputs!$B$81/12</f>
        <v/>
      </c>
      <c r="AS91" s="37">
        <f>Inputs!$B$81/12</f>
        <v/>
      </c>
      <c r="AT91" s="37">
        <f>Inputs!$B$81/12</f>
        <v/>
      </c>
      <c r="AU91" s="37">
        <f>Inputs!$B$81/12</f>
        <v/>
      </c>
      <c r="AV91" s="37">
        <f>Inputs!$B$81/12</f>
        <v/>
      </c>
      <c r="AW91" s="37">
        <f>Inputs!$B$81/12</f>
        <v/>
      </c>
      <c r="AX91" s="37">
        <f>Inputs!$B$81/12</f>
        <v/>
      </c>
      <c r="AY91" s="37">
        <f>Inputs!$B$81/12</f>
        <v/>
      </c>
      <c r="AZ91" s="37">
        <f>Inputs!$B$81/12</f>
        <v/>
      </c>
      <c r="BA91" s="37">
        <f>Inputs!$B$81/12</f>
        <v/>
      </c>
    </row>
    <row r="92" ht="14.25" customHeight="1" s="165">
      <c r="A92" s="2" t="inlineStr">
        <is>
          <t>TOTAL SONSTIGE</t>
        </is>
      </c>
      <c r="B92" s="35">
        <f>SUM(B87:B91)</f>
        <v/>
      </c>
      <c r="C92" s="35">
        <f>SUM(C87:C91)</f>
        <v/>
      </c>
      <c r="D92" s="35">
        <f>SUM(D87:D91)</f>
        <v/>
      </c>
      <c r="E92" s="35">
        <f>SUM(E87:E91)</f>
        <v/>
      </c>
      <c r="F92" s="35">
        <f>SUM(F87:F91)</f>
        <v/>
      </c>
      <c r="G92" s="35">
        <f>SUM(G87:G91)</f>
        <v/>
      </c>
      <c r="H92" s="35">
        <f>SUM(H87:H91)</f>
        <v/>
      </c>
      <c r="I92" s="35">
        <f>SUM(I87:I91)</f>
        <v/>
      </c>
      <c r="J92" s="35">
        <f>SUM(J87:J91)</f>
        <v/>
      </c>
      <c r="K92" s="35">
        <f>SUM(K87:K91)</f>
        <v/>
      </c>
      <c r="L92" s="35">
        <f>SUM(L87:L91)</f>
        <v/>
      </c>
      <c r="M92" s="35">
        <f>SUM(M87:M91)</f>
        <v/>
      </c>
      <c r="N92" s="35">
        <f>SUM(N87:N91)</f>
        <v/>
      </c>
      <c r="O92" s="35">
        <f>SUM(O87:O91)</f>
        <v/>
      </c>
      <c r="P92" s="35">
        <f>SUM(P87:P91)</f>
        <v/>
      </c>
      <c r="Q92" s="35">
        <f>SUM(Q87:Q91)</f>
        <v/>
      </c>
      <c r="R92" s="35">
        <f>SUM(R87:R91)</f>
        <v/>
      </c>
      <c r="S92" s="35">
        <f>SUM(S87:S91)</f>
        <v/>
      </c>
      <c r="T92" s="35">
        <f>SUM(T87:T91)</f>
        <v/>
      </c>
      <c r="U92" s="35">
        <f>SUM(U87:U91)</f>
        <v/>
      </c>
      <c r="V92" s="35">
        <f>SUM(V87:V91)</f>
        <v/>
      </c>
      <c r="W92" s="35">
        <f>SUM(W87:W91)</f>
        <v/>
      </c>
      <c r="X92" s="35">
        <f>SUM(X87:X91)</f>
        <v/>
      </c>
      <c r="Y92" s="35">
        <f>SUM(Y87:Y91)</f>
        <v/>
      </c>
      <c r="Z92" s="35">
        <f>SUM(Z87:Z91)</f>
        <v/>
      </c>
      <c r="AA92" s="35">
        <f>SUM(AA87:AA91)</f>
        <v/>
      </c>
      <c r="AB92" s="35">
        <f>SUM(AB87:AB91)</f>
        <v/>
      </c>
      <c r="AC92" s="35">
        <f>SUM(AC87:AC91)</f>
        <v/>
      </c>
      <c r="AD92" s="35">
        <f>SUM(AD87:AD91)</f>
        <v/>
      </c>
      <c r="AE92" s="35">
        <f>SUM(AE87:AE91)</f>
        <v/>
      </c>
      <c r="AF92" s="35">
        <f>SUM(AF87:AF91)</f>
        <v/>
      </c>
      <c r="AG92" s="35">
        <f>SUM(AG87:AG91)</f>
        <v/>
      </c>
      <c r="AH92" s="35">
        <f>SUM(AH87:AH91)</f>
        <v/>
      </c>
      <c r="AI92" s="35">
        <f>SUM(AI87:AI91)</f>
        <v/>
      </c>
      <c r="AJ92" s="35">
        <f>SUM(AJ87:AJ91)</f>
        <v/>
      </c>
      <c r="AK92" s="35">
        <f>SUM(AK87:AK91)</f>
        <v/>
      </c>
      <c r="AL92" s="35">
        <f>SUM(AL87:AL91)</f>
        <v/>
      </c>
      <c r="AM92" s="35">
        <f>SUM(AM87:AM91)</f>
        <v/>
      </c>
      <c r="AN92" s="35">
        <f>SUM(AN87:AN91)</f>
        <v/>
      </c>
      <c r="AO92" s="35">
        <f>SUM(AO87:AO91)</f>
        <v/>
      </c>
      <c r="AP92" s="35">
        <f>SUM(AP87:AP91)</f>
        <v/>
      </c>
      <c r="AQ92" s="35">
        <f>SUM(AQ87:AQ91)</f>
        <v/>
      </c>
      <c r="AR92" s="35">
        <f>SUM(AR87:AR91)</f>
        <v/>
      </c>
      <c r="AS92" s="35">
        <f>SUM(AS87:AS91)</f>
        <v/>
      </c>
      <c r="AT92" s="35">
        <f>SUM(AT87:AT91)</f>
        <v/>
      </c>
      <c r="AU92" s="35">
        <f>SUM(AU87:AU91)</f>
        <v/>
      </c>
      <c r="AV92" s="35">
        <f>SUM(AV87:AV91)</f>
        <v/>
      </c>
      <c r="AW92" s="35">
        <f>SUM(AW87:AW91)</f>
        <v/>
      </c>
      <c r="AX92" s="35">
        <f>SUM(AX87:AX91)</f>
        <v/>
      </c>
      <c r="AY92" s="35">
        <f>SUM(AY87:AY91)</f>
        <v/>
      </c>
      <c r="AZ92" s="35">
        <f>SUM(AZ87:AZ91)</f>
        <v/>
      </c>
      <c r="BA92" s="35">
        <f>SUM(BA87:BA91)</f>
        <v/>
      </c>
    </row>
    <row r="93" ht="14.25" customHeight="1" s="165"/>
    <row r="94" ht="14.25" customHeight="1" s="165">
      <c r="A94" s="2" t="inlineStr">
        <is>
          <t>PAYMENT PROCESSING</t>
        </is>
      </c>
    </row>
    <row r="95" ht="14.25" customHeight="1" s="165">
      <c r="A95" s="3" t="inlineStr">
        <is>
          <t>Payment Processing Fees</t>
        </is>
      </c>
      <c r="B95" s="34">
        <f>Revenue!B21*Inputs!$B$105</f>
        <v/>
      </c>
      <c r="C95" s="34">
        <f>Revenue!C21*Inputs!$B$105</f>
        <v/>
      </c>
      <c r="D95" s="34">
        <f>Revenue!D21*Inputs!$B$105</f>
        <v/>
      </c>
      <c r="E95" s="34">
        <f>Revenue!E21*Inputs!$B$105</f>
        <v/>
      </c>
      <c r="F95" s="34">
        <f>Revenue!F21*Inputs!$B$105</f>
        <v/>
      </c>
      <c r="G95" s="34">
        <f>Revenue!G21*Inputs!$B$105</f>
        <v/>
      </c>
      <c r="H95" s="34">
        <f>Revenue!H21*Inputs!$B$105</f>
        <v/>
      </c>
      <c r="I95" s="34">
        <f>Revenue!I21*Inputs!$B$105</f>
        <v/>
      </c>
      <c r="J95" s="34">
        <f>Revenue!J21*Inputs!$B$105</f>
        <v/>
      </c>
      <c r="K95" s="34">
        <f>Revenue!K21*Inputs!$B$105</f>
        <v/>
      </c>
      <c r="L95" s="34">
        <f>Revenue!L21*Inputs!$B$105</f>
        <v/>
      </c>
      <c r="M95" s="34">
        <f>Revenue!M21*Inputs!$B$105</f>
        <v/>
      </c>
      <c r="N95" s="34">
        <f>Revenue!N21*Inputs!$B$105</f>
        <v/>
      </c>
      <c r="O95" s="34">
        <f>Revenue!O21*Inputs!$B$105</f>
        <v/>
      </c>
      <c r="P95" s="34">
        <f>Revenue!P21*Inputs!$B$105</f>
        <v/>
      </c>
      <c r="Q95" s="34">
        <f>Revenue!Q21*Inputs!$B$105</f>
        <v/>
      </c>
      <c r="R95" s="34">
        <f>Revenue!R21*Inputs!$B$105</f>
        <v/>
      </c>
      <c r="S95" s="34">
        <f>Revenue!S21*Inputs!$B$105</f>
        <v/>
      </c>
      <c r="T95" s="34">
        <f>Revenue!T21*Inputs!$B$105</f>
        <v/>
      </c>
      <c r="U95" s="34">
        <f>Revenue!U21*Inputs!$B$105</f>
        <v/>
      </c>
      <c r="V95" s="34">
        <f>Revenue!V21*Inputs!$B$105</f>
        <v/>
      </c>
      <c r="W95" s="34">
        <f>Revenue!W21*Inputs!$B$105</f>
        <v/>
      </c>
      <c r="X95" s="34">
        <f>Revenue!X21*Inputs!$B$105</f>
        <v/>
      </c>
      <c r="Y95" s="34">
        <f>Revenue!Y21*Inputs!$B$105</f>
        <v/>
      </c>
      <c r="Z95" s="34">
        <f>Revenue!Z21*Inputs!$B$105</f>
        <v/>
      </c>
      <c r="AA95" s="34">
        <f>Revenue!AA21*Inputs!$B$105</f>
        <v/>
      </c>
      <c r="AB95" s="34">
        <f>Revenue!AB21*Inputs!$B$105</f>
        <v/>
      </c>
      <c r="AC95" s="34">
        <f>Revenue!AC21*Inputs!$B$105</f>
        <v/>
      </c>
      <c r="AD95" s="34">
        <f>Revenue!AD21*Inputs!$B$105</f>
        <v/>
      </c>
      <c r="AE95" s="34">
        <f>Revenue!AE21*Inputs!$B$105</f>
        <v/>
      </c>
      <c r="AF95" s="34">
        <f>Revenue!AF21*Inputs!$B$105</f>
        <v/>
      </c>
      <c r="AG95" s="34">
        <f>Revenue!AG21*Inputs!$B$105</f>
        <v/>
      </c>
      <c r="AH95" s="34">
        <f>Revenue!AH21*Inputs!$B$105</f>
        <v/>
      </c>
      <c r="AI95" s="34">
        <f>Revenue!AI21*Inputs!$B$105</f>
        <v/>
      </c>
      <c r="AJ95" s="34">
        <f>Revenue!AJ21*Inputs!$B$105</f>
        <v/>
      </c>
      <c r="AK95" s="34">
        <f>Revenue!AK21*Inputs!$B$105</f>
        <v/>
      </c>
      <c r="AL95" s="34">
        <f>Revenue!AL21*Inputs!$B$105</f>
        <v/>
      </c>
      <c r="AM95" s="34">
        <f>Revenue!AM21*Inputs!$B$105</f>
        <v/>
      </c>
      <c r="AN95" s="34">
        <f>Revenue!AN21*Inputs!$B$105</f>
        <v/>
      </c>
      <c r="AO95" s="34">
        <f>Revenue!AO21*Inputs!$B$105</f>
        <v/>
      </c>
      <c r="AP95" s="34">
        <f>Revenue!AP21*Inputs!$B$105</f>
        <v/>
      </c>
      <c r="AQ95" s="34">
        <f>Revenue!AQ21*Inputs!$B$105</f>
        <v/>
      </c>
      <c r="AR95" s="34">
        <f>Revenue!AR21*Inputs!$B$105</f>
        <v/>
      </c>
      <c r="AS95" s="34">
        <f>Revenue!AS21*Inputs!$B$105</f>
        <v/>
      </c>
      <c r="AT95" s="34">
        <f>Revenue!AT21*Inputs!$B$105</f>
        <v/>
      </c>
      <c r="AU95" s="34">
        <f>Revenue!AU21*Inputs!$B$105</f>
        <v/>
      </c>
      <c r="AV95" s="34">
        <f>Revenue!AV21*Inputs!$B$105</f>
        <v/>
      </c>
      <c r="AW95" s="34">
        <f>Revenue!AW21*Inputs!$B$105</f>
        <v/>
      </c>
      <c r="AX95" s="34">
        <f>Revenue!AX21*Inputs!$B$105</f>
        <v/>
      </c>
      <c r="AY95" s="34">
        <f>Revenue!AY21*Inputs!$B$105</f>
        <v/>
      </c>
      <c r="AZ95" s="34">
        <f>Revenue!AZ21*Inputs!$B$105</f>
        <v/>
      </c>
      <c r="BA95" s="34">
        <f>Revenue!BA21*Inputs!$B$105</f>
        <v/>
      </c>
    </row>
    <row r="96" ht="14.25" customHeight="1" s="165"/>
    <row r="97" ht="14.25" customHeight="1" s="165">
      <c r="A97" s="3" t="inlineStr">
        <is>
          <t>Puffer/Unvorhergesehenes</t>
        </is>
      </c>
      <c r="B97" s="37">
        <f>(B45+B54+B61+B68+B75+B84+B92)*Inputs!$B$124</f>
        <v/>
      </c>
      <c r="C97" s="37">
        <f>(C45+C54+C61+C68+C75+C84+C92)*Inputs!$B$124</f>
        <v/>
      </c>
      <c r="D97" s="37">
        <f>(D45+D54+D61+D68+D75+D84+D92)*Inputs!$B$124</f>
        <v/>
      </c>
      <c r="E97" s="37">
        <f>(E45+E54+E61+E68+E75+E84+E92)*Inputs!$B$124</f>
        <v/>
      </c>
      <c r="F97" s="37">
        <f>(F45+F54+F61+F68+F75+F84+F92)*Inputs!$B$124</f>
        <v/>
      </c>
      <c r="G97" s="37">
        <f>(G45+G54+G61+G68+G75+G84+G92)*Inputs!$B$124</f>
        <v/>
      </c>
      <c r="H97" s="37">
        <f>(H45+H54+H61+H68+H75+H84+H92)*Inputs!$B$124</f>
        <v/>
      </c>
      <c r="I97" s="37">
        <f>(I45+I54+I61+I68+I75+I84+I92)*Inputs!$B$124</f>
        <v/>
      </c>
      <c r="J97" s="37">
        <f>(J45+J54+J61+J68+J75+J84+J92)*Inputs!$B$124</f>
        <v/>
      </c>
      <c r="K97" s="37">
        <f>(K45+K54+K61+K68+K75+K84+K92)*Inputs!$B$124</f>
        <v/>
      </c>
      <c r="L97" s="37">
        <f>(L45+L54+L61+L68+L75+L84+L92)*Inputs!$B$124</f>
        <v/>
      </c>
      <c r="M97" s="37">
        <f>(M45+M54+M61+M68+M75+M84+M92)*Inputs!$B$124</f>
        <v/>
      </c>
      <c r="N97" s="37">
        <f>(N45+N54+N61+N68+N75+N84+N92)*Inputs!$B$124</f>
        <v/>
      </c>
      <c r="O97" s="37">
        <f>(O45+O54+O61+O68+O75+O84+O92)*Inputs!$B$124</f>
        <v/>
      </c>
      <c r="P97" s="37">
        <f>(P45+P54+P61+P68+P75+P84+P92)*Inputs!$B$124</f>
        <v/>
      </c>
      <c r="Q97" s="37">
        <f>(Q45+Q54+Q61+Q68+Q75+Q84+Q92)*Inputs!$B$124</f>
        <v/>
      </c>
      <c r="R97" s="37">
        <f>(R45+R54+R61+R68+R75+R84+R92)*Inputs!$B$124</f>
        <v/>
      </c>
      <c r="S97" s="37">
        <f>(S45+S54+S61+S68+S75+S84+S92)*Inputs!$B$124</f>
        <v/>
      </c>
      <c r="T97" s="37">
        <f>(T45+T54+T61+T68+T75+T84+T92)*Inputs!$B$124</f>
        <v/>
      </c>
      <c r="U97" s="37">
        <f>(U45+U54+U61+U68+U75+U84+U92)*Inputs!$B$124</f>
        <v/>
      </c>
      <c r="V97" s="37">
        <f>(V45+V54+V61+V68+V75+V84+V92)*Inputs!$B$124</f>
        <v/>
      </c>
      <c r="W97" s="37">
        <f>(W45+W54+W61+W68+W75+W84+W92)*Inputs!$B$124</f>
        <v/>
      </c>
      <c r="X97" s="37">
        <f>(X45+X54+X61+X68+X75+X84+X92)*Inputs!$B$124</f>
        <v/>
      </c>
      <c r="Y97" s="37">
        <f>(Y45+Y54+Y61+Y68+Y75+Y84+Y92)*Inputs!$B$124</f>
        <v/>
      </c>
      <c r="Z97" s="37">
        <f>(Z45+Z54+Z61+Z68+Z75+Z84+Z92)*Inputs!$B$124</f>
        <v/>
      </c>
      <c r="AA97" s="37">
        <f>(AA45+AA54+AA61+AA68+AA75+AA84+AA92)*Inputs!$B$124</f>
        <v/>
      </c>
      <c r="AB97" s="37">
        <f>(AB45+AB54+AB61+AB68+AB75+AB84+AB92)*Inputs!$B$124</f>
        <v/>
      </c>
      <c r="AC97" s="37">
        <f>(AC45+AC54+AC61+AC68+AC75+AC84+AC92)*Inputs!$B$124</f>
        <v/>
      </c>
      <c r="AD97" s="37">
        <f>(AD45+AD54+AD61+AD68+AD75+AD84+AD92)*Inputs!$B$124</f>
        <v/>
      </c>
      <c r="AE97" s="37">
        <f>(AE45+AE54+AE61+AE68+AE75+AE84+AE92)*Inputs!$B$124</f>
        <v/>
      </c>
      <c r="AF97" s="37">
        <f>(AF45+AF54+AF61+AF68+AF75+AF84+AF92)*Inputs!$B$124</f>
        <v/>
      </c>
      <c r="AG97" s="37">
        <f>(AG45+AG54+AG61+AG68+AG75+AG84+AG92)*Inputs!$B$124</f>
        <v/>
      </c>
      <c r="AH97" s="37">
        <f>(AH45+AH54+AH61+AH68+AH75+AH84+AH92)*Inputs!$B$124</f>
        <v/>
      </c>
      <c r="AI97" s="37">
        <f>(AI45+AI54+AI61+AI68+AI75+AI84+AI92)*Inputs!$B$124</f>
        <v/>
      </c>
      <c r="AJ97" s="37">
        <f>(AJ45+AJ54+AJ61+AJ68+AJ75+AJ84+AJ92)*Inputs!$B$124</f>
        <v/>
      </c>
      <c r="AK97" s="37">
        <f>(AK45+AK54+AK61+AK68+AK75+AK84+AK92)*Inputs!$B$124</f>
        <v/>
      </c>
      <c r="AL97" s="37">
        <f>(AL45+AL54+AL61+AL68+AL75+AL84+AL92)*Inputs!$B$124</f>
        <v/>
      </c>
      <c r="AM97" s="37">
        <f>(AM45+AM54+AM61+AM68+AM75+AM84+AM92)*Inputs!$B$124</f>
        <v/>
      </c>
      <c r="AN97" s="37">
        <f>(AN45+AN54+AN61+AN68+AN75+AN84+AN92)*Inputs!$B$124</f>
        <v/>
      </c>
      <c r="AO97" s="37">
        <f>(AO45+AO54+AO61+AO68+AO75+AO84+AO92)*Inputs!$B$124</f>
        <v/>
      </c>
      <c r="AP97" s="37">
        <f>(AP45+AP54+AP61+AP68+AP75+AP84+AP92)*Inputs!$B$124</f>
        <v/>
      </c>
      <c r="AQ97" s="37">
        <f>(AQ45+AQ54+AQ61+AQ68+AQ75+AQ84+AQ92)*Inputs!$B$124</f>
        <v/>
      </c>
      <c r="AR97" s="37">
        <f>(AR45+AR54+AR61+AR68+AR75+AR84+AR92)*Inputs!$B$124</f>
        <v/>
      </c>
      <c r="AS97" s="37">
        <f>(AS45+AS54+AS61+AS68+AS75+AS84+AS92)*Inputs!$B$124</f>
        <v/>
      </c>
      <c r="AT97" s="37">
        <f>(AT45+AT54+AT61+AT68+AT75+AT84+AT92)*Inputs!$B$124</f>
        <v/>
      </c>
      <c r="AU97" s="37">
        <f>(AU45+AU54+AU61+AU68+AU75+AU84+AU92)*Inputs!$B$124</f>
        <v/>
      </c>
      <c r="AV97" s="37">
        <f>(AV45+AV54+AV61+AV68+AV75+AV84+AV92)*Inputs!$B$124</f>
        <v/>
      </c>
      <c r="AW97" s="37">
        <f>(AW45+AW54+AW61+AW68+AW75+AW84+AW92)*Inputs!$B$124</f>
        <v/>
      </c>
      <c r="AX97" s="37">
        <f>(AX45+AX54+AX61+AX68+AX75+AX84+AX92)*Inputs!$B$124</f>
        <v/>
      </c>
      <c r="AY97" s="37">
        <f>(AY45+AY54+AY61+AY68+AY75+AY84+AY92)*Inputs!$B$124</f>
        <v/>
      </c>
      <c r="AZ97" s="37">
        <f>(AZ45+AZ54+AZ61+AZ68+AZ75+AZ84+AZ92)*Inputs!$B$124</f>
        <v/>
      </c>
      <c r="BA97" s="37">
        <f>(BA45+BA54+BA61+BA68+BA75+BA84+BA92)*Inputs!$B$124</f>
        <v/>
      </c>
    </row>
    <row r="98" ht="14.25" customHeight="1" s="165"/>
    <row r="99" ht="14.25" customHeight="1" s="165">
      <c r="A99" s="2" t="inlineStr">
        <is>
          <t>TOTAL KOSTEN (exkl. COGS)</t>
        </is>
      </c>
      <c r="B99" s="35">
        <f>B45+B54+B61+B68+B75+B84+B92+B97</f>
        <v/>
      </c>
      <c r="C99" s="35">
        <f>C45+C54+C61+C68+C75+C84+C92+C97</f>
        <v/>
      </c>
      <c r="D99" s="35">
        <f>D45+D54+D61+D68+D75+D84+D92+D97</f>
        <v/>
      </c>
      <c r="E99" s="35">
        <f>E45+E54+E61+E68+E75+E84+E92+E97</f>
        <v/>
      </c>
      <c r="F99" s="35">
        <f>F45+F54+F61+F68+F75+F84+F92+F97</f>
        <v/>
      </c>
      <c r="G99" s="35">
        <f>G45+G54+G61+G68+G75+G84+G92+G97</f>
        <v/>
      </c>
      <c r="H99" s="35">
        <f>H45+H54+H61+H68+H75+H84+H92+H97</f>
        <v/>
      </c>
      <c r="I99" s="35">
        <f>I45+I54+I61+I68+I75+I84+I92+I97</f>
        <v/>
      </c>
      <c r="J99" s="35">
        <f>J45+J54+J61+J68+J75+J84+J92+J97</f>
        <v/>
      </c>
      <c r="K99" s="35">
        <f>K45+K54+K61+K68+K75+K84+K92+K97</f>
        <v/>
      </c>
      <c r="L99" s="35">
        <f>L45+L54+L61+L68+L75+L84+L92+L97</f>
        <v/>
      </c>
      <c r="M99" s="35">
        <f>M45+M54+M61+M68+M75+M84+M92+M97</f>
        <v/>
      </c>
      <c r="N99" s="35">
        <f>N45+N54+N61+N68+N75+N84+N92+N97</f>
        <v/>
      </c>
      <c r="O99" s="35">
        <f>O45+O54+O61+O68+O75+O84+O92+O97</f>
        <v/>
      </c>
      <c r="P99" s="35">
        <f>P45+P54+P61+P68+P75+P84+P92+P97</f>
        <v/>
      </c>
      <c r="Q99" s="35">
        <f>Q45+Q54+Q61+Q68+Q75+Q84+Q92+Q97</f>
        <v/>
      </c>
      <c r="R99" s="35">
        <f>R45+R54+R61+R68+R75+R84+R92+R97</f>
        <v/>
      </c>
      <c r="S99" s="35">
        <f>S45+S54+S61+S68+S75+S84+S92+S97</f>
        <v/>
      </c>
      <c r="T99" s="35">
        <f>T45+T54+T61+T68+T75+T84+T92+T97</f>
        <v/>
      </c>
      <c r="U99" s="35">
        <f>U45+U54+U61+U68+U75+U84+U92+U97</f>
        <v/>
      </c>
      <c r="V99" s="35">
        <f>V45+V54+V61+V68+V75+V84+V92+V97</f>
        <v/>
      </c>
      <c r="W99" s="35">
        <f>W45+W54+W61+W68+W75+W84+W92+W97</f>
        <v/>
      </c>
      <c r="X99" s="35">
        <f>X45+X54+X61+X68+X75+X84+X92+X97</f>
        <v/>
      </c>
      <c r="Y99" s="35">
        <f>Y45+Y54+Y61+Y68+Y75+Y84+Y92+Y97</f>
        <v/>
      </c>
      <c r="Z99" s="35">
        <f>Z45+Z54+Z61+Z68+Z75+Z84+Z92+Z97</f>
        <v/>
      </c>
      <c r="AA99" s="35">
        <f>AA45+AA54+AA61+AA68+AA75+AA84+AA92+AA97</f>
        <v/>
      </c>
      <c r="AB99" s="35">
        <f>AB45+AB54+AB61+AB68+AB75+AB84+AB92+AB97</f>
        <v/>
      </c>
      <c r="AC99" s="35">
        <f>AC45+AC54+AC61+AC68+AC75+AC84+AC92+AC97</f>
        <v/>
      </c>
      <c r="AD99" s="35">
        <f>AD45+AD54+AD61+AD68+AD75+AD84+AD92+AD97</f>
        <v/>
      </c>
      <c r="AE99" s="35">
        <f>AE45+AE54+AE61+AE68+AE75+AE84+AE92+AE97</f>
        <v/>
      </c>
      <c r="AF99" s="35">
        <f>AF45+AF54+AF61+AF68+AF75+AF84+AF92+AF97</f>
        <v/>
      </c>
      <c r="AG99" s="35">
        <f>AG45+AG54+AG61+AG68+AG75+AG84+AG92+AG97</f>
        <v/>
      </c>
      <c r="AH99" s="35">
        <f>AH45+AH54+AH61+AH68+AH75+AH84+AH92+AH97</f>
        <v/>
      </c>
      <c r="AI99" s="35">
        <f>AI45+AI54+AI61+AI68+AI75+AI84+AI92+AI97</f>
        <v/>
      </c>
      <c r="AJ99" s="35">
        <f>AJ45+AJ54+AJ61+AJ68+AJ75+AJ84+AJ92+AJ97</f>
        <v/>
      </c>
      <c r="AK99" s="35">
        <f>AK45+AK54+AK61+AK68+AK75+AK84+AK92+AK97</f>
        <v/>
      </c>
      <c r="AL99" s="35">
        <f>AL45+AL54+AL61+AL68+AL75+AL84+AL92+AL97</f>
        <v/>
      </c>
      <c r="AM99" s="35">
        <f>AM45+AM54+AM61+AM68+AM75+AM84+AM92+AM97</f>
        <v/>
      </c>
      <c r="AN99" s="35">
        <f>AN45+AN54+AN61+AN68+AN75+AN84+AN92+AN97</f>
        <v/>
      </c>
      <c r="AO99" s="35">
        <f>AO45+AO54+AO61+AO68+AO75+AO84+AO92+AO97</f>
        <v/>
      </c>
      <c r="AP99" s="35">
        <f>AP45+AP54+AP61+AP68+AP75+AP84+AP92+AP97</f>
        <v/>
      </c>
      <c r="AQ99" s="35">
        <f>AQ45+AQ54+AQ61+AQ68+AQ75+AQ84+AQ92+AQ97</f>
        <v/>
      </c>
      <c r="AR99" s="35">
        <f>AR45+AR54+AR61+AR68+AR75+AR84+AR92+AR97</f>
        <v/>
      </c>
      <c r="AS99" s="35">
        <f>AS45+AS54+AS61+AS68+AS75+AS84+AS92+AS97</f>
        <v/>
      </c>
      <c r="AT99" s="35">
        <f>AT45+AT54+AT61+AT68+AT75+AT84+AT92+AT97</f>
        <v/>
      </c>
      <c r="AU99" s="35">
        <f>AU45+AU54+AU61+AU68+AU75+AU84+AU92+AU97</f>
        <v/>
      </c>
      <c r="AV99" s="35">
        <f>AV45+AV54+AV61+AV68+AV75+AV84+AV92+AV97</f>
        <v/>
      </c>
      <c r="AW99" s="35">
        <f>AW45+AW54+AW61+AW68+AW75+AW84+AW92+AW97</f>
        <v/>
      </c>
      <c r="AX99" s="35">
        <f>AX45+AX54+AX61+AX68+AX75+AX84+AX92+AX97</f>
        <v/>
      </c>
      <c r="AY99" s="35">
        <f>AY45+AY54+AY61+AY68+AY75+AY84+AY92+AY97</f>
        <v/>
      </c>
      <c r="AZ99" s="35">
        <f>AZ45+AZ54+AZ61+AZ68+AZ75+AZ84+AZ92+AZ97</f>
        <v/>
      </c>
      <c r="BA99" s="35">
        <f>BA45+BA54+BA61+BA68+BA75+BA84+BA92+BA97</f>
        <v/>
      </c>
    </row>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sheetData>
  <mergeCells count="1">
    <mergeCell ref="B1:E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tabColor rgb="FFFFC000"/>
    <outlinePr summaryBelow="1" summaryRight="1"/>
    <pageSetUpPr/>
  </sheetPr>
  <dimension ref="A1:BA25"/>
  <sheetViews>
    <sheetView workbookViewId="0">
      <pane xSplit="1" ySplit="4" topLeftCell="B5" activePane="bottomRight" state="frozen"/>
      <selection activeCell="L4" sqref="L4"/>
      <selection pane="topRight" activeCell="L4" sqref="L4"/>
      <selection pane="bottomLeft" activeCell="L4" sqref="L4"/>
      <selection pane="bottomRight" activeCell="A3" sqref="A3:BA3"/>
    </sheetView>
  </sheetViews>
  <sheetFormatPr baseColWidth="10" defaultColWidth="14.453125" defaultRowHeight="15" customHeight="1"/>
  <cols>
    <col width="35" customWidth="1" style="165" min="1" max="1"/>
    <col width="12" customWidth="1" style="165" min="2" max="53"/>
  </cols>
  <sheetData>
    <row r="1" ht="14.25" customHeight="1" s="165">
      <c r="A1" s="1" t="inlineStr">
        <is>
          <t>BILANZ (Vereinfacht)</t>
        </is>
      </c>
    </row>
    <row r="2" ht="14.25" customHeight="1" s="165">
      <c r="B2" s="38" t="n">
        <v>46113</v>
      </c>
      <c r="C2" s="38" t="n">
        <v>46143</v>
      </c>
      <c r="D2" s="38" t="n">
        <v>46174</v>
      </c>
      <c r="E2" s="38" t="n">
        <v>46204</v>
      </c>
      <c r="F2" s="38" t="n">
        <v>46235</v>
      </c>
      <c r="G2" s="38" t="n">
        <v>46266</v>
      </c>
      <c r="H2" s="38" t="n">
        <v>46296</v>
      </c>
      <c r="I2" s="38" t="n">
        <v>46327</v>
      </c>
      <c r="J2" s="38" t="n">
        <v>46357</v>
      </c>
      <c r="K2" s="38" t="n">
        <v>46388</v>
      </c>
      <c r="L2" s="38" t="n">
        <v>46419</v>
      </c>
      <c r="M2" s="38" t="n">
        <v>46447</v>
      </c>
      <c r="N2" s="38" t="n">
        <v>46478</v>
      </c>
      <c r="O2" s="38" t="n">
        <v>46508</v>
      </c>
      <c r="P2" s="38" t="n">
        <v>46539</v>
      </c>
      <c r="Q2" s="38" t="n">
        <v>46569</v>
      </c>
      <c r="R2" s="38" t="n">
        <v>46600</v>
      </c>
      <c r="S2" s="38" t="n">
        <v>46631</v>
      </c>
      <c r="T2" s="38" t="n">
        <v>46661</v>
      </c>
      <c r="U2" s="38" t="n">
        <v>46692</v>
      </c>
      <c r="V2" s="38" t="n">
        <v>46722</v>
      </c>
      <c r="W2" s="38" t="n">
        <v>46753</v>
      </c>
      <c r="X2" s="38" t="n">
        <v>46784</v>
      </c>
      <c r="Y2" s="38" t="n">
        <v>46813</v>
      </c>
      <c r="Z2" s="38" t="n">
        <v>46844</v>
      </c>
      <c r="AA2" s="38" t="n">
        <v>46874</v>
      </c>
      <c r="AB2" s="38" t="n">
        <v>46905</v>
      </c>
      <c r="AC2" s="38" t="n">
        <v>46935</v>
      </c>
      <c r="AD2" s="38" t="n">
        <v>46966</v>
      </c>
      <c r="AE2" s="38" t="n">
        <v>46997</v>
      </c>
      <c r="AF2" s="38" t="n">
        <v>47027</v>
      </c>
      <c r="AG2" s="38" t="n">
        <v>47058</v>
      </c>
      <c r="AH2" s="38" t="n">
        <v>47088</v>
      </c>
      <c r="AI2" s="38" t="n">
        <v>47119</v>
      </c>
      <c r="AJ2" s="38" t="n">
        <v>47150</v>
      </c>
      <c r="AK2" s="38" t="n">
        <v>47178</v>
      </c>
      <c r="AL2" s="38" t="n">
        <v>47209</v>
      </c>
      <c r="AM2" s="38" t="n">
        <v>47239</v>
      </c>
      <c r="AN2" s="38" t="n">
        <v>47270</v>
      </c>
      <c r="AO2" s="38" t="n">
        <v>47300</v>
      </c>
      <c r="AP2" s="38" t="n">
        <v>47331</v>
      </c>
      <c r="AQ2" s="38" t="n">
        <v>47362</v>
      </c>
      <c r="AR2" s="38" t="n">
        <v>47392</v>
      </c>
      <c r="AS2" s="38" t="n">
        <v>47423</v>
      </c>
      <c r="AT2" s="38" t="n">
        <v>47453</v>
      </c>
      <c r="AU2" s="38" t="n">
        <v>47484</v>
      </c>
      <c r="AV2" s="38" t="n">
        <v>47515</v>
      </c>
      <c r="AW2" s="38" t="n">
        <v>47543</v>
      </c>
      <c r="AX2" s="38" t="n">
        <v>47574</v>
      </c>
      <c r="AY2" s="38" t="n">
        <v>47604</v>
      </c>
      <c r="AZ2" s="38" t="n">
        <v>47635</v>
      </c>
      <c r="BA2" s="38" t="n">
        <v>47665</v>
      </c>
    </row>
    <row r="3" ht="14.25" customFormat="1" customHeight="1" s="178">
      <c r="A3" s="229" t="inlineStr">
        <is>
          <t>Startup-Phase</t>
        </is>
      </c>
      <c r="B3" s="228" t="inlineStr">
        <is>
          <t>Ideation</t>
        </is>
      </c>
      <c r="C3" s="228" t="inlineStr">
        <is>
          <t>Ideation</t>
        </is>
      </c>
      <c r="D3" s="228" t="inlineStr">
        <is>
          <t>Ideation</t>
        </is>
      </c>
      <c r="E3" s="228" t="inlineStr">
        <is>
          <t>Ideation</t>
        </is>
      </c>
      <c r="F3" s="224" t="inlineStr">
        <is>
          <t>Pre-Seed</t>
        </is>
      </c>
      <c r="G3" s="224" t="inlineStr">
        <is>
          <t>Pre-Seed</t>
        </is>
      </c>
      <c r="H3" s="224" t="inlineStr">
        <is>
          <t>Pre-Seed</t>
        </is>
      </c>
      <c r="I3" s="224" t="inlineStr">
        <is>
          <t>Pre-Seed</t>
        </is>
      </c>
      <c r="J3" s="224" t="inlineStr">
        <is>
          <t>Pre-Seed</t>
        </is>
      </c>
      <c r="K3" s="224" t="inlineStr">
        <is>
          <t>Pre-Seed</t>
        </is>
      </c>
      <c r="L3" s="224" t="inlineStr">
        <is>
          <t>Pre-Seed</t>
        </is>
      </c>
      <c r="M3" s="224" t="inlineStr">
        <is>
          <t>Pre-Seed</t>
        </is>
      </c>
      <c r="N3" s="224" t="inlineStr">
        <is>
          <t>Pre-Seed</t>
        </is>
      </c>
      <c r="O3" s="224" t="inlineStr">
        <is>
          <t>Pre-Seed</t>
        </is>
      </c>
      <c r="P3" s="224" t="inlineStr">
        <is>
          <t>Pre-Seed</t>
        </is>
      </c>
      <c r="Q3" s="224" t="inlineStr">
        <is>
          <t>Pre-Seed</t>
        </is>
      </c>
      <c r="R3" s="225" t="inlineStr">
        <is>
          <t>Seed</t>
        </is>
      </c>
      <c r="S3" s="225" t="inlineStr">
        <is>
          <t>Seed</t>
        </is>
      </c>
      <c r="T3" s="225" t="inlineStr">
        <is>
          <t>Seed</t>
        </is>
      </c>
      <c r="U3" s="225" t="inlineStr">
        <is>
          <t>Seed</t>
        </is>
      </c>
      <c r="V3" s="225" t="inlineStr">
        <is>
          <t>Seed</t>
        </is>
      </c>
      <c r="W3" s="225" t="inlineStr">
        <is>
          <t>Seed</t>
        </is>
      </c>
      <c r="X3" s="225" t="inlineStr">
        <is>
          <t>Seed</t>
        </is>
      </c>
      <c r="Y3" s="225" t="inlineStr">
        <is>
          <t>Seed</t>
        </is>
      </c>
      <c r="Z3" s="225" t="inlineStr">
        <is>
          <t>Seed</t>
        </is>
      </c>
      <c r="AA3" s="225" t="inlineStr">
        <is>
          <t>Seed</t>
        </is>
      </c>
      <c r="AB3" s="225" t="inlineStr">
        <is>
          <t>Seed</t>
        </is>
      </c>
      <c r="AC3" s="225" t="inlineStr">
        <is>
          <t>Seed</t>
        </is>
      </c>
      <c r="AD3" s="226" t="inlineStr">
        <is>
          <t>Series A</t>
        </is>
      </c>
      <c r="AE3" s="226" t="inlineStr">
        <is>
          <t>Series A</t>
        </is>
      </c>
      <c r="AF3" s="226" t="inlineStr">
        <is>
          <t>Series A</t>
        </is>
      </c>
      <c r="AG3" s="226" t="inlineStr">
        <is>
          <t>Series A</t>
        </is>
      </c>
      <c r="AH3" s="226" t="inlineStr">
        <is>
          <t>Series A</t>
        </is>
      </c>
      <c r="AI3" s="226" t="inlineStr">
        <is>
          <t>Series A</t>
        </is>
      </c>
      <c r="AJ3" s="226" t="inlineStr">
        <is>
          <t>Series A</t>
        </is>
      </c>
      <c r="AK3" s="226" t="inlineStr">
        <is>
          <t>Series A</t>
        </is>
      </c>
      <c r="AL3" s="226" t="inlineStr">
        <is>
          <t>Series A</t>
        </is>
      </c>
      <c r="AM3" s="226" t="inlineStr">
        <is>
          <t>Series A</t>
        </is>
      </c>
      <c r="AN3" s="226" t="inlineStr">
        <is>
          <t>Series A</t>
        </is>
      </c>
      <c r="AO3" s="226" t="inlineStr">
        <is>
          <t>Series A</t>
        </is>
      </c>
      <c r="AP3" s="227" t="inlineStr">
        <is>
          <t>Series B</t>
        </is>
      </c>
      <c r="AQ3" s="227" t="inlineStr">
        <is>
          <t>Series B</t>
        </is>
      </c>
      <c r="AR3" s="227" t="inlineStr">
        <is>
          <t>Series B</t>
        </is>
      </c>
      <c r="AS3" s="227" t="inlineStr">
        <is>
          <t>Series B</t>
        </is>
      </c>
      <c r="AT3" s="227" t="inlineStr">
        <is>
          <t>Series B</t>
        </is>
      </c>
      <c r="AU3" s="227" t="inlineStr">
        <is>
          <t>Series B</t>
        </is>
      </c>
      <c r="AV3" s="227" t="inlineStr">
        <is>
          <t>Series B</t>
        </is>
      </c>
      <c r="AW3" s="227" t="inlineStr">
        <is>
          <t>Series B</t>
        </is>
      </c>
      <c r="AX3" s="227" t="inlineStr">
        <is>
          <t>Series B</t>
        </is>
      </c>
      <c r="AY3" s="227" t="inlineStr">
        <is>
          <t>Series B</t>
        </is>
      </c>
      <c r="AZ3" s="227" t="inlineStr">
        <is>
          <t>Series B</t>
        </is>
      </c>
      <c r="BA3" s="227" t="inlineStr">
        <is>
          <t>Series B</t>
        </is>
      </c>
    </row>
    <row r="4" ht="14.25" customHeight="1" s="165">
      <c r="A4" s="33" t="inlineStr">
        <is>
          <t>Position</t>
        </is>
      </c>
      <c r="B4" s="33" t="inlineStr">
        <is>
          <t>M1</t>
        </is>
      </c>
      <c r="C4" s="33" t="inlineStr">
        <is>
          <t>M2</t>
        </is>
      </c>
      <c r="D4" s="33" t="inlineStr">
        <is>
          <t>M3</t>
        </is>
      </c>
      <c r="E4" s="33" t="inlineStr">
        <is>
          <t>M4</t>
        </is>
      </c>
      <c r="F4" s="33" t="inlineStr">
        <is>
          <t>M5</t>
        </is>
      </c>
      <c r="G4" s="33" t="inlineStr">
        <is>
          <t>M6</t>
        </is>
      </c>
      <c r="H4" s="33" t="inlineStr">
        <is>
          <t>M7</t>
        </is>
      </c>
      <c r="I4" s="33" t="inlineStr">
        <is>
          <t>M8</t>
        </is>
      </c>
      <c r="J4" s="33" t="inlineStr">
        <is>
          <t>M9</t>
        </is>
      </c>
      <c r="K4" s="33" t="inlineStr">
        <is>
          <t>M10</t>
        </is>
      </c>
      <c r="L4" s="33" t="inlineStr">
        <is>
          <t>M11</t>
        </is>
      </c>
      <c r="M4" s="33" t="inlineStr">
        <is>
          <t>M12</t>
        </is>
      </c>
      <c r="N4" s="33" t="inlineStr">
        <is>
          <t>M13</t>
        </is>
      </c>
      <c r="O4" s="33" t="inlineStr">
        <is>
          <t>M14</t>
        </is>
      </c>
      <c r="P4" s="33" t="inlineStr">
        <is>
          <t>M15</t>
        </is>
      </c>
      <c r="Q4" s="33" t="inlineStr">
        <is>
          <t>M16</t>
        </is>
      </c>
      <c r="R4" s="33" t="inlineStr">
        <is>
          <t>M17</t>
        </is>
      </c>
      <c r="S4" s="33" t="inlineStr">
        <is>
          <t>M18</t>
        </is>
      </c>
      <c r="T4" s="33" t="inlineStr">
        <is>
          <t>M19</t>
        </is>
      </c>
      <c r="U4" s="33" t="inlineStr">
        <is>
          <t>M20</t>
        </is>
      </c>
      <c r="V4" s="33" t="inlineStr">
        <is>
          <t>M21</t>
        </is>
      </c>
      <c r="W4" s="33" t="inlineStr">
        <is>
          <t>M22</t>
        </is>
      </c>
      <c r="X4" s="33" t="inlineStr">
        <is>
          <t>M23</t>
        </is>
      </c>
      <c r="Y4" s="33" t="inlineStr">
        <is>
          <t>M24</t>
        </is>
      </c>
      <c r="Z4" s="33" t="inlineStr">
        <is>
          <t>M25</t>
        </is>
      </c>
      <c r="AA4" s="33" t="inlineStr">
        <is>
          <t>M26</t>
        </is>
      </c>
      <c r="AB4" s="33" t="inlineStr">
        <is>
          <t>M27</t>
        </is>
      </c>
      <c r="AC4" s="33" t="inlineStr">
        <is>
          <t>M28</t>
        </is>
      </c>
      <c r="AD4" s="33" t="inlineStr">
        <is>
          <t>M29</t>
        </is>
      </c>
      <c r="AE4" s="33" t="inlineStr">
        <is>
          <t>M30</t>
        </is>
      </c>
      <c r="AF4" s="33" t="inlineStr">
        <is>
          <t>M31</t>
        </is>
      </c>
      <c r="AG4" s="33" t="inlineStr">
        <is>
          <t>M32</t>
        </is>
      </c>
      <c r="AH4" s="33" t="inlineStr">
        <is>
          <t>M33</t>
        </is>
      </c>
      <c r="AI4" s="33" t="inlineStr">
        <is>
          <t>M34</t>
        </is>
      </c>
      <c r="AJ4" s="33" t="inlineStr">
        <is>
          <t>M35</t>
        </is>
      </c>
      <c r="AK4" s="33" t="inlineStr">
        <is>
          <t>M36</t>
        </is>
      </c>
      <c r="AL4" s="33" t="inlineStr">
        <is>
          <t>M37</t>
        </is>
      </c>
      <c r="AM4" s="33" t="inlineStr">
        <is>
          <t>M38</t>
        </is>
      </c>
      <c r="AN4" s="33" t="inlineStr">
        <is>
          <t>M39</t>
        </is>
      </c>
      <c r="AO4" s="33" t="inlineStr">
        <is>
          <t>M40</t>
        </is>
      </c>
      <c r="AP4" s="33" t="inlineStr">
        <is>
          <t>M41</t>
        </is>
      </c>
      <c r="AQ4" s="33" t="inlineStr">
        <is>
          <t>M42</t>
        </is>
      </c>
      <c r="AR4" s="33" t="inlineStr">
        <is>
          <t>M43</t>
        </is>
      </c>
      <c r="AS4" s="33" t="inlineStr">
        <is>
          <t>M44</t>
        </is>
      </c>
      <c r="AT4" s="33" t="inlineStr">
        <is>
          <t>M45</t>
        </is>
      </c>
      <c r="AU4" s="33" t="inlineStr">
        <is>
          <t>M46</t>
        </is>
      </c>
      <c r="AV4" s="33" t="inlineStr">
        <is>
          <t>M47</t>
        </is>
      </c>
      <c r="AW4" s="33" t="inlineStr">
        <is>
          <t>M48</t>
        </is>
      </c>
      <c r="AX4" s="33" t="inlineStr">
        <is>
          <t>M49</t>
        </is>
      </c>
      <c r="AY4" s="33" t="inlineStr">
        <is>
          <t>M50</t>
        </is>
      </c>
      <c r="AZ4" s="33" t="inlineStr">
        <is>
          <t>M51</t>
        </is>
      </c>
      <c r="BA4" s="33" t="inlineStr">
        <is>
          <t>M52</t>
        </is>
      </c>
    </row>
    <row r="5" ht="14.25" customHeight="1" s="165">
      <c r="A5" s="2" t="inlineStr">
        <is>
          <t>AKTIVA (ASSETS)</t>
        </is>
      </c>
    </row>
    <row r="6" ht="14.25" customHeight="1" s="165">
      <c r="A6" s="3" t="inlineStr">
        <is>
          <t>Cash &amp; Cash Equivalents</t>
        </is>
      </c>
      <c r="B6" s="34">
        <f>'Cash Flow'!B23</f>
        <v/>
      </c>
      <c r="C6" s="34">
        <f>'Cash Flow'!C23</f>
        <v/>
      </c>
      <c r="D6" s="34">
        <f>'Cash Flow'!D23</f>
        <v/>
      </c>
      <c r="E6" s="34">
        <f>'Cash Flow'!E23</f>
        <v/>
      </c>
      <c r="F6" s="34">
        <f>'Cash Flow'!F23</f>
        <v/>
      </c>
      <c r="G6" s="34">
        <f>'Cash Flow'!G23</f>
        <v/>
      </c>
      <c r="H6" s="34">
        <f>'Cash Flow'!H23</f>
        <v/>
      </c>
      <c r="I6" s="34">
        <f>'Cash Flow'!I23</f>
        <v/>
      </c>
      <c r="J6" s="34">
        <f>'Cash Flow'!J23</f>
        <v/>
      </c>
      <c r="K6" s="34">
        <f>'Cash Flow'!K23</f>
        <v/>
      </c>
      <c r="L6" s="34">
        <f>'Cash Flow'!L23</f>
        <v/>
      </c>
      <c r="M6" s="34">
        <f>'Cash Flow'!M23</f>
        <v/>
      </c>
      <c r="N6" s="34">
        <f>'Cash Flow'!N23</f>
        <v/>
      </c>
      <c r="O6" s="34">
        <f>'Cash Flow'!O23</f>
        <v/>
      </c>
      <c r="P6" s="34">
        <f>'Cash Flow'!P23</f>
        <v/>
      </c>
      <c r="Q6" s="34">
        <f>'Cash Flow'!Q23</f>
        <v/>
      </c>
      <c r="R6" s="34">
        <f>'Cash Flow'!R23</f>
        <v/>
      </c>
      <c r="S6" s="34">
        <f>'Cash Flow'!S23</f>
        <v/>
      </c>
      <c r="T6" s="34">
        <f>'Cash Flow'!T23</f>
        <v/>
      </c>
      <c r="U6" s="34">
        <f>'Cash Flow'!U23</f>
        <v/>
      </c>
      <c r="V6" s="34">
        <f>'Cash Flow'!V23</f>
        <v/>
      </c>
      <c r="W6" s="34">
        <f>'Cash Flow'!W23</f>
        <v/>
      </c>
      <c r="X6" s="34">
        <f>'Cash Flow'!X23</f>
        <v/>
      </c>
      <c r="Y6" s="34">
        <f>'Cash Flow'!Y23</f>
        <v/>
      </c>
      <c r="Z6" s="34">
        <f>'Cash Flow'!Z23</f>
        <v/>
      </c>
      <c r="AA6" s="34">
        <f>'Cash Flow'!AA23</f>
        <v/>
      </c>
      <c r="AB6" s="34">
        <f>'Cash Flow'!AB23</f>
        <v/>
      </c>
      <c r="AC6" s="34">
        <f>'Cash Flow'!AC23</f>
        <v/>
      </c>
      <c r="AD6" s="34">
        <f>'Cash Flow'!AD23</f>
        <v/>
      </c>
      <c r="AE6" s="34">
        <f>'Cash Flow'!AE23</f>
        <v/>
      </c>
      <c r="AF6" s="34">
        <f>'Cash Flow'!AF23</f>
        <v/>
      </c>
      <c r="AG6" s="34">
        <f>'Cash Flow'!AG23</f>
        <v/>
      </c>
      <c r="AH6" s="34">
        <f>'Cash Flow'!AH23</f>
        <v/>
      </c>
      <c r="AI6" s="34">
        <f>'Cash Flow'!AI23</f>
        <v/>
      </c>
      <c r="AJ6" s="34">
        <f>'Cash Flow'!AJ23</f>
        <v/>
      </c>
      <c r="AK6" s="34">
        <f>'Cash Flow'!AK23</f>
        <v/>
      </c>
      <c r="AL6" s="34">
        <f>'Cash Flow'!AL23</f>
        <v/>
      </c>
      <c r="AM6" s="34">
        <f>'Cash Flow'!AM23</f>
        <v/>
      </c>
      <c r="AN6" s="34">
        <f>'Cash Flow'!AN23</f>
        <v/>
      </c>
      <c r="AO6" s="34">
        <f>'Cash Flow'!AO23</f>
        <v/>
      </c>
      <c r="AP6" s="34">
        <f>'Cash Flow'!AP23</f>
        <v/>
      </c>
      <c r="AQ6" s="34">
        <f>'Cash Flow'!AQ23</f>
        <v/>
      </c>
      <c r="AR6" s="34">
        <f>'Cash Flow'!AR23</f>
        <v/>
      </c>
      <c r="AS6" s="34">
        <f>'Cash Flow'!AS23</f>
        <v/>
      </c>
      <c r="AT6" s="34">
        <f>'Cash Flow'!AT23</f>
        <v/>
      </c>
      <c r="AU6" s="34">
        <f>'Cash Flow'!AU23</f>
        <v/>
      </c>
      <c r="AV6" s="34">
        <f>'Cash Flow'!AV23</f>
        <v/>
      </c>
      <c r="AW6" s="34">
        <f>'Cash Flow'!AW23</f>
        <v/>
      </c>
      <c r="AX6" s="34">
        <f>'Cash Flow'!AX23</f>
        <v/>
      </c>
      <c r="AY6" s="34">
        <f>'Cash Flow'!AY23</f>
        <v/>
      </c>
      <c r="AZ6" s="34">
        <f>'Cash Flow'!AZ23</f>
        <v/>
      </c>
      <c r="BA6" s="34">
        <f>'Cash Flow'!BA23</f>
        <v/>
      </c>
    </row>
    <row r="7" ht="14.25" customHeight="1" s="165">
      <c r="A7" s="3" t="inlineStr">
        <is>
          <t>Accounts Receivable</t>
        </is>
      </c>
      <c r="B7" s="34">
        <f>'P&amp;L'!B8</f>
        <v/>
      </c>
      <c r="C7" s="34">
        <f>'P&amp;L'!C8</f>
        <v/>
      </c>
      <c r="D7" s="34">
        <f>'P&amp;L'!D8</f>
        <v/>
      </c>
      <c r="E7" s="34">
        <f>'P&amp;L'!E8</f>
        <v/>
      </c>
      <c r="F7" s="34">
        <f>'P&amp;L'!F8</f>
        <v/>
      </c>
      <c r="G7" s="34">
        <f>'P&amp;L'!G8</f>
        <v/>
      </c>
      <c r="H7" s="34">
        <f>'P&amp;L'!H8</f>
        <v/>
      </c>
      <c r="I7" s="34">
        <f>'P&amp;L'!I8</f>
        <v/>
      </c>
      <c r="J7" s="34">
        <f>'P&amp;L'!J8</f>
        <v/>
      </c>
      <c r="K7" s="34">
        <f>'P&amp;L'!K8</f>
        <v/>
      </c>
      <c r="L7" s="34">
        <f>'P&amp;L'!L8</f>
        <v/>
      </c>
      <c r="M7" s="34">
        <f>'P&amp;L'!M8</f>
        <v/>
      </c>
      <c r="N7" s="34">
        <f>'P&amp;L'!N8</f>
        <v/>
      </c>
      <c r="O7" s="34">
        <f>'P&amp;L'!O8</f>
        <v/>
      </c>
      <c r="P7" s="34">
        <f>'P&amp;L'!P8</f>
        <v/>
      </c>
      <c r="Q7" s="34">
        <f>'P&amp;L'!Q8</f>
        <v/>
      </c>
      <c r="R7" s="34">
        <f>'P&amp;L'!R8</f>
        <v/>
      </c>
      <c r="S7" s="34">
        <f>'P&amp;L'!S8</f>
        <v/>
      </c>
      <c r="T7" s="34">
        <f>'P&amp;L'!T8</f>
        <v/>
      </c>
      <c r="U7" s="34">
        <f>'P&amp;L'!U8</f>
        <v/>
      </c>
      <c r="V7" s="34">
        <f>'P&amp;L'!V8</f>
        <v/>
      </c>
      <c r="W7" s="34">
        <f>'P&amp;L'!W8</f>
        <v/>
      </c>
      <c r="X7" s="34">
        <f>'P&amp;L'!X8</f>
        <v/>
      </c>
      <c r="Y7" s="34">
        <f>'P&amp;L'!Y8</f>
        <v/>
      </c>
      <c r="Z7" s="34">
        <f>'P&amp;L'!Z8</f>
        <v/>
      </c>
      <c r="AA7" s="34">
        <f>'P&amp;L'!AA8</f>
        <v/>
      </c>
      <c r="AB7" s="34">
        <f>'P&amp;L'!AB8</f>
        <v/>
      </c>
      <c r="AC7" s="34">
        <f>'P&amp;L'!AC8</f>
        <v/>
      </c>
      <c r="AD7" s="34">
        <f>'P&amp;L'!AD8</f>
        <v/>
      </c>
      <c r="AE7" s="34">
        <f>'P&amp;L'!AE8</f>
        <v/>
      </c>
      <c r="AF7" s="34">
        <f>'P&amp;L'!AF8</f>
        <v/>
      </c>
      <c r="AG7" s="34">
        <f>'P&amp;L'!AG8</f>
        <v/>
      </c>
      <c r="AH7" s="34">
        <f>'P&amp;L'!AH8</f>
        <v/>
      </c>
      <c r="AI7" s="34">
        <f>'P&amp;L'!AI8</f>
        <v/>
      </c>
      <c r="AJ7" s="34">
        <f>'P&amp;L'!AJ8</f>
        <v/>
      </c>
      <c r="AK7" s="34">
        <f>'P&amp;L'!AK8</f>
        <v/>
      </c>
      <c r="AL7" s="34">
        <f>'P&amp;L'!AL8</f>
        <v/>
      </c>
      <c r="AM7" s="34">
        <f>'P&amp;L'!AM8</f>
        <v/>
      </c>
      <c r="AN7" s="34">
        <f>'P&amp;L'!AN8</f>
        <v/>
      </c>
      <c r="AO7" s="34">
        <f>'P&amp;L'!AO8</f>
        <v/>
      </c>
      <c r="AP7" s="34">
        <f>'P&amp;L'!AP8</f>
        <v/>
      </c>
      <c r="AQ7" s="34">
        <f>'P&amp;L'!AQ8</f>
        <v/>
      </c>
      <c r="AR7" s="34">
        <f>'P&amp;L'!AR8</f>
        <v/>
      </c>
      <c r="AS7" s="34">
        <f>'P&amp;L'!AS8</f>
        <v/>
      </c>
      <c r="AT7" s="34">
        <f>'P&amp;L'!AT8</f>
        <v/>
      </c>
      <c r="AU7" s="34">
        <f>'P&amp;L'!AU8</f>
        <v/>
      </c>
      <c r="AV7" s="34">
        <f>'P&amp;L'!AV8</f>
        <v/>
      </c>
      <c r="AW7" s="34">
        <f>'P&amp;L'!AW8</f>
        <v/>
      </c>
      <c r="AX7" s="34">
        <f>'P&amp;L'!AX8</f>
        <v/>
      </c>
      <c r="AY7" s="34">
        <f>'P&amp;L'!AY8</f>
        <v/>
      </c>
      <c r="AZ7" s="34">
        <f>'P&amp;L'!AZ8</f>
        <v/>
      </c>
      <c r="BA7" s="34">
        <f>'P&amp;L'!BA8</f>
        <v/>
      </c>
    </row>
    <row r="8" ht="14.25" customHeight="1" s="165">
      <c r="A8" s="3" t="inlineStr">
        <is>
          <t>Prepaid Expenses</t>
        </is>
      </c>
      <c r="B8" s="37" t="n">
        <v>0</v>
      </c>
      <c r="C8" s="37" t="n">
        <v>0</v>
      </c>
      <c r="D8" s="37" t="n">
        <v>0</v>
      </c>
      <c r="E8" s="37" t="n">
        <v>0</v>
      </c>
      <c r="F8" s="37" t="n">
        <v>0</v>
      </c>
      <c r="G8" s="37" t="n">
        <v>0</v>
      </c>
      <c r="H8" s="37" t="n">
        <v>0</v>
      </c>
      <c r="I8" s="37" t="n">
        <v>0</v>
      </c>
      <c r="J8" s="37" t="n">
        <v>0</v>
      </c>
      <c r="K8" s="37" t="n">
        <v>0</v>
      </c>
      <c r="L8" s="37" t="n">
        <v>0</v>
      </c>
      <c r="M8" s="37" t="n">
        <v>0</v>
      </c>
      <c r="N8" s="37" t="n">
        <v>0</v>
      </c>
      <c r="O8" s="37" t="n">
        <v>0</v>
      </c>
      <c r="P8" s="37" t="n">
        <v>0</v>
      </c>
      <c r="Q8" s="37" t="n">
        <v>0</v>
      </c>
      <c r="R8" s="37" t="n">
        <v>0</v>
      </c>
      <c r="S8" s="37" t="n">
        <v>0</v>
      </c>
      <c r="T8" s="37" t="n">
        <v>0</v>
      </c>
      <c r="U8" s="37" t="n">
        <v>0</v>
      </c>
      <c r="V8" s="37" t="n">
        <v>0</v>
      </c>
      <c r="W8" s="37" t="n">
        <v>0</v>
      </c>
      <c r="X8" s="37" t="n">
        <v>0</v>
      </c>
      <c r="Y8" s="37" t="n">
        <v>0</v>
      </c>
      <c r="Z8" s="37" t="n">
        <v>0</v>
      </c>
      <c r="AA8" s="37" t="n">
        <v>0</v>
      </c>
      <c r="AB8" s="37" t="n">
        <v>0</v>
      </c>
      <c r="AC8" s="37" t="n">
        <v>0</v>
      </c>
      <c r="AD8" s="37" t="n">
        <v>0</v>
      </c>
      <c r="AE8" s="37" t="n">
        <v>0</v>
      </c>
      <c r="AF8" s="37" t="n">
        <v>0</v>
      </c>
      <c r="AG8" s="37" t="n">
        <v>0</v>
      </c>
      <c r="AH8" s="37" t="n">
        <v>0</v>
      </c>
      <c r="AI8" s="37" t="n">
        <v>0</v>
      </c>
      <c r="AJ8" s="37" t="n">
        <v>0</v>
      </c>
      <c r="AK8" s="37" t="n">
        <v>0</v>
      </c>
      <c r="AL8" s="37" t="n">
        <v>0</v>
      </c>
      <c r="AM8" s="37" t="n">
        <v>0</v>
      </c>
      <c r="AN8" s="37" t="n">
        <v>0</v>
      </c>
      <c r="AO8" s="37" t="n">
        <v>0</v>
      </c>
      <c r="AP8" s="37" t="n">
        <v>0</v>
      </c>
      <c r="AQ8" s="37" t="n">
        <v>0</v>
      </c>
      <c r="AR8" s="37" t="n">
        <v>0</v>
      </c>
      <c r="AS8" s="37" t="n">
        <v>0</v>
      </c>
      <c r="AT8" s="37" t="n">
        <v>0</v>
      </c>
      <c r="AU8" s="37" t="n">
        <v>0</v>
      </c>
      <c r="AV8" s="37" t="n">
        <v>0</v>
      </c>
      <c r="AW8" s="37" t="n">
        <v>0</v>
      </c>
      <c r="AX8" s="37" t="n">
        <v>0</v>
      </c>
      <c r="AY8" s="37" t="n">
        <v>0</v>
      </c>
      <c r="AZ8" s="37" t="n">
        <v>0</v>
      </c>
      <c r="BA8" s="37" t="n">
        <v>0</v>
      </c>
    </row>
    <row r="9" ht="14.25" customHeight="1" s="165">
      <c r="A9" s="3" t="inlineStr">
        <is>
          <t>Property &amp; Equipment (net)</t>
        </is>
      </c>
      <c r="B9" s="37">
        <f>Costs!B90+Inputs!$B$89</f>
        <v/>
      </c>
      <c r="C9" s="37">
        <f>B9+Costs!C90-'P&amp;L'!C32</f>
        <v/>
      </c>
      <c r="D9" s="37">
        <f>C9+Costs!D90-'P&amp;L'!D32</f>
        <v/>
      </c>
      <c r="E9" s="37">
        <f>D9+Costs!E90-'P&amp;L'!E32</f>
        <v/>
      </c>
      <c r="F9" s="37">
        <f>E9+Costs!F90-'P&amp;L'!F32</f>
        <v/>
      </c>
      <c r="G9" s="37">
        <f>F9+Costs!G90-'P&amp;L'!G32</f>
        <v/>
      </c>
      <c r="H9" s="37">
        <f>G9+Costs!H90-'P&amp;L'!H32</f>
        <v/>
      </c>
      <c r="I9" s="37">
        <f>H9+Costs!I90-'P&amp;L'!I32</f>
        <v/>
      </c>
      <c r="J9" s="37">
        <f>I9+Costs!J90-'P&amp;L'!J32</f>
        <v/>
      </c>
      <c r="K9" s="37">
        <f>J9+Costs!K90-'P&amp;L'!K32</f>
        <v/>
      </c>
      <c r="L9" s="37">
        <f>K9+Costs!L90-'P&amp;L'!L32</f>
        <v/>
      </c>
      <c r="M9" s="37">
        <f>L9+Costs!M90-'P&amp;L'!M32</f>
        <v/>
      </c>
      <c r="N9" s="37">
        <f>M9+Costs!N90-'P&amp;L'!N32</f>
        <v/>
      </c>
      <c r="O9" s="37">
        <f>N9+Costs!O90-'P&amp;L'!O32</f>
        <v/>
      </c>
      <c r="P9" s="37">
        <f>O9+Costs!P90-'P&amp;L'!P32</f>
        <v/>
      </c>
      <c r="Q9" s="37">
        <f>P9+Costs!Q90-'P&amp;L'!Q32</f>
        <v/>
      </c>
      <c r="R9" s="37">
        <f>Q9+Costs!R90-'P&amp;L'!R32</f>
        <v/>
      </c>
      <c r="S9" s="37">
        <f>R9+Costs!S90-'P&amp;L'!S32</f>
        <v/>
      </c>
      <c r="T9" s="37">
        <f>S9+Costs!T90-'P&amp;L'!T32</f>
        <v/>
      </c>
      <c r="U9" s="37">
        <f>T9+Costs!U90-'P&amp;L'!U32</f>
        <v/>
      </c>
      <c r="V9" s="37">
        <f>U9+Costs!V90-'P&amp;L'!V32</f>
        <v/>
      </c>
      <c r="W9" s="37">
        <f>V9+Costs!W90-'P&amp;L'!W32</f>
        <v/>
      </c>
      <c r="X9" s="37">
        <f>W9+Costs!X90-'P&amp;L'!X32</f>
        <v/>
      </c>
      <c r="Y9" s="37">
        <f>X9+Costs!Y90-'P&amp;L'!Y32</f>
        <v/>
      </c>
      <c r="Z9" s="37">
        <f>Y9+Costs!Z90-'P&amp;L'!Z32</f>
        <v/>
      </c>
      <c r="AA9" s="37">
        <f>Z9+Costs!AA90-'P&amp;L'!AA32</f>
        <v/>
      </c>
      <c r="AB9" s="37">
        <f>AA9+Costs!AB90-'P&amp;L'!AB32</f>
        <v/>
      </c>
      <c r="AC9" s="37">
        <f>AB9+Costs!AC90-'P&amp;L'!AC32</f>
        <v/>
      </c>
      <c r="AD9" s="37">
        <f>AC9+Costs!AD90-'P&amp;L'!AD32</f>
        <v/>
      </c>
      <c r="AE9" s="37">
        <f>AD9+Costs!AE90-'P&amp;L'!AE32</f>
        <v/>
      </c>
      <c r="AF9" s="37">
        <f>AE9+Costs!AF90-'P&amp;L'!AF32</f>
        <v/>
      </c>
      <c r="AG9" s="37">
        <f>AF9+Costs!AG90-'P&amp;L'!AG32</f>
        <v/>
      </c>
      <c r="AH9" s="37">
        <f>AG9+Costs!AH90-'P&amp;L'!AH32</f>
        <v/>
      </c>
      <c r="AI9" s="37">
        <f>AH9+Costs!AI90-'P&amp;L'!AI32</f>
        <v/>
      </c>
      <c r="AJ9" s="37">
        <f>AI9+Costs!AJ90-'P&amp;L'!AJ32</f>
        <v/>
      </c>
      <c r="AK9" s="37">
        <f>AJ9+Costs!AK90-'P&amp;L'!AK32</f>
        <v/>
      </c>
      <c r="AL9" s="37">
        <f>AK9+Costs!AL90-'P&amp;L'!AL32</f>
        <v/>
      </c>
      <c r="AM9" s="37">
        <f>AL9+Costs!AM90-'P&amp;L'!AM32</f>
        <v/>
      </c>
      <c r="AN9" s="37">
        <f>AM9+Costs!AN90-'P&amp;L'!AN32</f>
        <v/>
      </c>
      <c r="AO9" s="37">
        <f>AN9+Costs!AO90-'P&amp;L'!AO32</f>
        <v/>
      </c>
      <c r="AP9" s="37">
        <f>AO9+Costs!AP90-'P&amp;L'!AP32</f>
        <v/>
      </c>
      <c r="AQ9" s="37">
        <f>AP9+Costs!AQ90-'P&amp;L'!AQ32</f>
        <v/>
      </c>
      <c r="AR9" s="37">
        <f>AQ9+Costs!AR90-'P&amp;L'!AR32</f>
        <v/>
      </c>
      <c r="AS9" s="37">
        <f>AR9+Costs!AS90-'P&amp;L'!AS32</f>
        <v/>
      </c>
      <c r="AT9" s="37">
        <f>AS9+Costs!AT90-'P&amp;L'!AT32</f>
        <v/>
      </c>
      <c r="AU9" s="37">
        <f>AT9+Costs!AU90-'P&amp;L'!AU32</f>
        <v/>
      </c>
      <c r="AV9" s="37">
        <f>AU9+Costs!AV90-'P&amp;L'!AV32</f>
        <v/>
      </c>
      <c r="AW9" s="37">
        <f>AV9+Costs!AW90-'P&amp;L'!AW32</f>
        <v/>
      </c>
      <c r="AX9" s="37">
        <f>AW9+Costs!AX90-'P&amp;L'!AX32</f>
        <v/>
      </c>
      <c r="AY9" s="37">
        <f>AX9+Costs!AY90-'P&amp;L'!AY32</f>
        <v/>
      </c>
      <c r="AZ9" s="37">
        <f>AY9+Costs!AZ90-'P&amp;L'!AZ32</f>
        <v/>
      </c>
      <c r="BA9" s="37">
        <f>AZ9+Costs!BA90-'P&amp;L'!BA32</f>
        <v/>
      </c>
    </row>
    <row r="10" ht="14.25" customHeight="1" s="165">
      <c r="A10" s="2" t="inlineStr">
        <is>
          <t>TOTAL ASSETS</t>
        </is>
      </c>
      <c r="B10" s="35">
        <f>SUM(B6:B9)</f>
        <v/>
      </c>
      <c r="C10" s="35">
        <f>SUM(C6:C9)</f>
        <v/>
      </c>
      <c r="D10" s="35">
        <f>SUM(D6:D9)</f>
        <v/>
      </c>
      <c r="E10" s="35">
        <f>SUM(E6:E9)</f>
        <v/>
      </c>
      <c r="F10" s="35">
        <f>SUM(F6:F9)</f>
        <v/>
      </c>
      <c r="G10" s="35">
        <f>SUM(G6:G9)</f>
        <v/>
      </c>
      <c r="H10" s="35">
        <f>SUM(H6:H9)</f>
        <v/>
      </c>
      <c r="I10" s="35">
        <f>SUM(I6:I9)</f>
        <v/>
      </c>
      <c r="J10" s="35">
        <f>SUM(J6:J9)</f>
        <v/>
      </c>
      <c r="K10" s="35">
        <f>SUM(K6:K9)</f>
        <v/>
      </c>
      <c r="L10" s="35">
        <f>SUM(L6:L9)</f>
        <v/>
      </c>
      <c r="M10" s="35">
        <f>SUM(M6:M9)</f>
        <v/>
      </c>
      <c r="N10" s="35">
        <f>SUM(N6:N9)</f>
        <v/>
      </c>
      <c r="O10" s="35">
        <f>SUM(O6:O9)</f>
        <v/>
      </c>
      <c r="P10" s="35">
        <f>SUM(P6:P9)</f>
        <v/>
      </c>
      <c r="Q10" s="35">
        <f>SUM(Q6:Q9)</f>
        <v/>
      </c>
      <c r="R10" s="35">
        <f>SUM(R6:R9)</f>
        <v/>
      </c>
      <c r="S10" s="35">
        <f>SUM(S6:S9)</f>
        <v/>
      </c>
      <c r="T10" s="35">
        <f>SUM(T6:T9)</f>
        <v/>
      </c>
      <c r="U10" s="35">
        <f>SUM(U6:U9)</f>
        <v/>
      </c>
      <c r="V10" s="35">
        <f>SUM(V6:V9)</f>
        <v/>
      </c>
      <c r="W10" s="35">
        <f>SUM(W6:W9)</f>
        <v/>
      </c>
      <c r="X10" s="35">
        <f>SUM(X6:X9)</f>
        <v/>
      </c>
      <c r="Y10" s="35">
        <f>SUM(Y6:Y9)</f>
        <v/>
      </c>
      <c r="Z10" s="35">
        <f>SUM(Z6:Z9)</f>
        <v/>
      </c>
      <c r="AA10" s="35">
        <f>SUM(AA6:AA9)</f>
        <v/>
      </c>
      <c r="AB10" s="35">
        <f>SUM(AB6:AB9)</f>
        <v/>
      </c>
      <c r="AC10" s="35">
        <f>SUM(AC6:AC9)</f>
        <v/>
      </c>
      <c r="AD10" s="35">
        <f>SUM(AD6:AD9)</f>
        <v/>
      </c>
      <c r="AE10" s="35">
        <f>SUM(AE6:AE9)</f>
        <v/>
      </c>
      <c r="AF10" s="35">
        <f>SUM(AF6:AF9)</f>
        <v/>
      </c>
      <c r="AG10" s="35">
        <f>SUM(AG6:AG9)</f>
        <v/>
      </c>
      <c r="AH10" s="35">
        <f>SUM(AH6:AH9)</f>
        <v/>
      </c>
      <c r="AI10" s="35">
        <f>SUM(AI6:AI9)</f>
        <v/>
      </c>
      <c r="AJ10" s="35">
        <f>SUM(AJ6:AJ9)</f>
        <v/>
      </c>
      <c r="AK10" s="35">
        <f>SUM(AK6:AK9)</f>
        <v/>
      </c>
      <c r="AL10" s="35">
        <f>SUM(AL6:AL9)</f>
        <v/>
      </c>
      <c r="AM10" s="35">
        <f>SUM(AM6:AM9)</f>
        <v/>
      </c>
      <c r="AN10" s="35">
        <f>SUM(AN6:AN9)</f>
        <v/>
      </c>
      <c r="AO10" s="35">
        <f>SUM(AO6:AO9)</f>
        <v/>
      </c>
      <c r="AP10" s="35">
        <f>SUM(AP6:AP9)</f>
        <v/>
      </c>
      <c r="AQ10" s="35">
        <f>SUM(AQ6:AQ9)</f>
        <v/>
      </c>
      <c r="AR10" s="35">
        <f>SUM(AR6:AR9)</f>
        <v/>
      </c>
      <c r="AS10" s="35">
        <f>SUM(AS6:AS9)</f>
        <v/>
      </c>
      <c r="AT10" s="35">
        <f>SUM(AT6:AT9)</f>
        <v/>
      </c>
      <c r="AU10" s="35">
        <f>SUM(AU6:AU9)</f>
        <v/>
      </c>
      <c r="AV10" s="35">
        <f>SUM(AV6:AV9)</f>
        <v/>
      </c>
      <c r="AW10" s="35">
        <f>SUM(AW6:AW9)</f>
        <v/>
      </c>
      <c r="AX10" s="35">
        <f>SUM(AX6:AX9)</f>
        <v/>
      </c>
      <c r="AY10" s="35">
        <f>SUM(AY6:AY9)</f>
        <v/>
      </c>
      <c r="AZ10" s="35">
        <f>SUM(AZ6:AZ9)</f>
        <v/>
      </c>
      <c r="BA10" s="35">
        <f>SUM(BA6:BA9)</f>
        <v/>
      </c>
    </row>
    <row r="11" ht="14.25" customHeight="1" s="165"/>
    <row r="12" ht="14.25" customHeight="1" s="165">
      <c r="A12" s="2" t="inlineStr">
        <is>
          <t>PASSIVA (LIABILITIES)</t>
        </is>
      </c>
    </row>
    <row r="13" ht="14.25" customHeight="1" s="165">
      <c r="A13" s="3" t="inlineStr">
        <is>
          <t>Accounts Payable</t>
        </is>
      </c>
      <c r="B13" s="37">
        <f>Costs!B99*0.1</f>
        <v/>
      </c>
      <c r="C13" s="37">
        <f>Costs!C99*0.1</f>
        <v/>
      </c>
      <c r="D13" s="37">
        <f>Costs!D99*0.1</f>
        <v/>
      </c>
      <c r="E13" s="37">
        <f>Costs!E99*0.1</f>
        <v/>
      </c>
      <c r="F13" s="37">
        <f>Costs!F99*0.1</f>
        <v/>
      </c>
      <c r="G13" s="37">
        <f>Costs!G99*0.1</f>
        <v/>
      </c>
      <c r="H13" s="37">
        <f>Costs!H99*0.1</f>
        <v/>
      </c>
      <c r="I13" s="37">
        <f>Costs!I99*0.1</f>
        <v/>
      </c>
      <c r="J13" s="37">
        <f>Costs!J99*0.1</f>
        <v/>
      </c>
      <c r="K13" s="37">
        <f>Costs!K99*0.1</f>
        <v/>
      </c>
      <c r="L13" s="37">
        <f>Costs!L99*0.1</f>
        <v/>
      </c>
      <c r="M13" s="37">
        <f>Costs!M99*0.1</f>
        <v/>
      </c>
      <c r="N13" s="37">
        <f>Costs!N99*0.1</f>
        <v/>
      </c>
      <c r="O13" s="37">
        <f>Costs!O99*0.1</f>
        <v/>
      </c>
      <c r="P13" s="37">
        <f>Costs!P99*0.1</f>
        <v/>
      </c>
      <c r="Q13" s="37">
        <f>Costs!Q99*0.1</f>
        <v/>
      </c>
      <c r="R13" s="37">
        <f>Costs!R99*0.1</f>
        <v/>
      </c>
      <c r="S13" s="37">
        <f>Costs!S99*0.1</f>
        <v/>
      </c>
      <c r="T13" s="37">
        <f>Costs!T99*0.1</f>
        <v/>
      </c>
      <c r="U13" s="37">
        <f>Costs!U99*0.1</f>
        <v/>
      </c>
      <c r="V13" s="37">
        <f>Costs!V99*0.1</f>
        <v/>
      </c>
      <c r="W13" s="37">
        <f>Costs!W99*0.1</f>
        <v/>
      </c>
      <c r="X13" s="37">
        <f>Costs!X99*0.1</f>
        <v/>
      </c>
      <c r="Y13" s="37">
        <f>Costs!Y99*0.1</f>
        <v/>
      </c>
      <c r="Z13" s="37">
        <f>Costs!Z99*0.1</f>
        <v/>
      </c>
      <c r="AA13" s="37">
        <f>Costs!AA99*0.1</f>
        <v/>
      </c>
      <c r="AB13" s="37">
        <f>Costs!AB99*0.1</f>
        <v/>
      </c>
      <c r="AC13" s="37">
        <f>Costs!AC99*0.1</f>
        <v/>
      </c>
      <c r="AD13" s="37">
        <f>Costs!AD99*0.1</f>
        <v/>
      </c>
      <c r="AE13" s="37">
        <f>Costs!AE99*0.1</f>
        <v/>
      </c>
      <c r="AF13" s="37">
        <f>Costs!AF99*0.1</f>
        <v/>
      </c>
      <c r="AG13" s="37">
        <f>Costs!AG99*0.1</f>
        <v/>
      </c>
      <c r="AH13" s="37">
        <f>Costs!AH99*0.1</f>
        <v/>
      </c>
      <c r="AI13" s="37">
        <f>Costs!AI99*0.1</f>
        <v/>
      </c>
      <c r="AJ13" s="37">
        <f>Costs!AJ99*0.1</f>
        <v/>
      </c>
      <c r="AK13" s="37">
        <f>Costs!AK99*0.1</f>
        <v/>
      </c>
      <c r="AL13" s="37">
        <f>Costs!AL99*0.1</f>
        <v/>
      </c>
      <c r="AM13" s="37">
        <f>Costs!AM99*0.1</f>
        <v/>
      </c>
      <c r="AN13" s="37">
        <f>Costs!AN99*0.1</f>
        <v/>
      </c>
      <c r="AO13" s="37">
        <f>Costs!AO99*0.1</f>
        <v/>
      </c>
      <c r="AP13" s="37">
        <f>Costs!AP99*0.1</f>
        <v/>
      </c>
      <c r="AQ13" s="37">
        <f>Costs!AQ99*0.1</f>
        <v/>
      </c>
      <c r="AR13" s="37">
        <f>Costs!AR99*0.1</f>
        <v/>
      </c>
      <c r="AS13" s="37">
        <f>Costs!AS99*0.1</f>
        <v/>
      </c>
      <c r="AT13" s="37">
        <f>Costs!AT99*0.1</f>
        <v/>
      </c>
      <c r="AU13" s="37">
        <f>Costs!AU99*0.1</f>
        <v/>
      </c>
      <c r="AV13" s="37">
        <f>Costs!AV99*0.1</f>
        <v/>
      </c>
      <c r="AW13" s="37">
        <f>Costs!AW99*0.1</f>
        <v/>
      </c>
      <c r="AX13" s="37">
        <f>Costs!AX99*0.1</f>
        <v/>
      </c>
      <c r="AY13" s="37">
        <f>Costs!AY99*0.1</f>
        <v/>
      </c>
      <c r="AZ13" s="37">
        <f>Costs!AZ99*0.1</f>
        <v/>
      </c>
      <c r="BA13" s="37">
        <f>Costs!BA99*0.1</f>
        <v/>
      </c>
    </row>
    <row r="14" ht="14.25" customHeight="1" s="165">
      <c r="A14" s="3" t="inlineStr">
        <is>
          <t>Accrued Expenses</t>
        </is>
      </c>
      <c r="B14" s="37">
        <f>Costs!B45*0.08</f>
        <v/>
      </c>
      <c r="C14" s="37">
        <f>Costs!C45*0.08</f>
        <v/>
      </c>
      <c r="D14" s="37">
        <f>Costs!D45*0.08</f>
        <v/>
      </c>
      <c r="E14" s="37">
        <f>Costs!E45*0.08</f>
        <v/>
      </c>
      <c r="F14" s="37">
        <f>Costs!F45*0.08</f>
        <v/>
      </c>
      <c r="G14" s="37">
        <f>Costs!G45*0.08</f>
        <v/>
      </c>
      <c r="H14" s="37">
        <f>Costs!H45*0.08</f>
        <v/>
      </c>
      <c r="I14" s="37">
        <f>Costs!I45*0.08</f>
        <v/>
      </c>
      <c r="J14" s="37">
        <f>Costs!J45*0.08</f>
        <v/>
      </c>
      <c r="K14" s="37">
        <f>Costs!K45*0.08</f>
        <v/>
      </c>
      <c r="L14" s="37">
        <f>Costs!L45*0.08</f>
        <v/>
      </c>
      <c r="M14" s="37">
        <f>Costs!M45*0.08</f>
        <v/>
      </c>
      <c r="N14" s="37">
        <f>Costs!N45*0.08</f>
        <v/>
      </c>
      <c r="O14" s="37">
        <f>Costs!O45*0.08</f>
        <v/>
      </c>
      <c r="P14" s="37">
        <f>Costs!P45*0.08</f>
        <v/>
      </c>
      <c r="Q14" s="37">
        <f>Costs!Q45*0.08</f>
        <v/>
      </c>
      <c r="R14" s="37">
        <f>Costs!R45*0.08</f>
        <v/>
      </c>
      <c r="S14" s="37">
        <f>Costs!S45*0.08</f>
        <v/>
      </c>
      <c r="T14" s="37">
        <f>Costs!T45*0.08</f>
        <v/>
      </c>
      <c r="U14" s="37">
        <f>Costs!U45*0.08</f>
        <v/>
      </c>
      <c r="V14" s="37">
        <f>Costs!V45*0.08</f>
        <v/>
      </c>
      <c r="W14" s="37">
        <f>Costs!W45*0.08</f>
        <v/>
      </c>
      <c r="X14" s="37">
        <f>Costs!X45*0.08</f>
        <v/>
      </c>
      <c r="Y14" s="37">
        <f>Costs!Y45*0.08</f>
        <v/>
      </c>
      <c r="Z14" s="37">
        <f>Costs!Z45*0.08</f>
        <v/>
      </c>
      <c r="AA14" s="37">
        <f>Costs!AA45*0.08</f>
        <v/>
      </c>
      <c r="AB14" s="37">
        <f>Costs!AB45*0.08</f>
        <v/>
      </c>
      <c r="AC14" s="37">
        <f>Costs!AC45*0.08</f>
        <v/>
      </c>
      <c r="AD14" s="37">
        <f>Costs!AD45*0.08</f>
        <v/>
      </c>
      <c r="AE14" s="37">
        <f>Costs!AE45*0.08</f>
        <v/>
      </c>
      <c r="AF14" s="37">
        <f>Costs!AF45*0.08</f>
        <v/>
      </c>
      <c r="AG14" s="37">
        <f>Costs!AG45*0.08</f>
        <v/>
      </c>
      <c r="AH14" s="37">
        <f>Costs!AH45*0.08</f>
        <v/>
      </c>
      <c r="AI14" s="37">
        <f>Costs!AI45*0.08</f>
        <v/>
      </c>
      <c r="AJ14" s="37">
        <f>Costs!AJ45*0.08</f>
        <v/>
      </c>
      <c r="AK14" s="37">
        <f>Costs!AK45*0.08</f>
        <v/>
      </c>
      <c r="AL14" s="37">
        <f>Costs!AL45*0.08</f>
        <v/>
      </c>
      <c r="AM14" s="37">
        <f>Costs!AM45*0.08</f>
        <v/>
      </c>
      <c r="AN14" s="37">
        <f>Costs!AN45*0.08</f>
        <v/>
      </c>
      <c r="AO14" s="37">
        <f>Costs!AO45*0.08</f>
        <v/>
      </c>
      <c r="AP14" s="37">
        <f>Costs!AP45*0.08</f>
        <v/>
      </c>
      <c r="AQ14" s="37">
        <f>Costs!AQ45*0.08</f>
        <v/>
      </c>
      <c r="AR14" s="37">
        <f>Costs!AR45*0.08</f>
        <v/>
      </c>
      <c r="AS14" s="37">
        <f>Costs!AS45*0.08</f>
        <v/>
      </c>
      <c r="AT14" s="37">
        <f>Costs!AT45*0.08</f>
        <v/>
      </c>
      <c r="AU14" s="37">
        <f>Costs!AU45*0.08</f>
        <v/>
      </c>
      <c r="AV14" s="37">
        <f>Costs!AV45*0.08</f>
        <v/>
      </c>
      <c r="AW14" s="37">
        <f>Costs!AW45*0.08</f>
        <v/>
      </c>
      <c r="AX14" s="37">
        <f>Costs!AX45*0.08</f>
        <v/>
      </c>
      <c r="AY14" s="37">
        <f>Costs!AY45*0.08</f>
        <v/>
      </c>
      <c r="AZ14" s="37">
        <f>Costs!AZ45*0.08</f>
        <v/>
      </c>
      <c r="BA14" s="37">
        <f>Costs!BA45*0.08</f>
        <v/>
      </c>
    </row>
    <row r="15" ht="14.25" customHeight="1" s="165">
      <c r="A15" s="3" t="inlineStr">
        <is>
          <t>Deferred Revenue</t>
        </is>
      </c>
      <c r="B15" s="37">
        <f>'P&amp;L'!B5</f>
        <v/>
      </c>
      <c r="C15" s="37">
        <f>'P&amp;L'!C5</f>
        <v/>
      </c>
      <c r="D15" s="37">
        <f>'P&amp;L'!D5</f>
        <v/>
      </c>
      <c r="E15" s="37">
        <f>'P&amp;L'!E5</f>
        <v/>
      </c>
      <c r="F15" s="37">
        <f>'P&amp;L'!F5</f>
        <v/>
      </c>
      <c r="G15" s="37">
        <f>'P&amp;L'!G5</f>
        <v/>
      </c>
      <c r="H15" s="37">
        <f>'P&amp;L'!H5</f>
        <v/>
      </c>
      <c r="I15" s="37">
        <f>'P&amp;L'!I5</f>
        <v/>
      </c>
      <c r="J15" s="37">
        <f>'P&amp;L'!J5</f>
        <v/>
      </c>
      <c r="K15" s="37">
        <f>'P&amp;L'!K5</f>
        <v/>
      </c>
      <c r="L15" s="37">
        <f>'P&amp;L'!L5</f>
        <v/>
      </c>
      <c r="M15" s="37">
        <f>'P&amp;L'!M5</f>
        <v/>
      </c>
      <c r="N15" s="37">
        <f>'P&amp;L'!N5</f>
        <v/>
      </c>
      <c r="O15" s="37">
        <f>'P&amp;L'!O5</f>
        <v/>
      </c>
      <c r="P15" s="37">
        <f>'P&amp;L'!P5</f>
        <v/>
      </c>
      <c r="Q15" s="37">
        <f>'P&amp;L'!Q5</f>
        <v/>
      </c>
      <c r="R15" s="37">
        <f>'P&amp;L'!R5</f>
        <v/>
      </c>
      <c r="S15" s="37">
        <f>'P&amp;L'!S5</f>
        <v/>
      </c>
      <c r="T15" s="37">
        <f>'P&amp;L'!T5</f>
        <v/>
      </c>
      <c r="U15" s="37">
        <f>'P&amp;L'!U5</f>
        <v/>
      </c>
      <c r="V15" s="37">
        <f>'P&amp;L'!V5</f>
        <v/>
      </c>
      <c r="W15" s="37">
        <f>'P&amp;L'!W5</f>
        <v/>
      </c>
      <c r="X15" s="37">
        <f>'P&amp;L'!X5</f>
        <v/>
      </c>
      <c r="Y15" s="37">
        <f>'P&amp;L'!Y5</f>
        <v/>
      </c>
      <c r="Z15" s="37">
        <f>'P&amp;L'!Z5</f>
        <v/>
      </c>
      <c r="AA15" s="37">
        <f>'P&amp;L'!AA5</f>
        <v/>
      </c>
      <c r="AB15" s="37">
        <f>'P&amp;L'!AB5</f>
        <v/>
      </c>
      <c r="AC15" s="37">
        <f>'P&amp;L'!AC5</f>
        <v/>
      </c>
      <c r="AD15" s="37">
        <f>'P&amp;L'!AD5</f>
        <v/>
      </c>
      <c r="AE15" s="37">
        <f>'P&amp;L'!AE5</f>
        <v/>
      </c>
      <c r="AF15" s="37">
        <f>'P&amp;L'!AF5</f>
        <v/>
      </c>
      <c r="AG15" s="37">
        <f>'P&amp;L'!AG5</f>
        <v/>
      </c>
      <c r="AH15" s="37">
        <f>'P&amp;L'!AH5</f>
        <v/>
      </c>
      <c r="AI15" s="37">
        <f>'P&amp;L'!AI5</f>
        <v/>
      </c>
      <c r="AJ15" s="37">
        <f>'P&amp;L'!AJ5</f>
        <v/>
      </c>
      <c r="AK15" s="37">
        <f>'P&amp;L'!AK5</f>
        <v/>
      </c>
      <c r="AL15" s="37">
        <f>'P&amp;L'!AL5</f>
        <v/>
      </c>
      <c r="AM15" s="37">
        <f>'P&amp;L'!AM5</f>
        <v/>
      </c>
      <c r="AN15" s="37">
        <f>'P&amp;L'!AN5</f>
        <v/>
      </c>
      <c r="AO15" s="37">
        <f>'P&amp;L'!AO5</f>
        <v/>
      </c>
      <c r="AP15" s="37">
        <f>'P&amp;L'!AP5</f>
        <v/>
      </c>
      <c r="AQ15" s="37">
        <f>'P&amp;L'!AQ5</f>
        <v/>
      </c>
      <c r="AR15" s="37">
        <f>'P&amp;L'!AR5</f>
        <v/>
      </c>
      <c r="AS15" s="37">
        <f>'P&amp;L'!AS5</f>
        <v/>
      </c>
      <c r="AT15" s="37">
        <f>'P&amp;L'!AT5</f>
        <v/>
      </c>
      <c r="AU15" s="37">
        <f>'P&amp;L'!AU5</f>
        <v/>
      </c>
      <c r="AV15" s="37">
        <f>'P&amp;L'!AV5</f>
        <v/>
      </c>
      <c r="AW15" s="37">
        <f>'P&amp;L'!AW5</f>
        <v/>
      </c>
      <c r="AX15" s="37">
        <f>'P&amp;L'!AX5</f>
        <v/>
      </c>
      <c r="AY15" s="37">
        <f>'P&amp;L'!AY5</f>
        <v/>
      </c>
      <c r="AZ15" s="37">
        <f>'P&amp;L'!AZ5</f>
        <v/>
      </c>
      <c r="BA15" s="37">
        <f>'P&amp;L'!BA5</f>
        <v/>
      </c>
    </row>
    <row r="16" ht="14.25" customHeight="1" s="165">
      <c r="A16" s="2" t="inlineStr">
        <is>
          <t>TOTAL LIABILITIES</t>
        </is>
      </c>
      <c r="B16" s="35">
        <f>SUM(B13:B15)</f>
        <v/>
      </c>
      <c r="C16" s="35">
        <f>SUM(C13:C15)</f>
        <v/>
      </c>
      <c r="D16" s="35">
        <f>SUM(D13:D15)</f>
        <v/>
      </c>
      <c r="E16" s="35">
        <f>SUM(E13:E15)</f>
        <v/>
      </c>
      <c r="F16" s="35">
        <f>SUM(F13:F15)</f>
        <v/>
      </c>
      <c r="G16" s="35">
        <f>SUM(G13:G15)</f>
        <v/>
      </c>
      <c r="H16" s="35">
        <f>SUM(H13:H15)</f>
        <v/>
      </c>
      <c r="I16" s="35">
        <f>SUM(I13:I15)</f>
        <v/>
      </c>
      <c r="J16" s="35">
        <f>SUM(J13:J15)</f>
        <v/>
      </c>
      <c r="K16" s="35">
        <f>SUM(K13:K15)</f>
        <v/>
      </c>
      <c r="L16" s="35">
        <f>SUM(L13:L15)</f>
        <v/>
      </c>
      <c r="M16" s="35">
        <f>SUM(M13:M15)</f>
        <v/>
      </c>
      <c r="N16" s="35">
        <f>SUM(N13:N15)</f>
        <v/>
      </c>
      <c r="O16" s="35">
        <f>SUM(O13:O15)</f>
        <v/>
      </c>
      <c r="P16" s="35">
        <f>SUM(P13:P15)</f>
        <v/>
      </c>
      <c r="Q16" s="35">
        <f>SUM(Q13:Q15)</f>
        <v/>
      </c>
      <c r="R16" s="35">
        <f>SUM(R13:R15)</f>
        <v/>
      </c>
      <c r="S16" s="35">
        <f>SUM(S13:S15)</f>
        <v/>
      </c>
      <c r="T16" s="35">
        <f>SUM(T13:T15)</f>
        <v/>
      </c>
      <c r="U16" s="35">
        <f>SUM(U13:U15)</f>
        <v/>
      </c>
      <c r="V16" s="35">
        <f>SUM(V13:V15)</f>
        <v/>
      </c>
      <c r="W16" s="35">
        <f>SUM(W13:W15)</f>
        <v/>
      </c>
      <c r="X16" s="35">
        <f>SUM(X13:X15)</f>
        <v/>
      </c>
      <c r="Y16" s="35">
        <f>SUM(Y13:Y15)</f>
        <v/>
      </c>
      <c r="Z16" s="35">
        <f>SUM(Z13:Z15)</f>
        <v/>
      </c>
      <c r="AA16" s="35">
        <f>SUM(AA13:AA15)</f>
        <v/>
      </c>
      <c r="AB16" s="35">
        <f>SUM(AB13:AB15)</f>
        <v/>
      </c>
      <c r="AC16" s="35">
        <f>SUM(AC13:AC15)</f>
        <v/>
      </c>
      <c r="AD16" s="35">
        <f>SUM(AD13:AD15)</f>
        <v/>
      </c>
      <c r="AE16" s="35">
        <f>SUM(AE13:AE15)</f>
        <v/>
      </c>
      <c r="AF16" s="35">
        <f>SUM(AF13:AF15)</f>
        <v/>
      </c>
      <c r="AG16" s="35">
        <f>SUM(AG13:AG15)</f>
        <v/>
      </c>
      <c r="AH16" s="35">
        <f>SUM(AH13:AH15)</f>
        <v/>
      </c>
      <c r="AI16" s="35">
        <f>SUM(AI13:AI15)</f>
        <v/>
      </c>
      <c r="AJ16" s="35">
        <f>SUM(AJ13:AJ15)</f>
        <v/>
      </c>
      <c r="AK16" s="35">
        <f>SUM(AK13:AK15)</f>
        <v/>
      </c>
      <c r="AL16" s="35">
        <f>SUM(AL13:AL15)</f>
        <v/>
      </c>
      <c r="AM16" s="35">
        <f>SUM(AM13:AM15)</f>
        <v/>
      </c>
      <c r="AN16" s="35">
        <f>SUM(AN13:AN15)</f>
        <v/>
      </c>
      <c r="AO16" s="35">
        <f>SUM(AO13:AO15)</f>
        <v/>
      </c>
      <c r="AP16" s="35">
        <f>SUM(AP13:AP15)</f>
        <v/>
      </c>
      <c r="AQ16" s="35">
        <f>SUM(AQ13:AQ15)</f>
        <v/>
      </c>
      <c r="AR16" s="35">
        <f>SUM(AR13:AR15)</f>
        <v/>
      </c>
      <c r="AS16" s="35">
        <f>SUM(AS13:AS15)</f>
        <v/>
      </c>
      <c r="AT16" s="35">
        <f>SUM(AT13:AT15)</f>
        <v/>
      </c>
      <c r="AU16" s="35">
        <f>SUM(AU13:AU15)</f>
        <v/>
      </c>
      <c r="AV16" s="35">
        <f>SUM(AV13:AV15)</f>
        <v/>
      </c>
      <c r="AW16" s="35">
        <f>SUM(AW13:AW15)</f>
        <v/>
      </c>
      <c r="AX16" s="35">
        <f>SUM(AX13:AX15)</f>
        <v/>
      </c>
      <c r="AY16" s="35">
        <f>SUM(AY13:AY15)</f>
        <v/>
      </c>
      <c r="AZ16" s="35">
        <f>SUM(AZ13:AZ15)</f>
        <v/>
      </c>
      <c r="BA16" s="35">
        <f>SUM(BA13:BA15)</f>
        <v/>
      </c>
    </row>
    <row r="17" ht="14.25" customHeight="1" s="165"/>
    <row r="18" ht="14.25" customHeight="1" s="165">
      <c r="A18" s="2" t="inlineStr">
        <is>
          <t>EIGENKAPITAL (EQUITY)</t>
        </is>
      </c>
    </row>
    <row r="19" ht="14.25" customHeight="1" s="165">
      <c r="A19" s="3" t="inlineStr">
        <is>
          <t>Share Capital</t>
        </is>
      </c>
      <c r="B19" s="37" t="n">
        <v>25000</v>
      </c>
      <c r="C19" s="37" t="n">
        <v>25000</v>
      </c>
      <c r="D19" s="37" t="n">
        <v>25000</v>
      </c>
      <c r="E19" s="37" t="n">
        <v>25000</v>
      </c>
      <c r="F19" s="37" t="n">
        <v>25000</v>
      </c>
      <c r="G19" s="37" t="n">
        <v>25000</v>
      </c>
      <c r="H19" s="37" t="n">
        <v>25000</v>
      </c>
      <c r="I19" s="37" t="n">
        <v>25000</v>
      </c>
      <c r="J19" s="37" t="n">
        <v>25000</v>
      </c>
      <c r="K19" s="37" t="n">
        <v>25000</v>
      </c>
      <c r="L19" s="37" t="n">
        <v>25000</v>
      </c>
      <c r="M19" s="37" t="n">
        <v>25000</v>
      </c>
      <c r="N19" s="37" t="n">
        <v>25000</v>
      </c>
      <c r="O19" s="37" t="n">
        <v>25000</v>
      </c>
      <c r="P19" s="37" t="n">
        <v>25000</v>
      </c>
      <c r="Q19" s="37" t="n">
        <v>25000</v>
      </c>
      <c r="R19" s="37" t="n">
        <v>25000</v>
      </c>
      <c r="S19" s="37" t="n">
        <v>25000</v>
      </c>
      <c r="T19" s="37" t="n">
        <v>25000</v>
      </c>
      <c r="U19" s="37" t="n">
        <v>25000</v>
      </c>
      <c r="V19" s="37" t="n">
        <v>25000</v>
      </c>
      <c r="W19" s="37" t="n">
        <v>25000</v>
      </c>
      <c r="X19" s="37" t="n">
        <v>25000</v>
      </c>
      <c r="Y19" s="37" t="n">
        <v>25000</v>
      </c>
      <c r="Z19" s="37" t="n">
        <v>25000</v>
      </c>
      <c r="AA19" s="37" t="n">
        <v>25000</v>
      </c>
      <c r="AB19" s="37" t="n">
        <v>25000</v>
      </c>
      <c r="AC19" s="37" t="n">
        <v>25000</v>
      </c>
      <c r="AD19" s="37" t="n">
        <v>25000</v>
      </c>
      <c r="AE19" s="37" t="n">
        <v>25000</v>
      </c>
      <c r="AF19" s="37" t="n">
        <v>25000</v>
      </c>
      <c r="AG19" s="37" t="n">
        <v>25000</v>
      </c>
      <c r="AH19" s="37" t="n">
        <v>25000</v>
      </c>
      <c r="AI19" s="37" t="n">
        <v>25000</v>
      </c>
      <c r="AJ19" s="37" t="n">
        <v>25000</v>
      </c>
      <c r="AK19" s="37" t="n">
        <v>25000</v>
      </c>
      <c r="AL19" s="37" t="n">
        <v>25000</v>
      </c>
      <c r="AM19" s="37" t="n">
        <v>25000</v>
      </c>
      <c r="AN19" s="37" t="n">
        <v>25000</v>
      </c>
      <c r="AO19" s="37" t="n">
        <v>25000</v>
      </c>
      <c r="AP19" s="37" t="n">
        <v>25000</v>
      </c>
      <c r="AQ19" s="37" t="n">
        <v>25000</v>
      </c>
      <c r="AR19" s="37" t="n">
        <v>25000</v>
      </c>
      <c r="AS19" s="37" t="n">
        <v>25000</v>
      </c>
      <c r="AT19" s="37" t="n">
        <v>25000</v>
      </c>
      <c r="AU19" s="37" t="n">
        <v>25000</v>
      </c>
      <c r="AV19" s="37" t="n">
        <v>25000</v>
      </c>
      <c r="AW19" s="37" t="n">
        <v>25000</v>
      </c>
      <c r="AX19" s="37" t="n">
        <v>25000</v>
      </c>
      <c r="AY19" s="37" t="n">
        <v>25000</v>
      </c>
      <c r="AZ19" s="37" t="n">
        <v>25000</v>
      </c>
      <c r="BA19" s="37" t="n">
        <v>25000</v>
      </c>
    </row>
    <row r="20" ht="14.25" customHeight="1" s="165">
      <c r="A20" s="3" t="inlineStr">
        <is>
          <t>Additional Paid-in Capital</t>
        </is>
      </c>
      <c r="B20" s="37">
        <f>IF(1=Inputs!$B$11,Inputs!$B$10,0)+IF(1=Inputs!$B$13,Inputs!$B$12,0)+IF(1=Inputs!$B$15,Inputs!$B$14,0)+IF(1=Inputs!$B$17,Inputs!$B$16,0)</f>
        <v/>
      </c>
      <c r="C20" s="37">
        <f>B20+IF(2=Inputs!$B$11,Inputs!$B$10,0)+IF(2=Inputs!$B$13,Inputs!$B$12,0)+IF(2=Inputs!$B$15,Inputs!$B$14,0)+IF(2=Inputs!$B$17,Inputs!$B$16,0)</f>
        <v/>
      </c>
      <c r="D20" s="37">
        <f>C20+IF(3=Inputs!$B$11,Inputs!$B$10,0)+IF(3=Inputs!$B$13,Inputs!$B$12,0)+IF(3=Inputs!$B$15,Inputs!$B$14,0)+IF(3=Inputs!$B$17,Inputs!$B$16,0)</f>
        <v/>
      </c>
      <c r="E20" s="37">
        <f>D20+IF(4=Inputs!$B$11,Inputs!$B$10,0)+IF(4=Inputs!$B$13,Inputs!$B$12,0)+IF(4=Inputs!$B$15,Inputs!$B$14,0)+IF(4=Inputs!$B$17,Inputs!$B$16,0)</f>
        <v/>
      </c>
      <c r="F20" s="37">
        <f>E20+IF(5=Inputs!$B$11,Inputs!$B$10,0)+IF(5=Inputs!$B$13,Inputs!$B$12,0)+IF(5=Inputs!$B$15,Inputs!$B$14,0)+IF(5=Inputs!$B$17,Inputs!$B$16,0)</f>
        <v/>
      </c>
      <c r="G20" s="37">
        <f>F20+IF(6=Inputs!$B$11,Inputs!$B$10,0)+IF(6=Inputs!$B$13,Inputs!$B$12,0)+IF(6=Inputs!$B$15,Inputs!$B$14,0)+IF(6=Inputs!$B$17,Inputs!$B$16,0)</f>
        <v/>
      </c>
      <c r="H20" s="37">
        <f>G20+IF(7=Inputs!$B$11,Inputs!$B$10,0)+IF(7=Inputs!$B$13,Inputs!$B$12,0)+IF(7=Inputs!$B$15,Inputs!$B$14,0)+IF(7=Inputs!$B$17,Inputs!$B$16,0)</f>
        <v/>
      </c>
      <c r="I20" s="37">
        <f>H20+IF(8=Inputs!$B$11,Inputs!$B$10,0)+IF(8=Inputs!$B$13,Inputs!$B$12,0)+IF(8=Inputs!$B$15,Inputs!$B$14,0)+IF(8=Inputs!$B$17,Inputs!$B$16,0)</f>
        <v/>
      </c>
      <c r="J20" s="37">
        <f>I20+IF(9=Inputs!$B$11,Inputs!$B$10,0)+IF(9=Inputs!$B$13,Inputs!$B$12,0)+IF(9=Inputs!$B$15,Inputs!$B$14,0)+IF(9=Inputs!$B$17,Inputs!$B$16,0)</f>
        <v/>
      </c>
      <c r="K20" s="37">
        <f>J20+IF(10=Inputs!$B$11,Inputs!$B$10,0)+IF(10=Inputs!$B$13,Inputs!$B$12,0)+IF(10=Inputs!$B$15,Inputs!$B$14,0)+IF(10=Inputs!$B$17,Inputs!$B$16,0)</f>
        <v/>
      </c>
      <c r="L20" s="37">
        <f>K20+IF(11=Inputs!$B$11,Inputs!$B$10,0)+IF(11=Inputs!$B$13,Inputs!$B$12,0)+IF(11=Inputs!$B$15,Inputs!$B$14,0)+IF(11=Inputs!$B$17,Inputs!$B$16,0)</f>
        <v/>
      </c>
      <c r="M20" s="37">
        <f>L20+IF(12=Inputs!$B$11,Inputs!$B$10,0)+IF(12=Inputs!$B$13,Inputs!$B$12,0)+IF(12=Inputs!$B$15,Inputs!$B$14,0)+IF(12=Inputs!$B$17,Inputs!$B$16,0)</f>
        <v/>
      </c>
      <c r="N20" s="37">
        <f>M20+IF(13=Inputs!$B$11,Inputs!$B$10,0)+IF(13=Inputs!$B$13,Inputs!$B$12,0)+IF(13=Inputs!$B$15,Inputs!$B$14,0)+IF(13=Inputs!$B$17,Inputs!$B$16,0)</f>
        <v/>
      </c>
      <c r="O20" s="37">
        <f>N20+IF(14=Inputs!$B$11,Inputs!$B$10,0)+IF(14=Inputs!$B$13,Inputs!$B$12,0)+IF(14=Inputs!$B$15,Inputs!$B$14,0)+IF(14=Inputs!$B$17,Inputs!$B$16,0)</f>
        <v/>
      </c>
      <c r="P20" s="37">
        <f>O20+IF(15=Inputs!$B$11,Inputs!$B$10,0)+IF(15=Inputs!$B$13,Inputs!$B$12,0)+IF(15=Inputs!$B$15,Inputs!$B$14,0)+IF(15=Inputs!$B$17,Inputs!$B$16,0)</f>
        <v/>
      </c>
      <c r="Q20" s="37">
        <f>P20+IF(16=Inputs!$B$11,Inputs!$B$10,0)+IF(16=Inputs!$B$13,Inputs!$B$12,0)+IF(16=Inputs!$B$15,Inputs!$B$14,0)+IF(16=Inputs!$B$17,Inputs!$B$16,0)</f>
        <v/>
      </c>
      <c r="R20" s="37">
        <f>Q20+IF(17=Inputs!$B$11,Inputs!$B$10,0)+IF(17=Inputs!$B$13,Inputs!$B$12,0)+IF(17=Inputs!$B$15,Inputs!$B$14,0)+IF(17=Inputs!$B$17,Inputs!$B$16,0)</f>
        <v/>
      </c>
      <c r="S20" s="37">
        <f>R20+IF(18=Inputs!$B$11,Inputs!$B$10,0)+IF(18=Inputs!$B$13,Inputs!$B$12,0)+IF(18=Inputs!$B$15,Inputs!$B$14,0)+IF(18=Inputs!$B$17,Inputs!$B$16,0)</f>
        <v/>
      </c>
      <c r="T20" s="37">
        <f>S20+IF(19=Inputs!$B$11,Inputs!$B$10,0)+IF(19=Inputs!$B$13,Inputs!$B$12,0)+IF(19=Inputs!$B$15,Inputs!$B$14,0)+IF(19=Inputs!$B$17,Inputs!$B$16,0)</f>
        <v/>
      </c>
      <c r="U20" s="37">
        <f>T20+IF(20=Inputs!$B$11,Inputs!$B$10,0)+IF(20=Inputs!$B$13,Inputs!$B$12,0)+IF(20=Inputs!$B$15,Inputs!$B$14,0)+IF(20=Inputs!$B$17,Inputs!$B$16,0)</f>
        <v/>
      </c>
      <c r="V20" s="37">
        <f>U20+IF(21=Inputs!$B$11,Inputs!$B$10,0)+IF(21=Inputs!$B$13,Inputs!$B$12,0)+IF(21=Inputs!$B$15,Inputs!$B$14,0)+IF(21=Inputs!$B$17,Inputs!$B$16,0)</f>
        <v/>
      </c>
      <c r="W20" s="37">
        <f>V20+IF(22=Inputs!$B$11,Inputs!$B$10,0)+IF(22=Inputs!$B$13,Inputs!$B$12,0)+IF(22=Inputs!$B$15,Inputs!$B$14,0)+IF(22=Inputs!$B$17,Inputs!$B$16,0)</f>
        <v/>
      </c>
      <c r="X20" s="37">
        <f>W20+IF(23=Inputs!$B$11,Inputs!$B$10,0)+IF(23=Inputs!$B$13,Inputs!$B$12,0)+IF(23=Inputs!$B$15,Inputs!$B$14,0)+IF(23=Inputs!$B$17,Inputs!$B$16,0)</f>
        <v/>
      </c>
      <c r="Y20" s="37">
        <f>X20+IF(24=Inputs!$B$11,Inputs!$B$10,0)+IF(24=Inputs!$B$13,Inputs!$B$12,0)+IF(24=Inputs!$B$15,Inputs!$B$14,0)+IF(24=Inputs!$B$17,Inputs!$B$16,0)</f>
        <v/>
      </c>
      <c r="Z20" s="37">
        <f>Y20+IF(25=Inputs!$B$11,Inputs!$B$10,0)+IF(25=Inputs!$B$13,Inputs!$B$12,0)+IF(25=Inputs!$B$15,Inputs!$B$14,0)+IF(25=Inputs!$B$17,Inputs!$B$16,0)</f>
        <v/>
      </c>
      <c r="AA20" s="37">
        <f>Z20+IF(26=Inputs!$B$11,Inputs!$B$10,0)+IF(26=Inputs!$B$13,Inputs!$B$12,0)+IF(26=Inputs!$B$15,Inputs!$B$14,0)+IF(26=Inputs!$B$17,Inputs!$B$16,0)</f>
        <v/>
      </c>
      <c r="AB20" s="37">
        <f>AA20+IF(27=Inputs!$B$11,Inputs!$B$10,0)+IF(27=Inputs!$B$13,Inputs!$B$12,0)+IF(27=Inputs!$B$15,Inputs!$B$14,0)+IF(27=Inputs!$B$17,Inputs!$B$16,0)</f>
        <v/>
      </c>
      <c r="AC20" s="37">
        <f>AB20+IF(28=Inputs!$B$11,Inputs!$B$10,0)+IF(28=Inputs!$B$13,Inputs!$B$12,0)+IF(28=Inputs!$B$15,Inputs!$B$14,0)+IF(28=Inputs!$B$17,Inputs!$B$16,0)</f>
        <v/>
      </c>
      <c r="AD20" s="37">
        <f>AC20+IF(29=Inputs!$B$11,Inputs!$B$10,0)+IF(29=Inputs!$B$13,Inputs!$B$12,0)+IF(29=Inputs!$B$15,Inputs!$B$14,0)+IF(29=Inputs!$B$17,Inputs!$B$16,0)</f>
        <v/>
      </c>
      <c r="AE20" s="37">
        <f>AD20+IF(30=Inputs!$B$11,Inputs!$B$10,0)+IF(30=Inputs!$B$13,Inputs!$B$12,0)+IF(30=Inputs!$B$15,Inputs!$B$14,0)+IF(30=Inputs!$B$17,Inputs!$B$16,0)</f>
        <v/>
      </c>
      <c r="AF20" s="37">
        <f>AE20+IF(31=Inputs!$B$11,Inputs!$B$10,0)+IF(31=Inputs!$B$13,Inputs!$B$12,0)+IF(31=Inputs!$B$15,Inputs!$B$14,0)+IF(31=Inputs!$B$17,Inputs!$B$16,0)</f>
        <v/>
      </c>
      <c r="AG20" s="37">
        <f>AF20+IF(32=Inputs!$B$11,Inputs!$B$10,0)+IF(32=Inputs!$B$13,Inputs!$B$12,0)+IF(32=Inputs!$B$15,Inputs!$B$14,0)+IF(32=Inputs!$B$17,Inputs!$B$16,0)</f>
        <v/>
      </c>
      <c r="AH20" s="37">
        <f>AG20+IF(33=Inputs!$B$11,Inputs!$B$10,0)+IF(33=Inputs!$B$13,Inputs!$B$12,0)+IF(33=Inputs!$B$15,Inputs!$B$14,0)+IF(33=Inputs!$B$17,Inputs!$B$16,0)</f>
        <v/>
      </c>
      <c r="AI20" s="37">
        <f>AH20+IF(34=Inputs!$B$11,Inputs!$B$10,0)+IF(34=Inputs!$B$13,Inputs!$B$12,0)+IF(34=Inputs!$B$15,Inputs!$B$14,0)+IF(34=Inputs!$B$17,Inputs!$B$16,0)</f>
        <v/>
      </c>
      <c r="AJ20" s="37">
        <f>AI20+IF(35=Inputs!$B$11,Inputs!$B$10,0)+IF(35=Inputs!$B$13,Inputs!$B$12,0)+IF(35=Inputs!$B$15,Inputs!$B$14,0)+IF(35=Inputs!$B$17,Inputs!$B$16,0)</f>
        <v/>
      </c>
      <c r="AK20" s="37">
        <f>AJ20+IF(36=Inputs!$B$11,Inputs!$B$10,0)+IF(36=Inputs!$B$13,Inputs!$B$12,0)+IF(36=Inputs!$B$15,Inputs!$B$14,0)+IF(36=Inputs!$B$17,Inputs!$B$16,0)</f>
        <v/>
      </c>
      <c r="AL20" s="37">
        <f>AK20+IF(37=Inputs!$B$11,Inputs!$B$10,0)+IF(37=Inputs!$B$13,Inputs!$B$12,0)+IF(37=Inputs!$B$15,Inputs!$B$14,0)+IF(37=Inputs!$B$17,Inputs!$B$16,0)</f>
        <v/>
      </c>
      <c r="AM20" s="37">
        <f>AL20+IF(38=Inputs!$B$11,Inputs!$B$10,0)+IF(38=Inputs!$B$13,Inputs!$B$12,0)+IF(38=Inputs!$B$15,Inputs!$B$14,0)+IF(38=Inputs!$B$17,Inputs!$B$16,0)</f>
        <v/>
      </c>
      <c r="AN20" s="37">
        <f>AM20+IF(39=Inputs!$B$11,Inputs!$B$10,0)+IF(39=Inputs!$B$13,Inputs!$B$12,0)+IF(39=Inputs!$B$15,Inputs!$B$14,0)+IF(39=Inputs!$B$17,Inputs!$B$16,0)</f>
        <v/>
      </c>
      <c r="AO20" s="37">
        <f>AN20+IF(40=Inputs!$B$11,Inputs!$B$10,0)+IF(40=Inputs!$B$13,Inputs!$B$12,0)+IF(40=Inputs!$B$15,Inputs!$B$14,0)+IF(40=Inputs!$B$17,Inputs!$B$16,0)</f>
        <v/>
      </c>
      <c r="AP20" s="37">
        <f>AO20+IF(41=Inputs!$B$11,Inputs!$B$10,0)+IF(41=Inputs!$B$13,Inputs!$B$12,0)+IF(41=Inputs!$B$15,Inputs!$B$14,0)+IF(41=Inputs!$B$17,Inputs!$B$16,0)</f>
        <v/>
      </c>
      <c r="AQ20" s="37">
        <f>AP20+IF(42=Inputs!$B$11,Inputs!$B$10,0)+IF(42=Inputs!$B$13,Inputs!$B$12,0)+IF(42=Inputs!$B$15,Inputs!$B$14,0)+IF(42=Inputs!$B$17,Inputs!$B$16,0)</f>
        <v/>
      </c>
      <c r="AR20" s="37">
        <f>AQ20+IF(43=Inputs!$B$11,Inputs!$B$10,0)+IF(43=Inputs!$B$13,Inputs!$B$12,0)+IF(43=Inputs!$B$15,Inputs!$B$14,0)+IF(43=Inputs!$B$17,Inputs!$B$16,0)</f>
        <v/>
      </c>
      <c r="AS20" s="37">
        <f>AR20+IF(44=Inputs!$B$11,Inputs!$B$10,0)+IF(44=Inputs!$B$13,Inputs!$B$12,0)+IF(44=Inputs!$B$15,Inputs!$B$14,0)+IF(44=Inputs!$B$17,Inputs!$B$16,0)</f>
        <v/>
      </c>
      <c r="AT20" s="37">
        <f>AS20+IF(45=Inputs!$B$11,Inputs!$B$10,0)+IF(45=Inputs!$B$13,Inputs!$B$12,0)+IF(45=Inputs!$B$15,Inputs!$B$14,0)+IF(45=Inputs!$B$17,Inputs!$B$16,0)</f>
        <v/>
      </c>
      <c r="AU20" s="37">
        <f>AT20+IF(46=Inputs!$B$11,Inputs!$B$10,0)+IF(46=Inputs!$B$13,Inputs!$B$12,0)+IF(46=Inputs!$B$15,Inputs!$B$14,0)+IF(46=Inputs!$B$17,Inputs!$B$16,0)</f>
        <v/>
      </c>
      <c r="AV20" s="37">
        <f>AU20+IF(47=Inputs!$B$11,Inputs!$B$10,0)+IF(47=Inputs!$B$13,Inputs!$B$12,0)+IF(47=Inputs!$B$15,Inputs!$B$14,0)+IF(47=Inputs!$B$17,Inputs!$B$16,0)</f>
        <v/>
      </c>
      <c r="AW20" s="37">
        <f>AV20+IF(48=Inputs!$B$11,Inputs!$B$10,0)+IF(48=Inputs!$B$13,Inputs!$B$12,0)+IF(48=Inputs!$B$15,Inputs!$B$14,0)+IF(48=Inputs!$B$17,Inputs!$B$16,0)</f>
        <v/>
      </c>
      <c r="AX20" s="37">
        <f>AW20+IF(49=Inputs!$B$11,Inputs!$B$10,0)+IF(49=Inputs!$B$13,Inputs!$B$12,0)+IF(49=Inputs!$B$15,Inputs!$B$14,0)+IF(49=Inputs!$B$17,Inputs!$B$16,0)</f>
        <v/>
      </c>
      <c r="AY20" s="37">
        <f>AX20+IF(50=Inputs!$B$11,Inputs!$B$10,0)+IF(50=Inputs!$B$13,Inputs!$B$12,0)+IF(50=Inputs!$B$15,Inputs!$B$14,0)+IF(50=Inputs!$B$17,Inputs!$B$16,0)</f>
        <v/>
      </c>
      <c r="AZ20" s="37">
        <f>AY20+IF(51=Inputs!$B$11,Inputs!$B$10,0)+IF(51=Inputs!$B$13,Inputs!$B$12,0)+IF(51=Inputs!$B$15,Inputs!$B$14,0)+IF(51=Inputs!$B$17,Inputs!$B$16,0)</f>
        <v/>
      </c>
      <c r="BA20" s="37">
        <f>AZ20+IF(52=Inputs!$B$11,Inputs!$B$10,0)+IF(52=Inputs!$B$13,Inputs!$B$12,0)+IF(52=Inputs!$B$15,Inputs!$B$14,0)+IF(52=Inputs!$B$17,Inputs!$B$16,0)</f>
        <v/>
      </c>
    </row>
    <row r="21" ht="14.25" customHeight="1" s="165">
      <c r="A21" s="3" t="inlineStr">
        <is>
          <t>Retained Earnings</t>
        </is>
      </c>
      <c r="B21" s="37">
        <f>'P&amp;L'!B39</f>
        <v/>
      </c>
      <c r="C21" s="37">
        <f>B21+'P&amp;L'!C39</f>
        <v/>
      </c>
      <c r="D21" s="37">
        <f>C21+'P&amp;L'!D39</f>
        <v/>
      </c>
      <c r="E21" s="37">
        <f>D21+'P&amp;L'!E39</f>
        <v/>
      </c>
      <c r="F21" s="37">
        <f>E21+'P&amp;L'!F39</f>
        <v/>
      </c>
      <c r="G21" s="37">
        <f>F21+'P&amp;L'!G39</f>
        <v/>
      </c>
      <c r="H21" s="37">
        <f>G21+'P&amp;L'!H39</f>
        <v/>
      </c>
      <c r="I21" s="37">
        <f>H21+'P&amp;L'!I39</f>
        <v/>
      </c>
      <c r="J21" s="37">
        <f>I21+'P&amp;L'!J39</f>
        <v/>
      </c>
      <c r="K21" s="37">
        <f>J21+'P&amp;L'!K39</f>
        <v/>
      </c>
      <c r="L21" s="37">
        <f>K21+'P&amp;L'!L39</f>
        <v/>
      </c>
      <c r="M21" s="37">
        <f>L21+'P&amp;L'!M39</f>
        <v/>
      </c>
      <c r="N21" s="37">
        <f>M21+'P&amp;L'!N39</f>
        <v/>
      </c>
      <c r="O21" s="37">
        <f>N21+'P&amp;L'!O39</f>
        <v/>
      </c>
      <c r="P21" s="37">
        <f>O21+'P&amp;L'!P39</f>
        <v/>
      </c>
      <c r="Q21" s="37">
        <f>P21+'P&amp;L'!Q39</f>
        <v/>
      </c>
      <c r="R21" s="37">
        <f>Q21+'P&amp;L'!R39</f>
        <v/>
      </c>
      <c r="S21" s="37">
        <f>R21+'P&amp;L'!S39</f>
        <v/>
      </c>
      <c r="T21" s="37">
        <f>S21+'P&amp;L'!T39</f>
        <v/>
      </c>
      <c r="U21" s="37">
        <f>T21+'P&amp;L'!U39</f>
        <v/>
      </c>
      <c r="V21" s="37">
        <f>U21+'P&amp;L'!V39</f>
        <v/>
      </c>
      <c r="W21" s="37">
        <f>V21+'P&amp;L'!W39</f>
        <v/>
      </c>
      <c r="X21" s="37">
        <f>W21+'P&amp;L'!X39</f>
        <v/>
      </c>
      <c r="Y21" s="37">
        <f>X21+'P&amp;L'!Y39</f>
        <v/>
      </c>
      <c r="Z21" s="37">
        <f>Y21+'P&amp;L'!Z39</f>
        <v/>
      </c>
      <c r="AA21" s="37">
        <f>Z21+'P&amp;L'!AA39</f>
        <v/>
      </c>
      <c r="AB21" s="37">
        <f>AA21+'P&amp;L'!AB39</f>
        <v/>
      </c>
      <c r="AC21" s="37">
        <f>AB21+'P&amp;L'!AC39</f>
        <v/>
      </c>
      <c r="AD21" s="37">
        <f>AC21+'P&amp;L'!AD39</f>
        <v/>
      </c>
      <c r="AE21" s="37">
        <f>AD21+'P&amp;L'!AE39</f>
        <v/>
      </c>
      <c r="AF21" s="37">
        <f>AE21+'P&amp;L'!AF39</f>
        <v/>
      </c>
      <c r="AG21" s="37">
        <f>AF21+'P&amp;L'!AG39</f>
        <v/>
      </c>
      <c r="AH21" s="37">
        <f>AG21+'P&amp;L'!AH39</f>
        <v/>
      </c>
      <c r="AI21" s="37">
        <f>AH21+'P&amp;L'!AI39</f>
        <v/>
      </c>
      <c r="AJ21" s="37">
        <f>AI21+'P&amp;L'!AJ39</f>
        <v/>
      </c>
      <c r="AK21" s="37">
        <f>AJ21+'P&amp;L'!AK39</f>
        <v/>
      </c>
      <c r="AL21" s="37">
        <f>AK21+'P&amp;L'!AL39</f>
        <v/>
      </c>
      <c r="AM21" s="37">
        <f>AL21+'P&amp;L'!AM39</f>
        <v/>
      </c>
      <c r="AN21" s="37">
        <f>AM21+'P&amp;L'!AN39</f>
        <v/>
      </c>
      <c r="AO21" s="37">
        <f>AN21+'P&amp;L'!AO39</f>
        <v/>
      </c>
      <c r="AP21" s="37">
        <f>AO21+'P&amp;L'!AP39</f>
        <v/>
      </c>
      <c r="AQ21" s="37">
        <f>AP21+'P&amp;L'!AQ39</f>
        <v/>
      </c>
      <c r="AR21" s="37">
        <f>AQ21+'P&amp;L'!AR39</f>
        <v/>
      </c>
      <c r="AS21" s="37">
        <f>AR21+'P&amp;L'!AS39</f>
        <v/>
      </c>
      <c r="AT21" s="37">
        <f>AS21+'P&amp;L'!AT39</f>
        <v/>
      </c>
      <c r="AU21" s="37">
        <f>AT21+'P&amp;L'!AU39</f>
        <v/>
      </c>
      <c r="AV21" s="37">
        <f>AU21+'P&amp;L'!AV39</f>
        <v/>
      </c>
      <c r="AW21" s="37">
        <f>AV21+'P&amp;L'!AW39</f>
        <v/>
      </c>
      <c r="AX21" s="37">
        <f>AW21+'P&amp;L'!AX39</f>
        <v/>
      </c>
      <c r="AY21" s="37">
        <f>AX21+'P&amp;L'!AY39</f>
        <v/>
      </c>
      <c r="AZ21" s="37">
        <f>AY21+'P&amp;L'!AZ39</f>
        <v/>
      </c>
      <c r="BA21" s="37">
        <f>AZ21+'P&amp;L'!BA39</f>
        <v/>
      </c>
    </row>
    <row r="22" ht="14.25" customHeight="1" s="165">
      <c r="A22" s="2" t="inlineStr">
        <is>
          <t>TOTAL EQUITY</t>
        </is>
      </c>
      <c r="B22" s="35">
        <f>B19+B20+B21</f>
        <v/>
      </c>
      <c r="C22" s="35">
        <f>C19+C20+C21</f>
        <v/>
      </c>
      <c r="D22" s="35">
        <f>D19+D20+D21</f>
        <v/>
      </c>
      <c r="E22" s="35">
        <f>E19+E20+E21</f>
        <v/>
      </c>
      <c r="F22" s="35">
        <f>F19+F20+F21</f>
        <v/>
      </c>
      <c r="G22" s="35">
        <f>G19+G20+G21</f>
        <v/>
      </c>
      <c r="H22" s="35">
        <f>H19+H20+H21</f>
        <v/>
      </c>
      <c r="I22" s="35">
        <f>I19+I20+I21</f>
        <v/>
      </c>
      <c r="J22" s="35">
        <f>J19+J20+J21</f>
        <v/>
      </c>
      <c r="K22" s="35">
        <f>K19+K20+K21</f>
        <v/>
      </c>
      <c r="L22" s="35">
        <f>L19+L20+L21</f>
        <v/>
      </c>
      <c r="M22" s="35">
        <f>M19+M20+M21</f>
        <v/>
      </c>
      <c r="N22" s="35">
        <f>N19+N20+N21</f>
        <v/>
      </c>
      <c r="O22" s="35">
        <f>O19+O20+O21</f>
        <v/>
      </c>
      <c r="P22" s="35">
        <f>P19+P20+P21</f>
        <v/>
      </c>
      <c r="Q22" s="35">
        <f>Q19+Q20+Q21</f>
        <v/>
      </c>
      <c r="R22" s="35">
        <f>R19+R20+R21</f>
        <v/>
      </c>
      <c r="S22" s="35">
        <f>S19+S20+S21</f>
        <v/>
      </c>
      <c r="T22" s="35">
        <f>T19+T20+T21</f>
        <v/>
      </c>
      <c r="U22" s="35">
        <f>U19+U20+U21</f>
        <v/>
      </c>
      <c r="V22" s="35">
        <f>V19+V20+V21</f>
        <v/>
      </c>
      <c r="W22" s="35">
        <f>W19+W20+W21</f>
        <v/>
      </c>
      <c r="X22" s="35">
        <f>X19+X20+X21</f>
        <v/>
      </c>
      <c r="Y22" s="35">
        <f>Y19+Y20+Y21</f>
        <v/>
      </c>
      <c r="Z22" s="35">
        <f>Z19+Z20+Z21</f>
        <v/>
      </c>
      <c r="AA22" s="35">
        <f>AA19+AA20+AA21</f>
        <v/>
      </c>
      <c r="AB22" s="35">
        <f>AB19+AB20+AB21</f>
        <v/>
      </c>
      <c r="AC22" s="35">
        <f>AC19+AC20+AC21</f>
        <v/>
      </c>
      <c r="AD22" s="35">
        <f>AD19+AD20+AD21</f>
        <v/>
      </c>
      <c r="AE22" s="35">
        <f>AE19+AE20+AE21</f>
        <v/>
      </c>
      <c r="AF22" s="35">
        <f>AF19+AF20+AF21</f>
        <v/>
      </c>
      <c r="AG22" s="35">
        <f>AG19+AG20+AG21</f>
        <v/>
      </c>
      <c r="AH22" s="35">
        <f>AH19+AH20+AH21</f>
        <v/>
      </c>
      <c r="AI22" s="35">
        <f>AI19+AI20+AI21</f>
        <v/>
      </c>
      <c r="AJ22" s="35">
        <f>AJ19+AJ20+AJ21</f>
        <v/>
      </c>
      <c r="AK22" s="35">
        <f>AK19+AK20+AK21</f>
        <v/>
      </c>
      <c r="AL22" s="35">
        <f>AL19+AL20+AL21</f>
        <v/>
      </c>
      <c r="AM22" s="35">
        <f>AM19+AM20+AM21</f>
        <v/>
      </c>
      <c r="AN22" s="35">
        <f>AN19+AN20+AN21</f>
        <v/>
      </c>
      <c r="AO22" s="35">
        <f>AO19+AO20+AO21</f>
        <v/>
      </c>
      <c r="AP22" s="35">
        <f>AP19+AP20+AP21</f>
        <v/>
      </c>
      <c r="AQ22" s="35">
        <f>AQ19+AQ20+AQ21</f>
        <v/>
      </c>
      <c r="AR22" s="35">
        <f>AR19+AR20+AR21</f>
        <v/>
      </c>
      <c r="AS22" s="35">
        <f>AS19+AS20+AS21</f>
        <v/>
      </c>
      <c r="AT22" s="35">
        <f>AT19+AT20+AT21</f>
        <v/>
      </c>
      <c r="AU22" s="35">
        <f>AU19+AU20+AU21</f>
        <v/>
      </c>
      <c r="AV22" s="35">
        <f>AV19+AV20+AV21</f>
        <v/>
      </c>
      <c r="AW22" s="35">
        <f>AW19+AW20+AW21</f>
        <v/>
      </c>
      <c r="AX22" s="35">
        <f>AX19+AX20+AX21</f>
        <v/>
      </c>
      <c r="AY22" s="35">
        <f>AY19+AY20+AY21</f>
        <v/>
      </c>
      <c r="AZ22" s="35">
        <f>AZ19+AZ20+AZ21</f>
        <v/>
      </c>
      <c r="BA22" s="35">
        <f>BA19+BA20+BA21</f>
        <v/>
      </c>
    </row>
    <row r="23" ht="14.25" customHeight="1" s="165"/>
    <row r="24" ht="14.25" customHeight="1" s="165">
      <c r="A24" s="2" t="inlineStr">
        <is>
          <t>TOTAL LIABILITIES + EQUITY</t>
        </is>
      </c>
      <c r="B24" s="35">
        <f>B16+B22</f>
        <v/>
      </c>
      <c r="C24" s="35">
        <f>C16+C22</f>
        <v/>
      </c>
      <c r="D24" s="35">
        <f>D16+D22</f>
        <v/>
      </c>
      <c r="E24" s="35">
        <f>E16+E22</f>
        <v/>
      </c>
      <c r="F24" s="35">
        <f>F16+F22</f>
        <v/>
      </c>
      <c r="G24" s="35">
        <f>G16+G22</f>
        <v/>
      </c>
      <c r="H24" s="35">
        <f>H16+H22</f>
        <v/>
      </c>
      <c r="I24" s="35">
        <f>I16+I22</f>
        <v/>
      </c>
      <c r="J24" s="35">
        <f>J16+J22</f>
        <v/>
      </c>
      <c r="K24" s="35">
        <f>K16+K22</f>
        <v/>
      </c>
      <c r="L24" s="35">
        <f>L16+L22</f>
        <v/>
      </c>
      <c r="M24" s="35">
        <f>M16+M22</f>
        <v/>
      </c>
      <c r="N24" s="35">
        <f>N16+N22</f>
        <v/>
      </c>
      <c r="O24" s="35">
        <f>O16+O22</f>
        <v/>
      </c>
      <c r="P24" s="35">
        <f>P16+P22</f>
        <v/>
      </c>
      <c r="Q24" s="35">
        <f>Q16+Q22</f>
        <v/>
      </c>
      <c r="R24" s="35">
        <f>R16+R22</f>
        <v/>
      </c>
      <c r="S24" s="35">
        <f>S16+S22</f>
        <v/>
      </c>
      <c r="T24" s="35">
        <f>T16+T22</f>
        <v/>
      </c>
      <c r="U24" s="35">
        <f>U16+U22</f>
        <v/>
      </c>
      <c r="V24" s="35">
        <f>V16+V22</f>
        <v/>
      </c>
      <c r="W24" s="35">
        <f>W16+W22</f>
        <v/>
      </c>
      <c r="X24" s="35">
        <f>X16+X22</f>
        <v/>
      </c>
      <c r="Y24" s="35">
        <f>Y16+Y22</f>
        <v/>
      </c>
      <c r="Z24" s="35">
        <f>Z16+Z22</f>
        <v/>
      </c>
      <c r="AA24" s="35">
        <f>AA16+AA22</f>
        <v/>
      </c>
      <c r="AB24" s="35">
        <f>AB16+AB22</f>
        <v/>
      </c>
      <c r="AC24" s="35">
        <f>AC16+AC22</f>
        <v/>
      </c>
      <c r="AD24" s="35">
        <f>AD16+AD22</f>
        <v/>
      </c>
      <c r="AE24" s="35">
        <f>AE16+AE22</f>
        <v/>
      </c>
      <c r="AF24" s="35">
        <f>AF16+AF22</f>
        <v/>
      </c>
      <c r="AG24" s="35">
        <f>AG16+AG22</f>
        <v/>
      </c>
      <c r="AH24" s="35">
        <f>AH16+AH22</f>
        <v/>
      </c>
      <c r="AI24" s="35">
        <f>AI16+AI22</f>
        <v/>
      </c>
      <c r="AJ24" s="35">
        <f>AJ16+AJ22</f>
        <v/>
      </c>
      <c r="AK24" s="35">
        <f>AK16+AK22</f>
        <v/>
      </c>
      <c r="AL24" s="35">
        <f>AL16+AL22</f>
        <v/>
      </c>
      <c r="AM24" s="35">
        <f>AM16+AM22</f>
        <v/>
      </c>
      <c r="AN24" s="35">
        <f>AN16+AN22</f>
        <v/>
      </c>
      <c r="AO24" s="35">
        <f>AO16+AO22</f>
        <v/>
      </c>
      <c r="AP24" s="35">
        <f>AP16+AP22</f>
        <v/>
      </c>
      <c r="AQ24" s="35">
        <f>AQ16+AQ22</f>
        <v/>
      </c>
      <c r="AR24" s="35">
        <f>AR16+AR22</f>
        <v/>
      </c>
      <c r="AS24" s="35">
        <f>AS16+AS22</f>
        <v/>
      </c>
      <c r="AT24" s="35">
        <f>AT16+AT22</f>
        <v/>
      </c>
      <c r="AU24" s="35">
        <f>AU16+AU22</f>
        <v/>
      </c>
      <c r="AV24" s="35">
        <f>AV16+AV22</f>
        <v/>
      </c>
      <c r="AW24" s="35">
        <f>AW16+AW22</f>
        <v/>
      </c>
      <c r="AX24" s="35">
        <f>AX16+AX22</f>
        <v/>
      </c>
      <c r="AY24" s="35">
        <f>AY16+AY22</f>
        <v/>
      </c>
      <c r="AZ24" s="35">
        <f>AZ16+AZ22</f>
        <v/>
      </c>
      <c r="BA24" s="35">
        <f>BA16+BA22</f>
        <v/>
      </c>
    </row>
    <row r="25" ht="14.25" customHeight="1" s="165">
      <c r="A25" s="3" t="inlineStr">
        <is>
          <t>Check (Assets - L&amp;E = 0)</t>
        </is>
      </c>
      <c r="B25" s="37">
        <f>B10-B24</f>
        <v/>
      </c>
      <c r="C25" s="37">
        <f>C10-C24</f>
        <v/>
      </c>
      <c r="D25" s="37">
        <f>D10-D24</f>
        <v/>
      </c>
      <c r="E25" s="37">
        <f>E10-E24</f>
        <v/>
      </c>
      <c r="F25" s="37">
        <f>F10-F24</f>
        <v/>
      </c>
      <c r="G25" s="37">
        <f>G10-G24</f>
        <v/>
      </c>
      <c r="H25" s="37">
        <f>H10-H24</f>
        <v/>
      </c>
      <c r="I25" s="37">
        <f>I10-I24</f>
        <v/>
      </c>
      <c r="J25" s="37">
        <f>J10-J24</f>
        <v/>
      </c>
      <c r="K25" s="37">
        <f>K10-K24</f>
        <v/>
      </c>
      <c r="L25" s="37">
        <f>L10-L24</f>
        <v/>
      </c>
      <c r="M25" s="37">
        <f>M10-M24</f>
        <v/>
      </c>
      <c r="N25" s="37">
        <f>N10-N24</f>
        <v/>
      </c>
      <c r="O25" s="37">
        <f>O10-O24</f>
        <v/>
      </c>
      <c r="P25" s="37">
        <f>P10-P24</f>
        <v/>
      </c>
      <c r="Q25" s="37">
        <f>Q10-Q24</f>
        <v/>
      </c>
      <c r="R25" s="37">
        <f>R10-R24</f>
        <v/>
      </c>
      <c r="S25" s="37">
        <f>S10-S24</f>
        <v/>
      </c>
      <c r="T25" s="37">
        <f>T10-T24</f>
        <v/>
      </c>
      <c r="U25" s="37">
        <f>U10-U24</f>
        <v/>
      </c>
      <c r="V25" s="37">
        <f>V10-V24</f>
        <v/>
      </c>
      <c r="W25" s="37">
        <f>W10-W24</f>
        <v/>
      </c>
      <c r="X25" s="37">
        <f>X10-X24</f>
        <v/>
      </c>
      <c r="Y25" s="37">
        <f>Y10-Y24</f>
        <v/>
      </c>
      <c r="Z25" s="37">
        <f>Z10-Z24</f>
        <v/>
      </c>
      <c r="AA25" s="37">
        <f>AA10-AA24</f>
        <v/>
      </c>
      <c r="AB25" s="37">
        <f>AB10-AB24</f>
        <v/>
      </c>
      <c r="AC25" s="37">
        <f>AC10-AC24</f>
        <v/>
      </c>
      <c r="AD25" s="37">
        <f>AD10-AD24</f>
        <v/>
      </c>
      <c r="AE25" s="37">
        <f>AE10-AE24</f>
        <v/>
      </c>
      <c r="AF25" s="37">
        <f>AF10-AF24</f>
        <v/>
      </c>
      <c r="AG25" s="37">
        <f>AG10-AG24</f>
        <v/>
      </c>
      <c r="AH25" s="37">
        <f>AH10-AH24</f>
        <v/>
      </c>
      <c r="AI25" s="37">
        <f>AI10-AI24</f>
        <v/>
      </c>
      <c r="AJ25" s="37">
        <f>AJ10-AJ24</f>
        <v/>
      </c>
      <c r="AK25" s="37">
        <f>AK10-AK24</f>
        <v/>
      </c>
      <c r="AL25" s="37">
        <f>AL10-AL24</f>
        <v/>
      </c>
      <c r="AM25" s="37">
        <f>AM10-AM24</f>
        <v/>
      </c>
      <c r="AN25" s="37">
        <f>AN10-AN24</f>
        <v/>
      </c>
      <c r="AO25" s="37">
        <f>AO10-AO24</f>
        <v/>
      </c>
      <c r="AP25" s="37">
        <f>AP10-AP24</f>
        <v/>
      </c>
      <c r="AQ25" s="37">
        <f>AQ10-AQ24</f>
        <v/>
      </c>
      <c r="AR25" s="37">
        <f>AR10-AR24</f>
        <v/>
      </c>
      <c r="AS25" s="37">
        <f>AS10-AS24</f>
        <v/>
      </c>
      <c r="AT25" s="37">
        <f>AT10-AT24</f>
        <v/>
      </c>
      <c r="AU25" s="37">
        <f>AU10-AU24</f>
        <v/>
      </c>
      <c r="AV25" s="37">
        <f>AV10-AV24</f>
        <v/>
      </c>
      <c r="AW25" s="37">
        <f>AW10-AW24</f>
        <v/>
      </c>
      <c r="AX25" s="37">
        <f>AX10-AX24</f>
        <v/>
      </c>
      <c r="AY25" s="37">
        <f>AY10-AY24</f>
        <v/>
      </c>
      <c r="AZ25" s="37">
        <f>AZ10-AZ24</f>
        <v/>
      </c>
      <c r="BA25" s="37">
        <f>BA10-BA24</f>
        <v/>
      </c>
    </row>
    <row r="26" ht="14.25" customHeight="1" s="165"/>
    <row r="27" ht="14.25" customHeight="1" s="165"/>
    <row r="28" ht="14.25" customHeight="1" s="165"/>
    <row r="29" ht="14.25" customHeight="1" s="165"/>
    <row r="30" ht="14.25" customHeight="1" s="165"/>
    <row r="31" ht="14.25" customHeight="1" s="165"/>
    <row r="32" ht="14.25" customHeight="1" s="165"/>
    <row r="33" ht="14.25" customHeight="1" s="165"/>
    <row r="34" ht="14.25" customHeight="1" s="165"/>
    <row r="35" ht="14.25" customHeight="1" s="165"/>
    <row r="36" ht="14.25" customHeight="1" s="165"/>
    <row r="37" ht="14.25" customHeight="1" s="165"/>
    <row r="38" ht="14.25" customHeight="1" s="165"/>
    <row r="39" ht="14.25" customHeight="1" s="165"/>
    <row r="40" ht="14.25" customHeight="1" s="165"/>
    <row r="41" ht="14.25" customHeight="1" s="165"/>
    <row r="42" ht="14.25" customHeight="1" s="165"/>
    <row r="43" ht="14.25" customHeight="1" s="165"/>
    <row r="44" ht="14.25" customHeight="1" s="165"/>
    <row r="45" ht="14.25" customHeight="1" s="165"/>
    <row r="46" ht="14.25" customHeight="1" s="165"/>
    <row r="47" ht="14.25" customHeight="1" s="165"/>
    <row r="48" ht="14.25" customHeight="1" s="165"/>
    <row r="49" ht="14.25" customHeight="1" s="165"/>
    <row r="50" ht="14.25" customHeight="1" s="165"/>
    <row r="51" ht="14.25" customHeight="1" s="165"/>
    <row r="52" ht="14.25" customHeight="1" s="165"/>
    <row r="53" ht="14.25" customHeight="1" s="165"/>
    <row r="54" ht="14.25" customHeight="1" s="165"/>
    <row r="55" ht="14.25" customHeight="1" s="165"/>
    <row r="56" ht="14.25" customHeight="1" s="165"/>
    <row r="57" ht="14.25" customHeight="1" s="165"/>
    <row r="58" ht="14.25" customHeight="1" s="165"/>
    <row r="59" ht="14.25" customHeight="1" s="165"/>
    <row r="60" ht="14.25" customHeight="1" s="165"/>
    <row r="61" ht="14.25" customHeight="1" s="165"/>
    <row r="62" ht="14.25" customHeight="1" s="165"/>
    <row r="63" ht="14.25" customHeight="1" s="165"/>
    <row r="64" ht="14.25" customHeight="1" s="165"/>
    <row r="65" ht="14.25" customHeight="1" s="165"/>
    <row r="66" ht="14.25" customHeight="1" s="165"/>
    <row r="67" ht="14.25" customHeight="1" s="165"/>
    <row r="68" ht="14.25" customHeight="1" s="165"/>
    <row r="69" ht="14.25" customHeight="1" s="165"/>
    <row r="70" ht="14.25" customHeight="1" s="165"/>
    <row r="71" ht="14.25" customHeight="1" s="165"/>
    <row r="72" ht="14.25" customHeight="1" s="165"/>
    <row r="73" ht="14.25" customHeight="1" s="165"/>
    <row r="74" ht="14.25" customHeight="1" s="165"/>
    <row r="75" ht="14.25" customHeight="1" s="165"/>
    <row r="76" ht="14.25" customHeight="1" s="165"/>
    <row r="77" ht="14.25" customHeight="1" s="165"/>
    <row r="78" ht="14.25" customHeight="1" s="165"/>
    <row r="79" ht="14.25" customHeight="1" s="165"/>
    <row r="80" ht="14.25" customHeight="1" s="165"/>
    <row r="81" ht="14.25" customHeight="1" s="165"/>
    <row r="82" ht="14.25" customHeight="1" s="165"/>
    <row r="83" ht="14.25" customHeight="1" s="165"/>
    <row r="84" ht="14.25" customHeight="1" s="165"/>
    <row r="85" ht="14.25" customHeight="1" s="165"/>
    <row r="86" ht="14.25" customHeight="1" s="165"/>
    <row r="87" ht="14.25" customHeight="1" s="165"/>
    <row r="88" ht="14.25" customHeight="1" s="165"/>
    <row r="89" ht="14.25" customHeight="1" s="165"/>
    <row r="90" ht="14.25" customHeight="1" s="165"/>
    <row r="91" ht="14.25" customHeight="1" s="165"/>
    <row r="92" ht="14.25" customHeight="1" s="165"/>
    <row r="93" ht="14.25" customHeight="1" s="165"/>
    <row r="94" ht="14.25" customHeight="1" s="165"/>
    <row r="95" ht="14.25" customHeight="1" s="165"/>
    <row r="96" ht="14.25" customHeight="1" s="165"/>
    <row r="97" ht="14.25" customHeight="1" s="165"/>
    <row r="98" ht="14.25" customHeight="1" s="165"/>
    <row r="99" ht="14.25" customHeight="1" s="165"/>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row r="968" ht="14.25" customHeight="1" s="165"/>
    <row r="969" ht="14.25" customHeight="1" s="165"/>
    <row r="970" ht="14.25" customHeight="1" s="165"/>
    <row r="971" ht="14.25" customHeight="1" s="165"/>
    <row r="972" ht="14.25" customHeight="1" s="165"/>
    <row r="973" ht="14.25" customHeight="1" s="165"/>
    <row r="974" ht="14.25" customHeight="1" s="165"/>
    <row r="975" ht="14.25" customHeight="1" s="165"/>
    <row r="976" ht="14.25" customHeight="1" s="165"/>
    <row r="977" ht="14.25" customHeight="1" s="165"/>
    <row r="978" ht="14.25" customHeight="1" s="165"/>
    <row r="979" ht="14.25" customHeight="1" s="165"/>
    <row r="980" ht="14.25" customHeight="1" s="165"/>
    <row r="981" ht="14.25" customHeight="1" s="165"/>
    <row r="982" ht="14.25" customHeight="1" s="165"/>
    <row r="983" ht="14.25" customHeight="1" s="165"/>
    <row r="984" ht="14.25" customHeight="1" s="165"/>
    <row r="985" ht="14.25" customHeight="1" s="165"/>
    <row r="986" ht="14.25" customHeight="1" s="165"/>
    <row r="987" ht="14.25" customHeight="1" s="165"/>
    <row r="988" ht="14.25" customHeight="1" s="165"/>
    <row r="989" ht="14.25" customHeight="1" s="165"/>
    <row r="990" ht="14.25" customHeight="1" s="165"/>
    <row r="991" ht="14.25" customHeight="1" s="165"/>
    <row r="992" ht="14.25" customHeight="1" s="165"/>
    <row r="993" ht="14.25" customHeight="1" s="165"/>
    <row r="994" ht="14.25" customHeight="1" s="165"/>
    <row r="995" ht="14.25" customHeight="1" s="165"/>
    <row r="996" ht="14.25" customHeight="1" s="165"/>
    <row r="997" ht="14.25" customHeight="1" s="165"/>
    <row r="998" ht="14.25" customHeight="1" s="165"/>
    <row r="999" ht="14.25" customHeight="1" s="165"/>
    <row r="1000" ht="14.25" customHeight="1" s="165"/>
    <row r="1001" ht="14.25" customHeight="1" s="165"/>
  </sheetData>
  <pageMargins left="0.75" right="0.75" top="1" bottom="1" header="0" footer="0"/>
  <pageSetup orientation="landscape"/>
</worksheet>
</file>

<file path=xl/worksheets/sheet11.xml><?xml version="1.0" encoding="utf-8"?>
<worksheet xmlns="http://schemas.openxmlformats.org/spreadsheetml/2006/main">
  <sheetPr>
    <tabColor rgb="FF00B050"/>
    <outlinePr summaryBelow="1" summaryRight="1"/>
    <pageSetUpPr/>
  </sheetPr>
  <dimension ref="A1:BA29"/>
  <sheetViews>
    <sheetView workbookViewId="0">
      <pane xSplit="1" ySplit="4" topLeftCell="B5" activePane="bottomRight" state="frozen"/>
      <selection activeCell="L4" sqref="L4"/>
      <selection pane="topRight" activeCell="L4" sqref="L4"/>
      <selection pane="bottomLeft" activeCell="L4" sqref="L4"/>
      <selection pane="bottomRight" activeCell="A3" sqref="A3:BA3"/>
    </sheetView>
  </sheetViews>
  <sheetFormatPr baseColWidth="10" defaultColWidth="14.453125" defaultRowHeight="15" customHeight="1"/>
  <cols>
    <col width="35" customWidth="1" style="165" min="1" max="1"/>
    <col width="12" customWidth="1" style="165" min="2" max="53"/>
  </cols>
  <sheetData>
    <row r="1" ht="14.25" customHeight="1" s="165">
      <c r="A1" s="1" t="inlineStr">
        <is>
          <t>KAPITALFLUSSRECHNUNG (CASH FLOW)</t>
        </is>
      </c>
    </row>
    <row r="2" ht="14.25" customHeight="1" s="165">
      <c r="B2" s="38" t="n">
        <v>46113</v>
      </c>
      <c r="C2" s="38" t="n">
        <v>46143</v>
      </c>
      <c r="D2" s="38" t="n">
        <v>46174</v>
      </c>
      <c r="E2" s="38" t="n">
        <v>46204</v>
      </c>
      <c r="F2" s="38" t="n">
        <v>46235</v>
      </c>
      <c r="G2" s="38" t="n">
        <v>46266</v>
      </c>
      <c r="H2" s="38" t="n">
        <v>46296</v>
      </c>
      <c r="I2" s="38" t="n">
        <v>46327</v>
      </c>
      <c r="J2" s="38" t="n">
        <v>46357</v>
      </c>
      <c r="K2" s="38" t="n">
        <v>46388</v>
      </c>
      <c r="L2" s="38" t="n">
        <v>46419</v>
      </c>
      <c r="M2" s="38" t="n">
        <v>46447</v>
      </c>
      <c r="N2" s="38" t="n">
        <v>46478</v>
      </c>
      <c r="O2" s="38" t="n">
        <v>46508</v>
      </c>
      <c r="P2" s="38" t="n">
        <v>46539</v>
      </c>
      <c r="Q2" s="38" t="n">
        <v>46569</v>
      </c>
      <c r="R2" s="38" t="n">
        <v>46600</v>
      </c>
      <c r="S2" s="38" t="n">
        <v>46631</v>
      </c>
      <c r="T2" s="38" t="n">
        <v>46661</v>
      </c>
      <c r="U2" s="38" t="n">
        <v>46692</v>
      </c>
      <c r="V2" s="38" t="n">
        <v>46722</v>
      </c>
      <c r="W2" s="38" t="n">
        <v>46753</v>
      </c>
      <c r="X2" s="38" t="n">
        <v>46784</v>
      </c>
      <c r="Y2" s="38" t="n">
        <v>46813</v>
      </c>
      <c r="Z2" s="38" t="n">
        <v>46844</v>
      </c>
      <c r="AA2" s="38" t="n">
        <v>46874</v>
      </c>
      <c r="AB2" s="38" t="n">
        <v>46905</v>
      </c>
      <c r="AC2" s="38" t="n">
        <v>46935</v>
      </c>
      <c r="AD2" s="38" t="n">
        <v>46966</v>
      </c>
      <c r="AE2" s="38" t="n">
        <v>46997</v>
      </c>
      <c r="AF2" s="38" t="n">
        <v>47027</v>
      </c>
      <c r="AG2" s="38" t="n">
        <v>47058</v>
      </c>
      <c r="AH2" s="38" t="n">
        <v>47088</v>
      </c>
      <c r="AI2" s="38" t="n">
        <v>47119</v>
      </c>
      <c r="AJ2" s="38" t="n">
        <v>47150</v>
      </c>
      <c r="AK2" s="38" t="n">
        <v>47178</v>
      </c>
      <c r="AL2" s="38" t="n">
        <v>47209</v>
      </c>
      <c r="AM2" s="38" t="n">
        <v>47239</v>
      </c>
      <c r="AN2" s="38" t="n">
        <v>47270</v>
      </c>
      <c r="AO2" s="38" t="n">
        <v>47300</v>
      </c>
      <c r="AP2" s="38" t="n">
        <v>47331</v>
      </c>
      <c r="AQ2" s="38" t="n">
        <v>47362</v>
      </c>
      <c r="AR2" s="38" t="n">
        <v>47392</v>
      </c>
      <c r="AS2" s="38" t="n">
        <v>47423</v>
      </c>
      <c r="AT2" s="38" t="n">
        <v>47453</v>
      </c>
      <c r="AU2" s="38" t="n">
        <v>47484</v>
      </c>
      <c r="AV2" s="38" t="n">
        <v>47515</v>
      </c>
      <c r="AW2" s="38" t="n">
        <v>47543</v>
      </c>
      <c r="AX2" s="38" t="n">
        <v>47574</v>
      </c>
      <c r="AY2" s="38" t="n">
        <v>47604</v>
      </c>
      <c r="AZ2" s="38" t="n">
        <v>47635</v>
      </c>
      <c r="BA2" s="38" t="n">
        <v>47665</v>
      </c>
    </row>
    <row r="3" ht="14.25" customFormat="1" customHeight="1" s="178">
      <c r="A3" s="229" t="inlineStr">
        <is>
          <t>Startup-Phase</t>
        </is>
      </c>
      <c r="B3" s="228" t="inlineStr">
        <is>
          <t>Ideation</t>
        </is>
      </c>
      <c r="C3" s="228" t="inlineStr">
        <is>
          <t>Ideation</t>
        </is>
      </c>
      <c r="D3" s="228" t="inlineStr">
        <is>
          <t>Ideation</t>
        </is>
      </c>
      <c r="E3" s="228" t="inlineStr">
        <is>
          <t>Ideation</t>
        </is>
      </c>
      <c r="F3" s="224" t="inlineStr">
        <is>
          <t>Pre-Seed</t>
        </is>
      </c>
      <c r="G3" s="224" t="inlineStr">
        <is>
          <t>Pre-Seed</t>
        </is>
      </c>
      <c r="H3" s="224" t="inlineStr">
        <is>
          <t>Pre-Seed</t>
        </is>
      </c>
      <c r="I3" s="224" t="inlineStr">
        <is>
          <t>Pre-Seed</t>
        </is>
      </c>
      <c r="J3" s="224" t="inlineStr">
        <is>
          <t>Pre-Seed</t>
        </is>
      </c>
      <c r="K3" s="224" t="inlineStr">
        <is>
          <t>Pre-Seed</t>
        </is>
      </c>
      <c r="L3" s="224" t="inlineStr">
        <is>
          <t>Pre-Seed</t>
        </is>
      </c>
      <c r="M3" s="224" t="inlineStr">
        <is>
          <t>Pre-Seed</t>
        </is>
      </c>
      <c r="N3" s="224" t="inlineStr">
        <is>
          <t>Pre-Seed</t>
        </is>
      </c>
      <c r="O3" s="224" t="inlineStr">
        <is>
          <t>Pre-Seed</t>
        </is>
      </c>
      <c r="P3" s="224" t="inlineStr">
        <is>
          <t>Pre-Seed</t>
        </is>
      </c>
      <c r="Q3" s="224" t="inlineStr">
        <is>
          <t>Pre-Seed</t>
        </is>
      </c>
      <c r="R3" s="225" t="inlineStr">
        <is>
          <t>Seed</t>
        </is>
      </c>
      <c r="S3" s="225" t="inlineStr">
        <is>
          <t>Seed</t>
        </is>
      </c>
      <c r="T3" s="225" t="inlineStr">
        <is>
          <t>Seed</t>
        </is>
      </c>
      <c r="U3" s="225" t="inlineStr">
        <is>
          <t>Seed</t>
        </is>
      </c>
      <c r="V3" s="225" t="inlineStr">
        <is>
          <t>Seed</t>
        </is>
      </c>
      <c r="W3" s="225" t="inlineStr">
        <is>
          <t>Seed</t>
        </is>
      </c>
      <c r="X3" s="225" t="inlineStr">
        <is>
          <t>Seed</t>
        </is>
      </c>
      <c r="Y3" s="225" t="inlineStr">
        <is>
          <t>Seed</t>
        </is>
      </c>
      <c r="Z3" s="225" t="inlineStr">
        <is>
          <t>Seed</t>
        </is>
      </c>
      <c r="AA3" s="225" t="inlineStr">
        <is>
          <t>Seed</t>
        </is>
      </c>
      <c r="AB3" s="225" t="inlineStr">
        <is>
          <t>Seed</t>
        </is>
      </c>
      <c r="AC3" s="225" t="inlineStr">
        <is>
          <t>Seed</t>
        </is>
      </c>
      <c r="AD3" s="226" t="inlineStr">
        <is>
          <t>Series A</t>
        </is>
      </c>
      <c r="AE3" s="226" t="inlineStr">
        <is>
          <t>Series A</t>
        </is>
      </c>
      <c r="AF3" s="226" t="inlineStr">
        <is>
          <t>Series A</t>
        </is>
      </c>
      <c r="AG3" s="226" t="inlineStr">
        <is>
          <t>Series A</t>
        </is>
      </c>
      <c r="AH3" s="226" t="inlineStr">
        <is>
          <t>Series A</t>
        </is>
      </c>
      <c r="AI3" s="226" t="inlineStr">
        <is>
          <t>Series A</t>
        </is>
      </c>
      <c r="AJ3" s="226" t="inlineStr">
        <is>
          <t>Series A</t>
        </is>
      </c>
      <c r="AK3" s="226" t="inlineStr">
        <is>
          <t>Series A</t>
        </is>
      </c>
      <c r="AL3" s="226" t="inlineStr">
        <is>
          <t>Series A</t>
        </is>
      </c>
      <c r="AM3" s="226" t="inlineStr">
        <is>
          <t>Series A</t>
        </is>
      </c>
      <c r="AN3" s="226" t="inlineStr">
        <is>
          <t>Series A</t>
        </is>
      </c>
      <c r="AO3" s="226" t="inlineStr">
        <is>
          <t>Series A</t>
        </is>
      </c>
      <c r="AP3" s="227" t="inlineStr">
        <is>
          <t>Series B</t>
        </is>
      </c>
      <c r="AQ3" s="227" t="inlineStr">
        <is>
          <t>Series B</t>
        </is>
      </c>
      <c r="AR3" s="227" t="inlineStr">
        <is>
          <t>Series B</t>
        </is>
      </c>
      <c r="AS3" s="227" t="inlineStr">
        <is>
          <t>Series B</t>
        </is>
      </c>
      <c r="AT3" s="227" t="inlineStr">
        <is>
          <t>Series B</t>
        </is>
      </c>
      <c r="AU3" s="227" t="inlineStr">
        <is>
          <t>Series B</t>
        </is>
      </c>
      <c r="AV3" s="227" t="inlineStr">
        <is>
          <t>Series B</t>
        </is>
      </c>
      <c r="AW3" s="227" t="inlineStr">
        <is>
          <t>Series B</t>
        </is>
      </c>
      <c r="AX3" s="227" t="inlineStr">
        <is>
          <t>Series B</t>
        </is>
      </c>
      <c r="AY3" s="227" t="inlineStr">
        <is>
          <t>Series B</t>
        </is>
      </c>
      <c r="AZ3" s="227" t="inlineStr">
        <is>
          <t>Series B</t>
        </is>
      </c>
      <c r="BA3" s="227" t="inlineStr">
        <is>
          <t>Series B</t>
        </is>
      </c>
    </row>
    <row r="4" ht="14.25" customHeight="1" s="165">
      <c r="A4" s="33" t="inlineStr">
        <is>
          <t>Position</t>
        </is>
      </c>
      <c r="B4" s="33" t="inlineStr">
        <is>
          <t>M1</t>
        </is>
      </c>
      <c r="C4" s="33" t="inlineStr">
        <is>
          <t>M2</t>
        </is>
      </c>
      <c r="D4" s="33" t="inlineStr">
        <is>
          <t>M3</t>
        </is>
      </c>
      <c r="E4" s="33" t="inlineStr">
        <is>
          <t>M4</t>
        </is>
      </c>
      <c r="F4" s="33" t="inlineStr">
        <is>
          <t>M5</t>
        </is>
      </c>
      <c r="G4" s="33" t="inlineStr">
        <is>
          <t>M6</t>
        </is>
      </c>
      <c r="H4" s="33" t="inlineStr">
        <is>
          <t>M7</t>
        </is>
      </c>
      <c r="I4" s="33" t="inlineStr">
        <is>
          <t>M8</t>
        </is>
      </c>
      <c r="J4" s="33" t="inlineStr">
        <is>
          <t>M9</t>
        </is>
      </c>
      <c r="K4" s="33" t="inlineStr">
        <is>
          <t>M10</t>
        </is>
      </c>
      <c r="L4" s="33" t="inlineStr">
        <is>
          <t>M11</t>
        </is>
      </c>
      <c r="M4" s="33" t="inlineStr">
        <is>
          <t>M12</t>
        </is>
      </c>
      <c r="N4" s="33" t="inlineStr">
        <is>
          <t>M13</t>
        </is>
      </c>
      <c r="O4" s="33" t="inlineStr">
        <is>
          <t>M14</t>
        </is>
      </c>
      <c r="P4" s="33" t="inlineStr">
        <is>
          <t>M15</t>
        </is>
      </c>
      <c r="Q4" s="33" t="inlineStr">
        <is>
          <t>M16</t>
        </is>
      </c>
      <c r="R4" s="33" t="inlineStr">
        <is>
          <t>M17</t>
        </is>
      </c>
      <c r="S4" s="33" t="inlineStr">
        <is>
          <t>M18</t>
        </is>
      </c>
      <c r="T4" s="33" t="inlineStr">
        <is>
          <t>M19</t>
        </is>
      </c>
      <c r="U4" s="33" t="inlineStr">
        <is>
          <t>M20</t>
        </is>
      </c>
      <c r="V4" s="33" t="inlineStr">
        <is>
          <t>M21</t>
        </is>
      </c>
      <c r="W4" s="33" t="inlineStr">
        <is>
          <t>M22</t>
        </is>
      </c>
      <c r="X4" s="33" t="inlineStr">
        <is>
          <t>M23</t>
        </is>
      </c>
      <c r="Y4" s="33" t="inlineStr">
        <is>
          <t>M24</t>
        </is>
      </c>
      <c r="Z4" s="33" t="inlineStr">
        <is>
          <t>M25</t>
        </is>
      </c>
      <c r="AA4" s="33" t="inlineStr">
        <is>
          <t>M26</t>
        </is>
      </c>
      <c r="AB4" s="33" t="inlineStr">
        <is>
          <t>M27</t>
        </is>
      </c>
      <c r="AC4" s="33" t="inlineStr">
        <is>
          <t>M28</t>
        </is>
      </c>
      <c r="AD4" s="33" t="inlineStr">
        <is>
          <t>M29</t>
        </is>
      </c>
      <c r="AE4" s="33" t="inlineStr">
        <is>
          <t>M30</t>
        </is>
      </c>
      <c r="AF4" s="33" t="inlineStr">
        <is>
          <t>M31</t>
        </is>
      </c>
      <c r="AG4" s="33" t="inlineStr">
        <is>
          <t>M32</t>
        </is>
      </c>
      <c r="AH4" s="33" t="inlineStr">
        <is>
          <t>M33</t>
        </is>
      </c>
      <c r="AI4" s="33" t="inlineStr">
        <is>
          <t>M34</t>
        </is>
      </c>
      <c r="AJ4" s="33" t="inlineStr">
        <is>
          <t>M35</t>
        </is>
      </c>
      <c r="AK4" s="33" t="inlineStr">
        <is>
          <t>M36</t>
        </is>
      </c>
      <c r="AL4" s="33" t="inlineStr">
        <is>
          <t>M37</t>
        </is>
      </c>
      <c r="AM4" s="33" t="inlineStr">
        <is>
          <t>M38</t>
        </is>
      </c>
      <c r="AN4" s="33" t="inlineStr">
        <is>
          <t>M39</t>
        </is>
      </c>
      <c r="AO4" s="33" t="inlineStr">
        <is>
          <t>M40</t>
        </is>
      </c>
      <c r="AP4" s="33" t="inlineStr">
        <is>
          <t>M41</t>
        </is>
      </c>
      <c r="AQ4" s="33" t="inlineStr">
        <is>
          <t>M42</t>
        </is>
      </c>
      <c r="AR4" s="33" t="inlineStr">
        <is>
          <t>M43</t>
        </is>
      </c>
      <c r="AS4" s="33" t="inlineStr">
        <is>
          <t>M44</t>
        </is>
      </c>
      <c r="AT4" s="33" t="inlineStr">
        <is>
          <t>M45</t>
        </is>
      </c>
      <c r="AU4" s="33" t="inlineStr">
        <is>
          <t>M46</t>
        </is>
      </c>
      <c r="AV4" s="33" t="inlineStr">
        <is>
          <t>M47</t>
        </is>
      </c>
      <c r="AW4" s="33" t="inlineStr">
        <is>
          <t>M48</t>
        </is>
      </c>
      <c r="AX4" s="33" t="inlineStr">
        <is>
          <t>M49</t>
        </is>
      </c>
      <c r="AY4" s="33" t="inlineStr">
        <is>
          <t>M50</t>
        </is>
      </c>
      <c r="AZ4" s="33" t="inlineStr">
        <is>
          <t>M51</t>
        </is>
      </c>
      <c r="BA4" s="33" t="inlineStr">
        <is>
          <t>M52</t>
        </is>
      </c>
    </row>
    <row r="5" ht="14.25" customHeight="1" s="165">
      <c r="A5" s="2" t="inlineStr">
        <is>
          <t>OPERATING ACTIVITIES</t>
        </is>
      </c>
    </row>
    <row r="6" ht="14.25" customHeight="1" s="165">
      <c r="A6" s="3" t="inlineStr">
        <is>
          <t>Net Income</t>
        </is>
      </c>
      <c r="B6" s="34">
        <f>'P&amp;L'!B39</f>
        <v/>
      </c>
      <c r="C6" s="34">
        <f>'P&amp;L'!C39</f>
        <v/>
      </c>
      <c r="D6" s="34">
        <f>'P&amp;L'!D39</f>
        <v/>
      </c>
      <c r="E6" s="34">
        <f>'P&amp;L'!E39</f>
        <v/>
      </c>
      <c r="F6" s="34">
        <f>'P&amp;L'!F39</f>
        <v/>
      </c>
      <c r="G6" s="34">
        <f>'P&amp;L'!G39</f>
        <v/>
      </c>
      <c r="H6" s="34">
        <f>'P&amp;L'!H39</f>
        <v/>
      </c>
      <c r="I6" s="34">
        <f>'P&amp;L'!I39</f>
        <v/>
      </c>
      <c r="J6" s="34">
        <f>'P&amp;L'!J39</f>
        <v/>
      </c>
      <c r="K6" s="34">
        <f>'P&amp;L'!K39</f>
        <v/>
      </c>
      <c r="L6" s="34">
        <f>'P&amp;L'!L39</f>
        <v/>
      </c>
      <c r="M6" s="34">
        <f>'P&amp;L'!M39</f>
        <v/>
      </c>
      <c r="N6" s="34">
        <f>'P&amp;L'!N39</f>
        <v/>
      </c>
      <c r="O6" s="34">
        <f>'P&amp;L'!O39</f>
        <v/>
      </c>
      <c r="P6" s="34">
        <f>'P&amp;L'!P39</f>
        <v/>
      </c>
      <c r="Q6" s="34">
        <f>'P&amp;L'!Q39</f>
        <v/>
      </c>
      <c r="R6" s="34">
        <f>'P&amp;L'!R39</f>
        <v/>
      </c>
      <c r="S6" s="34">
        <f>'P&amp;L'!S39</f>
        <v/>
      </c>
      <c r="T6" s="34">
        <f>'P&amp;L'!T39</f>
        <v/>
      </c>
      <c r="U6" s="34">
        <f>'P&amp;L'!U39</f>
        <v/>
      </c>
      <c r="V6" s="34">
        <f>'P&amp;L'!V39</f>
        <v/>
      </c>
      <c r="W6" s="34">
        <f>'P&amp;L'!W39</f>
        <v/>
      </c>
      <c r="X6" s="34">
        <f>'P&amp;L'!X39</f>
        <v/>
      </c>
      <c r="Y6" s="34">
        <f>'P&amp;L'!Y39</f>
        <v/>
      </c>
      <c r="Z6" s="34">
        <f>'P&amp;L'!Z39</f>
        <v/>
      </c>
      <c r="AA6" s="34">
        <f>'P&amp;L'!AA39</f>
        <v/>
      </c>
      <c r="AB6" s="34">
        <f>'P&amp;L'!AB39</f>
        <v/>
      </c>
      <c r="AC6" s="34">
        <f>'P&amp;L'!AC39</f>
        <v/>
      </c>
      <c r="AD6" s="34">
        <f>'P&amp;L'!AD39</f>
        <v/>
      </c>
      <c r="AE6" s="34">
        <f>'P&amp;L'!AE39</f>
        <v/>
      </c>
      <c r="AF6" s="34">
        <f>'P&amp;L'!AF39</f>
        <v/>
      </c>
      <c r="AG6" s="34">
        <f>'P&amp;L'!AG39</f>
        <v/>
      </c>
      <c r="AH6" s="34">
        <f>'P&amp;L'!AH39</f>
        <v/>
      </c>
      <c r="AI6" s="34">
        <f>'P&amp;L'!AI39</f>
        <v/>
      </c>
      <c r="AJ6" s="34">
        <f>'P&amp;L'!AJ39</f>
        <v/>
      </c>
      <c r="AK6" s="34">
        <f>'P&amp;L'!AK39</f>
        <v/>
      </c>
      <c r="AL6" s="34">
        <f>'P&amp;L'!AL39</f>
        <v/>
      </c>
      <c r="AM6" s="34">
        <f>'P&amp;L'!AM39</f>
        <v/>
      </c>
      <c r="AN6" s="34">
        <f>'P&amp;L'!AN39</f>
        <v/>
      </c>
      <c r="AO6" s="34">
        <f>'P&amp;L'!AO39</f>
        <v/>
      </c>
      <c r="AP6" s="34">
        <f>'P&amp;L'!AP39</f>
        <v/>
      </c>
      <c r="AQ6" s="34">
        <f>'P&amp;L'!AQ39</f>
        <v/>
      </c>
      <c r="AR6" s="34">
        <f>'P&amp;L'!AR39</f>
        <v/>
      </c>
      <c r="AS6" s="34">
        <f>'P&amp;L'!AS39</f>
        <v/>
      </c>
      <c r="AT6" s="34">
        <f>'P&amp;L'!AT39</f>
        <v/>
      </c>
      <c r="AU6" s="34">
        <f>'P&amp;L'!AU39</f>
        <v/>
      </c>
      <c r="AV6" s="34">
        <f>'P&amp;L'!AV39</f>
        <v/>
      </c>
      <c r="AW6" s="34">
        <f>'P&amp;L'!AW39</f>
        <v/>
      </c>
      <c r="AX6" s="34">
        <f>'P&amp;L'!AX39</f>
        <v/>
      </c>
      <c r="AY6" s="34">
        <f>'P&amp;L'!AY39</f>
        <v/>
      </c>
      <c r="AZ6" s="34">
        <f>'P&amp;L'!AZ39</f>
        <v/>
      </c>
      <c r="BA6" s="34">
        <f>'P&amp;L'!BA39</f>
        <v/>
      </c>
    </row>
    <row r="7" ht="14.25" customHeight="1" s="165">
      <c r="A7" s="3" t="inlineStr">
        <is>
          <t>+ Depreciation &amp; Amortization</t>
        </is>
      </c>
      <c r="B7" s="34">
        <f>'P&amp;L'!B32</f>
        <v/>
      </c>
      <c r="C7" s="34">
        <f>'P&amp;L'!C32</f>
        <v/>
      </c>
      <c r="D7" s="34">
        <f>'P&amp;L'!D32</f>
        <v/>
      </c>
      <c r="E7" s="34">
        <f>'P&amp;L'!E32</f>
        <v/>
      </c>
      <c r="F7" s="34">
        <f>'P&amp;L'!F32</f>
        <v/>
      </c>
      <c r="G7" s="34">
        <f>'P&amp;L'!G32</f>
        <v/>
      </c>
      <c r="H7" s="34">
        <f>'P&amp;L'!H32</f>
        <v/>
      </c>
      <c r="I7" s="34">
        <f>'P&amp;L'!I32</f>
        <v/>
      </c>
      <c r="J7" s="34">
        <f>'P&amp;L'!J32</f>
        <v/>
      </c>
      <c r="K7" s="34">
        <f>'P&amp;L'!K32</f>
        <v/>
      </c>
      <c r="L7" s="34">
        <f>'P&amp;L'!L32</f>
        <v/>
      </c>
      <c r="M7" s="34">
        <f>'P&amp;L'!M32</f>
        <v/>
      </c>
      <c r="N7" s="34">
        <f>'P&amp;L'!N32</f>
        <v/>
      </c>
      <c r="O7" s="34">
        <f>'P&amp;L'!O32</f>
        <v/>
      </c>
      <c r="P7" s="34">
        <f>'P&amp;L'!P32</f>
        <v/>
      </c>
      <c r="Q7" s="34">
        <f>'P&amp;L'!Q32</f>
        <v/>
      </c>
      <c r="R7" s="34">
        <f>'P&amp;L'!R32</f>
        <v/>
      </c>
      <c r="S7" s="34">
        <f>'P&amp;L'!S32</f>
        <v/>
      </c>
      <c r="T7" s="34">
        <f>'P&amp;L'!T32</f>
        <v/>
      </c>
      <c r="U7" s="34">
        <f>'P&amp;L'!U32</f>
        <v/>
      </c>
      <c r="V7" s="34">
        <f>'P&amp;L'!V32</f>
        <v/>
      </c>
      <c r="W7" s="34">
        <f>'P&amp;L'!W32</f>
        <v/>
      </c>
      <c r="X7" s="34">
        <f>'P&amp;L'!X32</f>
        <v/>
      </c>
      <c r="Y7" s="34">
        <f>'P&amp;L'!Y32</f>
        <v/>
      </c>
      <c r="Z7" s="34">
        <f>'P&amp;L'!Z32</f>
        <v/>
      </c>
      <c r="AA7" s="34">
        <f>'P&amp;L'!AA32</f>
        <v/>
      </c>
      <c r="AB7" s="34">
        <f>'P&amp;L'!AB32</f>
        <v/>
      </c>
      <c r="AC7" s="34">
        <f>'P&amp;L'!AC32</f>
        <v/>
      </c>
      <c r="AD7" s="34">
        <f>'P&amp;L'!AD32</f>
        <v/>
      </c>
      <c r="AE7" s="34">
        <f>'P&amp;L'!AE32</f>
        <v/>
      </c>
      <c r="AF7" s="34">
        <f>'P&amp;L'!AF32</f>
        <v/>
      </c>
      <c r="AG7" s="34">
        <f>'P&amp;L'!AG32</f>
        <v/>
      </c>
      <c r="AH7" s="34">
        <f>'P&amp;L'!AH32</f>
        <v/>
      </c>
      <c r="AI7" s="34">
        <f>'P&amp;L'!AI32</f>
        <v/>
      </c>
      <c r="AJ7" s="34">
        <f>'P&amp;L'!AJ32</f>
        <v/>
      </c>
      <c r="AK7" s="34">
        <f>'P&amp;L'!AK32</f>
        <v/>
      </c>
      <c r="AL7" s="34">
        <f>'P&amp;L'!AL32</f>
        <v/>
      </c>
      <c r="AM7" s="34">
        <f>'P&amp;L'!AM32</f>
        <v/>
      </c>
      <c r="AN7" s="34">
        <f>'P&amp;L'!AN32</f>
        <v/>
      </c>
      <c r="AO7" s="34">
        <f>'P&amp;L'!AO32</f>
        <v/>
      </c>
      <c r="AP7" s="34">
        <f>'P&amp;L'!AP32</f>
        <v/>
      </c>
      <c r="AQ7" s="34">
        <f>'P&amp;L'!AQ32</f>
        <v/>
      </c>
      <c r="AR7" s="34">
        <f>'P&amp;L'!AR32</f>
        <v/>
      </c>
      <c r="AS7" s="34">
        <f>'P&amp;L'!AS32</f>
        <v/>
      </c>
      <c r="AT7" s="34">
        <f>'P&amp;L'!AT32</f>
        <v/>
      </c>
      <c r="AU7" s="34">
        <f>'P&amp;L'!AU32</f>
        <v/>
      </c>
      <c r="AV7" s="34">
        <f>'P&amp;L'!AV32</f>
        <v/>
      </c>
      <c r="AW7" s="34">
        <f>'P&amp;L'!AW32</f>
        <v/>
      </c>
      <c r="AX7" s="34">
        <f>'P&amp;L'!AX32</f>
        <v/>
      </c>
      <c r="AY7" s="34">
        <f>'P&amp;L'!AY32</f>
        <v/>
      </c>
      <c r="AZ7" s="34">
        <f>'P&amp;L'!AZ32</f>
        <v/>
      </c>
      <c r="BA7" s="34">
        <f>'P&amp;L'!BA32</f>
        <v/>
      </c>
    </row>
    <row r="8" ht="14.25" customHeight="1" s="165">
      <c r="A8" s="3" t="inlineStr">
        <is>
          <t>Changes in Working Capital</t>
        </is>
      </c>
      <c r="B8" s="37">
        <f>-'Balance Sheet'!B7-'Balance Sheet'!B8+'Balance Sheet'!B13+'Balance Sheet'!B14+'Balance Sheet'!B15</f>
        <v/>
      </c>
      <c r="C8" s="37">
        <f>-('Balance Sheet'!C7-'Balance Sheet'!B7)-('Balance Sheet'!C8-'Balance Sheet'!B8)+('Balance Sheet'!C13-'Balance Sheet'!B13)+('Balance Sheet'!C14-'Balance Sheet'!B14)+('Balance Sheet'!C15-'Balance Sheet'!B15)</f>
        <v/>
      </c>
      <c r="D8" s="37">
        <f>-('Balance Sheet'!D7-'Balance Sheet'!C7)-('Balance Sheet'!D8-'Balance Sheet'!C8)+('Balance Sheet'!D13-'Balance Sheet'!C13)+('Balance Sheet'!D14-'Balance Sheet'!C14)+('Balance Sheet'!D15-'Balance Sheet'!C15)</f>
        <v/>
      </c>
      <c r="E8" s="37">
        <f>-('Balance Sheet'!E7-'Balance Sheet'!D7)-('Balance Sheet'!E8-'Balance Sheet'!D8)+('Balance Sheet'!E13-'Balance Sheet'!D13)+('Balance Sheet'!E14-'Balance Sheet'!D14)+('Balance Sheet'!E15-'Balance Sheet'!D15)</f>
        <v/>
      </c>
      <c r="F8" s="37">
        <f>-('Balance Sheet'!F7-'Balance Sheet'!E7)-('Balance Sheet'!F8-'Balance Sheet'!E8)+('Balance Sheet'!F13-'Balance Sheet'!E13)+('Balance Sheet'!F14-'Balance Sheet'!E14)+('Balance Sheet'!F15-'Balance Sheet'!E15)</f>
        <v/>
      </c>
      <c r="G8" s="37">
        <f>-('Balance Sheet'!G7-'Balance Sheet'!F7)-('Balance Sheet'!G8-'Balance Sheet'!F8)+('Balance Sheet'!G13-'Balance Sheet'!F13)+('Balance Sheet'!G14-'Balance Sheet'!F14)+('Balance Sheet'!G15-'Balance Sheet'!F15)</f>
        <v/>
      </c>
      <c r="H8" s="37">
        <f>-('Balance Sheet'!H7-'Balance Sheet'!G7)-('Balance Sheet'!H8-'Balance Sheet'!G8)+('Balance Sheet'!H13-'Balance Sheet'!G13)+('Balance Sheet'!H14-'Balance Sheet'!G14)+('Balance Sheet'!H15-'Balance Sheet'!G15)</f>
        <v/>
      </c>
      <c r="I8" s="37">
        <f>-('Balance Sheet'!I7-'Balance Sheet'!H7)-('Balance Sheet'!I8-'Balance Sheet'!H8)+('Balance Sheet'!I13-'Balance Sheet'!H13)+('Balance Sheet'!I14-'Balance Sheet'!H14)+('Balance Sheet'!I15-'Balance Sheet'!H15)</f>
        <v/>
      </c>
      <c r="J8" s="37">
        <f>-('Balance Sheet'!J7-'Balance Sheet'!I7)-('Balance Sheet'!J8-'Balance Sheet'!I8)+('Balance Sheet'!J13-'Balance Sheet'!I13)+('Balance Sheet'!J14-'Balance Sheet'!I14)+('Balance Sheet'!J15-'Balance Sheet'!I15)</f>
        <v/>
      </c>
      <c r="K8" s="37">
        <f>-('Balance Sheet'!K7-'Balance Sheet'!J7)-('Balance Sheet'!K8-'Balance Sheet'!J8)+('Balance Sheet'!K13-'Balance Sheet'!J13)+('Balance Sheet'!K14-'Balance Sheet'!J14)+('Balance Sheet'!K15-'Balance Sheet'!J15)</f>
        <v/>
      </c>
      <c r="L8" s="37">
        <f>-('Balance Sheet'!L7-'Balance Sheet'!K7)-('Balance Sheet'!L8-'Balance Sheet'!K8)+('Balance Sheet'!L13-'Balance Sheet'!K13)+('Balance Sheet'!L14-'Balance Sheet'!K14)+('Balance Sheet'!L15-'Balance Sheet'!K15)</f>
        <v/>
      </c>
      <c r="M8" s="37">
        <f>-('Balance Sheet'!M7-'Balance Sheet'!L7)-('Balance Sheet'!M8-'Balance Sheet'!L8)+('Balance Sheet'!M13-'Balance Sheet'!L13)+('Balance Sheet'!M14-'Balance Sheet'!L14)+('Balance Sheet'!M15-'Balance Sheet'!L15)</f>
        <v/>
      </c>
      <c r="N8" s="37">
        <f>-('Balance Sheet'!N7-'Balance Sheet'!M7)-('Balance Sheet'!N8-'Balance Sheet'!M8)+('Balance Sheet'!N13-'Balance Sheet'!M13)+('Balance Sheet'!N14-'Balance Sheet'!M14)+('Balance Sheet'!N15-'Balance Sheet'!M15)</f>
        <v/>
      </c>
      <c r="O8" s="37">
        <f>-('Balance Sheet'!O7-'Balance Sheet'!N7)-('Balance Sheet'!O8-'Balance Sheet'!N8)+('Balance Sheet'!O13-'Balance Sheet'!N13)+('Balance Sheet'!O14-'Balance Sheet'!N14)+('Balance Sheet'!O15-'Balance Sheet'!N15)</f>
        <v/>
      </c>
      <c r="P8" s="37">
        <f>-('Balance Sheet'!P7-'Balance Sheet'!O7)-('Balance Sheet'!P8-'Balance Sheet'!O8)+('Balance Sheet'!P13-'Balance Sheet'!O13)+('Balance Sheet'!P14-'Balance Sheet'!O14)+('Balance Sheet'!P15-'Balance Sheet'!O15)</f>
        <v/>
      </c>
      <c r="Q8" s="37">
        <f>-('Balance Sheet'!Q7-'Balance Sheet'!P7)-('Balance Sheet'!Q8-'Balance Sheet'!P8)+('Balance Sheet'!Q13-'Balance Sheet'!P13)+('Balance Sheet'!Q14-'Balance Sheet'!P14)+('Balance Sheet'!Q15-'Balance Sheet'!P15)</f>
        <v/>
      </c>
      <c r="R8" s="37">
        <f>-('Balance Sheet'!R7-'Balance Sheet'!Q7)-('Balance Sheet'!R8-'Balance Sheet'!Q8)+('Balance Sheet'!R13-'Balance Sheet'!Q13)+('Balance Sheet'!R14-'Balance Sheet'!Q14)+('Balance Sheet'!R15-'Balance Sheet'!Q15)</f>
        <v/>
      </c>
      <c r="S8" s="37">
        <f>-('Balance Sheet'!S7-'Balance Sheet'!R7)-('Balance Sheet'!S8-'Balance Sheet'!R8)+('Balance Sheet'!S13-'Balance Sheet'!R13)+('Balance Sheet'!S14-'Balance Sheet'!R14)+('Balance Sheet'!S15-'Balance Sheet'!R15)</f>
        <v/>
      </c>
      <c r="T8" s="37">
        <f>-('Balance Sheet'!T7-'Balance Sheet'!S7)-('Balance Sheet'!T8-'Balance Sheet'!S8)+('Balance Sheet'!T13-'Balance Sheet'!S13)+('Balance Sheet'!T14-'Balance Sheet'!S14)+('Balance Sheet'!T15-'Balance Sheet'!S15)</f>
        <v/>
      </c>
      <c r="U8" s="37">
        <f>-('Balance Sheet'!U7-'Balance Sheet'!T7)-('Balance Sheet'!U8-'Balance Sheet'!T8)+('Balance Sheet'!U13-'Balance Sheet'!T13)+('Balance Sheet'!U14-'Balance Sheet'!T14)+('Balance Sheet'!U15-'Balance Sheet'!T15)</f>
        <v/>
      </c>
      <c r="V8" s="37">
        <f>-('Balance Sheet'!V7-'Balance Sheet'!U7)-('Balance Sheet'!V8-'Balance Sheet'!U8)+('Balance Sheet'!V13-'Balance Sheet'!U13)+('Balance Sheet'!V14-'Balance Sheet'!U14)+('Balance Sheet'!V15-'Balance Sheet'!U15)</f>
        <v/>
      </c>
      <c r="W8" s="37">
        <f>-('Balance Sheet'!W7-'Balance Sheet'!V7)-('Balance Sheet'!W8-'Balance Sheet'!V8)+('Balance Sheet'!W13-'Balance Sheet'!V13)+('Balance Sheet'!W14-'Balance Sheet'!V14)+('Balance Sheet'!W15-'Balance Sheet'!V15)</f>
        <v/>
      </c>
      <c r="X8" s="37">
        <f>-('Balance Sheet'!X7-'Balance Sheet'!W7)-('Balance Sheet'!X8-'Balance Sheet'!W8)+('Balance Sheet'!X13-'Balance Sheet'!W13)+('Balance Sheet'!X14-'Balance Sheet'!W14)+('Balance Sheet'!X15-'Balance Sheet'!W15)</f>
        <v/>
      </c>
      <c r="Y8" s="37">
        <f>-('Balance Sheet'!Y7-'Balance Sheet'!X7)-('Balance Sheet'!Y8-'Balance Sheet'!X8)+('Balance Sheet'!Y13-'Balance Sheet'!X13)+('Balance Sheet'!Y14-'Balance Sheet'!X14)+('Balance Sheet'!Y15-'Balance Sheet'!X15)</f>
        <v/>
      </c>
      <c r="Z8" s="37">
        <f>-('Balance Sheet'!Z7-'Balance Sheet'!Y7)-('Balance Sheet'!Z8-'Balance Sheet'!Y8)+('Balance Sheet'!Z13-'Balance Sheet'!Y13)+('Balance Sheet'!Z14-'Balance Sheet'!Y14)+('Balance Sheet'!Z15-'Balance Sheet'!Y15)</f>
        <v/>
      </c>
      <c r="AA8" s="37">
        <f>-('Balance Sheet'!AA7-'Balance Sheet'!Z7)-('Balance Sheet'!AA8-'Balance Sheet'!Z8)+('Balance Sheet'!AA13-'Balance Sheet'!Z13)+('Balance Sheet'!AA14-'Balance Sheet'!Z14)+('Balance Sheet'!AA15-'Balance Sheet'!Z15)</f>
        <v/>
      </c>
      <c r="AB8" s="37">
        <f>-('Balance Sheet'!AB7-'Balance Sheet'!AA7)-('Balance Sheet'!AB8-'Balance Sheet'!AA8)+('Balance Sheet'!AB13-'Balance Sheet'!AA13)+('Balance Sheet'!AB14-'Balance Sheet'!AA14)+('Balance Sheet'!AB15-'Balance Sheet'!AA15)</f>
        <v/>
      </c>
      <c r="AC8" s="37">
        <f>-('Balance Sheet'!AC7-'Balance Sheet'!AB7)-('Balance Sheet'!AC8-'Balance Sheet'!AB8)+('Balance Sheet'!AC13-'Balance Sheet'!AB13)+('Balance Sheet'!AC14-'Balance Sheet'!AB14)+('Balance Sheet'!AC15-'Balance Sheet'!AB15)</f>
        <v/>
      </c>
      <c r="AD8" s="37">
        <f>-('Balance Sheet'!AD7-'Balance Sheet'!AC7)-('Balance Sheet'!AD8-'Balance Sheet'!AC8)+('Balance Sheet'!AD13-'Balance Sheet'!AC13)+('Balance Sheet'!AD14-'Balance Sheet'!AC14)+('Balance Sheet'!AD15-'Balance Sheet'!AC15)</f>
        <v/>
      </c>
      <c r="AE8" s="37">
        <f>-('Balance Sheet'!AE7-'Balance Sheet'!AD7)-('Balance Sheet'!AE8-'Balance Sheet'!AD8)+('Balance Sheet'!AE13-'Balance Sheet'!AD13)+('Balance Sheet'!AE14-'Balance Sheet'!AD14)+('Balance Sheet'!AE15-'Balance Sheet'!AD15)</f>
        <v/>
      </c>
      <c r="AF8" s="37">
        <f>-('Balance Sheet'!AF7-'Balance Sheet'!AE7)-('Balance Sheet'!AF8-'Balance Sheet'!AE8)+('Balance Sheet'!AF13-'Balance Sheet'!AE13)+('Balance Sheet'!AF14-'Balance Sheet'!AE14)+('Balance Sheet'!AF15-'Balance Sheet'!AE15)</f>
        <v/>
      </c>
      <c r="AG8" s="37">
        <f>-('Balance Sheet'!AG7-'Balance Sheet'!AF7)-('Balance Sheet'!AG8-'Balance Sheet'!AF8)+('Balance Sheet'!AG13-'Balance Sheet'!AF13)+('Balance Sheet'!AG14-'Balance Sheet'!AF14)+('Balance Sheet'!AG15-'Balance Sheet'!AF15)</f>
        <v/>
      </c>
      <c r="AH8" s="37">
        <f>-('Balance Sheet'!AH7-'Balance Sheet'!AG7)-('Balance Sheet'!AH8-'Balance Sheet'!AG8)+('Balance Sheet'!AH13-'Balance Sheet'!AG13)+('Balance Sheet'!AH14-'Balance Sheet'!AG14)+('Balance Sheet'!AH15-'Balance Sheet'!AG15)</f>
        <v/>
      </c>
      <c r="AI8" s="37">
        <f>-('Balance Sheet'!AI7-'Balance Sheet'!AH7)-('Balance Sheet'!AI8-'Balance Sheet'!AH8)+('Balance Sheet'!AI13-'Balance Sheet'!AH13)+('Balance Sheet'!AI14-'Balance Sheet'!AH14)+('Balance Sheet'!AI15-'Balance Sheet'!AH15)</f>
        <v/>
      </c>
      <c r="AJ8" s="37">
        <f>-('Balance Sheet'!AJ7-'Balance Sheet'!AI7)-('Balance Sheet'!AJ8-'Balance Sheet'!AI8)+('Balance Sheet'!AJ13-'Balance Sheet'!AI13)+('Balance Sheet'!AJ14-'Balance Sheet'!AI14)+('Balance Sheet'!AJ15-'Balance Sheet'!AI15)</f>
        <v/>
      </c>
      <c r="AK8" s="37">
        <f>-('Balance Sheet'!AK7-'Balance Sheet'!AJ7)-('Balance Sheet'!AK8-'Balance Sheet'!AJ8)+('Balance Sheet'!AK13-'Balance Sheet'!AJ13)+('Balance Sheet'!AK14-'Balance Sheet'!AJ14)+('Balance Sheet'!AK15-'Balance Sheet'!AJ15)</f>
        <v/>
      </c>
      <c r="AL8" s="37">
        <f>-('Balance Sheet'!AL7-'Balance Sheet'!AK7)-('Balance Sheet'!AL8-'Balance Sheet'!AK8)+('Balance Sheet'!AL13-'Balance Sheet'!AK13)+('Balance Sheet'!AL14-'Balance Sheet'!AK14)+('Balance Sheet'!AL15-'Balance Sheet'!AK15)</f>
        <v/>
      </c>
      <c r="AM8" s="37">
        <f>-('Balance Sheet'!AM7-'Balance Sheet'!AL7)-('Balance Sheet'!AM8-'Balance Sheet'!AL8)+('Balance Sheet'!AM13-'Balance Sheet'!AL13)+('Balance Sheet'!AM14-'Balance Sheet'!AL14)+('Balance Sheet'!AM15-'Balance Sheet'!AL15)</f>
        <v/>
      </c>
      <c r="AN8" s="37">
        <f>-('Balance Sheet'!AN7-'Balance Sheet'!AM7)-('Balance Sheet'!AN8-'Balance Sheet'!AM8)+('Balance Sheet'!AN13-'Balance Sheet'!AM13)+('Balance Sheet'!AN14-'Balance Sheet'!AM14)+('Balance Sheet'!AN15-'Balance Sheet'!AM15)</f>
        <v/>
      </c>
      <c r="AO8" s="37">
        <f>-('Balance Sheet'!AO7-'Balance Sheet'!AN7)-('Balance Sheet'!AO8-'Balance Sheet'!AN8)+('Balance Sheet'!AO13-'Balance Sheet'!AN13)+('Balance Sheet'!AO14-'Balance Sheet'!AN14)+('Balance Sheet'!AO15-'Balance Sheet'!AN15)</f>
        <v/>
      </c>
      <c r="AP8" s="37">
        <f>-('Balance Sheet'!AP7-'Balance Sheet'!AO7)-('Balance Sheet'!AP8-'Balance Sheet'!AO8)+('Balance Sheet'!AP13-'Balance Sheet'!AO13)+('Balance Sheet'!AP14-'Balance Sheet'!AO14)+('Balance Sheet'!AP15-'Balance Sheet'!AO15)</f>
        <v/>
      </c>
      <c r="AQ8" s="37">
        <f>-('Balance Sheet'!AQ7-'Balance Sheet'!AP7)-('Balance Sheet'!AQ8-'Balance Sheet'!AP8)+('Balance Sheet'!AQ13-'Balance Sheet'!AP13)+('Balance Sheet'!AQ14-'Balance Sheet'!AP14)+('Balance Sheet'!AQ15-'Balance Sheet'!AP15)</f>
        <v/>
      </c>
      <c r="AR8" s="37">
        <f>-('Balance Sheet'!AR7-'Balance Sheet'!AQ7)-('Balance Sheet'!AR8-'Balance Sheet'!AQ8)+('Balance Sheet'!AR13-'Balance Sheet'!AQ13)+('Balance Sheet'!AR14-'Balance Sheet'!AQ14)+('Balance Sheet'!AR15-'Balance Sheet'!AQ15)</f>
        <v/>
      </c>
      <c r="AS8" s="37">
        <f>-('Balance Sheet'!AS7-'Balance Sheet'!AR7)-('Balance Sheet'!AS8-'Balance Sheet'!AR8)+('Balance Sheet'!AS13-'Balance Sheet'!AR13)+('Balance Sheet'!AS14-'Balance Sheet'!AR14)+('Balance Sheet'!AS15-'Balance Sheet'!AR15)</f>
        <v/>
      </c>
      <c r="AT8" s="37">
        <f>-('Balance Sheet'!AT7-'Balance Sheet'!AS7)-('Balance Sheet'!AT8-'Balance Sheet'!AS8)+('Balance Sheet'!AT13-'Balance Sheet'!AS13)+('Balance Sheet'!AT14-'Balance Sheet'!AS14)+('Balance Sheet'!AT15-'Balance Sheet'!AS15)</f>
        <v/>
      </c>
      <c r="AU8" s="37">
        <f>-('Balance Sheet'!AU7-'Balance Sheet'!AT7)-('Balance Sheet'!AU8-'Balance Sheet'!AT8)+('Balance Sheet'!AU13-'Balance Sheet'!AT13)+('Balance Sheet'!AU14-'Balance Sheet'!AT14)+('Balance Sheet'!AU15-'Balance Sheet'!AT15)</f>
        <v/>
      </c>
      <c r="AV8" s="37">
        <f>-('Balance Sheet'!AV7-'Balance Sheet'!AU7)-('Balance Sheet'!AV8-'Balance Sheet'!AU8)+('Balance Sheet'!AV13-'Balance Sheet'!AU13)+('Balance Sheet'!AV14-'Balance Sheet'!AU14)+('Balance Sheet'!AV15-'Balance Sheet'!AU15)</f>
        <v/>
      </c>
      <c r="AW8" s="37">
        <f>-('Balance Sheet'!AW7-'Balance Sheet'!AV7)-('Balance Sheet'!AW8-'Balance Sheet'!AV8)+('Balance Sheet'!AW13-'Balance Sheet'!AV13)+('Balance Sheet'!AW14-'Balance Sheet'!AV14)+('Balance Sheet'!AW15-'Balance Sheet'!AV15)</f>
        <v/>
      </c>
      <c r="AX8" s="37">
        <f>-('Balance Sheet'!AX7-'Balance Sheet'!AW7)-('Balance Sheet'!AX8-'Balance Sheet'!AW8)+('Balance Sheet'!AX13-'Balance Sheet'!AW13)+('Balance Sheet'!AX14-'Balance Sheet'!AW14)+('Balance Sheet'!AX15-'Balance Sheet'!AW15)</f>
        <v/>
      </c>
      <c r="AY8" s="37">
        <f>-('Balance Sheet'!AY7-'Balance Sheet'!AX7)-('Balance Sheet'!AY8-'Balance Sheet'!AX8)+('Balance Sheet'!AY13-'Balance Sheet'!AX13)+('Balance Sheet'!AY14-'Balance Sheet'!AX14)+('Balance Sheet'!AY15-'Balance Sheet'!AX15)</f>
        <v/>
      </c>
      <c r="AZ8" s="37">
        <f>-('Balance Sheet'!AZ7-'Balance Sheet'!AY7)-('Balance Sheet'!AZ8-'Balance Sheet'!AY8)+('Balance Sheet'!AZ13-'Balance Sheet'!AY13)+('Balance Sheet'!AZ14-'Balance Sheet'!AY14)+('Balance Sheet'!AZ15-'Balance Sheet'!AY15)</f>
        <v/>
      </c>
      <c r="BA8" s="37">
        <f>-('Balance Sheet'!BA7-'Balance Sheet'!AZ7)-('Balance Sheet'!BA8-'Balance Sheet'!AZ8)+('Balance Sheet'!BA13-'Balance Sheet'!AZ13)+('Balance Sheet'!BA14-'Balance Sheet'!AZ14)+('Balance Sheet'!BA15-'Balance Sheet'!AZ15)</f>
        <v/>
      </c>
    </row>
    <row r="9" ht="14.25" customHeight="1" s="165">
      <c r="A9" s="2" t="inlineStr">
        <is>
          <t>Net Cash from Operations</t>
        </is>
      </c>
      <c r="B9" s="35">
        <f>B6+B7+B8</f>
        <v/>
      </c>
      <c r="C9" s="35">
        <f>C6+C7+C8</f>
        <v/>
      </c>
      <c r="D9" s="35">
        <f>D6+D7+D8</f>
        <v/>
      </c>
      <c r="E9" s="35">
        <f>E6+E7+E8</f>
        <v/>
      </c>
      <c r="F9" s="35">
        <f>F6+F7+F8</f>
        <v/>
      </c>
      <c r="G9" s="35">
        <f>G6+G7+G8</f>
        <v/>
      </c>
      <c r="H9" s="35">
        <f>H6+H7+H8</f>
        <v/>
      </c>
      <c r="I9" s="35">
        <f>I6+I7+I8</f>
        <v/>
      </c>
      <c r="J9" s="35">
        <f>J6+J7+J8</f>
        <v/>
      </c>
      <c r="K9" s="35">
        <f>K6+K7+K8</f>
        <v/>
      </c>
      <c r="L9" s="35">
        <f>L6+L7+L8</f>
        <v/>
      </c>
      <c r="M9" s="35">
        <f>M6+M7+M8</f>
        <v/>
      </c>
      <c r="N9" s="35">
        <f>N6+N7+N8</f>
        <v/>
      </c>
      <c r="O9" s="35">
        <f>O6+O7+O8</f>
        <v/>
      </c>
      <c r="P9" s="35">
        <f>P6+P7+P8</f>
        <v/>
      </c>
      <c r="Q9" s="35">
        <f>Q6+Q7+Q8</f>
        <v/>
      </c>
      <c r="R9" s="35">
        <f>R6+R7+R8</f>
        <v/>
      </c>
      <c r="S9" s="35">
        <f>S6+S7+S8</f>
        <v/>
      </c>
      <c r="T9" s="35">
        <f>T6+T7+T8</f>
        <v/>
      </c>
      <c r="U9" s="35">
        <f>U6+U7+U8</f>
        <v/>
      </c>
      <c r="V9" s="35">
        <f>V6+V7+V8</f>
        <v/>
      </c>
      <c r="W9" s="35">
        <f>W6+W7+W8</f>
        <v/>
      </c>
      <c r="X9" s="35">
        <f>X6+X7+X8</f>
        <v/>
      </c>
      <c r="Y9" s="35">
        <f>Y6+Y7+Y8</f>
        <v/>
      </c>
      <c r="Z9" s="35">
        <f>Z6+Z7+Z8</f>
        <v/>
      </c>
      <c r="AA9" s="35">
        <f>AA6+AA7+AA8</f>
        <v/>
      </c>
      <c r="AB9" s="35">
        <f>AB6+AB7+AB8</f>
        <v/>
      </c>
      <c r="AC9" s="35">
        <f>AC6+AC7+AC8</f>
        <v/>
      </c>
      <c r="AD9" s="35">
        <f>AD6+AD7+AD8</f>
        <v/>
      </c>
      <c r="AE9" s="35">
        <f>AE6+AE7+AE8</f>
        <v/>
      </c>
      <c r="AF9" s="35">
        <f>AF6+AF7+AF8</f>
        <v/>
      </c>
      <c r="AG9" s="35">
        <f>AG6+AG7+AG8</f>
        <v/>
      </c>
      <c r="AH9" s="35">
        <f>AH6+AH7+AH8</f>
        <v/>
      </c>
      <c r="AI9" s="35">
        <f>AI6+AI7+AI8</f>
        <v/>
      </c>
      <c r="AJ9" s="35">
        <f>AJ6+AJ7+AJ8</f>
        <v/>
      </c>
      <c r="AK9" s="35">
        <f>AK6+AK7+AK8</f>
        <v/>
      </c>
      <c r="AL9" s="35">
        <f>AL6+AL7+AL8</f>
        <v/>
      </c>
      <c r="AM9" s="35">
        <f>AM6+AM7+AM8</f>
        <v/>
      </c>
      <c r="AN9" s="35">
        <f>AN6+AN7+AN8</f>
        <v/>
      </c>
      <c r="AO9" s="35">
        <f>AO6+AO7+AO8</f>
        <v/>
      </c>
      <c r="AP9" s="35">
        <f>AP6+AP7+AP8</f>
        <v/>
      </c>
      <c r="AQ9" s="35">
        <f>AQ6+AQ7+AQ8</f>
        <v/>
      </c>
      <c r="AR9" s="35">
        <f>AR6+AR7+AR8</f>
        <v/>
      </c>
      <c r="AS9" s="35">
        <f>AS6+AS7+AS8</f>
        <v/>
      </c>
      <c r="AT9" s="35">
        <f>AT6+AT7+AT8</f>
        <v/>
      </c>
      <c r="AU9" s="35">
        <f>AU6+AU7+AU8</f>
        <v/>
      </c>
      <c r="AV9" s="35">
        <f>AV6+AV7+AV8</f>
        <v/>
      </c>
      <c r="AW9" s="35">
        <f>AW6+AW7+AW8</f>
        <v/>
      </c>
      <c r="AX9" s="35">
        <f>AX6+AX7+AX8</f>
        <v/>
      </c>
      <c r="AY9" s="35">
        <f>AY6+AY7+AY8</f>
        <v/>
      </c>
      <c r="AZ9" s="35">
        <f>AZ6+AZ7+AZ8</f>
        <v/>
      </c>
      <c r="BA9" s="35">
        <f>BA6+BA7+BA8</f>
        <v/>
      </c>
    </row>
    <row r="10" ht="14.25" customHeight="1" s="165"/>
    <row r="11" ht="14.25" customHeight="1" s="165">
      <c r="A11" s="2" t="inlineStr">
        <is>
          <t>INVESTING ACTIVITIES</t>
        </is>
      </c>
    </row>
    <row r="12" ht="14.25" customHeight="1" s="165">
      <c r="A12" s="3" t="inlineStr">
        <is>
          <t>Purchase of Equipment</t>
        </is>
      </c>
      <c r="B12" s="37">
        <f>-(Costs!B90+Inputs!$B$89)</f>
        <v/>
      </c>
      <c r="C12" s="37">
        <f>-Costs!C90</f>
        <v/>
      </c>
      <c r="D12" s="37">
        <f>-Costs!D90</f>
        <v/>
      </c>
      <c r="E12" s="37">
        <f>-Costs!E90</f>
        <v/>
      </c>
      <c r="F12" s="37">
        <f>-Costs!F90</f>
        <v/>
      </c>
      <c r="G12" s="37">
        <f>-Costs!G90</f>
        <v/>
      </c>
      <c r="H12" s="37">
        <f>-Costs!H90</f>
        <v/>
      </c>
      <c r="I12" s="37">
        <f>-Costs!I90</f>
        <v/>
      </c>
      <c r="J12" s="37">
        <f>-Costs!J90</f>
        <v/>
      </c>
      <c r="K12" s="37">
        <f>-Costs!K90</f>
        <v/>
      </c>
      <c r="L12" s="37">
        <f>-Costs!L90</f>
        <v/>
      </c>
      <c r="M12" s="37">
        <f>-Costs!M90</f>
        <v/>
      </c>
      <c r="N12" s="37">
        <f>-Costs!N90</f>
        <v/>
      </c>
      <c r="O12" s="37">
        <f>-Costs!O90</f>
        <v/>
      </c>
      <c r="P12" s="37">
        <f>-Costs!P90</f>
        <v/>
      </c>
      <c r="Q12" s="37">
        <f>-Costs!Q90</f>
        <v/>
      </c>
      <c r="R12" s="37">
        <f>-Costs!R90</f>
        <v/>
      </c>
      <c r="S12" s="37">
        <f>-Costs!S90</f>
        <v/>
      </c>
      <c r="T12" s="37">
        <f>-Costs!T90</f>
        <v/>
      </c>
      <c r="U12" s="37">
        <f>-Costs!U90</f>
        <v/>
      </c>
      <c r="V12" s="37">
        <f>-Costs!V90</f>
        <v/>
      </c>
      <c r="W12" s="37">
        <f>-Costs!W90</f>
        <v/>
      </c>
      <c r="X12" s="37">
        <f>-Costs!X90</f>
        <v/>
      </c>
      <c r="Y12" s="37">
        <f>-Costs!Y90</f>
        <v/>
      </c>
      <c r="Z12" s="37">
        <f>-Costs!Z90</f>
        <v/>
      </c>
      <c r="AA12" s="37">
        <f>-Costs!AA90</f>
        <v/>
      </c>
      <c r="AB12" s="37">
        <f>-Costs!AB90</f>
        <v/>
      </c>
      <c r="AC12" s="37">
        <f>-Costs!AC90</f>
        <v/>
      </c>
      <c r="AD12" s="37">
        <f>-Costs!AD90</f>
        <v/>
      </c>
      <c r="AE12" s="37">
        <f>-Costs!AE90</f>
        <v/>
      </c>
      <c r="AF12" s="37">
        <f>-Costs!AF90</f>
        <v/>
      </c>
      <c r="AG12" s="37">
        <f>-Costs!AG90</f>
        <v/>
      </c>
      <c r="AH12" s="37">
        <f>-Costs!AH90</f>
        <v/>
      </c>
      <c r="AI12" s="37">
        <f>-Costs!AI90</f>
        <v/>
      </c>
      <c r="AJ12" s="37">
        <f>-Costs!AJ90</f>
        <v/>
      </c>
      <c r="AK12" s="37">
        <f>-Costs!AK90</f>
        <v/>
      </c>
      <c r="AL12" s="37">
        <f>-Costs!AL90</f>
        <v/>
      </c>
      <c r="AM12" s="37">
        <f>-Costs!AM90</f>
        <v/>
      </c>
      <c r="AN12" s="37">
        <f>-Costs!AN90</f>
        <v/>
      </c>
      <c r="AO12" s="37">
        <f>-Costs!AO90</f>
        <v/>
      </c>
      <c r="AP12" s="37">
        <f>-Costs!AP90</f>
        <v/>
      </c>
      <c r="AQ12" s="37">
        <f>-Costs!AQ90</f>
        <v/>
      </c>
      <c r="AR12" s="37">
        <f>-Costs!AR90</f>
        <v/>
      </c>
      <c r="AS12" s="37">
        <f>-Costs!AS90</f>
        <v/>
      </c>
      <c r="AT12" s="37">
        <f>-Costs!AT90</f>
        <v/>
      </c>
      <c r="AU12" s="37">
        <f>-Costs!AU90</f>
        <v/>
      </c>
      <c r="AV12" s="37">
        <f>-Costs!AV90</f>
        <v/>
      </c>
      <c r="AW12" s="37">
        <f>-Costs!AW90</f>
        <v/>
      </c>
      <c r="AX12" s="37">
        <f>-Costs!AX90</f>
        <v/>
      </c>
      <c r="AY12" s="37">
        <f>-Costs!AY90</f>
        <v/>
      </c>
      <c r="AZ12" s="37">
        <f>-Costs!AZ90</f>
        <v/>
      </c>
      <c r="BA12" s="37">
        <f>-Costs!BA90</f>
        <v/>
      </c>
    </row>
    <row r="13" ht="14.25" customHeight="1" s="165">
      <c r="A13" s="2" t="inlineStr">
        <is>
          <t>Net Cash from Investing</t>
        </is>
      </c>
      <c r="B13" s="35">
        <f>B12</f>
        <v/>
      </c>
      <c r="C13" s="35">
        <f>C12</f>
        <v/>
      </c>
      <c r="D13" s="35">
        <f>D12</f>
        <v/>
      </c>
      <c r="E13" s="35">
        <f>E12</f>
        <v/>
      </c>
      <c r="F13" s="35">
        <f>F12</f>
        <v/>
      </c>
      <c r="G13" s="35">
        <f>G12</f>
        <v/>
      </c>
      <c r="H13" s="35">
        <f>H12</f>
        <v/>
      </c>
      <c r="I13" s="35">
        <f>I12</f>
        <v/>
      </c>
      <c r="J13" s="35">
        <f>J12</f>
        <v/>
      </c>
      <c r="K13" s="35">
        <f>K12</f>
        <v/>
      </c>
      <c r="L13" s="35">
        <f>L12</f>
        <v/>
      </c>
      <c r="M13" s="35">
        <f>M12</f>
        <v/>
      </c>
      <c r="N13" s="35">
        <f>N12</f>
        <v/>
      </c>
      <c r="O13" s="35">
        <f>O12</f>
        <v/>
      </c>
      <c r="P13" s="35">
        <f>P12</f>
        <v/>
      </c>
      <c r="Q13" s="35">
        <f>Q12</f>
        <v/>
      </c>
      <c r="R13" s="35">
        <f>R12</f>
        <v/>
      </c>
      <c r="S13" s="35">
        <f>S12</f>
        <v/>
      </c>
      <c r="T13" s="35">
        <f>T12</f>
        <v/>
      </c>
      <c r="U13" s="35">
        <f>U12</f>
        <v/>
      </c>
      <c r="V13" s="35">
        <f>V12</f>
        <v/>
      </c>
      <c r="W13" s="35">
        <f>W12</f>
        <v/>
      </c>
      <c r="X13" s="35">
        <f>X12</f>
        <v/>
      </c>
      <c r="Y13" s="35">
        <f>Y12</f>
        <v/>
      </c>
      <c r="Z13" s="35">
        <f>Z12</f>
        <v/>
      </c>
      <c r="AA13" s="35">
        <f>AA12</f>
        <v/>
      </c>
      <c r="AB13" s="35">
        <f>AB12</f>
        <v/>
      </c>
      <c r="AC13" s="35">
        <f>AC12</f>
        <v/>
      </c>
      <c r="AD13" s="35">
        <f>AD12</f>
        <v/>
      </c>
      <c r="AE13" s="35">
        <f>AE12</f>
        <v/>
      </c>
      <c r="AF13" s="35">
        <f>AF12</f>
        <v/>
      </c>
      <c r="AG13" s="35">
        <f>AG12</f>
        <v/>
      </c>
      <c r="AH13" s="35">
        <f>AH12</f>
        <v/>
      </c>
      <c r="AI13" s="35">
        <f>AI12</f>
        <v/>
      </c>
      <c r="AJ13" s="35">
        <f>AJ12</f>
        <v/>
      </c>
      <c r="AK13" s="35">
        <f>AK12</f>
        <v/>
      </c>
      <c r="AL13" s="35">
        <f>AL12</f>
        <v/>
      </c>
      <c r="AM13" s="35">
        <f>AM12</f>
        <v/>
      </c>
      <c r="AN13" s="35">
        <f>AN12</f>
        <v/>
      </c>
      <c r="AO13" s="35">
        <f>AO12</f>
        <v/>
      </c>
      <c r="AP13" s="35">
        <f>AP12</f>
        <v/>
      </c>
      <c r="AQ13" s="35">
        <f>AQ12</f>
        <v/>
      </c>
      <c r="AR13" s="35">
        <f>AR12</f>
        <v/>
      </c>
      <c r="AS13" s="35">
        <f>AS12</f>
        <v/>
      </c>
      <c r="AT13" s="35">
        <f>AT12</f>
        <v/>
      </c>
      <c r="AU13" s="35">
        <f>AU12</f>
        <v/>
      </c>
      <c r="AV13" s="35">
        <f>AV12</f>
        <v/>
      </c>
      <c r="AW13" s="35">
        <f>AW12</f>
        <v/>
      </c>
      <c r="AX13" s="35">
        <f>AX12</f>
        <v/>
      </c>
      <c r="AY13" s="35">
        <f>AY12</f>
        <v/>
      </c>
      <c r="AZ13" s="35">
        <f>AZ12</f>
        <v/>
      </c>
      <c r="BA13" s="35">
        <f>BA12</f>
        <v/>
      </c>
    </row>
    <row r="14" ht="14.25" customHeight="1" s="165"/>
    <row r="15" ht="14.25" customHeight="1" s="165">
      <c r="A15" s="2" t="inlineStr">
        <is>
          <t>FINANCING ACTIVITIES</t>
        </is>
      </c>
    </row>
    <row r="16" ht="14.25" customHeight="1" s="165">
      <c r="A16" s="3" t="inlineStr">
        <is>
          <t>Equity Funding Received</t>
        </is>
      </c>
      <c r="B16" s="37">
        <f>IF(1=Inputs!$B$11,Inputs!$B$10,0)+IF(1=Inputs!$B$13,Inputs!$B$12,0)+IF(1=Inputs!$B$15,Inputs!$B$14,0)+IF(1=Inputs!$B$17,Inputs!$B$16,0)</f>
        <v/>
      </c>
      <c r="C16" s="37">
        <f>IF(2=Inputs!$B$11,Inputs!$B$10,0)+IF(2=Inputs!$B$13,Inputs!$B$12,0)+IF(2=Inputs!$B$15,Inputs!$B$14,0)+IF(2=Inputs!$B$17,Inputs!$B$16,0)</f>
        <v/>
      </c>
      <c r="D16" s="37">
        <f>IF(3=Inputs!$B$11,Inputs!$B$10,0)+IF(3=Inputs!$B$13,Inputs!$B$12,0)+IF(3=Inputs!$B$15,Inputs!$B$14,0)+IF(3=Inputs!$B$17,Inputs!$B$16,0)</f>
        <v/>
      </c>
      <c r="E16" s="37">
        <f>IF(4=Inputs!$B$11,Inputs!$B$10,0)+IF(4=Inputs!$B$13,Inputs!$B$12,0)+IF(4=Inputs!$B$15,Inputs!$B$14,0)+IF(4=Inputs!$B$17,Inputs!$B$16,0)</f>
        <v/>
      </c>
      <c r="F16" s="37">
        <f>IF(5=Inputs!$B$11,Inputs!$B$10,0)+IF(5=Inputs!$B$13,Inputs!$B$12,0)+IF(5=Inputs!$B$15,Inputs!$B$14,0)+IF(5=Inputs!$B$17,Inputs!$B$16,0)</f>
        <v/>
      </c>
      <c r="G16" s="37">
        <f>IF(6=Inputs!$B$11,Inputs!$B$10,0)+IF(6=Inputs!$B$13,Inputs!$B$12,0)+IF(6=Inputs!$B$15,Inputs!$B$14,0)+IF(6=Inputs!$B$17,Inputs!$B$16,0)</f>
        <v/>
      </c>
      <c r="H16" s="37">
        <f>IF(7=Inputs!$B$11,Inputs!$B$10,0)+IF(7=Inputs!$B$13,Inputs!$B$12,0)+IF(7=Inputs!$B$15,Inputs!$B$14,0)+IF(7=Inputs!$B$17,Inputs!$B$16,0)</f>
        <v/>
      </c>
      <c r="I16" s="37">
        <f>IF(8=Inputs!$B$11,Inputs!$B$10,0)+IF(8=Inputs!$B$13,Inputs!$B$12,0)+IF(8=Inputs!$B$15,Inputs!$B$14,0)+IF(8=Inputs!$B$17,Inputs!$B$16,0)</f>
        <v/>
      </c>
      <c r="J16" s="37">
        <f>IF(9=Inputs!$B$11,Inputs!$B$10,0)+IF(9=Inputs!$B$13,Inputs!$B$12,0)+IF(9=Inputs!$B$15,Inputs!$B$14,0)+IF(9=Inputs!$B$17,Inputs!$B$16,0)</f>
        <v/>
      </c>
      <c r="K16" s="37">
        <f>IF(10=Inputs!$B$11,Inputs!$B$10,0)+IF(10=Inputs!$B$13,Inputs!$B$12,0)+IF(10=Inputs!$B$15,Inputs!$B$14,0)+IF(10=Inputs!$B$17,Inputs!$B$16,0)</f>
        <v/>
      </c>
      <c r="L16" s="37">
        <f>IF(11=Inputs!$B$11,Inputs!$B$10,0)+IF(11=Inputs!$B$13,Inputs!$B$12,0)+IF(11=Inputs!$B$15,Inputs!$B$14,0)+IF(11=Inputs!$B$17,Inputs!$B$16,0)</f>
        <v/>
      </c>
      <c r="M16" s="37">
        <f>IF(12=Inputs!$B$11,Inputs!$B$10,0)+IF(12=Inputs!$B$13,Inputs!$B$12,0)+IF(12=Inputs!$B$15,Inputs!$B$14,0)+IF(12=Inputs!$B$17,Inputs!$B$16,0)</f>
        <v/>
      </c>
      <c r="N16" s="37">
        <f>IF(13=Inputs!$B$11,Inputs!$B$10,0)+IF(13=Inputs!$B$13,Inputs!$B$12,0)+IF(13=Inputs!$B$15,Inputs!$B$14,0)+IF(13=Inputs!$B$17,Inputs!$B$16,0)</f>
        <v/>
      </c>
      <c r="O16" s="37">
        <f>IF(14=Inputs!$B$11,Inputs!$B$10,0)+IF(14=Inputs!$B$13,Inputs!$B$12,0)+IF(14=Inputs!$B$15,Inputs!$B$14,0)+IF(14=Inputs!$B$17,Inputs!$B$16,0)</f>
        <v/>
      </c>
      <c r="P16" s="37">
        <f>IF(15=Inputs!$B$11,Inputs!$B$10,0)+IF(15=Inputs!$B$13,Inputs!$B$12,0)+IF(15=Inputs!$B$15,Inputs!$B$14,0)+IF(15=Inputs!$B$17,Inputs!$B$16,0)</f>
        <v/>
      </c>
      <c r="Q16" s="37">
        <f>IF(16=Inputs!$B$11,Inputs!$B$10,0)+IF(16=Inputs!$B$13,Inputs!$B$12,0)+IF(16=Inputs!$B$15,Inputs!$B$14,0)+IF(16=Inputs!$B$17,Inputs!$B$16,0)</f>
        <v/>
      </c>
      <c r="R16" s="37">
        <f>IF(17=Inputs!$B$11,Inputs!$B$10,0)+IF(17=Inputs!$B$13,Inputs!$B$12,0)+IF(17=Inputs!$B$15,Inputs!$B$14,0)+IF(17=Inputs!$B$17,Inputs!$B$16,0)</f>
        <v/>
      </c>
      <c r="S16" s="37">
        <f>IF(18=Inputs!$B$11,Inputs!$B$10,0)+IF(18=Inputs!$B$13,Inputs!$B$12,0)+IF(18=Inputs!$B$15,Inputs!$B$14,0)+IF(18=Inputs!$B$17,Inputs!$B$16,0)</f>
        <v/>
      </c>
      <c r="T16" s="37">
        <f>IF(19=Inputs!$B$11,Inputs!$B$10,0)+IF(19=Inputs!$B$13,Inputs!$B$12,0)+IF(19=Inputs!$B$15,Inputs!$B$14,0)+IF(19=Inputs!$B$17,Inputs!$B$16,0)</f>
        <v/>
      </c>
      <c r="U16" s="37">
        <f>IF(20=Inputs!$B$11,Inputs!$B$10,0)+IF(20=Inputs!$B$13,Inputs!$B$12,0)+IF(20=Inputs!$B$15,Inputs!$B$14,0)+IF(20=Inputs!$B$17,Inputs!$B$16,0)</f>
        <v/>
      </c>
      <c r="V16" s="37">
        <f>IF(21=Inputs!$B$11,Inputs!$B$10,0)+IF(21=Inputs!$B$13,Inputs!$B$12,0)+IF(21=Inputs!$B$15,Inputs!$B$14,0)+IF(21=Inputs!$B$17,Inputs!$B$16,0)</f>
        <v/>
      </c>
      <c r="W16" s="37">
        <f>IF(22=Inputs!$B$11,Inputs!$B$10,0)+IF(22=Inputs!$B$13,Inputs!$B$12,0)+IF(22=Inputs!$B$15,Inputs!$B$14,0)+IF(22=Inputs!$B$17,Inputs!$B$16,0)</f>
        <v/>
      </c>
      <c r="X16" s="37">
        <f>IF(23=Inputs!$B$11,Inputs!$B$10,0)+IF(23=Inputs!$B$13,Inputs!$B$12,0)+IF(23=Inputs!$B$15,Inputs!$B$14,0)+IF(23=Inputs!$B$17,Inputs!$B$16,0)</f>
        <v/>
      </c>
      <c r="Y16" s="37">
        <f>IF(24=Inputs!$B$11,Inputs!$B$10,0)+IF(24=Inputs!$B$13,Inputs!$B$12,0)+IF(24=Inputs!$B$15,Inputs!$B$14,0)+IF(24=Inputs!$B$17,Inputs!$B$16,0)</f>
        <v/>
      </c>
      <c r="Z16" s="37">
        <f>IF(25=Inputs!$B$11,Inputs!$B$10,0)+IF(25=Inputs!$B$13,Inputs!$B$12,0)+IF(25=Inputs!$B$15,Inputs!$B$14,0)+IF(25=Inputs!$B$17,Inputs!$B$16,0)</f>
        <v/>
      </c>
      <c r="AA16" s="37">
        <f>IF(26=Inputs!$B$11,Inputs!$B$10,0)+IF(26=Inputs!$B$13,Inputs!$B$12,0)+IF(26=Inputs!$B$15,Inputs!$B$14,0)+IF(26=Inputs!$B$17,Inputs!$B$16,0)</f>
        <v/>
      </c>
      <c r="AB16" s="37">
        <f>IF(27=Inputs!$B$11,Inputs!$B$10,0)+IF(27=Inputs!$B$13,Inputs!$B$12,0)+IF(27=Inputs!$B$15,Inputs!$B$14,0)+IF(27=Inputs!$B$17,Inputs!$B$16,0)</f>
        <v/>
      </c>
      <c r="AC16" s="37">
        <f>IF(28=Inputs!$B$11,Inputs!$B$10,0)+IF(28=Inputs!$B$13,Inputs!$B$12,0)+IF(28=Inputs!$B$15,Inputs!$B$14,0)+IF(28=Inputs!$B$17,Inputs!$B$16,0)</f>
        <v/>
      </c>
      <c r="AD16" s="37">
        <f>IF(29=Inputs!$B$11,Inputs!$B$10,0)+IF(29=Inputs!$B$13,Inputs!$B$12,0)+IF(29=Inputs!$B$15,Inputs!$B$14,0)+IF(29=Inputs!$B$17,Inputs!$B$16,0)</f>
        <v/>
      </c>
      <c r="AE16" s="37">
        <f>IF(30=Inputs!$B$11,Inputs!$B$10,0)+IF(30=Inputs!$B$13,Inputs!$B$12,0)+IF(30=Inputs!$B$15,Inputs!$B$14,0)+IF(30=Inputs!$B$17,Inputs!$B$16,0)</f>
        <v/>
      </c>
      <c r="AF16" s="37">
        <f>IF(31=Inputs!$B$11,Inputs!$B$10,0)+IF(31=Inputs!$B$13,Inputs!$B$12,0)+IF(31=Inputs!$B$15,Inputs!$B$14,0)+IF(31=Inputs!$B$17,Inputs!$B$16,0)</f>
        <v/>
      </c>
      <c r="AG16" s="37">
        <f>IF(32=Inputs!$B$11,Inputs!$B$10,0)+IF(32=Inputs!$B$13,Inputs!$B$12,0)+IF(32=Inputs!$B$15,Inputs!$B$14,0)+IF(32=Inputs!$B$17,Inputs!$B$16,0)</f>
        <v/>
      </c>
      <c r="AH16" s="37">
        <f>IF(33=Inputs!$B$11,Inputs!$B$10,0)+IF(33=Inputs!$B$13,Inputs!$B$12,0)+IF(33=Inputs!$B$15,Inputs!$B$14,0)+IF(33=Inputs!$B$17,Inputs!$B$16,0)</f>
        <v/>
      </c>
      <c r="AI16" s="37">
        <f>IF(34=Inputs!$B$11,Inputs!$B$10,0)+IF(34=Inputs!$B$13,Inputs!$B$12,0)+IF(34=Inputs!$B$15,Inputs!$B$14,0)+IF(34=Inputs!$B$17,Inputs!$B$16,0)</f>
        <v/>
      </c>
      <c r="AJ16" s="37">
        <f>IF(35=Inputs!$B$11,Inputs!$B$10,0)+IF(35=Inputs!$B$13,Inputs!$B$12,0)+IF(35=Inputs!$B$15,Inputs!$B$14,0)+IF(35=Inputs!$B$17,Inputs!$B$16,0)</f>
        <v/>
      </c>
      <c r="AK16" s="37">
        <f>IF(36=Inputs!$B$11,Inputs!$B$10,0)+IF(36=Inputs!$B$13,Inputs!$B$12,0)+IF(36=Inputs!$B$15,Inputs!$B$14,0)+IF(36=Inputs!$B$17,Inputs!$B$16,0)</f>
        <v/>
      </c>
      <c r="AL16" s="37">
        <f>IF(37=Inputs!$B$11,Inputs!$B$10,0)+IF(37=Inputs!$B$13,Inputs!$B$12,0)+IF(37=Inputs!$B$15,Inputs!$B$14,0)+IF(37=Inputs!$B$17,Inputs!$B$16,0)</f>
        <v/>
      </c>
      <c r="AM16" s="37">
        <f>IF(38=Inputs!$B$11,Inputs!$B$10,0)+IF(38=Inputs!$B$13,Inputs!$B$12,0)+IF(38=Inputs!$B$15,Inputs!$B$14,0)+IF(38=Inputs!$B$17,Inputs!$B$16,0)</f>
        <v/>
      </c>
      <c r="AN16" s="37">
        <f>IF(39=Inputs!$B$11,Inputs!$B$10,0)+IF(39=Inputs!$B$13,Inputs!$B$12,0)+IF(39=Inputs!$B$15,Inputs!$B$14,0)+IF(39=Inputs!$B$17,Inputs!$B$16,0)</f>
        <v/>
      </c>
      <c r="AO16" s="37">
        <f>IF(40=Inputs!$B$11,Inputs!$B$10,0)+IF(40=Inputs!$B$13,Inputs!$B$12,0)+IF(40=Inputs!$B$15,Inputs!$B$14,0)+IF(40=Inputs!$B$17,Inputs!$B$16,0)</f>
        <v/>
      </c>
      <c r="AP16" s="37">
        <f>IF(41=Inputs!$B$11,Inputs!$B$10,0)+IF(41=Inputs!$B$13,Inputs!$B$12,0)+IF(41=Inputs!$B$15,Inputs!$B$14,0)+IF(41=Inputs!$B$17,Inputs!$B$16,0)</f>
        <v/>
      </c>
      <c r="AQ16" s="37">
        <f>IF(42=Inputs!$B$11,Inputs!$B$10,0)+IF(42=Inputs!$B$13,Inputs!$B$12,0)+IF(42=Inputs!$B$15,Inputs!$B$14,0)+IF(42=Inputs!$B$17,Inputs!$B$16,0)</f>
        <v/>
      </c>
      <c r="AR16" s="37">
        <f>IF(43=Inputs!$B$11,Inputs!$B$10,0)+IF(43=Inputs!$B$13,Inputs!$B$12,0)+IF(43=Inputs!$B$15,Inputs!$B$14,0)+IF(43=Inputs!$B$17,Inputs!$B$16,0)</f>
        <v/>
      </c>
      <c r="AS16" s="37">
        <f>IF(44=Inputs!$B$11,Inputs!$B$10,0)+IF(44=Inputs!$B$13,Inputs!$B$12,0)+IF(44=Inputs!$B$15,Inputs!$B$14,0)+IF(44=Inputs!$B$17,Inputs!$B$16,0)</f>
        <v/>
      </c>
      <c r="AT16" s="37">
        <f>IF(45=Inputs!$B$11,Inputs!$B$10,0)+IF(45=Inputs!$B$13,Inputs!$B$12,0)+IF(45=Inputs!$B$15,Inputs!$B$14,0)+IF(45=Inputs!$B$17,Inputs!$B$16,0)</f>
        <v/>
      </c>
      <c r="AU16" s="37">
        <f>IF(46=Inputs!$B$11,Inputs!$B$10,0)+IF(46=Inputs!$B$13,Inputs!$B$12,0)+IF(46=Inputs!$B$15,Inputs!$B$14,0)+IF(46=Inputs!$B$17,Inputs!$B$16,0)</f>
        <v/>
      </c>
      <c r="AV16" s="37">
        <f>IF(47=Inputs!$B$11,Inputs!$B$10,0)+IF(47=Inputs!$B$13,Inputs!$B$12,0)+IF(47=Inputs!$B$15,Inputs!$B$14,0)+IF(47=Inputs!$B$17,Inputs!$B$16,0)</f>
        <v/>
      </c>
      <c r="AW16" s="37">
        <f>IF(48=Inputs!$B$11,Inputs!$B$10,0)+IF(48=Inputs!$B$13,Inputs!$B$12,0)+IF(48=Inputs!$B$15,Inputs!$B$14,0)+IF(48=Inputs!$B$17,Inputs!$B$16,0)</f>
        <v/>
      </c>
      <c r="AX16" s="37">
        <f>IF(49=Inputs!$B$11,Inputs!$B$10,0)+IF(49=Inputs!$B$13,Inputs!$B$12,0)+IF(49=Inputs!$B$15,Inputs!$B$14,0)+IF(49=Inputs!$B$17,Inputs!$B$16,0)</f>
        <v/>
      </c>
      <c r="AY16" s="37">
        <f>IF(50=Inputs!$B$11,Inputs!$B$10,0)+IF(50=Inputs!$B$13,Inputs!$B$12,0)+IF(50=Inputs!$B$15,Inputs!$B$14,0)+IF(50=Inputs!$B$17,Inputs!$B$16,0)</f>
        <v/>
      </c>
      <c r="AZ16" s="37">
        <f>IF(51=Inputs!$B$11,Inputs!$B$10,0)+IF(51=Inputs!$B$13,Inputs!$B$12,0)+IF(51=Inputs!$B$15,Inputs!$B$14,0)+IF(51=Inputs!$B$17,Inputs!$B$16,0)</f>
        <v/>
      </c>
      <c r="BA16" s="37">
        <f>IF(52=Inputs!$B$11,Inputs!$B$10,0)+IF(52=Inputs!$B$13,Inputs!$B$12,0)+IF(52=Inputs!$B$15,Inputs!$B$14,0)+IF(52=Inputs!$B$17,Inputs!$B$16,0)</f>
        <v/>
      </c>
    </row>
    <row r="17" ht="14.25" customHeight="1" s="165">
      <c r="A17" s="2" t="inlineStr">
        <is>
          <t>Net Cash from Financing</t>
        </is>
      </c>
      <c r="B17" s="35">
        <f>B16</f>
        <v/>
      </c>
      <c r="C17" s="35">
        <f>C16</f>
        <v/>
      </c>
      <c r="D17" s="35">
        <f>D16</f>
        <v/>
      </c>
      <c r="E17" s="35">
        <f>E16</f>
        <v/>
      </c>
      <c r="F17" s="35">
        <f>F16</f>
        <v/>
      </c>
      <c r="G17" s="35">
        <f>G16</f>
        <v/>
      </c>
      <c r="H17" s="35">
        <f>H16</f>
        <v/>
      </c>
      <c r="I17" s="35">
        <f>I16</f>
        <v/>
      </c>
      <c r="J17" s="35">
        <f>J16</f>
        <v/>
      </c>
      <c r="K17" s="35">
        <f>K16</f>
        <v/>
      </c>
      <c r="L17" s="35">
        <f>L16</f>
        <v/>
      </c>
      <c r="M17" s="35">
        <f>M16</f>
        <v/>
      </c>
      <c r="N17" s="35">
        <f>N16</f>
        <v/>
      </c>
      <c r="O17" s="35">
        <f>O16</f>
        <v/>
      </c>
      <c r="P17" s="35">
        <f>P16</f>
        <v/>
      </c>
      <c r="Q17" s="35">
        <f>Q16</f>
        <v/>
      </c>
      <c r="R17" s="35">
        <f>R16</f>
        <v/>
      </c>
      <c r="S17" s="35">
        <f>S16</f>
        <v/>
      </c>
      <c r="T17" s="35">
        <f>T16</f>
        <v/>
      </c>
      <c r="U17" s="35">
        <f>U16</f>
        <v/>
      </c>
      <c r="V17" s="35">
        <f>V16</f>
        <v/>
      </c>
      <c r="W17" s="35">
        <f>W16</f>
        <v/>
      </c>
      <c r="X17" s="35">
        <f>X16</f>
        <v/>
      </c>
      <c r="Y17" s="35">
        <f>Y16</f>
        <v/>
      </c>
      <c r="Z17" s="35">
        <f>Z16</f>
        <v/>
      </c>
      <c r="AA17" s="35">
        <f>AA16</f>
        <v/>
      </c>
      <c r="AB17" s="35">
        <f>AB16</f>
        <v/>
      </c>
      <c r="AC17" s="35">
        <f>AC16</f>
        <v/>
      </c>
      <c r="AD17" s="35">
        <f>AD16</f>
        <v/>
      </c>
      <c r="AE17" s="35">
        <f>AE16</f>
        <v/>
      </c>
      <c r="AF17" s="35">
        <f>AF16</f>
        <v/>
      </c>
      <c r="AG17" s="35">
        <f>AG16</f>
        <v/>
      </c>
      <c r="AH17" s="35">
        <f>AH16</f>
        <v/>
      </c>
      <c r="AI17" s="35">
        <f>AI16</f>
        <v/>
      </c>
      <c r="AJ17" s="35">
        <f>AJ16</f>
        <v/>
      </c>
      <c r="AK17" s="35">
        <f>AK16</f>
        <v/>
      </c>
      <c r="AL17" s="35">
        <f>AL16</f>
        <v/>
      </c>
      <c r="AM17" s="35">
        <f>AM16</f>
        <v/>
      </c>
      <c r="AN17" s="35">
        <f>AN16</f>
        <v/>
      </c>
      <c r="AO17" s="35">
        <f>AO16</f>
        <v/>
      </c>
      <c r="AP17" s="35">
        <f>AP16</f>
        <v/>
      </c>
      <c r="AQ17" s="35">
        <f>AQ16</f>
        <v/>
      </c>
      <c r="AR17" s="35">
        <f>AR16</f>
        <v/>
      </c>
      <c r="AS17" s="35">
        <f>AS16</f>
        <v/>
      </c>
      <c r="AT17" s="35">
        <f>AT16</f>
        <v/>
      </c>
      <c r="AU17" s="35">
        <f>AU16</f>
        <v/>
      </c>
      <c r="AV17" s="35">
        <f>AV16</f>
        <v/>
      </c>
      <c r="AW17" s="35">
        <f>AW16</f>
        <v/>
      </c>
      <c r="AX17" s="35">
        <f>AX16</f>
        <v/>
      </c>
      <c r="AY17" s="35">
        <f>AY16</f>
        <v/>
      </c>
      <c r="AZ17" s="35">
        <f>AZ16</f>
        <v/>
      </c>
      <c r="BA17" s="35">
        <f>BA16</f>
        <v/>
      </c>
    </row>
    <row r="18" ht="14.25" customHeight="1" s="165"/>
    <row r="19" ht="14.25" customHeight="1" s="165">
      <c r="A19" s="2" t="inlineStr">
        <is>
          <t>NET CHANGE IN CASH</t>
        </is>
      </c>
      <c r="B19" s="35">
        <f>B9+B13+B17</f>
        <v/>
      </c>
      <c r="C19" s="35">
        <f>C9+C13+C17</f>
        <v/>
      </c>
      <c r="D19" s="35">
        <f>D9+D13+D17</f>
        <v/>
      </c>
      <c r="E19" s="35">
        <f>E9+E13+E17</f>
        <v/>
      </c>
      <c r="F19" s="35">
        <f>F9+F13+F17</f>
        <v/>
      </c>
      <c r="G19" s="35">
        <f>G9+G13+G17</f>
        <v/>
      </c>
      <c r="H19" s="35">
        <f>H9+H13+H17</f>
        <v/>
      </c>
      <c r="I19" s="35">
        <f>I9+I13+I17</f>
        <v/>
      </c>
      <c r="J19" s="35">
        <f>J9+J13+J17</f>
        <v/>
      </c>
      <c r="K19" s="35">
        <f>K9+K13+K17</f>
        <v/>
      </c>
      <c r="L19" s="35">
        <f>L9+L13+L17</f>
        <v/>
      </c>
      <c r="M19" s="35">
        <f>M9+M13+M17</f>
        <v/>
      </c>
      <c r="N19" s="35">
        <f>N9+N13+N17</f>
        <v/>
      </c>
      <c r="O19" s="35">
        <f>O9+O13+O17</f>
        <v/>
      </c>
      <c r="P19" s="35">
        <f>P9+P13+P17</f>
        <v/>
      </c>
      <c r="Q19" s="35">
        <f>Q9+Q13+Q17</f>
        <v/>
      </c>
      <c r="R19" s="35">
        <f>R9+R13+R17</f>
        <v/>
      </c>
      <c r="S19" s="35">
        <f>S9+S13+S17</f>
        <v/>
      </c>
      <c r="T19" s="35">
        <f>T9+T13+T17</f>
        <v/>
      </c>
      <c r="U19" s="35">
        <f>U9+U13+U17</f>
        <v/>
      </c>
      <c r="V19" s="35">
        <f>V9+V13+V17</f>
        <v/>
      </c>
      <c r="W19" s="35">
        <f>W9+W13+W17</f>
        <v/>
      </c>
      <c r="X19" s="35">
        <f>X9+X13+X17</f>
        <v/>
      </c>
      <c r="Y19" s="35">
        <f>Y9+Y13+Y17</f>
        <v/>
      </c>
      <c r="Z19" s="35">
        <f>Z9+Z13+Z17</f>
        <v/>
      </c>
      <c r="AA19" s="35">
        <f>AA9+AA13+AA17</f>
        <v/>
      </c>
      <c r="AB19" s="35">
        <f>AB9+AB13+AB17</f>
        <v/>
      </c>
      <c r="AC19" s="35">
        <f>AC9+AC13+AC17</f>
        <v/>
      </c>
      <c r="AD19" s="35">
        <f>AD9+AD13+AD17</f>
        <v/>
      </c>
      <c r="AE19" s="35">
        <f>AE9+AE13+AE17</f>
        <v/>
      </c>
      <c r="AF19" s="35">
        <f>AF9+AF13+AF17</f>
        <v/>
      </c>
      <c r="AG19" s="35">
        <f>AG9+AG13+AG17</f>
        <v/>
      </c>
      <c r="AH19" s="35">
        <f>AH9+AH13+AH17</f>
        <v/>
      </c>
      <c r="AI19" s="35">
        <f>AI9+AI13+AI17</f>
        <v/>
      </c>
      <c r="AJ19" s="35">
        <f>AJ9+AJ13+AJ17</f>
        <v/>
      </c>
      <c r="AK19" s="35">
        <f>AK9+AK13+AK17</f>
        <v/>
      </c>
      <c r="AL19" s="35">
        <f>AL9+AL13+AL17</f>
        <v/>
      </c>
      <c r="AM19" s="35">
        <f>AM9+AM13+AM17</f>
        <v/>
      </c>
      <c r="AN19" s="35">
        <f>AN9+AN13+AN17</f>
        <v/>
      </c>
      <c r="AO19" s="35">
        <f>AO9+AO13+AO17</f>
        <v/>
      </c>
      <c r="AP19" s="35">
        <f>AP9+AP13+AP17</f>
        <v/>
      </c>
      <c r="AQ19" s="35">
        <f>AQ9+AQ13+AQ17</f>
        <v/>
      </c>
      <c r="AR19" s="35">
        <f>AR9+AR13+AR17</f>
        <v/>
      </c>
      <c r="AS19" s="35">
        <f>AS9+AS13+AS17</f>
        <v/>
      </c>
      <c r="AT19" s="35">
        <f>AT9+AT13+AT17</f>
        <v/>
      </c>
      <c r="AU19" s="35">
        <f>AU9+AU13+AU17</f>
        <v/>
      </c>
      <c r="AV19" s="35">
        <f>AV9+AV13+AV17</f>
        <v/>
      </c>
      <c r="AW19" s="35">
        <f>AW9+AW13+AW17</f>
        <v/>
      </c>
      <c r="AX19" s="35">
        <f>AX9+AX13+AX17</f>
        <v/>
      </c>
      <c r="AY19" s="35">
        <f>AY9+AY13+AY17</f>
        <v/>
      </c>
      <c r="AZ19" s="35">
        <f>AZ9+AZ13+AZ17</f>
        <v/>
      </c>
      <c r="BA19" s="35">
        <f>BA9+BA13+BA17</f>
        <v/>
      </c>
    </row>
    <row r="20" ht="14.25" customHeight="1" s="165"/>
    <row r="21" ht="14.25" customHeight="1" s="165">
      <c r="A21" s="3" t="inlineStr">
        <is>
          <t>Beginning Cash Balance</t>
        </is>
      </c>
      <c r="B21" s="37" t="n">
        <v>0</v>
      </c>
      <c r="C21" s="37">
        <f>B23</f>
        <v/>
      </c>
      <c r="D21" s="37">
        <f>C23</f>
        <v/>
      </c>
      <c r="E21" s="37">
        <f>D23</f>
        <v/>
      </c>
      <c r="F21" s="37">
        <f>E23</f>
        <v/>
      </c>
      <c r="G21" s="37">
        <f>F23</f>
        <v/>
      </c>
      <c r="H21" s="37">
        <f>G23</f>
        <v/>
      </c>
      <c r="I21" s="37">
        <f>H23</f>
        <v/>
      </c>
      <c r="J21" s="37">
        <f>I23</f>
        <v/>
      </c>
      <c r="K21" s="37">
        <f>J23</f>
        <v/>
      </c>
      <c r="L21" s="37">
        <f>K23</f>
        <v/>
      </c>
      <c r="M21" s="37">
        <f>L23</f>
        <v/>
      </c>
      <c r="N21" s="37">
        <f>M23</f>
        <v/>
      </c>
      <c r="O21" s="37">
        <f>N23</f>
        <v/>
      </c>
      <c r="P21" s="37">
        <f>O23</f>
        <v/>
      </c>
      <c r="Q21" s="37">
        <f>P23</f>
        <v/>
      </c>
      <c r="R21" s="37">
        <f>Q23</f>
        <v/>
      </c>
      <c r="S21" s="37">
        <f>R23</f>
        <v/>
      </c>
      <c r="T21" s="37">
        <f>S23</f>
        <v/>
      </c>
      <c r="U21" s="37">
        <f>T23</f>
        <v/>
      </c>
      <c r="V21" s="37">
        <f>U23</f>
        <v/>
      </c>
      <c r="W21" s="37">
        <f>V23</f>
        <v/>
      </c>
      <c r="X21" s="37">
        <f>W23</f>
        <v/>
      </c>
      <c r="Y21" s="37">
        <f>X23</f>
        <v/>
      </c>
      <c r="Z21" s="37">
        <f>Y23</f>
        <v/>
      </c>
      <c r="AA21" s="37">
        <f>Z23</f>
        <v/>
      </c>
      <c r="AB21" s="37">
        <f>AA23</f>
        <v/>
      </c>
      <c r="AC21" s="37">
        <f>AB23</f>
        <v/>
      </c>
      <c r="AD21" s="37">
        <f>AC23</f>
        <v/>
      </c>
      <c r="AE21" s="37">
        <f>AD23</f>
        <v/>
      </c>
      <c r="AF21" s="37">
        <f>AE23</f>
        <v/>
      </c>
      <c r="AG21" s="37">
        <f>AF23</f>
        <v/>
      </c>
      <c r="AH21" s="37">
        <f>AG23</f>
        <v/>
      </c>
      <c r="AI21" s="37">
        <f>AH23</f>
        <v/>
      </c>
      <c r="AJ21" s="37">
        <f>AI23</f>
        <v/>
      </c>
      <c r="AK21" s="37">
        <f>AJ23</f>
        <v/>
      </c>
      <c r="AL21" s="37">
        <f>AK23</f>
        <v/>
      </c>
      <c r="AM21" s="37">
        <f>AL23</f>
        <v/>
      </c>
      <c r="AN21" s="37">
        <f>AM23</f>
        <v/>
      </c>
      <c r="AO21" s="37">
        <f>AN23</f>
        <v/>
      </c>
      <c r="AP21" s="37">
        <f>AO23</f>
        <v/>
      </c>
      <c r="AQ21" s="37">
        <f>AP23</f>
        <v/>
      </c>
      <c r="AR21" s="37">
        <f>AQ23</f>
        <v/>
      </c>
      <c r="AS21" s="37">
        <f>AR23</f>
        <v/>
      </c>
      <c r="AT21" s="37">
        <f>AS23</f>
        <v/>
      </c>
      <c r="AU21" s="37">
        <f>AT23</f>
        <v/>
      </c>
      <c r="AV21" s="37">
        <f>AU23</f>
        <v/>
      </c>
      <c r="AW21" s="37">
        <f>AV23</f>
        <v/>
      </c>
      <c r="AX21" s="37">
        <f>AW23</f>
        <v/>
      </c>
      <c r="AY21" s="37">
        <f>AX23</f>
        <v/>
      </c>
      <c r="AZ21" s="37">
        <f>AY23</f>
        <v/>
      </c>
      <c r="BA21" s="37">
        <f>AZ23</f>
        <v/>
      </c>
    </row>
    <row r="22" ht="14.25" customHeight="1" s="165">
      <c r="A22" s="3" t="inlineStr">
        <is>
          <t>Net Change</t>
        </is>
      </c>
      <c r="B22" s="37">
        <f>B19</f>
        <v/>
      </c>
      <c r="C22" s="37">
        <f>C19</f>
        <v/>
      </c>
      <c r="D22" s="37">
        <f>D19</f>
        <v/>
      </c>
      <c r="E22" s="37">
        <f>E19</f>
        <v/>
      </c>
      <c r="F22" s="37">
        <f>F19</f>
        <v/>
      </c>
      <c r="G22" s="37">
        <f>G19</f>
        <v/>
      </c>
      <c r="H22" s="37">
        <f>H19</f>
        <v/>
      </c>
      <c r="I22" s="37">
        <f>I19</f>
        <v/>
      </c>
      <c r="J22" s="37">
        <f>J19</f>
        <v/>
      </c>
      <c r="K22" s="37">
        <f>K19</f>
        <v/>
      </c>
      <c r="L22" s="37">
        <f>L19</f>
        <v/>
      </c>
      <c r="M22" s="37">
        <f>M19</f>
        <v/>
      </c>
      <c r="N22" s="37">
        <f>N19</f>
        <v/>
      </c>
      <c r="O22" s="37">
        <f>O19</f>
        <v/>
      </c>
      <c r="P22" s="37">
        <f>P19</f>
        <v/>
      </c>
      <c r="Q22" s="37">
        <f>Q19</f>
        <v/>
      </c>
      <c r="R22" s="37">
        <f>R19</f>
        <v/>
      </c>
      <c r="S22" s="37">
        <f>S19</f>
        <v/>
      </c>
      <c r="T22" s="37">
        <f>T19</f>
        <v/>
      </c>
      <c r="U22" s="37">
        <f>U19</f>
        <v/>
      </c>
      <c r="V22" s="37">
        <f>V19</f>
        <v/>
      </c>
      <c r="W22" s="37">
        <f>W19</f>
        <v/>
      </c>
      <c r="X22" s="37">
        <f>X19</f>
        <v/>
      </c>
      <c r="Y22" s="37">
        <f>Y19</f>
        <v/>
      </c>
      <c r="Z22" s="37">
        <f>Z19</f>
        <v/>
      </c>
      <c r="AA22" s="37">
        <f>AA19</f>
        <v/>
      </c>
      <c r="AB22" s="37">
        <f>AB19</f>
        <v/>
      </c>
      <c r="AC22" s="37">
        <f>AC19</f>
        <v/>
      </c>
      <c r="AD22" s="37">
        <f>AD19</f>
        <v/>
      </c>
      <c r="AE22" s="37">
        <f>AE19</f>
        <v/>
      </c>
      <c r="AF22" s="37">
        <f>AF19</f>
        <v/>
      </c>
      <c r="AG22" s="37">
        <f>AG19</f>
        <v/>
      </c>
      <c r="AH22" s="37">
        <f>AH19</f>
        <v/>
      </c>
      <c r="AI22" s="37">
        <f>AI19</f>
        <v/>
      </c>
      <c r="AJ22" s="37">
        <f>AJ19</f>
        <v/>
      </c>
      <c r="AK22" s="37">
        <f>AK19</f>
        <v/>
      </c>
      <c r="AL22" s="37">
        <f>AL19</f>
        <v/>
      </c>
      <c r="AM22" s="37">
        <f>AM19</f>
        <v/>
      </c>
      <c r="AN22" s="37">
        <f>AN19</f>
        <v/>
      </c>
      <c r="AO22" s="37">
        <f>AO19</f>
        <v/>
      </c>
      <c r="AP22" s="37">
        <f>AP19</f>
        <v/>
      </c>
      <c r="AQ22" s="37">
        <f>AQ19</f>
        <v/>
      </c>
      <c r="AR22" s="37">
        <f>AR19</f>
        <v/>
      </c>
      <c r="AS22" s="37">
        <f>AS19</f>
        <v/>
      </c>
      <c r="AT22" s="37">
        <f>AT19</f>
        <v/>
      </c>
      <c r="AU22" s="37">
        <f>AU19</f>
        <v/>
      </c>
      <c r="AV22" s="37">
        <f>AV19</f>
        <v/>
      </c>
      <c r="AW22" s="37">
        <f>AW19</f>
        <v/>
      </c>
      <c r="AX22" s="37">
        <f>AX19</f>
        <v/>
      </c>
      <c r="AY22" s="37">
        <f>AY19</f>
        <v/>
      </c>
      <c r="AZ22" s="37">
        <f>AZ19</f>
        <v/>
      </c>
      <c r="BA22" s="37">
        <f>BA19</f>
        <v/>
      </c>
    </row>
    <row r="23" ht="14.25" customHeight="1" s="165">
      <c r="A23" s="2" t="inlineStr">
        <is>
          <t>ENDING CASH BALANCE</t>
        </is>
      </c>
      <c r="B23" s="35">
        <f>B21+B22</f>
        <v/>
      </c>
      <c r="C23" s="35">
        <f>C21+C22</f>
        <v/>
      </c>
      <c r="D23" s="35">
        <f>D21+D22</f>
        <v/>
      </c>
      <c r="E23" s="35">
        <f>E21+E22</f>
        <v/>
      </c>
      <c r="F23" s="35">
        <f>F21+F22</f>
        <v/>
      </c>
      <c r="G23" s="35">
        <f>G21+G22</f>
        <v/>
      </c>
      <c r="H23" s="35">
        <f>H21+H22</f>
        <v/>
      </c>
      <c r="I23" s="35">
        <f>I21+I22</f>
        <v/>
      </c>
      <c r="J23" s="35">
        <f>J21+J22</f>
        <v/>
      </c>
      <c r="K23" s="35">
        <f>K21+K22</f>
        <v/>
      </c>
      <c r="L23" s="35">
        <f>L21+L22</f>
        <v/>
      </c>
      <c r="M23" s="35">
        <f>M21+M22</f>
        <v/>
      </c>
      <c r="N23" s="35">
        <f>N21+N22</f>
        <v/>
      </c>
      <c r="O23" s="35">
        <f>O21+O22</f>
        <v/>
      </c>
      <c r="P23" s="35">
        <f>P21+P22</f>
        <v/>
      </c>
      <c r="Q23" s="35">
        <f>Q21+Q22</f>
        <v/>
      </c>
      <c r="R23" s="35">
        <f>R21+R22</f>
        <v/>
      </c>
      <c r="S23" s="35">
        <f>S21+S22</f>
        <v/>
      </c>
      <c r="T23" s="35">
        <f>T21+T22</f>
        <v/>
      </c>
      <c r="U23" s="35">
        <f>U21+U22</f>
        <v/>
      </c>
      <c r="V23" s="35">
        <f>V21+V22</f>
        <v/>
      </c>
      <c r="W23" s="35">
        <f>W21+W22</f>
        <v/>
      </c>
      <c r="X23" s="35">
        <f>X21+X22</f>
        <v/>
      </c>
      <c r="Y23" s="35">
        <f>Y21+Y22</f>
        <v/>
      </c>
      <c r="Z23" s="35">
        <f>Z21+Z22</f>
        <v/>
      </c>
      <c r="AA23" s="35">
        <f>AA21+AA22</f>
        <v/>
      </c>
      <c r="AB23" s="35">
        <f>AB21+AB22</f>
        <v/>
      </c>
      <c r="AC23" s="35">
        <f>AC21+AC22</f>
        <v/>
      </c>
      <c r="AD23" s="35">
        <f>AD21+AD22</f>
        <v/>
      </c>
      <c r="AE23" s="35">
        <f>AE21+AE22</f>
        <v/>
      </c>
      <c r="AF23" s="35">
        <f>AF21+AF22</f>
        <v/>
      </c>
      <c r="AG23" s="35">
        <f>AG21+AG22</f>
        <v/>
      </c>
      <c r="AH23" s="35">
        <f>AH21+AH22</f>
        <v/>
      </c>
      <c r="AI23" s="35">
        <f>AI21+AI22</f>
        <v/>
      </c>
      <c r="AJ23" s="35">
        <f>AJ21+AJ22</f>
        <v/>
      </c>
      <c r="AK23" s="35">
        <f>AK21+AK22</f>
        <v/>
      </c>
      <c r="AL23" s="35">
        <f>AL21+AL22</f>
        <v/>
      </c>
      <c r="AM23" s="35">
        <f>AM21+AM22</f>
        <v/>
      </c>
      <c r="AN23" s="35">
        <f>AN21+AN22</f>
        <v/>
      </c>
      <c r="AO23" s="35">
        <f>AO21+AO22</f>
        <v/>
      </c>
      <c r="AP23" s="35">
        <f>AP21+AP22</f>
        <v/>
      </c>
      <c r="AQ23" s="35">
        <f>AQ21+AQ22</f>
        <v/>
      </c>
      <c r="AR23" s="35">
        <f>AR21+AR22</f>
        <v/>
      </c>
      <c r="AS23" s="35">
        <f>AS21+AS22</f>
        <v/>
      </c>
      <c r="AT23" s="35">
        <f>AT21+AT22</f>
        <v/>
      </c>
      <c r="AU23" s="35">
        <f>AU21+AU22</f>
        <v/>
      </c>
      <c r="AV23" s="35">
        <f>AV21+AV22</f>
        <v/>
      </c>
      <c r="AW23" s="35">
        <f>AW21+AW22</f>
        <v/>
      </c>
      <c r="AX23" s="35">
        <f>AX21+AX22</f>
        <v/>
      </c>
      <c r="AY23" s="35">
        <f>AY21+AY22</f>
        <v/>
      </c>
      <c r="AZ23" s="35">
        <f>AZ21+AZ22</f>
        <v/>
      </c>
      <c r="BA23" s="35">
        <f>BA21+BA22</f>
        <v/>
      </c>
    </row>
    <row r="24" ht="14.25" customHeight="1" s="165"/>
    <row r="25" ht="14.25" customHeight="1" s="165">
      <c r="A25" s="2" t="inlineStr">
        <is>
          <t>KEY METRICS</t>
        </is>
      </c>
    </row>
    <row r="26" ht="14.25" customHeight="1" s="165">
      <c r="A26" s="3" t="inlineStr">
        <is>
          <t>Monthly Burn Rate</t>
        </is>
      </c>
      <c r="B26" s="37">
        <f>IF(B19&lt;0,-B19,0)</f>
        <v/>
      </c>
      <c r="C26" s="37">
        <f>IF(C19&lt;0,-C19,0)</f>
        <v/>
      </c>
      <c r="D26" s="37">
        <f>IF(D19&lt;0,-D19,0)</f>
        <v/>
      </c>
      <c r="E26" s="37">
        <f>IF(E19&lt;0,-E19,0)</f>
        <v/>
      </c>
      <c r="F26" s="37">
        <f>IF(F19&lt;0,-F19,0)</f>
        <v/>
      </c>
      <c r="G26" s="37">
        <f>IF(G19&lt;0,-G19,0)</f>
        <v/>
      </c>
      <c r="H26" s="37">
        <f>IF(H19&lt;0,-H19,0)</f>
        <v/>
      </c>
      <c r="I26" s="37">
        <f>IF(I19&lt;0,-I19,0)</f>
        <v/>
      </c>
      <c r="J26" s="37">
        <f>IF(J19&lt;0,-J19,0)</f>
        <v/>
      </c>
      <c r="K26" s="37">
        <f>IF(K19&lt;0,-K19,0)</f>
        <v/>
      </c>
      <c r="L26" s="37">
        <f>IF(L19&lt;0,-L19,0)</f>
        <v/>
      </c>
      <c r="M26" s="37">
        <f>IF(M19&lt;0,-M19,0)</f>
        <v/>
      </c>
      <c r="N26" s="37">
        <f>IF(N19&lt;0,-N19,0)</f>
        <v/>
      </c>
      <c r="O26" s="37">
        <f>IF(O19&lt;0,-O19,0)</f>
        <v/>
      </c>
      <c r="P26" s="37">
        <f>IF(P19&lt;0,-P19,0)</f>
        <v/>
      </c>
      <c r="Q26" s="37">
        <f>IF(Q19&lt;0,-Q19,0)</f>
        <v/>
      </c>
      <c r="R26" s="37">
        <f>IF(R19&lt;0,-R19,0)</f>
        <v/>
      </c>
      <c r="S26" s="37">
        <f>IF(S19&lt;0,-S19,0)</f>
        <v/>
      </c>
      <c r="T26" s="37">
        <f>IF(T19&lt;0,-T19,0)</f>
        <v/>
      </c>
      <c r="U26" s="37">
        <f>IF(U19&lt;0,-U19,0)</f>
        <v/>
      </c>
      <c r="V26" s="37">
        <f>IF(V19&lt;0,-V19,0)</f>
        <v/>
      </c>
      <c r="W26" s="37">
        <f>IF(W19&lt;0,-W19,0)</f>
        <v/>
      </c>
      <c r="X26" s="37">
        <f>IF(X19&lt;0,-X19,0)</f>
        <v/>
      </c>
      <c r="Y26" s="37">
        <f>IF(Y19&lt;0,-Y19,0)</f>
        <v/>
      </c>
      <c r="Z26" s="37">
        <f>IF(Z19&lt;0,-Z19,0)</f>
        <v/>
      </c>
      <c r="AA26" s="37">
        <f>IF(AA19&lt;0,-AA19,0)</f>
        <v/>
      </c>
      <c r="AB26" s="37">
        <f>IF(AB19&lt;0,-AB19,0)</f>
        <v/>
      </c>
      <c r="AC26" s="37">
        <f>IF(AC19&lt;0,-AC19,0)</f>
        <v/>
      </c>
      <c r="AD26" s="37">
        <f>IF(AD19&lt;0,-AD19,0)</f>
        <v/>
      </c>
      <c r="AE26" s="37">
        <f>IF(AE19&lt;0,-AE19,0)</f>
        <v/>
      </c>
      <c r="AF26" s="37">
        <f>IF(AF19&lt;0,-AF19,0)</f>
        <v/>
      </c>
      <c r="AG26" s="37">
        <f>IF(AG19&lt;0,-AG19,0)</f>
        <v/>
      </c>
      <c r="AH26" s="37">
        <f>IF(AH19&lt;0,-AH19,0)</f>
        <v/>
      </c>
      <c r="AI26" s="37">
        <f>IF(AI19&lt;0,-AI19,0)</f>
        <v/>
      </c>
      <c r="AJ26" s="37">
        <f>IF(AJ19&lt;0,-AJ19,0)</f>
        <v/>
      </c>
      <c r="AK26" s="37">
        <f>IF(AK19&lt;0,-AK19,0)</f>
        <v/>
      </c>
      <c r="AL26" s="37">
        <f>IF(AL19&lt;0,-AL19,0)</f>
        <v/>
      </c>
      <c r="AM26" s="37">
        <f>IF(AM19&lt;0,-AM19,0)</f>
        <v/>
      </c>
      <c r="AN26" s="37">
        <f>IF(AN19&lt;0,-AN19,0)</f>
        <v/>
      </c>
      <c r="AO26" s="37">
        <f>IF(AO19&lt;0,-AO19,0)</f>
        <v/>
      </c>
      <c r="AP26" s="37">
        <f>IF(AP19&lt;0,-AP19,0)</f>
        <v/>
      </c>
      <c r="AQ26" s="37">
        <f>IF(AQ19&lt;0,-AQ19,0)</f>
        <v/>
      </c>
      <c r="AR26" s="37">
        <f>IF(AR19&lt;0,-AR19,0)</f>
        <v/>
      </c>
      <c r="AS26" s="37">
        <f>IF(AS19&lt;0,-AS19,0)</f>
        <v/>
      </c>
      <c r="AT26" s="37">
        <f>IF(AT19&lt;0,-AT19,0)</f>
        <v/>
      </c>
      <c r="AU26" s="37">
        <f>IF(AU19&lt;0,-AU19,0)</f>
        <v/>
      </c>
      <c r="AV26" s="37">
        <f>IF(AV19&lt;0,-AV19,0)</f>
        <v/>
      </c>
      <c r="AW26" s="37">
        <f>IF(AW19&lt;0,-AW19,0)</f>
        <v/>
      </c>
      <c r="AX26" s="37">
        <f>IF(AX19&lt;0,-AX19,0)</f>
        <v/>
      </c>
      <c r="AY26" s="37">
        <f>IF(AY19&lt;0,-AY19,0)</f>
        <v/>
      </c>
      <c r="AZ26" s="37">
        <f>IF(AZ19&lt;0,-AZ19,0)</f>
        <v/>
      </c>
      <c r="BA26" s="37">
        <f>IF(BA19&lt;0,-BA19,0)</f>
        <v/>
      </c>
    </row>
    <row r="27" ht="14.25" customHeight="1" s="165">
      <c r="A27" s="3" t="inlineStr">
        <is>
          <t>Runway (Months)</t>
        </is>
      </c>
      <c r="B27" s="42">
        <f>IFERROR(IF(B26&gt;0,B23/B26,"∞"),"∞")</f>
        <v/>
      </c>
      <c r="C27" s="42">
        <f>IFERROR(IF(C26&gt;0,C23/C26,"∞"),"∞")</f>
        <v/>
      </c>
      <c r="D27" s="42">
        <f>IFERROR(IF(D26&gt;0,D23/D26,"∞"),"∞")</f>
        <v/>
      </c>
      <c r="E27" s="42">
        <f>IFERROR(IF(E26&gt;0,E23/E26,"∞"),"∞")</f>
        <v/>
      </c>
      <c r="F27" s="42">
        <f>IFERROR(IF(F26&gt;0,F23/F26,"∞"),"∞")</f>
        <v/>
      </c>
      <c r="G27" s="42">
        <f>IFERROR(IF(G26&gt;0,G23/G26,"∞"),"∞")</f>
        <v/>
      </c>
      <c r="H27" s="42">
        <f>IFERROR(IF(H26&gt;0,H23/H26,"∞"),"∞")</f>
        <v/>
      </c>
      <c r="I27" s="42">
        <f>IFERROR(IF(I26&gt;0,I23/I26,"∞"),"∞")</f>
        <v/>
      </c>
      <c r="J27" s="42">
        <f>IFERROR(IF(J26&gt;0,J23/J26,"∞"),"∞")</f>
        <v/>
      </c>
      <c r="K27" s="42">
        <f>IFERROR(IF(K26&gt;0,K23/K26,"∞"),"∞")</f>
        <v/>
      </c>
      <c r="L27" s="42">
        <f>IFERROR(IF(L26&gt;0,L23/L26,"∞"),"∞")</f>
        <v/>
      </c>
      <c r="M27" s="42">
        <f>IFERROR(IF(M26&gt;0,M23/M26,"∞"),"∞")</f>
        <v/>
      </c>
      <c r="N27" s="42">
        <f>IFERROR(IF(N26&gt;0,N23/N26,"∞"),"∞")</f>
        <v/>
      </c>
      <c r="O27" s="42">
        <f>IFERROR(IF(O26&gt;0,O23/O26,"∞"),"∞")</f>
        <v/>
      </c>
      <c r="P27" s="42">
        <f>IFERROR(IF(P26&gt;0,P23/P26,"∞"),"∞")</f>
        <v/>
      </c>
      <c r="Q27" s="42">
        <f>IFERROR(IF(Q26&gt;0,Q23/Q26,"∞"),"∞")</f>
        <v/>
      </c>
      <c r="R27" s="42">
        <f>IFERROR(IF(R26&gt;0,R23/R26,"∞"),"∞")</f>
        <v/>
      </c>
      <c r="S27" s="42">
        <f>IFERROR(IF(S26&gt;0,S23/S26,"∞"),"∞")</f>
        <v/>
      </c>
      <c r="T27" s="42">
        <f>IFERROR(IF(T26&gt;0,T23/T26,"∞"),"∞")</f>
        <v/>
      </c>
      <c r="U27" s="42">
        <f>IFERROR(IF(U26&gt;0,U23/U26,"∞"),"∞")</f>
        <v/>
      </c>
      <c r="V27" s="42">
        <f>IFERROR(IF(V26&gt;0,V23/V26,"∞"),"∞")</f>
        <v/>
      </c>
      <c r="W27" s="42">
        <f>IFERROR(IF(W26&gt;0,W23/W26,"∞"),"∞")</f>
        <v/>
      </c>
      <c r="X27" s="42">
        <f>IFERROR(IF(X26&gt;0,X23/X26,"∞"),"∞")</f>
        <v/>
      </c>
      <c r="Y27" s="42">
        <f>IFERROR(IF(Y26&gt;0,Y23/Y26,"∞"),"∞")</f>
        <v/>
      </c>
      <c r="Z27" s="42">
        <f>IFERROR(IF(Z26&gt;0,Z23/Z26,"∞"),"∞")</f>
        <v/>
      </c>
      <c r="AA27" s="42">
        <f>IFERROR(IF(AA26&gt;0,AA23/AA26,"∞"),"∞")</f>
        <v/>
      </c>
      <c r="AB27" s="42">
        <f>IFERROR(IF(AB26&gt;0,AB23/AB26,"∞"),"∞")</f>
        <v/>
      </c>
      <c r="AC27" s="42">
        <f>IFERROR(IF(AC26&gt;0,AC23/AC26,"∞"),"∞")</f>
        <v/>
      </c>
      <c r="AD27" s="42">
        <f>IFERROR(IF(AD26&gt;0,AD23/AD26,"∞"),"∞")</f>
        <v/>
      </c>
      <c r="AE27" s="42">
        <f>IFERROR(IF(AE26&gt;0,AE23/AE26,"∞"),"∞")</f>
        <v/>
      </c>
      <c r="AF27" s="42">
        <f>IFERROR(IF(AF26&gt;0,AF23/AF26,"∞"),"∞")</f>
        <v/>
      </c>
      <c r="AG27" s="42">
        <f>IFERROR(IF(AG26&gt;0,AG23/AG26,"∞"),"∞")</f>
        <v/>
      </c>
      <c r="AH27" s="42">
        <f>IFERROR(IF(AH26&gt;0,AH23/AH26,"∞"),"∞")</f>
        <v/>
      </c>
      <c r="AI27" s="42">
        <f>IFERROR(IF(AI26&gt;0,AI23/AI26,"∞"),"∞")</f>
        <v/>
      </c>
      <c r="AJ27" s="42">
        <f>IFERROR(IF(AJ26&gt;0,AJ23/AJ26,"∞"),"∞")</f>
        <v/>
      </c>
      <c r="AK27" s="42">
        <f>IFERROR(IF(AK26&gt;0,AK23/AK26,"∞"),"∞")</f>
        <v/>
      </c>
      <c r="AL27" s="42">
        <f>IFERROR(IF(AL26&gt;0,AL23/AL26,"∞"),"∞")</f>
        <v/>
      </c>
      <c r="AM27" s="42">
        <f>IFERROR(IF(AM26&gt;0,AM23/AM26,"∞"),"∞")</f>
        <v/>
      </c>
      <c r="AN27" s="42">
        <f>IFERROR(IF(AN26&gt;0,AN23/AN26,"∞"),"∞")</f>
        <v/>
      </c>
      <c r="AO27" s="42">
        <f>IFERROR(IF(AO26&gt;0,AO23/AO26,"∞"),"∞")</f>
        <v/>
      </c>
      <c r="AP27" s="42">
        <f>IFERROR(IF(AP26&gt;0,AP23/AP26,"∞"),"∞")</f>
        <v/>
      </c>
      <c r="AQ27" s="42">
        <f>IFERROR(IF(AQ26&gt;0,AQ23/AQ26,"∞"),"∞")</f>
        <v/>
      </c>
      <c r="AR27" s="42">
        <f>IFERROR(IF(AR26&gt;0,AR23/AR26,"∞"),"∞")</f>
        <v/>
      </c>
      <c r="AS27" s="42">
        <f>IFERROR(IF(AS26&gt;0,AS23/AS26,"∞"),"∞")</f>
        <v/>
      </c>
      <c r="AT27" s="42">
        <f>IFERROR(IF(AT26&gt;0,AT23/AT26,"∞"),"∞")</f>
        <v/>
      </c>
      <c r="AU27" s="42">
        <f>IFERROR(IF(AU26&gt;0,AU23/AU26,"∞"),"∞")</f>
        <v/>
      </c>
      <c r="AV27" s="42">
        <f>IFERROR(IF(AV26&gt;0,AV23/AV26,"∞"),"∞")</f>
        <v/>
      </c>
      <c r="AW27" s="42">
        <f>IFERROR(IF(AW26&gt;0,AW23/AW26,"∞"),"∞")</f>
        <v/>
      </c>
      <c r="AX27" s="42">
        <f>IFERROR(IF(AX26&gt;0,AX23/AX26,"∞"),"∞")</f>
        <v/>
      </c>
      <c r="AY27" s="42">
        <f>IFERROR(IF(AY26&gt;0,AY23/AY26,"∞"),"∞")</f>
        <v/>
      </c>
      <c r="AZ27" s="42">
        <f>IFERROR(IF(AZ26&gt;0,AZ23/AZ26,"∞"),"∞")</f>
        <v/>
      </c>
      <c r="BA27" s="42">
        <f>IFERROR(IF(BA26&gt;0,BA23/BA26,"∞"),"∞")</f>
        <v/>
      </c>
    </row>
    <row r="28" ht="14.25" customHeight="1" s="165">
      <c r="A28" s="3" t="inlineStr">
        <is>
          <t>Cumulative Cash Position</t>
        </is>
      </c>
      <c r="B28" s="37">
        <f>B23</f>
        <v/>
      </c>
      <c r="C28" s="37">
        <f>C23</f>
        <v/>
      </c>
      <c r="D28" s="37">
        <f>D23</f>
        <v/>
      </c>
      <c r="E28" s="37">
        <f>E23</f>
        <v/>
      </c>
      <c r="F28" s="37">
        <f>F23</f>
        <v/>
      </c>
      <c r="G28" s="37">
        <f>G23</f>
        <v/>
      </c>
      <c r="H28" s="37">
        <f>H23</f>
        <v/>
      </c>
      <c r="I28" s="37">
        <f>I23</f>
        <v/>
      </c>
      <c r="J28" s="37">
        <f>J23</f>
        <v/>
      </c>
      <c r="K28" s="37">
        <f>K23</f>
        <v/>
      </c>
      <c r="L28" s="37">
        <f>L23</f>
        <v/>
      </c>
      <c r="M28" s="37">
        <f>M23</f>
        <v/>
      </c>
      <c r="N28" s="37">
        <f>N23</f>
        <v/>
      </c>
      <c r="O28" s="37">
        <f>O23</f>
        <v/>
      </c>
      <c r="P28" s="37">
        <f>P23</f>
        <v/>
      </c>
      <c r="Q28" s="37">
        <f>Q23</f>
        <v/>
      </c>
      <c r="R28" s="37">
        <f>R23</f>
        <v/>
      </c>
      <c r="S28" s="37">
        <f>S23</f>
        <v/>
      </c>
      <c r="T28" s="37">
        <f>T23</f>
        <v/>
      </c>
      <c r="U28" s="37">
        <f>U23</f>
        <v/>
      </c>
      <c r="V28" s="37">
        <f>V23</f>
        <v/>
      </c>
      <c r="W28" s="37">
        <f>W23</f>
        <v/>
      </c>
      <c r="X28" s="37">
        <f>X23</f>
        <v/>
      </c>
      <c r="Y28" s="37">
        <f>Y23</f>
        <v/>
      </c>
      <c r="Z28" s="37">
        <f>Z23</f>
        <v/>
      </c>
      <c r="AA28" s="37">
        <f>AA23</f>
        <v/>
      </c>
      <c r="AB28" s="37">
        <f>AB23</f>
        <v/>
      </c>
      <c r="AC28" s="37">
        <f>AC23</f>
        <v/>
      </c>
      <c r="AD28" s="37">
        <f>AD23</f>
        <v/>
      </c>
      <c r="AE28" s="37">
        <f>AE23</f>
        <v/>
      </c>
      <c r="AF28" s="37">
        <f>AF23</f>
        <v/>
      </c>
      <c r="AG28" s="37">
        <f>AG23</f>
        <v/>
      </c>
      <c r="AH28" s="37">
        <f>AH23</f>
        <v/>
      </c>
      <c r="AI28" s="37">
        <f>AI23</f>
        <v/>
      </c>
      <c r="AJ28" s="37">
        <f>AJ23</f>
        <v/>
      </c>
      <c r="AK28" s="37">
        <f>AK23</f>
        <v/>
      </c>
      <c r="AL28" s="37">
        <f>AL23</f>
        <v/>
      </c>
      <c r="AM28" s="37">
        <f>AM23</f>
        <v/>
      </c>
      <c r="AN28" s="37">
        <f>AN23</f>
        <v/>
      </c>
      <c r="AO28" s="37">
        <f>AO23</f>
        <v/>
      </c>
      <c r="AP28" s="37">
        <f>AP23</f>
        <v/>
      </c>
      <c r="AQ28" s="37">
        <f>AQ23</f>
        <v/>
      </c>
      <c r="AR28" s="37">
        <f>AR23</f>
        <v/>
      </c>
      <c r="AS28" s="37">
        <f>AS23</f>
        <v/>
      </c>
      <c r="AT28" s="37">
        <f>AT23</f>
        <v/>
      </c>
      <c r="AU28" s="37">
        <f>AU23</f>
        <v/>
      </c>
      <c r="AV28" s="37">
        <f>AV23</f>
        <v/>
      </c>
      <c r="AW28" s="37">
        <f>AW23</f>
        <v/>
      </c>
      <c r="AX28" s="37">
        <f>AX23</f>
        <v/>
      </c>
      <c r="AY28" s="37">
        <f>AY23</f>
        <v/>
      </c>
      <c r="AZ28" s="37">
        <f>AZ23</f>
        <v/>
      </c>
      <c r="BA28" s="37">
        <f>BA23</f>
        <v/>
      </c>
    </row>
    <row r="29" ht="14.25" customHeight="1" s="165">
      <c r="A29" s="2" t="inlineStr">
        <is>
          <t>Cash Runway Alert</t>
        </is>
      </c>
      <c r="B29" s="16">
        <f>IF(ISNUMBER(B27),IF(B27&lt;6,"WARNUNG: &lt;6 Monate!","OK"),"OK")</f>
        <v/>
      </c>
      <c r="C29" s="16">
        <f>IF(ISNUMBER(C27),IF(C27&lt;6,"WARNUNG: &lt;6 Monate!","OK"),"OK")</f>
        <v/>
      </c>
      <c r="D29" s="16">
        <f>IF(ISNUMBER(D27),IF(D27&lt;6,"WARNUNG: &lt;6 Monate!","OK"),"OK")</f>
        <v/>
      </c>
      <c r="E29" s="16">
        <f>IF(ISNUMBER(E27),IF(E27&lt;6,"WARNUNG: &lt;6 Monate!","OK"),"OK")</f>
        <v/>
      </c>
      <c r="F29" s="16">
        <f>IF(ISNUMBER(F27),IF(F27&lt;6,"WARNUNG: &lt;6 Monate!","OK"),"OK")</f>
        <v/>
      </c>
      <c r="G29" s="16">
        <f>IF(ISNUMBER(G27),IF(G27&lt;6,"WARNUNG: &lt;6 Monate!","OK"),"OK")</f>
        <v/>
      </c>
      <c r="H29" s="16">
        <f>IF(ISNUMBER(H27),IF(H27&lt;6,"WARNUNG: &lt;6 Monate!","OK"),"OK")</f>
        <v/>
      </c>
      <c r="I29" s="16">
        <f>IF(ISNUMBER(I27),IF(I27&lt;6,"WARNUNG: &lt;6 Monate!","OK"),"OK")</f>
        <v/>
      </c>
      <c r="J29" s="16">
        <f>IF(ISNUMBER(J27),IF(J27&lt;6,"WARNUNG: &lt;6 Monate!","OK"),"OK")</f>
        <v/>
      </c>
      <c r="K29" s="16">
        <f>IF(ISNUMBER(K27),IF(K27&lt;6,"WARNUNG: &lt;6 Monate!","OK"),"OK")</f>
        <v/>
      </c>
      <c r="L29" s="16">
        <f>IF(ISNUMBER(L27),IF(L27&lt;6,"WARNUNG: &lt;6 Monate!","OK"),"OK")</f>
        <v/>
      </c>
      <c r="M29" s="16">
        <f>IF(ISNUMBER(M27),IF(M27&lt;6,"WARNUNG: &lt;6 Monate!","OK"),"OK")</f>
        <v/>
      </c>
      <c r="N29" s="16">
        <f>IF(ISNUMBER(N27),IF(N27&lt;6,"WARNUNG: &lt;6 Monate!","OK"),"OK")</f>
        <v/>
      </c>
      <c r="O29" s="16">
        <f>IF(ISNUMBER(O27),IF(O27&lt;6,"WARNUNG: &lt;6 Monate!","OK"),"OK")</f>
        <v/>
      </c>
      <c r="P29" s="16">
        <f>IF(ISNUMBER(P27),IF(P27&lt;6,"WARNUNG: &lt;6 Monate!","OK"),"OK")</f>
        <v/>
      </c>
      <c r="Q29" s="16">
        <f>IF(ISNUMBER(Q27),IF(Q27&lt;6,"WARNUNG: &lt;6 Monate!","OK"),"OK")</f>
        <v/>
      </c>
      <c r="R29" s="16">
        <f>IF(ISNUMBER(R27),IF(R27&lt;6,"WARNUNG: &lt;6 Monate!","OK"),"OK")</f>
        <v/>
      </c>
      <c r="S29" s="16">
        <f>IF(ISNUMBER(S27),IF(S27&lt;6,"WARNUNG: &lt;6 Monate!","OK"),"OK")</f>
        <v/>
      </c>
      <c r="T29" s="16">
        <f>IF(ISNUMBER(T27),IF(T27&lt;6,"WARNUNG: &lt;6 Monate!","OK"),"OK")</f>
        <v/>
      </c>
      <c r="U29" s="16">
        <f>IF(ISNUMBER(U27),IF(U27&lt;6,"WARNUNG: &lt;6 Monate!","OK"),"OK")</f>
        <v/>
      </c>
      <c r="V29" s="16">
        <f>IF(ISNUMBER(V27),IF(V27&lt;6,"WARNUNG: &lt;6 Monate!","OK"),"OK")</f>
        <v/>
      </c>
      <c r="W29" s="16">
        <f>IF(ISNUMBER(W27),IF(W27&lt;6,"WARNUNG: &lt;6 Monate!","OK"),"OK")</f>
        <v/>
      </c>
      <c r="X29" s="16">
        <f>IF(ISNUMBER(X27),IF(X27&lt;6,"WARNUNG: &lt;6 Monate!","OK"),"OK")</f>
        <v/>
      </c>
      <c r="Y29" s="16">
        <f>IF(ISNUMBER(Y27),IF(Y27&lt;6,"WARNUNG: &lt;6 Monate!","OK"),"OK")</f>
        <v/>
      </c>
      <c r="Z29" s="16">
        <f>IF(ISNUMBER(Z27),IF(Z27&lt;6,"WARNUNG: &lt;6 Monate!","OK"),"OK")</f>
        <v/>
      </c>
      <c r="AA29" s="16">
        <f>IF(ISNUMBER(AA27),IF(AA27&lt;6,"WARNUNG: &lt;6 Monate!","OK"),"OK")</f>
        <v/>
      </c>
      <c r="AB29" s="16">
        <f>IF(ISNUMBER(AB27),IF(AB27&lt;6,"WARNUNG: &lt;6 Monate!","OK"),"OK")</f>
        <v/>
      </c>
      <c r="AC29" s="16">
        <f>IF(ISNUMBER(AC27),IF(AC27&lt;6,"WARNUNG: &lt;6 Monate!","OK"),"OK")</f>
        <v/>
      </c>
      <c r="AD29" s="16">
        <f>IF(ISNUMBER(AD27),IF(AD27&lt;6,"WARNUNG: &lt;6 Monate!","OK"),"OK")</f>
        <v/>
      </c>
      <c r="AE29" s="16">
        <f>IF(ISNUMBER(AE27),IF(AE27&lt;6,"WARNUNG: &lt;6 Monate!","OK"),"OK")</f>
        <v/>
      </c>
      <c r="AF29" s="16">
        <f>IF(ISNUMBER(AF27),IF(AF27&lt;6,"WARNUNG: &lt;6 Monate!","OK"),"OK")</f>
        <v/>
      </c>
      <c r="AG29" s="16">
        <f>IF(ISNUMBER(AG27),IF(AG27&lt;6,"WARNUNG: &lt;6 Monate!","OK"),"OK")</f>
        <v/>
      </c>
      <c r="AH29" s="16">
        <f>IF(ISNUMBER(AH27),IF(AH27&lt;6,"WARNUNG: &lt;6 Monate!","OK"),"OK")</f>
        <v/>
      </c>
      <c r="AI29" s="16">
        <f>IF(ISNUMBER(AI27),IF(AI27&lt;6,"WARNUNG: &lt;6 Monate!","OK"),"OK")</f>
        <v/>
      </c>
      <c r="AJ29" s="16">
        <f>IF(ISNUMBER(AJ27),IF(AJ27&lt;6,"WARNUNG: &lt;6 Monate!","OK"),"OK")</f>
        <v/>
      </c>
      <c r="AK29" s="16">
        <f>IF(ISNUMBER(AK27),IF(AK27&lt;6,"WARNUNG: &lt;6 Monate!","OK"),"OK")</f>
        <v/>
      </c>
      <c r="AL29" s="16">
        <f>IF(ISNUMBER(AL27),IF(AL27&lt;6,"WARNUNG: &lt;6 Monate!","OK"),"OK")</f>
        <v/>
      </c>
      <c r="AM29" s="16">
        <f>IF(ISNUMBER(AM27),IF(AM27&lt;6,"WARNUNG: &lt;6 Monate!","OK"),"OK")</f>
        <v/>
      </c>
      <c r="AN29" s="16">
        <f>IF(ISNUMBER(AN27),IF(AN27&lt;6,"WARNUNG: &lt;6 Monate!","OK"),"OK")</f>
        <v/>
      </c>
      <c r="AO29" s="16">
        <f>IF(ISNUMBER(AO27),IF(AO27&lt;6,"WARNUNG: &lt;6 Monate!","OK"),"OK")</f>
        <v/>
      </c>
      <c r="AP29" s="16">
        <f>IF(ISNUMBER(AP27),IF(AP27&lt;6,"WARNUNG: &lt;6 Monate!","OK"),"OK")</f>
        <v/>
      </c>
      <c r="AQ29" s="16">
        <f>IF(ISNUMBER(AQ27),IF(AQ27&lt;6,"WARNUNG: &lt;6 Monate!","OK"),"OK")</f>
        <v/>
      </c>
      <c r="AR29" s="16">
        <f>IF(ISNUMBER(AR27),IF(AR27&lt;6,"WARNUNG: &lt;6 Monate!","OK"),"OK")</f>
        <v/>
      </c>
      <c r="AS29" s="16">
        <f>IF(ISNUMBER(AS27),IF(AS27&lt;6,"WARNUNG: &lt;6 Monate!","OK"),"OK")</f>
        <v/>
      </c>
      <c r="AT29" s="16">
        <f>IF(ISNUMBER(AT27),IF(AT27&lt;6,"WARNUNG: &lt;6 Monate!","OK"),"OK")</f>
        <v/>
      </c>
      <c r="AU29" s="16">
        <f>IF(ISNUMBER(AU27),IF(AU27&lt;6,"WARNUNG: &lt;6 Monate!","OK"),"OK")</f>
        <v/>
      </c>
      <c r="AV29" s="16">
        <f>IF(ISNUMBER(AV27),IF(AV27&lt;6,"WARNUNG: &lt;6 Monate!","OK"),"OK")</f>
        <v/>
      </c>
      <c r="AW29" s="16">
        <f>IF(ISNUMBER(AW27),IF(AW27&lt;6,"WARNUNG: &lt;6 Monate!","OK"),"OK")</f>
        <v/>
      </c>
      <c r="AX29" s="16">
        <f>IF(ISNUMBER(AX27),IF(AX27&lt;6,"WARNUNG: &lt;6 Monate!","OK"),"OK")</f>
        <v/>
      </c>
      <c r="AY29" s="16">
        <f>IF(ISNUMBER(AY27),IF(AY27&lt;6,"WARNUNG: &lt;6 Monate!","OK"),"OK")</f>
        <v/>
      </c>
      <c r="AZ29" s="16">
        <f>IF(ISNUMBER(AZ27),IF(AZ27&lt;6,"WARNUNG: &lt;6 Monate!","OK"),"OK")</f>
        <v/>
      </c>
      <c r="BA29" s="16">
        <f>IF(ISNUMBER(BA27),IF(BA27&lt;6,"WARNUNG: &lt;6 Monate!","OK"),"OK")</f>
        <v/>
      </c>
    </row>
    <row r="30" ht="14.25" customHeight="1" s="165"/>
    <row r="31" ht="14.25" customHeight="1" s="165"/>
    <row r="32" ht="14.25" customHeight="1" s="165"/>
    <row r="33" ht="14.25" customHeight="1" s="165"/>
    <row r="34" ht="14.25" customHeight="1" s="165"/>
    <row r="35" ht="14.25" customHeight="1" s="165"/>
    <row r="36" ht="14.25" customHeight="1" s="165"/>
    <row r="37" ht="14.25" customHeight="1" s="165"/>
    <row r="38" ht="14.25" customHeight="1" s="165"/>
    <row r="39" ht="14.25" customHeight="1" s="165"/>
    <row r="40" ht="14.25" customHeight="1" s="165"/>
    <row r="41" ht="14.25" customHeight="1" s="165"/>
    <row r="42" ht="14.25" customHeight="1" s="165"/>
    <row r="43" ht="14.25" customHeight="1" s="165"/>
    <row r="44" ht="14.25" customHeight="1" s="165"/>
    <row r="45" ht="14.25" customHeight="1" s="165"/>
    <row r="46" ht="14.25" customHeight="1" s="165"/>
    <row r="47" ht="14.25" customHeight="1" s="165"/>
    <row r="48" ht="14.25" customHeight="1" s="165"/>
    <row r="49" ht="14.25" customHeight="1" s="165"/>
    <row r="50" ht="14.25" customHeight="1" s="165"/>
    <row r="51" ht="14.25" customHeight="1" s="165"/>
    <row r="52" ht="14.25" customHeight="1" s="165"/>
    <row r="53" ht="14.25" customHeight="1" s="165"/>
    <row r="54" ht="14.25" customHeight="1" s="165"/>
    <row r="55" ht="14.25" customHeight="1" s="165"/>
    <row r="56" ht="14.25" customHeight="1" s="165"/>
    <row r="57" ht="14.25" customHeight="1" s="165"/>
    <row r="58" ht="14.25" customHeight="1" s="165"/>
    <row r="59" ht="14.25" customHeight="1" s="165"/>
    <row r="60" ht="14.25" customHeight="1" s="165"/>
    <row r="61" ht="14.25" customHeight="1" s="165"/>
    <row r="62" ht="14.25" customHeight="1" s="165"/>
    <row r="63" ht="14.25" customHeight="1" s="165"/>
    <row r="64" ht="14.25" customHeight="1" s="165"/>
    <row r="65" ht="14.25" customHeight="1" s="165"/>
    <row r="66" ht="14.25" customHeight="1" s="165"/>
    <row r="67" ht="14.25" customHeight="1" s="165"/>
    <row r="68" ht="14.25" customHeight="1" s="165"/>
    <row r="69" ht="14.25" customHeight="1" s="165"/>
    <row r="70" ht="14.25" customHeight="1" s="165"/>
    <row r="71" ht="14.25" customHeight="1" s="165"/>
    <row r="72" ht="14.25" customHeight="1" s="165"/>
    <row r="73" ht="14.25" customHeight="1" s="165"/>
    <row r="74" ht="14.25" customHeight="1" s="165"/>
    <row r="75" ht="14.25" customHeight="1" s="165"/>
    <row r="76" ht="14.25" customHeight="1" s="165"/>
    <row r="77" ht="14.25" customHeight="1" s="165"/>
    <row r="78" ht="14.25" customHeight="1" s="165"/>
    <row r="79" ht="14.25" customHeight="1" s="165"/>
    <row r="80" ht="14.25" customHeight="1" s="165"/>
    <row r="81" ht="14.25" customHeight="1" s="165"/>
    <row r="82" ht="14.25" customHeight="1" s="165"/>
    <row r="83" ht="14.25" customHeight="1" s="165"/>
    <row r="84" ht="14.25" customHeight="1" s="165"/>
    <row r="85" ht="14.25" customHeight="1" s="165"/>
    <row r="86" ht="14.25" customHeight="1" s="165"/>
    <row r="87" ht="14.25" customHeight="1" s="165"/>
    <row r="88" ht="14.25" customHeight="1" s="165"/>
    <row r="89" ht="14.25" customHeight="1" s="165"/>
    <row r="90" ht="14.25" customHeight="1" s="165"/>
    <row r="91" ht="14.25" customHeight="1" s="165"/>
    <row r="92" ht="14.25" customHeight="1" s="165"/>
    <row r="93" ht="14.25" customHeight="1" s="165"/>
    <row r="94" ht="14.25" customHeight="1" s="165"/>
    <row r="95" ht="14.25" customHeight="1" s="165"/>
    <row r="96" ht="14.25" customHeight="1" s="165"/>
    <row r="97" ht="14.25" customHeight="1" s="165"/>
    <row r="98" ht="14.25" customHeight="1" s="165"/>
    <row r="99" ht="14.25" customHeight="1" s="165"/>
    <row r="100" ht="14.25" customHeight="1" s="165"/>
    <row r="101" ht="14.25" customHeight="1" s="165"/>
    <row r="102" ht="14.25" customHeight="1" s="165"/>
    <row r="103" ht="14.25" customHeight="1" s="165"/>
    <row r="104" ht="14.25" customHeight="1" s="165"/>
    <row r="105" ht="14.25" customHeight="1" s="165"/>
    <row r="106" ht="14.25" customHeight="1" s="165"/>
    <row r="107" ht="14.25" customHeight="1" s="165"/>
    <row r="108" ht="14.25" customHeight="1" s="165"/>
    <row r="109" ht="14.25" customHeight="1" s="165"/>
    <row r="110" ht="14.25" customHeight="1" s="165"/>
    <row r="111" ht="14.25" customHeight="1" s="165"/>
    <row r="112" ht="14.25" customHeight="1" s="165"/>
    <row r="113" ht="14.25" customHeight="1" s="165"/>
    <row r="114" ht="14.25" customHeight="1" s="165"/>
    <row r="115" ht="14.25" customHeight="1" s="165"/>
    <row r="116" ht="14.25" customHeight="1" s="165"/>
    <row r="117" ht="14.25" customHeight="1" s="165"/>
    <row r="118" ht="14.25" customHeight="1" s="165"/>
    <row r="119" ht="14.25" customHeight="1" s="165"/>
    <row r="120" ht="14.25" customHeight="1" s="165"/>
    <row r="121" ht="14.25" customHeight="1" s="165"/>
    <row r="122" ht="14.25" customHeight="1" s="165"/>
    <row r="123" ht="14.25" customHeight="1" s="165"/>
    <row r="124" ht="14.25" customHeight="1" s="165"/>
    <row r="125" ht="14.25" customHeight="1" s="165"/>
    <row r="126" ht="14.25" customHeight="1" s="165"/>
    <row r="127" ht="14.25" customHeight="1" s="165"/>
    <row r="128" ht="14.25" customHeight="1" s="165"/>
    <row r="129" ht="14.25" customHeight="1" s="165"/>
    <row r="130" ht="14.25" customHeight="1" s="165"/>
    <row r="131" ht="14.25" customHeight="1" s="165"/>
    <row r="132" ht="14.25" customHeight="1" s="165"/>
    <row r="133" ht="14.25" customHeight="1" s="165"/>
    <row r="134" ht="14.25" customHeight="1" s="165"/>
    <row r="135" ht="14.25" customHeight="1" s="165"/>
    <row r="136" ht="14.25" customHeight="1" s="165"/>
    <row r="137" ht="14.25" customHeight="1" s="165"/>
    <row r="138" ht="14.25" customHeight="1" s="165"/>
    <row r="139" ht="14.25" customHeight="1" s="165"/>
    <row r="140" ht="14.25" customHeight="1" s="165"/>
    <row r="141" ht="14.25" customHeight="1" s="165"/>
    <row r="142" ht="14.25" customHeight="1" s="165"/>
    <row r="143" ht="14.25" customHeight="1" s="165"/>
    <row r="144" ht="14.25" customHeight="1" s="165"/>
    <row r="145" ht="14.25" customHeight="1" s="165"/>
    <row r="146" ht="14.25" customHeight="1" s="165"/>
    <row r="147" ht="14.25" customHeight="1" s="165"/>
    <row r="148" ht="14.25" customHeight="1" s="165"/>
    <row r="149" ht="14.25" customHeight="1" s="165"/>
    <row r="150" ht="14.25" customHeight="1" s="165"/>
    <row r="151" ht="14.25" customHeight="1" s="165"/>
    <row r="152" ht="14.25" customHeight="1" s="165"/>
    <row r="153" ht="14.25" customHeight="1" s="165"/>
    <row r="154" ht="14.25" customHeight="1" s="165"/>
    <row r="155" ht="14.25" customHeight="1" s="165"/>
    <row r="156" ht="14.25" customHeight="1" s="165"/>
    <row r="157" ht="14.25" customHeight="1" s="165"/>
    <row r="158" ht="14.25" customHeight="1" s="165"/>
    <row r="159" ht="14.25" customHeight="1" s="165"/>
    <row r="160" ht="14.25" customHeight="1" s="165"/>
    <row r="161" ht="14.25" customHeight="1" s="165"/>
    <row r="162" ht="14.25" customHeight="1" s="165"/>
    <row r="163" ht="14.25" customHeight="1" s="165"/>
    <row r="164" ht="14.25" customHeight="1" s="165"/>
    <row r="165" ht="14.25" customHeight="1" s="165"/>
    <row r="166" ht="14.25" customHeight="1" s="165"/>
    <row r="167" ht="14.25" customHeight="1" s="165"/>
    <row r="168" ht="14.25" customHeight="1" s="165"/>
    <row r="169" ht="14.25" customHeight="1" s="165"/>
    <row r="170" ht="14.25" customHeight="1" s="165"/>
    <row r="171" ht="14.25" customHeight="1" s="165"/>
    <row r="172" ht="14.25" customHeight="1" s="165"/>
    <row r="173" ht="14.25" customHeight="1" s="165"/>
    <row r="174" ht="14.25" customHeight="1" s="165"/>
    <row r="175" ht="14.25" customHeight="1" s="165"/>
    <row r="176" ht="14.25" customHeight="1" s="165"/>
    <row r="177" ht="14.25" customHeight="1" s="165"/>
    <row r="178" ht="14.25" customHeight="1" s="165"/>
    <row r="179" ht="14.25" customHeight="1" s="165"/>
    <row r="180" ht="14.25" customHeight="1" s="165"/>
    <row r="181" ht="14.25" customHeight="1" s="165"/>
    <row r="182" ht="14.25" customHeight="1" s="165"/>
    <row r="183" ht="14.25" customHeight="1" s="165"/>
    <row r="184" ht="14.25" customHeight="1" s="165"/>
    <row r="185" ht="14.25" customHeight="1" s="165"/>
    <row r="186" ht="14.25" customHeight="1" s="165"/>
    <row r="187" ht="14.25" customHeight="1" s="165"/>
    <row r="188" ht="14.25" customHeight="1" s="165"/>
    <row r="189" ht="14.25" customHeight="1" s="165"/>
    <row r="190" ht="14.25" customHeight="1" s="165"/>
    <row r="191" ht="14.25" customHeight="1" s="165"/>
    <row r="192" ht="14.25" customHeight="1" s="165"/>
    <row r="193" ht="14.25" customHeight="1" s="165"/>
    <row r="194" ht="14.25" customHeight="1" s="165"/>
    <row r="195" ht="14.25" customHeight="1" s="165"/>
    <row r="196" ht="14.25" customHeight="1" s="165"/>
    <row r="197" ht="14.25" customHeight="1" s="165"/>
    <row r="198" ht="14.25" customHeight="1" s="165"/>
    <row r="199" ht="14.25" customHeight="1" s="165"/>
    <row r="200" ht="14.25" customHeight="1" s="165"/>
    <row r="201" ht="14.25" customHeight="1" s="165"/>
    <row r="202" ht="14.25" customHeight="1" s="165"/>
    <row r="203" ht="14.25" customHeight="1" s="165"/>
    <row r="204" ht="14.25" customHeight="1" s="165"/>
    <row r="205" ht="14.25" customHeight="1" s="165"/>
    <row r="206" ht="14.25" customHeight="1" s="165"/>
    <row r="207" ht="14.25" customHeight="1" s="165"/>
    <row r="208" ht="14.25" customHeight="1" s="165"/>
    <row r="209" ht="14.25" customHeight="1" s="165"/>
    <row r="210" ht="14.25" customHeight="1" s="165"/>
    <row r="211" ht="14.25" customHeight="1" s="165"/>
    <row r="212" ht="14.25" customHeight="1" s="165"/>
    <row r="213" ht="14.25" customHeight="1" s="165"/>
    <row r="214" ht="14.25" customHeight="1" s="165"/>
    <row r="215" ht="14.25" customHeight="1" s="165"/>
    <row r="216" ht="14.25" customHeight="1" s="165"/>
    <row r="217" ht="14.25" customHeight="1" s="165"/>
    <row r="218" ht="14.25" customHeight="1" s="165"/>
    <row r="219" ht="14.25" customHeight="1" s="165"/>
    <row r="220" ht="14.25" customHeight="1" s="165"/>
    <row r="221" ht="14.25" customHeight="1" s="165"/>
    <row r="222" ht="14.25" customHeight="1" s="165"/>
    <row r="223" ht="14.25" customHeight="1" s="165"/>
    <row r="224" ht="14.25" customHeight="1" s="165"/>
    <row r="225" ht="14.25" customHeight="1" s="165"/>
    <row r="226" ht="14.25" customHeight="1" s="165"/>
    <row r="227" ht="14.25" customHeight="1" s="165"/>
    <row r="228" ht="14.25" customHeight="1" s="165"/>
    <row r="229" ht="14.25" customHeight="1" s="165"/>
    <row r="230" ht="14.25" customHeight="1" s="165"/>
    <row r="231" ht="14.25" customHeight="1" s="165"/>
    <row r="232" ht="14.25" customHeight="1" s="165"/>
    <row r="233" ht="14.25" customHeight="1" s="165"/>
    <row r="234" ht="14.25" customHeight="1" s="165"/>
    <row r="235" ht="14.25" customHeight="1" s="165"/>
    <row r="236" ht="14.25" customHeight="1" s="165"/>
    <row r="237" ht="14.25" customHeight="1" s="165"/>
    <row r="238" ht="14.25" customHeight="1" s="165"/>
    <row r="239" ht="14.25" customHeight="1" s="165"/>
    <row r="240" ht="14.25" customHeight="1" s="165"/>
    <row r="241" ht="14.25" customHeight="1" s="165"/>
    <row r="242" ht="14.25" customHeight="1" s="165"/>
    <row r="243" ht="14.25" customHeight="1" s="165"/>
    <row r="244" ht="14.25" customHeight="1" s="165"/>
    <row r="245" ht="14.25" customHeight="1" s="165"/>
    <row r="246" ht="14.25" customHeight="1" s="165"/>
    <row r="247" ht="14.25" customHeight="1" s="165"/>
    <row r="248" ht="14.25" customHeight="1" s="165"/>
    <row r="249" ht="14.25" customHeight="1" s="165"/>
    <row r="250" ht="14.25" customHeight="1" s="165"/>
    <row r="251" ht="14.25" customHeight="1" s="165"/>
    <row r="252" ht="14.25" customHeight="1" s="165"/>
    <row r="253" ht="14.25" customHeight="1" s="165"/>
    <row r="254" ht="14.25" customHeight="1" s="165"/>
    <row r="255" ht="14.25" customHeight="1" s="165"/>
    <row r="256" ht="14.25" customHeight="1" s="165"/>
    <row r="257" ht="14.25" customHeight="1" s="165"/>
    <row r="258" ht="14.25" customHeight="1" s="165"/>
    <row r="259" ht="14.25" customHeight="1" s="165"/>
    <row r="260" ht="14.25" customHeight="1" s="165"/>
    <row r="261" ht="14.25" customHeight="1" s="165"/>
    <row r="262" ht="14.25" customHeight="1" s="165"/>
    <row r="263" ht="14.25" customHeight="1" s="165"/>
    <row r="264" ht="14.25" customHeight="1" s="165"/>
    <row r="265" ht="14.25" customHeight="1" s="165"/>
    <row r="266" ht="14.25" customHeight="1" s="165"/>
    <row r="267" ht="14.25" customHeight="1" s="165"/>
    <row r="268" ht="14.25" customHeight="1" s="165"/>
    <row r="269" ht="14.25" customHeight="1" s="165"/>
    <row r="270" ht="14.25" customHeight="1" s="165"/>
    <row r="271" ht="14.25" customHeight="1" s="165"/>
    <row r="272" ht="14.25" customHeight="1" s="165"/>
    <row r="273" ht="14.25" customHeight="1" s="165"/>
    <row r="274" ht="14.25" customHeight="1" s="165"/>
    <row r="275" ht="14.25" customHeight="1" s="165"/>
    <row r="276" ht="14.25" customHeight="1" s="165"/>
    <row r="277" ht="14.25" customHeight="1" s="165"/>
    <row r="278" ht="14.25" customHeight="1" s="165"/>
    <row r="279" ht="14.25" customHeight="1" s="165"/>
    <row r="280" ht="14.25" customHeight="1" s="165"/>
    <row r="281" ht="14.25" customHeight="1" s="165"/>
    <row r="282" ht="14.25" customHeight="1" s="165"/>
    <row r="283" ht="14.25" customHeight="1" s="165"/>
    <row r="284" ht="14.25" customHeight="1" s="165"/>
    <row r="285" ht="14.25" customHeight="1" s="165"/>
    <row r="286" ht="14.25" customHeight="1" s="165"/>
    <row r="287" ht="14.25" customHeight="1" s="165"/>
    <row r="288" ht="14.25" customHeight="1" s="165"/>
    <row r="289" ht="14.25" customHeight="1" s="165"/>
    <row r="290" ht="14.25" customHeight="1" s="165"/>
    <row r="291" ht="14.25" customHeight="1" s="165"/>
    <row r="292" ht="14.25" customHeight="1" s="165"/>
    <row r="293" ht="14.25" customHeight="1" s="165"/>
    <row r="294" ht="14.25" customHeight="1" s="165"/>
    <row r="295" ht="14.25" customHeight="1" s="165"/>
    <row r="296" ht="14.25" customHeight="1" s="165"/>
    <row r="297" ht="14.25" customHeight="1" s="165"/>
    <row r="298" ht="14.25" customHeight="1" s="165"/>
    <row r="299" ht="14.25" customHeight="1" s="165"/>
    <row r="300" ht="14.25" customHeight="1" s="165"/>
    <row r="301" ht="14.25" customHeight="1" s="165"/>
    <row r="302" ht="14.25" customHeight="1" s="165"/>
    <row r="303" ht="14.25" customHeight="1" s="165"/>
    <row r="304" ht="14.25" customHeight="1" s="165"/>
    <row r="305" ht="14.25" customHeight="1" s="165"/>
    <row r="306" ht="14.25" customHeight="1" s="165"/>
    <row r="307" ht="14.25" customHeight="1" s="165"/>
    <row r="308" ht="14.25" customHeight="1" s="165"/>
    <row r="309" ht="14.25" customHeight="1" s="165"/>
    <row r="310" ht="14.25" customHeight="1" s="165"/>
    <row r="311" ht="14.25" customHeight="1" s="165"/>
    <row r="312" ht="14.25" customHeight="1" s="165"/>
    <row r="313" ht="14.25" customHeight="1" s="165"/>
    <row r="314" ht="14.25" customHeight="1" s="165"/>
    <row r="315" ht="14.25" customHeight="1" s="165"/>
    <row r="316" ht="14.25" customHeight="1" s="165"/>
    <row r="317" ht="14.25" customHeight="1" s="165"/>
    <row r="318" ht="14.25" customHeight="1" s="165"/>
    <row r="319" ht="14.25" customHeight="1" s="165"/>
    <row r="320" ht="14.25" customHeight="1" s="165"/>
    <row r="321" ht="14.25" customHeight="1" s="165"/>
    <row r="322" ht="14.25" customHeight="1" s="165"/>
    <row r="323" ht="14.25" customHeight="1" s="165"/>
    <row r="324" ht="14.25" customHeight="1" s="165"/>
    <row r="325" ht="14.25" customHeight="1" s="165"/>
    <row r="326" ht="14.25" customHeight="1" s="165"/>
    <row r="327" ht="14.25" customHeight="1" s="165"/>
    <row r="328" ht="14.25" customHeight="1" s="165"/>
    <row r="329" ht="14.25" customHeight="1" s="165"/>
    <row r="330" ht="14.25" customHeight="1" s="165"/>
    <row r="331" ht="14.25" customHeight="1" s="165"/>
    <row r="332" ht="14.25" customHeight="1" s="165"/>
    <row r="333" ht="14.25" customHeight="1" s="165"/>
    <row r="334" ht="14.25" customHeight="1" s="165"/>
    <row r="335" ht="14.25" customHeight="1" s="165"/>
    <row r="336" ht="14.25" customHeight="1" s="165"/>
    <row r="337" ht="14.25" customHeight="1" s="165"/>
    <row r="338" ht="14.25" customHeight="1" s="165"/>
    <row r="339" ht="14.25" customHeight="1" s="165"/>
    <row r="340" ht="14.25" customHeight="1" s="165"/>
    <row r="341" ht="14.25" customHeight="1" s="165"/>
    <row r="342" ht="14.25" customHeight="1" s="165"/>
    <row r="343" ht="14.25" customHeight="1" s="165"/>
    <row r="344" ht="14.25" customHeight="1" s="165"/>
    <row r="345" ht="14.25" customHeight="1" s="165"/>
    <row r="346" ht="14.25" customHeight="1" s="165"/>
    <row r="347" ht="14.25" customHeight="1" s="165"/>
    <row r="348" ht="14.25" customHeight="1" s="165"/>
    <row r="349" ht="14.25" customHeight="1" s="165"/>
    <row r="350" ht="14.25" customHeight="1" s="165"/>
    <row r="351" ht="14.25" customHeight="1" s="165"/>
    <row r="352" ht="14.25" customHeight="1" s="165"/>
    <row r="353" ht="14.25" customHeight="1" s="165"/>
    <row r="354" ht="14.25" customHeight="1" s="165"/>
    <row r="355" ht="14.25" customHeight="1" s="165"/>
    <row r="356" ht="14.25" customHeight="1" s="165"/>
    <row r="357" ht="14.25" customHeight="1" s="165"/>
    <row r="358" ht="14.25" customHeight="1" s="165"/>
    <row r="359" ht="14.25" customHeight="1" s="165"/>
    <row r="360" ht="14.25" customHeight="1" s="165"/>
    <row r="361" ht="14.25" customHeight="1" s="165"/>
    <row r="362" ht="14.25" customHeight="1" s="165"/>
    <row r="363" ht="14.25" customHeight="1" s="165"/>
    <row r="364" ht="14.25" customHeight="1" s="165"/>
    <row r="365" ht="14.25" customHeight="1" s="165"/>
    <row r="366" ht="14.25" customHeight="1" s="165"/>
    <row r="367" ht="14.25" customHeight="1" s="165"/>
    <row r="368" ht="14.25" customHeight="1" s="165"/>
    <row r="369" ht="14.25" customHeight="1" s="165"/>
    <row r="370" ht="14.25" customHeight="1" s="165"/>
    <row r="371" ht="14.25" customHeight="1" s="165"/>
    <row r="372" ht="14.25" customHeight="1" s="165"/>
    <row r="373" ht="14.25" customHeight="1" s="165"/>
    <row r="374" ht="14.25" customHeight="1" s="165"/>
    <row r="375" ht="14.25" customHeight="1" s="165"/>
    <row r="376" ht="14.25" customHeight="1" s="165"/>
    <row r="377" ht="14.25" customHeight="1" s="165"/>
    <row r="378" ht="14.25" customHeight="1" s="165"/>
    <row r="379" ht="14.25" customHeight="1" s="165"/>
    <row r="380" ht="14.25" customHeight="1" s="165"/>
    <row r="381" ht="14.25" customHeight="1" s="165"/>
    <row r="382" ht="14.25" customHeight="1" s="165"/>
    <row r="383" ht="14.25" customHeight="1" s="165"/>
    <row r="384" ht="14.25" customHeight="1" s="165"/>
    <row r="385" ht="14.25" customHeight="1" s="165"/>
    <row r="386" ht="14.25" customHeight="1" s="165"/>
    <row r="387" ht="14.25" customHeight="1" s="165"/>
    <row r="388" ht="14.25" customHeight="1" s="165"/>
    <row r="389" ht="14.25" customHeight="1" s="165"/>
    <row r="390" ht="14.25" customHeight="1" s="165"/>
    <row r="391" ht="14.25" customHeight="1" s="165"/>
    <row r="392" ht="14.25" customHeight="1" s="165"/>
    <row r="393" ht="14.25" customHeight="1" s="165"/>
    <row r="394" ht="14.25" customHeight="1" s="165"/>
    <row r="395" ht="14.25" customHeight="1" s="165"/>
    <row r="396" ht="14.25" customHeight="1" s="165"/>
    <row r="397" ht="14.25" customHeight="1" s="165"/>
    <row r="398" ht="14.25" customHeight="1" s="165"/>
    <row r="399" ht="14.25" customHeight="1" s="165"/>
    <row r="400" ht="14.25" customHeight="1" s="165"/>
    <row r="401" ht="14.25" customHeight="1" s="165"/>
    <row r="402" ht="14.25" customHeight="1" s="165"/>
    <row r="403" ht="14.25" customHeight="1" s="165"/>
    <row r="404" ht="14.25" customHeight="1" s="165"/>
    <row r="405" ht="14.25" customHeight="1" s="165"/>
    <row r="406" ht="14.25" customHeight="1" s="165"/>
    <row r="407" ht="14.25" customHeight="1" s="165"/>
    <row r="408" ht="14.25" customHeight="1" s="165"/>
    <row r="409" ht="14.25" customHeight="1" s="165"/>
    <row r="410" ht="14.25" customHeight="1" s="165"/>
    <row r="411" ht="14.25" customHeight="1" s="165"/>
    <row r="412" ht="14.25" customHeight="1" s="165"/>
    <row r="413" ht="14.25" customHeight="1" s="165"/>
    <row r="414" ht="14.25" customHeight="1" s="165"/>
    <row r="415" ht="14.25" customHeight="1" s="165"/>
    <row r="416" ht="14.25" customHeight="1" s="165"/>
    <row r="417" ht="14.25" customHeight="1" s="165"/>
    <row r="418" ht="14.25" customHeight="1" s="165"/>
    <row r="419" ht="14.25" customHeight="1" s="165"/>
    <row r="420" ht="14.25" customHeight="1" s="165"/>
    <row r="421" ht="14.25" customHeight="1" s="165"/>
    <row r="422" ht="14.25" customHeight="1" s="165"/>
    <row r="423" ht="14.25" customHeight="1" s="165"/>
    <row r="424" ht="14.25" customHeight="1" s="165"/>
    <row r="425" ht="14.25" customHeight="1" s="165"/>
    <row r="426" ht="14.25" customHeight="1" s="165"/>
    <row r="427" ht="14.25" customHeight="1" s="165"/>
    <row r="428" ht="14.25" customHeight="1" s="165"/>
    <row r="429" ht="14.25" customHeight="1" s="165"/>
    <row r="430" ht="14.25" customHeight="1" s="165"/>
    <row r="431" ht="14.25" customHeight="1" s="165"/>
    <row r="432" ht="14.25" customHeight="1" s="165"/>
    <row r="433" ht="14.25" customHeight="1" s="165"/>
    <row r="434" ht="14.25" customHeight="1" s="165"/>
    <row r="435" ht="14.25" customHeight="1" s="165"/>
    <row r="436" ht="14.25" customHeight="1" s="165"/>
    <row r="437" ht="14.25" customHeight="1" s="165"/>
    <row r="438" ht="14.25" customHeight="1" s="165"/>
    <row r="439" ht="14.25" customHeight="1" s="165"/>
    <row r="440" ht="14.25" customHeight="1" s="165"/>
    <row r="441" ht="14.25" customHeight="1" s="165"/>
    <row r="442" ht="14.25" customHeight="1" s="165"/>
    <row r="443" ht="14.25" customHeight="1" s="165"/>
    <row r="444" ht="14.25" customHeight="1" s="165"/>
    <row r="445" ht="14.25" customHeight="1" s="165"/>
    <row r="446" ht="14.25" customHeight="1" s="165"/>
    <row r="447" ht="14.25" customHeight="1" s="165"/>
    <row r="448" ht="14.25" customHeight="1" s="165"/>
    <row r="449" ht="14.25" customHeight="1" s="165"/>
    <row r="450" ht="14.25" customHeight="1" s="165"/>
    <row r="451" ht="14.25" customHeight="1" s="165"/>
    <row r="452" ht="14.25" customHeight="1" s="165"/>
    <row r="453" ht="14.25" customHeight="1" s="165"/>
    <row r="454" ht="14.25" customHeight="1" s="165"/>
    <row r="455" ht="14.25" customHeight="1" s="165"/>
    <row r="456" ht="14.25" customHeight="1" s="165"/>
    <row r="457" ht="14.25" customHeight="1" s="165"/>
    <row r="458" ht="14.25" customHeight="1" s="165"/>
    <row r="459" ht="14.25" customHeight="1" s="165"/>
    <row r="460" ht="14.25" customHeight="1" s="165"/>
    <row r="461" ht="14.25" customHeight="1" s="165"/>
    <row r="462" ht="14.25" customHeight="1" s="165"/>
    <row r="463" ht="14.25" customHeight="1" s="165"/>
    <row r="464" ht="14.25" customHeight="1" s="165"/>
    <row r="465" ht="14.25" customHeight="1" s="165"/>
    <row r="466" ht="14.25" customHeight="1" s="165"/>
    <row r="467" ht="14.25" customHeight="1" s="165"/>
    <row r="468" ht="14.25" customHeight="1" s="165"/>
    <row r="469" ht="14.25" customHeight="1" s="165"/>
    <row r="470" ht="14.25" customHeight="1" s="165"/>
    <row r="471" ht="14.25" customHeight="1" s="165"/>
    <row r="472" ht="14.25" customHeight="1" s="165"/>
    <row r="473" ht="14.25" customHeight="1" s="165"/>
    <row r="474" ht="14.25" customHeight="1" s="165"/>
    <row r="475" ht="14.25" customHeight="1" s="165"/>
    <row r="476" ht="14.25" customHeight="1" s="165"/>
    <row r="477" ht="14.25" customHeight="1" s="165"/>
    <row r="478" ht="14.25" customHeight="1" s="165"/>
    <row r="479" ht="14.25" customHeight="1" s="165"/>
    <row r="480" ht="14.25" customHeight="1" s="165"/>
    <row r="481" ht="14.25" customHeight="1" s="165"/>
    <row r="482" ht="14.25" customHeight="1" s="165"/>
    <row r="483" ht="14.25" customHeight="1" s="165"/>
    <row r="484" ht="14.25" customHeight="1" s="165"/>
    <row r="485" ht="14.25" customHeight="1" s="165"/>
    <row r="486" ht="14.25" customHeight="1" s="165"/>
    <row r="487" ht="14.25" customHeight="1" s="165"/>
    <row r="488" ht="14.25" customHeight="1" s="165"/>
    <row r="489" ht="14.25" customHeight="1" s="165"/>
    <row r="490" ht="14.25" customHeight="1" s="165"/>
    <row r="491" ht="14.25" customHeight="1" s="165"/>
    <row r="492" ht="14.25" customHeight="1" s="165"/>
    <row r="493" ht="14.25" customHeight="1" s="165"/>
    <row r="494" ht="14.25" customHeight="1" s="165"/>
    <row r="495" ht="14.25" customHeight="1" s="165"/>
    <row r="496" ht="14.25" customHeight="1" s="165"/>
    <row r="497" ht="14.25" customHeight="1" s="165"/>
    <row r="498" ht="14.25" customHeight="1" s="165"/>
    <row r="499" ht="14.25" customHeight="1" s="165"/>
    <row r="500" ht="14.25" customHeight="1" s="165"/>
    <row r="501" ht="14.25" customHeight="1" s="165"/>
    <row r="502" ht="14.25" customHeight="1" s="165"/>
    <row r="503" ht="14.25" customHeight="1" s="165"/>
    <row r="504" ht="14.25" customHeight="1" s="165"/>
    <row r="505" ht="14.25" customHeight="1" s="165"/>
    <row r="506" ht="14.25" customHeight="1" s="165"/>
    <row r="507" ht="14.25" customHeight="1" s="165"/>
    <row r="508" ht="14.25" customHeight="1" s="165"/>
    <row r="509" ht="14.25" customHeight="1" s="165"/>
    <row r="510" ht="14.25" customHeight="1" s="165"/>
    <row r="511" ht="14.25" customHeight="1" s="165"/>
    <row r="512" ht="14.25" customHeight="1" s="165"/>
    <row r="513" ht="14.25" customHeight="1" s="165"/>
    <row r="514" ht="14.25" customHeight="1" s="165"/>
    <row r="515" ht="14.25" customHeight="1" s="165"/>
    <row r="516" ht="14.25" customHeight="1" s="165"/>
    <row r="517" ht="14.25" customHeight="1" s="165"/>
    <row r="518" ht="14.25" customHeight="1" s="165"/>
    <row r="519" ht="14.25" customHeight="1" s="165"/>
    <row r="520" ht="14.25" customHeight="1" s="165"/>
    <row r="521" ht="14.25" customHeight="1" s="165"/>
    <row r="522" ht="14.25" customHeight="1" s="165"/>
    <row r="523" ht="14.25" customHeight="1" s="165"/>
    <row r="524" ht="14.25" customHeight="1" s="165"/>
    <row r="525" ht="14.25" customHeight="1" s="165"/>
    <row r="526" ht="14.25" customHeight="1" s="165"/>
    <row r="527" ht="14.25" customHeight="1" s="165"/>
    <row r="528" ht="14.25" customHeight="1" s="165"/>
    <row r="529" ht="14.25" customHeight="1" s="165"/>
    <row r="530" ht="14.25" customHeight="1" s="165"/>
    <row r="531" ht="14.25" customHeight="1" s="165"/>
    <row r="532" ht="14.25" customHeight="1" s="165"/>
    <row r="533" ht="14.25" customHeight="1" s="165"/>
    <row r="534" ht="14.25" customHeight="1" s="165"/>
    <row r="535" ht="14.25" customHeight="1" s="165"/>
    <row r="536" ht="14.25" customHeight="1" s="165"/>
    <row r="537" ht="14.25" customHeight="1" s="165"/>
    <row r="538" ht="14.25" customHeight="1" s="165"/>
    <row r="539" ht="14.25" customHeight="1" s="165"/>
    <row r="540" ht="14.25" customHeight="1" s="165"/>
    <row r="541" ht="14.25" customHeight="1" s="165"/>
    <row r="542" ht="14.25" customHeight="1" s="165"/>
    <row r="543" ht="14.25" customHeight="1" s="165"/>
    <row r="544" ht="14.25" customHeight="1" s="165"/>
    <row r="545" ht="14.25" customHeight="1" s="165"/>
    <row r="546" ht="14.25" customHeight="1" s="165"/>
    <row r="547" ht="14.25" customHeight="1" s="165"/>
    <row r="548" ht="14.25" customHeight="1" s="165"/>
    <row r="549" ht="14.25" customHeight="1" s="165"/>
    <row r="550" ht="14.25" customHeight="1" s="165"/>
    <row r="551" ht="14.25" customHeight="1" s="165"/>
    <row r="552" ht="14.25" customHeight="1" s="165"/>
    <row r="553" ht="14.25" customHeight="1" s="165"/>
    <row r="554" ht="14.25" customHeight="1" s="165"/>
    <row r="555" ht="14.25" customHeight="1" s="165"/>
    <row r="556" ht="14.25" customHeight="1" s="165"/>
    <row r="557" ht="14.25" customHeight="1" s="165"/>
    <row r="558" ht="14.25" customHeight="1" s="165"/>
    <row r="559" ht="14.25" customHeight="1" s="165"/>
    <row r="560" ht="14.25" customHeight="1" s="165"/>
    <row r="561" ht="14.25" customHeight="1" s="165"/>
    <row r="562" ht="14.25" customHeight="1" s="165"/>
    <row r="563" ht="14.25" customHeight="1" s="165"/>
    <row r="564" ht="14.25" customHeight="1" s="165"/>
    <row r="565" ht="14.25" customHeight="1" s="165"/>
    <row r="566" ht="14.25" customHeight="1" s="165"/>
    <row r="567" ht="14.25" customHeight="1" s="165"/>
    <row r="568" ht="14.25" customHeight="1" s="165"/>
    <row r="569" ht="14.25" customHeight="1" s="165"/>
    <row r="570" ht="14.25" customHeight="1" s="165"/>
    <row r="571" ht="14.25" customHeight="1" s="165"/>
    <row r="572" ht="14.25" customHeight="1" s="165"/>
    <row r="573" ht="14.25" customHeight="1" s="165"/>
    <row r="574" ht="14.25" customHeight="1" s="165"/>
    <row r="575" ht="14.25" customHeight="1" s="165"/>
    <row r="576" ht="14.25" customHeight="1" s="165"/>
    <row r="577" ht="14.25" customHeight="1" s="165"/>
    <row r="578" ht="14.25" customHeight="1" s="165"/>
    <row r="579" ht="14.25" customHeight="1" s="165"/>
    <row r="580" ht="14.25" customHeight="1" s="165"/>
    <row r="581" ht="14.25" customHeight="1" s="165"/>
    <row r="582" ht="14.25" customHeight="1" s="165"/>
    <row r="583" ht="14.25" customHeight="1" s="165"/>
    <row r="584" ht="14.25" customHeight="1" s="165"/>
    <row r="585" ht="14.25" customHeight="1" s="165"/>
    <row r="586" ht="14.25" customHeight="1" s="165"/>
    <row r="587" ht="14.25" customHeight="1" s="165"/>
    <row r="588" ht="14.25" customHeight="1" s="165"/>
    <row r="589" ht="14.25" customHeight="1" s="165"/>
    <row r="590" ht="14.25" customHeight="1" s="165"/>
    <row r="591" ht="14.25" customHeight="1" s="165"/>
    <row r="592" ht="14.25" customHeight="1" s="165"/>
    <row r="593" ht="14.25" customHeight="1" s="165"/>
    <row r="594" ht="14.25" customHeight="1" s="165"/>
    <row r="595" ht="14.25" customHeight="1" s="165"/>
    <row r="596" ht="14.25" customHeight="1" s="165"/>
    <row r="597" ht="14.25" customHeight="1" s="165"/>
    <row r="598" ht="14.25" customHeight="1" s="165"/>
    <row r="599" ht="14.25" customHeight="1" s="165"/>
    <row r="600" ht="14.25" customHeight="1" s="165"/>
    <row r="601" ht="14.25" customHeight="1" s="165"/>
    <row r="602" ht="14.25" customHeight="1" s="165"/>
    <row r="603" ht="14.25" customHeight="1" s="165"/>
    <row r="604" ht="14.25" customHeight="1" s="165"/>
    <row r="605" ht="14.25" customHeight="1" s="165"/>
    <row r="606" ht="14.25" customHeight="1" s="165"/>
    <row r="607" ht="14.25" customHeight="1" s="165"/>
    <row r="608" ht="14.25" customHeight="1" s="165"/>
    <row r="609" ht="14.25" customHeight="1" s="165"/>
    <row r="610" ht="14.25" customHeight="1" s="165"/>
    <row r="611" ht="14.25" customHeight="1" s="165"/>
    <row r="612" ht="14.25" customHeight="1" s="165"/>
    <row r="613" ht="14.25" customHeight="1" s="165"/>
    <row r="614" ht="14.25" customHeight="1" s="165"/>
    <row r="615" ht="14.25" customHeight="1" s="165"/>
    <row r="616" ht="14.25" customHeight="1" s="165"/>
    <row r="617" ht="14.25" customHeight="1" s="165"/>
    <row r="618" ht="14.25" customHeight="1" s="165"/>
    <row r="619" ht="14.25" customHeight="1" s="165"/>
    <row r="620" ht="14.25" customHeight="1" s="165"/>
    <row r="621" ht="14.25" customHeight="1" s="165"/>
    <row r="622" ht="14.25" customHeight="1" s="165"/>
    <row r="623" ht="14.25" customHeight="1" s="165"/>
    <row r="624" ht="14.25" customHeight="1" s="165"/>
    <row r="625" ht="14.25" customHeight="1" s="165"/>
    <row r="626" ht="14.25" customHeight="1" s="165"/>
    <row r="627" ht="14.25" customHeight="1" s="165"/>
    <row r="628" ht="14.25" customHeight="1" s="165"/>
    <row r="629" ht="14.25" customHeight="1" s="165"/>
    <row r="630" ht="14.25" customHeight="1" s="165"/>
    <row r="631" ht="14.25" customHeight="1" s="165"/>
    <row r="632" ht="14.25" customHeight="1" s="165"/>
    <row r="633" ht="14.25" customHeight="1" s="165"/>
    <row r="634" ht="14.25" customHeight="1" s="165"/>
    <row r="635" ht="14.25" customHeight="1" s="165"/>
    <row r="636" ht="14.25" customHeight="1" s="165"/>
    <row r="637" ht="14.25" customHeight="1" s="165"/>
    <row r="638" ht="14.25" customHeight="1" s="165"/>
    <row r="639" ht="14.25" customHeight="1" s="165"/>
    <row r="640" ht="14.25" customHeight="1" s="165"/>
    <row r="641" ht="14.25" customHeight="1" s="165"/>
    <row r="642" ht="14.25" customHeight="1" s="165"/>
    <row r="643" ht="14.25" customHeight="1" s="165"/>
    <row r="644" ht="14.25" customHeight="1" s="165"/>
    <row r="645" ht="14.25" customHeight="1" s="165"/>
    <row r="646" ht="14.25" customHeight="1" s="165"/>
    <row r="647" ht="14.25" customHeight="1" s="165"/>
    <row r="648" ht="14.25" customHeight="1" s="165"/>
    <row r="649" ht="14.25" customHeight="1" s="165"/>
    <row r="650" ht="14.25" customHeight="1" s="165"/>
    <row r="651" ht="14.25" customHeight="1" s="165"/>
    <row r="652" ht="14.25" customHeight="1" s="165"/>
    <row r="653" ht="14.25" customHeight="1" s="165"/>
    <row r="654" ht="14.25" customHeight="1" s="165"/>
    <row r="655" ht="14.25" customHeight="1" s="165"/>
    <row r="656" ht="14.25" customHeight="1" s="165"/>
    <row r="657" ht="14.25" customHeight="1" s="165"/>
    <row r="658" ht="14.25" customHeight="1" s="165"/>
    <row r="659" ht="14.25" customHeight="1" s="165"/>
    <row r="660" ht="14.25" customHeight="1" s="165"/>
    <row r="661" ht="14.25" customHeight="1" s="165"/>
    <row r="662" ht="14.25" customHeight="1" s="165"/>
    <row r="663" ht="14.25" customHeight="1" s="165"/>
    <row r="664" ht="14.25" customHeight="1" s="165"/>
    <row r="665" ht="14.25" customHeight="1" s="165"/>
    <row r="666" ht="14.25" customHeight="1" s="165"/>
    <row r="667" ht="14.25" customHeight="1" s="165"/>
    <row r="668" ht="14.25" customHeight="1" s="165"/>
    <row r="669" ht="14.25" customHeight="1" s="165"/>
    <row r="670" ht="14.25" customHeight="1" s="165"/>
    <row r="671" ht="14.25" customHeight="1" s="165"/>
    <row r="672" ht="14.25" customHeight="1" s="165"/>
    <row r="673" ht="14.25" customHeight="1" s="165"/>
    <row r="674" ht="14.25" customHeight="1" s="165"/>
    <row r="675" ht="14.25" customHeight="1" s="165"/>
    <row r="676" ht="14.25" customHeight="1" s="165"/>
    <row r="677" ht="14.25" customHeight="1" s="165"/>
    <row r="678" ht="14.25" customHeight="1" s="165"/>
    <row r="679" ht="14.25" customHeight="1" s="165"/>
    <row r="680" ht="14.25" customHeight="1" s="165"/>
    <row r="681" ht="14.25" customHeight="1" s="165"/>
    <row r="682" ht="14.25" customHeight="1" s="165"/>
    <row r="683" ht="14.25" customHeight="1" s="165"/>
    <row r="684" ht="14.25" customHeight="1" s="165"/>
    <row r="685" ht="14.25" customHeight="1" s="165"/>
    <row r="686" ht="14.25" customHeight="1" s="165"/>
    <row r="687" ht="14.25" customHeight="1" s="165"/>
    <row r="688" ht="14.25" customHeight="1" s="165"/>
    <row r="689" ht="14.25" customHeight="1" s="165"/>
    <row r="690" ht="14.25" customHeight="1" s="165"/>
    <row r="691" ht="14.25" customHeight="1" s="165"/>
    <row r="692" ht="14.25" customHeight="1" s="165"/>
    <row r="693" ht="14.25" customHeight="1" s="165"/>
    <row r="694" ht="14.25" customHeight="1" s="165"/>
    <row r="695" ht="14.25" customHeight="1" s="165"/>
    <row r="696" ht="14.25" customHeight="1" s="165"/>
    <row r="697" ht="14.25" customHeight="1" s="165"/>
    <row r="698" ht="14.25" customHeight="1" s="165"/>
    <row r="699" ht="14.25" customHeight="1" s="165"/>
    <row r="700" ht="14.25" customHeight="1" s="165"/>
    <row r="701" ht="14.25" customHeight="1" s="165"/>
    <row r="702" ht="14.25" customHeight="1" s="165"/>
    <row r="703" ht="14.25" customHeight="1" s="165"/>
    <row r="704" ht="14.25" customHeight="1" s="165"/>
    <row r="705" ht="14.25" customHeight="1" s="165"/>
    <row r="706" ht="14.25" customHeight="1" s="165"/>
    <row r="707" ht="14.25" customHeight="1" s="165"/>
    <row r="708" ht="14.25" customHeight="1" s="165"/>
    <row r="709" ht="14.25" customHeight="1" s="165"/>
    <row r="710" ht="14.25" customHeight="1" s="165"/>
    <row r="711" ht="14.25" customHeight="1" s="165"/>
    <row r="712" ht="14.25" customHeight="1" s="165"/>
    <row r="713" ht="14.25" customHeight="1" s="165"/>
    <row r="714" ht="14.25" customHeight="1" s="165"/>
    <row r="715" ht="14.25" customHeight="1" s="165"/>
    <row r="716" ht="14.25" customHeight="1" s="165"/>
    <row r="717" ht="14.25" customHeight="1" s="165"/>
    <row r="718" ht="14.25" customHeight="1" s="165"/>
    <row r="719" ht="14.25" customHeight="1" s="165"/>
    <row r="720" ht="14.25" customHeight="1" s="165"/>
    <row r="721" ht="14.25" customHeight="1" s="165"/>
    <row r="722" ht="14.25" customHeight="1" s="165"/>
    <row r="723" ht="14.25" customHeight="1" s="165"/>
    <row r="724" ht="14.25" customHeight="1" s="165"/>
    <row r="725" ht="14.25" customHeight="1" s="165"/>
    <row r="726" ht="14.25" customHeight="1" s="165"/>
    <row r="727" ht="14.25" customHeight="1" s="165"/>
    <row r="728" ht="14.25" customHeight="1" s="165"/>
    <row r="729" ht="14.25" customHeight="1" s="165"/>
    <row r="730" ht="14.25" customHeight="1" s="165"/>
    <row r="731" ht="14.25" customHeight="1" s="165"/>
    <row r="732" ht="14.25" customHeight="1" s="165"/>
    <row r="733" ht="14.25" customHeight="1" s="165"/>
    <row r="734" ht="14.25" customHeight="1" s="165"/>
    <row r="735" ht="14.25" customHeight="1" s="165"/>
    <row r="736" ht="14.25" customHeight="1" s="165"/>
    <row r="737" ht="14.25" customHeight="1" s="165"/>
    <row r="738" ht="14.25" customHeight="1" s="165"/>
    <row r="739" ht="14.25" customHeight="1" s="165"/>
    <row r="740" ht="14.25" customHeight="1" s="165"/>
    <row r="741" ht="14.25" customHeight="1" s="165"/>
    <row r="742" ht="14.25" customHeight="1" s="165"/>
    <row r="743" ht="14.25" customHeight="1" s="165"/>
    <row r="744" ht="14.25" customHeight="1" s="165"/>
    <row r="745" ht="14.25" customHeight="1" s="165"/>
    <row r="746" ht="14.25" customHeight="1" s="165"/>
    <row r="747" ht="14.25" customHeight="1" s="165"/>
    <row r="748" ht="14.25" customHeight="1" s="165"/>
    <row r="749" ht="14.25" customHeight="1" s="165"/>
    <row r="750" ht="14.25" customHeight="1" s="165"/>
    <row r="751" ht="14.25" customHeight="1" s="165"/>
    <row r="752" ht="14.25" customHeight="1" s="165"/>
    <row r="753" ht="14.25" customHeight="1" s="165"/>
    <row r="754" ht="14.25" customHeight="1" s="165"/>
    <row r="755" ht="14.25" customHeight="1" s="165"/>
    <row r="756" ht="14.25" customHeight="1" s="165"/>
    <row r="757" ht="14.25" customHeight="1" s="165"/>
    <row r="758" ht="14.25" customHeight="1" s="165"/>
    <row r="759" ht="14.25" customHeight="1" s="165"/>
    <row r="760" ht="14.25" customHeight="1" s="165"/>
    <row r="761" ht="14.25" customHeight="1" s="165"/>
    <row r="762" ht="14.25" customHeight="1" s="165"/>
    <row r="763" ht="14.25" customHeight="1" s="165"/>
    <row r="764" ht="14.25" customHeight="1" s="165"/>
    <row r="765" ht="14.25" customHeight="1" s="165"/>
    <row r="766" ht="14.25" customHeight="1" s="165"/>
    <row r="767" ht="14.25" customHeight="1" s="165"/>
    <row r="768" ht="14.25" customHeight="1" s="165"/>
    <row r="769" ht="14.25" customHeight="1" s="165"/>
    <row r="770" ht="14.25" customHeight="1" s="165"/>
    <row r="771" ht="14.25" customHeight="1" s="165"/>
    <row r="772" ht="14.25" customHeight="1" s="165"/>
    <row r="773" ht="14.25" customHeight="1" s="165"/>
    <row r="774" ht="14.25" customHeight="1" s="165"/>
    <row r="775" ht="14.25" customHeight="1" s="165"/>
    <row r="776" ht="14.25" customHeight="1" s="165"/>
    <row r="777" ht="14.25" customHeight="1" s="165"/>
    <row r="778" ht="14.25" customHeight="1" s="165"/>
    <row r="779" ht="14.25" customHeight="1" s="165"/>
    <row r="780" ht="14.25" customHeight="1" s="165"/>
    <row r="781" ht="14.25" customHeight="1" s="165"/>
    <row r="782" ht="14.25" customHeight="1" s="165"/>
    <row r="783" ht="14.25" customHeight="1" s="165"/>
    <row r="784" ht="14.25" customHeight="1" s="165"/>
    <row r="785" ht="14.25" customHeight="1" s="165"/>
    <row r="786" ht="14.25" customHeight="1" s="165"/>
    <row r="787" ht="14.25" customHeight="1" s="165"/>
    <row r="788" ht="14.25" customHeight="1" s="165"/>
    <row r="789" ht="14.25" customHeight="1" s="165"/>
    <row r="790" ht="14.25" customHeight="1" s="165"/>
    <row r="791" ht="14.25" customHeight="1" s="165"/>
    <row r="792" ht="14.25" customHeight="1" s="165"/>
    <row r="793" ht="14.25" customHeight="1" s="165"/>
    <row r="794" ht="14.25" customHeight="1" s="165"/>
    <row r="795" ht="14.25" customHeight="1" s="165"/>
    <row r="796" ht="14.25" customHeight="1" s="165"/>
    <row r="797" ht="14.25" customHeight="1" s="165"/>
    <row r="798" ht="14.25" customHeight="1" s="165"/>
    <row r="799" ht="14.25" customHeight="1" s="165"/>
    <row r="800" ht="14.25" customHeight="1" s="165"/>
    <row r="801" ht="14.25" customHeight="1" s="165"/>
    <row r="802" ht="14.25" customHeight="1" s="165"/>
    <row r="803" ht="14.25" customHeight="1" s="165"/>
    <row r="804" ht="14.25" customHeight="1" s="165"/>
    <row r="805" ht="14.25" customHeight="1" s="165"/>
    <row r="806" ht="14.25" customHeight="1" s="165"/>
    <row r="807" ht="14.25" customHeight="1" s="165"/>
    <row r="808" ht="14.25" customHeight="1" s="165"/>
    <row r="809" ht="14.25" customHeight="1" s="165"/>
    <row r="810" ht="14.25" customHeight="1" s="165"/>
    <row r="811" ht="14.25" customHeight="1" s="165"/>
    <row r="812" ht="14.25" customHeight="1" s="165"/>
    <row r="813" ht="14.25" customHeight="1" s="165"/>
    <row r="814" ht="14.25" customHeight="1" s="165"/>
    <row r="815" ht="14.25" customHeight="1" s="165"/>
    <row r="816" ht="14.25" customHeight="1" s="165"/>
    <row r="817" ht="14.25" customHeight="1" s="165"/>
    <row r="818" ht="14.25" customHeight="1" s="165"/>
    <row r="819" ht="14.25" customHeight="1" s="165"/>
    <row r="820" ht="14.25" customHeight="1" s="165"/>
    <row r="821" ht="14.25" customHeight="1" s="165"/>
    <row r="822" ht="14.25" customHeight="1" s="165"/>
    <row r="823" ht="14.25" customHeight="1" s="165"/>
    <row r="824" ht="14.25" customHeight="1" s="165"/>
    <row r="825" ht="14.25" customHeight="1" s="165"/>
    <row r="826" ht="14.25" customHeight="1" s="165"/>
    <row r="827" ht="14.25" customHeight="1" s="165"/>
    <row r="828" ht="14.25" customHeight="1" s="165"/>
    <row r="829" ht="14.25" customHeight="1" s="165"/>
    <row r="830" ht="14.25" customHeight="1" s="165"/>
    <row r="831" ht="14.25" customHeight="1" s="165"/>
    <row r="832" ht="14.25" customHeight="1" s="165"/>
    <row r="833" ht="14.25" customHeight="1" s="165"/>
    <row r="834" ht="14.25" customHeight="1" s="165"/>
    <row r="835" ht="14.25" customHeight="1" s="165"/>
    <row r="836" ht="14.25" customHeight="1" s="165"/>
    <row r="837" ht="14.25" customHeight="1" s="165"/>
    <row r="838" ht="14.25" customHeight="1" s="165"/>
    <row r="839" ht="14.25" customHeight="1" s="165"/>
    <row r="840" ht="14.25" customHeight="1" s="165"/>
    <row r="841" ht="14.25" customHeight="1" s="165"/>
    <row r="842" ht="14.25" customHeight="1" s="165"/>
    <row r="843" ht="14.25" customHeight="1" s="165"/>
    <row r="844" ht="14.25" customHeight="1" s="165"/>
    <row r="845" ht="14.25" customHeight="1" s="165"/>
    <row r="846" ht="14.25" customHeight="1" s="165"/>
    <row r="847" ht="14.25" customHeight="1" s="165"/>
    <row r="848" ht="14.25" customHeight="1" s="165"/>
    <row r="849" ht="14.25" customHeight="1" s="165"/>
    <row r="850" ht="14.25" customHeight="1" s="165"/>
    <row r="851" ht="14.25" customHeight="1" s="165"/>
    <row r="852" ht="14.25" customHeight="1" s="165"/>
    <row r="853" ht="14.25" customHeight="1" s="165"/>
    <row r="854" ht="14.25" customHeight="1" s="165"/>
    <row r="855" ht="14.25" customHeight="1" s="165"/>
    <row r="856" ht="14.25" customHeight="1" s="165"/>
    <row r="857" ht="14.25" customHeight="1" s="165"/>
    <row r="858" ht="14.25" customHeight="1" s="165"/>
    <row r="859" ht="14.25" customHeight="1" s="165"/>
    <row r="860" ht="14.25" customHeight="1" s="165"/>
    <row r="861" ht="14.25" customHeight="1" s="165"/>
    <row r="862" ht="14.25" customHeight="1" s="165"/>
    <row r="863" ht="14.25" customHeight="1" s="165"/>
    <row r="864" ht="14.25" customHeight="1" s="165"/>
    <row r="865" ht="14.25" customHeight="1" s="165"/>
    <row r="866" ht="14.25" customHeight="1" s="165"/>
    <row r="867" ht="14.25" customHeight="1" s="165"/>
    <row r="868" ht="14.25" customHeight="1" s="165"/>
    <row r="869" ht="14.25" customHeight="1" s="165"/>
    <row r="870" ht="14.25" customHeight="1" s="165"/>
    <row r="871" ht="14.25" customHeight="1" s="165"/>
    <row r="872" ht="14.25" customHeight="1" s="165"/>
    <row r="873" ht="14.25" customHeight="1" s="165"/>
    <row r="874" ht="14.25" customHeight="1" s="165"/>
    <row r="875" ht="14.25" customHeight="1" s="165"/>
    <row r="876" ht="14.25" customHeight="1" s="165"/>
    <row r="877" ht="14.25" customHeight="1" s="165"/>
    <row r="878" ht="14.25" customHeight="1" s="165"/>
    <row r="879" ht="14.25" customHeight="1" s="165"/>
    <row r="880" ht="14.25" customHeight="1" s="165"/>
    <row r="881" ht="14.25" customHeight="1" s="165"/>
    <row r="882" ht="14.25" customHeight="1" s="165"/>
    <row r="883" ht="14.25" customHeight="1" s="165"/>
    <row r="884" ht="14.25" customHeight="1" s="165"/>
    <row r="885" ht="14.25" customHeight="1" s="165"/>
    <row r="886" ht="14.25" customHeight="1" s="165"/>
    <row r="887" ht="14.25" customHeight="1" s="165"/>
    <row r="888" ht="14.25" customHeight="1" s="165"/>
    <row r="889" ht="14.25" customHeight="1" s="165"/>
    <row r="890" ht="14.25" customHeight="1" s="165"/>
    <row r="891" ht="14.25" customHeight="1" s="165"/>
    <row r="892" ht="14.25" customHeight="1" s="165"/>
    <row r="893" ht="14.25" customHeight="1" s="165"/>
    <row r="894" ht="14.25" customHeight="1" s="165"/>
    <row r="895" ht="14.25" customHeight="1" s="165"/>
    <row r="896" ht="14.25" customHeight="1" s="165"/>
    <row r="897" ht="14.25" customHeight="1" s="165"/>
    <row r="898" ht="14.25" customHeight="1" s="165"/>
    <row r="899" ht="14.25" customHeight="1" s="165"/>
    <row r="900" ht="14.25" customHeight="1" s="165"/>
    <row r="901" ht="14.25" customHeight="1" s="165"/>
    <row r="902" ht="14.25" customHeight="1" s="165"/>
    <row r="903" ht="14.25" customHeight="1" s="165"/>
    <row r="904" ht="14.25" customHeight="1" s="165"/>
    <row r="905" ht="14.25" customHeight="1" s="165"/>
    <row r="906" ht="14.25" customHeight="1" s="165"/>
    <row r="907" ht="14.25" customHeight="1" s="165"/>
    <row r="908" ht="14.25" customHeight="1" s="165"/>
    <row r="909" ht="14.25" customHeight="1" s="165"/>
    <row r="910" ht="14.25" customHeight="1" s="165"/>
    <row r="911" ht="14.25" customHeight="1" s="165"/>
    <row r="912" ht="14.25" customHeight="1" s="165"/>
    <row r="913" ht="14.25" customHeight="1" s="165"/>
    <row r="914" ht="14.25" customHeight="1" s="165"/>
    <row r="915" ht="14.25" customHeight="1" s="165"/>
    <row r="916" ht="14.25" customHeight="1" s="165"/>
    <row r="917" ht="14.25" customHeight="1" s="165"/>
    <row r="918" ht="14.25" customHeight="1" s="165"/>
    <row r="919" ht="14.25" customHeight="1" s="165"/>
    <row r="920" ht="14.25" customHeight="1" s="165"/>
    <row r="921" ht="14.25" customHeight="1" s="165"/>
    <row r="922" ht="14.25" customHeight="1" s="165"/>
    <row r="923" ht="14.25" customHeight="1" s="165"/>
    <row r="924" ht="14.25" customHeight="1" s="165"/>
    <row r="925" ht="14.25" customHeight="1" s="165"/>
    <row r="926" ht="14.25" customHeight="1" s="165"/>
    <row r="927" ht="14.25" customHeight="1" s="165"/>
    <row r="928" ht="14.25" customHeight="1" s="165"/>
    <row r="929" ht="14.25" customHeight="1" s="165"/>
    <row r="930" ht="14.25" customHeight="1" s="165"/>
    <row r="931" ht="14.25" customHeight="1" s="165"/>
    <row r="932" ht="14.25" customHeight="1" s="165"/>
    <row r="933" ht="14.25" customHeight="1" s="165"/>
    <row r="934" ht="14.25" customHeight="1" s="165"/>
    <row r="935" ht="14.25" customHeight="1" s="165"/>
    <row r="936" ht="14.25" customHeight="1" s="165"/>
    <row r="937" ht="14.25" customHeight="1" s="165"/>
    <row r="938" ht="14.25" customHeight="1" s="165"/>
    <row r="939" ht="14.25" customHeight="1" s="165"/>
    <row r="940" ht="14.25" customHeight="1" s="165"/>
    <row r="941" ht="14.25" customHeight="1" s="165"/>
    <row r="942" ht="14.25" customHeight="1" s="165"/>
    <row r="943" ht="14.25" customHeight="1" s="165"/>
    <row r="944" ht="14.25" customHeight="1" s="165"/>
    <row r="945" ht="14.25" customHeight="1" s="165"/>
    <row r="946" ht="14.25" customHeight="1" s="165"/>
    <row r="947" ht="14.25" customHeight="1" s="165"/>
    <row r="948" ht="14.25" customHeight="1" s="165"/>
    <row r="949" ht="14.25" customHeight="1" s="165"/>
    <row r="950" ht="14.25" customHeight="1" s="165"/>
    <row r="951" ht="14.25" customHeight="1" s="165"/>
    <row r="952" ht="14.25" customHeight="1" s="165"/>
    <row r="953" ht="14.25" customHeight="1" s="165"/>
    <row r="954" ht="14.25" customHeight="1" s="165"/>
    <row r="955" ht="14.25" customHeight="1" s="165"/>
    <row r="956" ht="14.25" customHeight="1" s="165"/>
    <row r="957" ht="14.25" customHeight="1" s="165"/>
    <row r="958" ht="14.25" customHeight="1" s="165"/>
    <row r="959" ht="14.25" customHeight="1" s="165"/>
    <row r="960" ht="14.25" customHeight="1" s="165"/>
    <row r="961" ht="14.25" customHeight="1" s="165"/>
    <row r="962" ht="14.25" customHeight="1" s="165"/>
    <row r="963" ht="14.25" customHeight="1" s="165"/>
    <row r="964" ht="14.25" customHeight="1" s="165"/>
    <row r="965" ht="14.25" customHeight="1" s="165"/>
    <row r="966" ht="14.25" customHeight="1" s="165"/>
    <row r="967" ht="14.25" customHeight="1" s="165"/>
    <row r="968" ht="14.25" customHeight="1" s="165"/>
    <row r="969" ht="14.25" customHeight="1" s="165"/>
    <row r="970" ht="14.25" customHeight="1" s="165"/>
    <row r="971" ht="14.25" customHeight="1" s="165"/>
    <row r="972" ht="14.25" customHeight="1" s="165"/>
    <row r="973" ht="14.25" customHeight="1" s="165"/>
    <row r="974" ht="14.25" customHeight="1" s="165"/>
    <row r="975" ht="14.25" customHeight="1" s="165"/>
    <row r="976" ht="14.25" customHeight="1" s="165"/>
    <row r="977" ht="14.25" customHeight="1" s="165"/>
    <row r="978" ht="14.25" customHeight="1" s="165"/>
    <row r="979" ht="14.25" customHeight="1" s="165"/>
    <row r="980" ht="14.25" customHeight="1" s="165"/>
    <row r="981" ht="14.25" customHeight="1" s="165"/>
    <row r="982" ht="14.25" customHeight="1" s="165"/>
    <row r="983" ht="14.25" customHeight="1" s="165"/>
    <row r="984" ht="14.25" customHeight="1" s="165"/>
    <row r="985" ht="14.25" customHeight="1" s="165"/>
    <row r="986" ht="14.25" customHeight="1" s="165"/>
    <row r="987" ht="14.25" customHeight="1" s="165"/>
    <row r="988" ht="14.25" customHeight="1" s="165"/>
    <row r="989" ht="14.25" customHeight="1" s="165"/>
    <row r="990" ht="14.25" customHeight="1" s="165"/>
    <row r="991" ht="14.25" customHeight="1" s="165"/>
    <row r="992" ht="14.25" customHeight="1" s="165"/>
    <row r="993" ht="14.25" customHeight="1" s="165"/>
    <row r="994" ht="14.25" customHeight="1" s="165"/>
    <row r="995" ht="14.25" customHeight="1" s="165"/>
    <row r="996" ht="14.25" customHeight="1" s="165"/>
    <row r="997" ht="14.25" customHeight="1" s="165"/>
    <row r="998" ht="14.25" customHeight="1" s="165"/>
    <row r="999" ht="14.25" customHeight="1" s="165"/>
    <row r="1000" ht="14.25" customHeight="1" s="165"/>
    <row r="1001" ht="14.25" customHeight="1" s="165"/>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E47"/>
  <sheetViews>
    <sheetView topLeftCell="A41" workbookViewId="0">
      <selection activeCell="L4" sqref="L4"/>
    </sheetView>
  </sheetViews>
  <sheetFormatPr baseColWidth="10" defaultColWidth="8.7265625" defaultRowHeight="14.5"/>
  <cols>
    <col width="22" customWidth="1" style="165" min="1" max="1"/>
    <col width="28" customWidth="1" style="165" min="2" max="2"/>
    <col width="22" customWidth="1" style="165" min="3" max="4"/>
    <col width="60" customWidth="1" style="165" min="5" max="5"/>
  </cols>
  <sheetData>
    <row r="1" ht="40" customHeight="1" s="165">
      <c r="A1" s="166" t="inlineStr">
        <is>
          <t>LFL FINANCIAL PROJECTIONS — SZENARIO KONSERVATIV</t>
        </is>
      </c>
    </row>
    <row r="2" ht="20" customHeight="1" s="165">
      <c r="A2" s="169" t="inlineStr">
        <is>
          <t>Basis: 260304_LFL-Financial-Planning-and-Carbon-Case.pdf | Erstellt: 04.03.2026 23:13</t>
        </is>
      </c>
    </row>
    <row r="4" ht="15" customHeight="1" s="165">
      <c r="A4" s="173" t="inlineStr">
        <is>
          <t>HINTERGRUND</t>
        </is>
      </c>
    </row>
    <row r="5" ht="60" customHeight="1" s="165">
      <c r="A5" s="171"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43" t="inlineStr">
        <is>
          <t>Parameter</t>
        </is>
      </c>
      <c r="B7" s="43" t="inlineStr">
        <is>
          <t>Bezeichnung</t>
        </is>
      </c>
      <c r="C7" s="43" t="inlineStr">
        <is>
          <t>Baseline</t>
        </is>
      </c>
      <c r="D7" s="43" t="inlineStr">
        <is>
          <t>NEU (KONSERVATIV)</t>
        </is>
      </c>
      <c r="E7" s="43" t="inlineStr">
        <is>
          <t>Begründung / Zusammenhang</t>
        </is>
      </c>
    </row>
    <row r="8" ht="22" customHeight="1" s="165">
      <c r="A8" s="167" t="inlineStr">
        <is>
          <t>1. PREISGESTALTUNG — Konservative Positionierung</t>
        </is>
      </c>
    </row>
    <row r="9" ht="80" customHeight="1" s="165">
      <c r="A9" s="44" t="inlineStr">
        <is>
          <t>Sandbox D6</t>
        </is>
      </c>
      <c r="B9" s="45" t="inlineStr">
        <is>
          <t>Preis/Seat/Monat</t>
        </is>
      </c>
      <c r="C9" s="46" t="inlineStr">
        <is>
          <t>800 EUR (gering-Standard)</t>
        </is>
      </c>
      <c r="D9" s="47" t="inlineStr">
        <is>
          <t>200 EUR</t>
        </is>
      </c>
      <c r="E9" s="48"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165">
      <c r="A10" s="49" t="inlineStr">
        <is>
          <t>Inputs B21</t>
        </is>
      </c>
      <c r="B10" s="50" t="inlineStr">
        <is>
          <t>Preiserhöhung/Jahr</t>
        </is>
      </c>
      <c r="C10" s="51" t="inlineStr">
        <is>
          <t>8%</t>
        </is>
      </c>
      <c r="D10" s="47" t="inlineStr">
        <is>
          <t>5%</t>
        </is>
      </c>
      <c r="E10" s="52" t="inlineStr">
        <is>
          <t>Geringere jährliche Preissteigerung reflektiert schwächere Marktposition und Kundenwiderstand in der Frühphase. Packaging-Kunden (primärer Markt: 2.255 Unternehmen laut Rene) sind preissensitiv.</t>
        </is>
      </c>
    </row>
    <row r="11" ht="60" customHeight="1" s="165">
      <c r="A11" s="163" t="inlineStr">
        <is>
          <t>→ Auswirkung</t>
        </is>
      </c>
      <c r="B11" s="172" t="inlineStr">
        <is>
          <t>ARR pro Standardkunde (5 Seats): 200 EUR × 5 × 12 = 12.000 EUR/Jahr (vs. 21.000 EUR im PDF-Referenzpreis). Runway und Break-Even verschlechtern sich deutlich. Höheres Funding-Risiko.</t>
        </is>
      </c>
    </row>
    <row r="13" ht="22" customHeight="1" s="165">
      <c r="A13" s="167" t="inlineStr">
        <is>
          <t>2. KUNDEN-TIMING &amp; WACHSTUM — Langsame Marktdurchdringung</t>
        </is>
      </c>
    </row>
    <row r="14" ht="80" customHeight="1" s="165">
      <c r="A14" s="44" t="inlineStr">
        <is>
          <t>Sandbox D5</t>
        </is>
      </c>
      <c r="B14" s="45" t="inlineStr">
        <is>
          <t>Startmonat erste Kunden</t>
        </is>
      </c>
      <c r="C14" s="46" t="inlineStr">
        <is>
          <t>14</t>
        </is>
      </c>
      <c r="D14" s="47" t="inlineStr">
        <is>
          <t>17</t>
        </is>
      </c>
      <c r="E14" s="48"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165">
      <c r="A15" s="49" t="inlineStr">
        <is>
          <t>Inputs B23</t>
        </is>
      </c>
      <c r="B15" s="50" t="inlineStr">
        <is>
          <t>Initiale Seats</t>
        </is>
      </c>
      <c r="C15" s="51" t="inlineStr">
        <is>
          <t>5</t>
        </is>
      </c>
      <c r="D15" s="47" t="inlineStr">
        <is>
          <t>3</t>
        </is>
      </c>
      <c r="E15" s="52" t="inlineStr">
        <is>
          <t>PDF nennt 3-5 als Pre-Seed-Kundenzahl. Konservativ: 3 Piloten. Jeder Pilot mit 5 Seats = 15 Seats total.</t>
        </is>
      </c>
    </row>
    <row r="16" ht="80" customHeight="1" s="165">
      <c r="A16" s="44" t="inlineStr">
        <is>
          <t>Inputs B24</t>
        </is>
      </c>
      <c r="B16" s="45" t="inlineStr">
        <is>
          <t>Monatl. Seat-Wachstum</t>
        </is>
      </c>
      <c r="C16" s="46" t="inlineStr">
        <is>
          <t>5%</t>
        </is>
      </c>
      <c r="D16" s="47" t="inlineStr">
        <is>
          <t>3%</t>
        </is>
      </c>
      <c r="E16" s="48" t="inlineStr">
        <is>
          <t>Verlangsamtes Wachstum durch längere Sales-Zyklen (packaging/automotive lt. PDF: 'longer lead cycle in automotive'). 3% entspricht ca. 43% Jahreswachstum – konservativ aber realistisch für B2B-Manufacturing.</t>
        </is>
      </c>
    </row>
    <row r="17" ht="80" customHeight="1" s="165">
      <c r="A17" s="49" t="inlineStr">
        <is>
          <t>Inputs B25</t>
        </is>
      </c>
      <c r="B17" s="50" t="inlineStr">
        <is>
          <t>Enterprise-Deals ab Monat</t>
        </is>
      </c>
      <c r="C17" s="51" t="inlineStr">
        <is>
          <t>24</t>
        </is>
      </c>
      <c r="D17" s="47" t="inlineStr">
        <is>
          <t>30</t>
        </is>
      </c>
      <c r="E17" s="52" t="inlineStr">
        <is>
          <t>Enterprise-Deals starten erst nach Monat 30 – nach erstem erfolgreichen Track Record. PDF: deal_complexity höher als Standard, lead_cycle länger.</t>
        </is>
      </c>
    </row>
    <row r="18" ht="60" customHeight="1" s="165">
      <c r="A18" s="163" t="inlineStr">
        <is>
          <t>→ Auswirkung</t>
        </is>
      </c>
      <c r="B18" s="164" t="inlineStr">
        <is>
          <t>Seed-Ziel: 50-60 Kunden (PDF) → im Konservativ-Szenario realistisch 25-35 Kunden bis Monat 17-24. Gesamt-ARR M24: deutlich unter 500K EUR. Enterprise-Revenue startet erst ab M30.</t>
        </is>
      </c>
    </row>
    <row r="20" ht="22" customHeight="1" s="165">
      <c r="A20" s="167" t="inlineStr">
        <is>
          <t>3. CHURN &amp; KUNDENBINDUNG — Höheres Abwanderungsrisiko</t>
        </is>
      </c>
    </row>
    <row r="21" ht="80" customHeight="1" s="165">
      <c r="A21" s="44" t="inlineStr">
        <is>
          <t>Inputs B28</t>
        </is>
      </c>
      <c r="B21" s="45" t="inlineStr">
        <is>
          <t>Jährliche Churn Rate</t>
        </is>
      </c>
      <c r="C21" s="46" t="inlineStr">
        <is>
          <t>8%</t>
        </is>
      </c>
      <c r="D21" s="47" t="inlineStr">
        <is>
          <t>15%</t>
        </is>
      </c>
      <c r="E21" s="109"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165">
      <c r="A22" s="49" t="inlineStr">
        <is>
          <t>Inputs B29</t>
        </is>
      </c>
      <c r="B22" s="50" t="inlineStr">
        <is>
          <t>Net Revenue Retention</t>
        </is>
      </c>
      <c r="C22" s="51" t="inlineStr">
        <is>
          <t>118%</t>
        </is>
      </c>
      <c r="D22" s="47" t="inlineStr">
        <is>
          <t>105%</t>
        </is>
      </c>
      <c r="E22" s="52" t="inlineStr">
        <is>
          <t>Ohne starke Expansion durch Upsell oder neue Seats bleibt NRR knapp über 100%. PDF: Keine quantifizierten Upsell-Mechanismen – konservativ daher 105%.</t>
        </is>
      </c>
    </row>
    <row r="23" ht="60" customHeight="1" s="165">
      <c r="A23" s="163" t="inlineStr">
        <is>
          <t>→ Auswirkung</t>
        </is>
      </c>
      <c r="B23" s="164" t="inlineStr">
        <is>
          <t>ARR-Erosion durch Churn: Bei 100K ARR und 15% Churn verliert das Unternehmen 15K/Jahr. Ohne starkes Neuwachstum schrumpft der Revenue-Pool. NRR von 105% rettet knapp die Nettowachstum-Rate.</t>
        </is>
      </c>
    </row>
    <row r="25" ht="22" customHeight="1" s="165">
      <c r="A25" s="167" t="inlineStr">
        <is>
          <t>4. FUNDING — Konservative Kapitalstrategie</t>
        </is>
      </c>
    </row>
    <row r="26" ht="80" customHeight="1" s="165">
      <c r="A26" s="44" t="inlineStr">
        <is>
          <t>Inputs B12</t>
        </is>
      </c>
      <c r="B26" s="45" t="inlineStr">
        <is>
          <t>Pre-Seed Betrag</t>
        </is>
      </c>
      <c r="C26" s="46" t="inlineStr">
        <is>
          <t>1.500.000 EUR</t>
        </is>
      </c>
      <c r="D26" s="47" t="inlineStr">
        <is>
          <t>1.500.000 EUR</t>
        </is>
      </c>
      <c r="E26" s="109" t="inlineStr">
        <is>
          <t>PDF Lower End: 1,5M EUR. Im Konservativ-Szenario bleibt Pre-Seed beim Minimum. Runway: 12 Monate (Sept 2026 – Sept 2027). Reicht für MVP + 3-5 Pilotkunden.</t>
        </is>
      </c>
    </row>
    <row r="27" ht="80" customHeight="1" s="165">
      <c r="A27" s="49" t="inlineStr">
        <is>
          <t>Inputs B14</t>
        </is>
      </c>
      <c r="B27" s="50" t="inlineStr">
        <is>
          <t>Seed Betrag</t>
        </is>
      </c>
      <c r="C27" s="51" t="inlineStr">
        <is>
          <t>6.000.000 EUR</t>
        </is>
      </c>
      <c r="D27" s="47" t="inlineStr">
        <is>
          <t>4.000.000 EUR</t>
        </is>
      </c>
      <c r="E27" s="52" t="inlineStr">
        <is>
          <t>PDF Seed Lower End: 4M EUR. Konservativ, da langsameres Wachstum weniger Kapital verbraucht. Seed-Runway: 12 Monate (Sept 2027 – Sept 2028), für 50-60 Kunden.</t>
        </is>
      </c>
    </row>
    <row r="28" ht="80" customHeight="1" s="165">
      <c r="A28" s="44" t="inlineStr">
        <is>
          <t>Inputs B16</t>
        </is>
      </c>
      <c r="B28" s="45" t="inlineStr">
        <is>
          <t>Series A Betrag</t>
        </is>
      </c>
      <c r="C28" s="46" t="inlineStr">
        <is>
          <t>15.000.000 EUR</t>
        </is>
      </c>
      <c r="D28" s="47" t="inlineStr">
        <is>
          <t>10.000.000 EUR</t>
        </is>
      </c>
      <c r="E28" s="48" t="inlineStr">
        <is>
          <t>Reduzierte Series A durch geringeres Wachstumstempo. Schont Verwässerung.</t>
        </is>
      </c>
    </row>
    <row r="29" ht="80" customHeight="1" s="165">
      <c r="A29" s="49" t="inlineStr">
        <is>
          <t>Inputs B17</t>
        </is>
      </c>
      <c r="B29" s="50" t="inlineStr">
        <is>
          <t>Series A Monat</t>
        </is>
      </c>
      <c r="C29" s="51" t="inlineStr">
        <is>
          <t>35</t>
        </is>
      </c>
      <c r="D29" s="47" t="inlineStr">
        <is>
          <t>36</t>
        </is>
      </c>
      <c r="E29" s="52" t="inlineStr">
        <is>
          <t>Leicht später, da Meilensteine langsamer erreicht werden.</t>
        </is>
      </c>
    </row>
    <row r="30" ht="60" customHeight="1" s="165">
      <c r="A30" s="163" t="inlineStr">
        <is>
          <t>→ Auswirkung</t>
        </is>
      </c>
      <c r="B30" s="164" t="inlineStr">
        <is>
          <t>Gesamtfinanzierung: 15,5M EUR (vs. 23,5M im Aggressiv). Niedrigerer Cash-Verbrauch durch geringere Headcount- und Marketing-Ausgaben.</t>
        </is>
      </c>
    </row>
    <row r="32" ht="22" customHeight="1" s="165">
      <c r="A32" s="167" t="inlineStr">
        <is>
          <t>5. HEADCOUNT &amp; KI-HEBEL — Vollständige Personalplanung</t>
        </is>
      </c>
    </row>
    <row r="33" ht="80" customHeight="1" s="165">
      <c r="A33" s="44" t="inlineStr">
        <is>
          <t>Sandbox D10</t>
        </is>
      </c>
      <c r="B33" s="45" t="inlineStr">
        <is>
          <t>AI-Personal-Hebel</t>
        </is>
      </c>
      <c r="C33" s="46" t="inlineStr">
        <is>
          <t>0 Monate (Gering-Standard)</t>
        </is>
      </c>
      <c r="D33" s="47" t="inlineStr">
        <is>
          <t>0 Monate</t>
        </is>
      </c>
      <c r="E33" s="109"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165">
      <c r="A34" s="49" t="inlineStr">
        <is>
          <t>Inputs B44</t>
        </is>
      </c>
      <c r="B34" s="50" t="inlineStr">
        <is>
          <t>Jährl. Gehaltserhöhung</t>
        </is>
      </c>
      <c r="C34" s="51" t="inlineStr">
        <is>
          <t>5%</t>
        </is>
      </c>
      <c r="D34" s="47" t="inlineStr">
        <is>
          <t>3%</t>
        </is>
      </c>
      <c r="E34" s="52" t="inlineStr">
        <is>
          <t>Geringere Lohnsteigerung reflektiert konservatives Budget und weniger Wettbewerb um Talent im konservativen Szenario (kleineres Unternehmen, Berlin-Markt).</t>
        </is>
      </c>
    </row>
    <row r="35" ht="60" customHeight="1" s="165">
      <c r="A35" s="163" t="inlineStr">
        <is>
          <t>→ Auswirkung</t>
        </is>
      </c>
      <c r="B35" s="164"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165">
      <c r="A37" s="167" t="inlineStr">
        <is>
          <t>6. MARKETING &amp; SALES — Budgetdisziplin</t>
        </is>
      </c>
    </row>
    <row r="38" ht="80" customHeight="1" s="165">
      <c r="A38" s="44" t="inlineStr">
        <is>
          <t>Inputs B125</t>
        </is>
      </c>
      <c r="B38" s="45" t="inlineStr">
        <is>
          <t>Events &amp; Messen/Jahr</t>
        </is>
      </c>
      <c r="C38" s="46" t="inlineStr">
        <is>
          <t>25.000 EUR</t>
        </is>
      </c>
      <c r="D38" s="47" t="inlineStr">
        <is>
          <t>25.000 EUR</t>
        </is>
      </c>
      <c r="E38" s="109" t="inlineStr">
        <is>
          <t>PDF-Placeholder-Wert beibehalten. Rene betont: Industrie-Konferenzen &gt; Software-Konferenzen. 25K EUR als Baseline für 2-3 Packaging/Machinery-Konferenzen. Im Konservativ-Szenario kein Aufschlag.</t>
        </is>
      </c>
    </row>
    <row r="39" ht="80" customHeight="1" s="165">
      <c r="A39" s="49" t="inlineStr">
        <is>
          <t>Inputs B122</t>
        </is>
      </c>
      <c r="B39" s="50" t="inlineStr">
        <is>
          <t>Paid Ads Initial</t>
        </is>
      </c>
      <c r="C39" s="51" t="inlineStr">
        <is>
          <t>500 EUR/Monat</t>
        </is>
      </c>
      <c r="D39" s="47" t="inlineStr">
        <is>
          <t>300 EUR/Monat</t>
        </is>
      </c>
      <c r="E39" s="52" t="inlineStr">
        <is>
          <t>Geringeres Ads-Budget in der Validierungsphase. B2B-Manufacturing kauft nicht über Ads.</t>
        </is>
      </c>
    </row>
    <row r="40" ht="80" customHeight="1" s="165">
      <c r="A40" s="44" t="inlineStr">
        <is>
          <t>Inputs B127</t>
        </is>
      </c>
      <c r="B40" s="45" t="inlineStr">
        <is>
          <t>Sales-Provision</t>
        </is>
      </c>
      <c r="C40" s="46" t="inlineStr">
        <is>
          <t>10%</t>
        </is>
      </c>
      <c r="D40" s="47" t="inlineStr">
        <is>
          <t>8%</t>
        </is>
      </c>
      <c r="E40" s="48" t="inlineStr">
        <is>
          <t>Etwas geringere Provision, da weniger aggressives Sales-Ziel.</t>
        </is>
      </c>
    </row>
    <row r="41" ht="60" customHeight="1" s="165">
      <c r="A41" s="163" t="inlineStr">
        <is>
          <t>→ Auswirkung</t>
        </is>
      </c>
      <c r="B41" s="164" t="inlineStr">
        <is>
          <t>Total Marketing-Spend M1-M52: ~30-40% geringer als Aggressiv. GTM über Konferenzen (primary), Content (sekundär), POCs (Conversion).</t>
        </is>
      </c>
    </row>
    <row r="43" ht="20" customHeight="1" s="165">
      <c r="A43" s="174" t="inlineStr">
        <is>
          <t>VERGLEICH: KONSERVATIV vs. AGGRESSIV</t>
        </is>
      </c>
    </row>
    <row r="44" ht="300" customHeight="1" s="165">
      <c r="A44" s="175"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165">
      <c r="A46" s="168" t="inlineStr">
        <is>
          <t>OFFENE PUNKTE (aus PDF Decision Register Part G)</t>
        </is>
      </c>
    </row>
    <row r="47" ht="180" customHeight="1" s="165">
      <c r="A47" s="170"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46:E46"/>
    <mergeCell ref="A37:E37"/>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L4" sqref="L4"/>
    </sheetView>
  </sheetViews>
  <sheetFormatPr baseColWidth="10" defaultColWidth="8.7265625" defaultRowHeight="14.5"/>
  <cols>
    <col width="16" customWidth="1" style="165" min="1" max="1"/>
    <col width="28" customWidth="1" style="165" min="2" max="2"/>
    <col width="25" customWidth="1" style="165" min="3" max="3"/>
    <col width="35" customWidth="1" style="165" min="4" max="4"/>
    <col width="14" customWidth="1" style="165" min="5" max="5"/>
    <col width="40" customWidth="1" style="165" min="6" max="6"/>
  </cols>
  <sheetData>
    <row r="1" ht="28" customHeight="1" s="165">
      <c r="A1" s="176" t="inlineStr">
        <is>
          <t>LFL – Entwicklungs-Roadmap: Neue Treiber aus Treiber-Matrix (noch nicht modelliert)</t>
        </is>
      </c>
      <c r="B1" s="149" t="n"/>
      <c r="C1" s="149" t="n"/>
      <c r="D1" s="149" t="n"/>
      <c r="E1" s="149" t="n"/>
      <c r="F1" s="150" t="n"/>
    </row>
    <row r="2" ht="22" customHeight="1" s="165">
      <c r="A2" s="78" t="inlineStr">
        <is>
          <t>Kategorie</t>
        </is>
      </c>
      <c r="B2" s="78" t="inlineStr">
        <is>
          <t>Parameter / Treiber</t>
        </is>
      </c>
      <c r="C2" s="78" t="inlineStr">
        <is>
          <t>Mögliche Werte (G/N/S)</t>
        </is>
      </c>
      <c r="D2" s="78" t="inlineStr">
        <is>
          <t>Auswirkung</t>
        </is>
      </c>
      <c r="E2" s="78" t="inlineStr">
        <is>
          <t>Priorität</t>
        </is>
      </c>
      <c r="F2" s="78" t="inlineStr">
        <is>
          <t>Nächster Schritt</t>
        </is>
      </c>
    </row>
    <row r="3" ht="50" customHeight="1" s="165">
      <c r="A3" s="90" t="inlineStr">
        <is>
          <t>SaaS-Pricing</t>
        </is>
      </c>
      <c r="B3" s="90" t="inlineStr">
        <is>
          <t>Produkt-Tiers (Basic/Pro/Enterprise)</t>
        </is>
      </c>
      <c r="C3" s="90" t="inlineStr">
        <is>
          <t>Basic ~5K€/J | Pro ~12K€/J | Ent ~25K€/J</t>
        </is>
      </c>
      <c r="D3" s="90" t="inlineStr">
        <is>
          <t>Höhere Preisflexibilität, bessere Marktabdeckung → ARR ↑</t>
        </is>
      </c>
      <c r="E3" s="100" t="inlineStr">
        <is>
          <t>P1 HOCH</t>
        </is>
      </c>
      <c r="F3" s="90" t="inlineStr">
        <is>
          <t>Seat-Preis in Sandbox durch Tier-Verteilung ersetzen</t>
        </is>
      </c>
    </row>
    <row r="4" ht="50" customHeight="1" s="165">
      <c r="A4" s="101" t="inlineStr">
        <is>
          <t>SaaS-Umsatz</t>
        </is>
      </c>
      <c r="B4" s="101" t="inlineStr">
        <is>
          <t>NRR-Varianten (bereits integriert!)</t>
        </is>
      </c>
      <c r="C4" s="101" t="inlineStr">
        <is>
          <t>Gering=105% | Normal=115% | Stark=130%</t>
        </is>
      </c>
      <c r="D4" s="101" t="inlineStr">
        <is>
          <t>✓ In v6 implementiert — Sandbox Z.13 / Szenarien Z.9</t>
        </is>
      </c>
      <c r="E4" s="102" t="inlineStr">
        <is>
          <t>✓ ERLEDIGT</t>
        </is>
      </c>
      <c r="F4" s="101" t="inlineStr">
        <is>
          <t>—</t>
        </is>
      </c>
    </row>
    <row r="5" ht="50" customHeight="1" s="165">
      <c r="A5" s="90" t="inlineStr">
        <is>
          <t>SaaS-Umsatz</t>
        </is>
      </c>
      <c r="B5" s="90" t="inlineStr">
        <is>
          <t>Churn-Varianten (bereits integriert!)</t>
        </is>
      </c>
      <c r="C5" s="90" t="inlineStr">
        <is>
          <t>Gering=10% | Normal=6% | Stark=3%</t>
        </is>
      </c>
      <c r="D5" s="90" t="inlineStr">
        <is>
          <t>✓ In v6 implementiert — Sandbox Z.14 / Szenarien Z.10</t>
        </is>
      </c>
      <c r="E5" s="102" t="inlineStr">
        <is>
          <t>✓ ERLEDIGT</t>
        </is>
      </c>
      <c r="F5" s="90" t="inlineStr">
        <is>
          <t>—</t>
        </is>
      </c>
    </row>
    <row r="6" ht="50" customHeight="1" s="165">
      <c r="A6" s="101" t="inlineStr">
        <is>
          <t>Marktexpansion</t>
        </is>
      </c>
      <c r="B6" s="101" t="inlineStr">
        <is>
          <t>Internationalisierung</t>
        </is>
      </c>
      <c r="C6" s="101" t="inlineStr">
        <is>
          <t>Keine | EU Y2 | US Y3</t>
        </is>
      </c>
      <c r="D6" s="101" t="inlineStr">
        <is>
          <t>Multiplikator auf Kundenwachstum ab definiertem Monat → ARR ↑↑</t>
        </is>
      </c>
      <c r="E6" s="103" t="inlineStr">
        <is>
          <t>P2 MITTEL</t>
        </is>
      </c>
      <c r="F6" s="101" t="inlineStr">
        <is>
          <t>Revenue: Multiplikator-Zeile ab Monat X; Inputs: Expansion-Startmonat</t>
        </is>
      </c>
    </row>
    <row r="7" ht="50" customHeight="1" s="165">
      <c r="A7" s="90" t="inlineStr">
        <is>
          <t>Personal</t>
        </is>
      </c>
      <c r="B7" s="90" t="inlineStr">
        <is>
          <t>Gehaltsniveau-Faktor</t>
        </is>
      </c>
      <c r="C7" s="90" t="inlineStr">
        <is>
          <t>85% | 100% | 115% des Markts</t>
        </is>
      </c>
      <c r="D7" s="90" t="inlineStr">
        <is>
          <t>Direkter Hebel auf gesamte Personalkostenbasis → EBITDA ±</t>
        </is>
      </c>
      <c r="E7" s="103" t="inlineStr">
        <is>
          <t>P2 MITTEL</t>
        </is>
      </c>
      <c r="F7" s="90" t="inlineStr">
        <is>
          <t>Inputs: Faktor auf alle Gehälter in Einstellungsplan</t>
        </is>
      </c>
    </row>
    <row r="8" ht="50" customHeight="1" s="165">
      <c r="A8" s="101" t="inlineStr">
        <is>
          <t>Büro/Facilities</t>
        </is>
      </c>
      <c r="B8" s="101" t="inlineStr">
        <is>
          <t>Remote-Work-Strategie</t>
        </is>
      </c>
      <c r="C8" s="101" t="inlineStr">
        <is>
          <t>Office-First | Hybrid | Full-Remote</t>
        </is>
      </c>
      <c r="D8" s="101" t="inlineStr">
        <is>
          <t>Büromiete 0–4.500€/Monat → Burn Rate ↓ bei Remote</t>
        </is>
      </c>
      <c r="E8" s="104" t="inlineStr">
        <is>
          <t>P3 NIEDRIG</t>
        </is>
      </c>
      <c r="F8" s="101" t="inlineStr">
        <is>
          <t>Inputs: Büromiete durch Strategie-Faktor (0/0.5/1.0) steuern</t>
        </is>
      </c>
    </row>
    <row r="9" ht="50" customHeight="1" s="165">
      <c r="A9" s="90" t="inlineStr">
        <is>
          <t>Technologie</t>
        </is>
      </c>
      <c r="B9" s="90" t="inlineStr">
        <is>
          <t>Technologie-Stack-Strategie</t>
        </is>
      </c>
      <c r="C9" s="90" t="inlineStr">
        <is>
          <t>Open-Source -40% | Proprietär | Multi-Provider +15%</t>
        </is>
      </c>
      <c r="D9" s="90" t="inlineStr">
        <is>
          <t>AI/ML-API-Kosten direkt → COGS Margin ±</t>
        </is>
      </c>
      <c r="E9" s="103" t="inlineStr">
        <is>
          <t>P2 MITTEL</t>
        </is>
      </c>
      <c r="F9" s="90" t="inlineStr">
        <is>
          <t>Sandbox: Stack-Faktor auf AI/ML APIs Basis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2026-03-10T21:44:46Z</dcterms:modified>
  <cp:lastModifiedBy>Olaf Pick</cp:lastModifiedBy>
</cp:coreProperties>
</file>