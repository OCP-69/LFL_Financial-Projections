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olafp\Desktop\Arbeitsordner\260205_LFL_Financial Projections\Template Claude Code\"/>
    </mc:Choice>
  </mc:AlternateContent>
  <xr:revisionPtr revIDLastSave="0" documentId="13_ncr:1_{841F6C61-4C93-4F44-92D5-9DE4E01A6916}" xr6:coauthVersionLast="47" xr6:coauthVersionMax="47" xr10:uidLastSave="{00000000-0000-0000-0000-000000000000}"/>
  <bookViews>
    <workbookView xWindow="-110" yWindow="-110" windowWidth="25820" windowHeight="15500" xr2:uid="{00000000-000D-0000-FFFF-FFFF00000000}"/>
  </bookViews>
  <sheets>
    <sheet name="Anleitung" sheetId="1" r:id="rId1"/>
    <sheet name="Inputs" sheetId="2" r:id="rId2"/>
    <sheet name="P&amp;L" sheetId="3" r:id="rId3"/>
    <sheet name="Revenue" sheetId="4" r:id="rId4"/>
    <sheet name="Costs" sheetId="5" r:id="rId5"/>
    <sheet name="Balance Sheet" sheetId="6" r:id="rId6"/>
    <sheet name="Cash Flow"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5" l="1"/>
  <c r="B7" i="5"/>
  <c r="B8" i="5"/>
  <c r="B9" i="5"/>
  <c r="B10" i="5"/>
  <c r="B11" i="5"/>
  <c r="B12" i="5"/>
  <c r="B13" i="5"/>
  <c r="B14" i="5"/>
  <c r="B15" i="5"/>
  <c r="B16" i="5"/>
  <c r="B17" i="5"/>
  <c r="B18" i="5"/>
  <c r="B38" i="5" s="1"/>
  <c r="B19" i="5"/>
  <c r="B20" i="5"/>
  <c r="B21" i="5"/>
  <c r="B22" i="5"/>
  <c r="B23" i="5"/>
  <c r="B24" i="5"/>
  <c r="B25" i="5"/>
  <c r="B26" i="5"/>
  <c r="B27" i="5"/>
  <c r="B28" i="5"/>
  <c r="B29" i="5"/>
  <c r="B30" i="5"/>
  <c r="B31" i="5"/>
  <c r="B32" i="5"/>
  <c r="B33" i="5"/>
  <c r="B34" i="5"/>
  <c r="B35" i="5"/>
  <c r="B36" i="5"/>
  <c r="B37" i="5"/>
  <c r="B41" i="5"/>
  <c r="B42" i="5"/>
  <c r="C13" i="3"/>
  <c r="D13" i="3"/>
  <c r="E13" i="3"/>
  <c r="F13" i="3"/>
  <c r="G13" i="3"/>
  <c r="H13" i="3"/>
  <c r="I13" i="3"/>
  <c r="J13" i="3"/>
  <c r="K13" i="3"/>
  <c r="L13" i="3"/>
  <c r="M13" i="3"/>
  <c r="N13" i="3"/>
  <c r="O13" i="3"/>
  <c r="P13" i="3"/>
  <c r="Q13" i="3"/>
  <c r="R13" i="3"/>
  <c r="S13" i="3"/>
  <c r="T13" i="3"/>
  <c r="U13" i="3"/>
  <c r="V13" i="3"/>
  <c r="W13" i="3"/>
  <c r="X13" i="3"/>
  <c r="Y13" i="3"/>
  <c r="Z13" i="3"/>
  <c r="AA13" i="3"/>
  <c r="AB13" i="3"/>
  <c r="AC13" i="3"/>
  <c r="AD13" i="3"/>
  <c r="AE13" i="3"/>
  <c r="AF13" i="3"/>
  <c r="AG13" i="3"/>
  <c r="AH13" i="3"/>
  <c r="AI13" i="3"/>
  <c r="AJ13" i="3"/>
  <c r="AK13" i="3"/>
  <c r="AL13" i="3"/>
  <c r="AM13" i="3"/>
  <c r="AN13" i="3"/>
  <c r="AO13" i="3"/>
  <c r="AP13" i="3"/>
  <c r="AQ13" i="3"/>
  <c r="AR13" i="3"/>
  <c r="AS13" i="3"/>
  <c r="AT13" i="3"/>
  <c r="AU13" i="3"/>
  <c r="AV13" i="3"/>
  <c r="AW13" i="3"/>
  <c r="AX13" i="3"/>
  <c r="AY13" i="3"/>
  <c r="AZ13" i="3"/>
  <c r="BA13" i="3"/>
  <c r="B13" i="3"/>
  <c r="P15" i="4"/>
  <c r="O43" i="5"/>
  <c r="BA15" i="7" l="1"/>
  <c r="BA16" i="7" s="1"/>
  <c r="AZ15" i="7"/>
  <c r="AZ16" i="7" s="1"/>
  <c r="AY15" i="7"/>
  <c r="AY16" i="7" s="1"/>
  <c r="AX15" i="7"/>
  <c r="AX16" i="7" s="1"/>
  <c r="AW15" i="7"/>
  <c r="AW16" i="7" s="1"/>
  <c r="AV15" i="7"/>
  <c r="AV16" i="7" s="1"/>
  <c r="AU15" i="7"/>
  <c r="AU16" i="7" s="1"/>
  <c r="AT15" i="7"/>
  <c r="AT16" i="7" s="1"/>
  <c r="AS15" i="7"/>
  <c r="AS16" i="7" s="1"/>
  <c r="AR15" i="7"/>
  <c r="AR16" i="7" s="1"/>
  <c r="AQ15" i="7"/>
  <c r="AQ16" i="7" s="1"/>
  <c r="AP15" i="7"/>
  <c r="AP16" i="7" s="1"/>
  <c r="AO15" i="7"/>
  <c r="AO16" i="7" s="1"/>
  <c r="AN15" i="7"/>
  <c r="AN16" i="7" s="1"/>
  <c r="AM15" i="7"/>
  <c r="AM16" i="7" s="1"/>
  <c r="AL15" i="7"/>
  <c r="AL16" i="7" s="1"/>
  <c r="AK15" i="7"/>
  <c r="AK16" i="7" s="1"/>
  <c r="AJ15" i="7"/>
  <c r="AJ16" i="7" s="1"/>
  <c r="AI15" i="7"/>
  <c r="AI16" i="7" s="1"/>
  <c r="AH15" i="7"/>
  <c r="AH16" i="7" s="1"/>
  <c r="AG15" i="7"/>
  <c r="AG16" i="7" s="1"/>
  <c r="AF15" i="7"/>
  <c r="AF16" i="7" s="1"/>
  <c r="AE15" i="7"/>
  <c r="AE16" i="7" s="1"/>
  <c r="AD15" i="7"/>
  <c r="AD16" i="7" s="1"/>
  <c r="AC15" i="7"/>
  <c r="AC16" i="7" s="1"/>
  <c r="AB15" i="7"/>
  <c r="AB16" i="7" s="1"/>
  <c r="AA15" i="7"/>
  <c r="AA16" i="7" s="1"/>
  <c r="Z15" i="7"/>
  <c r="Z16" i="7" s="1"/>
  <c r="Y15" i="7"/>
  <c r="Y16" i="7" s="1"/>
  <c r="X15" i="7"/>
  <c r="X16" i="7" s="1"/>
  <c r="W15" i="7"/>
  <c r="W16" i="7" s="1"/>
  <c r="V15" i="7"/>
  <c r="V16" i="7" s="1"/>
  <c r="U15" i="7"/>
  <c r="U16" i="7" s="1"/>
  <c r="T15" i="7"/>
  <c r="T16" i="7" s="1"/>
  <c r="S15" i="7"/>
  <c r="S16" i="7" s="1"/>
  <c r="R15" i="7"/>
  <c r="R16" i="7" s="1"/>
  <c r="Q15" i="7"/>
  <c r="Q16" i="7" s="1"/>
  <c r="P15" i="7"/>
  <c r="P16" i="7" s="1"/>
  <c r="O15" i="7"/>
  <c r="O16" i="7" s="1"/>
  <c r="N15" i="7"/>
  <c r="N16" i="7" s="1"/>
  <c r="M15" i="7"/>
  <c r="M16" i="7" s="1"/>
  <c r="L15" i="7"/>
  <c r="L16" i="7" s="1"/>
  <c r="K15" i="7"/>
  <c r="K16" i="7" s="1"/>
  <c r="J15" i="7"/>
  <c r="J16" i="7" s="1"/>
  <c r="I15" i="7"/>
  <c r="I16" i="7" s="1"/>
  <c r="H15" i="7"/>
  <c r="H16" i="7" s="1"/>
  <c r="G15" i="7"/>
  <c r="G16" i="7" s="1"/>
  <c r="F15" i="7"/>
  <c r="F16" i="7" s="1"/>
  <c r="E15" i="7"/>
  <c r="E16" i="7" s="1"/>
  <c r="D15" i="7"/>
  <c r="D16" i="7" s="1"/>
  <c r="C15" i="7"/>
  <c r="C16" i="7" s="1"/>
  <c r="B15" i="7"/>
  <c r="B16" i="7" s="1"/>
  <c r="B19" i="6"/>
  <c r="BA124" i="5"/>
  <c r="AZ124" i="5"/>
  <c r="AY124" i="5"/>
  <c r="AX124" i="5"/>
  <c r="AW124" i="5"/>
  <c r="AV124" i="5"/>
  <c r="AU124" i="5"/>
  <c r="AT124" i="5"/>
  <c r="AS124" i="5"/>
  <c r="AR124" i="5"/>
  <c r="AQ124" i="5"/>
  <c r="AP124" i="5"/>
  <c r="AO124" i="5"/>
  <c r="AN124" i="5"/>
  <c r="AM124" i="5"/>
  <c r="AL124" i="5"/>
  <c r="AK124" i="5"/>
  <c r="AJ124" i="5"/>
  <c r="AI124" i="5"/>
  <c r="AH124" i="5"/>
  <c r="AG124" i="5"/>
  <c r="AF124" i="5"/>
  <c r="AE124" i="5"/>
  <c r="AD124" i="5"/>
  <c r="AC124" i="5"/>
  <c r="AB124" i="5"/>
  <c r="AA124" i="5"/>
  <c r="Z124" i="5"/>
  <c r="Y124" i="5"/>
  <c r="X124" i="5"/>
  <c r="W124" i="5"/>
  <c r="V124" i="5"/>
  <c r="U124" i="5"/>
  <c r="T124" i="5"/>
  <c r="S124" i="5"/>
  <c r="R124" i="5"/>
  <c r="Q124" i="5"/>
  <c r="P124" i="5"/>
  <c r="O124" i="5"/>
  <c r="N124" i="5"/>
  <c r="M124" i="5"/>
  <c r="L124" i="5"/>
  <c r="K124" i="5"/>
  <c r="J124" i="5"/>
  <c r="I124" i="5"/>
  <c r="H124" i="5"/>
  <c r="G124" i="5"/>
  <c r="F124" i="5"/>
  <c r="E124" i="5"/>
  <c r="D124" i="5"/>
  <c r="C124" i="5"/>
  <c r="B124" i="5"/>
  <c r="BA114" i="5"/>
  <c r="AZ114" i="5"/>
  <c r="AY114" i="5"/>
  <c r="AX114" i="5"/>
  <c r="AW114" i="5"/>
  <c r="AV114" i="5"/>
  <c r="AU114" i="5"/>
  <c r="AT114" i="5"/>
  <c r="AS114" i="5"/>
  <c r="AR114" i="5"/>
  <c r="AQ114" i="5"/>
  <c r="AP114" i="5"/>
  <c r="AO114" i="5"/>
  <c r="AN114" i="5"/>
  <c r="AM114" i="5"/>
  <c r="AL114" i="5"/>
  <c r="AK114" i="5"/>
  <c r="AJ114" i="5"/>
  <c r="AI114" i="5"/>
  <c r="AH114" i="5"/>
  <c r="AG114" i="5"/>
  <c r="AF114" i="5"/>
  <c r="AE114" i="5"/>
  <c r="AD114" i="5"/>
  <c r="AC114" i="5"/>
  <c r="AB114" i="5"/>
  <c r="AA114" i="5"/>
  <c r="Z114" i="5"/>
  <c r="Y114" i="5"/>
  <c r="X114" i="5"/>
  <c r="W114" i="5"/>
  <c r="V114" i="5"/>
  <c r="U114" i="5"/>
  <c r="T114" i="5"/>
  <c r="S114" i="5"/>
  <c r="R114" i="5"/>
  <c r="Q114" i="5"/>
  <c r="P114" i="5"/>
  <c r="O114" i="5"/>
  <c r="N114" i="5"/>
  <c r="M114" i="5"/>
  <c r="L114" i="5"/>
  <c r="K114" i="5"/>
  <c r="J114" i="5"/>
  <c r="I114" i="5"/>
  <c r="H114" i="5"/>
  <c r="G114" i="5"/>
  <c r="F114" i="5"/>
  <c r="E114" i="5"/>
  <c r="D114" i="5"/>
  <c r="C114" i="5"/>
  <c r="B114" i="5"/>
  <c r="BA113" i="5"/>
  <c r="AZ113" i="5"/>
  <c r="AY113" i="5"/>
  <c r="AX113" i="5"/>
  <c r="AW113" i="5"/>
  <c r="AV113" i="5"/>
  <c r="AU113" i="5"/>
  <c r="AT113" i="5"/>
  <c r="AS113" i="5"/>
  <c r="AR113" i="5"/>
  <c r="AQ113" i="5"/>
  <c r="AP113" i="5"/>
  <c r="AO113" i="5"/>
  <c r="AN113" i="5"/>
  <c r="AM113" i="5"/>
  <c r="AL113" i="5"/>
  <c r="AK113" i="5"/>
  <c r="AJ113" i="5"/>
  <c r="AI113" i="5"/>
  <c r="AH113" i="5"/>
  <c r="AG113" i="5"/>
  <c r="AF113" i="5"/>
  <c r="AE113" i="5"/>
  <c r="AD113" i="5"/>
  <c r="AC113" i="5"/>
  <c r="AB113" i="5"/>
  <c r="AA113" i="5"/>
  <c r="Z113" i="5"/>
  <c r="Y113" i="5"/>
  <c r="X113" i="5"/>
  <c r="W113" i="5"/>
  <c r="V113" i="5"/>
  <c r="U113" i="5"/>
  <c r="T113" i="5"/>
  <c r="S113" i="5"/>
  <c r="R113" i="5"/>
  <c r="Q113" i="5"/>
  <c r="P113" i="5"/>
  <c r="O113" i="5"/>
  <c r="N113" i="5"/>
  <c r="M113" i="5"/>
  <c r="L113" i="5"/>
  <c r="K113" i="5"/>
  <c r="J113" i="5"/>
  <c r="I113" i="5"/>
  <c r="H113" i="5"/>
  <c r="G113" i="5"/>
  <c r="F113" i="5"/>
  <c r="E113" i="5"/>
  <c r="D113" i="5"/>
  <c r="C113" i="5"/>
  <c r="B113" i="5"/>
  <c r="BA112" i="5"/>
  <c r="AZ112" i="5"/>
  <c r="AY112" i="5"/>
  <c r="AX112" i="5"/>
  <c r="AW112" i="5"/>
  <c r="AV112" i="5"/>
  <c r="AU112" i="5"/>
  <c r="AT112" i="5"/>
  <c r="AS112" i="5"/>
  <c r="AR112" i="5"/>
  <c r="AQ112" i="5"/>
  <c r="AP112" i="5"/>
  <c r="AO112" i="5"/>
  <c r="AN112" i="5"/>
  <c r="AM112" i="5"/>
  <c r="AL112" i="5"/>
  <c r="AK112" i="5"/>
  <c r="AJ112" i="5"/>
  <c r="AI112" i="5"/>
  <c r="AH112" i="5"/>
  <c r="AG112" i="5"/>
  <c r="AF112" i="5"/>
  <c r="AE112" i="5"/>
  <c r="AD112" i="5"/>
  <c r="AC112" i="5"/>
  <c r="AB112" i="5"/>
  <c r="AA112" i="5"/>
  <c r="Z112" i="5"/>
  <c r="Y112" i="5"/>
  <c r="X112" i="5"/>
  <c r="W112" i="5"/>
  <c r="V112" i="5"/>
  <c r="U112" i="5"/>
  <c r="T112" i="5"/>
  <c r="S112" i="5"/>
  <c r="R112" i="5"/>
  <c r="Q112" i="5"/>
  <c r="P112" i="5"/>
  <c r="O112" i="5"/>
  <c r="N112" i="5"/>
  <c r="M112" i="5"/>
  <c r="L112" i="5"/>
  <c r="K112" i="5"/>
  <c r="J112" i="5"/>
  <c r="I112" i="5"/>
  <c r="H112" i="5"/>
  <c r="G112" i="5"/>
  <c r="F112" i="5"/>
  <c r="E112" i="5"/>
  <c r="D112" i="5"/>
  <c r="C112" i="5"/>
  <c r="B112" i="5"/>
  <c r="BA111" i="5"/>
  <c r="AZ111" i="5"/>
  <c r="AY111" i="5"/>
  <c r="AX111" i="5"/>
  <c r="AW111" i="5"/>
  <c r="AV111" i="5"/>
  <c r="AU111" i="5"/>
  <c r="AT111" i="5"/>
  <c r="AS111" i="5"/>
  <c r="AR111" i="5"/>
  <c r="AQ111" i="5"/>
  <c r="AP111" i="5"/>
  <c r="AO111" i="5"/>
  <c r="AN111" i="5"/>
  <c r="AM111" i="5"/>
  <c r="AL111" i="5"/>
  <c r="AK111" i="5"/>
  <c r="AJ111" i="5"/>
  <c r="AI111" i="5"/>
  <c r="AH111" i="5"/>
  <c r="AG111" i="5"/>
  <c r="AF111" i="5"/>
  <c r="AE111" i="5"/>
  <c r="AD111" i="5"/>
  <c r="AC111" i="5"/>
  <c r="AB111" i="5"/>
  <c r="AA111" i="5"/>
  <c r="Z111" i="5"/>
  <c r="Y111" i="5"/>
  <c r="X111" i="5"/>
  <c r="W111" i="5"/>
  <c r="V111" i="5"/>
  <c r="U111" i="5"/>
  <c r="T111" i="5"/>
  <c r="S111" i="5"/>
  <c r="R111" i="5"/>
  <c r="Q111" i="5"/>
  <c r="P111" i="5"/>
  <c r="O111" i="5"/>
  <c r="N111" i="5"/>
  <c r="M111" i="5"/>
  <c r="L111" i="5"/>
  <c r="K111" i="5"/>
  <c r="J111" i="5"/>
  <c r="I111" i="5"/>
  <c r="H111" i="5"/>
  <c r="G111" i="5"/>
  <c r="F111" i="5"/>
  <c r="E111" i="5"/>
  <c r="D111" i="5"/>
  <c r="C111" i="5"/>
  <c r="B111" i="5"/>
  <c r="BA107" i="5"/>
  <c r="AZ107" i="5"/>
  <c r="AY107" i="5"/>
  <c r="AX107" i="5"/>
  <c r="AW107" i="5"/>
  <c r="AV107" i="5"/>
  <c r="AU107" i="5"/>
  <c r="AT107" i="5"/>
  <c r="AS107" i="5"/>
  <c r="AR107" i="5"/>
  <c r="AQ107" i="5"/>
  <c r="AP107" i="5"/>
  <c r="AO107" i="5"/>
  <c r="AN107" i="5"/>
  <c r="AM107" i="5"/>
  <c r="AL107" i="5"/>
  <c r="AK107" i="5"/>
  <c r="AJ107" i="5"/>
  <c r="AI107" i="5"/>
  <c r="AH107" i="5"/>
  <c r="AG107" i="5"/>
  <c r="AF107" i="5"/>
  <c r="AE107" i="5"/>
  <c r="AD107" i="5"/>
  <c r="AC107" i="5"/>
  <c r="AB107" i="5"/>
  <c r="AA107" i="5"/>
  <c r="Z107" i="5"/>
  <c r="Y107" i="5"/>
  <c r="X107" i="5"/>
  <c r="W107" i="5"/>
  <c r="V107" i="5"/>
  <c r="U107" i="5"/>
  <c r="T107" i="5"/>
  <c r="S107" i="5"/>
  <c r="R107" i="5"/>
  <c r="Q107" i="5"/>
  <c r="P107" i="5"/>
  <c r="O107" i="5"/>
  <c r="N107" i="5"/>
  <c r="M107" i="5"/>
  <c r="L107" i="5"/>
  <c r="K107" i="5"/>
  <c r="J107" i="5"/>
  <c r="I107" i="5"/>
  <c r="H107" i="5"/>
  <c r="G107" i="5"/>
  <c r="F107" i="5"/>
  <c r="E107" i="5"/>
  <c r="D107" i="5"/>
  <c r="C107" i="5"/>
  <c r="B107" i="5"/>
  <c r="BA106" i="5"/>
  <c r="AZ106" i="5"/>
  <c r="AY106" i="5"/>
  <c r="AX106" i="5"/>
  <c r="AW106" i="5"/>
  <c r="AV106" i="5"/>
  <c r="AU106" i="5"/>
  <c r="AT106" i="5"/>
  <c r="AS106" i="5"/>
  <c r="AR106" i="5"/>
  <c r="AQ106" i="5"/>
  <c r="AP106" i="5"/>
  <c r="AO106" i="5"/>
  <c r="AN106" i="5"/>
  <c r="AM106" i="5"/>
  <c r="AL106" i="5"/>
  <c r="AK106" i="5"/>
  <c r="AJ106" i="5"/>
  <c r="AI106" i="5"/>
  <c r="AH106" i="5"/>
  <c r="AG106" i="5"/>
  <c r="AF106" i="5"/>
  <c r="AE106" i="5"/>
  <c r="AD106" i="5"/>
  <c r="AC106" i="5"/>
  <c r="AB106" i="5"/>
  <c r="AA106" i="5"/>
  <c r="Z106" i="5"/>
  <c r="Y106" i="5"/>
  <c r="X106" i="5"/>
  <c r="W106" i="5"/>
  <c r="V106" i="5"/>
  <c r="U106" i="5"/>
  <c r="T106" i="5"/>
  <c r="S106" i="5"/>
  <c r="R106" i="5"/>
  <c r="Q106" i="5"/>
  <c r="P106" i="5"/>
  <c r="O106" i="5"/>
  <c r="N106" i="5"/>
  <c r="N108" i="5" s="1"/>
  <c r="N23" i="3" s="1"/>
  <c r="M106" i="5"/>
  <c r="M108" i="5" s="1"/>
  <c r="M23" i="3" s="1"/>
  <c r="L106" i="5"/>
  <c r="L108" i="5" s="1"/>
  <c r="L23" i="3" s="1"/>
  <c r="K106" i="5"/>
  <c r="K108" i="5" s="1"/>
  <c r="K23" i="3" s="1"/>
  <c r="J106" i="5"/>
  <c r="I106" i="5"/>
  <c r="H106" i="5"/>
  <c r="G106" i="5"/>
  <c r="F106" i="5"/>
  <c r="E106" i="5"/>
  <c r="D106" i="5"/>
  <c r="C106" i="5"/>
  <c r="B106" i="5"/>
  <c r="BA105" i="5"/>
  <c r="AZ105" i="5"/>
  <c r="AY105" i="5"/>
  <c r="AX105" i="5"/>
  <c r="AW105" i="5"/>
  <c r="AV105" i="5"/>
  <c r="AU105" i="5"/>
  <c r="AT105" i="5"/>
  <c r="AS105" i="5"/>
  <c r="AR105" i="5"/>
  <c r="AQ105" i="5"/>
  <c r="AP105" i="5"/>
  <c r="AP108" i="5" s="1"/>
  <c r="AP23" i="3" s="1"/>
  <c r="AO105" i="5"/>
  <c r="AO108" i="5" s="1"/>
  <c r="AO23" i="3" s="1"/>
  <c r="AN105" i="5"/>
  <c r="AN108" i="5" s="1"/>
  <c r="AN23" i="3" s="1"/>
  <c r="AM105" i="5"/>
  <c r="AM108" i="5" s="1"/>
  <c r="AM23" i="3" s="1"/>
  <c r="AL105" i="5"/>
  <c r="AK105" i="5"/>
  <c r="AJ105" i="5"/>
  <c r="AI105" i="5"/>
  <c r="AH105" i="5"/>
  <c r="AG105" i="5"/>
  <c r="AF105" i="5"/>
  <c r="AE105" i="5"/>
  <c r="AD105" i="5"/>
  <c r="AC105" i="5"/>
  <c r="AB105" i="5"/>
  <c r="AA105" i="5"/>
  <c r="Z105" i="5"/>
  <c r="Y105" i="5"/>
  <c r="X105" i="5"/>
  <c r="W105" i="5"/>
  <c r="V105" i="5"/>
  <c r="U105" i="5"/>
  <c r="T105" i="5"/>
  <c r="S105" i="5"/>
  <c r="R105" i="5"/>
  <c r="Q105" i="5"/>
  <c r="P105" i="5"/>
  <c r="O105" i="5"/>
  <c r="N105" i="5"/>
  <c r="M105" i="5"/>
  <c r="L105" i="5"/>
  <c r="K105" i="5"/>
  <c r="J105" i="5"/>
  <c r="I105" i="5"/>
  <c r="H105" i="5"/>
  <c r="G105" i="5"/>
  <c r="F105" i="5"/>
  <c r="E105" i="5"/>
  <c r="D105" i="5"/>
  <c r="C105" i="5"/>
  <c r="B105" i="5"/>
  <c r="BA104" i="5"/>
  <c r="AZ104" i="5"/>
  <c r="AY104" i="5"/>
  <c r="AX104" i="5"/>
  <c r="AW104" i="5"/>
  <c r="AV104" i="5"/>
  <c r="AU104" i="5"/>
  <c r="AT104" i="5"/>
  <c r="AS104" i="5"/>
  <c r="AR104" i="5"/>
  <c r="AQ104" i="5"/>
  <c r="AP104" i="5"/>
  <c r="AO104" i="5"/>
  <c r="AN104" i="5"/>
  <c r="AM104" i="5"/>
  <c r="AL104" i="5"/>
  <c r="AK104" i="5"/>
  <c r="AJ104" i="5"/>
  <c r="AI104" i="5"/>
  <c r="AH104" i="5"/>
  <c r="AG104" i="5"/>
  <c r="AF104" i="5"/>
  <c r="AE104" i="5"/>
  <c r="AD104" i="5"/>
  <c r="AC104" i="5"/>
  <c r="AB104" i="5"/>
  <c r="AA104" i="5"/>
  <c r="Z104" i="5"/>
  <c r="Y104" i="5"/>
  <c r="X104" i="5"/>
  <c r="W104" i="5"/>
  <c r="V104" i="5"/>
  <c r="U104" i="5"/>
  <c r="T104" i="5"/>
  <c r="S104" i="5"/>
  <c r="R104" i="5"/>
  <c r="Q104" i="5"/>
  <c r="P104" i="5"/>
  <c r="O104" i="5"/>
  <c r="N104" i="5"/>
  <c r="M104" i="5"/>
  <c r="L104" i="5"/>
  <c r="K104" i="5"/>
  <c r="J104" i="5"/>
  <c r="I104" i="5"/>
  <c r="H104" i="5"/>
  <c r="G104" i="5"/>
  <c r="F104" i="5"/>
  <c r="E104" i="5"/>
  <c r="D104" i="5"/>
  <c r="C104" i="5"/>
  <c r="B104" i="5"/>
  <c r="BA100" i="5"/>
  <c r="AZ100" i="5"/>
  <c r="AY100" i="5"/>
  <c r="AX100" i="5"/>
  <c r="AW100" i="5"/>
  <c r="AV100" i="5"/>
  <c r="AU100" i="5"/>
  <c r="AT100" i="5"/>
  <c r="AS100" i="5"/>
  <c r="AR100" i="5"/>
  <c r="AQ100" i="5"/>
  <c r="AP100" i="5"/>
  <c r="AO100" i="5"/>
  <c r="AN100" i="5"/>
  <c r="AM100" i="5"/>
  <c r="AL100" i="5"/>
  <c r="AK100" i="5"/>
  <c r="AJ100" i="5"/>
  <c r="AI100" i="5"/>
  <c r="AH100" i="5"/>
  <c r="AG100" i="5"/>
  <c r="AF100" i="5"/>
  <c r="AE100" i="5"/>
  <c r="AD100" i="5"/>
  <c r="AC100" i="5"/>
  <c r="AB100" i="5"/>
  <c r="AA100" i="5"/>
  <c r="Z100" i="5"/>
  <c r="Y100" i="5"/>
  <c r="X100" i="5"/>
  <c r="W100" i="5"/>
  <c r="V100" i="5"/>
  <c r="U100" i="5"/>
  <c r="T100" i="5"/>
  <c r="S100" i="5"/>
  <c r="R100" i="5"/>
  <c r="Q100" i="5"/>
  <c r="P100" i="5"/>
  <c r="O100" i="5"/>
  <c r="N100" i="5"/>
  <c r="M100" i="5"/>
  <c r="L100" i="5"/>
  <c r="K100" i="5"/>
  <c r="J100" i="5"/>
  <c r="I100" i="5"/>
  <c r="H100" i="5"/>
  <c r="G100" i="5"/>
  <c r="F100" i="5"/>
  <c r="E100" i="5"/>
  <c r="D100" i="5"/>
  <c r="C100" i="5"/>
  <c r="B100" i="5"/>
  <c r="BA99" i="5"/>
  <c r="AZ99" i="5"/>
  <c r="AY99" i="5"/>
  <c r="AX99" i="5"/>
  <c r="AW99" i="5"/>
  <c r="AV99" i="5"/>
  <c r="AU99" i="5"/>
  <c r="AT99" i="5"/>
  <c r="AS99" i="5"/>
  <c r="AR99" i="5"/>
  <c r="AQ99" i="5"/>
  <c r="AP99" i="5"/>
  <c r="AO99" i="5"/>
  <c r="AN99" i="5"/>
  <c r="AM99" i="5"/>
  <c r="AL99" i="5"/>
  <c r="AK99" i="5"/>
  <c r="AJ99" i="5"/>
  <c r="AI99" i="5"/>
  <c r="AH99" i="5"/>
  <c r="AG99" i="5"/>
  <c r="AF99" i="5"/>
  <c r="AE99" i="5"/>
  <c r="AD99" i="5"/>
  <c r="AC99" i="5"/>
  <c r="AB99" i="5"/>
  <c r="AA99" i="5"/>
  <c r="Z99" i="5"/>
  <c r="Y99" i="5"/>
  <c r="X99" i="5"/>
  <c r="W99" i="5"/>
  <c r="V99" i="5"/>
  <c r="U99" i="5"/>
  <c r="T99" i="5"/>
  <c r="S99" i="5"/>
  <c r="R99" i="5"/>
  <c r="Q99" i="5"/>
  <c r="P99" i="5"/>
  <c r="O99" i="5"/>
  <c r="N99" i="5"/>
  <c r="M99" i="5"/>
  <c r="L99" i="5"/>
  <c r="K99" i="5"/>
  <c r="J99" i="5"/>
  <c r="I99" i="5"/>
  <c r="H99" i="5"/>
  <c r="G99" i="5"/>
  <c r="F99" i="5"/>
  <c r="E99" i="5"/>
  <c r="D99" i="5"/>
  <c r="C99" i="5"/>
  <c r="B99" i="5"/>
  <c r="BA98" i="5"/>
  <c r="AZ98" i="5"/>
  <c r="AY98" i="5"/>
  <c r="AX98" i="5"/>
  <c r="AW98" i="5"/>
  <c r="AV98" i="5"/>
  <c r="AU98" i="5"/>
  <c r="AT98" i="5"/>
  <c r="AS98" i="5"/>
  <c r="AR98" i="5"/>
  <c r="AQ98" i="5"/>
  <c r="AP98" i="5"/>
  <c r="AO98" i="5"/>
  <c r="AN98" i="5"/>
  <c r="AM98" i="5"/>
  <c r="AL98" i="5"/>
  <c r="AK98" i="5"/>
  <c r="AJ98" i="5"/>
  <c r="AI98" i="5"/>
  <c r="AH98" i="5"/>
  <c r="AG98" i="5"/>
  <c r="AF98" i="5"/>
  <c r="AE98" i="5"/>
  <c r="AD98" i="5"/>
  <c r="AC98" i="5"/>
  <c r="AB98" i="5"/>
  <c r="AA98" i="5"/>
  <c r="Z98" i="5"/>
  <c r="Y98" i="5"/>
  <c r="X98" i="5"/>
  <c r="W98" i="5"/>
  <c r="V98" i="5"/>
  <c r="U98" i="5"/>
  <c r="T98" i="5"/>
  <c r="S98" i="5"/>
  <c r="R98" i="5"/>
  <c r="Q98" i="5"/>
  <c r="P98" i="5"/>
  <c r="O98" i="5"/>
  <c r="N98" i="5"/>
  <c r="M98" i="5"/>
  <c r="L98" i="5"/>
  <c r="K98" i="5"/>
  <c r="J98" i="5"/>
  <c r="I98" i="5"/>
  <c r="H98" i="5"/>
  <c r="G98" i="5"/>
  <c r="F98" i="5"/>
  <c r="E98" i="5"/>
  <c r="D98" i="5"/>
  <c r="C98" i="5"/>
  <c r="B98" i="5"/>
  <c r="BA97" i="5"/>
  <c r="AZ97" i="5"/>
  <c r="AY97" i="5"/>
  <c r="AX97" i="5"/>
  <c r="AW97" i="5"/>
  <c r="AV97" i="5"/>
  <c r="AU97" i="5"/>
  <c r="AT97" i="5"/>
  <c r="AT101" i="5" s="1"/>
  <c r="AT22" i="3" s="1"/>
  <c r="AS97" i="5"/>
  <c r="AS101" i="5" s="1"/>
  <c r="AS22" i="3" s="1"/>
  <c r="AR97" i="5"/>
  <c r="AR101" i="5" s="1"/>
  <c r="AR22" i="3" s="1"/>
  <c r="AQ97" i="5"/>
  <c r="AQ101" i="5" s="1"/>
  <c r="AQ22" i="3" s="1"/>
  <c r="AP97" i="5"/>
  <c r="AP101" i="5" s="1"/>
  <c r="AP22" i="3" s="1"/>
  <c r="AO97" i="5"/>
  <c r="AO101" i="5" s="1"/>
  <c r="AO22" i="3" s="1"/>
  <c r="AN97" i="5"/>
  <c r="AN101" i="5" s="1"/>
  <c r="AN22" i="3" s="1"/>
  <c r="AM97" i="5"/>
  <c r="AM101" i="5" s="1"/>
  <c r="AM22" i="3" s="1"/>
  <c r="AL97" i="5"/>
  <c r="AL101" i="5" s="1"/>
  <c r="AL22" i="3" s="1"/>
  <c r="AK97" i="5"/>
  <c r="AK101" i="5" s="1"/>
  <c r="AK22" i="3" s="1"/>
  <c r="AJ97" i="5"/>
  <c r="AJ101" i="5" s="1"/>
  <c r="AJ22" i="3" s="1"/>
  <c r="AI97" i="5"/>
  <c r="AI101" i="5" s="1"/>
  <c r="AI22" i="3" s="1"/>
  <c r="AH97" i="5"/>
  <c r="AG97" i="5"/>
  <c r="AF97" i="5"/>
  <c r="AE97" i="5"/>
  <c r="AD97" i="5"/>
  <c r="AC97" i="5"/>
  <c r="AB97" i="5"/>
  <c r="AA97" i="5"/>
  <c r="Z97" i="5"/>
  <c r="Y97" i="5"/>
  <c r="X97" i="5"/>
  <c r="W97" i="5"/>
  <c r="V97" i="5"/>
  <c r="U97" i="5"/>
  <c r="T97" i="5"/>
  <c r="S97" i="5"/>
  <c r="R97" i="5"/>
  <c r="R101" i="5" s="1"/>
  <c r="R22" i="3" s="1"/>
  <c r="Q97" i="5"/>
  <c r="Q101" i="5" s="1"/>
  <c r="Q22" i="3" s="1"/>
  <c r="P97" i="5"/>
  <c r="P101" i="5" s="1"/>
  <c r="P22" i="3" s="1"/>
  <c r="O97" i="5"/>
  <c r="O101" i="5" s="1"/>
  <c r="O22" i="3" s="1"/>
  <c r="N97" i="5"/>
  <c r="N101" i="5" s="1"/>
  <c r="N22" i="3" s="1"/>
  <c r="M97" i="5"/>
  <c r="M101" i="5" s="1"/>
  <c r="M22" i="3" s="1"/>
  <c r="L97" i="5"/>
  <c r="L101" i="5" s="1"/>
  <c r="L22" i="3" s="1"/>
  <c r="K97" i="5"/>
  <c r="K101" i="5" s="1"/>
  <c r="K22" i="3" s="1"/>
  <c r="J97" i="5"/>
  <c r="I97" i="5"/>
  <c r="H97" i="5"/>
  <c r="G97" i="5"/>
  <c r="F97" i="5"/>
  <c r="E97" i="5"/>
  <c r="D97" i="5"/>
  <c r="C97" i="5"/>
  <c r="B97" i="5"/>
  <c r="BA92" i="5"/>
  <c r="AZ92" i="5"/>
  <c r="AY92" i="5"/>
  <c r="AX92" i="5"/>
  <c r="AW92" i="5"/>
  <c r="AV92" i="5"/>
  <c r="AU92" i="5"/>
  <c r="AT92" i="5"/>
  <c r="AS92" i="5"/>
  <c r="AR92" i="5"/>
  <c r="AQ92" i="5"/>
  <c r="AP92" i="5"/>
  <c r="AO92" i="5"/>
  <c r="AN92" i="5"/>
  <c r="AM92" i="5"/>
  <c r="AL92" i="5"/>
  <c r="AK92" i="5"/>
  <c r="AJ92" i="5"/>
  <c r="AI92" i="5"/>
  <c r="AH92" i="5"/>
  <c r="AG92" i="5"/>
  <c r="AF92" i="5"/>
  <c r="AE92" i="5"/>
  <c r="AD92" i="5"/>
  <c r="AC92" i="5"/>
  <c r="AB92" i="5"/>
  <c r="AA92" i="5"/>
  <c r="Z92" i="5"/>
  <c r="Y92" i="5"/>
  <c r="X92" i="5"/>
  <c r="W92" i="5"/>
  <c r="V92" i="5"/>
  <c r="U92" i="5"/>
  <c r="T92" i="5"/>
  <c r="S92" i="5"/>
  <c r="R92" i="5"/>
  <c r="Q92" i="5"/>
  <c r="P92" i="5"/>
  <c r="O92" i="5"/>
  <c r="N92" i="5"/>
  <c r="M92" i="5"/>
  <c r="L92" i="5"/>
  <c r="K92" i="5"/>
  <c r="J92" i="5"/>
  <c r="I92" i="5"/>
  <c r="H92" i="5"/>
  <c r="G92" i="5"/>
  <c r="F92" i="5"/>
  <c r="E92" i="5"/>
  <c r="D92" i="5"/>
  <c r="C92" i="5"/>
  <c r="B92" i="5"/>
  <c r="BA91" i="5"/>
  <c r="AZ91" i="5"/>
  <c r="AY91" i="5"/>
  <c r="AX91" i="5"/>
  <c r="AW91" i="5"/>
  <c r="AV91" i="5"/>
  <c r="AU91" i="5"/>
  <c r="AT91" i="5"/>
  <c r="AS91" i="5"/>
  <c r="AR91" i="5"/>
  <c r="AQ91" i="5"/>
  <c r="AP91" i="5"/>
  <c r="AO91" i="5"/>
  <c r="AN91" i="5"/>
  <c r="AM91" i="5"/>
  <c r="AL91" i="5"/>
  <c r="AK91" i="5"/>
  <c r="AJ91" i="5"/>
  <c r="AI91" i="5"/>
  <c r="AH91" i="5"/>
  <c r="AG91" i="5"/>
  <c r="AF91" i="5"/>
  <c r="AE91" i="5"/>
  <c r="AD91" i="5"/>
  <c r="AC91" i="5"/>
  <c r="AB91" i="5"/>
  <c r="AA91" i="5"/>
  <c r="Z91" i="5"/>
  <c r="Y91" i="5"/>
  <c r="X91" i="5"/>
  <c r="W91" i="5"/>
  <c r="V91" i="5"/>
  <c r="U91" i="5"/>
  <c r="T91" i="5"/>
  <c r="S91" i="5"/>
  <c r="R91" i="5"/>
  <c r="Q91" i="5"/>
  <c r="P91" i="5"/>
  <c r="O91" i="5"/>
  <c r="N91" i="5"/>
  <c r="M91" i="5"/>
  <c r="L91" i="5"/>
  <c r="K91" i="5"/>
  <c r="J91" i="5"/>
  <c r="I91" i="5"/>
  <c r="H91" i="5"/>
  <c r="G91" i="5"/>
  <c r="F91" i="5"/>
  <c r="E91" i="5"/>
  <c r="D91" i="5"/>
  <c r="C91" i="5"/>
  <c r="B91" i="5"/>
  <c r="BA90" i="5"/>
  <c r="AZ90" i="5"/>
  <c r="AY90" i="5"/>
  <c r="AX90" i="5"/>
  <c r="AW90" i="5"/>
  <c r="AV90" i="5"/>
  <c r="AU90" i="5"/>
  <c r="AT90" i="5"/>
  <c r="AS90" i="5"/>
  <c r="AR90" i="5"/>
  <c r="AQ90" i="5"/>
  <c r="AP90" i="5"/>
  <c r="AO90" i="5"/>
  <c r="AN90" i="5"/>
  <c r="AM90" i="5"/>
  <c r="AL90" i="5"/>
  <c r="AK90" i="5"/>
  <c r="AJ90" i="5"/>
  <c r="AI90" i="5"/>
  <c r="AH90" i="5"/>
  <c r="AG90" i="5"/>
  <c r="AF90" i="5"/>
  <c r="AE90" i="5"/>
  <c r="AD90" i="5"/>
  <c r="AC90" i="5"/>
  <c r="AB90" i="5"/>
  <c r="AA90" i="5"/>
  <c r="Z90" i="5"/>
  <c r="Y90" i="5"/>
  <c r="X90" i="5"/>
  <c r="W90" i="5"/>
  <c r="V90" i="5"/>
  <c r="U90" i="5"/>
  <c r="T90" i="5"/>
  <c r="S90" i="5"/>
  <c r="R90" i="5"/>
  <c r="Q90" i="5"/>
  <c r="P90" i="5"/>
  <c r="O90" i="5"/>
  <c r="N90" i="5"/>
  <c r="M90" i="5"/>
  <c r="L90" i="5"/>
  <c r="K90" i="5"/>
  <c r="J90" i="5"/>
  <c r="I90" i="5"/>
  <c r="H90" i="5"/>
  <c r="G90" i="5"/>
  <c r="F90" i="5"/>
  <c r="E90" i="5"/>
  <c r="D90" i="5"/>
  <c r="C90" i="5"/>
  <c r="B90" i="5"/>
  <c r="BA86" i="5"/>
  <c r="AZ86" i="5"/>
  <c r="AY86" i="5"/>
  <c r="AX86" i="5"/>
  <c r="AW86" i="5"/>
  <c r="AV86" i="5"/>
  <c r="AU86" i="5"/>
  <c r="AT86" i="5"/>
  <c r="AS86" i="5"/>
  <c r="AR86" i="5"/>
  <c r="AQ86" i="5"/>
  <c r="AP86" i="5"/>
  <c r="AO86" i="5"/>
  <c r="AN86" i="5"/>
  <c r="AM86" i="5"/>
  <c r="AL86" i="5"/>
  <c r="AK86" i="5"/>
  <c r="AJ86" i="5"/>
  <c r="AI86" i="5"/>
  <c r="AH86" i="5"/>
  <c r="AG86" i="5"/>
  <c r="AF86" i="5"/>
  <c r="AE86" i="5"/>
  <c r="AD86" i="5"/>
  <c r="AC86" i="5"/>
  <c r="AB86" i="5"/>
  <c r="AA86" i="5"/>
  <c r="Z86" i="5"/>
  <c r="Y86" i="5"/>
  <c r="X86" i="5"/>
  <c r="W86" i="5"/>
  <c r="V86" i="5"/>
  <c r="U86" i="5"/>
  <c r="T86" i="5"/>
  <c r="S86" i="5"/>
  <c r="R86" i="5"/>
  <c r="Q86" i="5"/>
  <c r="P86" i="5"/>
  <c r="O86" i="5"/>
  <c r="N86" i="5"/>
  <c r="M86" i="5"/>
  <c r="L86" i="5"/>
  <c r="K86" i="5"/>
  <c r="J86" i="5"/>
  <c r="I86" i="5"/>
  <c r="H86" i="5"/>
  <c r="G86" i="5"/>
  <c r="F86" i="5"/>
  <c r="E86" i="5"/>
  <c r="D86" i="5"/>
  <c r="C86" i="5"/>
  <c r="B86" i="5"/>
  <c r="BA85" i="5"/>
  <c r="AZ85" i="5"/>
  <c r="AY85" i="5"/>
  <c r="AX85" i="5"/>
  <c r="AW85" i="5"/>
  <c r="AV85" i="5"/>
  <c r="AU85" i="5"/>
  <c r="AT85" i="5"/>
  <c r="AS85" i="5"/>
  <c r="AR85" i="5"/>
  <c r="AQ85" i="5"/>
  <c r="AP85" i="5"/>
  <c r="AO85" i="5"/>
  <c r="AN85" i="5"/>
  <c r="AM85" i="5"/>
  <c r="AL85" i="5"/>
  <c r="AK85" i="5"/>
  <c r="AJ85" i="5"/>
  <c r="AI85" i="5"/>
  <c r="AH85" i="5"/>
  <c r="AG85" i="5"/>
  <c r="AF85" i="5"/>
  <c r="AE85" i="5"/>
  <c r="AD85" i="5"/>
  <c r="AC85" i="5"/>
  <c r="AB85" i="5"/>
  <c r="AA85" i="5"/>
  <c r="Z85" i="5"/>
  <c r="Y85" i="5"/>
  <c r="X85" i="5"/>
  <c r="W85" i="5"/>
  <c r="V85" i="5"/>
  <c r="U85" i="5"/>
  <c r="T85" i="5"/>
  <c r="S85" i="5"/>
  <c r="R85" i="5"/>
  <c r="Q85" i="5"/>
  <c r="P85" i="5"/>
  <c r="O85" i="5"/>
  <c r="N85" i="5"/>
  <c r="M85" i="5"/>
  <c r="L85" i="5"/>
  <c r="K85" i="5"/>
  <c r="J85" i="5"/>
  <c r="I85" i="5"/>
  <c r="H85" i="5"/>
  <c r="G85" i="5"/>
  <c r="F85" i="5"/>
  <c r="E85" i="5"/>
  <c r="D85" i="5"/>
  <c r="C85" i="5"/>
  <c r="B85" i="5"/>
  <c r="BA83" i="5"/>
  <c r="BA11" i="3" s="1"/>
  <c r="AZ83" i="5"/>
  <c r="AZ11" i="3" s="1"/>
  <c r="AY83" i="5"/>
  <c r="AY11" i="3" s="1"/>
  <c r="AX83" i="5"/>
  <c r="AX11" i="3" s="1"/>
  <c r="AW83" i="5"/>
  <c r="AW11" i="3" s="1"/>
  <c r="AV83" i="5"/>
  <c r="AV11" i="3" s="1"/>
  <c r="AU83" i="5"/>
  <c r="AU11" i="3" s="1"/>
  <c r="AT83" i="5"/>
  <c r="AT11" i="3" s="1"/>
  <c r="AS83" i="5"/>
  <c r="AS11" i="3" s="1"/>
  <c r="AR83" i="5"/>
  <c r="AR11" i="3" s="1"/>
  <c r="AQ83" i="5"/>
  <c r="AQ11" i="3" s="1"/>
  <c r="AP83" i="5"/>
  <c r="AP11" i="3" s="1"/>
  <c r="AO83" i="5"/>
  <c r="AO11" i="3" s="1"/>
  <c r="AN83" i="5"/>
  <c r="AN11" i="3" s="1"/>
  <c r="AM83" i="5"/>
  <c r="AM11" i="3" s="1"/>
  <c r="AL83" i="5"/>
  <c r="AL11" i="3" s="1"/>
  <c r="AK83" i="5"/>
  <c r="AK11" i="3" s="1"/>
  <c r="AJ83" i="5"/>
  <c r="AJ11" i="3" s="1"/>
  <c r="AI83" i="5"/>
  <c r="AI11" i="3" s="1"/>
  <c r="AH83" i="5"/>
  <c r="AH11" i="3" s="1"/>
  <c r="AG83" i="5"/>
  <c r="AG11" i="3" s="1"/>
  <c r="AF83" i="5"/>
  <c r="AF11" i="3" s="1"/>
  <c r="AE83" i="5"/>
  <c r="AE11" i="3" s="1"/>
  <c r="AD83" i="5"/>
  <c r="AD11" i="3" s="1"/>
  <c r="AC83" i="5"/>
  <c r="AC11" i="3" s="1"/>
  <c r="AB83" i="5"/>
  <c r="AB11" i="3" s="1"/>
  <c r="AA83" i="5"/>
  <c r="AA11" i="3" s="1"/>
  <c r="Z83" i="5"/>
  <c r="Z11" i="3" s="1"/>
  <c r="Y83" i="5"/>
  <c r="Y11" i="3" s="1"/>
  <c r="X83" i="5"/>
  <c r="X11" i="3" s="1"/>
  <c r="W83" i="5"/>
  <c r="W11" i="3" s="1"/>
  <c r="V83" i="5"/>
  <c r="V11" i="3" s="1"/>
  <c r="U83" i="5"/>
  <c r="U11" i="3" s="1"/>
  <c r="T83" i="5"/>
  <c r="T11" i="3" s="1"/>
  <c r="S83" i="5"/>
  <c r="S11" i="3" s="1"/>
  <c r="R83" i="5"/>
  <c r="R11" i="3" s="1"/>
  <c r="Q83" i="5"/>
  <c r="Q11" i="3" s="1"/>
  <c r="P83" i="5"/>
  <c r="P11" i="3" s="1"/>
  <c r="O83" i="5"/>
  <c r="O11" i="3" s="1"/>
  <c r="N83" i="5"/>
  <c r="N11" i="3" s="1"/>
  <c r="M83" i="5"/>
  <c r="M11" i="3" s="1"/>
  <c r="L83" i="5"/>
  <c r="L11" i="3" s="1"/>
  <c r="K83" i="5"/>
  <c r="K11" i="3" s="1"/>
  <c r="J83" i="5"/>
  <c r="J11" i="3" s="1"/>
  <c r="I83" i="5"/>
  <c r="I11" i="3" s="1"/>
  <c r="H83" i="5"/>
  <c r="H11" i="3" s="1"/>
  <c r="G83" i="5"/>
  <c r="G11" i="3" s="1"/>
  <c r="F83" i="5"/>
  <c r="F11" i="3" s="1"/>
  <c r="E83" i="5"/>
  <c r="E11" i="3" s="1"/>
  <c r="D83" i="5"/>
  <c r="D11" i="3" s="1"/>
  <c r="C83" i="5"/>
  <c r="C11" i="3" s="1"/>
  <c r="B83" i="5"/>
  <c r="B11" i="3" s="1"/>
  <c r="BA81" i="5"/>
  <c r="AZ81" i="5"/>
  <c r="AY81" i="5"/>
  <c r="AX81" i="5"/>
  <c r="AW81" i="5"/>
  <c r="AV81" i="5"/>
  <c r="AU81" i="5"/>
  <c r="AT81" i="5"/>
  <c r="AS81" i="5"/>
  <c r="AR81" i="5"/>
  <c r="AQ81" i="5"/>
  <c r="AP81" i="5"/>
  <c r="AO81" i="5"/>
  <c r="AN81" i="5"/>
  <c r="AM81" i="5"/>
  <c r="AL81" i="5"/>
  <c r="AK81" i="5"/>
  <c r="AJ81" i="5"/>
  <c r="AI81" i="5"/>
  <c r="AH81" i="5"/>
  <c r="AG81" i="5"/>
  <c r="AF81" i="5"/>
  <c r="AE81" i="5"/>
  <c r="AD81" i="5"/>
  <c r="AC81" i="5"/>
  <c r="AB81" i="5"/>
  <c r="AA81" i="5"/>
  <c r="Z81" i="5"/>
  <c r="Y81" i="5"/>
  <c r="X81" i="5"/>
  <c r="W81" i="5"/>
  <c r="V81" i="5"/>
  <c r="U81" i="5"/>
  <c r="T81" i="5"/>
  <c r="S81" i="5"/>
  <c r="R81" i="5"/>
  <c r="Q81" i="5"/>
  <c r="P81" i="5"/>
  <c r="O81" i="5"/>
  <c r="N81" i="5"/>
  <c r="M81" i="5"/>
  <c r="L81" i="5"/>
  <c r="K81" i="5"/>
  <c r="J81" i="5"/>
  <c r="I81" i="5"/>
  <c r="H81" i="5"/>
  <c r="G81" i="5"/>
  <c r="F81" i="5"/>
  <c r="E81" i="5"/>
  <c r="D81" i="5"/>
  <c r="C81" i="5"/>
  <c r="B81" i="5"/>
  <c r="BA43" i="5"/>
  <c r="AZ43" i="5"/>
  <c r="AY43" i="5"/>
  <c r="AX43" i="5"/>
  <c r="AW43" i="5"/>
  <c r="AV43" i="5"/>
  <c r="AU43" i="5"/>
  <c r="AT43" i="5"/>
  <c r="AS43" i="5"/>
  <c r="AR43" i="5"/>
  <c r="AQ43" i="5"/>
  <c r="AP43" i="5"/>
  <c r="AO43" i="5"/>
  <c r="AN43" i="5"/>
  <c r="AM43" i="5"/>
  <c r="AL43" i="5"/>
  <c r="AK43" i="5"/>
  <c r="AJ43" i="5"/>
  <c r="AI43" i="5"/>
  <c r="AH43" i="5"/>
  <c r="AG43" i="5"/>
  <c r="AF43" i="5"/>
  <c r="AE43" i="5"/>
  <c r="AD43" i="5"/>
  <c r="AC43" i="5"/>
  <c r="AB43" i="5"/>
  <c r="AA43" i="5"/>
  <c r="Z43" i="5"/>
  <c r="Y43" i="5"/>
  <c r="X43" i="5"/>
  <c r="W43" i="5"/>
  <c r="V43" i="5"/>
  <c r="U43" i="5"/>
  <c r="T43" i="5"/>
  <c r="S43" i="5"/>
  <c r="R43" i="5"/>
  <c r="Q43" i="5"/>
  <c r="P43" i="5"/>
  <c r="N43" i="5"/>
  <c r="M43" i="5"/>
  <c r="L43" i="5"/>
  <c r="K43" i="5"/>
  <c r="J43" i="5"/>
  <c r="I43" i="5"/>
  <c r="H43" i="5"/>
  <c r="G43" i="5"/>
  <c r="F43" i="5"/>
  <c r="E43" i="5"/>
  <c r="D43" i="5"/>
  <c r="C43" i="5"/>
  <c r="B43" i="5"/>
  <c r="BA42" i="5"/>
  <c r="AZ42" i="5"/>
  <c r="AY42" i="5"/>
  <c r="AX42" i="5"/>
  <c r="AW42" i="5"/>
  <c r="AV42" i="5"/>
  <c r="AU42" i="5"/>
  <c r="AT42" i="5"/>
  <c r="AS42" i="5"/>
  <c r="AR42" i="5"/>
  <c r="AQ42" i="5"/>
  <c r="AP42" i="5"/>
  <c r="AO42" i="5"/>
  <c r="AN42" i="5"/>
  <c r="AM42" i="5"/>
  <c r="AL42" i="5"/>
  <c r="AK42" i="5"/>
  <c r="AJ42" i="5"/>
  <c r="AI42" i="5"/>
  <c r="AH42" i="5"/>
  <c r="AG42" i="5"/>
  <c r="AF42" i="5"/>
  <c r="AE42" i="5"/>
  <c r="AD42" i="5"/>
  <c r="AC42" i="5"/>
  <c r="AB42" i="5"/>
  <c r="AA42" i="5"/>
  <c r="Z42" i="5"/>
  <c r="Y42" i="5"/>
  <c r="X42" i="5"/>
  <c r="W42" i="5"/>
  <c r="V42" i="5"/>
  <c r="U42" i="5"/>
  <c r="T42" i="5"/>
  <c r="S42" i="5"/>
  <c r="R42" i="5"/>
  <c r="Q42" i="5"/>
  <c r="P42" i="5"/>
  <c r="O42" i="5"/>
  <c r="N42" i="5"/>
  <c r="M42" i="5"/>
  <c r="L42" i="5"/>
  <c r="K42" i="5"/>
  <c r="J42" i="5"/>
  <c r="I42" i="5"/>
  <c r="H42" i="5"/>
  <c r="G42" i="5"/>
  <c r="F42" i="5"/>
  <c r="E42" i="5"/>
  <c r="D42" i="5"/>
  <c r="C42" i="5"/>
  <c r="BA41" i="5"/>
  <c r="AZ41" i="5"/>
  <c r="AY41" i="5"/>
  <c r="AX41" i="5"/>
  <c r="AW41" i="5"/>
  <c r="AV41" i="5"/>
  <c r="AU41" i="5"/>
  <c r="AT41" i="5"/>
  <c r="AS41" i="5"/>
  <c r="AR41" i="5"/>
  <c r="AQ41" i="5"/>
  <c r="AP41" i="5"/>
  <c r="AO41" i="5"/>
  <c r="AN41" i="5"/>
  <c r="AM41" i="5"/>
  <c r="AL41" i="5"/>
  <c r="AK41" i="5"/>
  <c r="AJ41" i="5"/>
  <c r="AI41" i="5"/>
  <c r="AH41" i="5"/>
  <c r="AG41" i="5"/>
  <c r="AF41" i="5"/>
  <c r="AE41" i="5"/>
  <c r="AD41" i="5"/>
  <c r="AC41" i="5"/>
  <c r="AB41" i="5"/>
  <c r="AA41" i="5"/>
  <c r="Z41" i="5"/>
  <c r="Y41" i="5"/>
  <c r="X41" i="5"/>
  <c r="W41" i="5"/>
  <c r="V41" i="5"/>
  <c r="U41" i="5"/>
  <c r="T41" i="5"/>
  <c r="S41" i="5"/>
  <c r="R41" i="5"/>
  <c r="Q41" i="5"/>
  <c r="P41" i="5"/>
  <c r="O41" i="5"/>
  <c r="N41" i="5"/>
  <c r="M41" i="5"/>
  <c r="L41" i="5"/>
  <c r="K41" i="5"/>
  <c r="J41" i="5"/>
  <c r="I41" i="5"/>
  <c r="H41" i="5"/>
  <c r="G41" i="5"/>
  <c r="F41" i="5"/>
  <c r="E41" i="5"/>
  <c r="D41" i="5"/>
  <c r="C41" i="5"/>
  <c r="BA37" i="5"/>
  <c r="BA75" i="5" s="1"/>
  <c r="AZ37" i="5"/>
  <c r="AZ75" i="5" s="1"/>
  <c r="AY37" i="5"/>
  <c r="AY75" i="5" s="1"/>
  <c r="AX37" i="5"/>
  <c r="AX75" i="5" s="1"/>
  <c r="AW37" i="5"/>
  <c r="AW75" i="5" s="1"/>
  <c r="AV37" i="5"/>
  <c r="AV75" i="5" s="1"/>
  <c r="AU37" i="5"/>
  <c r="AU75" i="5" s="1"/>
  <c r="AT37" i="5"/>
  <c r="AT75" i="5" s="1"/>
  <c r="AS37" i="5"/>
  <c r="AS75" i="5" s="1"/>
  <c r="AR37" i="5"/>
  <c r="AR75" i="5" s="1"/>
  <c r="AQ37" i="5"/>
  <c r="AQ75" i="5" s="1"/>
  <c r="AP37" i="5"/>
  <c r="AP75" i="5" s="1"/>
  <c r="AO37" i="5"/>
  <c r="AO75" i="5" s="1"/>
  <c r="AN37" i="5"/>
  <c r="AN75" i="5" s="1"/>
  <c r="AM37" i="5"/>
  <c r="AM75" i="5" s="1"/>
  <c r="AL37" i="5"/>
  <c r="AL75" i="5" s="1"/>
  <c r="AK37" i="5"/>
  <c r="AK75" i="5" s="1"/>
  <c r="AJ37" i="5"/>
  <c r="AJ75" i="5" s="1"/>
  <c r="AI37" i="5"/>
  <c r="AI75" i="5" s="1"/>
  <c r="AH37" i="5"/>
  <c r="AH75" i="5" s="1"/>
  <c r="AG37" i="5"/>
  <c r="AG75" i="5" s="1"/>
  <c r="AF37" i="5"/>
  <c r="AF75" i="5" s="1"/>
  <c r="AE37" i="5"/>
  <c r="AE75" i="5" s="1"/>
  <c r="AD37" i="5"/>
  <c r="AD75" i="5" s="1"/>
  <c r="AC37" i="5"/>
  <c r="AC75" i="5" s="1"/>
  <c r="AB37" i="5"/>
  <c r="AB75" i="5" s="1"/>
  <c r="AA37" i="5"/>
  <c r="AA75" i="5" s="1"/>
  <c r="Z37" i="5"/>
  <c r="Z75" i="5" s="1"/>
  <c r="Y37" i="5"/>
  <c r="Y75" i="5" s="1"/>
  <c r="X37" i="5"/>
  <c r="X75" i="5" s="1"/>
  <c r="W37" i="5"/>
  <c r="W75" i="5" s="1"/>
  <c r="V37" i="5"/>
  <c r="V75" i="5" s="1"/>
  <c r="U37" i="5"/>
  <c r="U75" i="5" s="1"/>
  <c r="T37" i="5"/>
  <c r="T75" i="5" s="1"/>
  <c r="S37" i="5"/>
  <c r="S75" i="5" s="1"/>
  <c r="R37" i="5"/>
  <c r="R75" i="5" s="1"/>
  <c r="Q37" i="5"/>
  <c r="Q75" i="5" s="1"/>
  <c r="P37" i="5"/>
  <c r="P75" i="5" s="1"/>
  <c r="O37" i="5"/>
  <c r="O75" i="5" s="1"/>
  <c r="N37" i="5"/>
  <c r="N75" i="5" s="1"/>
  <c r="M37" i="5"/>
  <c r="M75" i="5" s="1"/>
  <c r="L37" i="5"/>
  <c r="L75" i="5" s="1"/>
  <c r="K37" i="5"/>
  <c r="K75" i="5" s="1"/>
  <c r="J37" i="5"/>
  <c r="J75" i="5" s="1"/>
  <c r="I37" i="5"/>
  <c r="I75" i="5" s="1"/>
  <c r="H37" i="5"/>
  <c r="H75" i="5" s="1"/>
  <c r="G37" i="5"/>
  <c r="G75" i="5" s="1"/>
  <c r="F37" i="5"/>
  <c r="F75" i="5" s="1"/>
  <c r="E37" i="5"/>
  <c r="E75" i="5" s="1"/>
  <c r="D37" i="5"/>
  <c r="D75" i="5" s="1"/>
  <c r="C37" i="5"/>
  <c r="C75" i="5" s="1"/>
  <c r="B75" i="5"/>
  <c r="BA36" i="5"/>
  <c r="BA74" i="5" s="1"/>
  <c r="AZ36" i="5"/>
  <c r="AZ74" i="5" s="1"/>
  <c r="AY36" i="5"/>
  <c r="AY74" i="5" s="1"/>
  <c r="AX36" i="5"/>
  <c r="AX74" i="5" s="1"/>
  <c r="AW36" i="5"/>
  <c r="AW74" i="5" s="1"/>
  <c r="AV36" i="5"/>
  <c r="AV74" i="5" s="1"/>
  <c r="AU36" i="5"/>
  <c r="AU74" i="5" s="1"/>
  <c r="AT36" i="5"/>
  <c r="AT74" i="5" s="1"/>
  <c r="AS36" i="5"/>
  <c r="AS74" i="5" s="1"/>
  <c r="AR36" i="5"/>
  <c r="AR74" i="5" s="1"/>
  <c r="AQ36" i="5"/>
  <c r="AQ74" i="5" s="1"/>
  <c r="AP36" i="5"/>
  <c r="AP74" i="5" s="1"/>
  <c r="AO36" i="5"/>
  <c r="AO74" i="5" s="1"/>
  <c r="AN36" i="5"/>
  <c r="AN74" i="5" s="1"/>
  <c r="AM36" i="5"/>
  <c r="AM74" i="5" s="1"/>
  <c r="AL36" i="5"/>
  <c r="AL74" i="5" s="1"/>
  <c r="AK36" i="5"/>
  <c r="AK74" i="5" s="1"/>
  <c r="AJ36" i="5"/>
  <c r="AJ74" i="5" s="1"/>
  <c r="AI36" i="5"/>
  <c r="AI74" i="5" s="1"/>
  <c r="AH36" i="5"/>
  <c r="AH74" i="5" s="1"/>
  <c r="AG36" i="5"/>
  <c r="AG74" i="5" s="1"/>
  <c r="AF36" i="5"/>
  <c r="AF74" i="5" s="1"/>
  <c r="AE36" i="5"/>
  <c r="AE74" i="5" s="1"/>
  <c r="AD36" i="5"/>
  <c r="AD74" i="5" s="1"/>
  <c r="AC36" i="5"/>
  <c r="AC74" i="5" s="1"/>
  <c r="AB36" i="5"/>
  <c r="AB74" i="5" s="1"/>
  <c r="AA36" i="5"/>
  <c r="AA74" i="5" s="1"/>
  <c r="Z36" i="5"/>
  <c r="Z74" i="5" s="1"/>
  <c r="Y36" i="5"/>
  <c r="Y74" i="5" s="1"/>
  <c r="X36" i="5"/>
  <c r="X74" i="5" s="1"/>
  <c r="W36" i="5"/>
  <c r="W74" i="5" s="1"/>
  <c r="V36" i="5"/>
  <c r="V74" i="5" s="1"/>
  <c r="U36" i="5"/>
  <c r="U74" i="5" s="1"/>
  <c r="T36" i="5"/>
  <c r="T74" i="5" s="1"/>
  <c r="S36" i="5"/>
  <c r="S74" i="5" s="1"/>
  <c r="R36" i="5"/>
  <c r="R74" i="5" s="1"/>
  <c r="Q36" i="5"/>
  <c r="Q74" i="5" s="1"/>
  <c r="P36" i="5"/>
  <c r="P74" i="5" s="1"/>
  <c r="O36" i="5"/>
  <c r="O74" i="5" s="1"/>
  <c r="N36" i="5"/>
  <c r="N74" i="5" s="1"/>
  <c r="M36" i="5"/>
  <c r="M74" i="5" s="1"/>
  <c r="L36" i="5"/>
  <c r="L74" i="5" s="1"/>
  <c r="K36" i="5"/>
  <c r="K74" i="5" s="1"/>
  <c r="J36" i="5"/>
  <c r="J74" i="5" s="1"/>
  <c r="I36" i="5"/>
  <c r="I74" i="5" s="1"/>
  <c r="H36" i="5"/>
  <c r="H74" i="5" s="1"/>
  <c r="G36" i="5"/>
  <c r="G74" i="5" s="1"/>
  <c r="F36" i="5"/>
  <c r="F74" i="5" s="1"/>
  <c r="E36" i="5"/>
  <c r="E74" i="5" s="1"/>
  <c r="D36" i="5"/>
  <c r="D74" i="5" s="1"/>
  <c r="C36" i="5"/>
  <c r="C74" i="5" s="1"/>
  <c r="B74" i="5"/>
  <c r="BA35" i="5"/>
  <c r="BA73" i="5" s="1"/>
  <c r="AZ35" i="5"/>
  <c r="AZ73" i="5" s="1"/>
  <c r="AY35" i="5"/>
  <c r="AY73" i="5" s="1"/>
  <c r="AX35" i="5"/>
  <c r="AX73" i="5" s="1"/>
  <c r="AW35" i="5"/>
  <c r="AW73" i="5" s="1"/>
  <c r="AV35" i="5"/>
  <c r="AV73" i="5" s="1"/>
  <c r="AU35" i="5"/>
  <c r="AU73" i="5" s="1"/>
  <c r="AT35" i="5"/>
  <c r="AT73" i="5" s="1"/>
  <c r="AS35" i="5"/>
  <c r="AS73" i="5" s="1"/>
  <c r="AR35" i="5"/>
  <c r="AR73" i="5" s="1"/>
  <c r="AQ35" i="5"/>
  <c r="AQ73" i="5" s="1"/>
  <c r="AP35" i="5"/>
  <c r="AP73" i="5" s="1"/>
  <c r="AO35" i="5"/>
  <c r="AO73" i="5" s="1"/>
  <c r="AN35" i="5"/>
  <c r="AN73" i="5" s="1"/>
  <c r="AM35" i="5"/>
  <c r="AM73" i="5" s="1"/>
  <c r="AL35" i="5"/>
  <c r="AL73" i="5" s="1"/>
  <c r="AK35" i="5"/>
  <c r="AK73" i="5" s="1"/>
  <c r="AJ35" i="5"/>
  <c r="AJ73" i="5" s="1"/>
  <c r="AI35" i="5"/>
  <c r="AI73" i="5" s="1"/>
  <c r="AH35" i="5"/>
  <c r="AH73" i="5" s="1"/>
  <c r="AG35" i="5"/>
  <c r="AG73" i="5" s="1"/>
  <c r="AF35" i="5"/>
  <c r="AF73" i="5" s="1"/>
  <c r="AE35" i="5"/>
  <c r="AE73" i="5" s="1"/>
  <c r="AD35" i="5"/>
  <c r="AD73" i="5" s="1"/>
  <c r="AC35" i="5"/>
  <c r="AC73" i="5" s="1"/>
  <c r="AB35" i="5"/>
  <c r="AB73" i="5" s="1"/>
  <c r="AA35" i="5"/>
  <c r="AA73" i="5" s="1"/>
  <c r="Z35" i="5"/>
  <c r="Z73" i="5" s="1"/>
  <c r="Y35" i="5"/>
  <c r="Y73" i="5" s="1"/>
  <c r="X35" i="5"/>
  <c r="X73" i="5" s="1"/>
  <c r="W35" i="5"/>
  <c r="W73" i="5" s="1"/>
  <c r="V35" i="5"/>
  <c r="V73" i="5" s="1"/>
  <c r="U35" i="5"/>
  <c r="U73" i="5" s="1"/>
  <c r="T35" i="5"/>
  <c r="T73" i="5" s="1"/>
  <c r="S35" i="5"/>
  <c r="S73" i="5" s="1"/>
  <c r="R35" i="5"/>
  <c r="R73" i="5" s="1"/>
  <c r="Q35" i="5"/>
  <c r="Q73" i="5" s="1"/>
  <c r="P35" i="5"/>
  <c r="P73" i="5" s="1"/>
  <c r="O35" i="5"/>
  <c r="O73" i="5" s="1"/>
  <c r="N35" i="5"/>
  <c r="N73" i="5" s="1"/>
  <c r="M35" i="5"/>
  <c r="M73" i="5" s="1"/>
  <c r="L35" i="5"/>
  <c r="L73" i="5" s="1"/>
  <c r="K35" i="5"/>
  <c r="K73" i="5" s="1"/>
  <c r="J35" i="5"/>
  <c r="J73" i="5" s="1"/>
  <c r="I35" i="5"/>
  <c r="I73" i="5" s="1"/>
  <c r="H35" i="5"/>
  <c r="H73" i="5" s="1"/>
  <c r="G35" i="5"/>
  <c r="G73" i="5" s="1"/>
  <c r="F35" i="5"/>
  <c r="F73" i="5" s="1"/>
  <c r="E35" i="5"/>
  <c r="E73" i="5" s="1"/>
  <c r="D35" i="5"/>
  <c r="D73" i="5" s="1"/>
  <c r="C35" i="5"/>
  <c r="C73" i="5" s="1"/>
  <c r="B73" i="5"/>
  <c r="BA34" i="5"/>
  <c r="BA72" i="5" s="1"/>
  <c r="AZ34" i="5"/>
  <c r="AZ72" i="5" s="1"/>
  <c r="AY34" i="5"/>
  <c r="AY72" i="5" s="1"/>
  <c r="AX34" i="5"/>
  <c r="AX72" i="5" s="1"/>
  <c r="AW34" i="5"/>
  <c r="AW72" i="5" s="1"/>
  <c r="AV34" i="5"/>
  <c r="AV72" i="5" s="1"/>
  <c r="AU34" i="5"/>
  <c r="AU72" i="5" s="1"/>
  <c r="AT34" i="5"/>
  <c r="AT72" i="5" s="1"/>
  <c r="AS34" i="5"/>
  <c r="AS72" i="5" s="1"/>
  <c r="AR34" i="5"/>
  <c r="AR72" i="5" s="1"/>
  <c r="AQ34" i="5"/>
  <c r="AQ72" i="5" s="1"/>
  <c r="AP34" i="5"/>
  <c r="AP72" i="5" s="1"/>
  <c r="AO34" i="5"/>
  <c r="AO72" i="5" s="1"/>
  <c r="AN34" i="5"/>
  <c r="AN72" i="5" s="1"/>
  <c r="AM34" i="5"/>
  <c r="AM72" i="5" s="1"/>
  <c r="AL34" i="5"/>
  <c r="AL72" i="5" s="1"/>
  <c r="AK34" i="5"/>
  <c r="AK72" i="5" s="1"/>
  <c r="AJ34" i="5"/>
  <c r="AJ72" i="5" s="1"/>
  <c r="AI34" i="5"/>
  <c r="AI72" i="5" s="1"/>
  <c r="AH34" i="5"/>
  <c r="AH72" i="5" s="1"/>
  <c r="AG34" i="5"/>
  <c r="AG72" i="5" s="1"/>
  <c r="AF34" i="5"/>
  <c r="AF72" i="5" s="1"/>
  <c r="AE34" i="5"/>
  <c r="AE72" i="5" s="1"/>
  <c r="AD34" i="5"/>
  <c r="AD72" i="5" s="1"/>
  <c r="AC34" i="5"/>
  <c r="AC72" i="5" s="1"/>
  <c r="AB34" i="5"/>
  <c r="AB72" i="5" s="1"/>
  <c r="AA34" i="5"/>
  <c r="AA72" i="5" s="1"/>
  <c r="Z34" i="5"/>
  <c r="Z72" i="5" s="1"/>
  <c r="Y34" i="5"/>
  <c r="Y72" i="5" s="1"/>
  <c r="X34" i="5"/>
  <c r="X72" i="5" s="1"/>
  <c r="W34" i="5"/>
  <c r="W72" i="5" s="1"/>
  <c r="V34" i="5"/>
  <c r="V72" i="5" s="1"/>
  <c r="U34" i="5"/>
  <c r="U72" i="5" s="1"/>
  <c r="T34" i="5"/>
  <c r="T72" i="5" s="1"/>
  <c r="S34" i="5"/>
  <c r="S72" i="5" s="1"/>
  <c r="R34" i="5"/>
  <c r="R72" i="5" s="1"/>
  <c r="Q34" i="5"/>
  <c r="Q72" i="5" s="1"/>
  <c r="P34" i="5"/>
  <c r="P72" i="5" s="1"/>
  <c r="O34" i="5"/>
  <c r="O72" i="5" s="1"/>
  <c r="N34" i="5"/>
  <c r="N72" i="5" s="1"/>
  <c r="M34" i="5"/>
  <c r="M72" i="5" s="1"/>
  <c r="L34" i="5"/>
  <c r="L72" i="5" s="1"/>
  <c r="K34" i="5"/>
  <c r="K72" i="5" s="1"/>
  <c r="J34" i="5"/>
  <c r="J72" i="5" s="1"/>
  <c r="I34" i="5"/>
  <c r="I72" i="5" s="1"/>
  <c r="H34" i="5"/>
  <c r="H72" i="5" s="1"/>
  <c r="G34" i="5"/>
  <c r="G72" i="5" s="1"/>
  <c r="F34" i="5"/>
  <c r="F72" i="5" s="1"/>
  <c r="E34" i="5"/>
  <c r="E72" i="5" s="1"/>
  <c r="D34" i="5"/>
  <c r="D72" i="5" s="1"/>
  <c r="C34" i="5"/>
  <c r="C72" i="5" s="1"/>
  <c r="B72" i="5"/>
  <c r="BA33" i="5"/>
  <c r="BA71" i="5" s="1"/>
  <c r="AZ33" i="5"/>
  <c r="AZ71" i="5" s="1"/>
  <c r="AY33" i="5"/>
  <c r="AY71" i="5" s="1"/>
  <c r="AX33" i="5"/>
  <c r="AX71" i="5" s="1"/>
  <c r="AW33" i="5"/>
  <c r="AW71" i="5" s="1"/>
  <c r="AV33" i="5"/>
  <c r="AV71" i="5" s="1"/>
  <c r="AU33" i="5"/>
  <c r="AU71" i="5" s="1"/>
  <c r="AT33" i="5"/>
  <c r="AT71" i="5" s="1"/>
  <c r="AS33" i="5"/>
  <c r="AS71" i="5" s="1"/>
  <c r="AR33" i="5"/>
  <c r="AR71" i="5" s="1"/>
  <c r="AQ33" i="5"/>
  <c r="AQ71" i="5" s="1"/>
  <c r="AP33" i="5"/>
  <c r="AP71" i="5" s="1"/>
  <c r="AO33" i="5"/>
  <c r="AO71" i="5" s="1"/>
  <c r="AN33" i="5"/>
  <c r="AN71" i="5" s="1"/>
  <c r="AM33" i="5"/>
  <c r="AM71" i="5" s="1"/>
  <c r="AL33" i="5"/>
  <c r="AL71" i="5" s="1"/>
  <c r="AK33" i="5"/>
  <c r="AK71" i="5" s="1"/>
  <c r="AJ33" i="5"/>
  <c r="AJ71" i="5" s="1"/>
  <c r="AI33" i="5"/>
  <c r="AI71" i="5" s="1"/>
  <c r="AH33" i="5"/>
  <c r="AH71" i="5" s="1"/>
  <c r="AG33" i="5"/>
  <c r="AG71" i="5" s="1"/>
  <c r="AF33" i="5"/>
  <c r="AF71" i="5" s="1"/>
  <c r="AE33" i="5"/>
  <c r="AE71" i="5" s="1"/>
  <c r="AD33" i="5"/>
  <c r="AD71" i="5" s="1"/>
  <c r="AC33" i="5"/>
  <c r="AC71" i="5" s="1"/>
  <c r="AB33" i="5"/>
  <c r="AB71" i="5" s="1"/>
  <c r="AA33" i="5"/>
  <c r="AA71" i="5" s="1"/>
  <c r="Z33" i="5"/>
  <c r="Z71" i="5" s="1"/>
  <c r="Y33" i="5"/>
  <c r="Y71" i="5" s="1"/>
  <c r="X33" i="5"/>
  <c r="X71" i="5" s="1"/>
  <c r="W33" i="5"/>
  <c r="W71" i="5" s="1"/>
  <c r="V33" i="5"/>
  <c r="V71" i="5" s="1"/>
  <c r="U33" i="5"/>
  <c r="U71" i="5" s="1"/>
  <c r="T33" i="5"/>
  <c r="T71" i="5" s="1"/>
  <c r="S33" i="5"/>
  <c r="S71" i="5" s="1"/>
  <c r="R33" i="5"/>
  <c r="R71" i="5" s="1"/>
  <c r="Q33" i="5"/>
  <c r="Q71" i="5" s="1"/>
  <c r="P33" i="5"/>
  <c r="P71" i="5" s="1"/>
  <c r="O33" i="5"/>
  <c r="O71" i="5" s="1"/>
  <c r="N33" i="5"/>
  <c r="N71" i="5" s="1"/>
  <c r="M33" i="5"/>
  <c r="M71" i="5" s="1"/>
  <c r="L33" i="5"/>
  <c r="L71" i="5" s="1"/>
  <c r="K33" i="5"/>
  <c r="K71" i="5" s="1"/>
  <c r="J33" i="5"/>
  <c r="J71" i="5" s="1"/>
  <c r="I33" i="5"/>
  <c r="I71" i="5" s="1"/>
  <c r="H33" i="5"/>
  <c r="H71" i="5" s="1"/>
  <c r="G33" i="5"/>
  <c r="G71" i="5" s="1"/>
  <c r="F33" i="5"/>
  <c r="F71" i="5" s="1"/>
  <c r="E33" i="5"/>
  <c r="E71" i="5" s="1"/>
  <c r="D33" i="5"/>
  <c r="D71" i="5" s="1"/>
  <c r="C33" i="5"/>
  <c r="C71" i="5" s="1"/>
  <c r="B71" i="5"/>
  <c r="BA32" i="5"/>
  <c r="BA70" i="5" s="1"/>
  <c r="AZ32" i="5"/>
  <c r="AZ70" i="5" s="1"/>
  <c r="AY32" i="5"/>
  <c r="AY70" i="5" s="1"/>
  <c r="AX32" i="5"/>
  <c r="AX70" i="5" s="1"/>
  <c r="AW32" i="5"/>
  <c r="AW70" i="5" s="1"/>
  <c r="AV32" i="5"/>
  <c r="AV70" i="5" s="1"/>
  <c r="AU32" i="5"/>
  <c r="AU70" i="5" s="1"/>
  <c r="AT32" i="5"/>
  <c r="AT70" i="5" s="1"/>
  <c r="AS32" i="5"/>
  <c r="AS70" i="5" s="1"/>
  <c r="AR32" i="5"/>
  <c r="AR70" i="5" s="1"/>
  <c r="AQ32" i="5"/>
  <c r="AQ70" i="5" s="1"/>
  <c r="AP32" i="5"/>
  <c r="AP70" i="5" s="1"/>
  <c r="AO32" i="5"/>
  <c r="AO70" i="5" s="1"/>
  <c r="AN32" i="5"/>
  <c r="AN70" i="5" s="1"/>
  <c r="AM32" i="5"/>
  <c r="AM70" i="5" s="1"/>
  <c r="AL32" i="5"/>
  <c r="AL70" i="5" s="1"/>
  <c r="AK32" i="5"/>
  <c r="AK70" i="5" s="1"/>
  <c r="AJ32" i="5"/>
  <c r="AJ70" i="5" s="1"/>
  <c r="AI32" i="5"/>
  <c r="AI70" i="5" s="1"/>
  <c r="AH32" i="5"/>
  <c r="AH70" i="5" s="1"/>
  <c r="AG32" i="5"/>
  <c r="AG70" i="5" s="1"/>
  <c r="AF32" i="5"/>
  <c r="AF70" i="5" s="1"/>
  <c r="AE32" i="5"/>
  <c r="AE70" i="5" s="1"/>
  <c r="AD32" i="5"/>
  <c r="AD70" i="5" s="1"/>
  <c r="AC32" i="5"/>
  <c r="AC70" i="5" s="1"/>
  <c r="AB32" i="5"/>
  <c r="AB70" i="5" s="1"/>
  <c r="AA32" i="5"/>
  <c r="AA70" i="5" s="1"/>
  <c r="Z32" i="5"/>
  <c r="Z70" i="5" s="1"/>
  <c r="Y32" i="5"/>
  <c r="Y70" i="5" s="1"/>
  <c r="X32" i="5"/>
  <c r="X70" i="5" s="1"/>
  <c r="W32" i="5"/>
  <c r="W70" i="5" s="1"/>
  <c r="V32" i="5"/>
  <c r="V70" i="5" s="1"/>
  <c r="U32" i="5"/>
  <c r="U70" i="5" s="1"/>
  <c r="T32" i="5"/>
  <c r="T70" i="5" s="1"/>
  <c r="S32" i="5"/>
  <c r="S70" i="5" s="1"/>
  <c r="R32" i="5"/>
  <c r="R70" i="5" s="1"/>
  <c r="Q32" i="5"/>
  <c r="Q70" i="5" s="1"/>
  <c r="P32" i="5"/>
  <c r="P70" i="5" s="1"/>
  <c r="O32" i="5"/>
  <c r="O70" i="5" s="1"/>
  <c r="N32" i="5"/>
  <c r="N70" i="5" s="1"/>
  <c r="M32" i="5"/>
  <c r="M70" i="5" s="1"/>
  <c r="L32" i="5"/>
  <c r="L70" i="5" s="1"/>
  <c r="K32" i="5"/>
  <c r="K70" i="5" s="1"/>
  <c r="J32" i="5"/>
  <c r="J70" i="5" s="1"/>
  <c r="I32" i="5"/>
  <c r="I70" i="5" s="1"/>
  <c r="H32" i="5"/>
  <c r="H70" i="5" s="1"/>
  <c r="G32" i="5"/>
  <c r="G70" i="5" s="1"/>
  <c r="F32" i="5"/>
  <c r="F70" i="5" s="1"/>
  <c r="E32" i="5"/>
  <c r="E70" i="5" s="1"/>
  <c r="D32" i="5"/>
  <c r="D70" i="5" s="1"/>
  <c r="C32" i="5"/>
  <c r="C70" i="5" s="1"/>
  <c r="B70" i="5"/>
  <c r="BA31" i="5"/>
  <c r="BA69" i="5" s="1"/>
  <c r="AZ31" i="5"/>
  <c r="AZ69" i="5" s="1"/>
  <c r="AY31" i="5"/>
  <c r="AY69" i="5" s="1"/>
  <c r="AX31" i="5"/>
  <c r="AX69" i="5" s="1"/>
  <c r="AW31" i="5"/>
  <c r="AW69" i="5" s="1"/>
  <c r="AV31" i="5"/>
  <c r="AV69" i="5" s="1"/>
  <c r="AU31" i="5"/>
  <c r="AU69" i="5" s="1"/>
  <c r="AT31" i="5"/>
  <c r="AT69" i="5" s="1"/>
  <c r="AS31" i="5"/>
  <c r="AS69" i="5" s="1"/>
  <c r="AR31" i="5"/>
  <c r="AR69" i="5" s="1"/>
  <c r="AQ31" i="5"/>
  <c r="AQ69" i="5" s="1"/>
  <c r="AP31" i="5"/>
  <c r="AP69" i="5" s="1"/>
  <c r="AO31" i="5"/>
  <c r="AO69" i="5" s="1"/>
  <c r="AN31" i="5"/>
  <c r="AN69" i="5" s="1"/>
  <c r="AM31" i="5"/>
  <c r="AM69" i="5" s="1"/>
  <c r="AL31" i="5"/>
  <c r="AL69" i="5" s="1"/>
  <c r="AK31" i="5"/>
  <c r="AK69" i="5" s="1"/>
  <c r="AJ31" i="5"/>
  <c r="AJ69" i="5" s="1"/>
  <c r="AI31" i="5"/>
  <c r="AI69" i="5" s="1"/>
  <c r="AH31" i="5"/>
  <c r="AH69" i="5" s="1"/>
  <c r="AG31" i="5"/>
  <c r="AG69" i="5" s="1"/>
  <c r="AF31" i="5"/>
  <c r="AF69" i="5" s="1"/>
  <c r="AE31" i="5"/>
  <c r="AE69" i="5" s="1"/>
  <c r="AD31" i="5"/>
  <c r="AD69" i="5" s="1"/>
  <c r="AC31" i="5"/>
  <c r="AC69" i="5" s="1"/>
  <c r="AB31" i="5"/>
  <c r="AB69" i="5" s="1"/>
  <c r="AA31" i="5"/>
  <c r="AA69" i="5" s="1"/>
  <c r="Z31" i="5"/>
  <c r="Z69" i="5" s="1"/>
  <c r="Y31" i="5"/>
  <c r="Y69" i="5" s="1"/>
  <c r="X31" i="5"/>
  <c r="X69" i="5" s="1"/>
  <c r="W31" i="5"/>
  <c r="W69" i="5" s="1"/>
  <c r="V31" i="5"/>
  <c r="V69" i="5" s="1"/>
  <c r="U31" i="5"/>
  <c r="U69" i="5" s="1"/>
  <c r="T31" i="5"/>
  <c r="T69" i="5" s="1"/>
  <c r="S31" i="5"/>
  <c r="S69" i="5" s="1"/>
  <c r="R31" i="5"/>
  <c r="R69" i="5" s="1"/>
  <c r="Q31" i="5"/>
  <c r="Q69" i="5" s="1"/>
  <c r="P31" i="5"/>
  <c r="P69" i="5" s="1"/>
  <c r="O31" i="5"/>
  <c r="O69" i="5" s="1"/>
  <c r="N31" i="5"/>
  <c r="N69" i="5" s="1"/>
  <c r="M31" i="5"/>
  <c r="M69" i="5" s="1"/>
  <c r="L31" i="5"/>
  <c r="L69" i="5" s="1"/>
  <c r="K31" i="5"/>
  <c r="K69" i="5" s="1"/>
  <c r="J31" i="5"/>
  <c r="J69" i="5" s="1"/>
  <c r="I31" i="5"/>
  <c r="I69" i="5" s="1"/>
  <c r="H31" i="5"/>
  <c r="H69" i="5" s="1"/>
  <c r="G31" i="5"/>
  <c r="G69" i="5" s="1"/>
  <c r="F31" i="5"/>
  <c r="F69" i="5" s="1"/>
  <c r="E31" i="5"/>
  <c r="E69" i="5" s="1"/>
  <c r="D31" i="5"/>
  <c r="D69" i="5" s="1"/>
  <c r="C31" i="5"/>
  <c r="C69" i="5" s="1"/>
  <c r="B69" i="5"/>
  <c r="BA30" i="5"/>
  <c r="BA68" i="5" s="1"/>
  <c r="AZ30" i="5"/>
  <c r="AZ68" i="5" s="1"/>
  <c r="AY30" i="5"/>
  <c r="AY68" i="5" s="1"/>
  <c r="AX30" i="5"/>
  <c r="AX68" i="5" s="1"/>
  <c r="AW30" i="5"/>
  <c r="AW68" i="5" s="1"/>
  <c r="AV30" i="5"/>
  <c r="AV68" i="5" s="1"/>
  <c r="AU30" i="5"/>
  <c r="AU68" i="5" s="1"/>
  <c r="AT30" i="5"/>
  <c r="AT68" i="5" s="1"/>
  <c r="AS30" i="5"/>
  <c r="AS68" i="5" s="1"/>
  <c r="AR30" i="5"/>
  <c r="AR68" i="5" s="1"/>
  <c r="AQ30" i="5"/>
  <c r="AQ68" i="5" s="1"/>
  <c r="AP30" i="5"/>
  <c r="AP68" i="5" s="1"/>
  <c r="AO30" i="5"/>
  <c r="AO68" i="5" s="1"/>
  <c r="AN30" i="5"/>
  <c r="AN68" i="5" s="1"/>
  <c r="AM30" i="5"/>
  <c r="AM68" i="5" s="1"/>
  <c r="AL30" i="5"/>
  <c r="AL68" i="5" s="1"/>
  <c r="AK30" i="5"/>
  <c r="AK68" i="5" s="1"/>
  <c r="AJ30" i="5"/>
  <c r="AJ68" i="5" s="1"/>
  <c r="AI30" i="5"/>
  <c r="AI68" i="5" s="1"/>
  <c r="AH30" i="5"/>
  <c r="AH68" i="5" s="1"/>
  <c r="AG30" i="5"/>
  <c r="AG68" i="5" s="1"/>
  <c r="AF30" i="5"/>
  <c r="AF68" i="5" s="1"/>
  <c r="AE30" i="5"/>
  <c r="AE68" i="5" s="1"/>
  <c r="AD30" i="5"/>
  <c r="AD68" i="5" s="1"/>
  <c r="AC30" i="5"/>
  <c r="AC68" i="5" s="1"/>
  <c r="AB30" i="5"/>
  <c r="AB68" i="5" s="1"/>
  <c r="AA30" i="5"/>
  <c r="AA68" i="5" s="1"/>
  <c r="Z30" i="5"/>
  <c r="Z68" i="5" s="1"/>
  <c r="Y30" i="5"/>
  <c r="Y68" i="5" s="1"/>
  <c r="X30" i="5"/>
  <c r="X68" i="5" s="1"/>
  <c r="W30" i="5"/>
  <c r="W68" i="5" s="1"/>
  <c r="V30" i="5"/>
  <c r="V68" i="5" s="1"/>
  <c r="U30" i="5"/>
  <c r="U68" i="5" s="1"/>
  <c r="T30" i="5"/>
  <c r="T68" i="5" s="1"/>
  <c r="S30" i="5"/>
  <c r="S68" i="5" s="1"/>
  <c r="R30" i="5"/>
  <c r="R68" i="5" s="1"/>
  <c r="Q30" i="5"/>
  <c r="Q68" i="5" s="1"/>
  <c r="P30" i="5"/>
  <c r="P68" i="5" s="1"/>
  <c r="O30" i="5"/>
  <c r="O68" i="5" s="1"/>
  <c r="N30" i="5"/>
  <c r="N68" i="5" s="1"/>
  <c r="M30" i="5"/>
  <c r="M68" i="5" s="1"/>
  <c r="L30" i="5"/>
  <c r="L68" i="5" s="1"/>
  <c r="K30" i="5"/>
  <c r="K68" i="5" s="1"/>
  <c r="J30" i="5"/>
  <c r="J68" i="5" s="1"/>
  <c r="I30" i="5"/>
  <c r="I68" i="5" s="1"/>
  <c r="H30" i="5"/>
  <c r="H68" i="5" s="1"/>
  <c r="G30" i="5"/>
  <c r="G68" i="5" s="1"/>
  <c r="F30" i="5"/>
  <c r="F68" i="5" s="1"/>
  <c r="E30" i="5"/>
  <c r="E68" i="5" s="1"/>
  <c r="D30" i="5"/>
  <c r="D68" i="5" s="1"/>
  <c r="C30" i="5"/>
  <c r="C68" i="5" s="1"/>
  <c r="B68" i="5"/>
  <c r="BA29" i="5"/>
  <c r="BA67" i="5" s="1"/>
  <c r="AZ29" i="5"/>
  <c r="AZ67" i="5" s="1"/>
  <c r="AY29" i="5"/>
  <c r="AY67" i="5" s="1"/>
  <c r="AX29" i="5"/>
  <c r="AX67" i="5" s="1"/>
  <c r="AW29" i="5"/>
  <c r="AW67" i="5" s="1"/>
  <c r="AV29" i="5"/>
  <c r="AV67" i="5" s="1"/>
  <c r="AU29" i="5"/>
  <c r="AU67" i="5" s="1"/>
  <c r="AT29" i="5"/>
  <c r="AT67" i="5" s="1"/>
  <c r="AS29" i="5"/>
  <c r="AS67" i="5" s="1"/>
  <c r="AR29" i="5"/>
  <c r="AR67" i="5" s="1"/>
  <c r="AQ29" i="5"/>
  <c r="AQ67" i="5" s="1"/>
  <c r="AP29" i="5"/>
  <c r="AP67" i="5" s="1"/>
  <c r="AO29" i="5"/>
  <c r="AO67" i="5" s="1"/>
  <c r="AN29" i="5"/>
  <c r="AN67" i="5" s="1"/>
  <c r="AM29" i="5"/>
  <c r="AM67" i="5" s="1"/>
  <c r="AL29" i="5"/>
  <c r="AL67" i="5" s="1"/>
  <c r="AK29" i="5"/>
  <c r="AK67" i="5" s="1"/>
  <c r="AJ29" i="5"/>
  <c r="AJ67" i="5" s="1"/>
  <c r="AI29" i="5"/>
  <c r="AI67" i="5" s="1"/>
  <c r="AH29" i="5"/>
  <c r="AH67" i="5" s="1"/>
  <c r="AG29" i="5"/>
  <c r="AG67" i="5" s="1"/>
  <c r="AF29" i="5"/>
  <c r="AF67" i="5" s="1"/>
  <c r="AE29" i="5"/>
  <c r="AE67" i="5" s="1"/>
  <c r="AD29" i="5"/>
  <c r="AD67" i="5" s="1"/>
  <c r="AC29" i="5"/>
  <c r="AC67" i="5" s="1"/>
  <c r="AB29" i="5"/>
  <c r="AB67" i="5" s="1"/>
  <c r="AA29" i="5"/>
  <c r="AA67" i="5" s="1"/>
  <c r="Z29" i="5"/>
  <c r="Z67" i="5" s="1"/>
  <c r="Y29" i="5"/>
  <c r="Y67" i="5" s="1"/>
  <c r="X29" i="5"/>
  <c r="X67" i="5" s="1"/>
  <c r="W29" i="5"/>
  <c r="W67" i="5" s="1"/>
  <c r="V29" i="5"/>
  <c r="V67" i="5" s="1"/>
  <c r="U29" i="5"/>
  <c r="U67" i="5" s="1"/>
  <c r="T29" i="5"/>
  <c r="T67" i="5" s="1"/>
  <c r="S29" i="5"/>
  <c r="S67" i="5" s="1"/>
  <c r="R29" i="5"/>
  <c r="R67" i="5" s="1"/>
  <c r="Q29" i="5"/>
  <c r="Q67" i="5" s="1"/>
  <c r="P29" i="5"/>
  <c r="P67" i="5" s="1"/>
  <c r="O29" i="5"/>
  <c r="O67" i="5" s="1"/>
  <c r="N29" i="5"/>
  <c r="N67" i="5" s="1"/>
  <c r="M29" i="5"/>
  <c r="M67" i="5" s="1"/>
  <c r="L29" i="5"/>
  <c r="L67" i="5" s="1"/>
  <c r="K29" i="5"/>
  <c r="K67" i="5" s="1"/>
  <c r="J29" i="5"/>
  <c r="J67" i="5" s="1"/>
  <c r="I29" i="5"/>
  <c r="I67" i="5" s="1"/>
  <c r="H29" i="5"/>
  <c r="H67" i="5" s="1"/>
  <c r="G29" i="5"/>
  <c r="G67" i="5" s="1"/>
  <c r="F29" i="5"/>
  <c r="F67" i="5" s="1"/>
  <c r="E29" i="5"/>
  <c r="E67" i="5" s="1"/>
  <c r="D29" i="5"/>
  <c r="D67" i="5" s="1"/>
  <c r="C29" i="5"/>
  <c r="C67" i="5" s="1"/>
  <c r="B67" i="5"/>
  <c r="BA28" i="5"/>
  <c r="BA66" i="5" s="1"/>
  <c r="AZ28" i="5"/>
  <c r="AZ66" i="5" s="1"/>
  <c r="AY28" i="5"/>
  <c r="AY66" i="5" s="1"/>
  <c r="AX28" i="5"/>
  <c r="AX66" i="5" s="1"/>
  <c r="AW28" i="5"/>
  <c r="AW66" i="5" s="1"/>
  <c r="AV28" i="5"/>
  <c r="AV66" i="5" s="1"/>
  <c r="AU28" i="5"/>
  <c r="AU66" i="5" s="1"/>
  <c r="AT28" i="5"/>
  <c r="AT66" i="5" s="1"/>
  <c r="AS28" i="5"/>
  <c r="AS66" i="5" s="1"/>
  <c r="AR28" i="5"/>
  <c r="AR66" i="5" s="1"/>
  <c r="AQ28" i="5"/>
  <c r="AQ66" i="5" s="1"/>
  <c r="AP28" i="5"/>
  <c r="AP66" i="5" s="1"/>
  <c r="AO28" i="5"/>
  <c r="AO66" i="5" s="1"/>
  <c r="AN28" i="5"/>
  <c r="AN66" i="5" s="1"/>
  <c r="AM28" i="5"/>
  <c r="AM66" i="5" s="1"/>
  <c r="AL28" i="5"/>
  <c r="AL66" i="5" s="1"/>
  <c r="AK28" i="5"/>
  <c r="AK66" i="5" s="1"/>
  <c r="AJ28" i="5"/>
  <c r="AJ66" i="5" s="1"/>
  <c r="AI28" i="5"/>
  <c r="AI66" i="5" s="1"/>
  <c r="AH28" i="5"/>
  <c r="AH66" i="5" s="1"/>
  <c r="AG28" i="5"/>
  <c r="AG66" i="5" s="1"/>
  <c r="AF28" i="5"/>
  <c r="AF66" i="5" s="1"/>
  <c r="AE28" i="5"/>
  <c r="AE66" i="5" s="1"/>
  <c r="AD28" i="5"/>
  <c r="AD66" i="5" s="1"/>
  <c r="AC28" i="5"/>
  <c r="AC66" i="5" s="1"/>
  <c r="AB28" i="5"/>
  <c r="AB66" i="5" s="1"/>
  <c r="AA28" i="5"/>
  <c r="AA66" i="5" s="1"/>
  <c r="Z28" i="5"/>
  <c r="Z66" i="5" s="1"/>
  <c r="Y28" i="5"/>
  <c r="Y66" i="5" s="1"/>
  <c r="X28" i="5"/>
  <c r="X66" i="5" s="1"/>
  <c r="W28" i="5"/>
  <c r="W66" i="5" s="1"/>
  <c r="V28" i="5"/>
  <c r="V66" i="5" s="1"/>
  <c r="U28" i="5"/>
  <c r="U66" i="5" s="1"/>
  <c r="T28" i="5"/>
  <c r="T66" i="5" s="1"/>
  <c r="S28" i="5"/>
  <c r="S66" i="5" s="1"/>
  <c r="R28" i="5"/>
  <c r="R66" i="5" s="1"/>
  <c r="Q28" i="5"/>
  <c r="Q66" i="5" s="1"/>
  <c r="P28" i="5"/>
  <c r="P66" i="5" s="1"/>
  <c r="O28" i="5"/>
  <c r="O66" i="5" s="1"/>
  <c r="N28" i="5"/>
  <c r="N66" i="5" s="1"/>
  <c r="M28" i="5"/>
  <c r="M66" i="5" s="1"/>
  <c r="L28" i="5"/>
  <c r="L66" i="5" s="1"/>
  <c r="K28" i="5"/>
  <c r="K66" i="5" s="1"/>
  <c r="J28" i="5"/>
  <c r="J66" i="5" s="1"/>
  <c r="I28" i="5"/>
  <c r="I66" i="5" s="1"/>
  <c r="H28" i="5"/>
  <c r="H66" i="5" s="1"/>
  <c r="G28" i="5"/>
  <c r="G66" i="5" s="1"/>
  <c r="F28" i="5"/>
  <c r="F66" i="5" s="1"/>
  <c r="E28" i="5"/>
  <c r="E66" i="5" s="1"/>
  <c r="D28" i="5"/>
  <c r="D66" i="5" s="1"/>
  <c r="C28" i="5"/>
  <c r="C66" i="5" s="1"/>
  <c r="B66" i="5"/>
  <c r="BA27" i="5"/>
  <c r="BA65" i="5" s="1"/>
  <c r="AZ27" i="5"/>
  <c r="AZ65" i="5" s="1"/>
  <c r="AY27" i="5"/>
  <c r="AY65" i="5" s="1"/>
  <c r="AX27" i="5"/>
  <c r="AX65" i="5" s="1"/>
  <c r="AW27" i="5"/>
  <c r="AW65" i="5" s="1"/>
  <c r="AV27" i="5"/>
  <c r="AV65" i="5" s="1"/>
  <c r="AU27" i="5"/>
  <c r="AU65" i="5" s="1"/>
  <c r="AT27" i="5"/>
  <c r="AT65" i="5" s="1"/>
  <c r="AS27" i="5"/>
  <c r="AS65" i="5" s="1"/>
  <c r="AR27" i="5"/>
  <c r="AR65" i="5" s="1"/>
  <c r="AQ27" i="5"/>
  <c r="AQ65" i="5" s="1"/>
  <c r="AP27" i="5"/>
  <c r="AP65" i="5" s="1"/>
  <c r="AO27" i="5"/>
  <c r="AO65" i="5" s="1"/>
  <c r="AN27" i="5"/>
  <c r="AN65" i="5" s="1"/>
  <c r="AM27" i="5"/>
  <c r="AM65" i="5" s="1"/>
  <c r="AL27" i="5"/>
  <c r="AL65" i="5" s="1"/>
  <c r="AK27" i="5"/>
  <c r="AK65" i="5" s="1"/>
  <c r="AJ27" i="5"/>
  <c r="AJ65" i="5" s="1"/>
  <c r="AI27" i="5"/>
  <c r="AI65" i="5" s="1"/>
  <c r="AH27" i="5"/>
  <c r="AH65" i="5" s="1"/>
  <c r="AG27" i="5"/>
  <c r="AG65" i="5" s="1"/>
  <c r="AF27" i="5"/>
  <c r="AF65" i="5" s="1"/>
  <c r="AE27" i="5"/>
  <c r="AE65" i="5" s="1"/>
  <c r="AD27" i="5"/>
  <c r="AD65" i="5" s="1"/>
  <c r="AC27" i="5"/>
  <c r="AC65" i="5" s="1"/>
  <c r="AB27" i="5"/>
  <c r="AB65" i="5" s="1"/>
  <c r="AA27" i="5"/>
  <c r="AA65" i="5" s="1"/>
  <c r="Z27" i="5"/>
  <c r="Z65" i="5" s="1"/>
  <c r="Y27" i="5"/>
  <c r="Y65" i="5" s="1"/>
  <c r="X27" i="5"/>
  <c r="X65" i="5" s="1"/>
  <c r="W27" i="5"/>
  <c r="W65" i="5" s="1"/>
  <c r="V27" i="5"/>
  <c r="V65" i="5" s="1"/>
  <c r="U27" i="5"/>
  <c r="U65" i="5" s="1"/>
  <c r="T27" i="5"/>
  <c r="T65" i="5" s="1"/>
  <c r="S27" i="5"/>
  <c r="S65" i="5" s="1"/>
  <c r="R27" i="5"/>
  <c r="R65" i="5" s="1"/>
  <c r="Q27" i="5"/>
  <c r="Q65" i="5" s="1"/>
  <c r="P27" i="5"/>
  <c r="P65" i="5" s="1"/>
  <c r="O27" i="5"/>
  <c r="O65" i="5" s="1"/>
  <c r="N27" i="5"/>
  <c r="N65" i="5" s="1"/>
  <c r="M27" i="5"/>
  <c r="M65" i="5" s="1"/>
  <c r="L27" i="5"/>
  <c r="L65" i="5" s="1"/>
  <c r="K27" i="5"/>
  <c r="K65" i="5" s="1"/>
  <c r="J27" i="5"/>
  <c r="J65" i="5" s="1"/>
  <c r="I27" i="5"/>
  <c r="I65" i="5" s="1"/>
  <c r="H27" i="5"/>
  <c r="H65" i="5" s="1"/>
  <c r="G27" i="5"/>
  <c r="G65" i="5" s="1"/>
  <c r="F27" i="5"/>
  <c r="F65" i="5" s="1"/>
  <c r="E27" i="5"/>
  <c r="E65" i="5" s="1"/>
  <c r="D27" i="5"/>
  <c r="D65" i="5" s="1"/>
  <c r="C27" i="5"/>
  <c r="C65" i="5" s="1"/>
  <c r="B65" i="5"/>
  <c r="BA26" i="5"/>
  <c r="BA64" i="5" s="1"/>
  <c r="AZ26" i="5"/>
  <c r="AZ64" i="5" s="1"/>
  <c r="AY26" i="5"/>
  <c r="AY64" i="5" s="1"/>
  <c r="AX26" i="5"/>
  <c r="AX64" i="5" s="1"/>
  <c r="AW26" i="5"/>
  <c r="AW64" i="5" s="1"/>
  <c r="AV26" i="5"/>
  <c r="AV64" i="5" s="1"/>
  <c r="AU26" i="5"/>
  <c r="AU64" i="5" s="1"/>
  <c r="AT26" i="5"/>
  <c r="AT64" i="5" s="1"/>
  <c r="AS26" i="5"/>
  <c r="AS64" i="5" s="1"/>
  <c r="AR26" i="5"/>
  <c r="AR64" i="5" s="1"/>
  <c r="AQ26" i="5"/>
  <c r="AQ64" i="5" s="1"/>
  <c r="AP26" i="5"/>
  <c r="AP64" i="5" s="1"/>
  <c r="AO26" i="5"/>
  <c r="AO64" i="5" s="1"/>
  <c r="AN26" i="5"/>
  <c r="AN64" i="5" s="1"/>
  <c r="AM26" i="5"/>
  <c r="AM64" i="5" s="1"/>
  <c r="AL26" i="5"/>
  <c r="AL64" i="5" s="1"/>
  <c r="AK26" i="5"/>
  <c r="AK64" i="5" s="1"/>
  <c r="AJ26" i="5"/>
  <c r="AJ64" i="5" s="1"/>
  <c r="AI26" i="5"/>
  <c r="AI64" i="5" s="1"/>
  <c r="AH26" i="5"/>
  <c r="AH64" i="5" s="1"/>
  <c r="AG26" i="5"/>
  <c r="AG64" i="5" s="1"/>
  <c r="AF26" i="5"/>
  <c r="AF64" i="5" s="1"/>
  <c r="AE26" i="5"/>
  <c r="AE64" i="5" s="1"/>
  <c r="AD26" i="5"/>
  <c r="AD64" i="5" s="1"/>
  <c r="AC26" i="5"/>
  <c r="AC64" i="5" s="1"/>
  <c r="AB26" i="5"/>
  <c r="AB64" i="5" s="1"/>
  <c r="AA26" i="5"/>
  <c r="AA64" i="5" s="1"/>
  <c r="Z26" i="5"/>
  <c r="Z64" i="5" s="1"/>
  <c r="Y26" i="5"/>
  <c r="Y64" i="5" s="1"/>
  <c r="X26" i="5"/>
  <c r="X64" i="5" s="1"/>
  <c r="W26" i="5"/>
  <c r="W64" i="5" s="1"/>
  <c r="V26" i="5"/>
  <c r="V64" i="5" s="1"/>
  <c r="U26" i="5"/>
  <c r="U64" i="5" s="1"/>
  <c r="T26" i="5"/>
  <c r="T64" i="5" s="1"/>
  <c r="S26" i="5"/>
  <c r="S64" i="5" s="1"/>
  <c r="R26" i="5"/>
  <c r="R64" i="5" s="1"/>
  <c r="Q26" i="5"/>
  <c r="Q64" i="5" s="1"/>
  <c r="P26" i="5"/>
  <c r="P64" i="5" s="1"/>
  <c r="O26" i="5"/>
  <c r="O64" i="5" s="1"/>
  <c r="N26" i="5"/>
  <c r="N64" i="5" s="1"/>
  <c r="M26" i="5"/>
  <c r="M64" i="5" s="1"/>
  <c r="L26" i="5"/>
  <c r="L64" i="5" s="1"/>
  <c r="K26" i="5"/>
  <c r="K64" i="5" s="1"/>
  <c r="J26" i="5"/>
  <c r="J64" i="5" s="1"/>
  <c r="I26" i="5"/>
  <c r="I64" i="5" s="1"/>
  <c r="H26" i="5"/>
  <c r="H64" i="5" s="1"/>
  <c r="G26" i="5"/>
  <c r="G64" i="5" s="1"/>
  <c r="F26" i="5"/>
  <c r="F64" i="5" s="1"/>
  <c r="E26" i="5"/>
  <c r="E64" i="5" s="1"/>
  <c r="D26" i="5"/>
  <c r="D64" i="5" s="1"/>
  <c r="C26" i="5"/>
  <c r="C64" i="5" s="1"/>
  <c r="B64" i="5"/>
  <c r="BA25" i="5"/>
  <c r="BA63" i="5" s="1"/>
  <c r="AZ25" i="5"/>
  <c r="AZ63" i="5" s="1"/>
  <c r="AY25" i="5"/>
  <c r="AY63" i="5" s="1"/>
  <c r="AX25" i="5"/>
  <c r="AX63" i="5" s="1"/>
  <c r="AW25" i="5"/>
  <c r="AW63" i="5" s="1"/>
  <c r="AV25" i="5"/>
  <c r="AV63" i="5" s="1"/>
  <c r="AU25" i="5"/>
  <c r="AU63" i="5" s="1"/>
  <c r="AT25" i="5"/>
  <c r="AT63" i="5" s="1"/>
  <c r="AS25" i="5"/>
  <c r="AS63" i="5" s="1"/>
  <c r="AR25" i="5"/>
  <c r="AR63" i="5" s="1"/>
  <c r="AQ25" i="5"/>
  <c r="AQ63" i="5" s="1"/>
  <c r="AP25" i="5"/>
  <c r="AP63" i="5" s="1"/>
  <c r="AO25" i="5"/>
  <c r="AO63" i="5" s="1"/>
  <c r="AN25" i="5"/>
  <c r="AN63" i="5" s="1"/>
  <c r="AM25" i="5"/>
  <c r="AM63" i="5" s="1"/>
  <c r="AL25" i="5"/>
  <c r="AL63" i="5" s="1"/>
  <c r="AK25" i="5"/>
  <c r="AK63" i="5" s="1"/>
  <c r="AJ25" i="5"/>
  <c r="AJ63" i="5" s="1"/>
  <c r="AI25" i="5"/>
  <c r="AI63" i="5" s="1"/>
  <c r="AH25" i="5"/>
  <c r="AH63" i="5" s="1"/>
  <c r="AG25" i="5"/>
  <c r="AG63" i="5" s="1"/>
  <c r="AF25" i="5"/>
  <c r="AF63" i="5" s="1"/>
  <c r="AE25" i="5"/>
  <c r="AE63" i="5" s="1"/>
  <c r="AD25" i="5"/>
  <c r="AD63" i="5" s="1"/>
  <c r="AC25" i="5"/>
  <c r="AC63" i="5" s="1"/>
  <c r="AB25" i="5"/>
  <c r="AB63" i="5" s="1"/>
  <c r="AA25" i="5"/>
  <c r="AA63" i="5" s="1"/>
  <c r="Z25" i="5"/>
  <c r="Z63" i="5" s="1"/>
  <c r="Y25" i="5"/>
  <c r="Y63" i="5" s="1"/>
  <c r="X25" i="5"/>
  <c r="X63" i="5" s="1"/>
  <c r="W25" i="5"/>
  <c r="W63" i="5" s="1"/>
  <c r="V25" i="5"/>
  <c r="V63" i="5" s="1"/>
  <c r="U25" i="5"/>
  <c r="U63" i="5" s="1"/>
  <c r="T25" i="5"/>
  <c r="T63" i="5" s="1"/>
  <c r="S25" i="5"/>
  <c r="S63" i="5" s="1"/>
  <c r="R25" i="5"/>
  <c r="R63" i="5" s="1"/>
  <c r="Q25" i="5"/>
  <c r="Q63" i="5" s="1"/>
  <c r="P25" i="5"/>
  <c r="P63" i="5" s="1"/>
  <c r="O25" i="5"/>
  <c r="O63" i="5" s="1"/>
  <c r="N25" i="5"/>
  <c r="N63" i="5" s="1"/>
  <c r="M25" i="5"/>
  <c r="M63" i="5" s="1"/>
  <c r="L25" i="5"/>
  <c r="L63" i="5" s="1"/>
  <c r="K25" i="5"/>
  <c r="K63" i="5" s="1"/>
  <c r="J25" i="5"/>
  <c r="J63" i="5" s="1"/>
  <c r="I25" i="5"/>
  <c r="I63" i="5" s="1"/>
  <c r="H25" i="5"/>
  <c r="H63" i="5" s="1"/>
  <c r="G25" i="5"/>
  <c r="G63" i="5" s="1"/>
  <c r="F25" i="5"/>
  <c r="F63" i="5" s="1"/>
  <c r="E25" i="5"/>
  <c r="E63" i="5" s="1"/>
  <c r="D25" i="5"/>
  <c r="D63" i="5" s="1"/>
  <c r="C25" i="5"/>
  <c r="C63" i="5" s="1"/>
  <c r="B63" i="5"/>
  <c r="BA24" i="5"/>
  <c r="BA62" i="5" s="1"/>
  <c r="AZ24" i="5"/>
  <c r="AZ62" i="5" s="1"/>
  <c r="AY24" i="5"/>
  <c r="AY62" i="5" s="1"/>
  <c r="AX24" i="5"/>
  <c r="AX62" i="5" s="1"/>
  <c r="AW24" i="5"/>
  <c r="AW62" i="5" s="1"/>
  <c r="AV24" i="5"/>
  <c r="AV62" i="5" s="1"/>
  <c r="AU24" i="5"/>
  <c r="AU62" i="5" s="1"/>
  <c r="AT24" i="5"/>
  <c r="AT62" i="5" s="1"/>
  <c r="AS24" i="5"/>
  <c r="AS62" i="5" s="1"/>
  <c r="AR24" i="5"/>
  <c r="AR62" i="5" s="1"/>
  <c r="AQ24" i="5"/>
  <c r="AQ62" i="5" s="1"/>
  <c r="AP24" i="5"/>
  <c r="AP62" i="5" s="1"/>
  <c r="AO24" i="5"/>
  <c r="AO62" i="5" s="1"/>
  <c r="AN24" i="5"/>
  <c r="AN62" i="5" s="1"/>
  <c r="AM24" i="5"/>
  <c r="AM62" i="5" s="1"/>
  <c r="AL24" i="5"/>
  <c r="AL62" i="5" s="1"/>
  <c r="AK24" i="5"/>
  <c r="AK62" i="5" s="1"/>
  <c r="AJ24" i="5"/>
  <c r="AJ62" i="5" s="1"/>
  <c r="AI24" i="5"/>
  <c r="AI62" i="5" s="1"/>
  <c r="AH24" i="5"/>
  <c r="AH62" i="5" s="1"/>
  <c r="AG24" i="5"/>
  <c r="AG62" i="5" s="1"/>
  <c r="AF24" i="5"/>
  <c r="AF62" i="5" s="1"/>
  <c r="AE24" i="5"/>
  <c r="AE62" i="5" s="1"/>
  <c r="AD24" i="5"/>
  <c r="AD62" i="5" s="1"/>
  <c r="AC24" i="5"/>
  <c r="AC62" i="5" s="1"/>
  <c r="AB24" i="5"/>
  <c r="AB62" i="5" s="1"/>
  <c r="AA24" i="5"/>
  <c r="AA62" i="5" s="1"/>
  <c r="Z24" i="5"/>
  <c r="Z62" i="5" s="1"/>
  <c r="Y24" i="5"/>
  <c r="Y62" i="5" s="1"/>
  <c r="X24" i="5"/>
  <c r="X62" i="5" s="1"/>
  <c r="W24" i="5"/>
  <c r="W62" i="5" s="1"/>
  <c r="V24" i="5"/>
  <c r="V62" i="5" s="1"/>
  <c r="U24" i="5"/>
  <c r="U62" i="5" s="1"/>
  <c r="T24" i="5"/>
  <c r="T62" i="5" s="1"/>
  <c r="S24" i="5"/>
  <c r="S62" i="5" s="1"/>
  <c r="R24" i="5"/>
  <c r="R62" i="5" s="1"/>
  <c r="Q24" i="5"/>
  <c r="Q62" i="5" s="1"/>
  <c r="P24" i="5"/>
  <c r="P62" i="5" s="1"/>
  <c r="O24" i="5"/>
  <c r="O62" i="5" s="1"/>
  <c r="N24" i="5"/>
  <c r="N62" i="5" s="1"/>
  <c r="M24" i="5"/>
  <c r="M62" i="5" s="1"/>
  <c r="L24" i="5"/>
  <c r="L62" i="5" s="1"/>
  <c r="K24" i="5"/>
  <c r="K62" i="5" s="1"/>
  <c r="J24" i="5"/>
  <c r="J62" i="5" s="1"/>
  <c r="I24" i="5"/>
  <c r="I62" i="5" s="1"/>
  <c r="H24" i="5"/>
  <c r="H62" i="5" s="1"/>
  <c r="G24" i="5"/>
  <c r="G62" i="5" s="1"/>
  <c r="F24" i="5"/>
  <c r="F62" i="5" s="1"/>
  <c r="E24" i="5"/>
  <c r="E62" i="5" s="1"/>
  <c r="D24" i="5"/>
  <c r="D62" i="5" s="1"/>
  <c r="C24" i="5"/>
  <c r="C62" i="5" s="1"/>
  <c r="B62" i="5"/>
  <c r="BA23" i="5"/>
  <c r="BA61" i="5" s="1"/>
  <c r="AZ23" i="5"/>
  <c r="AZ61" i="5" s="1"/>
  <c r="AY23" i="5"/>
  <c r="AY61" i="5" s="1"/>
  <c r="AX23" i="5"/>
  <c r="AX61" i="5" s="1"/>
  <c r="AW23" i="5"/>
  <c r="AW61" i="5" s="1"/>
  <c r="AV23" i="5"/>
  <c r="AV61" i="5" s="1"/>
  <c r="AU23" i="5"/>
  <c r="AU61" i="5" s="1"/>
  <c r="AT23" i="5"/>
  <c r="AT61" i="5" s="1"/>
  <c r="AS23" i="5"/>
  <c r="AS61" i="5" s="1"/>
  <c r="AR23" i="5"/>
  <c r="AR61" i="5" s="1"/>
  <c r="AQ23" i="5"/>
  <c r="AQ61" i="5" s="1"/>
  <c r="AP23" i="5"/>
  <c r="AP61" i="5" s="1"/>
  <c r="AO23" i="5"/>
  <c r="AO61" i="5" s="1"/>
  <c r="AN23" i="5"/>
  <c r="AN61" i="5" s="1"/>
  <c r="AM23" i="5"/>
  <c r="AM61" i="5" s="1"/>
  <c r="AL23" i="5"/>
  <c r="AL61" i="5" s="1"/>
  <c r="AK23" i="5"/>
  <c r="AK61" i="5" s="1"/>
  <c r="AJ23" i="5"/>
  <c r="AJ61" i="5" s="1"/>
  <c r="AI23" i="5"/>
  <c r="AI61" i="5" s="1"/>
  <c r="AH23" i="5"/>
  <c r="AH61" i="5" s="1"/>
  <c r="AG23" i="5"/>
  <c r="AG61" i="5" s="1"/>
  <c r="AF23" i="5"/>
  <c r="AF61" i="5" s="1"/>
  <c r="AE23" i="5"/>
  <c r="AE61" i="5" s="1"/>
  <c r="AD23" i="5"/>
  <c r="AD61" i="5" s="1"/>
  <c r="AC23" i="5"/>
  <c r="AC61" i="5" s="1"/>
  <c r="AB23" i="5"/>
  <c r="AB61" i="5" s="1"/>
  <c r="AA23" i="5"/>
  <c r="AA61" i="5" s="1"/>
  <c r="Z23" i="5"/>
  <c r="Z61" i="5" s="1"/>
  <c r="Y23" i="5"/>
  <c r="Y61" i="5" s="1"/>
  <c r="X23" i="5"/>
  <c r="X61" i="5" s="1"/>
  <c r="W23" i="5"/>
  <c r="W61" i="5" s="1"/>
  <c r="V23" i="5"/>
  <c r="V61" i="5" s="1"/>
  <c r="U23" i="5"/>
  <c r="U61" i="5" s="1"/>
  <c r="T23" i="5"/>
  <c r="T61" i="5" s="1"/>
  <c r="S23" i="5"/>
  <c r="S61" i="5" s="1"/>
  <c r="R23" i="5"/>
  <c r="R61" i="5" s="1"/>
  <c r="Q23" i="5"/>
  <c r="Q61" i="5" s="1"/>
  <c r="P23" i="5"/>
  <c r="P61" i="5" s="1"/>
  <c r="O23" i="5"/>
  <c r="O61" i="5" s="1"/>
  <c r="N23" i="5"/>
  <c r="N61" i="5" s="1"/>
  <c r="M23" i="5"/>
  <c r="M61" i="5" s="1"/>
  <c r="L23" i="5"/>
  <c r="L61" i="5" s="1"/>
  <c r="K23" i="5"/>
  <c r="K61" i="5" s="1"/>
  <c r="J23" i="5"/>
  <c r="J61" i="5" s="1"/>
  <c r="I23" i="5"/>
  <c r="I61" i="5" s="1"/>
  <c r="H23" i="5"/>
  <c r="H61" i="5" s="1"/>
  <c r="G23" i="5"/>
  <c r="G61" i="5" s="1"/>
  <c r="F23" i="5"/>
  <c r="F61" i="5" s="1"/>
  <c r="E23" i="5"/>
  <c r="E61" i="5" s="1"/>
  <c r="D23" i="5"/>
  <c r="D61" i="5" s="1"/>
  <c r="C23" i="5"/>
  <c r="C61" i="5" s="1"/>
  <c r="B61" i="5"/>
  <c r="BA22" i="5"/>
  <c r="BA60" i="5" s="1"/>
  <c r="AZ22" i="5"/>
  <c r="AZ60" i="5" s="1"/>
  <c r="AY22" i="5"/>
  <c r="AY60" i="5" s="1"/>
  <c r="AX22" i="5"/>
  <c r="AX60" i="5" s="1"/>
  <c r="AW22" i="5"/>
  <c r="AW60" i="5" s="1"/>
  <c r="AV22" i="5"/>
  <c r="AV60" i="5" s="1"/>
  <c r="AU22" i="5"/>
  <c r="AU60" i="5" s="1"/>
  <c r="AT22" i="5"/>
  <c r="AT60" i="5" s="1"/>
  <c r="AS22" i="5"/>
  <c r="AS60" i="5" s="1"/>
  <c r="AR22" i="5"/>
  <c r="AR60" i="5" s="1"/>
  <c r="AQ22" i="5"/>
  <c r="AQ60" i="5" s="1"/>
  <c r="AP22" i="5"/>
  <c r="AP60" i="5" s="1"/>
  <c r="AO22" i="5"/>
  <c r="AO60" i="5" s="1"/>
  <c r="AN22" i="5"/>
  <c r="AN60" i="5" s="1"/>
  <c r="AM22" i="5"/>
  <c r="AM60" i="5" s="1"/>
  <c r="AL22" i="5"/>
  <c r="AL60" i="5" s="1"/>
  <c r="AK22" i="5"/>
  <c r="AK60" i="5" s="1"/>
  <c r="AJ22" i="5"/>
  <c r="AJ60" i="5" s="1"/>
  <c r="AI22" i="5"/>
  <c r="AI60" i="5" s="1"/>
  <c r="AH22" i="5"/>
  <c r="AH60" i="5" s="1"/>
  <c r="AG22" i="5"/>
  <c r="AG60" i="5" s="1"/>
  <c r="AF22" i="5"/>
  <c r="AF60" i="5" s="1"/>
  <c r="AE22" i="5"/>
  <c r="AE60" i="5" s="1"/>
  <c r="AD22" i="5"/>
  <c r="AD60" i="5" s="1"/>
  <c r="AC22" i="5"/>
  <c r="AC60" i="5" s="1"/>
  <c r="AB22" i="5"/>
  <c r="AB60" i="5" s="1"/>
  <c r="AA22" i="5"/>
  <c r="AA60" i="5" s="1"/>
  <c r="Z22" i="5"/>
  <c r="Z60" i="5" s="1"/>
  <c r="Y22" i="5"/>
  <c r="Y60" i="5" s="1"/>
  <c r="X22" i="5"/>
  <c r="X60" i="5" s="1"/>
  <c r="W22" i="5"/>
  <c r="W60" i="5" s="1"/>
  <c r="V22" i="5"/>
  <c r="V60" i="5" s="1"/>
  <c r="U22" i="5"/>
  <c r="U60" i="5" s="1"/>
  <c r="T22" i="5"/>
  <c r="T60" i="5" s="1"/>
  <c r="S22" i="5"/>
  <c r="S60" i="5" s="1"/>
  <c r="R22" i="5"/>
  <c r="R60" i="5" s="1"/>
  <c r="Q22" i="5"/>
  <c r="Q60" i="5" s="1"/>
  <c r="P22" i="5"/>
  <c r="P60" i="5" s="1"/>
  <c r="O22" i="5"/>
  <c r="O60" i="5" s="1"/>
  <c r="N22" i="5"/>
  <c r="N60" i="5" s="1"/>
  <c r="M22" i="5"/>
  <c r="M60" i="5" s="1"/>
  <c r="L22" i="5"/>
  <c r="L60" i="5" s="1"/>
  <c r="K22" i="5"/>
  <c r="K60" i="5" s="1"/>
  <c r="J22" i="5"/>
  <c r="J60" i="5" s="1"/>
  <c r="I22" i="5"/>
  <c r="I60" i="5" s="1"/>
  <c r="H22" i="5"/>
  <c r="H60" i="5" s="1"/>
  <c r="G22" i="5"/>
  <c r="G60" i="5" s="1"/>
  <c r="F22" i="5"/>
  <c r="F60" i="5" s="1"/>
  <c r="E22" i="5"/>
  <c r="E60" i="5" s="1"/>
  <c r="D22" i="5"/>
  <c r="D60" i="5" s="1"/>
  <c r="C22" i="5"/>
  <c r="C60" i="5" s="1"/>
  <c r="B60" i="5"/>
  <c r="BA21" i="5"/>
  <c r="BA59" i="5" s="1"/>
  <c r="AZ21" i="5"/>
  <c r="AZ59" i="5" s="1"/>
  <c r="AY21" i="5"/>
  <c r="AY59" i="5" s="1"/>
  <c r="AX21" i="5"/>
  <c r="AX59" i="5" s="1"/>
  <c r="AW21" i="5"/>
  <c r="AW59" i="5" s="1"/>
  <c r="AV21" i="5"/>
  <c r="AV59" i="5" s="1"/>
  <c r="AU21" i="5"/>
  <c r="AU59" i="5" s="1"/>
  <c r="AT21" i="5"/>
  <c r="AT59" i="5" s="1"/>
  <c r="AS21" i="5"/>
  <c r="AS59" i="5" s="1"/>
  <c r="AR21" i="5"/>
  <c r="AR59" i="5" s="1"/>
  <c r="AQ21" i="5"/>
  <c r="AQ59" i="5" s="1"/>
  <c r="AP21" i="5"/>
  <c r="AP59" i="5" s="1"/>
  <c r="AO21" i="5"/>
  <c r="AO59" i="5" s="1"/>
  <c r="AN21" i="5"/>
  <c r="AN59" i="5" s="1"/>
  <c r="AM21" i="5"/>
  <c r="AM59" i="5" s="1"/>
  <c r="AL21" i="5"/>
  <c r="AL59" i="5" s="1"/>
  <c r="AK21" i="5"/>
  <c r="AK59" i="5" s="1"/>
  <c r="AJ21" i="5"/>
  <c r="AJ59" i="5" s="1"/>
  <c r="AI21" i="5"/>
  <c r="AI59" i="5" s="1"/>
  <c r="AH21" i="5"/>
  <c r="AH59" i="5" s="1"/>
  <c r="AG21" i="5"/>
  <c r="AG59" i="5" s="1"/>
  <c r="AF21" i="5"/>
  <c r="AF59" i="5" s="1"/>
  <c r="AE21" i="5"/>
  <c r="AE59" i="5" s="1"/>
  <c r="AD21" i="5"/>
  <c r="AD59" i="5" s="1"/>
  <c r="AC21" i="5"/>
  <c r="AC59" i="5" s="1"/>
  <c r="AB21" i="5"/>
  <c r="AB59" i="5" s="1"/>
  <c r="AA21" i="5"/>
  <c r="AA59" i="5" s="1"/>
  <c r="Z21" i="5"/>
  <c r="Z59" i="5" s="1"/>
  <c r="Y21" i="5"/>
  <c r="Y59" i="5" s="1"/>
  <c r="X21" i="5"/>
  <c r="X59" i="5" s="1"/>
  <c r="W21" i="5"/>
  <c r="W59" i="5" s="1"/>
  <c r="V21" i="5"/>
  <c r="V59" i="5" s="1"/>
  <c r="U21" i="5"/>
  <c r="U59" i="5" s="1"/>
  <c r="T21" i="5"/>
  <c r="T59" i="5" s="1"/>
  <c r="S21" i="5"/>
  <c r="S59" i="5" s="1"/>
  <c r="R21" i="5"/>
  <c r="R59" i="5" s="1"/>
  <c r="Q21" i="5"/>
  <c r="Q59" i="5" s="1"/>
  <c r="P21" i="5"/>
  <c r="P59" i="5" s="1"/>
  <c r="O21" i="5"/>
  <c r="O59" i="5" s="1"/>
  <c r="N21" i="5"/>
  <c r="N59" i="5" s="1"/>
  <c r="M21" i="5"/>
  <c r="M59" i="5" s="1"/>
  <c r="L21" i="5"/>
  <c r="L59" i="5" s="1"/>
  <c r="K21" i="5"/>
  <c r="K59" i="5" s="1"/>
  <c r="J21" i="5"/>
  <c r="J59" i="5" s="1"/>
  <c r="I21" i="5"/>
  <c r="I59" i="5" s="1"/>
  <c r="H21" i="5"/>
  <c r="H59" i="5" s="1"/>
  <c r="G21" i="5"/>
  <c r="G59" i="5" s="1"/>
  <c r="F21" i="5"/>
  <c r="F59" i="5" s="1"/>
  <c r="E21" i="5"/>
  <c r="E59" i="5" s="1"/>
  <c r="D21" i="5"/>
  <c r="D59" i="5" s="1"/>
  <c r="C21" i="5"/>
  <c r="C59" i="5" s="1"/>
  <c r="B59" i="5"/>
  <c r="BA20" i="5"/>
  <c r="BA58" i="5" s="1"/>
  <c r="AZ20" i="5"/>
  <c r="AZ58" i="5" s="1"/>
  <c r="AY20" i="5"/>
  <c r="AY58" i="5" s="1"/>
  <c r="AX20" i="5"/>
  <c r="AX58" i="5" s="1"/>
  <c r="AW20" i="5"/>
  <c r="AW58" i="5" s="1"/>
  <c r="AV20" i="5"/>
  <c r="AV58" i="5" s="1"/>
  <c r="AU20" i="5"/>
  <c r="AU58" i="5" s="1"/>
  <c r="AT20" i="5"/>
  <c r="AT58" i="5" s="1"/>
  <c r="AS20" i="5"/>
  <c r="AS58" i="5" s="1"/>
  <c r="AR20" i="5"/>
  <c r="AR58" i="5" s="1"/>
  <c r="AQ20" i="5"/>
  <c r="AQ58" i="5" s="1"/>
  <c r="AP20" i="5"/>
  <c r="AP58" i="5" s="1"/>
  <c r="AO20" i="5"/>
  <c r="AO58" i="5" s="1"/>
  <c r="AN20" i="5"/>
  <c r="AN58" i="5" s="1"/>
  <c r="AM20" i="5"/>
  <c r="AM58" i="5" s="1"/>
  <c r="AL20" i="5"/>
  <c r="AL58" i="5" s="1"/>
  <c r="AK20" i="5"/>
  <c r="AK58" i="5" s="1"/>
  <c r="AJ20" i="5"/>
  <c r="AJ58" i="5" s="1"/>
  <c r="AI20" i="5"/>
  <c r="AI58" i="5" s="1"/>
  <c r="AH20" i="5"/>
  <c r="AH58" i="5" s="1"/>
  <c r="AG20" i="5"/>
  <c r="AG58" i="5" s="1"/>
  <c r="AF20" i="5"/>
  <c r="AF58" i="5" s="1"/>
  <c r="AE20" i="5"/>
  <c r="AE58" i="5" s="1"/>
  <c r="AD20" i="5"/>
  <c r="AD58" i="5" s="1"/>
  <c r="AC20" i="5"/>
  <c r="AC58" i="5" s="1"/>
  <c r="AB20" i="5"/>
  <c r="AB58" i="5" s="1"/>
  <c r="AA20" i="5"/>
  <c r="AA58" i="5" s="1"/>
  <c r="Z20" i="5"/>
  <c r="Z58" i="5" s="1"/>
  <c r="Y20" i="5"/>
  <c r="Y58" i="5" s="1"/>
  <c r="X20" i="5"/>
  <c r="X58" i="5" s="1"/>
  <c r="W20" i="5"/>
  <c r="W58" i="5" s="1"/>
  <c r="V20" i="5"/>
  <c r="V58" i="5" s="1"/>
  <c r="U20" i="5"/>
  <c r="U58" i="5" s="1"/>
  <c r="T20" i="5"/>
  <c r="T58" i="5" s="1"/>
  <c r="S20" i="5"/>
  <c r="S58" i="5" s="1"/>
  <c r="R20" i="5"/>
  <c r="R58" i="5" s="1"/>
  <c r="Q20" i="5"/>
  <c r="Q58" i="5" s="1"/>
  <c r="P20" i="5"/>
  <c r="P58" i="5" s="1"/>
  <c r="O20" i="5"/>
  <c r="O58" i="5" s="1"/>
  <c r="N20" i="5"/>
  <c r="N58" i="5" s="1"/>
  <c r="M20" i="5"/>
  <c r="M58" i="5" s="1"/>
  <c r="L20" i="5"/>
  <c r="L58" i="5" s="1"/>
  <c r="K20" i="5"/>
  <c r="K58" i="5" s="1"/>
  <c r="J20" i="5"/>
  <c r="J58" i="5" s="1"/>
  <c r="I20" i="5"/>
  <c r="I58" i="5" s="1"/>
  <c r="H20" i="5"/>
  <c r="H58" i="5" s="1"/>
  <c r="G20" i="5"/>
  <c r="G58" i="5" s="1"/>
  <c r="F20" i="5"/>
  <c r="F58" i="5" s="1"/>
  <c r="E20" i="5"/>
  <c r="E58" i="5" s="1"/>
  <c r="D20" i="5"/>
  <c r="D58" i="5" s="1"/>
  <c r="C20" i="5"/>
  <c r="C58" i="5" s="1"/>
  <c r="B58" i="5"/>
  <c r="BA19" i="5"/>
  <c r="BA57" i="5" s="1"/>
  <c r="AZ19" i="5"/>
  <c r="AZ57" i="5" s="1"/>
  <c r="AY19" i="5"/>
  <c r="AY57" i="5" s="1"/>
  <c r="AX19" i="5"/>
  <c r="AX57" i="5" s="1"/>
  <c r="AW19" i="5"/>
  <c r="AW57" i="5" s="1"/>
  <c r="AV19" i="5"/>
  <c r="AV57" i="5" s="1"/>
  <c r="AU19" i="5"/>
  <c r="AU57" i="5" s="1"/>
  <c r="AT19" i="5"/>
  <c r="AT57" i="5" s="1"/>
  <c r="AS19" i="5"/>
  <c r="AS57" i="5" s="1"/>
  <c r="AR19" i="5"/>
  <c r="AR57" i="5" s="1"/>
  <c r="AQ19" i="5"/>
  <c r="AQ57" i="5" s="1"/>
  <c r="AP19" i="5"/>
  <c r="AP57" i="5" s="1"/>
  <c r="AO19" i="5"/>
  <c r="AO57" i="5" s="1"/>
  <c r="AN19" i="5"/>
  <c r="AN57" i="5" s="1"/>
  <c r="AM19" i="5"/>
  <c r="AM57" i="5" s="1"/>
  <c r="AL19" i="5"/>
  <c r="AL57" i="5" s="1"/>
  <c r="AK19" i="5"/>
  <c r="AK57" i="5" s="1"/>
  <c r="AJ19" i="5"/>
  <c r="AJ57" i="5" s="1"/>
  <c r="AI19" i="5"/>
  <c r="AI57" i="5" s="1"/>
  <c r="AH19" i="5"/>
  <c r="AH57" i="5" s="1"/>
  <c r="AG19" i="5"/>
  <c r="AG57" i="5" s="1"/>
  <c r="AF19" i="5"/>
  <c r="AF57" i="5" s="1"/>
  <c r="AE19" i="5"/>
  <c r="AE57" i="5" s="1"/>
  <c r="AD19" i="5"/>
  <c r="AD57" i="5" s="1"/>
  <c r="AC19" i="5"/>
  <c r="AC57" i="5" s="1"/>
  <c r="AB19" i="5"/>
  <c r="AB57" i="5" s="1"/>
  <c r="AA19" i="5"/>
  <c r="AA57" i="5" s="1"/>
  <c r="Z19" i="5"/>
  <c r="Z57" i="5" s="1"/>
  <c r="Y19" i="5"/>
  <c r="Y57" i="5" s="1"/>
  <c r="X19" i="5"/>
  <c r="X57" i="5" s="1"/>
  <c r="W19" i="5"/>
  <c r="W57" i="5" s="1"/>
  <c r="V19" i="5"/>
  <c r="V57" i="5" s="1"/>
  <c r="U19" i="5"/>
  <c r="U57" i="5" s="1"/>
  <c r="T19" i="5"/>
  <c r="T57" i="5" s="1"/>
  <c r="S19" i="5"/>
  <c r="S57" i="5" s="1"/>
  <c r="R19" i="5"/>
  <c r="R57" i="5" s="1"/>
  <c r="Q19" i="5"/>
  <c r="Q57" i="5" s="1"/>
  <c r="P19" i="5"/>
  <c r="P57" i="5" s="1"/>
  <c r="O19" i="5"/>
  <c r="O57" i="5" s="1"/>
  <c r="N19" i="5"/>
  <c r="N57" i="5" s="1"/>
  <c r="M19" i="5"/>
  <c r="M57" i="5" s="1"/>
  <c r="L19" i="5"/>
  <c r="L57" i="5" s="1"/>
  <c r="K19" i="5"/>
  <c r="K57" i="5" s="1"/>
  <c r="J19" i="5"/>
  <c r="J57" i="5" s="1"/>
  <c r="I19" i="5"/>
  <c r="I57" i="5" s="1"/>
  <c r="H19" i="5"/>
  <c r="H57" i="5" s="1"/>
  <c r="G19" i="5"/>
  <c r="G57" i="5" s="1"/>
  <c r="F19" i="5"/>
  <c r="F57" i="5" s="1"/>
  <c r="E19" i="5"/>
  <c r="E57" i="5" s="1"/>
  <c r="D19" i="5"/>
  <c r="D57" i="5" s="1"/>
  <c r="C19" i="5"/>
  <c r="C57" i="5" s="1"/>
  <c r="B57" i="5"/>
  <c r="BA18" i="5"/>
  <c r="BA56" i="5" s="1"/>
  <c r="AZ18" i="5"/>
  <c r="AZ56" i="5" s="1"/>
  <c r="AY18" i="5"/>
  <c r="AY56" i="5" s="1"/>
  <c r="AX18" i="5"/>
  <c r="AX56" i="5" s="1"/>
  <c r="AW18" i="5"/>
  <c r="AW56" i="5" s="1"/>
  <c r="AV18" i="5"/>
  <c r="AV56" i="5" s="1"/>
  <c r="AU18" i="5"/>
  <c r="AU56" i="5" s="1"/>
  <c r="AT18" i="5"/>
  <c r="AT56" i="5" s="1"/>
  <c r="AS18" i="5"/>
  <c r="AS56" i="5" s="1"/>
  <c r="AR18" i="5"/>
  <c r="AR56" i="5" s="1"/>
  <c r="AQ18" i="5"/>
  <c r="AQ56" i="5" s="1"/>
  <c r="AP18" i="5"/>
  <c r="AP56" i="5" s="1"/>
  <c r="AO18" i="5"/>
  <c r="AO56" i="5" s="1"/>
  <c r="AN18" i="5"/>
  <c r="AN56" i="5" s="1"/>
  <c r="AM18" i="5"/>
  <c r="AM56" i="5" s="1"/>
  <c r="AL18" i="5"/>
  <c r="AL56" i="5" s="1"/>
  <c r="AK18" i="5"/>
  <c r="AK56" i="5" s="1"/>
  <c r="AJ18" i="5"/>
  <c r="AJ56" i="5" s="1"/>
  <c r="AI18" i="5"/>
  <c r="AI56" i="5" s="1"/>
  <c r="AH18" i="5"/>
  <c r="AH56" i="5" s="1"/>
  <c r="AG18" i="5"/>
  <c r="AG56" i="5" s="1"/>
  <c r="AF18" i="5"/>
  <c r="AF56" i="5" s="1"/>
  <c r="AE18" i="5"/>
  <c r="AE56" i="5" s="1"/>
  <c r="AD18" i="5"/>
  <c r="AD56" i="5" s="1"/>
  <c r="AC18" i="5"/>
  <c r="AC56" i="5" s="1"/>
  <c r="AB18" i="5"/>
  <c r="AB56" i="5" s="1"/>
  <c r="AA18" i="5"/>
  <c r="AA56" i="5" s="1"/>
  <c r="Z18" i="5"/>
  <c r="Z56" i="5" s="1"/>
  <c r="Y18" i="5"/>
  <c r="Y56" i="5" s="1"/>
  <c r="X18" i="5"/>
  <c r="X56" i="5" s="1"/>
  <c r="W18" i="5"/>
  <c r="W56" i="5" s="1"/>
  <c r="V18" i="5"/>
  <c r="V56" i="5" s="1"/>
  <c r="U18" i="5"/>
  <c r="U56" i="5" s="1"/>
  <c r="T18" i="5"/>
  <c r="T56" i="5" s="1"/>
  <c r="S18" i="5"/>
  <c r="S56" i="5" s="1"/>
  <c r="R18" i="5"/>
  <c r="R56" i="5" s="1"/>
  <c r="Q18" i="5"/>
  <c r="Q56" i="5" s="1"/>
  <c r="P18" i="5"/>
  <c r="P56" i="5" s="1"/>
  <c r="O18" i="5"/>
  <c r="O56" i="5" s="1"/>
  <c r="N18" i="5"/>
  <c r="N56" i="5" s="1"/>
  <c r="M18" i="5"/>
  <c r="M56" i="5" s="1"/>
  <c r="L18" i="5"/>
  <c r="L56" i="5" s="1"/>
  <c r="K18" i="5"/>
  <c r="K56" i="5" s="1"/>
  <c r="J18" i="5"/>
  <c r="J56" i="5" s="1"/>
  <c r="I18" i="5"/>
  <c r="I56" i="5" s="1"/>
  <c r="H18" i="5"/>
  <c r="H56" i="5" s="1"/>
  <c r="G18" i="5"/>
  <c r="G56" i="5" s="1"/>
  <c r="F18" i="5"/>
  <c r="F56" i="5" s="1"/>
  <c r="E18" i="5"/>
  <c r="E56" i="5" s="1"/>
  <c r="D18" i="5"/>
  <c r="D56" i="5" s="1"/>
  <c r="C18" i="5"/>
  <c r="C56" i="5" s="1"/>
  <c r="B56" i="5"/>
  <c r="BA17" i="5"/>
  <c r="BA55" i="5" s="1"/>
  <c r="AZ17" i="5"/>
  <c r="AZ55" i="5" s="1"/>
  <c r="AY17" i="5"/>
  <c r="AY55" i="5" s="1"/>
  <c r="AX17" i="5"/>
  <c r="AX55" i="5" s="1"/>
  <c r="AW17" i="5"/>
  <c r="AW55" i="5" s="1"/>
  <c r="AV17" i="5"/>
  <c r="AV55" i="5" s="1"/>
  <c r="AU17" i="5"/>
  <c r="AU55" i="5" s="1"/>
  <c r="AT17" i="5"/>
  <c r="AT55" i="5" s="1"/>
  <c r="AS17" i="5"/>
  <c r="AS55" i="5" s="1"/>
  <c r="AR17" i="5"/>
  <c r="AR55" i="5" s="1"/>
  <c r="AQ17" i="5"/>
  <c r="AQ55" i="5" s="1"/>
  <c r="AP17" i="5"/>
  <c r="AP55" i="5" s="1"/>
  <c r="AO17" i="5"/>
  <c r="AO55" i="5" s="1"/>
  <c r="AN17" i="5"/>
  <c r="AN55" i="5" s="1"/>
  <c r="AM17" i="5"/>
  <c r="AM55" i="5" s="1"/>
  <c r="AL17" i="5"/>
  <c r="AL55" i="5" s="1"/>
  <c r="AK17" i="5"/>
  <c r="AK55" i="5" s="1"/>
  <c r="AJ17" i="5"/>
  <c r="AJ55" i="5" s="1"/>
  <c r="AI17" i="5"/>
  <c r="AI55" i="5" s="1"/>
  <c r="AH17" i="5"/>
  <c r="AH55" i="5" s="1"/>
  <c r="AG17" i="5"/>
  <c r="AG55" i="5" s="1"/>
  <c r="AF17" i="5"/>
  <c r="AF55" i="5" s="1"/>
  <c r="AE17" i="5"/>
  <c r="AE55" i="5" s="1"/>
  <c r="AD17" i="5"/>
  <c r="AD55" i="5" s="1"/>
  <c r="AC17" i="5"/>
  <c r="AC55" i="5" s="1"/>
  <c r="AB17" i="5"/>
  <c r="AB55" i="5" s="1"/>
  <c r="AA17" i="5"/>
  <c r="AA55" i="5" s="1"/>
  <c r="Z17" i="5"/>
  <c r="Z55" i="5" s="1"/>
  <c r="Y17" i="5"/>
  <c r="Y55" i="5" s="1"/>
  <c r="X17" i="5"/>
  <c r="X55" i="5" s="1"/>
  <c r="W17" i="5"/>
  <c r="W55" i="5" s="1"/>
  <c r="V17" i="5"/>
  <c r="V55" i="5" s="1"/>
  <c r="U17" i="5"/>
  <c r="U55" i="5" s="1"/>
  <c r="T17" i="5"/>
  <c r="T55" i="5" s="1"/>
  <c r="S17" i="5"/>
  <c r="S55" i="5" s="1"/>
  <c r="R17" i="5"/>
  <c r="R55" i="5" s="1"/>
  <c r="Q17" i="5"/>
  <c r="Q55" i="5" s="1"/>
  <c r="P17" i="5"/>
  <c r="P55" i="5" s="1"/>
  <c r="O17" i="5"/>
  <c r="O55" i="5" s="1"/>
  <c r="N17" i="5"/>
  <c r="N55" i="5" s="1"/>
  <c r="M17" i="5"/>
  <c r="M55" i="5" s="1"/>
  <c r="L17" i="5"/>
  <c r="L55" i="5" s="1"/>
  <c r="K17" i="5"/>
  <c r="K55" i="5" s="1"/>
  <c r="J17" i="5"/>
  <c r="J55" i="5" s="1"/>
  <c r="I17" i="5"/>
  <c r="I55" i="5" s="1"/>
  <c r="H17" i="5"/>
  <c r="H55" i="5" s="1"/>
  <c r="G17" i="5"/>
  <c r="G55" i="5" s="1"/>
  <c r="F17" i="5"/>
  <c r="F55" i="5" s="1"/>
  <c r="E17" i="5"/>
  <c r="E55" i="5" s="1"/>
  <c r="D17" i="5"/>
  <c r="D55" i="5" s="1"/>
  <c r="C17" i="5"/>
  <c r="C55" i="5" s="1"/>
  <c r="B55" i="5"/>
  <c r="BA16" i="5"/>
  <c r="BA54" i="5" s="1"/>
  <c r="AZ16" i="5"/>
  <c r="AZ54" i="5" s="1"/>
  <c r="AY16" i="5"/>
  <c r="AY54" i="5" s="1"/>
  <c r="AX16" i="5"/>
  <c r="AX54" i="5" s="1"/>
  <c r="AW16" i="5"/>
  <c r="AW54" i="5" s="1"/>
  <c r="AV16" i="5"/>
  <c r="AV54" i="5" s="1"/>
  <c r="AU16" i="5"/>
  <c r="AU54" i="5" s="1"/>
  <c r="AT16" i="5"/>
  <c r="AT54" i="5" s="1"/>
  <c r="AS16" i="5"/>
  <c r="AS54" i="5" s="1"/>
  <c r="AR16" i="5"/>
  <c r="AR54" i="5" s="1"/>
  <c r="AQ16" i="5"/>
  <c r="AQ54" i="5" s="1"/>
  <c r="AP16" i="5"/>
  <c r="AP54" i="5" s="1"/>
  <c r="AO16" i="5"/>
  <c r="AO54" i="5" s="1"/>
  <c r="AN16" i="5"/>
  <c r="AN54" i="5" s="1"/>
  <c r="AM16" i="5"/>
  <c r="AM54" i="5" s="1"/>
  <c r="AL16" i="5"/>
  <c r="AL54" i="5" s="1"/>
  <c r="AK16" i="5"/>
  <c r="AK54" i="5" s="1"/>
  <c r="AJ16" i="5"/>
  <c r="AJ54" i="5" s="1"/>
  <c r="AI16" i="5"/>
  <c r="AI54" i="5" s="1"/>
  <c r="AH16" i="5"/>
  <c r="AH54" i="5" s="1"/>
  <c r="AG16" i="5"/>
  <c r="AG54" i="5" s="1"/>
  <c r="AF16" i="5"/>
  <c r="AF54" i="5" s="1"/>
  <c r="AE16" i="5"/>
  <c r="AE54" i="5" s="1"/>
  <c r="AD16" i="5"/>
  <c r="AD54" i="5" s="1"/>
  <c r="AC16" i="5"/>
  <c r="AC54" i="5" s="1"/>
  <c r="AB16" i="5"/>
  <c r="AB54" i="5" s="1"/>
  <c r="AA16" i="5"/>
  <c r="AA54" i="5" s="1"/>
  <c r="Z16" i="5"/>
  <c r="Z54" i="5" s="1"/>
  <c r="Y16" i="5"/>
  <c r="Y54" i="5" s="1"/>
  <c r="X16" i="5"/>
  <c r="X54" i="5" s="1"/>
  <c r="W16" i="5"/>
  <c r="W54" i="5" s="1"/>
  <c r="V16" i="5"/>
  <c r="V54" i="5" s="1"/>
  <c r="U16" i="5"/>
  <c r="U54" i="5" s="1"/>
  <c r="T16" i="5"/>
  <c r="T54" i="5" s="1"/>
  <c r="S16" i="5"/>
  <c r="S54" i="5" s="1"/>
  <c r="R16" i="5"/>
  <c r="R54" i="5" s="1"/>
  <c r="Q16" i="5"/>
  <c r="Q54" i="5" s="1"/>
  <c r="P16" i="5"/>
  <c r="P54" i="5" s="1"/>
  <c r="O16" i="5"/>
  <c r="O54" i="5" s="1"/>
  <c r="N16" i="5"/>
  <c r="N54" i="5" s="1"/>
  <c r="M16" i="5"/>
  <c r="M54" i="5" s="1"/>
  <c r="L16" i="5"/>
  <c r="L54" i="5" s="1"/>
  <c r="K16" i="5"/>
  <c r="K54" i="5" s="1"/>
  <c r="J16" i="5"/>
  <c r="J54" i="5" s="1"/>
  <c r="I16" i="5"/>
  <c r="I54" i="5" s="1"/>
  <c r="H16" i="5"/>
  <c r="H54" i="5" s="1"/>
  <c r="G16" i="5"/>
  <c r="G54" i="5" s="1"/>
  <c r="F16" i="5"/>
  <c r="F54" i="5" s="1"/>
  <c r="E16" i="5"/>
  <c r="E54" i="5" s="1"/>
  <c r="D16" i="5"/>
  <c r="D54" i="5" s="1"/>
  <c r="C16" i="5"/>
  <c r="C54" i="5" s="1"/>
  <c r="B54" i="5"/>
  <c r="BA15" i="5"/>
  <c r="BA53" i="5" s="1"/>
  <c r="AZ15" i="5"/>
  <c r="AZ53" i="5" s="1"/>
  <c r="AY15" i="5"/>
  <c r="AY53" i="5" s="1"/>
  <c r="AX15" i="5"/>
  <c r="AX53" i="5" s="1"/>
  <c r="AW15" i="5"/>
  <c r="AW53" i="5" s="1"/>
  <c r="AV15" i="5"/>
  <c r="AV53" i="5" s="1"/>
  <c r="AU15" i="5"/>
  <c r="AU53" i="5" s="1"/>
  <c r="AT15" i="5"/>
  <c r="AT53" i="5" s="1"/>
  <c r="AS15" i="5"/>
  <c r="AS53" i="5" s="1"/>
  <c r="AR15" i="5"/>
  <c r="AR53" i="5" s="1"/>
  <c r="AQ15" i="5"/>
  <c r="AQ53" i="5" s="1"/>
  <c r="AP15" i="5"/>
  <c r="AP53" i="5" s="1"/>
  <c r="AO15" i="5"/>
  <c r="AO53" i="5" s="1"/>
  <c r="AN15" i="5"/>
  <c r="AN53" i="5" s="1"/>
  <c r="AM15"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I15" i="5"/>
  <c r="H15" i="5"/>
  <c r="G15" i="5"/>
  <c r="F15" i="5"/>
  <c r="E15" i="5"/>
  <c r="D15" i="5"/>
  <c r="C15" i="5"/>
  <c r="BA14" i="5"/>
  <c r="AZ14" i="5"/>
  <c r="AY14" i="5"/>
  <c r="AX14" i="5"/>
  <c r="AW14" i="5"/>
  <c r="AV14" i="5"/>
  <c r="AU14" i="5"/>
  <c r="AT14" i="5"/>
  <c r="AS14" i="5"/>
  <c r="AR14" i="5"/>
  <c r="AQ14" i="5"/>
  <c r="AP14" i="5"/>
  <c r="AO14" i="5"/>
  <c r="AN14" i="5"/>
  <c r="AM14" i="5"/>
  <c r="AM52" i="5" s="1"/>
  <c r="AL14" i="5"/>
  <c r="AL52" i="5" s="1"/>
  <c r="AK14" i="5"/>
  <c r="AK52" i="5" s="1"/>
  <c r="AJ14" i="5"/>
  <c r="AJ52" i="5" s="1"/>
  <c r="AI14" i="5"/>
  <c r="AI52" i="5" s="1"/>
  <c r="AH14" i="5"/>
  <c r="AH52" i="5" s="1"/>
  <c r="AG14" i="5"/>
  <c r="AG52" i="5" s="1"/>
  <c r="AF14" i="5"/>
  <c r="AF52" i="5" s="1"/>
  <c r="AE14" i="5"/>
  <c r="AE52" i="5" s="1"/>
  <c r="AD14" i="5"/>
  <c r="AD52" i="5" s="1"/>
  <c r="AC14" i="5"/>
  <c r="AC52" i="5" s="1"/>
  <c r="AB14" i="5"/>
  <c r="AB52" i="5" s="1"/>
  <c r="AA14" i="5"/>
  <c r="AA52" i="5" s="1"/>
  <c r="Z14" i="5"/>
  <c r="Z52" i="5" s="1"/>
  <c r="Y14" i="5"/>
  <c r="Y52" i="5" s="1"/>
  <c r="X14" i="5"/>
  <c r="X52" i="5" s="1"/>
  <c r="W14" i="5"/>
  <c r="W52" i="5" s="1"/>
  <c r="V14" i="5"/>
  <c r="V52" i="5" s="1"/>
  <c r="U14" i="5"/>
  <c r="U52" i="5" s="1"/>
  <c r="T14" i="5"/>
  <c r="T52" i="5" s="1"/>
  <c r="S14" i="5"/>
  <c r="S52" i="5" s="1"/>
  <c r="R14" i="5"/>
  <c r="R52" i="5" s="1"/>
  <c r="Q14" i="5"/>
  <c r="Q52" i="5" s="1"/>
  <c r="P14" i="5"/>
  <c r="P52" i="5" s="1"/>
  <c r="O14" i="5"/>
  <c r="O52" i="5" s="1"/>
  <c r="N14" i="5"/>
  <c r="N52" i="5" s="1"/>
  <c r="M14" i="5"/>
  <c r="M52" i="5" s="1"/>
  <c r="L14" i="5"/>
  <c r="L52" i="5" s="1"/>
  <c r="K14" i="5"/>
  <c r="K52" i="5" s="1"/>
  <c r="J14" i="5"/>
  <c r="J52" i="5" s="1"/>
  <c r="I14" i="5"/>
  <c r="I52" i="5" s="1"/>
  <c r="H14" i="5"/>
  <c r="H52" i="5" s="1"/>
  <c r="G14" i="5"/>
  <c r="G52" i="5" s="1"/>
  <c r="F14" i="5"/>
  <c r="F52" i="5" s="1"/>
  <c r="E14" i="5"/>
  <c r="E52" i="5" s="1"/>
  <c r="D14" i="5"/>
  <c r="D52" i="5" s="1"/>
  <c r="C14" i="5"/>
  <c r="C52" i="5" s="1"/>
  <c r="B52" i="5"/>
  <c r="BA13" i="5"/>
  <c r="BA51" i="5" s="1"/>
  <c r="AZ13" i="5"/>
  <c r="AZ51" i="5" s="1"/>
  <c r="AY13" i="5"/>
  <c r="AY51" i="5" s="1"/>
  <c r="AX13" i="5"/>
  <c r="AX51" i="5" s="1"/>
  <c r="AW13" i="5"/>
  <c r="AW51" i="5" s="1"/>
  <c r="AV13" i="5"/>
  <c r="AV51" i="5" s="1"/>
  <c r="AU13" i="5"/>
  <c r="AU51" i="5" s="1"/>
  <c r="AT13" i="5"/>
  <c r="AT51" i="5" s="1"/>
  <c r="AS13" i="5"/>
  <c r="AS51" i="5" s="1"/>
  <c r="AR13" i="5"/>
  <c r="AR51" i="5" s="1"/>
  <c r="AQ13" i="5"/>
  <c r="AQ51" i="5" s="1"/>
  <c r="AP13" i="5"/>
  <c r="AP51" i="5" s="1"/>
  <c r="AO13" i="5"/>
  <c r="AO51" i="5" s="1"/>
  <c r="AN13" i="5"/>
  <c r="AN51" i="5" s="1"/>
  <c r="AM13" i="5"/>
  <c r="AM51" i="5" s="1"/>
  <c r="AL13" i="5"/>
  <c r="AL51" i="5" s="1"/>
  <c r="AK13" i="5"/>
  <c r="AK51" i="5" s="1"/>
  <c r="AJ13" i="5"/>
  <c r="AJ51" i="5" s="1"/>
  <c r="AI13" i="5"/>
  <c r="AI51" i="5" s="1"/>
  <c r="AH13" i="5"/>
  <c r="AH51" i="5" s="1"/>
  <c r="AG13" i="5"/>
  <c r="AG51" i="5" s="1"/>
  <c r="AF13" i="5"/>
  <c r="AF51" i="5" s="1"/>
  <c r="AE13" i="5"/>
  <c r="AE51" i="5" s="1"/>
  <c r="AD13" i="5"/>
  <c r="AD51" i="5" s="1"/>
  <c r="AC13" i="5"/>
  <c r="AC51" i="5" s="1"/>
  <c r="AB13" i="5"/>
  <c r="AB51" i="5" s="1"/>
  <c r="AA13" i="5"/>
  <c r="AA51" i="5" s="1"/>
  <c r="Z13" i="5"/>
  <c r="Z51" i="5" s="1"/>
  <c r="Y13" i="5"/>
  <c r="Y51" i="5" s="1"/>
  <c r="X13" i="5"/>
  <c r="X51" i="5" s="1"/>
  <c r="W13" i="5"/>
  <c r="W51" i="5" s="1"/>
  <c r="V13" i="5"/>
  <c r="V51" i="5" s="1"/>
  <c r="U13" i="5"/>
  <c r="U51" i="5" s="1"/>
  <c r="T13" i="5"/>
  <c r="T51" i="5" s="1"/>
  <c r="S13" i="5"/>
  <c r="S51" i="5" s="1"/>
  <c r="R13" i="5"/>
  <c r="R51" i="5" s="1"/>
  <c r="Q13" i="5"/>
  <c r="Q51" i="5" s="1"/>
  <c r="P13" i="5"/>
  <c r="P51" i="5" s="1"/>
  <c r="O13" i="5"/>
  <c r="O51" i="5" s="1"/>
  <c r="N13" i="5"/>
  <c r="N51" i="5" s="1"/>
  <c r="M13" i="5"/>
  <c r="M51" i="5" s="1"/>
  <c r="L13" i="5"/>
  <c r="L51" i="5" s="1"/>
  <c r="K13" i="5"/>
  <c r="K51" i="5" s="1"/>
  <c r="J13" i="5"/>
  <c r="J51" i="5" s="1"/>
  <c r="I13" i="5"/>
  <c r="I51" i="5" s="1"/>
  <c r="H13" i="5"/>
  <c r="H51" i="5" s="1"/>
  <c r="G13" i="5"/>
  <c r="G51" i="5" s="1"/>
  <c r="F13" i="5"/>
  <c r="F51" i="5" s="1"/>
  <c r="E13" i="5"/>
  <c r="E51" i="5" s="1"/>
  <c r="D13" i="5"/>
  <c r="D51" i="5" s="1"/>
  <c r="C13" i="5"/>
  <c r="C51" i="5" s="1"/>
  <c r="B51" i="5"/>
  <c r="BA12" i="5"/>
  <c r="BA50" i="5" s="1"/>
  <c r="AZ12" i="5"/>
  <c r="AZ50" i="5" s="1"/>
  <c r="AY12" i="5"/>
  <c r="AY50" i="5" s="1"/>
  <c r="AX12" i="5"/>
  <c r="AX50" i="5" s="1"/>
  <c r="AW12" i="5"/>
  <c r="AW50" i="5" s="1"/>
  <c r="AV12" i="5"/>
  <c r="AV50" i="5" s="1"/>
  <c r="AU12" i="5"/>
  <c r="AU50" i="5" s="1"/>
  <c r="AT12" i="5"/>
  <c r="AT50" i="5" s="1"/>
  <c r="AS12" i="5"/>
  <c r="AS50" i="5" s="1"/>
  <c r="AR12" i="5"/>
  <c r="AR50" i="5" s="1"/>
  <c r="AQ12" i="5"/>
  <c r="AQ50" i="5" s="1"/>
  <c r="AP12" i="5"/>
  <c r="AP50" i="5" s="1"/>
  <c r="AO12" i="5"/>
  <c r="AO50" i="5" s="1"/>
  <c r="AN12" i="5"/>
  <c r="AN50" i="5" s="1"/>
  <c r="AM12" i="5"/>
  <c r="AM50" i="5" s="1"/>
  <c r="AL12" i="5"/>
  <c r="AL50" i="5" s="1"/>
  <c r="AK12" i="5"/>
  <c r="AK50" i="5" s="1"/>
  <c r="AJ12" i="5"/>
  <c r="AJ50" i="5" s="1"/>
  <c r="AI12" i="5"/>
  <c r="AI50" i="5" s="1"/>
  <c r="AH12" i="5"/>
  <c r="AH50" i="5" s="1"/>
  <c r="AG12" i="5"/>
  <c r="AG50" i="5" s="1"/>
  <c r="AF12" i="5"/>
  <c r="AF50" i="5" s="1"/>
  <c r="AE12" i="5"/>
  <c r="AE50" i="5" s="1"/>
  <c r="AD12" i="5"/>
  <c r="AD50" i="5" s="1"/>
  <c r="AC12" i="5"/>
  <c r="AC50" i="5" s="1"/>
  <c r="AB12" i="5"/>
  <c r="AB50" i="5" s="1"/>
  <c r="AA12" i="5"/>
  <c r="AA50" i="5" s="1"/>
  <c r="Z12" i="5"/>
  <c r="Z50" i="5" s="1"/>
  <c r="Y12" i="5"/>
  <c r="Y50" i="5" s="1"/>
  <c r="X12" i="5"/>
  <c r="X50" i="5" s="1"/>
  <c r="W12" i="5"/>
  <c r="W50" i="5" s="1"/>
  <c r="V12" i="5"/>
  <c r="V50" i="5" s="1"/>
  <c r="U12" i="5"/>
  <c r="U50" i="5" s="1"/>
  <c r="T12" i="5"/>
  <c r="T50" i="5" s="1"/>
  <c r="S12" i="5"/>
  <c r="S50" i="5" s="1"/>
  <c r="R12" i="5"/>
  <c r="R50" i="5" s="1"/>
  <c r="Q12" i="5"/>
  <c r="Q50" i="5" s="1"/>
  <c r="P12" i="5"/>
  <c r="P50" i="5" s="1"/>
  <c r="O12" i="5"/>
  <c r="O50" i="5" s="1"/>
  <c r="N12" i="5"/>
  <c r="N50" i="5" s="1"/>
  <c r="M12" i="5"/>
  <c r="M50" i="5" s="1"/>
  <c r="L12" i="5"/>
  <c r="L50" i="5" s="1"/>
  <c r="K12" i="5"/>
  <c r="K50" i="5" s="1"/>
  <c r="J12" i="5"/>
  <c r="J50" i="5" s="1"/>
  <c r="I12" i="5"/>
  <c r="I50" i="5" s="1"/>
  <c r="H12" i="5"/>
  <c r="H50" i="5" s="1"/>
  <c r="G12" i="5"/>
  <c r="G50" i="5" s="1"/>
  <c r="F12" i="5"/>
  <c r="F50" i="5" s="1"/>
  <c r="E12" i="5"/>
  <c r="E50" i="5" s="1"/>
  <c r="D12" i="5"/>
  <c r="D50" i="5" s="1"/>
  <c r="C12" i="5"/>
  <c r="C50" i="5" s="1"/>
  <c r="B50" i="5"/>
  <c r="BA11" i="5"/>
  <c r="AZ11" i="5"/>
  <c r="AY11" i="5"/>
  <c r="AX11" i="5"/>
  <c r="AW11" i="5"/>
  <c r="AV11" i="5"/>
  <c r="AU11" i="5"/>
  <c r="AT11" i="5"/>
  <c r="AS11" i="5"/>
  <c r="AR11" i="5"/>
  <c r="AQ11" i="5"/>
  <c r="AP11" i="5"/>
  <c r="AO11" i="5"/>
  <c r="AN11" i="5"/>
  <c r="AM11" i="5"/>
  <c r="AL11" i="5"/>
  <c r="AK11" i="5"/>
  <c r="AJ11" i="5"/>
  <c r="AI11" i="5"/>
  <c r="AH11" i="5"/>
  <c r="AG11" i="5"/>
  <c r="AF11" i="5"/>
  <c r="AF49" i="5" s="1"/>
  <c r="AE11" i="5"/>
  <c r="AD11" i="5"/>
  <c r="AC11" i="5"/>
  <c r="AB11" i="5"/>
  <c r="AA11" i="5"/>
  <c r="Z11" i="5"/>
  <c r="Y11" i="5"/>
  <c r="X11" i="5"/>
  <c r="W11" i="5"/>
  <c r="V11" i="5"/>
  <c r="U11" i="5"/>
  <c r="T11" i="5"/>
  <c r="S11" i="5"/>
  <c r="R11" i="5"/>
  <c r="Q11" i="5"/>
  <c r="P11" i="5"/>
  <c r="O11" i="5"/>
  <c r="N11" i="5"/>
  <c r="M11" i="5"/>
  <c r="L11" i="5"/>
  <c r="K11" i="5"/>
  <c r="J11" i="5"/>
  <c r="I11" i="5"/>
  <c r="H11" i="5"/>
  <c r="G11" i="5"/>
  <c r="F11" i="5"/>
  <c r="E11" i="5"/>
  <c r="D11" i="5"/>
  <c r="C11" i="5"/>
  <c r="BA10" i="5"/>
  <c r="BA48" i="5" s="1"/>
  <c r="AZ10" i="5"/>
  <c r="AZ48" i="5" s="1"/>
  <c r="AY10" i="5"/>
  <c r="AY48" i="5" s="1"/>
  <c r="AX10" i="5"/>
  <c r="AX48" i="5" s="1"/>
  <c r="AW10" i="5"/>
  <c r="AW48" i="5" s="1"/>
  <c r="AV10" i="5"/>
  <c r="AV48" i="5" s="1"/>
  <c r="AU10" i="5"/>
  <c r="AU48" i="5" s="1"/>
  <c r="AT10" i="5"/>
  <c r="AT48" i="5" s="1"/>
  <c r="AS10" i="5"/>
  <c r="AS48" i="5" s="1"/>
  <c r="AR10" i="5"/>
  <c r="AR48" i="5" s="1"/>
  <c r="AQ10" i="5"/>
  <c r="AQ48" i="5" s="1"/>
  <c r="AP10" i="5"/>
  <c r="AP48" i="5" s="1"/>
  <c r="AO10" i="5"/>
  <c r="AO48" i="5" s="1"/>
  <c r="AN10" i="5"/>
  <c r="AN48" i="5" s="1"/>
  <c r="AM10" i="5"/>
  <c r="AM48" i="5" s="1"/>
  <c r="AL10" i="5"/>
  <c r="AL48" i="5" s="1"/>
  <c r="AK10" i="5"/>
  <c r="AK48" i="5" s="1"/>
  <c r="AJ10" i="5"/>
  <c r="AJ48" i="5" s="1"/>
  <c r="AI10" i="5"/>
  <c r="AI48" i="5" s="1"/>
  <c r="AH10" i="5"/>
  <c r="AH48" i="5" s="1"/>
  <c r="AG10" i="5"/>
  <c r="AG48" i="5" s="1"/>
  <c r="AF10" i="5"/>
  <c r="AF48" i="5" s="1"/>
  <c r="AE10" i="5"/>
  <c r="AE48" i="5" s="1"/>
  <c r="AD10" i="5"/>
  <c r="AD48" i="5" s="1"/>
  <c r="AC10" i="5"/>
  <c r="AC48" i="5" s="1"/>
  <c r="AB10" i="5"/>
  <c r="AB48" i="5" s="1"/>
  <c r="AA10" i="5"/>
  <c r="AA48" i="5" s="1"/>
  <c r="Z10" i="5"/>
  <c r="Z48" i="5" s="1"/>
  <c r="Y10" i="5"/>
  <c r="Y48" i="5" s="1"/>
  <c r="X10" i="5"/>
  <c r="X48" i="5" s="1"/>
  <c r="W10" i="5"/>
  <c r="W48" i="5" s="1"/>
  <c r="V10" i="5"/>
  <c r="V48" i="5" s="1"/>
  <c r="U10" i="5"/>
  <c r="U48" i="5" s="1"/>
  <c r="T10" i="5"/>
  <c r="T48" i="5" s="1"/>
  <c r="S10" i="5"/>
  <c r="S48" i="5" s="1"/>
  <c r="R10" i="5"/>
  <c r="R48" i="5" s="1"/>
  <c r="Q10" i="5"/>
  <c r="Q48" i="5" s="1"/>
  <c r="P10" i="5"/>
  <c r="P48" i="5" s="1"/>
  <c r="O10" i="5"/>
  <c r="O48" i="5" s="1"/>
  <c r="N10" i="5"/>
  <c r="N48" i="5" s="1"/>
  <c r="M10" i="5"/>
  <c r="M48" i="5" s="1"/>
  <c r="L10" i="5"/>
  <c r="L48" i="5" s="1"/>
  <c r="K10" i="5"/>
  <c r="K48" i="5" s="1"/>
  <c r="J10" i="5"/>
  <c r="J48" i="5" s="1"/>
  <c r="I10" i="5"/>
  <c r="I48" i="5" s="1"/>
  <c r="H10" i="5"/>
  <c r="H48" i="5" s="1"/>
  <c r="G10" i="5"/>
  <c r="G48" i="5" s="1"/>
  <c r="F10" i="5"/>
  <c r="F48" i="5" s="1"/>
  <c r="E10" i="5"/>
  <c r="E48" i="5" s="1"/>
  <c r="D10" i="5"/>
  <c r="D48" i="5" s="1"/>
  <c r="C10" i="5"/>
  <c r="C48" i="5" s="1"/>
  <c r="B48" i="5"/>
  <c r="BA9" i="5"/>
  <c r="BA47" i="5" s="1"/>
  <c r="AZ9" i="5"/>
  <c r="AZ47" i="5" s="1"/>
  <c r="AY9" i="5"/>
  <c r="AY47" i="5" s="1"/>
  <c r="AX9" i="5"/>
  <c r="AX47" i="5" s="1"/>
  <c r="AW9" i="5"/>
  <c r="AW47" i="5" s="1"/>
  <c r="AV9" i="5"/>
  <c r="AV47" i="5" s="1"/>
  <c r="AU9" i="5"/>
  <c r="AU47" i="5" s="1"/>
  <c r="AT9" i="5"/>
  <c r="AT47" i="5" s="1"/>
  <c r="AS9" i="5"/>
  <c r="AS47" i="5" s="1"/>
  <c r="AR9" i="5"/>
  <c r="AR47" i="5" s="1"/>
  <c r="AQ9" i="5"/>
  <c r="AQ47" i="5" s="1"/>
  <c r="AP9" i="5"/>
  <c r="AP47" i="5" s="1"/>
  <c r="AO9" i="5"/>
  <c r="AO47" i="5" s="1"/>
  <c r="AN9" i="5"/>
  <c r="AN47" i="5" s="1"/>
  <c r="AM9" i="5"/>
  <c r="AM47" i="5" s="1"/>
  <c r="AL9" i="5"/>
  <c r="AL47" i="5" s="1"/>
  <c r="AK9" i="5"/>
  <c r="AK47" i="5" s="1"/>
  <c r="AJ9" i="5"/>
  <c r="AJ47" i="5" s="1"/>
  <c r="AI9" i="5"/>
  <c r="AI47" i="5" s="1"/>
  <c r="AH9" i="5"/>
  <c r="AH47" i="5" s="1"/>
  <c r="AG9" i="5"/>
  <c r="AG47" i="5" s="1"/>
  <c r="AF9" i="5"/>
  <c r="AF47" i="5" s="1"/>
  <c r="AE9" i="5"/>
  <c r="AE47" i="5" s="1"/>
  <c r="AD9" i="5"/>
  <c r="AD47" i="5" s="1"/>
  <c r="AC9" i="5"/>
  <c r="AC47" i="5" s="1"/>
  <c r="AB9" i="5"/>
  <c r="AB47" i="5" s="1"/>
  <c r="AA9" i="5"/>
  <c r="AA47" i="5" s="1"/>
  <c r="Z9" i="5"/>
  <c r="Z47" i="5" s="1"/>
  <c r="Y9" i="5"/>
  <c r="Y47" i="5" s="1"/>
  <c r="X9" i="5"/>
  <c r="X47" i="5" s="1"/>
  <c r="W9" i="5"/>
  <c r="W47" i="5" s="1"/>
  <c r="V9" i="5"/>
  <c r="V47" i="5" s="1"/>
  <c r="U9" i="5"/>
  <c r="U47" i="5" s="1"/>
  <c r="T9" i="5"/>
  <c r="T47" i="5" s="1"/>
  <c r="S9" i="5"/>
  <c r="S47" i="5" s="1"/>
  <c r="R9" i="5"/>
  <c r="R47" i="5" s="1"/>
  <c r="Q9" i="5"/>
  <c r="Q47" i="5" s="1"/>
  <c r="P9" i="5"/>
  <c r="P47" i="5" s="1"/>
  <c r="O9" i="5"/>
  <c r="O47" i="5" s="1"/>
  <c r="N9" i="5"/>
  <c r="N47" i="5" s="1"/>
  <c r="M9" i="5"/>
  <c r="M47" i="5" s="1"/>
  <c r="L9" i="5"/>
  <c r="L47" i="5" s="1"/>
  <c r="K9" i="5"/>
  <c r="K47" i="5" s="1"/>
  <c r="J9" i="5"/>
  <c r="J47" i="5" s="1"/>
  <c r="I9" i="5"/>
  <c r="I47" i="5" s="1"/>
  <c r="H9" i="5"/>
  <c r="H47" i="5" s="1"/>
  <c r="G9" i="5"/>
  <c r="G47" i="5" s="1"/>
  <c r="F9" i="5"/>
  <c r="F47" i="5" s="1"/>
  <c r="E9" i="5"/>
  <c r="E47" i="5" s="1"/>
  <c r="D9" i="5"/>
  <c r="D47" i="5" s="1"/>
  <c r="C9" i="5"/>
  <c r="C47" i="5" s="1"/>
  <c r="B47" i="5"/>
  <c r="BA8" i="5"/>
  <c r="BA46" i="5" s="1"/>
  <c r="AZ8" i="5"/>
  <c r="AZ46" i="5" s="1"/>
  <c r="AY8" i="5"/>
  <c r="AY46" i="5" s="1"/>
  <c r="AX8" i="5"/>
  <c r="AX46" i="5" s="1"/>
  <c r="AW8" i="5"/>
  <c r="AW46" i="5" s="1"/>
  <c r="AV8" i="5"/>
  <c r="AV46" i="5" s="1"/>
  <c r="AU8" i="5"/>
  <c r="AU46" i="5" s="1"/>
  <c r="AT8" i="5"/>
  <c r="AT46" i="5" s="1"/>
  <c r="AS8" i="5"/>
  <c r="AS46" i="5" s="1"/>
  <c r="AR8" i="5"/>
  <c r="AR46" i="5" s="1"/>
  <c r="AQ8" i="5"/>
  <c r="AQ46" i="5" s="1"/>
  <c r="AP8" i="5"/>
  <c r="AP46" i="5" s="1"/>
  <c r="AO8" i="5"/>
  <c r="AO46" i="5" s="1"/>
  <c r="AN8" i="5"/>
  <c r="AN46" i="5" s="1"/>
  <c r="AM8" i="5"/>
  <c r="AM46" i="5" s="1"/>
  <c r="AL8" i="5"/>
  <c r="AL46" i="5" s="1"/>
  <c r="AK8" i="5"/>
  <c r="AK46" i="5" s="1"/>
  <c r="AJ8" i="5"/>
  <c r="AJ46" i="5" s="1"/>
  <c r="AI8" i="5"/>
  <c r="AI46" i="5" s="1"/>
  <c r="AH8" i="5"/>
  <c r="AH46" i="5" s="1"/>
  <c r="AG8" i="5"/>
  <c r="AG46" i="5" s="1"/>
  <c r="AF8" i="5"/>
  <c r="AF46" i="5" s="1"/>
  <c r="AE8" i="5"/>
  <c r="AE46" i="5" s="1"/>
  <c r="AD8" i="5"/>
  <c r="AD46" i="5" s="1"/>
  <c r="AC8" i="5"/>
  <c r="AC46" i="5" s="1"/>
  <c r="AB8" i="5"/>
  <c r="AB46" i="5" s="1"/>
  <c r="AA8" i="5"/>
  <c r="AA46" i="5" s="1"/>
  <c r="Z8" i="5"/>
  <c r="Z46" i="5" s="1"/>
  <c r="Y8" i="5"/>
  <c r="Y46" i="5" s="1"/>
  <c r="X8" i="5"/>
  <c r="X46" i="5" s="1"/>
  <c r="W8" i="5"/>
  <c r="W46" i="5" s="1"/>
  <c r="V8" i="5"/>
  <c r="V46" i="5" s="1"/>
  <c r="U8" i="5"/>
  <c r="U46" i="5" s="1"/>
  <c r="T8" i="5"/>
  <c r="T46" i="5" s="1"/>
  <c r="S8" i="5"/>
  <c r="S46" i="5" s="1"/>
  <c r="R8" i="5"/>
  <c r="R46" i="5" s="1"/>
  <c r="Q8" i="5"/>
  <c r="Q46" i="5" s="1"/>
  <c r="P8" i="5"/>
  <c r="P46" i="5" s="1"/>
  <c r="O8" i="5"/>
  <c r="O46" i="5" s="1"/>
  <c r="N8" i="5"/>
  <c r="N46" i="5" s="1"/>
  <c r="M8" i="5"/>
  <c r="M46" i="5" s="1"/>
  <c r="L8" i="5"/>
  <c r="L46" i="5" s="1"/>
  <c r="K8" i="5"/>
  <c r="K46" i="5" s="1"/>
  <c r="J8" i="5"/>
  <c r="J46" i="5" s="1"/>
  <c r="I8" i="5"/>
  <c r="I46" i="5" s="1"/>
  <c r="H8" i="5"/>
  <c r="H46" i="5" s="1"/>
  <c r="G8" i="5"/>
  <c r="G46" i="5" s="1"/>
  <c r="F8" i="5"/>
  <c r="F46" i="5" s="1"/>
  <c r="E8" i="5"/>
  <c r="E46" i="5" s="1"/>
  <c r="D8" i="5"/>
  <c r="D46" i="5" s="1"/>
  <c r="C8" i="5"/>
  <c r="C46" i="5" s="1"/>
  <c r="B46" i="5"/>
  <c r="BA7" i="5"/>
  <c r="BA45" i="5" s="1"/>
  <c r="AZ7" i="5"/>
  <c r="AZ45" i="5" s="1"/>
  <c r="AY7" i="5"/>
  <c r="AY45" i="5" s="1"/>
  <c r="AX7" i="5"/>
  <c r="AX45" i="5" s="1"/>
  <c r="AW7" i="5"/>
  <c r="AW45" i="5" s="1"/>
  <c r="AV7" i="5"/>
  <c r="AV45" i="5" s="1"/>
  <c r="AU7" i="5"/>
  <c r="AU45" i="5" s="1"/>
  <c r="AT7" i="5"/>
  <c r="AT45" i="5" s="1"/>
  <c r="AS7" i="5"/>
  <c r="AS45" i="5" s="1"/>
  <c r="AR7" i="5"/>
  <c r="AR45" i="5" s="1"/>
  <c r="AQ7" i="5"/>
  <c r="AQ45" i="5" s="1"/>
  <c r="AP7" i="5"/>
  <c r="AP45" i="5" s="1"/>
  <c r="AO7" i="5"/>
  <c r="AO45" i="5" s="1"/>
  <c r="AN7" i="5"/>
  <c r="AN45" i="5" s="1"/>
  <c r="AM7" i="5"/>
  <c r="AM45" i="5" s="1"/>
  <c r="AL7" i="5"/>
  <c r="AL45" i="5" s="1"/>
  <c r="AK7" i="5"/>
  <c r="AK45" i="5" s="1"/>
  <c r="AJ7" i="5"/>
  <c r="AJ45" i="5" s="1"/>
  <c r="AI7" i="5"/>
  <c r="AI45" i="5" s="1"/>
  <c r="AH7" i="5"/>
  <c r="AH45" i="5" s="1"/>
  <c r="AG7" i="5"/>
  <c r="AG45" i="5" s="1"/>
  <c r="AF7" i="5"/>
  <c r="AF45" i="5" s="1"/>
  <c r="AE7" i="5"/>
  <c r="AE45" i="5" s="1"/>
  <c r="AD7" i="5"/>
  <c r="AD45" i="5" s="1"/>
  <c r="AC7" i="5"/>
  <c r="AC45" i="5" s="1"/>
  <c r="AB7" i="5"/>
  <c r="AB45" i="5" s="1"/>
  <c r="AA7" i="5"/>
  <c r="AA45" i="5" s="1"/>
  <c r="Z7" i="5"/>
  <c r="Z45" i="5" s="1"/>
  <c r="Y7" i="5"/>
  <c r="Y45" i="5" s="1"/>
  <c r="X7" i="5"/>
  <c r="X45" i="5" s="1"/>
  <c r="W7" i="5"/>
  <c r="W45" i="5" s="1"/>
  <c r="V7" i="5"/>
  <c r="V45" i="5" s="1"/>
  <c r="U7" i="5"/>
  <c r="U45" i="5" s="1"/>
  <c r="T7" i="5"/>
  <c r="T45" i="5" s="1"/>
  <c r="S7" i="5"/>
  <c r="S45" i="5" s="1"/>
  <c r="R7" i="5"/>
  <c r="R45" i="5" s="1"/>
  <c r="Q7" i="5"/>
  <c r="Q45" i="5" s="1"/>
  <c r="P7" i="5"/>
  <c r="P45" i="5" s="1"/>
  <c r="O7" i="5"/>
  <c r="O45" i="5" s="1"/>
  <c r="N7" i="5"/>
  <c r="N45" i="5" s="1"/>
  <c r="M7" i="5"/>
  <c r="M45" i="5" s="1"/>
  <c r="L7" i="5"/>
  <c r="L45" i="5" s="1"/>
  <c r="K7" i="5"/>
  <c r="K45" i="5" s="1"/>
  <c r="J7" i="5"/>
  <c r="J45" i="5" s="1"/>
  <c r="I7" i="5"/>
  <c r="I45" i="5" s="1"/>
  <c r="H7" i="5"/>
  <c r="H45" i="5" s="1"/>
  <c r="G7" i="5"/>
  <c r="G45" i="5" s="1"/>
  <c r="F7" i="5"/>
  <c r="F45" i="5" s="1"/>
  <c r="E7" i="5"/>
  <c r="E45" i="5" s="1"/>
  <c r="D7" i="5"/>
  <c r="D45" i="5" s="1"/>
  <c r="C7" i="5"/>
  <c r="C45" i="5" s="1"/>
  <c r="B45" i="5"/>
  <c r="BA6" i="5"/>
  <c r="BA44" i="5" s="1"/>
  <c r="AZ6" i="5"/>
  <c r="AZ44" i="5" s="1"/>
  <c r="AY6" i="5"/>
  <c r="AY44" i="5" s="1"/>
  <c r="AX6" i="5"/>
  <c r="AX44" i="5" s="1"/>
  <c r="AW6" i="5"/>
  <c r="AW44" i="5" s="1"/>
  <c r="AV6" i="5"/>
  <c r="AV44" i="5" s="1"/>
  <c r="AU6" i="5"/>
  <c r="AU44" i="5" s="1"/>
  <c r="AT6" i="5"/>
  <c r="AT44" i="5" s="1"/>
  <c r="AS6" i="5"/>
  <c r="AS44" i="5" s="1"/>
  <c r="AR6" i="5"/>
  <c r="AR44" i="5" s="1"/>
  <c r="AQ6" i="5"/>
  <c r="AQ44" i="5" s="1"/>
  <c r="AP6" i="5"/>
  <c r="AP44" i="5" s="1"/>
  <c r="AO6" i="5"/>
  <c r="AO44" i="5" s="1"/>
  <c r="AN6" i="5"/>
  <c r="AN44" i="5" s="1"/>
  <c r="AM6" i="5"/>
  <c r="AM44" i="5" s="1"/>
  <c r="AL6" i="5"/>
  <c r="AL44" i="5" s="1"/>
  <c r="AK6" i="5"/>
  <c r="AK44" i="5" s="1"/>
  <c r="AJ6" i="5"/>
  <c r="AJ44" i="5" s="1"/>
  <c r="AI6" i="5"/>
  <c r="AI44" i="5" s="1"/>
  <c r="AH6" i="5"/>
  <c r="AH44" i="5" s="1"/>
  <c r="AG6" i="5"/>
  <c r="AG44" i="5" s="1"/>
  <c r="AF6" i="5"/>
  <c r="AF44" i="5" s="1"/>
  <c r="AE6" i="5"/>
  <c r="AE44" i="5" s="1"/>
  <c r="AD6" i="5"/>
  <c r="AD44" i="5" s="1"/>
  <c r="AC6" i="5"/>
  <c r="AC44" i="5" s="1"/>
  <c r="AB6" i="5"/>
  <c r="AB44" i="5" s="1"/>
  <c r="AA6" i="5"/>
  <c r="AA44" i="5" s="1"/>
  <c r="Z6" i="5"/>
  <c r="Z44" i="5" s="1"/>
  <c r="Y6" i="5"/>
  <c r="Y44" i="5" s="1"/>
  <c r="X6" i="5"/>
  <c r="X44" i="5" s="1"/>
  <c r="W6" i="5"/>
  <c r="W44" i="5" s="1"/>
  <c r="V6" i="5"/>
  <c r="V44" i="5" s="1"/>
  <c r="U6" i="5"/>
  <c r="U44" i="5" s="1"/>
  <c r="T6" i="5"/>
  <c r="T44" i="5" s="1"/>
  <c r="S6" i="5"/>
  <c r="S44" i="5" s="1"/>
  <c r="R6" i="5"/>
  <c r="R44" i="5" s="1"/>
  <c r="Q6" i="5"/>
  <c r="Q44" i="5" s="1"/>
  <c r="P6" i="5"/>
  <c r="P44" i="5" s="1"/>
  <c r="O6" i="5"/>
  <c r="O44" i="5" s="1"/>
  <c r="N6" i="5"/>
  <c r="N44" i="5" s="1"/>
  <c r="M6" i="5"/>
  <c r="M44" i="5" s="1"/>
  <c r="L6" i="5"/>
  <c r="L44" i="5" s="1"/>
  <c r="K6" i="5"/>
  <c r="K44" i="5" s="1"/>
  <c r="J6" i="5"/>
  <c r="J44" i="5" s="1"/>
  <c r="I6" i="5"/>
  <c r="I44" i="5" s="1"/>
  <c r="H6" i="5"/>
  <c r="H44" i="5" s="1"/>
  <c r="G6" i="5"/>
  <c r="G44" i="5" s="1"/>
  <c r="F6" i="5"/>
  <c r="F44" i="5" s="1"/>
  <c r="E6" i="5"/>
  <c r="E44" i="5" s="1"/>
  <c r="D6" i="5"/>
  <c r="D44" i="5" s="1"/>
  <c r="C6" i="5"/>
  <c r="C44" i="5" s="1"/>
  <c r="B44" i="5"/>
  <c r="BA22" i="4"/>
  <c r="AZ22" i="4"/>
  <c r="AY22" i="4"/>
  <c r="AX22"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B21"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O15" i="4"/>
  <c r="N15" i="4"/>
  <c r="M15" i="4"/>
  <c r="L15" i="4"/>
  <c r="K15" i="4"/>
  <c r="J15" i="4"/>
  <c r="I15" i="4"/>
  <c r="H15" i="4"/>
  <c r="G15" i="4"/>
  <c r="F15" i="4"/>
  <c r="E15" i="4"/>
  <c r="D15" i="4"/>
  <c r="C15" i="4"/>
  <c r="B15" i="4"/>
  <c r="B13" i="4"/>
  <c r="BA12" i="4"/>
  <c r="AZ12" i="4"/>
  <c r="AY12" i="4"/>
  <c r="AX12" i="4"/>
  <c r="AW12" i="4"/>
  <c r="AV12" i="4"/>
  <c r="AU12" i="4"/>
  <c r="AT12" i="4"/>
  <c r="AS12" i="4"/>
  <c r="AR12" i="4"/>
  <c r="AQ12" i="4"/>
  <c r="AP12" i="4"/>
  <c r="AO12" i="4"/>
  <c r="AN12" i="4"/>
  <c r="AM12" i="4"/>
  <c r="AL12" i="4"/>
  <c r="AK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B12" i="4"/>
  <c r="B14" i="4" s="1"/>
  <c r="B6" i="4"/>
  <c r="I5" i="4"/>
  <c r="H5" i="4"/>
  <c r="G5" i="4"/>
  <c r="F5" i="4"/>
  <c r="E5" i="4"/>
  <c r="D5" i="4"/>
  <c r="C5" i="4"/>
  <c r="B5" i="4"/>
  <c r="B7" i="4" s="1"/>
  <c r="B8" i="4" s="1"/>
  <c r="BA4" i="4"/>
  <c r="AZ4" i="4"/>
  <c r="AY4" i="4"/>
  <c r="AX4" i="4"/>
  <c r="AW4" i="4"/>
  <c r="AV4" i="4"/>
  <c r="AU4" i="4"/>
  <c r="AT4" i="4"/>
  <c r="AS4" i="4"/>
  <c r="AR4" i="4"/>
  <c r="AQ4" i="4"/>
  <c r="AP4" i="4"/>
  <c r="AO4" i="4"/>
  <c r="AN4" i="4"/>
  <c r="AM4" i="4"/>
  <c r="AL4" i="4"/>
  <c r="AK4"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B4" i="4"/>
  <c r="Q108" i="5" l="1"/>
  <c r="Q23" i="3" s="1"/>
  <c r="AD108" i="5"/>
  <c r="AD23" i="3" s="1"/>
  <c r="AA108" i="5"/>
  <c r="AA23" i="3" s="1"/>
  <c r="AF108" i="5"/>
  <c r="AF23" i="3" s="1"/>
  <c r="D108" i="5"/>
  <c r="D23" i="3" s="1"/>
  <c r="AB108" i="5"/>
  <c r="AB23" i="3" s="1"/>
  <c r="AG108" i="5"/>
  <c r="AG23" i="3" s="1"/>
  <c r="E108" i="5"/>
  <c r="E23" i="3" s="1"/>
  <c r="O108" i="5"/>
  <c r="O23" i="3" s="1"/>
  <c r="R108" i="5"/>
  <c r="R23" i="3" s="1"/>
  <c r="T108" i="5"/>
  <c r="T23" i="3" s="1"/>
  <c r="F108" i="5"/>
  <c r="F23" i="3" s="1"/>
  <c r="AR108" i="5"/>
  <c r="AR23" i="3" s="1"/>
  <c r="S108" i="5"/>
  <c r="S23" i="3" s="1"/>
  <c r="V108" i="5"/>
  <c r="V23" i="3" s="1"/>
  <c r="W108" i="5"/>
  <c r="W23" i="3" s="1"/>
  <c r="AC108" i="5"/>
  <c r="AC23" i="3" s="1"/>
  <c r="Z108" i="5"/>
  <c r="Z23" i="3" s="1"/>
  <c r="AI108" i="5"/>
  <c r="AI23" i="3" s="1"/>
  <c r="G108" i="5"/>
  <c r="G23" i="3" s="1"/>
  <c r="U108" i="5"/>
  <c r="U23" i="3" s="1"/>
  <c r="X108" i="5"/>
  <c r="X23" i="3" s="1"/>
  <c r="Y108" i="5"/>
  <c r="Y23" i="3" s="1"/>
  <c r="AH108" i="5"/>
  <c r="AH23" i="3" s="1"/>
  <c r="AJ108" i="5"/>
  <c r="AJ23" i="3" s="1"/>
  <c r="H108" i="5"/>
  <c r="H23" i="3" s="1"/>
  <c r="P108" i="5"/>
  <c r="P23" i="3" s="1"/>
  <c r="C108" i="5"/>
  <c r="C23" i="3" s="1"/>
  <c r="AK108" i="5"/>
  <c r="AK23" i="3" s="1"/>
  <c r="I108" i="5"/>
  <c r="I23" i="3" s="1"/>
  <c r="AQ108" i="5"/>
  <c r="AQ23" i="3" s="1"/>
  <c r="B108" i="5"/>
  <c r="B23" i="3" s="1"/>
  <c r="AE108" i="5"/>
  <c r="AE23" i="3" s="1"/>
  <c r="AL108" i="5"/>
  <c r="AL23" i="3" s="1"/>
  <c r="J108" i="5"/>
  <c r="J23" i="3" s="1"/>
  <c r="D101" i="5"/>
  <c r="D22" i="3" s="1"/>
  <c r="AZ101" i="5"/>
  <c r="AZ22" i="3" s="1"/>
  <c r="E101" i="5"/>
  <c r="E22" i="3" s="1"/>
  <c r="BA101" i="5"/>
  <c r="BA22" i="3" s="1"/>
  <c r="AY101" i="5"/>
  <c r="AY22" i="3" s="1"/>
  <c r="F101" i="5"/>
  <c r="F22" i="3" s="1"/>
  <c r="AU101" i="5"/>
  <c r="AU22" i="3" s="1"/>
  <c r="G101" i="5"/>
  <c r="G22" i="3" s="1"/>
  <c r="AV101" i="5"/>
  <c r="AV22" i="3" s="1"/>
  <c r="AW101" i="5"/>
  <c r="AW22" i="3" s="1"/>
  <c r="B101" i="5"/>
  <c r="B22" i="3" s="1"/>
  <c r="C101" i="5"/>
  <c r="C22" i="3" s="1"/>
  <c r="H101" i="5"/>
  <c r="H22" i="3" s="1"/>
  <c r="AF101" i="5"/>
  <c r="AF22" i="3" s="1"/>
  <c r="AX101" i="5"/>
  <c r="AX22" i="3" s="1"/>
  <c r="I101" i="5"/>
  <c r="I22" i="3" s="1"/>
  <c r="AG101" i="5"/>
  <c r="AG22" i="3" s="1"/>
  <c r="J101" i="5"/>
  <c r="J22" i="3" s="1"/>
  <c r="AH101" i="5"/>
  <c r="AH22" i="3" s="1"/>
  <c r="B23" i="4"/>
  <c r="B115" i="5" s="1"/>
  <c r="C23" i="4"/>
  <c r="C115" i="5" s="1"/>
  <c r="I23" i="4"/>
  <c r="I115" i="5" s="1"/>
  <c r="D23" i="4"/>
  <c r="D115" i="5" s="1"/>
  <c r="G23" i="4"/>
  <c r="G115" i="5" s="1"/>
  <c r="G117" i="5" s="1"/>
  <c r="G24" i="3" s="1"/>
  <c r="E23" i="4"/>
  <c r="E115" i="5" s="1"/>
  <c r="F23" i="4"/>
  <c r="F115" i="5" s="1"/>
  <c r="F117" i="5" s="1"/>
  <c r="F24" i="3" s="1"/>
  <c r="H23" i="4"/>
  <c r="H115" i="5" s="1"/>
  <c r="BA108" i="5"/>
  <c r="BA23" i="3" s="1"/>
  <c r="AZ108" i="5"/>
  <c r="AZ23" i="3" s="1"/>
  <c r="AY108" i="5"/>
  <c r="AY23" i="3" s="1"/>
  <c r="AX108" i="5"/>
  <c r="AX23" i="3" s="1"/>
  <c r="AW108" i="5"/>
  <c r="AW23" i="3" s="1"/>
  <c r="AV108" i="5"/>
  <c r="AV23" i="3" s="1"/>
  <c r="AU108" i="5"/>
  <c r="AU23" i="3" s="1"/>
  <c r="AT108" i="5"/>
  <c r="AT23" i="3" s="1"/>
  <c r="AS108" i="5"/>
  <c r="AS23" i="3" s="1"/>
  <c r="AE101" i="5"/>
  <c r="AE22" i="3" s="1"/>
  <c r="AD101" i="5"/>
  <c r="AD22" i="3" s="1"/>
  <c r="AC101" i="5"/>
  <c r="AC22" i="3" s="1"/>
  <c r="AB101" i="5"/>
  <c r="AB22" i="3" s="1"/>
  <c r="AA101" i="5"/>
  <c r="AA22" i="3" s="1"/>
  <c r="Z101" i="5"/>
  <c r="Z22" i="3" s="1"/>
  <c r="Y101" i="5"/>
  <c r="Y22" i="3" s="1"/>
  <c r="X101" i="5"/>
  <c r="X22" i="3" s="1"/>
  <c r="W101" i="5"/>
  <c r="W22" i="3" s="1"/>
  <c r="V101" i="5"/>
  <c r="V22" i="3" s="1"/>
  <c r="U101" i="5"/>
  <c r="U22" i="3" s="1"/>
  <c r="T101" i="5"/>
  <c r="T22" i="3" s="1"/>
  <c r="S101" i="5"/>
  <c r="S22" i="3" s="1"/>
  <c r="AF116" i="5"/>
  <c r="BA116" i="5"/>
  <c r="BA49" i="5"/>
  <c r="AZ116" i="5"/>
  <c r="AZ49" i="5"/>
  <c r="AY116" i="5"/>
  <c r="AY49" i="5"/>
  <c r="AX116" i="5"/>
  <c r="AX49" i="5"/>
  <c r="AW116" i="5"/>
  <c r="AW49" i="5"/>
  <c r="AV116" i="5"/>
  <c r="AV49" i="5"/>
  <c r="AU116" i="5"/>
  <c r="AU49" i="5"/>
  <c r="AT116" i="5"/>
  <c r="AT49" i="5"/>
  <c r="AS116" i="5"/>
  <c r="AS49" i="5"/>
  <c r="AR116" i="5"/>
  <c r="AR49" i="5"/>
  <c r="AQ116" i="5"/>
  <c r="AQ49" i="5"/>
  <c r="AP116" i="5"/>
  <c r="AP49" i="5"/>
  <c r="AO116" i="5"/>
  <c r="AO49" i="5"/>
  <c r="AN116" i="5"/>
  <c r="AN49" i="5"/>
  <c r="AM116" i="5"/>
  <c r="AM49" i="5"/>
  <c r="AL116" i="5"/>
  <c r="AL49" i="5"/>
  <c r="AK116" i="5"/>
  <c r="AK49" i="5"/>
  <c r="AJ116" i="5"/>
  <c r="AJ49" i="5"/>
  <c r="AI116" i="5"/>
  <c r="AI49" i="5"/>
  <c r="AH116" i="5"/>
  <c r="AH49" i="5"/>
  <c r="AG116" i="5"/>
  <c r="AG49" i="5"/>
  <c r="AE116" i="5"/>
  <c r="AE49" i="5"/>
  <c r="AD116" i="5"/>
  <c r="AD49" i="5"/>
  <c r="AC116" i="5"/>
  <c r="AC49" i="5"/>
  <c r="AB116" i="5"/>
  <c r="AB49" i="5"/>
  <c r="AA116" i="5"/>
  <c r="AA49" i="5"/>
  <c r="Z116" i="5"/>
  <c r="Z49" i="5"/>
  <c r="Y116" i="5"/>
  <c r="Y49" i="5"/>
  <c r="X116" i="5"/>
  <c r="X49" i="5"/>
  <c r="W116" i="5"/>
  <c r="W49" i="5"/>
  <c r="V116" i="5"/>
  <c r="V49" i="5"/>
  <c r="U116" i="5"/>
  <c r="U49" i="5"/>
  <c r="T116" i="5"/>
  <c r="T49" i="5"/>
  <c r="S116" i="5"/>
  <c r="S49" i="5"/>
  <c r="R116" i="5"/>
  <c r="R49" i="5"/>
  <c r="Q116" i="5"/>
  <c r="Q49" i="5"/>
  <c r="P116" i="5"/>
  <c r="P49" i="5"/>
  <c r="O116" i="5"/>
  <c r="O49" i="5"/>
  <c r="N116" i="5"/>
  <c r="N49" i="5"/>
  <c r="M116" i="5"/>
  <c r="M49" i="5"/>
  <c r="L116" i="5"/>
  <c r="L49" i="5"/>
  <c r="K116" i="5"/>
  <c r="K49" i="5"/>
  <c r="J116" i="5"/>
  <c r="J49" i="5"/>
  <c r="I116" i="5"/>
  <c r="I49" i="5"/>
  <c r="H116" i="5"/>
  <c r="H49" i="5"/>
  <c r="G116" i="5"/>
  <c r="G49" i="5"/>
  <c r="F116" i="5"/>
  <c r="F49" i="5"/>
  <c r="E116" i="5"/>
  <c r="E117" i="5" s="1"/>
  <c r="E24" i="3" s="1"/>
  <c r="E49" i="5"/>
  <c r="D116" i="5"/>
  <c r="D117" i="5" s="1"/>
  <c r="D24" i="3" s="1"/>
  <c r="D49" i="5"/>
  <c r="C116" i="5"/>
  <c r="C117" i="5" s="1"/>
  <c r="C24" i="3" s="1"/>
  <c r="C49" i="5"/>
  <c r="B116" i="5"/>
  <c r="B117" i="5" s="1"/>
  <c r="B24" i="3" s="1"/>
  <c r="B49" i="5"/>
  <c r="C19" i="6"/>
  <c r="AM38" i="5"/>
  <c r="AM53" i="5"/>
  <c r="AM76" i="5" s="1"/>
  <c r="AL38" i="5"/>
  <c r="AL53" i="5"/>
  <c r="AL76" i="5" s="1"/>
  <c r="AK38" i="5"/>
  <c r="AK53" i="5"/>
  <c r="AK76" i="5" s="1"/>
  <c r="AJ38" i="5"/>
  <c r="AJ53" i="5"/>
  <c r="AJ76" i="5" s="1"/>
  <c r="AI53" i="5"/>
  <c r="AI76" i="5" s="1"/>
  <c r="AI38" i="5"/>
  <c r="AH38" i="5"/>
  <c r="AH53" i="5"/>
  <c r="AG53" i="5"/>
  <c r="AG76" i="5" s="1"/>
  <c r="AG38" i="5"/>
  <c r="AF53" i="5"/>
  <c r="AF76" i="5" s="1"/>
  <c r="AF38" i="5"/>
  <c r="AE38" i="5"/>
  <c r="AE53" i="5"/>
  <c r="AE76" i="5" s="1"/>
  <c r="AD38" i="5"/>
  <c r="AD53" i="5"/>
  <c r="AD76" i="5" s="1"/>
  <c r="AC38" i="5"/>
  <c r="AC53" i="5"/>
  <c r="AC76" i="5" s="1"/>
  <c r="AB38" i="5"/>
  <c r="AB53" i="5"/>
  <c r="AB76" i="5" s="1"/>
  <c r="AA53" i="5"/>
  <c r="AA76" i="5" s="1"/>
  <c r="AA38" i="5"/>
  <c r="Z53" i="5"/>
  <c r="Z76" i="5" s="1"/>
  <c r="Z38" i="5"/>
  <c r="Y53" i="5"/>
  <c r="Y76" i="5" s="1"/>
  <c r="Y38" i="5"/>
  <c r="X38" i="5"/>
  <c r="X53" i="5"/>
  <c r="X76" i="5" s="1"/>
  <c r="W53" i="5"/>
  <c r="W76" i="5" s="1"/>
  <c r="W38" i="5"/>
  <c r="V53" i="5"/>
  <c r="V38" i="5"/>
  <c r="U38" i="5"/>
  <c r="U53" i="5"/>
  <c r="T53" i="5"/>
  <c r="T76" i="5" s="1"/>
  <c r="T38" i="5"/>
  <c r="S38" i="5"/>
  <c r="S53" i="5"/>
  <c r="S76" i="5" s="1"/>
  <c r="R38" i="5"/>
  <c r="R53" i="5"/>
  <c r="R76" i="5" s="1"/>
  <c r="Q53" i="5"/>
  <c r="Q76" i="5" s="1"/>
  <c r="Q38" i="5"/>
  <c r="P38" i="5"/>
  <c r="P53" i="5"/>
  <c r="P76" i="5" s="1"/>
  <c r="O38" i="5"/>
  <c r="O53" i="5"/>
  <c r="O76" i="5" s="1"/>
  <c r="N53" i="5"/>
  <c r="N76" i="5" s="1"/>
  <c r="N38" i="5"/>
  <c r="M38" i="5"/>
  <c r="M53" i="5"/>
  <c r="M76" i="5" s="1"/>
  <c r="L53" i="5"/>
  <c r="L76" i="5" s="1"/>
  <c r="L38" i="5"/>
  <c r="K38" i="5"/>
  <c r="K53" i="5"/>
  <c r="K76" i="5" s="1"/>
  <c r="J53" i="5"/>
  <c r="J38" i="5"/>
  <c r="I38" i="5"/>
  <c r="I53" i="5"/>
  <c r="H53" i="5"/>
  <c r="H76" i="5" s="1"/>
  <c r="H38" i="5"/>
  <c r="G53" i="5"/>
  <c r="G76" i="5" s="1"/>
  <c r="G38" i="5"/>
  <c r="F53" i="5"/>
  <c r="F76" i="5" s="1"/>
  <c r="F38" i="5"/>
  <c r="E53" i="5"/>
  <c r="E76" i="5" s="1"/>
  <c r="E38" i="5"/>
  <c r="D53" i="5"/>
  <c r="D76" i="5" s="1"/>
  <c r="D38" i="5"/>
  <c r="C38" i="5"/>
  <c r="C53" i="5"/>
  <c r="C76" i="5" s="1"/>
  <c r="B53" i="5"/>
  <c r="B76" i="5" s="1"/>
  <c r="BA52" i="5"/>
  <c r="BA76" i="5" s="1"/>
  <c r="BA38" i="5"/>
  <c r="AZ38" i="5"/>
  <c r="AZ52" i="5"/>
  <c r="AZ76" i="5" s="1"/>
  <c r="AY38" i="5"/>
  <c r="AY52" i="5"/>
  <c r="AY76" i="5" s="1"/>
  <c r="AX38" i="5"/>
  <c r="AX52" i="5"/>
  <c r="AW38" i="5"/>
  <c r="AW52" i="5"/>
  <c r="AV38" i="5"/>
  <c r="AV52" i="5"/>
  <c r="AU38" i="5"/>
  <c r="AU52" i="5"/>
  <c r="AT52" i="5"/>
  <c r="AT38" i="5"/>
  <c r="AS38" i="5"/>
  <c r="AS52" i="5"/>
  <c r="AS76" i="5" s="1"/>
  <c r="AR38" i="5"/>
  <c r="AR52" i="5"/>
  <c r="AR76" i="5" s="1"/>
  <c r="AQ38" i="5"/>
  <c r="AQ52" i="5"/>
  <c r="AQ76" i="5" s="1"/>
  <c r="AP38" i="5"/>
  <c r="AP52" i="5"/>
  <c r="AP76" i="5" s="1"/>
  <c r="AO38" i="5"/>
  <c r="AO52" i="5"/>
  <c r="AO76" i="5" s="1"/>
  <c r="AN38" i="5"/>
  <c r="AN52" i="5"/>
  <c r="AN76" i="5" s="1"/>
  <c r="B16" i="4"/>
  <c r="B6" i="3" s="1"/>
  <c r="C13" i="4"/>
  <c r="C14" i="4" s="1"/>
  <c r="B9" i="4"/>
  <c r="B82" i="5"/>
  <c r="C6" i="4"/>
  <c r="C7" i="4" s="1"/>
  <c r="C8" i="4" s="1"/>
  <c r="I117" i="5" l="1"/>
  <c r="I24" i="3" s="1"/>
  <c r="H117" i="5"/>
  <c r="H24" i="3" s="1"/>
  <c r="AV76" i="5"/>
  <c r="AW76" i="5"/>
  <c r="I76" i="5"/>
  <c r="U76" i="5"/>
  <c r="AT76" i="5"/>
  <c r="AU76" i="5"/>
  <c r="AH76" i="5"/>
  <c r="AH77" i="5" s="1"/>
  <c r="AH78" i="5" s="1"/>
  <c r="AX76" i="5"/>
  <c r="J76" i="5"/>
  <c r="V76" i="5"/>
  <c r="V77" i="5" s="1"/>
  <c r="V78" i="5" s="1"/>
  <c r="D19" i="6"/>
  <c r="AM121" i="5"/>
  <c r="AM84" i="5"/>
  <c r="AM93" i="5"/>
  <c r="AM94" i="5" s="1"/>
  <c r="AM21" i="3" s="1"/>
  <c r="AM120" i="5"/>
  <c r="AM122" i="5"/>
  <c r="AM123" i="5"/>
  <c r="AM77" i="5"/>
  <c r="AM78" i="5" s="1"/>
  <c r="AL121" i="5"/>
  <c r="AL84" i="5"/>
  <c r="AL93" i="5"/>
  <c r="AL94" i="5" s="1"/>
  <c r="AL21" i="3" s="1"/>
  <c r="AL120" i="5"/>
  <c r="AL122" i="5"/>
  <c r="AL123" i="5"/>
  <c r="AL77" i="5"/>
  <c r="AL78" i="5" s="1"/>
  <c r="AK121" i="5"/>
  <c r="AK84" i="5"/>
  <c r="AK93" i="5"/>
  <c r="AK94" i="5" s="1"/>
  <c r="AK21" i="3" s="1"/>
  <c r="AK120" i="5"/>
  <c r="AK122" i="5"/>
  <c r="AK123" i="5"/>
  <c r="AK77" i="5"/>
  <c r="AK78" i="5" s="1"/>
  <c r="AJ121" i="5"/>
  <c r="AJ84" i="5"/>
  <c r="AJ93" i="5"/>
  <c r="AJ94" i="5" s="1"/>
  <c r="AJ21" i="3" s="1"/>
  <c r="AJ120" i="5"/>
  <c r="AJ122" i="5"/>
  <c r="AJ123" i="5"/>
  <c r="AJ77" i="5"/>
  <c r="AJ78" i="5" s="1"/>
  <c r="AI77" i="5"/>
  <c r="AI78" i="5" s="1"/>
  <c r="AI122" i="5"/>
  <c r="AI123" i="5"/>
  <c r="AI121" i="5"/>
  <c r="AI84" i="5"/>
  <c r="AI93" i="5"/>
  <c r="AI94" i="5" s="1"/>
  <c r="AI21" i="3" s="1"/>
  <c r="AI120" i="5"/>
  <c r="AH121" i="5"/>
  <c r="AH84" i="5"/>
  <c r="AH93" i="5"/>
  <c r="AH94" i="5" s="1"/>
  <c r="AH21" i="3" s="1"/>
  <c r="AH120" i="5"/>
  <c r="AH122" i="5"/>
  <c r="AH123" i="5"/>
  <c r="AG77" i="5"/>
  <c r="AG78" i="5" s="1"/>
  <c r="AG84" i="5"/>
  <c r="AG93" i="5"/>
  <c r="AG94" i="5" s="1"/>
  <c r="AG21" i="3" s="1"/>
  <c r="AG120" i="5"/>
  <c r="AG122" i="5"/>
  <c r="AG123" i="5"/>
  <c r="AG121" i="5"/>
  <c r="AF77" i="5"/>
  <c r="AF78" i="5" s="1"/>
  <c r="AF121" i="5"/>
  <c r="AF84" i="5"/>
  <c r="AF93" i="5"/>
  <c r="AF94" i="5" s="1"/>
  <c r="AF21" i="3" s="1"/>
  <c r="AF120" i="5"/>
  <c r="AF122" i="5"/>
  <c r="AF123" i="5"/>
  <c r="AE121" i="5"/>
  <c r="AE84" i="5"/>
  <c r="AE93" i="5"/>
  <c r="AE94" i="5" s="1"/>
  <c r="AE21" i="3" s="1"/>
  <c r="AE120" i="5"/>
  <c r="AE122" i="5"/>
  <c r="AE123" i="5"/>
  <c r="AE77" i="5"/>
  <c r="AE78" i="5" s="1"/>
  <c r="AD121" i="5"/>
  <c r="AD84" i="5"/>
  <c r="AD93" i="5"/>
  <c r="AD94" i="5" s="1"/>
  <c r="AD21" i="3" s="1"/>
  <c r="AD120" i="5"/>
  <c r="AD122" i="5"/>
  <c r="AD123" i="5"/>
  <c r="AD77" i="5"/>
  <c r="AD78" i="5" s="1"/>
  <c r="AC121" i="5"/>
  <c r="AC84" i="5"/>
  <c r="AC93" i="5"/>
  <c r="AC94" i="5" s="1"/>
  <c r="AC21" i="3" s="1"/>
  <c r="AC120" i="5"/>
  <c r="AC122" i="5"/>
  <c r="AC123" i="5"/>
  <c r="AC77" i="5"/>
  <c r="AC78" i="5" s="1"/>
  <c r="AB122" i="5"/>
  <c r="AB123" i="5"/>
  <c r="AB121" i="5"/>
  <c r="AB84" i="5"/>
  <c r="AB93" i="5"/>
  <c r="AB94" i="5" s="1"/>
  <c r="AB21" i="3" s="1"/>
  <c r="AB120" i="5"/>
  <c r="AB77" i="5"/>
  <c r="AB78" i="5" s="1"/>
  <c r="AA77" i="5"/>
  <c r="AA78" i="5" s="1"/>
  <c r="AA121" i="5"/>
  <c r="AA84" i="5"/>
  <c r="AA93" i="5"/>
  <c r="AA94" i="5" s="1"/>
  <c r="AA21" i="3" s="1"/>
  <c r="AA120" i="5"/>
  <c r="AA122" i="5"/>
  <c r="AA123" i="5"/>
  <c r="Z77" i="5"/>
  <c r="Z78" i="5" s="1"/>
  <c r="Z84" i="5"/>
  <c r="Z93" i="5"/>
  <c r="Z94" i="5" s="1"/>
  <c r="Z21" i="3" s="1"/>
  <c r="Z120" i="5"/>
  <c r="Z122" i="5"/>
  <c r="Z123" i="5"/>
  <c r="Z121" i="5"/>
  <c r="Y77" i="5"/>
  <c r="Y78" i="5" s="1"/>
  <c r="Y121" i="5"/>
  <c r="Y84" i="5"/>
  <c r="Y93" i="5"/>
  <c r="Y94" i="5" s="1"/>
  <c r="Y21" i="3" s="1"/>
  <c r="Y120" i="5"/>
  <c r="Y122" i="5"/>
  <c r="Y123" i="5"/>
  <c r="X121" i="5"/>
  <c r="X84" i="5"/>
  <c r="X93" i="5"/>
  <c r="X94" i="5" s="1"/>
  <c r="X21" i="3" s="1"/>
  <c r="X120" i="5"/>
  <c r="X122" i="5"/>
  <c r="X123" i="5"/>
  <c r="X77" i="5"/>
  <c r="X78" i="5" s="1"/>
  <c r="W77" i="5"/>
  <c r="W78" i="5" s="1"/>
  <c r="W121" i="5"/>
  <c r="W84" i="5"/>
  <c r="W93" i="5"/>
  <c r="W94" i="5" s="1"/>
  <c r="W21" i="3" s="1"/>
  <c r="W120" i="5"/>
  <c r="W122" i="5"/>
  <c r="W123" i="5"/>
  <c r="V122" i="5"/>
  <c r="V123" i="5"/>
  <c r="V121" i="5"/>
  <c r="V84" i="5"/>
  <c r="V93" i="5"/>
  <c r="V94" i="5" s="1"/>
  <c r="V21" i="3" s="1"/>
  <c r="V120" i="5"/>
  <c r="V125" i="5" s="1"/>
  <c r="V25" i="3" s="1"/>
  <c r="U121" i="5"/>
  <c r="U84" i="5"/>
  <c r="U93" i="5"/>
  <c r="U94" i="5" s="1"/>
  <c r="U21" i="3" s="1"/>
  <c r="U120" i="5"/>
  <c r="U122" i="5"/>
  <c r="U123" i="5"/>
  <c r="U77" i="5"/>
  <c r="U78" i="5" s="1"/>
  <c r="T77" i="5"/>
  <c r="T78" i="5" s="1"/>
  <c r="T121" i="5"/>
  <c r="T84" i="5"/>
  <c r="T93" i="5"/>
  <c r="T94" i="5" s="1"/>
  <c r="T21" i="3" s="1"/>
  <c r="T120" i="5"/>
  <c r="T122" i="5"/>
  <c r="T123" i="5"/>
  <c r="S121" i="5"/>
  <c r="S84" i="5"/>
  <c r="S93" i="5"/>
  <c r="S94" i="5" s="1"/>
  <c r="S21" i="3" s="1"/>
  <c r="S120" i="5"/>
  <c r="S122" i="5"/>
  <c r="S123" i="5"/>
  <c r="S77" i="5"/>
  <c r="S78" i="5" s="1"/>
  <c r="R84" i="5"/>
  <c r="R93" i="5"/>
  <c r="R94" i="5" s="1"/>
  <c r="R21" i="3" s="1"/>
  <c r="R120" i="5"/>
  <c r="R122" i="5"/>
  <c r="R123" i="5"/>
  <c r="R121" i="5"/>
  <c r="R77" i="5"/>
  <c r="R78" i="5" s="1"/>
  <c r="Q77" i="5"/>
  <c r="Q78" i="5" s="1"/>
  <c r="Q121" i="5"/>
  <c r="Q84" i="5"/>
  <c r="Q93" i="5"/>
  <c r="Q94" i="5" s="1"/>
  <c r="Q21" i="3" s="1"/>
  <c r="Q120" i="5"/>
  <c r="Q122" i="5"/>
  <c r="Q123" i="5"/>
  <c r="P122" i="5"/>
  <c r="P123" i="5"/>
  <c r="P121" i="5"/>
  <c r="P84" i="5"/>
  <c r="P93" i="5"/>
  <c r="P94" i="5" s="1"/>
  <c r="P21" i="3" s="1"/>
  <c r="P120" i="5"/>
  <c r="P125" i="5" s="1"/>
  <c r="P25" i="3" s="1"/>
  <c r="P77" i="5"/>
  <c r="P78" i="5" s="1"/>
  <c r="O121" i="5"/>
  <c r="O84" i="5"/>
  <c r="O93" i="5"/>
  <c r="O94" i="5" s="1"/>
  <c r="O21" i="3" s="1"/>
  <c r="O120" i="5"/>
  <c r="O122" i="5"/>
  <c r="O123" i="5"/>
  <c r="O77" i="5"/>
  <c r="O78" i="5" s="1"/>
  <c r="N77" i="5"/>
  <c r="N78" i="5" s="1"/>
  <c r="N121" i="5"/>
  <c r="N84" i="5"/>
  <c r="N93" i="5"/>
  <c r="N94" i="5" s="1"/>
  <c r="N21" i="3" s="1"/>
  <c r="N120" i="5"/>
  <c r="N122" i="5"/>
  <c r="N123" i="5"/>
  <c r="M84" i="5"/>
  <c r="M93" i="5"/>
  <c r="M94" i="5" s="1"/>
  <c r="M21" i="3" s="1"/>
  <c r="M120" i="5"/>
  <c r="M122" i="5"/>
  <c r="M123" i="5"/>
  <c r="M121" i="5"/>
  <c r="M77" i="5"/>
  <c r="M78" i="5" s="1"/>
  <c r="L77" i="5"/>
  <c r="L78" i="5" s="1"/>
  <c r="L121" i="5"/>
  <c r="L84" i="5"/>
  <c r="L93" i="5"/>
  <c r="L94" i="5" s="1"/>
  <c r="L21" i="3" s="1"/>
  <c r="L120" i="5"/>
  <c r="L122" i="5"/>
  <c r="L123" i="5"/>
  <c r="K121" i="5"/>
  <c r="K84" i="5"/>
  <c r="K93" i="5"/>
  <c r="K94" i="5" s="1"/>
  <c r="K21" i="3" s="1"/>
  <c r="K120" i="5"/>
  <c r="K122" i="5"/>
  <c r="K123" i="5"/>
  <c r="K77" i="5"/>
  <c r="K78" i="5" s="1"/>
  <c r="J77" i="5"/>
  <c r="J78" i="5" s="1"/>
  <c r="J122" i="5"/>
  <c r="J123" i="5"/>
  <c r="J121" i="5"/>
  <c r="J84" i="5"/>
  <c r="J93" i="5"/>
  <c r="J94" i="5" s="1"/>
  <c r="J21" i="3" s="1"/>
  <c r="J120" i="5"/>
  <c r="I84" i="5"/>
  <c r="I93" i="5"/>
  <c r="I94" i="5" s="1"/>
  <c r="I21" i="3" s="1"/>
  <c r="I120" i="5"/>
  <c r="I122" i="5"/>
  <c r="I123" i="5"/>
  <c r="I121" i="5"/>
  <c r="I77" i="5"/>
  <c r="I78" i="5" s="1"/>
  <c r="H77" i="5"/>
  <c r="H78" i="5" s="1"/>
  <c r="H84" i="5"/>
  <c r="H93" i="5"/>
  <c r="H94" i="5" s="1"/>
  <c r="H21" i="3" s="1"/>
  <c r="H120" i="5"/>
  <c r="H121" i="5"/>
  <c r="H122" i="5"/>
  <c r="H123" i="5"/>
  <c r="G77" i="5"/>
  <c r="G78" i="5" s="1"/>
  <c r="G121" i="5"/>
  <c r="G84" i="5"/>
  <c r="G93" i="5"/>
  <c r="G94" i="5" s="1"/>
  <c r="G21" i="3" s="1"/>
  <c r="G120" i="5"/>
  <c r="G122" i="5"/>
  <c r="G123" i="5"/>
  <c r="F77" i="5"/>
  <c r="F78" i="5" s="1"/>
  <c r="F121" i="5"/>
  <c r="F84" i="5"/>
  <c r="F93" i="5"/>
  <c r="F94" i="5" s="1"/>
  <c r="F21" i="3" s="1"/>
  <c r="F120" i="5"/>
  <c r="F122" i="5"/>
  <c r="F123" i="5"/>
  <c r="E77" i="5"/>
  <c r="E78" i="5" s="1"/>
  <c r="E19" i="3" s="1"/>
  <c r="E121" i="5"/>
  <c r="E84" i="5"/>
  <c r="E93" i="5"/>
  <c r="E94" i="5" s="1"/>
  <c r="E21" i="3" s="1"/>
  <c r="E120" i="5"/>
  <c r="E122" i="5"/>
  <c r="E123" i="5"/>
  <c r="D77" i="5"/>
  <c r="D78" i="5" s="1"/>
  <c r="D84" i="5"/>
  <c r="D93" i="5"/>
  <c r="D94" i="5" s="1"/>
  <c r="D21" i="3" s="1"/>
  <c r="D120" i="5"/>
  <c r="D121" i="5"/>
  <c r="D122" i="5"/>
  <c r="D123" i="5"/>
  <c r="C84" i="5"/>
  <c r="C93" i="5"/>
  <c r="C94" i="5" s="1"/>
  <c r="C21" i="3" s="1"/>
  <c r="C120" i="5"/>
  <c r="C121" i="5"/>
  <c r="C122" i="5"/>
  <c r="C123" i="5"/>
  <c r="C77" i="5"/>
  <c r="C78" i="5" s="1"/>
  <c r="B122" i="5"/>
  <c r="B123" i="5"/>
  <c r="B84" i="5"/>
  <c r="B93" i="5"/>
  <c r="B94" i="5" s="1"/>
  <c r="B21" i="3" s="1"/>
  <c r="B120" i="5"/>
  <c r="B121" i="5"/>
  <c r="B77" i="5"/>
  <c r="B78" i="5" s="1"/>
  <c r="BA77" i="5"/>
  <c r="BA78" i="5" s="1"/>
  <c r="BA84" i="5"/>
  <c r="BA93" i="5"/>
  <c r="BA94" i="5" s="1"/>
  <c r="BA21" i="3" s="1"/>
  <c r="BA120" i="5"/>
  <c r="BA121" i="5"/>
  <c r="BA122" i="5"/>
  <c r="BA123" i="5"/>
  <c r="AZ84" i="5"/>
  <c r="AZ93" i="5"/>
  <c r="AZ94" i="5" s="1"/>
  <c r="AZ21" i="3" s="1"/>
  <c r="AZ120" i="5"/>
  <c r="AZ121" i="5"/>
  <c r="AZ122" i="5"/>
  <c r="AZ123" i="5"/>
  <c r="AZ77" i="5"/>
  <c r="AZ78" i="5" s="1"/>
  <c r="AY84" i="5"/>
  <c r="AY93" i="5"/>
  <c r="AY94" i="5" s="1"/>
  <c r="AY21" i="3" s="1"/>
  <c r="AY120" i="5"/>
  <c r="AY121" i="5"/>
  <c r="AY122" i="5"/>
  <c r="AY123" i="5"/>
  <c r="AY77" i="5"/>
  <c r="AY78" i="5" s="1"/>
  <c r="AX84" i="5"/>
  <c r="AX93" i="5"/>
  <c r="AX94" i="5" s="1"/>
  <c r="AX21" i="3" s="1"/>
  <c r="AX120" i="5"/>
  <c r="AX121" i="5"/>
  <c r="AX122" i="5"/>
  <c r="AX123" i="5"/>
  <c r="AX77" i="5"/>
  <c r="AX78" i="5" s="1"/>
  <c r="AW84" i="5"/>
  <c r="AW93" i="5"/>
  <c r="AW94" i="5" s="1"/>
  <c r="AW21" i="3" s="1"/>
  <c r="AW120" i="5"/>
  <c r="AW121" i="5"/>
  <c r="AW122" i="5"/>
  <c r="AW123" i="5"/>
  <c r="AW77" i="5"/>
  <c r="AW78" i="5" s="1"/>
  <c r="AV84" i="5"/>
  <c r="AV93" i="5"/>
  <c r="AV94" i="5" s="1"/>
  <c r="AV21" i="3" s="1"/>
  <c r="AV120" i="5"/>
  <c r="AV121" i="5"/>
  <c r="AV122" i="5"/>
  <c r="AV123" i="5"/>
  <c r="AV77" i="5"/>
  <c r="AV78" i="5" s="1"/>
  <c r="AU84" i="5"/>
  <c r="AU93" i="5"/>
  <c r="AU94" i="5" s="1"/>
  <c r="AU21" i="3" s="1"/>
  <c r="AU120" i="5"/>
  <c r="AU121" i="5"/>
  <c r="AU122" i="5"/>
  <c r="AU123" i="5"/>
  <c r="AU77" i="5"/>
  <c r="AU78" i="5" s="1"/>
  <c r="AT77" i="5"/>
  <c r="AT78" i="5" s="1"/>
  <c r="AT84" i="5"/>
  <c r="AT93" i="5"/>
  <c r="AT94" i="5" s="1"/>
  <c r="AT21" i="3" s="1"/>
  <c r="AT120" i="5"/>
  <c r="AT121" i="5"/>
  <c r="AT122" i="5"/>
  <c r="AT123" i="5"/>
  <c r="AS84" i="5"/>
  <c r="AS93" i="5"/>
  <c r="AS94" i="5" s="1"/>
  <c r="AS21" i="3" s="1"/>
  <c r="AS120" i="5"/>
  <c r="AS121" i="5"/>
  <c r="AS122" i="5"/>
  <c r="AS123" i="5"/>
  <c r="AS77" i="5"/>
  <c r="AS78" i="5" s="1"/>
  <c r="AR84" i="5"/>
  <c r="AR93" i="5"/>
  <c r="AR94" i="5" s="1"/>
  <c r="AR21" i="3" s="1"/>
  <c r="AR120" i="5"/>
  <c r="AR121" i="5"/>
  <c r="AR122" i="5"/>
  <c r="AR123" i="5"/>
  <c r="AR77" i="5"/>
  <c r="AR78" i="5" s="1"/>
  <c r="AQ84" i="5"/>
  <c r="AQ93" i="5"/>
  <c r="AQ94" i="5" s="1"/>
  <c r="AQ21" i="3" s="1"/>
  <c r="AQ120" i="5"/>
  <c r="AQ121" i="5"/>
  <c r="AQ122" i="5"/>
  <c r="AQ123" i="5"/>
  <c r="AQ77" i="5"/>
  <c r="AQ78" i="5" s="1"/>
  <c r="AP121" i="5"/>
  <c r="AP122" i="5"/>
  <c r="AP123" i="5"/>
  <c r="AP84" i="5"/>
  <c r="AP93" i="5"/>
  <c r="AP94" i="5" s="1"/>
  <c r="AP21" i="3" s="1"/>
  <c r="AP120" i="5"/>
  <c r="AP125" i="5" s="1"/>
  <c r="AP25" i="3" s="1"/>
  <c r="AP77" i="5"/>
  <c r="AP78" i="5" s="1"/>
  <c r="AO84" i="5"/>
  <c r="AO93" i="5"/>
  <c r="AO94" i="5" s="1"/>
  <c r="AO21" i="3" s="1"/>
  <c r="AO120" i="5"/>
  <c r="AO121" i="5"/>
  <c r="AO122" i="5"/>
  <c r="AO123" i="5"/>
  <c r="AO77" i="5"/>
  <c r="AO78" i="5" s="1"/>
  <c r="AN84" i="5"/>
  <c r="AN93" i="5"/>
  <c r="AN94" i="5" s="1"/>
  <c r="AN21" i="3" s="1"/>
  <c r="AN120" i="5"/>
  <c r="AN121" i="5"/>
  <c r="AN122" i="5"/>
  <c r="AN123" i="5"/>
  <c r="AN77" i="5"/>
  <c r="AN78" i="5" s="1"/>
  <c r="D13" i="4"/>
  <c r="D14" i="4" s="1"/>
  <c r="C16" i="4"/>
  <c r="C6" i="3" s="1"/>
  <c r="C9" i="4"/>
  <c r="C82" i="5"/>
  <c r="D6" i="4"/>
  <c r="D7" i="4" s="1"/>
  <c r="D8" i="4" s="1"/>
  <c r="B10" i="4"/>
  <c r="B18" i="4"/>
  <c r="B5" i="3"/>
  <c r="B87" i="5"/>
  <c r="B20" i="3" s="1"/>
  <c r="B10" i="3"/>
  <c r="O125" i="5" l="1"/>
  <c r="O25" i="3" s="1"/>
  <c r="J125" i="5"/>
  <c r="J25" i="3" s="1"/>
  <c r="S125" i="5"/>
  <c r="S25" i="3" s="1"/>
  <c r="R125" i="5"/>
  <c r="R25" i="3" s="1"/>
  <c r="L125" i="5"/>
  <c r="L25" i="3" s="1"/>
  <c r="AX125" i="5"/>
  <c r="AX25" i="3" s="1"/>
  <c r="AW125" i="5"/>
  <c r="AW25" i="3" s="1"/>
  <c r="AS125" i="5"/>
  <c r="AS25" i="3" s="1"/>
  <c r="E19" i="6"/>
  <c r="AM11" i="7"/>
  <c r="AM12" i="7" s="1"/>
  <c r="AM32" i="3"/>
  <c r="AM6" i="7" s="1"/>
  <c r="AM13" i="6"/>
  <c r="AM19" i="3"/>
  <c r="AL11" i="7"/>
  <c r="AL12" i="7" s="1"/>
  <c r="AL32" i="3"/>
  <c r="AL6" i="7" s="1"/>
  <c r="AL13" i="6"/>
  <c r="AL19" i="3"/>
  <c r="AK11" i="7"/>
  <c r="AK12" i="7" s="1"/>
  <c r="AK32" i="3"/>
  <c r="AK6" i="7" s="1"/>
  <c r="AK13" i="6"/>
  <c r="AK19" i="3"/>
  <c r="AJ11" i="7"/>
  <c r="AJ12" i="7" s="1"/>
  <c r="AJ32" i="3"/>
  <c r="AJ6" i="7" s="1"/>
  <c r="AJ13" i="6"/>
  <c r="AJ19" i="3"/>
  <c r="AI13" i="6"/>
  <c r="AI19" i="3"/>
  <c r="AI11" i="7"/>
  <c r="AI12" i="7" s="1"/>
  <c r="AI32" i="3"/>
  <c r="AI6" i="7" s="1"/>
  <c r="AH11" i="7"/>
  <c r="AH12" i="7" s="1"/>
  <c r="AH32" i="3"/>
  <c r="AH6" i="7" s="1"/>
  <c r="AH13" i="6"/>
  <c r="AH19" i="3"/>
  <c r="AG13" i="6"/>
  <c r="AG19" i="3"/>
  <c r="AG11" i="7"/>
  <c r="AG12" i="7" s="1"/>
  <c r="AG32" i="3"/>
  <c r="AG6" i="7" s="1"/>
  <c r="AF13" i="6"/>
  <c r="AF19" i="3"/>
  <c r="AF11" i="7"/>
  <c r="AF12" i="7" s="1"/>
  <c r="AF32" i="3"/>
  <c r="AF6" i="7" s="1"/>
  <c r="AE11" i="7"/>
  <c r="AE12" i="7" s="1"/>
  <c r="AE32" i="3"/>
  <c r="AE6" i="7" s="1"/>
  <c r="AE13" i="6"/>
  <c r="AE19" i="3"/>
  <c r="AD11" i="7"/>
  <c r="AD12" i="7" s="1"/>
  <c r="AD32" i="3"/>
  <c r="AD6" i="7" s="1"/>
  <c r="AD13" i="6"/>
  <c r="AD19" i="3"/>
  <c r="AC11" i="7"/>
  <c r="AC12" i="7" s="1"/>
  <c r="AC32" i="3"/>
  <c r="AC6" i="7" s="1"/>
  <c r="AC13" i="6"/>
  <c r="AC19" i="3"/>
  <c r="AB11" i="7"/>
  <c r="AB12" i="7" s="1"/>
  <c r="AB32" i="3"/>
  <c r="AB6" i="7" s="1"/>
  <c r="AB13" i="6"/>
  <c r="AB19" i="3"/>
  <c r="AA13" i="6"/>
  <c r="AA19" i="3"/>
  <c r="AA11" i="7"/>
  <c r="AA12" i="7" s="1"/>
  <c r="AA32" i="3"/>
  <c r="AA6" i="7" s="1"/>
  <c r="Z13" i="6"/>
  <c r="Z19" i="3"/>
  <c r="Z11" i="7"/>
  <c r="Z12" i="7" s="1"/>
  <c r="Z32" i="3"/>
  <c r="Z6" i="7" s="1"/>
  <c r="Y13" i="6"/>
  <c r="Y19" i="3"/>
  <c r="Y11" i="7"/>
  <c r="Y12" i="7" s="1"/>
  <c r="Y32" i="3"/>
  <c r="Y6" i="7" s="1"/>
  <c r="X11" i="7"/>
  <c r="X12" i="7" s="1"/>
  <c r="X32" i="3"/>
  <c r="X6" i="7" s="1"/>
  <c r="X13" i="6"/>
  <c r="X19" i="3"/>
  <c r="W13" i="6"/>
  <c r="W19" i="3"/>
  <c r="W11" i="7"/>
  <c r="W12" i="7" s="1"/>
  <c r="W32" i="3"/>
  <c r="W6" i="7" s="1"/>
  <c r="V13" i="6"/>
  <c r="V19" i="3"/>
  <c r="V11" i="7"/>
  <c r="V12" i="7" s="1"/>
  <c r="V32" i="3"/>
  <c r="V6" i="7" s="1"/>
  <c r="U11" i="7"/>
  <c r="U12" i="7" s="1"/>
  <c r="U32" i="3"/>
  <c r="U6" i="7" s="1"/>
  <c r="U13" i="6"/>
  <c r="U19" i="3"/>
  <c r="T13" i="6"/>
  <c r="T19" i="3"/>
  <c r="T11" i="7"/>
  <c r="T12" i="7" s="1"/>
  <c r="T32" i="3"/>
  <c r="T6" i="7" s="1"/>
  <c r="S11" i="7"/>
  <c r="S12" i="7" s="1"/>
  <c r="S32" i="3"/>
  <c r="S6" i="7" s="1"/>
  <c r="S13" i="6"/>
  <c r="S19" i="3"/>
  <c r="R11" i="7"/>
  <c r="R12" i="7" s="1"/>
  <c r="R32" i="3"/>
  <c r="R6" i="7" s="1"/>
  <c r="R13" i="6"/>
  <c r="R19" i="3"/>
  <c r="Q13" i="6"/>
  <c r="Q19" i="3"/>
  <c r="Q11" i="7"/>
  <c r="Q12" i="7" s="1"/>
  <c r="Q32" i="3"/>
  <c r="Q6" i="7" s="1"/>
  <c r="P11" i="7"/>
  <c r="P12" i="7" s="1"/>
  <c r="P32" i="3"/>
  <c r="P6" i="7" s="1"/>
  <c r="P13" i="6"/>
  <c r="P19" i="3"/>
  <c r="O11" i="7"/>
  <c r="O12" i="7" s="1"/>
  <c r="O32" i="3"/>
  <c r="O6" i="7" s="1"/>
  <c r="O13" i="6"/>
  <c r="O19" i="3"/>
  <c r="N13" i="6"/>
  <c r="N19" i="3"/>
  <c r="N11" i="7"/>
  <c r="N12" i="7" s="1"/>
  <c r="N32" i="3"/>
  <c r="N6" i="7" s="1"/>
  <c r="M11" i="7"/>
  <c r="M12" i="7" s="1"/>
  <c r="M32" i="3"/>
  <c r="M6" i="7" s="1"/>
  <c r="M13" i="6"/>
  <c r="M19" i="3"/>
  <c r="L13" i="6"/>
  <c r="L19" i="3"/>
  <c r="L11" i="7"/>
  <c r="L12" i="7" s="1"/>
  <c r="L32" i="3"/>
  <c r="L6" i="7" s="1"/>
  <c r="K11" i="7"/>
  <c r="K12" i="7" s="1"/>
  <c r="K32" i="3"/>
  <c r="K6" i="7" s="1"/>
  <c r="K13" i="6"/>
  <c r="K19" i="3"/>
  <c r="J13" i="6"/>
  <c r="J19" i="3"/>
  <c r="J11" i="7"/>
  <c r="J12" i="7" s="1"/>
  <c r="J32" i="3"/>
  <c r="J6" i="7" s="1"/>
  <c r="I11" i="7"/>
  <c r="I12" i="7" s="1"/>
  <c r="I32" i="3"/>
  <c r="I6" i="7" s="1"/>
  <c r="I13" i="6"/>
  <c r="I19" i="3"/>
  <c r="H13" i="6"/>
  <c r="H19" i="3"/>
  <c r="H11" i="7"/>
  <c r="H12" i="7" s="1"/>
  <c r="H32" i="3"/>
  <c r="H6" i="7" s="1"/>
  <c r="G13" i="6"/>
  <c r="G19" i="3"/>
  <c r="G11" i="7"/>
  <c r="G12" i="7" s="1"/>
  <c r="G32" i="3"/>
  <c r="G6" i="7" s="1"/>
  <c r="F13" i="6"/>
  <c r="F19" i="3"/>
  <c r="F11" i="7"/>
  <c r="F12" i="7" s="1"/>
  <c r="F32" i="3"/>
  <c r="F6" i="7" s="1"/>
  <c r="E13" i="6"/>
  <c r="E11" i="7"/>
  <c r="E12" i="7" s="1"/>
  <c r="E32" i="3"/>
  <c r="E6" i="7" s="1"/>
  <c r="D13" i="6"/>
  <c r="D19" i="3"/>
  <c r="D11" i="7"/>
  <c r="D12" i="7" s="1"/>
  <c r="D32" i="3"/>
  <c r="D6" i="7" s="1"/>
  <c r="C11" i="7"/>
  <c r="C12" i="7" s="1"/>
  <c r="C32" i="3"/>
  <c r="C6" i="7" s="1"/>
  <c r="C13" i="6"/>
  <c r="C19" i="3"/>
  <c r="B11" i="7"/>
  <c r="B12" i="7" s="1"/>
  <c r="B8" i="6"/>
  <c r="B32" i="3"/>
  <c r="B6" i="7" s="1"/>
  <c r="B13" i="6"/>
  <c r="B19" i="3"/>
  <c r="BA13" i="6"/>
  <c r="BA19" i="3"/>
  <c r="BA11" i="7"/>
  <c r="BA12" i="7" s="1"/>
  <c r="BA32" i="3"/>
  <c r="BA6" i="7" s="1"/>
  <c r="AZ11" i="7"/>
  <c r="AZ12" i="7" s="1"/>
  <c r="AZ32" i="3"/>
  <c r="AZ6" i="7" s="1"/>
  <c r="AZ13" i="6"/>
  <c r="AZ19" i="3"/>
  <c r="AY11" i="7"/>
  <c r="AY12" i="7" s="1"/>
  <c r="AY32" i="3"/>
  <c r="AY6" i="7" s="1"/>
  <c r="AY13" i="6"/>
  <c r="AY19" i="3"/>
  <c r="AX11" i="7"/>
  <c r="AX12" i="7" s="1"/>
  <c r="AX32" i="3"/>
  <c r="AX6" i="7" s="1"/>
  <c r="AX13" i="6"/>
  <c r="AX19" i="3"/>
  <c r="AW11" i="7"/>
  <c r="AW12" i="7" s="1"/>
  <c r="AW32" i="3"/>
  <c r="AW6" i="7" s="1"/>
  <c r="AW13" i="6"/>
  <c r="AW19" i="3"/>
  <c r="AV11" i="7"/>
  <c r="AV12" i="7" s="1"/>
  <c r="AV32" i="3"/>
  <c r="AV6" i="7" s="1"/>
  <c r="AV13" i="6"/>
  <c r="AV19" i="3"/>
  <c r="AU11" i="7"/>
  <c r="AU12" i="7" s="1"/>
  <c r="AU32" i="3"/>
  <c r="AU6" i="7" s="1"/>
  <c r="AU13" i="6"/>
  <c r="AU19" i="3"/>
  <c r="AT13" i="6"/>
  <c r="AT19" i="3"/>
  <c r="AT11" i="7"/>
  <c r="AT12" i="7" s="1"/>
  <c r="AT32" i="3"/>
  <c r="AT6" i="7" s="1"/>
  <c r="AS11" i="7"/>
  <c r="AS12" i="7" s="1"/>
  <c r="AS32" i="3"/>
  <c r="AS6" i="7" s="1"/>
  <c r="AS13" i="6"/>
  <c r="AS19" i="3"/>
  <c r="AR11" i="7"/>
  <c r="AR12" i="7" s="1"/>
  <c r="AR32" i="3"/>
  <c r="AR6" i="7" s="1"/>
  <c r="AR13" i="6"/>
  <c r="AR19" i="3"/>
  <c r="AQ11" i="7"/>
  <c r="AQ12" i="7" s="1"/>
  <c r="AQ32" i="3"/>
  <c r="AQ6" i="7" s="1"/>
  <c r="AQ13" i="6"/>
  <c r="AQ19" i="3"/>
  <c r="AP11" i="7"/>
  <c r="AP12" i="7" s="1"/>
  <c r="AP32" i="3"/>
  <c r="AP6" i="7" s="1"/>
  <c r="AP13" i="6"/>
  <c r="AP19" i="3"/>
  <c r="AO11" i="7"/>
  <c r="AO12" i="7" s="1"/>
  <c r="AO32" i="3"/>
  <c r="AO6" i="7" s="1"/>
  <c r="AO13" i="6"/>
  <c r="AO19" i="3"/>
  <c r="AN11" i="7"/>
  <c r="AN12" i="7" s="1"/>
  <c r="AN32" i="3"/>
  <c r="AN6" i="7" s="1"/>
  <c r="AN13" i="6"/>
  <c r="AN19" i="3"/>
  <c r="D16" i="4"/>
  <c r="D6" i="3" s="1"/>
  <c r="E13" i="4"/>
  <c r="E14" i="4" s="1"/>
  <c r="D9" i="4"/>
  <c r="D82" i="5"/>
  <c r="E6" i="4"/>
  <c r="E7" i="4" s="1"/>
  <c r="E8" i="4" s="1"/>
  <c r="C10" i="4"/>
  <c r="C18" i="4"/>
  <c r="C5" i="3"/>
  <c r="C87" i="5"/>
  <c r="C10" i="3"/>
  <c r="B19" i="4"/>
  <c r="B20" i="4"/>
  <c r="B128" i="5" s="1"/>
  <c r="B12" i="3" s="1"/>
  <c r="B7" i="3"/>
  <c r="B14" i="6"/>
  <c r="AH125" i="5"/>
  <c r="AH25" i="3" s="1"/>
  <c r="M125" i="5"/>
  <c r="M25" i="3" s="1"/>
  <c r="B125" i="5"/>
  <c r="Q125" i="5"/>
  <c r="Q25" i="3" s="1"/>
  <c r="K125" i="5"/>
  <c r="K25" i="3" s="1"/>
  <c r="I125" i="5"/>
  <c r="I25" i="3" s="1"/>
  <c r="H125" i="5"/>
  <c r="H25" i="3" s="1"/>
  <c r="G125" i="5"/>
  <c r="G25" i="3" s="1"/>
  <c r="D125" i="5"/>
  <c r="D25" i="3" s="1"/>
  <c r="AY125" i="5"/>
  <c r="AY25" i="3" s="1"/>
  <c r="F125" i="5"/>
  <c r="F25" i="3" s="1"/>
  <c r="AM125" i="5"/>
  <c r="AM25" i="3" s="1"/>
  <c r="AD125" i="5"/>
  <c r="AD25" i="3" s="1"/>
  <c r="AI125" i="5"/>
  <c r="AI25" i="3" s="1"/>
  <c r="AG125" i="5"/>
  <c r="AG25" i="3" s="1"/>
  <c r="AK125" i="5"/>
  <c r="AK25" i="3" s="1"/>
  <c r="AJ125" i="5"/>
  <c r="AJ25" i="3" s="1"/>
  <c r="AF125" i="5"/>
  <c r="AF25" i="3" s="1"/>
  <c r="AL125" i="5"/>
  <c r="AL25" i="3" s="1"/>
  <c r="Z125" i="5"/>
  <c r="Z25" i="3" s="1"/>
  <c r="T125" i="5"/>
  <c r="T25" i="3" s="1"/>
  <c r="AU125" i="5"/>
  <c r="AU25" i="3" s="1"/>
  <c r="AQ125" i="5"/>
  <c r="AQ25" i="3" s="1"/>
  <c r="AE125" i="5"/>
  <c r="AE25" i="3" s="1"/>
  <c r="AC125" i="5"/>
  <c r="AC25" i="3" s="1"/>
  <c r="E125" i="5"/>
  <c r="E25" i="3" s="1"/>
  <c r="AR125" i="5"/>
  <c r="AR25" i="3" s="1"/>
  <c r="Y125" i="5"/>
  <c r="Y25" i="3" s="1"/>
  <c r="X125" i="5"/>
  <c r="X25" i="3" s="1"/>
  <c r="U125" i="5"/>
  <c r="U25" i="3" s="1"/>
  <c r="BA125" i="5"/>
  <c r="BA25" i="3" s="1"/>
  <c r="AZ125" i="5"/>
  <c r="AZ25" i="3" s="1"/>
  <c r="AV125" i="5"/>
  <c r="AV25" i="3" s="1"/>
  <c r="AO125" i="5"/>
  <c r="AO25" i="3" s="1"/>
  <c r="AN125" i="5"/>
  <c r="AN25" i="3" s="1"/>
  <c r="AB125" i="5"/>
  <c r="AB25" i="3" s="1"/>
  <c r="AA125" i="5"/>
  <c r="AA25" i="3" s="1"/>
  <c r="W125" i="5"/>
  <c r="W25" i="3" s="1"/>
  <c r="N125" i="5"/>
  <c r="N25" i="3" s="1"/>
  <c r="C125" i="5"/>
  <c r="C25" i="3" s="1"/>
  <c r="AT125" i="5"/>
  <c r="AT25" i="3" s="1"/>
  <c r="C8" i="6" l="1"/>
  <c r="D8" i="6" s="1"/>
  <c r="E8" i="6" s="1"/>
  <c r="F8" i="6" s="1"/>
  <c r="G8" i="6" s="1"/>
  <c r="H8" i="6" s="1"/>
  <c r="I8" i="6" s="1"/>
  <c r="J8" i="6" s="1"/>
  <c r="K8" i="6" s="1"/>
  <c r="L8" i="6" s="1"/>
  <c r="M8" i="6" s="1"/>
  <c r="N8" i="6" s="1"/>
  <c r="O8" i="6" s="1"/>
  <c r="P8" i="6" s="1"/>
  <c r="Q8" i="6" s="1"/>
  <c r="R8" i="6" s="1"/>
  <c r="S8" i="6" s="1"/>
  <c r="T8" i="6" s="1"/>
  <c r="U8" i="6" s="1"/>
  <c r="V8" i="6" s="1"/>
  <c r="W8" i="6" s="1"/>
  <c r="X8" i="6" s="1"/>
  <c r="Y8" i="6" s="1"/>
  <c r="Z8" i="6" s="1"/>
  <c r="AA8" i="6" s="1"/>
  <c r="AB8" i="6" s="1"/>
  <c r="AC8" i="6" s="1"/>
  <c r="AD8" i="6" s="1"/>
  <c r="AE8" i="6" s="1"/>
  <c r="AF8" i="6" s="1"/>
  <c r="AG8" i="6" s="1"/>
  <c r="AH8" i="6" s="1"/>
  <c r="AI8" i="6" s="1"/>
  <c r="AJ8" i="6" s="1"/>
  <c r="AK8" i="6" s="1"/>
  <c r="AL8" i="6" s="1"/>
  <c r="AM8" i="6" s="1"/>
  <c r="AN8" i="6" s="1"/>
  <c r="AO8" i="6" s="1"/>
  <c r="AP8" i="6" s="1"/>
  <c r="AQ8" i="6" s="1"/>
  <c r="AR8" i="6" s="1"/>
  <c r="AS8" i="6" s="1"/>
  <c r="AT8" i="6" s="1"/>
  <c r="AU8" i="6" s="1"/>
  <c r="AV8" i="6" s="1"/>
  <c r="AW8" i="6" s="1"/>
  <c r="AX8" i="6" s="1"/>
  <c r="AY8" i="6" s="1"/>
  <c r="AZ8" i="6" s="1"/>
  <c r="BA8" i="6" s="1"/>
  <c r="F19" i="6"/>
  <c r="E16" i="4"/>
  <c r="E6" i="3" s="1"/>
  <c r="F13" i="4"/>
  <c r="F14" i="4" s="1"/>
  <c r="E9" i="4"/>
  <c r="E82" i="5"/>
  <c r="F6" i="4"/>
  <c r="F7" i="4" s="1"/>
  <c r="F8" i="4" s="1"/>
  <c r="D10" i="4"/>
  <c r="D18" i="4"/>
  <c r="D5" i="3"/>
  <c r="D87" i="5"/>
  <c r="D10" i="3"/>
  <c r="C19" i="4"/>
  <c r="C21" i="4" s="1"/>
  <c r="C20" i="4"/>
  <c r="C128" i="5" s="1"/>
  <c r="C12" i="3" s="1"/>
  <c r="C7" i="3"/>
  <c r="C14" i="6"/>
  <c r="B6" i="6"/>
  <c r="C20" i="3"/>
  <c r="C130" i="5"/>
  <c r="C26" i="3" s="1"/>
  <c r="B25" i="3"/>
  <c r="B130" i="5"/>
  <c r="C132" i="5" l="1"/>
  <c r="C12" i="6" s="1"/>
  <c r="C15" i="6" s="1"/>
  <c r="B26" i="3"/>
  <c r="B132" i="5"/>
  <c r="B12" i="6" s="1"/>
  <c r="G19" i="6"/>
  <c r="F16" i="4"/>
  <c r="F6" i="3" s="1"/>
  <c r="G13" i="4"/>
  <c r="G14" i="4" s="1"/>
  <c r="F9" i="4"/>
  <c r="F82" i="5"/>
  <c r="G6" i="4"/>
  <c r="G7" i="4" s="1"/>
  <c r="G8" i="4" s="1"/>
  <c r="E10" i="4"/>
  <c r="E18" i="4"/>
  <c r="E5" i="3"/>
  <c r="E87" i="5"/>
  <c r="E10" i="3"/>
  <c r="D19" i="4"/>
  <c r="D21" i="4" s="1"/>
  <c r="D20" i="4"/>
  <c r="D128" i="5" s="1"/>
  <c r="D12" i="3" s="1"/>
  <c r="D14" i="6"/>
  <c r="D7" i="3"/>
  <c r="D130" i="5"/>
  <c r="D20" i="3"/>
  <c r="C6" i="6"/>
  <c r="C27" i="3"/>
  <c r="B27" i="3"/>
  <c r="C7" i="7" l="1"/>
  <c r="B7" i="7"/>
  <c r="B15" i="6"/>
  <c r="H19" i="6"/>
  <c r="G16" i="4"/>
  <c r="G6" i="3" s="1"/>
  <c r="H13" i="4"/>
  <c r="H14" i="4" s="1"/>
  <c r="G9" i="4"/>
  <c r="G82" i="5"/>
  <c r="H6" i="4"/>
  <c r="H7" i="4" s="1"/>
  <c r="H8" i="4" s="1"/>
  <c r="F10" i="4"/>
  <c r="F18" i="4"/>
  <c r="F5" i="3"/>
  <c r="F87" i="5"/>
  <c r="F10" i="3"/>
  <c r="E19" i="4"/>
  <c r="E21" i="4" s="1"/>
  <c r="E20" i="4"/>
  <c r="E128" i="5" s="1"/>
  <c r="E12" i="3" s="1"/>
  <c r="E7" i="3"/>
  <c r="E14" i="6"/>
  <c r="E130" i="5"/>
  <c r="E20" i="3"/>
  <c r="D6" i="6"/>
  <c r="D26" i="3"/>
  <c r="D27" i="3" s="1"/>
  <c r="D132" i="5"/>
  <c r="D12" i="6" s="1"/>
  <c r="D15" i="6" s="1"/>
  <c r="I19" i="6" l="1"/>
  <c r="I13" i="4"/>
  <c r="I14" i="4"/>
  <c r="H16" i="4"/>
  <c r="H6" i="3" s="1"/>
  <c r="H9" i="4"/>
  <c r="H82" i="5"/>
  <c r="I6" i="4"/>
  <c r="I7" i="4" s="1"/>
  <c r="I8" i="4" s="1"/>
  <c r="G10" i="4"/>
  <c r="G18" i="4"/>
  <c r="G5" i="3"/>
  <c r="G87" i="5"/>
  <c r="G10" i="3"/>
  <c r="F19" i="4"/>
  <c r="F21" i="4" s="1"/>
  <c r="F20" i="4"/>
  <c r="F128" i="5" s="1"/>
  <c r="F12" i="3" s="1"/>
  <c r="F14" i="6"/>
  <c r="F7" i="3"/>
  <c r="F130" i="5"/>
  <c r="F20" i="3"/>
  <c r="E6" i="6"/>
  <c r="D7" i="7"/>
  <c r="E26" i="3"/>
  <c r="E27" i="3" s="1"/>
  <c r="E132" i="5"/>
  <c r="E12" i="6" s="1"/>
  <c r="E15" i="6" s="1"/>
  <c r="J19" i="6" l="1"/>
  <c r="I16" i="4"/>
  <c r="I6" i="3" s="1"/>
  <c r="J13" i="4"/>
  <c r="J14" i="4" s="1"/>
  <c r="I9" i="4"/>
  <c r="I82" i="5"/>
  <c r="J5" i="4"/>
  <c r="J6" i="4"/>
  <c r="H10" i="4"/>
  <c r="H18" i="4"/>
  <c r="H5" i="3"/>
  <c r="H87" i="5"/>
  <c r="H10" i="3"/>
  <c r="G19" i="4"/>
  <c r="G21" i="4" s="1"/>
  <c r="G20" i="4"/>
  <c r="G128" i="5" s="1"/>
  <c r="G12" i="3" s="1"/>
  <c r="G7" i="3"/>
  <c r="G14" i="6"/>
  <c r="G130" i="5"/>
  <c r="G20" i="3"/>
  <c r="F6" i="6"/>
  <c r="E7" i="7"/>
  <c r="F26" i="3"/>
  <c r="F27" i="3" s="1"/>
  <c r="F132" i="5"/>
  <c r="F12" i="6" s="1"/>
  <c r="F15" i="6" s="1"/>
  <c r="F7" i="7" l="1"/>
  <c r="K19" i="6"/>
  <c r="K13" i="4"/>
  <c r="K14" i="4"/>
  <c r="J16" i="4"/>
  <c r="J6" i="3" s="1"/>
  <c r="I10" i="4"/>
  <c r="I18" i="4"/>
  <c r="I5" i="3"/>
  <c r="I87" i="5"/>
  <c r="I10" i="3"/>
  <c r="J7" i="4"/>
  <c r="J8" i="4" s="1"/>
  <c r="J23" i="4"/>
  <c r="J115" i="5" s="1"/>
  <c r="J117" i="5" s="1"/>
  <c r="J24" i="3" s="1"/>
  <c r="H19" i="4"/>
  <c r="H21" i="4" s="1"/>
  <c r="H20" i="4"/>
  <c r="H128" i="5" s="1"/>
  <c r="H12" i="3" s="1"/>
  <c r="H7" i="3"/>
  <c r="H14" i="6"/>
  <c r="H130" i="5"/>
  <c r="H20" i="3"/>
  <c r="G6" i="6"/>
  <c r="G26" i="3"/>
  <c r="G27" i="3" s="1"/>
  <c r="G132" i="5"/>
  <c r="G12" i="6" s="1"/>
  <c r="G15" i="6" s="1"/>
  <c r="H26" i="3" l="1"/>
  <c r="H27" i="3" s="1"/>
  <c r="H132" i="5"/>
  <c r="H12" i="6" s="1"/>
  <c r="H15" i="6" s="1"/>
  <c r="L19" i="6"/>
  <c r="K16" i="4"/>
  <c r="K6" i="3" s="1"/>
  <c r="L13" i="4"/>
  <c r="L14" i="4" s="1"/>
  <c r="I19" i="4"/>
  <c r="I21" i="4" s="1"/>
  <c r="I20" i="4"/>
  <c r="I128" i="5" s="1"/>
  <c r="I12" i="3" s="1"/>
  <c r="I7" i="3"/>
  <c r="I14" i="6"/>
  <c r="I130" i="5"/>
  <c r="I20" i="3"/>
  <c r="K6" i="4"/>
  <c r="K5" i="4"/>
  <c r="J82" i="5"/>
  <c r="J9" i="4"/>
  <c r="H6" i="6"/>
  <c r="G7" i="7"/>
  <c r="H7" i="7" l="1"/>
  <c r="M19" i="6"/>
  <c r="L16" i="4"/>
  <c r="L6" i="3" s="1"/>
  <c r="M13" i="4"/>
  <c r="M14" i="4" s="1"/>
  <c r="I6" i="6"/>
  <c r="K7" i="4"/>
  <c r="K8" i="4" s="1"/>
  <c r="K23" i="4"/>
  <c r="K115" i="5" s="1"/>
  <c r="K117" i="5" s="1"/>
  <c r="K24" i="3" s="1"/>
  <c r="J87" i="5"/>
  <c r="J10" i="3"/>
  <c r="J10" i="4"/>
  <c r="J18" i="4"/>
  <c r="J5" i="3"/>
  <c r="K9" i="4"/>
  <c r="I26" i="3"/>
  <c r="I27" i="3" s="1"/>
  <c r="I132" i="5"/>
  <c r="I12" i="6" s="1"/>
  <c r="I15" i="6" s="1"/>
  <c r="K82" i="5" l="1"/>
  <c r="L5" i="4"/>
  <c r="L6" i="4"/>
  <c r="N19" i="6"/>
  <c r="M16" i="4"/>
  <c r="M6" i="3" s="1"/>
  <c r="N13" i="4"/>
  <c r="N14" i="4" s="1"/>
  <c r="J130" i="5"/>
  <c r="J20" i="3"/>
  <c r="J19" i="4"/>
  <c r="J21" i="4" s="1"/>
  <c r="J20" i="4"/>
  <c r="J128" i="5" s="1"/>
  <c r="J12" i="3" s="1"/>
  <c r="J7" i="3"/>
  <c r="J14" i="6"/>
  <c r="K10" i="4"/>
  <c r="K18" i="4"/>
  <c r="K5" i="3"/>
  <c r="K87" i="5"/>
  <c r="K10" i="3"/>
  <c r="L7" i="4"/>
  <c r="L8" i="4" s="1"/>
  <c r="L23" i="4"/>
  <c r="L115" i="5" s="1"/>
  <c r="L117" i="5" s="1"/>
  <c r="L24" i="3" s="1"/>
  <c r="I7" i="7"/>
  <c r="O19" i="6" l="1"/>
  <c r="N16" i="4"/>
  <c r="N6" i="3" s="1"/>
  <c r="O13" i="4"/>
  <c r="O14" i="4" s="1"/>
  <c r="J6" i="6"/>
  <c r="K19" i="4"/>
  <c r="K21" i="4" s="1"/>
  <c r="K20" i="4"/>
  <c r="K128" i="5" s="1"/>
  <c r="K12" i="3" s="1"/>
  <c r="K7" i="3"/>
  <c r="K14" i="6"/>
  <c r="K130" i="5"/>
  <c r="K20" i="3"/>
  <c r="M6" i="4"/>
  <c r="M5" i="4"/>
  <c r="L82" i="5"/>
  <c r="L9" i="4"/>
  <c r="J26" i="3"/>
  <c r="J27" i="3" s="1"/>
  <c r="J132" i="5"/>
  <c r="J12" i="6" s="1"/>
  <c r="J15" i="6" s="1"/>
  <c r="P19" i="6" l="1"/>
  <c r="O16" i="4"/>
  <c r="O6" i="3" s="1"/>
  <c r="P13" i="4"/>
  <c r="P14" i="4" s="1"/>
  <c r="K6" i="6"/>
  <c r="M7" i="4"/>
  <c r="M8" i="4" s="1"/>
  <c r="M23" i="4"/>
  <c r="M115" i="5" s="1"/>
  <c r="M117" i="5" s="1"/>
  <c r="M24" i="3" s="1"/>
  <c r="L87" i="5"/>
  <c r="L10" i="3"/>
  <c r="L10" i="4"/>
  <c r="L18" i="4"/>
  <c r="L5" i="3"/>
  <c r="M9" i="4"/>
  <c r="M82" i="5"/>
  <c r="N5" i="4"/>
  <c r="N6" i="4"/>
  <c r="J7" i="7"/>
  <c r="K26" i="3"/>
  <c r="K27" i="3" s="1"/>
  <c r="K132" i="5"/>
  <c r="K12" i="6" s="1"/>
  <c r="K15" i="6" s="1"/>
  <c r="K7" i="7" l="1"/>
  <c r="Q19" i="6"/>
  <c r="P16" i="4"/>
  <c r="P6" i="3" s="1"/>
  <c r="Q13" i="4"/>
  <c r="Q14" i="4" s="1"/>
  <c r="L130" i="5"/>
  <c r="L20" i="3"/>
  <c r="L19" i="4"/>
  <c r="L21" i="4" s="1"/>
  <c r="L20" i="4"/>
  <c r="L128" i="5" s="1"/>
  <c r="L12" i="3" s="1"/>
  <c r="L7" i="3"/>
  <c r="L14" i="6"/>
  <c r="M10" i="4"/>
  <c r="M18" i="4"/>
  <c r="M5" i="3"/>
  <c r="M87" i="5"/>
  <c r="M10" i="3"/>
  <c r="N7" i="4"/>
  <c r="N8" i="4" s="1"/>
  <c r="N23" i="4"/>
  <c r="N115" i="5" s="1"/>
  <c r="N117" i="5" s="1"/>
  <c r="N24" i="3" s="1"/>
  <c r="L26" i="3" l="1"/>
  <c r="L27" i="3" s="1"/>
  <c r="L132" i="5"/>
  <c r="L12" i="6" s="1"/>
  <c r="L15" i="6" s="1"/>
  <c r="R19" i="6"/>
  <c r="Q16" i="4"/>
  <c r="Q6" i="3" s="1"/>
  <c r="R13" i="4"/>
  <c r="R14" i="4" s="1"/>
  <c r="L6" i="6"/>
  <c r="M19" i="4"/>
  <c r="M21" i="4" s="1"/>
  <c r="M20" i="4"/>
  <c r="M128" i="5" s="1"/>
  <c r="M12" i="3" s="1"/>
  <c r="M14" i="6"/>
  <c r="M7" i="3"/>
  <c r="M130" i="5"/>
  <c r="M20" i="3"/>
  <c r="O6" i="4"/>
  <c r="O5" i="4"/>
  <c r="N82" i="5"/>
  <c r="N9" i="4"/>
  <c r="L7" i="7" l="1"/>
  <c r="S19" i="6"/>
  <c r="R16" i="4"/>
  <c r="R6" i="3" s="1"/>
  <c r="S13" i="4"/>
  <c r="S14" i="4" s="1"/>
  <c r="M6" i="6"/>
  <c r="O7" i="4"/>
  <c r="O8" i="4" s="1"/>
  <c r="O23" i="4"/>
  <c r="O115" i="5" s="1"/>
  <c r="O117" i="5" s="1"/>
  <c r="O24" i="3" s="1"/>
  <c r="N87" i="5"/>
  <c r="N10" i="3"/>
  <c r="N10" i="4"/>
  <c r="N18" i="4"/>
  <c r="N5" i="3"/>
  <c r="O9" i="4"/>
  <c r="O82" i="5"/>
  <c r="P5" i="4"/>
  <c r="P6" i="4"/>
  <c r="M26" i="3"/>
  <c r="M27" i="3" s="1"/>
  <c r="M132" i="5"/>
  <c r="M12" i="6" s="1"/>
  <c r="M15" i="6" s="1"/>
  <c r="M7" i="7" l="1"/>
  <c r="T19" i="6"/>
  <c r="S16" i="4"/>
  <c r="S6" i="3" s="1"/>
  <c r="T13" i="4"/>
  <c r="T14" i="4" s="1"/>
  <c r="N130" i="5"/>
  <c r="N20" i="3"/>
  <c r="N19" i="4"/>
  <c r="N21" i="4" s="1"/>
  <c r="N20" i="4"/>
  <c r="N128" i="5" s="1"/>
  <c r="N12" i="3" s="1"/>
  <c r="N7" i="3"/>
  <c r="N14" i="6"/>
  <c r="O10" i="4"/>
  <c r="O18" i="4"/>
  <c r="O5" i="3"/>
  <c r="O87" i="5"/>
  <c r="O10" i="3"/>
  <c r="P7" i="4"/>
  <c r="P8" i="4" s="1"/>
  <c r="P23" i="4"/>
  <c r="P115" i="5" s="1"/>
  <c r="P117" i="5" s="1"/>
  <c r="P24" i="3" s="1"/>
  <c r="U19" i="6" l="1"/>
  <c r="U13" i="4"/>
  <c r="U14" i="4" s="1"/>
  <c r="T16" i="4"/>
  <c r="T6" i="3" s="1"/>
  <c r="N6" i="6"/>
  <c r="O19" i="4"/>
  <c r="O21" i="4" s="1"/>
  <c r="O20" i="4"/>
  <c r="O128" i="5" s="1"/>
  <c r="O12" i="3" s="1"/>
  <c r="O7" i="3"/>
  <c r="O14" i="6"/>
  <c r="O130" i="5"/>
  <c r="O26" i="3" s="1"/>
  <c r="O20" i="3"/>
  <c r="Q6" i="4"/>
  <c r="Q5" i="4"/>
  <c r="P82" i="5"/>
  <c r="P9" i="4"/>
  <c r="N26" i="3"/>
  <c r="N27" i="3" s="1"/>
  <c r="N132" i="5"/>
  <c r="N12" i="6" s="1"/>
  <c r="N15" i="6" s="1"/>
  <c r="O27" i="3" l="1"/>
  <c r="O132" i="5"/>
  <c r="O12" i="6" s="1"/>
  <c r="O15" i="6" s="1"/>
  <c r="V19" i="6"/>
  <c r="U16" i="4"/>
  <c r="U6" i="3" s="1"/>
  <c r="V13" i="4"/>
  <c r="V14" i="4" s="1"/>
  <c r="O6" i="6"/>
  <c r="Q7" i="4"/>
  <c r="Q8" i="4" s="1"/>
  <c r="Q23" i="4"/>
  <c r="Q115" i="5" s="1"/>
  <c r="Q117" i="5" s="1"/>
  <c r="Q24" i="3" s="1"/>
  <c r="P87" i="5"/>
  <c r="P10" i="3"/>
  <c r="P10" i="4"/>
  <c r="P18" i="4"/>
  <c r="P5" i="3"/>
  <c r="N7" i="7"/>
  <c r="O7" i="7" l="1"/>
  <c r="Q9" i="4"/>
  <c r="Q82" i="5"/>
  <c r="R5" i="4"/>
  <c r="R6" i="4"/>
  <c r="W19" i="6"/>
  <c r="V16" i="4"/>
  <c r="V6" i="3" s="1"/>
  <c r="W13" i="4"/>
  <c r="W14" i="4" s="1"/>
  <c r="P130" i="5"/>
  <c r="P20" i="3"/>
  <c r="P19" i="4"/>
  <c r="P21" i="4" s="1"/>
  <c r="P20" i="4"/>
  <c r="P128" i="5" s="1"/>
  <c r="P12" i="3" s="1"/>
  <c r="P7" i="3"/>
  <c r="P14" i="6"/>
  <c r="Q10" i="4"/>
  <c r="Q18" i="4"/>
  <c r="Q5" i="3"/>
  <c r="Q87" i="5"/>
  <c r="Q10" i="3"/>
  <c r="R7" i="4"/>
  <c r="R8" i="4" s="1"/>
  <c r="R23" i="4"/>
  <c r="R115" i="5" s="1"/>
  <c r="R117" i="5" s="1"/>
  <c r="R24" i="3" s="1"/>
  <c r="P26" i="3" l="1"/>
  <c r="P27" i="3" s="1"/>
  <c r="P132" i="5"/>
  <c r="P12" i="6" s="1"/>
  <c r="P15" i="6" s="1"/>
  <c r="X19" i="6"/>
  <c r="W16" i="4"/>
  <c r="W6" i="3" s="1"/>
  <c r="X13" i="4"/>
  <c r="X14" i="4" s="1"/>
  <c r="P6" i="6"/>
  <c r="Q19" i="4"/>
  <c r="Q21" i="4" s="1"/>
  <c r="Q20" i="4"/>
  <c r="Q128" i="5" s="1"/>
  <c r="Q12" i="3" s="1"/>
  <c r="Q7" i="3"/>
  <c r="Q14" i="6"/>
  <c r="Q130" i="5"/>
  <c r="Q26" i="3" s="1"/>
  <c r="Q20" i="3"/>
  <c r="S6" i="4"/>
  <c r="S5" i="4"/>
  <c r="R82" i="5"/>
  <c r="R9" i="4"/>
  <c r="P7" i="7" l="1"/>
  <c r="Q27" i="3"/>
  <c r="Q132" i="5"/>
  <c r="Q12" i="6" s="1"/>
  <c r="Q15" i="6" s="1"/>
  <c r="Y19" i="6"/>
  <c r="X16" i="4"/>
  <c r="X6" i="3" s="1"/>
  <c r="Y13" i="4"/>
  <c r="Y14" i="4" s="1"/>
  <c r="Q6" i="6"/>
  <c r="Q7" i="7" s="1"/>
  <c r="S7" i="4"/>
  <c r="S8" i="4" s="1"/>
  <c r="S23" i="4"/>
  <c r="S115" i="5" s="1"/>
  <c r="S117" i="5" s="1"/>
  <c r="S24" i="3" s="1"/>
  <c r="R87" i="5"/>
  <c r="R10" i="3"/>
  <c r="R10" i="4"/>
  <c r="R18" i="4"/>
  <c r="R5" i="3"/>
  <c r="S9" i="4"/>
  <c r="S82" i="5"/>
  <c r="T5" i="4"/>
  <c r="T6" i="4"/>
  <c r="Z19" i="6" l="1"/>
  <c r="Y16" i="4"/>
  <c r="Y6" i="3" s="1"/>
  <c r="Z13" i="4"/>
  <c r="Z14" i="4" s="1"/>
  <c r="R130" i="5"/>
  <c r="R20" i="3"/>
  <c r="R19" i="4"/>
  <c r="R21" i="4" s="1"/>
  <c r="R20" i="4"/>
  <c r="R128" i="5" s="1"/>
  <c r="R12" i="3" s="1"/>
  <c r="R7" i="3"/>
  <c r="R14" i="6"/>
  <c r="S10" i="4"/>
  <c r="S18" i="4"/>
  <c r="S5" i="3"/>
  <c r="S87" i="5"/>
  <c r="S10" i="3"/>
  <c r="T7" i="4"/>
  <c r="T8" i="4" s="1"/>
  <c r="T23" i="4"/>
  <c r="T115" i="5" s="1"/>
  <c r="T117" i="5" s="1"/>
  <c r="T24" i="3" s="1"/>
  <c r="AA19" i="6" l="1"/>
  <c r="Z16" i="4"/>
  <c r="Z6" i="3" s="1"/>
  <c r="AA13" i="4"/>
  <c r="AA14" i="4" s="1"/>
  <c r="R6" i="6"/>
  <c r="S19" i="4"/>
  <c r="S21" i="4" s="1"/>
  <c r="S20" i="4"/>
  <c r="S128" i="5" s="1"/>
  <c r="S12" i="3" s="1"/>
  <c r="S7" i="3"/>
  <c r="S14" i="6"/>
  <c r="S130" i="5"/>
  <c r="S20" i="3"/>
  <c r="U6" i="4"/>
  <c r="U5" i="4"/>
  <c r="T82" i="5"/>
  <c r="T9" i="4"/>
  <c r="R26" i="3"/>
  <c r="R27" i="3" s="1"/>
  <c r="R132" i="5"/>
  <c r="R12" i="6" s="1"/>
  <c r="R15" i="6" s="1"/>
  <c r="R7" i="7" l="1"/>
  <c r="AB19" i="6"/>
  <c r="AA16" i="4"/>
  <c r="AA6" i="3" s="1"/>
  <c r="AB13" i="4"/>
  <c r="AB14" i="4" s="1"/>
  <c r="S6" i="6"/>
  <c r="U7" i="4"/>
  <c r="U8" i="4" s="1"/>
  <c r="U23" i="4"/>
  <c r="U115" i="5" s="1"/>
  <c r="U117" i="5" s="1"/>
  <c r="U24" i="3" s="1"/>
  <c r="T87" i="5"/>
  <c r="T10" i="3"/>
  <c r="T10" i="4"/>
  <c r="T18" i="4"/>
  <c r="T5" i="3"/>
  <c r="S26" i="3"/>
  <c r="S27" i="3" s="1"/>
  <c r="S132" i="5"/>
  <c r="S12" i="6" s="1"/>
  <c r="S15" i="6" s="1"/>
  <c r="S7" i="7" l="1"/>
  <c r="AC19" i="6"/>
  <c r="AB16" i="4"/>
  <c r="AB6" i="3" s="1"/>
  <c r="AC13" i="4"/>
  <c r="AC14" i="4" s="1"/>
  <c r="T130" i="5"/>
  <c r="T20" i="3"/>
  <c r="T19" i="4"/>
  <c r="T21" i="4" s="1"/>
  <c r="T20" i="4"/>
  <c r="T128" i="5" s="1"/>
  <c r="T12" i="3" s="1"/>
  <c r="T7" i="3"/>
  <c r="T14" i="6"/>
  <c r="U9" i="4"/>
  <c r="U82" i="5"/>
  <c r="V5" i="4"/>
  <c r="V6" i="4"/>
  <c r="AD19" i="6" l="1"/>
  <c r="AC16" i="4"/>
  <c r="AC6" i="3" s="1"/>
  <c r="AD13" i="4"/>
  <c r="AD14" i="4" s="1"/>
  <c r="T6" i="6"/>
  <c r="U5" i="3"/>
  <c r="U18" i="4"/>
  <c r="U10" i="4"/>
  <c r="U10" i="3"/>
  <c r="U87" i="5"/>
  <c r="V23" i="4"/>
  <c r="V115" i="5" s="1"/>
  <c r="V117" i="5" s="1"/>
  <c r="V24" i="3" s="1"/>
  <c r="V7" i="4"/>
  <c r="V8" i="4" s="1"/>
  <c r="T26" i="3"/>
  <c r="T27" i="3" s="1"/>
  <c r="T132" i="5"/>
  <c r="T12" i="6" s="1"/>
  <c r="T15" i="6" s="1"/>
  <c r="AE19" i="6" l="1"/>
  <c r="AD16" i="4"/>
  <c r="AD6" i="3" s="1"/>
  <c r="AE13" i="4"/>
  <c r="AE14" i="4" s="1"/>
  <c r="U7" i="3"/>
  <c r="U14" i="6"/>
  <c r="U19" i="4"/>
  <c r="U21" i="4" s="1"/>
  <c r="U20" i="4"/>
  <c r="U128" i="5" s="1"/>
  <c r="U12" i="3" s="1"/>
  <c r="U130" i="5"/>
  <c r="U20" i="3"/>
  <c r="V9" i="4"/>
  <c r="V82" i="5"/>
  <c r="W5" i="4"/>
  <c r="W6" i="4"/>
  <c r="T7" i="7"/>
  <c r="U26" i="3" l="1"/>
  <c r="U27" i="3" s="1"/>
  <c r="U132" i="5"/>
  <c r="U12" i="6" s="1"/>
  <c r="U15" i="6" s="1"/>
  <c r="AF19" i="6"/>
  <c r="AE16" i="4"/>
  <c r="AE6" i="3" s="1"/>
  <c r="AF13" i="4"/>
  <c r="AF14" i="4" s="1"/>
  <c r="U6" i="6"/>
  <c r="V10" i="4"/>
  <c r="V18" i="4"/>
  <c r="V5" i="3"/>
  <c r="V87" i="5"/>
  <c r="V10" i="3"/>
  <c r="W7" i="4"/>
  <c r="W8" i="4" s="1"/>
  <c r="W23" i="4"/>
  <c r="W115" i="5" s="1"/>
  <c r="W117" i="5" s="1"/>
  <c r="W24" i="3" s="1"/>
  <c r="U7" i="7" l="1"/>
  <c r="AG19" i="6"/>
  <c r="AF16" i="4"/>
  <c r="AF6" i="3" s="1"/>
  <c r="AG13" i="4"/>
  <c r="AG14" i="4" s="1"/>
  <c r="V19" i="4"/>
  <c r="V21" i="4" s="1"/>
  <c r="V20" i="4"/>
  <c r="V128" i="5" s="1"/>
  <c r="V12" i="3" s="1"/>
  <c r="V14" i="6"/>
  <c r="V7" i="3"/>
  <c r="V130" i="5"/>
  <c r="V20" i="3"/>
  <c r="X6" i="4"/>
  <c r="X5" i="4"/>
  <c r="W82" i="5"/>
  <c r="W9" i="4"/>
  <c r="AH19" i="6" l="1"/>
  <c r="AG16" i="4"/>
  <c r="AG6" i="3" s="1"/>
  <c r="AH13" i="4"/>
  <c r="AH14" i="4" s="1"/>
  <c r="V6" i="6"/>
  <c r="X7" i="4"/>
  <c r="X8" i="4" s="1"/>
  <c r="X23" i="4"/>
  <c r="X115" i="5" s="1"/>
  <c r="X117" i="5" s="1"/>
  <c r="X24" i="3" s="1"/>
  <c r="W87" i="5"/>
  <c r="W10" i="3"/>
  <c r="W10" i="4"/>
  <c r="W18" i="4"/>
  <c r="W5" i="3"/>
  <c r="X9" i="4"/>
  <c r="X82" i="5"/>
  <c r="Y5" i="4"/>
  <c r="Y6" i="4"/>
  <c r="V26" i="3"/>
  <c r="V27" i="3" s="1"/>
  <c r="V132" i="5"/>
  <c r="V12" i="6" s="1"/>
  <c r="V15" i="6" s="1"/>
  <c r="V7" i="7" l="1"/>
  <c r="AI19" i="6"/>
  <c r="AH16" i="4"/>
  <c r="AH6" i="3" s="1"/>
  <c r="AI13" i="4"/>
  <c r="AI14" i="4" s="1"/>
  <c r="W130" i="5"/>
  <c r="W20" i="3"/>
  <c r="W19" i="4"/>
  <c r="W21" i="4" s="1"/>
  <c r="W20" i="4"/>
  <c r="W128" i="5" s="1"/>
  <c r="W12" i="3" s="1"/>
  <c r="W7" i="3"/>
  <c r="W14" i="6"/>
  <c r="X10" i="4"/>
  <c r="X18" i="4"/>
  <c r="X5" i="3"/>
  <c r="X87" i="5"/>
  <c r="X10" i="3"/>
  <c r="Y7" i="4"/>
  <c r="Y8" i="4" s="1"/>
  <c r="Y23" i="4"/>
  <c r="Y115" i="5" s="1"/>
  <c r="Y117" i="5" s="1"/>
  <c r="Y24" i="3" s="1"/>
  <c r="W26" i="3" l="1"/>
  <c r="W27" i="3" s="1"/>
  <c r="W132" i="5"/>
  <c r="W12" i="6" s="1"/>
  <c r="W15" i="6" s="1"/>
  <c r="AJ19" i="6"/>
  <c r="AI16" i="4"/>
  <c r="AI6" i="3" s="1"/>
  <c r="AJ13" i="4"/>
  <c r="AJ14" i="4" s="1"/>
  <c r="W6" i="6"/>
  <c r="X19" i="4"/>
  <c r="X21" i="4" s="1"/>
  <c r="X20" i="4"/>
  <c r="X128" i="5" s="1"/>
  <c r="X12" i="3" s="1"/>
  <c r="X7" i="3"/>
  <c r="X14" i="6"/>
  <c r="X130" i="5"/>
  <c r="X20" i="3"/>
  <c r="Z6" i="4"/>
  <c r="Z5" i="4"/>
  <c r="Y82" i="5"/>
  <c r="Y9" i="4"/>
  <c r="W7" i="7" l="1"/>
  <c r="AK19" i="6"/>
  <c r="AJ16" i="4"/>
  <c r="AJ6" i="3" s="1"/>
  <c r="AK13" i="4"/>
  <c r="AK14" i="4" s="1"/>
  <c r="X6" i="6"/>
  <c r="Z7" i="4"/>
  <c r="Z8" i="4" s="1"/>
  <c r="Z23" i="4"/>
  <c r="Z115" i="5" s="1"/>
  <c r="Z117" i="5" s="1"/>
  <c r="Z24" i="3" s="1"/>
  <c r="Y87" i="5"/>
  <c r="Y10" i="3"/>
  <c r="Y10" i="4"/>
  <c r="Y18" i="4"/>
  <c r="Y5" i="3"/>
  <c r="X26" i="3"/>
  <c r="X27" i="3" s="1"/>
  <c r="X132" i="5"/>
  <c r="X12" i="6" s="1"/>
  <c r="X15" i="6" s="1"/>
  <c r="AL19" i="6" l="1"/>
  <c r="AK16" i="4"/>
  <c r="AK6" i="3" s="1"/>
  <c r="AL13" i="4"/>
  <c r="AL14" i="4" s="1"/>
  <c r="Y130" i="5"/>
  <c r="Y20" i="3"/>
  <c r="Y19" i="4"/>
  <c r="Y21" i="4" s="1"/>
  <c r="Y20" i="4"/>
  <c r="Y128" i="5" s="1"/>
  <c r="Y12" i="3" s="1"/>
  <c r="Y7" i="3"/>
  <c r="Y14" i="6"/>
  <c r="X7" i="7"/>
  <c r="Z9" i="4"/>
  <c r="Z82" i="5"/>
  <c r="AA5" i="4"/>
  <c r="AA6" i="4"/>
  <c r="AM19" i="6" l="1"/>
  <c r="AL16" i="4"/>
  <c r="AL6" i="3" s="1"/>
  <c r="AM13" i="4"/>
  <c r="AM14" i="4" s="1"/>
  <c r="Y6" i="6"/>
  <c r="Z5" i="3"/>
  <c r="Z18" i="4"/>
  <c r="Z10" i="4"/>
  <c r="Z10" i="3"/>
  <c r="Z87" i="5"/>
  <c r="AA23" i="4"/>
  <c r="AA115" i="5" s="1"/>
  <c r="AA117" i="5" s="1"/>
  <c r="AA24" i="3" s="1"/>
  <c r="AA7" i="4"/>
  <c r="AA8" i="4" s="1"/>
  <c r="Y26" i="3"/>
  <c r="Y27" i="3" s="1"/>
  <c r="Y132" i="5"/>
  <c r="Y12" i="6" s="1"/>
  <c r="Y15" i="6" s="1"/>
  <c r="AN19" i="6" l="1"/>
  <c r="AM16" i="4"/>
  <c r="AM6" i="3" s="1"/>
  <c r="AN13" i="4"/>
  <c r="AN14" i="4" s="1"/>
  <c r="Z7" i="3"/>
  <c r="Z14" i="6"/>
  <c r="Z19" i="4"/>
  <c r="Z21" i="4" s="1"/>
  <c r="Z20" i="4"/>
  <c r="Z128" i="5" s="1"/>
  <c r="Z12" i="3" s="1"/>
  <c r="Z130" i="5"/>
  <c r="Z20" i="3"/>
  <c r="AA9" i="4"/>
  <c r="AA82" i="5"/>
  <c r="AB5" i="4"/>
  <c r="AB6" i="4"/>
  <c r="Y7" i="7"/>
  <c r="AO19" i="6" l="1"/>
  <c r="AN16" i="4"/>
  <c r="AN6" i="3" s="1"/>
  <c r="AO13" i="4"/>
  <c r="AO14" i="4" s="1"/>
  <c r="Z6" i="6"/>
  <c r="AA10" i="4"/>
  <c r="AA18" i="4"/>
  <c r="AA5" i="3"/>
  <c r="AA87" i="5"/>
  <c r="AA10" i="3"/>
  <c r="AB7" i="4"/>
  <c r="AB8" i="4" s="1"/>
  <c r="AB23" i="4"/>
  <c r="AB115" i="5" s="1"/>
  <c r="AB117" i="5" s="1"/>
  <c r="AB24" i="3" s="1"/>
  <c r="Z26" i="3"/>
  <c r="Z27" i="3" s="1"/>
  <c r="Z132" i="5"/>
  <c r="Z12" i="6" s="1"/>
  <c r="Z15" i="6" s="1"/>
  <c r="AP19" i="6" l="1"/>
  <c r="AO16" i="4"/>
  <c r="AO6" i="3" s="1"/>
  <c r="AP13" i="4"/>
  <c r="AP14" i="4" s="1"/>
  <c r="AA19" i="4"/>
  <c r="AA21" i="4" s="1"/>
  <c r="AA20" i="4"/>
  <c r="AA128" i="5" s="1"/>
  <c r="AA12" i="3" s="1"/>
  <c r="AA7" i="3"/>
  <c r="AA14" i="6"/>
  <c r="AA130" i="5"/>
  <c r="AA20" i="3"/>
  <c r="AC6" i="4"/>
  <c r="AC5" i="4"/>
  <c r="AB82" i="5"/>
  <c r="AB9" i="4"/>
  <c r="Z7" i="7"/>
  <c r="AQ19" i="6" l="1"/>
  <c r="AP16" i="4"/>
  <c r="AP6" i="3" s="1"/>
  <c r="AQ13" i="4"/>
  <c r="AQ14" i="4" s="1"/>
  <c r="AA6" i="6"/>
  <c r="AC7" i="4"/>
  <c r="AC8" i="4" s="1"/>
  <c r="AC23" i="4"/>
  <c r="AC115" i="5" s="1"/>
  <c r="AC117" i="5" s="1"/>
  <c r="AC24" i="3" s="1"/>
  <c r="AB87" i="5"/>
  <c r="AB10" i="3"/>
  <c r="AB10" i="4"/>
  <c r="AB18" i="4"/>
  <c r="AB5" i="3"/>
  <c r="AA26" i="3"/>
  <c r="AA27" i="3" s="1"/>
  <c r="AA132" i="5"/>
  <c r="AA12" i="6" s="1"/>
  <c r="AA15" i="6" s="1"/>
  <c r="AC9" i="4" l="1"/>
  <c r="AD5" i="4"/>
  <c r="AC82" i="5"/>
  <c r="AD6" i="4"/>
  <c r="AR19" i="6"/>
  <c r="AQ16" i="4"/>
  <c r="AQ6" i="3" s="1"/>
  <c r="AR13" i="4"/>
  <c r="AR14" i="4" s="1"/>
  <c r="AB130" i="5"/>
  <c r="AB20" i="3"/>
  <c r="AB19" i="4"/>
  <c r="AB21" i="4" s="1"/>
  <c r="AB20" i="4"/>
  <c r="AB128" i="5" s="1"/>
  <c r="AB12" i="3" s="1"/>
  <c r="AB7" i="3"/>
  <c r="AB14" i="6"/>
  <c r="AA7" i="7"/>
  <c r="AC10" i="4" l="1"/>
  <c r="AC18" i="4"/>
  <c r="AC5" i="3"/>
  <c r="AD23" i="4"/>
  <c r="AD115" i="5" s="1"/>
  <c r="AD117" i="5" s="1"/>
  <c r="AD24" i="3" s="1"/>
  <c r="AD7" i="4"/>
  <c r="AD8" i="4" s="1"/>
  <c r="AC87" i="5"/>
  <c r="AC130" i="5" s="1"/>
  <c r="AC10" i="3"/>
  <c r="AS19" i="6"/>
  <c r="AR16" i="4"/>
  <c r="AR6" i="3" s="1"/>
  <c r="AS13" i="4"/>
  <c r="AS14" i="4" s="1"/>
  <c r="AB6" i="6"/>
  <c r="AC19" i="4"/>
  <c r="AC21" i="4" s="1"/>
  <c r="AC20" i="4"/>
  <c r="AC128" i="5" s="1"/>
  <c r="AC12" i="3" s="1"/>
  <c r="AC7" i="3"/>
  <c r="AC14" i="6"/>
  <c r="AE6" i="4"/>
  <c r="AE5" i="4"/>
  <c r="AD82" i="5"/>
  <c r="AD9" i="4"/>
  <c r="AB26" i="3"/>
  <c r="AB27" i="3" s="1"/>
  <c r="AB132" i="5"/>
  <c r="AB12" i="6" s="1"/>
  <c r="AB15" i="6" s="1"/>
  <c r="AC20" i="3" l="1"/>
  <c r="AB7" i="7"/>
  <c r="AC26" i="3"/>
  <c r="AC132" i="5"/>
  <c r="AC12" i="6" s="1"/>
  <c r="AC15" i="6" s="1"/>
  <c r="AT19" i="6"/>
  <c r="AS16" i="4"/>
  <c r="AS6" i="3" s="1"/>
  <c r="AT13" i="4"/>
  <c r="AT14" i="4" s="1"/>
  <c r="AC6" i="6"/>
  <c r="AE7" i="4"/>
  <c r="AE8" i="4" s="1"/>
  <c r="AE23" i="4"/>
  <c r="AE115" i="5" s="1"/>
  <c r="AE117" i="5" s="1"/>
  <c r="AE24" i="3" s="1"/>
  <c r="AD87" i="5"/>
  <c r="AD10" i="3"/>
  <c r="AD10" i="4"/>
  <c r="AD18" i="4"/>
  <c r="AD5" i="3"/>
  <c r="AC27" i="3" l="1"/>
  <c r="AC7" i="7"/>
  <c r="AU19" i="6"/>
  <c r="AT16" i="4"/>
  <c r="AT6" i="3" s="1"/>
  <c r="AU13" i="4"/>
  <c r="AU14" i="4" s="1"/>
  <c r="AD130" i="5"/>
  <c r="AD20" i="3"/>
  <c r="AD19" i="4"/>
  <c r="AD21" i="4" s="1"/>
  <c r="AD20" i="4"/>
  <c r="AD128" i="5" s="1"/>
  <c r="AD12" i="3" s="1"/>
  <c r="AD14" i="6"/>
  <c r="AD7" i="3"/>
  <c r="AE9" i="4"/>
  <c r="AE82" i="5"/>
  <c r="AF5" i="4"/>
  <c r="AF6" i="4"/>
  <c r="AV19" i="6" l="1"/>
  <c r="AU16" i="4"/>
  <c r="AU6" i="3" s="1"/>
  <c r="AV13" i="4"/>
  <c r="AV14" i="4" s="1"/>
  <c r="AD6" i="6"/>
  <c r="AE5" i="3"/>
  <c r="AE18" i="4"/>
  <c r="AE10" i="4"/>
  <c r="AE10" i="3"/>
  <c r="AE87" i="5"/>
  <c r="AF23" i="4"/>
  <c r="AF115" i="5" s="1"/>
  <c r="AF117" i="5" s="1"/>
  <c r="AF24" i="3" s="1"/>
  <c r="AF7" i="4"/>
  <c r="AF8" i="4" s="1"/>
  <c r="AD26" i="3"/>
  <c r="AD27" i="3" s="1"/>
  <c r="AD132" i="5"/>
  <c r="AD12" i="6" s="1"/>
  <c r="AD15" i="6" s="1"/>
  <c r="AW19" i="6" l="1"/>
  <c r="AV16" i="4"/>
  <c r="AV6" i="3" s="1"/>
  <c r="AW13" i="4"/>
  <c r="AW14" i="4" s="1"/>
  <c r="AE7" i="3"/>
  <c r="AE14" i="6"/>
  <c r="AE19" i="4"/>
  <c r="AE21" i="4" s="1"/>
  <c r="AE20" i="4"/>
  <c r="AE128" i="5" s="1"/>
  <c r="AE12" i="3" s="1"/>
  <c r="AE130" i="5"/>
  <c r="AE20" i="3"/>
  <c r="AF9" i="4"/>
  <c r="AF82" i="5"/>
  <c r="AG5" i="4"/>
  <c r="AG6" i="4"/>
  <c r="AD7" i="7"/>
  <c r="AX19" i="6" l="1"/>
  <c r="AW16" i="4"/>
  <c r="AW6" i="3" s="1"/>
  <c r="AX13" i="4"/>
  <c r="AX14" i="4" s="1"/>
  <c r="AE6" i="6"/>
  <c r="AF10" i="4"/>
  <c r="AF18" i="4"/>
  <c r="AF5" i="3"/>
  <c r="AF87" i="5"/>
  <c r="AF10" i="3"/>
  <c r="AG7" i="4"/>
  <c r="AG8" i="4" s="1"/>
  <c r="AG23" i="4"/>
  <c r="AG115" i="5" s="1"/>
  <c r="AG117" i="5" s="1"/>
  <c r="AG24" i="3" s="1"/>
  <c r="AE26" i="3"/>
  <c r="AE27" i="3" s="1"/>
  <c r="AE132" i="5"/>
  <c r="AE12" i="6" s="1"/>
  <c r="AE15" i="6" s="1"/>
  <c r="AY19" i="6" l="1"/>
  <c r="AX16" i="4"/>
  <c r="AX6" i="3" s="1"/>
  <c r="AY13" i="4"/>
  <c r="AY14" i="4" s="1"/>
  <c r="AF19" i="4"/>
  <c r="AF21" i="4" s="1"/>
  <c r="AF20" i="4"/>
  <c r="AF128" i="5" s="1"/>
  <c r="AF12" i="3" s="1"/>
  <c r="AF7" i="3"/>
  <c r="AF14" i="6"/>
  <c r="AF130" i="5"/>
  <c r="AF20" i="3"/>
  <c r="AH6" i="4"/>
  <c r="AH5" i="4"/>
  <c r="AG82" i="5"/>
  <c r="AG9" i="4"/>
  <c r="AE7" i="7"/>
  <c r="AZ19" i="6" l="1"/>
  <c r="AY16" i="4"/>
  <c r="AY6" i="3" s="1"/>
  <c r="AZ13" i="4"/>
  <c r="AZ14" i="4" s="1"/>
  <c r="AF6" i="6"/>
  <c r="AH7" i="4"/>
  <c r="AH8" i="4" s="1"/>
  <c r="AH23" i="4"/>
  <c r="AH115" i="5" s="1"/>
  <c r="AH117" i="5" s="1"/>
  <c r="AH24" i="3" s="1"/>
  <c r="AG87" i="5"/>
  <c r="AG10" i="3"/>
  <c r="AG10" i="4"/>
  <c r="AG18" i="4"/>
  <c r="AG5" i="3"/>
  <c r="AF26" i="3"/>
  <c r="AF27" i="3" s="1"/>
  <c r="AF132" i="5"/>
  <c r="AF12" i="6" s="1"/>
  <c r="AF15" i="6" s="1"/>
  <c r="AF7" i="7" l="1"/>
  <c r="BA19" i="6"/>
  <c r="AZ16" i="4"/>
  <c r="AZ6" i="3" s="1"/>
  <c r="BA13" i="4"/>
  <c r="BA14" i="4" s="1"/>
  <c r="BA16" i="4" s="1"/>
  <c r="BA6" i="3" s="1"/>
  <c r="AG130" i="5"/>
  <c r="AG20" i="3"/>
  <c r="AG19" i="4"/>
  <c r="AG21" i="4" s="1"/>
  <c r="AG20" i="4"/>
  <c r="AG128" i="5" s="1"/>
  <c r="AG12" i="3" s="1"/>
  <c r="AG14" i="6"/>
  <c r="AG7" i="3"/>
  <c r="AH9" i="4"/>
  <c r="AH82" i="5"/>
  <c r="AI5" i="4"/>
  <c r="AI6" i="4"/>
  <c r="AG6" i="6" l="1"/>
  <c r="AH5" i="3"/>
  <c r="AH18" i="4"/>
  <c r="AH10" i="4"/>
  <c r="AH10" i="3"/>
  <c r="AH87" i="5"/>
  <c r="AI23" i="4"/>
  <c r="AI115" i="5" s="1"/>
  <c r="AI117" i="5" s="1"/>
  <c r="AI24" i="3" s="1"/>
  <c r="AI7" i="4"/>
  <c r="AI8" i="4" s="1"/>
  <c r="AG26" i="3"/>
  <c r="AG27" i="3" s="1"/>
  <c r="AG132" i="5"/>
  <c r="AG12" i="6" s="1"/>
  <c r="AG15" i="6" s="1"/>
  <c r="AH14" i="6" l="1"/>
  <c r="AH7" i="3"/>
  <c r="AH19" i="4"/>
  <c r="AH21" i="4" s="1"/>
  <c r="AH20" i="4"/>
  <c r="AH128" i="5" s="1"/>
  <c r="AH12" i="3" s="1"/>
  <c r="AH130" i="5"/>
  <c r="AH20" i="3"/>
  <c r="AI9" i="4"/>
  <c r="AI82" i="5"/>
  <c r="AJ5" i="4"/>
  <c r="AJ6" i="4"/>
  <c r="AG7" i="7"/>
  <c r="AH6" i="6" l="1"/>
  <c r="AI10" i="4"/>
  <c r="AI18" i="4"/>
  <c r="AI5" i="3"/>
  <c r="AI87" i="5"/>
  <c r="AI10" i="3"/>
  <c r="AJ7" i="4"/>
  <c r="AJ8" i="4" s="1"/>
  <c r="AJ23" i="4"/>
  <c r="AJ115" i="5" s="1"/>
  <c r="AJ117" i="5" s="1"/>
  <c r="AJ24" i="3" s="1"/>
  <c r="AH26" i="3"/>
  <c r="AH27" i="3" s="1"/>
  <c r="AH132" i="5"/>
  <c r="AH12" i="6" s="1"/>
  <c r="AH15" i="6" s="1"/>
  <c r="AI19" i="4" l="1"/>
  <c r="AI21" i="4" s="1"/>
  <c r="AI20" i="4"/>
  <c r="AI128" i="5" s="1"/>
  <c r="AI12" i="3" s="1"/>
  <c r="AI7" i="3"/>
  <c r="AI14" i="6"/>
  <c r="AI130" i="5"/>
  <c r="AI20" i="3"/>
  <c r="AK6" i="4"/>
  <c r="AK5" i="4"/>
  <c r="AJ82" i="5"/>
  <c r="AJ9" i="4"/>
  <c r="AH7" i="7"/>
  <c r="AI6" i="6" l="1"/>
  <c r="AK7" i="4"/>
  <c r="AK8" i="4" s="1"/>
  <c r="AK23" i="4"/>
  <c r="AK115" i="5" s="1"/>
  <c r="AK117" i="5" s="1"/>
  <c r="AK24" i="3" s="1"/>
  <c r="AJ87" i="5"/>
  <c r="AJ10" i="3"/>
  <c r="AJ10" i="4"/>
  <c r="AJ18" i="4"/>
  <c r="AJ5" i="3"/>
  <c r="AI26" i="3"/>
  <c r="AI27" i="3" s="1"/>
  <c r="AI132" i="5"/>
  <c r="AI12" i="6" s="1"/>
  <c r="AI15" i="6" s="1"/>
  <c r="AI7" i="7" l="1"/>
  <c r="AJ130" i="5"/>
  <c r="AJ20" i="3"/>
  <c r="AJ19" i="4"/>
  <c r="AJ21" i="4" s="1"/>
  <c r="AJ20" i="4"/>
  <c r="AJ128" i="5" s="1"/>
  <c r="AJ12" i="3" s="1"/>
  <c r="AJ7" i="3"/>
  <c r="AJ14" i="6"/>
  <c r="AK9" i="4"/>
  <c r="AK82" i="5"/>
  <c r="AL5" i="4"/>
  <c r="AL6" i="4"/>
  <c r="AJ26" i="3" l="1"/>
  <c r="AJ132" i="5"/>
  <c r="AJ12" i="6" s="1"/>
  <c r="AJ15" i="6" s="1"/>
  <c r="AJ6" i="6"/>
  <c r="AK5" i="3"/>
  <c r="AK18" i="4"/>
  <c r="AK10" i="4"/>
  <c r="AK10" i="3"/>
  <c r="AK87" i="5"/>
  <c r="AL23" i="4"/>
  <c r="AL115" i="5" s="1"/>
  <c r="AL117" i="5" s="1"/>
  <c r="AL24" i="3" s="1"/>
  <c r="AL7" i="4"/>
  <c r="AL8" i="4" s="1"/>
  <c r="AJ27" i="3"/>
  <c r="AJ7" i="7" l="1"/>
  <c r="AK7" i="3"/>
  <c r="AK14" i="6"/>
  <c r="AK19" i="4"/>
  <c r="AK21" i="4" s="1"/>
  <c r="AK20" i="4"/>
  <c r="AK128" i="5" s="1"/>
  <c r="AK12" i="3" s="1"/>
  <c r="AK130" i="5"/>
  <c r="AK20" i="3"/>
  <c r="AL9" i="4"/>
  <c r="AL82" i="5"/>
  <c r="AM5" i="4"/>
  <c r="AM6" i="4"/>
  <c r="AK6" i="6" l="1"/>
  <c r="AL10" i="4"/>
  <c r="AL18" i="4"/>
  <c r="AL5" i="3"/>
  <c r="AL87" i="5"/>
  <c r="AL10" i="3"/>
  <c r="AM7" i="4"/>
  <c r="AM8" i="4" s="1"/>
  <c r="AM23" i="4"/>
  <c r="AM115" i="5" s="1"/>
  <c r="AM117" i="5" s="1"/>
  <c r="AM24" i="3" s="1"/>
  <c r="AK26" i="3"/>
  <c r="AK27" i="3" s="1"/>
  <c r="AK132" i="5"/>
  <c r="AK12" i="6" s="1"/>
  <c r="AK15" i="6" s="1"/>
  <c r="AK7" i="7" l="1"/>
  <c r="AL19" i="4"/>
  <c r="AL21" i="4" s="1"/>
  <c r="AL20" i="4"/>
  <c r="AL128" i="5" s="1"/>
  <c r="AL12" i="3" s="1"/>
  <c r="AL7" i="3"/>
  <c r="AL14" i="6"/>
  <c r="AL130" i="5"/>
  <c r="AL26" i="3" s="1"/>
  <c r="AL20" i="3"/>
  <c r="AN6" i="4"/>
  <c r="AN5" i="4"/>
  <c r="AM82" i="5"/>
  <c r="AM9" i="4"/>
  <c r="AL132" i="5" l="1"/>
  <c r="AL12" i="6" s="1"/>
  <c r="AL15" i="6" s="1"/>
  <c r="AL6" i="6"/>
  <c r="AN7" i="4"/>
  <c r="AN8" i="4" s="1"/>
  <c r="AN23" i="4"/>
  <c r="AN115" i="5" s="1"/>
  <c r="AN117" i="5" s="1"/>
  <c r="AN24" i="3" s="1"/>
  <c r="AM87" i="5"/>
  <c r="AM10" i="3"/>
  <c r="AM10" i="4"/>
  <c r="AM18" i="4"/>
  <c r="AM5" i="3"/>
  <c r="AL27" i="3"/>
  <c r="AL7" i="7" l="1"/>
  <c r="AM130" i="5"/>
  <c r="AM20" i="3"/>
  <c r="AM19" i="4"/>
  <c r="AM21" i="4" s="1"/>
  <c r="AM20" i="4"/>
  <c r="AM128" i="5" s="1"/>
  <c r="AM12" i="3" s="1"/>
  <c r="AM7" i="3"/>
  <c r="AM14" i="6"/>
  <c r="AN82" i="5"/>
  <c r="AO6" i="4"/>
  <c r="AN9" i="4"/>
  <c r="AO5" i="4"/>
  <c r="AM6" i="6" l="1"/>
  <c r="AN10" i="3"/>
  <c r="AN87" i="5"/>
  <c r="AN5" i="3"/>
  <c r="AN18" i="4"/>
  <c r="AN10" i="4"/>
  <c r="AO23" i="4"/>
  <c r="AO115" i="5" s="1"/>
  <c r="AO117" i="5" s="1"/>
  <c r="AO24" i="3" s="1"/>
  <c r="AO7" i="4"/>
  <c r="AO8" i="4" s="1"/>
  <c r="AM26" i="3"/>
  <c r="AM27" i="3" s="1"/>
  <c r="AM132" i="5"/>
  <c r="AM12" i="6" s="1"/>
  <c r="AM15" i="6" s="1"/>
  <c r="AN130" i="5" l="1"/>
  <c r="AN20" i="3"/>
  <c r="AN7" i="3"/>
  <c r="AN14" i="6"/>
  <c r="AN19" i="4"/>
  <c r="AN21" i="4" s="1"/>
  <c r="AN20" i="4"/>
  <c r="AN128" i="5" s="1"/>
  <c r="AN12" i="3" s="1"/>
  <c r="AO9" i="4"/>
  <c r="AO82" i="5"/>
  <c r="AP5" i="4"/>
  <c r="AP6" i="4"/>
  <c r="AM7" i="7"/>
  <c r="AN6" i="6" l="1"/>
  <c r="AO10" i="4"/>
  <c r="AO18" i="4"/>
  <c r="AO5" i="3"/>
  <c r="AO87" i="5"/>
  <c r="AO10" i="3"/>
  <c r="AP7" i="4"/>
  <c r="AP8" i="4" s="1"/>
  <c r="AP23" i="4"/>
  <c r="AP115" i="5" s="1"/>
  <c r="AP117" i="5" s="1"/>
  <c r="AP24" i="3" s="1"/>
  <c r="AN26" i="3"/>
  <c r="AN27" i="3" s="1"/>
  <c r="AN132" i="5"/>
  <c r="AN12" i="6" s="1"/>
  <c r="AN15" i="6" s="1"/>
  <c r="AN7" i="7" l="1"/>
  <c r="AO19" i="4"/>
  <c r="AO21" i="4" s="1"/>
  <c r="AO20" i="4"/>
  <c r="AO128" i="5" s="1"/>
  <c r="AO12" i="3" s="1"/>
  <c r="AO7" i="3"/>
  <c r="AO14" i="6"/>
  <c r="AO130" i="5"/>
  <c r="AO20" i="3"/>
  <c r="AQ6" i="4"/>
  <c r="AQ5" i="4"/>
  <c r="AP82" i="5"/>
  <c r="AP9" i="4"/>
  <c r="AO6" i="6" l="1"/>
  <c r="AQ7" i="4"/>
  <c r="AQ8" i="4" s="1"/>
  <c r="AQ23" i="4"/>
  <c r="AQ115" i="5" s="1"/>
  <c r="AQ117" i="5" s="1"/>
  <c r="AQ24" i="3" s="1"/>
  <c r="AP87" i="5"/>
  <c r="AP10" i="3"/>
  <c r="AP10" i="4"/>
  <c r="AP18" i="4"/>
  <c r="AP5" i="3"/>
  <c r="AO26" i="3"/>
  <c r="AO27" i="3" s="1"/>
  <c r="AO132" i="5"/>
  <c r="AO12" i="6" s="1"/>
  <c r="AO15" i="6" s="1"/>
  <c r="AP130" i="5" l="1"/>
  <c r="AP20" i="3"/>
  <c r="AP19" i="4"/>
  <c r="AP21" i="4" s="1"/>
  <c r="AP20" i="4"/>
  <c r="AP128" i="5" s="1"/>
  <c r="AP12" i="3" s="1"/>
  <c r="AP7" i="3"/>
  <c r="AP14" i="6"/>
  <c r="AO7" i="7"/>
  <c r="AQ9" i="4"/>
  <c r="AQ82" i="5"/>
  <c r="AR5" i="4"/>
  <c r="AR6" i="4"/>
  <c r="AP6" i="6" l="1"/>
  <c r="AQ5" i="3"/>
  <c r="AQ18" i="4"/>
  <c r="AQ10" i="4"/>
  <c r="AQ10" i="3"/>
  <c r="AQ87" i="5"/>
  <c r="AR23" i="4"/>
  <c r="AR115" i="5" s="1"/>
  <c r="AR117" i="5" s="1"/>
  <c r="AR24" i="3" s="1"/>
  <c r="AR7" i="4"/>
  <c r="AR8" i="4" s="1"/>
  <c r="AP26" i="3"/>
  <c r="AP27" i="3" s="1"/>
  <c r="AP132" i="5"/>
  <c r="AP12" i="6" s="1"/>
  <c r="AP15" i="6" s="1"/>
  <c r="AP7" i="7" l="1"/>
  <c r="AQ7" i="3"/>
  <c r="AQ14" i="6"/>
  <c r="AQ19" i="4"/>
  <c r="AQ21" i="4" s="1"/>
  <c r="AQ20" i="4"/>
  <c r="AQ128" i="5" s="1"/>
  <c r="AQ12" i="3" s="1"/>
  <c r="AQ130" i="5"/>
  <c r="AQ20" i="3"/>
  <c r="AR9" i="4"/>
  <c r="AR82" i="5"/>
  <c r="AS5" i="4"/>
  <c r="AS6" i="4"/>
  <c r="AQ6" i="6" l="1"/>
  <c r="AR10" i="4"/>
  <c r="AR18" i="4"/>
  <c r="AR5" i="3"/>
  <c r="AR87" i="5"/>
  <c r="AR10" i="3"/>
  <c r="AS7" i="4"/>
  <c r="AS8" i="4" s="1"/>
  <c r="AS23" i="4"/>
  <c r="AS115" i="5" s="1"/>
  <c r="AS117" i="5" s="1"/>
  <c r="AS24" i="3" s="1"/>
  <c r="AQ26" i="3"/>
  <c r="AQ27" i="3" s="1"/>
  <c r="AQ132" i="5"/>
  <c r="AQ12" i="6" s="1"/>
  <c r="AQ15" i="6" s="1"/>
  <c r="AQ7" i="7" l="1"/>
  <c r="AR19" i="4"/>
  <c r="AR21" i="4" s="1"/>
  <c r="AR20" i="4"/>
  <c r="AR128" i="5" s="1"/>
  <c r="AR12" i="3" s="1"/>
  <c r="AR7" i="3"/>
  <c r="AR14" i="6"/>
  <c r="AR130" i="5"/>
  <c r="AR26" i="3" s="1"/>
  <c r="AR20" i="3"/>
  <c r="AT6" i="4"/>
  <c r="AT5" i="4"/>
  <c r="AS82" i="5"/>
  <c r="AS9" i="4"/>
  <c r="AR132" i="5" l="1"/>
  <c r="AR12" i="6" s="1"/>
  <c r="AR15" i="6" s="1"/>
  <c r="AR27" i="3"/>
  <c r="AR6" i="6"/>
  <c r="AT7" i="4"/>
  <c r="AT8" i="4" s="1"/>
  <c r="AT23" i="4"/>
  <c r="AT115" i="5" s="1"/>
  <c r="AT117" i="5" s="1"/>
  <c r="AT24" i="3" s="1"/>
  <c r="AS87" i="5"/>
  <c r="AS10" i="3"/>
  <c r="AS10" i="4"/>
  <c r="AS18" i="4"/>
  <c r="AS5" i="3"/>
  <c r="AT9" i="4"/>
  <c r="AT82" i="5"/>
  <c r="AU5" i="4"/>
  <c r="AU6" i="4"/>
  <c r="AR7" i="7" l="1"/>
  <c r="AS130" i="5"/>
  <c r="AS20" i="3"/>
  <c r="AS19" i="4"/>
  <c r="AS21" i="4" s="1"/>
  <c r="AS20" i="4"/>
  <c r="AS128" i="5" s="1"/>
  <c r="AS12" i="3" s="1"/>
  <c r="AS7" i="3"/>
  <c r="AS14" i="6"/>
  <c r="AT10" i="4"/>
  <c r="AT18" i="4"/>
  <c r="AT5" i="3"/>
  <c r="AT87" i="5"/>
  <c r="AT10" i="3"/>
  <c r="AU7" i="4"/>
  <c r="AU8" i="4" s="1"/>
  <c r="AU23" i="4"/>
  <c r="AU115" i="5" s="1"/>
  <c r="AU117" i="5" s="1"/>
  <c r="AU24" i="3" s="1"/>
  <c r="AS6" i="6" l="1"/>
  <c r="AT19" i="4"/>
  <c r="AT21" i="4" s="1"/>
  <c r="AT20" i="4"/>
  <c r="AT128" i="5" s="1"/>
  <c r="AT12" i="3" s="1"/>
  <c r="AT7" i="3"/>
  <c r="AT14" i="6"/>
  <c r="AT130" i="5"/>
  <c r="AT20" i="3"/>
  <c r="AV6" i="4"/>
  <c r="AV5" i="4"/>
  <c r="AU82" i="5"/>
  <c r="AU9" i="4"/>
  <c r="AS26" i="3"/>
  <c r="AS27" i="3" s="1"/>
  <c r="AS132" i="5"/>
  <c r="AS12" i="6" s="1"/>
  <c r="AS15" i="6" s="1"/>
  <c r="AS7" i="7" l="1"/>
  <c r="AT6" i="6"/>
  <c r="AV7" i="4"/>
  <c r="AV8" i="4" s="1"/>
  <c r="AV23" i="4"/>
  <c r="AV115" i="5" s="1"/>
  <c r="AV117" i="5" s="1"/>
  <c r="AV24" i="3" s="1"/>
  <c r="AU87" i="5"/>
  <c r="AU10" i="3"/>
  <c r="AU10" i="4"/>
  <c r="AU18" i="4"/>
  <c r="AU5" i="3"/>
  <c r="AT26" i="3"/>
  <c r="AT27" i="3" s="1"/>
  <c r="AT132" i="5"/>
  <c r="AT12" i="6" s="1"/>
  <c r="AT15" i="6" s="1"/>
  <c r="AT7" i="7" l="1"/>
  <c r="AU130" i="5"/>
  <c r="AU20" i="3"/>
  <c r="AU19" i="4"/>
  <c r="AU21" i="4" s="1"/>
  <c r="AU20" i="4"/>
  <c r="AU128" i="5" s="1"/>
  <c r="AU12" i="3" s="1"/>
  <c r="AU7" i="3"/>
  <c r="AU14" i="6"/>
  <c r="AV9" i="4"/>
  <c r="AV82" i="5"/>
  <c r="AW5" i="4"/>
  <c r="AW6" i="4"/>
  <c r="AU6" i="6" l="1"/>
  <c r="AV5" i="3"/>
  <c r="AV18" i="4"/>
  <c r="AV10" i="4"/>
  <c r="AV10" i="3"/>
  <c r="AV87" i="5"/>
  <c r="AW23" i="4"/>
  <c r="AW115" i="5" s="1"/>
  <c r="AW117" i="5" s="1"/>
  <c r="AW24" i="3" s="1"/>
  <c r="AW7" i="4"/>
  <c r="AW8" i="4" s="1"/>
  <c r="AU26" i="3"/>
  <c r="AU27" i="3" s="1"/>
  <c r="AU132" i="5"/>
  <c r="AU12" i="6" s="1"/>
  <c r="AU15" i="6" s="1"/>
  <c r="AU7" i="7" l="1"/>
  <c r="AV7" i="3"/>
  <c r="AV14" i="6"/>
  <c r="AV19" i="4"/>
  <c r="AV21" i="4" s="1"/>
  <c r="AV20" i="4"/>
  <c r="AV128" i="5" s="1"/>
  <c r="AV12" i="3" s="1"/>
  <c r="AV130" i="5"/>
  <c r="AV20" i="3"/>
  <c r="AW9" i="4"/>
  <c r="AW82" i="5"/>
  <c r="AX5" i="4"/>
  <c r="AX6" i="4"/>
  <c r="AV26" i="3" l="1"/>
  <c r="AV27" i="3" s="1"/>
  <c r="AV132" i="5"/>
  <c r="AV12" i="6" s="1"/>
  <c r="AV15" i="6" s="1"/>
  <c r="AV6" i="6"/>
  <c r="AW10" i="4"/>
  <c r="AW18" i="4"/>
  <c r="AW5" i="3"/>
  <c r="AW87" i="5"/>
  <c r="AW10" i="3"/>
  <c r="AX7" i="4"/>
  <c r="AX8" i="4" s="1"/>
  <c r="AX23" i="4"/>
  <c r="AX115" i="5" s="1"/>
  <c r="AX117" i="5" s="1"/>
  <c r="AX24" i="3" s="1"/>
  <c r="AV7" i="7" l="1"/>
  <c r="AW19" i="4"/>
  <c r="AW21" i="4" s="1"/>
  <c r="AW20" i="4"/>
  <c r="AW128" i="5" s="1"/>
  <c r="AW12" i="3" s="1"/>
  <c r="AW7" i="3"/>
  <c r="AW14" i="6"/>
  <c r="AW130" i="5"/>
  <c r="AW20" i="3"/>
  <c r="AY6" i="4"/>
  <c r="AY5" i="4"/>
  <c r="AX82" i="5"/>
  <c r="AX9" i="4"/>
  <c r="AW6" i="6" l="1"/>
  <c r="AY7" i="4"/>
  <c r="AY8" i="4" s="1"/>
  <c r="AY23" i="4"/>
  <c r="AY115" i="5" s="1"/>
  <c r="AY117" i="5" s="1"/>
  <c r="AY24" i="3" s="1"/>
  <c r="AX87" i="5"/>
  <c r="AX10" i="3"/>
  <c r="AX10" i="4"/>
  <c r="AX18" i="4"/>
  <c r="AX5" i="3"/>
  <c r="AY9" i="4"/>
  <c r="AY82" i="5"/>
  <c r="AW26" i="3"/>
  <c r="AW27" i="3" s="1"/>
  <c r="AW132" i="5"/>
  <c r="AW12" i="6" s="1"/>
  <c r="AW15" i="6" s="1"/>
  <c r="AW7" i="7" l="1"/>
  <c r="AX130" i="5"/>
  <c r="AX20" i="3"/>
  <c r="AX19" i="4"/>
  <c r="AX21" i="4" s="1"/>
  <c r="AX20" i="4"/>
  <c r="AX128" i="5" s="1"/>
  <c r="AX12" i="3" s="1"/>
  <c r="AX7" i="3"/>
  <c r="AX14" i="6"/>
  <c r="AY10" i="4"/>
  <c r="AY18" i="4"/>
  <c r="AY5" i="3"/>
  <c r="AY87" i="5"/>
  <c r="AY10" i="3"/>
  <c r="AZ5" i="4"/>
  <c r="AZ6" i="4"/>
  <c r="AX6" i="6" l="1"/>
  <c r="AY19" i="4"/>
  <c r="AY21" i="4" s="1"/>
  <c r="AY20" i="4"/>
  <c r="AY128" i="5" s="1"/>
  <c r="AY12" i="3" s="1"/>
  <c r="AY7" i="3"/>
  <c r="AY14" i="6"/>
  <c r="AY130" i="5"/>
  <c r="AY20" i="3"/>
  <c r="AZ23" i="4"/>
  <c r="AZ115" i="5" s="1"/>
  <c r="AZ117" i="5" s="1"/>
  <c r="AZ24" i="3" s="1"/>
  <c r="AZ7" i="4"/>
  <c r="AZ8" i="4" s="1"/>
  <c r="AX26" i="3"/>
  <c r="AX27" i="3" s="1"/>
  <c r="AX132" i="5"/>
  <c r="AX12" i="6" s="1"/>
  <c r="AX15" i="6" s="1"/>
  <c r="AX7" i="7" l="1"/>
  <c r="AY6" i="6"/>
  <c r="BA6" i="4"/>
  <c r="BA5" i="4"/>
  <c r="AZ82" i="5"/>
  <c r="AZ9" i="4"/>
  <c r="AY26" i="3"/>
  <c r="AY27" i="3" s="1"/>
  <c r="AY132" i="5"/>
  <c r="AY12" i="6" s="1"/>
  <c r="AY15" i="6" s="1"/>
  <c r="AY7" i="7" l="1"/>
  <c r="BA7" i="4"/>
  <c r="BA8" i="4" s="1"/>
  <c r="BA23" i="4"/>
  <c r="BA115" i="5" s="1"/>
  <c r="BA117" i="5" s="1"/>
  <c r="BA24" i="3" s="1"/>
  <c r="AZ87" i="5"/>
  <c r="AZ10" i="3"/>
  <c r="AZ10" i="4"/>
  <c r="AZ18" i="4"/>
  <c r="AZ5" i="3"/>
  <c r="AZ130" i="5" l="1"/>
  <c r="AZ20" i="3"/>
  <c r="AZ19" i="4"/>
  <c r="AZ21" i="4" s="1"/>
  <c r="AZ20" i="4"/>
  <c r="AZ128" i="5" s="1"/>
  <c r="AZ12" i="3" s="1"/>
  <c r="AZ7" i="3"/>
  <c r="AZ14" i="6"/>
  <c r="BA9" i="4"/>
  <c r="BA82" i="5"/>
  <c r="AZ6" i="6" l="1"/>
  <c r="BA5" i="3"/>
  <c r="BA18" i="4"/>
  <c r="BA10" i="4"/>
  <c r="BA10" i="3"/>
  <c r="BA87" i="5"/>
  <c r="AZ26" i="3"/>
  <c r="AZ27" i="3" s="1"/>
  <c r="AZ132" i="5"/>
  <c r="AZ12" i="6" s="1"/>
  <c r="AZ15" i="6" s="1"/>
  <c r="BA7" i="3" l="1"/>
  <c r="BA14" i="6"/>
  <c r="BA19" i="4"/>
  <c r="BA21" i="4" s="1"/>
  <c r="BA20" i="4"/>
  <c r="BA128" i="5" s="1"/>
  <c r="BA12" i="3" s="1"/>
  <c r="BA130" i="5"/>
  <c r="BA20" i="3"/>
  <c r="AZ7" i="7"/>
  <c r="BA6" i="6" l="1"/>
  <c r="BA26" i="3"/>
  <c r="BA27" i="3" s="1"/>
  <c r="BA132" i="5"/>
  <c r="BA12" i="6" s="1"/>
  <c r="BA15" i="6" s="1"/>
  <c r="BA7" i="7" l="1"/>
  <c r="B15" i="3"/>
  <c r="B16" i="3" s="1"/>
  <c r="B29" i="3" l="1"/>
  <c r="B30" i="3" l="1"/>
  <c r="B34" i="3"/>
  <c r="B36" i="3" s="1"/>
  <c r="B37" i="3" l="1"/>
  <c r="B39" i="3" s="1"/>
  <c r="B20" i="6" l="1"/>
  <c r="B40" i="3"/>
  <c r="B5" i="7"/>
  <c r="B8" i="7" s="1"/>
  <c r="B18" i="7" s="1"/>
  <c r="B21" i="6" l="1"/>
  <c r="B23" i="6" s="1"/>
  <c r="B21" i="7"/>
  <c r="B22" i="7" s="1"/>
  <c r="B25" i="7"/>
  <c r="B26" i="7" s="1"/>
  <c r="B28" i="7" s="1"/>
  <c r="B5" i="6" l="1"/>
  <c r="B9" i="6" s="1"/>
  <c r="B24" i="6" s="1"/>
  <c r="B27" i="7"/>
  <c r="C20" i="7"/>
  <c r="AL30" i="3"/>
  <c r="AG30" i="3"/>
  <c r="AQ30" i="3"/>
  <c r="AE16" i="3"/>
  <c r="N16" i="3"/>
  <c r="P16" i="3"/>
  <c r="W30" i="3"/>
  <c r="AR16" i="3"/>
  <c r="AC16" i="3"/>
  <c r="W37" i="3"/>
  <c r="Q29" i="3"/>
  <c r="Q30" i="3" s="1"/>
  <c r="AQ16" i="3"/>
  <c r="Q15" i="3"/>
  <c r="Q16" i="3"/>
  <c r="M16" i="3"/>
  <c r="M30" i="3"/>
  <c r="S30" i="3"/>
  <c r="E30" i="3"/>
  <c r="X29" i="3"/>
  <c r="X30" i="3" s="1"/>
  <c r="X34" i="3"/>
  <c r="X36" i="3" s="1"/>
  <c r="AG16" i="3"/>
  <c r="AK30" i="3"/>
  <c r="S16" i="3"/>
  <c r="AG15" i="3"/>
  <c r="AG29" i="3"/>
  <c r="AG34" i="3"/>
  <c r="AG36" i="3" s="1"/>
  <c r="AF16" i="3"/>
  <c r="N15" i="3"/>
  <c r="N29" i="3"/>
  <c r="N30" i="3" s="1"/>
  <c r="N34" i="3"/>
  <c r="N36" i="3" s="1"/>
  <c r="X15" i="3"/>
  <c r="X16" i="3"/>
  <c r="E16" i="3"/>
  <c r="AQ15" i="3"/>
  <c r="AQ29" i="3"/>
  <c r="AQ34" i="3"/>
  <c r="AQ36" i="3" s="1"/>
  <c r="L15" i="3"/>
  <c r="L16" i="3" s="1"/>
  <c r="S15" i="3"/>
  <c r="S29" i="3"/>
  <c r="S34" i="3"/>
  <c r="S36" i="3" s="1"/>
  <c r="AK15" i="3"/>
  <c r="AK16" i="3" s="1"/>
  <c r="AK29" i="3"/>
  <c r="AK34" i="3"/>
  <c r="AK36" i="3" s="1"/>
  <c r="I15" i="3"/>
  <c r="I16" i="3" s="1"/>
  <c r="Z15" i="3"/>
  <c r="Z16" i="3" s="1"/>
  <c r="M15" i="3"/>
  <c r="M29" i="3"/>
  <c r="M34" i="3" s="1"/>
  <c r="M36" i="3" s="1"/>
  <c r="AE30" i="3"/>
  <c r="AE15" i="3"/>
  <c r="AE29" i="3"/>
  <c r="AE34" i="3"/>
  <c r="AE36" i="3" s="1"/>
  <c r="AC15" i="3"/>
  <c r="AC29" i="3"/>
  <c r="AC30" i="3" s="1"/>
  <c r="AW30" i="3"/>
  <c r="AL15" i="3"/>
  <c r="AL16" i="3" s="1"/>
  <c r="AL29" i="3"/>
  <c r="AL34" i="3"/>
  <c r="AL36" i="3"/>
  <c r="AI15" i="3"/>
  <c r="T15" i="3"/>
  <c r="D15" i="3"/>
  <c r="D16" i="3" s="1"/>
  <c r="K29" i="3"/>
  <c r="K30" i="3" s="1"/>
  <c r="AW16" i="3"/>
  <c r="AF15" i="3"/>
  <c r="AF29" i="3" s="1"/>
  <c r="P30" i="3"/>
  <c r="O15" i="3"/>
  <c r="O16" i="3" s="1"/>
  <c r="O29" i="3"/>
  <c r="O34" i="3" s="1"/>
  <c r="O36" i="3" s="1"/>
  <c r="AW15" i="3"/>
  <c r="AW29" i="3"/>
  <c r="AW34" i="3"/>
  <c r="AW36" i="3"/>
  <c r="AV15" i="3"/>
  <c r="AV16" i="3" s="1"/>
  <c r="AV29" i="3"/>
  <c r="AV30" i="3" s="1"/>
  <c r="AV34" i="3"/>
  <c r="AV36" i="3" s="1"/>
  <c r="J15" i="3"/>
  <c r="J29" i="3" s="1"/>
  <c r="AN15" i="3"/>
  <c r="AN16" i="3" s="1"/>
  <c r="AN29" i="3"/>
  <c r="AN34" i="3" s="1"/>
  <c r="AN36" i="3" s="1"/>
  <c r="E15" i="3"/>
  <c r="E29" i="3"/>
  <c r="E34" i="3" s="1"/>
  <c r="E36" i="3" s="1"/>
  <c r="AT15" i="3"/>
  <c r="AT16" i="3" s="1"/>
  <c r="AT29" i="3"/>
  <c r="AT30" i="3" s="1"/>
  <c r="V15" i="3"/>
  <c r="V16" i="3" s="1"/>
  <c r="V29" i="3"/>
  <c r="V30" i="3" s="1"/>
  <c r="C16" i="3"/>
  <c r="AP15" i="3"/>
  <c r="AP16" i="3" s="1"/>
  <c r="AP29" i="3"/>
  <c r="F15" i="3"/>
  <c r="F29" i="3" s="1"/>
  <c r="W15" i="3"/>
  <c r="W16" i="3" s="1"/>
  <c r="W29" i="3"/>
  <c r="W34" i="3" s="1"/>
  <c r="W36" i="3" s="1"/>
  <c r="AS15" i="3"/>
  <c r="AS16" i="3" s="1"/>
  <c r="AS29" i="3"/>
  <c r="AS30" i="3" s="1"/>
  <c r="AB15" i="3"/>
  <c r="AB16" i="3" s="1"/>
  <c r="BA29" i="3"/>
  <c r="BA30" i="3" s="1"/>
  <c r="BA34" i="3"/>
  <c r="BA36" i="3" s="1"/>
  <c r="AO15" i="3"/>
  <c r="AO29" i="3" s="1"/>
  <c r="AO16" i="3"/>
  <c r="K15" i="3"/>
  <c r="K16" i="3"/>
  <c r="P15" i="3"/>
  <c r="P29" i="3"/>
  <c r="P34" i="3"/>
  <c r="P36" i="3"/>
  <c r="P37" i="3" s="1"/>
  <c r="P39" i="3"/>
  <c r="P5" i="7" s="1"/>
  <c r="P8" i="7" s="1"/>
  <c r="P18" i="7" s="1"/>
  <c r="BA15" i="3"/>
  <c r="BA16" i="3"/>
  <c r="AY15" i="3"/>
  <c r="AU15" i="3"/>
  <c r="AU16" i="3" s="1"/>
  <c r="AU29" i="3"/>
  <c r="AU30" i="3" s="1"/>
  <c r="AU34" i="3"/>
  <c r="AU36" i="3"/>
  <c r="AU39" i="3" s="1"/>
  <c r="AU37" i="3"/>
  <c r="AJ15" i="3"/>
  <c r="AJ16" i="3" s="1"/>
  <c r="AJ29" i="3"/>
  <c r="AR15" i="3"/>
  <c r="AR29" i="3"/>
  <c r="AR30" i="3" s="1"/>
  <c r="AR34" i="3"/>
  <c r="AR36" i="3"/>
  <c r="AA15" i="3"/>
  <c r="AA16" i="3" s="1"/>
  <c r="AA29" i="3"/>
  <c r="AA30" i="3" s="1"/>
  <c r="AA34" i="3"/>
  <c r="AA36" i="3"/>
  <c r="AA37" i="3" s="1"/>
  <c r="AA39" i="3"/>
  <c r="AA40" i="3" s="1"/>
  <c r="AH15" i="3"/>
  <c r="AH16" i="3" s="1"/>
  <c r="AH29" i="3"/>
  <c r="AH30" i="3" s="1"/>
  <c r="AH34" i="3"/>
  <c r="AH36" i="3" s="1"/>
  <c r="G15" i="3"/>
  <c r="G29" i="3" s="1"/>
  <c r="AX15" i="3"/>
  <c r="AX16" i="3" s="1"/>
  <c r="Y15" i="3"/>
  <c r="Y16" i="3" s="1"/>
  <c r="Y29" i="3"/>
  <c r="Y30" i="3" s="1"/>
  <c r="H15" i="3"/>
  <c r="AM15" i="3"/>
  <c r="AM29" i="3" s="1"/>
  <c r="R15" i="3"/>
  <c r="R16" i="3" s="1"/>
  <c r="R29" i="3"/>
  <c r="R30" i="3" s="1"/>
  <c r="R34" i="3"/>
  <c r="R36" i="3" s="1"/>
  <c r="AD15" i="3"/>
  <c r="AD16" i="3" s="1"/>
  <c r="AD29" i="3"/>
  <c r="AD30" i="3" s="1"/>
  <c r="AZ15" i="3"/>
  <c r="AZ16" i="3" s="1"/>
  <c r="C15" i="3"/>
  <c r="C29" i="3"/>
  <c r="C34" i="3" s="1"/>
  <c r="C36" i="3" s="1"/>
  <c r="C37" i="3" s="1"/>
  <c r="C39" i="3" s="1"/>
  <c r="C5" i="7" s="1"/>
  <c r="C8" i="7" s="1"/>
  <c r="C18" i="7" s="1"/>
  <c r="U15" i="3"/>
  <c r="C30" i="3" l="1"/>
  <c r="C25" i="7"/>
  <c r="C21" i="7"/>
  <c r="C22" i="7" s="1"/>
  <c r="AK37" i="3"/>
  <c r="AK39" i="3" s="1"/>
  <c r="AY16" i="3"/>
  <c r="AY29" i="3"/>
  <c r="Y34" i="3"/>
  <c r="Y36" i="3" s="1"/>
  <c r="N37" i="3"/>
  <c r="N39" i="3"/>
  <c r="J34" i="3"/>
  <c r="J36" i="3" s="1"/>
  <c r="J30" i="3"/>
  <c r="BA37" i="3"/>
  <c r="BA39" i="3" s="1"/>
  <c r="AW39" i="3"/>
  <c r="X37" i="3"/>
  <c r="X39" i="3"/>
  <c r="AO30" i="3"/>
  <c r="AO34" i="3"/>
  <c r="AO36" i="3" s="1"/>
  <c r="AE39" i="3"/>
  <c r="AE37" i="3"/>
  <c r="U29" i="3"/>
  <c r="U16" i="3"/>
  <c r="AA5" i="7"/>
  <c r="AA8" i="7" s="1"/>
  <c r="AA18" i="7" s="1"/>
  <c r="C40" i="3"/>
  <c r="C20" i="6"/>
  <c r="AB29" i="3"/>
  <c r="T29" i="3"/>
  <c r="T16" i="3"/>
  <c r="AU40" i="3"/>
  <c r="AU5" i="7"/>
  <c r="AU8" i="7" s="1"/>
  <c r="AU18" i="7" s="1"/>
  <c r="AF34" i="3"/>
  <c r="AF36" i="3" s="1"/>
  <c r="AF30" i="3"/>
  <c r="AH37" i="3"/>
  <c r="AH39" i="3" s="1"/>
  <c r="S37" i="3"/>
  <c r="S39" i="3"/>
  <c r="H29" i="3"/>
  <c r="H16" i="3"/>
  <c r="AZ29" i="3"/>
  <c r="AV37" i="3"/>
  <c r="AV39" i="3" s="1"/>
  <c r="R37" i="3"/>
  <c r="R39" i="3" s="1"/>
  <c r="AS34" i="3"/>
  <c r="AS36" i="3" s="1"/>
  <c r="E37" i="3"/>
  <c r="E39" i="3" s="1"/>
  <c r="O37" i="3"/>
  <c r="O39" i="3"/>
  <c r="AG37" i="3"/>
  <c r="AG39" i="3" s="1"/>
  <c r="G30" i="3"/>
  <c r="G34" i="3"/>
  <c r="G36" i="3" s="1"/>
  <c r="AN30" i="3"/>
  <c r="AJ30" i="3"/>
  <c r="AJ34" i="3"/>
  <c r="AJ36" i="3" s="1"/>
  <c r="AN37" i="3"/>
  <c r="AN39" i="3"/>
  <c r="AR37" i="3"/>
  <c r="AR39" i="3" s="1"/>
  <c r="W39" i="3"/>
  <c r="P40" i="3"/>
  <c r="AI29" i="3"/>
  <c r="AI16" i="3"/>
  <c r="P25" i="7"/>
  <c r="P21" i="7"/>
  <c r="F34" i="3"/>
  <c r="F36" i="3" s="1"/>
  <c r="F30" i="3"/>
  <c r="M37" i="3"/>
  <c r="M39" i="3"/>
  <c r="AQ37" i="3"/>
  <c r="AQ39" i="3"/>
  <c r="AM30" i="3"/>
  <c r="AM34" i="3"/>
  <c r="AM36" i="3" s="1"/>
  <c r="AP34" i="3"/>
  <c r="AP36" i="3" s="1"/>
  <c r="AP30" i="3"/>
  <c r="Q34" i="3"/>
  <c r="Q36" i="3" s="1"/>
  <c r="AM16" i="3"/>
  <c r="G16" i="3"/>
  <c r="V34" i="3"/>
  <c r="V36" i="3" s="1"/>
  <c r="AW37" i="3"/>
  <c r="K34" i="3"/>
  <c r="K36" i="3" s="1"/>
  <c r="AC34" i="3"/>
  <c r="AC36" i="3" s="1"/>
  <c r="AD34" i="3"/>
  <c r="AD36" i="3" s="1"/>
  <c r="J16" i="3"/>
  <c r="I29" i="3"/>
  <c r="F16" i="3"/>
  <c r="AT34" i="3"/>
  <c r="AT36" i="3" s="1"/>
  <c r="D29" i="3"/>
  <c r="AL37" i="3"/>
  <c r="AL39" i="3" s="1"/>
  <c r="AX29" i="3"/>
  <c r="Z29" i="3"/>
  <c r="O30" i="3"/>
  <c r="L29" i="3"/>
  <c r="AG5" i="7" l="1"/>
  <c r="AG8" i="7" s="1"/>
  <c r="AG18" i="7" s="1"/>
  <c r="AG40" i="3"/>
  <c r="E40" i="3"/>
  <c r="E5" i="7"/>
  <c r="E8" i="7" s="1"/>
  <c r="E18" i="7" s="1"/>
  <c r="R40" i="3"/>
  <c r="R5" i="7"/>
  <c r="R8" i="7" s="1"/>
  <c r="R18" i="7" s="1"/>
  <c r="AL5" i="7"/>
  <c r="AL8" i="7" s="1"/>
  <c r="AL18" i="7" s="1"/>
  <c r="AL40" i="3"/>
  <c r="AV40" i="3"/>
  <c r="AV5" i="7"/>
  <c r="AV8" i="7" s="1"/>
  <c r="AV18" i="7" s="1"/>
  <c r="BA5" i="7"/>
  <c r="BA8" i="7" s="1"/>
  <c r="BA18" i="7" s="1"/>
  <c r="BA40" i="3"/>
  <c r="AH40" i="3"/>
  <c r="AH5" i="7"/>
  <c r="AH8" i="7" s="1"/>
  <c r="AH18" i="7" s="1"/>
  <c r="AR40" i="3"/>
  <c r="AR5" i="7"/>
  <c r="AR8" i="7" s="1"/>
  <c r="AR18" i="7" s="1"/>
  <c r="AK5" i="7"/>
  <c r="AK8" i="7" s="1"/>
  <c r="AK18" i="7" s="1"/>
  <c r="AK40" i="3"/>
  <c r="L34" i="3"/>
  <c r="L36" i="3" s="1"/>
  <c r="L30" i="3"/>
  <c r="AX34" i="3"/>
  <c r="AX36" i="3" s="1"/>
  <c r="AX30" i="3"/>
  <c r="AE5" i="7"/>
  <c r="AE8" i="7" s="1"/>
  <c r="AE18" i="7" s="1"/>
  <c r="AE40" i="3"/>
  <c r="AI30" i="3"/>
  <c r="AI34" i="3"/>
  <c r="AI36" i="3" s="1"/>
  <c r="H34" i="3"/>
  <c r="H36" i="3" s="1"/>
  <c r="H30" i="3"/>
  <c r="W40" i="3"/>
  <c r="W5" i="7"/>
  <c r="W8" i="7" s="1"/>
  <c r="W18" i="7" s="1"/>
  <c r="AC37" i="3"/>
  <c r="AC39" i="3"/>
  <c r="AY34" i="3"/>
  <c r="AY36" i="3" s="1"/>
  <c r="AY30" i="3"/>
  <c r="AJ37" i="3"/>
  <c r="AJ39" i="3" s="1"/>
  <c r="AQ40" i="3"/>
  <c r="AQ5" i="7"/>
  <c r="AQ8" i="7" s="1"/>
  <c r="AQ18" i="7" s="1"/>
  <c r="AO37" i="3"/>
  <c r="AO39" i="3" s="1"/>
  <c r="X5" i="7"/>
  <c r="X8" i="7" s="1"/>
  <c r="X18" i="7" s="1"/>
  <c r="X40" i="3"/>
  <c r="AW5" i="7"/>
  <c r="AW8" i="7" s="1"/>
  <c r="AW18" i="7" s="1"/>
  <c r="AW40" i="3"/>
  <c r="AN40" i="3"/>
  <c r="AN5" i="7"/>
  <c r="AN8" i="7" s="1"/>
  <c r="AN18" i="7" s="1"/>
  <c r="N5" i="7"/>
  <c r="N8" i="7" s="1"/>
  <c r="N18" i="7" s="1"/>
  <c r="N40" i="3"/>
  <c r="AF37" i="3"/>
  <c r="AF39" i="3"/>
  <c r="G37" i="3"/>
  <c r="G39" i="3" s="1"/>
  <c r="T30" i="3"/>
  <c r="T34" i="3"/>
  <c r="T36" i="3" s="1"/>
  <c r="AA25" i="7"/>
  <c r="AA21" i="7"/>
  <c r="Z34" i="3"/>
  <c r="Z36" i="3" s="1"/>
  <c r="Z30" i="3"/>
  <c r="AS37" i="3"/>
  <c r="AS39" i="3" s="1"/>
  <c r="F37" i="3"/>
  <c r="F39" i="3"/>
  <c r="D30" i="3"/>
  <c r="D34" i="3"/>
  <c r="D36" i="3" s="1"/>
  <c r="AT37" i="3"/>
  <c r="AT39" i="3" s="1"/>
  <c r="S5" i="7"/>
  <c r="S8" i="7" s="1"/>
  <c r="S18" i="7" s="1"/>
  <c r="S40" i="3"/>
  <c r="J37" i="3"/>
  <c r="J39" i="3"/>
  <c r="V37" i="3"/>
  <c r="V39" i="3" s="1"/>
  <c r="Y37" i="3"/>
  <c r="Y39" i="3" s="1"/>
  <c r="AM37" i="3"/>
  <c r="AM39" i="3"/>
  <c r="AB34" i="3"/>
  <c r="AB36" i="3" s="1"/>
  <c r="AB30" i="3"/>
  <c r="C27" i="7"/>
  <c r="C5" i="6"/>
  <c r="C9" i="6" s="1"/>
  <c r="D20" i="7"/>
  <c r="O5" i="7"/>
  <c r="O8" i="7" s="1"/>
  <c r="O18" i="7" s="1"/>
  <c r="O40" i="3"/>
  <c r="M40" i="3"/>
  <c r="M5" i="7"/>
  <c r="M8" i="7" s="1"/>
  <c r="M18" i="7" s="1"/>
  <c r="U34" i="3"/>
  <c r="U36" i="3" s="1"/>
  <c r="U30" i="3"/>
  <c r="AZ34" i="3"/>
  <c r="AZ36" i="3" s="1"/>
  <c r="AZ30" i="3"/>
  <c r="I34" i="3"/>
  <c r="I36" i="3" s="1"/>
  <c r="I30" i="3"/>
  <c r="AD37" i="3"/>
  <c r="AD39" i="3"/>
  <c r="K37" i="3"/>
  <c r="K39" i="3" s="1"/>
  <c r="AU21" i="7"/>
  <c r="AU25" i="7"/>
  <c r="Q39" i="3"/>
  <c r="Q37" i="3"/>
  <c r="AP37" i="3"/>
  <c r="AP39" i="3"/>
  <c r="C21" i="6"/>
  <c r="C23" i="6" s="1"/>
  <c r="C26" i="7"/>
  <c r="C28" i="7" s="1"/>
  <c r="C24" i="6" l="1"/>
  <c r="V5" i="7"/>
  <c r="V8" i="7" s="1"/>
  <c r="V18" i="7" s="1"/>
  <c r="V40" i="3"/>
  <c r="AT5" i="7"/>
  <c r="AT8" i="7" s="1"/>
  <c r="AT18" i="7" s="1"/>
  <c r="AT40" i="3"/>
  <c r="AJ5" i="7"/>
  <c r="AJ8" i="7" s="1"/>
  <c r="AJ18" i="7" s="1"/>
  <c r="AJ40" i="3"/>
  <c r="AS40" i="3"/>
  <c r="AS5" i="7"/>
  <c r="AS8" i="7" s="1"/>
  <c r="AS18" i="7" s="1"/>
  <c r="AO40" i="3"/>
  <c r="AO5" i="7"/>
  <c r="AO8" i="7" s="1"/>
  <c r="AO18" i="7" s="1"/>
  <c r="Y40" i="3"/>
  <c r="Y5" i="7"/>
  <c r="Y8" i="7" s="1"/>
  <c r="Y18" i="7" s="1"/>
  <c r="K40" i="3"/>
  <c r="K5" i="7"/>
  <c r="K8" i="7" s="1"/>
  <c r="K18" i="7" s="1"/>
  <c r="G5" i="7"/>
  <c r="G8" i="7" s="1"/>
  <c r="G18" i="7" s="1"/>
  <c r="G40" i="3"/>
  <c r="AN21" i="7"/>
  <c r="AN25" i="7"/>
  <c r="AW21" i="7"/>
  <c r="AW25" i="7"/>
  <c r="AZ37" i="3"/>
  <c r="AZ39" i="3"/>
  <c r="N21" i="7"/>
  <c r="N25" i="7"/>
  <c r="I37" i="3"/>
  <c r="I39" i="3" s="1"/>
  <c r="F5" i="7"/>
  <c r="F8" i="7" s="1"/>
  <c r="F18" i="7" s="1"/>
  <c r="F40" i="3"/>
  <c r="AR25" i="7"/>
  <c r="AR21" i="7"/>
  <c r="S25" i="7"/>
  <c r="S21" i="7"/>
  <c r="L37" i="3"/>
  <c r="L39" i="3" s="1"/>
  <c r="D37" i="3"/>
  <c r="D39" i="3" s="1"/>
  <c r="AX37" i="3"/>
  <c r="AX39" i="3"/>
  <c r="X25" i="7"/>
  <c r="X21" i="7"/>
  <c r="BA25" i="7"/>
  <c r="BA21" i="7"/>
  <c r="AY37" i="3"/>
  <c r="AY39" i="3" s="1"/>
  <c r="AB37" i="3"/>
  <c r="AB39" i="3"/>
  <c r="AC40" i="3"/>
  <c r="AC5" i="7"/>
  <c r="AC8" i="7" s="1"/>
  <c r="AC18" i="7" s="1"/>
  <c r="T37" i="3"/>
  <c r="T39" i="3"/>
  <c r="AK21" i="7"/>
  <c r="AK25" i="7"/>
  <c r="U37" i="3"/>
  <c r="U39" i="3"/>
  <c r="O21" i="7"/>
  <c r="O25" i="7"/>
  <c r="AV25" i="7"/>
  <c r="AV21" i="7"/>
  <c r="E21" i="7"/>
  <c r="E25" i="7"/>
  <c r="J5" i="7"/>
  <c r="J8" i="7" s="1"/>
  <c r="J18" i="7" s="1"/>
  <c r="J40" i="3"/>
  <c r="AD40" i="3"/>
  <c r="AD5" i="7"/>
  <c r="AD8" i="7" s="1"/>
  <c r="AD18" i="7" s="1"/>
  <c r="AH25" i="7"/>
  <c r="AH21" i="7"/>
  <c r="Z37" i="3"/>
  <c r="Z39" i="3" s="1"/>
  <c r="W25" i="7"/>
  <c r="W21" i="7"/>
  <c r="AP40" i="3"/>
  <c r="AP5" i="7"/>
  <c r="AP8" i="7" s="1"/>
  <c r="AP18" i="7" s="1"/>
  <c r="H37" i="3"/>
  <c r="H39" i="3" s="1"/>
  <c r="AF40" i="3"/>
  <c r="AF5" i="7"/>
  <c r="AF8" i="7" s="1"/>
  <c r="AF18" i="7" s="1"/>
  <c r="AI37" i="3"/>
  <c r="AI39" i="3" s="1"/>
  <c r="AE21" i="7"/>
  <c r="AE25" i="7"/>
  <c r="M25" i="7"/>
  <c r="M21" i="7"/>
  <c r="AL25" i="7"/>
  <c r="AL21" i="7"/>
  <c r="AQ25" i="7"/>
  <c r="AQ21" i="7"/>
  <c r="R21" i="7"/>
  <c r="R25" i="7"/>
  <c r="R26" i="7" s="1"/>
  <c r="R28" i="7" s="1"/>
  <c r="AM40" i="3"/>
  <c r="AM5" i="7"/>
  <c r="AM8" i="7" s="1"/>
  <c r="AM18" i="7" s="1"/>
  <c r="Q40" i="3"/>
  <c r="Q5" i="7"/>
  <c r="Q8" i="7" s="1"/>
  <c r="Q18" i="7" s="1"/>
  <c r="AG21" i="7"/>
  <c r="AG25" i="7"/>
  <c r="AY5" i="7" l="1"/>
  <c r="AY8" i="7" s="1"/>
  <c r="AY18" i="7" s="1"/>
  <c r="AY40" i="3"/>
  <c r="H5" i="7"/>
  <c r="H8" i="7" s="1"/>
  <c r="H18" i="7" s="1"/>
  <c r="H40" i="3"/>
  <c r="Z40" i="3"/>
  <c r="Z5" i="7"/>
  <c r="Z8" i="7" s="1"/>
  <c r="Z18" i="7" s="1"/>
  <c r="AI5" i="7"/>
  <c r="AI8" i="7" s="1"/>
  <c r="AI18" i="7" s="1"/>
  <c r="AI40" i="3"/>
  <c r="D5" i="7"/>
  <c r="D8" i="7" s="1"/>
  <c r="D18" i="7" s="1"/>
  <c r="D40" i="3"/>
  <c r="D20" i="6"/>
  <c r="L40" i="3"/>
  <c r="L5" i="7"/>
  <c r="L8" i="7" s="1"/>
  <c r="L18" i="7" s="1"/>
  <c r="I40" i="3"/>
  <c r="I5" i="7"/>
  <c r="I8" i="7" s="1"/>
  <c r="I18" i="7" s="1"/>
  <c r="AP21" i="7"/>
  <c r="AP25" i="7"/>
  <c r="AB40" i="3"/>
  <c r="AB5" i="7"/>
  <c r="AB8" i="7" s="1"/>
  <c r="AB18" i="7" s="1"/>
  <c r="AD25" i="7"/>
  <c r="AD21" i="7"/>
  <c r="Y25" i="7"/>
  <c r="Y21" i="7"/>
  <c r="G21" i="7"/>
  <c r="G25" i="7"/>
  <c r="AX5" i="7"/>
  <c r="AX8" i="7" s="1"/>
  <c r="AX18" i="7" s="1"/>
  <c r="AX40" i="3"/>
  <c r="AO25" i="7"/>
  <c r="AO21" i="7"/>
  <c r="AC25" i="7"/>
  <c r="AC21" i="7"/>
  <c r="Q25" i="7"/>
  <c r="Q21" i="7"/>
  <c r="AF25" i="7"/>
  <c r="AF21" i="7"/>
  <c r="AM25" i="7"/>
  <c r="AM21" i="7"/>
  <c r="J25" i="7"/>
  <c r="J21" i="7"/>
  <c r="U40" i="3"/>
  <c r="U5" i="7"/>
  <c r="U8" i="7" s="1"/>
  <c r="U18" i="7" s="1"/>
  <c r="AT25" i="7"/>
  <c r="AT21" i="7"/>
  <c r="AZ40" i="3"/>
  <c r="AZ5" i="7"/>
  <c r="AZ8" i="7" s="1"/>
  <c r="AZ18" i="7" s="1"/>
  <c r="K25" i="7"/>
  <c r="K21" i="7"/>
  <c r="AJ21" i="7"/>
  <c r="AJ25" i="7"/>
  <c r="AJ26" i="7" s="1"/>
  <c r="AJ28" i="7" s="1"/>
  <c r="T40" i="3"/>
  <c r="T5" i="7"/>
  <c r="T8" i="7" s="1"/>
  <c r="T18" i="7" s="1"/>
  <c r="AS25" i="7"/>
  <c r="AS21" i="7"/>
  <c r="F21" i="7"/>
  <c r="F25" i="7"/>
  <c r="F26" i="7" s="1"/>
  <c r="F28" i="7" s="1"/>
  <c r="V25" i="7"/>
  <c r="V21" i="7"/>
  <c r="T21" i="7" l="1"/>
  <c r="T25" i="7"/>
  <c r="I25" i="7"/>
  <c r="I21" i="7"/>
  <c r="AB25" i="7"/>
  <c r="AB21" i="7"/>
  <c r="D21" i="7"/>
  <c r="D22" i="7" s="1"/>
  <c r="D25" i="7"/>
  <c r="AX25" i="7"/>
  <c r="AX21" i="7"/>
  <c r="U25" i="7"/>
  <c r="U21" i="7"/>
  <c r="H25" i="7"/>
  <c r="H21" i="7"/>
  <c r="L25" i="7"/>
  <c r="L21" i="7"/>
  <c r="AZ21" i="7"/>
  <c r="AZ25" i="7"/>
  <c r="AI25" i="7"/>
  <c r="AI21" i="7"/>
  <c r="D21" i="6"/>
  <c r="D23" i="6" s="1"/>
  <c r="E20" i="6"/>
  <c r="Z21" i="7"/>
  <c r="Z25" i="7"/>
  <c r="AY25" i="7"/>
  <c r="AY21" i="7"/>
  <c r="D26" i="7" l="1"/>
  <c r="D28" i="7" s="1"/>
  <c r="F20" i="6"/>
  <c r="E21" i="6"/>
  <c r="E23" i="6" s="1"/>
  <c r="D5" i="6"/>
  <c r="D9" i="6" s="1"/>
  <c r="D24" i="6" s="1"/>
  <c r="D27" i="7"/>
  <c r="E20" i="7"/>
  <c r="E22" i="7" s="1"/>
  <c r="E5" i="6" l="1"/>
  <c r="E9" i="6" s="1"/>
  <c r="E24" i="6" s="1"/>
  <c r="F20" i="7"/>
  <c r="F22" i="7" s="1"/>
  <c r="E27" i="7"/>
  <c r="E26" i="7"/>
  <c r="E28" i="7" s="1"/>
  <c r="F21" i="6"/>
  <c r="F23" i="6" s="1"/>
  <c r="G20" i="6"/>
  <c r="G21" i="6" l="1"/>
  <c r="G23" i="6" s="1"/>
  <c r="H20" i="6"/>
  <c r="F27" i="7"/>
  <c r="F5" i="6"/>
  <c r="F9" i="6" s="1"/>
  <c r="F24" i="6" s="1"/>
  <c r="G20" i="7"/>
  <c r="G22" i="7" s="1"/>
  <c r="H20" i="7" l="1"/>
  <c r="H22" i="7" s="1"/>
  <c r="G27" i="7"/>
  <c r="G5" i="6"/>
  <c r="G9" i="6" s="1"/>
  <c r="G24" i="6" s="1"/>
  <c r="G26" i="7"/>
  <c r="G28" i="7" s="1"/>
  <c r="H21" i="6"/>
  <c r="H23" i="6" s="1"/>
  <c r="I20" i="6"/>
  <c r="I21" i="6" l="1"/>
  <c r="I23" i="6" s="1"/>
  <c r="J20" i="6"/>
  <c r="I20" i="7"/>
  <c r="I22" i="7" s="1"/>
  <c r="H5" i="6"/>
  <c r="H9" i="6" s="1"/>
  <c r="H24" i="6" s="1"/>
  <c r="H27" i="7"/>
  <c r="H26" i="7"/>
  <c r="H28" i="7" s="1"/>
  <c r="I5" i="6" l="1"/>
  <c r="I9" i="6" s="1"/>
  <c r="I24" i="6" s="1"/>
  <c r="I27" i="7"/>
  <c r="J20" i="7"/>
  <c r="J22" i="7" s="1"/>
  <c r="I26" i="7"/>
  <c r="I28" i="7" s="1"/>
  <c r="J21" i="6"/>
  <c r="J23" i="6" s="1"/>
  <c r="K20" i="6"/>
  <c r="K21" i="6" l="1"/>
  <c r="K23" i="6" s="1"/>
  <c r="L20" i="6"/>
  <c r="J27" i="7"/>
  <c r="J5" i="6"/>
  <c r="J9" i="6" s="1"/>
  <c r="J24" i="6" s="1"/>
  <c r="K20" i="7"/>
  <c r="K22" i="7" s="1"/>
  <c r="J26" i="7"/>
  <c r="J28" i="7" s="1"/>
  <c r="K27" i="7" l="1"/>
  <c r="L20" i="7"/>
  <c r="L22" i="7" s="1"/>
  <c r="K5" i="6"/>
  <c r="K9" i="6" s="1"/>
  <c r="K24" i="6" s="1"/>
  <c r="K26" i="7"/>
  <c r="K28" i="7" s="1"/>
  <c r="L21" i="6"/>
  <c r="L23" i="6" s="1"/>
  <c r="M20" i="6"/>
  <c r="N20" i="6" l="1"/>
  <c r="M21" i="6"/>
  <c r="M23" i="6" s="1"/>
  <c r="L27" i="7"/>
  <c r="M20" i="7"/>
  <c r="M22" i="7" s="1"/>
  <c r="L5" i="6"/>
  <c r="L9" i="6" s="1"/>
  <c r="L24" i="6" s="1"/>
  <c r="L26" i="7"/>
  <c r="L28" i="7" s="1"/>
  <c r="M27" i="7" l="1"/>
  <c r="M5" i="6"/>
  <c r="M9" i="6" s="1"/>
  <c r="M24" i="6" s="1"/>
  <c r="N20" i="7"/>
  <c r="N22" i="7" s="1"/>
  <c r="M26" i="7"/>
  <c r="M28" i="7" s="1"/>
  <c r="O20" i="6"/>
  <c r="N21" i="6"/>
  <c r="N23" i="6" s="1"/>
  <c r="O21" i="6" l="1"/>
  <c r="O23" i="6" s="1"/>
  <c r="P20" i="6"/>
  <c r="O20" i="7"/>
  <c r="O22" i="7" s="1"/>
  <c r="N27" i="7"/>
  <c r="N5" i="6"/>
  <c r="N9" i="6" s="1"/>
  <c r="N24" i="6" s="1"/>
  <c r="N26" i="7"/>
  <c r="N28" i="7" s="1"/>
  <c r="O27" i="7" l="1"/>
  <c r="P20" i="7"/>
  <c r="P22" i="7" s="1"/>
  <c r="O5" i="6"/>
  <c r="O9" i="6" s="1"/>
  <c r="O24" i="6" s="1"/>
  <c r="O26" i="7"/>
  <c r="O28" i="7" s="1"/>
  <c r="Q20" i="6"/>
  <c r="P21" i="6"/>
  <c r="P23" i="6" s="1"/>
  <c r="Q21" i="6" l="1"/>
  <c r="Q23" i="6" s="1"/>
  <c r="R20" i="6"/>
  <c r="P27" i="7"/>
  <c r="P5" i="6"/>
  <c r="P9" i="6" s="1"/>
  <c r="P24" i="6" s="1"/>
  <c r="Q20" i="7"/>
  <c r="Q22" i="7" s="1"/>
  <c r="P26" i="7"/>
  <c r="P28" i="7" s="1"/>
  <c r="Q27" i="7" l="1"/>
  <c r="Q5" i="6"/>
  <c r="Q9" i="6" s="1"/>
  <c r="Q24" i="6" s="1"/>
  <c r="R20" i="7"/>
  <c r="R22" i="7" s="1"/>
  <c r="Q26" i="7"/>
  <c r="Q28" i="7" s="1"/>
  <c r="S20" i="6"/>
  <c r="R21" i="6"/>
  <c r="R23" i="6" s="1"/>
  <c r="R27" i="7" l="1"/>
  <c r="S20" i="7"/>
  <c r="S22" i="7" s="1"/>
  <c r="R5" i="6"/>
  <c r="R9" i="6" s="1"/>
  <c r="R24" i="6" s="1"/>
  <c r="T20" i="6"/>
  <c r="S21" i="6"/>
  <c r="S23" i="6" s="1"/>
  <c r="T21" i="6" l="1"/>
  <c r="T23" i="6" s="1"/>
  <c r="U20" i="6"/>
  <c r="S5" i="6"/>
  <c r="S9" i="6" s="1"/>
  <c r="S24" i="6" s="1"/>
  <c r="T20" i="7"/>
  <c r="T22" i="7" s="1"/>
  <c r="S27" i="7"/>
  <c r="S26" i="7"/>
  <c r="S28" i="7" s="1"/>
  <c r="U20" i="7" l="1"/>
  <c r="U22" i="7" s="1"/>
  <c r="T27" i="7"/>
  <c r="T5" i="6"/>
  <c r="T9" i="6" s="1"/>
  <c r="T24" i="6" s="1"/>
  <c r="T26" i="7"/>
  <c r="T28" i="7" s="1"/>
  <c r="V20" i="6"/>
  <c r="U21" i="6"/>
  <c r="U23" i="6" s="1"/>
  <c r="V21" i="6" l="1"/>
  <c r="V23" i="6" s="1"/>
  <c r="W20" i="6"/>
  <c r="U5" i="6"/>
  <c r="U9" i="6" s="1"/>
  <c r="U24" i="6" s="1"/>
  <c r="U27" i="7"/>
  <c r="V20" i="7"/>
  <c r="V22" i="7" s="1"/>
  <c r="U26" i="7"/>
  <c r="U28" i="7" s="1"/>
  <c r="V27" i="7" l="1"/>
  <c r="V5" i="6"/>
  <c r="V9" i="6" s="1"/>
  <c r="V24" i="6" s="1"/>
  <c r="W20" i="7"/>
  <c r="W22" i="7" s="1"/>
  <c r="V26" i="7"/>
  <c r="V28" i="7" s="1"/>
  <c r="X20" i="6"/>
  <c r="W21" i="6"/>
  <c r="W23" i="6" s="1"/>
  <c r="X21" i="6" l="1"/>
  <c r="X23" i="6" s="1"/>
  <c r="Y20" i="6"/>
  <c r="W5" i="6"/>
  <c r="W9" i="6" s="1"/>
  <c r="W24" i="6" s="1"/>
  <c r="W27" i="7"/>
  <c r="X20" i="7"/>
  <c r="X22" i="7" s="1"/>
  <c r="W26" i="7"/>
  <c r="W28" i="7" s="1"/>
  <c r="X5" i="6" l="1"/>
  <c r="X9" i="6" s="1"/>
  <c r="X24" i="6" s="1"/>
  <c r="Y20" i="7"/>
  <c r="Y22" i="7" s="1"/>
  <c r="X27" i="7"/>
  <c r="X26" i="7"/>
  <c r="X28" i="7" s="1"/>
  <c r="Z20" i="6"/>
  <c r="Y21" i="6"/>
  <c r="Y23" i="6" s="1"/>
  <c r="Z21" i="6" l="1"/>
  <c r="Z23" i="6" s="1"/>
  <c r="AA20" i="6"/>
  <c r="Y27" i="7"/>
  <c r="Z20" i="7"/>
  <c r="Z22" i="7" s="1"/>
  <c r="Y5" i="6"/>
  <c r="Y9" i="6" s="1"/>
  <c r="Y24" i="6" s="1"/>
  <c r="Y26" i="7"/>
  <c r="Y28" i="7" s="1"/>
  <c r="Z5" i="6" l="1"/>
  <c r="Z9" i="6" s="1"/>
  <c r="Z24" i="6" s="1"/>
  <c r="Z27" i="7"/>
  <c r="AA20" i="7"/>
  <c r="AA22" i="7" s="1"/>
  <c r="Z26" i="7"/>
  <c r="Z28" i="7" s="1"/>
  <c r="AA21" i="6"/>
  <c r="AA23" i="6" s="1"/>
  <c r="AB20" i="6"/>
  <c r="AC20" i="6" l="1"/>
  <c r="AB21" i="6"/>
  <c r="AB23" i="6" s="1"/>
  <c r="AA27" i="7"/>
  <c r="AA5" i="6"/>
  <c r="AA9" i="6" s="1"/>
  <c r="AA24" i="6" s="1"/>
  <c r="AB20" i="7"/>
  <c r="AB22" i="7" s="1"/>
  <c r="AA26" i="7"/>
  <c r="AA28" i="7" s="1"/>
  <c r="AB27" i="7" l="1"/>
  <c r="AB5" i="6"/>
  <c r="AB9" i="6" s="1"/>
  <c r="AB24" i="6" s="1"/>
  <c r="AC20" i="7"/>
  <c r="AC22" i="7" s="1"/>
  <c r="AB26" i="7"/>
  <c r="AB28" i="7" s="1"/>
  <c r="AD20" i="6"/>
  <c r="AC21" i="6"/>
  <c r="AC23" i="6" s="1"/>
  <c r="AE20" i="6" l="1"/>
  <c r="AD21" i="6"/>
  <c r="AD23" i="6" s="1"/>
  <c r="AD20" i="7"/>
  <c r="AD22" i="7" s="1"/>
  <c r="AC27" i="7"/>
  <c r="AC5" i="6"/>
  <c r="AC9" i="6" s="1"/>
  <c r="AC24" i="6" s="1"/>
  <c r="AC26" i="7"/>
  <c r="AC28" i="7" s="1"/>
  <c r="AD5" i="6" l="1"/>
  <c r="AD9" i="6" s="1"/>
  <c r="AD24" i="6" s="1"/>
  <c r="AD27" i="7"/>
  <c r="AE20" i="7"/>
  <c r="AE22" i="7" s="1"/>
  <c r="AD26" i="7"/>
  <c r="AD28" i="7" s="1"/>
  <c r="AF20" i="6"/>
  <c r="AE21" i="6"/>
  <c r="AE23" i="6" s="1"/>
  <c r="AG20" i="6" l="1"/>
  <c r="AF21" i="6"/>
  <c r="AF23" i="6" s="1"/>
  <c r="AE5" i="6"/>
  <c r="AE9" i="6" s="1"/>
  <c r="AE24" i="6" s="1"/>
  <c r="AF20" i="7"/>
  <c r="AF22" i="7" s="1"/>
  <c r="AE27" i="7"/>
  <c r="AE26" i="7"/>
  <c r="AE28" i="7" s="1"/>
  <c r="AF27" i="7" l="1"/>
  <c r="AF5" i="6"/>
  <c r="AF9" i="6" s="1"/>
  <c r="AF24" i="6" s="1"/>
  <c r="AG20" i="7"/>
  <c r="AG22" i="7" s="1"/>
  <c r="AF26" i="7"/>
  <c r="AF28" i="7" s="1"/>
  <c r="AG21" i="6"/>
  <c r="AG23" i="6" s="1"/>
  <c r="AH20" i="6"/>
  <c r="AI20" i="6" l="1"/>
  <c r="AH21" i="6"/>
  <c r="AH23" i="6" s="1"/>
  <c r="AG5" i="6"/>
  <c r="AG9" i="6" s="1"/>
  <c r="AG24" i="6" s="1"/>
  <c r="AH20" i="7"/>
  <c r="AH22" i="7" s="1"/>
  <c r="AG27" i="7"/>
  <c r="AG26" i="7"/>
  <c r="AG28" i="7" s="1"/>
  <c r="AH27" i="7" l="1"/>
  <c r="AH5" i="6"/>
  <c r="AH9" i="6" s="1"/>
  <c r="AH24" i="6" s="1"/>
  <c r="AI20" i="7"/>
  <c r="AI22" i="7" s="1"/>
  <c r="AH26" i="7"/>
  <c r="AH28" i="7" s="1"/>
  <c r="AI21" i="6"/>
  <c r="AI23" i="6" s="1"/>
  <c r="AJ20" i="6"/>
  <c r="AJ21" i="6" l="1"/>
  <c r="AJ23" i="6" s="1"/>
  <c r="AK20" i="6"/>
  <c r="AJ20" i="7"/>
  <c r="AJ22" i="7" s="1"/>
  <c r="AI27" i="7"/>
  <c r="AI5" i="6"/>
  <c r="AI9" i="6" s="1"/>
  <c r="AI24" i="6" s="1"/>
  <c r="AI26" i="7"/>
  <c r="AI28" i="7" s="1"/>
  <c r="AK20" i="7" l="1"/>
  <c r="AK22" i="7" s="1"/>
  <c r="AJ27" i="7"/>
  <c r="AJ5" i="6"/>
  <c r="AJ9" i="6" s="1"/>
  <c r="AJ24" i="6" s="1"/>
  <c r="AL20" i="6"/>
  <c r="AK21" i="6"/>
  <c r="AK23" i="6" s="1"/>
  <c r="AM20" i="6" l="1"/>
  <c r="AL21" i="6"/>
  <c r="AL23" i="6" s="1"/>
  <c r="AL20" i="7"/>
  <c r="AL22" i="7" s="1"/>
  <c r="AK27" i="7"/>
  <c r="AK5" i="6"/>
  <c r="AK9" i="6" s="1"/>
  <c r="AK24" i="6" s="1"/>
  <c r="AK26" i="7"/>
  <c r="AK28" i="7" s="1"/>
  <c r="AL27" i="7" l="1"/>
  <c r="AM20" i="7"/>
  <c r="AM22" i="7" s="1"/>
  <c r="AL5" i="6"/>
  <c r="AL9" i="6" s="1"/>
  <c r="AL24" i="6" s="1"/>
  <c r="AL26" i="7"/>
  <c r="AL28" i="7" s="1"/>
  <c r="AM21" i="6"/>
  <c r="AM23" i="6" s="1"/>
  <c r="AN20" i="6"/>
  <c r="AN21" i="6" l="1"/>
  <c r="AN23" i="6" s="1"/>
  <c r="AO20" i="6"/>
  <c r="AM27" i="7"/>
  <c r="AM5" i="6"/>
  <c r="AM9" i="6" s="1"/>
  <c r="AM24" i="6" s="1"/>
  <c r="AN20" i="7"/>
  <c r="AN22" i="7" s="1"/>
  <c r="AM26" i="7"/>
  <c r="AM28" i="7" s="1"/>
  <c r="AN27" i="7" l="1"/>
  <c r="AN5" i="6"/>
  <c r="AN9" i="6" s="1"/>
  <c r="AN24" i="6" s="1"/>
  <c r="AO20" i="7"/>
  <c r="AO22" i="7" s="1"/>
  <c r="AN26" i="7"/>
  <c r="AN28" i="7" s="1"/>
  <c r="AO21" i="6"/>
  <c r="AO23" i="6" s="1"/>
  <c r="AP20" i="6"/>
  <c r="AP21" i="6" l="1"/>
  <c r="AP23" i="6" s="1"/>
  <c r="AQ20" i="6"/>
  <c r="AO27" i="7"/>
  <c r="AO5" i="6"/>
  <c r="AO9" i="6" s="1"/>
  <c r="AO24" i="6" s="1"/>
  <c r="AP20" i="7"/>
  <c r="AP22" i="7" s="1"/>
  <c r="AO26" i="7"/>
  <c r="AO28" i="7" s="1"/>
  <c r="AP5" i="6" l="1"/>
  <c r="AP9" i="6" s="1"/>
  <c r="AP24" i="6" s="1"/>
  <c r="AP27" i="7"/>
  <c r="AQ20" i="7"/>
  <c r="AQ22" i="7" s="1"/>
  <c r="AP26" i="7"/>
  <c r="AP28" i="7" s="1"/>
  <c r="AQ21" i="6"/>
  <c r="AQ23" i="6" s="1"/>
  <c r="AR20" i="6"/>
  <c r="AR21" i="6" l="1"/>
  <c r="AR23" i="6" s="1"/>
  <c r="AS20" i="6"/>
  <c r="AQ5" i="6"/>
  <c r="AQ9" i="6" s="1"/>
  <c r="AQ24" i="6" s="1"/>
  <c r="AR20" i="7"/>
  <c r="AR22" i="7" s="1"/>
  <c r="AQ27" i="7"/>
  <c r="AQ26" i="7"/>
  <c r="AQ28" i="7" s="1"/>
  <c r="AS20" i="7" l="1"/>
  <c r="AS22" i="7" s="1"/>
  <c r="AR5" i="6"/>
  <c r="AR9" i="6" s="1"/>
  <c r="AR24" i="6" s="1"/>
  <c r="AR27" i="7"/>
  <c r="AR26" i="7"/>
  <c r="AR28" i="7" s="1"/>
  <c r="AT20" i="6"/>
  <c r="AS21" i="6"/>
  <c r="AS23" i="6" s="1"/>
  <c r="AU20" i="6" l="1"/>
  <c r="AT21" i="6"/>
  <c r="AT23" i="6" s="1"/>
  <c r="AS27" i="7"/>
  <c r="AS5" i="6"/>
  <c r="AS9" i="6" s="1"/>
  <c r="AS24" i="6" s="1"/>
  <c r="AT20" i="7"/>
  <c r="AT22" i="7" s="1"/>
  <c r="AS26" i="7"/>
  <c r="AS28" i="7" s="1"/>
  <c r="AT5" i="6" l="1"/>
  <c r="AT9" i="6" s="1"/>
  <c r="AT24" i="6" s="1"/>
  <c r="AT27" i="7"/>
  <c r="AU20" i="7"/>
  <c r="AU22" i="7" s="1"/>
  <c r="AT26" i="7"/>
  <c r="AT28" i="7" s="1"/>
  <c r="AV20" i="6"/>
  <c r="AU21" i="6"/>
  <c r="AU23" i="6" s="1"/>
  <c r="AV20" i="7" l="1"/>
  <c r="AV22" i="7" s="1"/>
  <c r="AU27" i="7"/>
  <c r="AU5" i="6"/>
  <c r="AU9" i="6" s="1"/>
  <c r="AU24" i="6" s="1"/>
  <c r="AU26" i="7"/>
  <c r="AU28" i="7" s="1"/>
  <c r="AW20" i="6"/>
  <c r="AV21" i="6"/>
  <c r="AV23" i="6" s="1"/>
  <c r="AW21" i="6" l="1"/>
  <c r="AW23" i="6" s="1"/>
  <c r="AX20" i="6"/>
  <c r="AV5" i="6"/>
  <c r="AV9" i="6" s="1"/>
  <c r="AV24" i="6" s="1"/>
  <c r="AV27" i="7"/>
  <c r="AW20" i="7"/>
  <c r="AW22" i="7" s="1"/>
  <c r="AV26" i="7"/>
  <c r="AV28" i="7" s="1"/>
  <c r="AX20" i="7" l="1"/>
  <c r="AX22" i="7" s="1"/>
  <c r="AW5" i="6"/>
  <c r="AW9" i="6" s="1"/>
  <c r="AW24" i="6" s="1"/>
  <c r="AW27" i="7"/>
  <c r="AW26" i="7"/>
  <c r="AW28" i="7" s="1"/>
  <c r="AY20" i="6"/>
  <c r="AX21" i="6"/>
  <c r="AX23" i="6" s="1"/>
  <c r="AZ20" i="6" l="1"/>
  <c r="AY21" i="6"/>
  <c r="AY23" i="6" s="1"/>
  <c r="AX27" i="7"/>
  <c r="AX5" i="6"/>
  <c r="AX9" i="6" s="1"/>
  <c r="AX24" i="6" s="1"/>
  <c r="AY20" i="7"/>
  <c r="AY22" i="7" s="1"/>
  <c r="AX26" i="7"/>
  <c r="AX28" i="7" s="1"/>
  <c r="AY5" i="6" l="1"/>
  <c r="AY9" i="6" s="1"/>
  <c r="AY24" i="6" s="1"/>
  <c r="AZ20" i="7"/>
  <c r="AZ22" i="7" s="1"/>
  <c r="AY27" i="7"/>
  <c r="AY26" i="7"/>
  <c r="AY28" i="7" s="1"/>
  <c r="AZ21" i="6"/>
  <c r="AZ23" i="6" s="1"/>
  <c r="BA20" i="6"/>
  <c r="BA21" i="6" s="1"/>
  <c r="BA23" i="6" s="1"/>
  <c r="AZ5" i="6" l="1"/>
  <c r="AZ9" i="6" s="1"/>
  <c r="AZ24" i="6" s="1"/>
  <c r="AZ27" i="7"/>
  <c r="BA20" i="7"/>
  <c r="BA22" i="7" s="1"/>
  <c r="AZ26" i="7"/>
  <c r="AZ28" i="7" s="1"/>
  <c r="BA27" i="7" l="1"/>
  <c r="BA5" i="6"/>
  <c r="BA9" i="6" s="1"/>
  <c r="BA24" i="6" s="1"/>
  <c r="BA26" i="7"/>
  <c r="BA28" i="7" s="1"/>
</calcChain>
</file>

<file path=xl/sharedStrings.xml><?xml version="1.0" encoding="utf-8"?>
<sst xmlns="http://schemas.openxmlformats.org/spreadsheetml/2006/main" count="818" uniqueCount="548">
  <si>
    <t>LoopforgeLab GmbH – Financial Projection Model</t>
  </si>
  <si>
    <t>Projektionszeitraum: 52 Monate (ca. 4,3 Jahre)</t>
  </si>
  <si>
    <t>INHALTSVERZEICHNIS</t>
  </si>
  <si>
    <t>Sheet 1: Anleitung – Diese Seite mit Übersicht und Legende</t>
  </si>
  <si>
    <t>Sheet 2: Inputs – Zentrale Eingabewerte (HIER STARTEN)</t>
  </si>
  <si>
    <t>Sheet 3: P&amp;L – Gewinn- und Verlustrechnung (monatlich + jährlich)</t>
  </si>
  <si>
    <t>Sheet 4: Revenue – Detaillierte Umsatzmodellierung</t>
  </si>
  <si>
    <t>Sheet 5: Costs – Detaillierte Kostenaufschlüsselung</t>
  </si>
  <si>
    <t>Sheet 6: Balance Sheet – Vereinfachte Bilanz</t>
  </si>
  <si>
    <t>Sheet 7: Cash Flow – Kapitalflussrechnung mit Runway</t>
  </si>
  <si>
    <t>FARBCODIERUNG</t>
  </si>
  <si>
    <t>Blau</t>
  </si>
  <si>
    <t>Editierbare Eingabefelder</t>
  </si>
  <si>
    <t>Schwarz</t>
  </si>
  <si>
    <t>Formeln – nicht manuell ändern</t>
  </si>
  <si>
    <t>Grün</t>
  </si>
  <si>
    <t>Verweise auf andere Sheets</t>
  </si>
  <si>
    <t>Gelb hinterlegt</t>
  </si>
  <si>
    <t>Kritische Annahmen</t>
  </si>
  <si>
    <t>KURZANLEITUNG</t>
  </si>
  <si>
    <t>1. Gehen Sie zum Sheet 'Inputs' und passen Sie alle blau markierten Werte an.</t>
  </si>
  <si>
    <t>2. Alle anderen Sheets berechnen sich automatisch aus den Inputs.</t>
  </si>
  <si>
    <t>3. Prüfen Sie die P&amp;L, Revenue und Cash Flow Sheets auf Plausibilität.</t>
  </si>
  <si>
    <t>4. Achten Sie auf rot markierte Warnungen (z.B. Runway &lt; 6 Monate).</t>
  </si>
  <si>
    <t>5. Exportieren Sie relevante Sheets als PDF für Investoren-Präsentationen.</t>
  </si>
  <si>
    <t>DISCLAIMER: Diese Projektion dient ausschließlich der Planung.</t>
  </si>
  <si>
    <t>Tatsächliche Ergebnisse können erheblich abweichen. Keine Garantie.</t>
  </si>
  <si>
    <t>ZENTRALE EINGABEWERTE</t>
  </si>
  <si>
    <t>Wert</t>
  </si>
  <si>
    <t>Erklärung / Hinweis</t>
  </si>
  <si>
    <t>ALLGEMEINE EINSTELLUNGEN</t>
  </si>
  <si>
    <t>Firmenname</t>
  </si>
  <si>
    <t>LoopforgeLab GmbH</t>
  </si>
  <si>
    <t>Name des Unternehmens</t>
  </si>
  <si>
    <t>Startdatum</t>
  </si>
  <si>
    <t>Beginn der Projektionen</t>
  </si>
  <si>
    <t>Währung</t>
  </si>
  <si>
    <t>EUR</t>
  </si>
  <si>
    <t>EUR für DACH-Startups</t>
  </si>
  <si>
    <t>Steuersatz</t>
  </si>
  <si>
    <t>KSt + GewSt (~30% in DE)</t>
  </si>
  <si>
    <t>FINANZIERUNGSRUNDEN</t>
  </si>
  <si>
    <t>Pre-Seed Betrag</t>
  </si>
  <si>
    <t>Typisch: 100.000-500.000€</t>
  </si>
  <si>
    <t>Pre-Seed Monat</t>
  </si>
  <si>
    <t>Monat der Einzahlung</t>
  </si>
  <si>
    <t>Seed Betrag</t>
  </si>
  <si>
    <t>Typisch: 500.000-2.000.000€</t>
  </si>
  <si>
    <t>Seed Monat</t>
  </si>
  <si>
    <t>Typisch: Monat 5</t>
  </si>
  <si>
    <t>Series A Betrag</t>
  </si>
  <si>
    <t>Typisch: 3.000.000-10.000.000€</t>
  </si>
  <si>
    <t>Series A Monat</t>
  </si>
  <si>
    <t>Typisch: Monat 17</t>
  </si>
  <si>
    <t>Typisch: 10.000.000-25.000.000€</t>
  </si>
  <si>
    <t>Typisch: Monat 35</t>
  </si>
  <si>
    <t>REVENUE-ANNAHMEN (SaaS/ARR)</t>
  </si>
  <si>
    <t>Startpreis pro Seat/Jahr</t>
  </si>
  <si>
    <t>Jährliche Lizenzgebühr pro Nutzer</t>
  </si>
  <si>
    <t>Preiserhöhung/Jahr</t>
  </si>
  <si>
    <t>Typisch: 3-5% p.a.</t>
  </si>
  <si>
    <t>Erste zahlende Kunden Monat</t>
  </si>
  <si>
    <t>Wann erster Umsatz?</t>
  </si>
  <si>
    <t>Initiale Seats</t>
  </si>
  <si>
    <t>Anzahl Seats beim ersten Kunden</t>
  </si>
  <si>
    <t>Monatliche Seat-Wachstumsrate</t>
  </si>
  <si>
    <t>Wachstum neue Seats/Monat</t>
  </si>
  <si>
    <t>Enterprise-Deals ab Monat</t>
  </si>
  <si>
    <t>Durchschnitt Enterprise ARR</t>
  </si>
  <si>
    <t>Typisch: 50.000-200.000€/Jahr</t>
  </si>
  <si>
    <t>Enterprise Deals pro Quartal</t>
  </si>
  <si>
    <t>Neue Enterprise-Deals pro Quartal</t>
  </si>
  <si>
    <t>Jährliche Churn Rate</t>
  </si>
  <si>
    <t>Typisch SaaS: 5-10%</t>
  </si>
  <si>
    <t>Net Revenue Retention</t>
  </si>
  <si>
    <t>Expansion - Churn, typisch: 100-120%</t>
  </si>
  <si>
    <t>GEHÄLTER (Brutto/Jahr)</t>
  </si>
  <si>
    <t>CEO Gehalt</t>
  </si>
  <si>
    <t>Typisch Startup: 60.000-90.000€</t>
  </si>
  <si>
    <t>CTO Gehalt</t>
  </si>
  <si>
    <t>CCO Gehalt</t>
  </si>
  <si>
    <t>Senior Engineer Gehalt</t>
  </si>
  <si>
    <t>Typisch: 70.000-90.000€</t>
  </si>
  <si>
    <t>Junior Engineer Gehalt</t>
  </si>
  <si>
    <t>Typisch: 45.000-60.000€</t>
  </si>
  <si>
    <t>ML/AI Engineer Gehalt</t>
  </si>
  <si>
    <t>Typisch: 75.000-100.000€</t>
  </si>
  <si>
    <t>Product Manager Gehalt</t>
  </si>
  <si>
    <t>Typisch: 65.000-85.000€</t>
  </si>
  <si>
    <t>Sales Representative Gehalt</t>
  </si>
  <si>
    <t>Typisch: 50.000-70.000€ + Provision</t>
  </si>
  <si>
    <t>Marketing Manager Gehalt</t>
  </si>
  <si>
    <t>Typisch: 55.000-75.000€</t>
  </si>
  <si>
    <t>Customer Success Gehalt</t>
  </si>
  <si>
    <t>Office/Admin Gehalt</t>
  </si>
  <si>
    <t>Typisch: 40.000-50.000€</t>
  </si>
  <si>
    <t>Jährliche Gehaltserhöhung</t>
  </si>
  <si>
    <t>Typisch: 3-5%</t>
  </si>
  <si>
    <t>Lohnnebenkosten</t>
  </si>
  <si>
    <t>AG-Anteil Sozialversicherung ~20-21%</t>
  </si>
  <si>
    <t>EINSTELLUNGSPLAN (Eintrittsmonat)</t>
  </si>
  <si>
    <t>1. Senior Engineer</t>
  </si>
  <si>
    <t>Erste technische Verstärkung</t>
  </si>
  <si>
    <t>2. Senior Engineer</t>
  </si>
  <si>
    <t>Zweite technische Verstärkung</t>
  </si>
  <si>
    <t>1. Junior Engineer</t>
  </si>
  <si>
    <t>Junior Developer</t>
  </si>
  <si>
    <t>1. ML/AI Engineer</t>
  </si>
  <si>
    <t>ML/AI Spezialist</t>
  </si>
  <si>
    <t>2. ML/AI Engineer</t>
  </si>
  <si>
    <t>Zweiter ML Engineer</t>
  </si>
  <si>
    <t>1. Sales Rep</t>
  </si>
  <si>
    <t>Erster Vertriebsmitarbeiter</t>
  </si>
  <si>
    <t>2. Sales Rep</t>
  </si>
  <si>
    <t>Zweiter Vertrieb</t>
  </si>
  <si>
    <t>1. Customer Success</t>
  </si>
  <si>
    <t>Erster CS Manager</t>
  </si>
  <si>
    <t>1. Marketing Manager</t>
  </si>
  <si>
    <t>Marketing</t>
  </si>
  <si>
    <t>1. Product Manager</t>
  </si>
  <si>
    <t>Product Management</t>
  </si>
  <si>
    <t>1. Office Manager</t>
  </si>
  <si>
    <t>Admin/Office</t>
  </si>
  <si>
    <t>3. Senior Engineer</t>
  </si>
  <si>
    <t>Dritter Senior Engineer</t>
  </si>
  <si>
    <t>4. Senior Engineer</t>
  </si>
  <si>
    <t>Vierter Senior Engineer</t>
  </si>
  <si>
    <t>2. Junior Engineer</t>
  </si>
  <si>
    <t>Zweiter Junior</t>
  </si>
  <si>
    <t>3. ML/AI Engineer</t>
  </si>
  <si>
    <t>Dritter ML Engineer</t>
  </si>
  <si>
    <t>3. Sales Rep</t>
  </si>
  <si>
    <t>Dritter Vertrieb</t>
  </si>
  <si>
    <t>2. Customer Success</t>
  </si>
  <si>
    <t>Zweiter CS Manager</t>
  </si>
  <si>
    <t>2. Marketing Manager</t>
  </si>
  <si>
    <t>Zweiter Marketing</t>
  </si>
  <si>
    <t>5. Senior Engineer</t>
  </si>
  <si>
    <t>Fünfter Senior Engineer</t>
  </si>
  <si>
    <t>3. Junior Engineer</t>
  </si>
  <si>
    <t>Dritter Junior</t>
  </si>
  <si>
    <t>4. ML/AI Engineer</t>
  </si>
  <si>
    <t>Vierter ML Engineer</t>
  </si>
  <si>
    <t>2. Product Manager</t>
  </si>
  <si>
    <t>Zweiter PM</t>
  </si>
  <si>
    <t>4. Sales Rep</t>
  </si>
  <si>
    <t>Vierter Vertrieb</t>
  </si>
  <si>
    <t>3. Customer Success</t>
  </si>
  <si>
    <t>Dritter CS</t>
  </si>
  <si>
    <t>Finance Manager</t>
  </si>
  <si>
    <t>Finance/Controlling</t>
  </si>
  <si>
    <t>6. Senior Engineer</t>
  </si>
  <si>
    <t>Sechster Senior</t>
  </si>
  <si>
    <t>7. Senior Engineer</t>
  </si>
  <si>
    <t>Siebter Senior</t>
  </si>
  <si>
    <t>4. Junior Engineer</t>
  </si>
  <si>
    <t>Vierter Junior</t>
  </si>
  <si>
    <t>5. ML/AI Engineer</t>
  </si>
  <si>
    <t>Fünfter ML Engineer</t>
  </si>
  <si>
    <t>5. Sales Rep</t>
  </si>
  <si>
    <t>Fünfter Vertrieb</t>
  </si>
  <si>
    <t>4. Customer Success</t>
  </si>
  <si>
    <t>Vierter CS</t>
  </si>
  <si>
    <t>3. Marketing Manager</t>
  </si>
  <si>
    <t>Dritter Marketing</t>
  </si>
  <si>
    <t>TECHNOLOGIE &amp; CLOUD KOSTEN</t>
  </si>
  <si>
    <t>Cloud/Hosting Basis</t>
  </si>
  <si>
    <t>AWS/Azure/GCP Grundkosten €/Monat</t>
  </si>
  <si>
    <t>Cloud Skalierung pro Seat</t>
  </si>
  <si>
    <t>Variable Kosten €/Seat/Monat</t>
  </si>
  <si>
    <t>AI/ML APIs Basis</t>
  </si>
  <si>
    <t>OpenAI/Anthropic etc. €/Monat</t>
  </si>
  <si>
    <t>AI Kosten Wachstum/Monat</t>
  </si>
  <si>
    <t>Steigerung mit Nutzung</t>
  </si>
  <si>
    <t>SaaS Tools intern Basis</t>
  </si>
  <si>
    <t>Slack, Notion, GitHub etc. €/Monat</t>
  </si>
  <si>
    <t>SaaS Tools pro MA</t>
  </si>
  <si>
    <t>Zusätzliche Lizenzen €/MA/Monat</t>
  </si>
  <si>
    <t>Software-Lizenzen Dev</t>
  </si>
  <si>
    <t>IDE, Frameworks €/Jahr</t>
  </si>
  <si>
    <t>Sicherheit &amp; Compliance</t>
  </si>
  <si>
    <t>Security Tools €/Monat</t>
  </si>
  <si>
    <t>HARDWARE &amp; EQUIPMENT</t>
  </si>
  <si>
    <t>Laptop pro MA</t>
  </si>
  <si>
    <t>Typisch: 1.500-3.000€</t>
  </si>
  <si>
    <t>Monitor &amp; Peripherie</t>
  </si>
  <si>
    <t>Typisch: 500-1.000€</t>
  </si>
  <si>
    <t>Ersatz-Zyklus Monate</t>
  </si>
  <si>
    <t>Typisch: 36-48 Monate</t>
  </si>
  <si>
    <t>Sonstige IT-Ausstattung/Jahr</t>
  </si>
  <si>
    <t>Server, Netzwerk etc.</t>
  </si>
  <si>
    <t>BÜRO &amp; FACILITIES</t>
  </si>
  <si>
    <t>Büromiete</t>
  </si>
  <si>
    <t>Coworking anfangs €/Monat</t>
  </si>
  <si>
    <t>Büro-Upgrade ab Monat</t>
  </si>
  <si>
    <t>Wann größeres Büro?</t>
  </si>
  <si>
    <t>Neue Büromiete</t>
  </si>
  <si>
    <t>Kosten nach Upgrade €/Monat</t>
  </si>
  <si>
    <t>Nebenkosten</t>
  </si>
  <si>
    <t>Strom, Wasser, Heizung €/Monat</t>
  </si>
  <si>
    <t>Internet &amp; Telefon</t>
  </si>
  <si>
    <t>€/Monat</t>
  </si>
  <si>
    <t>Büroausstattung Initial</t>
  </si>
  <si>
    <t>Möbel, Einrichtung €</t>
  </si>
  <si>
    <t>Bürobedarf pro MA</t>
  </si>
  <si>
    <t>Verbrauchsmaterial €/MA/Monat</t>
  </si>
  <si>
    <t>PROFESSIONAL SERVICES</t>
  </si>
  <si>
    <t>Rechtsanwalt Basis/Jahr</t>
  </si>
  <si>
    <t>Laufende Beratung €/Jahr</t>
  </si>
  <si>
    <t>RA pro Finanzierung</t>
  </si>
  <si>
    <t>Zusätzlich bei Funding €</t>
  </si>
  <si>
    <t>Steuerberater</t>
  </si>
  <si>
    <t>Laufende Buchhaltung €/Monat</t>
  </si>
  <si>
    <t>Wirtschaftsprüfer/Jahr</t>
  </si>
  <si>
    <t>Ab Series A €/Jahr</t>
  </si>
  <si>
    <t>WP ab Monat</t>
  </si>
  <si>
    <t>Unternehmensberater/Jahr</t>
  </si>
  <si>
    <t>VERSICHERUNGEN &amp; BANK</t>
  </si>
  <si>
    <t>D&amp;O Versicherung/Jahr</t>
  </si>
  <si>
    <t>Betriebshaftpflicht/Jahr</t>
  </si>
  <si>
    <t>Cyber-Versicherung/Jahr</t>
  </si>
  <si>
    <t>Bankgebühren</t>
  </si>
  <si>
    <t>Kontoführung €/Monat</t>
  </si>
  <si>
    <t>Payment Processing</t>
  </si>
  <si>
    <t>MARKETING &amp; SALES</t>
  </si>
  <si>
    <t>Paid Ads Budget Initial</t>
  </si>
  <si>
    <t>Ads Budget Wachstum/Monat</t>
  </si>
  <si>
    <t>Content &amp; SEO</t>
  </si>
  <si>
    <t>Events &amp; Messen/Jahr</t>
  </si>
  <si>
    <t>Sales Tools</t>
  </si>
  <si>
    <t>Sales Provision</t>
  </si>
  <si>
    <t>Reisekosten Sales/MA/Monat</t>
  </si>
  <si>
    <t>SONSTIGE KOSTEN</t>
  </si>
  <si>
    <t>Reisekosten allgemein/MA/Jahr</t>
  </si>
  <si>
    <t>€/MA/Jahr</t>
  </si>
  <si>
    <t>Weiterbildung/MA/Jahr</t>
  </si>
  <si>
    <t>Team Events/MA/Jahr</t>
  </si>
  <si>
    <t>Sonstiges/Puffer</t>
  </si>
  <si>
    <t>% der OpEx, Unvorhergesehenes</t>
  </si>
  <si>
    <t>Abschreibungsdauer Jahre</t>
  </si>
  <si>
    <t>Für CapEx, typisch 3-5 Jahre</t>
  </si>
  <si>
    <t>GEWINN- UND VERLUSTRECHNUNG (P&amp;L)</t>
  </si>
  <si>
    <t>Position</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</si>
  <si>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</si>
  <si>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</si>
  <si>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</si>
  <si>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</si>
  <si>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</si>
  <si>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</si>
  <si>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</si>
  <si>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</si>
  <si>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</si>
  <si>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</si>
  <si>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</si>
  <si>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</si>
  <si>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</si>
  <si>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</si>
  <si>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</si>
  <si>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</si>
  <si>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</si>
  <si>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</si>
  <si>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</si>
  <si>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</si>
  <si>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</si>
  <si>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</si>
  <si>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</si>
  <si>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</si>
  <si>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</si>
  <si>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</si>
  <si>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</si>
  <si>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</si>
  <si>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</si>
  <si>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</si>
  <si>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</si>
  <si>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</si>
  <si>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</si>
  <si>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</si>
  <si>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</si>
  <si>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</si>
  <si>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</si>
  <si>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</si>
  <si>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</si>
  <si>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</si>
  <si>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</si>
  <si>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</si>
  <si>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</si>
  <si>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</si>
  <si>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</si>
  <si>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</si>
  <si>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</si>
  <si>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</si>
  <si>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</si>
  <si>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</si>
  <si>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</si>
  <si>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</si>
  <si>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REVENUE</t>
  </si>
  <si>
    <t>Subscription Revenue</t>
  </si>
  <si>
    <t>Enterprise Revenue</t>
  </si>
  <si>
    <t>TOTAL REVENUE</t>
  </si>
  <si>
    <t>COST OF GOODS SOLD (COGS)</t>
  </si>
  <si>
    <t>Cloud Hosting (variable)</t>
  </si>
  <si>
    <t>AI/ML API Kosten</t>
  </si>
  <si>
    <t>TOTAL COGS</t>
  </si>
  <si>
    <t>GROSS PROFIT</t>
  </si>
  <si>
    <t>Gross Margin %</t>
  </si>
  <si>
    <t>OPERATING EXPENSES</t>
  </si>
  <si>
    <t>Total Personnel</t>
  </si>
  <si>
    <t>Total Technology</t>
  </si>
  <si>
    <t>Total Office/Facilities</t>
  </si>
  <si>
    <t>Total Professional Services</t>
  </si>
  <si>
    <t>Total Insurance &amp; Bank</t>
  </si>
  <si>
    <t>Total Marketing &amp; Sales</t>
  </si>
  <si>
    <t>Total Other OpEx</t>
  </si>
  <si>
    <t>Contingency/Buffer</t>
  </si>
  <si>
    <t>TOTAL OPERATING EXPENSES</t>
  </si>
  <si>
    <t>EBITDA</t>
  </si>
  <si>
    <t>EBITDA Margin %</t>
  </si>
  <si>
    <t>Depreciation &amp; Amortization</t>
  </si>
  <si>
    <t>EBIT (Operating Income)</t>
  </si>
  <si>
    <t>EBT (Earnings Before Tax)</t>
  </si>
  <si>
    <t>Income Tax</t>
  </si>
  <si>
    <t>NET INCOME</t>
  </si>
  <si>
    <t>Net Margin %</t>
  </si>
  <si>
    <t>UMSATZMODELL - Detaillierte Aufschlüsselung</t>
  </si>
  <si>
    <t>Kennzahl</t>
  </si>
  <si>
    <t>Preis pro Seat/Monat (€)</t>
  </si>
  <si>
    <t>Neue Seats</t>
  </si>
  <si>
    <t>Churned Seats</t>
  </si>
  <si>
    <t>Net New Seats</t>
  </si>
  <si>
    <t>Total Active Seats</t>
  </si>
  <si>
    <t>Monthly Subscription Revenue (€)</t>
  </si>
  <si>
    <t>Subscription ARR (€)</t>
  </si>
  <si>
    <t>Neue Enterprise Deals</t>
  </si>
  <si>
    <t>Churned Enterprise</t>
  </si>
  <si>
    <t>Active Enterprise Contracts</t>
  </si>
  <si>
    <t>Avg Enterprise ACV (€)</t>
  </si>
  <si>
    <t>Enterprise Monthly Revenue (€)</t>
  </si>
  <si>
    <t>TOTAL MRR (€)</t>
  </si>
  <si>
    <t>TOTAL ARR (€)</t>
  </si>
  <si>
    <t>Total Monthly Revenue (€)</t>
  </si>
  <si>
    <t>ARR Growth % (MoM)</t>
  </si>
  <si>
    <t>Net Revenue Retention %</t>
  </si>
  <si>
    <t>Gross New ARR (€)</t>
  </si>
  <si>
    <t>KOSTENDETAILS</t>
  </si>
  <si>
    <t>Kostenposition</t>
  </si>
  <si>
    <t>HEADCOUNT PLAN</t>
  </si>
  <si>
    <t>Executives (CEO, CTO, CCO)</t>
  </si>
  <si>
    <t>TOTAL HEADCOUNT</t>
  </si>
  <si>
    <t>GEHÄLTER &amp; PERSONALKOSTEN</t>
  </si>
  <si>
    <t>1. Senior Engineer Gehalt</t>
  </si>
  <si>
    <t>2. Senior Engineer Gehalt</t>
  </si>
  <si>
    <t>1. Junior Engineer Gehalt</t>
  </si>
  <si>
    <t>1. ML/AI Engineer Gehalt</t>
  </si>
  <si>
    <t>2. ML/AI Engineer Gehalt</t>
  </si>
  <si>
    <t>1. Sales Rep Gehalt</t>
  </si>
  <si>
    <t>2. Sales Rep Gehalt</t>
  </si>
  <si>
    <t>1. Customer Success Gehalt</t>
  </si>
  <si>
    <t>1. Marketing Manager Gehalt</t>
  </si>
  <si>
    <t>1. Product Manager Gehalt</t>
  </si>
  <si>
    <t>1. Office Manager Gehalt</t>
  </si>
  <si>
    <t>3. Senior Engineer Gehalt</t>
  </si>
  <si>
    <t>4. Senior Engineer Gehalt</t>
  </si>
  <si>
    <t>2. Junior Engineer Gehalt</t>
  </si>
  <si>
    <t>3. ML/AI Engineer Gehalt</t>
  </si>
  <si>
    <t>3. Sales Rep Gehalt</t>
  </si>
  <si>
    <t>2. Customer Success Gehalt</t>
  </si>
  <si>
    <t>2. Marketing Manager Gehalt</t>
  </si>
  <si>
    <t>5. Senior Engineer Gehalt</t>
  </si>
  <si>
    <t>3. Junior Engineer Gehalt</t>
  </si>
  <si>
    <t>4. ML/AI Engineer Gehalt</t>
  </si>
  <si>
    <t>2. Product Manager Gehalt</t>
  </si>
  <si>
    <t>4. Sales Rep Gehalt</t>
  </si>
  <si>
    <t>3. Customer Success Gehalt</t>
  </si>
  <si>
    <t>Finance Manager Gehalt</t>
  </si>
  <si>
    <t>6. Senior Engineer Gehalt</t>
  </si>
  <si>
    <t>7. Senior Engineer Gehalt</t>
  </si>
  <si>
    <t>4. Junior Engineer Gehalt</t>
  </si>
  <si>
    <t>5. ML/AI Engineer Gehalt</t>
  </si>
  <si>
    <t>5. Sales Rep Gehalt</t>
  </si>
  <si>
    <t>4. Customer Success Gehalt</t>
  </si>
  <si>
    <t>3. Marketing Manager Gehalt</t>
  </si>
  <si>
    <t>Subtotal Brutto-Gehälter</t>
  </si>
  <si>
    <t>Lohnnebenkosten (AG-Anteil)</t>
  </si>
  <si>
    <t>TOTAL PERSONALKOSTEN</t>
  </si>
  <si>
    <t>TECHNOLOGIEKOSTEN</t>
  </si>
  <si>
    <t>Cloud Infrastructure (Basis)</t>
  </si>
  <si>
    <t>Cloud Infrastructure (Variable)</t>
  </si>
  <si>
    <t>SaaS Tools intern</t>
  </si>
  <si>
    <t>TOTAL TECHNOLOGIE</t>
  </si>
  <si>
    <t>BÜROKOSTEN</t>
  </si>
  <si>
    <t>Bürobedarf</t>
  </si>
  <si>
    <t>TOTAL BÜRO</t>
  </si>
  <si>
    <t>Rechtsanwalt (laufend)</t>
  </si>
  <si>
    <t>Wirtschaftsprüfer</t>
  </si>
  <si>
    <t>Unternehmensberater</t>
  </si>
  <si>
    <t>TOTAL PROFESSIONAL</t>
  </si>
  <si>
    <t>D&amp;O Versicherung</t>
  </si>
  <si>
    <t>Betriebshaftpflicht</t>
  </si>
  <si>
    <t>Cyber-Versicherung</t>
  </si>
  <si>
    <t>TOTAL VERSICHERUNG &amp; BANK</t>
  </si>
  <si>
    <t>MARKETING &amp; SALES KOSTEN</t>
  </si>
  <si>
    <t>Paid Advertising</t>
  </si>
  <si>
    <t>Events &amp; Messen</t>
  </si>
  <si>
    <t>Sales Provisionen</t>
  </si>
  <si>
    <t>Reisekosten Sales</t>
  </si>
  <si>
    <t>TOTAL MARKETING &amp; SALES</t>
  </si>
  <si>
    <t>Reisekosten allgemein</t>
  </si>
  <si>
    <t>Weiterbildung</t>
  </si>
  <si>
    <t>Team Events</t>
  </si>
  <si>
    <t>Hardware (neue MA)</t>
  </si>
  <si>
    <t>Sonstige IT-Ausstattung</t>
  </si>
  <si>
    <t>TOTAL SONSTIGE</t>
  </si>
  <si>
    <t>PAYMENT PROCESSING</t>
  </si>
  <si>
    <t>Payment Processing Fees</t>
  </si>
  <si>
    <t>Puffer/Unvorhergesehenes</t>
  </si>
  <si>
    <t>TOTAL KOSTEN (exkl. COGS)</t>
  </si>
  <si>
    <t>BILANZ (Vereinfacht)</t>
  </si>
  <si>
    <t>AKTIVA (ASSETS)</t>
  </si>
  <si>
    <t>Cash &amp; Cash Equivalents</t>
  </si>
  <si>
    <t>Accounts Receivable</t>
  </si>
  <si>
    <t>Prepaid Expenses</t>
  </si>
  <si>
    <t>Property &amp; Equipment (net)</t>
  </si>
  <si>
    <t>TOTAL ASSETS</t>
  </si>
  <si>
    <t>PASSIVA (LIABILITIES)</t>
  </si>
  <si>
    <t>Accounts Payable</t>
  </si>
  <si>
    <t>Accrued Expenses</t>
  </si>
  <si>
    <t>Deferred Revenue</t>
  </si>
  <si>
    <t>TOTAL LIABILITIES</t>
  </si>
  <si>
    <t>EIGENKAPITAL (EQUITY)</t>
  </si>
  <si>
    <t>Share Capital</t>
  </si>
  <si>
    <t>Additional Paid-in Capital</t>
  </si>
  <si>
    <t>Retained Earnings</t>
  </si>
  <si>
    <t>TOTAL EQUITY</t>
  </si>
  <si>
    <t>TOTAL LIABILITIES + EQUITY</t>
  </si>
  <si>
    <t>Check (Assets - L&amp;E = 0)</t>
  </si>
  <si>
    <t>KAPITALFLUSSRECHNUNG (CASH FLOW)</t>
  </si>
  <si>
    <t>OPERATING ACTIVITIES</t>
  </si>
  <si>
    <t>Net Income</t>
  </si>
  <si>
    <t>+ Depreciation &amp; Amortization</t>
  </si>
  <si>
    <t>Changes in Working Capital</t>
  </si>
  <si>
    <t>Net Cash from Operations</t>
  </si>
  <si>
    <t>INVESTING ACTIVITIES</t>
  </si>
  <si>
    <t>Purchase of Equipment</t>
  </si>
  <si>
    <t>Net Cash from Investing</t>
  </si>
  <si>
    <t>FINANCING ACTIVITIES</t>
  </si>
  <si>
    <t>Equity Funding Received</t>
  </si>
  <si>
    <t>Net Cash from Financing</t>
  </si>
  <si>
    <t>NET CHANGE IN CASH</t>
  </si>
  <si>
    <t>Beginning Cash Balance</t>
  </si>
  <si>
    <t>Net Change</t>
  </si>
  <si>
    <t>ENDING CASH BALANCE</t>
  </si>
  <si>
    <t>KEY METRICS</t>
  </si>
  <si>
    <t>Monthly Burn Rate</t>
  </si>
  <si>
    <t>Runway (Months)</t>
  </si>
  <si>
    <t>Cumulative Cash Position</t>
  </si>
  <si>
    <t>Cash Runway Alert</t>
  </si>
  <si>
    <t>Bemerkungen</t>
  </si>
  <si>
    <t>Übernahme des Standardsatzes (KSt + GewSt in Deutschland).</t>
  </si>
  <si>
    <t>Ideation Phase</t>
  </si>
  <si>
    <t>Phase: 1.4.26 bis 15.7.2026
MVP-Anschubfinanzierung; stellt keine Unternehmensbewertung dar.</t>
  </si>
  <si>
    <t>MVP-Entwicklung und IP-Aufbau starten unmittelbar.</t>
  </si>
  <si>
    <t>Pre-Seed Phase ab VC Pitch im Juli '26 (1.5M-3M Bewertung).</t>
  </si>
  <si>
    <t xml:space="preserve">Juli 2026 entspricht Monat 5 Fokus auf Pilot-Traction. </t>
  </si>
  <si>
    <t>Abhängig von Pilotprojekten und Reife des Produktes</t>
  </si>
  <si>
    <t>Geplant für Mitte 2027.</t>
  </si>
  <si>
    <t>Vorerst unverändert als langfristige Wachstumsambition.</t>
  </si>
  <si>
    <t>Geplant für Herbst 2028.</t>
  </si>
  <si>
    <t>1. Realistisch? Hängt auch ab vom Business Modell..Pricing basierend auf Wettbewerb oder auf voraussichtlichem Einsparpotential?
2. weitere Erlösquellen? Beratung? Implementierungsaufwand?
Hybrid-Modell: Deckt Fixkosten und partizipiert am TCO-Einsparwert. [1]</t>
  </si>
  <si>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</si>
  <si>
    <t>Standard für AI-SaaS 2026 (Kompensation Inferenz/Innovation). [4]</t>
  </si>
  <si>
    <t>Erster Umsatz in Monat 8 (Start: 04/26)…Realistisch? Wie lange Lead-Time? Zielkunden? Beachhead-Market?
Weitere Begründung: wenn im Automotivebereich: Puffer für Sales-Zyklen (9-12 Mon.) und TISAX im Mittelstand. [1</t>
  </si>
  <si>
    <t>Realistisch? Hängt von Kundengrösse ab. Implementierungsaufwand je Kunde mit einkalkulieren
weitere Aspekte: Kalkulieren mit 1-2 Projekten/ Start mit Pilotprojekten (Werke) zur ROI-Validierung ("Land&amp;Expand")</t>
  </si>
  <si>
    <t>--&gt;hier eine Annahme bzgll Vertriebsplanung treffen. Wie hoch ist die Zahl der Verkauften Sitze nach 1, 2, 3 Jahren? Gibt es noch andere Erlösströme?
ALTERNATIVE: Account-basierte Planng: Wechsel auf "Stufenfunktion" beim Aufbau des Geschäfts (Roll-out pro Werk statt linearer Rate)</t>
  </si>
  <si>
    <t xml:space="preserve">Wann starten große Verträge?
Wenn Automotive: Verschiebung durch längere Technical Validation und Compliance-Hürden. </t>
  </si>
  <si>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</si>
  <si>
    <t>Höheres Volumen durch Tiefe der Integration: hier Annahme von weiteren Benefits wie Einbeziehung von DPP &amp; Sustainability</t>
  </si>
  <si>
    <t xml:space="preserve">Konservative Planung für komplexe industrielle Buying Center. 
Plausibel im Mittel (höher im Pilot-Jahr 1; niedriger ab Jahr 3). </t>
  </si>
  <si>
    <t>Erklärung: Realisierbar durch DPP-Zusatzmodule und Material-Analytics-Upgrades, ergo weiteren monetarisierbaren Benefits</t>
  </si>
  <si>
    <t>Gründer-Satz Pre-Seed); Anpassung ab Seed-Runde.
Muss noch genauer präzisiert werden</t>
  </si>
  <si>
    <t>Berliner Tech-Benchmark 2025/26 für Senior-Fullstack/Backends. [9]</t>
  </si>
  <si>
    <t>Anpassung an gestiegene Einstiegsgehälter für Top-Tech-Talente. [9]</t>
  </si>
  <si>
    <t>Höchste Marktnachfrage; KI-Experten in Berlin deutlich über SWE-Schnitt. [10]</t>
  </si>
  <si>
    <t>Durchschnitt für Technical PMs (Industrial AI) am Standort Berlin</t>
  </si>
  <si>
    <t>Split 50/50 (65k fix + 65k var); zwingend für Enterprise-Vertrieb. [12</t>
  </si>
  <si>
    <t>Anpassung an Marktniveau für B2B-Industrie-Spezialisten.</t>
  </si>
  <si>
    <t>Shift hin zu Solution Architect Profil (techn. Implementierung). [13]</t>
  </si>
  <si>
    <t>(marktüblich für Berlin).</t>
  </si>
  <si>
    <t>Berücksichtigt Inflations- und Kompetenzentwicklung im Tech-Sektor.</t>
  </si>
  <si>
    <t>Übernahme des gesetzlichen AG-Anteils.</t>
  </si>
  <si>
    <t>Kern-Dev für MVP-Finalisierung und Deep IP.</t>
  </si>
  <si>
    <t>Skalierung der Kern-Architektur.</t>
  </si>
  <si>
    <t>Support bei Feature-Entwicklung.</t>
  </si>
  <si>
    <t>Fokus auf agentische Systeme und Design-Algorithmen.</t>
  </si>
  <si>
    <t>Vertiefung der Material-Analytics-Funktionen.</t>
  </si>
  <si>
    <t>KI-AGENT
Substitution durch AI-SDR (Lead Gen/Outbound) @ ca. 500 EUR/Mo. [14</t>
  </si>
  <si>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</si>
  <si>
    <t>Human-in-the-Loop für komplexe Enterprise-Abschlüsse.</t>
  </si>
  <si>
    <t>KI-AGENT
Substitution durch Wissens-Agent (RAG) für Support &amp; Doku. [15]</t>
  </si>
  <si>
    <t>Fokus auf Content (ROI-Case Studies) und Industry-Partner.</t>
  </si>
  <si>
    <t>Überführung der Pilot-Learnings in das Kernprodukt.</t>
  </si>
  <si>
    <t>Übernahme zur administrativen Entlastung der Gründer.</t>
  </si>
  <si>
    <t>Ausbau der Enterprise-Readiness (SSO; Audit Logs).</t>
  </si>
  <si>
    <t>Zweite Dev-Squad zur Skalierung.</t>
  </si>
  <si>
    <t>Team-Erweiterung.</t>
  </si>
  <si>
    <t>Optimierung der Inferenzkosten (COGS-Effizienz).</t>
  </si>
  <si>
    <t>Marktausweitung (Batterie- &amp; Elektronik-Sektor).</t>
  </si>
  <si>
    <t>First Hire für komplexes Solution Architecting vor Ort. [13]</t>
  </si>
  <si>
    <t>Expansion des Partner-Netzwerks (Engineering Services).</t>
  </si>
  <si>
    <t>Übernahme.</t>
  </si>
  <si>
    <t>Fokus auf prädiktive Sustainability-Modelle (DPP).</t>
  </si>
  <si>
    <t>Erweiterung für modulare Produktlinien.</t>
  </si>
  <si>
    <t>Vertriebsskalierung.</t>
  </si>
  <si>
    <t>Notwendig für professionelles Reporting ab Seed-Phase.</t>
  </si>
  <si>
    <t xml:space="preserve">Höhere Last durch GPU-Inferenz und Vektordatenbanken. </t>
  </si>
  <si>
    <t xml:space="preserve">Wechsel von Seat- auf Projekt-Basis (AI-intensive Rechenlast). </t>
  </si>
  <si>
    <t xml:space="preserve">Nutzung von Frontier Models (GPT-5/Claude) für Design-Logic. </t>
  </si>
  <si>
    <t>Skalierung proportional zur Nutzung und Datentiefe.</t>
  </si>
  <si>
    <t>Slack; Notion; GitHub etc. (unverändert).</t>
  </si>
  <si>
    <t>Inklusive KI-Coding-Tools (Copilot/Cursor) für Dev-Effizienz.</t>
  </si>
  <si>
    <t>Spezialisierte Engineering-Tools und Frameworks (IDE).</t>
  </si>
  <si>
    <t>Puffer für TISAX-Audits und laufendes Compliance-Monitoring. [17</t>
  </si>
  <si>
    <t>High-End Hardware zwingend für KI-Entwicklung (lokale Inferenz).</t>
  </si>
  <si>
    <t>Standard-Setup für Tech-Mitarbeiter.</t>
  </si>
  <si>
    <t>Branchenüblicher Turnus.</t>
  </si>
  <si>
    <t>Puffer für Serverkomponenten/Netzwerk.</t>
  </si>
  <si>
    <t>Coworking-Fokus in der ersten Phase (Berlin Mitte/Kreuzberg).</t>
  </si>
  <si>
    <t>Shift analog zur Einstellung von Solution Architects (Teamgröße).</t>
  </si>
  <si>
    <t>Anpassung an Berliner Marktpreise für ca. 15-20 Personen.</t>
  </si>
  <si>
    <t>Möbel und IT-Grundausstattung für Erst-Team.</t>
  </si>
  <si>
    <t>Verbrauchsmaterial (unverändert).</t>
  </si>
  <si>
    <t>Ab wann Wirtschaftsprüfer?
Start mit tatsächlicher Seed-Phase Mitte 2027.</t>
  </si>
  <si>
    <t>Optional €/Jahr
Optionaler Puffer für Spezialberatung (DPP/MDR).</t>
  </si>
  <si>
    <t>Directors &amp; Officers €/Jahr
Schutz für Management (Standard-Satz).</t>
  </si>
  <si>
    <t>€/Jahr
Deckung für industrielle Software-Einsätze.</t>
  </si>
  <si>
    <t>€/Jahr
Kritisch bei Verarbeitung von Kundendaten (IP-Schutz).</t>
  </si>
  <si>
    <t>Stripe/PayPal ~2-3% vom Umsatz
Anteil am Umsatz für SaaS-Billing-Systeme (Stripe etc.).</t>
  </si>
  <si>
    <t>Google, LinkedIn etc. €/Monat
Fokus eher auf Content/SEO (Industrie-Vertrieb).</t>
  </si>
  <si>
    <t>Monatliche Steigerung
Skalierung mit Marktbekanntheit.</t>
  </si>
  <si>
    <t>€/Monat
Fokus auf Whitepaper zu ROI; TCO und DPP-Compliance.</t>
  </si>
  <si>
    <t>Teilnahme, Stände €/Jahr
Präsenz auf Leitmessen (Hannover Messe; SPS) ??.</t>
  </si>
  <si>
    <t>CRM, Outreach €/Monat
CRM und Sales Intelligence (unverändert).</t>
  </si>
  <si>
    <t>Vertriebsprovision % vom neuen ARR
Anteil am neuen ARR als Anreiz für Verkäufer (AEs).</t>
  </si>
  <si>
    <t>€/MA/Monat
Notwendig für Werksbegehungen und Kundenbesuche.</t>
  </si>
  <si>
    <t>Team-Mobilität und Kooperationen.</t>
  </si>
  <si>
    <t>Besonders wichtig im ML-Bereich (Konferenzen/Kurse).</t>
  </si>
  <si>
    <t>Mitarbeiterbindung im kompetitiven Berliner Markt.</t>
  </si>
  <si>
    <t>Vorsichtsprinzip für ungeplante Ausgaben (OpEx).</t>
  </si>
  <si>
    <t>Standard für Hardware und Lizenzen (CapEx).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</si>
</sst>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1" x14ac:knownFonts="1">
    <font>
      <sz val="11"/>
      <color theme="1"/>
      <name val="Calibri"/>
      <family val="2"/>
      <scheme val="minor"/>
    </font>
    <font>
      <b/>
      <sz val="14"/>
      <name val="Arial"/>
      <family val="2"/>
    </font>
    <font>
      <b/>
      <sz val="11"/>
      <name val="Arial"/>
      <family val="2"/>
    </font>
    <font>
      <sz val="10"/>
      <name val="Arial"/>
      <family val="2"/>
    </font>
    <font>
      <sz val="10"/>
      <color rgb="FF0000FF"/>
      <name val="Arial"/>
      <family val="2"/>
    </font>
    <font>
      <sz val="10"/>
      <color rgb="FF008000"/>
      <name val="Arial"/>
      <family val="2"/>
    </font>
    <font>
      <b/>
      <sz val="10"/>
      <name val="Arial"/>
      <family val="2"/>
    </font>
    <font>
      <sz val="9"/>
      <color rgb="FF666666"/>
      <name val="Arial"/>
      <family val="2"/>
    </font>
    <font>
      <strike/>
      <sz val="10"/>
      <color rgb="FF0000FF"/>
      <name val="Arial"/>
      <family val="2"/>
    </font>
    <font>
      <strike/>
      <sz val="9"/>
      <color rgb="FF666666"/>
      <name val="Arial"/>
      <family val="2"/>
    </font>
    <font>
      <strike/>
      <sz val="10"/>
      <name val="Arial"/>
      <family val="2"/>
    </font>
  </fonts>
  <fills count="5">
    <fill>
      <patternFill patternType="none"/>
    </fill>
    <fill>
      <patternFill patternType="gray125"/>
    </fill>
    <fill>
      <patternFill patternType="solid">
        <fgColor rgb="FFFFFF00"/>
      </patternFill>
    </fill>
    <fill>
      <patternFill patternType="solid">
        <fgColor rgb="FFD9D9D9"/>
      </patternFill>
    </fill>
    <fill>
      <patternFill patternType="solid">
        <fgColor rgb="FFFFC000"/>
        <bgColor indexed="64"/>
      </patternFill>
    </fill>
  </fills>
  <borders count="2">
    <border>
      <left/>
      <right/>
      <top/>
      <bottom/>
      <diagonal/>
    </border>
    <border>
      <left/>
      <right/>
      <top/>
      <bottom style="thin">
        <color rgb="FF000000"/>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3" fillId="2" borderId="0" xfId="0" applyFont="1" applyFill="1"/>
    <xf numFmtId="0" fontId="6" fillId="3" borderId="1" xfId="0" applyFont="1" applyFill="1" applyBorder="1"/>
    <xf numFmtId="0" fontId="2" fillId="3" borderId="0" xfId="0" applyFont="1" applyFill="1"/>
    <xf numFmtId="0" fontId="0" fillId="3" borderId="0" xfId="0" applyFill="1"/>
    <xf numFmtId="0" fontId="7" fillId="0" borderId="0" xfId="0" applyFont="1"/>
    <xf numFmtId="164" fontId="4" fillId="2" borderId="0" xfId="0" applyNumberFormat="1" applyFont="1" applyFill="1"/>
    <xf numFmtId="3" fontId="4" fillId="0" borderId="0" xfId="0" applyNumberFormat="1" applyFont="1"/>
    <xf numFmtId="3" fontId="4" fillId="2" borderId="0" xfId="0" applyNumberFormat="1" applyFont="1" applyFill="1"/>
    <xf numFmtId="164" fontId="4" fillId="0" borderId="0" xfId="0" applyNumberFormat="1" applyFont="1"/>
    <xf numFmtId="0" fontId="4" fillId="2" borderId="0" xfId="0" applyFont="1" applyFill="1"/>
    <xf numFmtId="165" fontId="5" fillId="0" borderId="0" xfId="0" applyNumberFormat="1" applyFont="1"/>
    <xf numFmtId="165" fontId="2" fillId="0" borderId="0" xfId="0" applyNumberFormat="1" applyFont="1"/>
    <xf numFmtId="164" fontId="0" fillId="0" borderId="0" xfId="0" applyNumberFormat="1"/>
    <xf numFmtId="165" fontId="0" fillId="0" borderId="0" xfId="0" applyNumberFormat="1"/>
    <xf numFmtId="1" fontId="0" fillId="0" borderId="0" xfId="0" applyNumberFormat="1"/>
    <xf numFmtId="1" fontId="2" fillId="0" borderId="0" xfId="0" applyNumberFormat="1" applyFont="1"/>
    <xf numFmtId="166" fontId="0" fillId="0" borderId="0" xfId="0" applyNumberFormat="1"/>
    <xf numFmtId="0" fontId="6" fillId="4" borderId="0" xfId="0" applyFont="1" applyFill="1" applyAlignment="1">
      <alignment wrapText="1"/>
    </xf>
    <xf numFmtId="0" fontId="0" fillId="3" borderId="0" xfId="0" applyFill="1" applyAlignment="1">
      <alignment wrapText="1"/>
    </xf>
    <xf numFmtId="0" fontId="7" fillId="0" borderId="0" xfId="0" applyFont="1" applyAlignment="1">
      <alignment wrapText="1"/>
    </xf>
    <xf numFmtId="0" fontId="0" fillId="0" borderId="0" xfId="0" applyAlignment="1">
      <alignment wrapText="1"/>
    </xf>
    <xf numFmtId="14" fontId="4" fillId="0" borderId="0" xfId="0" applyNumberFormat="1" applyFont="1"/>
    <xf numFmtId="0" fontId="0" fillId="0" borderId="0" xfId="0" applyAlignment="1">
      <alignment horizontal="left" vertical="top" wrapText="1"/>
    </xf>
    <xf numFmtId="0" fontId="7" fillId="0" borderId="0" xfId="0" quotePrefix="1" applyFont="1" applyAlignment="1">
      <alignment wrapText="1"/>
    </xf>
    <xf numFmtId="3" fontId="0" fillId="0" borderId="0" xfId="0" applyNumberFormat="1" applyAlignment="1">
      <alignment horizontal="left" vertical="top" wrapText="1"/>
    </xf>
    <xf numFmtId="0" fontId="8" fillId="0" borderId="0" xfId="0" applyFont="1"/>
    <xf numFmtId="0" fontId="9" fillId="0" borderId="0" xfId="0" applyFont="1"/>
    <xf numFmtId="0" fontId="10" fillId="0" borderId="0" xfId="0" applyFont="1"/>
    <xf numFmtId="17"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B28"/>
  <sheetViews>
    <sheetView tabSelected="1" workbookViewId="0">
      <selection activeCell="E28" sqref="E28"/>
    </sheetView>
  </sheetViews>
  <sheetFormatPr baseColWidth="10" defaultColWidth="8.7265625" defaultRowHeight="14.5" x14ac:dyDescent="0.35"/>
  <cols>
    <col min="1" max="1" width="60" customWidth="1"/>
    <col min="2" max="2" width="40" customWidth="1"/>
  </cols>
  <sheetData>
    <row r="1" spans="1:2" ht="18" x14ac:dyDescent="0.4">
      <c r="A1" s="1" t="s">
        <v>0</v>
      </c>
    </row>
    <row r="2" spans="1:2" ht="18" x14ac:dyDescent="0.4">
      <c r="A2" s="1"/>
    </row>
    <row r="3" spans="1:2" x14ac:dyDescent="0.35">
      <c r="A3" s="2" t="s">
        <v>1</v>
      </c>
    </row>
    <row r="5" spans="1:2" x14ac:dyDescent="0.35">
      <c r="A5" s="2" t="s">
        <v>2</v>
      </c>
    </row>
    <row r="6" spans="1:2" x14ac:dyDescent="0.35">
      <c r="A6" s="3" t="s">
        <v>3</v>
      </c>
    </row>
    <row r="7" spans="1:2" x14ac:dyDescent="0.35">
      <c r="A7" s="3" t="s">
        <v>4</v>
      </c>
    </row>
    <row r="8" spans="1:2" x14ac:dyDescent="0.35">
      <c r="A8" s="3" t="s">
        <v>5</v>
      </c>
    </row>
    <row r="9" spans="1:2" x14ac:dyDescent="0.35">
      <c r="A9" s="3" t="s">
        <v>6</v>
      </c>
    </row>
    <row r="10" spans="1:2" x14ac:dyDescent="0.35">
      <c r="A10" s="3" t="s">
        <v>7</v>
      </c>
    </row>
    <row r="11" spans="1:2" x14ac:dyDescent="0.35">
      <c r="A11" s="3" t="s">
        <v>8</v>
      </c>
    </row>
    <row r="12" spans="1:2" x14ac:dyDescent="0.35">
      <c r="A12" s="3" t="s">
        <v>9</v>
      </c>
    </row>
    <row r="14" spans="1:2" x14ac:dyDescent="0.35">
      <c r="A14" s="2" t="s">
        <v>10</v>
      </c>
    </row>
    <row r="15" spans="1:2" x14ac:dyDescent="0.35">
      <c r="A15" s="4" t="s">
        <v>11</v>
      </c>
      <c r="B15" s="3" t="s">
        <v>12</v>
      </c>
    </row>
    <row r="16" spans="1:2" x14ac:dyDescent="0.35">
      <c r="A16" s="3" t="s">
        <v>13</v>
      </c>
      <c r="B16" s="3" t="s">
        <v>14</v>
      </c>
    </row>
    <row r="17" spans="1:2" x14ac:dyDescent="0.35">
      <c r="A17" s="5" t="s">
        <v>15</v>
      </c>
      <c r="B17" s="3" t="s">
        <v>16</v>
      </c>
    </row>
    <row r="18" spans="1:2" x14ac:dyDescent="0.35">
      <c r="A18" s="6" t="s">
        <v>17</v>
      </c>
      <c r="B18" s="3" t="s">
        <v>18</v>
      </c>
    </row>
    <row r="20" spans="1:2" x14ac:dyDescent="0.35">
      <c r="A20" s="2" t="s">
        <v>19</v>
      </c>
    </row>
    <row r="21" spans="1:2" x14ac:dyDescent="0.35">
      <c r="A21" s="3" t="s">
        <v>20</v>
      </c>
    </row>
    <row r="22" spans="1:2" x14ac:dyDescent="0.35">
      <c r="A22" s="3" t="s">
        <v>21</v>
      </c>
    </row>
    <row r="23" spans="1:2" x14ac:dyDescent="0.35">
      <c r="A23" s="3" t="s">
        <v>22</v>
      </c>
    </row>
    <row r="24" spans="1:2" x14ac:dyDescent="0.35">
      <c r="A24" s="3" t="s">
        <v>23</v>
      </c>
    </row>
    <row r="25" spans="1:2" x14ac:dyDescent="0.35">
      <c r="A25" s="3" t="s">
        <v>24</v>
      </c>
    </row>
    <row r="26" spans="1:2" x14ac:dyDescent="0.35">
      <c r="A26" s="3"/>
    </row>
    <row r="27" spans="1:2" x14ac:dyDescent="0.35">
      <c r="A27" s="3" t="s">
        <v>25</v>
      </c>
    </row>
    <row r="28" spans="1:2" x14ac:dyDescent="0.35">
      <c r="A28" s="3"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E134"/>
  <sheetViews>
    <sheetView topLeftCell="A9" workbookViewId="0">
      <selection activeCell="D138" sqref="D138"/>
    </sheetView>
  </sheetViews>
  <sheetFormatPr baseColWidth="10" defaultColWidth="30.1796875" defaultRowHeight="14.5" x14ac:dyDescent="0.35"/>
  <cols>
    <col min="4" max="4" width="40.26953125" style="26" customWidth="1"/>
    <col min="5" max="5" width="42.453125" customWidth="1"/>
  </cols>
  <sheetData>
    <row r="1" spans="1:4" x14ac:dyDescent="0.35">
      <c r="A1" s="7" t="s">
        <v>27</v>
      </c>
      <c r="B1" s="7" t="s">
        <v>28</v>
      </c>
      <c r="C1" s="7" t="s">
        <v>29</v>
      </c>
      <c r="D1" s="23" t="s">
        <v>456</v>
      </c>
    </row>
    <row r="3" spans="1:4" x14ac:dyDescent="0.35">
      <c r="A3" s="8" t="s">
        <v>30</v>
      </c>
      <c r="B3" s="9"/>
      <c r="C3" s="9"/>
      <c r="D3" s="24"/>
    </row>
    <row r="4" spans="1:4" x14ac:dyDescent="0.35">
      <c r="A4" s="3" t="s">
        <v>31</v>
      </c>
      <c r="B4" s="4" t="s">
        <v>32</v>
      </c>
      <c r="C4" s="10" t="s">
        <v>33</v>
      </c>
      <c r="D4" s="25"/>
    </row>
    <row r="5" spans="1:4" x14ac:dyDescent="0.35">
      <c r="A5" s="3" t="s">
        <v>34</v>
      </c>
      <c r="B5" s="27">
        <v>46113</v>
      </c>
      <c r="C5" s="10" t="s">
        <v>35</v>
      </c>
      <c r="D5" s="25"/>
    </row>
    <row r="6" spans="1:4" x14ac:dyDescent="0.35">
      <c r="A6" s="3" t="s">
        <v>36</v>
      </c>
      <c r="B6" s="4" t="s">
        <v>37</v>
      </c>
      <c r="C6" s="10" t="s">
        <v>38</v>
      </c>
      <c r="D6" s="25"/>
    </row>
    <row r="7" spans="1:4" ht="29" x14ac:dyDescent="0.35">
      <c r="A7" s="3" t="s">
        <v>39</v>
      </c>
      <c r="B7" s="11">
        <v>0.3</v>
      </c>
      <c r="C7" s="10" t="s">
        <v>40</v>
      </c>
      <c r="D7" s="28" t="s">
        <v>457</v>
      </c>
    </row>
    <row r="9" spans="1:4" x14ac:dyDescent="0.35">
      <c r="A9" s="8" t="s">
        <v>41</v>
      </c>
      <c r="B9" s="9"/>
      <c r="C9" s="9"/>
      <c r="D9" s="24"/>
    </row>
    <row r="10" spans="1:4" ht="43.5" x14ac:dyDescent="0.35">
      <c r="A10" s="3" t="s">
        <v>458</v>
      </c>
      <c r="B10" s="12">
        <v>90000</v>
      </c>
      <c r="C10" s="10" t="s">
        <v>43</v>
      </c>
      <c r="D10" s="28" t="s">
        <v>459</v>
      </c>
    </row>
    <row r="11" spans="1:4" ht="29" x14ac:dyDescent="0.35">
      <c r="A11" s="3" t="s">
        <v>458</v>
      </c>
      <c r="B11" s="4">
        <v>1</v>
      </c>
      <c r="C11" s="10" t="s">
        <v>45</v>
      </c>
      <c r="D11" s="28" t="s">
        <v>460</v>
      </c>
    </row>
    <row r="12" spans="1:4" ht="29" x14ac:dyDescent="0.35">
      <c r="A12" s="3" t="s">
        <v>42</v>
      </c>
      <c r="B12" s="12">
        <v>1500000</v>
      </c>
      <c r="C12" s="10" t="s">
        <v>47</v>
      </c>
      <c r="D12" s="28" t="s">
        <v>461</v>
      </c>
    </row>
    <row r="13" spans="1:4" ht="29" x14ac:dyDescent="0.35">
      <c r="A13" s="3" t="s">
        <v>44</v>
      </c>
      <c r="B13" s="4">
        <v>5</v>
      </c>
      <c r="C13" s="10" t="s">
        <v>49</v>
      </c>
      <c r="D13" s="28" t="s">
        <v>462</v>
      </c>
    </row>
    <row r="14" spans="1:4" ht="29" x14ac:dyDescent="0.35">
      <c r="A14" s="3" t="s">
        <v>46</v>
      </c>
      <c r="B14" s="12">
        <v>6000000</v>
      </c>
      <c r="C14" s="10" t="s">
        <v>51</v>
      </c>
      <c r="D14" s="28" t="s">
        <v>463</v>
      </c>
    </row>
    <row r="15" spans="1:4" x14ac:dyDescent="0.35">
      <c r="A15" s="3" t="s">
        <v>48</v>
      </c>
      <c r="B15" s="4">
        <v>17</v>
      </c>
      <c r="C15" s="10" t="s">
        <v>53</v>
      </c>
      <c r="D15" s="28" t="s">
        <v>464</v>
      </c>
    </row>
    <row r="16" spans="1:4" ht="29" x14ac:dyDescent="0.35">
      <c r="A16" s="3" t="s">
        <v>50</v>
      </c>
      <c r="B16" s="12">
        <v>15000000</v>
      </c>
      <c r="C16" s="10" t="s">
        <v>54</v>
      </c>
      <c r="D16" s="28" t="s">
        <v>465</v>
      </c>
    </row>
    <row r="17" spans="1:5" x14ac:dyDescent="0.35">
      <c r="A17" s="3" t="s">
        <v>52</v>
      </c>
      <c r="B17" s="4">
        <v>35</v>
      </c>
      <c r="C17" s="10" t="s">
        <v>55</v>
      </c>
      <c r="D17" s="28" t="s">
        <v>466</v>
      </c>
    </row>
    <row r="19" spans="1:5" x14ac:dyDescent="0.35">
      <c r="A19" s="8" t="s">
        <v>56</v>
      </c>
      <c r="B19" s="9"/>
      <c r="C19" s="9"/>
      <c r="D19" s="24"/>
    </row>
    <row r="20" spans="1:5" ht="130.5" x14ac:dyDescent="0.35">
      <c r="A20" s="3" t="s">
        <v>57</v>
      </c>
      <c r="B20" s="13">
        <v>12000</v>
      </c>
      <c r="C20" s="10" t="s">
        <v>58</v>
      </c>
      <c r="D20" s="25" t="s">
        <v>467</v>
      </c>
      <c r="E20" s="26" t="s">
        <v>468</v>
      </c>
    </row>
    <row r="21" spans="1:5" ht="29" x14ac:dyDescent="0.35">
      <c r="A21" s="3" t="s">
        <v>59</v>
      </c>
      <c r="B21" s="14">
        <v>0.08</v>
      </c>
      <c r="C21" s="10" t="s">
        <v>60</v>
      </c>
      <c r="D21" s="28" t="s">
        <v>469</v>
      </c>
      <c r="E21" s="28"/>
    </row>
    <row r="22" spans="1:5" ht="70" x14ac:dyDescent="0.35">
      <c r="A22" s="3" t="s">
        <v>61</v>
      </c>
      <c r="B22" s="15">
        <v>9</v>
      </c>
      <c r="C22" s="10" t="s">
        <v>62</v>
      </c>
      <c r="D22" s="25" t="s">
        <v>470</v>
      </c>
      <c r="E22" s="28"/>
    </row>
    <row r="23" spans="1:5" ht="58.5" x14ac:dyDescent="0.35">
      <c r="A23" s="3" t="s">
        <v>63</v>
      </c>
      <c r="B23" s="4">
        <v>5</v>
      </c>
      <c r="C23" s="10" t="s">
        <v>64</v>
      </c>
      <c r="D23" s="25" t="s">
        <v>471</v>
      </c>
      <c r="E23" s="28"/>
    </row>
    <row r="24" spans="1:5" ht="70" x14ac:dyDescent="0.35">
      <c r="A24" s="3" t="s">
        <v>65</v>
      </c>
      <c r="B24" s="11">
        <v>0.05</v>
      </c>
      <c r="C24" s="10" t="s">
        <v>66</v>
      </c>
      <c r="D24" s="29" t="s">
        <v>472</v>
      </c>
      <c r="E24" s="28"/>
    </row>
    <row r="25" spans="1:5" ht="116" x14ac:dyDescent="0.35">
      <c r="A25" s="3" t="s">
        <v>67</v>
      </c>
      <c r="B25" s="4">
        <v>24</v>
      </c>
      <c r="C25" s="25" t="s">
        <v>473</v>
      </c>
      <c r="D25" s="25"/>
      <c r="E25" s="28" t="s">
        <v>474</v>
      </c>
    </row>
    <row r="26" spans="1:5" ht="43.5" x14ac:dyDescent="0.35">
      <c r="A26" s="3" t="s">
        <v>68</v>
      </c>
      <c r="B26" s="12">
        <v>150000</v>
      </c>
      <c r="C26" s="10" t="s">
        <v>69</v>
      </c>
      <c r="D26" s="28" t="s">
        <v>475</v>
      </c>
      <c r="E26" s="30"/>
    </row>
    <row r="27" spans="1:5" x14ac:dyDescent="0.35">
      <c r="A27" s="3" t="s">
        <v>70</v>
      </c>
      <c r="B27" s="4">
        <v>1</v>
      </c>
      <c r="C27" s="10" t="s">
        <v>71</v>
      </c>
      <c r="D27" s="25"/>
      <c r="E27" s="28"/>
    </row>
    <row r="28" spans="1:5" ht="47" x14ac:dyDescent="0.35">
      <c r="A28" s="3" t="s">
        <v>72</v>
      </c>
      <c r="B28" s="11">
        <v>0.08</v>
      </c>
      <c r="C28" s="10" t="s">
        <v>73</v>
      </c>
      <c r="D28" s="25" t="s">
        <v>476</v>
      </c>
      <c r="E28" s="28"/>
    </row>
    <row r="29" spans="1:5" ht="35.5" x14ac:dyDescent="0.35">
      <c r="A29" s="3" t="s">
        <v>74</v>
      </c>
      <c r="B29" s="14">
        <v>1.18</v>
      </c>
      <c r="C29" s="10" t="s">
        <v>75</v>
      </c>
      <c r="D29" s="25" t="s">
        <v>477</v>
      </c>
      <c r="E29" s="28"/>
    </row>
    <row r="31" spans="1:5" x14ac:dyDescent="0.35">
      <c r="A31" s="8" t="s">
        <v>76</v>
      </c>
      <c r="B31" s="9"/>
      <c r="C31" s="9"/>
      <c r="D31" s="24"/>
    </row>
    <row r="32" spans="1:5" ht="24" x14ac:dyDescent="0.35">
      <c r="A32" s="3" t="s">
        <v>77</v>
      </c>
      <c r="B32" s="12">
        <v>72000</v>
      </c>
      <c r="C32" s="10" t="s">
        <v>78</v>
      </c>
      <c r="D32" s="25" t="s">
        <v>478</v>
      </c>
    </row>
    <row r="33" spans="1:5" ht="24" x14ac:dyDescent="0.35">
      <c r="A33" s="3" t="s">
        <v>79</v>
      </c>
      <c r="B33" s="12">
        <v>72000</v>
      </c>
      <c r="C33" s="10" t="s">
        <v>78</v>
      </c>
      <c r="D33" s="25" t="s">
        <v>478</v>
      </c>
    </row>
    <row r="34" spans="1:5" ht="24" x14ac:dyDescent="0.35">
      <c r="A34" s="3" t="s">
        <v>80</v>
      </c>
      <c r="B34" s="12">
        <v>72000</v>
      </c>
      <c r="C34" s="10" t="s">
        <v>78</v>
      </c>
      <c r="D34" s="25" t="s">
        <v>478</v>
      </c>
    </row>
    <row r="35" spans="1:5" ht="29" x14ac:dyDescent="0.35">
      <c r="A35" s="3" t="s">
        <v>81</v>
      </c>
      <c r="B35" s="12">
        <v>90000</v>
      </c>
      <c r="C35" s="10" t="s">
        <v>82</v>
      </c>
      <c r="D35" s="28" t="s">
        <v>479</v>
      </c>
    </row>
    <row r="36" spans="1:5" ht="29" x14ac:dyDescent="0.35">
      <c r="A36" s="3" t="s">
        <v>83</v>
      </c>
      <c r="B36" s="12">
        <v>60000</v>
      </c>
      <c r="C36" s="10" t="s">
        <v>84</v>
      </c>
      <c r="D36" s="28" t="s">
        <v>480</v>
      </c>
    </row>
    <row r="37" spans="1:5" ht="29" x14ac:dyDescent="0.35">
      <c r="A37" s="3" t="s">
        <v>85</v>
      </c>
      <c r="B37" s="12">
        <v>110000</v>
      </c>
      <c r="C37" s="10" t="s">
        <v>86</v>
      </c>
      <c r="D37" s="28" t="s">
        <v>481</v>
      </c>
    </row>
    <row r="38" spans="1:5" ht="29" x14ac:dyDescent="0.35">
      <c r="A38" s="3" t="s">
        <v>87</v>
      </c>
      <c r="B38" s="12">
        <v>80000</v>
      </c>
      <c r="C38" s="10" t="s">
        <v>88</v>
      </c>
      <c r="D38" s="28" t="s">
        <v>482</v>
      </c>
    </row>
    <row r="39" spans="1:5" ht="29" x14ac:dyDescent="0.35">
      <c r="A39" s="3" t="s">
        <v>89</v>
      </c>
      <c r="B39" s="12">
        <v>130000</v>
      </c>
      <c r="C39" s="10" t="s">
        <v>90</v>
      </c>
      <c r="D39" s="28" t="s">
        <v>483</v>
      </c>
    </row>
    <row r="40" spans="1:5" ht="29" x14ac:dyDescent="0.35">
      <c r="A40" s="3" t="s">
        <v>91</v>
      </c>
      <c r="B40" s="12">
        <v>65000</v>
      </c>
      <c r="C40" s="10" t="s">
        <v>92</v>
      </c>
      <c r="D40" s="28" t="s">
        <v>484</v>
      </c>
    </row>
    <row r="41" spans="1:5" ht="29" x14ac:dyDescent="0.35">
      <c r="A41" s="3" t="s">
        <v>93</v>
      </c>
      <c r="B41" s="12">
        <v>65000</v>
      </c>
      <c r="C41" s="10" t="s">
        <v>84</v>
      </c>
      <c r="D41" s="28" t="s">
        <v>485</v>
      </c>
    </row>
    <row r="42" spans="1:5" x14ac:dyDescent="0.35">
      <c r="A42" s="3" t="s">
        <v>94</v>
      </c>
      <c r="B42" s="12">
        <v>45000</v>
      </c>
      <c r="C42" s="10" t="s">
        <v>95</v>
      </c>
      <c r="D42" s="25" t="s">
        <v>486</v>
      </c>
    </row>
    <row r="43" spans="1:5" ht="29" x14ac:dyDescent="0.35">
      <c r="A43" s="3" t="s">
        <v>96</v>
      </c>
      <c r="B43" s="14">
        <v>0.05</v>
      </c>
      <c r="C43" s="10" t="s">
        <v>97</v>
      </c>
      <c r="D43" s="28" t="s">
        <v>487</v>
      </c>
    </row>
    <row r="44" spans="1:5" x14ac:dyDescent="0.35">
      <c r="A44" s="3" t="s">
        <v>98</v>
      </c>
      <c r="B44" s="11">
        <v>0.21</v>
      </c>
      <c r="C44" s="10" t="s">
        <v>99</v>
      </c>
      <c r="D44" s="28" t="s">
        <v>488</v>
      </c>
    </row>
    <row r="46" spans="1:5" x14ac:dyDescent="0.35">
      <c r="A46" s="8" t="s">
        <v>100</v>
      </c>
      <c r="B46" s="9"/>
      <c r="C46" s="9"/>
      <c r="D46" s="24"/>
    </row>
    <row r="47" spans="1:5" x14ac:dyDescent="0.35">
      <c r="A47" s="3" t="s">
        <v>101</v>
      </c>
      <c r="B47" s="4">
        <v>7</v>
      </c>
      <c r="C47" s="10" t="s">
        <v>102</v>
      </c>
      <c r="D47" s="28" t="s">
        <v>489</v>
      </c>
      <c r="E47" s="28"/>
    </row>
    <row r="48" spans="1:5" x14ac:dyDescent="0.35">
      <c r="A48" s="3" t="s">
        <v>103</v>
      </c>
      <c r="B48" s="4">
        <v>10</v>
      </c>
      <c r="C48" s="10" t="s">
        <v>104</v>
      </c>
      <c r="D48" s="28" t="s">
        <v>490</v>
      </c>
      <c r="E48" s="28"/>
    </row>
    <row r="49" spans="1:5" x14ac:dyDescent="0.35">
      <c r="A49" s="3" t="s">
        <v>105</v>
      </c>
      <c r="B49" s="4">
        <v>9</v>
      </c>
      <c r="C49" s="10" t="s">
        <v>106</v>
      </c>
      <c r="D49" s="28" t="s">
        <v>491</v>
      </c>
      <c r="E49" s="28"/>
    </row>
    <row r="50" spans="1:5" ht="29" x14ac:dyDescent="0.35">
      <c r="A50" s="3" t="s">
        <v>107</v>
      </c>
      <c r="B50" s="4">
        <v>8</v>
      </c>
      <c r="C50" s="10" t="s">
        <v>108</v>
      </c>
      <c r="D50" s="28" t="s">
        <v>492</v>
      </c>
      <c r="E50" s="28"/>
    </row>
    <row r="51" spans="1:5" x14ac:dyDescent="0.35">
      <c r="A51" s="3" t="s">
        <v>109</v>
      </c>
      <c r="B51" s="4">
        <v>14</v>
      </c>
      <c r="C51" s="10" t="s">
        <v>110</v>
      </c>
      <c r="D51" s="28" t="s">
        <v>493</v>
      </c>
      <c r="E51" s="28"/>
    </row>
    <row r="52" spans="1:5" ht="101.5" x14ac:dyDescent="0.35">
      <c r="A52" s="33" t="s">
        <v>111</v>
      </c>
      <c r="B52" s="31">
        <v>10</v>
      </c>
      <c r="C52" s="10" t="s">
        <v>112</v>
      </c>
      <c r="D52" s="28" t="s">
        <v>494</v>
      </c>
      <c r="E52" s="26" t="s">
        <v>495</v>
      </c>
    </row>
    <row r="53" spans="1:5" ht="29" x14ac:dyDescent="0.35">
      <c r="A53" s="3" t="s">
        <v>113</v>
      </c>
      <c r="B53" s="4">
        <v>18</v>
      </c>
      <c r="C53" s="10" t="s">
        <v>114</v>
      </c>
      <c r="D53" s="28" t="s">
        <v>496</v>
      </c>
      <c r="E53" s="28"/>
    </row>
    <row r="54" spans="1:5" ht="43.5" x14ac:dyDescent="0.35">
      <c r="A54" s="33" t="s">
        <v>115</v>
      </c>
      <c r="B54" s="31">
        <v>12</v>
      </c>
      <c r="C54" s="32" t="s">
        <v>116</v>
      </c>
      <c r="D54" s="28" t="s">
        <v>497</v>
      </c>
      <c r="E54" s="28"/>
    </row>
    <row r="55" spans="1:5" ht="29" x14ac:dyDescent="0.35">
      <c r="A55" s="3" t="s">
        <v>117</v>
      </c>
      <c r="B55" s="4">
        <v>11</v>
      </c>
      <c r="C55" s="10" t="s">
        <v>118</v>
      </c>
      <c r="D55" s="28" t="s">
        <v>498</v>
      </c>
      <c r="E55" s="28"/>
    </row>
    <row r="56" spans="1:5" ht="29" x14ac:dyDescent="0.35">
      <c r="A56" s="3" t="s">
        <v>119</v>
      </c>
      <c r="B56" s="4">
        <v>13</v>
      </c>
      <c r="C56" s="10" t="s">
        <v>120</v>
      </c>
      <c r="D56" s="28" t="s">
        <v>499</v>
      </c>
      <c r="E56" s="28"/>
    </row>
    <row r="57" spans="1:5" ht="29" x14ac:dyDescent="0.35">
      <c r="A57" s="3" t="s">
        <v>121</v>
      </c>
      <c r="B57" s="4">
        <v>14</v>
      </c>
      <c r="C57" s="10" t="s">
        <v>122</v>
      </c>
      <c r="D57" s="28" t="s">
        <v>500</v>
      </c>
      <c r="E57" s="28"/>
    </row>
    <row r="58" spans="1:5" ht="29" x14ac:dyDescent="0.35">
      <c r="A58" s="3" t="s">
        <v>123</v>
      </c>
      <c r="B58" s="4">
        <v>18</v>
      </c>
      <c r="C58" s="10" t="s">
        <v>124</v>
      </c>
      <c r="D58" s="28" t="s">
        <v>501</v>
      </c>
      <c r="E58" s="28"/>
    </row>
    <row r="59" spans="1:5" x14ac:dyDescent="0.35">
      <c r="A59" s="3" t="s">
        <v>125</v>
      </c>
      <c r="B59" s="4">
        <v>24</v>
      </c>
      <c r="C59" s="10" t="s">
        <v>126</v>
      </c>
      <c r="D59" s="28" t="s">
        <v>502</v>
      </c>
      <c r="E59" s="28"/>
    </row>
    <row r="60" spans="1:5" x14ac:dyDescent="0.35">
      <c r="A60" s="3" t="s">
        <v>127</v>
      </c>
      <c r="B60" s="4">
        <v>20</v>
      </c>
      <c r="C60" s="10" t="s">
        <v>128</v>
      </c>
      <c r="D60" s="28" t="s">
        <v>503</v>
      </c>
      <c r="E60" s="28"/>
    </row>
    <row r="61" spans="1:5" ht="29" x14ac:dyDescent="0.35">
      <c r="A61" s="3" t="s">
        <v>129</v>
      </c>
      <c r="B61" s="4">
        <v>22</v>
      </c>
      <c r="C61" s="10" t="s">
        <v>130</v>
      </c>
      <c r="D61" s="28" t="s">
        <v>504</v>
      </c>
      <c r="E61" s="28"/>
    </row>
    <row r="62" spans="1:5" ht="29" x14ac:dyDescent="0.35">
      <c r="A62" s="3" t="s">
        <v>131</v>
      </c>
      <c r="B62" s="4">
        <v>26</v>
      </c>
      <c r="C62" s="10" t="s">
        <v>132</v>
      </c>
      <c r="D62" s="28" t="s">
        <v>505</v>
      </c>
      <c r="E62" s="28"/>
    </row>
    <row r="63" spans="1:5" ht="29" x14ac:dyDescent="0.35">
      <c r="A63" s="3" t="s">
        <v>133</v>
      </c>
      <c r="B63" s="4">
        <v>24</v>
      </c>
      <c r="C63" s="10" t="s">
        <v>134</v>
      </c>
      <c r="D63" s="28" t="s">
        <v>506</v>
      </c>
      <c r="E63" s="28"/>
    </row>
    <row r="64" spans="1:5" ht="29" x14ac:dyDescent="0.35">
      <c r="A64" s="3" t="s">
        <v>135</v>
      </c>
      <c r="B64" s="4">
        <v>28</v>
      </c>
      <c r="C64" s="10" t="s">
        <v>136</v>
      </c>
      <c r="D64" s="28" t="s">
        <v>507</v>
      </c>
      <c r="E64" s="28"/>
    </row>
    <row r="65" spans="1:5" x14ac:dyDescent="0.35">
      <c r="A65" s="3" t="s">
        <v>137</v>
      </c>
      <c r="B65" s="4">
        <v>30</v>
      </c>
      <c r="C65" s="10" t="s">
        <v>138</v>
      </c>
      <c r="D65" s="28" t="s">
        <v>508</v>
      </c>
      <c r="E65" s="28"/>
    </row>
    <row r="66" spans="1:5" x14ac:dyDescent="0.35">
      <c r="A66" s="3" t="s">
        <v>139</v>
      </c>
      <c r="B66" s="4">
        <v>32</v>
      </c>
      <c r="C66" s="10" t="s">
        <v>140</v>
      </c>
      <c r="D66" s="28" t="s">
        <v>508</v>
      </c>
      <c r="E66" s="28"/>
    </row>
    <row r="67" spans="1:5" ht="29" x14ac:dyDescent="0.35">
      <c r="A67" s="3" t="s">
        <v>141</v>
      </c>
      <c r="B67" s="4">
        <v>34</v>
      </c>
      <c r="C67" s="10" t="s">
        <v>142</v>
      </c>
      <c r="D67" s="28" t="s">
        <v>509</v>
      </c>
      <c r="E67" s="28"/>
    </row>
    <row r="68" spans="1:5" x14ac:dyDescent="0.35">
      <c r="A68" s="3" t="s">
        <v>143</v>
      </c>
      <c r="B68" s="4">
        <v>30</v>
      </c>
      <c r="C68" s="10" t="s">
        <v>144</v>
      </c>
      <c r="D68" s="28" t="s">
        <v>510</v>
      </c>
      <c r="E68" s="28"/>
    </row>
    <row r="69" spans="1:5" x14ac:dyDescent="0.35">
      <c r="A69" s="3" t="s">
        <v>145</v>
      </c>
      <c r="B69" s="4">
        <v>36</v>
      </c>
      <c r="C69" s="10" t="s">
        <v>146</v>
      </c>
      <c r="D69" s="28" t="s">
        <v>511</v>
      </c>
      <c r="E69" s="28"/>
    </row>
    <row r="70" spans="1:5" x14ac:dyDescent="0.35">
      <c r="A70" s="3" t="s">
        <v>147</v>
      </c>
      <c r="B70" s="4">
        <v>36</v>
      </c>
      <c r="C70" s="10" t="s">
        <v>148</v>
      </c>
      <c r="D70" s="25"/>
      <c r="E70" s="28"/>
    </row>
    <row r="71" spans="1:5" ht="29" x14ac:dyDescent="0.35">
      <c r="A71" s="3" t="s">
        <v>149</v>
      </c>
      <c r="B71" s="4">
        <v>18</v>
      </c>
      <c r="C71" s="10" t="s">
        <v>150</v>
      </c>
      <c r="D71" s="28" t="s">
        <v>512</v>
      </c>
      <c r="E71" s="28"/>
    </row>
    <row r="72" spans="1:5" x14ac:dyDescent="0.35">
      <c r="A72" s="3" t="s">
        <v>151</v>
      </c>
      <c r="B72" s="4">
        <v>38</v>
      </c>
      <c r="C72" s="10" t="s">
        <v>152</v>
      </c>
      <c r="D72" s="25"/>
      <c r="E72" s="28"/>
    </row>
    <row r="73" spans="1:5" x14ac:dyDescent="0.35">
      <c r="A73" s="3" t="s">
        <v>153</v>
      </c>
      <c r="B73" s="4">
        <v>42</v>
      </c>
      <c r="C73" s="10" t="s">
        <v>154</v>
      </c>
      <c r="D73" s="25"/>
      <c r="E73" s="28"/>
    </row>
    <row r="74" spans="1:5" x14ac:dyDescent="0.35">
      <c r="A74" s="3" t="s">
        <v>155</v>
      </c>
      <c r="B74" s="4">
        <v>40</v>
      </c>
      <c r="C74" s="10" t="s">
        <v>156</v>
      </c>
      <c r="D74" s="25"/>
      <c r="E74" s="28"/>
    </row>
    <row r="75" spans="1:5" x14ac:dyDescent="0.35">
      <c r="A75" s="3" t="s">
        <v>157</v>
      </c>
      <c r="B75" s="4">
        <v>44</v>
      </c>
      <c r="C75" s="10" t="s">
        <v>158</v>
      </c>
      <c r="D75" s="25"/>
      <c r="E75" s="28"/>
    </row>
    <row r="76" spans="1:5" x14ac:dyDescent="0.35">
      <c r="A76" s="3" t="s">
        <v>159</v>
      </c>
      <c r="B76" s="4">
        <v>42</v>
      </c>
      <c r="C76" s="10" t="s">
        <v>160</v>
      </c>
      <c r="D76" s="25"/>
      <c r="E76" s="28"/>
    </row>
    <row r="77" spans="1:5" x14ac:dyDescent="0.35">
      <c r="A77" s="3" t="s">
        <v>161</v>
      </c>
      <c r="B77" s="4">
        <v>44</v>
      </c>
      <c r="C77" s="10" t="s">
        <v>162</v>
      </c>
      <c r="D77" s="25"/>
      <c r="E77" s="28"/>
    </row>
    <row r="78" spans="1:5" x14ac:dyDescent="0.35">
      <c r="A78" s="3" t="s">
        <v>163</v>
      </c>
      <c r="B78" s="4">
        <v>40</v>
      </c>
      <c r="C78" s="10" t="s">
        <v>164</v>
      </c>
      <c r="D78" s="25"/>
      <c r="E78" s="28"/>
    </row>
    <row r="80" spans="1:5" x14ac:dyDescent="0.35">
      <c r="A80" s="8" t="s">
        <v>165</v>
      </c>
      <c r="B80" s="9"/>
      <c r="C80" s="9"/>
      <c r="D80" s="24"/>
    </row>
    <row r="81" spans="1:4" ht="29" x14ac:dyDescent="0.35">
      <c r="A81" s="3" t="s">
        <v>166</v>
      </c>
      <c r="B81" s="12">
        <v>1200</v>
      </c>
      <c r="C81" s="10" t="s">
        <v>167</v>
      </c>
      <c r="D81" s="28" t="s">
        <v>513</v>
      </c>
    </row>
    <row r="82" spans="1:4" ht="29" x14ac:dyDescent="0.35">
      <c r="A82" s="3" t="s">
        <v>168</v>
      </c>
      <c r="B82" s="12">
        <v>50</v>
      </c>
      <c r="C82" s="10" t="s">
        <v>169</v>
      </c>
      <c r="D82" s="28" t="s">
        <v>514</v>
      </c>
    </row>
    <row r="83" spans="1:4" ht="24" x14ac:dyDescent="0.35">
      <c r="A83" s="3" t="s">
        <v>170</v>
      </c>
      <c r="B83" s="12">
        <v>1000</v>
      </c>
      <c r="C83" s="10" t="s">
        <v>171</v>
      </c>
      <c r="D83" s="25" t="s">
        <v>515</v>
      </c>
    </row>
    <row r="84" spans="1:4" ht="29" x14ac:dyDescent="0.35">
      <c r="A84" s="3" t="s">
        <v>172</v>
      </c>
      <c r="B84" s="14">
        <v>0.05</v>
      </c>
      <c r="C84" s="10" t="s">
        <v>173</v>
      </c>
      <c r="D84" s="28" t="s">
        <v>516</v>
      </c>
    </row>
    <row r="85" spans="1:4" x14ac:dyDescent="0.35">
      <c r="A85" s="3" t="s">
        <v>174</v>
      </c>
      <c r="B85" s="12">
        <v>400</v>
      </c>
      <c r="C85" s="10" t="s">
        <v>175</v>
      </c>
      <c r="D85" s="28" t="s">
        <v>517</v>
      </c>
    </row>
    <row r="86" spans="1:4" ht="29" x14ac:dyDescent="0.35">
      <c r="A86" s="3" t="s">
        <v>176</v>
      </c>
      <c r="B86" s="12">
        <v>100</v>
      </c>
      <c r="C86" s="10" t="s">
        <v>177</v>
      </c>
      <c r="D86" s="28" t="s">
        <v>518</v>
      </c>
    </row>
    <row r="87" spans="1:4" ht="29" x14ac:dyDescent="0.35">
      <c r="A87" s="3" t="s">
        <v>178</v>
      </c>
      <c r="B87" s="12">
        <v>5000</v>
      </c>
      <c r="C87" s="10" t="s">
        <v>179</v>
      </c>
      <c r="D87" s="28" t="s">
        <v>519</v>
      </c>
    </row>
    <row r="88" spans="1:4" ht="29" x14ac:dyDescent="0.35">
      <c r="A88" s="3" t="s">
        <v>180</v>
      </c>
      <c r="B88" s="12">
        <v>3500</v>
      </c>
      <c r="C88" s="10" t="s">
        <v>181</v>
      </c>
      <c r="D88" s="28" t="s">
        <v>520</v>
      </c>
    </row>
    <row r="90" spans="1:4" x14ac:dyDescent="0.35">
      <c r="A90" s="8" t="s">
        <v>182</v>
      </c>
      <c r="B90" s="9"/>
      <c r="C90" s="9"/>
      <c r="D90" s="24"/>
    </row>
    <row r="91" spans="1:4" ht="29" x14ac:dyDescent="0.35">
      <c r="A91" s="3" t="s">
        <v>183</v>
      </c>
      <c r="B91" s="12">
        <v>2500</v>
      </c>
      <c r="C91" s="10" t="s">
        <v>184</v>
      </c>
      <c r="D91" s="28" t="s">
        <v>521</v>
      </c>
    </row>
    <row r="92" spans="1:4" x14ac:dyDescent="0.35">
      <c r="A92" s="3" t="s">
        <v>185</v>
      </c>
      <c r="B92" s="12">
        <v>800</v>
      </c>
      <c r="C92" s="10" t="s">
        <v>186</v>
      </c>
      <c r="D92" s="28" t="s">
        <v>522</v>
      </c>
    </row>
    <row r="93" spans="1:4" x14ac:dyDescent="0.35">
      <c r="A93" s="3" t="s">
        <v>187</v>
      </c>
      <c r="B93" s="4">
        <v>36</v>
      </c>
      <c r="C93" s="10" t="s">
        <v>188</v>
      </c>
      <c r="D93" s="28" t="s">
        <v>523</v>
      </c>
    </row>
    <row r="94" spans="1:4" x14ac:dyDescent="0.35">
      <c r="A94" s="3" t="s">
        <v>189</v>
      </c>
      <c r="B94" s="12">
        <v>2000</v>
      </c>
      <c r="C94" s="10" t="s">
        <v>190</v>
      </c>
      <c r="D94" s="28" t="s">
        <v>524</v>
      </c>
    </row>
    <row r="96" spans="1:4" x14ac:dyDescent="0.35">
      <c r="A96" s="8" t="s">
        <v>191</v>
      </c>
      <c r="B96" s="9"/>
      <c r="C96" s="9"/>
      <c r="D96" s="24"/>
    </row>
    <row r="97" spans="1:4" ht="29" x14ac:dyDescent="0.35">
      <c r="A97" s="3" t="s">
        <v>192</v>
      </c>
      <c r="B97" s="12">
        <v>1500</v>
      </c>
      <c r="C97" s="10" t="s">
        <v>193</v>
      </c>
      <c r="D97" s="28" t="s">
        <v>525</v>
      </c>
    </row>
    <row r="98" spans="1:4" ht="29" x14ac:dyDescent="0.35">
      <c r="A98" s="3" t="s">
        <v>194</v>
      </c>
      <c r="B98" s="4">
        <v>18</v>
      </c>
      <c r="C98" s="10" t="s">
        <v>195</v>
      </c>
      <c r="D98" s="28" t="s">
        <v>526</v>
      </c>
    </row>
    <row r="99" spans="1:4" ht="29" x14ac:dyDescent="0.35">
      <c r="A99" s="3" t="s">
        <v>196</v>
      </c>
      <c r="B99" s="12">
        <v>4500</v>
      </c>
      <c r="C99" s="10" t="s">
        <v>197</v>
      </c>
      <c r="D99" s="28" t="s">
        <v>527</v>
      </c>
    </row>
    <row r="100" spans="1:4" x14ac:dyDescent="0.35">
      <c r="A100" s="3" t="s">
        <v>198</v>
      </c>
      <c r="B100" s="12">
        <v>300</v>
      </c>
      <c r="C100" s="10" t="s">
        <v>199</v>
      </c>
      <c r="D100" s="28" t="s">
        <v>508</v>
      </c>
    </row>
    <row r="101" spans="1:4" x14ac:dyDescent="0.35">
      <c r="A101" s="3" t="s">
        <v>200</v>
      </c>
      <c r="B101" s="12">
        <v>150</v>
      </c>
      <c r="C101" s="10" t="s">
        <v>201</v>
      </c>
      <c r="D101" s="28" t="s">
        <v>508</v>
      </c>
    </row>
    <row r="102" spans="1:4" ht="29" x14ac:dyDescent="0.35">
      <c r="A102" s="3" t="s">
        <v>202</v>
      </c>
      <c r="B102" s="12">
        <v>5000</v>
      </c>
      <c r="C102" s="10" t="s">
        <v>203</v>
      </c>
      <c r="D102" s="28" t="s">
        <v>528</v>
      </c>
    </row>
    <row r="103" spans="1:4" x14ac:dyDescent="0.35">
      <c r="A103" s="3" t="s">
        <v>204</v>
      </c>
      <c r="B103" s="12">
        <v>30</v>
      </c>
      <c r="C103" s="10" t="s">
        <v>205</v>
      </c>
      <c r="D103" s="28" t="s">
        <v>529</v>
      </c>
    </row>
    <row r="105" spans="1:4" x14ac:dyDescent="0.35">
      <c r="A105" s="8" t="s">
        <v>206</v>
      </c>
      <c r="B105" s="9"/>
      <c r="C105" s="9"/>
      <c r="D105" s="24"/>
    </row>
    <row r="106" spans="1:4" x14ac:dyDescent="0.35">
      <c r="A106" s="3" t="s">
        <v>207</v>
      </c>
      <c r="B106" s="12">
        <v>8000</v>
      </c>
      <c r="C106" s="10" t="s">
        <v>208</v>
      </c>
      <c r="D106" s="25"/>
    </row>
    <row r="107" spans="1:4" x14ac:dyDescent="0.35">
      <c r="A107" s="3" t="s">
        <v>209</v>
      </c>
      <c r="B107" s="12">
        <v>15000</v>
      </c>
      <c r="C107" s="10" t="s">
        <v>210</v>
      </c>
      <c r="D107" s="25"/>
    </row>
    <row r="108" spans="1:4" x14ac:dyDescent="0.35">
      <c r="A108" s="3" t="s">
        <v>211</v>
      </c>
      <c r="B108" s="12">
        <v>800</v>
      </c>
      <c r="C108" s="10" t="s">
        <v>212</v>
      </c>
      <c r="D108" s="25"/>
    </row>
    <row r="109" spans="1:4" x14ac:dyDescent="0.35">
      <c r="A109" s="3" t="s">
        <v>213</v>
      </c>
      <c r="B109" s="12">
        <v>12000</v>
      </c>
      <c r="C109" s="10" t="s">
        <v>214</v>
      </c>
      <c r="D109" s="25"/>
    </row>
    <row r="110" spans="1:4" ht="35.5" x14ac:dyDescent="0.35">
      <c r="A110" s="3" t="s">
        <v>215</v>
      </c>
      <c r="B110" s="4">
        <v>17</v>
      </c>
      <c r="C110" s="25" t="s">
        <v>530</v>
      </c>
      <c r="D110" s="25"/>
    </row>
    <row r="111" spans="1:4" ht="35.5" x14ac:dyDescent="0.35">
      <c r="A111" s="3" t="s">
        <v>216</v>
      </c>
      <c r="B111" s="12">
        <v>5000</v>
      </c>
      <c r="C111" s="25" t="s">
        <v>531</v>
      </c>
      <c r="D111" s="25"/>
    </row>
    <row r="113" spans="1:4" x14ac:dyDescent="0.35">
      <c r="A113" s="8" t="s">
        <v>217</v>
      </c>
      <c r="B113" s="9"/>
      <c r="C113" s="9"/>
      <c r="D113" s="24"/>
    </row>
    <row r="114" spans="1:4" ht="35.5" x14ac:dyDescent="0.35">
      <c r="A114" s="3" t="s">
        <v>218</v>
      </c>
      <c r="B114" s="12">
        <v>3000</v>
      </c>
      <c r="C114" s="25" t="s">
        <v>532</v>
      </c>
      <c r="D114" s="25"/>
    </row>
    <row r="115" spans="1:4" ht="35.5" x14ac:dyDescent="0.35">
      <c r="A115" s="3" t="s">
        <v>219</v>
      </c>
      <c r="B115" s="12">
        <v>1500</v>
      </c>
      <c r="C115" s="25" t="s">
        <v>533</v>
      </c>
      <c r="D115" s="25"/>
    </row>
    <row r="116" spans="1:4" ht="35.5" x14ac:dyDescent="0.35">
      <c r="A116" s="3" t="s">
        <v>220</v>
      </c>
      <c r="B116" s="12">
        <v>2000</v>
      </c>
      <c r="C116" s="25" t="s">
        <v>534</v>
      </c>
      <c r="D116" s="25"/>
    </row>
    <row r="117" spans="1:4" x14ac:dyDescent="0.35">
      <c r="A117" s="3" t="s">
        <v>221</v>
      </c>
      <c r="B117" s="12">
        <v>50</v>
      </c>
      <c r="C117" s="10" t="s">
        <v>222</v>
      </c>
      <c r="D117" s="25"/>
    </row>
    <row r="118" spans="1:4" ht="35.5" x14ac:dyDescent="0.35">
      <c r="A118" s="3" t="s">
        <v>223</v>
      </c>
      <c r="B118" s="14">
        <v>2.5000000000000001E-2</v>
      </c>
      <c r="C118" s="25" t="s">
        <v>535</v>
      </c>
      <c r="D118" s="25"/>
    </row>
    <row r="120" spans="1:4" x14ac:dyDescent="0.35">
      <c r="A120" s="8" t="s">
        <v>224</v>
      </c>
      <c r="B120" s="9"/>
      <c r="C120" s="9"/>
      <c r="D120" s="24"/>
    </row>
    <row r="121" spans="1:4" ht="35.5" x14ac:dyDescent="0.35">
      <c r="A121" s="3" t="s">
        <v>225</v>
      </c>
      <c r="B121" s="12">
        <v>500</v>
      </c>
      <c r="C121" s="25" t="s">
        <v>536</v>
      </c>
      <c r="D121" s="25"/>
    </row>
    <row r="122" spans="1:4" ht="24" x14ac:dyDescent="0.35">
      <c r="A122" s="3" t="s">
        <v>226</v>
      </c>
      <c r="B122" s="14">
        <v>0.05</v>
      </c>
      <c r="C122" s="25" t="s">
        <v>537</v>
      </c>
      <c r="D122" s="25"/>
    </row>
    <row r="123" spans="1:4" ht="35.5" x14ac:dyDescent="0.35">
      <c r="A123" s="3" t="s">
        <v>227</v>
      </c>
      <c r="B123" s="12">
        <v>1500</v>
      </c>
      <c r="C123" s="25" t="s">
        <v>538</v>
      </c>
      <c r="D123" s="25"/>
    </row>
    <row r="124" spans="1:4" ht="35.5" x14ac:dyDescent="0.35">
      <c r="A124" s="3" t="s">
        <v>228</v>
      </c>
      <c r="B124" s="12">
        <v>25000</v>
      </c>
      <c r="C124" s="25" t="s">
        <v>539</v>
      </c>
      <c r="D124" s="25"/>
    </row>
    <row r="125" spans="1:4" ht="35.5" x14ac:dyDescent="0.35">
      <c r="A125" s="3" t="s">
        <v>229</v>
      </c>
      <c r="B125" s="12">
        <v>300</v>
      </c>
      <c r="C125" s="25" t="s">
        <v>540</v>
      </c>
      <c r="D125" s="25"/>
    </row>
    <row r="126" spans="1:4" ht="35.5" x14ac:dyDescent="0.35">
      <c r="A126" s="3" t="s">
        <v>230</v>
      </c>
      <c r="B126" s="14">
        <v>0.1</v>
      </c>
      <c r="C126" s="25" t="s">
        <v>541</v>
      </c>
      <c r="D126" s="25"/>
    </row>
    <row r="127" spans="1:4" ht="35.5" x14ac:dyDescent="0.35">
      <c r="A127" s="3" t="s">
        <v>231</v>
      </c>
      <c r="B127" s="12">
        <v>500</v>
      </c>
      <c r="C127" s="25" t="s">
        <v>542</v>
      </c>
      <c r="D127" s="25"/>
    </row>
    <row r="129" spans="1:4" x14ac:dyDescent="0.35">
      <c r="A129" s="8" t="s">
        <v>232</v>
      </c>
      <c r="B129" s="9"/>
      <c r="C129" s="9"/>
      <c r="D129" s="24"/>
    </row>
    <row r="130" spans="1:4" x14ac:dyDescent="0.35">
      <c r="A130" s="3" t="s">
        <v>233</v>
      </c>
      <c r="B130" s="12">
        <v>2000</v>
      </c>
      <c r="C130" s="10" t="s">
        <v>234</v>
      </c>
      <c r="D130" s="28" t="s">
        <v>543</v>
      </c>
    </row>
    <row r="131" spans="1:4" ht="29" x14ac:dyDescent="0.35">
      <c r="A131" s="3" t="s">
        <v>235</v>
      </c>
      <c r="B131" s="12">
        <v>1500</v>
      </c>
      <c r="C131" s="10" t="s">
        <v>234</v>
      </c>
      <c r="D131" s="28" t="s">
        <v>544</v>
      </c>
    </row>
    <row r="132" spans="1:4" ht="29" x14ac:dyDescent="0.35">
      <c r="A132" s="3" t="s">
        <v>236</v>
      </c>
      <c r="B132" s="12">
        <v>1000</v>
      </c>
      <c r="C132" s="10" t="s">
        <v>234</v>
      </c>
      <c r="D132" s="28" t="s">
        <v>545</v>
      </c>
    </row>
    <row r="133" spans="1:4" ht="29" x14ac:dyDescent="0.35">
      <c r="A133" s="3" t="s">
        <v>237</v>
      </c>
      <c r="B133" s="14">
        <v>0.05</v>
      </c>
      <c r="C133" s="10" t="s">
        <v>238</v>
      </c>
      <c r="D133" s="28" t="s">
        <v>546</v>
      </c>
    </row>
    <row r="134" spans="1:4" x14ac:dyDescent="0.35">
      <c r="A134" s="3" t="s">
        <v>239</v>
      </c>
      <c r="B134" s="4">
        <v>3</v>
      </c>
      <c r="C134" s="10" t="s">
        <v>240</v>
      </c>
      <c r="D134" s="28" t="s">
        <v>547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BA40"/>
  <sheetViews>
    <sheetView workbookViewId="0">
      <pane xSplit="1" ySplit="3" topLeftCell="B16" activePane="bottomRight" state="frozen"/>
      <selection pane="topRight"/>
      <selection pane="bottomLeft"/>
      <selection pane="bottomRight" activeCell="H44" sqref="H44"/>
    </sheetView>
  </sheetViews>
  <sheetFormatPr baseColWidth="10" defaultColWidth="8.7265625" defaultRowHeight="14.5" x14ac:dyDescent="0.35"/>
  <cols>
    <col min="1" max="1" width="35" customWidth="1"/>
    <col min="2" max="53" width="12" customWidth="1"/>
  </cols>
  <sheetData>
    <row r="1" spans="1:53" ht="18" x14ac:dyDescent="0.4">
      <c r="A1" s="1" t="s">
        <v>241</v>
      </c>
    </row>
    <row r="3" spans="1:53" x14ac:dyDescent="0.35">
      <c r="A3" s="7" t="s">
        <v>242</v>
      </c>
      <c r="B3" s="7" t="s">
        <v>243</v>
      </c>
      <c r="C3" s="7" t="s">
        <v>244</v>
      </c>
      <c r="D3" s="7" t="s">
        <v>245</v>
      </c>
      <c r="E3" s="7" t="s">
        <v>246</v>
      </c>
      <c r="F3" s="7" t="s">
        <v>247</v>
      </c>
      <c r="G3" s="7" t="s">
        <v>248</v>
      </c>
      <c r="H3" s="7" t="s">
        <v>249</v>
      </c>
      <c r="I3" s="7" t="s">
        <v>250</v>
      </c>
      <c r="J3" s="7" t="s">
        <v>251</v>
      </c>
      <c r="K3" s="7" t="s">
        <v>252</v>
      </c>
      <c r="L3" s="7" t="s">
        <v>253</v>
      </c>
      <c r="M3" s="7" t="s">
        <v>254</v>
      </c>
      <c r="N3" s="7" t="s">
        <v>255</v>
      </c>
      <c r="O3" s="7" t="s">
        <v>256</v>
      </c>
      <c r="P3" s="7" t="s">
        <v>257</v>
      </c>
      <c r="Q3" s="7" t="s">
        <v>258</v>
      </c>
      <c r="R3" s="7" t="s">
        <v>259</v>
      </c>
      <c r="S3" s="7" t="s">
        <v>260</v>
      </c>
      <c r="T3" s="7" t="s">
        <v>261</v>
      </c>
      <c r="U3" s="7" t="s">
        <v>262</v>
      </c>
      <c r="V3" s="7" t="s">
        <v>263</v>
      </c>
      <c r="W3" s="7" t="s">
        <v>264</v>
      </c>
      <c r="X3" s="7" t="s">
        <v>265</v>
      </c>
      <c r="Y3" s="7" t="s">
        <v>266</v>
      </c>
      <c r="Z3" s="7" t="s">
        <v>267</v>
      </c>
      <c r="AA3" s="7" t="s">
        <v>268</v>
      </c>
      <c r="AB3" s="7" t="s">
        <v>269</v>
      </c>
      <c r="AC3" s="7" t="s">
        <v>270</v>
      </c>
      <c r="AD3" s="7" t="s">
        <v>271</v>
      </c>
      <c r="AE3" s="7" t="s">
        <v>272</v>
      </c>
      <c r="AF3" s="7" t="s">
        <v>273</v>
      </c>
      <c r="AG3" s="7" t="s">
        <v>274</v>
      </c>
      <c r="AH3" s="7" t="s">
        <v>275</v>
      </c>
      <c r="AI3" s="7" t="s">
        <v>276</v>
      </c>
      <c r="AJ3" s="7" t="s">
        <v>277</v>
      </c>
      <c r="AK3" s="7" t="s">
        <v>278</v>
      </c>
      <c r="AL3" s="7" t="s">
        <v>279</v>
      </c>
      <c r="AM3" s="7" t="s">
        <v>280</v>
      </c>
      <c r="AN3" s="7" t="s">
        <v>281</v>
      </c>
      <c r="AO3" s="7" t="s">
        <v>282</v>
      </c>
      <c r="AP3" s="7" t="s">
        <v>283</v>
      </c>
      <c r="AQ3" s="7" t="s">
        <v>284</v>
      </c>
      <c r="AR3" s="7" t="s">
        <v>285</v>
      </c>
      <c r="AS3" s="7" t="s">
        <v>286</v>
      </c>
      <c r="AT3" s="7" t="s">
        <v>287</v>
      </c>
      <c r="AU3" s="7" t="s">
        <v>288</v>
      </c>
      <c r="AV3" s="7" t="s">
        <v>289</v>
      </c>
      <c r="AW3" s="7" t="s">
        <v>290</v>
      </c>
      <c r="AX3" s="7" t="s">
        <v>291</v>
      </c>
      <c r="AY3" s="7" t="s">
        <v>292</v>
      </c>
      <c r="AZ3" s="7" t="s">
        <v>293</v>
      </c>
      <c r="BA3" s="7" t="s">
        <v>294</v>
      </c>
    </row>
    <row r="4" spans="1:53" x14ac:dyDescent="0.35">
      <c r="A4" s="2" t="s">
        <v>295</v>
      </c>
    </row>
    <row r="5" spans="1:53" x14ac:dyDescent="0.35">
      <c r="A5" s="3" t="s">
        <v>296</v>
      </c>
      <c r="B5" s="16">
        <f>Revenue!B9</f>
        <v>0</v>
      </c>
      <c r="C5" s="16">
        <f>Revenue!C9</f>
        <v>0</v>
      </c>
      <c r="D5" s="16">
        <f>Revenue!D9</f>
        <v>0</v>
      </c>
      <c r="E5" s="16">
        <f>Revenue!E9</f>
        <v>0</v>
      </c>
      <c r="F5" s="16">
        <f>Revenue!F9</f>
        <v>0</v>
      </c>
      <c r="G5" s="16">
        <f>Revenue!G9</f>
        <v>0</v>
      </c>
      <c r="H5" s="16">
        <f>Revenue!H9</f>
        <v>0</v>
      </c>
      <c r="I5" s="16">
        <f>Revenue!I9</f>
        <v>0</v>
      </c>
      <c r="J5" s="16">
        <f>Revenue!J9</f>
        <v>5000</v>
      </c>
      <c r="K5" s="16">
        <f>Revenue!K9</f>
        <v>5000</v>
      </c>
      <c r="L5" s="16">
        <f>Revenue!L9</f>
        <v>5000</v>
      </c>
      <c r="M5" s="16">
        <f>Revenue!M9</f>
        <v>5000</v>
      </c>
      <c r="N5" s="16">
        <f>Revenue!N9</f>
        <v>5400</v>
      </c>
      <c r="O5" s="16">
        <f>Revenue!O9</f>
        <v>5400</v>
      </c>
      <c r="P5" s="16">
        <f>Revenue!P9</f>
        <v>5400</v>
      </c>
      <c r="Q5" s="16">
        <f>Revenue!Q9</f>
        <v>5400</v>
      </c>
      <c r="R5" s="16">
        <f>Revenue!R9</f>
        <v>5400</v>
      </c>
      <c r="S5" s="16">
        <f>Revenue!S9</f>
        <v>5400</v>
      </c>
      <c r="T5" s="16">
        <f>Revenue!T9</f>
        <v>5400</v>
      </c>
      <c r="U5" s="16">
        <f>Revenue!U9</f>
        <v>5400</v>
      </c>
      <c r="V5" s="16">
        <f>Revenue!V9</f>
        <v>5400</v>
      </c>
      <c r="W5" s="16">
        <f>Revenue!W9</f>
        <v>5400</v>
      </c>
      <c r="X5" s="16">
        <f>Revenue!X9</f>
        <v>5400</v>
      </c>
      <c r="Y5" s="16">
        <f>Revenue!Y9</f>
        <v>5400</v>
      </c>
      <c r="Z5" s="16">
        <f>Revenue!Z9</f>
        <v>5832</v>
      </c>
      <c r="AA5" s="16">
        <f>Revenue!AA9</f>
        <v>5832</v>
      </c>
      <c r="AB5" s="16">
        <f>Revenue!AB9</f>
        <v>5832</v>
      </c>
      <c r="AC5" s="16">
        <f>Revenue!AC9</f>
        <v>5832</v>
      </c>
      <c r="AD5" s="16">
        <f>Revenue!AD9</f>
        <v>5832</v>
      </c>
      <c r="AE5" s="16">
        <f>Revenue!AE9</f>
        <v>5832</v>
      </c>
      <c r="AF5" s="16">
        <f>Revenue!AF9</f>
        <v>5832</v>
      </c>
      <c r="AG5" s="16">
        <f>Revenue!AG9</f>
        <v>5832</v>
      </c>
      <c r="AH5" s="16">
        <f>Revenue!AH9</f>
        <v>5832</v>
      </c>
      <c r="AI5" s="16">
        <f>Revenue!AI9</f>
        <v>5832</v>
      </c>
      <c r="AJ5" s="16">
        <f>Revenue!AJ9</f>
        <v>5832</v>
      </c>
      <c r="AK5" s="16">
        <f>Revenue!AK9</f>
        <v>5832</v>
      </c>
      <c r="AL5" s="16">
        <f>Revenue!AL9</f>
        <v>6298.5600000000013</v>
      </c>
      <c r="AM5" s="16">
        <f>Revenue!AM9</f>
        <v>6298.5600000000013</v>
      </c>
      <c r="AN5" s="16">
        <f>Revenue!AN9</f>
        <v>6298.5600000000013</v>
      </c>
      <c r="AO5" s="16">
        <f>Revenue!AO9</f>
        <v>6298.5600000000013</v>
      </c>
      <c r="AP5" s="16">
        <f>Revenue!AP9</f>
        <v>6298.5600000000013</v>
      </c>
      <c r="AQ5" s="16">
        <f>Revenue!AQ9</f>
        <v>6298.5600000000013</v>
      </c>
      <c r="AR5" s="16">
        <f>Revenue!AR9</f>
        <v>6298.5600000000013</v>
      </c>
      <c r="AS5" s="16">
        <f>Revenue!AS9</f>
        <v>6298.5600000000013</v>
      </c>
      <c r="AT5" s="16">
        <f>Revenue!AT9</f>
        <v>6298.5600000000013</v>
      </c>
      <c r="AU5" s="16">
        <f>Revenue!AU9</f>
        <v>6298.5600000000013</v>
      </c>
      <c r="AV5" s="16">
        <f>Revenue!AV9</f>
        <v>6298.5600000000013</v>
      </c>
      <c r="AW5" s="16">
        <f>Revenue!AW9</f>
        <v>6298.5600000000013</v>
      </c>
      <c r="AX5" s="16">
        <f>Revenue!AX9</f>
        <v>6802.444800000002</v>
      </c>
      <c r="AY5" s="16">
        <f>Revenue!AY9</f>
        <v>6802.444800000002</v>
      </c>
      <c r="AZ5" s="16">
        <f>Revenue!AZ9</f>
        <v>6802.444800000002</v>
      </c>
      <c r="BA5" s="16">
        <f>Revenue!BA9</f>
        <v>6802.444800000002</v>
      </c>
    </row>
    <row r="6" spans="1:53" x14ac:dyDescent="0.35">
      <c r="A6" s="3" t="s">
        <v>297</v>
      </c>
      <c r="B6" s="16">
        <f>Revenue!B16</f>
        <v>0</v>
      </c>
      <c r="C6" s="16">
        <f>Revenue!C16</f>
        <v>0</v>
      </c>
      <c r="D6" s="16">
        <f>Revenue!D16</f>
        <v>0</v>
      </c>
      <c r="E6" s="16">
        <f>Revenue!E16</f>
        <v>0</v>
      </c>
      <c r="F6" s="16">
        <f>Revenue!F16</f>
        <v>0</v>
      </c>
      <c r="G6" s="16">
        <f>Revenue!G16</f>
        <v>0</v>
      </c>
      <c r="H6" s="16">
        <f>Revenue!H16</f>
        <v>0</v>
      </c>
      <c r="I6" s="16">
        <f>Revenue!I16</f>
        <v>0</v>
      </c>
      <c r="J6" s="16">
        <f>Revenue!J16</f>
        <v>0</v>
      </c>
      <c r="K6" s="16">
        <f>Revenue!K16</f>
        <v>0</v>
      </c>
      <c r="L6" s="16">
        <f>Revenue!L16</f>
        <v>0</v>
      </c>
      <c r="M6" s="16">
        <f>Revenue!M16</f>
        <v>0</v>
      </c>
      <c r="N6" s="16">
        <f>Revenue!N16</f>
        <v>0</v>
      </c>
      <c r="O6" s="16">
        <f>Revenue!O16</f>
        <v>0</v>
      </c>
      <c r="P6" s="16">
        <f>Revenue!P16</f>
        <v>0</v>
      </c>
      <c r="Q6" s="16">
        <f>Revenue!Q16</f>
        <v>0</v>
      </c>
      <c r="R6" s="16">
        <f>Revenue!R16</f>
        <v>0</v>
      </c>
      <c r="S6" s="16">
        <f>Revenue!S16</f>
        <v>0</v>
      </c>
      <c r="T6" s="16">
        <f>Revenue!T16</f>
        <v>0</v>
      </c>
      <c r="U6" s="16">
        <f>Revenue!U16</f>
        <v>0</v>
      </c>
      <c r="V6" s="16">
        <f>Revenue!V16</f>
        <v>0</v>
      </c>
      <c r="W6" s="16">
        <f>Revenue!W16</f>
        <v>0</v>
      </c>
      <c r="X6" s="16">
        <f>Revenue!X16</f>
        <v>0</v>
      </c>
      <c r="Y6" s="16">
        <f>Revenue!Y16</f>
        <v>13500</v>
      </c>
      <c r="Z6" s="16">
        <f>Revenue!Z16</f>
        <v>14580.000000000002</v>
      </c>
      <c r="AA6" s="16">
        <f>Revenue!AA16</f>
        <v>14580.000000000002</v>
      </c>
      <c r="AB6" s="16">
        <f>Revenue!AB16</f>
        <v>29160.000000000004</v>
      </c>
      <c r="AC6" s="16">
        <f>Revenue!AC16</f>
        <v>29160.000000000004</v>
      </c>
      <c r="AD6" s="16">
        <f>Revenue!AD16</f>
        <v>29160.000000000004</v>
      </c>
      <c r="AE6" s="16">
        <f>Revenue!AE16</f>
        <v>43740.000000000007</v>
      </c>
      <c r="AF6" s="16">
        <f>Revenue!AF16</f>
        <v>43740.000000000007</v>
      </c>
      <c r="AG6" s="16">
        <f>Revenue!AG16</f>
        <v>43740.000000000007</v>
      </c>
      <c r="AH6" s="16">
        <f>Revenue!AH16</f>
        <v>58320.000000000007</v>
      </c>
      <c r="AI6" s="16">
        <f>Revenue!AI16</f>
        <v>58320.000000000007</v>
      </c>
      <c r="AJ6" s="16">
        <f>Revenue!AJ16</f>
        <v>58320.000000000007</v>
      </c>
      <c r="AK6" s="16">
        <f>Revenue!AK16</f>
        <v>72900.000000000015</v>
      </c>
      <c r="AL6" s="16">
        <f>Revenue!AL16</f>
        <v>78732.000000000015</v>
      </c>
      <c r="AM6" s="16">
        <f>Revenue!AM16</f>
        <v>78732.000000000015</v>
      </c>
      <c r="AN6" s="16">
        <f>Revenue!AN16</f>
        <v>94478.400000000009</v>
      </c>
      <c r="AO6" s="16">
        <f>Revenue!AO16</f>
        <v>94478.400000000009</v>
      </c>
      <c r="AP6" s="16">
        <f>Revenue!AP16</f>
        <v>94478.400000000009</v>
      </c>
      <c r="AQ6" s="16">
        <f>Revenue!AQ16</f>
        <v>110224.8</v>
      </c>
      <c r="AR6" s="16">
        <f>Revenue!AR16</f>
        <v>110224.8</v>
      </c>
      <c r="AS6" s="16">
        <f>Revenue!AS16</f>
        <v>110224.8</v>
      </c>
      <c r="AT6" s="16">
        <f>Revenue!AT16</f>
        <v>125971.20000000001</v>
      </c>
      <c r="AU6" s="16">
        <f>Revenue!AU16</f>
        <v>125971.20000000001</v>
      </c>
      <c r="AV6" s="16">
        <f>Revenue!AV16</f>
        <v>125971.20000000001</v>
      </c>
      <c r="AW6" s="16">
        <f>Revenue!AW16</f>
        <v>125971.20000000001</v>
      </c>
      <c r="AX6" s="16">
        <f>Revenue!AX16</f>
        <v>136048.89600000004</v>
      </c>
      <c r="AY6" s="16">
        <f>Revenue!AY16</f>
        <v>136048.89600000004</v>
      </c>
      <c r="AZ6" s="16">
        <f>Revenue!AZ16</f>
        <v>153055.00800000003</v>
      </c>
      <c r="BA6" s="16">
        <f>Revenue!BA16</f>
        <v>153055.00800000003</v>
      </c>
    </row>
    <row r="7" spans="1:53" x14ac:dyDescent="0.35">
      <c r="A7" s="2" t="s">
        <v>298</v>
      </c>
      <c r="B7" s="17">
        <f t="shared" ref="B7:AG7" si="0">B5+B6</f>
        <v>0</v>
      </c>
      <c r="C7" s="17">
        <f t="shared" si="0"/>
        <v>0</v>
      </c>
      <c r="D7" s="17">
        <f t="shared" si="0"/>
        <v>0</v>
      </c>
      <c r="E7" s="17">
        <f t="shared" si="0"/>
        <v>0</v>
      </c>
      <c r="F7" s="17">
        <f t="shared" si="0"/>
        <v>0</v>
      </c>
      <c r="G7" s="17">
        <f t="shared" si="0"/>
        <v>0</v>
      </c>
      <c r="H7" s="17">
        <f t="shared" si="0"/>
        <v>0</v>
      </c>
      <c r="I7" s="17">
        <f t="shared" si="0"/>
        <v>0</v>
      </c>
      <c r="J7" s="17">
        <f t="shared" si="0"/>
        <v>5000</v>
      </c>
      <c r="K7" s="17">
        <f t="shared" si="0"/>
        <v>5000</v>
      </c>
      <c r="L7" s="17">
        <f t="shared" si="0"/>
        <v>5000</v>
      </c>
      <c r="M7" s="17">
        <f t="shared" si="0"/>
        <v>5000</v>
      </c>
      <c r="N7" s="17">
        <f t="shared" si="0"/>
        <v>5400</v>
      </c>
      <c r="O7" s="17">
        <f t="shared" si="0"/>
        <v>5400</v>
      </c>
      <c r="P7" s="17">
        <f t="shared" si="0"/>
        <v>5400</v>
      </c>
      <c r="Q7" s="17">
        <f t="shared" si="0"/>
        <v>5400</v>
      </c>
      <c r="R7" s="17">
        <f t="shared" si="0"/>
        <v>5400</v>
      </c>
      <c r="S7" s="17">
        <f t="shared" si="0"/>
        <v>5400</v>
      </c>
      <c r="T7" s="17">
        <f t="shared" si="0"/>
        <v>5400</v>
      </c>
      <c r="U7" s="17">
        <f t="shared" si="0"/>
        <v>5400</v>
      </c>
      <c r="V7" s="17">
        <f t="shared" si="0"/>
        <v>5400</v>
      </c>
      <c r="W7" s="17">
        <f t="shared" si="0"/>
        <v>5400</v>
      </c>
      <c r="X7" s="17">
        <f t="shared" si="0"/>
        <v>5400</v>
      </c>
      <c r="Y7" s="17">
        <f t="shared" si="0"/>
        <v>18900</v>
      </c>
      <c r="Z7" s="17">
        <f t="shared" si="0"/>
        <v>20412</v>
      </c>
      <c r="AA7" s="17">
        <f t="shared" si="0"/>
        <v>20412</v>
      </c>
      <c r="AB7" s="17">
        <f t="shared" si="0"/>
        <v>34992</v>
      </c>
      <c r="AC7" s="17">
        <f t="shared" si="0"/>
        <v>34992</v>
      </c>
      <c r="AD7" s="17">
        <f t="shared" si="0"/>
        <v>34992</v>
      </c>
      <c r="AE7" s="17">
        <f t="shared" si="0"/>
        <v>49572.000000000007</v>
      </c>
      <c r="AF7" s="17">
        <f t="shared" si="0"/>
        <v>49572.000000000007</v>
      </c>
      <c r="AG7" s="17">
        <f t="shared" si="0"/>
        <v>49572.000000000007</v>
      </c>
      <c r="AH7" s="17">
        <f t="shared" ref="AH7:BA7" si="1">AH5+AH6</f>
        <v>64152.000000000007</v>
      </c>
      <c r="AI7" s="17">
        <f t="shared" si="1"/>
        <v>64152.000000000007</v>
      </c>
      <c r="AJ7" s="17">
        <f t="shared" si="1"/>
        <v>64152.000000000007</v>
      </c>
      <c r="AK7" s="17">
        <f t="shared" si="1"/>
        <v>78732.000000000015</v>
      </c>
      <c r="AL7" s="17">
        <f t="shared" si="1"/>
        <v>85030.560000000012</v>
      </c>
      <c r="AM7" s="17">
        <f t="shared" si="1"/>
        <v>85030.560000000012</v>
      </c>
      <c r="AN7" s="17">
        <f t="shared" si="1"/>
        <v>100776.96000000001</v>
      </c>
      <c r="AO7" s="17">
        <f t="shared" si="1"/>
        <v>100776.96000000001</v>
      </c>
      <c r="AP7" s="17">
        <f t="shared" si="1"/>
        <v>100776.96000000001</v>
      </c>
      <c r="AQ7" s="17">
        <f t="shared" si="1"/>
        <v>116523.36</v>
      </c>
      <c r="AR7" s="17">
        <f t="shared" si="1"/>
        <v>116523.36</v>
      </c>
      <c r="AS7" s="17">
        <f t="shared" si="1"/>
        <v>116523.36</v>
      </c>
      <c r="AT7" s="17">
        <f t="shared" si="1"/>
        <v>132269.76000000001</v>
      </c>
      <c r="AU7" s="17">
        <f t="shared" si="1"/>
        <v>132269.76000000001</v>
      </c>
      <c r="AV7" s="17">
        <f t="shared" si="1"/>
        <v>132269.76000000001</v>
      </c>
      <c r="AW7" s="17">
        <f t="shared" si="1"/>
        <v>132269.76000000001</v>
      </c>
      <c r="AX7" s="17">
        <f t="shared" si="1"/>
        <v>142851.34080000003</v>
      </c>
      <c r="AY7" s="17">
        <f t="shared" si="1"/>
        <v>142851.34080000003</v>
      </c>
      <c r="AZ7" s="17">
        <f t="shared" si="1"/>
        <v>159857.45280000003</v>
      </c>
      <c r="BA7" s="17">
        <f t="shared" si="1"/>
        <v>159857.45280000003</v>
      </c>
    </row>
    <row r="9" spans="1:53" x14ac:dyDescent="0.35">
      <c r="A9" s="2" t="s">
        <v>299</v>
      </c>
    </row>
    <row r="10" spans="1:53" x14ac:dyDescent="0.35">
      <c r="A10" s="3" t="s">
        <v>300</v>
      </c>
      <c r="B10" s="16">
        <f>Costs!B82</f>
        <v>0</v>
      </c>
      <c r="C10" s="16">
        <f>Costs!C82</f>
        <v>0</v>
      </c>
      <c r="D10" s="16">
        <f>Costs!D82</f>
        <v>0</v>
      </c>
      <c r="E10" s="16">
        <f>Costs!E82</f>
        <v>0</v>
      </c>
      <c r="F10" s="16">
        <f>Costs!F82</f>
        <v>0</v>
      </c>
      <c r="G10" s="16">
        <f>Costs!G82</f>
        <v>0</v>
      </c>
      <c r="H10" s="16">
        <f>Costs!H82</f>
        <v>0</v>
      </c>
      <c r="I10" s="16">
        <f>Costs!I82</f>
        <v>0</v>
      </c>
      <c r="J10" s="16">
        <f>Costs!J82</f>
        <v>250</v>
      </c>
      <c r="K10" s="16">
        <f>Costs!K82</f>
        <v>250</v>
      </c>
      <c r="L10" s="16">
        <f>Costs!L82</f>
        <v>250</v>
      </c>
      <c r="M10" s="16">
        <f>Costs!M82</f>
        <v>250</v>
      </c>
      <c r="N10" s="16">
        <f>Costs!N82</f>
        <v>250</v>
      </c>
      <c r="O10" s="16">
        <f>Costs!O82</f>
        <v>250</v>
      </c>
      <c r="P10" s="16">
        <f>Costs!P82</f>
        <v>250</v>
      </c>
      <c r="Q10" s="16">
        <f>Costs!Q82</f>
        <v>250</v>
      </c>
      <c r="R10" s="16">
        <f>Costs!R82</f>
        <v>250</v>
      </c>
      <c r="S10" s="16">
        <f>Costs!S82</f>
        <v>250</v>
      </c>
      <c r="T10" s="16">
        <f>Costs!T82</f>
        <v>250</v>
      </c>
      <c r="U10" s="16">
        <f>Costs!U82</f>
        <v>250</v>
      </c>
      <c r="V10" s="16">
        <f>Costs!V82</f>
        <v>250</v>
      </c>
      <c r="W10" s="16">
        <f>Costs!W82</f>
        <v>250</v>
      </c>
      <c r="X10" s="16">
        <f>Costs!X82</f>
        <v>250</v>
      </c>
      <c r="Y10" s="16">
        <f>Costs!Y82</f>
        <v>250</v>
      </c>
      <c r="Z10" s="16">
        <f>Costs!Z82</f>
        <v>250</v>
      </c>
      <c r="AA10" s="16">
        <f>Costs!AA82</f>
        <v>250</v>
      </c>
      <c r="AB10" s="16">
        <f>Costs!AB82</f>
        <v>250</v>
      </c>
      <c r="AC10" s="16">
        <f>Costs!AC82</f>
        <v>250</v>
      </c>
      <c r="AD10" s="16">
        <f>Costs!AD82</f>
        <v>250</v>
      </c>
      <c r="AE10" s="16">
        <f>Costs!AE82</f>
        <v>250</v>
      </c>
      <c r="AF10" s="16">
        <f>Costs!AF82</f>
        <v>250</v>
      </c>
      <c r="AG10" s="16">
        <f>Costs!AG82</f>
        <v>250</v>
      </c>
      <c r="AH10" s="16">
        <f>Costs!AH82</f>
        <v>250</v>
      </c>
      <c r="AI10" s="16">
        <f>Costs!AI82</f>
        <v>250</v>
      </c>
      <c r="AJ10" s="16">
        <f>Costs!AJ82</f>
        <v>250</v>
      </c>
      <c r="AK10" s="16">
        <f>Costs!AK82</f>
        <v>250</v>
      </c>
      <c r="AL10" s="16">
        <f>Costs!AL82</f>
        <v>250</v>
      </c>
      <c r="AM10" s="16">
        <f>Costs!AM82</f>
        <v>250</v>
      </c>
      <c r="AN10" s="16">
        <f>Costs!AN82</f>
        <v>250</v>
      </c>
      <c r="AO10" s="16">
        <f>Costs!AO82</f>
        <v>250</v>
      </c>
      <c r="AP10" s="16">
        <f>Costs!AP82</f>
        <v>250</v>
      </c>
      <c r="AQ10" s="16">
        <f>Costs!AQ82</f>
        <v>250</v>
      </c>
      <c r="AR10" s="16">
        <f>Costs!AR82</f>
        <v>250</v>
      </c>
      <c r="AS10" s="16">
        <f>Costs!AS82</f>
        <v>250</v>
      </c>
      <c r="AT10" s="16">
        <f>Costs!AT82</f>
        <v>250</v>
      </c>
      <c r="AU10" s="16">
        <f>Costs!AU82</f>
        <v>250</v>
      </c>
      <c r="AV10" s="16">
        <f>Costs!AV82</f>
        <v>250</v>
      </c>
      <c r="AW10" s="16">
        <f>Costs!AW82</f>
        <v>250</v>
      </c>
      <c r="AX10" s="16">
        <f>Costs!AX82</f>
        <v>250</v>
      </c>
      <c r="AY10" s="16">
        <f>Costs!AY82</f>
        <v>250</v>
      </c>
      <c r="AZ10" s="16">
        <f>Costs!AZ82</f>
        <v>250</v>
      </c>
      <c r="BA10" s="16">
        <f>Costs!BA82</f>
        <v>250</v>
      </c>
    </row>
    <row r="11" spans="1:53" x14ac:dyDescent="0.35">
      <c r="A11" s="3" t="s">
        <v>301</v>
      </c>
      <c r="B11" s="16">
        <f>Costs!B83</f>
        <v>1000</v>
      </c>
      <c r="C11" s="16">
        <f>Costs!C83</f>
        <v>1050</v>
      </c>
      <c r="D11" s="16">
        <f>Costs!D83</f>
        <v>1102.5</v>
      </c>
      <c r="E11" s="16">
        <f>Costs!E83</f>
        <v>1157.6250000000002</v>
      </c>
      <c r="F11" s="16">
        <f>Costs!F83</f>
        <v>1215.5062499999999</v>
      </c>
      <c r="G11" s="16">
        <f>Costs!G83</f>
        <v>1276.2815625000001</v>
      </c>
      <c r="H11" s="16">
        <f>Costs!H83</f>
        <v>1340.095640625</v>
      </c>
      <c r="I11" s="16">
        <f>Costs!I83</f>
        <v>1407.1004226562502</v>
      </c>
      <c r="J11" s="16">
        <f>Costs!J83</f>
        <v>1477.4554437890627</v>
      </c>
      <c r="K11" s="16">
        <f>Costs!K83</f>
        <v>1551.3282159785158</v>
      </c>
      <c r="L11" s="16">
        <f>Costs!L83</f>
        <v>1628.8946267774415</v>
      </c>
      <c r="M11" s="16">
        <f>Costs!M83</f>
        <v>1710.3393581163139</v>
      </c>
      <c r="N11" s="16">
        <f>Costs!N83</f>
        <v>1795.8563260221292</v>
      </c>
      <c r="O11" s="16">
        <f>Costs!O83</f>
        <v>1885.649142323236</v>
      </c>
      <c r="P11" s="16">
        <f>Costs!P83</f>
        <v>1979.9315994393974</v>
      </c>
      <c r="Q11" s="16">
        <f>Costs!Q83</f>
        <v>2078.9281794113681</v>
      </c>
      <c r="R11" s="16">
        <f>Costs!R83</f>
        <v>2182.8745883819361</v>
      </c>
      <c r="S11" s="16">
        <f>Costs!S83</f>
        <v>2292.0183178010329</v>
      </c>
      <c r="T11" s="16">
        <f>Costs!T83</f>
        <v>2406.6192336910849</v>
      </c>
      <c r="U11" s="16">
        <f>Costs!U83</f>
        <v>2526.9501953756389</v>
      </c>
      <c r="V11" s="16">
        <f>Costs!V83</f>
        <v>2653.2977051444209</v>
      </c>
      <c r="W11" s="16">
        <f>Costs!W83</f>
        <v>2785.962590401642</v>
      </c>
      <c r="X11" s="16">
        <f>Costs!X83</f>
        <v>2925.2607199217236</v>
      </c>
      <c r="Y11" s="16">
        <f>Costs!Y83</f>
        <v>3071.5237559178104</v>
      </c>
      <c r="Z11" s="16">
        <f>Costs!Z83</f>
        <v>3225.0999437137007</v>
      </c>
      <c r="AA11" s="16">
        <f>Costs!AA83</f>
        <v>3386.3549408993858</v>
      </c>
      <c r="AB11" s="16">
        <f>Costs!AB83</f>
        <v>3555.6726879443554</v>
      </c>
      <c r="AC11" s="16">
        <f>Costs!AC83</f>
        <v>3733.4563223415735</v>
      </c>
      <c r="AD11" s="16">
        <f>Costs!AD83</f>
        <v>3920.1291384586516</v>
      </c>
      <c r="AE11" s="16">
        <f>Costs!AE83</f>
        <v>4116.1355953815846</v>
      </c>
      <c r="AF11" s="16">
        <f>Costs!AF83</f>
        <v>4321.9423751506629</v>
      </c>
      <c r="AG11" s="16">
        <f>Costs!AG83</f>
        <v>4538.0394939081971</v>
      </c>
      <c r="AH11" s="16">
        <f>Costs!AH83</f>
        <v>4764.9414686036071</v>
      </c>
      <c r="AI11" s="16">
        <f>Costs!AI83</f>
        <v>5003.1885420337876</v>
      </c>
      <c r="AJ11" s="16">
        <f>Costs!AJ83</f>
        <v>5253.3479691354769</v>
      </c>
      <c r="AK11" s="16">
        <f>Costs!AK83</f>
        <v>5516.0153675922511</v>
      </c>
      <c r="AL11" s="16">
        <f>Costs!AL83</f>
        <v>5791.8161359718633</v>
      </c>
      <c r="AM11" s="16">
        <f>Costs!AM83</f>
        <v>6081.4069427704562</v>
      </c>
      <c r="AN11" s="16">
        <f>Costs!AN83</f>
        <v>6385.4772899089785</v>
      </c>
      <c r="AO11" s="16">
        <f>Costs!AO83</f>
        <v>6704.7511544044291</v>
      </c>
      <c r="AP11" s="16">
        <f>Costs!AP83</f>
        <v>7039.9887121246493</v>
      </c>
      <c r="AQ11" s="16">
        <f>Costs!AQ83</f>
        <v>7391.9881477308818</v>
      </c>
      <c r="AR11" s="16">
        <f>Costs!AR83</f>
        <v>7761.5875551174258</v>
      </c>
      <c r="AS11" s="16">
        <f>Costs!AS83</f>
        <v>8149.6669328732987</v>
      </c>
      <c r="AT11" s="16">
        <f>Costs!AT83</f>
        <v>8557.1502795169617</v>
      </c>
      <c r="AU11" s="16">
        <f>Costs!AU83</f>
        <v>8985.0077934928122</v>
      </c>
      <c r="AV11" s="16">
        <f>Costs!AV83</f>
        <v>9434.2581831674506</v>
      </c>
      <c r="AW11" s="16">
        <f>Costs!AW83</f>
        <v>9905.9710923258262</v>
      </c>
      <c r="AX11" s="16">
        <f>Costs!AX83</f>
        <v>10401.269646942117</v>
      </c>
      <c r="AY11" s="16">
        <f>Costs!AY83</f>
        <v>10921.333129289224</v>
      </c>
      <c r="AZ11" s="16">
        <f>Costs!AZ83</f>
        <v>11467.399785753685</v>
      </c>
      <c r="BA11" s="16">
        <f>Costs!BA83</f>
        <v>12040.769775041368</v>
      </c>
    </row>
    <row r="12" spans="1:53" x14ac:dyDescent="0.35">
      <c r="A12" s="3" t="s">
        <v>223</v>
      </c>
      <c r="B12" s="16">
        <f>Costs!B128</f>
        <v>0</v>
      </c>
      <c r="C12" s="16">
        <f>Costs!C128</f>
        <v>0</v>
      </c>
      <c r="D12" s="16">
        <f>Costs!D128</f>
        <v>0</v>
      </c>
      <c r="E12" s="16">
        <f>Costs!E128</f>
        <v>0</v>
      </c>
      <c r="F12" s="16">
        <f>Costs!F128</f>
        <v>0</v>
      </c>
      <c r="G12" s="16">
        <f>Costs!G128</f>
        <v>0</v>
      </c>
      <c r="H12" s="16">
        <f>Costs!H128</f>
        <v>0</v>
      </c>
      <c r="I12" s="16">
        <f>Costs!I128</f>
        <v>0</v>
      </c>
      <c r="J12" s="16">
        <f>Costs!J128</f>
        <v>125</v>
      </c>
      <c r="K12" s="16">
        <f>Costs!K128</f>
        <v>125</v>
      </c>
      <c r="L12" s="16">
        <f>Costs!L128</f>
        <v>125</v>
      </c>
      <c r="M12" s="16">
        <f>Costs!M128</f>
        <v>125</v>
      </c>
      <c r="N12" s="16">
        <f>Costs!N128</f>
        <v>135</v>
      </c>
      <c r="O12" s="16">
        <f>Costs!O128</f>
        <v>135</v>
      </c>
      <c r="P12" s="16">
        <f>Costs!P128</f>
        <v>135</v>
      </c>
      <c r="Q12" s="16">
        <f>Costs!Q128</f>
        <v>135</v>
      </c>
      <c r="R12" s="16">
        <f>Costs!R128</f>
        <v>135</v>
      </c>
      <c r="S12" s="16">
        <f>Costs!S128</f>
        <v>135</v>
      </c>
      <c r="T12" s="16">
        <f>Costs!T128</f>
        <v>135</v>
      </c>
      <c r="U12" s="16">
        <f>Costs!U128</f>
        <v>135</v>
      </c>
      <c r="V12" s="16">
        <f>Costs!V128</f>
        <v>135</v>
      </c>
      <c r="W12" s="16">
        <f>Costs!W128</f>
        <v>135</v>
      </c>
      <c r="X12" s="16">
        <f>Costs!X128</f>
        <v>135</v>
      </c>
      <c r="Y12" s="16">
        <f>Costs!Y128</f>
        <v>472.5</v>
      </c>
      <c r="Z12" s="16">
        <f>Costs!Z128</f>
        <v>510.3</v>
      </c>
      <c r="AA12" s="16">
        <f>Costs!AA128</f>
        <v>510.3</v>
      </c>
      <c r="AB12" s="16">
        <f>Costs!AB128</f>
        <v>874.80000000000007</v>
      </c>
      <c r="AC12" s="16">
        <f>Costs!AC128</f>
        <v>874.80000000000007</v>
      </c>
      <c r="AD12" s="16">
        <f>Costs!AD128</f>
        <v>874.80000000000007</v>
      </c>
      <c r="AE12" s="16">
        <f>Costs!AE128</f>
        <v>1239.3000000000002</v>
      </c>
      <c r="AF12" s="16">
        <f>Costs!AF128</f>
        <v>1239.3000000000002</v>
      </c>
      <c r="AG12" s="16">
        <f>Costs!AG128</f>
        <v>1239.3000000000002</v>
      </c>
      <c r="AH12" s="16">
        <f>Costs!AH128</f>
        <v>1603.8000000000002</v>
      </c>
      <c r="AI12" s="16">
        <f>Costs!AI128</f>
        <v>1603.8000000000002</v>
      </c>
      <c r="AJ12" s="16">
        <f>Costs!AJ128</f>
        <v>1603.8000000000002</v>
      </c>
      <c r="AK12" s="16">
        <f>Costs!AK128</f>
        <v>1968.3000000000004</v>
      </c>
      <c r="AL12" s="16">
        <f>Costs!AL128</f>
        <v>2125.7640000000006</v>
      </c>
      <c r="AM12" s="16">
        <f>Costs!AM128</f>
        <v>2125.7640000000006</v>
      </c>
      <c r="AN12" s="16">
        <f>Costs!AN128</f>
        <v>2519.4240000000004</v>
      </c>
      <c r="AO12" s="16">
        <f>Costs!AO128</f>
        <v>2519.4240000000004</v>
      </c>
      <c r="AP12" s="16">
        <f>Costs!AP128</f>
        <v>2519.4240000000004</v>
      </c>
      <c r="AQ12" s="16">
        <f>Costs!AQ128</f>
        <v>2913.0840000000003</v>
      </c>
      <c r="AR12" s="16">
        <f>Costs!AR128</f>
        <v>2913.0840000000003</v>
      </c>
      <c r="AS12" s="16">
        <f>Costs!AS128</f>
        <v>2913.0840000000003</v>
      </c>
      <c r="AT12" s="16">
        <f>Costs!AT128</f>
        <v>3306.7440000000006</v>
      </c>
      <c r="AU12" s="16">
        <f>Costs!AU128</f>
        <v>3306.7440000000006</v>
      </c>
      <c r="AV12" s="16">
        <f>Costs!AV128</f>
        <v>3306.7440000000006</v>
      </c>
      <c r="AW12" s="16">
        <f>Costs!AW128</f>
        <v>3306.7440000000006</v>
      </c>
      <c r="AX12" s="16">
        <f>Costs!AX128</f>
        <v>3571.2835200000009</v>
      </c>
      <c r="AY12" s="16">
        <f>Costs!AY128</f>
        <v>3571.2835200000009</v>
      </c>
      <c r="AZ12" s="16">
        <f>Costs!AZ128</f>
        <v>3996.4363200000007</v>
      </c>
      <c r="BA12" s="16">
        <f>Costs!BA128</f>
        <v>3996.4363200000007</v>
      </c>
    </row>
    <row r="13" spans="1:53" x14ac:dyDescent="0.35">
      <c r="A13" s="2" t="s">
        <v>302</v>
      </c>
      <c r="B13" s="17">
        <f>SUM(B10:B12)</f>
        <v>1000</v>
      </c>
      <c r="C13" s="17">
        <f t="shared" ref="C13:BA13" si="2">SUM(C10:C12)</f>
        <v>1050</v>
      </c>
      <c r="D13" s="17">
        <f t="shared" si="2"/>
        <v>1102.5</v>
      </c>
      <c r="E13" s="17">
        <f t="shared" si="2"/>
        <v>1157.6250000000002</v>
      </c>
      <c r="F13" s="17">
        <f t="shared" si="2"/>
        <v>1215.5062499999999</v>
      </c>
      <c r="G13" s="17">
        <f t="shared" si="2"/>
        <v>1276.2815625000001</v>
      </c>
      <c r="H13" s="17">
        <f t="shared" si="2"/>
        <v>1340.095640625</v>
      </c>
      <c r="I13" s="17">
        <f t="shared" si="2"/>
        <v>1407.1004226562502</v>
      </c>
      <c r="J13" s="17">
        <f t="shared" si="2"/>
        <v>1852.4554437890627</v>
      </c>
      <c r="K13" s="17">
        <f t="shared" si="2"/>
        <v>1926.3282159785158</v>
      </c>
      <c r="L13" s="17">
        <f t="shared" si="2"/>
        <v>2003.8946267774415</v>
      </c>
      <c r="M13" s="17">
        <f t="shared" si="2"/>
        <v>2085.3393581163136</v>
      </c>
      <c r="N13" s="17">
        <f t="shared" si="2"/>
        <v>2180.856326022129</v>
      </c>
      <c r="O13" s="17">
        <f t="shared" si="2"/>
        <v>2270.649142323236</v>
      </c>
      <c r="P13" s="17">
        <f t="shared" si="2"/>
        <v>2364.9315994393974</v>
      </c>
      <c r="Q13" s="17">
        <f t="shared" si="2"/>
        <v>2463.9281794113681</v>
      </c>
      <c r="R13" s="17">
        <f t="shared" si="2"/>
        <v>2567.8745883819361</v>
      </c>
      <c r="S13" s="17">
        <f t="shared" si="2"/>
        <v>2677.0183178010329</v>
      </c>
      <c r="T13" s="17">
        <f t="shared" si="2"/>
        <v>2791.6192336910849</v>
      </c>
      <c r="U13" s="17">
        <f t="shared" si="2"/>
        <v>2911.9501953756389</v>
      </c>
      <c r="V13" s="17">
        <f t="shared" si="2"/>
        <v>3038.2977051444209</v>
      </c>
      <c r="W13" s="17">
        <f t="shared" si="2"/>
        <v>3170.962590401642</v>
      </c>
      <c r="X13" s="17">
        <f t="shared" si="2"/>
        <v>3310.2607199217236</v>
      </c>
      <c r="Y13" s="17">
        <f t="shared" si="2"/>
        <v>3794.0237559178104</v>
      </c>
      <c r="Z13" s="17">
        <f t="shared" si="2"/>
        <v>3985.3999437137008</v>
      </c>
      <c r="AA13" s="17">
        <f t="shared" si="2"/>
        <v>4146.654940899386</v>
      </c>
      <c r="AB13" s="17">
        <f t="shared" si="2"/>
        <v>4680.4726879443551</v>
      </c>
      <c r="AC13" s="17">
        <f t="shared" si="2"/>
        <v>4858.2563223415737</v>
      </c>
      <c r="AD13" s="17">
        <f t="shared" si="2"/>
        <v>5044.9291384586513</v>
      </c>
      <c r="AE13" s="17">
        <f t="shared" si="2"/>
        <v>5605.4355953815848</v>
      </c>
      <c r="AF13" s="17">
        <f t="shared" si="2"/>
        <v>5811.2423751506631</v>
      </c>
      <c r="AG13" s="17">
        <f t="shared" si="2"/>
        <v>6027.3394939081973</v>
      </c>
      <c r="AH13" s="17">
        <f t="shared" si="2"/>
        <v>6618.7414686036072</v>
      </c>
      <c r="AI13" s="17">
        <f t="shared" si="2"/>
        <v>6856.9885420337878</v>
      </c>
      <c r="AJ13" s="17">
        <f t="shared" si="2"/>
        <v>7107.1479691354771</v>
      </c>
      <c r="AK13" s="17">
        <f t="shared" si="2"/>
        <v>7734.3153675922513</v>
      </c>
      <c r="AL13" s="17">
        <f t="shared" si="2"/>
        <v>8167.5801359718644</v>
      </c>
      <c r="AM13" s="17">
        <f t="shared" si="2"/>
        <v>8457.1709427704573</v>
      </c>
      <c r="AN13" s="17">
        <f t="shared" si="2"/>
        <v>9154.9012899089794</v>
      </c>
      <c r="AO13" s="17">
        <f t="shared" si="2"/>
        <v>9474.1751544044291</v>
      </c>
      <c r="AP13" s="17">
        <f t="shared" si="2"/>
        <v>9809.4127121246493</v>
      </c>
      <c r="AQ13" s="17">
        <f t="shared" si="2"/>
        <v>10555.072147730882</v>
      </c>
      <c r="AR13" s="17">
        <f t="shared" si="2"/>
        <v>10924.671555117426</v>
      </c>
      <c r="AS13" s="17">
        <f t="shared" si="2"/>
        <v>11312.750932873299</v>
      </c>
      <c r="AT13" s="17">
        <f t="shared" si="2"/>
        <v>12113.894279516962</v>
      </c>
      <c r="AU13" s="17">
        <f t="shared" si="2"/>
        <v>12541.751793492813</v>
      </c>
      <c r="AV13" s="17">
        <f t="shared" si="2"/>
        <v>12991.002183167451</v>
      </c>
      <c r="AW13" s="17">
        <f t="shared" si="2"/>
        <v>13462.715092325827</v>
      </c>
      <c r="AX13" s="17">
        <f t="shared" si="2"/>
        <v>14222.553166942118</v>
      </c>
      <c r="AY13" s="17">
        <f t="shared" si="2"/>
        <v>14742.616649289224</v>
      </c>
      <c r="AZ13" s="17">
        <f t="shared" si="2"/>
        <v>15713.836105753686</v>
      </c>
      <c r="BA13" s="17">
        <f t="shared" si="2"/>
        <v>16287.206095041369</v>
      </c>
    </row>
    <row r="15" spans="1:53" x14ac:dyDescent="0.35">
      <c r="A15" s="2" t="s">
        <v>303</v>
      </c>
      <c r="B15" s="17">
        <f t="shared" ref="B15:AG15" si="3">B7-B13</f>
        <v>-1000</v>
      </c>
      <c r="C15" s="17">
        <f t="shared" si="3"/>
        <v>-1050</v>
      </c>
      <c r="D15" s="17">
        <f t="shared" si="3"/>
        <v>-1102.5</v>
      </c>
      <c r="E15" s="17">
        <f t="shared" si="3"/>
        <v>-1157.6250000000002</v>
      </c>
      <c r="F15" s="17">
        <f t="shared" si="3"/>
        <v>-1215.5062499999999</v>
      </c>
      <c r="G15" s="17">
        <f t="shared" si="3"/>
        <v>-1276.2815625000001</v>
      </c>
      <c r="H15" s="17">
        <f t="shared" si="3"/>
        <v>-1340.095640625</v>
      </c>
      <c r="I15" s="17">
        <f t="shared" si="3"/>
        <v>-1407.1004226562502</v>
      </c>
      <c r="J15" s="17">
        <f t="shared" si="3"/>
        <v>3147.5445562109371</v>
      </c>
      <c r="K15" s="17">
        <f t="shared" si="3"/>
        <v>3073.6717840214842</v>
      </c>
      <c r="L15" s="17">
        <f t="shared" si="3"/>
        <v>2996.1053732225582</v>
      </c>
      <c r="M15" s="17">
        <f t="shared" si="3"/>
        <v>2914.6606418836864</v>
      </c>
      <c r="N15" s="17">
        <f t="shared" si="3"/>
        <v>3219.143673977871</v>
      </c>
      <c r="O15" s="17">
        <f t="shared" si="3"/>
        <v>3129.350857676764</v>
      </c>
      <c r="P15" s="17">
        <f t="shared" si="3"/>
        <v>3035.0684005606026</v>
      </c>
      <c r="Q15" s="17">
        <f t="shared" si="3"/>
        <v>2936.0718205886319</v>
      </c>
      <c r="R15" s="17">
        <f t="shared" si="3"/>
        <v>2832.1254116180639</v>
      </c>
      <c r="S15" s="17">
        <f t="shared" si="3"/>
        <v>2722.9816821989671</v>
      </c>
      <c r="T15" s="17">
        <f t="shared" si="3"/>
        <v>2608.3807663089151</v>
      </c>
      <c r="U15" s="17">
        <f t="shared" si="3"/>
        <v>2488.0498046243611</v>
      </c>
      <c r="V15" s="17">
        <f t="shared" si="3"/>
        <v>2361.7022948555791</v>
      </c>
      <c r="W15" s="17">
        <f t="shared" si="3"/>
        <v>2229.037409598358</v>
      </c>
      <c r="X15" s="17">
        <f t="shared" si="3"/>
        <v>2089.7392800782764</v>
      </c>
      <c r="Y15" s="17">
        <f t="shared" si="3"/>
        <v>15105.976244082191</v>
      </c>
      <c r="Z15" s="17">
        <f t="shared" si="3"/>
        <v>16426.600056286297</v>
      </c>
      <c r="AA15" s="17">
        <f t="shared" si="3"/>
        <v>16265.345059100615</v>
      </c>
      <c r="AB15" s="17">
        <f t="shared" si="3"/>
        <v>30311.527312055645</v>
      </c>
      <c r="AC15" s="17">
        <f t="shared" si="3"/>
        <v>30133.743677658425</v>
      </c>
      <c r="AD15" s="17">
        <f t="shared" si="3"/>
        <v>29947.07086154135</v>
      </c>
      <c r="AE15" s="17">
        <f t="shared" si="3"/>
        <v>43966.564404618424</v>
      </c>
      <c r="AF15" s="17">
        <f t="shared" si="3"/>
        <v>43760.757624849342</v>
      </c>
      <c r="AG15" s="17">
        <f t="shared" si="3"/>
        <v>43544.660506091808</v>
      </c>
      <c r="AH15" s="17">
        <f t="shared" ref="AH15:BA15" si="4">AH7-AH13</f>
        <v>57533.258531396401</v>
      </c>
      <c r="AI15" s="17">
        <f t="shared" si="4"/>
        <v>57295.011457966219</v>
      </c>
      <c r="AJ15" s="17">
        <f t="shared" si="4"/>
        <v>57044.852030864531</v>
      </c>
      <c r="AK15" s="17">
        <f t="shared" si="4"/>
        <v>70997.684632407763</v>
      </c>
      <c r="AL15" s="17">
        <f t="shared" si="4"/>
        <v>76862.979864028151</v>
      </c>
      <c r="AM15" s="17">
        <f>AM7-AM13</f>
        <v>76573.38905722955</v>
      </c>
      <c r="AN15" s="17">
        <f t="shared" si="4"/>
        <v>91622.05871009102</v>
      </c>
      <c r="AO15" s="17">
        <f t="shared" si="4"/>
        <v>91302.784845595583</v>
      </c>
      <c r="AP15" s="17">
        <f t="shared" si="4"/>
        <v>90967.54728787535</v>
      </c>
      <c r="AQ15" s="17">
        <f t="shared" si="4"/>
        <v>105968.28785226912</v>
      </c>
      <c r="AR15" s="17">
        <f t="shared" si="4"/>
        <v>105598.68844488257</v>
      </c>
      <c r="AS15" s="17">
        <f t="shared" si="4"/>
        <v>105210.6090671267</v>
      </c>
      <c r="AT15" s="17">
        <f t="shared" si="4"/>
        <v>120155.86572048305</v>
      </c>
      <c r="AU15" s="17">
        <f t="shared" si="4"/>
        <v>119728.00820650719</v>
      </c>
      <c r="AV15" s="17">
        <f t="shared" si="4"/>
        <v>119278.75781683256</v>
      </c>
      <c r="AW15" s="17">
        <f t="shared" si="4"/>
        <v>118807.04490767418</v>
      </c>
      <c r="AX15" s="17">
        <f t="shared" si="4"/>
        <v>128628.78763305792</v>
      </c>
      <c r="AY15" s="17">
        <f t="shared" si="4"/>
        <v>128108.72415071081</v>
      </c>
      <c r="AZ15" s="17">
        <f t="shared" si="4"/>
        <v>144143.61669424633</v>
      </c>
      <c r="BA15" s="17">
        <f t="shared" si="4"/>
        <v>143570.24670495867</v>
      </c>
    </row>
    <row r="16" spans="1:53" x14ac:dyDescent="0.35">
      <c r="A16" s="3" t="s">
        <v>304</v>
      </c>
      <c r="B16" s="18">
        <f t="shared" ref="B16:AG16" si="5">IFERROR(B15/B7,0)</f>
        <v>0</v>
      </c>
      <c r="C16" s="18">
        <f t="shared" si="5"/>
        <v>0</v>
      </c>
      <c r="D16" s="18">
        <f t="shared" si="5"/>
        <v>0</v>
      </c>
      <c r="E16" s="18">
        <f t="shared" si="5"/>
        <v>0</v>
      </c>
      <c r="F16" s="18">
        <f t="shared" si="5"/>
        <v>0</v>
      </c>
      <c r="G16" s="18">
        <f t="shared" si="5"/>
        <v>0</v>
      </c>
      <c r="H16" s="18">
        <f t="shared" si="5"/>
        <v>0</v>
      </c>
      <c r="I16" s="18">
        <f t="shared" si="5"/>
        <v>0</v>
      </c>
      <c r="J16" s="18">
        <f t="shared" si="5"/>
        <v>0.62950891124218744</v>
      </c>
      <c r="K16" s="18">
        <f t="shared" si="5"/>
        <v>0.61473435680429689</v>
      </c>
      <c r="L16" s="18">
        <f t="shared" si="5"/>
        <v>0.59922107464451169</v>
      </c>
      <c r="M16" s="18">
        <f t="shared" si="5"/>
        <v>0.58293212837673725</v>
      </c>
      <c r="N16" s="18">
        <f t="shared" si="5"/>
        <v>0.59613771740330945</v>
      </c>
      <c r="O16" s="18">
        <f t="shared" si="5"/>
        <v>0.5795094180882896</v>
      </c>
      <c r="P16" s="18">
        <f t="shared" si="5"/>
        <v>0.56204970380751895</v>
      </c>
      <c r="Q16" s="18">
        <f t="shared" si="5"/>
        <v>0.5437170038127096</v>
      </c>
      <c r="R16" s="18">
        <f t="shared" si="5"/>
        <v>0.52446766881815998</v>
      </c>
      <c r="S16" s="18">
        <f t="shared" si="5"/>
        <v>0.50425586707388281</v>
      </c>
      <c r="T16" s="18">
        <f t="shared" si="5"/>
        <v>0.48303347524239171</v>
      </c>
      <c r="U16" s="18">
        <f t="shared" si="5"/>
        <v>0.46074996381932615</v>
      </c>
      <c r="V16" s="18">
        <f t="shared" si="5"/>
        <v>0.43735227682510724</v>
      </c>
      <c r="W16" s="18">
        <f t="shared" si="5"/>
        <v>0.41278470548117741</v>
      </c>
      <c r="X16" s="18">
        <f t="shared" si="5"/>
        <v>0.38698875557005119</v>
      </c>
      <c r="Y16" s="18">
        <f t="shared" si="5"/>
        <v>0.79925800233239108</v>
      </c>
      <c r="Z16" s="18">
        <f t="shared" si="5"/>
        <v>0.80475210936146857</v>
      </c>
      <c r="AA16" s="18">
        <f t="shared" si="5"/>
        <v>0.79685209970118631</v>
      </c>
      <c r="AB16" s="18">
        <f t="shared" si="5"/>
        <v>0.86624163557543565</v>
      </c>
      <c r="AC16" s="18">
        <f t="shared" si="5"/>
        <v>0.86116094186266645</v>
      </c>
      <c r="AD16" s="18">
        <f t="shared" si="5"/>
        <v>0.85582621346425891</v>
      </c>
      <c r="AE16" s="18">
        <f t="shared" si="5"/>
        <v>0.8869233519853631</v>
      </c>
      <c r="AF16" s="18">
        <f t="shared" si="5"/>
        <v>0.8827716780611905</v>
      </c>
      <c r="AG16" s="18">
        <f t="shared" si="5"/>
        <v>0.87841242044080936</v>
      </c>
      <c r="AH16" s="18">
        <f t="shared" ref="AH16:BA16" si="6">IFERROR(AH15/AH7,0)</f>
        <v>0.89682719995317983</v>
      </c>
      <c r="AI16" s="18">
        <f t="shared" si="6"/>
        <v>0.89311340968272557</v>
      </c>
      <c r="AJ16" s="18">
        <f t="shared" si="6"/>
        <v>0.8892139298987487</v>
      </c>
      <c r="AK16" s="18">
        <f t="shared" si="6"/>
        <v>0.90176401758380009</v>
      </c>
      <c r="AL16" s="18">
        <f t="shared" si="6"/>
        <v>0.90394535639925389</v>
      </c>
      <c r="AM16" s="18">
        <f t="shared" si="6"/>
        <v>0.90053963018977579</v>
      </c>
      <c r="AN16" s="18">
        <f t="shared" si="6"/>
        <v>0.90915680240891383</v>
      </c>
      <c r="AO16" s="18">
        <f t="shared" si="6"/>
        <v>0.90598867881701906</v>
      </c>
      <c r="AP16" s="18">
        <f t="shared" si="6"/>
        <v>0.90266214904552933</v>
      </c>
      <c r="AQ16" s="18">
        <f t="shared" si="6"/>
        <v>0.90941668565229428</v>
      </c>
      <c r="AR16" s="18">
        <f t="shared" si="6"/>
        <v>0.90624479456207385</v>
      </c>
      <c r="AS16" s="18">
        <f t="shared" si="6"/>
        <v>0.90291430891734237</v>
      </c>
      <c r="AT16" s="18">
        <f t="shared" si="6"/>
        <v>0.90841523958675852</v>
      </c>
      <c r="AU16" s="18">
        <f t="shared" si="6"/>
        <v>0.90518050540431294</v>
      </c>
      <c r="AV16" s="18">
        <f t="shared" si="6"/>
        <v>0.90178403451274536</v>
      </c>
      <c r="AW16" s="18">
        <f t="shared" si="6"/>
        <v>0.89821774007659927</v>
      </c>
      <c r="AX16" s="18">
        <f t="shared" si="6"/>
        <v>0.90043808418393145</v>
      </c>
      <c r="AY16" s="18">
        <f t="shared" si="6"/>
        <v>0.8967974919470324</v>
      </c>
      <c r="AZ16" s="18">
        <f t="shared" si="6"/>
        <v>0.9017009477474065</v>
      </c>
      <c r="BA16" s="18">
        <f t="shared" si="6"/>
        <v>0.89811418979996815</v>
      </c>
    </row>
    <row r="18" spans="1:53" x14ac:dyDescent="0.35">
      <c r="A18" s="2" t="s">
        <v>305</v>
      </c>
    </row>
    <row r="19" spans="1:53" x14ac:dyDescent="0.35">
      <c r="A19" s="3" t="s">
        <v>306</v>
      </c>
      <c r="B19" s="16">
        <f>Costs!B78</f>
        <v>21780</v>
      </c>
      <c r="C19" s="16">
        <f>Costs!C78</f>
        <v>21780</v>
      </c>
      <c r="D19" s="16">
        <f>Costs!D78</f>
        <v>21780</v>
      </c>
      <c r="E19" s="16">
        <f>Costs!E78</f>
        <v>21780</v>
      </c>
      <c r="F19" s="16">
        <f>Costs!F78</f>
        <v>21780</v>
      </c>
      <c r="G19" s="16">
        <f>Costs!G78</f>
        <v>21780</v>
      </c>
      <c r="H19" s="16">
        <f>Costs!H78</f>
        <v>30855</v>
      </c>
      <c r="I19" s="16">
        <f>Costs!I78</f>
        <v>41946.666666666664</v>
      </c>
      <c r="J19" s="16">
        <f>Costs!J78</f>
        <v>47996.666666666664</v>
      </c>
      <c r="K19" s="16">
        <f>Costs!K78</f>
        <v>70180</v>
      </c>
      <c r="L19" s="16">
        <f>Costs!L78</f>
        <v>76734.166666666657</v>
      </c>
      <c r="M19" s="16">
        <f>Costs!M78</f>
        <v>83288.333333333328</v>
      </c>
      <c r="N19" s="16">
        <f>Costs!N78</f>
        <v>95922.75</v>
      </c>
      <c r="O19" s="16">
        <f>Costs!O78</f>
        <v>112333.375</v>
      </c>
      <c r="P19" s="16">
        <f>Costs!P78</f>
        <v>112333.375</v>
      </c>
      <c r="Q19" s="16">
        <f>Costs!Q78</f>
        <v>112333.375</v>
      </c>
      <c r="R19" s="16">
        <f>Costs!R78</f>
        <v>112333.375</v>
      </c>
      <c r="S19" s="16">
        <f>Costs!S78</f>
        <v>140390.25</v>
      </c>
      <c r="T19" s="16">
        <f>Costs!T78</f>
        <v>140390.25</v>
      </c>
      <c r="U19" s="16">
        <f>Costs!U78</f>
        <v>146742.75</v>
      </c>
      <c r="V19" s="16">
        <f>Costs!V78</f>
        <v>146742.75</v>
      </c>
      <c r="W19" s="16">
        <f>Costs!W78</f>
        <v>158389</v>
      </c>
      <c r="X19" s="16">
        <f>Costs!X78</f>
        <v>158389</v>
      </c>
      <c r="Y19" s="16">
        <f>Costs!Y78</f>
        <v>174799.625</v>
      </c>
      <c r="Z19" s="16">
        <f>Costs!Z78</f>
        <v>183539.60625000001</v>
      </c>
      <c r="AA19" s="16">
        <f>Costs!AA78</f>
        <v>197991.54375000001</v>
      </c>
      <c r="AB19" s="16">
        <f>Costs!AB78</f>
        <v>197991.54375000001</v>
      </c>
      <c r="AC19" s="16">
        <f>Costs!AC78</f>
        <v>205217.51250000001</v>
      </c>
      <c r="AD19" s="16">
        <f>Costs!AD78</f>
        <v>205217.51250000001</v>
      </c>
      <c r="AE19" s="16">
        <f>Costs!AE78</f>
        <v>224116.2</v>
      </c>
      <c r="AF19" s="16">
        <f>Costs!AF78</f>
        <v>224116.2</v>
      </c>
      <c r="AG19" s="16">
        <f>Costs!AG78</f>
        <v>230786.32500000001</v>
      </c>
      <c r="AH19" s="16">
        <f>Costs!AH78</f>
        <v>230786.32500000001</v>
      </c>
      <c r="AI19" s="16">
        <f>Costs!AI78</f>
        <v>243014.88750000001</v>
      </c>
      <c r="AJ19" s="16">
        <f>Costs!AJ78</f>
        <v>243014.88750000001</v>
      </c>
      <c r="AK19" s="16">
        <f>Costs!AK78</f>
        <v>264692.79375000001</v>
      </c>
      <c r="AL19" s="16">
        <f>Costs!AL78</f>
        <v>277927.43343750003</v>
      </c>
      <c r="AM19" s="16">
        <f>Costs!AM78</f>
        <v>288432.88031250006</v>
      </c>
      <c r="AN19" s="16">
        <f>Costs!AN78</f>
        <v>288432.88031250006</v>
      </c>
      <c r="AO19" s="16">
        <f>Costs!AO78</f>
        <v>303023.77875000006</v>
      </c>
      <c r="AP19" s="16">
        <f>Costs!AP78</f>
        <v>303023.77875000006</v>
      </c>
      <c r="AQ19" s="16">
        <f>Costs!AQ78</f>
        <v>328703.76000000007</v>
      </c>
      <c r="AR19" s="16">
        <f>Costs!AR78</f>
        <v>328703.76000000007</v>
      </c>
      <c r="AS19" s="16">
        <f>Costs!AS78</f>
        <v>349131.01781250001</v>
      </c>
      <c r="AT19" s="16">
        <f>Costs!AT78</f>
        <v>349131.01781250001</v>
      </c>
      <c r="AU19" s="16">
        <f>Costs!AU78</f>
        <v>349131.01781250001</v>
      </c>
      <c r="AV19" s="16">
        <f>Costs!AV78</f>
        <v>349131.01781250001</v>
      </c>
      <c r="AW19" s="16">
        <f>Costs!AW78</f>
        <v>349131.01781250001</v>
      </c>
      <c r="AX19" s="16">
        <f>Costs!AX78</f>
        <v>366587.568703125</v>
      </c>
      <c r="AY19" s="16">
        <f>Costs!AY78</f>
        <v>366587.568703125</v>
      </c>
      <c r="AZ19" s="16">
        <f>Costs!AZ78</f>
        <v>366587.568703125</v>
      </c>
      <c r="BA19" s="16">
        <f>Costs!BA78</f>
        <v>366587.568703125</v>
      </c>
    </row>
    <row r="20" spans="1:53" x14ac:dyDescent="0.35">
      <c r="A20" s="3" t="s">
        <v>307</v>
      </c>
      <c r="B20" s="16">
        <f>Costs!B87</f>
        <v>6816.6666666666661</v>
      </c>
      <c r="C20" s="16">
        <f>Costs!C87</f>
        <v>6866.6666666666661</v>
      </c>
      <c r="D20" s="16">
        <f>Costs!D87</f>
        <v>6919.1666666666661</v>
      </c>
      <c r="E20" s="16">
        <f>Costs!E87</f>
        <v>6974.2916666666661</v>
      </c>
      <c r="F20" s="16">
        <f>Costs!F87</f>
        <v>7032.1729166666664</v>
      </c>
      <c r="G20" s="16">
        <f>Costs!G87</f>
        <v>7092.9482291666664</v>
      </c>
      <c r="H20" s="16">
        <f>Costs!H87</f>
        <v>7256.7623072916667</v>
      </c>
      <c r="I20" s="16">
        <f>Costs!I87</f>
        <v>7423.7670893229169</v>
      </c>
      <c r="J20" s="16">
        <f>Costs!J87</f>
        <v>7844.1221104557299</v>
      </c>
      <c r="K20" s="16">
        <f>Costs!K87</f>
        <v>8117.9948826451828</v>
      </c>
      <c r="L20" s="16">
        <f>Costs!L87</f>
        <v>8295.5612934441087</v>
      </c>
      <c r="M20" s="16">
        <f>Costs!M87</f>
        <v>8477.0060247829806</v>
      </c>
      <c r="N20" s="16">
        <f>Costs!N87</f>
        <v>8662.5229926887951</v>
      </c>
      <c r="O20" s="16">
        <f>Costs!O87</f>
        <v>8952.3158089899043</v>
      </c>
      <c r="P20" s="16">
        <f>Costs!P87</f>
        <v>9046.5982661060643</v>
      </c>
      <c r="Q20" s="16">
        <f>Costs!Q87</f>
        <v>9145.5948460780346</v>
      </c>
      <c r="R20" s="16">
        <f>Costs!R87</f>
        <v>9249.5412550486035</v>
      </c>
      <c r="S20" s="16">
        <f>Costs!S87</f>
        <v>9658.6849844676999</v>
      </c>
      <c r="T20" s="16">
        <f>Costs!T87</f>
        <v>9773.2859003577505</v>
      </c>
      <c r="U20" s="16">
        <f>Costs!U87</f>
        <v>9993.616862042305</v>
      </c>
      <c r="V20" s="16">
        <f>Costs!V87</f>
        <v>10119.964371811089</v>
      </c>
      <c r="W20" s="16">
        <f>Costs!W87</f>
        <v>10352.629257068309</v>
      </c>
      <c r="X20" s="16">
        <f>Costs!X87</f>
        <v>10491.927386588392</v>
      </c>
      <c r="Y20" s="16">
        <f>Costs!Y87</f>
        <v>10838.190422584477</v>
      </c>
      <c r="Z20" s="16">
        <f>Costs!Z87</f>
        <v>10991.766610380368</v>
      </c>
      <c r="AA20" s="16">
        <f>Costs!AA87</f>
        <v>11253.021607566054</v>
      </c>
      <c r="AB20" s="16">
        <f>Costs!AB87</f>
        <v>11422.339354611024</v>
      </c>
      <c r="AC20" s="16">
        <f>Costs!AC87</f>
        <v>11700.12298900824</v>
      </c>
      <c r="AD20" s="16">
        <f>Costs!AD87</f>
        <v>11886.795805125317</v>
      </c>
      <c r="AE20" s="16">
        <f>Costs!AE87</f>
        <v>12282.80226204825</v>
      </c>
      <c r="AF20" s="16">
        <f>Costs!AF87</f>
        <v>12488.609041817328</v>
      </c>
      <c r="AG20" s="16">
        <f>Costs!AG87</f>
        <v>12804.706160574862</v>
      </c>
      <c r="AH20" s="16">
        <f>Costs!AH87</f>
        <v>13031.608135270273</v>
      </c>
      <c r="AI20" s="16">
        <f>Costs!AI87</f>
        <v>13369.855208700454</v>
      </c>
      <c r="AJ20" s="16">
        <f>Costs!AJ87</f>
        <v>13620.014635802143</v>
      </c>
      <c r="AK20" s="16">
        <f>Costs!AK87</f>
        <v>14082.682034258918</v>
      </c>
      <c r="AL20" s="16">
        <f>Costs!AL87</f>
        <v>14358.482802638529</v>
      </c>
      <c r="AM20" s="16">
        <f>Costs!AM87</f>
        <v>14748.073609437122</v>
      </c>
      <c r="AN20" s="16">
        <f>Costs!AN87</f>
        <v>15052.143956575645</v>
      </c>
      <c r="AO20" s="16">
        <f>Costs!AO87</f>
        <v>15571.417821071094</v>
      </c>
      <c r="AP20" s="16">
        <f>Costs!AP87</f>
        <v>15906.655378791316</v>
      </c>
      <c r="AQ20" s="16">
        <f>Costs!AQ87</f>
        <v>16458.654814397545</v>
      </c>
      <c r="AR20" s="16">
        <f>Costs!AR87</f>
        <v>16828.254221784089</v>
      </c>
      <c r="AS20" s="16">
        <f>Costs!AS87</f>
        <v>17416.333599539965</v>
      </c>
      <c r="AT20" s="16">
        <f>Costs!AT87</f>
        <v>17823.81694618363</v>
      </c>
      <c r="AU20" s="16">
        <f>Costs!AU87</f>
        <v>18251.674460159476</v>
      </c>
      <c r="AV20" s="16">
        <f>Costs!AV87</f>
        <v>18700.924849834119</v>
      </c>
      <c r="AW20" s="16">
        <f>Costs!AW87</f>
        <v>19172.637758992492</v>
      </c>
      <c r="AX20" s="16">
        <f>Costs!AX87</f>
        <v>19667.936313608785</v>
      </c>
      <c r="AY20" s="16">
        <f>Costs!AY87</f>
        <v>20187.99979595589</v>
      </c>
      <c r="AZ20" s="16">
        <f>Costs!AZ87</f>
        <v>20734.066452420353</v>
      </c>
      <c r="BA20" s="16">
        <f>Costs!BA87</f>
        <v>21307.436441708036</v>
      </c>
    </row>
    <row r="21" spans="1:53" x14ac:dyDescent="0.35">
      <c r="A21" s="3" t="s">
        <v>308</v>
      </c>
      <c r="B21" s="16">
        <f>Costs!B94</f>
        <v>2040</v>
      </c>
      <c r="C21" s="16">
        <f>Costs!C94</f>
        <v>2040</v>
      </c>
      <c r="D21" s="16">
        <f>Costs!D94</f>
        <v>2040</v>
      </c>
      <c r="E21" s="16">
        <f>Costs!E94</f>
        <v>2040</v>
      </c>
      <c r="F21" s="16">
        <f>Costs!F94</f>
        <v>2040</v>
      </c>
      <c r="G21" s="16">
        <f>Costs!G94</f>
        <v>2040</v>
      </c>
      <c r="H21" s="16">
        <f>Costs!H94</f>
        <v>2070</v>
      </c>
      <c r="I21" s="16">
        <f>Costs!I94</f>
        <v>2100</v>
      </c>
      <c r="J21" s="16">
        <f>Costs!J94</f>
        <v>2130</v>
      </c>
      <c r="K21" s="16">
        <f>Costs!K94</f>
        <v>2190</v>
      </c>
      <c r="L21" s="16">
        <f>Costs!L94</f>
        <v>2220</v>
      </c>
      <c r="M21" s="16">
        <f>Costs!M94</f>
        <v>2250</v>
      </c>
      <c r="N21" s="16">
        <f>Costs!N94</f>
        <v>2280</v>
      </c>
      <c r="O21" s="16">
        <f>Costs!O94</f>
        <v>2340</v>
      </c>
      <c r="P21" s="16">
        <f>Costs!P94</f>
        <v>2340</v>
      </c>
      <c r="Q21" s="16">
        <f>Costs!Q94</f>
        <v>2340</v>
      </c>
      <c r="R21" s="16">
        <f>Costs!R94</f>
        <v>2340</v>
      </c>
      <c r="S21" s="16">
        <f>Costs!S94</f>
        <v>5430</v>
      </c>
      <c r="T21" s="16">
        <f>Costs!T94</f>
        <v>5430</v>
      </c>
      <c r="U21" s="16">
        <f>Costs!U94</f>
        <v>5460</v>
      </c>
      <c r="V21" s="16">
        <f>Costs!V94</f>
        <v>5460</v>
      </c>
      <c r="W21" s="16">
        <f>Costs!W94</f>
        <v>5490</v>
      </c>
      <c r="X21" s="16">
        <f>Costs!X94</f>
        <v>5490</v>
      </c>
      <c r="Y21" s="16">
        <f>Costs!Y94</f>
        <v>5550</v>
      </c>
      <c r="Z21" s="16">
        <f>Costs!Z94</f>
        <v>5550</v>
      </c>
      <c r="AA21" s="16">
        <f>Costs!AA94</f>
        <v>5580</v>
      </c>
      <c r="AB21" s="16">
        <f>Costs!AB94</f>
        <v>5580</v>
      </c>
      <c r="AC21" s="16">
        <f>Costs!AC94</f>
        <v>5610</v>
      </c>
      <c r="AD21" s="16">
        <f>Costs!AD94</f>
        <v>5610</v>
      </c>
      <c r="AE21" s="16">
        <f>Costs!AE94</f>
        <v>5670</v>
      </c>
      <c r="AF21" s="16">
        <f>Costs!AF94</f>
        <v>5670</v>
      </c>
      <c r="AG21" s="16">
        <f>Costs!AG94</f>
        <v>5700</v>
      </c>
      <c r="AH21" s="16">
        <f>Costs!AH94</f>
        <v>5700</v>
      </c>
      <c r="AI21" s="16">
        <f>Costs!AI94</f>
        <v>5730</v>
      </c>
      <c r="AJ21" s="16">
        <f>Costs!AJ94</f>
        <v>5730</v>
      </c>
      <c r="AK21" s="16">
        <f>Costs!AK94</f>
        <v>5790</v>
      </c>
      <c r="AL21" s="16">
        <f>Costs!AL94</f>
        <v>5790</v>
      </c>
      <c r="AM21" s="16">
        <f>Costs!AM94</f>
        <v>5820</v>
      </c>
      <c r="AN21" s="16">
        <f>Costs!AN94</f>
        <v>5820</v>
      </c>
      <c r="AO21" s="16">
        <f>Costs!AO94</f>
        <v>5880</v>
      </c>
      <c r="AP21" s="16">
        <f>Costs!AP94</f>
        <v>5880</v>
      </c>
      <c r="AQ21" s="16">
        <f>Costs!AQ94</f>
        <v>5940</v>
      </c>
      <c r="AR21" s="16">
        <f>Costs!AR94</f>
        <v>5940</v>
      </c>
      <c r="AS21" s="16">
        <f>Costs!AS94</f>
        <v>6000</v>
      </c>
      <c r="AT21" s="16">
        <f>Costs!AT94</f>
        <v>6000</v>
      </c>
      <c r="AU21" s="16">
        <f>Costs!AU94</f>
        <v>6000</v>
      </c>
      <c r="AV21" s="16">
        <f>Costs!AV94</f>
        <v>6000</v>
      </c>
      <c r="AW21" s="16">
        <f>Costs!AW94</f>
        <v>6000</v>
      </c>
      <c r="AX21" s="16">
        <f>Costs!AX94</f>
        <v>6000</v>
      </c>
      <c r="AY21" s="16">
        <f>Costs!AY94</f>
        <v>6000</v>
      </c>
      <c r="AZ21" s="16">
        <f>Costs!AZ94</f>
        <v>6000</v>
      </c>
      <c r="BA21" s="16">
        <f>Costs!BA94</f>
        <v>6000</v>
      </c>
    </row>
    <row r="22" spans="1:53" x14ac:dyDescent="0.35">
      <c r="A22" s="3" t="s">
        <v>309</v>
      </c>
      <c r="B22" s="16">
        <f>Costs!B101</f>
        <v>16883.333333333332</v>
      </c>
      <c r="C22" s="16">
        <f>Costs!C101</f>
        <v>1883.3333333333333</v>
      </c>
      <c r="D22" s="16">
        <f>Costs!D101</f>
        <v>1883.3333333333333</v>
      </c>
      <c r="E22" s="16">
        <f>Costs!E101</f>
        <v>1883.3333333333333</v>
      </c>
      <c r="F22" s="16">
        <f>Costs!F101</f>
        <v>16883.333333333332</v>
      </c>
      <c r="G22" s="16">
        <f>Costs!G101</f>
        <v>1883.3333333333333</v>
      </c>
      <c r="H22" s="16">
        <f>Costs!H101</f>
        <v>1883.3333333333333</v>
      </c>
      <c r="I22" s="16">
        <f>Costs!I101</f>
        <v>1883.3333333333333</v>
      </c>
      <c r="J22" s="16">
        <f>Costs!J101</f>
        <v>1883.3333333333333</v>
      </c>
      <c r="K22" s="16">
        <f>Costs!K101</f>
        <v>1883.3333333333333</v>
      </c>
      <c r="L22" s="16">
        <f>Costs!L101</f>
        <v>1883.3333333333333</v>
      </c>
      <c r="M22" s="16">
        <f>Costs!M101</f>
        <v>1883.3333333333333</v>
      </c>
      <c r="N22" s="16">
        <f>Costs!N101</f>
        <v>1883.3333333333333</v>
      </c>
      <c r="O22" s="16">
        <f>Costs!O101</f>
        <v>1883.3333333333333</v>
      </c>
      <c r="P22" s="16">
        <f>Costs!P101</f>
        <v>1883.3333333333333</v>
      </c>
      <c r="Q22" s="16">
        <f>Costs!Q101</f>
        <v>1883.3333333333333</v>
      </c>
      <c r="R22" s="16">
        <f>Costs!R101</f>
        <v>17883.333333333332</v>
      </c>
      <c r="S22" s="16">
        <f>Costs!S101</f>
        <v>2883.333333333333</v>
      </c>
      <c r="T22" s="16">
        <f>Costs!T101</f>
        <v>2883.333333333333</v>
      </c>
      <c r="U22" s="16">
        <f>Costs!U101</f>
        <v>2883.333333333333</v>
      </c>
      <c r="V22" s="16">
        <f>Costs!V101</f>
        <v>2883.333333333333</v>
      </c>
      <c r="W22" s="16">
        <f>Costs!W101</f>
        <v>2883.333333333333</v>
      </c>
      <c r="X22" s="16">
        <f>Costs!X101</f>
        <v>2883.333333333333</v>
      </c>
      <c r="Y22" s="16">
        <f>Costs!Y101</f>
        <v>2883.333333333333</v>
      </c>
      <c r="Z22" s="16">
        <f>Costs!Z101</f>
        <v>2883.333333333333</v>
      </c>
      <c r="AA22" s="16">
        <f>Costs!AA101</f>
        <v>2883.333333333333</v>
      </c>
      <c r="AB22" s="16">
        <f>Costs!AB101</f>
        <v>2883.333333333333</v>
      </c>
      <c r="AC22" s="16">
        <f>Costs!AC101</f>
        <v>2883.333333333333</v>
      </c>
      <c r="AD22" s="16">
        <f>Costs!AD101</f>
        <v>2883.333333333333</v>
      </c>
      <c r="AE22" s="16">
        <f>Costs!AE101</f>
        <v>2883.333333333333</v>
      </c>
      <c r="AF22" s="16">
        <f>Costs!AF101</f>
        <v>2883.333333333333</v>
      </c>
      <c r="AG22" s="16">
        <f>Costs!AG101</f>
        <v>2883.333333333333</v>
      </c>
      <c r="AH22" s="16">
        <f>Costs!AH101</f>
        <v>2883.333333333333</v>
      </c>
      <c r="AI22" s="16">
        <f>Costs!AI101</f>
        <v>2883.333333333333</v>
      </c>
      <c r="AJ22" s="16">
        <f>Costs!AJ101</f>
        <v>17883.333333333332</v>
      </c>
      <c r="AK22" s="16">
        <f>Costs!AK101</f>
        <v>2883.333333333333</v>
      </c>
      <c r="AL22" s="16">
        <f>Costs!AL101</f>
        <v>2883.333333333333</v>
      </c>
      <c r="AM22" s="16">
        <f>Costs!AM101</f>
        <v>2883.333333333333</v>
      </c>
      <c r="AN22" s="16">
        <f>Costs!AN101</f>
        <v>2883.333333333333</v>
      </c>
      <c r="AO22" s="16">
        <f>Costs!AO101</f>
        <v>2883.333333333333</v>
      </c>
      <c r="AP22" s="16">
        <f>Costs!AP101</f>
        <v>2883.333333333333</v>
      </c>
      <c r="AQ22" s="16">
        <f>Costs!AQ101</f>
        <v>2883.333333333333</v>
      </c>
      <c r="AR22" s="16">
        <f>Costs!AR101</f>
        <v>2883.333333333333</v>
      </c>
      <c r="AS22" s="16">
        <f>Costs!AS101</f>
        <v>2883.333333333333</v>
      </c>
      <c r="AT22" s="16">
        <f>Costs!AT101</f>
        <v>2883.333333333333</v>
      </c>
      <c r="AU22" s="16">
        <f>Costs!AU101</f>
        <v>2883.333333333333</v>
      </c>
      <c r="AV22" s="16">
        <f>Costs!AV101</f>
        <v>2883.333333333333</v>
      </c>
      <c r="AW22" s="16">
        <f>Costs!AW101</f>
        <v>2883.333333333333</v>
      </c>
      <c r="AX22" s="16">
        <f>Costs!AX101</f>
        <v>2883.333333333333</v>
      </c>
      <c r="AY22" s="16">
        <f>Costs!AY101</f>
        <v>2883.333333333333</v>
      </c>
      <c r="AZ22" s="16">
        <f>Costs!AZ101</f>
        <v>2883.333333333333</v>
      </c>
      <c r="BA22" s="16">
        <f>Costs!BA101</f>
        <v>2883.333333333333</v>
      </c>
    </row>
    <row r="23" spans="1:53" x14ac:dyDescent="0.35">
      <c r="A23" s="3" t="s">
        <v>310</v>
      </c>
      <c r="B23" s="16">
        <f>Costs!B108</f>
        <v>591.66666666666663</v>
      </c>
      <c r="C23" s="16">
        <f>Costs!C108</f>
        <v>591.66666666666663</v>
      </c>
      <c r="D23" s="16">
        <f>Costs!D108</f>
        <v>591.66666666666663</v>
      </c>
      <c r="E23" s="16">
        <f>Costs!E108</f>
        <v>591.66666666666663</v>
      </c>
      <c r="F23" s="16">
        <f>Costs!F108</f>
        <v>591.66666666666663</v>
      </c>
      <c r="G23" s="16">
        <f>Costs!G108</f>
        <v>591.66666666666663</v>
      </c>
      <c r="H23" s="16">
        <f>Costs!H108</f>
        <v>591.66666666666663</v>
      </c>
      <c r="I23" s="16">
        <f>Costs!I108</f>
        <v>591.66666666666663</v>
      </c>
      <c r="J23" s="16">
        <f>Costs!J108</f>
        <v>591.66666666666663</v>
      </c>
      <c r="K23" s="16">
        <f>Costs!K108</f>
        <v>591.66666666666663</v>
      </c>
      <c r="L23" s="16">
        <f>Costs!L108</f>
        <v>591.66666666666663</v>
      </c>
      <c r="M23" s="16">
        <f>Costs!M108</f>
        <v>591.66666666666663</v>
      </c>
      <c r="N23" s="16">
        <f>Costs!N108</f>
        <v>591.66666666666663</v>
      </c>
      <c r="O23" s="16">
        <f>Costs!O108</f>
        <v>591.66666666666663</v>
      </c>
      <c r="P23" s="16">
        <f>Costs!P108</f>
        <v>591.66666666666663</v>
      </c>
      <c r="Q23" s="16">
        <f>Costs!Q108</f>
        <v>591.66666666666663</v>
      </c>
      <c r="R23" s="16">
        <f>Costs!R108</f>
        <v>591.66666666666663</v>
      </c>
      <c r="S23" s="16">
        <f>Costs!S108</f>
        <v>591.66666666666663</v>
      </c>
      <c r="T23" s="16">
        <f>Costs!T108</f>
        <v>591.66666666666663</v>
      </c>
      <c r="U23" s="16">
        <f>Costs!U108</f>
        <v>591.66666666666663</v>
      </c>
      <c r="V23" s="16">
        <f>Costs!V108</f>
        <v>591.66666666666663</v>
      </c>
      <c r="W23" s="16">
        <f>Costs!W108</f>
        <v>591.66666666666663</v>
      </c>
      <c r="X23" s="16">
        <f>Costs!X108</f>
        <v>591.66666666666663</v>
      </c>
      <c r="Y23" s="16">
        <f>Costs!Y108</f>
        <v>591.66666666666663</v>
      </c>
      <c r="Z23" s="16">
        <f>Costs!Z108</f>
        <v>591.66666666666663</v>
      </c>
      <c r="AA23" s="16">
        <f>Costs!AA108</f>
        <v>591.66666666666663</v>
      </c>
      <c r="AB23" s="16">
        <f>Costs!AB108</f>
        <v>591.66666666666663</v>
      </c>
      <c r="AC23" s="16">
        <f>Costs!AC108</f>
        <v>591.66666666666663</v>
      </c>
      <c r="AD23" s="16">
        <f>Costs!AD108</f>
        <v>591.66666666666663</v>
      </c>
      <c r="AE23" s="16">
        <f>Costs!AE108</f>
        <v>591.66666666666663</v>
      </c>
      <c r="AF23" s="16">
        <f>Costs!AF108</f>
        <v>591.66666666666663</v>
      </c>
      <c r="AG23" s="16">
        <f>Costs!AG108</f>
        <v>591.66666666666663</v>
      </c>
      <c r="AH23" s="16">
        <f>Costs!AH108</f>
        <v>591.66666666666663</v>
      </c>
      <c r="AI23" s="16">
        <f>Costs!AI108</f>
        <v>591.66666666666663</v>
      </c>
      <c r="AJ23" s="16">
        <f>Costs!AJ108</f>
        <v>591.66666666666663</v>
      </c>
      <c r="AK23" s="16">
        <f>Costs!AK108</f>
        <v>591.66666666666663</v>
      </c>
      <c r="AL23" s="16">
        <f>Costs!AL108</f>
        <v>591.66666666666663</v>
      </c>
      <c r="AM23" s="16">
        <f>Costs!AM108</f>
        <v>591.66666666666663</v>
      </c>
      <c r="AN23" s="16">
        <f>Costs!AN108</f>
        <v>591.66666666666663</v>
      </c>
      <c r="AO23" s="16">
        <f>Costs!AO108</f>
        <v>591.66666666666663</v>
      </c>
      <c r="AP23" s="16">
        <f>Costs!AP108</f>
        <v>591.66666666666663</v>
      </c>
      <c r="AQ23" s="16">
        <f>Costs!AQ108</f>
        <v>591.66666666666663</v>
      </c>
      <c r="AR23" s="16">
        <f>Costs!AR108</f>
        <v>591.66666666666663</v>
      </c>
      <c r="AS23" s="16">
        <f>Costs!AS108</f>
        <v>591.66666666666663</v>
      </c>
      <c r="AT23" s="16">
        <f>Costs!AT108</f>
        <v>591.66666666666663</v>
      </c>
      <c r="AU23" s="16">
        <f>Costs!AU108</f>
        <v>591.66666666666663</v>
      </c>
      <c r="AV23" s="16">
        <f>Costs!AV108</f>
        <v>591.66666666666663</v>
      </c>
      <c r="AW23" s="16">
        <f>Costs!AW108</f>
        <v>591.66666666666663</v>
      </c>
      <c r="AX23" s="16">
        <f>Costs!AX108</f>
        <v>591.66666666666663</v>
      </c>
      <c r="AY23" s="16">
        <f>Costs!AY108</f>
        <v>591.66666666666663</v>
      </c>
      <c r="AZ23" s="16">
        <f>Costs!AZ108</f>
        <v>591.66666666666663</v>
      </c>
      <c r="BA23" s="16">
        <f>Costs!BA108</f>
        <v>591.66666666666663</v>
      </c>
    </row>
    <row r="24" spans="1:53" x14ac:dyDescent="0.35">
      <c r="A24" s="3" t="s">
        <v>311</v>
      </c>
      <c r="B24" s="16">
        <f>Costs!B117</f>
        <v>4383.3333333333339</v>
      </c>
      <c r="C24" s="16">
        <f>Costs!C117</f>
        <v>4408.3333333333339</v>
      </c>
      <c r="D24" s="16">
        <f>Costs!D117</f>
        <v>4434.5833333333339</v>
      </c>
      <c r="E24" s="16">
        <f>Costs!E117</f>
        <v>4462.1458333333339</v>
      </c>
      <c r="F24" s="16">
        <f>Costs!F117</f>
        <v>4491.0864583333332</v>
      </c>
      <c r="G24" s="16">
        <f>Costs!G117</f>
        <v>4521.4741145833341</v>
      </c>
      <c r="H24" s="16">
        <f>Costs!H117</f>
        <v>4553.3811536458334</v>
      </c>
      <c r="I24" s="16">
        <f>Costs!I117</f>
        <v>4586.8835446614585</v>
      </c>
      <c r="J24" s="16">
        <f>Costs!J117</f>
        <v>5122.0610552278649</v>
      </c>
      <c r="K24" s="16">
        <f>Costs!K117</f>
        <v>5158.9974413225918</v>
      </c>
      <c r="L24" s="16">
        <f>Costs!L117</f>
        <v>5197.7806467220544</v>
      </c>
      <c r="M24" s="16">
        <f>Costs!M117</f>
        <v>5238.5030123914903</v>
      </c>
      <c r="N24" s="16">
        <f>Costs!N117</f>
        <v>5281.2614963443975</v>
      </c>
      <c r="O24" s="16">
        <f>Costs!O117</f>
        <v>5326.1579044949522</v>
      </c>
      <c r="P24" s="16">
        <f>Costs!P117</f>
        <v>5373.2991330530322</v>
      </c>
      <c r="Q24" s="16">
        <f>Costs!Q117</f>
        <v>5422.7974230390173</v>
      </c>
      <c r="R24" s="16">
        <f>Costs!R117</f>
        <v>5474.7706275243017</v>
      </c>
      <c r="S24" s="16">
        <f>Costs!S117</f>
        <v>6029.34249223385</v>
      </c>
      <c r="T24" s="16">
        <f>Costs!T117</f>
        <v>6086.6429501788753</v>
      </c>
      <c r="U24" s="16">
        <f>Costs!U117</f>
        <v>6146.8084310211525</v>
      </c>
      <c r="V24" s="16">
        <f>Costs!V117</f>
        <v>6209.9821859055446</v>
      </c>
      <c r="W24" s="16">
        <f>Costs!W117</f>
        <v>6276.3146285341545</v>
      </c>
      <c r="X24" s="16">
        <f>Costs!X117</f>
        <v>6345.9636932941958</v>
      </c>
      <c r="Y24" s="16">
        <f>Costs!Y117</f>
        <v>7769.0952112922387</v>
      </c>
      <c r="Z24" s="16">
        <f>Costs!Z117</f>
        <v>6495.8833051901838</v>
      </c>
      <c r="AA24" s="16">
        <f>Costs!AA117</f>
        <v>7076.5108037830269</v>
      </c>
      <c r="AB24" s="16">
        <f>Costs!AB117</f>
        <v>8619.1696773055119</v>
      </c>
      <c r="AC24" s="16">
        <f>Costs!AC117</f>
        <v>7250.0614945041198</v>
      </c>
      <c r="AD24" s="16">
        <f>Costs!AD117</f>
        <v>7343.3979025626595</v>
      </c>
      <c r="AE24" s="16">
        <f>Costs!AE117</f>
        <v>8899.4011310241258</v>
      </c>
      <c r="AF24" s="16">
        <f>Costs!AF117</f>
        <v>7544.3045209086649</v>
      </c>
      <c r="AG24" s="16">
        <f>Costs!AG117</f>
        <v>7652.353080287432</v>
      </c>
      <c r="AH24" s="16">
        <f>Costs!AH117</f>
        <v>9223.8040676351375</v>
      </c>
      <c r="AI24" s="16">
        <f>Costs!AI117</f>
        <v>7884.9276043502268</v>
      </c>
      <c r="AJ24" s="16">
        <f>Costs!AJ117</f>
        <v>8010.0073179010724</v>
      </c>
      <c r="AK24" s="16">
        <f>Costs!AK117</f>
        <v>10099.34101712946</v>
      </c>
      <c r="AL24" s="16">
        <f>Costs!AL117</f>
        <v>8779.2414013192647</v>
      </c>
      <c r="AM24" s="16">
        <f>Costs!AM117</f>
        <v>8924.0368047185621</v>
      </c>
      <c r="AN24" s="16">
        <f>Costs!AN117</f>
        <v>10650.711978287822</v>
      </c>
      <c r="AO24" s="16">
        <f>Costs!AO117</f>
        <v>9235.7089105355481</v>
      </c>
      <c r="AP24" s="16">
        <f>Costs!AP117</f>
        <v>9403.327689395659</v>
      </c>
      <c r="AQ24" s="16">
        <f>Costs!AQ117</f>
        <v>11653.967407198776</v>
      </c>
      <c r="AR24" s="16">
        <f>Costs!AR117</f>
        <v>10264.127110892046</v>
      </c>
      <c r="AS24" s="16">
        <f>Costs!AS117</f>
        <v>10458.166799769982</v>
      </c>
      <c r="AT24" s="16">
        <f>Costs!AT117</f>
        <v>12236.548473091814</v>
      </c>
      <c r="AU24" s="16">
        <f>Costs!AU117</f>
        <v>10875.83723007974</v>
      </c>
      <c r="AV24" s="16">
        <f>Costs!AV117</f>
        <v>11100.462424917059</v>
      </c>
      <c r="AW24" s="16">
        <f>Costs!AW117</f>
        <v>12910.958879496247</v>
      </c>
      <c r="AX24" s="16">
        <f>Costs!AX117</f>
        <v>11583.968156804392</v>
      </c>
      <c r="AY24" s="16">
        <f>Costs!AY117</f>
        <v>11843.999897977945</v>
      </c>
      <c r="AZ24" s="16">
        <f>Costs!AZ117</f>
        <v>13817.644426210178</v>
      </c>
      <c r="BA24" s="16">
        <f>Costs!BA117</f>
        <v>12403.718220854018</v>
      </c>
    </row>
    <row r="25" spans="1:53" x14ac:dyDescent="0.35">
      <c r="A25" s="3" t="s">
        <v>312</v>
      </c>
      <c r="B25" s="16">
        <f>Costs!B125</f>
        <v>11191.666666666666</v>
      </c>
      <c r="C25" s="16">
        <f>Costs!C125</f>
        <v>1291.6666666666667</v>
      </c>
      <c r="D25" s="16">
        <f>Costs!D125</f>
        <v>1291.6666666666667</v>
      </c>
      <c r="E25" s="16">
        <f>Costs!E125</f>
        <v>1291.6666666666667</v>
      </c>
      <c r="F25" s="16">
        <f>Costs!F125</f>
        <v>1291.6666666666667</v>
      </c>
      <c r="G25" s="16">
        <f>Costs!G125</f>
        <v>1291.6666666666667</v>
      </c>
      <c r="H25" s="16">
        <f>Costs!H125</f>
        <v>4966.666666666667</v>
      </c>
      <c r="I25" s="16">
        <f>Costs!I125</f>
        <v>5341.666666666667</v>
      </c>
      <c r="J25" s="16">
        <f>Costs!J125</f>
        <v>5716.666666666667</v>
      </c>
      <c r="K25" s="16">
        <f>Costs!K125</f>
        <v>9766.6666666666661</v>
      </c>
      <c r="L25" s="16">
        <f>Costs!L125</f>
        <v>6841.666666666667</v>
      </c>
      <c r="M25" s="16">
        <f>Costs!M125</f>
        <v>7216.666666666667</v>
      </c>
      <c r="N25" s="16">
        <f>Costs!N125</f>
        <v>7591.666666666667</v>
      </c>
      <c r="O25" s="16">
        <f>Costs!O125</f>
        <v>11641.666666666666</v>
      </c>
      <c r="P25" s="16">
        <f>Costs!P125</f>
        <v>5041.666666666667</v>
      </c>
      <c r="Q25" s="16">
        <f>Costs!Q125</f>
        <v>5041.666666666667</v>
      </c>
      <c r="R25" s="16">
        <f>Costs!R125</f>
        <v>5041.666666666667</v>
      </c>
      <c r="S25" s="16">
        <f>Costs!S125</f>
        <v>16066.666666666666</v>
      </c>
      <c r="T25" s="16">
        <f>Costs!T125</f>
        <v>6166.6666666666661</v>
      </c>
      <c r="U25" s="16">
        <f>Costs!U125</f>
        <v>9841.6666666666661</v>
      </c>
      <c r="V25" s="16">
        <f>Costs!V125</f>
        <v>6541.6666666666679</v>
      </c>
      <c r="W25" s="16">
        <f>Costs!W125</f>
        <v>10216.666666666666</v>
      </c>
      <c r="X25" s="16">
        <f>Costs!X125</f>
        <v>6916.666666666667</v>
      </c>
      <c r="Y25" s="16">
        <f>Costs!Y125</f>
        <v>14266.666666666666</v>
      </c>
      <c r="Z25" s="16">
        <f>Costs!Z125</f>
        <v>7666.6666666666679</v>
      </c>
      <c r="AA25" s="16">
        <f>Costs!AA125</f>
        <v>11341.666666666666</v>
      </c>
      <c r="AB25" s="16">
        <f>Costs!AB125</f>
        <v>8041.666666666667</v>
      </c>
      <c r="AC25" s="16">
        <f>Costs!AC125</f>
        <v>11716.666666666666</v>
      </c>
      <c r="AD25" s="16">
        <f>Costs!AD125</f>
        <v>8416.6666666666661</v>
      </c>
      <c r="AE25" s="16">
        <f>Costs!AE125</f>
        <v>15766.666666666666</v>
      </c>
      <c r="AF25" s="16">
        <f>Costs!AF125</f>
        <v>9166.6666666666661</v>
      </c>
      <c r="AG25" s="16">
        <f>Costs!AG125</f>
        <v>12841.666666666666</v>
      </c>
      <c r="AH25" s="16">
        <f>Costs!AH125</f>
        <v>9541.6666666666661</v>
      </c>
      <c r="AI25" s="16">
        <f>Costs!AI125</f>
        <v>13216.666666666666</v>
      </c>
      <c r="AJ25" s="16">
        <f>Costs!AJ125</f>
        <v>9916.6666666666661</v>
      </c>
      <c r="AK25" s="16">
        <f>Costs!AK125</f>
        <v>17266.666666666668</v>
      </c>
      <c r="AL25" s="16">
        <f>Costs!AL125</f>
        <v>10666.666666666666</v>
      </c>
      <c r="AM25" s="16">
        <f>Costs!AM125</f>
        <v>14341.666666666664</v>
      </c>
      <c r="AN25" s="16">
        <f>Costs!AN125</f>
        <v>11041.666666666664</v>
      </c>
      <c r="AO25" s="16">
        <f>Costs!AO125</f>
        <v>18391.666666666668</v>
      </c>
      <c r="AP25" s="16">
        <f>Costs!AP125</f>
        <v>11791.666666666668</v>
      </c>
      <c r="AQ25" s="16">
        <f>Costs!AQ125</f>
        <v>19141.666666666668</v>
      </c>
      <c r="AR25" s="16">
        <f>Costs!AR125</f>
        <v>12541.666666666666</v>
      </c>
      <c r="AS25" s="16">
        <f>Costs!AS125</f>
        <v>19891.666666666668</v>
      </c>
      <c r="AT25" s="16">
        <f>Costs!AT125</f>
        <v>13291.666666666664</v>
      </c>
      <c r="AU25" s="16">
        <f>Costs!AU125</f>
        <v>13291.666666666664</v>
      </c>
      <c r="AV25" s="16">
        <f>Costs!AV125</f>
        <v>13291.666666666664</v>
      </c>
      <c r="AW25" s="16">
        <f>Costs!AW125</f>
        <v>13291.666666666664</v>
      </c>
      <c r="AX25" s="16">
        <f>Costs!AX125</f>
        <v>13291.666666666664</v>
      </c>
      <c r="AY25" s="16">
        <f>Costs!AY125</f>
        <v>13291.666666666664</v>
      </c>
      <c r="AZ25" s="16">
        <f>Costs!AZ125</f>
        <v>13291.666666666664</v>
      </c>
      <c r="BA25" s="16">
        <f>Costs!BA125</f>
        <v>13291.666666666664</v>
      </c>
    </row>
    <row r="26" spans="1:53" x14ac:dyDescent="0.35">
      <c r="A26" s="3" t="s">
        <v>313</v>
      </c>
      <c r="B26" s="16">
        <f>Costs!B130</f>
        <v>3184.3333333333335</v>
      </c>
      <c r="C26" s="16">
        <f>Costs!C130</f>
        <v>1943.0833333333333</v>
      </c>
      <c r="D26" s="16">
        <f>Costs!D130</f>
        <v>1947.0208333333333</v>
      </c>
      <c r="E26" s="16">
        <f>Costs!E130</f>
        <v>1951.1552083333333</v>
      </c>
      <c r="F26" s="16">
        <f>Costs!F130</f>
        <v>2705.4963020833329</v>
      </c>
      <c r="G26" s="16">
        <f>Costs!G130</f>
        <v>1960.0544505208331</v>
      </c>
      <c r="H26" s="16">
        <f>Costs!H130</f>
        <v>2608.8405063802084</v>
      </c>
      <c r="I26" s="16">
        <f>Costs!I130</f>
        <v>3193.6991983658854</v>
      </c>
      <c r="J26" s="16">
        <f>Costs!J130</f>
        <v>3564.2258249508468</v>
      </c>
      <c r="K26" s="16">
        <f>Costs!K130</f>
        <v>4894.4329495317224</v>
      </c>
      <c r="L26" s="16">
        <f>Costs!L130</f>
        <v>5088.2087636749748</v>
      </c>
      <c r="M26" s="16">
        <f>Costs!M130</f>
        <v>5447.2754518587244</v>
      </c>
      <c r="N26" s="16">
        <f>Costs!N130</f>
        <v>6110.6600577849931</v>
      </c>
      <c r="O26" s="16">
        <f>Costs!O130</f>
        <v>7153.4257690075756</v>
      </c>
      <c r="P26" s="16">
        <f>Costs!P130</f>
        <v>6830.4969532912874</v>
      </c>
      <c r="Q26" s="16">
        <f>Costs!Q130</f>
        <v>6837.9216967891862</v>
      </c>
      <c r="R26" s="16">
        <f>Costs!R130</f>
        <v>7645.7176774619775</v>
      </c>
      <c r="S26" s="16">
        <f>Costs!S130</f>
        <v>9052.4972071684097</v>
      </c>
      <c r="T26" s="16">
        <f>Costs!T130</f>
        <v>8566.0922758601646</v>
      </c>
      <c r="U26" s="16">
        <f>Costs!U130</f>
        <v>9082.9920979865055</v>
      </c>
      <c r="V26" s="16">
        <f>Costs!V130</f>
        <v>8927.4681612191634</v>
      </c>
      <c r="W26" s="16">
        <f>Costs!W130</f>
        <v>9709.9805276134557</v>
      </c>
      <c r="X26" s="16">
        <f>Costs!X130</f>
        <v>9555.4278873274634</v>
      </c>
      <c r="Y26" s="16">
        <f>Costs!Y130</f>
        <v>10834.92886502717</v>
      </c>
      <c r="Z26" s="16">
        <f>Costs!Z130</f>
        <v>10885.946141611863</v>
      </c>
      <c r="AA26" s="16">
        <f>Costs!AA130</f>
        <v>11835.887141400788</v>
      </c>
      <c r="AB26" s="16">
        <f>Costs!AB130</f>
        <v>11756.48597242916</v>
      </c>
      <c r="AC26" s="16">
        <f>Costs!AC130</f>
        <v>12248.468182508952</v>
      </c>
      <c r="AD26" s="16">
        <f>Costs!AD130</f>
        <v>12097.468643717733</v>
      </c>
      <c r="AE26" s="16">
        <f>Costs!AE130</f>
        <v>13510.503502986954</v>
      </c>
      <c r="AF26" s="16">
        <f>Costs!AF130</f>
        <v>13123.039011469635</v>
      </c>
      <c r="AG26" s="16">
        <f>Costs!AG130</f>
        <v>13663.002545376448</v>
      </c>
      <c r="AH26" s="16">
        <f>Costs!AH130</f>
        <v>13587.920193478605</v>
      </c>
      <c r="AI26" s="16">
        <f>Costs!AI130</f>
        <v>14334.566848985869</v>
      </c>
      <c r="AJ26" s="16">
        <f>Costs!AJ130</f>
        <v>14938.328806018495</v>
      </c>
      <c r="AK26" s="16">
        <f>Costs!AK130</f>
        <v>15770.324173402754</v>
      </c>
      <c r="AL26" s="16">
        <f>Costs!AL130</f>
        <v>16049.841215406228</v>
      </c>
      <c r="AM26" s="16">
        <f>Costs!AM130</f>
        <v>16787.082869666119</v>
      </c>
      <c r="AN26" s="16">
        <f>Costs!AN130</f>
        <v>16723.620145701512</v>
      </c>
      <c r="AO26" s="16">
        <f>Costs!AO130</f>
        <v>17778.87860741367</v>
      </c>
      <c r="AP26" s="16">
        <f>Costs!AP130</f>
        <v>17474.021424242685</v>
      </c>
      <c r="AQ26" s="16">
        <f>Costs!AQ130</f>
        <v>19268.652444413157</v>
      </c>
      <c r="AR26" s="16">
        <f>Costs!AR130</f>
        <v>18887.640399967142</v>
      </c>
      <c r="AS26" s="16">
        <f>Costs!AS130</f>
        <v>20318.609243923831</v>
      </c>
      <c r="AT26" s="16">
        <f>Costs!AT130</f>
        <v>20097.902494922106</v>
      </c>
      <c r="AU26" s="16">
        <f>Costs!AU130</f>
        <v>20051.259808470299</v>
      </c>
      <c r="AV26" s="16">
        <f>Costs!AV130</f>
        <v>20084.953587695898</v>
      </c>
      <c r="AW26" s="16">
        <f>Costs!AW130</f>
        <v>20199.064055882773</v>
      </c>
      <c r="AX26" s="16">
        <f>Costs!AX130</f>
        <v>21030.306992010243</v>
      </c>
      <c r="AY26" s="16">
        <f>Costs!AY130</f>
        <v>21069.311753186277</v>
      </c>
      <c r="AZ26" s="16">
        <f>Costs!AZ130</f>
        <v>21195.297312421113</v>
      </c>
      <c r="BA26" s="16">
        <f>Costs!BA130</f>
        <v>21153.269501617688</v>
      </c>
    </row>
    <row r="27" spans="1:53" x14ac:dyDescent="0.35">
      <c r="A27" s="2" t="s">
        <v>314</v>
      </c>
      <c r="B27" s="17">
        <f t="shared" ref="B27:AG27" si="7">SUM(B19:B26)</f>
        <v>66871</v>
      </c>
      <c r="C27" s="17">
        <f t="shared" si="7"/>
        <v>40804.75</v>
      </c>
      <c r="D27" s="17">
        <f t="shared" si="7"/>
        <v>40887.4375</v>
      </c>
      <c r="E27" s="17">
        <f t="shared" si="7"/>
        <v>40974.259374999994</v>
      </c>
      <c r="F27" s="17">
        <f t="shared" si="7"/>
        <v>56815.42234374999</v>
      </c>
      <c r="G27" s="17">
        <f t="shared" si="7"/>
        <v>41161.143460937492</v>
      </c>
      <c r="H27" s="17">
        <f t="shared" si="7"/>
        <v>54785.650633984369</v>
      </c>
      <c r="I27" s="17">
        <f t="shared" si="7"/>
        <v>67067.683165683586</v>
      </c>
      <c r="J27" s="17">
        <f t="shared" si="7"/>
        <v>74848.742323967774</v>
      </c>
      <c r="K27" s="17">
        <f t="shared" si="7"/>
        <v>102783.09194016617</v>
      </c>
      <c r="L27" s="17">
        <f t="shared" si="7"/>
        <v>106852.38403717446</v>
      </c>
      <c r="M27" s="17">
        <f t="shared" si="7"/>
        <v>114392.78448903319</v>
      </c>
      <c r="N27" s="17">
        <f t="shared" si="7"/>
        <v>128323.86121348485</v>
      </c>
      <c r="O27" s="17">
        <f t="shared" si="7"/>
        <v>150221.9411491591</v>
      </c>
      <c r="P27" s="17">
        <f t="shared" si="7"/>
        <v>143440.43601911704</v>
      </c>
      <c r="Q27" s="17">
        <f t="shared" si="7"/>
        <v>143596.3556325729</v>
      </c>
      <c r="R27" s="17">
        <f t="shared" si="7"/>
        <v>160560.07122670152</v>
      </c>
      <c r="S27" s="17">
        <f t="shared" si="7"/>
        <v>190102.4413505366</v>
      </c>
      <c r="T27" s="17">
        <f t="shared" si="7"/>
        <v>179887.93779306347</v>
      </c>
      <c r="U27" s="17">
        <f t="shared" si="7"/>
        <v>190742.83405771662</v>
      </c>
      <c r="V27" s="17">
        <f t="shared" si="7"/>
        <v>187476.83138560242</v>
      </c>
      <c r="W27" s="17">
        <f t="shared" si="7"/>
        <v>203909.59107988258</v>
      </c>
      <c r="X27" s="17">
        <f t="shared" si="7"/>
        <v>200663.98563387673</v>
      </c>
      <c r="Y27" s="17">
        <f t="shared" si="7"/>
        <v>227533.50616557055</v>
      </c>
      <c r="Z27" s="17">
        <f t="shared" si="7"/>
        <v>228604.86897384911</v>
      </c>
      <c r="AA27" s="17">
        <f t="shared" si="7"/>
        <v>248553.62996941654</v>
      </c>
      <c r="AB27" s="17">
        <f t="shared" si="7"/>
        <v>246886.20542101236</v>
      </c>
      <c r="AC27" s="17">
        <f t="shared" si="7"/>
        <v>257217.83183268798</v>
      </c>
      <c r="AD27" s="17">
        <f t="shared" si="7"/>
        <v>254046.84151807238</v>
      </c>
      <c r="AE27" s="17">
        <f t="shared" si="7"/>
        <v>283720.57356272603</v>
      </c>
      <c r="AF27" s="17">
        <f t="shared" si="7"/>
        <v>275583.81924086233</v>
      </c>
      <c r="AG27" s="17">
        <f t="shared" si="7"/>
        <v>286923.05345290538</v>
      </c>
      <c r="AH27" s="17">
        <f t="shared" ref="AH27:BA27" si="8">SUM(AH19:AH26)</f>
        <v>285346.32406305068</v>
      </c>
      <c r="AI27" s="17">
        <f t="shared" si="8"/>
        <v>301025.90382870322</v>
      </c>
      <c r="AJ27" s="17">
        <f t="shared" si="8"/>
        <v>313704.90492638841</v>
      </c>
      <c r="AK27" s="17">
        <f t="shared" si="8"/>
        <v>331176.80764145782</v>
      </c>
      <c r="AL27" s="17">
        <f t="shared" si="8"/>
        <v>337046.6655235308</v>
      </c>
      <c r="AM27" s="17">
        <f t="shared" si="8"/>
        <v>352528.74026298849</v>
      </c>
      <c r="AN27" s="17">
        <f t="shared" si="8"/>
        <v>351196.02305973176</v>
      </c>
      <c r="AO27" s="17">
        <f t="shared" si="8"/>
        <v>373356.45075568708</v>
      </c>
      <c r="AP27" s="17">
        <f t="shared" si="8"/>
        <v>366954.44990909641</v>
      </c>
      <c r="AQ27" s="17">
        <f t="shared" si="8"/>
        <v>404641.70133267628</v>
      </c>
      <c r="AR27" s="17">
        <f t="shared" si="8"/>
        <v>396640.44839931</v>
      </c>
      <c r="AS27" s="17">
        <f t="shared" si="8"/>
        <v>426690.79412240046</v>
      </c>
      <c r="AT27" s="17">
        <f t="shared" si="8"/>
        <v>422055.95239336422</v>
      </c>
      <c r="AU27" s="17">
        <f t="shared" si="8"/>
        <v>421076.45597787626</v>
      </c>
      <c r="AV27" s="17">
        <f t="shared" si="8"/>
        <v>421784.0253416138</v>
      </c>
      <c r="AW27" s="17">
        <f t="shared" si="8"/>
        <v>424180.3451735382</v>
      </c>
      <c r="AX27" s="17">
        <f t="shared" si="8"/>
        <v>441636.44683221506</v>
      </c>
      <c r="AY27" s="17">
        <f t="shared" si="8"/>
        <v>442455.54681691178</v>
      </c>
      <c r="AZ27" s="17">
        <f t="shared" si="8"/>
        <v>445101.2435608434</v>
      </c>
      <c r="BA27" s="17">
        <f t="shared" si="8"/>
        <v>444218.6595339714</v>
      </c>
    </row>
    <row r="29" spans="1:53" x14ac:dyDescent="0.35">
      <c r="A29" s="2" t="s">
        <v>315</v>
      </c>
      <c r="B29" s="17">
        <f t="shared" ref="B29:AG29" si="9">B15-B27</f>
        <v>-67871</v>
      </c>
      <c r="C29" s="17">
        <f t="shared" si="9"/>
        <v>-41854.75</v>
      </c>
      <c r="D29" s="17">
        <f t="shared" si="9"/>
        <v>-41989.9375</v>
      </c>
      <c r="E29" s="17">
        <f t="shared" si="9"/>
        <v>-42131.884374999994</v>
      </c>
      <c r="F29" s="17">
        <f t="shared" si="9"/>
        <v>-58030.928593749988</v>
      </c>
      <c r="G29" s="17">
        <f t="shared" si="9"/>
        <v>-42437.425023437492</v>
      </c>
      <c r="H29" s="17">
        <f t="shared" si="9"/>
        <v>-56125.746274609366</v>
      </c>
      <c r="I29" s="17">
        <f t="shared" si="9"/>
        <v>-68474.783588339837</v>
      </c>
      <c r="J29" s="17">
        <f t="shared" si="9"/>
        <v>-71701.197767756836</v>
      </c>
      <c r="K29" s="17">
        <f t="shared" si="9"/>
        <v>-99709.420156144683</v>
      </c>
      <c r="L29" s="17">
        <f t="shared" si="9"/>
        <v>-103856.2786639519</v>
      </c>
      <c r="M29" s="17">
        <f t="shared" si="9"/>
        <v>-111478.1238471495</v>
      </c>
      <c r="N29" s="17">
        <f t="shared" si="9"/>
        <v>-125104.71753950698</v>
      </c>
      <c r="O29" s="17">
        <f t="shared" si="9"/>
        <v>-147092.59029148234</v>
      </c>
      <c r="P29" s="17">
        <f t="shared" si="9"/>
        <v>-140405.36761855643</v>
      </c>
      <c r="Q29" s="17">
        <f t="shared" si="9"/>
        <v>-140660.28381198426</v>
      </c>
      <c r="R29" s="17">
        <f t="shared" si="9"/>
        <v>-157727.94581508345</v>
      </c>
      <c r="S29" s="17">
        <f t="shared" si="9"/>
        <v>-187379.45966833763</v>
      </c>
      <c r="T29" s="17">
        <f t="shared" si="9"/>
        <v>-177279.55702675454</v>
      </c>
      <c r="U29" s="17">
        <f t="shared" si="9"/>
        <v>-188254.78425309225</v>
      </c>
      <c r="V29" s="17">
        <f t="shared" si="9"/>
        <v>-185115.12909074684</v>
      </c>
      <c r="W29" s="17">
        <f t="shared" si="9"/>
        <v>-201680.55367028422</v>
      </c>
      <c r="X29" s="17">
        <f t="shared" si="9"/>
        <v>-198574.24635379846</v>
      </c>
      <c r="Y29" s="17">
        <f t="shared" si="9"/>
        <v>-212427.52992148837</v>
      </c>
      <c r="Z29" s="17">
        <f t="shared" si="9"/>
        <v>-212178.26891756282</v>
      </c>
      <c r="AA29" s="17">
        <f t="shared" si="9"/>
        <v>-232288.28491031591</v>
      </c>
      <c r="AB29" s="17">
        <f t="shared" si="9"/>
        <v>-216574.67810895672</v>
      </c>
      <c r="AC29" s="17">
        <f t="shared" si="9"/>
        <v>-227084.08815502955</v>
      </c>
      <c r="AD29" s="17">
        <f t="shared" si="9"/>
        <v>-224099.77065653104</v>
      </c>
      <c r="AE29" s="17">
        <f t="shared" si="9"/>
        <v>-239754.0091581076</v>
      </c>
      <c r="AF29" s="17">
        <f t="shared" si="9"/>
        <v>-231823.061616013</v>
      </c>
      <c r="AG29" s="17">
        <f t="shared" si="9"/>
        <v>-243378.39294681358</v>
      </c>
      <c r="AH29" s="17">
        <f t="shared" ref="AH29:BA29" si="10">AH15-AH27</f>
        <v>-227813.06553165428</v>
      </c>
      <c r="AI29" s="17">
        <f t="shared" si="10"/>
        <v>-243730.89237073698</v>
      </c>
      <c r="AJ29" s="17">
        <f t="shared" si="10"/>
        <v>-256660.05289552387</v>
      </c>
      <c r="AK29" s="17">
        <f t="shared" si="10"/>
        <v>-260179.12300905006</v>
      </c>
      <c r="AL29" s="17">
        <f t="shared" si="10"/>
        <v>-260183.68565950263</v>
      </c>
      <c r="AM29" s="17">
        <f>AM15-AM27</f>
        <v>-275955.35120575893</v>
      </c>
      <c r="AN29" s="17">
        <f t="shared" si="10"/>
        <v>-259573.96434964074</v>
      </c>
      <c r="AO29" s="17">
        <f t="shared" si="10"/>
        <v>-282053.66591009148</v>
      </c>
      <c r="AP29" s="17">
        <f t="shared" si="10"/>
        <v>-275986.90262122103</v>
      </c>
      <c r="AQ29" s="17">
        <f t="shared" si="10"/>
        <v>-298673.41348040715</v>
      </c>
      <c r="AR29" s="17">
        <f t="shared" si="10"/>
        <v>-291041.75995442743</v>
      </c>
      <c r="AS29" s="17">
        <f t="shared" si="10"/>
        <v>-321480.18505527376</v>
      </c>
      <c r="AT29" s="17">
        <f t="shared" si="10"/>
        <v>-301900.08667288115</v>
      </c>
      <c r="AU29" s="17">
        <f t="shared" si="10"/>
        <v>-301348.44777136907</v>
      </c>
      <c r="AV29" s="17">
        <f t="shared" si="10"/>
        <v>-302505.26752478123</v>
      </c>
      <c r="AW29" s="17">
        <f t="shared" si="10"/>
        <v>-305373.300265864</v>
      </c>
      <c r="AX29" s="17">
        <f t="shared" si="10"/>
        <v>-313007.65919915715</v>
      </c>
      <c r="AY29" s="17">
        <f t="shared" si="10"/>
        <v>-314346.82266620098</v>
      </c>
      <c r="AZ29" s="17">
        <f t="shared" si="10"/>
        <v>-300957.6268665971</v>
      </c>
      <c r="BA29" s="17">
        <f t="shared" si="10"/>
        <v>-300648.41282901273</v>
      </c>
    </row>
    <row r="30" spans="1:53" x14ac:dyDescent="0.35">
      <c r="A30" s="3" t="s">
        <v>316</v>
      </c>
      <c r="B30" s="18">
        <f t="shared" ref="B30:AG30" si="11">IFERROR(B29/B7,0)</f>
        <v>0</v>
      </c>
      <c r="C30" s="18">
        <f t="shared" si="11"/>
        <v>0</v>
      </c>
      <c r="D30" s="18">
        <f t="shared" si="11"/>
        <v>0</v>
      </c>
      <c r="E30" s="18">
        <f t="shared" si="11"/>
        <v>0</v>
      </c>
      <c r="F30" s="18">
        <f t="shared" si="11"/>
        <v>0</v>
      </c>
      <c r="G30" s="18">
        <f t="shared" si="11"/>
        <v>0</v>
      </c>
      <c r="H30" s="18">
        <f t="shared" si="11"/>
        <v>0</v>
      </c>
      <c r="I30" s="18">
        <f t="shared" si="11"/>
        <v>0</v>
      </c>
      <c r="J30" s="18">
        <f t="shared" si="11"/>
        <v>-14.340239553551367</v>
      </c>
      <c r="K30" s="18">
        <f t="shared" si="11"/>
        <v>-19.941884031228938</v>
      </c>
      <c r="L30" s="18">
        <f t="shared" si="11"/>
        <v>-20.77125573279038</v>
      </c>
      <c r="M30" s="18">
        <f t="shared" si="11"/>
        <v>-22.295624769429899</v>
      </c>
      <c r="N30" s="18">
        <f t="shared" si="11"/>
        <v>-23.167540285093885</v>
      </c>
      <c r="O30" s="18">
        <f t="shared" si="11"/>
        <v>-27.23936857249673</v>
      </c>
      <c r="P30" s="18">
        <f t="shared" si="11"/>
        <v>-26.000994003436375</v>
      </c>
      <c r="Q30" s="18">
        <f t="shared" si="11"/>
        <v>-26.048200705923012</v>
      </c>
      <c r="R30" s="18">
        <f t="shared" si="11"/>
        <v>-29.208878854645086</v>
      </c>
      <c r="S30" s="18">
        <f t="shared" si="11"/>
        <v>-34.699899938581041</v>
      </c>
      <c r="T30" s="18">
        <f t="shared" si="11"/>
        <v>-32.82954759754714</v>
      </c>
      <c r="U30" s="18">
        <f t="shared" si="11"/>
        <v>-34.861997083905969</v>
      </c>
      <c r="V30" s="18">
        <f t="shared" si="11"/>
        <v>-34.280579461249417</v>
      </c>
      <c r="W30" s="18">
        <f t="shared" si="11"/>
        <v>-37.348250679682266</v>
      </c>
      <c r="X30" s="18">
        <f t="shared" si="11"/>
        <v>-36.773008584036752</v>
      </c>
      <c r="Y30" s="18">
        <f t="shared" si="11"/>
        <v>-11.239551847697797</v>
      </c>
      <c r="Z30" s="18">
        <f t="shared" si="11"/>
        <v>-10.394780958140448</v>
      </c>
      <c r="AA30" s="18">
        <f t="shared" si="11"/>
        <v>-11.379986523139129</v>
      </c>
      <c r="AB30" s="18">
        <f t="shared" si="11"/>
        <v>-6.1892626345723798</v>
      </c>
      <c r="AC30" s="18">
        <f t="shared" si="11"/>
        <v>-6.4896001416046394</v>
      </c>
      <c r="AD30" s="18">
        <f t="shared" si="11"/>
        <v>-6.4043144334856832</v>
      </c>
      <c r="AE30" s="18">
        <f t="shared" si="11"/>
        <v>-4.8364804558643497</v>
      </c>
      <c r="AF30" s="18">
        <f t="shared" si="11"/>
        <v>-4.6764920038734159</v>
      </c>
      <c r="AG30" s="18">
        <f t="shared" si="11"/>
        <v>-4.90959398343447</v>
      </c>
      <c r="AH30" s="18">
        <f t="shared" ref="AH30:BA30" si="12">IFERROR(AH29/AH7,0)</f>
        <v>-3.5511451791316602</v>
      </c>
      <c r="AI30" s="18">
        <f t="shared" si="12"/>
        <v>-3.7992719224768825</v>
      </c>
      <c r="AJ30" s="18">
        <f t="shared" si="12"/>
        <v>-4.0008113994189403</v>
      </c>
      <c r="AK30" s="18">
        <f t="shared" si="12"/>
        <v>-3.3046172205589852</v>
      </c>
      <c r="AL30" s="18">
        <f t="shared" si="12"/>
        <v>-3.0598844187254866</v>
      </c>
      <c r="AM30" s="18">
        <f t="shared" si="12"/>
        <v>-3.2453667388026011</v>
      </c>
      <c r="AN30" s="18">
        <f t="shared" si="12"/>
        <v>-2.5757272728770615</v>
      </c>
      <c r="AO30" s="18">
        <f t="shared" si="12"/>
        <v>-2.7987911712170268</v>
      </c>
      <c r="AP30" s="18">
        <f t="shared" si="12"/>
        <v>-2.7385912675002402</v>
      </c>
      <c r="AQ30" s="18">
        <f t="shared" si="12"/>
        <v>-2.5632063260140039</v>
      </c>
      <c r="AR30" s="18">
        <f t="shared" si="12"/>
        <v>-2.4977117030819178</v>
      </c>
      <c r="AS30" s="18">
        <f t="shared" si="12"/>
        <v>-2.7589333594162899</v>
      </c>
      <c r="AT30" s="18">
        <f t="shared" si="12"/>
        <v>-2.2824573558830163</v>
      </c>
      <c r="AU30" s="18">
        <f t="shared" si="12"/>
        <v>-2.278286796402814</v>
      </c>
      <c r="AV30" s="18">
        <f t="shared" si="12"/>
        <v>-2.2870327089486002</v>
      </c>
      <c r="AW30" s="18">
        <f t="shared" si="12"/>
        <v>-2.3087159171216762</v>
      </c>
      <c r="AX30" s="18">
        <f t="shared" si="12"/>
        <v>-2.1911426063363701</v>
      </c>
      <c r="AY30" s="18">
        <f t="shared" si="12"/>
        <v>-2.2005171313463858</v>
      </c>
      <c r="AZ30" s="18">
        <f t="shared" si="12"/>
        <v>-1.8826624695636152</v>
      </c>
      <c r="BA30" s="18">
        <f t="shared" si="12"/>
        <v>-1.880728158512311</v>
      </c>
    </row>
    <row r="32" spans="1:53" x14ac:dyDescent="0.35">
      <c r="A32" s="3" t="s">
        <v>317</v>
      </c>
      <c r="B32" s="19">
        <f>Costs!B123/Inputs!$B$134/12</f>
        <v>275</v>
      </c>
      <c r="C32" s="19">
        <f>Costs!C123/Inputs!$B$134/12</f>
        <v>0</v>
      </c>
      <c r="D32" s="19">
        <f>Costs!D123/Inputs!$B$134/12</f>
        <v>0</v>
      </c>
      <c r="E32" s="19">
        <f>Costs!E123/Inputs!$B$134/12</f>
        <v>0</v>
      </c>
      <c r="F32" s="19">
        <f>Costs!F123/Inputs!$B$134/12</f>
        <v>0</v>
      </c>
      <c r="G32" s="19">
        <f>Costs!G123/Inputs!$B$134/12</f>
        <v>0</v>
      </c>
      <c r="H32" s="19">
        <f>Costs!H123/Inputs!$B$134/12</f>
        <v>91.666666666666671</v>
      </c>
      <c r="I32" s="19">
        <f>Costs!I123/Inputs!$B$134/12</f>
        <v>91.666666666666671</v>
      </c>
      <c r="J32" s="19">
        <f>Costs!J123/Inputs!$B$134/12</f>
        <v>91.666666666666671</v>
      </c>
      <c r="K32" s="19">
        <f>Costs!K123/Inputs!$B$134/12</f>
        <v>183.33333333333334</v>
      </c>
      <c r="L32" s="19">
        <f>Costs!L123/Inputs!$B$134/12</f>
        <v>91.666666666666671</v>
      </c>
      <c r="M32" s="19">
        <f>Costs!M123/Inputs!$B$134/12</f>
        <v>91.666666666666671</v>
      </c>
      <c r="N32" s="19">
        <f>Costs!N123/Inputs!$B$134/12</f>
        <v>91.666666666666671</v>
      </c>
      <c r="O32" s="19">
        <f>Costs!O123/Inputs!$B$134/12</f>
        <v>183.33333333333334</v>
      </c>
      <c r="P32" s="19">
        <f>Costs!P123/Inputs!$B$134/12</f>
        <v>0</v>
      </c>
      <c r="Q32" s="19">
        <f>Costs!Q123/Inputs!$B$134/12</f>
        <v>0</v>
      </c>
      <c r="R32" s="19">
        <f>Costs!R123/Inputs!$B$134/12</f>
        <v>0</v>
      </c>
      <c r="S32" s="19">
        <f>Costs!S123/Inputs!$B$134/12</f>
        <v>275</v>
      </c>
      <c r="T32" s="19">
        <f>Costs!T123/Inputs!$B$134/12</f>
        <v>0</v>
      </c>
      <c r="U32" s="19">
        <f>Costs!U123/Inputs!$B$134/12</f>
        <v>91.666666666666671</v>
      </c>
      <c r="V32" s="19">
        <f>Costs!V123/Inputs!$B$134/12</f>
        <v>0</v>
      </c>
      <c r="W32" s="19">
        <f>Costs!W123/Inputs!$B$134/12</f>
        <v>91.666666666666671</v>
      </c>
      <c r="X32" s="19">
        <f>Costs!X123/Inputs!$B$134/12</f>
        <v>0</v>
      </c>
      <c r="Y32" s="19">
        <f>Costs!Y123/Inputs!$B$134/12</f>
        <v>183.33333333333334</v>
      </c>
      <c r="Z32" s="19">
        <f>Costs!Z123/Inputs!$B$134/12</f>
        <v>0</v>
      </c>
      <c r="AA32" s="19">
        <f>Costs!AA123/Inputs!$B$134/12</f>
        <v>91.666666666666671</v>
      </c>
      <c r="AB32" s="19">
        <f>Costs!AB123/Inputs!$B$134/12</f>
        <v>0</v>
      </c>
      <c r="AC32" s="19">
        <f>Costs!AC123/Inputs!$B$134/12</f>
        <v>91.666666666666671</v>
      </c>
      <c r="AD32" s="19">
        <f>Costs!AD123/Inputs!$B$134/12</f>
        <v>0</v>
      </c>
      <c r="AE32" s="19">
        <f>Costs!AE123/Inputs!$B$134/12</f>
        <v>183.33333333333334</v>
      </c>
      <c r="AF32" s="19">
        <f>Costs!AF123/Inputs!$B$134/12</f>
        <v>0</v>
      </c>
      <c r="AG32" s="19">
        <f>Costs!AG123/Inputs!$B$134/12</f>
        <v>91.666666666666671</v>
      </c>
      <c r="AH32" s="19">
        <f>Costs!AH123/Inputs!$B$134/12</f>
        <v>0</v>
      </c>
      <c r="AI32" s="19">
        <f>Costs!AI123/Inputs!$B$134/12</f>
        <v>91.666666666666671</v>
      </c>
      <c r="AJ32" s="19">
        <f>Costs!AJ123/Inputs!$B$134/12</f>
        <v>0</v>
      </c>
      <c r="AK32" s="19">
        <f>Costs!AK123/Inputs!$B$134/12</f>
        <v>183.33333333333334</v>
      </c>
      <c r="AL32" s="19">
        <f>Costs!AL123/Inputs!$B$134/12</f>
        <v>0</v>
      </c>
      <c r="AM32" s="19">
        <f>Costs!AM123/Inputs!$B$134/12</f>
        <v>91.666666666666671</v>
      </c>
      <c r="AN32" s="19">
        <f>Costs!AN123/Inputs!$B$134/12</f>
        <v>0</v>
      </c>
      <c r="AO32" s="19">
        <f>Costs!AO123/Inputs!$B$134/12</f>
        <v>183.33333333333334</v>
      </c>
      <c r="AP32" s="19">
        <f>Costs!AP123/Inputs!$B$134/12</f>
        <v>0</v>
      </c>
      <c r="AQ32" s="19">
        <f>Costs!AQ123/Inputs!$B$134/12</f>
        <v>183.33333333333334</v>
      </c>
      <c r="AR32" s="19">
        <f>Costs!AR123/Inputs!$B$134/12</f>
        <v>0</v>
      </c>
      <c r="AS32" s="19">
        <f>Costs!AS123/Inputs!$B$134/12</f>
        <v>183.33333333333334</v>
      </c>
      <c r="AT32" s="19">
        <f>Costs!AT123/Inputs!$B$134/12</f>
        <v>0</v>
      </c>
      <c r="AU32" s="19">
        <f>Costs!AU123/Inputs!$B$134/12</f>
        <v>0</v>
      </c>
      <c r="AV32" s="19">
        <f>Costs!AV123/Inputs!$B$134/12</f>
        <v>0</v>
      </c>
      <c r="AW32" s="19">
        <f>Costs!AW123/Inputs!$B$134/12</f>
        <v>0</v>
      </c>
      <c r="AX32" s="19">
        <f>Costs!AX123/Inputs!$B$134/12</f>
        <v>0</v>
      </c>
      <c r="AY32" s="19">
        <f>Costs!AY123/Inputs!$B$134/12</f>
        <v>0</v>
      </c>
      <c r="AZ32" s="19">
        <f>Costs!AZ123/Inputs!$B$134/12</f>
        <v>0</v>
      </c>
      <c r="BA32" s="19">
        <f>Costs!BA123/Inputs!$B$134/12</f>
        <v>0</v>
      </c>
    </row>
    <row r="34" spans="1:53" x14ac:dyDescent="0.35">
      <c r="A34" s="2" t="s">
        <v>318</v>
      </c>
      <c r="B34" s="17">
        <f t="shared" ref="B34:AG34" si="13">B29-B32</f>
        <v>-68146</v>
      </c>
      <c r="C34" s="17">
        <f t="shared" si="13"/>
        <v>-41854.75</v>
      </c>
      <c r="D34" s="17">
        <f t="shared" si="13"/>
        <v>-41989.9375</v>
      </c>
      <c r="E34" s="17">
        <f t="shared" si="13"/>
        <v>-42131.884374999994</v>
      </c>
      <c r="F34" s="17">
        <f t="shared" si="13"/>
        <v>-58030.928593749988</v>
      </c>
      <c r="G34" s="17">
        <f t="shared" si="13"/>
        <v>-42437.425023437492</v>
      </c>
      <c r="H34" s="17">
        <f t="shared" si="13"/>
        <v>-56217.41294127603</v>
      </c>
      <c r="I34" s="17">
        <f t="shared" si="13"/>
        <v>-68566.450255006508</v>
      </c>
      <c r="J34" s="17">
        <f t="shared" si="13"/>
        <v>-71792.864434423507</v>
      </c>
      <c r="K34" s="17">
        <f t="shared" si="13"/>
        <v>-99892.753489478011</v>
      </c>
      <c r="L34" s="17">
        <f t="shared" si="13"/>
        <v>-103947.94533061858</v>
      </c>
      <c r="M34" s="17">
        <f t="shared" si="13"/>
        <v>-111569.79051381617</v>
      </c>
      <c r="N34" s="17">
        <f t="shared" si="13"/>
        <v>-125196.38420617365</v>
      </c>
      <c r="O34" s="17">
        <f t="shared" si="13"/>
        <v>-147275.92362481568</v>
      </c>
      <c r="P34" s="17">
        <f t="shared" si="13"/>
        <v>-140405.36761855643</v>
      </c>
      <c r="Q34" s="17">
        <f t="shared" si="13"/>
        <v>-140660.28381198426</v>
      </c>
      <c r="R34" s="17">
        <f t="shared" si="13"/>
        <v>-157727.94581508345</v>
      </c>
      <c r="S34" s="17">
        <f t="shared" si="13"/>
        <v>-187654.45966833763</v>
      </c>
      <c r="T34" s="17">
        <f t="shared" si="13"/>
        <v>-177279.55702675454</v>
      </c>
      <c r="U34" s="17">
        <f t="shared" si="13"/>
        <v>-188346.45091975891</v>
      </c>
      <c r="V34" s="17">
        <f t="shared" si="13"/>
        <v>-185115.12909074684</v>
      </c>
      <c r="W34" s="17">
        <f t="shared" si="13"/>
        <v>-201772.22033695088</v>
      </c>
      <c r="X34" s="17">
        <f t="shared" si="13"/>
        <v>-198574.24635379846</v>
      </c>
      <c r="Y34" s="17">
        <f t="shared" si="13"/>
        <v>-212610.86325482171</v>
      </c>
      <c r="Z34" s="17">
        <f t="shared" si="13"/>
        <v>-212178.26891756282</v>
      </c>
      <c r="AA34" s="17">
        <f t="shared" si="13"/>
        <v>-232379.95157698257</v>
      </c>
      <c r="AB34" s="17">
        <f t="shared" si="13"/>
        <v>-216574.67810895672</v>
      </c>
      <c r="AC34" s="17">
        <f t="shared" si="13"/>
        <v>-227175.7548216962</v>
      </c>
      <c r="AD34" s="17">
        <f t="shared" si="13"/>
        <v>-224099.77065653104</v>
      </c>
      <c r="AE34" s="17">
        <f t="shared" si="13"/>
        <v>-239937.34249144094</v>
      </c>
      <c r="AF34" s="17">
        <f t="shared" si="13"/>
        <v>-231823.061616013</v>
      </c>
      <c r="AG34" s="17">
        <f t="shared" si="13"/>
        <v>-243470.05961348023</v>
      </c>
      <c r="AH34" s="17">
        <f t="shared" ref="AH34:BA34" si="14">AH29-AH32</f>
        <v>-227813.06553165428</v>
      </c>
      <c r="AI34" s="17">
        <f t="shared" si="14"/>
        <v>-243822.55903740364</v>
      </c>
      <c r="AJ34" s="17">
        <f t="shared" si="14"/>
        <v>-256660.05289552387</v>
      </c>
      <c r="AK34" s="17">
        <f t="shared" si="14"/>
        <v>-260362.4563423834</v>
      </c>
      <c r="AL34" s="17">
        <f t="shared" si="14"/>
        <v>-260183.68565950263</v>
      </c>
      <c r="AM34" s="17">
        <f>AM29-AM32</f>
        <v>-276047.01787242561</v>
      </c>
      <c r="AN34" s="17">
        <f t="shared" si="14"/>
        <v>-259573.96434964074</v>
      </c>
      <c r="AO34" s="17">
        <f t="shared" si="14"/>
        <v>-282236.9992434248</v>
      </c>
      <c r="AP34" s="17">
        <f t="shared" si="14"/>
        <v>-275986.90262122103</v>
      </c>
      <c r="AQ34" s="17">
        <f t="shared" si="14"/>
        <v>-298856.74681374046</v>
      </c>
      <c r="AR34" s="17">
        <f t="shared" si="14"/>
        <v>-291041.75995442743</v>
      </c>
      <c r="AS34" s="17">
        <f t="shared" si="14"/>
        <v>-321663.51838860707</v>
      </c>
      <c r="AT34" s="17">
        <f t="shared" si="14"/>
        <v>-301900.08667288115</v>
      </c>
      <c r="AU34" s="17">
        <f t="shared" si="14"/>
        <v>-301348.44777136907</v>
      </c>
      <c r="AV34" s="17">
        <f t="shared" si="14"/>
        <v>-302505.26752478123</v>
      </c>
      <c r="AW34" s="17">
        <f t="shared" si="14"/>
        <v>-305373.300265864</v>
      </c>
      <c r="AX34" s="17">
        <f t="shared" si="14"/>
        <v>-313007.65919915715</v>
      </c>
      <c r="AY34" s="17">
        <f t="shared" si="14"/>
        <v>-314346.82266620098</v>
      </c>
      <c r="AZ34" s="17">
        <f t="shared" si="14"/>
        <v>-300957.6268665971</v>
      </c>
      <c r="BA34" s="17">
        <f t="shared" si="14"/>
        <v>-300648.41282901273</v>
      </c>
    </row>
    <row r="36" spans="1:53" x14ac:dyDescent="0.35">
      <c r="A36" s="2" t="s">
        <v>319</v>
      </c>
      <c r="B36" s="17">
        <f t="shared" ref="B36:AG36" si="15">B34</f>
        <v>-68146</v>
      </c>
      <c r="C36" s="17">
        <f t="shared" si="15"/>
        <v>-41854.75</v>
      </c>
      <c r="D36" s="17">
        <f t="shared" si="15"/>
        <v>-41989.9375</v>
      </c>
      <c r="E36" s="17">
        <f t="shared" si="15"/>
        <v>-42131.884374999994</v>
      </c>
      <c r="F36" s="17">
        <f t="shared" si="15"/>
        <v>-58030.928593749988</v>
      </c>
      <c r="G36" s="17">
        <f t="shared" si="15"/>
        <v>-42437.425023437492</v>
      </c>
      <c r="H36" s="17">
        <f t="shared" si="15"/>
        <v>-56217.41294127603</v>
      </c>
      <c r="I36" s="17">
        <f t="shared" si="15"/>
        <v>-68566.450255006508</v>
      </c>
      <c r="J36" s="17">
        <f t="shared" si="15"/>
        <v>-71792.864434423507</v>
      </c>
      <c r="K36" s="17">
        <f t="shared" si="15"/>
        <v>-99892.753489478011</v>
      </c>
      <c r="L36" s="17">
        <f t="shared" si="15"/>
        <v>-103947.94533061858</v>
      </c>
      <c r="M36" s="17">
        <f t="shared" si="15"/>
        <v>-111569.79051381617</v>
      </c>
      <c r="N36" s="17">
        <f t="shared" si="15"/>
        <v>-125196.38420617365</v>
      </c>
      <c r="O36" s="17">
        <f t="shared" si="15"/>
        <v>-147275.92362481568</v>
      </c>
      <c r="P36" s="17">
        <f t="shared" si="15"/>
        <v>-140405.36761855643</v>
      </c>
      <c r="Q36" s="17">
        <f t="shared" si="15"/>
        <v>-140660.28381198426</v>
      </c>
      <c r="R36" s="17">
        <f t="shared" si="15"/>
        <v>-157727.94581508345</v>
      </c>
      <c r="S36" s="17">
        <f t="shared" si="15"/>
        <v>-187654.45966833763</v>
      </c>
      <c r="T36" s="17">
        <f t="shared" si="15"/>
        <v>-177279.55702675454</v>
      </c>
      <c r="U36" s="17">
        <f t="shared" si="15"/>
        <v>-188346.45091975891</v>
      </c>
      <c r="V36" s="17">
        <f t="shared" si="15"/>
        <v>-185115.12909074684</v>
      </c>
      <c r="W36" s="17">
        <f t="shared" si="15"/>
        <v>-201772.22033695088</v>
      </c>
      <c r="X36" s="17">
        <f t="shared" si="15"/>
        <v>-198574.24635379846</v>
      </c>
      <c r="Y36" s="17">
        <f t="shared" si="15"/>
        <v>-212610.86325482171</v>
      </c>
      <c r="Z36" s="17">
        <f t="shared" si="15"/>
        <v>-212178.26891756282</v>
      </c>
      <c r="AA36" s="17">
        <f t="shared" si="15"/>
        <v>-232379.95157698257</v>
      </c>
      <c r="AB36" s="17">
        <f t="shared" si="15"/>
        <v>-216574.67810895672</v>
      </c>
      <c r="AC36" s="17">
        <f t="shared" si="15"/>
        <v>-227175.7548216962</v>
      </c>
      <c r="AD36" s="17">
        <f t="shared" si="15"/>
        <v>-224099.77065653104</v>
      </c>
      <c r="AE36" s="17">
        <f t="shared" si="15"/>
        <v>-239937.34249144094</v>
      </c>
      <c r="AF36" s="17">
        <f t="shared" si="15"/>
        <v>-231823.061616013</v>
      </c>
      <c r="AG36" s="17">
        <f t="shared" si="15"/>
        <v>-243470.05961348023</v>
      </c>
      <c r="AH36" s="17">
        <f t="shared" ref="AH36:BA36" si="16">AH34</f>
        <v>-227813.06553165428</v>
      </c>
      <c r="AI36" s="17">
        <f t="shared" si="16"/>
        <v>-243822.55903740364</v>
      </c>
      <c r="AJ36" s="17">
        <f t="shared" si="16"/>
        <v>-256660.05289552387</v>
      </c>
      <c r="AK36" s="17">
        <f t="shared" si="16"/>
        <v>-260362.4563423834</v>
      </c>
      <c r="AL36" s="17">
        <f t="shared" si="16"/>
        <v>-260183.68565950263</v>
      </c>
      <c r="AM36" s="17">
        <f t="shared" si="16"/>
        <v>-276047.01787242561</v>
      </c>
      <c r="AN36" s="17">
        <f t="shared" si="16"/>
        <v>-259573.96434964074</v>
      </c>
      <c r="AO36" s="17">
        <f t="shared" si="16"/>
        <v>-282236.9992434248</v>
      </c>
      <c r="AP36" s="17">
        <f t="shared" si="16"/>
        <v>-275986.90262122103</v>
      </c>
      <c r="AQ36" s="17">
        <f t="shared" si="16"/>
        <v>-298856.74681374046</v>
      </c>
      <c r="AR36" s="17">
        <f t="shared" si="16"/>
        <v>-291041.75995442743</v>
      </c>
      <c r="AS36" s="17">
        <f t="shared" si="16"/>
        <v>-321663.51838860707</v>
      </c>
      <c r="AT36" s="17">
        <f t="shared" si="16"/>
        <v>-301900.08667288115</v>
      </c>
      <c r="AU36" s="17">
        <f t="shared" si="16"/>
        <v>-301348.44777136907</v>
      </c>
      <c r="AV36" s="17">
        <f t="shared" si="16"/>
        <v>-302505.26752478123</v>
      </c>
      <c r="AW36" s="17">
        <f t="shared" si="16"/>
        <v>-305373.300265864</v>
      </c>
      <c r="AX36" s="17">
        <f t="shared" si="16"/>
        <v>-313007.65919915715</v>
      </c>
      <c r="AY36" s="17">
        <f t="shared" si="16"/>
        <v>-314346.82266620098</v>
      </c>
      <c r="AZ36" s="17">
        <f t="shared" si="16"/>
        <v>-300957.6268665971</v>
      </c>
      <c r="BA36" s="17">
        <f t="shared" si="16"/>
        <v>-300648.41282901273</v>
      </c>
    </row>
    <row r="37" spans="1:53" x14ac:dyDescent="0.35">
      <c r="A37" s="3" t="s">
        <v>320</v>
      </c>
      <c r="B37" s="19">
        <f>IF(B36&gt;0,B36*Inputs!$B$7,0)</f>
        <v>0</v>
      </c>
      <c r="C37" s="19">
        <f>IF(C36&gt;0,C36*Inputs!$B$7,0)</f>
        <v>0</v>
      </c>
      <c r="D37" s="19">
        <f>IF(D36&gt;0,D36*Inputs!$B$7,0)</f>
        <v>0</v>
      </c>
      <c r="E37" s="19">
        <f>IF(E36&gt;0,E36*Inputs!$B$7,0)</f>
        <v>0</v>
      </c>
      <c r="F37" s="19">
        <f>IF(F36&gt;0,F36*Inputs!$B$7,0)</f>
        <v>0</v>
      </c>
      <c r="G37" s="19">
        <f>IF(G36&gt;0,G36*Inputs!$B$7,0)</f>
        <v>0</v>
      </c>
      <c r="H37" s="19">
        <f>IF(H36&gt;0,H36*Inputs!$B$7,0)</f>
        <v>0</v>
      </c>
      <c r="I37" s="19">
        <f>IF(I36&gt;0,I36*Inputs!$B$7,0)</f>
        <v>0</v>
      </c>
      <c r="J37" s="19">
        <f>IF(J36&gt;0,J36*Inputs!$B$7,0)</f>
        <v>0</v>
      </c>
      <c r="K37" s="19">
        <f>IF(K36&gt;0,K36*Inputs!$B$7,0)</f>
        <v>0</v>
      </c>
      <c r="L37" s="19">
        <f>IF(L36&gt;0,L36*Inputs!$B$7,0)</f>
        <v>0</v>
      </c>
      <c r="M37" s="19">
        <f>IF(M36&gt;0,M36*Inputs!$B$7,0)</f>
        <v>0</v>
      </c>
      <c r="N37" s="19">
        <f>IF(N36&gt;0,N36*Inputs!$B$7,0)</f>
        <v>0</v>
      </c>
      <c r="O37" s="19">
        <f>IF(O36&gt;0,O36*Inputs!$B$7,0)</f>
        <v>0</v>
      </c>
      <c r="P37" s="19">
        <f>IF(P36&gt;0,P36*Inputs!$B$7,0)</f>
        <v>0</v>
      </c>
      <c r="Q37" s="19">
        <f>IF(Q36&gt;0,Q36*Inputs!$B$7,0)</f>
        <v>0</v>
      </c>
      <c r="R37" s="19">
        <f>IF(R36&gt;0,R36*Inputs!$B$7,0)</f>
        <v>0</v>
      </c>
      <c r="S37" s="19">
        <f>IF(S36&gt;0,S36*Inputs!$B$7,0)</f>
        <v>0</v>
      </c>
      <c r="T37" s="19">
        <f>IF(T36&gt;0,T36*Inputs!$B$7,0)</f>
        <v>0</v>
      </c>
      <c r="U37" s="19">
        <f>IF(U36&gt;0,U36*Inputs!$B$7,0)</f>
        <v>0</v>
      </c>
      <c r="V37" s="19">
        <f>IF(V36&gt;0,V36*Inputs!$B$7,0)</f>
        <v>0</v>
      </c>
      <c r="W37" s="19">
        <f>IF(W36&gt;0,W36*Inputs!$B$7,0)</f>
        <v>0</v>
      </c>
      <c r="X37" s="19">
        <f>IF(X36&gt;0,X36*Inputs!$B$7,0)</f>
        <v>0</v>
      </c>
      <c r="Y37" s="19">
        <f>IF(Y36&gt;0,Y36*Inputs!$B$7,0)</f>
        <v>0</v>
      </c>
      <c r="Z37" s="19">
        <f>IF(Z36&gt;0,Z36*Inputs!$B$7,0)</f>
        <v>0</v>
      </c>
      <c r="AA37" s="19">
        <f>IF(AA36&gt;0,AA36*Inputs!$B$7,0)</f>
        <v>0</v>
      </c>
      <c r="AB37" s="19">
        <f>IF(AB36&gt;0,AB36*Inputs!$B$7,0)</f>
        <v>0</v>
      </c>
      <c r="AC37" s="19">
        <f>IF(AC36&gt;0,AC36*Inputs!$B$7,0)</f>
        <v>0</v>
      </c>
      <c r="AD37" s="19">
        <f>IF(AD36&gt;0,AD36*Inputs!$B$7,0)</f>
        <v>0</v>
      </c>
      <c r="AE37" s="19">
        <f>IF(AE36&gt;0,AE36*Inputs!$B$7,0)</f>
        <v>0</v>
      </c>
      <c r="AF37" s="19">
        <f>IF(AF36&gt;0,AF36*Inputs!$B$7,0)</f>
        <v>0</v>
      </c>
      <c r="AG37" s="19">
        <f>IF(AG36&gt;0,AG36*Inputs!$B$7,0)</f>
        <v>0</v>
      </c>
      <c r="AH37" s="19">
        <f>IF(AH36&gt;0,AH36*Inputs!$B$7,0)</f>
        <v>0</v>
      </c>
      <c r="AI37" s="19">
        <f>IF(AI36&gt;0,AI36*Inputs!$B$7,0)</f>
        <v>0</v>
      </c>
      <c r="AJ37" s="19">
        <f>IF(AJ36&gt;0,AJ36*Inputs!$B$7,0)</f>
        <v>0</v>
      </c>
      <c r="AK37" s="19">
        <f>IF(AK36&gt;0,AK36*Inputs!$B$7,0)</f>
        <v>0</v>
      </c>
      <c r="AL37" s="19">
        <f>IF(AL36&gt;0,AL36*Inputs!$B$7,0)</f>
        <v>0</v>
      </c>
      <c r="AM37" s="19">
        <f>IF(AM36&gt;0,AM36*Inputs!$B$7,0)</f>
        <v>0</v>
      </c>
      <c r="AN37" s="19">
        <f>IF(AN36&gt;0,AN36*Inputs!$B$7,0)</f>
        <v>0</v>
      </c>
      <c r="AO37" s="19">
        <f>IF(AO36&gt;0,AO36*Inputs!$B$7,0)</f>
        <v>0</v>
      </c>
      <c r="AP37" s="19">
        <f>IF(AP36&gt;0,AP36*Inputs!$B$7,0)</f>
        <v>0</v>
      </c>
      <c r="AQ37" s="19">
        <f>IF(AQ36&gt;0,AQ36*Inputs!$B$7,0)</f>
        <v>0</v>
      </c>
      <c r="AR37" s="19">
        <f>IF(AR36&gt;0,AR36*Inputs!$B$7,0)</f>
        <v>0</v>
      </c>
      <c r="AS37" s="19">
        <f>IF(AS36&gt;0,AS36*Inputs!$B$7,0)</f>
        <v>0</v>
      </c>
      <c r="AT37" s="19">
        <f>IF(AT36&gt;0,AT36*Inputs!$B$7,0)</f>
        <v>0</v>
      </c>
      <c r="AU37" s="19">
        <f>IF(AU36&gt;0,AU36*Inputs!$B$7,0)</f>
        <v>0</v>
      </c>
      <c r="AV37" s="19">
        <f>IF(AV36&gt;0,AV36*Inputs!$B$7,0)</f>
        <v>0</v>
      </c>
      <c r="AW37" s="19">
        <f>IF(AW36&gt;0,AW36*Inputs!$B$7,0)</f>
        <v>0</v>
      </c>
      <c r="AX37" s="19">
        <f>IF(AX36&gt;0,AX36*Inputs!$B$7,0)</f>
        <v>0</v>
      </c>
      <c r="AY37" s="19">
        <f>IF(AY36&gt;0,AY36*Inputs!$B$7,0)</f>
        <v>0</v>
      </c>
      <c r="AZ37" s="19">
        <f>IF(AZ36&gt;0,AZ36*Inputs!$B$7,0)</f>
        <v>0</v>
      </c>
      <c r="BA37" s="19">
        <f>IF(BA36&gt;0,BA36*Inputs!$B$7,0)</f>
        <v>0</v>
      </c>
    </row>
    <row r="39" spans="1:53" x14ac:dyDescent="0.35">
      <c r="A39" s="2" t="s">
        <v>321</v>
      </c>
      <c r="B39" s="17">
        <f t="shared" ref="B39:AG39" si="17">B36-B37</f>
        <v>-68146</v>
      </c>
      <c r="C39" s="17">
        <f t="shared" si="17"/>
        <v>-41854.75</v>
      </c>
      <c r="D39" s="17">
        <f t="shared" si="17"/>
        <v>-41989.9375</v>
      </c>
      <c r="E39" s="17">
        <f t="shared" si="17"/>
        <v>-42131.884374999994</v>
      </c>
      <c r="F39" s="17">
        <f t="shared" si="17"/>
        <v>-58030.928593749988</v>
      </c>
      <c r="G39" s="17">
        <f t="shared" si="17"/>
        <v>-42437.425023437492</v>
      </c>
      <c r="H39" s="17">
        <f t="shared" si="17"/>
        <v>-56217.41294127603</v>
      </c>
      <c r="I39" s="17">
        <f t="shared" si="17"/>
        <v>-68566.450255006508</v>
      </c>
      <c r="J39" s="17">
        <f t="shared" si="17"/>
        <v>-71792.864434423507</v>
      </c>
      <c r="K39" s="17">
        <f t="shared" si="17"/>
        <v>-99892.753489478011</v>
      </c>
      <c r="L39" s="17">
        <f t="shared" si="17"/>
        <v>-103947.94533061858</v>
      </c>
      <c r="M39" s="17">
        <f t="shared" si="17"/>
        <v>-111569.79051381617</v>
      </c>
      <c r="N39" s="17">
        <f t="shared" si="17"/>
        <v>-125196.38420617365</v>
      </c>
      <c r="O39" s="17">
        <f t="shared" si="17"/>
        <v>-147275.92362481568</v>
      </c>
      <c r="P39" s="17">
        <f t="shared" si="17"/>
        <v>-140405.36761855643</v>
      </c>
      <c r="Q39" s="17">
        <f t="shared" si="17"/>
        <v>-140660.28381198426</v>
      </c>
      <c r="R39" s="17">
        <f t="shared" si="17"/>
        <v>-157727.94581508345</v>
      </c>
      <c r="S39" s="17">
        <f t="shared" si="17"/>
        <v>-187654.45966833763</v>
      </c>
      <c r="T39" s="17">
        <f t="shared" si="17"/>
        <v>-177279.55702675454</v>
      </c>
      <c r="U39" s="17">
        <f t="shared" si="17"/>
        <v>-188346.45091975891</v>
      </c>
      <c r="V39" s="17">
        <f t="shared" si="17"/>
        <v>-185115.12909074684</v>
      </c>
      <c r="W39" s="17">
        <f t="shared" si="17"/>
        <v>-201772.22033695088</v>
      </c>
      <c r="X39" s="17">
        <f t="shared" si="17"/>
        <v>-198574.24635379846</v>
      </c>
      <c r="Y39" s="17">
        <f t="shared" si="17"/>
        <v>-212610.86325482171</v>
      </c>
      <c r="Z39" s="17">
        <f t="shared" si="17"/>
        <v>-212178.26891756282</v>
      </c>
      <c r="AA39" s="17">
        <f t="shared" si="17"/>
        <v>-232379.95157698257</v>
      </c>
      <c r="AB39" s="17">
        <f t="shared" si="17"/>
        <v>-216574.67810895672</v>
      </c>
      <c r="AC39" s="17">
        <f t="shared" si="17"/>
        <v>-227175.7548216962</v>
      </c>
      <c r="AD39" s="17">
        <f t="shared" si="17"/>
        <v>-224099.77065653104</v>
      </c>
      <c r="AE39" s="17">
        <f t="shared" si="17"/>
        <v>-239937.34249144094</v>
      </c>
      <c r="AF39" s="17">
        <f t="shared" si="17"/>
        <v>-231823.061616013</v>
      </c>
      <c r="AG39" s="17">
        <f t="shared" si="17"/>
        <v>-243470.05961348023</v>
      </c>
      <c r="AH39" s="17">
        <f t="shared" ref="AH39:BA39" si="18">AH36-AH37</f>
        <v>-227813.06553165428</v>
      </c>
      <c r="AI39" s="17">
        <f t="shared" si="18"/>
        <v>-243822.55903740364</v>
      </c>
      <c r="AJ39" s="17">
        <f t="shared" si="18"/>
        <v>-256660.05289552387</v>
      </c>
      <c r="AK39" s="17">
        <f t="shared" si="18"/>
        <v>-260362.4563423834</v>
      </c>
      <c r="AL39" s="17">
        <f t="shared" si="18"/>
        <v>-260183.68565950263</v>
      </c>
      <c r="AM39" s="17">
        <f t="shared" si="18"/>
        <v>-276047.01787242561</v>
      </c>
      <c r="AN39" s="17">
        <f t="shared" si="18"/>
        <v>-259573.96434964074</v>
      </c>
      <c r="AO39" s="17">
        <f t="shared" si="18"/>
        <v>-282236.9992434248</v>
      </c>
      <c r="AP39" s="17">
        <f t="shared" si="18"/>
        <v>-275986.90262122103</v>
      </c>
      <c r="AQ39" s="17">
        <f t="shared" si="18"/>
        <v>-298856.74681374046</v>
      </c>
      <c r="AR39" s="17">
        <f t="shared" si="18"/>
        <v>-291041.75995442743</v>
      </c>
      <c r="AS39" s="17">
        <f t="shared" si="18"/>
        <v>-321663.51838860707</v>
      </c>
      <c r="AT39" s="17">
        <f t="shared" si="18"/>
        <v>-301900.08667288115</v>
      </c>
      <c r="AU39" s="17">
        <f t="shared" si="18"/>
        <v>-301348.44777136907</v>
      </c>
      <c r="AV39" s="17">
        <f t="shared" si="18"/>
        <v>-302505.26752478123</v>
      </c>
      <c r="AW39" s="17">
        <f t="shared" si="18"/>
        <v>-305373.300265864</v>
      </c>
      <c r="AX39" s="17">
        <f t="shared" si="18"/>
        <v>-313007.65919915715</v>
      </c>
      <c r="AY39" s="17">
        <f t="shared" si="18"/>
        <v>-314346.82266620098</v>
      </c>
      <c r="AZ39" s="17">
        <f t="shared" si="18"/>
        <v>-300957.6268665971</v>
      </c>
      <c r="BA39" s="17">
        <f t="shared" si="18"/>
        <v>-300648.41282901273</v>
      </c>
    </row>
    <row r="40" spans="1:53" x14ac:dyDescent="0.35">
      <c r="A40" s="3" t="s">
        <v>322</v>
      </c>
      <c r="B40" s="18">
        <f t="shared" ref="B40:AG40" si="19">IFERROR(B39/B7,0)</f>
        <v>0</v>
      </c>
      <c r="C40" s="18">
        <f t="shared" si="19"/>
        <v>0</v>
      </c>
      <c r="D40" s="18">
        <f t="shared" si="19"/>
        <v>0</v>
      </c>
      <c r="E40" s="18">
        <f t="shared" si="19"/>
        <v>0</v>
      </c>
      <c r="F40" s="18">
        <f t="shared" si="19"/>
        <v>0</v>
      </c>
      <c r="G40" s="18">
        <f t="shared" si="19"/>
        <v>0</v>
      </c>
      <c r="H40" s="18">
        <f t="shared" si="19"/>
        <v>0</v>
      </c>
      <c r="I40" s="18">
        <f t="shared" si="19"/>
        <v>0</v>
      </c>
      <c r="J40" s="18">
        <f t="shared" si="19"/>
        <v>-14.358572886884701</v>
      </c>
      <c r="K40" s="18">
        <f t="shared" si="19"/>
        <v>-19.978550697895603</v>
      </c>
      <c r="L40" s="18">
        <f t="shared" si="19"/>
        <v>-20.789589066123714</v>
      </c>
      <c r="M40" s="18">
        <f t="shared" si="19"/>
        <v>-22.313958102763234</v>
      </c>
      <c r="N40" s="18">
        <f t="shared" si="19"/>
        <v>-23.18451559373586</v>
      </c>
      <c r="O40" s="18">
        <f t="shared" si="19"/>
        <v>-27.273319189780683</v>
      </c>
      <c r="P40" s="18">
        <f t="shared" si="19"/>
        <v>-26.000994003436375</v>
      </c>
      <c r="Q40" s="18">
        <f t="shared" si="19"/>
        <v>-26.048200705923012</v>
      </c>
      <c r="R40" s="18">
        <f t="shared" si="19"/>
        <v>-29.208878854645086</v>
      </c>
      <c r="S40" s="18">
        <f t="shared" si="19"/>
        <v>-34.750825864506972</v>
      </c>
      <c r="T40" s="18">
        <f t="shared" si="19"/>
        <v>-32.82954759754714</v>
      </c>
      <c r="U40" s="18">
        <f t="shared" si="19"/>
        <v>-34.878972392547944</v>
      </c>
      <c r="V40" s="18">
        <f t="shared" si="19"/>
        <v>-34.280579461249417</v>
      </c>
      <c r="W40" s="18">
        <f t="shared" si="19"/>
        <v>-37.365225988324234</v>
      </c>
      <c r="X40" s="18">
        <f t="shared" si="19"/>
        <v>-36.773008584036752</v>
      </c>
      <c r="Y40" s="18">
        <f t="shared" si="19"/>
        <v>-11.24925202406464</v>
      </c>
      <c r="Z40" s="18">
        <f t="shared" si="19"/>
        <v>-10.394780958140448</v>
      </c>
      <c r="AA40" s="18">
        <f t="shared" si="19"/>
        <v>-11.384477345531186</v>
      </c>
      <c r="AB40" s="18">
        <f t="shared" si="19"/>
        <v>-6.1892626345723798</v>
      </c>
      <c r="AC40" s="18">
        <f t="shared" si="19"/>
        <v>-6.4922197880000061</v>
      </c>
      <c r="AD40" s="18">
        <f t="shared" si="19"/>
        <v>-6.4043144334856832</v>
      </c>
      <c r="AE40" s="18">
        <f t="shared" si="19"/>
        <v>-4.8401787801872205</v>
      </c>
      <c r="AF40" s="18">
        <f t="shared" si="19"/>
        <v>-4.6764920038734159</v>
      </c>
      <c r="AG40" s="18">
        <f t="shared" si="19"/>
        <v>-4.9114431455959044</v>
      </c>
      <c r="AH40" s="18">
        <f t="shared" ref="AH40:BA40" si="20">IFERROR(AH39/AH7,0)</f>
        <v>-3.5511451791316602</v>
      </c>
      <c r="AI40" s="18">
        <f t="shared" si="20"/>
        <v>-3.8007008205107184</v>
      </c>
      <c r="AJ40" s="18">
        <f t="shared" si="20"/>
        <v>-4.0008113994189403</v>
      </c>
      <c r="AK40" s="18">
        <f t="shared" si="20"/>
        <v>-3.3069457951326444</v>
      </c>
      <c r="AL40" s="18">
        <f t="shared" si="20"/>
        <v>-3.0598844187254866</v>
      </c>
      <c r="AM40" s="18">
        <f t="shared" si="20"/>
        <v>-3.2464447825867024</v>
      </c>
      <c r="AN40" s="18">
        <f t="shared" si="20"/>
        <v>-2.5757272728770615</v>
      </c>
      <c r="AO40" s="18">
        <f t="shared" si="20"/>
        <v>-2.8006103701026981</v>
      </c>
      <c r="AP40" s="18">
        <f t="shared" si="20"/>
        <v>-2.7385912675002402</v>
      </c>
      <c r="AQ40" s="18">
        <f t="shared" si="20"/>
        <v>-2.5647796872124222</v>
      </c>
      <c r="AR40" s="18">
        <f t="shared" si="20"/>
        <v>-2.4977117030819178</v>
      </c>
      <c r="AS40" s="18">
        <f t="shared" si="20"/>
        <v>-2.7605067206147083</v>
      </c>
      <c r="AT40" s="18">
        <f t="shared" si="20"/>
        <v>-2.2824573558830163</v>
      </c>
      <c r="AU40" s="18">
        <f t="shared" si="20"/>
        <v>-2.278286796402814</v>
      </c>
      <c r="AV40" s="18">
        <f t="shared" si="20"/>
        <v>-2.2870327089486002</v>
      </c>
      <c r="AW40" s="18">
        <f t="shared" si="20"/>
        <v>-2.3087159171216762</v>
      </c>
      <c r="AX40" s="18">
        <f t="shared" si="20"/>
        <v>-2.1911426063363701</v>
      </c>
      <c r="AY40" s="18">
        <f t="shared" si="20"/>
        <v>-2.2005171313463858</v>
      </c>
      <c r="AZ40" s="18">
        <f t="shared" si="20"/>
        <v>-1.8826624695636152</v>
      </c>
      <c r="BA40" s="18">
        <f t="shared" si="20"/>
        <v>-1.880728158512311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BA23"/>
  <sheetViews>
    <sheetView workbookViewId="0">
      <pane xSplit="1" ySplit="3" topLeftCell="B4" activePane="bottomRight" state="frozen"/>
      <selection pane="topRight"/>
      <selection pane="bottomLeft"/>
      <selection pane="bottomRight" activeCell="B2" sqref="B2:BA2"/>
    </sheetView>
  </sheetViews>
  <sheetFormatPr baseColWidth="10" defaultColWidth="8.7265625" defaultRowHeight="14.5" x14ac:dyDescent="0.35"/>
  <cols>
    <col min="1" max="1" width="35" customWidth="1"/>
    <col min="2" max="53" width="12" customWidth="1"/>
  </cols>
  <sheetData>
    <row r="1" spans="1:53" ht="18" x14ac:dyDescent="0.4">
      <c r="A1" s="1" t="s">
        <v>323</v>
      </c>
    </row>
    <row r="2" spans="1:53" x14ac:dyDescent="0.35">
      <c r="B2" s="34">
        <v>46113</v>
      </c>
      <c r="C2" s="34">
        <v>46143</v>
      </c>
      <c r="D2" s="34">
        <v>46174</v>
      </c>
      <c r="E2" s="34">
        <v>46204</v>
      </c>
      <c r="F2" s="34">
        <v>46235</v>
      </c>
      <c r="G2" s="34">
        <v>46266</v>
      </c>
      <c r="H2" s="34">
        <v>46296</v>
      </c>
      <c r="I2" s="34">
        <v>46327</v>
      </c>
      <c r="J2" s="34">
        <v>46357</v>
      </c>
      <c r="K2" s="34">
        <v>46388</v>
      </c>
      <c r="L2" s="34">
        <v>46419</v>
      </c>
      <c r="M2" s="34">
        <v>46447</v>
      </c>
      <c r="N2" s="34">
        <v>46478</v>
      </c>
      <c r="O2" s="34">
        <v>46508</v>
      </c>
      <c r="P2" s="34">
        <v>46539</v>
      </c>
      <c r="Q2" s="34">
        <v>46569</v>
      </c>
      <c r="R2" s="34">
        <v>46600</v>
      </c>
      <c r="S2" s="34">
        <v>46631</v>
      </c>
      <c r="T2" s="34">
        <v>46661</v>
      </c>
      <c r="U2" s="34">
        <v>46692</v>
      </c>
      <c r="V2" s="34">
        <v>46722</v>
      </c>
      <c r="W2" s="34">
        <v>46753</v>
      </c>
      <c r="X2" s="34">
        <v>46784</v>
      </c>
      <c r="Y2" s="34">
        <v>46813</v>
      </c>
      <c r="Z2" s="34">
        <v>46844</v>
      </c>
      <c r="AA2" s="34">
        <v>46874</v>
      </c>
      <c r="AB2" s="34">
        <v>46905</v>
      </c>
      <c r="AC2" s="34">
        <v>46935</v>
      </c>
      <c r="AD2" s="34">
        <v>46966</v>
      </c>
      <c r="AE2" s="34">
        <v>46997</v>
      </c>
      <c r="AF2" s="34">
        <v>47027</v>
      </c>
      <c r="AG2" s="34">
        <v>47058</v>
      </c>
      <c r="AH2" s="34">
        <v>47088</v>
      </c>
      <c r="AI2" s="34">
        <v>47119</v>
      </c>
      <c r="AJ2" s="34">
        <v>47150</v>
      </c>
      <c r="AK2" s="34">
        <v>47178</v>
      </c>
      <c r="AL2" s="34">
        <v>47209</v>
      </c>
      <c r="AM2" s="34">
        <v>47239</v>
      </c>
      <c r="AN2" s="34">
        <v>47270</v>
      </c>
      <c r="AO2" s="34">
        <v>47300</v>
      </c>
      <c r="AP2" s="34">
        <v>47331</v>
      </c>
      <c r="AQ2" s="34">
        <v>47362</v>
      </c>
      <c r="AR2" s="34">
        <v>47392</v>
      </c>
      <c r="AS2" s="34">
        <v>47423</v>
      </c>
      <c r="AT2" s="34">
        <v>47453</v>
      </c>
      <c r="AU2" s="34">
        <v>47484</v>
      </c>
      <c r="AV2" s="34">
        <v>47515</v>
      </c>
      <c r="AW2" s="34">
        <v>47543</v>
      </c>
      <c r="AX2" s="34">
        <v>47574</v>
      </c>
      <c r="AY2" s="34">
        <v>47604</v>
      </c>
      <c r="AZ2" s="34">
        <v>47635</v>
      </c>
      <c r="BA2" s="34">
        <v>47665</v>
      </c>
    </row>
    <row r="3" spans="1:53" x14ac:dyDescent="0.35">
      <c r="A3" s="7" t="s">
        <v>324</v>
      </c>
      <c r="B3" s="7" t="s">
        <v>243</v>
      </c>
      <c r="C3" s="7" t="s">
        <v>244</v>
      </c>
      <c r="D3" s="7" t="s">
        <v>245</v>
      </c>
      <c r="E3" s="7" t="s">
        <v>246</v>
      </c>
      <c r="F3" s="7" t="s">
        <v>247</v>
      </c>
      <c r="G3" s="7" t="s">
        <v>248</v>
      </c>
      <c r="H3" s="7" t="s">
        <v>249</v>
      </c>
      <c r="I3" s="7" t="s">
        <v>250</v>
      </c>
      <c r="J3" s="7" t="s">
        <v>251</v>
      </c>
      <c r="K3" s="7" t="s">
        <v>252</v>
      </c>
      <c r="L3" s="7" t="s">
        <v>253</v>
      </c>
      <c r="M3" s="7" t="s">
        <v>254</v>
      </c>
      <c r="N3" s="7" t="s">
        <v>255</v>
      </c>
      <c r="O3" s="7" t="s">
        <v>256</v>
      </c>
      <c r="P3" s="7" t="s">
        <v>257</v>
      </c>
      <c r="Q3" s="7" t="s">
        <v>258</v>
      </c>
      <c r="R3" s="7" t="s">
        <v>259</v>
      </c>
      <c r="S3" s="7" t="s">
        <v>260</v>
      </c>
      <c r="T3" s="7" t="s">
        <v>261</v>
      </c>
      <c r="U3" s="7" t="s">
        <v>262</v>
      </c>
      <c r="V3" s="7" t="s">
        <v>263</v>
      </c>
      <c r="W3" s="7" t="s">
        <v>264</v>
      </c>
      <c r="X3" s="7" t="s">
        <v>265</v>
      </c>
      <c r="Y3" s="7" t="s">
        <v>266</v>
      </c>
      <c r="Z3" s="7" t="s">
        <v>267</v>
      </c>
      <c r="AA3" s="7" t="s">
        <v>268</v>
      </c>
      <c r="AB3" s="7" t="s">
        <v>269</v>
      </c>
      <c r="AC3" s="7" t="s">
        <v>270</v>
      </c>
      <c r="AD3" s="7" t="s">
        <v>271</v>
      </c>
      <c r="AE3" s="7" t="s">
        <v>272</v>
      </c>
      <c r="AF3" s="7" t="s">
        <v>273</v>
      </c>
      <c r="AG3" s="7" t="s">
        <v>274</v>
      </c>
      <c r="AH3" s="7" t="s">
        <v>275</v>
      </c>
      <c r="AI3" s="7" t="s">
        <v>276</v>
      </c>
      <c r="AJ3" s="7" t="s">
        <v>277</v>
      </c>
      <c r="AK3" s="7" t="s">
        <v>278</v>
      </c>
      <c r="AL3" s="7" t="s">
        <v>279</v>
      </c>
      <c r="AM3" s="7" t="s">
        <v>280</v>
      </c>
      <c r="AN3" s="7" t="s">
        <v>281</v>
      </c>
      <c r="AO3" s="7" t="s">
        <v>282</v>
      </c>
      <c r="AP3" s="7" t="s">
        <v>283</v>
      </c>
      <c r="AQ3" s="7" t="s">
        <v>284</v>
      </c>
      <c r="AR3" s="7" t="s">
        <v>285</v>
      </c>
      <c r="AS3" s="7" t="s">
        <v>286</v>
      </c>
      <c r="AT3" s="7" t="s">
        <v>287</v>
      </c>
      <c r="AU3" s="7" t="s">
        <v>288</v>
      </c>
      <c r="AV3" s="7" t="s">
        <v>289</v>
      </c>
      <c r="AW3" s="7" t="s">
        <v>290</v>
      </c>
      <c r="AX3" s="7" t="s">
        <v>291</v>
      </c>
      <c r="AY3" s="7" t="s">
        <v>292</v>
      </c>
      <c r="AZ3" s="7" t="s">
        <v>293</v>
      </c>
      <c r="BA3" s="7" t="s">
        <v>294</v>
      </c>
    </row>
    <row r="4" spans="1:53" x14ac:dyDescent="0.35">
      <c r="A4" s="3" t="s">
        <v>325</v>
      </c>
      <c r="B4" s="19">
        <f>IFERROR(Inputs!$B$20/12*(1+Inputs!$B$21)^(INT((1-1)/12)),0)</f>
        <v>1000</v>
      </c>
      <c r="C4" s="19">
        <f>Inputs!$B$20/12*(1+Inputs!$B$21)^INT((2-1)/12)</f>
        <v>1000</v>
      </c>
      <c r="D4" s="19">
        <f>Inputs!$B$20/12*(1+Inputs!$B$21)^INT((3-1)/12)</f>
        <v>1000</v>
      </c>
      <c r="E4" s="19">
        <f>Inputs!$B$20/12*(1+Inputs!$B$21)^INT((4-1)/12)</f>
        <v>1000</v>
      </c>
      <c r="F4" s="19">
        <f>Inputs!$B$20/12*(1+Inputs!$B$21)^INT((5-1)/12)</f>
        <v>1000</v>
      </c>
      <c r="G4" s="19">
        <f>Inputs!$B$20/12*(1+Inputs!$B$21)^INT((6-1)/12)</f>
        <v>1000</v>
      </c>
      <c r="H4" s="19">
        <f>Inputs!$B$20/12*(1+Inputs!$B$21)^INT((7-1)/12)</f>
        <v>1000</v>
      </c>
      <c r="I4" s="19">
        <f>Inputs!$B$20/12*(1+Inputs!$B$21)^INT((8-1)/12)</f>
        <v>1000</v>
      </c>
      <c r="J4" s="19">
        <f>Inputs!$B$20/12*(1+Inputs!$B$21)^INT((9-1)/12)</f>
        <v>1000</v>
      </c>
      <c r="K4" s="19">
        <f>Inputs!$B$20/12*(1+Inputs!$B$21)^INT((10-1)/12)</f>
        <v>1000</v>
      </c>
      <c r="L4" s="19">
        <f>Inputs!$B$20/12*(1+Inputs!$B$21)^INT((11-1)/12)</f>
        <v>1000</v>
      </c>
      <c r="M4" s="19">
        <f>Inputs!$B$20/12*(1+Inputs!$B$21)^INT((12-1)/12)</f>
        <v>1000</v>
      </c>
      <c r="N4" s="19">
        <f>Inputs!$B$20/12*(1+Inputs!$B$21)^INT((13-1)/12)</f>
        <v>1080</v>
      </c>
      <c r="O4" s="19">
        <f>Inputs!$B$20/12*(1+Inputs!$B$21)^INT((14-1)/12)</f>
        <v>1080</v>
      </c>
      <c r="P4" s="19">
        <f>Inputs!$B$20/12*(1+Inputs!$B$21)^INT((15-1)/12)</f>
        <v>1080</v>
      </c>
      <c r="Q4" s="19">
        <f>Inputs!$B$20/12*(1+Inputs!$B$21)^INT((16-1)/12)</f>
        <v>1080</v>
      </c>
      <c r="R4" s="19">
        <f>Inputs!$B$20/12*(1+Inputs!$B$21)^INT((17-1)/12)</f>
        <v>1080</v>
      </c>
      <c r="S4" s="19">
        <f>Inputs!$B$20/12*(1+Inputs!$B$21)^INT((18-1)/12)</f>
        <v>1080</v>
      </c>
      <c r="T4" s="19">
        <f>Inputs!$B$20/12*(1+Inputs!$B$21)^INT((19-1)/12)</f>
        <v>1080</v>
      </c>
      <c r="U4" s="19">
        <f>Inputs!$B$20/12*(1+Inputs!$B$21)^INT((20-1)/12)</f>
        <v>1080</v>
      </c>
      <c r="V4" s="19">
        <f>Inputs!$B$20/12*(1+Inputs!$B$21)^INT((21-1)/12)</f>
        <v>1080</v>
      </c>
      <c r="W4" s="19">
        <f>Inputs!$B$20/12*(1+Inputs!$B$21)^INT((22-1)/12)</f>
        <v>1080</v>
      </c>
      <c r="X4" s="19">
        <f>Inputs!$B$20/12*(1+Inputs!$B$21)^INT((23-1)/12)</f>
        <v>1080</v>
      </c>
      <c r="Y4" s="19">
        <f>Inputs!$B$20/12*(1+Inputs!$B$21)^INT((24-1)/12)</f>
        <v>1080</v>
      </c>
      <c r="Z4" s="19">
        <f>Inputs!$B$20/12*(1+Inputs!$B$21)^INT((25-1)/12)</f>
        <v>1166.4000000000001</v>
      </c>
      <c r="AA4" s="19">
        <f>Inputs!$B$20/12*(1+Inputs!$B$21)^INT((26-1)/12)</f>
        <v>1166.4000000000001</v>
      </c>
      <c r="AB4" s="19">
        <f>Inputs!$B$20/12*(1+Inputs!$B$21)^INT((27-1)/12)</f>
        <v>1166.4000000000001</v>
      </c>
      <c r="AC4" s="19">
        <f>Inputs!$B$20/12*(1+Inputs!$B$21)^INT((28-1)/12)</f>
        <v>1166.4000000000001</v>
      </c>
      <c r="AD4" s="19">
        <f>Inputs!$B$20/12*(1+Inputs!$B$21)^INT((29-1)/12)</f>
        <v>1166.4000000000001</v>
      </c>
      <c r="AE4" s="19">
        <f>Inputs!$B$20/12*(1+Inputs!$B$21)^INT((30-1)/12)</f>
        <v>1166.4000000000001</v>
      </c>
      <c r="AF4" s="19">
        <f>Inputs!$B$20/12*(1+Inputs!$B$21)^INT((31-1)/12)</f>
        <v>1166.4000000000001</v>
      </c>
      <c r="AG4" s="19">
        <f>Inputs!$B$20/12*(1+Inputs!$B$21)^INT((32-1)/12)</f>
        <v>1166.4000000000001</v>
      </c>
      <c r="AH4" s="19">
        <f>Inputs!$B$20/12*(1+Inputs!$B$21)^INT((33-1)/12)</f>
        <v>1166.4000000000001</v>
      </c>
      <c r="AI4" s="19">
        <f>Inputs!$B$20/12*(1+Inputs!$B$21)^INT((34-1)/12)</f>
        <v>1166.4000000000001</v>
      </c>
      <c r="AJ4" s="19">
        <f>Inputs!$B$20/12*(1+Inputs!$B$21)^INT((35-1)/12)</f>
        <v>1166.4000000000001</v>
      </c>
      <c r="AK4" s="19">
        <f>Inputs!$B$20/12*(1+Inputs!$B$21)^INT((36-1)/12)</f>
        <v>1166.4000000000001</v>
      </c>
      <c r="AL4" s="19">
        <f>Inputs!$B$20/12*(1+Inputs!$B$21)^INT((37-1)/12)</f>
        <v>1259.7120000000002</v>
      </c>
      <c r="AM4" s="19">
        <f>Inputs!$B$20/12*(1+Inputs!$B$21)^INT((38-1)/12)</f>
        <v>1259.7120000000002</v>
      </c>
      <c r="AN4" s="19">
        <f>Inputs!$B$20/12*(1+Inputs!$B$21)^INT((39-1)/12)</f>
        <v>1259.7120000000002</v>
      </c>
      <c r="AO4" s="19">
        <f>Inputs!$B$20/12*(1+Inputs!$B$21)^INT((40-1)/12)</f>
        <v>1259.7120000000002</v>
      </c>
      <c r="AP4" s="19">
        <f>Inputs!$B$20/12*(1+Inputs!$B$21)^INT((41-1)/12)</f>
        <v>1259.7120000000002</v>
      </c>
      <c r="AQ4" s="19">
        <f>Inputs!$B$20/12*(1+Inputs!$B$21)^INT((42-1)/12)</f>
        <v>1259.7120000000002</v>
      </c>
      <c r="AR4" s="19">
        <f>Inputs!$B$20/12*(1+Inputs!$B$21)^INT((43-1)/12)</f>
        <v>1259.7120000000002</v>
      </c>
      <c r="AS4" s="19">
        <f>Inputs!$B$20/12*(1+Inputs!$B$21)^INT((44-1)/12)</f>
        <v>1259.7120000000002</v>
      </c>
      <c r="AT4" s="19">
        <f>Inputs!$B$20/12*(1+Inputs!$B$21)^INT((45-1)/12)</f>
        <v>1259.7120000000002</v>
      </c>
      <c r="AU4" s="19">
        <f>Inputs!$B$20/12*(1+Inputs!$B$21)^INT((46-1)/12)</f>
        <v>1259.7120000000002</v>
      </c>
      <c r="AV4" s="19">
        <f>Inputs!$B$20/12*(1+Inputs!$B$21)^INT((47-1)/12)</f>
        <v>1259.7120000000002</v>
      </c>
      <c r="AW4" s="19">
        <f>Inputs!$B$20/12*(1+Inputs!$B$21)^INT((48-1)/12)</f>
        <v>1259.7120000000002</v>
      </c>
      <c r="AX4" s="19">
        <f>Inputs!$B$20/12*(1+Inputs!$B$21)^INT((49-1)/12)</f>
        <v>1360.4889600000004</v>
      </c>
      <c r="AY4" s="19">
        <f>Inputs!$B$20/12*(1+Inputs!$B$21)^INT((50-1)/12)</f>
        <v>1360.4889600000004</v>
      </c>
      <c r="AZ4" s="19">
        <f>Inputs!$B$20/12*(1+Inputs!$B$21)^INT((51-1)/12)</f>
        <v>1360.4889600000004</v>
      </c>
      <c r="BA4" s="19">
        <f>Inputs!$B$20/12*(1+Inputs!$B$21)^INT((52-1)/12)</f>
        <v>1360.4889600000004</v>
      </c>
    </row>
    <row r="5" spans="1:53" x14ac:dyDescent="0.35">
      <c r="A5" s="3" t="s">
        <v>326</v>
      </c>
      <c r="B5" s="19">
        <f>IF(1&gt;=Inputs!$B$22,Inputs!$B$23,0)</f>
        <v>0</v>
      </c>
      <c r="C5" s="19">
        <f>IF(2&gt;=Inputs!$B$22,IF(2=Inputs!$B$22,Inputs!$B$23,ROUND(B8*Inputs!$B$24,0)),0)</f>
        <v>0</v>
      </c>
      <c r="D5" s="19">
        <f>IF(3&gt;=Inputs!$B$22,IF(3=Inputs!$B$22,Inputs!$B$23,ROUND(C8*Inputs!$B$24,0)),0)</f>
        <v>0</v>
      </c>
      <c r="E5" s="19">
        <f>IF(4&gt;=Inputs!$B$22,IF(4=Inputs!$B$22,Inputs!$B$23,ROUND(D8*Inputs!$B$24,0)),0)</f>
        <v>0</v>
      </c>
      <c r="F5" s="19">
        <f>IF(5&gt;=Inputs!$B$22,IF(5=Inputs!$B$22,Inputs!$B$23,ROUND(E8*Inputs!$B$24,0)),0)</f>
        <v>0</v>
      </c>
      <c r="G5" s="19">
        <f>IF(6&gt;=Inputs!$B$22,IF(6=Inputs!$B$22,Inputs!$B$23,ROUND(F8*Inputs!$B$24,0)),0)</f>
        <v>0</v>
      </c>
      <c r="H5" s="19">
        <f>IF(7&gt;=Inputs!$B$22,IF(7=Inputs!$B$22,Inputs!$B$23,ROUND(G8*Inputs!$B$24,0)),0)</f>
        <v>0</v>
      </c>
      <c r="I5" s="19">
        <f>IF(8&gt;=Inputs!$B$22,IF(8=Inputs!$B$22,Inputs!$B$23,ROUND(H8*Inputs!$B$24,0)),0)</f>
        <v>0</v>
      </c>
      <c r="J5" s="19">
        <f>IF(9&gt;=Inputs!$B$22,IF(9=Inputs!$B$22,Inputs!$B$23,ROUND(I8*Inputs!$B$24,0)),0)</f>
        <v>5</v>
      </c>
      <c r="K5" s="19">
        <f>IF(10&gt;=Inputs!$B$22,IF(10=Inputs!$B$22,Inputs!$B$23,ROUND(J8*Inputs!$B$24,0)),0)</f>
        <v>0</v>
      </c>
      <c r="L5" s="19">
        <f>IF(11&gt;=Inputs!$B$22,IF(11=Inputs!$B$22,Inputs!$B$23,ROUND(K8*Inputs!$B$24,0)),0)</f>
        <v>0</v>
      </c>
      <c r="M5" s="19">
        <f>IF(12&gt;=Inputs!$B$22,IF(12=Inputs!$B$22,Inputs!$B$23,ROUND(L8*Inputs!$B$24,0)),0)</f>
        <v>0</v>
      </c>
      <c r="N5" s="19">
        <f>IF(13&gt;=Inputs!$B$22,IF(13=Inputs!$B$22,Inputs!$B$23,ROUND(M8*Inputs!$B$24,0)),0)</f>
        <v>0</v>
      </c>
      <c r="O5" s="19">
        <f>IF(14&gt;=Inputs!$B$22,IF(14=Inputs!$B$22,Inputs!$B$23,ROUND(N8*Inputs!$B$24,0)),0)</f>
        <v>0</v>
      </c>
      <c r="P5" s="19">
        <f>IF(15&gt;=Inputs!$B$22,IF(15=Inputs!$B$22,Inputs!$B$23,ROUND(O8*Inputs!$B$24,0)),0)</f>
        <v>0</v>
      </c>
      <c r="Q5" s="19">
        <f>IF(16&gt;=Inputs!$B$22,IF(16=Inputs!$B$22,Inputs!$B$23,ROUND(P8*Inputs!$B$24,0)),0)</f>
        <v>0</v>
      </c>
      <c r="R5" s="19">
        <f>IF(17&gt;=Inputs!$B$22,IF(17=Inputs!$B$22,Inputs!$B$23,ROUND(Q8*Inputs!$B$24,0)),0)</f>
        <v>0</v>
      </c>
      <c r="S5" s="19">
        <f>IF(18&gt;=Inputs!$B$22,IF(18=Inputs!$B$22,Inputs!$B$23,ROUND(R8*Inputs!$B$24,0)),0)</f>
        <v>0</v>
      </c>
      <c r="T5" s="19">
        <f>IF(19&gt;=Inputs!$B$22,IF(19=Inputs!$B$22,Inputs!$B$23,ROUND(S8*Inputs!$B$24,0)),0)</f>
        <v>0</v>
      </c>
      <c r="U5" s="19">
        <f>IF(20&gt;=Inputs!$B$22,IF(20=Inputs!$B$22,Inputs!$B$23,ROUND(T8*Inputs!$B$24,0)),0)</f>
        <v>0</v>
      </c>
      <c r="V5" s="19">
        <f>IF(21&gt;=Inputs!$B$22,IF(21=Inputs!$B$22,Inputs!$B$23,ROUND(U8*Inputs!$B$24,0)),0)</f>
        <v>0</v>
      </c>
      <c r="W5" s="19">
        <f>IF(22&gt;=Inputs!$B$22,IF(22=Inputs!$B$22,Inputs!$B$23,ROUND(V8*Inputs!$B$24,0)),0)</f>
        <v>0</v>
      </c>
      <c r="X5" s="19">
        <f>IF(23&gt;=Inputs!$B$22,IF(23=Inputs!$B$22,Inputs!$B$23,ROUND(W8*Inputs!$B$24,0)),0)</f>
        <v>0</v>
      </c>
      <c r="Y5" s="19">
        <f>IF(24&gt;=Inputs!$B$22,IF(24=Inputs!$B$22,Inputs!$B$23,ROUND(X8*Inputs!$B$24,0)),0)</f>
        <v>0</v>
      </c>
      <c r="Z5" s="19">
        <f>IF(25&gt;=Inputs!$B$22,IF(25=Inputs!$B$22,Inputs!$B$23,ROUND(Y8*Inputs!$B$24,0)),0)</f>
        <v>0</v>
      </c>
      <c r="AA5" s="19">
        <f>IF(26&gt;=Inputs!$B$22,IF(26=Inputs!$B$22,Inputs!$B$23,ROUND(Z8*Inputs!$B$24,0)),0)</f>
        <v>0</v>
      </c>
      <c r="AB5" s="19">
        <f>IF(27&gt;=Inputs!$B$22,IF(27=Inputs!$B$22,Inputs!$B$23,ROUND(AA8*Inputs!$B$24,0)),0)</f>
        <v>0</v>
      </c>
      <c r="AC5" s="19">
        <f>IF(28&gt;=Inputs!$B$22,IF(28=Inputs!$B$22,Inputs!$B$23,ROUND(AB8*Inputs!$B$24,0)),0)</f>
        <v>0</v>
      </c>
      <c r="AD5" s="19">
        <f>IF(29&gt;=Inputs!$B$22,IF(29=Inputs!$B$22,Inputs!$B$23,ROUND(AC8*Inputs!$B$24,0)),0)</f>
        <v>0</v>
      </c>
      <c r="AE5" s="19">
        <f>IF(30&gt;=Inputs!$B$22,IF(30=Inputs!$B$22,Inputs!$B$23,ROUND(AD8*Inputs!$B$24,0)),0)</f>
        <v>0</v>
      </c>
      <c r="AF5" s="19">
        <f>IF(31&gt;=Inputs!$B$22,IF(31=Inputs!$B$22,Inputs!$B$23,ROUND(AE8*Inputs!$B$24,0)),0)</f>
        <v>0</v>
      </c>
      <c r="AG5" s="19">
        <f>IF(32&gt;=Inputs!$B$22,IF(32=Inputs!$B$22,Inputs!$B$23,ROUND(AF8*Inputs!$B$24,0)),0)</f>
        <v>0</v>
      </c>
      <c r="AH5" s="19">
        <f>IF(33&gt;=Inputs!$B$22,IF(33=Inputs!$B$22,Inputs!$B$23,ROUND(AG8*Inputs!$B$24,0)),0)</f>
        <v>0</v>
      </c>
      <c r="AI5" s="19">
        <f>IF(34&gt;=Inputs!$B$22,IF(34=Inputs!$B$22,Inputs!$B$23,ROUND(AH8*Inputs!$B$24,0)),0)</f>
        <v>0</v>
      </c>
      <c r="AJ5" s="19">
        <f>IF(35&gt;=Inputs!$B$22,IF(35=Inputs!$B$22,Inputs!$B$23,ROUND(AI8*Inputs!$B$24,0)),0)</f>
        <v>0</v>
      </c>
      <c r="AK5" s="19">
        <f>IF(36&gt;=Inputs!$B$22,IF(36=Inputs!$B$22,Inputs!$B$23,ROUND(AJ8*Inputs!$B$24,0)),0)</f>
        <v>0</v>
      </c>
      <c r="AL5" s="19">
        <f>IF(37&gt;=Inputs!$B$22,IF(37=Inputs!$B$22,Inputs!$B$23,ROUND(AK8*Inputs!$B$24,0)),0)</f>
        <v>0</v>
      </c>
      <c r="AM5" s="19">
        <f>IF(38&gt;=Inputs!$B$22,IF(38=Inputs!$B$22,Inputs!$B$23,ROUND(AL8*Inputs!$B$24,0)),0)</f>
        <v>0</v>
      </c>
      <c r="AN5" s="19">
        <f>IF(39&gt;=Inputs!$B$22,IF(39=Inputs!$B$22,Inputs!$B$23,ROUND(AM8*Inputs!$B$24,0)),0)</f>
        <v>0</v>
      </c>
      <c r="AO5" s="19">
        <f>IF(40&gt;=Inputs!$B$22,IF(40=Inputs!$B$22,Inputs!$B$23,ROUND(AN8*Inputs!$B$24,0)),0)</f>
        <v>0</v>
      </c>
      <c r="AP5" s="19">
        <f>IF(41&gt;=Inputs!$B$22,IF(41=Inputs!$B$22,Inputs!$B$23,ROUND(AO8*Inputs!$B$24,0)),0)</f>
        <v>0</v>
      </c>
      <c r="AQ5" s="19">
        <f>IF(42&gt;=Inputs!$B$22,IF(42=Inputs!$B$22,Inputs!$B$23,ROUND(AP8*Inputs!$B$24,0)),0)</f>
        <v>0</v>
      </c>
      <c r="AR5" s="19">
        <f>IF(43&gt;=Inputs!$B$22,IF(43=Inputs!$B$22,Inputs!$B$23,ROUND(AQ8*Inputs!$B$24,0)),0)</f>
        <v>0</v>
      </c>
      <c r="AS5" s="19">
        <f>IF(44&gt;=Inputs!$B$22,IF(44=Inputs!$B$22,Inputs!$B$23,ROUND(AR8*Inputs!$B$24,0)),0)</f>
        <v>0</v>
      </c>
      <c r="AT5" s="19">
        <f>IF(45&gt;=Inputs!$B$22,IF(45=Inputs!$B$22,Inputs!$B$23,ROUND(AS8*Inputs!$B$24,0)),0)</f>
        <v>0</v>
      </c>
      <c r="AU5" s="19">
        <f>IF(46&gt;=Inputs!$B$22,IF(46=Inputs!$B$22,Inputs!$B$23,ROUND(AT8*Inputs!$B$24,0)),0)</f>
        <v>0</v>
      </c>
      <c r="AV5" s="19">
        <f>IF(47&gt;=Inputs!$B$22,IF(47=Inputs!$B$22,Inputs!$B$23,ROUND(AU8*Inputs!$B$24,0)),0)</f>
        <v>0</v>
      </c>
      <c r="AW5" s="19">
        <f>IF(48&gt;=Inputs!$B$22,IF(48=Inputs!$B$22,Inputs!$B$23,ROUND(AV8*Inputs!$B$24,0)),0)</f>
        <v>0</v>
      </c>
      <c r="AX5" s="19">
        <f>IF(49&gt;=Inputs!$B$22,IF(49=Inputs!$B$22,Inputs!$B$23,ROUND(AW8*Inputs!$B$24,0)),0)</f>
        <v>0</v>
      </c>
      <c r="AY5" s="19">
        <f>IF(50&gt;=Inputs!$B$22,IF(50=Inputs!$B$22,Inputs!$B$23,ROUND(AX8*Inputs!$B$24,0)),0)</f>
        <v>0</v>
      </c>
      <c r="AZ5" s="19">
        <f>IF(51&gt;=Inputs!$B$22,IF(51=Inputs!$B$22,Inputs!$B$23,ROUND(AY8*Inputs!$B$24,0)),0)</f>
        <v>0</v>
      </c>
      <c r="BA5" s="19">
        <f>IF(52&gt;=Inputs!$B$22,IF(52=Inputs!$B$22,Inputs!$B$23,ROUND(AZ8*Inputs!$B$24,0)),0)</f>
        <v>0</v>
      </c>
    </row>
    <row r="6" spans="1:53" x14ac:dyDescent="0.35">
      <c r="A6" s="3" t="s">
        <v>327</v>
      </c>
      <c r="B6" s="19">
        <f>0</f>
        <v>0</v>
      </c>
      <c r="C6" s="19">
        <f>IF(B8&gt;0,ROUND(B8*Inputs!$B$28/12,0),0)</f>
        <v>0</v>
      </c>
      <c r="D6" s="19">
        <f>IF(C8&gt;0,ROUND(C8*Inputs!$B$28/12,0),0)</f>
        <v>0</v>
      </c>
      <c r="E6" s="19">
        <f>IF(D8&gt;0,ROUND(D8*Inputs!$B$28/12,0),0)</f>
        <v>0</v>
      </c>
      <c r="F6" s="19">
        <f>IF(E8&gt;0,ROUND(E8*Inputs!$B$28/12,0),0)</f>
        <v>0</v>
      </c>
      <c r="G6" s="19">
        <f>IF(F8&gt;0,ROUND(F8*Inputs!$B$28/12,0),0)</f>
        <v>0</v>
      </c>
      <c r="H6" s="19">
        <f>IF(G8&gt;0,ROUND(G8*Inputs!$B$28/12,0),0)</f>
        <v>0</v>
      </c>
      <c r="I6" s="19">
        <f>IF(H8&gt;0,ROUND(H8*Inputs!$B$28/12,0),0)</f>
        <v>0</v>
      </c>
      <c r="J6" s="19">
        <f>IF(I8&gt;0,ROUND(I8*Inputs!$B$28/12,0),0)</f>
        <v>0</v>
      </c>
      <c r="K6" s="19">
        <f>IF(J8&gt;0,ROUND(J8*Inputs!$B$28/12,0),0)</f>
        <v>0</v>
      </c>
      <c r="L6" s="19">
        <f>IF(K8&gt;0,ROUND(K8*Inputs!$B$28/12,0),0)</f>
        <v>0</v>
      </c>
      <c r="M6" s="19">
        <f>IF(L8&gt;0,ROUND(L8*Inputs!$B$28/12,0),0)</f>
        <v>0</v>
      </c>
      <c r="N6" s="19">
        <f>IF(M8&gt;0,ROUND(M8*Inputs!$B$28/12,0),0)</f>
        <v>0</v>
      </c>
      <c r="O6" s="19">
        <f>IF(N8&gt;0,ROUND(N8*Inputs!$B$28/12,0),0)</f>
        <v>0</v>
      </c>
      <c r="P6" s="19">
        <f>IF(O8&gt;0,ROUND(O8*Inputs!$B$28/12,0),0)</f>
        <v>0</v>
      </c>
      <c r="Q6" s="19">
        <f>IF(P8&gt;0,ROUND(P8*Inputs!$B$28/12,0),0)</f>
        <v>0</v>
      </c>
      <c r="R6" s="19">
        <f>IF(Q8&gt;0,ROUND(Q8*Inputs!$B$28/12,0),0)</f>
        <v>0</v>
      </c>
      <c r="S6" s="19">
        <f>IF(R8&gt;0,ROUND(R8*Inputs!$B$28/12,0),0)</f>
        <v>0</v>
      </c>
      <c r="T6" s="19">
        <f>IF(S8&gt;0,ROUND(S8*Inputs!$B$28/12,0),0)</f>
        <v>0</v>
      </c>
      <c r="U6" s="19">
        <f>IF(T8&gt;0,ROUND(T8*Inputs!$B$28/12,0),0)</f>
        <v>0</v>
      </c>
      <c r="V6" s="19">
        <f>IF(U8&gt;0,ROUND(U8*Inputs!$B$28/12,0),0)</f>
        <v>0</v>
      </c>
      <c r="W6" s="19">
        <f>IF(V8&gt;0,ROUND(V8*Inputs!$B$28/12,0),0)</f>
        <v>0</v>
      </c>
      <c r="X6" s="19">
        <f>IF(W8&gt;0,ROUND(W8*Inputs!$B$28/12,0),0)</f>
        <v>0</v>
      </c>
      <c r="Y6" s="19">
        <f>IF(X8&gt;0,ROUND(X8*Inputs!$B$28/12,0),0)</f>
        <v>0</v>
      </c>
      <c r="Z6" s="19">
        <f>IF(Y8&gt;0,ROUND(Y8*Inputs!$B$28/12,0),0)</f>
        <v>0</v>
      </c>
      <c r="AA6" s="19">
        <f>IF(Z8&gt;0,ROUND(Z8*Inputs!$B$28/12,0),0)</f>
        <v>0</v>
      </c>
      <c r="AB6" s="19">
        <f>IF(AA8&gt;0,ROUND(AA8*Inputs!$B$28/12,0),0)</f>
        <v>0</v>
      </c>
      <c r="AC6" s="19">
        <f>IF(AB8&gt;0,ROUND(AB8*Inputs!$B$28/12,0),0)</f>
        <v>0</v>
      </c>
      <c r="AD6" s="19">
        <f>IF(AC8&gt;0,ROUND(AC8*Inputs!$B$28/12,0),0)</f>
        <v>0</v>
      </c>
      <c r="AE6" s="19">
        <f>IF(AD8&gt;0,ROUND(AD8*Inputs!$B$28/12,0),0)</f>
        <v>0</v>
      </c>
      <c r="AF6" s="19">
        <f>IF(AE8&gt;0,ROUND(AE8*Inputs!$B$28/12,0),0)</f>
        <v>0</v>
      </c>
      <c r="AG6" s="19">
        <f>IF(AF8&gt;0,ROUND(AF8*Inputs!$B$28/12,0),0)</f>
        <v>0</v>
      </c>
      <c r="AH6" s="19">
        <f>IF(AG8&gt;0,ROUND(AG8*Inputs!$B$28/12,0),0)</f>
        <v>0</v>
      </c>
      <c r="AI6" s="19">
        <f>IF(AH8&gt;0,ROUND(AH8*Inputs!$B$28/12,0),0)</f>
        <v>0</v>
      </c>
      <c r="AJ6" s="19">
        <f>IF(AI8&gt;0,ROUND(AI8*Inputs!$B$28/12,0),0)</f>
        <v>0</v>
      </c>
      <c r="AK6" s="19">
        <f>IF(AJ8&gt;0,ROUND(AJ8*Inputs!$B$28/12,0),0)</f>
        <v>0</v>
      </c>
      <c r="AL6" s="19">
        <f>IF(AK8&gt;0,ROUND(AK8*Inputs!$B$28/12,0),0)</f>
        <v>0</v>
      </c>
      <c r="AM6" s="19">
        <f>IF(AL8&gt;0,ROUND(AL8*Inputs!$B$28/12,0),0)</f>
        <v>0</v>
      </c>
      <c r="AN6" s="19">
        <f>IF(AM8&gt;0,ROUND(AM8*Inputs!$B$28/12,0),0)</f>
        <v>0</v>
      </c>
      <c r="AO6" s="19">
        <f>IF(AN8&gt;0,ROUND(AN8*Inputs!$B$28/12,0),0)</f>
        <v>0</v>
      </c>
      <c r="AP6" s="19">
        <f>IF(AO8&gt;0,ROUND(AO8*Inputs!$B$28/12,0),0)</f>
        <v>0</v>
      </c>
      <c r="AQ6" s="19">
        <f>IF(AP8&gt;0,ROUND(AP8*Inputs!$B$28/12,0),0)</f>
        <v>0</v>
      </c>
      <c r="AR6" s="19">
        <f>IF(AQ8&gt;0,ROUND(AQ8*Inputs!$B$28/12,0),0)</f>
        <v>0</v>
      </c>
      <c r="AS6" s="19">
        <f>IF(AR8&gt;0,ROUND(AR8*Inputs!$B$28/12,0),0)</f>
        <v>0</v>
      </c>
      <c r="AT6" s="19">
        <f>IF(AS8&gt;0,ROUND(AS8*Inputs!$B$28/12,0),0)</f>
        <v>0</v>
      </c>
      <c r="AU6" s="19">
        <f>IF(AT8&gt;0,ROUND(AT8*Inputs!$B$28/12,0),0)</f>
        <v>0</v>
      </c>
      <c r="AV6" s="19">
        <f>IF(AU8&gt;0,ROUND(AU8*Inputs!$B$28/12,0),0)</f>
        <v>0</v>
      </c>
      <c r="AW6" s="19">
        <f>IF(AV8&gt;0,ROUND(AV8*Inputs!$B$28/12,0),0)</f>
        <v>0</v>
      </c>
      <c r="AX6" s="19">
        <f>IF(AW8&gt;0,ROUND(AW8*Inputs!$B$28/12,0),0)</f>
        <v>0</v>
      </c>
      <c r="AY6" s="19">
        <f>IF(AX8&gt;0,ROUND(AX8*Inputs!$B$28/12,0),0)</f>
        <v>0</v>
      </c>
      <c r="AZ6" s="19">
        <f>IF(AY8&gt;0,ROUND(AY8*Inputs!$B$28/12,0),0)</f>
        <v>0</v>
      </c>
      <c r="BA6" s="19">
        <f>IF(AZ8&gt;0,ROUND(AZ8*Inputs!$B$28/12,0),0)</f>
        <v>0</v>
      </c>
    </row>
    <row r="7" spans="1:53" x14ac:dyDescent="0.35">
      <c r="A7" s="3" t="s">
        <v>328</v>
      </c>
      <c r="B7" s="19">
        <f t="shared" ref="B7:AG7" si="0">B5-B6</f>
        <v>0</v>
      </c>
      <c r="C7" s="19">
        <f t="shared" si="0"/>
        <v>0</v>
      </c>
      <c r="D7" s="19">
        <f t="shared" si="0"/>
        <v>0</v>
      </c>
      <c r="E7" s="19">
        <f t="shared" si="0"/>
        <v>0</v>
      </c>
      <c r="F7" s="19">
        <f t="shared" si="0"/>
        <v>0</v>
      </c>
      <c r="G7" s="19">
        <f t="shared" si="0"/>
        <v>0</v>
      </c>
      <c r="H7" s="19">
        <f t="shared" si="0"/>
        <v>0</v>
      </c>
      <c r="I7" s="19">
        <f t="shared" si="0"/>
        <v>0</v>
      </c>
      <c r="J7" s="19">
        <f t="shared" si="0"/>
        <v>5</v>
      </c>
      <c r="K7" s="19">
        <f t="shared" si="0"/>
        <v>0</v>
      </c>
      <c r="L7" s="19">
        <f t="shared" si="0"/>
        <v>0</v>
      </c>
      <c r="M7" s="19">
        <f t="shared" si="0"/>
        <v>0</v>
      </c>
      <c r="N7" s="19">
        <f t="shared" si="0"/>
        <v>0</v>
      </c>
      <c r="O7" s="19">
        <f t="shared" si="0"/>
        <v>0</v>
      </c>
      <c r="P7" s="19">
        <f t="shared" si="0"/>
        <v>0</v>
      </c>
      <c r="Q7" s="19">
        <f t="shared" si="0"/>
        <v>0</v>
      </c>
      <c r="R7" s="19">
        <f t="shared" si="0"/>
        <v>0</v>
      </c>
      <c r="S7" s="19">
        <f t="shared" si="0"/>
        <v>0</v>
      </c>
      <c r="T7" s="19">
        <f t="shared" si="0"/>
        <v>0</v>
      </c>
      <c r="U7" s="19">
        <f t="shared" si="0"/>
        <v>0</v>
      </c>
      <c r="V7" s="19">
        <f t="shared" si="0"/>
        <v>0</v>
      </c>
      <c r="W7" s="19">
        <f t="shared" si="0"/>
        <v>0</v>
      </c>
      <c r="X7" s="19">
        <f t="shared" si="0"/>
        <v>0</v>
      </c>
      <c r="Y7" s="19">
        <f t="shared" si="0"/>
        <v>0</v>
      </c>
      <c r="Z7" s="19">
        <f t="shared" si="0"/>
        <v>0</v>
      </c>
      <c r="AA7" s="19">
        <f t="shared" si="0"/>
        <v>0</v>
      </c>
      <c r="AB7" s="19">
        <f t="shared" si="0"/>
        <v>0</v>
      </c>
      <c r="AC7" s="19">
        <f t="shared" si="0"/>
        <v>0</v>
      </c>
      <c r="AD7" s="19">
        <f t="shared" si="0"/>
        <v>0</v>
      </c>
      <c r="AE7" s="19">
        <f t="shared" si="0"/>
        <v>0</v>
      </c>
      <c r="AF7" s="19">
        <f t="shared" si="0"/>
        <v>0</v>
      </c>
      <c r="AG7" s="19">
        <f t="shared" si="0"/>
        <v>0</v>
      </c>
      <c r="AH7" s="19">
        <f t="shared" ref="AH7:BA7" si="1">AH5-AH6</f>
        <v>0</v>
      </c>
      <c r="AI7" s="19">
        <f t="shared" si="1"/>
        <v>0</v>
      </c>
      <c r="AJ7" s="19">
        <f t="shared" si="1"/>
        <v>0</v>
      </c>
      <c r="AK7" s="19">
        <f t="shared" si="1"/>
        <v>0</v>
      </c>
      <c r="AL7" s="19">
        <f t="shared" si="1"/>
        <v>0</v>
      </c>
      <c r="AM7" s="19">
        <f t="shared" si="1"/>
        <v>0</v>
      </c>
      <c r="AN7" s="19">
        <f t="shared" si="1"/>
        <v>0</v>
      </c>
      <c r="AO7" s="19">
        <f t="shared" si="1"/>
        <v>0</v>
      </c>
      <c r="AP7" s="19">
        <f t="shared" si="1"/>
        <v>0</v>
      </c>
      <c r="AQ7" s="19">
        <f t="shared" si="1"/>
        <v>0</v>
      </c>
      <c r="AR7" s="19">
        <f t="shared" si="1"/>
        <v>0</v>
      </c>
      <c r="AS7" s="19">
        <f t="shared" si="1"/>
        <v>0</v>
      </c>
      <c r="AT7" s="19">
        <f t="shared" si="1"/>
        <v>0</v>
      </c>
      <c r="AU7" s="19">
        <f t="shared" si="1"/>
        <v>0</v>
      </c>
      <c r="AV7" s="19">
        <f t="shared" si="1"/>
        <v>0</v>
      </c>
      <c r="AW7" s="19">
        <f t="shared" si="1"/>
        <v>0</v>
      </c>
      <c r="AX7" s="19">
        <f t="shared" si="1"/>
        <v>0</v>
      </c>
      <c r="AY7" s="19">
        <f t="shared" si="1"/>
        <v>0</v>
      </c>
      <c r="AZ7" s="19">
        <f t="shared" si="1"/>
        <v>0</v>
      </c>
      <c r="BA7" s="19">
        <f t="shared" si="1"/>
        <v>0</v>
      </c>
    </row>
    <row r="8" spans="1:53" x14ac:dyDescent="0.35">
      <c r="A8" s="3" t="s">
        <v>329</v>
      </c>
      <c r="B8" s="19">
        <f>B7</f>
        <v>0</v>
      </c>
      <c r="C8" s="19">
        <f t="shared" ref="C8:AH8" si="2">B8+C7</f>
        <v>0</v>
      </c>
      <c r="D8" s="19">
        <f t="shared" si="2"/>
        <v>0</v>
      </c>
      <c r="E8" s="19">
        <f t="shared" si="2"/>
        <v>0</v>
      </c>
      <c r="F8" s="19">
        <f t="shared" si="2"/>
        <v>0</v>
      </c>
      <c r="G8" s="19">
        <f t="shared" si="2"/>
        <v>0</v>
      </c>
      <c r="H8" s="19">
        <f t="shared" si="2"/>
        <v>0</v>
      </c>
      <c r="I8" s="19">
        <f t="shared" si="2"/>
        <v>0</v>
      </c>
      <c r="J8" s="19">
        <f t="shared" si="2"/>
        <v>5</v>
      </c>
      <c r="K8" s="19">
        <f t="shared" si="2"/>
        <v>5</v>
      </c>
      <c r="L8" s="19">
        <f t="shared" si="2"/>
        <v>5</v>
      </c>
      <c r="M8" s="19">
        <f t="shared" si="2"/>
        <v>5</v>
      </c>
      <c r="N8" s="19">
        <f t="shared" si="2"/>
        <v>5</v>
      </c>
      <c r="O8" s="19">
        <f t="shared" si="2"/>
        <v>5</v>
      </c>
      <c r="P8" s="19">
        <f t="shared" si="2"/>
        <v>5</v>
      </c>
      <c r="Q8" s="19">
        <f t="shared" si="2"/>
        <v>5</v>
      </c>
      <c r="R8" s="19">
        <f t="shared" si="2"/>
        <v>5</v>
      </c>
      <c r="S8" s="19">
        <f t="shared" si="2"/>
        <v>5</v>
      </c>
      <c r="T8" s="19">
        <f t="shared" si="2"/>
        <v>5</v>
      </c>
      <c r="U8" s="19">
        <f t="shared" si="2"/>
        <v>5</v>
      </c>
      <c r="V8" s="19">
        <f t="shared" si="2"/>
        <v>5</v>
      </c>
      <c r="W8" s="19">
        <f t="shared" si="2"/>
        <v>5</v>
      </c>
      <c r="X8" s="19">
        <f t="shared" si="2"/>
        <v>5</v>
      </c>
      <c r="Y8" s="19">
        <f t="shared" si="2"/>
        <v>5</v>
      </c>
      <c r="Z8" s="19">
        <f t="shared" si="2"/>
        <v>5</v>
      </c>
      <c r="AA8" s="19">
        <f t="shared" si="2"/>
        <v>5</v>
      </c>
      <c r="AB8" s="19">
        <f t="shared" si="2"/>
        <v>5</v>
      </c>
      <c r="AC8" s="19">
        <f t="shared" si="2"/>
        <v>5</v>
      </c>
      <c r="AD8" s="19">
        <f t="shared" si="2"/>
        <v>5</v>
      </c>
      <c r="AE8" s="19">
        <f t="shared" si="2"/>
        <v>5</v>
      </c>
      <c r="AF8" s="19">
        <f t="shared" si="2"/>
        <v>5</v>
      </c>
      <c r="AG8" s="19">
        <f t="shared" si="2"/>
        <v>5</v>
      </c>
      <c r="AH8" s="19">
        <f t="shared" si="2"/>
        <v>5</v>
      </c>
      <c r="AI8" s="19">
        <f t="shared" ref="AI8:BA8" si="3">AH8+AI7</f>
        <v>5</v>
      </c>
      <c r="AJ8" s="19">
        <f t="shared" si="3"/>
        <v>5</v>
      </c>
      <c r="AK8" s="19">
        <f t="shared" si="3"/>
        <v>5</v>
      </c>
      <c r="AL8" s="19">
        <f t="shared" si="3"/>
        <v>5</v>
      </c>
      <c r="AM8" s="19">
        <f t="shared" si="3"/>
        <v>5</v>
      </c>
      <c r="AN8" s="19">
        <f t="shared" si="3"/>
        <v>5</v>
      </c>
      <c r="AO8" s="19">
        <f t="shared" si="3"/>
        <v>5</v>
      </c>
      <c r="AP8" s="19">
        <f t="shared" si="3"/>
        <v>5</v>
      </c>
      <c r="AQ8" s="19">
        <f t="shared" si="3"/>
        <v>5</v>
      </c>
      <c r="AR8" s="19">
        <f t="shared" si="3"/>
        <v>5</v>
      </c>
      <c r="AS8" s="19">
        <f t="shared" si="3"/>
        <v>5</v>
      </c>
      <c r="AT8" s="19">
        <f t="shared" si="3"/>
        <v>5</v>
      </c>
      <c r="AU8" s="19">
        <f t="shared" si="3"/>
        <v>5</v>
      </c>
      <c r="AV8" s="19">
        <f t="shared" si="3"/>
        <v>5</v>
      </c>
      <c r="AW8" s="19">
        <f t="shared" si="3"/>
        <v>5</v>
      </c>
      <c r="AX8" s="19">
        <f t="shared" si="3"/>
        <v>5</v>
      </c>
      <c r="AY8" s="19">
        <f t="shared" si="3"/>
        <v>5</v>
      </c>
      <c r="AZ8" s="19">
        <f t="shared" si="3"/>
        <v>5</v>
      </c>
      <c r="BA8" s="19">
        <f t="shared" si="3"/>
        <v>5</v>
      </c>
    </row>
    <row r="9" spans="1:53" x14ac:dyDescent="0.35">
      <c r="A9" s="3" t="s">
        <v>330</v>
      </c>
      <c r="B9" s="19">
        <f t="shared" ref="B9:AG9" si="4">B8*B4</f>
        <v>0</v>
      </c>
      <c r="C9" s="19">
        <f t="shared" si="4"/>
        <v>0</v>
      </c>
      <c r="D9" s="19">
        <f t="shared" si="4"/>
        <v>0</v>
      </c>
      <c r="E9" s="19">
        <f t="shared" si="4"/>
        <v>0</v>
      </c>
      <c r="F9" s="19">
        <f t="shared" si="4"/>
        <v>0</v>
      </c>
      <c r="G9" s="19">
        <f t="shared" si="4"/>
        <v>0</v>
      </c>
      <c r="H9" s="19">
        <f t="shared" si="4"/>
        <v>0</v>
      </c>
      <c r="I9" s="19">
        <f t="shared" si="4"/>
        <v>0</v>
      </c>
      <c r="J9" s="19">
        <f t="shared" si="4"/>
        <v>5000</v>
      </c>
      <c r="K9" s="19">
        <f t="shared" si="4"/>
        <v>5000</v>
      </c>
      <c r="L9" s="19">
        <f t="shared" si="4"/>
        <v>5000</v>
      </c>
      <c r="M9" s="19">
        <f t="shared" si="4"/>
        <v>5000</v>
      </c>
      <c r="N9" s="19">
        <f t="shared" si="4"/>
        <v>5400</v>
      </c>
      <c r="O9" s="19">
        <f t="shared" si="4"/>
        <v>5400</v>
      </c>
      <c r="P9" s="19">
        <f t="shared" si="4"/>
        <v>5400</v>
      </c>
      <c r="Q9" s="19">
        <f t="shared" si="4"/>
        <v>5400</v>
      </c>
      <c r="R9" s="19">
        <f t="shared" si="4"/>
        <v>5400</v>
      </c>
      <c r="S9" s="19">
        <f t="shared" si="4"/>
        <v>5400</v>
      </c>
      <c r="T9" s="19">
        <f t="shared" si="4"/>
        <v>5400</v>
      </c>
      <c r="U9" s="19">
        <f t="shared" si="4"/>
        <v>5400</v>
      </c>
      <c r="V9" s="19">
        <f t="shared" si="4"/>
        <v>5400</v>
      </c>
      <c r="W9" s="19">
        <f t="shared" si="4"/>
        <v>5400</v>
      </c>
      <c r="X9" s="19">
        <f t="shared" si="4"/>
        <v>5400</v>
      </c>
      <c r="Y9" s="19">
        <f t="shared" si="4"/>
        <v>5400</v>
      </c>
      <c r="Z9" s="19">
        <f t="shared" si="4"/>
        <v>5832</v>
      </c>
      <c r="AA9" s="19">
        <f t="shared" si="4"/>
        <v>5832</v>
      </c>
      <c r="AB9" s="19">
        <f t="shared" si="4"/>
        <v>5832</v>
      </c>
      <c r="AC9" s="19">
        <f t="shared" si="4"/>
        <v>5832</v>
      </c>
      <c r="AD9" s="19">
        <f t="shared" si="4"/>
        <v>5832</v>
      </c>
      <c r="AE9" s="19">
        <f t="shared" si="4"/>
        <v>5832</v>
      </c>
      <c r="AF9" s="19">
        <f t="shared" si="4"/>
        <v>5832</v>
      </c>
      <c r="AG9" s="19">
        <f t="shared" si="4"/>
        <v>5832</v>
      </c>
      <c r="AH9" s="19">
        <f t="shared" ref="AH9:BA9" si="5">AH8*AH4</f>
        <v>5832</v>
      </c>
      <c r="AI9" s="19">
        <f t="shared" si="5"/>
        <v>5832</v>
      </c>
      <c r="AJ9" s="19">
        <f t="shared" si="5"/>
        <v>5832</v>
      </c>
      <c r="AK9" s="19">
        <f t="shared" si="5"/>
        <v>5832</v>
      </c>
      <c r="AL9" s="19">
        <f t="shared" si="5"/>
        <v>6298.5600000000013</v>
      </c>
      <c r="AM9" s="19">
        <f t="shared" si="5"/>
        <v>6298.5600000000013</v>
      </c>
      <c r="AN9" s="19">
        <f t="shared" si="5"/>
        <v>6298.5600000000013</v>
      </c>
      <c r="AO9" s="19">
        <f t="shared" si="5"/>
        <v>6298.5600000000013</v>
      </c>
      <c r="AP9" s="19">
        <f t="shared" si="5"/>
        <v>6298.5600000000013</v>
      </c>
      <c r="AQ9" s="19">
        <f t="shared" si="5"/>
        <v>6298.5600000000013</v>
      </c>
      <c r="AR9" s="19">
        <f t="shared" si="5"/>
        <v>6298.5600000000013</v>
      </c>
      <c r="AS9" s="19">
        <f t="shared" si="5"/>
        <v>6298.5600000000013</v>
      </c>
      <c r="AT9" s="19">
        <f t="shared" si="5"/>
        <v>6298.5600000000013</v>
      </c>
      <c r="AU9" s="19">
        <f t="shared" si="5"/>
        <v>6298.5600000000013</v>
      </c>
      <c r="AV9" s="19">
        <f t="shared" si="5"/>
        <v>6298.5600000000013</v>
      </c>
      <c r="AW9" s="19">
        <f t="shared" si="5"/>
        <v>6298.5600000000013</v>
      </c>
      <c r="AX9" s="19">
        <f t="shared" si="5"/>
        <v>6802.444800000002</v>
      </c>
      <c r="AY9" s="19">
        <f t="shared" si="5"/>
        <v>6802.444800000002</v>
      </c>
      <c r="AZ9" s="19">
        <f t="shared" si="5"/>
        <v>6802.444800000002</v>
      </c>
      <c r="BA9" s="19">
        <f t="shared" si="5"/>
        <v>6802.444800000002</v>
      </c>
    </row>
    <row r="10" spans="1:53" x14ac:dyDescent="0.35">
      <c r="A10" s="3" t="s">
        <v>331</v>
      </c>
      <c r="B10" s="19">
        <f t="shared" ref="B10:AG10" si="6">B9*12</f>
        <v>0</v>
      </c>
      <c r="C10" s="19">
        <f t="shared" si="6"/>
        <v>0</v>
      </c>
      <c r="D10" s="19">
        <f t="shared" si="6"/>
        <v>0</v>
      </c>
      <c r="E10" s="19">
        <f t="shared" si="6"/>
        <v>0</v>
      </c>
      <c r="F10" s="19">
        <f t="shared" si="6"/>
        <v>0</v>
      </c>
      <c r="G10" s="19">
        <f t="shared" si="6"/>
        <v>0</v>
      </c>
      <c r="H10" s="19">
        <f t="shared" si="6"/>
        <v>0</v>
      </c>
      <c r="I10" s="19">
        <f t="shared" si="6"/>
        <v>0</v>
      </c>
      <c r="J10" s="19">
        <f t="shared" si="6"/>
        <v>60000</v>
      </c>
      <c r="K10" s="19">
        <f t="shared" si="6"/>
        <v>60000</v>
      </c>
      <c r="L10" s="19">
        <f t="shared" si="6"/>
        <v>60000</v>
      </c>
      <c r="M10" s="19">
        <f t="shared" si="6"/>
        <v>60000</v>
      </c>
      <c r="N10" s="19">
        <f t="shared" si="6"/>
        <v>64800</v>
      </c>
      <c r="O10" s="19">
        <f t="shared" si="6"/>
        <v>64800</v>
      </c>
      <c r="P10" s="19">
        <f t="shared" si="6"/>
        <v>64800</v>
      </c>
      <c r="Q10" s="19">
        <f t="shared" si="6"/>
        <v>64800</v>
      </c>
      <c r="R10" s="19">
        <f t="shared" si="6"/>
        <v>64800</v>
      </c>
      <c r="S10" s="19">
        <f t="shared" si="6"/>
        <v>64800</v>
      </c>
      <c r="T10" s="19">
        <f t="shared" si="6"/>
        <v>64800</v>
      </c>
      <c r="U10" s="19">
        <f t="shared" si="6"/>
        <v>64800</v>
      </c>
      <c r="V10" s="19">
        <f t="shared" si="6"/>
        <v>64800</v>
      </c>
      <c r="W10" s="19">
        <f t="shared" si="6"/>
        <v>64800</v>
      </c>
      <c r="X10" s="19">
        <f t="shared" si="6"/>
        <v>64800</v>
      </c>
      <c r="Y10" s="19">
        <f t="shared" si="6"/>
        <v>64800</v>
      </c>
      <c r="Z10" s="19">
        <f t="shared" si="6"/>
        <v>69984</v>
      </c>
      <c r="AA10" s="19">
        <f t="shared" si="6"/>
        <v>69984</v>
      </c>
      <c r="AB10" s="19">
        <f t="shared" si="6"/>
        <v>69984</v>
      </c>
      <c r="AC10" s="19">
        <f t="shared" si="6"/>
        <v>69984</v>
      </c>
      <c r="AD10" s="19">
        <f t="shared" si="6"/>
        <v>69984</v>
      </c>
      <c r="AE10" s="19">
        <f t="shared" si="6"/>
        <v>69984</v>
      </c>
      <c r="AF10" s="19">
        <f t="shared" si="6"/>
        <v>69984</v>
      </c>
      <c r="AG10" s="19">
        <f t="shared" si="6"/>
        <v>69984</v>
      </c>
      <c r="AH10" s="19">
        <f t="shared" ref="AH10:BA10" si="7">AH9*12</f>
        <v>69984</v>
      </c>
      <c r="AI10" s="19">
        <f t="shared" si="7"/>
        <v>69984</v>
      </c>
      <c r="AJ10" s="19">
        <f t="shared" si="7"/>
        <v>69984</v>
      </c>
      <c r="AK10" s="19">
        <f t="shared" si="7"/>
        <v>69984</v>
      </c>
      <c r="AL10" s="19">
        <f t="shared" si="7"/>
        <v>75582.720000000016</v>
      </c>
      <c r="AM10" s="19">
        <f t="shared" si="7"/>
        <v>75582.720000000016</v>
      </c>
      <c r="AN10" s="19">
        <f t="shared" si="7"/>
        <v>75582.720000000016</v>
      </c>
      <c r="AO10" s="19">
        <f t="shared" si="7"/>
        <v>75582.720000000016</v>
      </c>
      <c r="AP10" s="19">
        <f t="shared" si="7"/>
        <v>75582.720000000016</v>
      </c>
      <c r="AQ10" s="19">
        <f t="shared" si="7"/>
        <v>75582.720000000016</v>
      </c>
      <c r="AR10" s="19">
        <f t="shared" si="7"/>
        <v>75582.720000000016</v>
      </c>
      <c r="AS10" s="19">
        <f t="shared" si="7"/>
        <v>75582.720000000016</v>
      </c>
      <c r="AT10" s="19">
        <f t="shared" si="7"/>
        <v>75582.720000000016</v>
      </c>
      <c r="AU10" s="19">
        <f t="shared" si="7"/>
        <v>75582.720000000016</v>
      </c>
      <c r="AV10" s="19">
        <f t="shared" si="7"/>
        <v>75582.720000000016</v>
      </c>
      <c r="AW10" s="19">
        <f t="shared" si="7"/>
        <v>75582.720000000016</v>
      </c>
      <c r="AX10" s="19">
        <f t="shared" si="7"/>
        <v>81629.337600000028</v>
      </c>
      <c r="AY10" s="19">
        <f t="shared" si="7"/>
        <v>81629.337600000028</v>
      </c>
      <c r="AZ10" s="19">
        <f t="shared" si="7"/>
        <v>81629.337600000028</v>
      </c>
      <c r="BA10" s="19">
        <f t="shared" si="7"/>
        <v>81629.337600000028</v>
      </c>
    </row>
    <row r="11" spans="1:53" x14ac:dyDescent="0.35">
      <c r="A11" s="2"/>
    </row>
    <row r="12" spans="1:53" x14ac:dyDescent="0.35">
      <c r="A12" s="3" t="s">
        <v>332</v>
      </c>
      <c r="B12" s="19">
        <f>IF(AND(1&gt;=Inputs!$B$25,MOD(1-Inputs!$B$25,3)=0),Inputs!$B$27,0)</f>
        <v>0</v>
      </c>
      <c r="C12" s="19">
        <f>IF(AND(2&gt;=Inputs!$B$25,MOD(2-Inputs!$B$25,3)=0),Inputs!$B$27,0)</f>
        <v>0</v>
      </c>
      <c r="D12" s="19">
        <f>IF(AND(3&gt;=Inputs!$B$25,MOD(3-Inputs!$B$25,3)=0),Inputs!$B$27,0)</f>
        <v>0</v>
      </c>
      <c r="E12" s="19">
        <f>IF(AND(4&gt;=Inputs!$B$25,MOD(4-Inputs!$B$25,3)=0),Inputs!$B$27,0)</f>
        <v>0</v>
      </c>
      <c r="F12" s="19">
        <f>IF(AND(5&gt;=Inputs!$B$25,MOD(5-Inputs!$B$25,3)=0),Inputs!$B$27,0)</f>
        <v>0</v>
      </c>
      <c r="G12" s="19">
        <f>IF(AND(6&gt;=Inputs!$B$25,MOD(6-Inputs!$B$25,3)=0),Inputs!$B$27,0)</f>
        <v>0</v>
      </c>
      <c r="H12" s="19">
        <f>IF(AND(7&gt;=Inputs!$B$25,MOD(7-Inputs!$B$25,3)=0),Inputs!$B$27,0)</f>
        <v>0</v>
      </c>
      <c r="I12" s="19">
        <f>IF(AND(8&gt;=Inputs!$B$25,MOD(8-Inputs!$B$25,3)=0),Inputs!$B$27,0)</f>
        <v>0</v>
      </c>
      <c r="J12" s="19">
        <f>IF(AND(9&gt;=Inputs!$B$25,MOD(9-Inputs!$B$25,3)=0),Inputs!$B$27,0)</f>
        <v>0</v>
      </c>
      <c r="K12" s="19">
        <f>IF(AND(10&gt;=Inputs!$B$25,MOD(10-Inputs!$B$25,3)=0),Inputs!$B$27,0)</f>
        <v>0</v>
      </c>
      <c r="L12" s="19">
        <f>IF(AND(11&gt;=Inputs!$B$25,MOD(11-Inputs!$B$25,3)=0),Inputs!$B$27,0)</f>
        <v>0</v>
      </c>
      <c r="M12" s="19">
        <f>IF(AND(12&gt;=Inputs!$B$25,MOD(12-Inputs!$B$25,3)=0),Inputs!$B$27,0)</f>
        <v>0</v>
      </c>
      <c r="N12" s="19">
        <f>IF(AND(13&gt;=Inputs!$B$25,MOD(13-Inputs!$B$25,3)=0),Inputs!$B$27,0)</f>
        <v>0</v>
      </c>
      <c r="O12" s="19">
        <f>IF(AND(14&gt;=Inputs!$B$25,MOD(14-Inputs!$B$25,3)=0),Inputs!$B$27,0)</f>
        <v>0</v>
      </c>
      <c r="P12" s="19">
        <f>IF(AND(15&gt;=Inputs!$B$25,MOD(15-Inputs!$B$25,3)=0),Inputs!$B$27,0)</f>
        <v>0</v>
      </c>
      <c r="Q12" s="19">
        <f>IF(AND(16&gt;=Inputs!$B$25,MOD(16-Inputs!$B$25,3)=0),Inputs!$B$27,0)</f>
        <v>0</v>
      </c>
      <c r="R12" s="19">
        <f>IF(AND(17&gt;=Inputs!$B$25,MOD(17-Inputs!$B$25,3)=0),Inputs!$B$27,0)</f>
        <v>0</v>
      </c>
      <c r="S12" s="19">
        <f>IF(AND(18&gt;=Inputs!$B$25,MOD(18-Inputs!$B$25,3)=0),Inputs!$B$27,0)</f>
        <v>0</v>
      </c>
      <c r="T12" s="19">
        <f>IF(AND(19&gt;=Inputs!$B$25,MOD(19-Inputs!$B$25,3)=0),Inputs!$B$27,0)</f>
        <v>0</v>
      </c>
      <c r="U12" s="19">
        <f>IF(AND(20&gt;=Inputs!$B$25,MOD(20-Inputs!$B$25,3)=0),Inputs!$B$27,0)</f>
        <v>0</v>
      </c>
      <c r="V12" s="19">
        <f>IF(AND(21&gt;=Inputs!$B$25,MOD(21-Inputs!$B$25,3)=0),Inputs!$B$27,0)</f>
        <v>0</v>
      </c>
      <c r="W12" s="19">
        <f>IF(AND(22&gt;=Inputs!$B$25,MOD(22-Inputs!$B$25,3)=0),Inputs!$B$27,0)</f>
        <v>0</v>
      </c>
      <c r="X12" s="19">
        <f>IF(AND(23&gt;=Inputs!$B$25,MOD(23-Inputs!$B$25,3)=0),Inputs!$B$27,0)</f>
        <v>0</v>
      </c>
      <c r="Y12" s="19">
        <f>IF(AND(24&gt;=Inputs!$B$25,MOD(24-Inputs!$B$25,3)=0),Inputs!$B$27,0)</f>
        <v>1</v>
      </c>
      <c r="Z12" s="19">
        <f>IF(AND(25&gt;=Inputs!$B$25,MOD(25-Inputs!$B$25,3)=0),Inputs!$B$27,0)</f>
        <v>0</v>
      </c>
      <c r="AA12" s="19">
        <f>IF(AND(26&gt;=Inputs!$B$25,MOD(26-Inputs!$B$25,3)=0),Inputs!$B$27,0)</f>
        <v>0</v>
      </c>
      <c r="AB12" s="19">
        <f>IF(AND(27&gt;=Inputs!$B$25,MOD(27-Inputs!$B$25,3)=0),Inputs!$B$27,0)</f>
        <v>1</v>
      </c>
      <c r="AC12" s="19">
        <f>IF(AND(28&gt;=Inputs!$B$25,MOD(28-Inputs!$B$25,3)=0),Inputs!$B$27,0)</f>
        <v>0</v>
      </c>
      <c r="AD12" s="19">
        <f>IF(AND(29&gt;=Inputs!$B$25,MOD(29-Inputs!$B$25,3)=0),Inputs!$B$27,0)</f>
        <v>0</v>
      </c>
      <c r="AE12" s="19">
        <f>IF(AND(30&gt;=Inputs!$B$25,MOD(30-Inputs!$B$25,3)=0),Inputs!$B$27,0)</f>
        <v>1</v>
      </c>
      <c r="AF12" s="19">
        <f>IF(AND(31&gt;=Inputs!$B$25,MOD(31-Inputs!$B$25,3)=0),Inputs!$B$27,0)</f>
        <v>0</v>
      </c>
      <c r="AG12" s="19">
        <f>IF(AND(32&gt;=Inputs!$B$25,MOD(32-Inputs!$B$25,3)=0),Inputs!$B$27,0)</f>
        <v>0</v>
      </c>
      <c r="AH12" s="19">
        <f>IF(AND(33&gt;=Inputs!$B$25,MOD(33-Inputs!$B$25,3)=0),Inputs!$B$27,0)</f>
        <v>1</v>
      </c>
      <c r="AI12" s="19">
        <f>IF(AND(34&gt;=Inputs!$B$25,MOD(34-Inputs!$B$25,3)=0),Inputs!$B$27,0)</f>
        <v>0</v>
      </c>
      <c r="AJ12" s="19">
        <f>IF(AND(35&gt;=Inputs!$B$25,MOD(35-Inputs!$B$25,3)=0),Inputs!$B$27,0)</f>
        <v>0</v>
      </c>
      <c r="AK12" s="19">
        <f>IF(AND(36&gt;=Inputs!$B$25,MOD(36-Inputs!$B$25,3)=0),Inputs!$B$27,0)</f>
        <v>1</v>
      </c>
      <c r="AL12" s="19">
        <f>IF(AND(37&gt;=Inputs!$B$25,MOD(37-Inputs!$B$25,3)=0),Inputs!$B$27,0)</f>
        <v>0</v>
      </c>
      <c r="AM12" s="19">
        <f>IF(AND(38&gt;=Inputs!$B$25,MOD(38-Inputs!$B$25,3)=0),Inputs!$B$27,0)</f>
        <v>0</v>
      </c>
      <c r="AN12" s="19">
        <f>IF(AND(39&gt;=Inputs!$B$25,MOD(39-Inputs!$B$25,3)=0),Inputs!$B$27,0)</f>
        <v>1</v>
      </c>
      <c r="AO12" s="19">
        <f>IF(AND(40&gt;=Inputs!$B$25,MOD(40-Inputs!$B$25,3)=0),Inputs!$B$27,0)</f>
        <v>0</v>
      </c>
      <c r="AP12" s="19">
        <f>IF(AND(41&gt;=Inputs!$B$25,MOD(41-Inputs!$B$25,3)=0),Inputs!$B$27,0)</f>
        <v>0</v>
      </c>
      <c r="AQ12" s="19">
        <f>IF(AND(42&gt;=Inputs!$B$25,MOD(42-Inputs!$B$25,3)=0),Inputs!$B$27,0)</f>
        <v>1</v>
      </c>
      <c r="AR12" s="19">
        <f>IF(AND(43&gt;=Inputs!$B$25,MOD(43-Inputs!$B$25,3)=0),Inputs!$B$27,0)</f>
        <v>0</v>
      </c>
      <c r="AS12" s="19">
        <f>IF(AND(44&gt;=Inputs!$B$25,MOD(44-Inputs!$B$25,3)=0),Inputs!$B$27,0)</f>
        <v>0</v>
      </c>
      <c r="AT12" s="19">
        <f>IF(AND(45&gt;=Inputs!$B$25,MOD(45-Inputs!$B$25,3)=0),Inputs!$B$27,0)</f>
        <v>1</v>
      </c>
      <c r="AU12" s="19">
        <f>IF(AND(46&gt;=Inputs!$B$25,MOD(46-Inputs!$B$25,3)=0),Inputs!$B$27,0)</f>
        <v>0</v>
      </c>
      <c r="AV12" s="19">
        <f>IF(AND(47&gt;=Inputs!$B$25,MOD(47-Inputs!$B$25,3)=0),Inputs!$B$27,0)</f>
        <v>0</v>
      </c>
      <c r="AW12" s="19">
        <f>IF(AND(48&gt;=Inputs!$B$25,MOD(48-Inputs!$B$25,3)=0),Inputs!$B$27,0)</f>
        <v>1</v>
      </c>
      <c r="AX12" s="19">
        <f>IF(AND(49&gt;=Inputs!$B$25,MOD(49-Inputs!$B$25,3)=0),Inputs!$B$27,0)</f>
        <v>0</v>
      </c>
      <c r="AY12" s="19">
        <f>IF(AND(50&gt;=Inputs!$B$25,MOD(50-Inputs!$B$25,3)=0),Inputs!$B$27,0)</f>
        <v>0</v>
      </c>
      <c r="AZ12" s="19">
        <f>IF(AND(51&gt;=Inputs!$B$25,MOD(51-Inputs!$B$25,3)=0),Inputs!$B$27,0)</f>
        <v>1</v>
      </c>
      <c r="BA12" s="19">
        <f>IF(AND(52&gt;=Inputs!$B$25,MOD(52-Inputs!$B$25,3)=0),Inputs!$B$27,0)</f>
        <v>0</v>
      </c>
    </row>
    <row r="13" spans="1:53" x14ac:dyDescent="0.35">
      <c r="A13" s="3" t="s">
        <v>333</v>
      </c>
      <c r="B13" s="19">
        <f>0</f>
        <v>0</v>
      </c>
      <c r="C13" s="19">
        <f>IF(B14&gt;0,IF(MOD(2,12)=0,ROUND(B14*Inputs!$B$28,0),0),0)</f>
        <v>0</v>
      </c>
      <c r="D13" s="19">
        <f>IF(C14&gt;0,IF(MOD(3,12)=0,ROUND(C14*Inputs!$B$28,0),0),0)</f>
        <v>0</v>
      </c>
      <c r="E13" s="19">
        <f>IF(D14&gt;0,IF(MOD(4,12)=0,ROUND(D14*Inputs!$B$28,0),0),0)</f>
        <v>0</v>
      </c>
      <c r="F13" s="19">
        <f>IF(E14&gt;0,IF(MOD(5,12)=0,ROUND(E14*Inputs!$B$28,0),0),0)</f>
        <v>0</v>
      </c>
      <c r="G13" s="19">
        <f>IF(F14&gt;0,IF(MOD(6,12)=0,ROUND(F14*Inputs!$B$28,0),0),0)</f>
        <v>0</v>
      </c>
      <c r="H13" s="19">
        <f>IF(G14&gt;0,IF(MOD(7,12)=0,ROUND(G14*Inputs!$B$28,0),0),0)</f>
        <v>0</v>
      </c>
      <c r="I13" s="19">
        <f>IF(H14&gt;0,IF(MOD(8,12)=0,ROUND(H14*Inputs!$B$28,0),0),0)</f>
        <v>0</v>
      </c>
      <c r="J13" s="19">
        <f>IF(I14&gt;0,IF(MOD(9,12)=0,ROUND(I14*Inputs!$B$28,0),0),0)</f>
        <v>0</v>
      </c>
      <c r="K13" s="19">
        <f>IF(J14&gt;0,IF(MOD(10,12)=0,ROUND(J14*Inputs!$B$28,0),0),0)</f>
        <v>0</v>
      </c>
      <c r="L13" s="19">
        <f>IF(K14&gt;0,IF(MOD(11,12)=0,ROUND(K14*Inputs!$B$28,0),0),0)</f>
        <v>0</v>
      </c>
      <c r="M13" s="19">
        <f>IF(L14&gt;0,IF(MOD(12,12)=0,ROUND(L14*Inputs!$B$28,0),0),0)</f>
        <v>0</v>
      </c>
      <c r="N13" s="19">
        <f>IF(M14&gt;0,IF(MOD(13,12)=0,ROUND(M14*Inputs!$B$28,0),0),0)</f>
        <v>0</v>
      </c>
      <c r="O13" s="19">
        <f>IF(N14&gt;0,IF(MOD(14,12)=0,ROUND(N14*Inputs!$B$28,0),0),0)</f>
        <v>0</v>
      </c>
      <c r="P13" s="19">
        <f>IF(O14&gt;0,IF(MOD(15,12)=0,ROUND(O14*Inputs!$B$28,0),0),0)</f>
        <v>0</v>
      </c>
      <c r="Q13" s="19">
        <f>IF(P14&gt;0,IF(MOD(16,12)=0,ROUND(P14*Inputs!$B$28,0),0),0)</f>
        <v>0</v>
      </c>
      <c r="R13" s="19">
        <f>IF(Q14&gt;0,IF(MOD(17,12)=0,ROUND(Q14*Inputs!$B$28,0),0),0)</f>
        <v>0</v>
      </c>
      <c r="S13" s="19">
        <f>IF(R14&gt;0,IF(MOD(18,12)=0,ROUND(R14*Inputs!$B$28,0),0),0)</f>
        <v>0</v>
      </c>
      <c r="T13" s="19">
        <f>IF(S14&gt;0,IF(MOD(19,12)=0,ROUND(S14*Inputs!$B$28,0),0),0)</f>
        <v>0</v>
      </c>
      <c r="U13" s="19">
        <f>IF(T14&gt;0,IF(MOD(20,12)=0,ROUND(T14*Inputs!$B$28,0),0),0)</f>
        <v>0</v>
      </c>
      <c r="V13" s="19">
        <f>IF(U14&gt;0,IF(MOD(21,12)=0,ROUND(U14*Inputs!$B$28,0),0),0)</f>
        <v>0</v>
      </c>
      <c r="W13" s="19">
        <f>IF(V14&gt;0,IF(MOD(22,12)=0,ROUND(V14*Inputs!$B$28,0),0),0)</f>
        <v>0</v>
      </c>
      <c r="X13" s="19">
        <f>IF(W14&gt;0,IF(MOD(23,12)=0,ROUND(W14*Inputs!$B$28,0),0),0)</f>
        <v>0</v>
      </c>
      <c r="Y13" s="19">
        <f>IF(X14&gt;0,IF(MOD(24,12)=0,ROUND(X14*Inputs!$B$28,0),0),0)</f>
        <v>0</v>
      </c>
      <c r="Z13" s="19">
        <f>IF(Y14&gt;0,IF(MOD(25,12)=0,ROUND(Y14*Inputs!$B$28,0),0),0)</f>
        <v>0</v>
      </c>
      <c r="AA13" s="19">
        <f>IF(Z14&gt;0,IF(MOD(26,12)=0,ROUND(Z14*Inputs!$B$28,0),0),0)</f>
        <v>0</v>
      </c>
      <c r="AB13" s="19">
        <f>IF(AA14&gt;0,IF(MOD(27,12)=0,ROUND(AA14*Inputs!$B$28,0),0),0)</f>
        <v>0</v>
      </c>
      <c r="AC13" s="19">
        <f>IF(AB14&gt;0,IF(MOD(28,12)=0,ROUND(AB14*Inputs!$B$28,0),0),0)</f>
        <v>0</v>
      </c>
      <c r="AD13" s="19">
        <f>IF(AC14&gt;0,IF(MOD(29,12)=0,ROUND(AC14*Inputs!$B$28,0),0),0)</f>
        <v>0</v>
      </c>
      <c r="AE13" s="19">
        <f>IF(AD14&gt;0,IF(MOD(30,12)=0,ROUND(AD14*Inputs!$B$28,0),0),0)</f>
        <v>0</v>
      </c>
      <c r="AF13" s="19">
        <f>IF(AE14&gt;0,IF(MOD(31,12)=0,ROUND(AE14*Inputs!$B$28,0),0),0)</f>
        <v>0</v>
      </c>
      <c r="AG13" s="19">
        <f>IF(AF14&gt;0,IF(MOD(32,12)=0,ROUND(AF14*Inputs!$B$28,0),0),0)</f>
        <v>0</v>
      </c>
      <c r="AH13" s="19">
        <f>IF(AG14&gt;0,IF(MOD(33,12)=0,ROUND(AG14*Inputs!$B$28,0),0),0)</f>
        <v>0</v>
      </c>
      <c r="AI13" s="19">
        <f>IF(AH14&gt;0,IF(MOD(34,12)=0,ROUND(AH14*Inputs!$B$28,0),0),0)</f>
        <v>0</v>
      </c>
      <c r="AJ13" s="19">
        <f>IF(AI14&gt;0,IF(MOD(35,12)=0,ROUND(AI14*Inputs!$B$28,0),0),0)</f>
        <v>0</v>
      </c>
      <c r="AK13" s="19">
        <f>IF(AJ14&gt;0,IF(MOD(36,12)=0,ROUND(AJ14*Inputs!$B$28,0),0),0)</f>
        <v>0</v>
      </c>
      <c r="AL13" s="19">
        <f>IF(AK14&gt;0,IF(MOD(37,12)=0,ROUND(AK14*Inputs!$B$28,0),0),0)</f>
        <v>0</v>
      </c>
      <c r="AM13" s="19">
        <f>IF(AL14&gt;0,IF(MOD(38,12)=0,ROUND(AL14*Inputs!$B$28,0),0),0)</f>
        <v>0</v>
      </c>
      <c r="AN13" s="19">
        <f>IF(AM14&gt;0,IF(MOD(39,12)=0,ROUND(AM14*Inputs!$B$28,0),0),0)</f>
        <v>0</v>
      </c>
      <c r="AO13" s="19">
        <f>IF(AN14&gt;0,IF(MOD(40,12)=0,ROUND(AN14*Inputs!$B$28,0),0),0)</f>
        <v>0</v>
      </c>
      <c r="AP13" s="19">
        <f>IF(AO14&gt;0,IF(MOD(41,12)=0,ROUND(AO14*Inputs!$B$28,0),0),0)</f>
        <v>0</v>
      </c>
      <c r="AQ13" s="19">
        <f>IF(AP14&gt;0,IF(MOD(42,12)=0,ROUND(AP14*Inputs!$B$28,0),0),0)</f>
        <v>0</v>
      </c>
      <c r="AR13" s="19">
        <f>IF(AQ14&gt;0,IF(MOD(43,12)=0,ROUND(AQ14*Inputs!$B$28,0),0),0)</f>
        <v>0</v>
      </c>
      <c r="AS13" s="19">
        <f>IF(AR14&gt;0,IF(MOD(44,12)=0,ROUND(AR14*Inputs!$B$28,0),0),0)</f>
        <v>0</v>
      </c>
      <c r="AT13" s="19">
        <f>IF(AS14&gt;0,IF(MOD(45,12)=0,ROUND(AS14*Inputs!$B$28,0),0),0)</f>
        <v>0</v>
      </c>
      <c r="AU13" s="19">
        <f>IF(AT14&gt;0,IF(MOD(46,12)=0,ROUND(AT14*Inputs!$B$28,0),0),0)</f>
        <v>0</v>
      </c>
      <c r="AV13" s="19">
        <f>IF(AU14&gt;0,IF(MOD(47,12)=0,ROUND(AU14*Inputs!$B$28,0),0),0)</f>
        <v>0</v>
      </c>
      <c r="AW13" s="19">
        <f>IF(AV14&gt;0,IF(MOD(48,12)=0,ROUND(AV14*Inputs!$B$28,0),0),0)</f>
        <v>1</v>
      </c>
      <c r="AX13" s="19">
        <f>IF(AW14&gt;0,IF(MOD(49,12)=0,ROUND(AW14*Inputs!$B$28,0),0),0)</f>
        <v>0</v>
      </c>
      <c r="AY13" s="19">
        <f>IF(AX14&gt;0,IF(MOD(50,12)=0,ROUND(AX14*Inputs!$B$28,0),0),0)</f>
        <v>0</v>
      </c>
      <c r="AZ13" s="19">
        <f>IF(AY14&gt;0,IF(MOD(51,12)=0,ROUND(AY14*Inputs!$B$28,0),0),0)</f>
        <v>0</v>
      </c>
      <c r="BA13" s="19">
        <f>IF(AZ14&gt;0,IF(MOD(52,12)=0,ROUND(AZ14*Inputs!$B$28,0),0),0)</f>
        <v>0</v>
      </c>
    </row>
    <row r="14" spans="1:53" x14ac:dyDescent="0.35">
      <c r="A14" s="3" t="s">
        <v>334</v>
      </c>
      <c r="B14" s="19">
        <f>B12-B13</f>
        <v>0</v>
      </c>
      <c r="C14" s="19">
        <f t="shared" ref="C14:AH14" si="8">B14+C12-C13</f>
        <v>0</v>
      </c>
      <c r="D14" s="19">
        <f t="shared" si="8"/>
        <v>0</v>
      </c>
      <c r="E14" s="19">
        <f t="shared" si="8"/>
        <v>0</v>
      </c>
      <c r="F14" s="19">
        <f t="shared" si="8"/>
        <v>0</v>
      </c>
      <c r="G14" s="19">
        <f t="shared" si="8"/>
        <v>0</v>
      </c>
      <c r="H14" s="19">
        <f t="shared" si="8"/>
        <v>0</v>
      </c>
      <c r="I14" s="19">
        <f t="shared" si="8"/>
        <v>0</v>
      </c>
      <c r="J14" s="19">
        <f t="shared" si="8"/>
        <v>0</v>
      </c>
      <c r="K14" s="19">
        <f t="shared" si="8"/>
        <v>0</v>
      </c>
      <c r="L14" s="19">
        <f t="shared" si="8"/>
        <v>0</v>
      </c>
      <c r="M14" s="19">
        <f t="shared" si="8"/>
        <v>0</v>
      </c>
      <c r="N14" s="19">
        <f t="shared" si="8"/>
        <v>0</v>
      </c>
      <c r="O14" s="19">
        <f t="shared" si="8"/>
        <v>0</v>
      </c>
      <c r="P14" s="19">
        <f t="shared" si="8"/>
        <v>0</v>
      </c>
      <c r="Q14" s="19">
        <f t="shared" si="8"/>
        <v>0</v>
      </c>
      <c r="R14" s="19">
        <f t="shared" si="8"/>
        <v>0</v>
      </c>
      <c r="S14" s="19">
        <f t="shared" si="8"/>
        <v>0</v>
      </c>
      <c r="T14" s="19">
        <f t="shared" si="8"/>
        <v>0</v>
      </c>
      <c r="U14" s="19">
        <f t="shared" si="8"/>
        <v>0</v>
      </c>
      <c r="V14" s="19">
        <f t="shared" si="8"/>
        <v>0</v>
      </c>
      <c r="W14" s="19">
        <f t="shared" si="8"/>
        <v>0</v>
      </c>
      <c r="X14" s="19">
        <f t="shared" si="8"/>
        <v>0</v>
      </c>
      <c r="Y14" s="19">
        <f t="shared" si="8"/>
        <v>1</v>
      </c>
      <c r="Z14" s="19">
        <f t="shared" si="8"/>
        <v>1</v>
      </c>
      <c r="AA14" s="19">
        <f t="shared" si="8"/>
        <v>1</v>
      </c>
      <c r="AB14" s="19">
        <f t="shared" si="8"/>
        <v>2</v>
      </c>
      <c r="AC14" s="19">
        <f t="shared" si="8"/>
        <v>2</v>
      </c>
      <c r="AD14" s="19">
        <f t="shared" si="8"/>
        <v>2</v>
      </c>
      <c r="AE14" s="19">
        <f t="shared" si="8"/>
        <v>3</v>
      </c>
      <c r="AF14" s="19">
        <f t="shared" si="8"/>
        <v>3</v>
      </c>
      <c r="AG14" s="19">
        <f t="shared" si="8"/>
        <v>3</v>
      </c>
      <c r="AH14" s="19">
        <f t="shared" si="8"/>
        <v>4</v>
      </c>
      <c r="AI14" s="19">
        <f t="shared" ref="AI14:BA14" si="9">AH14+AI12-AI13</f>
        <v>4</v>
      </c>
      <c r="AJ14" s="19">
        <f t="shared" si="9"/>
        <v>4</v>
      </c>
      <c r="AK14" s="19">
        <f t="shared" si="9"/>
        <v>5</v>
      </c>
      <c r="AL14" s="19">
        <f t="shared" si="9"/>
        <v>5</v>
      </c>
      <c r="AM14" s="19">
        <f t="shared" si="9"/>
        <v>5</v>
      </c>
      <c r="AN14" s="19">
        <f t="shared" si="9"/>
        <v>6</v>
      </c>
      <c r="AO14" s="19">
        <f t="shared" si="9"/>
        <v>6</v>
      </c>
      <c r="AP14" s="19">
        <f t="shared" si="9"/>
        <v>6</v>
      </c>
      <c r="AQ14" s="19">
        <f t="shared" si="9"/>
        <v>7</v>
      </c>
      <c r="AR14" s="19">
        <f t="shared" si="9"/>
        <v>7</v>
      </c>
      <c r="AS14" s="19">
        <f t="shared" si="9"/>
        <v>7</v>
      </c>
      <c r="AT14" s="19">
        <f t="shared" si="9"/>
        <v>8</v>
      </c>
      <c r="AU14" s="19">
        <f t="shared" si="9"/>
        <v>8</v>
      </c>
      <c r="AV14" s="19">
        <f t="shared" si="9"/>
        <v>8</v>
      </c>
      <c r="AW14" s="19">
        <f t="shared" si="9"/>
        <v>8</v>
      </c>
      <c r="AX14" s="19">
        <f t="shared" si="9"/>
        <v>8</v>
      </c>
      <c r="AY14" s="19">
        <f t="shared" si="9"/>
        <v>8</v>
      </c>
      <c r="AZ14" s="19">
        <f t="shared" si="9"/>
        <v>9</v>
      </c>
      <c r="BA14" s="19">
        <f t="shared" si="9"/>
        <v>9</v>
      </c>
    </row>
    <row r="15" spans="1:53" x14ac:dyDescent="0.35">
      <c r="A15" s="3" t="s">
        <v>335</v>
      </c>
      <c r="B15" s="19">
        <f>Inputs!$B$26*(1+Inputs!$B$21)^INT((1-1)/12)</f>
        <v>150000</v>
      </c>
      <c r="C15" s="19">
        <f>Inputs!$B$26*(1+Inputs!$B$21)^INT((2-1)/12)</f>
        <v>150000</v>
      </c>
      <c r="D15" s="19">
        <f>Inputs!$B$26*(1+Inputs!$B$21)^INT((3-1)/12)</f>
        <v>150000</v>
      </c>
      <c r="E15" s="19">
        <f>Inputs!$B$26*(1+Inputs!$B$21)^INT((4-1)/12)</f>
        <v>150000</v>
      </c>
      <c r="F15" s="19">
        <f>Inputs!$B$26*(1+Inputs!$B$21)^INT((5-1)/12)</f>
        <v>150000</v>
      </c>
      <c r="G15" s="19">
        <f>Inputs!$B$26*(1+Inputs!$B$21)^INT((6-1)/12)</f>
        <v>150000</v>
      </c>
      <c r="H15" s="19">
        <f>Inputs!$B$26*(1+Inputs!$B$21)^INT((7-1)/12)</f>
        <v>150000</v>
      </c>
      <c r="I15" s="19">
        <f>Inputs!$B$26*(1+Inputs!$B$21)^INT((8-1)/12)</f>
        <v>150000</v>
      </c>
      <c r="J15" s="19">
        <f>Inputs!$B$26*(1+Inputs!$B$21)^INT((9-1)/12)</f>
        <v>150000</v>
      </c>
      <c r="K15" s="19">
        <f>Inputs!$B$26*(1+Inputs!$B$21)^INT((10-1)/12)</f>
        <v>150000</v>
      </c>
      <c r="L15" s="19">
        <f>Inputs!$B$26*(1+Inputs!$B$21)^INT((11-1)/12)</f>
        <v>150000</v>
      </c>
      <c r="M15" s="19">
        <f>Inputs!$B$26*(1+Inputs!$B$21)^INT((12-1)/12)</f>
        <v>150000</v>
      </c>
      <c r="N15" s="19">
        <f>Inputs!$B$26*(1+Inputs!$B$21)^INT((13-1)/12)</f>
        <v>162000</v>
      </c>
      <c r="O15" s="19">
        <f>Inputs!$B$26*(1+Inputs!$B$21)^INT((14-1)/12)</f>
        <v>162000</v>
      </c>
      <c r="P15" s="19">
        <f>Inputs!$B$26*(1+Inputs!$B$21)^INT((15-1)/12)</f>
        <v>162000</v>
      </c>
      <c r="Q15" s="19">
        <f>Inputs!$B$26*(1+Inputs!$B$21)^INT((16-1)/12)</f>
        <v>162000</v>
      </c>
      <c r="R15" s="19">
        <f>Inputs!$B$26*(1+Inputs!$B$21)^INT((17-1)/12)</f>
        <v>162000</v>
      </c>
      <c r="S15" s="19">
        <f>Inputs!$B$26*(1+Inputs!$B$21)^INT((18-1)/12)</f>
        <v>162000</v>
      </c>
      <c r="T15" s="19">
        <f>Inputs!$B$26*(1+Inputs!$B$21)^INT((19-1)/12)</f>
        <v>162000</v>
      </c>
      <c r="U15" s="19">
        <f>Inputs!$B$26*(1+Inputs!$B$21)^INT((20-1)/12)</f>
        <v>162000</v>
      </c>
      <c r="V15" s="19">
        <f>Inputs!$B$26*(1+Inputs!$B$21)^INT((21-1)/12)</f>
        <v>162000</v>
      </c>
      <c r="W15" s="19">
        <f>Inputs!$B$26*(1+Inputs!$B$21)^INT((22-1)/12)</f>
        <v>162000</v>
      </c>
      <c r="X15" s="19">
        <f>Inputs!$B$26*(1+Inputs!$B$21)^INT((23-1)/12)</f>
        <v>162000</v>
      </c>
      <c r="Y15" s="19">
        <f>Inputs!$B$26*(1+Inputs!$B$21)^INT((24-1)/12)</f>
        <v>162000</v>
      </c>
      <c r="Z15" s="19">
        <f>Inputs!$B$26*(1+Inputs!$B$21)^INT((25-1)/12)</f>
        <v>174960.00000000003</v>
      </c>
      <c r="AA15" s="19">
        <f>Inputs!$B$26*(1+Inputs!$B$21)^INT((26-1)/12)</f>
        <v>174960.00000000003</v>
      </c>
      <c r="AB15" s="19">
        <f>Inputs!$B$26*(1+Inputs!$B$21)^INT((27-1)/12)</f>
        <v>174960.00000000003</v>
      </c>
      <c r="AC15" s="19">
        <f>Inputs!$B$26*(1+Inputs!$B$21)^INT((28-1)/12)</f>
        <v>174960.00000000003</v>
      </c>
      <c r="AD15" s="19">
        <f>Inputs!$B$26*(1+Inputs!$B$21)^INT((29-1)/12)</f>
        <v>174960.00000000003</v>
      </c>
      <c r="AE15" s="19">
        <f>Inputs!$B$26*(1+Inputs!$B$21)^INT((30-1)/12)</f>
        <v>174960.00000000003</v>
      </c>
      <c r="AF15" s="19">
        <f>Inputs!$B$26*(1+Inputs!$B$21)^INT((31-1)/12)</f>
        <v>174960.00000000003</v>
      </c>
      <c r="AG15" s="19">
        <f>Inputs!$B$26*(1+Inputs!$B$21)^INT((32-1)/12)</f>
        <v>174960.00000000003</v>
      </c>
      <c r="AH15" s="19">
        <f>Inputs!$B$26*(1+Inputs!$B$21)^INT((33-1)/12)</f>
        <v>174960.00000000003</v>
      </c>
      <c r="AI15" s="19">
        <f>Inputs!$B$26*(1+Inputs!$B$21)^INT((34-1)/12)</f>
        <v>174960.00000000003</v>
      </c>
      <c r="AJ15" s="19">
        <f>Inputs!$B$26*(1+Inputs!$B$21)^INT((35-1)/12)</f>
        <v>174960.00000000003</v>
      </c>
      <c r="AK15" s="19">
        <f>Inputs!$B$26*(1+Inputs!$B$21)^INT((36-1)/12)</f>
        <v>174960.00000000003</v>
      </c>
      <c r="AL15" s="19">
        <f>Inputs!$B$26*(1+Inputs!$B$21)^INT((37-1)/12)</f>
        <v>188956.80000000002</v>
      </c>
      <c r="AM15" s="19">
        <f>Inputs!$B$26*(1+Inputs!$B$21)^INT((38-1)/12)</f>
        <v>188956.80000000002</v>
      </c>
      <c r="AN15" s="19">
        <f>Inputs!$B$26*(1+Inputs!$B$21)^INT((39-1)/12)</f>
        <v>188956.80000000002</v>
      </c>
      <c r="AO15" s="19">
        <f>Inputs!$B$26*(1+Inputs!$B$21)^INT((40-1)/12)</f>
        <v>188956.80000000002</v>
      </c>
      <c r="AP15" s="19">
        <f>Inputs!$B$26*(1+Inputs!$B$21)^INT((41-1)/12)</f>
        <v>188956.80000000002</v>
      </c>
      <c r="AQ15" s="19">
        <f>Inputs!$B$26*(1+Inputs!$B$21)^INT((42-1)/12)</f>
        <v>188956.80000000002</v>
      </c>
      <c r="AR15" s="19">
        <f>Inputs!$B$26*(1+Inputs!$B$21)^INT((43-1)/12)</f>
        <v>188956.80000000002</v>
      </c>
      <c r="AS15" s="19">
        <f>Inputs!$B$26*(1+Inputs!$B$21)^INT((44-1)/12)</f>
        <v>188956.80000000002</v>
      </c>
      <c r="AT15" s="19">
        <f>Inputs!$B$26*(1+Inputs!$B$21)^INT((45-1)/12)</f>
        <v>188956.80000000002</v>
      </c>
      <c r="AU15" s="19">
        <f>Inputs!$B$26*(1+Inputs!$B$21)^INT((46-1)/12)</f>
        <v>188956.80000000002</v>
      </c>
      <c r="AV15" s="19">
        <f>Inputs!$B$26*(1+Inputs!$B$21)^INT((47-1)/12)</f>
        <v>188956.80000000002</v>
      </c>
      <c r="AW15" s="19">
        <f>Inputs!$B$26*(1+Inputs!$B$21)^INT((48-1)/12)</f>
        <v>188956.80000000002</v>
      </c>
      <c r="AX15" s="19">
        <f>Inputs!$B$26*(1+Inputs!$B$21)^INT((49-1)/12)</f>
        <v>204073.34400000004</v>
      </c>
      <c r="AY15" s="19">
        <f>Inputs!$B$26*(1+Inputs!$B$21)^INT((50-1)/12)</f>
        <v>204073.34400000004</v>
      </c>
      <c r="AZ15" s="19">
        <f>Inputs!$B$26*(1+Inputs!$B$21)^INT((51-1)/12)</f>
        <v>204073.34400000004</v>
      </c>
      <c r="BA15" s="19">
        <f>Inputs!$B$26*(1+Inputs!$B$21)^INT((52-1)/12)</f>
        <v>204073.34400000004</v>
      </c>
    </row>
    <row r="16" spans="1:53" x14ac:dyDescent="0.35">
      <c r="A16" s="3" t="s">
        <v>336</v>
      </c>
      <c r="B16" s="19">
        <f t="shared" ref="B16:AG16" si="10">B14*B15/12</f>
        <v>0</v>
      </c>
      <c r="C16" s="19">
        <f t="shared" si="10"/>
        <v>0</v>
      </c>
      <c r="D16" s="19">
        <f t="shared" si="10"/>
        <v>0</v>
      </c>
      <c r="E16" s="19">
        <f t="shared" si="10"/>
        <v>0</v>
      </c>
      <c r="F16" s="19">
        <f t="shared" si="10"/>
        <v>0</v>
      </c>
      <c r="G16" s="19">
        <f t="shared" si="10"/>
        <v>0</v>
      </c>
      <c r="H16" s="19">
        <f t="shared" si="10"/>
        <v>0</v>
      </c>
      <c r="I16" s="19">
        <f t="shared" si="10"/>
        <v>0</v>
      </c>
      <c r="J16" s="19">
        <f t="shared" si="10"/>
        <v>0</v>
      </c>
      <c r="K16" s="19">
        <f t="shared" si="10"/>
        <v>0</v>
      </c>
      <c r="L16" s="19">
        <f t="shared" si="10"/>
        <v>0</v>
      </c>
      <c r="M16" s="19">
        <f t="shared" si="10"/>
        <v>0</v>
      </c>
      <c r="N16" s="19">
        <f t="shared" si="10"/>
        <v>0</v>
      </c>
      <c r="O16" s="19">
        <f t="shared" si="10"/>
        <v>0</v>
      </c>
      <c r="P16" s="19">
        <f t="shared" si="10"/>
        <v>0</v>
      </c>
      <c r="Q16" s="19">
        <f t="shared" si="10"/>
        <v>0</v>
      </c>
      <c r="R16" s="19">
        <f t="shared" si="10"/>
        <v>0</v>
      </c>
      <c r="S16" s="19">
        <f t="shared" si="10"/>
        <v>0</v>
      </c>
      <c r="T16" s="19">
        <f t="shared" si="10"/>
        <v>0</v>
      </c>
      <c r="U16" s="19">
        <f t="shared" si="10"/>
        <v>0</v>
      </c>
      <c r="V16" s="19">
        <f t="shared" si="10"/>
        <v>0</v>
      </c>
      <c r="W16" s="19">
        <f t="shared" si="10"/>
        <v>0</v>
      </c>
      <c r="X16" s="19">
        <f t="shared" si="10"/>
        <v>0</v>
      </c>
      <c r="Y16" s="19">
        <f t="shared" si="10"/>
        <v>13500</v>
      </c>
      <c r="Z16" s="19">
        <f t="shared" si="10"/>
        <v>14580.000000000002</v>
      </c>
      <c r="AA16" s="19">
        <f t="shared" si="10"/>
        <v>14580.000000000002</v>
      </c>
      <c r="AB16" s="19">
        <f t="shared" si="10"/>
        <v>29160.000000000004</v>
      </c>
      <c r="AC16" s="19">
        <f t="shared" si="10"/>
        <v>29160.000000000004</v>
      </c>
      <c r="AD16" s="19">
        <f t="shared" si="10"/>
        <v>29160.000000000004</v>
      </c>
      <c r="AE16" s="19">
        <f t="shared" si="10"/>
        <v>43740.000000000007</v>
      </c>
      <c r="AF16" s="19">
        <f t="shared" si="10"/>
        <v>43740.000000000007</v>
      </c>
      <c r="AG16" s="19">
        <f t="shared" si="10"/>
        <v>43740.000000000007</v>
      </c>
      <c r="AH16" s="19">
        <f t="shared" ref="AH16:BA16" si="11">AH14*AH15/12</f>
        <v>58320.000000000007</v>
      </c>
      <c r="AI16" s="19">
        <f t="shared" si="11"/>
        <v>58320.000000000007</v>
      </c>
      <c r="AJ16" s="19">
        <f t="shared" si="11"/>
        <v>58320.000000000007</v>
      </c>
      <c r="AK16" s="19">
        <f t="shared" si="11"/>
        <v>72900.000000000015</v>
      </c>
      <c r="AL16" s="19">
        <f t="shared" si="11"/>
        <v>78732.000000000015</v>
      </c>
      <c r="AM16" s="19">
        <f t="shared" si="11"/>
        <v>78732.000000000015</v>
      </c>
      <c r="AN16" s="19">
        <f t="shared" si="11"/>
        <v>94478.400000000009</v>
      </c>
      <c r="AO16" s="19">
        <f t="shared" si="11"/>
        <v>94478.400000000009</v>
      </c>
      <c r="AP16" s="19">
        <f t="shared" si="11"/>
        <v>94478.400000000009</v>
      </c>
      <c r="AQ16" s="19">
        <f t="shared" si="11"/>
        <v>110224.8</v>
      </c>
      <c r="AR16" s="19">
        <f t="shared" si="11"/>
        <v>110224.8</v>
      </c>
      <c r="AS16" s="19">
        <f t="shared" si="11"/>
        <v>110224.8</v>
      </c>
      <c r="AT16" s="19">
        <f t="shared" si="11"/>
        <v>125971.20000000001</v>
      </c>
      <c r="AU16" s="19">
        <f t="shared" si="11"/>
        <v>125971.20000000001</v>
      </c>
      <c r="AV16" s="19">
        <f t="shared" si="11"/>
        <v>125971.20000000001</v>
      </c>
      <c r="AW16" s="19">
        <f t="shared" si="11"/>
        <v>125971.20000000001</v>
      </c>
      <c r="AX16" s="19">
        <f t="shared" si="11"/>
        <v>136048.89600000004</v>
      </c>
      <c r="AY16" s="19">
        <f t="shared" si="11"/>
        <v>136048.89600000004</v>
      </c>
      <c r="AZ16" s="19">
        <f t="shared" si="11"/>
        <v>153055.00800000003</v>
      </c>
      <c r="BA16" s="19">
        <f t="shared" si="11"/>
        <v>153055.00800000003</v>
      </c>
    </row>
    <row r="17" spans="1:53" x14ac:dyDescent="0.35">
      <c r="A17" s="2"/>
    </row>
    <row r="18" spans="1:53" x14ac:dyDescent="0.35">
      <c r="A18" s="2" t="s">
        <v>337</v>
      </c>
      <c r="B18" s="19">
        <f t="shared" ref="B18:AG18" si="12">B9+B16</f>
        <v>0</v>
      </c>
      <c r="C18" s="19">
        <f t="shared" si="12"/>
        <v>0</v>
      </c>
      <c r="D18" s="19">
        <f t="shared" si="12"/>
        <v>0</v>
      </c>
      <c r="E18" s="19">
        <f t="shared" si="12"/>
        <v>0</v>
      </c>
      <c r="F18" s="19">
        <f t="shared" si="12"/>
        <v>0</v>
      </c>
      <c r="G18" s="19">
        <f t="shared" si="12"/>
        <v>0</v>
      </c>
      <c r="H18" s="19">
        <f t="shared" si="12"/>
        <v>0</v>
      </c>
      <c r="I18" s="19">
        <f t="shared" si="12"/>
        <v>0</v>
      </c>
      <c r="J18" s="19">
        <f t="shared" si="12"/>
        <v>5000</v>
      </c>
      <c r="K18" s="19">
        <f t="shared" si="12"/>
        <v>5000</v>
      </c>
      <c r="L18" s="19">
        <f t="shared" si="12"/>
        <v>5000</v>
      </c>
      <c r="M18" s="19">
        <f t="shared" si="12"/>
        <v>5000</v>
      </c>
      <c r="N18" s="19">
        <f t="shared" si="12"/>
        <v>5400</v>
      </c>
      <c r="O18" s="19">
        <f t="shared" si="12"/>
        <v>5400</v>
      </c>
      <c r="P18" s="19">
        <f t="shared" si="12"/>
        <v>5400</v>
      </c>
      <c r="Q18" s="19">
        <f t="shared" si="12"/>
        <v>5400</v>
      </c>
      <c r="R18" s="19">
        <f t="shared" si="12"/>
        <v>5400</v>
      </c>
      <c r="S18" s="19">
        <f t="shared" si="12"/>
        <v>5400</v>
      </c>
      <c r="T18" s="19">
        <f t="shared" si="12"/>
        <v>5400</v>
      </c>
      <c r="U18" s="19">
        <f t="shared" si="12"/>
        <v>5400</v>
      </c>
      <c r="V18" s="19">
        <f t="shared" si="12"/>
        <v>5400</v>
      </c>
      <c r="W18" s="19">
        <f t="shared" si="12"/>
        <v>5400</v>
      </c>
      <c r="X18" s="19">
        <f t="shared" si="12"/>
        <v>5400</v>
      </c>
      <c r="Y18" s="19">
        <f t="shared" si="12"/>
        <v>18900</v>
      </c>
      <c r="Z18" s="19">
        <f t="shared" si="12"/>
        <v>20412</v>
      </c>
      <c r="AA18" s="19">
        <f t="shared" si="12"/>
        <v>20412</v>
      </c>
      <c r="AB18" s="19">
        <f t="shared" si="12"/>
        <v>34992</v>
      </c>
      <c r="AC18" s="19">
        <f t="shared" si="12"/>
        <v>34992</v>
      </c>
      <c r="AD18" s="19">
        <f t="shared" si="12"/>
        <v>34992</v>
      </c>
      <c r="AE18" s="19">
        <f t="shared" si="12"/>
        <v>49572.000000000007</v>
      </c>
      <c r="AF18" s="19">
        <f t="shared" si="12"/>
        <v>49572.000000000007</v>
      </c>
      <c r="AG18" s="19">
        <f t="shared" si="12"/>
        <v>49572.000000000007</v>
      </c>
      <c r="AH18" s="19">
        <f t="shared" ref="AH18:BA18" si="13">AH9+AH16</f>
        <v>64152.000000000007</v>
      </c>
      <c r="AI18" s="19">
        <f t="shared" si="13"/>
        <v>64152.000000000007</v>
      </c>
      <c r="AJ18" s="19">
        <f t="shared" si="13"/>
        <v>64152.000000000007</v>
      </c>
      <c r="AK18" s="19">
        <f t="shared" si="13"/>
        <v>78732.000000000015</v>
      </c>
      <c r="AL18" s="19">
        <f t="shared" si="13"/>
        <v>85030.560000000012</v>
      </c>
      <c r="AM18" s="19">
        <f t="shared" si="13"/>
        <v>85030.560000000012</v>
      </c>
      <c r="AN18" s="19">
        <f t="shared" si="13"/>
        <v>100776.96000000001</v>
      </c>
      <c r="AO18" s="19">
        <f t="shared" si="13"/>
        <v>100776.96000000001</v>
      </c>
      <c r="AP18" s="19">
        <f t="shared" si="13"/>
        <v>100776.96000000001</v>
      </c>
      <c r="AQ18" s="19">
        <f t="shared" si="13"/>
        <v>116523.36</v>
      </c>
      <c r="AR18" s="19">
        <f t="shared" si="13"/>
        <v>116523.36</v>
      </c>
      <c r="AS18" s="19">
        <f t="shared" si="13"/>
        <v>116523.36</v>
      </c>
      <c r="AT18" s="19">
        <f t="shared" si="13"/>
        <v>132269.76000000001</v>
      </c>
      <c r="AU18" s="19">
        <f t="shared" si="13"/>
        <v>132269.76000000001</v>
      </c>
      <c r="AV18" s="19">
        <f t="shared" si="13"/>
        <v>132269.76000000001</v>
      </c>
      <c r="AW18" s="19">
        <f t="shared" si="13"/>
        <v>132269.76000000001</v>
      </c>
      <c r="AX18" s="19">
        <f t="shared" si="13"/>
        <v>142851.34080000003</v>
      </c>
      <c r="AY18" s="19">
        <f t="shared" si="13"/>
        <v>142851.34080000003</v>
      </c>
      <c r="AZ18" s="19">
        <f t="shared" si="13"/>
        <v>159857.45280000003</v>
      </c>
      <c r="BA18" s="19">
        <f t="shared" si="13"/>
        <v>159857.45280000003</v>
      </c>
    </row>
    <row r="19" spans="1:53" x14ac:dyDescent="0.35">
      <c r="A19" s="2" t="s">
        <v>338</v>
      </c>
      <c r="B19" s="19">
        <f t="shared" ref="B19:AG19" si="14">B18*12</f>
        <v>0</v>
      </c>
      <c r="C19" s="19">
        <f t="shared" si="14"/>
        <v>0</v>
      </c>
      <c r="D19" s="19">
        <f t="shared" si="14"/>
        <v>0</v>
      </c>
      <c r="E19" s="19">
        <f t="shared" si="14"/>
        <v>0</v>
      </c>
      <c r="F19" s="19">
        <f t="shared" si="14"/>
        <v>0</v>
      </c>
      <c r="G19" s="19">
        <f t="shared" si="14"/>
        <v>0</v>
      </c>
      <c r="H19" s="19">
        <f t="shared" si="14"/>
        <v>0</v>
      </c>
      <c r="I19" s="19">
        <f t="shared" si="14"/>
        <v>0</v>
      </c>
      <c r="J19" s="19">
        <f t="shared" si="14"/>
        <v>60000</v>
      </c>
      <c r="K19" s="19">
        <f t="shared" si="14"/>
        <v>60000</v>
      </c>
      <c r="L19" s="19">
        <f t="shared" si="14"/>
        <v>60000</v>
      </c>
      <c r="M19" s="19">
        <f t="shared" si="14"/>
        <v>60000</v>
      </c>
      <c r="N19" s="19">
        <f t="shared" si="14"/>
        <v>64800</v>
      </c>
      <c r="O19" s="19">
        <f t="shared" si="14"/>
        <v>64800</v>
      </c>
      <c r="P19" s="19">
        <f t="shared" si="14"/>
        <v>64800</v>
      </c>
      <c r="Q19" s="19">
        <f t="shared" si="14"/>
        <v>64800</v>
      </c>
      <c r="R19" s="19">
        <f t="shared" si="14"/>
        <v>64800</v>
      </c>
      <c r="S19" s="19">
        <f t="shared" si="14"/>
        <v>64800</v>
      </c>
      <c r="T19" s="19">
        <f t="shared" si="14"/>
        <v>64800</v>
      </c>
      <c r="U19" s="19">
        <f t="shared" si="14"/>
        <v>64800</v>
      </c>
      <c r="V19" s="19">
        <f t="shared" si="14"/>
        <v>64800</v>
      </c>
      <c r="W19" s="19">
        <f t="shared" si="14"/>
        <v>64800</v>
      </c>
      <c r="X19" s="19">
        <f t="shared" si="14"/>
        <v>64800</v>
      </c>
      <c r="Y19" s="19">
        <f t="shared" si="14"/>
        <v>226800</v>
      </c>
      <c r="Z19" s="19">
        <f t="shared" si="14"/>
        <v>244944</v>
      </c>
      <c r="AA19" s="19">
        <f t="shared" si="14"/>
        <v>244944</v>
      </c>
      <c r="AB19" s="19">
        <f t="shared" si="14"/>
        <v>419904</v>
      </c>
      <c r="AC19" s="19">
        <f t="shared" si="14"/>
        <v>419904</v>
      </c>
      <c r="AD19" s="19">
        <f t="shared" si="14"/>
        <v>419904</v>
      </c>
      <c r="AE19" s="19">
        <f t="shared" si="14"/>
        <v>594864.00000000012</v>
      </c>
      <c r="AF19" s="19">
        <f t="shared" si="14"/>
        <v>594864.00000000012</v>
      </c>
      <c r="AG19" s="19">
        <f t="shared" si="14"/>
        <v>594864.00000000012</v>
      </c>
      <c r="AH19" s="19">
        <f t="shared" ref="AH19:BA19" si="15">AH18*12</f>
        <v>769824.00000000012</v>
      </c>
      <c r="AI19" s="19">
        <f t="shared" si="15"/>
        <v>769824.00000000012</v>
      </c>
      <c r="AJ19" s="19">
        <f t="shared" si="15"/>
        <v>769824.00000000012</v>
      </c>
      <c r="AK19" s="19">
        <f t="shared" si="15"/>
        <v>944784.00000000023</v>
      </c>
      <c r="AL19" s="19">
        <f t="shared" si="15"/>
        <v>1020366.7200000002</v>
      </c>
      <c r="AM19" s="19">
        <f t="shared" si="15"/>
        <v>1020366.7200000002</v>
      </c>
      <c r="AN19" s="19">
        <f t="shared" si="15"/>
        <v>1209323.52</v>
      </c>
      <c r="AO19" s="19">
        <f t="shared" si="15"/>
        <v>1209323.52</v>
      </c>
      <c r="AP19" s="19">
        <f t="shared" si="15"/>
        <v>1209323.52</v>
      </c>
      <c r="AQ19" s="19">
        <f t="shared" si="15"/>
        <v>1398280.32</v>
      </c>
      <c r="AR19" s="19">
        <f t="shared" si="15"/>
        <v>1398280.32</v>
      </c>
      <c r="AS19" s="19">
        <f t="shared" si="15"/>
        <v>1398280.32</v>
      </c>
      <c r="AT19" s="19">
        <f t="shared" si="15"/>
        <v>1587237.12</v>
      </c>
      <c r="AU19" s="19">
        <f t="shared" si="15"/>
        <v>1587237.12</v>
      </c>
      <c r="AV19" s="19">
        <f t="shared" si="15"/>
        <v>1587237.12</v>
      </c>
      <c r="AW19" s="19">
        <f t="shared" si="15"/>
        <v>1587237.12</v>
      </c>
      <c r="AX19" s="19">
        <f t="shared" si="15"/>
        <v>1714216.0896000005</v>
      </c>
      <c r="AY19" s="19">
        <f t="shared" si="15"/>
        <v>1714216.0896000005</v>
      </c>
      <c r="AZ19" s="19">
        <f t="shared" si="15"/>
        <v>1918289.4336000003</v>
      </c>
      <c r="BA19" s="19">
        <f t="shared" si="15"/>
        <v>1918289.4336000003</v>
      </c>
    </row>
    <row r="20" spans="1:53" x14ac:dyDescent="0.35">
      <c r="A20" s="3" t="s">
        <v>339</v>
      </c>
      <c r="B20" s="19">
        <f t="shared" ref="B20:AG20" si="16">B18</f>
        <v>0</v>
      </c>
      <c r="C20" s="19">
        <f t="shared" si="16"/>
        <v>0</v>
      </c>
      <c r="D20" s="19">
        <f t="shared" si="16"/>
        <v>0</v>
      </c>
      <c r="E20" s="19">
        <f t="shared" si="16"/>
        <v>0</v>
      </c>
      <c r="F20" s="19">
        <f t="shared" si="16"/>
        <v>0</v>
      </c>
      <c r="G20" s="19">
        <f t="shared" si="16"/>
        <v>0</v>
      </c>
      <c r="H20" s="19">
        <f t="shared" si="16"/>
        <v>0</v>
      </c>
      <c r="I20" s="19">
        <f t="shared" si="16"/>
        <v>0</v>
      </c>
      <c r="J20" s="19">
        <f t="shared" si="16"/>
        <v>5000</v>
      </c>
      <c r="K20" s="19">
        <f t="shared" si="16"/>
        <v>5000</v>
      </c>
      <c r="L20" s="19">
        <f t="shared" si="16"/>
        <v>5000</v>
      </c>
      <c r="M20" s="19">
        <f t="shared" si="16"/>
        <v>5000</v>
      </c>
      <c r="N20" s="19">
        <f t="shared" si="16"/>
        <v>5400</v>
      </c>
      <c r="O20" s="19">
        <f t="shared" si="16"/>
        <v>5400</v>
      </c>
      <c r="P20" s="19">
        <f t="shared" si="16"/>
        <v>5400</v>
      </c>
      <c r="Q20" s="19">
        <f t="shared" si="16"/>
        <v>5400</v>
      </c>
      <c r="R20" s="19">
        <f t="shared" si="16"/>
        <v>5400</v>
      </c>
      <c r="S20" s="19">
        <f t="shared" si="16"/>
        <v>5400</v>
      </c>
      <c r="T20" s="19">
        <f t="shared" si="16"/>
        <v>5400</v>
      </c>
      <c r="U20" s="19">
        <f t="shared" si="16"/>
        <v>5400</v>
      </c>
      <c r="V20" s="19">
        <f t="shared" si="16"/>
        <v>5400</v>
      </c>
      <c r="W20" s="19">
        <f t="shared" si="16"/>
        <v>5400</v>
      </c>
      <c r="X20" s="19">
        <f t="shared" si="16"/>
        <v>5400</v>
      </c>
      <c r="Y20" s="19">
        <f t="shared" si="16"/>
        <v>18900</v>
      </c>
      <c r="Z20" s="19">
        <f t="shared" si="16"/>
        <v>20412</v>
      </c>
      <c r="AA20" s="19">
        <f t="shared" si="16"/>
        <v>20412</v>
      </c>
      <c r="AB20" s="19">
        <f t="shared" si="16"/>
        <v>34992</v>
      </c>
      <c r="AC20" s="19">
        <f t="shared" si="16"/>
        <v>34992</v>
      </c>
      <c r="AD20" s="19">
        <f t="shared" si="16"/>
        <v>34992</v>
      </c>
      <c r="AE20" s="19">
        <f t="shared" si="16"/>
        <v>49572.000000000007</v>
      </c>
      <c r="AF20" s="19">
        <f t="shared" si="16"/>
        <v>49572.000000000007</v>
      </c>
      <c r="AG20" s="19">
        <f t="shared" si="16"/>
        <v>49572.000000000007</v>
      </c>
      <c r="AH20" s="19">
        <f t="shared" ref="AH20:BA20" si="17">AH18</f>
        <v>64152.000000000007</v>
      </c>
      <c r="AI20" s="19">
        <f t="shared" si="17"/>
        <v>64152.000000000007</v>
      </c>
      <c r="AJ20" s="19">
        <f t="shared" si="17"/>
        <v>64152.000000000007</v>
      </c>
      <c r="AK20" s="19">
        <f t="shared" si="17"/>
        <v>78732.000000000015</v>
      </c>
      <c r="AL20" s="19">
        <f t="shared" si="17"/>
        <v>85030.560000000012</v>
      </c>
      <c r="AM20" s="19">
        <f t="shared" si="17"/>
        <v>85030.560000000012</v>
      </c>
      <c r="AN20" s="19">
        <f t="shared" si="17"/>
        <v>100776.96000000001</v>
      </c>
      <c r="AO20" s="19">
        <f t="shared" si="17"/>
        <v>100776.96000000001</v>
      </c>
      <c r="AP20" s="19">
        <f t="shared" si="17"/>
        <v>100776.96000000001</v>
      </c>
      <c r="AQ20" s="19">
        <f t="shared" si="17"/>
        <v>116523.36</v>
      </c>
      <c r="AR20" s="19">
        <f t="shared" si="17"/>
        <v>116523.36</v>
      </c>
      <c r="AS20" s="19">
        <f t="shared" si="17"/>
        <v>116523.36</v>
      </c>
      <c r="AT20" s="19">
        <f t="shared" si="17"/>
        <v>132269.76000000001</v>
      </c>
      <c r="AU20" s="19">
        <f t="shared" si="17"/>
        <v>132269.76000000001</v>
      </c>
      <c r="AV20" s="19">
        <f t="shared" si="17"/>
        <v>132269.76000000001</v>
      </c>
      <c r="AW20" s="19">
        <f t="shared" si="17"/>
        <v>132269.76000000001</v>
      </c>
      <c r="AX20" s="19">
        <f t="shared" si="17"/>
        <v>142851.34080000003</v>
      </c>
      <c r="AY20" s="19">
        <f t="shared" si="17"/>
        <v>142851.34080000003</v>
      </c>
      <c r="AZ20" s="19">
        <f t="shared" si="17"/>
        <v>159857.45280000003</v>
      </c>
      <c r="BA20" s="19">
        <f t="shared" si="17"/>
        <v>159857.45280000003</v>
      </c>
    </row>
    <row r="21" spans="1:53" x14ac:dyDescent="0.35">
      <c r="A21" s="3" t="s">
        <v>340</v>
      </c>
      <c r="B21" s="18" t="str">
        <f>""</f>
        <v/>
      </c>
      <c r="C21" s="18" t="str">
        <f t="shared" ref="C21:AH21" si="18">IFERROR(C19/B19-1,"")</f>
        <v/>
      </c>
      <c r="D21" s="18" t="str">
        <f t="shared" si="18"/>
        <v/>
      </c>
      <c r="E21" s="18" t="str">
        <f t="shared" si="18"/>
        <v/>
      </c>
      <c r="F21" s="18" t="str">
        <f t="shared" si="18"/>
        <v/>
      </c>
      <c r="G21" s="18" t="str">
        <f t="shared" si="18"/>
        <v/>
      </c>
      <c r="H21" s="18" t="str">
        <f t="shared" si="18"/>
        <v/>
      </c>
      <c r="I21" s="18" t="str">
        <f t="shared" si="18"/>
        <v/>
      </c>
      <c r="J21" s="18" t="str">
        <f t="shared" si="18"/>
        <v/>
      </c>
      <c r="K21" s="18">
        <f t="shared" si="18"/>
        <v>0</v>
      </c>
      <c r="L21" s="18">
        <f t="shared" si="18"/>
        <v>0</v>
      </c>
      <c r="M21" s="18">
        <f t="shared" si="18"/>
        <v>0</v>
      </c>
      <c r="N21" s="18">
        <f t="shared" si="18"/>
        <v>8.0000000000000071E-2</v>
      </c>
      <c r="O21" s="18">
        <f t="shared" si="18"/>
        <v>0</v>
      </c>
      <c r="P21" s="18">
        <f t="shared" si="18"/>
        <v>0</v>
      </c>
      <c r="Q21" s="18">
        <f t="shared" si="18"/>
        <v>0</v>
      </c>
      <c r="R21" s="18">
        <f t="shared" si="18"/>
        <v>0</v>
      </c>
      <c r="S21" s="18">
        <f t="shared" si="18"/>
        <v>0</v>
      </c>
      <c r="T21" s="18">
        <f t="shared" si="18"/>
        <v>0</v>
      </c>
      <c r="U21" s="18">
        <f t="shared" si="18"/>
        <v>0</v>
      </c>
      <c r="V21" s="18">
        <f t="shared" si="18"/>
        <v>0</v>
      </c>
      <c r="W21" s="18">
        <f t="shared" si="18"/>
        <v>0</v>
      </c>
      <c r="X21" s="18">
        <f t="shared" si="18"/>
        <v>0</v>
      </c>
      <c r="Y21" s="18">
        <f t="shared" si="18"/>
        <v>2.5</v>
      </c>
      <c r="Z21" s="18">
        <f t="shared" si="18"/>
        <v>8.0000000000000071E-2</v>
      </c>
      <c r="AA21" s="18">
        <f t="shared" si="18"/>
        <v>0</v>
      </c>
      <c r="AB21" s="18">
        <f t="shared" si="18"/>
        <v>0.71428571428571419</v>
      </c>
      <c r="AC21" s="18">
        <f t="shared" si="18"/>
        <v>0</v>
      </c>
      <c r="AD21" s="18">
        <f t="shared" si="18"/>
        <v>0</v>
      </c>
      <c r="AE21" s="18">
        <f t="shared" si="18"/>
        <v>0.41666666666666696</v>
      </c>
      <c r="AF21" s="18">
        <f t="shared" si="18"/>
        <v>0</v>
      </c>
      <c r="AG21" s="18">
        <f t="shared" si="18"/>
        <v>0</v>
      </c>
      <c r="AH21" s="18">
        <f t="shared" si="18"/>
        <v>0.29411764705882337</v>
      </c>
      <c r="AI21" s="18">
        <f t="shared" ref="AI21:BA21" si="19">IFERROR(AI19/AH19-1,"")</f>
        <v>0</v>
      </c>
      <c r="AJ21" s="18">
        <f t="shared" si="19"/>
        <v>0</v>
      </c>
      <c r="AK21" s="18">
        <f t="shared" si="19"/>
        <v>0.22727272727272729</v>
      </c>
      <c r="AL21" s="18">
        <f t="shared" si="19"/>
        <v>7.9999999999999849E-2</v>
      </c>
      <c r="AM21" s="18">
        <f t="shared" si="19"/>
        <v>0</v>
      </c>
      <c r="AN21" s="18">
        <f t="shared" si="19"/>
        <v>0.1851851851851849</v>
      </c>
      <c r="AO21" s="18">
        <f t="shared" si="19"/>
        <v>0</v>
      </c>
      <c r="AP21" s="18">
        <f t="shared" si="19"/>
        <v>0</v>
      </c>
      <c r="AQ21" s="18">
        <f t="shared" si="19"/>
        <v>0.15625</v>
      </c>
      <c r="AR21" s="18">
        <f t="shared" si="19"/>
        <v>0</v>
      </c>
      <c r="AS21" s="18">
        <f t="shared" si="19"/>
        <v>0</v>
      </c>
      <c r="AT21" s="18">
        <f t="shared" si="19"/>
        <v>0.13513513513513509</v>
      </c>
      <c r="AU21" s="18">
        <f t="shared" si="19"/>
        <v>0</v>
      </c>
      <c r="AV21" s="18">
        <f t="shared" si="19"/>
        <v>0</v>
      </c>
      <c r="AW21" s="18">
        <f t="shared" si="19"/>
        <v>0</v>
      </c>
      <c r="AX21" s="18">
        <f t="shared" si="19"/>
        <v>8.0000000000000293E-2</v>
      </c>
      <c r="AY21" s="18">
        <f t="shared" si="19"/>
        <v>0</v>
      </c>
      <c r="AZ21" s="18">
        <f t="shared" si="19"/>
        <v>0.11904761904761885</v>
      </c>
      <c r="BA21" s="18">
        <f t="shared" si="19"/>
        <v>0</v>
      </c>
    </row>
    <row r="22" spans="1:53" x14ac:dyDescent="0.35">
      <c r="A22" s="3" t="s">
        <v>341</v>
      </c>
      <c r="B22" s="18">
        <f>Inputs!$B$29</f>
        <v>1.18</v>
      </c>
      <c r="C22" s="18">
        <f>Inputs!$B$29</f>
        <v>1.18</v>
      </c>
      <c r="D22" s="18">
        <f>Inputs!$B$29</f>
        <v>1.18</v>
      </c>
      <c r="E22" s="18">
        <f>Inputs!$B$29</f>
        <v>1.18</v>
      </c>
      <c r="F22" s="18">
        <f>Inputs!$B$29</f>
        <v>1.18</v>
      </c>
      <c r="G22" s="18">
        <f>Inputs!$B$29</f>
        <v>1.18</v>
      </c>
      <c r="H22" s="18">
        <f>Inputs!$B$29</f>
        <v>1.18</v>
      </c>
      <c r="I22" s="18">
        <f>Inputs!$B$29</f>
        <v>1.18</v>
      </c>
      <c r="J22" s="18">
        <f>Inputs!$B$29</f>
        <v>1.18</v>
      </c>
      <c r="K22" s="18">
        <f>Inputs!$B$29</f>
        <v>1.18</v>
      </c>
      <c r="L22" s="18">
        <f>Inputs!$B$29</f>
        <v>1.18</v>
      </c>
      <c r="M22" s="18">
        <f>Inputs!$B$29</f>
        <v>1.18</v>
      </c>
      <c r="N22" s="18">
        <f>Inputs!$B$29</f>
        <v>1.18</v>
      </c>
      <c r="O22" s="18">
        <f>Inputs!$B$29</f>
        <v>1.18</v>
      </c>
      <c r="P22" s="18">
        <f>Inputs!$B$29</f>
        <v>1.18</v>
      </c>
      <c r="Q22" s="18">
        <f>Inputs!$B$29</f>
        <v>1.18</v>
      </c>
      <c r="R22" s="18">
        <f>Inputs!$B$29</f>
        <v>1.18</v>
      </c>
      <c r="S22" s="18">
        <f>Inputs!$B$29</f>
        <v>1.18</v>
      </c>
      <c r="T22" s="18">
        <f>Inputs!$B$29</f>
        <v>1.18</v>
      </c>
      <c r="U22" s="18">
        <f>Inputs!$B$29</f>
        <v>1.18</v>
      </c>
      <c r="V22" s="18">
        <f>Inputs!$B$29</f>
        <v>1.18</v>
      </c>
      <c r="W22" s="18">
        <f>Inputs!$B$29</f>
        <v>1.18</v>
      </c>
      <c r="X22" s="18">
        <f>Inputs!$B$29</f>
        <v>1.18</v>
      </c>
      <c r="Y22" s="18">
        <f>Inputs!$B$29</f>
        <v>1.18</v>
      </c>
      <c r="Z22" s="18">
        <f>Inputs!$B$29</f>
        <v>1.18</v>
      </c>
      <c r="AA22" s="18">
        <f>Inputs!$B$29</f>
        <v>1.18</v>
      </c>
      <c r="AB22" s="18">
        <f>Inputs!$B$29</f>
        <v>1.18</v>
      </c>
      <c r="AC22" s="18">
        <f>Inputs!$B$29</f>
        <v>1.18</v>
      </c>
      <c r="AD22" s="18">
        <f>Inputs!$B$29</f>
        <v>1.18</v>
      </c>
      <c r="AE22" s="18">
        <f>Inputs!$B$29</f>
        <v>1.18</v>
      </c>
      <c r="AF22" s="18">
        <f>Inputs!$B$29</f>
        <v>1.18</v>
      </c>
      <c r="AG22" s="18">
        <f>Inputs!$B$29</f>
        <v>1.18</v>
      </c>
      <c r="AH22" s="18">
        <f>Inputs!$B$29</f>
        <v>1.18</v>
      </c>
      <c r="AI22" s="18">
        <f>Inputs!$B$29</f>
        <v>1.18</v>
      </c>
      <c r="AJ22" s="18">
        <f>Inputs!$B$29</f>
        <v>1.18</v>
      </c>
      <c r="AK22" s="18">
        <f>Inputs!$B$29</f>
        <v>1.18</v>
      </c>
      <c r="AL22" s="18">
        <f>Inputs!$B$29</f>
        <v>1.18</v>
      </c>
      <c r="AM22" s="18">
        <f>Inputs!$B$29</f>
        <v>1.18</v>
      </c>
      <c r="AN22" s="18">
        <f>Inputs!$B$29</f>
        <v>1.18</v>
      </c>
      <c r="AO22" s="18">
        <f>Inputs!$B$29</f>
        <v>1.18</v>
      </c>
      <c r="AP22" s="18">
        <f>Inputs!$B$29</f>
        <v>1.18</v>
      </c>
      <c r="AQ22" s="18">
        <f>Inputs!$B$29</f>
        <v>1.18</v>
      </c>
      <c r="AR22" s="18">
        <f>Inputs!$B$29</f>
        <v>1.18</v>
      </c>
      <c r="AS22" s="18">
        <f>Inputs!$B$29</f>
        <v>1.18</v>
      </c>
      <c r="AT22" s="18">
        <f>Inputs!$B$29</f>
        <v>1.18</v>
      </c>
      <c r="AU22" s="18">
        <f>Inputs!$B$29</f>
        <v>1.18</v>
      </c>
      <c r="AV22" s="18">
        <f>Inputs!$B$29</f>
        <v>1.18</v>
      </c>
      <c r="AW22" s="18">
        <f>Inputs!$B$29</f>
        <v>1.18</v>
      </c>
      <c r="AX22" s="18">
        <f>Inputs!$B$29</f>
        <v>1.18</v>
      </c>
      <c r="AY22" s="18">
        <f>Inputs!$B$29</f>
        <v>1.18</v>
      </c>
      <c r="AZ22" s="18">
        <f>Inputs!$B$29</f>
        <v>1.18</v>
      </c>
      <c r="BA22" s="18">
        <f>Inputs!$B$29</f>
        <v>1.18</v>
      </c>
    </row>
    <row r="23" spans="1:53" x14ac:dyDescent="0.35">
      <c r="A23" s="3" t="s">
        <v>342</v>
      </c>
      <c r="B23" s="19">
        <f t="shared" ref="B23:AG23" si="20">B5*B4*12+B12*B15</f>
        <v>0</v>
      </c>
      <c r="C23" s="19">
        <f t="shared" si="20"/>
        <v>0</v>
      </c>
      <c r="D23" s="19">
        <f t="shared" si="20"/>
        <v>0</v>
      </c>
      <c r="E23" s="19">
        <f t="shared" si="20"/>
        <v>0</v>
      </c>
      <c r="F23" s="19">
        <f t="shared" si="20"/>
        <v>0</v>
      </c>
      <c r="G23" s="19">
        <f t="shared" si="20"/>
        <v>0</v>
      </c>
      <c r="H23" s="19">
        <f t="shared" si="20"/>
        <v>0</v>
      </c>
      <c r="I23" s="19">
        <f t="shared" si="20"/>
        <v>0</v>
      </c>
      <c r="J23" s="19">
        <f t="shared" si="20"/>
        <v>60000</v>
      </c>
      <c r="K23" s="19">
        <f t="shared" si="20"/>
        <v>0</v>
      </c>
      <c r="L23" s="19">
        <f t="shared" si="20"/>
        <v>0</v>
      </c>
      <c r="M23" s="19">
        <f t="shared" si="20"/>
        <v>0</v>
      </c>
      <c r="N23" s="19">
        <f t="shared" si="20"/>
        <v>0</v>
      </c>
      <c r="O23" s="19">
        <f t="shared" si="20"/>
        <v>0</v>
      </c>
      <c r="P23" s="19">
        <f t="shared" si="20"/>
        <v>0</v>
      </c>
      <c r="Q23" s="19">
        <f t="shared" si="20"/>
        <v>0</v>
      </c>
      <c r="R23" s="19">
        <f t="shared" si="20"/>
        <v>0</v>
      </c>
      <c r="S23" s="19">
        <f t="shared" si="20"/>
        <v>0</v>
      </c>
      <c r="T23" s="19">
        <f t="shared" si="20"/>
        <v>0</v>
      </c>
      <c r="U23" s="19">
        <f t="shared" si="20"/>
        <v>0</v>
      </c>
      <c r="V23" s="19">
        <f t="shared" si="20"/>
        <v>0</v>
      </c>
      <c r="W23" s="19">
        <f t="shared" si="20"/>
        <v>0</v>
      </c>
      <c r="X23" s="19">
        <f t="shared" si="20"/>
        <v>0</v>
      </c>
      <c r="Y23" s="19">
        <f t="shared" si="20"/>
        <v>162000</v>
      </c>
      <c r="Z23" s="19">
        <f t="shared" si="20"/>
        <v>0</v>
      </c>
      <c r="AA23" s="19">
        <f t="shared" si="20"/>
        <v>0</v>
      </c>
      <c r="AB23" s="19">
        <f t="shared" si="20"/>
        <v>174960.00000000003</v>
      </c>
      <c r="AC23" s="19">
        <f t="shared" si="20"/>
        <v>0</v>
      </c>
      <c r="AD23" s="19">
        <f t="shared" si="20"/>
        <v>0</v>
      </c>
      <c r="AE23" s="19">
        <f t="shared" si="20"/>
        <v>174960.00000000003</v>
      </c>
      <c r="AF23" s="19">
        <f t="shared" si="20"/>
        <v>0</v>
      </c>
      <c r="AG23" s="19">
        <f t="shared" si="20"/>
        <v>0</v>
      </c>
      <c r="AH23" s="19">
        <f t="shared" ref="AH23:BA23" si="21">AH5*AH4*12+AH12*AH15</f>
        <v>174960.00000000003</v>
      </c>
      <c r="AI23" s="19">
        <f t="shared" si="21"/>
        <v>0</v>
      </c>
      <c r="AJ23" s="19">
        <f t="shared" si="21"/>
        <v>0</v>
      </c>
      <c r="AK23" s="19">
        <f t="shared" si="21"/>
        <v>174960.00000000003</v>
      </c>
      <c r="AL23" s="19">
        <f t="shared" si="21"/>
        <v>0</v>
      </c>
      <c r="AM23" s="19">
        <f t="shared" si="21"/>
        <v>0</v>
      </c>
      <c r="AN23" s="19">
        <f t="shared" si="21"/>
        <v>188956.80000000002</v>
      </c>
      <c r="AO23" s="19">
        <f t="shared" si="21"/>
        <v>0</v>
      </c>
      <c r="AP23" s="19">
        <f t="shared" si="21"/>
        <v>0</v>
      </c>
      <c r="AQ23" s="19">
        <f t="shared" si="21"/>
        <v>188956.80000000002</v>
      </c>
      <c r="AR23" s="19">
        <f t="shared" si="21"/>
        <v>0</v>
      </c>
      <c r="AS23" s="19">
        <f t="shared" si="21"/>
        <v>0</v>
      </c>
      <c r="AT23" s="19">
        <f t="shared" si="21"/>
        <v>188956.80000000002</v>
      </c>
      <c r="AU23" s="19">
        <f t="shared" si="21"/>
        <v>0</v>
      </c>
      <c r="AV23" s="19">
        <f t="shared" si="21"/>
        <v>0</v>
      </c>
      <c r="AW23" s="19">
        <f t="shared" si="21"/>
        <v>188956.80000000002</v>
      </c>
      <c r="AX23" s="19">
        <f t="shared" si="21"/>
        <v>0</v>
      </c>
      <c r="AY23" s="19">
        <f t="shared" si="21"/>
        <v>0</v>
      </c>
      <c r="AZ23" s="19">
        <f t="shared" si="21"/>
        <v>204073.34400000004</v>
      </c>
      <c r="BA23" s="19">
        <f t="shared" si="21"/>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BA132"/>
  <sheetViews>
    <sheetView workbookViewId="0">
      <pane xSplit="1" ySplit="3" topLeftCell="AM41" activePane="bottomRight" state="frozen"/>
      <selection pane="topRight"/>
      <selection pane="bottomLeft"/>
      <selection pane="bottomRight" activeCell="B2" sqref="B2:BA2"/>
    </sheetView>
  </sheetViews>
  <sheetFormatPr baseColWidth="10" defaultColWidth="8.7265625" defaultRowHeight="14.5" x14ac:dyDescent="0.35"/>
  <cols>
    <col min="1" max="1" width="35" customWidth="1"/>
    <col min="2" max="53" width="12" customWidth="1"/>
  </cols>
  <sheetData>
    <row r="1" spans="1:53" ht="18" x14ac:dyDescent="0.4">
      <c r="A1" s="1" t="s">
        <v>343</v>
      </c>
    </row>
    <row r="2" spans="1:53" x14ac:dyDescent="0.35">
      <c r="B2" s="34">
        <v>46113</v>
      </c>
      <c r="C2" s="34">
        <v>46143</v>
      </c>
      <c r="D2" s="34">
        <v>46174</v>
      </c>
      <c r="E2" s="34">
        <v>46204</v>
      </c>
      <c r="F2" s="34">
        <v>46235</v>
      </c>
      <c r="G2" s="34">
        <v>46266</v>
      </c>
      <c r="H2" s="34">
        <v>46296</v>
      </c>
      <c r="I2" s="34">
        <v>46327</v>
      </c>
      <c r="J2" s="34">
        <v>46357</v>
      </c>
      <c r="K2" s="34">
        <v>46388</v>
      </c>
      <c r="L2" s="34">
        <v>46419</v>
      </c>
      <c r="M2" s="34">
        <v>46447</v>
      </c>
      <c r="N2" s="34">
        <v>46478</v>
      </c>
      <c r="O2" s="34">
        <v>46508</v>
      </c>
      <c r="P2" s="34">
        <v>46539</v>
      </c>
      <c r="Q2" s="34">
        <v>46569</v>
      </c>
      <c r="R2" s="34">
        <v>46600</v>
      </c>
      <c r="S2" s="34">
        <v>46631</v>
      </c>
      <c r="T2" s="34">
        <v>46661</v>
      </c>
      <c r="U2" s="34">
        <v>46692</v>
      </c>
      <c r="V2" s="34">
        <v>46722</v>
      </c>
      <c r="W2" s="34">
        <v>46753</v>
      </c>
      <c r="X2" s="34">
        <v>46784</v>
      </c>
      <c r="Y2" s="34">
        <v>46813</v>
      </c>
      <c r="Z2" s="34">
        <v>46844</v>
      </c>
      <c r="AA2" s="34">
        <v>46874</v>
      </c>
      <c r="AB2" s="34">
        <v>46905</v>
      </c>
      <c r="AC2" s="34">
        <v>46935</v>
      </c>
      <c r="AD2" s="34">
        <v>46966</v>
      </c>
      <c r="AE2" s="34">
        <v>46997</v>
      </c>
      <c r="AF2" s="34">
        <v>47027</v>
      </c>
      <c r="AG2" s="34">
        <v>47058</v>
      </c>
      <c r="AH2" s="34">
        <v>47088</v>
      </c>
      <c r="AI2" s="34">
        <v>47119</v>
      </c>
      <c r="AJ2" s="34">
        <v>47150</v>
      </c>
      <c r="AK2" s="34">
        <v>47178</v>
      </c>
      <c r="AL2" s="34">
        <v>47209</v>
      </c>
      <c r="AM2" s="34">
        <v>47239</v>
      </c>
      <c r="AN2" s="34">
        <v>47270</v>
      </c>
      <c r="AO2" s="34">
        <v>47300</v>
      </c>
      <c r="AP2" s="34">
        <v>47331</v>
      </c>
      <c r="AQ2" s="34">
        <v>47362</v>
      </c>
      <c r="AR2" s="34">
        <v>47392</v>
      </c>
      <c r="AS2" s="34">
        <v>47423</v>
      </c>
      <c r="AT2" s="34">
        <v>47453</v>
      </c>
      <c r="AU2" s="34">
        <v>47484</v>
      </c>
      <c r="AV2" s="34">
        <v>47515</v>
      </c>
      <c r="AW2" s="34">
        <v>47543</v>
      </c>
      <c r="AX2" s="34">
        <v>47574</v>
      </c>
      <c r="AY2" s="34">
        <v>47604</v>
      </c>
      <c r="AZ2" s="34">
        <v>47635</v>
      </c>
      <c r="BA2" s="34">
        <v>47665</v>
      </c>
    </row>
    <row r="3" spans="1:53" x14ac:dyDescent="0.35">
      <c r="A3" s="7" t="s">
        <v>344</v>
      </c>
      <c r="B3" s="7" t="s">
        <v>243</v>
      </c>
      <c r="C3" s="7" t="s">
        <v>244</v>
      </c>
      <c r="D3" s="7" t="s">
        <v>245</v>
      </c>
      <c r="E3" s="7" t="s">
        <v>246</v>
      </c>
      <c r="F3" s="7" t="s">
        <v>247</v>
      </c>
      <c r="G3" s="7" t="s">
        <v>248</v>
      </c>
      <c r="H3" s="7" t="s">
        <v>249</v>
      </c>
      <c r="I3" s="7" t="s">
        <v>250</v>
      </c>
      <c r="J3" s="7" t="s">
        <v>251</v>
      </c>
      <c r="K3" s="7" t="s">
        <v>252</v>
      </c>
      <c r="L3" s="7" t="s">
        <v>253</v>
      </c>
      <c r="M3" s="7" t="s">
        <v>254</v>
      </c>
      <c r="N3" s="7" t="s">
        <v>255</v>
      </c>
      <c r="O3" s="7" t="s">
        <v>256</v>
      </c>
      <c r="P3" s="7" t="s">
        <v>257</v>
      </c>
      <c r="Q3" s="7" t="s">
        <v>258</v>
      </c>
      <c r="R3" s="7" t="s">
        <v>259</v>
      </c>
      <c r="S3" s="7" t="s">
        <v>260</v>
      </c>
      <c r="T3" s="7" t="s">
        <v>261</v>
      </c>
      <c r="U3" s="7" t="s">
        <v>262</v>
      </c>
      <c r="V3" s="7" t="s">
        <v>263</v>
      </c>
      <c r="W3" s="7" t="s">
        <v>264</v>
      </c>
      <c r="X3" s="7" t="s">
        <v>265</v>
      </c>
      <c r="Y3" s="7" t="s">
        <v>266</v>
      </c>
      <c r="Z3" s="7" t="s">
        <v>267</v>
      </c>
      <c r="AA3" s="7" t="s">
        <v>268</v>
      </c>
      <c r="AB3" s="7" t="s">
        <v>269</v>
      </c>
      <c r="AC3" s="7" t="s">
        <v>270</v>
      </c>
      <c r="AD3" s="7" t="s">
        <v>271</v>
      </c>
      <c r="AE3" s="7" t="s">
        <v>272</v>
      </c>
      <c r="AF3" s="7" t="s">
        <v>273</v>
      </c>
      <c r="AG3" s="7" t="s">
        <v>274</v>
      </c>
      <c r="AH3" s="7" t="s">
        <v>275</v>
      </c>
      <c r="AI3" s="7" t="s">
        <v>276</v>
      </c>
      <c r="AJ3" s="7" t="s">
        <v>277</v>
      </c>
      <c r="AK3" s="7" t="s">
        <v>278</v>
      </c>
      <c r="AL3" s="7" t="s">
        <v>279</v>
      </c>
      <c r="AM3" s="7" t="s">
        <v>280</v>
      </c>
      <c r="AN3" s="7" t="s">
        <v>281</v>
      </c>
      <c r="AO3" s="7" t="s">
        <v>282</v>
      </c>
      <c r="AP3" s="7" t="s">
        <v>283</v>
      </c>
      <c r="AQ3" s="7" t="s">
        <v>284</v>
      </c>
      <c r="AR3" s="7" t="s">
        <v>285</v>
      </c>
      <c r="AS3" s="7" t="s">
        <v>286</v>
      </c>
      <c r="AT3" s="7" t="s">
        <v>287</v>
      </c>
      <c r="AU3" s="7" t="s">
        <v>288</v>
      </c>
      <c r="AV3" s="7" t="s">
        <v>289</v>
      </c>
      <c r="AW3" s="7" t="s">
        <v>290</v>
      </c>
      <c r="AX3" s="7" t="s">
        <v>291</v>
      </c>
      <c r="AY3" s="7" t="s">
        <v>292</v>
      </c>
      <c r="AZ3" s="7" t="s">
        <v>293</v>
      </c>
      <c r="BA3" s="7" t="s">
        <v>294</v>
      </c>
    </row>
    <row r="4" spans="1:53" x14ac:dyDescent="0.35">
      <c r="A4" s="2" t="s">
        <v>345</v>
      </c>
    </row>
    <row r="5" spans="1:53" x14ac:dyDescent="0.35">
      <c r="A5" s="3" t="s">
        <v>346</v>
      </c>
      <c r="B5" s="20">
        <v>3</v>
      </c>
      <c r="C5" s="20">
        <v>3</v>
      </c>
      <c r="D5" s="20">
        <v>3</v>
      </c>
      <c r="E5" s="20">
        <v>3</v>
      </c>
      <c r="F5" s="20">
        <v>3</v>
      </c>
      <c r="G5" s="20">
        <v>3</v>
      </c>
      <c r="H5" s="20">
        <v>3</v>
      </c>
      <c r="I5" s="20">
        <v>3</v>
      </c>
      <c r="J5" s="20">
        <v>3</v>
      </c>
      <c r="K5" s="20">
        <v>3</v>
      </c>
      <c r="L5" s="20">
        <v>3</v>
      </c>
      <c r="M5" s="20">
        <v>3</v>
      </c>
      <c r="N5" s="20">
        <v>3</v>
      </c>
      <c r="O5" s="20">
        <v>3</v>
      </c>
      <c r="P5" s="20">
        <v>3</v>
      </c>
      <c r="Q5" s="20">
        <v>3</v>
      </c>
      <c r="R5" s="20">
        <v>3</v>
      </c>
      <c r="S5" s="20">
        <v>3</v>
      </c>
      <c r="T5" s="20">
        <v>3</v>
      </c>
      <c r="U5" s="20">
        <v>3</v>
      </c>
      <c r="V5" s="20">
        <v>3</v>
      </c>
      <c r="W5" s="20">
        <v>3</v>
      </c>
      <c r="X5" s="20">
        <v>3</v>
      </c>
      <c r="Y5" s="20">
        <v>3</v>
      </c>
      <c r="Z5" s="20">
        <v>3</v>
      </c>
      <c r="AA5" s="20">
        <v>3</v>
      </c>
      <c r="AB5" s="20">
        <v>3</v>
      </c>
      <c r="AC5" s="20">
        <v>3</v>
      </c>
      <c r="AD5" s="20">
        <v>3</v>
      </c>
      <c r="AE5" s="20">
        <v>3</v>
      </c>
      <c r="AF5" s="20">
        <v>3</v>
      </c>
      <c r="AG5" s="20">
        <v>3</v>
      </c>
      <c r="AH5" s="20">
        <v>3</v>
      </c>
      <c r="AI5" s="20">
        <v>3</v>
      </c>
      <c r="AJ5" s="20">
        <v>3</v>
      </c>
      <c r="AK5" s="20">
        <v>3</v>
      </c>
      <c r="AL5" s="20">
        <v>3</v>
      </c>
      <c r="AM5" s="20">
        <v>3</v>
      </c>
      <c r="AN5" s="20">
        <v>3</v>
      </c>
      <c r="AO5" s="20">
        <v>3</v>
      </c>
      <c r="AP5" s="20">
        <v>3</v>
      </c>
      <c r="AQ5" s="20">
        <v>3</v>
      </c>
      <c r="AR5" s="20">
        <v>3</v>
      </c>
      <c r="AS5" s="20">
        <v>3</v>
      </c>
      <c r="AT5" s="20">
        <v>3</v>
      </c>
      <c r="AU5" s="20">
        <v>3</v>
      </c>
      <c r="AV5" s="20">
        <v>3</v>
      </c>
      <c r="AW5" s="20">
        <v>3</v>
      </c>
      <c r="AX5" s="20">
        <v>3</v>
      </c>
      <c r="AY5" s="20">
        <v>3</v>
      </c>
      <c r="AZ5" s="20">
        <v>3</v>
      </c>
      <c r="BA5" s="20">
        <v>3</v>
      </c>
    </row>
    <row r="6" spans="1:53" x14ac:dyDescent="0.35">
      <c r="A6" s="3" t="s">
        <v>101</v>
      </c>
      <c r="B6" s="20">
        <f>IF(1&gt;=Inputs!$B$47,1,0)</f>
        <v>0</v>
      </c>
      <c r="C6" s="20">
        <f>IF(2&gt;=Inputs!$B$47,1,0)</f>
        <v>0</v>
      </c>
      <c r="D6" s="20">
        <f>IF(3&gt;=Inputs!$B$47,1,0)</f>
        <v>0</v>
      </c>
      <c r="E6" s="20">
        <f>IF(4&gt;=Inputs!$B$47,1,0)</f>
        <v>0</v>
      </c>
      <c r="F6" s="20">
        <f>IF(5&gt;=Inputs!$B$47,1,0)</f>
        <v>0</v>
      </c>
      <c r="G6" s="20">
        <f>IF(6&gt;=Inputs!$B$47,1,0)</f>
        <v>0</v>
      </c>
      <c r="H6" s="20">
        <f>IF(7&gt;=Inputs!$B$47,1,0)</f>
        <v>1</v>
      </c>
      <c r="I6" s="20">
        <f>IF(8&gt;=Inputs!$B$47,1,0)</f>
        <v>1</v>
      </c>
      <c r="J6" s="20">
        <f>IF(9&gt;=Inputs!$B$47,1,0)</f>
        <v>1</v>
      </c>
      <c r="K6" s="20">
        <f>IF(10&gt;=Inputs!$B$47,1,0)</f>
        <v>1</v>
      </c>
      <c r="L6" s="20">
        <f>IF(11&gt;=Inputs!$B$47,1,0)</f>
        <v>1</v>
      </c>
      <c r="M6" s="20">
        <f>IF(12&gt;=Inputs!$B$47,1,0)</f>
        <v>1</v>
      </c>
      <c r="N6" s="20">
        <f>IF(13&gt;=Inputs!$B$47,1,0)</f>
        <v>1</v>
      </c>
      <c r="O6" s="20">
        <f>IF(14&gt;=Inputs!$B$47,1,0)</f>
        <v>1</v>
      </c>
      <c r="P6" s="20">
        <f>IF(15&gt;=Inputs!$B$47,1,0)</f>
        <v>1</v>
      </c>
      <c r="Q6" s="20">
        <f>IF(16&gt;=Inputs!$B$47,1,0)</f>
        <v>1</v>
      </c>
      <c r="R6" s="20">
        <f>IF(17&gt;=Inputs!$B$47,1,0)</f>
        <v>1</v>
      </c>
      <c r="S6" s="20">
        <f>IF(18&gt;=Inputs!$B$47,1,0)</f>
        <v>1</v>
      </c>
      <c r="T6" s="20">
        <f>IF(19&gt;=Inputs!$B$47,1,0)</f>
        <v>1</v>
      </c>
      <c r="U6" s="20">
        <f>IF(20&gt;=Inputs!$B$47,1,0)</f>
        <v>1</v>
      </c>
      <c r="V6" s="20">
        <f>IF(21&gt;=Inputs!$B$47,1,0)</f>
        <v>1</v>
      </c>
      <c r="W6" s="20">
        <f>IF(22&gt;=Inputs!$B$47,1,0)</f>
        <v>1</v>
      </c>
      <c r="X6" s="20">
        <f>IF(23&gt;=Inputs!$B$47,1,0)</f>
        <v>1</v>
      </c>
      <c r="Y6" s="20">
        <f>IF(24&gt;=Inputs!$B$47,1,0)</f>
        <v>1</v>
      </c>
      <c r="Z6" s="20">
        <f>IF(25&gt;=Inputs!$B$47,1,0)</f>
        <v>1</v>
      </c>
      <c r="AA6" s="20">
        <f>IF(26&gt;=Inputs!$B$47,1,0)</f>
        <v>1</v>
      </c>
      <c r="AB6" s="20">
        <f>IF(27&gt;=Inputs!$B$47,1,0)</f>
        <v>1</v>
      </c>
      <c r="AC6" s="20">
        <f>IF(28&gt;=Inputs!$B$47,1,0)</f>
        <v>1</v>
      </c>
      <c r="AD6" s="20">
        <f>IF(29&gt;=Inputs!$B$47,1,0)</f>
        <v>1</v>
      </c>
      <c r="AE6" s="20">
        <f>IF(30&gt;=Inputs!$B$47,1,0)</f>
        <v>1</v>
      </c>
      <c r="AF6" s="20">
        <f>IF(31&gt;=Inputs!$B$47,1,0)</f>
        <v>1</v>
      </c>
      <c r="AG6" s="20">
        <f>IF(32&gt;=Inputs!$B$47,1,0)</f>
        <v>1</v>
      </c>
      <c r="AH6" s="20">
        <f>IF(33&gt;=Inputs!$B$47,1,0)</f>
        <v>1</v>
      </c>
      <c r="AI6" s="20">
        <f>IF(34&gt;=Inputs!$B$47,1,0)</f>
        <v>1</v>
      </c>
      <c r="AJ6" s="20">
        <f>IF(35&gt;=Inputs!$B$47,1,0)</f>
        <v>1</v>
      </c>
      <c r="AK6" s="20">
        <f>IF(36&gt;=Inputs!$B$47,1,0)</f>
        <v>1</v>
      </c>
      <c r="AL6" s="20">
        <f>IF(37&gt;=Inputs!$B$47,1,0)</f>
        <v>1</v>
      </c>
      <c r="AM6" s="20">
        <f>IF(38&gt;=Inputs!$B$47,1,0)</f>
        <v>1</v>
      </c>
      <c r="AN6" s="20">
        <f>IF(39&gt;=Inputs!$B$47,1,0)</f>
        <v>1</v>
      </c>
      <c r="AO6" s="20">
        <f>IF(40&gt;=Inputs!$B$47,1,0)</f>
        <v>1</v>
      </c>
      <c r="AP6" s="20">
        <f>IF(41&gt;=Inputs!$B$47,1,0)</f>
        <v>1</v>
      </c>
      <c r="AQ6" s="20">
        <f>IF(42&gt;=Inputs!$B$47,1,0)</f>
        <v>1</v>
      </c>
      <c r="AR6" s="20">
        <f>IF(43&gt;=Inputs!$B$47,1,0)</f>
        <v>1</v>
      </c>
      <c r="AS6" s="20">
        <f>IF(44&gt;=Inputs!$B$47,1,0)</f>
        <v>1</v>
      </c>
      <c r="AT6" s="20">
        <f>IF(45&gt;=Inputs!$B$47,1,0)</f>
        <v>1</v>
      </c>
      <c r="AU6" s="20">
        <f>IF(46&gt;=Inputs!$B$47,1,0)</f>
        <v>1</v>
      </c>
      <c r="AV6" s="20">
        <f>IF(47&gt;=Inputs!$B$47,1,0)</f>
        <v>1</v>
      </c>
      <c r="AW6" s="20">
        <f>IF(48&gt;=Inputs!$B$47,1,0)</f>
        <v>1</v>
      </c>
      <c r="AX6" s="20">
        <f>IF(49&gt;=Inputs!$B$47,1,0)</f>
        <v>1</v>
      </c>
      <c r="AY6" s="20">
        <f>IF(50&gt;=Inputs!$B$47,1,0)</f>
        <v>1</v>
      </c>
      <c r="AZ6" s="20">
        <f>IF(51&gt;=Inputs!$B$47,1,0)</f>
        <v>1</v>
      </c>
      <c r="BA6" s="20">
        <f>IF(52&gt;=Inputs!$B$47,1,0)</f>
        <v>1</v>
      </c>
    </row>
    <row r="7" spans="1:53" x14ac:dyDescent="0.35">
      <c r="A7" s="3" t="s">
        <v>103</v>
      </c>
      <c r="B7" s="20">
        <f>IF(1&gt;=Inputs!$B$48,1,0)</f>
        <v>0</v>
      </c>
      <c r="C7" s="20">
        <f>IF(2&gt;=Inputs!$B$48,1,0)</f>
        <v>0</v>
      </c>
      <c r="D7" s="20">
        <f>IF(3&gt;=Inputs!$B$48,1,0)</f>
        <v>0</v>
      </c>
      <c r="E7" s="20">
        <f>IF(4&gt;=Inputs!$B$48,1,0)</f>
        <v>0</v>
      </c>
      <c r="F7" s="20">
        <f>IF(5&gt;=Inputs!$B$48,1,0)</f>
        <v>0</v>
      </c>
      <c r="G7" s="20">
        <f>IF(6&gt;=Inputs!$B$48,1,0)</f>
        <v>0</v>
      </c>
      <c r="H7" s="20">
        <f>IF(7&gt;=Inputs!$B$48,1,0)</f>
        <v>0</v>
      </c>
      <c r="I7" s="20">
        <f>IF(8&gt;=Inputs!$B$48,1,0)</f>
        <v>0</v>
      </c>
      <c r="J7" s="20">
        <f>IF(9&gt;=Inputs!$B$48,1,0)</f>
        <v>0</v>
      </c>
      <c r="K7" s="20">
        <f>IF(10&gt;=Inputs!$B$48,1,0)</f>
        <v>1</v>
      </c>
      <c r="L7" s="20">
        <f>IF(11&gt;=Inputs!$B$48,1,0)</f>
        <v>1</v>
      </c>
      <c r="M7" s="20">
        <f>IF(12&gt;=Inputs!$B$48,1,0)</f>
        <v>1</v>
      </c>
      <c r="N7" s="20">
        <f>IF(13&gt;=Inputs!$B$48,1,0)</f>
        <v>1</v>
      </c>
      <c r="O7" s="20">
        <f>IF(14&gt;=Inputs!$B$48,1,0)</f>
        <v>1</v>
      </c>
      <c r="P7" s="20">
        <f>IF(15&gt;=Inputs!$B$48,1,0)</f>
        <v>1</v>
      </c>
      <c r="Q7" s="20">
        <f>IF(16&gt;=Inputs!$B$48,1,0)</f>
        <v>1</v>
      </c>
      <c r="R7" s="20">
        <f>IF(17&gt;=Inputs!$B$48,1,0)</f>
        <v>1</v>
      </c>
      <c r="S7" s="20">
        <f>IF(18&gt;=Inputs!$B$48,1,0)</f>
        <v>1</v>
      </c>
      <c r="T7" s="20">
        <f>IF(19&gt;=Inputs!$B$48,1,0)</f>
        <v>1</v>
      </c>
      <c r="U7" s="20">
        <f>IF(20&gt;=Inputs!$B$48,1,0)</f>
        <v>1</v>
      </c>
      <c r="V7" s="20">
        <f>IF(21&gt;=Inputs!$B$48,1,0)</f>
        <v>1</v>
      </c>
      <c r="W7" s="20">
        <f>IF(22&gt;=Inputs!$B$48,1,0)</f>
        <v>1</v>
      </c>
      <c r="X7" s="20">
        <f>IF(23&gt;=Inputs!$B$48,1,0)</f>
        <v>1</v>
      </c>
      <c r="Y7" s="20">
        <f>IF(24&gt;=Inputs!$B$48,1,0)</f>
        <v>1</v>
      </c>
      <c r="Z7" s="20">
        <f>IF(25&gt;=Inputs!$B$48,1,0)</f>
        <v>1</v>
      </c>
      <c r="AA7" s="20">
        <f>IF(26&gt;=Inputs!$B$48,1,0)</f>
        <v>1</v>
      </c>
      <c r="AB7" s="20">
        <f>IF(27&gt;=Inputs!$B$48,1,0)</f>
        <v>1</v>
      </c>
      <c r="AC7" s="20">
        <f>IF(28&gt;=Inputs!$B$48,1,0)</f>
        <v>1</v>
      </c>
      <c r="AD7" s="20">
        <f>IF(29&gt;=Inputs!$B$48,1,0)</f>
        <v>1</v>
      </c>
      <c r="AE7" s="20">
        <f>IF(30&gt;=Inputs!$B$48,1,0)</f>
        <v>1</v>
      </c>
      <c r="AF7" s="20">
        <f>IF(31&gt;=Inputs!$B$48,1,0)</f>
        <v>1</v>
      </c>
      <c r="AG7" s="20">
        <f>IF(32&gt;=Inputs!$B$48,1,0)</f>
        <v>1</v>
      </c>
      <c r="AH7" s="20">
        <f>IF(33&gt;=Inputs!$B$48,1,0)</f>
        <v>1</v>
      </c>
      <c r="AI7" s="20">
        <f>IF(34&gt;=Inputs!$B$48,1,0)</f>
        <v>1</v>
      </c>
      <c r="AJ7" s="20">
        <f>IF(35&gt;=Inputs!$B$48,1,0)</f>
        <v>1</v>
      </c>
      <c r="AK7" s="20">
        <f>IF(36&gt;=Inputs!$B$48,1,0)</f>
        <v>1</v>
      </c>
      <c r="AL7" s="20">
        <f>IF(37&gt;=Inputs!$B$48,1,0)</f>
        <v>1</v>
      </c>
      <c r="AM7" s="20">
        <f>IF(38&gt;=Inputs!$B$48,1,0)</f>
        <v>1</v>
      </c>
      <c r="AN7" s="20">
        <f>IF(39&gt;=Inputs!$B$48,1,0)</f>
        <v>1</v>
      </c>
      <c r="AO7" s="20">
        <f>IF(40&gt;=Inputs!$B$48,1,0)</f>
        <v>1</v>
      </c>
      <c r="AP7" s="20">
        <f>IF(41&gt;=Inputs!$B$48,1,0)</f>
        <v>1</v>
      </c>
      <c r="AQ7" s="20">
        <f>IF(42&gt;=Inputs!$B$48,1,0)</f>
        <v>1</v>
      </c>
      <c r="AR7" s="20">
        <f>IF(43&gt;=Inputs!$B$48,1,0)</f>
        <v>1</v>
      </c>
      <c r="AS7" s="20">
        <f>IF(44&gt;=Inputs!$B$48,1,0)</f>
        <v>1</v>
      </c>
      <c r="AT7" s="20">
        <f>IF(45&gt;=Inputs!$B$48,1,0)</f>
        <v>1</v>
      </c>
      <c r="AU7" s="20">
        <f>IF(46&gt;=Inputs!$B$48,1,0)</f>
        <v>1</v>
      </c>
      <c r="AV7" s="20">
        <f>IF(47&gt;=Inputs!$B$48,1,0)</f>
        <v>1</v>
      </c>
      <c r="AW7" s="20">
        <f>IF(48&gt;=Inputs!$B$48,1,0)</f>
        <v>1</v>
      </c>
      <c r="AX7" s="20">
        <f>IF(49&gt;=Inputs!$B$48,1,0)</f>
        <v>1</v>
      </c>
      <c r="AY7" s="20">
        <f>IF(50&gt;=Inputs!$B$48,1,0)</f>
        <v>1</v>
      </c>
      <c r="AZ7" s="20">
        <f>IF(51&gt;=Inputs!$B$48,1,0)</f>
        <v>1</v>
      </c>
      <c r="BA7" s="20">
        <f>IF(52&gt;=Inputs!$B$48,1,0)</f>
        <v>1</v>
      </c>
    </row>
    <row r="8" spans="1:53" x14ac:dyDescent="0.35">
      <c r="A8" s="3" t="s">
        <v>105</v>
      </c>
      <c r="B8" s="20">
        <f>IF(1&gt;=Inputs!$B$49,1,0)</f>
        <v>0</v>
      </c>
      <c r="C8" s="20">
        <f>IF(2&gt;=Inputs!$B$49,1,0)</f>
        <v>0</v>
      </c>
      <c r="D8" s="20">
        <f>IF(3&gt;=Inputs!$B$49,1,0)</f>
        <v>0</v>
      </c>
      <c r="E8" s="20">
        <f>IF(4&gt;=Inputs!$B$49,1,0)</f>
        <v>0</v>
      </c>
      <c r="F8" s="20">
        <f>IF(5&gt;=Inputs!$B$49,1,0)</f>
        <v>0</v>
      </c>
      <c r="G8" s="20">
        <f>IF(6&gt;=Inputs!$B$49,1,0)</f>
        <v>0</v>
      </c>
      <c r="H8" s="20">
        <f>IF(7&gt;=Inputs!$B$49,1,0)</f>
        <v>0</v>
      </c>
      <c r="I8" s="20">
        <f>IF(8&gt;=Inputs!$B$49,1,0)</f>
        <v>0</v>
      </c>
      <c r="J8" s="20">
        <f>IF(9&gt;=Inputs!$B$49,1,0)</f>
        <v>1</v>
      </c>
      <c r="K8" s="20">
        <f>IF(10&gt;=Inputs!$B$49,1,0)</f>
        <v>1</v>
      </c>
      <c r="L8" s="20">
        <f>IF(11&gt;=Inputs!$B$49,1,0)</f>
        <v>1</v>
      </c>
      <c r="M8" s="20">
        <f>IF(12&gt;=Inputs!$B$49,1,0)</f>
        <v>1</v>
      </c>
      <c r="N8" s="20">
        <f>IF(13&gt;=Inputs!$B$49,1,0)</f>
        <v>1</v>
      </c>
      <c r="O8" s="20">
        <f>IF(14&gt;=Inputs!$B$49,1,0)</f>
        <v>1</v>
      </c>
      <c r="P8" s="20">
        <f>IF(15&gt;=Inputs!$B$49,1,0)</f>
        <v>1</v>
      </c>
      <c r="Q8" s="20">
        <f>IF(16&gt;=Inputs!$B$49,1,0)</f>
        <v>1</v>
      </c>
      <c r="R8" s="20">
        <f>IF(17&gt;=Inputs!$B$49,1,0)</f>
        <v>1</v>
      </c>
      <c r="S8" s="20">
        <f>IF(18&gt;=Inputs!$B$49,1,0)</f>
        <v>1</v>
      </c>
      <c r="T8" s="20">
        <f>IF(19&gt;=Inputs!$B$49,1,0)</f>
        <v>1</v>
      </c>
      <c r="U8" s="20">
        <f>IF(20&gt;=Inputs!$B$49,1,0)</f>
        <v>1</v>
      </c>
      <c r="V8" s="20">
        <f>IF(21&gt;=Inputs!$B$49,1,0)</f>
        <v>1</v>
      </c>
      <c r="W8" s="20">
        <f>IF(22&gt;=Inputs!$B$49,1,0)</f>
        <v>1</v>
      </c>
      <c r="X8" s="20">
        <f>IF(23&gt;=Inputs!$B$49,1,0)</f>
        <v>1</v>
      </c>
      <c r="Y8" s="20">
        <f>IF(24&gt;=Inputs!$B$49,1,0)</f>
        <v>1</v>
      </c>
      <c r="Z8" s="20">
        <f>IF(25&gt;=Inputs!$B$49,1,0)</f>
        <v>1</v>
      </c>
      <c r="AA8" s="20">
        <f>IF(26&gt;=Inputs!$B$49,1,0)</f>
        <v>1</v>
      </c>
      <c r="AB8" s="20">
        <f>IF(27&gt;=Inputs!$B$49,1,0)</f>
        <v>1</v>
      </c>
      <c r="AC8" s="20">
        <f>IF(28&gt;=Inputs!$B$49,1,0)</f>
        <v>1</v>
      </c>
      <c r="AD8" s="20">
        <f>IF(29&gt;=Inputs!$B$49,1,0)</f>
        <v>1</v>
      </c>
      <c r="AE8" s="20">
        <f>IF(30&gt;=Inputs!$B$49,1,0)</f>
        <v>1</v>
      </c>
      <c r="AF8" s="20">
        <f>IF(31&gt;=Inputs!$B$49,1,0)</f>
        <v>1</v>
      </c>
      <c r="AG8" s="20">
        <f>IF(32&gt;=Inputs!$B$49,1,0)</f>
        <v>1</v>
      </c>
      <c r="AH8" s="20">
        <f>IF(33&gt;=Inputs!$B$49,1,0)</f>
        <v>1</v>
      </c>
      <c r="AI8" s="20">
        <f>IF(34&gt;=Inputs!$B$49,1,0)</f>
        <v>1</v>
      </c>
      <c r="AJ8" s="20">
        <f>IF(35&gt;=Inputs!$B$49,1,0)</f>
        <v>1</v>
      </c>
      <c r="AK8" s="20">
        <f>IF(36&gt;=Inputs!$B$49,1,0)</f>
        <v>1</v>
      </c>
      <c r="AL8" s="20">
        <f>IF(37&gt;=Inputs!$B$49,1,0)</f>
        <v>1</v>
      </c>
      <c r="AM8" s="20">
        <f>IF(38&gt;=Inputs!$B$49,1,0)</f>
        <v>1</v>
      </c>
      <c r="AN8" s="20">
        <f>IF(39&gt;=Inputs!$B$49,1,0)</f>
        <v>1</v>
      </c>
      <c r="AO8" s="20">
        <f>IF(40&gt;=Inputs!$B$49,1,0)</f>
        <v>1</v>
      </c>
      <c r="AP8" s="20">
        <f>IF(41&gt;=Inputs!$B$49,1,0)</f>
        <v>1</v>
      </c>
      <c r="AQ8" s="20">
        <f>IF(42&gt;=Inputs!$B$49,1,0)</f>
        <v>1</v>
      </c>
      <c r="AR8" s="20">
        <f>IF(43&gt;=Inputs!$B$49,1,0)</f>
        <v>1</v>
      </c>
      <c r="AS8" s="20">
        <f>IF(44&gt;=Inputs!$B$49,1,0)</f>
        <v>1</v>
      </c>
      <c r="AT8" s="20">
        <f>IF(45&gt;=Inputs!$B$49,1,0)</f>
        <v>1</v>
      </c>
      <c r="AU8" s="20">
        <f>IF(46&gt;=Inputs!$B$49,1,0)</f>
        <v>1</v>
      </c>
      <c r="AV8" s="20">
        <f>IF(47&gt;=Inputs!$B$49,1,0)</f>
        <v>1</v>
      </c>
      <c r="AW8" s="20">
        <f>IF(48&gt;=Inputs!$B$49,1,0)</f>
        <v>1</v>
      </c>
      <c r="AX8" s="20">
        <f>IF(49&gt;=Inputs!$B$49,1,0)</f>
        <v>1</v>
      </c>
      <c r="AY8" s="20">
        <f>IF(50&gt;=Inputs!$B$49,1,0)</f>
        <v>1</v>
      </c>
      <c r="AZ8" s="20">
        <f>IF(51&gt;=Inputs!$B$49,1,0)</f>
        <v>1</v>
      </c>
      <c r="BA8" s="20">
        <f>IF(52&gt;=Inputs!$B$49,1,0)</f>
        <v>1</v>
      </c>
    </row>
    <row r="9" spans="1:53" x14ac:dyDescent="0.35">
      <c r="A9" s="3" t="s">
        <v>107</v>
      </c>
      <c r="B9" s="20">
        <f>IF(1&gt;=Inputs!$B$50,1,0)</f>
        <v>0</v>
      </c>
      <c r="C9" s="20">
        <f>IF(2&gt;=Inputs!$B$50,1,0)</f>
        <v>0</v>
      </c>
      <c r="D9" s="20">
        <f>IF(3&gt;=Inputs!$B$50,1,0)</f>
        <v>0</v>
      </c>
      <c r="E9" s="20">
        <f>IF(4&gt;=Inputs!$B$50,1,0)</f>
        <v>0</v>
      </c>
      <c r="F9" s="20">
        <f>IF(5&gt;=Inputs!$B$50,1,0)</f>
        <v>0</v>
      </c>
      <c r="G9" s="20">
        <f>IF(6&gt;=Inputs!$B$50,1,0)</f>
        <v>0</v>
      </c>
      <c r="H9" s="20">
        <f>IF(7&gt;=Inputs!$B$50,1,0)</f>
        <v>0</v>
      </c>
      <c r="I9" s="20">
        <f>IF(8&gt;=Inputs!$B$50,1,0)</f>
        <v>1</v>
      </c>
      <c r="J9" s="20">
        <f>IF(9&gt;=Inputs!$B$50,1,0)</f>
        <v>1</v>
      </c>
      <c r="K9" s="20">
        <f>IF(10&gt;=Inputs!$B$50,1,0)</f>
        <v>1</v>
      </c>
      <c r="L9" s="20">
        <f>IF(11&gt;=Inputs!$B$50,1,0)</f>
        <v>1</v>
      </c>
      <c r="M9" s="20">
        <f>IF(12&gt;=Inputs!$B$50,1,0)</f>
        <v>1</v>
      </c>
      <c r="N9" s="20">
        <f>IF(13&gt;=Inputs!$B$50,1,0)</f>
        <v>1</v>
      </c>
      <c r="O9" s="20">
        <f>IF(14&gt;=Inputs!$B$50,1,0)</f>
        <v>1</v>
      </c>
      <c r="P9" s="20">
        <f>IF(15&gt;=Inputs!$B$50,1,0)</f>
        <v>1</v>
      </c>
      <c r="Q9" s="20">
        <f>IF(16&gt;=Inputs!$B$50,1,0)</f>
        <v>1</v>
      </c>
      <c r="R9" s="20">
        <f>IF(17&gt;=Inputs!$B$50,1,0)</f>
        <v>1</v>
      </c>
      <c r="S9" s="20">
        <f>IF(18&gt;=Inputs!$B$50,1,0)</f>
        <v>1</v>
      </c>
      <c r="T9" s="20">
        <f>IF(19&gt;=Inputs!$B$50,1,0)</f>
        <v>1</v>
      </c>
      <c r="U9" s="20">
        <f>IF(20&gt;=Inputs!$B$50,1,0)</f>
        <v>1</v>
      </c>
      <c r="V9" s="20">
        <f>IF(21&gt;=Inputs!$B$50,1,0)</f>
        <v>1</v>
      </c>
      <c r="W9" s="20">
        <f>IF(22&gt;=Inputs!$B$50,1,0)</f>
        <v>1</v>
      </c>
      <c r="X9" s="20">
        <f>IF(23&gt;=Inputs!$B$50,1,0)</f>
        <v>1</v>
      </c>
      <c r="Y9" s="20">
        <f>IF(24&gt;=Inputs!$B$50,1,0)</f>
        <v>1</v>
      </c>
      <c r="Z9" s="20">
        <f>IF(25&gt;=Inputs!$B$50,1,0)</f>
        <v>1</v>
      </c>
      <c r="AA9" s="20">
        <f>IF(26&gt;=Inputs!$B$50,1,0)</f>
        <v>1</v>
      </c>
      <c r="AB9" s="20">
        <f>IF(27&gt;=Inputs!$B$50,1,0)</f>
        <v>1</v>
      </c>
      <c r="AC9" s="20">
        <f>IF(28&gt;=Inputs!$B$50,1,0)</f>
        <v>1</v>
      </c>
      <c r="AD9" s="20">
        <f>IF(29&gt;=Inputs!$B$50,1,0)</f>
        <v>1</v>
      </c>
      <c r="AE9" s="20">
        <f>IF(30&gt;=Inputs!$B$50,1,0)</f>
        <v>1</v>
      </c>
      <c r="AF9" s="20">
        <f>IF(31&gt;=Inputs!$B$50,1,0)</f>
        <v>1</v>
      </c>
      <c r="AG9" s="20">
        <f>IF(32&gt;=Inputs!$B$50,1,0)</f>
        <v>1</v>
      </c>
      <c r="AH9" s="20">
        <f>IF(33&gt;=Inputs!$B$50,1,0)</f>
        <v>1</v>
      </c>
      <c r="AI9" s="20">
        <f>IF(34&gt;=Inputs!$B$50,1,0)</f>
        <v>1</v>
      </c>
      <c r="AJ9" s="20">
        <f>IF(35&gt;=Inputs!$B$50,1,0)</f>
        <v>1</v>
      </c>
      <c r="AK9" s="20">
        <f>IF(36&gt;=Inputs!$B$50,1,0)</f>
        <v>1</v>
      </c>
      <c r="AL9" s="20">
        <f>IF(37&gt;=Inputs!$B$50,1,0)</f>
        <v>1</v>
      </c>
      <c r="AM9" s="20">
        <f>IF(38&gt;=Inputs!$B$50,1,0)</f>
        <v>1</v>
      </c>
      <c r="AN9" s="20">
        <f>IF(39&gt;=Inputs!$B$50,1,0)</f>
        <v>1</v>
      </c>
      <c r="AO9" s="20">
        <f>IF(40&gt;=Inputs!$B$50,1,0)</f>
        <v>1</v>
      </c>
      <c r="AP9" s="20">
        <f>IF(41&gt;=Inputs!$B$50,1,0)</f>
        <v>1</v>
      </c>
      <c r="AQ9" s="20">
        <f>IF(42&gt;=Inputs!$B$50,1,0)</f>
        <v>1</v>
      </c>
      <c r="AR9" s="20">
        <f>IF(43&gt;=Inputs!$B$50,1,0)</f>
        <v>1</v>
      </c>
      <c r="AS9" s="20">
        <f>IF(44&gt;=Inputs!$B$50,1,0)</f>
        <v>1</v>
      </c>
      <c r="AT9" s="20">
        <f>IF(45&gt;=Inputs!$B$50,1,0)</f>
        <v>1</v>
      </c>
      <c r="AU9" s="20">
        <f>IF(46&gt;=Inputs!$B$50,1,0)</f>
        <v>1</v>
      </c>
      <c r="AV9" s="20">
        <f>IF(47&gt;=Inputs!$B$50,1,0)</f>
        <v>1</v>
      </c>
      <c r="AW9" s="20">
        <f>IF(48&gt;=Inputs!$B$50,1,0)</f>
        <v>1</v>
      </c>
      <c r="AX9" s="20">
        <f>IF(49&gt;=Inputs!$B$50,1,0)</f>
        <v>1</v>
      </c>
      <c r="AY9" s="20">
        <f>IF(50&gt;=Inputs!$B$50,1,0)</f>
        <v>1</v>
      </c>
      <c r="AZ9" s="20">
        <f>IF(51&gt;=Inputs!$B$50,1,0)</f>
        <v>1</v>
      </c>
      <c r="BA9" s="20">
        <f>IF(52&gt;=Inputs!$B$50,1,0)</f>
        <v>1</v>
      </c>
    </row>
    <row r="10" spans="1:53" x14ac:dyDescent="0.35">
      <c r="A10" s="3" t="s">
        <v>109</v>
      </c>
      <c r="B10" s="20">
        <f>IF(1&gt;=Inputs!$B$51,1,0)</f>
        <v>0</v>
      </c>
      <c r="C10" s="20">
        <f>IF(2&gt;=Inputs!$B$51,1,0)</f>
        <v>0</v>
      </c>
      <c r="D10" s="20">
        <f>IF(3&gt;=Inputs!$B$51,1,0)</f>
        <v>0</v>
      </c>
      <c r="E10" s="20">
        <f>IF(4&gt;=Inputs!$B$51,1,0)</f>
        <v>0</v>
      </c>
      <c r="F10" s="20">
        <f>IF(5&gt;=Inputs!$B$51,1,0)</f>
        <v>0</v>
      </c>
      <c r="G10" s="20">
        <f>IF(6&gt;=Inputs!$B$51,1,0)</f>
        <v>0</v>
      </c>
      <c r="H10" s="20">
        <f>IF(7&gt;=Inputs!$B$51,1,0)</f>
        <v>0</v>
      </c>
      <c r="I10" s="20">
        <f>IF(8&gt;=Inputs!$B$51,1,0)</f>
        <v>0</v>
      </c>
      <c r="J10" s="20">
        <f>IF(9&gt;=Inputs!$B$51,1,0)</f>
        <v>0</v>
      </c>
      <c r="K10" s="20">
        <f>IF(10&gt;=Inputs!$B$51,1,0)</f>
        <v>0</v>
      </c>
      <c r="L10" s="20">
        <f>IF(11&gt;=Inputs!$B$51,1,0)</f>
        <v>0</v>
      </c>
      <c r="M10" s="20">
        <f>IF(12&gt;=Inputs!$B$51,1,0)</f>
        <v>0</v>
      </c>
      <c r="N10" s="20">
        <f>IF(13&gt;=Inputs!$B$51,1,0)</f>
        <v>0</v>
      </c>
      <c r="O10" s="20">
        <f>IF(14&gt;=Inputs!$B$51,1,0)</f>
        <v>1</v>
      </c>
      <c r="P10" s="20">
        <f>IF(15&gt;=Inputs!$B$51,1,0)</f>
        <v>1</v>
      </c>
      <c r="Q10" s="20">
        <f>IF(16&gt;=Inputs!$B$51,1,0)</f>
        <v>1</v>
      </c>
      <c r="R10" s="20">
        <f>IF(17&gt;=Inputs!$B$51,1,0)</f>
        <v>1</v>
      </c>
      <c r="S10" s="20">
        <f>IF(18&gt;=Inputs!$B$51,1,0)</f>
        <v>1</v>
      </c>
      <c r="T10" s="20">
        <f>IF(19&gt;=Inputs!$B$51,1,0)</f>
        <v>1</v>
      </c>
      <c r="U10" s="20">
        <f>IF(20&gt;=Inputs!$B$51,1,0)</f>
        <v>1</v>
      </c>
      <c r="V10" s="20">
        <f>IF(21&gt;=Inputs!$B$51,1,0)</f>
        <v>1</v>
      </c>
      <c r="W10" s="20">
        <f>IF(22&gt;=Inputs!$B$51,1,0)</f>
        <v>1</v>
      </c>
      <c r="X10" s="20">
        <f>IF(23&gt;=Inputs!$B$51,1,0)</f>
        <v>1</v>
      </c>
      <c r="Y10" s="20">
        <f>IF(24&gt;=Inputs!$B$51,1,0)</f>
        <v>1</v>
      </c>
      <c r="Z10" s="20">
        <f>IF(25&gt;=Inputs!$B$51,1,0)</f>
        <v>1</v>
      </c>
      <c r="AA10" s="20">
        <f>IF(26&gt;=Inputs!$B$51,1,0)</f>
        <v>1</v>
      </c>
      <c r="AB10" s="20">
        <f>IF(27&gt;=Inputs!$B$51,1,0)</f>
        <v>1</v>
      </c>
      <c r="AC10" s="20">
        <f>IF(28&gt;=Inputs!$B$51,1,0)</f>
        <v>1</v>
      </c>
      <c r="AD10" s="20">
        <f>IF(29&gt;=Inputs!$B$51,1,0)</f>
        <v>1</v>
      </c>
      <c r="AE10" s="20">
        <f>IF(30&gt;=Inputs!$B$51,1,0)</f>
        <v>1</v>
      </c>
      <c r="AF10" s="20">
        <f>IF(31&gt;=Inputs!$B$51,1,0)</f>
        <v>1</v>
      </c>
      <c r="AG10" s="20">
        <f>IF(32&gt;=Inputs!$B$51,1,0)</f>
        <v>1</v>
      </c>
      <c r="AH10" s="20">
        <f>IF(33&gt;=Inputs!$B$51,1,0)</f>
        <v>1</v>
      </c>
      <c r="AI10" s="20">
        <f>IF(34&gt;=Inputs!$B$51,1,0)</f>
        <v>1</v>
      </c>
      <c r="AJ10" s="20">
        <f>IF(35&gt;=Inputs!$B$51,1,0)</f>
        <v>1</v>
      </c>
      <c r="AK10" s="20">
        <f>IF(36&gt;=Inputs!$B$51,1,0)</f>
        <v>1</v>
      </c>
      <c r="AL10" s="20">
        <f>IF(37&gt;=Inputs!$B$51,1,0)</f>
        <v>1</v>
      </c>
      <c r="AM10" s="20">
        <f>IF(38&gt;=Inputs!$B$51,1,0)</f>
        <v>1</v>
      </c>
      <c r="AN10" s="20">
        <f>IF(39&gt;=Inputs!$B$51,1,0)</f>
        <v>1</v>
      </c>
      <c r="AO10" s="20">
        <f>IF(40&gt;=Inputs!$B$51,1,0)</f>
        <v>1</v>
      </c>
      <c r="AP10" s="20">
        <f>IF(41&gt;=Inputs!$B$51,1,0)</f>
        <v>1</v>
      </c>
      <c r="AQ10" s="20">
        <f>IF(42&gt;=Inputs!$B$51,1,0)</f>
        <v>1</v>
      </c>
      <c r="AR10" s="20">
        <f>IF(43&gt;=Inputs!$B$51,1,0)</f>
        <v>1</v>
      </c>
      <c r="AS10" s="20">
        <f>IF(44&gt;=Inputs!$B$51,1,0)</f>
        <v>1</v>
      </c>
      <c r="AT10" s="20">
        <f>IF(45&gt;=Inputs!$B$51,1,0)</f>
        <v>1</v>
      </c>
      <c r="AU10" s="20">
        <f>IF(46&gt;=Inputs!$B$51,1,0)</f>
        <v>1</v>
      </c>
      <c r="AV10" s="20">
        <f>IF(47&gt;=Inputs!$B$51,1,0)</f>
        <v>1</v>
      </c>
      <c r="AW10" s="20">
        <f>IF(48&gt;=Inputs!$B$51,1,0)</f>
        <v>1</v>
      </c>
      <c r="AX10" s="20">
        <f>IF(49&gt;=Inputs!$B$51,1,0)</f>
        <v>1</v>
      </c>
      <c r="AY10" s="20">
        <f>IF(50&gt;=Inputs!$B$51,1,0)</f>
        <v>1</v>
      </c>
      <c r="AZ10" s="20">
        <f>IF(51&gt;=Inputs!$B$51,1,0)</f>
        <v>1</v>
      </c>
      <c r="BA10" s="20">
        <f>IF(52&gt;=Inputs!$B$51,1,0)</f>
        <v>1</v>
      </c>
    </row>
    <row r="11" spans="1:53" x14ac:dyDescent="0.35">
      <c r="A11" s="3" t="s">
        <v>111</v>
      </c>
      <c r="B11" s="20">
        <f>IF(1&gt;=Inputs!$B$52,1,0)</f>
        <v>0</v>
      </c>
      <c r="C11" s="20">
        <f>IF(2&gt;=Inputs!$B$52,1,0)</f>
        <v>0</v>
      </c>
      <c r="D11" s="20">
        <f>IF(3&gt;=Inputs!$B$52,1,0)</f>
        <v>0</v>
      </c>
      <c r="E11" s="20">
        <f>IF(4&gt;=Inputs!$B$52,1,0)</f>
        <v>0</v>
      </c>
      <c r="F11" s="20">
        <f>IF(5&gt;=Inputs!$B$52,1,0)</f>
        <v>0</v>
      </c>
      <c r="G11" s="20">
        <f>IF(6&gt;=Inputs!$B$52,1,0)</f>
        <v>0</v>
      </c>
      <c r="H11" s="20">
        <f>IF(7&gt;=Inputs!$B$52,1,0)</f>
        <v>0</v>
      </c>
      <c r="I11" s="20">
        <f>IF(8&gt;=Inputs!$B$52,1,0)</f>
        <v>0</v>
      </c>
      <c r="J11" s="20">
        <f>IF(9&gt;=Inputs!$B$52,1,0)</f>
        <v>0</v>
      </c>
      <c r="K11" s="20">
        <f>IF(10&gt;=Inputs!$B$52,1,0)</f>
        <v>1</v>
      </c>
      <c r="L11" s="20">
        <f>IF(11&gt;=Inputs!$B$52,1,0)</f>
        <v>1</v>
      </c>
      <c r="M11" s="20">
        <f>IF(12&gt;=Inputs!$B$52,1,0)</f>
        <v>1</v>
      </c>
      <c r="N11" s="20">
        <f>IF(13&gt;=Inputs!$B$52,1,0)</f>
        <v>1</v>
      </c>
      <c r="O11" s="20">
        <f>IF(14&gt;=Inputs!$B$52,1,0)</f>
        <v>1</v>
      </c>
      <c r="P11" s="20">
        <f>IF(15&gt;=Inputs!$B$52,1,0)</f>
        <v>1</v>
      </c>
      <c r="Q11" s="20">
        <f>IF(16&gt;=Inputs!$B$52,1,0)</f>
        <v>1</v>
      </c>
      <c r="R11" s="20">
        <f>IF(17&gt;=Inputs!$B$52,1,0)</f>
        <v>1</v>
      </c>
      <c r="S11" s="20">
        <f>IF(18&gt;=Inputs!$B$52,1,0)</f>
        <v>1</v>
      </c>
      <c r="T11" s="20">
        <f>IF(19&gt;=Inputs!$B$52,1,0)</f>
        <v>1</v>
      </c>
      <c r="U11" s="20">
        <f>IF(20&gt;=Inputs!$B$52,1,0)</f>
        <v>1</v>
      </c>
      <c r="V11" s="20">
        <f>IF(21&gt;=Inputs!$B$52,1,0)</f>
        <v>1</v>
      </c>
      <c r="W11" s="20">
        <f>IF(22&gt;=Inputs!$B$52,1,0)</f>
        <v>1</v>
      </c>
      <c r="X11" s="20">
        <f>IF(23&gt;=Inputs!$B$52,1,0)</f>
        <v>1</v>
      </c>
      <c r="Y11" s="20">
        <f>IF(24&gt;=Inputs!$B$52,1,0)</f>
        <v>1</v>
      </c>
      <c r="Z11" s="20">
        <f>IF(25&gt;=Inputs!$B$52,1,0)</f>
        <v>1</v>
      </c>
      <c r="AA11" s="20">
        <f>IF(26&gt;=Inputs!$B$52,1,0)</f>
        <v>1</v>
      </c>
      <c r="AB11" s="20">
        <f>IF(27&gt;=Inputs!$B$52,1,0)</f>
        <v>1</v>
      </c>
      <c r="AC11" s="20">
        <f>IF(28&gt;=Inputs!$B$52,1,0)</f>
        <v>1</v>
      </c>
      <c r="AD11" s="20">
        <f>IF(29&gt;=Inputs!$B$52,1,0)</f>
        <v>1</v>
      </c>
      <c r="AE11" s="20">
        <f>IF(30&gt;=Inputs!$B$52,1,0)</f>
        <v>1</v>
      </c>
      <c r="AF11" s="20">
        <f>IF(31&gt;=Inputs!$B$52,1,0)</f>
        <v>1</v>
      </c>
      <c r="AG11" s="20">
        <f>IF(32&gt;=Inputs!$B$52,1,0)</f>
        <v>1</v>
      </c>
      <c r="AH11" s="20">
        <f>IF(33&gt;=Inputs!$B$52,1,0)</f>
        <v>1</v>
      </c>
      <c r="AI11" s="20">
        <f>IF(34&gt;=Inputs!$B$52,1,0)</f>
        <v>1</v>
      </c>
      <c r="AJ11" s="20">
        <f>IF(35&gt;=Inputs!$B$52,1,0)</f>
        <v>1</v>
      </c>
      <c r="AK11" s="20">
        <f>IF(36&gt;=Inputs!$B$52,1,0)</f>
        <v>1</v>
      </c>
      <c r="AL11" s="20">
        <f>IF(37&gt;=Inputs!$B$52,1,0)</f>
        <v>1</v>
      </c>
      <c r="AM11" s="20">
        <f>IF(38&gt;=Inputs!$B$52,1,0)</f>
        <v>1</v>
      </c>
      <c r="AN11" s="20">
        <f>IF(39&gt;=Inputs!$B$52,1,0)</f>
        <v>1</v>
      </c>
      <c r="AO11" s="20">
        <f>IF(40&gt;=Inputs!$B$52,1,0)</f>
        <v>1</v>
      </c>
      <c r="AP11" s="20">
        <f>IF(41&gt;=Inputs!$B$52,1,0)</f>
        <v>1</v>
      </c>
      <c r="AQ11" s="20">
        <f>IF(42&gt;=Inputs!$B$52,1,0)</f>
        <v>1</v>
      </c>
      <c r="AR11" s="20">
        <f>IF(43&gt;=Inputs!$B$52,1,0)</f>
        <v>1</v>
      </c>
      <c r="AS11" s="20">
        <f>IF(44&gt;=Inputs!$B$52,1,0)</f>
        <v>1</v>
      </c>
      <c r="AT11" s="20">
        <f>IF(45&gt;=Inputs!$B$52,1,0)</f>
        <v>1</v>
      </c>
      <c r="AU11" s="20">
        <f>IF(46&gt;=Inputs!$B$52,1,0)</f>
        <v>1</v>
      </c>
      <c r="AV11" s="20">
        <f>IF(47&gt;=Inputs!$B$52,1,0)</f>
        <v>1</v>
      </c>
      <c r="AW11" s="20">
        <f>IF(48&gt;=Inputs!$B$52,1,0)</f>
        <v>1</v>
      </c>
      <c r="AX11" s="20">
        <f>IF(49&gt;=Inputs!$B$52,1,0)</f>
        <v>1</v>
      </c>
      <c r="AY11" s="20">
        <f>IF(50&gt;=Inputs!$B$52,1,0)</f>
        <v>1</v>
      </c>
      <c r="AZ11" s="20">
        <f>IF(51&gt;=Inputs!$B$52,1,0)</f>
        <v>1</v>
      </c>
      <c r="BA11" s="20">
        <f>IF(52&gt;=Inputs!$B$52,1,0)</f>
        <v>1</v>
      </c>
    </row>
    <row r="12" spans="1:53" x14ac:dyDescent="0.35">
      <c r="A12" s="3" t="s">
        <v>113</v>
      </c>
      <c r="B12" s="20">
        <f>IF(1&gt;=Inputs!$B$53,1,0)</f>
        <v>0</v>
      </c>
      <c r="C12" s="20">
        <f>IF(2&gt;=Inputs!$B$53,1,0)</f>
        <v>0</v>
      </c>
      <c r="D12" s="20">
        <f>IF(3&gt;=Inputs!$B$53,1,0)</f>
        <v>0</v>
      </c>
      <c r="E12" s="20">
        <f>IF(4&gt;=Inputs!$B$53,1,0)</f>
        <v>0</v>
      </c>
      <c r="F12" s="20">
        <f>IF(5&gt;=Inputs!$B$53,1,0)</f>
        <v>0</v>
      </c>
      <c r="G12" s="20">
        <f>IF(6&gt;=Inputs!$B$53,1,0)</f>
        <v>0</v>
      </c>
      <c r="H12" s="20">
        <f>IF(7&gt;=Inputs!$B$53,1,0)</f>
        <v>0</v>
      </c>
      <c r="I12" s="20">
        <f>IF(8&gt;=Inputs!$B$53,1,0)</f>
        <v>0</v>
      </c>
      <c r="J12" s="20">
        <f>IF(9&gt;=Inputs!$B$53,1,0)</f>
        <v>0</v>
      </c>
      <c r="K12" s="20">
        <f>IF(10&gt;=Inputs!$B$53,1,0)</f>
        <v>0</v>
      </c>
      <c r="L12" s="20">
        <f>IF(11&gt;=Inputs!$B$53,1,0)</f>
        <v>0</v>
      </c>
      <c r="M12" s="20">
        <f>IF(12&gt;=Inputs!$B$53,1,0)</f>
        <v>0</v>
      </c>
      <c r="N12" s="20">
        <f>IF(13&gt;=Inputs!$B$53,1,0)</f>
        <v>0</v>
      </c>
      <c r="O12" s="20">
        <f>IF(14&gt;=Inputs!$B$53,1,0)</f>
        <v>0</v>
      </c>
      <c r="P12" s="20">
        <f>IF(15&gt;=Inputs!$B$53,1,0)</f>
        <v>0</v>
      </c>
      <c r="Q12" s="20">
        <f>IF(16&gt;=Inputs!$B$53,1,0)</f>
        <v>0</v>
      </c>
      <c r="R12" s="20">
        <f>IF(17&gt;=Inputs!$B$53,1,0)</f>
        <v>0</v>
      </c>
      <c r="S12" s="20">
        <f>IF(18&gt;=Inputs!$B$53,1,0)</f>
        <v>1</v>
      </c>
      <c r="T12" s="20">
        <f>IF(19&gt;=Inputs!$B$53,1,0)</f>
        <v>1</v>
      </c>
      <c r="U12" s="20">
        <f>IF(20&gt;=Inputs!$B$53,1,0)</f>
        <v>1</v>
      </c>
      <c r="V12" s="20">
        <f>IF(21&gt;=Inputs!$B$53,1,0)</f>
        <v>1</v>
      </c>
      <c r="W12" s="20">
        <f>IF(22&gt;=Inputs!$B$53,1,0)</f>
        <v>1</v>
      </c>
      <c r="X12" s="20">
        <f>IF(23&gt;=Inputs!$B$53,1,0)</f>
        <v>1</v>
      </c>
      <c r="Y12" s="20">
        <f>IF(24&gt;=Inputs!$B$53,1,0)</f>
        <v>1</v>
      </c>
      <c r="Z12" s="20">
        <f>IF(25&gt;=Inputs!$B$53,1,0)</f>
        <v>1</v>
      </c>
      <c r="AA12" s="20">
        <f>IF(26&gt;=Inputs!$B$53,1,0)</f>
        <v>1</v>
      </c>
      <c r="AB12" s="20">
        <f>IF(27&gt;=Inputs!$B$53,1,0)</f>
        <v>1</v>
      </c>
      <c r="AC12" s="20">
        <f>IF(28&gt;=Inputs!$B$53,1,0)</f>
        <v>1</v>
      </c>
      <c r="AD12" s="20">
        <f>IF(29&gt;=Inputs!$B$53,1,0)</f>
        <v>1</v>
      </c>
      <c r="AE12" s="20">
        <f>IF(30&gt;=Inputs!$B$53,1,0)</f>
        <v>1</v>
      </c>
      <c r="AF12" s="20">
        <f>IF(31&gt;=Inputs!$B$53,1,0)</f>
        <v>1</v>
      </c>
      <c r="AG12" s="20">
        <f>IF(32&gt;=Inputs!$B$53,1,0)</f>
        <v>1</v>
      </c>
      <c r="AH12" s="20">
        <f>IF(33&gt;=Inputs!$B$53,1,0)</f>
        <v>1</v>
      </c>
      <c r="AI12" s="20">
        <f>IF(34&gt;=Inputs!$B$53,1,0)</f>
        <v>1</v>
      </c>
      <c r="AJ12" s="20">
        <f>IF(35&gt;=Inputs!$B$53,1,0)</f>
        <v>1</v>
      </c>
      <c r="AK12" s="20">
        <f>IF(36&gt;=Inputs!$B$53,1,0)</f>
        <v>1</v>
      </c>
      <c r="AL12" s="20">
        <f>IF(37&gt;=Inputs!$B$53,1,0)</f>
        <v>1</v>
      </c>
      <c r="AM12" s="20">
        <f>IF(38&gt;=Inputs!$B$53,1,0)</f>
        <v>1</v>
      </c>
      <c r="AN12" s="20">
        <f>IF(39&gt;=Inputs!$B$53,1,0)</f>
        <v>1</v>
      </c>
      <c r="AO12" s="20">
        <f>IF(40&gt;=Inputs!$B$53,1,0)</f>
        <v>1</v>
      </c>
      <c r="AP12" s="20">
        <f>IF(41&gt;=Inputs!$B$53,1,0)</f>
        <v>1</v>
      </c>
      <c r="AQ12" s="20">
        <f>IF(42&gt;=Inputs!$B$53,1,0)</f>
        <v>1</v>
      </c>
      <c r="AR12" s="20">
        <f>IF(43&gt;=Inputs!$B$53,1,0)</f>
        <v>1</v>
      </c>
      <c r="AS12" s="20">
        <f>IF(44&gt;=Inputs!$B$53,1,0)</f>
        <v>1</v>
      </c>
      <c r="AT12" s="20">
        <f>IF(45&gt;=Inputs!$B$53,1,0)</f>
        <v>1</v>
      </c>
      <c r="AU12" s="20">
        <f>IF(46&gt;=Inputs!$B$53,1,0)</f>
        <v>1</v>
      </c>
      <c r="AV12" s="20">
        <f>IF(47&gt;=Inputs!$B$53,1,0)</f>
        <v>1</v>
      </c>
      <c r="AW12" s="20">
        <f>IF(48&gt;=Inputs!$B$53,1,0)</f>
        <v>1</v>
      </c>
      <c r="AX12" s="20">
        <f>IF(49&gt;=Inputs!$B$53,1,0)</f>
        <v>1</v>
      </c>
      <c r="AY12" s="20">
        <f>IF(50&gt;=Inputs!$B$53,1,0)</f>
        <v>1</v>
      </c>
      <c r="AZ12" s="20">
        <f>IF(51&gt;=Inputs!$B$53,1,0)</f>
        <v>1</v>
      </c>
      <c r="BA12" s="20">
        <f>IF(52&gt;=Inputs!$B$53,1,0)</f>
        <v>1</v>
      </c>
    </row>
    <row r="13" spans="1:53" x14ac:dyDescent="0.35">
      <c r="A13" s="3" t="s">
        <v>115</v>
      </c>
      <c r="B13" s="20">
        <f>IF(1&gt;=Inputs!$B$54,1,0)</f>
        <v>0</v>
      </c>
      <c r="C13" s="20">
        <f>IF(2&gt;=Inputs!$B$54,1,0)</f>
        <v>0</v>
      </c>
      <c r="D13" s="20">
        <f>IF(3&gt;=Inputs!$B$54,1,0)</f>
        <v>0</v>
      </c>
      <c r="E13" s="20">
        <f>IF(4&gt;=Inputs!$B$54,1,0)</f>
        <v>0</v>
      </c>
      <c r="F13" s="20">
        <f>IF(5&gt;=Inputs!$B$54,1,0)</f>
        <v>0</v>
      </c>
      <c r="G13" s="20">
        <f>IF(6&gt;=Inputs!$B$54,1,0)</f>
        <v>0</v>
      </c>
      <c r="H13" s="20">
        <f>IF(7&gt;=Inputs!$B$54,1,0)</f>
        <v>0</v>
      </c>
      <c r="I13" s="20">
        <f>IF(8&gt;=Inputs!$B$54,1,0)</f>
        <v>0</v>
      </c>
      <c r="J13" s="20">
        <f>IF(9&gt;=Inputs!$B$54,1,0)</f>
        <v>0</v>
      </c>
      <c r="K13" s="20">
        <f>IF(10&gt;=Inputs!$B$54,1,0)</f>
        <v>0</v>
      </c>
      <c r="L13" s="20">
        <f>IF(11&gt;=Inputs!$B$54,1,0)</f>
        <v>0</v>
      </c>
      <c r="M13" s="20">
        <f>IF(12&gt;=Inputs!$B$54,1,0)</f>
        <v>1</v>
      </c>
      <c r="N13" s="20">
        <f>IF(13&gt;=Inputs!$B$54,1,0)</f>
        <v>1</v>
      </c>
      <c r="O13" s="20">
        <f>IF(14&gt;=Inputs!$B$54,1,0)</f>
        <v>1</v>
      </c>
      <c r="P13" s="20">
        <f>IF(15&gt;=Inputs!$B$54,1,0)</f>
        <v>1</v>
      </c>
      <c r="Q13" s="20">
        <f>IF(16&gt;=Inputs!$B$54,1,0)</f>
        <v>1</v>
      </c>
      <c r="R13" s="20">
        <f>IF(17&gt;=Inputs!$B$54,1,0)</f>
        <v>1</v>
      </c>
      <c r="S13" s="20">
        <f>IF(18&gt;=Inputs!$B$54,1,0)</f>
        <v>1</v>
      </c>
      <c r="T13" s="20">
        <f>IF(19&gt;=Inputs!$B$54,1,0)</f>
        <v>1</v>
      </c>
      <c r="U13" s="20">
        <f>IF(20&gt;=Inputs!$B$54,1,0)</f>
        <v>1</v>
      </c>
      <c r="V13" s="20">
        <f>IF(21&gt;=Inputs!$B$54,1,0)</f>
        <v>1</v>
      </c>
      <c r="W13" s="20">
        <f>IF(22&gt;=Inputs!$B$54,1,0)</f>
        <v>1</v>
      </c>
      <c r="X13" s="20">
        <f>IF(23&gt;=Inputs!$B$54,1,0)</f>
        <v>1</v>
      </c>
      <c r="Y13" s="20">
        <f>IF(24&gt;=Inputs!$B$54,1,0)</f>
        <v>1</v>
      </c>
      <c r="Z13" s="20">
        <f>IF(25&gt;=Inputs!$B$54,1,0)</f>
        <v>1</v>
      </c>
      <c r="AA13" s="20">
        <f>IF(26&gt;=Inputs!$B$54,1,0)</f>
        <v>1</v>
      </c>
      <c r="AB13" s="20">
        <f>IF(27&gt;=Inputs!$B$54,1,0)</f>
        <v>1</v>
      </c>
      <c r="AC13" s="20">
        <f>IF(28&gt;=Inputs!$B$54,1,0)</f>
        <v>1</v>
      </c>
      <c r="AD13" s="20">
        <f>IF(29&gt;=Inputs!$B$54,1,0)</f>
        <v>1</v>
      </c>
      <c r="AE13" s="20">
        <f>IF(30&gt;=Inputs!$B$54,1,0)</f>
        <v>1</v>
      </c>
      <c r="AF13" s="20">
        <f>IF(31&gt;=Inputs!$B$54,1,0)</f>
        <v>1</v>
      </c>
      <c r="AG13" s="20">
        <f>IF(32&gt;=Inputs!$B$54,1,0)</f>
        <v>1</v>
      </c>
      <c r="AH13" s="20">
        <f>IF(33&gt;=Inputs!$B$54,1,0)</f>
        <v>1</v>
      </c>
      <c r="AI13" s="20">
        <f>IF(34&gt;=Inputs!$B$54,1,0)</f>
        <v>1</v>
      </c>
      <c r="AJ13" s="20">
        <f>IF(35&gt;=Inputs!$B$54,1,0)</f>
        <v>1</v>
      </c>
      <c r="AK13" s="20">
        <f>IF(36&gt;=Inputs!$B$54,1,0)</f>
        <v>1</v>
      </c>
      <c r="AL13" s="20">
        <f>IF(37&gt;=Inputs!$B$54,1,0)</f>
        <v>1</v>
      </c>
      <c r="AM13" s="20">
        <f>IF(38&gt;=Inputs!$B$54,1,0)</f>
        <v>1</v>
      </c>
      <c r="AN13" s="20">
        <f>IF(39&gt;=Inputs!$B$54,1,0)</f>
        <v>1</v>
      </c>
      <c r="AO13" s="20">
        <f>IF(40&gt;=Inputs!$B$54,1,0)</f>
        <v>1</v>
      </c>
      <c r="AP13" s="20">
        <f>IF(41&gt;=Inputs!$B$54,1,0)</f>
        <v>1</v>
      </c>
      <c r="AQ13" s="20">
        <f>IF(42&gt;=Inputs!$B$54,1,0)</f>
        <v>1</v>
      </c>
      <c r="AR13" s="20">
        <f>IF(43&gt;=Inputs!$B$54,1,0)</f>
        <v>1</v>
      </c>
      <c r="AS13" s="20">
        <f>IF(44&gt;=Inputs!$B$54,1,0)</f>
        <v>1</v>
      </c>
      <c r="AT13" s="20">
        <f>IF(45&gt;=Inputs!$B$54,1,0)</f>
        <v>1</v>
      </c>
      <c r="AU13" s="20">
        <f>IF(46&gt;=Inputs!$B$54,1,0)</f>
        <v>1</v>
      </c>
      <c r="AV13" s="20">
        <f>IF(47&gt;=Inputs!$B$54,1,0)</f>
        <v>1</v>
      </c>
      <c r="AW13" s="20">
        <f>IF(48&gt;=Inputs!$B$54,1,0)</f>
        <v>1</v>
      </c>
      <c r="AX13" s="20">
        <f>IF(49&gt;=Inputs!$B$54,1,0)</f>
        <v>1</v>
      </c>
      <c r="AY13" s="20">
        <f>IF(50&gt;=Inputs!$B$54,1,0)</f>
        <v>1</v>
      </c>
      <c r="AZ13" s="20">
        <f>IF(51&gt;=Inputs!$B$54,1,0)</f>
        <v>1</v>
      </c>
      <c r="BA13" s="20">
        <f>IF(52&gt;=Inputs!$B$54,1,0)</f>
        <v>1</v>
      </c>
    </row>
    <row r="14" spans="1:53" x14ac:dyDescent="0.35">
      <c r="A14" s="3" t="s">
        <v>117</v>
      </c>
      <c r="B14" s="20">
        <f>IF(1&gt;=Inputs!$B$55,1,0)</f>
        <v>0</v>
      </c>
      <c r="C14" s="20">
        <f>IF(2&gt;=Inputs!$B$55,1,0)</f>
        <v>0</v>
      </c>
      <c r="D14" s="20">
        <f>IF(3&gt;=Inputs!$B$55,1,0)</f>
        <v>0</v>
      </c>
      <c r="E14" s="20">
        <f>IF(4&gt;=Inputs!$B$55,1,0)</f>
        <v>0</v>
      </c>
      <c r="F14" s="20">
        <f>IF(5&gt;=Inputs!$B$55,1,0)</f>
        <v>0</v>
      </c>
      <c r="G14" s="20">
        <f>IF(6&gt;=Inputs!$B$55,1,0)</f>
        <v>0</v>
      </c>
      <c r="H14" s="20">
        <f>IF(7&gt;=Inputs!$B$55,1,0)</f>
        <v>0</v>
      </c>
      <c r="I14" s="20">
        <f>IF(8&gt;=Inputs!$B$55,1,0)</f>
        <v>0</v>
      </c>
      <c r="J14" s="20">
        <f>IF(9&gt;=Inputs!$B$55,1,0)</f>
        <v>0</v>
      </c>
      <c r="K14" s="20">
        <f>IF(10&gt;=Inputs!$B$55,1,0)</f>
        <v>0</v>
      </c>
      <c r="L14" s="20">
        <f>IF(11&gt;=Inputs!$B$55,1,0)</f>
        <v>1</v>
      </c>
      <c r="M14" s="20">
        <f>IF(12&gt;=Inputs!$B$55,1,0)</f>
        <v>1</v>
      </c>
      <c r="N14" s="20">
        <f>IF(13&gt;=Inputs!$B$55,1,0)</f>
        <v>1</v>
      </c>
      <c r="O14" s="20">
        <f>IF(14&gt;=Inputs!$B$55,1,0)</f>
        <v>1</v>
      </c>
      <c r="P14" s="20">
        <f>IF(15&gt;=Inputs!$B$55,1,0)</f>
        <v>1</v>
      </c>
      <c r="Q14" s="20">
        <f>IF(16&gt;=Inputs!$B$55,1,0)</f>
        <v>1</v>
      </c>
      <c r="R14" s="20">
        <f>IF(17&gt;=Inputs!$B$55,1,0)</f>
        <v>1</v>
      </c>
      <c r="S14" s="20">
        <f>IF(18&gt;=Inputs!$B$55,1,0)</f>
        <v>1</v>
      </c>
      <c r="T14" s="20">
        <f>IF(19&gt;=Inputs!$B$55,1,0)</f>
        <v>1</v>
      </c>
      <c r="U14" s="20">
        <f>IF(20&gt;=Inputs!$B$55,1,0)</f>
        <v>1</v>
      </c>
      <c r="V14" s="20">
        <f>IF(21&gt;=Inputs!$B$55,1,0)</f>
        <v>1</v>
      </c>
      <c r="W14" s="20">
        <f>IF(22&gt;=Inputs!$B$55,1,0)</f>
        <v>1</v>
      </c>
      <c r="X14" s="20">
        <f>IF(23&gt;=Inputs!$B$55,1,0)</f>
        <v>1</v>
      </c>
      <c r="Y14" s="20">
        <f>IF(24&gt;=Inputs!$B$55,1,0)</f>
        <v>1</v>
      </c>
      <c r="Z14" s="20">
        <f>IF(25&gt;=Inputs!$B$55,1,0)</f>
        <v>1</v>
      </c>
      <c r="AA14" s="20">
        <f>IF(26&gt;=Inputs!$B$55,1,0)</f>
        <v>1</v>
      </c>
      <c r="AB14" s="20">
        <f>IF(27&gt;=Inputs!$B$55,1,0)</f>
        <v>1</v>
      </c>
      <c r="AC14" s="20">
        <f>IF(28&gt;=Inputs!$B$55,1,0)</f>
        <v>1</v>
      </c>
      <c r="AD14" s="20">
        <f>IF(29&gt;=Inputs!$B$55,1,0)</f>
        <v>1</v>
      </c>
      <c r="AE14" s="20">
        <f>IF(30&gt;=Inputs!$B$55,1,0)</f>
        <v>1</v>
      </c>
      <c r="AF14" s="20">
        <f>IF(31&gt;=Inputs!$B$55,1,0)</f>
        <v>1</v>
      </c>
      <c r="AG14" s="20">
        <f>IF(32&gt;=Inputs!$B$55,1,0)</f>
        <v>1</v>
      </c>
      <c r="AH14" s="20">
        <f>IF(33&gt;=Inputs!$B$55,1,0)</f>
        <v>1</v>
      </c>
      <c r="AI14" s="20">
        <f>IF(34&gt;=Inputs!$B$55,1,0)</f>
        <v>1</v>
      </c>
      <c r="AJ14" s="20">
        <f>IF(35&gt;=Inputs!$B$55,1,0)</f>
        <v>1</v>
      </c>
      <c r="AK14" s="20">
        <f>IF(36&gt;=Inputs!$B$55,1,0)</f>
        <v>1</v>
      </c>
      <c r="AL14" s="20">
        <f>IF(37&gt;=Inputs!$B$55,1,0)</f>
        <v>1</v>
      </c>
      <c r="AM14" s="20">
        <f>IF(38&gt;=Inputs!$B$55,1,0)</f>
        <v>1</v>
      </c>
      <c r="AN14" s="20">
        <f>IF(39&gt;=Inputs!$B$55,1,0)</f>
        <v>1</v>
      </c>
      <c r="AO14" s="20">
        <f>IF(40&gt;=Inputs!$B$55,1,0)</f>
        <v>1</v>
      </c>
      <c r="AP14" s="20">
        <f>IF(41&gt;=Inputs!$B$55,1,0)</f>
        <v>1</v>
      </c>
      <c r="AQ14" s="20">
        <f>IF(42&gt;=Inputs!$B$55,1,0)</f>
        <v>1</v>
      </c>
      <c r="AR14" s="20">
        <f>IF(43&gt;=Inputs!$B$55,1,0)</f>
        <v>1</v>
      </c>
      <c r="AS14" s="20">
        <f>IF(44&gt;=Inputs!$B$55,1,0)</f>
        <v>1</v>
      </c>
      <c r="AT14" s="20">
        <f>IF(45&gt;=Inputs!$B$55,1,0)</f>
        <v>1</v>
      </c>
      <c r="AU14" s="20">
        <f>IF(46&gt;=Inputs!$B$55,1,0)</f>
        <v>1</v>
      </c>
      <c r="AV14" s="20">
        <f>IF(47&gt;=Inputs!$B$55,1,0)</f>
        <v>1</v>
      </c>
      <c r="AW14" s="20">
        <f>IF(48&gt;=Inputs!$B$55,1,0)</f>
        <v>1</v>
      </c>
      <c r="AX14" s="20">
        <f>IF(49&gt;=Inputs!$B$55,1,0)</f>
        <v>1</v>
      </c>
      <c r="AY14" s="20">
        <f>IF(50&gt;=Inputs!$B$55,1,0)</f>
        <v>1</v>
      </c>
      <c r="AZ14" s="20">
        <f>IF(51&gt;=Inputs!$B$55,1,0)</f>
        <v>1</v>
      </c>
      <c r="BA14" s="20">
        <f>IF(52&gt;=Inputs!$B$55,1,0)</f>
        <v>1</v>
      </c>
    </row>
    <row r="15" spans="1:53" x14ac:dyDescent="0.35">
      <c r="A15" s="3" t="s">
        <v>119</v>
      </c>
      <c r="B15" s="20">
        <f>IF(1&gt;=Inputs!$B$56,1,0)</f>
        <v>0</v>
      </c>
      <c r="C15" s="20">
        <f>IF(2&gt;=Inputs!$B$56,1,0)</f>
        <v>0</v>
      </c>
      <c r="D15" s="20">
        <f>IF(3&gt;=Inputs!$B$56,1,0)</f>
        <v>0</v>
      </c>
      <c r="E15" s="20">
        <f>IF(4&gt;=Inputs!$B$56,1,0)</f>
        <v>0</v>
      </c>
      <c r="F15" s="20">
        <f>IF(5&gt;=Inputs!$B$56,1,0)</f>
        <v>0</v>
      </c>
      <c r="G15" s="20">
        <f>IF(6&gt;=Inputs!$B$56,1,0)</f>
        <v>0</v>
      </c>
      <c r="H15" s="20">
        <f>IF(7&gt;=Inputs!$B$56,1,0)</f>
        <v>0</v>
      </c>
      <c r="I15" s="20">
        <f>IF(8&gt;=Inputs!$B$56,1,0)</f>
        <v>0</v>
      </c>
      <c r="J15" s="20">
        <f>IF(9&gt;=Inputs!$B$56,1,0)</f>
        <v>0</v>
      </c>
      <c r="K15" s="20">
        <f>IF(10&gt;=Inputs!$B$56,1,0)</f>
        <v>0</v>
      </c>
      <c r="L15" s="20">
        <f>IF(11&gt;=Inputs!$B$56,1,0)</f>
        <v>0</v>
      </c>
      <c r="M15" s="20">
        <f>IF(12&gt;=Inputs!$B$56,1,0)</f>
        <v>0</v>
      </c>
      <c r="N15" s="20">
        <f>IF(13&gt;=Inputs!$B$56,1,0)</f>
        <v>1</v>
      </c>
      <c r="O15" s="20">
        <f>IF(14&gt;=Inputs!$B$56,1,0)</f>
        <v>1</v>
      </c>
      <c r="P15" s="20">
        <f>IF(15&gt;=Inputs!$B$56,1,0)</f>
        <v>1</v>
      </c>
      <c r="Q15" s="20">
        <f>IF(16&gt;=Inputs!$B$56,1,0)</f>
        <v>1</v>
      </c>
      <c r="R15" s="20">
        <f>IF(17&gt;=Inputs!$B$56,1,0)</f>
        <v>1</v>
      </c>
      <c r="S15" s="20">
        <f>IF(18&gt;=Inputs!$B$56,1,0)</f>
        <v>1</v>
      </c>
      <c r="T15" s="20">
        <f>IF(19&gt;=Inputs!$B$56,1,0)</f>
        <v>1</v>
      </c>
      <c r="U15" s="20">
        <f>IF(20&gt;=Inputs!$B$56,1,0)</f>
        <v>1</v>
      </c>
      <c r="V15" s="20">
        <f>IF(21&gt;=Inputs!$B$56,1,0)</f>
        <v>1</v>
      </c>
      <c r="W15" s="20">
        <f>IF(22&gt;=Inputs!$B$56,1,0)</f>
        <v>1</v>
      </c>
      <c r="X15" s="20">
        <f>IF(23&gt;=Inputs!$B$56,1,0)</f>
        <v>1</v>
      </c>
      <c r="Y15" s="20">
        <f>IF(24&gt;=Inputs!$B$56,1,0)</f>
        <v>1</v>
      </c>
      <c r="Z15" s="20">
        <f>IF(25&gt;=Inputs!$B$56,1,0)</f>
        <v>1</v>
      </c>
      <c r="AA15" s="20">
        <f>IF(26&gt;=Inputs!$B$56,1,0)</f>
        <v>1</v>
      </c>
      <c r="AB15" s="20">
        <f>IF(27&gt;=Inputs!$B$56,1,0)</f>
        <v>1</v>
      </c>
      <c r="AC15" s="20">
        <f>IF(28&gt;=Inputs!$B$56,1,0)</f>
        <v>1</v>
      </c>
      <c r="AD15" s="20">
        <f>IF(29&gt;=Inputs!$B$56,1,0)</f>
        <v>1</v>
      </c>
      <c r="AE15" s="20">
        <f>IF(30&gt;=Inputs!$B$56,1,0)</f>
        <v>1</v>
      </c>
      <c r="AF15" s="20">
        <f>IF(31&gt;=Inputs!$B$56,1,0)</f>
        <v>1</v>
      </c>
      <c r="AG15" s="20">
        <f>IF(32&gt;=Inputs!$B$56,1,0)</f>
        <v>1</v>
      </c>
      <c r="AH15" s="20">
        <f>IF(33&gt;=Inputs!$B$56,1,0)</f>
        <v>1</v>
      </c>
      <c r="AI15" s="20">
        <f>IF(34&gt;=Inputs!$B$56,1,0)</f>
        <v>1</v>
      </c>
      <c r="AJ15" s="20">
        <f>IF(35&gt;=Inputs!$B$56,1,0)</f>
        <v>1</v>
      </c>
      <c r="AK15" s="20">
        <f>IF(36&gt;=Inputs!$B$56,1,0)</f>
        <v>1</v>
      </c>
      <c r="AL15" s="20">
        <f>IF(37&gt;=Inputs!$B$56,1,0)</f>
        <v>1</v>
      </c>
      <c r="AM15" s="20">
        <f>IF(38&gt;=Inputs!$B$56,1,0)</f>
        <v>1</v>
      </c>
      <c r="AN15" s="20">
        <f>IF(39&gt;=Inputs!$B$56,1,0)</f>
        <v>1</v>
      </c>
      <c r="AO15" s="20">
        <f>IF(40&gt;=Inputs!$B$56,1,0)</f>
        <v>1</v>
      </c>
      <c r="AP15" s="20">
        <f>IF(41&gt;=Inputs!$B$56,1,0)</f>
        <v>1</v>
      </c>
      <c r="AQ15" s="20">
        <f>IF(42&gt;=Inputs!$B$56,1,0)</f>
        <v>1</v>
      </c>
      <c r="AR15" s="20">
        <f>IF(43&gt;=Inputs!$B$56,1,0)</f>
        <v>1</v>
      </c>
      <c r="AS15" s="20">
        <f>IF(44&gt;=Inputs!$B$56,1,0)</f>
        <v>1</v>
      </c>
      <c r="AT15" s="20">
        <f>IF(45&gt;=Inputs!$B$56,1,0)</f>
        <v>1</v>
      </c>
      <c r="AU15" s="20">
        <f>IF(46&gt;=Inputs!$B$56,1,0)</f>
        <v>1</v>
      </c>
      <c r="AV15" s="20">
        <f>IF(47&gt;=Inputs!$B$56,1,0)</f>
        <v>1</v>
      </c>
      <c r="AW15" s="20">
        <f>IF(48&gt;=Inputs!$B$56,1,0)</f>
        <v>1</v>
      </c>
      <c r="AX15" s="20">
        <f>IF(49&gt;=Inputs!$B$56,1,0)</f>
        <v>1</v>
      </c>
      <c r="AY15" s="20">
        <f>IF(50&gt;=Inputs!$B$56,1,0)</f>
        <v>1</v>
      </c>
      <c r="AZ15" s="20">
        <f>IF(51&gt;=Inputs!$B$56,1,0)</f>
        <v>1</v>
      </c>
      <c r="BA15" s="20">
        <f>IF(52&gt;=Inputs!$B$56,1,0)</f>
        <v>1</v>
      </c>
    </row>
    <row r="16" spans="1:53" x14ac:dyDescent="0.35">
      <c r="A16" s="3" t="s">
        <v>121</v>
      </c>
      <c r="B16" s="20">
        <f>IF(1&gt;=Inputs!$B$57,1,0)</f>
        <v>0</v>
      </c>
      <c r="C16" s="20">
        <f>IF(2&gt;=Inputs!$B$57,1,0)</f>
        <v>0</v>
      </c>
      <c r="D16" s="20">
        <f>IF(3&gt;=Inputs!$B$57,1,0)</f>
        <v>0</v>
      </c>
      <c r="E16" s="20">
        <f>IF(4&gt;=Inputs!$B$57,1,0)</f>
        <v>0</v>
      </c>
      <c r="F16" s="20">
        <f>IF(5&gt;=Inputs!$B$57,1,0)</f>
        <v>0</v>
      </c>
      <c r="G16" s="20">
        <f>IF(6&gt;=Inputs!$B$57,1,0)</f>
        <v>0</v>
      </c>
      <c r="H16" s="20">
        <f>IF(7&gt;=Inputs!$B$57,1,0)</f>
        <v>0</v>
      </c>
      <c r="I16" s="20">
        <f>IF(8&gt;=Inputs!$B$57,1,0)</f>
        <v>0</v>
      </c>
      <c r="J16" s="20">
        <f>IF(9&gt;=Inputs!$B$57,1,0)</f>
        <v>0</v>
      </c>
      <c r="K16" s="20">
        <f>IF(10&gt;=Inputs!$B$57,1,0)</f>
        <v>0</v>
      </c>
      <c r="L16" s="20">
        <f>IF(11&gt;=Inputs!$B$57,1,0)</f>
        <v>0</v>
      </c>
      <c r="M16" s="20">
        <f>IF(12&gt;=Inputs!$B$57,1,0)</f>
        <v>0</v>
      </c>
      <c r="N16" s="20">
        <f>IF(13&gt;=Inputs!$B$57,1,0)</f>
        <v>0</v>
      </c>
      <c r="O16" s="20">
        <f>IF(14&gt;=Inputs!$B$57,1,0)</f>
        <v>1</v>
      </c>
      <c r="P16" s="20">
        <f>IF(15&gt;=Inputs!$B$57,1,0)</f>
        <v>1</v>
      </c>
      <c r="Q16" s="20">
        <f>IF(16&gt;=Inputs!$B$57,1,0)</f>
        <v>1</v>
      </c>
      <c r="R16" s="20">
        <f>IF(17&gt;=Inputs!$B$57,1,0)</f>
        <v>1</v>
      </c>
      <c r="S16" s="20">
        <f>IF(18&gt;=Inputs!$B$57,1,0)</f>
        <v>1</v>
      </c>
      <c r="T16" s="20">
        <f>IF(19&gt;=Inputs!$B$57,1,0)</f>
        <v>1</v>
      </c>
      <c r="U16" s="20">
        <f>IF(20&gt;=Inputs!$B$57,1,0)</f>
        <v>1</v>
      </c>
      <c r="V16" s="20">
        <f>IF(21&gt;=Inputs!$B$57,1,0)</f>
        <v>1</v>
      </c>
      <c r="W16" s="20">
        <f>IF(22&gt;=Inputs!$B$57,1,0)</f>
        <v>1</v>
      </c>
      <c r="X16" s="20">
        <f>IF(23&gt;=Inputs!$B$57,1,0)</f>
        <v>1</v>
      </c>
      <c r="Y16" s="20">
        <f>IF(24&gt;=Inputs!$B$57,1,0)</f>
        <v>1</v>
      </c>
      <c r="Z16" s="20">
        <f>IF(25&gt;=Inputs!$B$57,1,0)</f>
        <v>1</v>
      </c>
      <c r="AA16" s="20">
        <f>IF(26&gt;=Inputs!$B$57,1,0)</f>
        <v>1</v>
      </c>
      <c r="AB16" s="20">
        <f>IF(27&gt;=Inputs!$B$57,1,0)</f>
        <v>1</v>
      </c>
      <c r="AC16" s="20">
        <f>IF(28&gt;=Inputs!$B$57,1,0)</f>
        <v>1</v>
      </c>
      <c r="AD16" s="20">
        <f>IF(29&gt;=Inputs!$B$57,1,0)</f>
        <v>1</v>
      </c>
      <c r="AE16" s="20">
        <f>IF(30&gt;=Inputs!$B$57,1,0)</f>
        <v>1</v>
      </c>
      <c r="AF16" s="20">
        <f>IF(31&gt;=Inputs!$B$57,1,0)</f>
        <v>1</v>
      </c>
      <c r="AG16" s="20">
        <f>IF(32&gt;=Inputs!$B$57,1,0)</f>
        <v>1</v>
      </c>
      <c r="AH16" s="20">
        <f>IF(33&gt;=Inputs!$B$57,1,0)</f>
        <v>1</v>
      </c>
      <c r="AI16" s="20">
        <f>IF(34&gt;=Inputs!$B$57,1,0)</f>
        <v>1</v>
      </c>
      <c r="AJ16" s="20">
        <f>IF(35&gt;=Inputs!$B$57,1,0)</f>
        <v>1</v>
      </c>
      <c r="AK16" s="20">
        <f>IF(36&gt;=Inputs!$B$57,1,0)</f>
        <v>1</v>
      </c>
      <c r="AL16" s="20">
        <f>IF(37&gt;=Inputs!$B$57,1,0)</f>
        <v>1</v>
      </c>
      <c r="AM16" s="20">
        <f>IF(38&gt;=Inputs!$B$57,1,0)</f>
        <v>1</v>
      </c>
      <c r="AN16" s="20">
        <f>IF(39&gt;=Inputs!$B$57,1,0)</f>
        <v>1</v>
      </c>
      <c r="AO16" s="20">
        <f>IF(40&gt;=Inputs!$B$57,1,0)</f>
        <v>1</v>
      </c>
      <c r="AP16" s="20">
        <f>IF(41&gt;=Inputs!$B$57,1,0)</f>
        <v>1</v>
      </c>
      <c r="AQ16" s="20">
        <f>IF(42&gt;=Inputs!$B$57,1,0)</f>
        <v>1</v>
      </c>
      <c r="AR16" s="20">
        <f>IF(43&gt;=Inputs!$B$57,1,0)</f>
        <v>1</v>
      </c>
      <c r="AS16" s="20">
        <f>IF(44&gt;=Inputs!$B$57,1,0)</f>
        <v>1</v>
      </c>
      <c r="AT16" s="20">
        <f>IF(45&gt;=Inputs!$B$57,1,0)</f>
        <v>1</v>
      </c>
      <c r="AU16" s="20">
        <f>IF(46&gt;=Inputs!$B$57,1,0)</f>
        <v>1</v>
      </c>
      <c r="AV16" s="20">
        <f>IF(47&gt;=Inputs!$B$57,1,0)</f>
        <v>1</v>
      </c>
      <c r="AW16" s="20">
        <f>IF(48&gt;=Inputs!$B$57,1,0)</f>
        <v>1</v>
      </c>
      <c r="AX16" s="20">
        <f>IF(49&gt;=Inputs!$B$57,1,0)</f>
        <v>1</v>
      </c>
      <c r="AY16" s="20">
        <f>IF(50&gt;=Inputs!$B$57,1,0)</f>
        <v>1</v>
      </c>
      <c r="AZ16" s="20">
        <f>IF(51&gt;=Inputs!$B$57,1,0)</f>
        <v>1</v>
      </c>
      <c r="BA16" s="20">
        <f>IF(52&gt;=Inputs!$B$57,1,0)</f>
        <v>1</v>
      </c>
    </row>
    <row r="17" spans="1:53" x14ac:dyDescent="0.35">
      <c r="A17" s="3" t="s">
        <v>123</v>
      </c>
      <c r="B17" s="20">
        <f>IF(1&gt;=Inputs!$B$58,1,0)</f>
        <v>0</v>
      </c>
      <c r="C17" s="20">
        <f>IF(2&gt;=Inputs!$B$58,1,0)</f>
        <v>0</v>
      </c>
      <c r="D17" s="20">
        <f>IF(3&gt;=Inputs!$B$58,1,0)</f>
        <v>0</v>
      </c>
      <c r="E17" s="20">
        <f>IF(4&gt;=Inputs!$B$58,1,0)</f>
        <v>0</v>
      </c>
      <c r="F17" s="20">
        <f>IF(5&gt;=Inputs!$B$58,1,0)</f>
        <v>0</v>
      </c>
      <c r="G17" s="20">
        <f>IF(6&gt;=Inputs!$B$58,1,0)</f>
        <v>0</v>
      </c>
      <c r="H17" s="20">
        <f>IF(7&gt;=Inputs!$B$58,1,0)</f>
        <v>0</v>
      </c>
      <c r="I17" s="20">
        <f>IF(8&gt;=Inputs!$B$58,1,0)</f>
        <v>0</v>
      </c>
      <c r="J17" s="20">
        <f>IF(9&gt;=Inputs!$B$58,1,0)</f>
        <v>0</v>
      </c>
      <c r="K17" s="20">
        <f>IF(10&gt;=Inputs!$B$58,1,0)</f>
        <v>0</v>
      </c>
      <c r="L17" s="20">
        <f>IF(11&gt;=Inputs!$B$58,1,0)</f>
        <v>0</v>
      </c>
      <c r="M17" s="20">
        <f>IF(12&gt;=Inputs!$B$58,1,0)</f>
        <v>0</v>
      </c>
      <c r="N17" s="20">
        <f>IF(13&gt;=Inputs!$B$58,1,0)</f>
        <v>0</v>
      </c>
      <c r="O17" s="20">
        <f>IF(14&gt;=Inputs!$B$58,1,0)</f>
        <v>0</v>
      </c>
      <c r="P17" s="20">
        <f>IF(15&gt;=Inputs!$B$58,1,0)</f>
        <v>0</v>
      </c>
      <c r="Q17" s="20">
        <f>IF(16&gt;=Inputs!$B$58,1,0)</f>
        <v>0</v>
      </c>
      <c r="R17" s="20">
        <f>IF(17&gt;=Inputs!$B$58,1,0)</f>
        <v>0</v>
      </c>
      <c r="S17" s="20">
        <f>IF(18&gt;=Inputs!$B$58,1,0)</f>
        <v>1</v>
      </c>
      <c r="T17" s="20">
        <f>IF(19&gt;=Inputs!$B$58,1,0)</f>
        <v>1</v>
      </c>
      <c r="U17" s="20">
        <f>IF(20&gt;=Inputs!$B$58,1,0)</f>
        <v>1</v>
      </c>
      <c r="V17" s="20">
        <f>IF(21&gt;=Inputs!$B$58,1,0)</f>
        <v>1</v>
      </c>
      <c r="W17" s="20">
        <f>IF(22&gt;=Inputs!$B$58,1,0)</f>
        <v>1</v>
      </c>
      <c r="X17" s="20">
        <f>IF(23&gt;=Inputs!$B$58,1,0)</f>
        <v>1</v>
      </c>
      <c r="Y17" s="20">
        <f>IF(24&gt;=Inputs!$B$58,1,0)</f>
        <v>1</v>
      </c>
      <c r="Z17" s="20">
        <f>IF(25&gt;=Inputs!$B$58,1,0)</f>
        <v>1</v>
      </c>
      <c r="AA17" s="20">
        <f>IF(26&gt;=Inputs!$B$58,1,0)</f>
        <v>1</v>
      </c>
      <c r="AB17" s="20">
        <f>IF(27&gt;=Inputs!$B$58,1,0)</f>
        <v>1</v>
      </c>
      <c r="AC17" s="20">
        <f>IF(28&gt;=Inputs!$B$58,1,0)</f>
        <v>1</v>
      </c>
      <c r="AD17" s="20">
        <f>IF(29&gt;=Inputs!$B$58,1,0)</f>
        <v>1</v>
      </c>
      <c r="AE17" s="20">
        <f>IF(30&gt;=Inputs!$B$58,1,0)</f>
        <v>1</v>
      </c>
      <c r="AF17" s="20">
        <f>IF(31&gt;=Inputs!$B$58,1,0)</f>
        <v>1</v>
      </c>
      <c r="AG17" s="20">
        <f>IF(32&gt;=Inputs!$B$58,1,0)</f>
        <v>1</v>
      </c>
      <c r="AH17" s="20">
        <f>IF(33&gt;=Inputs!$B$58,1,0)</f>
        <v>1</v>
      </c>
      <c r="AI17" s="20">
        <f>IF(34&gt;=Inputs!$B$58,1,0)</f>
        <v>1</v>
      </c>
      <c r="AJ17" s="20">
        <f>IF(35&gt;=Inputs!$B$58,1,0)</f>
        <v>1</v>
      </c>
      <c r="AK17" s="20">
        <f>IF(36&gt;=Inputs!$B$58,1,0)</f>
        <v>1</v>
      </c>
      <c r="AL17" s="20">
        <f>IF(37&gt;=Inputs!$B$58,1,0)</f>
        <v>1</v>
      </c>
      <c r="AM17" s="20">
        <f>IF(38&gt;=Inputs!$B$58,1,0)</f>
        <v>1</v>
      </c>
      <c r="AN17" s="20">
        <f>IF(39&gt;=Inputs!$B$58,1,0)</f>
        <v>1</v>
      </c>
      <c r="AO17" s="20">
        <f>IF(40&gt;=Inputs!$B$58,1,0)</f>
        <v>1</v>
      </c>
      <c r="AP17" s="20">
        <f>IF(41&gt;=Inputs!$B$58,1,0)</f>
        <v>1</v>
      </c>
      <c r="AQ17" s="20">
        <f>IF(42&gt;=Inputs!$B$58,1,0)</f>
        <v>1</v>
      </c>
      <c r="AR17" s="20">
        <f>IF(43&gt;=Inputs!$B$58,1,0)</f>
        <v>1</v>
      </c>
      <c r="AS17" s="20">
        <f>IF(44&gt;=Inputs!$B$58,1,0)</f>
        <v>1</v>
      </c>
      <c r="AT17" s="20">
        <f>IF(45&gt;=Inputs!$B$58,1,0)</f>
        <v>1</v>
      </c>
      <c r="AU17" s="20">
        <f>IF(46&gt;=Inputs!$B$58,1,0)</f>
        <v>1</v>
      </c>
      <c r="AV17" s="20">
        <f>IF(47&gt;=Inputs!$B$58,1,0)</f>
        <v>1</v>
      </c>
      <c r="AW17" s="20">
        <f>IF(48&gt;=Inputs!$B$58,1,0)</f>
        <v>1</v>
      </c>
      <c r="AX17" s="20">
        <f>IF(49&gt;=Inputs!$B$58,1,0)</f>
        <v>1</v>
      </c>
      <c r="AY17" s="20">
        <f>IF(50&gt;=Inputs!$B$58,1,0)</f>
        <v>1</v>
      </c>
      <c r="AZ17" s="20">
        <f>IF(51&gt;=Inputs!$B$58,1,0)</f>
        <v>1</v>
      </c>
      <c r="BA17" s="20">
        <f>IF(52&gt;=Inputs!$B$58,1,0)</f>
        <v>1</v>
      </c>
    </row>
    <row r="18" spans="1:53" x14ac:dyDescent="0.35">
      <c r="A18" s="3" t="s">
        <v>125</v>
      </c>
      <c r="B18" s="20">
        <f>IF(1&gt;=Inputs!$B$59,1,0)</f>
        <v>0</v>
      </c>
      <c r="C18" s="20">
        <f>IF(2&gt;=Inputs!$B$59,1,0)</f>
        <v>0</v>
      </c>
      <c r="D18" s="20">
        <f>IF(3&gt;=Inputs!$B$59,1,0)</f>
        <v>0</v>
      </c>
      <c r="E18" s="20">
        <f>IF(4&gt;=Inputs!$B$59,1,0)</f>
        <v>0</v>
      </c>
      <c r="F18" s="20">
        <f>IF(5&gt;=Inputs!$B$59,1,0)</f>
        <v>0</v>
      </c>
      <c r="G18" s="20">
        <f>IF(6&gt;=Inputs!$B$59,1,0)</f>
        <v>0</v>
      </c>
      <c r="H18" s="20">
        <f>IF(7&gt;=Inputs!$B$59,1,0)</f>
        <v>0</v>
      </c>
      <c r="I18" s="20">
        <f>IF(8&gt;=Inputs!$B$59,1,0)</f>
        <v>0</v>
      </c>
      <c r="J18" s="20">
        <f>IF(9&gt;=Inputs!$B$59,1,0)</f>
        <v>0</v>
      </c>
      <c r="K18" s="20">
        <f>IF(10&gt;=Inputs!$B$59,1,0)</f>
        <v>0</v>
      </c>
      <c r="L18" s="20">
        <f>IF(11&gt;=Inputs!$B$59,1,0)</f>
        <v>0</v>
      </c>
      <c r="M18" s="20">
        <f>IF(12&gt;=Inputs!$B$59,1,0)</f>
        <v>0</v>
      </c>
      <c r="N18" s="20">
        <f>IF(13&gt;=Inputs!$B$59,1,0)</f>
        <v>0</v>
      </c>
      <c r="O18" s="20">
        <f>IF(14&gt;=Inputs!$B$59,1,0)</f>
        <v>0</v>
      </c>
      <c r="P18" s="20">
        <f>IF(15&gt;=Inputs!$B$59,1,0)</f>
        <v>0</v>
      </c>
      <c r="Q18" s="20">
        <f>IF(16&gt;=Inputs!$B$59,1,0)</f>
        <v>0</v>
      </c>
      <c r="R18" s="20">
        <f>IF(17&gt;=Inputs!$B$59,1,0)</f>
        <v>0</v>
      </c>
      <c r="S18" s="20">
        <f>IF(18&gt;=Inputs!$B$59,1,0)</f>
        <v>0</v>
      </c>
      <c r="T18" s="20">
        <f>IF(19&gt;=Inputs!$B$59,1,0)</f>
        <v>0</v>
      </c>
      <c r="U18" s="20">
        <f>IF(20&gt;=Inputs!$B$59,1,0)</f>
        <v>0</v>
      </c>
      <c r="V18" s="20">
        <f>IF(21&gt;=Inputs!$B$59,1,0)</f>
        <v>0</v>
      </c>
      <c r="W18" s="20">
        <f>IF(22&gt;=Inputs!$B$59,1,0)</f>
        <v>0</v>
      </c>
      <c r="X18" s="20">
        <f>IF(23&gt;=Inputs!$B$59,1,0)</f>
        <v>0</v>
      </c>
      <c r="Y18" s="20">
        <f>IF(24&gt;=Inputs!$B$59,1,0)</f>
        <v>1</v>
      </c>
      <c r="Z18" s="20">
        <f>IF(25&gt;=Inputs!$B$59,1,0)</f>
        <v>1</v>
      </c>
      <c r="AA18" s="20">
        <f>IF(26&gt;=Inputs!$B$59,1,0)</f>
        <v>1</v>
      </c>
      <c r="AB18" s="20">
        <f>IF(27&gt;=Inputs!$B$59,1,0)</f>
        <v>1</v>
      </c>
      <c r="AC18" s="20">
        <f>IF(28&gt;=Inputs!$B$59,1,0)</f>
        <v>1</v>
      </c>
      <c r="AD18" s="20">
        <f>IF(29&gt;=Inputs!$B$59,1,0)</f>
        <v>1</v>
      </c>
      <c r="AE18" s="20">
        <f>IF(30&gt;=Inputs!$B$59,1,0)</f>
        <v>1</v>
      </c>
      <c r="AF18" s="20">
        <f>IF(31&gt;=Inputs!$B$59,1,0)</f>
        <v>1</v>
      </c>
      <c r="AG18" s="20">
        <f>IF(32&gt;=Inputs!$B$59,1,0)</f>
        <v>1</v>
      </c>
      <c r="AH18" s="20">
        <f>IF(33&gt;=Inputs!$B$59,1,0)</f>
        <v>1</v>
      </c>
      <c r="AI18" s="20">
        <f>IF(34&gt;=Inputs!$B$59,1,0)</f>
        <v>1</v>
      </c>
      <c r="AJ18" s="20">
        <f>IF(35&gt;=Inputs!$B$59,1,0)</f>
        <v>1</v>
      </c>
      <c r="AK18" s="20">
        <f>IF(36&gt;=Inputs!$B$59,1,0)</f>
        <v>1</v>
      </c>
      <c r="AL18" s="20">
        <f>IF(37&gt;=Inputs!$B$59,1,0)</f>
        <v>1</v>
      </c>
      <c r="AM18" s="20">
        <f>IF(38&gt;=Inputs!$B$59,1,0)</f>
        <v>1</v>
      </c>
      <c r="AN18" s="20">
        <f>IF(39&gt;=Inputs!$B$59,1,0)</f>
        <v>1</v>
      </c>
      <c r="AO18" s="20">
        <f>IF(40&gt;=Inputs!$B$59,1,0)</f>
        <v>1</v>
      </c>
      <c r="AP18" s="20">
        <f>IF(41&gt;=Inputs!$B$59,1,0)</f>
        <v>1</v>
      </c>
      <c r="AQ18" s="20">
        <f>IF(42&gt;=Inputs!$B$59,1,0)</f>
        <v>1</v>
      </c>
      <c r="AR18" s="20">
        <f>IF(43&gt;=Inputs!$B$59,1,0)</f>
        <v>1</v>
      </c>
      <c r="AS18" s="20">
        <f>IF(44&gt;=Inputs!$B$59,1,0)</f>
        <v>1</v>
      </c>
      <c r="AT18" s="20">
        <f>IF(45&gt;=Inputs!$B$59,1,0)</f>
        <v>1</v>
      </c>
      <c r="AU18" s="20">
        <f>IF(46&gt;=Inputs!$B$59,1,0)</f>
        <v>1</v>
      </c>
      <c r="AV18" s="20">
        <f>IF(47&gt;=Inputs!$B$59,1,0)</f>
        <v>1</v>
      </c>
      <c r="AW18" s="20">
        <f>IF(48&gt;=Inputs!$B$59,1,0)</f>
        <v>1</v>
      </c>
      <c r="AX18" s="20">
        <f>IF(49&gt;=Inputs!$B$59,1,0)</f>
        <v>1</v>
      </c>
      <c r="AY18" s="20">
        <f>IF(50&gt;=Inputs!$B$59,1,0)</f>
        <v>1</v>
      </c>
      <c r="AZ18" s="20">
        <f>IF(51&gt;=Inputs!$B$59,1,0)</f>
        <v>1</v>
      </c>
      <c r="BA18" s="20">
        <f>IF(52&gt;=Inputs!$B$59,1,0)</f>
        <v>1</v>
      </c>
    </row>
    <row r="19" spans="1:53" x14ac:dyDescent="0.35">
      <c r="A19" s="3" t="s">
        <v>127</v>
      </c>
      <c r="B19" s="20">
        <f>IF(1&gt;=Inputs!$B$60,1,0)</f>
        <v>0</v>
      </c>
      <c r="C19" s="20">
        <f>IF(2&gt;=Inputs!$B$60,1,0)</f>
        <v>0</v>
      </c>
      <c r="D19" s="20">
        <f>IF(3&gt;=Inputs!$B$60,1,0)</f>
        <v>0</v>
      </c>
      <c r="E19" s="20">
        <f>IF(4&gt;=Inputs!$B$60,1,0)</f>
        <v>0</v>
      </c>
      <c r="F19" s="20">
        <f>IF(5&gt;=Inputs!$B$60,1,0)</f>
        <v>0</v>
      </c>
      <c r="G19" s="20">
        <f>IF(6&gt;=Inputs!$B$60,1,0)</f>
        <v>0</v>
      </c>
      <c r="H19" s="20">
        <f>IF(7&gt;=Inputs!$B$60,1,0)</f>
        <v>0</v>
      </c>
      <c r="I19" s="20">
        <f>IF(8&gt;=Inputs!$B$60,1,0)</f>
        <v>0</v>
      </c>
      <c r="J19" s="20">
        <f>IF(9&gt;=Inputs!$B$60,1,0)</f>
        <v>0</v>
      </c>
      <c r="K19" s="20">
        <f>IF(10&gt;=Inputs!$B$60,1,0)</f>
        <v>0</v>
      </c>
      <c r="L19" s="20">
        <f>IF(11&gt;=Inputs!$B$60,1,0)</f>
        <v>0</v>
      </c>
      <c r="M19" s="20">
        <f>IF(12&gt;=Inputs!$B$60,1,0)</f>
        <v>0</v>
      </c>
      <c r="N19" s="20">
        <f>IF(13&gt;=Inputs!$B$60,1,0)</f>
        <v>0</v>
      </c>
      <c r="O19" s="20">
        <f>IF(14&gt;=Inputs!$B$60,1,0)</f>
        <v>0</v>
      </c>
      <c r="P19" s="20">
        <f>IF(15&gt;=Inputs!$B$60,1,0)</f>
        <v>0</v>
      </c>
      <c r="Q19" s="20">
        <f>IF(16&gt;=Inputs!$B$60,1,0)</f>
        <v>0</v>
      </c>
      <c r="R19" s="20">
        <f>IF(17&gt;=Inputs!$B$60,1,0)</f>
        <v>0</v>
      </c>
      <c r="S19" s="20">
        <f>IF(18&gt;=Inputs!$B$60,1,0)</f>
        <v>0</v>
      </c>
      <c r="T19" s="20">
        <f>IF(19&gt;=Inputs!$B$60,1,0)</f>
        <v>0</v>
      </c>
      <c r="U19" s="20">
        <f>IF(20&gt;=Inputs!$B$60,1,0)</f>
        <v>1</v>
      </c>
      <c r="V19" s="20">
        <f>IF(21&gt;=Inputs!$B$60,1,0)</f>
        <v>1</v>
      </c>
      <c r="W19" s="20">
        <f>IF(22&gt;=Inputs!$B$60,1,0)</f>
        <v>1</v>
      </c>
      <c r="X19" s="20">
        <f>IF(23&gt;=Inputs!$B$60,1,0)</f>
        <v>1</v>
      </c>
      <c r="Y19" s="20">
        <f>IF(24&gt;=Inputs!$B$60,1,0)</f>
        <v>1</v>
      </c>
      <c r="Z19" s="20">
        <f>IF(25&gt;=Inputs!$B$60,1,0)</f>
        <v>1</v>
      </c>
      <c r="AA19" s="20">
        <f>IF(26&gt;=Inputs!$B$60,1,0)</f>
        <v>1</v>
      </c>
      <c r="AB19" s="20">
        <f>IF(27&gt;=Inputs!$B$60,1,0)</f>
        <v>1</v>
      </c>
      <c r="AC19" s="20">
        <f>IF(28&gt;=Inputs!$B$60,1,0)</f>
        <v>1</v>
      </c>
      <c r="AD19" s="20">
        <f>IF(29&gt;=Inputs!$B$60,1,0)</f>
        <v>1</v>
      </c>
      <c r="AE19" s="20">
        <f>IF(30&gt;=Inputs!$B$60,1,0)</f>
        <v>1</v>
      </c>
      <c r="AF19" s="20">
        <f>IF(31&gt;=Inputs!$B$60,1,0)</f>
        <v>1</v>
      </c>
      <c r="AG19" s="20">
        <f>IF(32&gt;=Inputs!$B$60,1,0)</f>
        <v>1</v>
      </c>
      <c r="AH19" s="20">
        <f>IF(33&gt;=Inputs!$B$60,1,0)</f>
        <v>1</v>
      </c>
      <c r="AI19" s="20">
        <f>IF(34&gt;=Inputs!$B$60,1,0)</f>
        <v>1</v>
      </c>
      <c r="AJ19" s="20">
        <f>IF(35&gt;=Inputs!$B$60,1,0)</f>
        <v>1</v>
      </c>
      <c r="AK19" s="20">
        <f>IF(36&gt;=Inputs!$B$60,1,0)</f>
        <v>1</v>
      </c>
      <c r="AL19" s="20">
        <f>IF(37&gt;=Inputs!$B$60,1,0)</f>
        <v>1</v>
      </c>
      <c r="AM19" s="20">
        <f>IF(38&gt;=Inputs!$B$60,1,0)</f>
        <v>1</v>
      </c>
      <c r="AN19" s="20">
        <f>IF(39&gt;=Inputs!$B$60,1,0)</f>
        <v>1</v>
      </c>
      <c r="AO19" s="20">
        <f>IF(40&gt;=Inputs!$B$60,1,0)</f>
        <v>1</v>
      </c>
      <c r="AP19" s="20">
        <f>IF(41&gt;=Inputs!$B$60,1,0)</f>
        <v>1</v>
      </c>
      <c r="AQ19" s="20">
        <f>IF(42&gt;=Inputs!$B$60,1,0)</f>
        <v>1</v>
      </c>
      <c r="AR19" s="20">
        <f>IF(43&gt;=Inputs!$B$60,1,0)</f>
        <v>1</v>
      </c>
      <c r="AS19" s="20">
        <f>IF(44&gt;=Inputs!$B$60,1,0)</f>
        <v>1</v>
      </c>
      <c r="AT19" s="20">
        <f>IF(45&gt;=Inputs!$B$60,1,0)</f>
        <v>1</v>
      </c>
      <c r="AU19" s="20">
        <f>IF(46&gt;=Inputs!$B$60,1,0)</f>
        <v>1</v>
      </c>
      <c r="AV19" s="20">
        <f>IF(47&gt;=Inputs!$B$60,1,0)</f>
        <v>1</v>
      </c>
      <c r="AW19" s="20">
        <f>IF(48&gt;=Inputs!$B$60,1,0)</f>
        <v>1</v>
      </c>
      <c r="AX19" s="20">
        <f>IF(49&gt;=Inputs!$B$60,1,0)</f>
        <v>1</v>
      </c>
      <c r="AY19" s="20">
        <f>IF(50&gt;=Inputs!$B$60,1,0)</f>
        <v>1</v>
      </c>
      <c r="AZ19" s="20">
        <f>IF(51&gt;=Inputs!$B$60,1,0)</f>
        <v>1</v>
      </c>
      <c r="BA19" s="20">
        <f>IF(52&gt;=Inputs!$B$60,1,0)</f>
        <v>1</v>
      </c>
    </row>
    <row r="20" spans="1:53" x14ac:dyDescent="0.35">
      <c r="A20" s="3" t="s">
        <v>129</v>
      </c>
      <c r="B20" s="20">
        <f>IF(1&gt;=Inputs!$B$61,1,0)</f>
        <v>0</v>
      </c>
      <c r="C20" s="20">
        <f>IF(2&gt;=Inputs!$B$61,1,0)</f>
        <v>0</v>
      </c>
      <c r="D20" s="20">
        <f>IF(3&gt;=Inputs!$B$61,1,0)</f>
        <v>0</v>
      </c>
      <c r="E20" s="20">
        <f>IF(4&gt;=Inputs!$B$61,1,0)</f>
        <v>0</v>
      </c>
      <c r="F20" s="20">
        <f>IF(5&gt;=Inputs!$B$61,1,0)</f>
        <v>0</v>
      </c>
      <c r="G20" s="20">
        <f>IF(6&gt;=Inputs!$B$61,1,0)</f>
        <v>0</v>
      </c>
      <c r="H20" s="20">
        <f>IF(7&gt;=Inputs!$B$61,1,0)</f>
        <v>0</v>
      </c>
      <c r="I20" s="20">
        <f>IF(8&gt;=Inputs!$B$61,1,0)</f>
        <v>0</v>
      </c>
      <c r="J20" s="20">
        <f>IF(9&gt;=Inputs!$B$61,1,0)</f>
        <v>0</v>
      </c>
      <c r="K20" s="20">
        <f>IF(10&gt;=Inputs!$B$61,1,0)</f>
        <v>0</v>
      </c>
      <c r="L20" s="20">
        <f>IF(11&gt;=Inputs!$B$61,1,0)</f>
        <v>0</v>
      </c>
      <c r="M20" s="20">
        <f>IF(12&gt;=Inputs!$B$61,1,0)</f>
        <v>0</v>
      </c>
      <c r="N20" s="20">
        <f>IF(13&gt;=Inputs!$B$61,1,0)</f>
        <v>0</v>
      </c>
      <c r="O20" s="20">
        <f>IF(14&gt;=Inputs!$B$61,1,0)</f>
        <v>0</v>
      </c>
      <c r="P20" s="20">
        <f>IF(15&gt;=Inputs!$B$61,1,0)</f>
        <v>0</v>
      </c>
      <c r="Q20" s="20">
        <f>IF(16&gt;=Inputs!$B$61,1,0)</f>
        <v>0</v>
      </c>
      <c r="R20" s="20">
        <f>IF(17&gt;=Inputs!$B$61,1,0)</f>
        <v>0</v>
      </c>
      <c r="S20" s="20">
        <f>IF(18&gt;=Inputs!$B$61,1,0)</f>
        <v>0</v>
      </c>
      <c r="T20" s="20">
        <f>IF(19&gt;=Inputs!$B$61,1,0)</f>
        <v>0</v>
      </c>
      <c r="U20" s="20">
        <f>IF(20&gt;=Inputs!$B$61,1,0)</f>
        <v>0</v>
      </c>
      <c r="V20" s="20">
        <f>IF(21&gt;=Inputs!$B$61,1,0)</f>
        <v>0</v>
      </c>
      <c r="W20" s="20">
        <f>IF(22&gt;=Inputs!$B$61,1,0)</f>
        <v>1</v>
      </c>
      <c r="X20" s="20">
        <f>IF(23&gt;=Inputs!$B$61,1,0)</f>
        <v>1</v>
      </c>
      <c r="Y20" s="20">
        <f>IF(24&gt;=Inputs!$B$61,1,0)</f>
        <v>1</v>
      </c>
      <c r="Z20" s="20">
        <f>IF(25&gt;=Inputs!$B$61,1,0)</f>
        <v>1</v>
      </c>
      <c r="AA20" s="20">
        <f>IF(26&gt;=Inputs!$B$61,1,0)</f>
        <v>1</v>
      </c>
      <c r="AB20" s="20">
        <f>IF(27&gt;=Inputs!$B$61,1,0)</f>
        <v>1</v>
      </c>
      <c r="AC20" s="20">
        <f>IF(28&gt;=Inputs!$B$61,1,0)</f>
        <v>1</v>
      </c>
      <c r="AD20" s="20">
        <f>IF(29&gt;=Inputs!$B$61,1,0)</f>
        <v>1</v>
      </c>
      <c r="AE20" s="20">
        <f>IF(30&gt;=Inputs!$B$61,1,0)</f>
        <v>1</v>
      </c>
      <c r="AF20" s="20">
        <f>IF(31&gt;=Inputs!$B$61,1,0)</f>
        <v>1</v>
      </c>
      <c r="AG20" s="20">
        <f>IF(32&gt;=Inputs!$B$61,1,0)</f>
        <v>1</v>
      </c>
      <c r="AH20" s="20">
        <f>IF(33&gt;=Inputs!$B$61,1,0)</f>
        <v>1</v>
      </c>
      <c r="AI20" s="20">
        <f>IF(34&gt;=Inputs!$B$61,1,0)</f>
        <v>1</v>
      </c>
      <c r="AJ20" s="20">
        <f>IF(35&gt;=Inputs!$B$61,1,0)</f>
        <v>1</v>
      </c>
      <c r="AK20" s="20">
        <f>IF(36&gt;=Inputs!$B$61,1,0)</f>
        <v>1</v>
      </c>
      <c r="AL20" s="20">
        <f>IF(37&gt;=Inputs!$B$61,1,0)</f>
        <v>1</v>
      </c>
      <c r="AM20" s="20">
        <f>IF(38&gt;=Inputs!$B$61,1,0)</f>
        <v>1</v>
      </c>
      <c r="AN20" s="20">
        <f>IF(39&gt;=Inputs!$B$61,1,0)</f>
        <v>1</v>
      </c>
      <c r="AO20" s="20">
        <f>IF(40&gt;=Inputs!$B$61,1,0)</f>
        <v>1</v>
      </c>
      <c r="AP20" s="20">
        <f>IF(41&gt;=Inputs!$B$61,1,0)</f>
        <v>1</v>
      </c>
      <c r="AQ20" s="20">
        <f>IF(42&gt;=Inputs!$B$61,1,0)</f>
        <v>1</v>
      </c>
      <c r="AR20" s="20">
        <f>IF(43&gt;=Inputs!$B$61,1,0)</f>
        <v>1</v>
      </c>
      <c r="AS20" s="20">
        <f>IF(44&gt;=Inputs!$B$61,1,0)</f>
        <v>1</v>
      </c>
      <c r="AT20" s="20">
        <f>IF(45&gt;=Inputs!$B$61,1,0)</f>
        <v>1</v>
      </c>
      <c r="AU20" s="20">
        <f>IF(46&gt;=Inputs!$B$61,1,0)</f>
        <v>1</v>
      </c>
      <c r="AV20" s="20">
        <f>IF(47&gt;=Inputs!$B$61,1,0)</f>
        <v>1</v>
      </c>
      <c r="AW20" s="20">
        <f>IF(48&gt;=Inputs!$B$61,1,0)</f>
        <v>1</v>
      </c>
      <c r="AX20" s="20">
        <f>IF(49&gt;=Inputs!$B$61,1,0)</f>
        <v>1</v>
      </c>
      <c r="AY20" s="20">
        <f>IF(50&gt;=Inputs!$B$61,1,0)</f>
        <v>1</v>
      </c>
      <c r="AZ20" s="20">
        <f>IF(51&gt;=Inputs!$B$61,1,0)</f>
        <v>1</v>
      </c>
      <c r="BA20" s="20">
        <f>IF(52&gt;=Inputs!$B$61,1,0)</f>
        <v>1</v>
      </c>
    </row>
    <row r="21" spans="1:53" x14ac:dyDescent="0.35">
      <c r="A21" s="3" t="s">
        <v>131</v>
      </c>
      <c r="B21" s="20">
        <f>IF(1&gt;=Inputs!$B$62,1,0)</f>
        <v>0</v>
      </c>
      <c r="C21" s="20">
        <f>IF(2&gt;=Inputs!$B$62,1,0)</f>
        <v>0</v>
      </c>
      <c r="D21" s="20">
        <f>IF(3&gt;=Inputs!$B$62,1,0)</f>
        <v>0</v>
      </c>
      <c r="E21" s="20">
        <f>IF(4&gt;=Inputs!$B$62,1,0)</f>
        <v>0</v>
      </c>
      <c r="F21" s="20">
        <f>IF(5&gt;=Inputs!$B$62,1,0)</f>
        <v>0</v>
      </c>
      <c r="G21" s="20">
        <f>IF(6&gt;=Inputs!$B$62,1,0)</f>
        <v>0</v>
      </c>
      <c r="H21" s="20">
        <f>IF(7&gt;=Inputs!$B$62,1,0)</f>
        <v>0</v>
      </c>
      <c r="I21" s="20">
        <f>IF(8&gt;=Inputs!$B$62,1,0)</f>
        <v>0</v>
      </c>
      <c r="J21" s="20">
        <f>IF(9&gt;=Inputs!$B$62,1,0)</f>
        <v>0</v>
      </c>
      <c r="K21" s="20">
        <f>IF(10&gt;=Inputs!$B$62,1,0)</f>
        <v>0</v>
      </c>
      <c r="L21" s="20">
        <f>IF(11&gt;=Inputs!$B$62,1,0)</f>
        <v>0</v>
      </c>
      <c r="M21" s="20">
        <f>IF(12&gt;=Inputs!$B$62,1,0)</f>
        <v>0</v>
      </c>
      <c r="N21" s="20">
        <f>IF(13&gt;=Inputs!$B$62,1,0)</f>
        <v>0</v>
      </c>
      <c r="O21" s="20">
        <f>IF(14&gt;=Inputs!$B$62,1,0)</f>
        <v>0</v>
      </c>
      <c r="P21" s="20">
        <f>IF(15&gt;=Inputs!$B$62,1,0)</f>
        <v>0</v>
      </c>
      <c r="Q21" s="20">
        <f>IF(16&gt;=Inputs!$B$62,1,0)</f>
        <v>0</v>
      </c>
      <c r="R21" s="20">
        <f>IF(17&gt;=Inputs!$B$62,1,0)</f>
        <v>0</v>
      </c>
      <c r="S21" s="20">
        <f>IF(18&gt;=Inputs!$B$62,1,0)</f>
        <v>0</v>
      </c>
      <c r="T21" s="20">
        <f>IF(19&gt;=Inputs!$B$62,1,0)</f>
        <v>0</v>
      </c>
      <c r="U21" s="20">
        <f>IF(20&gt;=Inputs!$B$62,1,0)</f>
        <v>0</v>
      </c>
      <c r="V21" s="20">
        <f>IF(21&gt;=Inputs!$B$62,1,0)</f>
        <v>0</v>
      </c>
      <c r="W21" s="20">
        <f>IF(22&gt;=Inputs!$B$62,1,0)</f>
        <v>0</v>
      </c>
      <c r="X21" s="20">
        <f>IF(23&gt;=Inputs!$B$62,1,0)</f>
        <v>0</v>
      </c>
      <c r="Y21" s="20">
        <f>IF(24&gt;=Inputs!$B$62,1,0)</f>
        <v>0</v>
      </c>
      <c r="Z21" s="20">
        <f>IF(25&gt;=Inputs!$B$62,1,0)</f>
        <v>0</v>
      </c>
      <c r="AA21" s="20">
        <f>IF(26&gt;=Inputs!$B$62,1,0)</f>
        <v>1</v>
      </c>
      <c r="AB21" s="20">
        <f>IF(27&gt;=Inputs!$B$62,1,0)</f>
        <v>1</v>
      </c>
      <c r="AC21" s="20">
        <f>IF(28&gt;=Inputs!$B$62,1,0)</f>
        <v>1</v>
      </c>
      <c r="AD21" s="20">
        <f>IF(29&gt;=Inputs!$B$62,1,0)</f>
        <v>1</v>
      </c>
      <c r="AE21" s="20">
        <f>IF(30&gt;=Inputs!$B$62,1,0)</f>
        <v>1</v>
      </c>
      <c r="AF21" s="20">
        <f>IF(31&gt;=Inputs!$B$62,1,0)</f>
        <v>1</v>
      </c>
      <c r="AG21" s="20">
        <f>IF(32&gt;=Inputs!$B$62,1,0)</f>
        <v>1</v>
      </c>
      <c r="AH21" s="20">
        <f>IF(33&gt;=Inputs!$B$62,1,0)</f>
        <v>1</v>
      </c>
      <c r="AI21" s="20">
        <f>IF(34&gt;=Inputs!$B$62,1,0)</f>
        <v>1</v>
      </c>
      <c r="AJ21" s="20">
        <f>IF(35&gt;=Inputs!$B$62,1,0)</f>
        <v>1</v>
      </c>
      <c r="AK21" s="20">
        <f>IF(36&gt;=Inputs!$B$62,1,0)</f>
        <v>1</v>
      </c>
      <c r="AL21" s="20">
        <f>IF(37&gt;=Inputs!$B$62,1,0)</f>
        <v>1</v>
      </c>
      <c r="AM21" s="20">
        <f>IF(38&gt;=Inputs!$B$62,1,0)</f>
        <v>1</v>
      </c>
      <c r="AN21" s="20">
        <f>IF(39&gt;=Inputs!$B$62,1,0)</f>
        <v>1</v>
      </c>
      <c r="AO21" s="20">
        <f>IF(40&gt;=Inputs!$B$62,1,0)</f>
        <v>1</v>
      </c>
      <c r="AP21" s="20">
        <f>IF(41&gt;=Inputs!$B$62,1,0)</f>
        <v>1</v>
      </c>
      <c r="AQ21" s="20">
        <f>IF(42&gt;=Inputs!$B$62,1,0)</f>
        <v>1</v>
      </c>
      <c r="AR21" s="20">
        <f>IF(43&gt;=Inputs!$B$62,1,0)</f>
        <v>1</v>
      </c>
      <c r="AS21" s="20">
        <f>IF(44&gt;=Inputs!$B$62,1,0)</f>
        <v>1</v>
      </c>
      <c r="AT21" s="20">
        <f>IF(45&gt;=Inputs!$B$62,1,0)</f>
        <v>1</v>
      </c>
      <c r="AU21" s="20">
        <f>IF(46&gt;=Inputs!$B$62,1,0)</f>
        <v>1</v>
      </c>
      <c r="AV21" s="20">
        <f>IF(47&gt;=Inputs!$B$62,1,0)</f>
        <v>1</v>
      </c>
      <c r="AW21" s="20">
        <f>IF(48&gt;=Inputs!$B$62,1,0)</f>
        <v>1</v>
      </c>
      <c r="AX21" s="20">
        <f>IF(49&gt;=Inputs!$B$62,1,0)</f>
        <v>1</v>
      </c>
      <c r="AY21" s="20">
        <f>IF(50&gt;=Inputs!$B$62,1,0)</f>
        <v>1</v>
      </c>
      <c r="AZ21" s="20">
        <f>IF(51&gt;=Inputs!$B$62,1,0)</f>
        <v>1</v>
      </c>
      <c r="BA21" s="20">
        <f>IF(52&gt;=Inputs!$B$62,1,0)</f>
        <v>1</v>
      </c>
    </row>
    <row r="22" spans="1:53" x14ac:dyDescent="0.35">
      <c r="A22" s="3" t="s">
        <v>133</v>
      </c>
      <c r="B22" s="20">
        <f>IF(1&gt;=Inputs!$B$63,1,0)</f>
        <v>0</v>
      </c>
      <c r="C22" s="20">
        <f>IF(2&gt;=Inputs!$B$63,1,0)</f>
        <v>0</v>
      </c>
      <c r="D22" s="20">
        <f>IF(3&gt;=Inputs!$B$63,1,0)</f>
        <v>0</v>
      </c>
      <c r="E22" s="20">
        <f>IF(4&gt;=Inputs!$B$63,1,0)</f>
        <v>0</v>
      </c>
      <c r="F22" s="20">
        <f>IF(5&gt;=Inputs!$B$63,1,0)</f>
        <v>0</v>
      </c>
      <c r="G22" s="20">
        <f>IF(6&gt;=Inputs!$B$63,1,0)</f>
        <v>0</v>
      </c>
      <c r="H22" s="20">
        <f>IF(7&gt;=Inputs!$B$63,1,0)</f>
        <v>0</v>
      </c>
      <c r="I22" s="20">
        <f>IF(8&gt;=Inputs!$B$63,1,0)</f>
        <v>0</v>
      </c>
      <c r="J22" s="20">
        <f>IF(9&gt;=Inputs!$B$63,1,0)</f>
        <v>0</v>
      </c>
      <c r="K22" s="20">
        <f>IF(10&gt;=Inputs!$B$63,1,0)</f>
        <v>0</v>
      </c>
      <c r="L22" s="20">
        <f>IF(11&gt;=Inputs!$B$63,1,0)</f>
        <v>0</v>
      </c>
      <c r="M22" s="20">
        <f>IF(12&gt;=Inputs!$B$63,1,0)</f>
        <v>0</v>
      </c>
      <c r="N22" s="20">
        <f>IF(13&gt;=Inputs!$B$63,1,0)</f>
        <v>0</v>
      </c>
      <c r="O22" s="20">
        <f>IF(14&gt;=Inputs!$B$63,1,0)</f>
        <v>0</v>
      </c>
      <c r="P22" s="20">
        <f>IF(15&gt;=Inputs!$B$63,1,0)</f>
        <v>0</v>
      </c>
      <c r="Q22" s="20">
        <f>IF(16&gt;=Inputs!$B$63,1,0)</f>
        <v>0</v>
      </c>
      <c r="R22" s="20">
        <f>IF(17&gt;=Inputs!$B$63,1,0)</f>
        <v>0</v>
      </c>
      <c r="S22" s="20">
        <f>IF(18&gt;=Inputs!$B$63,1,0)</f>
        <v>0</v>
      </c>
      <c r="T22" s="20">
        <f>IF(19&gt;=Inputs!$B$63,1,0)</f>
        <v>0</v>
      </c>
      <c r="U22" s="20">
        <f>IF(20&gt;=Inputs!$B$63,1,0)</f>
        <v>0</v>
      </c>
      <c r="V22" s="20">
        <f>IF(21&gt;=Inputs!$B$63,1,0)</f>
        <v>0</v>
      </c>
      <c r="W22" s="20">
        <f>IF(22&gt;=Inputs!$B$63,1,0)</f>
        <v>0</v>
      </c>
      <c r="X22" s="20">
        <f>IF(23&gt;=Inputs!$B$63,1,0)</f>
        <v>0</v>
      </c>
      <c r="Y22" s="20">
        <f>IF(24&gt;=Inputs!$B$63,1,0)</f>
        <v>1</v>
      </c>
      <c r="Z22" s="20">
        <f>IF(25&gt;=Inputs!$B$63,1,0)</f>
        <v>1</v>
      </c>
      <c r="AA22" s="20">
        <f>IF(26&gt;=Inputs!$B$63,1,0)</f>
        <v>1</v>
      </c>
      <c r="AB22" s="20">
        <f>IF(27&gt;=Inputs!$B$63,1,0)</f>
        <v>1</v>
      </c>
      <c r="AC22" s="20">
        <f>IF(28&gt;=Inputs!$B$63,1,0)</f>
        <v>1</v>
      </c>
      <c r="AD22" s="20">
        <f>IF(29&gt;=Inputs!$B$63,1,0)</f>
        <v>1</v>
      </c>
      <c r="AE22" s="20">
        <f>IF(30&gt;=Inputs!$B$63,1,0)</f>
        <v>1</v>
      </c>
      <c r="AF22" s="20">
        <f>IF(31&gt;=Inputs!$B$63,1,0)</f>
        <v>1</v>
      </c>
      <c r="AG22" s="20">
        <f>IF(32&gt;=Inputs!$B$63,1,0)</f>
        <v>1</v>
      </c>
      <c r="AH22" s="20">
        <f>IF(33&gt;=Inputs!$B$63,1,0)</f>
        <v>1</v>
      </c>
      <c r="AI22" s="20">
        <f>IF(34&gt;=Inputs!$B$63,1,0)</f>
        <v>1</v>
      </c>
      <c r="AJ22" s="20">
        <f>IF(35&gt;=Inputs!$B$63,1,0)</f>
        <v>1</v>
      </c>
      <c r="AK22" s="20">
        <f>IF(36&gt;=Inputs!$B$63,1,0)</f>
        <v>1</v>
      </c>
      <c r="AL22" s="20">
        <f>IF(37&gt;=Inputs!$B$63,1,0)</f>
        <v>1</v>
      </c>
      <c r="AM22" s="20">
        <f>IF(38&gt;=Inputs!$B$63,1,0)</f>
        <v>1</v>
      </c>
      <c r="AN22" s="20">
        <f>IF(39&gt;=Inputs!$B$63,1,0)</f>
        <v>1</v>
      </c>
      <c r="AO22" s="20">
        <f>IF(40&gt;=Inputs!$B$63,1,0)</f>
        <v>1</v>
      </c>
      <c r="AP22" s="20">
        <f>IF(41&gt;=Inputs!$B$63,1,0)</f>
        <v>1</v>
      </c>
      <c r="AQ22" s="20">
        <f>IF(42&gt;=Inputs!$B$63,1,0)</f>
        <v>1</v>
      </c>
      <c r="AR22" s="20">
        <f>IF(43&gt;=Inputs!$B$63,1,0)</f>
        <v>1</v>
      </c>
      <c r="AS22" s="20">
        <f>IF(44&gt;=Inputs!$B$63,1,0)</f>
        <v>1</v>
      </c>
      <c r="AT22" s="20">
        <f>IF(45&gt;=Inputs!$B$63,1,0)</f>
        <v>1</v>
      </c>
      <c r="AU22" s="20">
        <f>IF(46&gt;=Inputs!$B$63,1,0)</f>
        <v>1</v>
      </c>
      <c r="AV22" s="20">
        <f>IF(47&gt;=Inputs!$B$63,1,0)</f>
        <v>1</v>
      </c>
      <c r="AW22" s="20">
        <f>IF(48&gt;=Inputs!$B$63,1,0)</f>
        <v>1</v>
      </c>
      <c r="AX22" s="20">
        <f>IF(49&gt;=Inputs!$B$63,1,0)</f>
        <v>1</v>
      </c>
      <c r="AY22" s="20">
        <f>IF(50&gt;=Inputs!$B$63,1,0)</f>
        <v>1</v>
      </c>
      <c r="AZ22" s="20">
        <f>IF(51&gt;=Inputs!$B$63,1,0)</f>
        <v>1</v>
      </c>
      <c r="BA22" s="20">
        <f>IF(52&gt;=Inputs!$B$63,1,0)</f>
        <v>1</v>
      </c>
    </row>
    <row r="23" spans="1:53" x14ac:dyDescent="0.35">
      <c r="A23" s="3" t="s">
        <v>135</v>
      </c>
      <c r="B23" s="20">
        <f>IF(1&gt;=Inputs!$B$64,1,0)</f>
        <v>0</v>
      </c>
      <c r="C23" s="20">
        <f>IF(2&gt;=Inputs!$B$64,1,0)</f>
        <v>0</v>
      </c>
      <c r="D23" s="20">
        <f>IF(3&gt;=Inputs!$B$64,1,0)</f>
        <v>0</v>
      </c>
      <c r="E23" s="20">
        <f>IF(4&gt;=Inputs!$B$64,1,0)</f>
        <v>0</v>
      </c>
      <c r="F23" s="20">
        <f>IF(5&gt;=Inputs!$B$64,1,0)</f>
        <v>0</v>
      </c>
      <c r="G23" s="20">
        <f>IF(6&gt;=Inputs!$B$64,1,0)</f>
        <v>0</v>
      </c>
      <c r="H23" s="20">
        <f>IF(7&gt;=Inputs!$B$64,1,0)</f>
        <v>0</v>
      </c>
      <c r="I23" s="20">
        <f>IF(8&gt;=Inputs!$B$64,1,0)</f>
        <v>0</v>
      </c>
      <c r="J23" s="20">
        <f>IF(9&gt;=Inputs!$B$64,1,0)</f>
        <v>0</v>
      </c>
      <c r="K23" s="20">
        <f>IF(10&gt;=Inputs!$B$64,1,0)</f>
        <v>0</v>
      </c>
      <c r="L23" s="20">
        <f>IF(11&gt;=Inputs!$B$64,1,0)</f>
        <v>0</v>
      </c>
      <c r="M23" s="20">
        <f>IF(12&gt;=Inputs!$B$64,1,0)</f>
        <v>0</v>
      </c>
      <c r="N23" s="20">
        <f>IF(13&gt;=Inputs!$B$64,1,0)</f>
        <v>0</v>
      </c>
      <c r="O23" s="20">
        <f>IF(14&gt;=Inputs!$B$64,1,0)</f>
        <v>0</v>
      </c>
      <c r="P23" s="20">
        <f>IF(15&gt;=Inputs!$B$64,1,0)</f>
        <v>0</v>
      </c>
      <c r="Q23" s="20">
        <f>IF(16&gt;=Inputs!$B$64,1,0)</f>
        <v>0</v>
      </c>
      <c r="R23" s="20">
        <f>IF(17&gt;=Inputs!$B$64,1,0)</f>
        <v>0</v>
      </c>
      <c r="S23" s="20">
        <f>IF(18&gt;=Inputs!$B$64,1,0)</f>
        <v>0</v>
      </c>
      <c r="T23" s="20">
        <f>IF(19&gt;=Inputs!$B$64,1,0)</f>
        <v>0</v>
      </c>
      <c r="U23" s="20">
        <f>IF(20&gt;=Inputs!$B$64,1,0)</f>
        <v>0</v>
      </c>
      <c r="V23" s="20">
        <f>IF(21&gt;=Inputs!$B$64,1,0)</f>
        <v>0</v>
      </c>
      <c r="W23" s="20">
        <f>IF(22&gt;=Inputs!$B$64,1,0)</f>
        <v>0</v>
      </c>
      <c r="X23" s="20">
        <f>IF(23&gt;=Inputs!$B$64,1,0)</f>
        <v>0</v>
      </c>
      <c r="Y23" s="20">
        <f>IF(24&gt;=Inputs!$B$64,1,0)</f>
        <v>0</v>
      </c>
      <c r="Z23" s="20">
        <f>IF(25&gt;=Inputs!$B$64,1,0)</f>
        <v>0</v>
      </c>
      <c r="AA23" s="20">
        <f>IF(26&gt;=Inputs!$B$64,1,0)</f>
        <v>0</v>
      </c>
      <c r="AB23" s="20">
        <f>IF(27&gt;=Inputs!$B$64,1,0)</f>
        <v>0</v>
      </c>
      <c r="AC23" s="20">
        <f>IF(28&gt;=Inputs!$B$64,1,0)</f>
        <v>1</v>
      </c>
      <c r="AD23" s="20">
        <f>IF(29&gt;=Inputs!$B$64,1,0)</f>
        <v>1</v>
      </c>
      <c r="AE23" s="20">
        <f>IF(30&gt;=Inputs!$B$64,1,0)</f>
        <v>1</v>
      </c>
      <c r="AF23" s="20">
        <f>IF(31&gt;=Inputs!$B$64,1,0)</f>
        <v>1</v>
      </c>
      <c r="AG23" s="20">
        <f>IF(32&gt;=Inputs!$B$64,1,0)</f>
        <v>1</v>
      </c>
      <c r="AH23" s="20">
        <f>IF(33&gt;=Inputs!$B$64,1,0)</f>
        <v>1</v>
      </c>
      <c r="AI23" s="20">
        <f>IF(34&gt;=Inputs!$B$64,1,0)</f>
        <v>1</v>
      </c>
      <c r="AJ23" s="20">
        <f>IF(35&gt;=Inputs!$B$64,1,0)</f>
        <v>1</v>
      </c>
      <c r="AK23" s="20">
        <f>IF(36&gt;=Inputs!$B$64,1,0)</f>
        <v>1</v>
      </c>
      <c r="AL23" s="20">
        <f>IF(37&gt;=Inputs!$B$64,1,0)</f>
        <v>1</v>
      </c>
      <c r="AM23" s="20">
        <f>IF(38&gt;=Inputs!$B$64,1,0)</f>
        <v>1</v>
      </c>
      <c r="AN23" s="20">
        <f>IF(39&gt;=Inputs!$B$64,1,0)</f>
        <v>1</v>
      </c>
      <c r="AO23" s="20">
        <f>IF(40&gt;=Inputs!$B$64,1,0)</f>
        <v>1</v>
      </c>
      <c r="AP23" s="20">
        <f>IF(41&gt;=Inputs!$B$64,1,0)</f>
        <v>1</v>
      </c>
      <c r="AQ23" s="20">
        <f>IF(42&gt;=Inputs!$B$64,1,0)</f>
        <v>1</v>
      </c>
      <c r="AR23" s="20">
        <f>IF(43&gt;=Inputs!$B$64,1,0)</f>
        <v>1</v>
      </c>
      <c r="AS23" s="20">
        <f>IF(44&gt;=Inputs!$B$64,1,0)</f>
        <v>1</v>
      </c>
      <c r="AT23" s="20">
        <f>IF(45&gt;=Inputs!$B$64,1,0)</f>
        <v>1</v>
      </c>
      <c r="AU23" s="20">
        <f>IF(46&gt;=Inputs!$B$64,1,0)</f>
        <v>1</v>
      </c>
      <c r="AV23" s="20">
        <f>IF(47&gt;=Inputs!$B$64,1,0)</f>
        <v>1</v>
      </c>
      <c r="AW23" s="20">
        <f>IF(48&gt;=Inputs!$B$64,1,0)</f>
        <v>1</v>
      </c>
      <c r="AX23" s="20">
        <f>IF(49&gt;=Inputs!$B$64,1,0)</f>
        <v>1</v>
      </c>
      <c r="AY23" s="20">
        <f>IF(50&gt;=Inputs!$B$64,1,0)</f>
        <v>1</v>
      </c>
      <c r="AZ23" s="20">
        <f>IF(51&gt;=Inputs!$B$64,1,0)</f>
        <v>1</v>
      </c>
      <c r="BA23" s="20">
        <f>IF(52&gt;=Inputs!$B$64,1,0)</f>
        <v>1</v>
      </c>
    </row>
    <row r="24" spans="1:53" x14ac:dyDescent="0.35">
      <c r="A24" s="3" t="s">
        <v>137</v>
      </c>
      <c r="B24" s="20">
        <f>IF(1&gt;=Inputs!$B$65,1,0)</f>
        <v>0</v>
      </c>
      <c r="C24" s="20">
        <f>IF(2&gt;=Inputs!$B$65,1,0)</f>
        <v>0</v>
      </c>
      <c r="D24" s="20">
        <f>IF(3&gt;=Inputs!$B$65,1,0)</f>
        <v>0</v>
      </c>
      <c r="E24" s="20">
        <f>IF(4&gt;=Inputs!$B$65,1,0)</f>
        <v>0</v>
      </c>
      <c r="F24" s="20">
        <f>IF(5&gt;=Inputs!$B$65,1,0)</f>
        <v>0</v>
      </c>
      <c r="G24" s="20">
        <f>IF(6&gt;=Inputs!$B$65,1,0)</f>
        <v>0</v>
      </c>
      <c r="H24" s="20">
        <f>IF(7&gt;=Inputs!$B$65,1,0)</f>
        <v>0</v>
      </c>
      <c r="I24" s="20">
        <f>IF(8&gt;=Inputs!$B$65,1,0)</f>
        <v>0</v>
      </c>
      <c r="J24" s="20">
        <f>IF(9&gt;=Inputs!$B$65,1,0)</f>
        <v>0</v>
      </c>
      <c r="K24" s="20">
        <f>IF(10&gt;=Inputs!$B$65,1,0)</f>
        <v>0</v>
      </c>
      <c r="L24" s="20">
        <f>IF(11&gt;=Inputs!$B$65,1,0)</f>
        <v>0</v>
      </c>
      <c r="M24" s="20">
        <f>IF(12&gt;=Inputs!$B$65,1,0)</f>
        <v>0</v>
      </c>
      <c r="N24" s="20">
        <f>IF(13&gt;=Inputs!$B$65,1,0)</f>
        <v>0</v>
      </c>
      <c r="O24" s="20">
        <f>IF(14&gt;=Inputs!$B$65,1,0)</f>
        <v>0</v>
      </c>
      <c r="P24" s="20">
        <f>IF(15&gt;=Inputs!$B$65,1,0)</f>
        <v>0</v>
      </c>
      <c r="Q24" s="20">
        <f>IF(16&gt;=Inputs!$B$65,1,0)</f>
        <v>0</v>
      </c>
      <c r="R24" s="20">
        <f>IF(17&gt;=Inputs!$B$65,1,0)</f>
        <v>0</v>
      </c>
      <c r="S24" s="20">
        <f>IF(18&gt;=Inputs!$B$65,1,0)</f>
        <v>0</v>
      </c>
      <c r="T24" s="20">
        <f>IF(19&gt;=Inputs!$B$65,1,0)</f>
        <v>0</v>
      </c>
      <c r="U24" s="20">
        <f>IF(20&gt;=Inputs!$B$65,1,0)</f>
        <v>0</v>
      </c>
      <c r="V24" s="20">
        <f>IF(21&gt;=Inputs!$B$65,1,0)</f>
        <v>0</v>
      </c>
      <c r="W24" s="20">
        <f>IF(22&gt;=Inputs!$B$65,1,0)</f>
        <v>0</v>
      </c>
      <c r="X24" s="20">
        <f>IF(23&gt;=Inputs!$B$65,1,0)</f>
        <v>0</v>
      </c>
      <c r="Y24" s="20">
        <f>IF(24&gt;=Inputs!$B$65,1,0)</f>
        <v>0</v>
      </c>
      <c r="Z24" s="20">
        <f>IF(25&gt;=Inputs!$B$65,1,0)</f>
        <v>0</v>
      </c>
      <c r="AA24" s="20">
        <f>IF(26&gt;=Inputs!$B$65,1,0)</f>
        <v>0</v>
      </c>
      <c r="AB24" s="20">
        <f>IF(27&gt;=Inputs!$B$65,1,0)</f>
        <v>0</v>
      </c>
      <c r="AC24" s="20">
        <f>IF(28&gt;=Inputs!$B$65,1,0)</f>
        <v>0</v>
      </c>
      <c r="AD24" s="20">
        <f>IF(29&gt;=Inputs!$B$65,1,0)</f>
        <v>0</v>
      </c>
      <c r="AE24" s="20">
        <f>IF(30&gt;=Inputs!$B$65,1,0)</f>
        <v>1</v>
      </c>
      <c r="AF24" s="20">
        <f>IF(31&gt;=Inputs!$B$65,1,0)</f>
        <v>1</v>
      </c>
      <c r="AG24" s="20">
        <f>IF(32&gt;=Inputs!$B$65,1,0)</f>
        <v>1</v>
      </c>
      <c r="AH24" s="20">
        <f>IF(33&gt;=Inputs!$B$65,1,0)</f>
        <v>1</v>
      </c>
      <c r="AI24" s="20">
        <f>IF(34&gt;=Inputs!$B$65,1,0)</f>
        <v>1</v>
      </c>
      <c r="AJ24" s="20">
        <f>IF(35&gt;=Inputs!$B$65,1,0)</f>
        <v>1</v>
      </c>
      <c r="AK24" s="20">
        <f>IF(36&gt;=Inputs!$B$65,1,0)</f>
        <v>1</v>
      </c>
      <c r="AL24" s="20">
        <f>IF(37&gt;=Inputs!$B$65,1,0)</f>
        <v>1</v>
      </c>
      <c r="AM24" s="20">
        <f>IF(38&gt;=Inputs!$B$65,1,0)</f>
        <v>1</v>
      </c>
      <c r="AN24" s="20">
        <f>IF(39&gt;=Inputs!$B$65,1,0)</f>
        <v>1</v>
      </c>
      <c r="AO24" s="20">
        <f>IF(40&gt;=Inputs!$B$65,1,0)</f>
        <v>1</v>
      </c>
      <c r="AP24" s="20">
        <f>IF(41&gt;=Inputs!$B$65,1,0)</f>
        <v>1</v>
      </c>
      <c r="AQ24" s="20">
        <f>IF(42&gt;=Inputs!$B$65,1,0)</f>
        <v>1</v>
      </c>
      <c r="AR24" s="20">
        <f>IF(43&gt;=Inputs!$B$65,1,0)</f>
        <v>1</v>
      </c>
      <c r="AS24" s="20">
        <f>IF(44&gt;=Inputs!$B$65,1,0)</f>
        <v>1</v>
      </c>
      <c r="AT24" s="20">
        <f>IF(45&gt;=Inputs!$B$65,1,0)</f>
        <v>1</v>
      </c>
      <c r="AU24" s="20">
        <f>IF(46&gt;=Inputs!$B$65,1,0)</f>
        <v>1</v>
      </c>
      <c r="AV24" s="20">
        <f>IF(47&gt;=Inputs!$B$65,1,0)</f>
        <v>1</v>
      </c>
      <c r="AW24" s="20">
        <f>IF(48&gt;=Inputs!$B$65,1,0)</f>
        <v>1</v>
      </c>
      <c r="AX24" s="20">
        <f>IF(49&gt;=Inputs!$B$65,1,0)</f>
        <v>1</v>
      </c>
      <c r="AY24" s="20">
        <f>IF(50&gt;=Inputs!$B$65,1,0)</f>
        <v>1</v>
      </c>
      <c r="AZ24" s="20">
        <f>IF(51&gt;=Inputs!$B$65,1,0)</f>
        <v>1</v>
      </c>
      <c r="BA24" s="20">
        <f>IF(52&gt;=Inputs!$B$65,1,0)</f>
        <v>1</v>
      </c>
    </row>
    <row r="25" spans="1:53" x14ac:dyDescent="0.35">
      <c r="A25" s="3" t="s">
        <v>139</v>
      </c>
      <c r="B25" s="20">
        <f>IF(1&gt;=Inputs!$B$66,1,0)</f>
        <v>0</v>
      </c>
      <c r="C25" s="20">
        <f>IF(2&gt;=Inputs!$B$66,1,0)</f>
        <v>0</v>
      </c>
      <c r="D25" s="20">
        <f>IF(3&gt;=Inputs!$B$66,1,0)</f>
        <v>0</v>
      </c>
      <c r="E25" s="20">
        <f>IF(4&gt;=Inputs!$B$66,1,0)</f>
        <v>0</v>
      </c>
      <c r="F25" s="20">
        <f>IF(5&gt;=Inputs!$B$66,1,0)</f>
        <v>0</v>
      </c>
      <c r="G25" s="20">
        <f>IF(6&gt;=Inputs!$B$66,1,0)</f>
        <v>0</v>
      </c>
      <c r="H25" s="20">
        <f>IF(7&gt;=Inputs!$B$66,1,0)</f>
        <v>0</v>
      </c>
      <c r="I25" s="20">
        <f>IF(8&gt;=Inputs!$B$66,1,0)</f>
        <v>0</v>
      </c>
      <c r="J25" s="20">
        <f>IF(9&gt;=Inputs!$B$66,1,0)</f>
        <v>0</v>
      </c>
      <c r="K25" s="20">
        <f>IF(10&gt;=Inputs!$B$66,1,0)</f>
        <v>0</v>
      </c>
      <c r="L25" s="20">
        <f>IF(11&gt;=Inputs!$B$66,1,0)</f>
        <v>0</v>
      </c>
      <c r="M25" s="20">
        <f>IF(12&gt;=Inputs!$B$66,1,0)</f>
        <v>0</v>
      </c>
      <c r="N25" s="20">
        <f>IF(13&gt;=Inputs!$B$66,1,0)</f>
        <v>0</v>
      </c>
      <c r="O25" s="20">
        <f>IF(14&gt;=Inputs!$B$66,1,0)</f>
        <v>0</v>
      </c>
      <c r="P25" s="20">
        <f>IF(15&gt;=Inputs!$B$66,1,0)</f>
        <v>0</v>
      </c>
      <c r="Q25" s="20">
        <f>IF(16&gt;=Inputs!$B$66,1,0)</f>
        <v>0</v>
      </c>
      <c r="R25" s="20">
        <f>IF(17&gt;=Inputs!$B$66,1,0)</f>
        <v>0</v>
      </c>
      <c r="S25" s="20">
        <f>IF(18&gt;=Inputs!$B$66,1,0)</f>
        <v>0</v>
      </c>
      <c r="T25" s="20">
        <f>IF(19&gt;=Inputs!$B$66,1,0)</f>
        <v>0</v>
      </c>
      <c r="U25" s="20">
        <f>IF(20&gt;=Inputs!$B$66,1,0)</f>
        <v>0</v>
      </c>
      <c r="V25" s="20">
        <f>IF(21&gt;=Inputs!$B$66,1,0)</f>
        <v>0</v>
      </c>
      <c r="W25" s="20">
        <f>IF(22&gt;=Inputs!$B$66,1,0)</f>
        <v>0</v>
      </c>
      <c r="X25" s="20">
        <f>IF(23&gt;=Inputs!$B$66,1,0)</f>
        <v>0</v>
      </c>
      <c r="Y25" s="20">
        <f>IF(24&gt;=Inputs!$B$66,1,0)</f>
        <v>0</v>
      </c>
      <c r="Z25" s="20">
        <f>IF(25&gt;=Inputs!$B$66,1,0)</f>
        <v>0</v>
      </c>
      <c r="AA25" s="20">
        <f>IF(26&gt;=Inputs!$B$66,1,0)</f>
        <v>0</v>
      </c>
      <c r="AB25" s="20">
        <f>IF(27&gt;=Inputs!$B$66,1,0)</f>
        <v>0</v>
      </c>
      <c r="AC25" s="20">
        <f>IF(28&gt;=Inputs!$B$66,1,0)</f>
        <v>0</v>
      </c>
      <c r="AD25" s="20">
        <f>IF(29&gt;=Inputs!$B$66,1,0)</f>
        <v>0</v>
      </c>
      <c r="AE25" s="20">
        <f>IF(30&gt;=Inputs!$B$66,1,0)</f>
        <v>0</v>
      </c>
      <c r="AF25" s="20">
        <f>IF(31&gt;=Inputs!$B$66,1,0)</f>
        <v>0</v>
      </c>
      <c r="AG25" s="20">
        <f>IF(32&gt;=Inputs!$B$66,1,0)</f>
        <v>1</v>
      </c>
      <c r="AH25" s="20">
        <f>IF(33&gt;=Inputs!$B$66,1,0)</f>
        <v>1</v>
      </c>
      <c r="AI25" s="20">
        <f>IF(34&gt;=Inputs!$B$66,1,0)</f>
        <v>1</v>
      </c>
      <c r="AJ25" s="20">
        <f>IF(35&gt;=Inputs!$B$66,1,0)</f>
        <v>1</v>
      </c>
      <c r="AK25" s="20">
        <f>IF(36&gt;=Inputs!$B$66,1,0)</f>
        <v>1</v>
      </c>
      <c r="AL25" s="20">
        <f>IF(37&gt;=Inputs!$B$66,1,0)</f>
        <v>1</v>
      </c>
      <c r="AM25" s="20">
        <f>IF(38&gt;=Inputs!$B$66,1,0)</f>
        <v>1</v>
      </c>
      <c r="AN25" s="20">
        <f>IF(39&gt;=Inputs!$B$66,1,0)</f>
        <v>1</v>
      </c>
      <c r="AO25" s="20">
        <f>IF(40&gt;=Inputs!$B$66,1,0)</f>
        <v>1</v>
      </c>
      <c r="AP25" s="20">
        <f>IF(41&gt;=Inputs!$B$66,1,0)</f>
        <v>1</v>
      </c>
      <c r="AQ25" s="20">
        <f>IF(42&gt;=Inputs!$B$66,1,0)</f>
        <v>1</v>
      </c>
      <c r="AR25" s="20">
        <f>IF(43&gt;=Inputs!$B$66,1,0)</f>
        <v>1</v>
      </c>
      <c r="AS25" s="20">
        <f>IF(44&gt;=Inputs!$B$66,1,0)</f>
        <v>1</v>
      </c>
      <c r="AT25" s="20">
        <f>IF(45&gt;=Inputs!$B$66,1,0)</f>
        <v>1</v>
      </c>
      <c r="AU25" s="20">
        <f>IF(46&gt;=Inputs!$B$66,1,0)</f>
        <v>1</v>
      </c>
      <c r="AV25" s="20">
        <f>IF(47&gt;=Inputs!$B$66,1,0)</f>
        <v>1</v>
      </c>
      <c r="AW25" s="20">
        <f>IF(48&gt;=Inputs!$B$66,1,0)</f>
        <v>1</v>
      </c>
      <c r="AX25" s="20">
        <f>IF(49&gt;=Inputs!$B$66,1,0)</f>
        <v>1</v>
      </c>
      <c r="AY25" s="20">
        <f>IF(50&gt;=Inputs!$B$66,1,0)</f>
        <v>1</v>
      </c>
      <c r="AZ25" s="20">
        <f>IF(51&gt;=Inputs!$B$66,1,0)</f>
        <v>1</v>
      </c>
      <c r="BA25" s="20">
        <f>IF(52&gt;=Inputs!$B$66,1,0)</f>
        <v>1</v>
      </c>
    </row>
    <row r="26" spans="1:53" x14ac:dyDescent="0.35">
      <c r="A26" s="3" t="s">
        <v>141</v>
      </c>
      <c r="B26" s="20">
        <f>IF(1&gt;=Inputs!$B$67,1,0)</f>
        <v>0</v>
      </c>
      <c r="C26" s="20">
        <f>IF(2&gt;=Inputs!$B$67,1,0)</f>
        <v>0</v>
      </c>
      <c r="D26" s="20">
        <f>IF(3&gt;=Inputs!$B$67,1,0)</f>
        <v>0</v>
      </c>
      <c r="E26" s="20">
        <f>IF(4&gt;=Inputs!$B$67,1,0)</f>
        <v>0</v>
      </c>
      <c r="F26" s="20">
        <f>IF(5&gt;=Inputs!$B$67,1,0)</f>
        <v>0</v>
      </c>
      <c r="G26" s="20">
        <f>IF(6&gt;=Inputs!$B$67,1,0)</f>
        <v>0</v>
      </c>
      <c r="H26" s="20">
        <f>IF(7&gt;=Inputs!$B$67,1,0)</f>
        <v>0</v>
      </c>
      <c r="I26" s="20">
        <f>IF(8&gt;=Inputs!$B$67,1,0)</f>
        <v>0</v>
      </c>
      <c r="J26" s="20">
        <f>IF(9&gt;=Inputs!$B$67,1,0)</f>
        <v>0</v>
      </c>
      <c r="K26" s="20">
        <f>IF(10&gt;=Inputs!$B$67,1,0)</f>
        <v>0</v>
      </c>
      <c r="L26" s="20">
        <f>IF(11&gt;=Inputs!$B$67,1,0)</f>
        <v>0</v>
      </c>
      <c r="M26" s="20">
        <f>IF(12&gt;=Inputs!$B$67,1,0)</f>
        <v>0</v>
      </c>
      <c r="N26" s="20">
        <f>IF(13&gt;=Inputs!$B$67,1,0)</f>
        <v>0</v>
      </c>
      <c r="O26" s="20">
        <f>IF(14&gt;=Inputs!$B$67,1,0)</f>
        <v>0</v>
      </c>
      <c r="P26" s="20">
        <f>IF(15&gt;=Inputs!$B$67,1,0)</f>
        <v>0</v>
      </c>
      <c r="Q26" s="20">
        <f>IF(16&gt;=Inputs!$B$67,1,0)</f>
        <v>0</v>
      </c>
      <c r="R26" s="20">
        <f>IF(17&gt;=Inputs!$B$67,1,0)</f>
        <v>0</v>
      </c>
      <c r="S26" s="20">
        <f>IF(18&gt;=Inputs!$B$67,1,0)</f>
        <v>0</v>
      </c>
      <c r="T26" s="20">
        <f>IF(19&gt;=Inputs!$B$67,1,0)</f>
        <v>0</v>
      </c>
      <c r="U26" s="20">
        <f>IF(20&gt;=Inputs!$B$67,1,0)</f>
        <v>0</v>
      </c>
      <c r="V26" s="20">
        <f>IF(21&gt;=Inputs!$B$67,1,0)</f>
        <v>0</v>
      </c>
      <c r="W26" s="20">
        <f>IF(22&gt;=Inputs!$B$67,1,0)</f>
        <v>0</v>
      </c>
      <c r="X26" s="20">
        <f>IF(23&gt;=Inputs!$B$67,1,0)</f>
        <v>0</v>
      </c>
      <c r="Y26" s="20">
        <f>IF(24&gt;=Inputs!$B$67,1,0)</f>
        <v>0</v>
      </c>
      <c r="Z26" s="20">
        <f>IF(25&gt;=Inputs!$B$67,1,0)</f>
        <v>0</v>
      </c>
      <c r="AA26" s="20">
        <f>IF(26&gt;=Inputs!$B$67,1,0)</f>
        <v>0</v>
      </c>
      <c r="AB26" s="20">
        <f>IF(27&gt;=Inputs!$B$67,1,0)</f>
        <v>0</v>
      </c>
      <c r="AC26" s="20">
        <f>IF(28&gt;=Inputs!$B$67,1,0)</f>
        <v>0</v>
      </c>
      <c r="AD26" s="20">
        <f>IF(29&gt;=Inputs!$B$67,1,0)</f>
        <v>0</v>
      </c>
      <c r="AE26" s="20">
        <f>IF(30&gt;=Inputs!$B$67,1,0)</f>
        <v>0</v>
      </c>
      <c r="AF26" s="20">
        <f>IF(31&gt;=Inputs!$B$67,1,0)</f>
        <v>0</v>
      </c>
      <c r="AG26" s="20">
        <f>IF(32&gt;=Inputs!$B$67,1,0)</f>
        <v>0</v>
      </c>
      <c r="AH26" s="20">
        <f>IF(33&gt;=Inputs!$B$67,1,0)</f>
        <v>0</v>
      </c>
      <c r="AI26" s="20">
        <f>IF(34&gt;=Inputs!$B$67,1,0)</f>
        <v>1</v>
      </c>
      <c r="AJ26" s="20">
        <f>IF(35&gt;=Inputs!$B$67,1,0)</f>
        <v>1</v>
      </c>
      <c r="AK26" s="20">
        <f>IF(36&gt;=Inputs!$B$67,1,0)</f>
        <v>1</v>
      </c>
      <c r="AL26" s="20">
        <f>IF(37&gt;=Inputs!$B$67,1,0)</f>
        <v>1</v>
      </c>
      <c r="AM26" s="20">
        <f>IF(38&gt;=Inputs!$B$67,1,0)</f>
        <v>1</v>
      </c>
      <c r="AN26" s="20">
        <f>IF(39&gt;=Inputs!$B$67,1,0)</f>
        <v>1</v>
      </c>
      <c r="AO26" s="20">
        <f>IF(40&gt;=Inputs!$B$67,1,0)</f>
        <v>1</v>
      </c>
      <c r="AP26" s="20">
        <f>IF(41&gt;=Inputs!$B$67,1,0)</f>
        <v>1</v>
      </c>
      <c r="AQ26" s="20">
        <f>IF(42&gt;=Inputs!$B$67,1,0)</f>
        <v>1</v>
      </c>
      <c r="AR26" s="20">
        <f>IF(43&gt;=Inputs!$B$67,1,0)</f>
        <v>1</v>
      </c>
      <c r="AS26" s="20">
        <f>IF(44&gt;=Inputs!$B$67,1,0)</f>
        <v>1</v>
      </c>
      <c r="AT26" s="20">
        <f>IF(45&gt;=Inputs!$B$67,1,0)</f>
        <v>1</v>
      </c>
      <c r="AU26" s="20">
        <f>IF(46&gt;=Inputs!$B$67,1,0)</f>
        <v>1</v>
      </c>
      <c r="AV26" s="20">
        <f>IF(47&gt;=Inputs!$B$67,1,0)</f>
        <v>1</v>
      </c>
      <c r="AW26" s="20">
        <f>IF(48&gt;=Inputs!$B$67,1,0)</f>
        <v>1</v>
      </c>
      <c r="AX26" s="20">
        <f>IF(49&gt;=Inputs!$B$67,1,0)</f>
        <v>1</v>
      </c>
      <c r="AY26" s="20">
        <f>IF(50&gt;=Inputs!$B$67,1,0)</f>
        <v>1</v>
      </c>
      <c r="AZ26" s="20">
        <f>IF(51&gt;=Inputs!$B$67,1,0)</f>
        <v>1</v>
      </c>
      <c r="BA26" s="20">
        <f>IF(52&gt;=Inputs!$B$67,1,0)</f>
        <v>1</v>
      </c>
    </row>
    <row r="27" spans="1:53" x14ac:dyDescent="0.35">
      <c r="A27" s="3" t="s">
        <v>143</v>
      </c>
      <c r="B27" s="20">
        <f>IF(1&gt;=Inputs!$B$68,1,0)</f>
        <v>0</v>
      </c>
      <c r="C27" s="20">
        <f>IF(2&gt;=Inputs!$B$68,1,0)</f>
        <v>0</v>
      </c>
      <c r="D27" s="20">
        <f>IF(3&gt;=Inputs!$B$68,1,0)</f>
        <v>0</v>
      </c>
      <c r="E27" s="20">
        <f>IF(4&gt;=Inputs!$B$68,1,0)</f>
        <v>0</v>
      </c>
      <c r="F27" s="20">
        <f>IF(5&gt;=Inputs!$B$68,1,0)</f>
        <v>0</v>
      </c>
      <c r="G27" s="20">
        <f>IF(6&gt;=Inputs!$B$68,1,0)</f>
        <v>0</v>
      </c>
      <c r="H27" s="20">
        <f>IF(7&gt;=Inputs!$B$68,1,0)</f>
        <v>0</v>
      </c>
      <c r="I27" s="20">
        <f>IF(8&gt;=Inputs!$B$68,1,0)</f>
        <v>0</v>
      </c>
      <c r="J27" s="20">
        <f>IF(9&gt;=Inputs!$B$68,1,0)</f>
        <v>0</v>
      </c>
      <c r="K27" s="20">
        <f>IF(10&gt;=Inputs!$B$68,1,0)</f>
        <v>0</v>
      </c>
      <c r="L27" s="20">
        <f>IF(11&gt;=Inputs!$B$68,1,0)</f>
        <v>0</v>
      </c>
      <c r="M27" s="20">
        <f>IF(12&gt;=Inputs!$B$68,1,0)</f>
        <v>0</v>
      </c>
      <c r="N27" s="20">
        <f>IF(13&gt;=Inputs!$B$68,1,0)</f>
        <v>0</v>
      </c>
      <c r="O27" s="20">
        <f>IF(14&gt;=Inputs!$B$68,1,0)</f>
        <v>0</v>
      </c>
      <c r="P27" s="20">
        <f>IF(15&gt;=Inputs!$B$68,1,0)</f>
        <v>0</v>
      </c>
      <c r="Q27" s="20">
        <f>IF(16&gt;=Inputs!$B$68,1,0)</f>
        <v>0</v>
      </c>
      <c r="R27" s="20">
        <f>IF(17&gt;=Inputs!$B$68,1,0)</f>
        <v>0</v>
      </c>
      <c r="S27" s="20">
        <f>IF(18&gt;=Inputs!$B$68,1,0)</f>
        <v>0</v>
      </c>
      <c r="T27" s="20">
        <f>IF(19&gt;=Inputs!$B$68,1,0)</f>
        <v>0</v>
      </c>
      <c r="U27" s="20">
        <f>IF(20&gt;=Inputs!$B$68,1,0)</f>
        <v>0</v>
      </c>
      <c r="V27" s="20">
        <f>IF(21&gt;=Inputs!$B$68,1,0)</f>
        <v>0</v>
      </c>
      <c r="W27" s="20">
        <f>IF(22&gt;=Inputs!$B$68,1,0)</f>
        <v>0</v>
      </c>
      <c r="X27" s="20">
        <f>IF(23&gt;=Inputs!$B$68,1,0)</f>
        <v>0</v>
      </c>
      <c r="Y27" s="20">
        <f>IF(24&gt;=Inputs!$B$68,1,0)</f>
        <v>0</v>
      </c>
      <c r="Z27" s="20">
        <f>IF(25&gt;=Inputs!$B$68,1,0)</f>
        <v>0</v>
      </c>
      <c r="AA27" s="20">
        <f>IF(26&gt;=Inputs!$B$68,1,0)</f>
        <v>0</v>
      </c>
      <c r="AB27" s="20">
        <f>IF(27&gt;=Inputs!$B$68,1,0)</f>
        <v>0</v>
      </c>
      <c r="AC27" s="20">
        <f>IF(28&gt;=Inputs!$B$68,1,0)</f>
        <v>0</v>
      </c>
      <c r="AD27" s="20">
        <f>IF(29&gt;=Inputs!$B$68,1,0)</f>
        <v>0</v>
      </c>
      <c r="AE27" s="20">
        <f>IF(30&gt;=Inputs!$B$68,1,0)</f>
        <v>1</v>
      </c>
      <c r="AF27" s="20">
        <f>IF(31&gt;=Inputs!$B$68,1,0)</f>
        <v>1</v>
      </c>
      <c r="AG27" s="20">
        <f>IF(32&gt;=Inputs!$B$68,1,0)</f>
        <v>1</v>
      </c>
      <c r="AH27" s="20">
        <f>IF(33&gt;=Inputs!$B$68,1,0)</f>
        <v>1</v>
      </c>
      <c r="AI27" s="20">
        <f>IF(34&gt;=Inputs!$B$68,1,0)</f>
        <v>1</v>
      </c>
      <c r="AJ27" s="20">
        <f>IF(35&gt;=Inputs!$B$68,1,0)</f>
        <v>1</v>
      </c>
      <c r="AK27" s="20">
        <f>IF(36&gt;=Inputs!$B$68,1,0)</f>
        <v>1</v>
      </c>
      <c r="AL27" s="20">
        <f>IF(37&gt;=Inputs!$B$68,1,0)</f>
        <v>1</v>
      </c>
      <c r="AM27" s="20">
        <f>IF(38&gt;=Inputs!$B$68,1,0)</f>
        <v>1</v>
      </c>
      <c r="AN27" s="20">
        <f>IF(39&gt;=Inputs!$B$68,1,0)</f>
        <v>1</v>
      </c>
      <c r="AO27" s="20">
        <f>IF(40&gt;=Inputs!$B$68,1,0)</f>
        <v>1</v>
      </c>
      <c r="AP27" s="20">
        <f>IF(41&gt;=Inputs!$B$68,1,0)</f>
        <v>1</v>
      </c>
      <c r="AQ27" s="20">
        <f>IF(42&gt;=Inputs!$B$68,1,0)</f>
        <v>1</v>
      </c>
      <c r="AR27" s="20">
        <f>IF(43&gt;=Inputs!$B$68,1,0)</f>
        <v>1</v>
      </c>
      <c r="AS27" s="20">
        <f>IF(44&gt;=Inputs!$B$68,1,0)</f>
        <v>1</v>
      </c>
      <c r="AT27" s="20">
        <f>IF(45&gt;=Inputs!$B$68,1,0)</f>
        <v>1</v>
      </c>
      <c r="AU27" s="20">
        <f>IF(46&gt;=Inputs!$B$68,1,0)</f>
        <v>1</v>
      </c>
      <c r="AV27" s="20">
        <f>IF(47&gt;=Inputs!$B$68,1,0)</f>
        <v>1</v>
      </c>
      <c r="AW27" s="20">
        <f>IF(48&gt;=Inputs!$B$68,1,0)</f>
        <v>1</v>
      </c>
      <c r="AX27" s="20">
        <f>IF(49&gt;=Inputs!$B$68,1,0)</f>
        <v>1</v>
      </c>
      <c r="AY27" s="20">
        <f>IF(50&gt;=Inputs!$B$68,1,0)</f>
        <v>1</v>
      </c>
      <c r="AZ27" s="20">
        <f>IF(51&gt;=Inputs!$B$68,1,0)</f>
        <v>1</v>
      </c>
      <c r="BA27" s="20">
        <f>IF(52&gt;=Inputs!$B$68,1,0)</f>
        <v>1</v>
      </c>
    </row>
    <row r="28" spans="1:53" x14ac:dyDescent="0.35">
      <c r="A28" s="3" t="s">
        <v>145</v>
      </c>
      <c r="B28" s="20">
        <f>IF(1&gt;=Inputs!$B$69,1,0)</f>
        <v>0</v>
      </c>
      <c r="C28" s="20">
        <f>IF(2&gt;=Inputs!$B$69,1,0)</f>
        <v>0</v>
      </c>
      <c r="D28" s="20">
        <f>IF(3&gt;=Inputs!$B$69,1,0)</f>
        <v>0</v>
      </c>
      <c r="E28" s="20">
        <f>IF(4&gt;=Inputs!$B$69,1,0)</f>
        <v>0</v>
      </c>
      <c r="F28" s="20">
        <f>IF(5&gt;=Inputs!$B$69,1,0)</f>
        <v>0</v>
      </c>
      <c r="G28" s="20">
        <f>IF(6&gt;=Inputs!$B$69,1,0)</f>
        <v>0</v>
      </c>
      <c r="H28" s="20">
        <f>IF(7&gt;=Inputs!$B$69,1,0)</f>
        <v>0</v>
      </c>
      <c r="I28" s="20">
        <f>IF(8&gt;=Inputs!$B$69,1,0)</f>
        <v>0</v>
      </c>
      <c r="J28" s="20">
        <f>IF(9&gt;=Inputs!$B$69,1,0)</f>
        <v>0</v>
      </c>
      <c r="K28" s="20">
        <f>IF(10&gt;=Inputs!$B$69,1,0)</f>
        <v>0</v>
      </c>
      <c r="L28" s="20">
        <f>IF(11&gt;=Inputs!$B$69,1,0)</f>
        <v>0</v>
      </c>
      <c r="M28" s="20">
        <f>IF(12&gt;=Inputs!$B$69,1,0)</f>
        <v>0</v>
      </c>
      <c r="N28" s="20">
        <f>IF(13&gt;=Inputs!$B$69,1,0)</f>
        <v>0</v>
      </c>
      <c r="O28" s="20">
        <f>IF(14&gt;=Inputs!$B$69,1,0)</f>
        <v>0</v>
      </c>
      <c r="P28" s="20">
        <f>IF(15&gt;=Inputs!$B$69,1,0)</f>
        <v>0</v>
      </c>
      <c r="Q28" s="20">
        <f>IF(16&gt;=Inputs!$B$69,1,0)</f>
        <v>0</v>
      </c>
      <c r="R28" s="20">
        <f>IF(17&gt;=Inputs!$B$69,1,0)</f>
        <v>0</v>
      </c>
      <c r="S28" s="20">
        <f>IF(18&gt;=Inputs!$B$69,1,0)</f>
        <v>0</v>
      </c>
      <c r="T28" s="20">
        <f>IF(19&gt;=Inputs!$B$69,1,0)</f>
        <v>0</v>
      </c>
      <c r="U28" s="20">
        <f>IF(20&gt;=Inputs!$B$69,1,0)</f>
        <v>0</v>
      </c>
      <c r="V28" s="20">
        <f>IF(21&gt;=Inputs!$B$69,1,0)</f>
        <v>0</v>
      </c>
      <c r="W28" s="20">
        <f>IF(22&gt;=Inputs!$B$69,1,0)</f>
        <v>0</v>
      </c>
      <c r="X28" s="20">
        <f>IF(23&gt;=Inputs!$B$69,1,0)</f>
        <v>0</v>
      </c>
      <c r="Y28" s="20">
        <f>IF(24&gt;=Inputs!$B$69,1,0)</f>
        <v>0</v>
      </c>
      <c r="Z28" s="20">
        <f>IF(25&gt;=Inputs!$B$69,1,0)</f>
        <v>0</v>
      </c>
      <c r="AA28" s="20">
        <f>IF(26&gt;=Inputs!$B$69,1,0)</f>
        <v>0</v>
      </c>
      <c r="AB28" s="20">
        <f>IF(27&gt;=Inputs!$B$69,1,0)</f>
        <v>0</v>
      </c>
      <c r="AC28" s="20">
        <f>IF(28&gt;=Inputs!$B$69,1,0)</f>
        <v>0</v>
      </c>
      <c r="AD28" s="20">
        <f>IF(29&gt;=Inputs!$B$69,1,0)</f>
        <v>0</v>
      </c>
      <c r="AE28" s="20">
        <f>IF(30&gt;=Inputs!$B$69,1,0)</f>
        <v>0</v>
      </c>
      <c r="AF28" s="20">
        <f>IF(31&gt;=Inputs!$B$69,1,0)</f>
        <v>0</v>
      </c>
      <c r="AG28" s="20">
        <f>IF(32&gt;=Inputs!$B$69,1,0)</f>
        <v>0</v>
      </c>
      <c r="AH28" s="20">
        <f>IF(33&gt;=Inputs!$B$69,1,0)</f>
        <v>0</v>
      </c>
      <c r="AI28" s="20">
        <f>IF(34&gt;=Inputs!$B$69,1,0)</f>
        <v>0</v>
      </c>
      <c r="AJ28" s="20">
        <f>IF(35&gt;=Inputs!$B$69,1,0)</f>
        <v>0</v>
      </c>
      <c r="AK28" s="20">
        <f>IF(36&gt;=Inputs!$B$69,1,0)</f>
        <v>1</v>
      </c>
      <c r="AL28" s="20">
        <f>IF(37&gt;=Inputs!$B$69,1,0)</f>
        <v>1</v>
      </c>
      <c r="AM28" s="20">
        <f>IF(38&gt;=Inputs!$B$69,1,0)</f>
        <v>1</v>
      </c>
      <c r="AN28" s="20">
        <f>IF(39&gt;=Inputs!$B$69,1,0)</f>
        <v>1</v>
      </c>
      <c r="AO28" s="20">
        <f>IF(40&gt;=Inputs!$B$69,1,0)</f>
        <v>1</v>
      </c>
      <c r="AP28" s="20">
        <f>IF(41&gt;=Inputs!$B$69,1,0)</f>
        <v>1</v>
      </c>
      <c r="AQ28" s="20">
        <f>IF(42&gt;=Inputs!$B$69,1,0)</f>
        <v>1</v>
      </c>
      <c r="AR28" s="20">
        <f>IF(43&gt;=Inputs!$B$69,1,0)</f>
        <v>1</v>
      </c>
      <c r="AS28" s="20">
        <f>IF(44&gt;=Inputs!$B$69,1,0)</f>
        <v>1</v>
      </c>
      <c r="AT28" s="20">
        <f>IF(45&gt;=Inputs!$B$69,1,0)</f>
        <v>1</v>
      </c>
      <c r="AU28" s="20">
        <f>IF(46&gt;=Inputs!$B$69,1,0)</f>
        <v>1</v>
      </c>
      <c r="AV28" s="20">
        <f>IF(47&gt;=Inputs!$B$69,1,0)</f>
        <v>1</v>
      </c>
      <c r="AW28" s="20">
        <f>IF(48&gt;=Inputs!$B$69,1,0)</f>
        <v>1</v>
      </c>
      <c r="AX28" s="20">
        <f>IF(49&gt;=Inputs!$B$69,1,0)</f>
        <v>1</v>
      </c>
      <c r="AY28" s="20">
        <f>IF(50&gt;=Inputs!$B$69,1,0)</f>
        <v>1</v>
      </c>
      <c r="AZ28" s="20">
        <f>IF(51&gt;=Inputs!$B$69,1,0)</f>
        <v>1</v>
      </c>
      <c r="BA28" s="20">
        <f>IF(52&gt;=Inputs!$B$69,1,0)</f>
        <v>1</v>
      </c>
    </row>
    <row r="29" spans="1:53" x14ac:dyDescent="0.35">
      <c r="A29" s="3" t="s">
        <v>147</v>
      </c>
      <c r="B29" s="20">
        <f>IF(1&gt;=Inputs!$B$70,1,0)</f>
        <v>0</v>
      </c>
      <c r="C29" s="20">
        <f>IF(2&gt;=Inputs!$B$70,1,0)</f>
        <v>0</v>
      </c>
      <c r="D29" s="20">
        <f>IF(3&gt;=Inputs!$B$70,1,0)</f>
        <v>0</v>
      </c>
      <c r="E29" s="20">
        <f>IF(4&gt;=Inputs!$B$70,1,0)</f>
        <v>0</v>
      </c>
      <c r="F29" s="20">
        <f>IF(5&gt;=Inputs!$B$70,1,0)</f>
        <v>0</v>
      </c>
      <c r="G29" s="20">
        <f>IF(6&gt;=Inputs!$B$70,1,0)</f>
        <v>0</v>
      </c>
      <c r="H29" s="20">
        <f>IF(7&gt;=Inputs!$B$70,1,0)</f>
        <v>0</v>
      </c>
      <c r="I29" s="20">
        <f>IF(8&gt;=Inputs!$B$70,1,0)</f>
        <v>0</v>
      </c>
      <c r="J29" s="20">
        <f>IF(9&gt;=Inputs!$B$70,1,0)</f>
        <v>0</v>
      </c>
      <c r="K29" s="20">
        <f>IF(10&gt;=Inputs!$B$70,1,0)</f>
        <v>0</v>
      </c>
      <c r="L29" s="20">
        <f>IF(11&gt;=Inputs!$B$70,1,0)</f>
        <v>0</v>
      </c>
      <c r="M29" s="20">
        <f>IF(12&gt;=Inputs!$B$70,1,0)</f>
        <v>0</v>
      </c>
      <c r="N29" s="20">
        <f>IF(13&gt;=Inputs!$B$70,1,0)</f>
        <v>0</v>
      </c>
      <c r="O29" s="20">
        <f>IF(14&gt;=Inputs!$B$70,1,0)</f>
        <v>0</v>
      </c>
      <c r="P29" s="20">
        <f>IF(15&gt;=Inputs!$B$70,1,0)</f>
        <v>0</v>
      </c>
      <c r="Q29" s="20">
        <f>IF(16&gt;=Inputs!$B$70,1,0)</f>
        <v>0</v>
      </c>
      <c r="R29" s="20">
        <f>IF(17&gt;=Inputs!$B$70,1,0)</f>
        <v>0</v>
      </c>
      <c r="S29" s="20">
        <f>IF(18&gt;=Inputs!$B$70,1,0)</f>
        <v>0</v>
      </c>
      <c r="T29" s="20">
        <f>IF(19&gt;=Inputs!$B$70,1,0)</f>
        <v>0</v>
      </c>
      <c r="U29" s="20">
        <f>IF(20&gt;=Inputs!$B$70,1,0)</f>
        <v>0</v>
      </c>
      <c r="V29" s="20">
        <f>IF(21&gt;=Inputs!$B$70,1,0)</f>
        <v>0</v>
      </c>
      <c r="W29" s="20">
        <f>IF(22&gt;=Inputs!$B$70,1,0)</f>
        <v>0</v>
      </c>
      <c r="X29" s="20">
        <f>IF(23&gt;=Inputs!$B$70,1,0)</f>
        <v>0</v>
      </c>
      <c r="Y29" s="20">
        <f>IF(24&gt;=Inputs!$B$70,1,0)</f>
        <v>0</v>
      </c>
      <c r="Z29" s="20">
        <f>IF(25&gt;=Inputs!$B$70,1,0)</f>
        <v>0</v>
      </c>
      <c r="AA29" s="20">
        <f>IF(26&gt;=Inputs!$B$70,1,0)</f>
        <v>0</v>
      </c>
      <c r="AB29" s="20">
        <f>IF(27&gt;=Inputs!$B$70,1,0)</f>
        <v>0</v>
      </c>
      <c r="AC29" s="20">
        <f>IF(28&gt;=Inputs!$B$70,1,0)</f>
        <v>0</v>
      </c>
      <c r="AD29" s="20">
        <f>IF(29&gt;=Inputs!$B$70,1,0)</f>
        <v>0</v>
      </c>
      <c r="AE29" s="20">
        <f>IF(30&gt;=Inputs!$B$70,1,0)</f>
        <v>0</v>
      </c>
      <c r="AF29" s="20">
        <f>IF(31&gt;=Inputs!$B$70,1,0)</f>
        <v>0</v>
      </c>
      <c r="AG29" s="20">
        <f>IF(32&gt;=Inputs!$B$70,1,0)</f>
        <v>0</v>
      </c>
      <c r="AH29" s="20">
        <f>IF(33&gt;=Inputs!$B$70,1,0)</f>
        <v>0</v>
      </c>
      <c r="AI29" s="20">
        <f>IF(34&gt;=Inputs!$B$70,1,0)</f>
        <v>0</v>
      </c>
      <c r="AJ29" s="20">
        <f>IF(35&gt;=Inputs!$B$70,1,0)</f>
        <v>0</v>
      </c>
      <c r="AK29" s="20">
        <f>IF(36&gt;=Inputs!$B$70,1,0)</f>
        <v>1</v>
      </c>
      <c r="AL29" s="20">
        <f>IF(37&gt;=Inputs!$B$70,1,0)</f>
        <v>1</v>
      </c>
      <c r="AM29" s="20">
        <f>IF(38&gt;=Inputs!$B$70,1,0)</f>
        <v>1</v>
      </c>
      <c r="AN29" s="20">
        <f>IF(39&gt;=Inputs!$B$70,1,0)</f>
        <v>1</v>
      </c>
      <c r="AO29" s="20">
        <f>IF(40&gt;=Inputs!$B$70,1,0)</f>
        <v>1</v>
      </c>
      <c r="AP29" s="20">
        <f>IF(41&gt;=Inputs!$B$70,1,0)</f>
        <v>1</v>
      </c>
      <c r="AQ29" s="20">
        <f>IF(42&gt;=Inputs!$B$70,1,0)</f>
        <v>1</v>
      </c>
      <c r="AR29" s="20">
        <f>IF(43&gt;=Inputs!$B$70,1,0)</f>
        <v>1</v>
      </c>
      <c r="AS29" s="20">
        <f>IF(44&gt;=Inputs!$B$70,1,0)</f>
        <v>1</v>
      </c>
      <c r="AT29" s="20">
        <f>IF(45&gt;=Inputs!$B$70,1,0)</f>
        <v>1</v>
      </c>
      <c r="AU29" s="20">
        <f>IF(46&gt;=Inputs!$B$70,1,0)</f>
        <v>1</v>
      </c>
      <c r="AV29" s="20">
        <f>IF(47&gt;=Inputs!$B$70,1,0)</f>
        <v>1</v>
      </c>
      <c r="AW29" s="20">
        <f>IF(48&gt;=Inputs!$B$70,1,0)</f>
        <v>1</v>
      </c>
      <c r="AX29" s="20">
        <f>IF(49&gt;=Inputs!$B$70,1,0)</f>
        <v>1</v>
      </c>
      <c r="AY29" s="20">
        <f>IF(50&gt;=Inputs!$B$70,1,0)</f>
        <v>1</v>
      </c>
      <c r="AZ29" s="20">
        <f>IF(51&gt;=Inputs!$B$70,1,0)</f>
        <v>1</v>
      </c>
      <c r="BA29" s="20">
        <f>IF(52&gt;=Inputs!$B$70,1,0)</f>
        <v>1</v>
      </c>
    </row>
    <row r="30" spans="1:53" x14ac:dyDescent="0.35">
      <c r="A30" s="3" t="s">
        <v>149</v>
      </c>
      <c r="B30" s="20">
        <f>IF(1&gt;=Inputs!$B$71,1,0)</f>
        <v>0</v>
      </c>
      <c r="C30" s="20">
        <f>IF(2&gt;=Inputs!$B$71,1,0)</f>
        <v>0</v>
      </c>
      <c r="D30" s="20">
        <f>IF(3&gt;=Inputs!$B$71,1,0)</f>
        <v>0</v>
      </c>
      <c r="E30" s="20">
        <f>IF(4&gt;=Inputs!$B$71,1,0)</f>
        <v>0</v>
      </c>
      <c r="F30" s="20">
        <f>IF(5&gt;=Inputs!$B$71,1,0)</f>
        <v>0</v>
      </c>
      <c r="G30" s="20">
        <f>IF(6&gt;=Inputs!$B$71,1,0)</f>
        <v>0</v>
      </c>
      <c r="H30" s="20">
        <f>IF(7&gt;=Inputs!$B$71,1,0)</f>
        <v>0</v>
      </c>
      <c r="I30" s="20">
        <f>IF(8&gt;=Inputs!$B$71,1,0)</f>
        <v>0</v>
      </c>
      <c r="J30" s="20">
        <f>IF(9&gt;=Inputs!$B$71,1,0)</f>
        <v>0</v>
      </c>
      <c r="K30" s="20">
        <f>IF(10&gt;=Inputs!$B$71,1,0)</f>
        <v>0</v>
      </c>
      <c r="L30" s="20">
        <f>IF(11&gt;=Inputs!$B$71,1,0)</f>
        <v>0</v>
      </c>
      <c r="M30" s="20">
        <f>IF(12&gt;=Inputs!$B$71,1,0)</f>
        <v>0</v>
      </c>
      <c r="N30" s="20">
        <f>IF(13&gt;=Inputs!$B$71,1,0)</f>
        <v>0</v>
      </c>
      <c r="O30" s="20">
        <f>IF(14&gt;=Inputs!$B$71,1,0)</f>
        <v>0</v>
      </c>
      <c r="P30" s="20">
        <f>IF(15&gt;=Inputs!$B$71,1,0)</f>
        <v>0</v>
      </c>
      <c r="Q30" s="20">
        <f>IF(16&gt;=Inputs!$B$71,1,0)</f>
        <v>0</v>
      </c>
      <c r="R30" s="20">
        <f>IF(17&gt;=Inputs!$B$71,1,0)</f>
        <v>0</v>
      </c>
      <c r="S30" s="20">
        <f>IF(18&gt;=Inputs!$B$71,1,0)</f>
        <v>1</v>
      </c>
      <c r="T30" s="20">
        <f>IF(19&gt;=Inputs!$B$71,1,0)</f>
        <v>1</v>
      </c>
      <c r="U30" s="20">
        <f>IF(20&gt;=Inputs!$B$71,1,0)</f>
        <v>1</v>
      </c>
      <c r="V30" s="20">
        <f>IF(21&gt;=Inputs!$B$71,1,0)</f>
        <v>1</v>
      </c>
      <c r="W30" s="20">
        <f>IF(22&gt;=Inputs!$B$71,1,0)</f>
        <v>1</v>
      </c>
      <c r="X30" s="20">
        <f>IF(23&gt;=Inputs!$B$71,1,0)</f>
        <v>1</v>
      </c>
      <c r="Y30" s="20">
        <f>IF(24&gt;=Inputs!$B$71,1,0)</f>
        <v>1</v>
      </c>
      <c r="Z30" s="20">
        <f>IF(25&gt;=Inputs!$B$71,1,0)</f>
        <v>1</v>
      </c>
      <c r="AA30" s="20">
        <f>IF(26&gt;=Inputs!$B$71,1,0)</f>
        <v>1</v>
      </c>
      <c r="AB30" s="20">
        <f>IF(27&gt;=Inputs!$B$71,1,0)</f>
        <v>1</v>
      </c>
      <c r="AC30" s="20">
        <f>IF(28&gt;=Inputs!$B$71,1,0)</f>
        <v>1</v>
      </c>
      <c r="AD30" s="20">
        <f>IF(29&gt;=Inputs!$B$71,1,0)</f>
        <v>1</v>
      </c>
      <c r="AE30" s="20">
        <f>IF(30&gt;=Inputs!$B$71,1,0)</f>
        <v>1</v>
      </c>
      <c r="AF30" s="20">
        <f>IF(31&gt;=Inputs!$B$71,1,0)</f>
        <v>1</v>
      </c>
      <c r="AG30" s="20">
        <f>IF(32&gt;=Inputs!$B$71,1,0)</f>
        <v>1</v>
      </c>
      <c r="AH30" s="20">
        <f>IF(33&gt;=Inputs!$B$71,1,0)</f>
        <v>1</v>
      </c>
      <c r="AI30" s="20">
        <f>IF(34&gt;=Inputs!$B$71,1,0)</f>
        <v>1</v>
      </c>
      <c r="AJ30" s="20">
        <f>IF(35&gt;=Inputs!$B$71,1,0)</f>
        <v>1</v>
      </c>
      <c r="AK30" s="20">
        <f>IF(36&gt;=Inputs!$B$71,1,0)</f>
        <v>1</v>
      </c>
      <c r="AL30" s="20">
        <f>IF(37&gt;=Inputs!$B$71,1,0)</f>
        <v>1</v>
      </c>
      <c r="AM30" s="20">
        <f>IF(38&gt;=Inputs!$B$71,1,0)</f>
        <v>1</v>
      </c>
      <c r="AN30" s="20">
        <f>IF(39&gt;=Inputs!$B$71,1,0)</f>
        <v>1</v>
      </c>
      <c r="AO30" s="20">
        <f>IF(40&gt;=Inputs!$B$71,1,0)</f>
        <v>1</v>
      </c>
      <c r="AP30" s="20">
        <f>IF(41&gt;=Inputs!$B$71,1,0)</f>
        <v>1</v>
      </c>
      <c r="AQ30" s="20">
        <f>IF(42&gt;=Inputs!$B$71,1,0)</f>
        <v>1</v>
      </c>
      <c r="AR30" s="20">
        <f>IF(43&gt;=Inputs!$B$71,1,0)</f>
        <v>1</v>
      </c>
      <c r="AS30" s="20">
        <f>IF(44&gt;=Inputs!$B$71,1,0)</f>
        <v>1</v>
      </c>
      <c r="AT30" s="20">
        <f>IF(45&gt;=Inputs!$B$71,1,0)</f>
        <v>1</v>
      </c>
      <c r="AU30" s="20">
        <f>IF(46&gt;=Inputs!$B$71,1,0)</f>
        <v>1</v>
      </c>
      <c r="AV30" s="20">
        <f>IF(47&gt;=Inputs!$B$71,1,0)</f>
        <v>1</v>
      </c>
      <c r="AW30" s="20">
        <f>IF(48&gt;=Inputs!$B$71,1,0)</f>
        <v>1</v>
      </c>
      <c r="AX30" s="20">
        <f>IF(49&gt;=Inputs!$B$71,1,0)</f>
        <v>1</v>
      </c>
      <c r="AY30" s="20">
        <f>IF(50&gt;=Inputs!$B$71,1,0)</f>
        <v>1</v>
      </c>
      <c r="AZ30" s="20">
        <f>IF(51&gt;=Inputs!$B$71,1,0)</f>
        <v>1</v>
      </c>
      <c r="BA30" s="20">
        <f>IF(52&gt;=Inputs!$B$71,1,0)</f>
        <v>1</v>
      </c>
    </row>
    <row r="31" spans="1:53" x14ac:dyDescent="0.35">
      <c r="A31" s="3" t="s">
        <v>151</v>
      </c>
      <c r="B31" s="20">
        <f>IF(1&gt;=Inputs!$B$72,1,0)</f>
        <v>0</v>
      </c>
      <c r="C31" s="20">
        <f>IF(2&gt;=Inputs!$B$72,1,0)</f>
        <v>0</v>
      </c>
      <c r="D31" s="20">
        <f>IF(3&gt;=Inputs!$B$72,1,0)</f>
        <v>0</v>
      </c>
      <c r="E31" s="20">
        <f>IF(4&gt;=Inputs!$B$72,1,0)</f>
        <v>0</v>
      </c>
      <c r="F31" s="20">
        <f>IF(5&gt;=Inputs!$B$72,1,0)</f>
        <v>0</v>
      </c>
      <c r="G31" s="20">
        <f>IF(6&gt;=Inputs!$B$72,1,0)</f>
        <v>0</v>
      </c>
      <c r="H31" s="20">
        <f>IF(7&gt;=Inputs!$B$72,1,0)</f>
        <v>0</v>
      </c>
      <c r="I31" s="20">
        <f>IF(8&gt;=Inputs!$B$72,1,0)</f>
        <v>0</v>
      </c>
      <c r="J31" s="20">
        <f>IF(9&gt;=Inputs!$B$72,1,0)</f>
        <v>0</v>
      </c>
      <c r="K31" s="20">
        <f>IF(10&gt;=Inputs!$B$72,1,0)</f>
        <v>0</v>
      </c>
      <c r="L31" s="20">
        <f>IF(11&gt;=Inputs!$B$72,1,0)</f>
        <v>0</v>
      </c>
      <c r="M31" s="20">
        <f>IF(12&gt;=Inputs!$B$72,1,0)</f>
        <v>0</v>
      </c>
      <c r="N31" s="20">
        <f>IF(13&gt;=Inputs!$B$72,1,0)</f>
        <v>0</v>
      </c>
      <c r="O31" s="20">
        <f>IF(14&gt;=Inputs!$B$72,1,0)</f>
        <v>0</v>
      </c>
      <c r="P31" s="20">
        <f>IF(15&gt;=Inputs!$B$72,1,0)</f>
        <v>0</v>
      </c>
      <c r="Q31" s="20">
        <f>IF(16&gt;=Inputs!$B$72,1,0)</f>
        <v>0</v>
      </c>
      <c r="R31" s="20">
        <f>IF(17&gt;=Inputs!$B$72,1,0)</f>
        <v>0</v>
      </c>
      <c r="S31" s="20">
        <f>IF(18&gt;=Inputs!$B$72,1,0)</f>
        <v>0</v>
      </c>
      <c r="T31" s="20">
        <f>IF(19&gt;=Inputs!$B$72,1,0)</f>
        <v>0</v>
      </c>
      <c r="U31" s="20">
        <f>IF(20&gt;=Inputs!$B$72,1,0)</f>
        <v>0</v>
      </c>
      <c r="V31" s="20">
        <f>IF(21&gt;=Inputs!$B$72,1,0)</f>
        <v>0</v>
      </c>
      <c r="W31" s="20">
        <f>IF(22&gt;=Inputs!$B$72,1,0)</f>
        <v>0</v>
      </c>
      <c r="X31" s="20">
        <f>IF(23&gt;=Inputs!$B$72,1,0)</f>
        <v>0</v>
      </c>
      <c r="Y31" s="20">
        <f>IF(24&gt;=Inputs!$B$72,1,0)</f>
        <v>0</v>
      </c>
      <c r="Z31" s="20">
        <f>IF(25&gt;=Inputs!$B$72,1,0)</f>
        <v>0</v>
      </c>
      <c r="AA31" s="20">
        <f>IF(26&gt;=Inputs!$B$72,1,0)</f>
        <v>0</v>
      </c>
      <c r="AB31" s="20">
        <f>IF(27&gt;=Inputs!$B$72,1,0)</f>
        <v>0</v>
      </c>
      <c r="AC31" s="20">
        <f>IF(28&gt;=Inputs!$B$72,1,0)</f>
        <v>0</v>
      </c>
      <c r="AD31" s="20">
        <f>IF(29&gt;=Inputs!$B$72,1,0)</f>
        <v>0</v>
      </c>
      <c r="AE31" s="20">
        <f>IF(30&gt;=Inputs!$B$72,1,0)</f>
        <v>0</v>
      </c>
      <c r="AF31" s="20">
        <f>IF(31&gt;=Inputs!$B$72,1,0)</f>
        <v>0</v>
      </c>
      <c r="AG31" s="20">
        <f>IF(32&gt;=Inputs!$B$72,1,0)</f>
        <v>0</v>
      </c>
      <c r="AH31" s="20">
        <f>IF(33&gt;=Inputs!$B$72,1,0)</f>
        <v>0</v>
      </c>
      <c r="AI31" s="20">
        <f>IF(34&gt;=Inputs!$B$72,1,0)</f>
        <v>0</v>
      </c>
      <c r="AJ31" s="20">
        <f>IF(35&gt;=Inputs!$B$72,1,0)</f>
        <v>0</v>
      </c>
      <c r="AK31" s="20">
        <f>IF(36&gt;=Inputs!$B$72,1,0)</f>
        <v>0</v>
      </c>
      <c r="AL31" s="20">
        <f>IF(37&gt;=Inputs!$B$72,1,0)</f>
        <v>0</v>
      </c>
      <c r="AM31" s="20">
        <f>IF(38&gt;=Inputs!$B$72,1,0)</f>
        <v>1</v>
      </c>
      <c r="AN31" s="20">
        <f>IF(39&gt;=Inputs!$B$72,1,0)</f>
        <v>1</v>
      </c>
      <c r="AO31" s="20">
        <f>IF(40&gt;=Inputs!$B$72,1,0)</f>
        <v>1</v>
      </c>
      <c r="AP31" s="20">
        <f>IF(41&gt;=Inputs!$B$72,1,0)</f>
        <v>1</v>
      </c>
      <c r="AQ31" s="20">
        <f>IF(42&gt;=Inputs!$B$72,1,0)</f>
        <v>1</v>
      </c>
      <c r="AR31" s="20">
        <f>IF(43&gt;=Inputs!$B$72,1,0)</f>
        <v>1</v>
      </c>
      <c r="AS31" s="20">
        <f>IF(44&gt;=Inputs!$B$72,1,0)</f>
        <v>1</v>
      </c>
      <c r="AT31" s="20">
        <f>IF(45&gt;=Inputs!$B$72,1,0)</f>
        <v>1</v>
      </c>
      <c r="AU31" s="20">
        <f>IF(46&gt;=Inputs!$B$72,1,0)</f>
        <v>1</v>
      </c>
      <c r="AV31" s="20">
        <f>IF(47&gt;=Inputs!$B$72,1,0)</f>
        <v>1</v>
      </c>
      <c r="AW31" s="20">
        <f>IF(48&gt;=Inputs!$B$72,1,0)</f>
        <v>1</v>
      </c>
      <c r="AX31" s="20">
        <f>IF(49&gt;=Inputs!$B$72,1,0)</f>
        <v>1</v>
      </c>
      <c r="AY31" s="20">
        <f>IF(50&gt;=Inputs!$B$72,1,0)</f>
        <v>1</v>
      </c>
      <c r="AZ31" s="20">
        <f>IF(51&gt;=Inputs!$B$72,1,0)</f>
        <v>1</v>
      </c>
      <c r="BA31" s="20">
        <f>IF(52&gt;=Inputs!$B$72,1,0)</f>
        <v>1</v>
      </c>
    </row>
    <row r="32" spans="1:53" x14ac:dyDescent="0.35">
      <c r="A32" s="3" t="s">
        <v>153</v>
      </c>
      <c r="B32" s="20">
        <f>IF(1&gt;=Inputs!$B$73,1,0)</f>
        <v>0</v>
      </c>
      <c r="C32" s="20">
        <f>IF(2&gt;=Inputs!$B$73,1,0)</f>
        <v>0</v>
      </c>
      <c r="D32" s="20">
        <f>IF(3&gt;=Inputs!$B$73,1,0)</f>
        <v>0</v>
      </c>
      <c r="E32" s="20">
        <f>IF(4&gt;=Inputs!$B$73,1,0)</f>
        <v>0</v>
      </c>
      <c r="F32" s="20">
        <f>IF(5&gt;=Inputs!$B$73,1,0)</f>
        <v>0</v>
      </c>
      <c r="G32" s="20">
        <f>IF(6&gt;=Inputs!$B$73,1,0)</f>
        <v>0</v>
      </c>
      <c r="H32" s="20">
        <f>IF(7&gt;=Inputs!$B$73,1,0)</f>
        <v>0</v>
      </c>
      <c r="I32" s="20">
        <f>IF(8&gt;=Inputs!$B$73,1,0)</f>
        <v>0</v>
      </c>
      <c r="J32" s="20">
        <f>IF(9&gt;=Inputs!$B$73,1,0)</f>
        <v>0</v>
      </c>
      <c r="K32" s="20">
        <f>IF(10&gt;=Inputs!$B$73,1,0)</f>
        <v>0</v>
      </c>
      <c r="L32" s="20">
        <f>IF(11&gt;=Inputs!$B$73,1,0)</f>
        <v>0</v>
      </c>
      <c r="M32" s="20">
        <f>IF(12&gt;=Inputs!$B$73,1,0)</f>
        <v>0</v>
      </c>
      <c r="N32" s="20">
        <f>IF(13&gt;=Inputs!$B$73,1,0)</f>
        <v>0</v>
      </c>
      <c r="O32" s="20">
        <f>IF(14&gt;=Inputs!$B$73,1,0)</f>
        <v>0</v>
      </c>
      <c r="P32" s="20">
        <f>IF(15&gt;=Inputs!$B$73,1,0)</f>
        <v>0</v>
      </c>
      <c r="Q32" s="20">
        <f>IF(16&gt;=Inputs!$B$73,1,0)</f>
        <v>0</v>
      </c>
      <c r="R32" s="20">
        <f>IF(17&gt;=Inputs!$B$73,1,0)</f>
        <v>0</v>
      </c>
      <c r="S32" s="20">
        <f>IF(18&gt;=Inputs!$B$73,1,0)</f>
        <v>0</v>
      </c>
      <c r="T32" s="20">
        <f>IF(19&gt;=Inputs!$B$73,1,0)</f>
        <v>0</v>
      </c>
      <c r="U32" s="20">
        <f>IF(20&gt;=Inputs!$B$73,1,0)</f>
        <v>0</v>
      </c>
      <c r="V32" s="20">
        <f>IF(21&gt;=Inputs!$B$73,1,0)</f>
        <v>0</v>
      </c>
      <c r="W32" s="20">
        <f>IF(22&gt;=Inputs!$B$73,1,0)</f>
        <v>0</v>
      </c>
      <c r="X32" s="20">
        <f>IF(23&gt;=Inputs!$B$73,1,0)</f>
        <v>0</v>
      </c>
      <c r="Y32" s="20">
        <f>IF(24&gt;=Inputs!$B$73,1,0)</f>
        <v>0</v>
      </c>
      <c r="Z32" s="20">
        <f>IF(25&gt;=Inputs!$B$73,1,0)</f>
        <v>0</v>
      </c>
      <c r="AA32" s="20">
        <f>IF(26&gt;=Inputs!$B$73,1,0)</f>
        <v>0</v>
      </c>
      <c r="AB32" s="20">
        <f>IF(27&gt;=Inputs!$B$73,1,0)</f>
        <v>0</v>
      </c>
      <c r="AC32" s="20">
        <f>IF(28&gt;=Inputs!$B$73,1,0)</f>
        <v>0</v>
      </c>
      <c r="AD32" s="20">
        <f>IF(29&gt;=Inputs!$B$73,1,0)</f>
        <v>0</v>
      </c>
      <c r="AE32" s="20">
        <f>IF(30&gt;=Inputs!$B$73,1,0)</f>
        <v>0</v>
      </c>
      <c r="AF32" s="20">
        <f>IF(31&gt;=Inputs!$B$73,1,0)</f>
        <v>0</v>
      </c>
      <c r="AG32" s="20">
        <f>IF(32&gt;=Inputs!$B$73,1,0)</f>
        <v>0</v>
      </c>
      <c r="AH32" s="20">
        <f>IF(33&gt;=Inputs!$B$73,1,0)</f>
        <v>0</v>
      </c>
      <c r="AI32" s="20">
        <f>IF(34&gt;=Inputs!$B$73,1,0)</f>
        <v>0</v>
      </c>
      <c r="AJ32" s="20">
        <f>IF(35&gt;=Inputs!$B$73,1,0)</f>
        <v>0</v>
      </c>
      <c r="AK32" s="20">
        <f>IF(36&gt;=Inputs!$B$73,1,0)</f>
        <v>0</v>
      </c>
      <c r="AL32" s="20">
        <f>IF(37&gt;=Inputs!$B$73,1,0)</f>
        <v>0</v>
      </c>
      <c r="AM32" s="20">
        <f>IF(38&gt;=Inputs!$B$73,1,0)</f>
        <v>0</v>
      </c>
      <c r="AN32" s="20">
        <f>IF(39&gt;=Inputs!$B$73,1,0)</f>
        <v>0</v>
      </c>
      <c r="AO32" s="20">
        <f>IF(40&gt;=Inputs!$B$73,1,0)</f>
        <v>0</v>
      </c>
      <c r="AP32" s="20">
        <f>IF(41&gt;=Inputs!$B$73,1,0)</f>
        <v>0</v>
      </c>
      <c r="AQ32" s="20">
        <f>IF(42&gt;=Inputs!$B$73,1,0)</f>
        <v>1</v>
      </c>
      <c r="AR32" s="20">
        <f>IF(43&gt;=Inputs!$B$73,1,0)</f>
        <v>1</v>
      </c>
      <c r="AS32" s="20">
        <f>IF(44&gt;=Inputs!$B$73,1,0)</f>
        <v>1</v>
      </c>
      <c r="AT32" s="20">
        <f>IF(45&gt;=Inputs!$B$73,1,0)</f>
        <v>1</v>
      </c>
      <c r="AU32" s="20">
        <f>IF(46&gt;=Inputs!$B$73,1,0)</f>
        <v>1</v>
      </c>
      <c r="AV32" s="20">
        <f>IF(47&gt;=Inputs!$B$73,1,0)</f>
        <v>1</v>
      </c>
      <c r="AW32" s="20">
        <f>IF(48&gt;=Inputs!$B$73,1,0)</f>
        <v>1</v>
      </c>
      <c r="AX32" s="20">
        <f>IF(49&gt;=Inputs!$B$73,1,0)</f>
        <v>1</v>
      </c>
      <c r="AY32" s="20">
        <f>IF(50&gt;=Inputs!$B$73,1,0)</f>
        <v>1</v>
      </c>
      <c r="AZ32" s="20">
        <f>IF(51&gt;=Inputs!$B$73,1,0)</f>
        <v>1</v>
      </c>
      <c r="BA32" s="20">
        <f>IF(52&gt;=Inputs!$B$73,1,0)</f>
        <v>1</v>
      </c>
    </row>
    <row r="33" spans="1:53" x14ac:dyDescent="0.35">
      <c r="A33" s="3" t="s">
        <v>155</v>
      </c>
      <c r="B33" s="20">
        <f>IF(1&gt;=Inputs!$B$74,1,0)</f>
        <v>0</v>
      </c>
      <c r="C33" s="20">
        <f>IF(2&gt;=Inputs!$B$74,1,0)</f>
        <v>0</v>
      </c>
      <c r="D33" s="20">
        <f>IF(3&gt;=Inputs!$B$74,1,0)</f>
        <v>0</v>
      </c>
      <c r="E33" s="20">
        <f>IF(4&gt;=Inputs!$B$74,1,0)</f>
        <v>0</v>
      </c>
      <c r="F33" s="20">
        <f>IF(5&gt;=Inputs!$B$74,1,0)</f>
        <v>0</v>
      </c>
      <c r="G33" s="20">
        <f>IF(6&gt;=Inputs!$B$74,1,0)</f>
        <v>0</v>
      </c>
      <c r="H33" s="20">
        <f>IF(7&gt;=Inputs!$B$74,1,0)</f>
        <v>0</v>
      </c>
      <c r="I33" s="20">
        <f>IF(8&gt;=Inputs!$B$74,1,0)</f>
        <v>0</v>
      </c>
      <c r="J33" s="20">
        <f>IF(9&gt;=Inputs!$B$74,1,0)</f>
        <v>0</v>
      </c>
      <c r="K33" s="20">
        <f>IF(10&gt;=Inputs!$B$74,1,0)</f>
        <v>0</v>
      </c>
      <c r="L33" s="20">
        <f>IF(11&gt;=Inputs!$B$74,1,0)</f>
        <v>0</v>
      </c>
      <c r="M33" s="20">
        <f>IF(12&gt;=Inputs!$B$74,1,0)</f>
        <v>0</v>
      </c>
      <c r="N33" s="20">
        <f>IF(13&gt;=Inputs!$B$74,1,0)</f>
        <v>0</v>
      </c>
      <c r="O33" s="20">
        <f>IF(14&gt;=Inputs!$B$74,1,0)</f>
        <v>0</v>
      </c>
      <c r="P33" s="20">
        <f>IF(15&gt;=Inputs!$B$74,1,0)</f>
        <v>0</v>
      </c>
      <c r="Q33" s="20">
        <f>IF(16&gt;=Inputs!$B$74,1,0)</f>
        <v>0</v>
      </c>
      <c r="R33" s="20">
        <f>IF(17&gt;=Inputs!$B$74,1,0)</f>
        <v>0</v>
      </c>
      <c r="S33" s="20">
        <f>IF(18&gt;=Inputs!$B$74,1,0)</f>
        <v>0</v>
      </c>
      <c r="T33" s="20">
        <f>IF(19&gt;=Inputs!$B$74,1,0)</f>
        <v>0</v>
      </c>
      <c r="U33" s="20">
        <f>IF(20&gt;=Inputs!$B$74,1,0)</f>
        <v>0</v>
      </c>
      <c r="V33" s="20">
        <f>IF(21&gt;=Inputs!$B$74,1,0)</f>
        <v>0</v>
      </c>
      <c r="W33" s="20">
        <f>IF(22&gt;=Inputs!$B$74,1,0)</f>
        <v>0</v>
      </c>
      <c r="X33" s="20">
        <f>IF(23&gt;=Inputs!$B$74,1,0)</f>
        <v>0</v>
      </c>
      <c r="Y33" s="20">
        <f>IF(24&gt;=Inputs!$B$74,1,0)</f>
        <v>0</v>
      </c>
      <c r="Z33" s="20">
        <f>IF(25&gt;=Inputs!$B$74,1,0)</f>
        <v>0</v>
      </c>
      <c r="AA33" s="20">
        <f>IF(26&gt;=Inputs!$B$74,1,0)</f>
        <v>0</v>
      </c>
      <c r="AB33" s="20">
        <f>IF(27&gt;=Inputs!$B$74,1,0)</f>
        <v>0</v>
      </c>
      <c r="AC33" s="20">
        <f>IF(28&gt;=Inputs!$B$74,1,0)</f>
        <v>0</v>
      </c>
      <c r="AD33" s="20">
        <f>IF(29&gt;=Inputs!$B$74,1,0)</f>
        <v>0</v>
      </c>
      <c r="AE33" s="20">
        <f>IF(30&gt;=Inputs!$B$74,1,0)</f>
        <v>0</v>
      </c>
      <c r="AF33" s="20">
        <f>IF(31&gt;=Inputs!$B$74,1,0)</f>
        <v>0</v>
      </c>
      <c r="AG33" s="20">
        <f>IF(32&gt;=Inputs!$B$74,1,0)</f>
        <v>0</v>
      </c>
      <c r="AH33" s="20">
        <f>IF(33&gt;=Inputs!$B$74,1,0)</f>
        <v>0</v>
      </c>
      <c r="AI33" s="20">
        <f>IF(34&gt;=Inputs!$B$74,1,0)</f>
        <v>0</v>
      </c>
      <c r="AJ33" s="20">
        <f>IF(35&gt;=Inputs!$B$74,1,0)</f>
        <v>0</v>
      </c>
      <c r="AK33" s="20">
        <f>IF(36&gt;=Inputs!$B$74,1,0)</f>
        <v>0</v>
      </c>
      <c r="AL33" s="20">
        <f>IF(37&gt;=Inputs!$B$74,1,0)</f>
        <v>0</v>
      </c>
      <c r="AM33" s="20">
        <f>IF(38&gt;=Inputs!$B$74,1,0)</f>
        <v>0</v>
      </c>
      <c r="AN33" s="20">
        <f>IF(39&gt;=Inputs!$B$74,1,0)</f>
        <v>0</v>
      </c>
      <c r="AO33" s="20">
        <f>IF(40&gt;=Inputs!$B$74,1,0)</f>
        <v>1</v>
      </c>
      <c r="AP33" s="20">
        <f>IF(41&gt;=Inputs!$B$74,1,0)</f>
        <v>1</v>
      </c>
      <c r="AQ33" s="20">
        <f>IF(42&gt;=Inputs!$B$74,1,0)</f>
        <v>1</v>
      </c>
      <c r="AR33" s="20">
        <f>IF(43&gt;=Inputs!$B$74,1,0)</f>
        <v>1</v>
      </c>
      <c r="AS33" s="20">
        <f>IF(44&gt;=Inputs!$B$74,1,0)</f>
        <v>1</v>
      </c>
      <c r="AT33" s="20">
        <f>IF(45&gt;=Inputs!$B$74,1,0)</f>
        <v>1</v>
      </c>
      <c r="AU33" s="20">
        <f>IF(46&gt;=Inputs!$B$74,1,0)</f>
        <v>1</v>
      </c>
      <c r="AV33" s="20">
        <f>IF(47&gt;=Inputs!$B$74,1,0)</f>
        <v>1</v>
      </c>
      <c r="AW33" s="20">
        <f>IF(48&gt;=Inputs!$B$74,1,0)</f>
        <v>1</v>
      </c>
      <c r="AX33" s="20">
        <f>IF(49&gt;=Inputs!$B$74,1,0)</f>
        <v>1</v>
      </c>
      <c r="AY33" s="20">
        <f>IF(50&gt;=Inputs!$B$74,1,0)</f>
        <v>1</v>
      </c>
      <c r="AZ33" s="20">
        <f>IF(51&gt;=Inputs!$B$74,1,0)</f>
        <v>1</v>
      </c>
      <c r="BA33" s="20">
        <f>IF(52&gt;=Inputs!$B$74,1,0)</f>
        <v>1</v>
      </c>
    </row>
    <row r="34" spans="1:53" x14ac:dyDescent="0.35">
      <c r="A34" s="3" t="s">
        <v>157</v>
      </c>
      <c r="B34" s="20">
        <f>IF(1&gt;=Inputs!$B$75,1,0)</f>
        <v>0</v>
      </c>
      <c r="C34" s="20">
        <f>IF(2&gt;=Inputs!$B$75,1,0)</f>
        <v>0</v>
      </c>
      <c r="D34" s="20">
        <f>IF(3&gt;=Inputs!$B$75,1,0)</f>
        <v>0</v>
      </c>
      <c r="E34" s="20">
        <f>IF(4&gt;=Inputs!$B$75,1,0)</f>
        <v>0</v>
      </c>
      <c r="F34" s="20">
        <f>IF(5&gt;=Inputs!$B$75,1,0)</f>
        <v>0</v>
      </c>
      <c r="G34" s="20">
        <f>IF(6&gt;=Inputs!$B$75,1,0)</f>
        <v>0</v>
      </c>
      <c r="H34" s="20">
        <f>IF(7&gt;=Inputs!$B$75,1,0)</f>
        <v>0</v>
      </c>
      <c r="I34" s="20">
        <f>IF(8&gt;=Inputs!$B$75,1,0)</f>
        <v>0</v>
      </c>
      <c r="J34" s="20">
        <f>IF(9&gt;=Inputs!$B$75,1,0)</f>
        <v>0</v>
      </c>
      <c r="K34" s="20">
        <f>IF(10&gt;=Inputs!$B$75,1,0)</f>
        <v>0</v>
      </c>
      <c r="L34" s="20">
        <f>IF(11&gt;=Inputs!$B$75,1,0)</f>
        <v>0</v>
      </c>
      <c r="M34" s="20">
        <f>IF(12&gt;=Inputs!$B$75,1,0)</f>
        <v>0</v>
      </c>
      <c r="N34" s="20">
        <f>IF(13&gt;=Inputs!$B$75,1,0)</f>
        <v>0</v>
      </c>
      <c r="O34" s="20">
        <f>IF(14&gt;=Inputs!$B$75,1,0)</f>
        <v>0</v>
      </c>
      <c r="P34" s="20">
        <f>IF(15&gt;=Inputs!$B$75,1,0)</f>
        <v>0</v>
      </c>
      <c r="Q34" s="20">
        <f>IF(16&gt;=Inputs!$B$75,1,0)</f>
        <v>0</v>
      </c>
      <c r="R34" s="20">
        <f>IF(17&gt;=Inputs!$B$75,1,0)</f>
        <v>0</v>
      </c>
      <c r="S34" s="20">
        <f>IF(18&gt;=Inputs!$B$75,1,0)</f>
        <v>0</v>
      </c>
      <c r="T34" s="20">
        <f>IF(19&gt;=Inputs!$B$75,1,0)</f>
        <v>0</v>
      </c>
      <c r="U34" s="20">
        <f>IF(20&gt;=Inputs!$B$75,1,0)</f>
        <v>0</v>
      </c>
      <c r="V34" s="20">
        <f>IF(21&gt;=Inputs!$B$75,1,0)</f>
        <v>0</v>
      </c>
      <c r="W34" s="20">
        <f>IF(22&gt;=Inputs!$B$75,1,0)</f>
        <v>0</v>
      </c>
      <c r="X34" s="20">
        <f>IF(23&gt;=Inputs!$B$75,1,0)</f>
        <v>0</v>
      </c>
      <c r="Y34" s="20">
        <f>IF(24&gt;=Inputs!$B$75,1,0)</f>
        <v>0</v>
      </c>
      <c r="Z34" s="20">
        <f>IF(25&gt;=Inputs!$B$75,1,0)</f>
        <v>0</v>
      </c>
      <c r="AA34" s="20">
        <f>IF(26&gt;=Inputs!$B$75,1,0)</f>
        <v>0</v>
      </c>
      <c r="AB34" s="20">
        <f>IF(27&gt;=Inputs!$B$75,1,0)</f>
        <v>0</v>
      </c>
      <c r="AC34" s="20">
        <f>IF(28&gt;=Inputs!$B$75,1,0)</f>
        <v>0</v>
      </c>
      <c r="AD34" s="20">
        <f>IF(29&gt;=Inputs!$B$75,1,0)</f>
        <v>0</v>
      </c>
      <c r="AE34" s="20">
        <f>IF(30&gt;=Inputs!$B$75,1,0)</f>
        <v>0</v>
      </c>
      <c r="AF34" s="20">
        <f>IF(31&gt;=Inputs!$B$75,1,0)</f>
        <v>0</v>
      </c>
      <c r="AG34" s="20">
        <f>IF(32&gt;=Inputs!$B$75,1,0)</f>
        <v>0</v>
      </c>
      <c r="AH34" s="20">
        <f>IF(33&gt;=Inputs!$B$75,1,0)</f>
        <v>0</v>
      </c>
      <c r="AI34" s="20">
        <f>IF(34&gt;=Inputs!$B$75,1,0)</f>
        <v>0</v>
      </c>
      <c r="AJ34" s="20">
        <f>IF(35&gt;=Inputs!$B$75,1,0)</f>
        <v>0</v>
      </c>
      <c r="AK34" s="20">
        <f>IF(36&gt;=Inputs!$B$75,1,0)</f>
        <v>0</v>
      </c>
      <c r="AL34" s="20">
        <f>IF(37&gt;=Inputs!$B$75,1,0)</f>
        <v>0</v>
      </c>
      <c r="AM34" s="20">
        <f>IF(38&gt;=Inputs!$B$75,1,0)</f>
        <v>0</v>
      </c>
      <c r="AN34" s="20">
        <f>IF(39&gt;=Inputs!$B$75,1,0)</f>
        <v>0</v>
      </c>
      <c r="AO34" s="20">
        <f>IF(40&gt;=Inputs!$B$75,1,0)</f>
        <v>0</v>
      </c>
      <c r="AP34" s="20">
        <f>IF(41&gt;=Inputs!$B$75,1,0)</f>
        <v>0</v>
      </c>
      <c r="AQ34" s="20">
        <f>IF(42&gt;=Inputs!$B$75,1,0)</f>
        <v>0</v>
      </c>
      <c r="AR34" s="20">
        <f>IF(43&gt;=Inputs!$B$75,1,0)</f>
        <v>0</v>
      </c>
      <c r="AS34" s="20">
        <f>IF(44&gt;=Inputs!$B$75,1,0)</f>
        <v>1</v>
      </c>
      <c r="AT34" s="20">
        <f>IF(45&gt;=Inputs!$B$75,1,0)</f>
        <v>1</v>
      </c>
      <c r="AU34" s="20">
        <f>IF(46&gt;=Inputs!$B$75,1,0)</f>
        <v>1</v>
      </c>
      <c r="AV34" s="20">
        <f>IF(47&gt;=Inputs!$B$75,1,0)</f>
        <v>1</v>
      </c>
      <c r="AW34" s="20">
        <f>IF(48&gt;=Inputs!$B$75,1,0)</f>
        <v>1</v>
      </c>
      <c r="AX34" s="20">
        <f>IF(49&gt;=Inputs!$B$75,1,0)</f>
        <v>1</v>
      </c>
      <c r="AY34" s="20">
        <f>IF(50&gt;=Inputs!$B$75,1,0)</f>
        <v>1</v>
      </c>
      <c r="AZ34" s="20">
        <f>IF(51&gt;=Inputs!$B$75,1,0)</f>
        <v>1</v>
      </c>
      <c r="BA34" s="20">
        <f>IF(52&gt;=Inputs!$B$75,1,0)</f>
        <v>1</v>
      </c>
    </row>
    <row r="35" spans="1:53" x14ac:dyDescent="0.35">
      <c r="A35" s="3" t="s">
        <v>159</v>
      </c>
      <c r="B35" s="20">
        <f>IF(1&gt;=Inputs!$B$76,1,0)</f>
        <v>0</v>
      </c>
      <c r="C35" s="20">
        <f>IF(2&gt;=Inputs!$B$76,1,0)</f>
        <v>0</v>
      </c>
      <c r="D35" s="20">
        <f>IF(3&gt;=Inputs!$B$76,1,0)</f>
        <v>0</v>
      </c>
      <c r="E35" s="20">
        <f>IF(4&gt;=Inputs!$B$76,1,0)</f>
        <v>0</v>
      </c>
      <c r="F35" s="20">
        <f>IF(5&gt;=Inputs!$B$76,1,0)</f>
        <v>0</v>
      </c>
      <c r="G35" s="20">
        <f>IF(6&gt;=Inputs!$B$76,1,0)</f>
        <v>0</v>
      </c>
      <c r="H35" s="20">
        <f>IF(7&gt;=Inputs!$B$76,1,0)</f>
        <v>0</v>
      </c>
      <c r="I35" s="20">
        <f>IF(8&gt;=Inputs!$B$76,1,0)</f>
        <v>0</v>
      </c>
      <c r="J35" s="20">
        <f>IF(9&gt;=Inputs!$B$76,1,0)</f>
        <v>0</v>
      </c>
      <c r="K35" s="20">
        <f>IF(10&gt;=Inputs!$B$76,1,0)</f>
        <v>0</v>
      </c>
      <c r="L35" s="20">
        <f>IF(11&gt;=Inputs!$B$76,1,0)</f>
        <v>0</v>
      </c>
      <c r="M35" s="20">
        <f>IF(12&gt;=Inputs!$B$76,1,0)</f>
        <v>0</v>
      </c>
      <c r="N35" s="20">
        <f>IF(13&gt;=Inputs!$B$76,1,0)</f>
        <v>0</v>
      </c>
      <c r="O35" s="20">
        <f>IF(14&gt;=Inputs!$B$76,1,0)</f>
        <v>0</v>
      </c>
      <c r="P35" s="20">
        <f>IF(15&gt;=Inputs!$B$76,1,0)</f>
        <v>0</v>
      </c>
      <c r="Q35" s="20">
        <f>IF(16&gt;=Inputs!$B$76,1,0)</f>
        <v>0</v>
      </c>
      <c r="R35" s="20">
        <f>IF(17&gt;=Inputs!$B$76,1,0)</f>
        <v>0</v>
      </c>
      <c r="S35" s="20">
        <f>IF(18&gt;=Inputs!$B$76,1,0)</f>
        <v>0</v>
      </c>
      <c r="T35" s="20">
        <f>IF(19&gt;=Inputs!$B$76,1,0)</f>
        <v>0</v>
      </c>
      <c r="U35" s="20">
        <f>IF(20&gt;=Inputs!$B$76,1,0)</f>
        <v>0</v>
      </c>
      <c r="V35" s="20">
        <f>IF(21&gt;=Inputs!$B$76,1,0)</f>
        <v>0</v>
      </c>
      <c r="W35" s="20">
        <f>IF(22&gt;=Inputs!$B$76,1,0)</f>
        <v>0</v>
      </c>
      <c r="X35" s="20">
        <f>IF(23&gt;=Inputs!$B$76,1,0)</f>
        <v>0</v>
      </c>
      <c r="Y35" s="20">
        <f>IF(24&gt;=Inputs!$B$76,1,0)</f>
        <v>0</v>
      </c>
      <c r="Z35" s="20">
        <f>IF(25&gt;=Inputs!$B$76,1,0)</f>
        <v>0</v>
      </c>
      <c r="AA35" s="20">
        <f>IF(26&gt;=Inputs!$B$76,1,0)</f>
        <v>0</v>
      </c>
      <c r="AB35" s="20">
        <f>IF(27&gt;=Inputs!$B$76,1,0)</f>
        <v>0</v>
      </c>
      <c r="AC35" s="20">
        <f>IF(28&gt;=Inputs!$B$76,1,0)</f>
        <v>0</v>
      </c>
      <c r="AD35" s="20">
        <f>IF(29&gt;=Inputs!$B$76,1,0)</f>
        <v>0</v>
      </c>
      <c r="AE35" s="20">
        <f>IF(30&gt;=Inputs!$B$76,1,0)</f>
        <v>0</v>
      </c>
      <c r="AF35" s="20">
        <f>IF(31&gt;=Inputs!$B$76,1,0)</f>
        <v>0</v>
      </c>
      <c r="AG35" s="20">
        <f>IF(32&gt;=Inputs!$B$76,1,0)</f>
        <v>0</v>
      </c>
      <c r="AH35" s="20">
        <f>IF(33&gt;=Inputs!$B$76,1,0)</f>
        <v>0</v>
      </c>
      <c r="AI35" s="20">
        <f>IF(34&gt;=Inputs!$B$76,1,0)</f>
        <v>0</v>
      </c>
      <c r="AJ35" s="20">
        <f>IF(35&gt;=Inputs!$B$76,1,0)</f>
        <v>0</v>
      </c>
      <c r="AK35" s="20">
        <f>IF(36&gt;=Inputs!$B$76,1,0)</f>
        <v>0</v>
      </c>
      <c r="AL35" s="20">
        <f>IF(37&gt;=Inputs!$B$76,1,0)</f>
        <v>0</v>
      </c>
      <c r="AM35" s="20">
        <f>IF(38&gt;=Inputs!$B$76,1,0)</f>
        <v>0</v>
      </c>
      <c r="AN35" s="20">
        <f>IF(39&gt;=Inputs!$B$76,1,0)</f>
        <v>0</v>
      </c>
      <c r="AO35" s="20">
        <f>IF(40&gt;=Inputs!$B$76,1,0)</f>
        <v>0</v>
      </c>
      <c r="AP35" s="20">
        <f>IF(41&gt;=Inputs!$B$76,1,0)</f>
        <v>0</v>
      </c>
      <c r="AQ35" s="20">
        <f>IF(42&gt;=Inputs!$B$76,1,0)</f>
        <v>1</v>
      </c>
      <c r="AR35" s="20">
        <f>IF(43&gt;=Inputs!$B$76,1,0)</f>
        <v>1</v>
      </c>
      <c r="AS35" s="20">
        <f>IF(44&gt;=Inputs!$B$76,1,0)</f>
        <v>1</v>
      </c>
      <c r="AT35" s="20">
        <f>IF(45&gt;=Inputs!$B$76,1,0)</f>
        <v>1</v>
      </c>
      <c r="AU35" s="20">
        <f>IF(46&gt;=Inputs!$B$76,1,0)</f>
        <v>1</v>
      </c>
      <c r="AV35" s="20">
        <f>IF(47&gt;=Inputs!$B$76,1,0)</f>
        <v>1</v>
      </c>
      <c r="AW35" s="20">
        <f>IF(48&gt;=Inputs!$B$76,1,0)</f>
        <v>1</v>
      </c>
      <c r="AX35" s="20">
        <f>IF(49&gt;=Inputs!$B$76,1,0)</f>
        <v>1</v>
      </c>
      <c r="AY35" s="20">
        <f>IF(50&gt;=Inputs!$B$76,1,0)</f>
        <v>1</v>
      </c>
      <c r="AZ35" s="20">
        <f>IF(51&gt;=Inputs!$B$76,1,0)</f>
        <v>1</v>
      </c>
      <c r="BA35" s="20">
        <f>IF(52&gt;=Inputs!$B$76,1,0)</f>
        <v>1</v>
      </c>
    </row>
    <row r="36" spans="1:53" x14ac:dyDescent="0.35">
      <c r="A36" s="3" t="s">
        <v>161</v>
      </c>
      <c r="B36" s="20">
        <f>IF(1&gt;=Inputs!$B$77,1,0)</f>
        <v>0</v>
      </c>
      <c r="C36" s="20">
        <f>IF(2&gt;=Inputs!$B$77,1,0)</f>
        <v>0</v>
      </c>
      <c r="D36" s="20">
        <f>IF(3&gt;=Inputs!$B$77,1,0)</f>
        <v>0</v>
      </c>
      <c r="E36" s="20">
        <f>IF(4&gt;=Inputs!$B$77,1,0)</f>
        <v>0</v>
      </c>
      <c r="F36" s="20">
        <f>IF(5&gt;=Inputs!$B$77,1,0)</f>
        <v>0</v>
      </c>
      <c r="G36" s="20">
        <f>IF(6&gt;=Inputs!$B$77,1,0)</f>
        <v>0</v>
      </c>
      <c r="H36" s="20">
        <f>IF(7&gt;=Inputs!$B$77,1,0)</f>
        <v>0</v>
      </c>
      <c r="I36" s="20">
        <f>IF(8&gt;=Inputs!$B$77,1,0)</f>
        <v>0</v>
      </c>
      <c r="J36" s="20">
        <f>IF(9&gt;=Inputs!$B$77,1,0)</f>
        <v>0</v>
      </c>
      <c r="K36" s="20">
        <f>IF(10&gt;=Inputs!$B$77,1,0)</f>
        <v>0</v>
      </c>
      <c r="L36" s="20">
        <f>IF(11&gt;=Inputs!$B$77,1,0)</f>
        <v>0</v>
      </c>
      <c r="M36" s="20">
        <f>IF(12&gt;=Inputs!$B$77,1,0)</f>
        <v>0</v>
      </c>
      <c r="N36" s="20">
        <f>IF(13&gt;=Inputs!$B$77,1,0)</f>
        <v>0</v>
      </c>
      <c r="O36" s="20">
        <f>IF(14&gt;=Inputs!$B$77,1,0)</f>
        <v>0</v>
      </c>
      <c r="P36" s="20">
        <f>IF(15&gt;=Inputs!$B$77,1,0)</f>
        <v>0</v>
      </c>
      <c r="Q36" s="20">
        <f>IF(16&gt;=Inputs!$B$77,1,0)</f>
        <v>0</v>
      </c>
      <c r="R36" s="20">
        <f>IF(17&gt;=Inputs!$B$77,1,0)</f>
        <v>0</v>
      </c>
      <c r="S36" s="20">
        <f>IF(18&gt;=Inputs!$B$77,1,0)</f>
        <v>0</v>
      </c>
      <c r="T36" s="20">
        <f>IF(19&gt;=Inputs!$B$77,1,0)</f>
        <v>0</v>
      </c>
      <c r="U36" s="20">
        <f>IF(20&gt;=Inputs!$B$77,1,0)</f>
        <v>0</v>
      </c>
      <c r="V36" s="20">
        <f>IF(21&gt;=Inputs!$B$77,1,0)</f>
        <v>0</v>
      </c>
      <c r="W36" s="20">
        <f>IF(22&gt;=Inputs!$B$77,1,0)</f>
        <v>0</v>
      </c>
      <c r="X36" s="20">
        <f>IF(23&gt;=Inputs!$B$77,1,0)</f>
        <v>0</v>
      </c>
      <c r="Y36" s="20">
        <f>IF(24&gt;=Inputs!$B$77,1,0)</f>
        <v>0</v>
      </c>
      <c r="Z36" s="20">
        <f>IF(25&gt;=Inputs!$B$77,1,0)</f>
        <v>0</v>
      </c>
      <c r="AA36" s="20">
        <f>IF(26&gt;=Inputs!$B$77,1,0)</f>
        <v>0</v>
      </c>
      <c r="AB36" s="20">
        <f>IF(27&gt;=Inputs!$B$77,1,0)</f>
        <v>0</v>
      </c>
      <c r="AC36" s="20">
        <f>IF(28&gt;=Inputs!$B$77,1,0)</f>
        <v>0</v>
      </c>
      <c r="AD36" s="20">
        <f>IF(29&gt;=Inputs!$B$77,1,0)</f>
        <v>0</v>
      </c>
      <c r="AE36" s="20">
        <f>IF(30&gt;=Inputs!$B$77,1,0)</f>
        <v>0</v>
      </c>
      <c r="AF36" s="20">
        <f>IF(31&gt;=Inputs!$B$77,1,0)</f>
        <v>0</v>
      </c>
      <c r="AG36" s="20">
        <f>IF(32&gt;=Inputs!$B$77,1,0)</f>
        <v>0</v>
      </c>
      <c r="AH36" s="20">
        <f>IF(33&gt;=Inputs!$B$77,1,0)</f>
        <v>0</v>
      </c>
      <c r="AI36" s="20">
        <f>IF(34&gt;=Inputs!$B$77,1,0)</f>
        <v>0</v>
      </c>
      <c r="AJ36" s="20">
        <f>IF(35&gt;=Inputs!$B$77,1,0)</f>
        <v>0</v>
      </c>
      <c r="AK36" s="20">
        <f>IF(36&gt;=Inputs!$B$77,1,0)</f>
        <v>0</v>
      </c>
      <c r="AL36" s="20">
        <f>IF(37&gt;=Inputs!$B$77,1,0)</f>
        <v>0</v>
      </c>
      <c r="AM36" s="20">
        <f>IF(38&gt;=Inputs!$B$77,1,0)</f>
        <v>0</v>
      </c>
      <c r="AN36" s="20">
        <f>IF(39&gt;=Inputs!$B$77,1,0)</f>
        <v>0</v>
      </c>
      <c r="AO36" s="20">
        <f>IF(40&gt;=Inputs!$B$77,1,0)</f>
        <v>0</v>
      </c>
      <c r="AP36" s="20">
        <f>IF(41&gt;=Inputs!$B$77,1,0)</f>
        <v>0</v>
      </c>
      <c r="AQ36" s="20">
        <f>IF(42&gt;=Inputs!$B$77,1,0)</f>
        <v>0</v>
      </c>
      <c r="AR36" s="20">
        <f>IF(43&gt;=Inputs!$B$77,1,0)</f>
        <v>0</v>
      </c>
      <c r="AS36" s="20">
        <f>IF(44&gt;=Inputs!$B$77,1,0)</f>
        <v>1</v>
      </c>
      <c r="AT36" s="20">
        <f>IF(45&gt;=Inputs!$B$77,1,0)</f>
        <v>1</v>
      </c>
      <c r="AU36" s="20">
        <f>IF(46&gt;=Inputs!$B$77,1,0)</f>
        <v>1</v>
      </c>
      <c r="AV36" s="20">
        <f>IF(47&gt;=Inputs!$B$77,1,0)</f>
        <v>1</v>
      </c>
      <c r="AW36" s="20">
        <f>IF(48&gt;=Inputs!$B$77,1,0)</f>
        <v>1</v>
      </c>
      <c r="AX36" s="20">
        <f>IF(49&gt;=Inputs!$B$77,1,0)</f>
        <v>1</v>
      </c>
      <c r="AY36" s="20">
        <f>IF(50&gt;=Inputs!$B$77,1,0)</f>
        <v>1</v>
      </c>
      <c r="AZ36" s="20">
        <f>IF(51&gt;=Inputs!$B$77,1,0)</f>
        <v>1</v>
      </c>
      <c r="BA36" s="20">
        <f>IF(52&gt;=Inputs!$B$77,1,0)</f>
        <v>1</v>
      </c>
    </row>
    <row r="37" spans="1:53" x14ac:dyDescent="0.35">
      <c r="A37" s="3" t="s">
        <v>163</v>
      </c>
      <c r="B37" s="20">
        <f>IF(1&gt;=Inputs!$B$78,1,0)</f>
        <v>0</v>
      </c>
      <c r="C37" s="20">
        <f>IF(2&gt;=Inputs!$B$78,1,0)</f>
        <v>0</v>
      </c>
      <c r="D37" s="20">
        <f>IF(3&gt;=Inputs!$B$78,1,0)</f>
        <v>0</v>
      </c>
      <c r="E37" s="20">
        <f>IF(4&gt;=Inputs!$B$78,1,0)</f>
        <v>0</v>
      </c>
      <c r="F37" s="20">
        <f>IF(5&gt;=Inputs!$B$78,1,0)</f>
        <v>0</v>
      </c>
      <c r="G37" s="20">
        <f>IF(6&gt;=Inputs!$B$78,1,0)</f>
        <v>0</v>
      </c>
      <c r="H37" s="20">
        <f>IF(7&gt;=Inputs!$B$78,1,0)</f>
        <v>0</v>
      </c>
      <c r="I37" s="20">
        <f>IF(8&gt;=Inputs!$B$78,1,0)</f>
        <v>0</v>
      </c>
      <c r="J37" s="20">
        <f>IF(9&gt;=Inputs!$B$78,1,0)</f>
        <v>0</v>
      </c>
      <c r="K37" s="20">
        <f>IF(10&gt;=Inputs!$B$78,1,0)</f>
        <v>0</v>
      </c>
      <c r="L37" s="20">
        <f>IF(11&gt;=Inputs!$B$78,1,0)</f>
        <v>0</v>
      </c>
      <c r="M37" s="20">
        <f>IF(12&gt;=Inputs!$B$78,1,0)</f>
        <v>0</v>
      </c>
      <c r="N37" s="20">
        <f>IF(13&gt;=Inputs!$B$78,1,0)</f>
        <v>0</v>
      </c>
      <c r="O37" s="20">
        <f>IF(14&gt;=Inputs!$B$78,1,0)</f>
        <v>0</v>
      </c>
      <c r="P37" s="20">
        <f>IF(15&gt;=Inputs!$B$78,1,0)</f>
        <v>0</v>
      </c>
      <c r="Q37" s="20">
        <f>IF(16&gt;=Inputs!$B$78,1,0)</f>
        <v>0</v>
      </c>
      <c r="R37" s="20">
        <f>IF(17&gt;=Inputs!$B$78,1,0)</f>
        <v>0</v>
      </c>
      <c r="S37" s="20">
        <f>IF(18&gt;=Inputs!$B$78,1,0)</f>
        <v>0</v>
      </c>
      <c r="T37" s="20">
        <f>IF(19&gt;=Inputs!$B$78,1,0)</f>
        <v>0</v>
      </c>
      <c r="U37" s="20">
        <f>IF(20&gt;=Inputs!$B$78,1,0)</f>
        <v>0</v>
      </c>
      <c r="V37" s="20">
        <f>IF(21&gt;=Inputs!$B$78,1,0)</f>
        <v>0</v>
      </c>
      <c r="W37" s="20">
        <f>IF(22&gt;=Inputs!$B$78,1,0)</f>
        <v>0</v>
      </c>
      <c r="X37" s="20">
        <f>IF(23&gt;=Inputs!$B$78,1,0)</f>
        <v>0</v>
      </c>
      <c r="Y37" s="20">
        <f>IF(24&gt;=Inputs!$B$78,1,0)</f>
        <v>0</v>
      </c>
      <c r="Z37" s="20">
        <f>IF(25&gt;=Inputs!$B$78,1,0)</f>
        <v>0</v>
      </c>
      <c r="AA37" s="20">
        <f>IF(26&gt;=Inputs!$B$78,1,0)</f>
        <v>0</v>
      </c>
      <c r="AB37" s="20">
        <f>IF(27&gt;=Inputs!$B$78,1,0)</f>
        <v>0</v>
      </c>
      <c r="AC37" s="20">
        <f>IF(28&gt;=Inputs!$B$78,1,0)</f>
        <v>0</v>
      </c>
      <c r="AD37" s="20">
        <f>IF(29&gt;=Inputs!$B$78,1,0)</f>
        <v>0</v>
      </c>
      <c r="AE37" s="20">
        <f>IF(30&gt;=Inputs!$B$78,1,0)</f>
        <v>0</v>
      </c>
      <c r="AF37" s="20">
        <f>IF(31&gt;=Inputs!$B$78,1,0)</f>
        <v>0</v>
      </c>
      <c r="AG37" s="20">
        <f>IF(32&gt;=Inputs!$B$78,1,0)</f>
        <v>0</v>
      </c>
      <c r="AH37" s="20">
        <f>IF(33&gt;=Inputs!$B$78,1,0)</f>
        <v>0</v>
      </c>
      <c r="AI37" s="20">
        <f>IF(34&gt;=Inputs!$B$78,1,0)</f>
        <v>0</v>
      </c>
      <c r="AJ37" s="20">
        <f>IF(35&gt;=Inputs!$B$78,1,0)</f>
        <v>0</v>
      </c>
      <c r="AK37" s="20">
        <f>IF(36&gt;=Inputs!$B$78,1,0)</f>
        <v>0</v>
      </c>
      <c r="AL37" s="20">
        <f>IF(37&gt;=Inputs!$B$78,1,0)</f>
        <v>0</v>
      </c>
      <c r="AM37" s="20">
        <f>IF(38&gt;=Inputs!$B$78,1,0)</f>
        <v>0</v>
      </c>
      <c r="AN37" s="20">
        <f>IF(39&gt;=Inputs!$B$78,1,0)</f>
        <v>0</v>
      </c>
      <c r="AO37" s="20">
        <f>IF(40&gt;=Inputs!$B$78,1,0)</f>
        <v>1</v>
      </c>
      <c r="AP37" s="20">
        <f>IF(41&gt;=Inputs!$B$78,1,0)</f>
        <v>1</v>
      </c>
      <c r="AQ37" s="20">
        <f>IF(42&gt;=Inputs!$B$78,1,0)</f>
        <v>1</v>
      </c>
      <c r="AR37" s="20">
        <f>IF(43&gt;=Inputs!$B$78,1,0)</f>
        <v>1</v>
      </c>
      <c r="AS37" s="20">
        <f>IF(44&gt;=Inputs!$B$78,1,0)</f>
        <v>1</v>
      </c>
      <c r="AT37" s="20">
        <f>IF(45&gt;=Inputs!$B$78,1,0)</f>
        <v>1</v>
      </c>
      <c r="AU37" s="20">
        <f>IF(46&gt;=Inputs!$B$78,1,0)</f>
        <v>1</v>
      </c>
      <c r="AV37" s="20">
        <f>IF(47&gt;=Inputs!$B$78,1,0)</f>
        <v>1</v>
      </c>
      <c r="AW37" s="20">
        <f>IF(48&gt;=Inputs!$B$78,1,0)</f>
        <v>1</v>
      </c>
      <c r="AX37" s="20">
        <f>IF(49&gt;=Inputs!$B$78,1,0)</f>
        <v>1</v>
      </c>
      <c r="AY37" s="20">
        <f>IF(50&gt;=Inputs!$B$78,1,0)</f>
        <v>1</v>
      </c>
      <c r="AZ37" s="20">
        <f>IF(51&gt;=Inputs!$B$78,1,0)</f>
        <v>1</v>
      </c>
      <c r="BA37" s="20">
        <f>IF(52&gt;=Inputs!$B$78,1,0)</f>
        <v>1</v>
      </c>
    </row>
    <row r="38" spans="1:53" x14ac:dyDescent="0.35">
      <c r="A38" s="2" t="s">
        <v>347</v>
      </c>
      <c r="B38" s="21">
        <f t="shared" ref="B38:AG38" si="0">SUM(B5:B37)</f>
        <v>3</v>
      </c>
      <c r="C38" s="21">
        <f t="shared" si="0"/>
        <v>3</v>
      </c>
      <c r="D38" s="21">
        <f t="shared" si="0"/>
        <v>3</v>
      </c>
      <c r="E38" s="21">
        <f t="shared" si="0"/>
        <v>3</v>
      </c>
      <c r="F38" s="21">
        <f t="shared" si="0"/>
        <v>3</v>
      </c>
      <c r="G38" s="21">
        <f t="shared" si="0"/>
        <v>3</v>
      </c>
      <c r="H38" s="21">
        <f t="shared" si="0"/>
        <v>4</v>
      </c>
      <c r="I38" s="21">
        <f t="shared" si="0"/>
        <v>5</v>
      </c>
      <c r="J38" s="21">
        <f t="shared" si="0"/>
        <v>6</v>
      </c>
      <c r="K38" s="21">
        <f t="shared" si="0"/>
        <v>8</v>
      </c>
      <c r="L38" s="21">
        <f t="shared" si="0"/>
        <v>9</v>
      </c>
      <c r="M38" s="21">
        <f t="shared" si="0"/>
        <v>10</v>
      </c>
      <c r="N38" s="21">
        <f t="shared" si="0"/>
        <v>11</v>
      </c>
      <c r="O38" s="21">
        <f t="shared" si="0"/>
        <v>13</v>
      </c>
      <c r="P38" s="21">
        <f t="shared" si="0"/>
        <v>13</v>
      </c>
      <c r="Q38" s="21">
        <f t="shared" si="0"/>
        <v>13</v>
      </c>
      <c r="R38" s="21">
        <f t="shared" si="0"/>
        <v>13</v>
      </c>
      <c r="S38" s="21">
        <f t="shared" si="0"/>
        <v>16</v>
      </c>
      <c r="T38" s="21">
        <f t="shared" si="0"/>
        <v>16</v>
      </c>
      <c r="U38" s="21">
        <f t="shared" si="0"/>
        <v>17</v>
      </c>
      <c r="V38" s="21">
        <f t="shared" si="0"/>
        <v>17</v>
      </c>
      <c r="W38" s="21">
        <f t="shared" si="0"/>
        <v>18</v>
      </c>
      <c r="X38" s="21">
        <f t="shared" si="0"/>
        <v>18</v>
      </c>
      <c r="Y38" s="21">
        <f t="shared" si="0"/>
        <v>20</v>
      </c>
      <c r="Z38" s="21">
        <f t="shared" si="0"/>
        <v>20</v>
      </c>
      <c r="AA38" s="21">
        <f t="shared" si="0"/>
        <v>21</v>
      </c>
      <c r="AB38" s="21">
        <f t="shared" si="0"/>
        <v>21</v>
      </c>
      <c r="AC38" s="21">
        <f t="shared" si="0"/>
        <v>22</v>
      </c>
      <c r="AD38" s="21">
        <f t="shared" si="0"/>
        <v>22</v>
      </c>
      <c r="AE38" s="21">
        <f t="shared" si="0"/>
        <v>24</v>
      </c>
      <c r="AF38" s="21">
        <f t="shared" si="0"/>
        <v>24</v>
      </c>
      <c r="AG38" s="21">
        <f t="shared" si="0"/>
        <v>25</v>
      </c>
      <c r="AH38" s="21">
        <f t="shared" ref="AH38:BA38" si="1">SUM(AH5:AH37)</f>
        <v>25</v>
      </c>
      <c r="AI38" s="21">
        <f t="shared" si="1"/>
        <v>26</v>
      </c>
      <c r="AJ38" s="21">
        <f t="shared" si="1"/>
        <v>26</v>
      </c>
      <c r="AK38" s="21">
        <f t="shared" si="1"/>
        <v>28</v>
      </c>
      <c r="AL38" s="21">
        <f t="shared" si="1"/>
        <v>28</v>
      </c>
      <c r="AM38" s="21">
        <f t="shared" si="1"/>
        <v>29</v>
      </c>
      <c r="AN38" s="21">
        <f t="shared" si="1"/>
        <v>29</v>
      </c>
      <c r="AO38" s="21">
        <f t="shared" si="1"/>
        <v>31</v>
      </c>
      <c r="AP38" s="21">
        <f t="shared" si="1"/>
        <v>31</v>
      </c>
      <c r="AQ38" s="21">
        <f t="shared" si="1"/>
        <v>33</v>
      </c>
      <c r="AR38" s="21">
        <f t="shared" si="1"/>
        <v>33</v>
      </c>
      <c r="AS38" s="21">
        <f t="shared" si="1"/>
        <v>35</v>
      </c>
      <c r="AT38" s="21">
        <f t="shared" si="1"/>
        <v>35</v>
      </c>
      <c r="AU38" s="21">
        <f t="shared" si="1"/>
        <v>35</v>
      </c>
      <c r="AV38" s="21">
        <f t="shared" si="1"/>
        <v>35</v>
      </c>
      <c r="AW38" s="21">
        <f t="shared" si="1"/>
        <v>35</v>
      </c>
      <c r="AX38" s="21">
        <f t="shared" si="1"/>
        <v>35</v>
      </c>
      <c r="AY38" s="21">
        <f t="shared" si="1"/>
        <v>35</v>
      </c>
      <c r="AZ38" s="21">
        <f t="shared" si="1"/>
        <v>35</v>
      </c>
      <c r="BA38" s="21">
        <f t="shared" si="1"/>
        <v>35</v>
      </c>
    </row>
    <row r="40" spans="1:53" x14ac:dyDescent="0.35">
      <c r="A40" s="2" t="s">
        <v>348</v>
      </c>
    </row>
    <row r="41" spans="1:53" x14ac:dyDescent="0.35">
      <c r="A41" s="3" t="s">
        <v>77</v>
      </c>
      <c r="B41" s="19">
        <f>Inputs!$B$32/12*(1+Inputs!$B$43)^INT((1-1)/12)</f>
        <v>6000</v>
      </c>
      <c r="C41" s="19">
        <f>Inputs!$B$32/12*(1+Inputs!$B$43)^INT((2-1)/12)</f>
        <v>6000</v>
      </c>
      <c r="D41" s="19">
        <f>Inputs!$B$32/12*(1+Inputs!$B$43)^INT((3-1)/12)</f>
        <v>6000</v>
      </c>
      <c r="E41" s="19">
        <f>Inputs!$B$32/12*(1+Inputs!$B$43)^INT((4-1)/12)</f>
        <v>6000</v>
      </c>
      <c r="F41" s="19">
        <f>Inputs!$B$32/12*(1+Inputs!$B$43)^INT((5-1)/12)</f>
        <v>6000</v>
      </c>
      <c r="G41" s="19">
        <f>Inputs!$B$32/12*(1+Inputs!$B$43)^INT((6-1)/12)</f>
        <v>6000</v>
      </c>
      <c r="H41" s="19">
        <f>Inputs!$B$32/12*(1+Inputs!$B$43)^INT((7-1)/12)</f>
        <v>6000</v>
      </c>
      <c r="I41" s="19">
        <f>Inputs!$B$32/12*(1+Inputs!$B$43)^INT((8-1)/12)</f>
        <v>6000</v>
      </c>
      <c r="J41" s="19">
        <f>Inputs!$B$32/12*(1+Inputs!$B$43)^INT((9-1)/12)</f>
        <v>6000</v>
      </c>
      <c r="K41" s="19">
        <f>Inputs!$B$32/12*(1+Inputs!$B$43)^INT((10-1)/12)</f>
        <v>6000</v>
      </c>
      <c r="L41" s="19">
        <f>Inputs!$B$32/12*(1+Inputs!$B$43)^INT((11-1)/12)</f>
        <v>6000</v>
      </c>
      <c r="M41" s="19">
        <f>Inputs!$B$32/12*(1+Inputs!$B$43)^INT((12-1)/12)</f>
        <v>6000</v>
      </c>
      <c r="N41" s="19">
        <f>Inputs!$B$32/12*(1+Inputs!$B$43)^INT((13-1)/12)</f>
        <v>6300</v>
      </c>
      <c r="O41" s="19">
        <f>Inputs!$B$32/12*(1+Inputs!$B$43)^INT((14-1)/12)</f>
        <v>6300</v>
      </c>
      <c r="P41" s="19">
        <f>Inputs!$B$32/12*(1+Inputs!$B$43)^INT((15-1)/12)</f>
        <v>6300</v>
      </c>
      <c r="Q41" s="19">
        <f>Inputs!$B$32/12*(1+Inputs!$B$43)^INT((16-1)/12)</f>
        <v>6300</v>
      </c>
      <c r="R41" s="19">
        <f>Inputs!$B$32/12*(1+Inputs!$B$43)^INT((17-1)/12)</f>
        <v>6300</v>
      </c>
      <c r="S41" s="19">
        <f>Inputs!$B$32/12*(1+Inputs!$B$43)^INT((18-1)/12)</f>
        <v>6300</v>
      </c>
      <c r="T41" s="19">
        <f>Inputs!$B$32/12*(1+Inputs!$B$43)^INT((19-1)/12)</f>
        <v>6300</v>
      </c>
      <c r="U41" s="19">
        <f>Inputs!$B$32/12*(1+Inputs!$B$43)^INT((20-1)/12)</f>
        <v>6300</v>
      </c>
      <c r="V41" s="19">
        <f>Inputs!$B$32/12*(1+Inputs!$B$43)^INT((21-1)/12)</f>
        <v>6300</v>
      </c>
      <c r="W41" s="19">
        <f>Inputs!$B$32/12*(1+Inputs!$B$43)^INT((22-1)/12)</f>
        <v>6300</v>
      </c>
      <c r="X41" s="19">
        <f>Inputs!$B$32/12*(1+Inputs!$B$43)^INT((23-1)/12)</f>
        <v>6300</v>
      </c>
      <c r="Y41" s="19">
        <f>Inputs!$B$32/12*(1+Inputs!$B$43)^INT((24-1)/12)</f>
        <v>6300</v>
      </c>
      <c r="Z41" s="19">
        <f>Inputs!$B$32/12*(1+Inputs!$B$43)^INT((25-1)/12)</f>
        <v>6615</v>
      </c>
      <c r="AA41" s="19">
        <f>Inputs!$B$32/12*(1+Inputs!$B$43)^INT((26-1)/12)</f>
        <v>6615</v>
      </c>
      <c r="AB41" s="19">
        <f>Inputs!$B$32/12*(1+Inputs!$B$43)^INT((27-1)/12)</f>
        <v>6615</v>
      </c>
      <c r="AC41" s="19">
        <f>Inputs!$B$32/12*(1+Inputs!$B$43)^INT((28-1)/12)</f>
        <v>6615</v>
      </c>
      <c r="AD41" s="19">
        <f>Inputs!$B$32/12*(1+Inputs!$B$43)^INT((29-1)/12)</f>
        <v>6615</v>
      </c>
      <c r="AE41" s="19">
        <f>Inputs!$B$32/12*(1+Inputs!$B$43)^INT((30-1)/12)</f>
        <v>6615</v>
      </c>
      <c r="AF41" s="19">
        <f>Inputs!$B$32/12*(1+Inputs!$B$43)^INT((31-1)/12)</f>
        <v>6615</v>
      </c>
      <c r="AG41" s="19">
        <f>Inputs!$B$32/12*(1+Inputs!$B$43)^INT((32-1)/12)</f>
        <v>6615</v>
      </c>
      <c r="AH41" s="19">
        <f>Inputs!$B$32/12*(1+Inputs!$B$43)^INT((33-1)/12)</f>
        <v>6615</v>
      </c>
      <c r="AI41" s="19">
        <f>Inputs!$B$32/12*(1+Inputs!$B$43)^INT((34-1)/12)</f>
        <v>6615</v>
      </c>
      <c r="AJ41" s="19">
        <f>Inputs!$B$32/12*(1+Inputs!$B$43)^INT((35-1)/12)</f>
        <v>6615</v>
      </c>
      <c r="AK41" s="19">
        <f>Inputs!$B$32/12*(1+Inputs!$B$43)^INT((36-1)/12)</f>
        <v>6615</v>
      </c>
      <c r="AL41" s="19">
        <f>Inputs!$B$32/12*(1+Inputs!$B$43)^INT((37-1)/12)</f>
        <v>6945.7500000000009</v>
      </c>
      <c r="AM41" s="19">
        <f>Inputs!$B$32/12*(1+Inputs!$B$43)^INT((38-1)/12)</f>
        <v>6945.7500000000009</v>
      </c>
      <c r="AN41" s="19">
        <f>Inputs!$B$32/12*(1+Inputs!$B$43)^INT((39-1)/12)</f>
        <v>6945.7500000000009</v>
      </c>
      <c r="AO41" s="19">
        <f>Inputs!$B$32/12*(1+Inputs!$B$43)^INT((40-1)/12)</f>
        <v>6945.7500000000009</v>
      </c>
      <c r="AP41" s="19">
        <f>Inputs!$B$32/12*(1+Inputs!$B$43)^INT((41-1)/12)</f>
        <v>6945.7500000000009</v>
      </c>
      <c r="AQ41" s="19">
        <f>Inputs!$B$32/12*(1+Inputs!$B$43)^INT((42-1)/12)</f>
        <v>6945.7500000000009</v>
      </c>
      <c r="AR41" s="19">
        <f>Inputs!$B$32/12*(1+Inputs!$B$43)^INT((43-1)/12)</f>
        <v>6945.7500000000009</v>
      </c>
      <c r="AS41" s="19">
        <f>Inputs!$B$32/12*(1+Inputs!$B$43)^INT((44-1)/12)</f>
        <v>6945.7500000000009</v>
      </c>
      <c r="AT41" s="19">
        <f>Inputs!$B$32/12*(1+Inputs!$B$43)^INT((45-1)/12)</f>
        <v>6945.7500000000009</v>
      </c>
      <c r="AU41" s="19">
        <f>Inputs!$B$32/12*(1+Inputs!$B$43)^INT((46-1)/12)</f>
        <v>6945.7500000000009</v>
      </c>
      <c r="AV41" s="19">
        <f>Inputs!$B$32/12*(1+Inputs!$B$43)^INT((47-1)/12)</f>
        <v>6945.7500000000009</v>
      </c>
      <c r="AW41" s="19">
        <f>Inputs!$B$32/12*(1+Inputs!$B$43)^INT((48-1)/12)</f>
        <v>6945.7500000000009</v>
      </c>
      <c r="AX41" s="19">
        <f>Inputs!$B$32/12*(1+Inputs!$B$43)^INT((49-1)/12)</f>
        <v>7293.0375000000004</v>
      </c>
      <c r="AY41" s="19">
        <f>Inputs!$B$32/12*(1+Inputs!$B$43)^INT((50-1)/12)</f>
        <v>7293.0375000000004</v>
      </c>
      <c r="AZ41" s="19">
        <f>Inputs!$B$32/12*(1+Inputs!$B$43)^INT((51-1)/12)</f>
        <v>7293.0375000000004</v>
      </c>
      <c r="BA41" s="19">
        <f>Inputs!$B$32/12*(1+Inputs!$B$43)^INT((52-1)/12)</f>
        <v>7293.0375000000004</v>
      </c>
    </row>
    <row r="42" spans="1:53" x14ac:dyDescent="0.35">
      <c r="A42" s="3" t="s">
        <v>79</v>
      </c>
      <c r="B42" s="19">
        <f>Inputs!$B$33/12*(1+Inputs!$B$43)^INT((1-1)/12)</f>
        <v>6000</v>
      </c>
      <c r="C42" s="19">
        <f>Inputs!$B$33/12*(1+Inputs!$B$43)^INT((2-1)/12)</f>
        <v>6000</v>
      </c>
      <c r="D42" s="19">
        <f>Inputs!$B$33/12*(1+Inputs!$B$43)^INT((3-1)/12)</f>
        <v>6000</v>
      </c>
      <c r="E42" s="19">
        <f>Inputs!$B$33/12*(1+Inputs!$B$43)^INT((4-1)/12)</f>
        <v>6000</v>
      </c>
      <c r="F42" s="19">
        <f>Inputs!$B$33/12*(1+Inputs!$B$43)^INT((5-1)/12)</f>
        <v>6000</v>
      </c>
      <c r="G42" s="19">
        <f>Inputs!$B$33/12*(1+Inputs!$B$43)^INT((6-1)/12)</f>
        <v>6000</v>
      </c>
      <c r="H42" s="19">
        <f>Inputs!$B$33/12*(1+Inputs!$B$43)^INT((7-1)/12)</f>
        <v>6000</v>
      </c>
      <c r="I42" s="19">
        <f>Inputs!$B$33/12*(1+Inputs!$B$43)^INT((8-1)/12)</f>
        <v>6000</v>
      </c>
      <c r="J42" s="19">
        <f>Inputs!$B$33/12*(1+Inputs!$B$43)^INT((9-1)/12)</f>
        <v>6000</v>
      </c>
      <c r="K42" s="19">
        <f>Inputs!$B$33/12*(1+Inputs!$B$43)^INT((10-1)/12)</f>
        <v>6000</v>
      </c>
      <c r="L42" s="19">
        <f>Inputs!$B$33/12*(1+Inputs!$B$43)^INT((11-1)/12)</f>
        <v>6000</v>
      </c>
      <c r="M42" s="19">
        <f>Inputs!$B$33/12*(1+Inputs!$B$43)^INT((12-1)/12)</f>
        <v>6000</v>
      </c>
      <c r="N42" s="19">
        <f>Inputs!$B$33/12*(1+Inputs!$B$43)^INT((13-1)/12)</f>
        <v>6300</v>
      </c>
      <c r="O42" s="19">
        <f>Inputs!$B$33/12*(1+Inputs!$B$43)^INT((14-1)/12)</f>
        <v>6300</v>
      </c>
      <c r="P42" s="19">
        <f>Inputs!$B$33/12*(1+Inputs!$B$43)^INT((15-1)/12)</f>
        <v>6300</v>
      </c>
      <c r="Q42" s="19">
        <f>Inputs!$B$33/12*(1+Inputs!$B$43)^INT((16-1)/12)</f>
        <v>6300</v>
      </c>
      <c r="R42" s="19">
        <f>Inputs!$B$33/12*(1+Inputs!$B$43)^INT((17-1)/12)</f>
        <v>6300</v>
      </c>
      <c r="S42" s="19">
        <f>Inputs!$B$33/12*(1+Inputs!$B$43)^INT((18-1)/12)</f>
        <v>6300</v>
      </c>
      <c r="T42" s="19">
        <f>Inputs!$B$33/12*(1+Inputs!$B$43)^INT((19-1)/12)</f>
        <v>6300</v>
      </c>
      <c r="U42" s="19">
        <f>Inputs!$B$33/12*(1+Inputs!$B$43)^INT((20-1)/12)</f>
        <v>6300</v>
      </c>
      <c r="V42" s="19">
        <f>Inputs!$B$33/12*(1+Inputs!$B$43)^INT((21-1)/12)</f>
        <v>6300</v>
      </c>
      <c r="W42" s="19">
        <f>Inputs!$B$33/12*(1+Inputs!$B$43)^INT((22-1)/12)</f>
        <v>6300</v>
      </c>
      <c r="X42" s="19">
        <f>Inputs!$B$33/12*(1+Inputs!$B$43)^INT((23-1)/12)</f>
        <v>6300</v>
      </c>
      <c r="Y42" s="19">
        <f>Inputs!$B$33/12*(1+Inputs!$B$43)^INT((24-1)/12)</f>
        <v>6300</v>
      </c>
      <c r="Z42" s="19">
        <f>Inputs!$B$33/12*(1+Inputs!$B$43)^INT((25-1)/12)</f>
        <v>6615</v>
      </c>
      <c r="AA42" s="19">
        <f>Inputs!$B$33/12*(1+Inputs!$B$43)^INT((26-1)/12)</f>
        <v>6615</v>
      </c>
      <c r="AB42" s="19">
        <f>Inputs!$B$33/12*(1+Inputs!$B$43)^INT((27-1)/12)</f>
        <v>6615</v>
      </c>
      <c r="AC42" s="19">
        <f>Inputs!$B$33/12*(1+Inputs!$B$43)^INT((28-1)/12)</f>
        <v>6615</v>
      </c>
      <c r="AD42" s="19">
        <f>Inputs!$B$33/12*(1+Inputs!$B$43)^INT((29-1)/12)</f>
        <v>6615</v>
      </c>
      <c r="AE42" s="19">
        <f>Inputs!$B$33/12*(1+Inputs!$B$43)^INT((30-1)/12)</f>
        <v>6615</v>
      </c>
      <c r="AF42" s="19">
        <f>Inputs!$B$33/12*(1+Inputs!$B$43)^INT((31-1)/12)</f>
        <v>6615</v>
      </c>
      <c r="AG42" s="19">
        <f>Inputs!$B$33/12*(1+Inputs!$B$43)^INT((32-1)/12)</f>
        <v>6615</v>
      </c>
      <c r="AH42" s="19">
        <f>Inputs!$B$33/12*(1+Inputs!$B$43)^INT((33-1)/12)</f>
        <v>6615</v>
      </c>
      <c r="AI42" s="19">
        <f>Inputs!$B$33/12*(1+Inputs!$B$43)^INT((34-1)/12)</f>
        <v>6615</v>
      </c>
      <c r="AJ42" s="19">
        <f>Inputs!$B$33/12*(1+Inputs!$B$43)^INT((35-1)/12)</f>
        <v>6615</v>
      </c>
      <c r="AK42" s="19">
        <f>Inputs!$B$33/12*(1+Inputs!$B$43)^INT((36-1)/12)</f>
        <v>6615</v>
      </c>
      <c r="AL42" s="19">
        <f>Inputs!$B$33/12*(1+Inputs!$B$43)^INT((37-1)/12)</f>
        <v>6945.7500000000009</v>
      </c>
      <c r="AM42" s="19">
        <f>Inputs!$B$33/12*(1+Inputs!$B$43)^INT((38-1)/12)</f>
        <v>6945.7500000000009</v>
      </c>
      <c r="AN42" s="19">
        <f>Inputs!$B$33/12*(1+Inputs!$B$43)^INT((39-1)/12)</f>
        <v>6945.7500000000009</v>
      </c>
      <c r="AO42" s="19">
        <f>Inputs!$B$33/12*(1+Inputs!$B$43)^INT((40-1)/12)</f>
        <v>6945.7500000000009</v>
      </c>
      <c r="AP42" s="19">
        <f>Inputs!$B$33/12*(1+Inputs!$B$43)^INT((41-1)/12)</f>
        <v>6945.7500000000009</v>
      </c>
      <c r="AQ42" s="19">
        <f>Inputs!$B$33/12*(1+Inputs!$B$43)^INT((42-1)/12)</f>
        <v>6945.7500000000009</v>
      </c>
      <c r="AR42" s="19">
        <f>Inputs!$B$33/12*(1+Inputs!$B$43)^INT((43-1)/12)</f>
        <v>6945.7500000000009</v>
      </c>
      <c r="AS42" s="19">
        <f>Inputs!$B$33/12*(1+Inputs!$B$43)^INT((44-1)/12)</f>
        <v>6945.7500000000009</v>
      </c>
      <c r="AT42" s="19">
        <f>Inputs!$B$33/12*(1+Inputs!$B$43)^INT((45-1)/12)</f>
        <v>6945.7500000000009</v>
      </c>
      <c r="AU42" s="19">
        <f>Inputs!$B$33/12*(1+Inputs!$B$43)^INT((46-1)/12)</f>
        <v>6945.7500000000009</v>
      </c>
      <c r="AV42" s="19">
        <f>Inputs!$B$33/12*(1+Inputs!$B$43)^INT((47-1)/12)</f>
        <v>6945.7500000000009</v>
      </c>
      <c r="AW42" s="19">
        <f>Inputs!$B$33/12*(1+Inputs!$B$43)^INT((48-1)/12)</f>
        <v>6945.7500000000009</v>
      </c>
      <c r="AX42" s="19">
        <f>Inputs!$B$33/12*(1+Inputs!$B$43)^INT((49-1)/12)</f>
        <v>7293.0375000000004</v>
      </c>
      <c r="AY42" s="19">
        <f>Inputs!$B$33/12*(1+Inputs!$B$43)^INT((50-1)/12)</f>
        <v>7293.0375000000004</v>
      </c>
      <c r="AZ42" s="19">
        <f>Inputs!$B$33/12*(1+Inputs!$B$43)^INT((51-1)/12)</f>
        <v>7293.0375000000004</v>
      </c>
      <c r="BA42" s="19">
        <f>Inputs!$B$33/12*(1+Inputs!$B$43)^INT((52-1)/12)</f>
        <v>7293.0375000000004</v>
      </c>
    </row>
    <row r="43" spans="1:53" x14ac:dyDescent="0.35">
      <c r="A43" s="3" t="s">
        <v>80</v>
      </c>
      <c r="B43" s="19">
        <f>Inputs!$B$34/12*(1+Inputs!$B$43)^INT((1-1)/12)</f>
        <v>6000</v>
      </c>
      <c r="C43" s="19">
        <f>Inputs!$B$34/12*(1+Inputs!$B$43)^INT((2-1)/12)</f>
        <v>6000</v>
      </c>
      <c r="D43" s="19">
        <f>Inputs!$B$34/12*(1+Inputs!$B$43)^INT((3-1)/12)</f>
        <v>6000</v>
      </c>
      <c r="E43" s="19">
        <f>Inputs!$B$34/12*(1+Inputs!$B$43)^INT((4-1)/12)</f>
        <v>6000</v>
      </c>
      <c r="F43" s="19">
        <f>Inputs!$B$34/12*(1+Inputs!$B$43)^INT((5-1)/12)</f>
        <v>6000</v>
      </c>
      <c r="G43" s="19">
        <f>Inputs!$B$34/12*(1+Inputs!$B$43)^INT((6-1)/12)</f>
        <v>6000</v>
      </c>
      <c r="H43" s="19">
        <f>Inputs!$B$34/12*(1+Inputs!$B$43)^INT((7-1)/12)</f>
        <v>6000</v>
      </c>
      <c r="I43" s="19">
        <f>Inputs!$B$34/12*(1+Inputs!$B$43)^INT((8-1)/12)</f>
        <v>6000</v>
      </c>
      <c r="J43" s="19">
        <f>Inputs!$B$34/12*(1+Inputs!$B$43)^INT((9-1)/12)</f>
        <v>6000</v>
      </c>
      <c r="K43" s="19">
        <f>Inputs!$B$34/12*(1+Inputs!$B$43)^INT((10-1)/12)</f>
        <v>6000</v>
      </c>
      <c r="L43" s="19">
        <f>Inputs!$B$34/12*(1+Inputs!$B$43)^INT((11-1)/12)</f>
        <v>6000</v>
      </c>
      <c r="M43" s="19">
        <f>Inputs!$B$34/12*(1+Inputs!$B$43)^INT((12-1)/12)</f>
        <v>6000</v>
      </c>
      <c r="N43" s="19">
        <f>Inputs!$B$34/12*(1+Inputs!$B$43)^INT((13-1)/12)</f>
        <v>6300</v>
      </c>
      <c r="O43" s="19">
        <f>Inputs!$B$34/12*(1+Inputs!$B$43)^INT((14-1)/12)</f>
        <v>6300</v>
      </c>
      <c r="P43" s="19">
        <f>Inputs!$B$34/12*(1+Inputs!$B$43)^INT((15-1)/12)</f>
        <v>6300</v>
      </c>
      <c r="Q43" s="19">
        <f>Inputs!$B$34/12*(1+Inputs!$B$43)^INT((16-1)/12)</f>
        <v>6300</v>
      </c>
      <c r="R43" s="19">
        <f>Inputs!$B$34/12*(1+Inputs!$B$43)^INT((17-1)/12)</f>
        <v>6300</v>
      </c>
      <c r="S43" s="19">
        <f>Inputs!$B$34/12*(1+Inputs!$B$43)^INT((18-1)/12)</f>
        <v>6300</v>
      </c>
      <c r="T43" s="19">
        <f>Inputs!$B$34/12*(1+Inputs!$B$43)^INT((19-1)/12)</f>
        <v>6300</v>
      </c>
      <c r="U43" s="19">
        <f>Inputs!$B$34/12*(1+Inputs!$B$43)^INT((20-1)/12)</f>
        <v>6300</v>
      </c>
      <c r="V43" s="19">
        <f>Inputs!$B$34/12*(1+Inputs!$B$43)^INT((21-1)/12)</f>
        <v>6300</v>
      </c>
      <c r="W43" s="19">
        <f>Inputs!$B$34/12*(1+Inputs!$B$43)^INT((22-1)/12)</f>
        <v>6300</v>
      </c>
      <c r="X43" s="19">
        <f>Inputs!$B$34/12*(1+Inputs!$B$43)^INT((23-1)/12)</f>
        <v>6300</v>
      </c>
      <c r="Y43" s="19">
        <f>Inputs!$B$34/12*(1+Inputs!$B$43)^INT((24-1)/12)</f>
        <v>6300</v>
      </c>
      <c r="Z43" s="19">
        <f>Inputs!$B$34/12*(1+Inputs!$B$43)^INT((25-1)/12)</f>
        <v>6615</v>
      </c>
      <c r="AA43" s="19">
        <f>Inputs!$B$34/12*(1+Inputs!$B$43)^INT((26-1)/12)</f>
        <v>6615</v>
      </c>
      <c r="AB43" s="19">
        <f>Inputs!$B$34/12*(1+Inputs!$B$43)^INT((27-1)/12)</f>
        <v>6615</v>
      </c>
      <c r="AC43" s="19">
        <f>Inputs!$B$34/12*(1+Inputs!$B$43)^INT((28-1)/12)</f>
        <v>6615</v>
      </c>
      <c r="AD43" s="19">
        <f>Inputs!$B$34/12*(1+Inputs!$B$43)^INT((29-1)/12)</f>
        <v>6615</v>
      </c>
      <c r="AE43" s="19">
        <f>Inputs!$B$34/12*(1+Inputs!$B$43)^INT((30-1)/12)</f>
        <v>6615</v>
      </c>
      <c r="AF43" s="19">
        <f>Inputs!$B$34/12*(1+Inputs!$B$43)^INT((31-1)/12)</f>
        <v>6615</v>
      </c>
      <c r="AG43" s="19">
        <f>Inputs!$B$34/12*(1+Inputs!$B$43)^INT((32-1)/12)</f>
        <v>6615</v>
      </c>
      <c r="AH43" s="19">
        <f>Inputs!$B$34/12*(1+Inputs!$B$43)^INT((33-1)/12)</f>
        <v>6615</v>
      </c>
      <c r="AI43" s="19">
        <f>Inputs!$B$34/12*(1+Inputs!$B$43)^INT((34-1)/12)</f>
        <v>6615</v>
      </c>
      <c r="AJ43" s="19">
        <f>Inputs!$B$34/12*(1+Inputs!$B$43)^INT((35-1)/12)</f>
        <v>6615</v>
      </c>
      <c r="AK43" s="19">
        <f>Inputs!$B$34/12*(1+Inputs!$B$43)^INT((36-1)/12)</f>
        <v>6615</v>
      </c>
      <c r="AL43" s="19">
        <f>Inputs!$B$34/12*(1+Inputs!$B$43)^INT((37-1)/12)</f>
        <v>6945.7500000000009</v>
      </c>
      <c r="AM43" s="19">
        <f>Inputs!$B$34/12*(1+Inputs!$B$43)^INT((38-1)/12)</f>
        <v>6945.7500000000009</v>
      </c>
      <c r="AN43" s="19">
        <f>Inputs!$B$34/12*(1+Inputs!$B$43)^INT((39-1)/12)</f>
        <v>6945.7500000000009</v>
      </c>
      <c r="AO43" s="19">
        <f>Inputs!$B$34/12*(1+Inputs!$B$43)^INT((40-1)/12)</f>
        <v>6945.7500000000009</v>
      </c>
      <c r="AP43" s="19">
        <f>Inputs!$B$34/12*(1+Inputs!$B$43)^INT((41-1)/12)</f>
        <v>6945.7500000000009</v>
      </c>
      <c r="AQ43" s="19">
        <f>Inputs!$B$34/12*(1+Inputs!$B$43)^INT((42-1)/12)</f>
        <v>6945.7500000000009</v>
      </c>
      <c r="AR43" s="19">
        <f>Inputs!$B$34/12*(1+Inputs!$B$43)^INT((43-1)/12)</f>
        <v>6945.7500000000009</v>
      </c>
      <c r="AS43" s="19">
        <f>Inputs!$B$34/12*(1+Inputs!$B$43)^INT((44-1)/12)</f>
        <v>6945.7500000000009</v>
      </c>
      <c r="AT43" s="19">
        <f>Inputs!$B$34/12*(1+Inputs!$B$43)^INT((45-1)/12)</f>
        <v>6945.7500000000009</v>
      </c>
      <c r="AU43" s="19">
        <f>Inputs!$B$34/12*(1+Inputs!$B$43)^INT((46-1)/12)</f>
        <v>6945.7500000000009</v>
      </c>
      <c r="AV43" s="19">
        <f>Inputs!$B$34/12*(1+Inputs!$B$43)^INT((47-1)/12)</f>
        <v>6945.7500000000009</v>
      </c>
      <c r="AW43" s="19">
        <f>Inputs!$B$34/12*(1+Inputs!$B$43)^INT((48-1)/12)</f>
        <v>6945.7500000000009</v>
      </c>
      <c r="AX43" s="19">
        <f>Inputs!$B$34/12*(1+Inputs!$B$43)^INT((49-1)/12)</f>
        <v>7293.0375000000004</v>
      </c>
      <c r="AY43" s="19">
        <f>Inputs!$B$34/12*(1+Inputs!$B$43)^INT((50-1)/12)</f>
        <v>7293.0375000000004</v>
      </c>
      <c r="AZ43" s="19">
        <f>Inputs!$B$34/12*(1+Inputs!$B$43)^INT((51-1)/12)</f>
        <v>7293.0375000000004</v>
      </c>
      <c r="BA43" s="19">
        <f>Inputs!$B$34/12*(1+Inputs!$B$43)^INT((52-1)/12)</f>
        <v>7293.0375000000004</v>
      </c>
    </row>
    <row r="44" spans="1:53" x14ac:dyDescent="0.35">
      <c r="A44" s="3" t="s">
        <v>349</v>
      </c>
      <c r="B44" s="19">
        <f>B6*Inputs!$B$35/12*(1+Inputs!$B$43)^INT((1-1)/12)</f>
        <v>0</v>
      </c>
      <c r="C44" s="19">
        <f>C6*Inputs!$B$35/12*(1+Inputs!$B$43)^INT((2-1)/12)</f>
        <v>0</v>
      </c>
      <c r="D44" s="19">
        <f>D6*Inputs!$B$35/12*(1+Inputs!$B$43)^INT((3-1)/12)</f>
        <v>0</v>
      </c>
      <c r="E44" s="19">
        <f>E6*Inputs!$B$35/12*(1+Inputs!$B$43)^INT((4-1)/12)</f>
        <v>0</v>
      </c>
      <c r="F44" s="19">
        <f>F6*Inputs!$B$35/12*(1+Inputs!$B$43)^INT((5-1)/12)</f>
        <v>0</v>
      </c>
      <c r="G44" s="19">
        <f>G6*Inputs!$B$35/12*(1+Inputs!$B$43)^INT((6-1)/12)</f>
        <v>0</v>
      </c>
      <c r="H44" s="19">
        <f>H6*Inputs!$B$35/12*(1+Inputs!$B$43)^INT((7-1)/12)</f>
        <v>7500</v>
      </c>
      <c r="I44" s="19">
        <f>I6*Inputs!$B$35/12*(1+Inputs!$B$43)^INT((8-1)/12)</f>
        <v>7500</v>
      </c>
      <c r="J44" s="19">
        <f>J6*Inputs!$B$35/12*(1+Inputs!$B$43)^INT((9-1)/12)</f>
        <v>7500</v>
      </c>
      <c r="K44" s="19">
        <f>K6*Inputs!$B$35/12*(1+Inputs!$B$43)^INT((10-1)/12)</f>
        <v>7500</v>
      </c>
      <c r="L44" s="19">
        <f>L6*Inputs!$B$35/12*(1+Inputs!$B$43)^INT((11-1)/12)</f>
        <v>7500</v>
      </c>
      <c r="M44" s="19">
        <f>M6*Inputs!$B$35/12*(1+Inputs!$B$43)^INT((12-1)/12)</f>
        <v>7500</v>
      </c>
      <c r="N44" s="19">
        <f>N6*Inputs!$B$35/12*(1+Inputs!$B$43)^INT((13-1)/12)</f>
        <v>7875</v>
      </c>
      <c r="O44" s="19">
        <f>O6*Inputs!$B$35/12*(1+Inputs!$B$43)^INT((14-1)/12)</f>
        <v>7875</v>
      </c>
      <c r="P44" s="19">
        <f>P6*Inputs!$B$35/12*(1+Inputs!$B$43)^INT((15-1)/12)</f>
        <v>7875</v>
      </c>
      <c r="Q44" s="19">
        <f>Q6*Inputs!$B$35/12*(1+Inputs!$B$43)^INT((16-1)/12)</f>
        <v>7875</v>
      </c>
      <c r="R44" s="19">
        <f>R6*Inputs!$B$35/12*(1+Inputs!$B$43)^INT((17-1)/12)</f>
        <v>7875</v>
      </c>
      <c r="S44" s="19">
        <f>S6*Inputs!$B$35/12*(1+Inputs!$B$43)^INT((18-1)/12)</f>
        <v>7875</v>
      </c>
      <c r="T44" s="19">
        <f>T6*Inputs!$B$35/12*(1+Inputs!$B$43)^INT((19-1)/12)</f>
        <v>7875</v>
      </c>
      <c r="U44" s="19">
        <f>U6*Inputs!$B$35/12*(1+Inputs!$B$43)^INT((20-1)/12)</f>
        <v>7875</v>
      </c>
      <c r="V44" s="19">
        <f>V6*Inputs!$B$35/12*(1+Inputs!$B$43)^INT((21-1)/12)</f>
        <v>7875</v>
      </c>
      <c r="W44" s="19">
        <f>W6*Inputs!$B$35/12*(1+Inputs!$B$43)^INT((22-1)/12)</f>
        <v>7875</v>
      </c>
      <c r="X44" s="19">
        <f>X6*Inputs!$B$35/12*(1+Inputs!$B$43)^INT((23-1)/12)</f>
        <v>7875</v>
      </c>
      <c r="Y44" s="19">
        <f>Y6*Inputs!$B$35/12*(1+Inputs!$B$43)^INT((24-1)/12)</f>
        <v>7875</v>
      </c>
      <c r="Z44" s="19">
        <f>Z6*Inputs!$B$35/12*(1+Inputs!$B$43)^INT((25-1)/12)</f>
        <v>8268.75</v>
      </c>
      <c r="AA44" s="19">
        <f>AA6*Inputs!$B$35/12*(1+Inputs!$B$43)^INT((26-1)/12)</f>
        <v>8268.75</v>
      </c>
      <c r="AB44" s="19">
        <f>AB6*Inputs!$B$35/12*(1+Inputs!$B$43)^INT((27-1)/12)</f>
        <v>8268.75</v>
      </c>
      <c r="AC44" s="19">
        <f>AC6*Inputs!$B$35/12*(1+Inputs!$B$43)^INT((28-1)/12)</f>
        <v>8268.75</v>
      </c>
      <c r="AD44" s="19">
        <f>AD6*Inputs!$B$35/12*(1+Inputs!$B$43)^INT((29-1)/12)</f>
        <v>8268.75</v>
      </c>
      <c r="AE44" s="19">
        <f>AE6*Inputs!$B$35/12*(1+Inputs!$B$43)^INT((30-1)/12)</f>
        <v>8268.75</v>
      </c>
      <c r="AF44" s="19">
        <f>AF6*Inputs!$B$35/12*(1+Inputs!$B$43)^INT((31-1)/12)</f>
        <v>8268.75</v>
      </c>
      <c r="AG44" s="19">
        <f>AG6*Inputs!$B$35/12*(1+Inputs!$B$43)^INT((32-1)/12)</f>
        <v>8268.75</v>
      </c>
      <c r="AH44" s="19">
        <f>AH6*Inputs!$B$35/12*(1+Inputs!$B$43)^INT((33-1)/12)</f>
        <v>8268.75</v>
      </c>
      <c r="AI44" s="19">
        <f>AI6*Inputs!$B$35/12*(1+Inputs!$B$43)^INT((34-1)/12)</f>
        <v>8268.75</v>
      </c>
      <c r="AJ44" s="19">
        <f>AJ6*Inputs!$B$35/12*(1+Inputs!$B$43)^INT((35-1)/12)</f>
        <v>8268.75</v>
      </c>
      <c r="AK44" s="19">
        <f>AK6*Inputs!$B$35/12*(1+Inputs!$B$43)^INT((36-1)/12)</f>
        <v>8268.75</v>
      </c>
      <c r="AL44" s="19">
        <f>AL6*Inputs!$B$35/12*(1+Inputs!$B$43)^INT((37-1)/12)</f>
        <v>8682.1875000000018</v>
      </c>
      <c r="AM44" s="19">
        <f>AM6*Inputs!$B$35/12*(1+Inputs!$B$43)^INT((38-1)/12)</f>
        <v>8682.1875000000018</v>
      </c>
      <c r="AN44" s="19">
        <f>AN6*Inputs!$B$35/12*(1+Inputs!$B$43)^INT((39-1)/12)</f>
        <v>8682.1875000000018</v>
      </c>
      <c r="AO44" s="19">
        <f>AO6*Inputs!$B$35/12*(1+Inputs!$B$43)^INT((40-1)/12)</f>
        <v>8682.1875000000018</v>
      </c>
      <c r="AP44" s="19">
        <f>AP6*Inputs!$B$35/12*(1+Inputs!$B$43)^INT((41-1)/12)</f>
        <v>8682.1875000000018</v>
      </c>
      <c r="AQ44" s="19">
        <f>AQ6*Inputs!$B$35/12*(1+Inputs!$B$43)^INT((42-1)/12)</f>
        <v>8682.1875000000018</v>
      </c>
      <c r="AR44" s="19">
        <f>AR6*Inputs!$B$35/12*(1+Inputs!$B$43)^INT((43-1)/12)</f>
        <v>8682.1875000000018</v>
      </c>
      <c r="AS44" s="19">
        <f>AS6*Inputs!$B$35/12*(1+Inputs!$B$43)^INT((44-1)/12)</f>
        <v>8682.1875000000018</v>
      </c>
      <c r="AT44" s="19">
        <f>AT6*Inputs!$B$35/12*(1+Inputs!$B$43)^INT((45-1)/12)</f>
        <v>8682.1875000000018</v>
      </c>
      <c r="AU44" s="19">
        <f>AU6*Inputs!$B$35/12*(1+Inputs!$B$43)^INT((46-1)/12)</f>
        <v>8682.1875000000018</v>
      </c>
      <c r="AV44" s="19">
        <f>AV6*Inputs!$B$35/12*(1+Inputs!$B$43)^INT((47-1)/12)</f>
        <v>8682.1875000000018</v>
      </c>
      <c r="AW44" s="19">
        <f>AW6*Inputs!$B$35/12*(1+Inputs!$B$43)^INT((48-1)/12)</f>
        <v>8682.1875000000018</v>
      </c>
      <c r="AX44" s="19">
        <f>AX6*Inputs!$B$35/12*(1+Inputs!$B$43)^INT((49-1)/12)</f>
        <v>9116.296875</v>
      </c>
      <c r="AY44" s="19">
        <f>AY6*Inputs!$B$35/12*(1+Inputs!$B$43)^INT((50-1)/12)</f>
        <v>9116.296875</v>
      </c>
      <c r="AZ44" s="19">
        <f>AZ6*Inputs!$B$35/12*(1+Inputs!$B$43)^INT((51-1)/12)</f>
        <v>9116.296875</v>
      </c>
      <c r="BA44" s="19">
        <f>BA6*Inputs!$B$35/12*(1+Inputs!$B$43)^INT((52-1)/12)</f>
        <v>9116.296875</v>
      </c>
    </row>
    <row r="45" spans="1:53" x14ac:dyDescent="0.35">
      <c r="A45" s="3" t="s">
        <v>350</v>
      </c>
      <c r="B45" s="19">
        <f>B7*Inputs!$B$35/12*(1+Inputs!$B$43)^INT((1-1)/12)</f>
        <v>0</v>
      </c>
      <c r="C45" s="19">
        <f>C7*Inputs!$B$35/12*(1+Inputs!$B$43)^INT((2-1)/12)</f>
        <v>0</v>
      </c>
      <c r="D45" s="19">
        <f>D7*Inputs!$B$35/12*(1+Inputs!$B$43)^INT((3-1)/12)</f>
        <v>0</v>
      </c>
      <c r="E45" s="19">
        <f>E7*Inputs!$B$35/12*(1+Inputs!$B$43)^INT((4-1)/12)</f>
        <v>0</v>
      </c>
      <c r="F45" s="19">
        <f>F7*Inputs!$B$35/12*(1+Inputs!$B$43)^INT((5-1)/12)</f>
        <v>0</v>
      </c>
      <c r="G45" s="19">
        <f>G7*Inputs!$B$35/12*(1+Inputs!$B$43)^INT((6-1)/12)</f>
        <v>0</v>
      </c>
      <c r="H45" s="19">
        <f>H7*Inputs!$B$35/12*(1+Inputs!$B$43)^INT((7-1)/12)</f>
        <v>0</v>
      </c>
      <c r="I45" s="19">
        <f>I7*Inputs!$B$35/12*(1+Inputs!$B$43)^INT((8-1)/12)</f>
        <v>0</v>
      </c>
      <c r="J45" s="19">
        <f>J7*Inputs!$B$35/12*(1+Inputs!$B$43)^INT((9-1)/12)</f>
        <v>0</v>
      </c>
      <c r="K45" s="19">
        <f>K7*Inputs!$B$35/12*(1+Inputs!$B$43)^INT((10-1)/12)</f>
        <v>7500</v>
      </c>
      <c r="L45" s="19">
        <f>L7*Inputs!$B$35/12*(1+Inputs!$B$43)^INT((11-1)/12)</f>
        <v>7500</v>
      </c>
      <c r="M45" s="19">
        <f>M7*Inputs!$B$35/12*(1+Inputs!$B$43)^INT((12-1)/12)</f>
        <v>7500</v>
      </c>
      <c r="N45" s="19">
        <f>N7*Inputs!$B$35/12*(1+Inputs!$B$43)^INT((13-1)/12)</f>
        <v>7875</v>
      </c>
      <c r="O45" s="19">
        <f>O7*Inputs!$B$35/12*(1+Inputs!$B$43)^INT((14-1)/12)</f>
        <v>7875</v>
      </c>
      <c r="P45" s="19">
        <f>P7*Inputs!$B$35/12*(1+Inputs!$B$43)^INT((15-1)/12)</f>
        <v>7875</v>
      </c>
      <c r="Q45" s="19">
        <f>Q7*Inputs!$B$35/12*(1+Inputs!$B$43)^INT((16-1)/12)</f>
        <v>7875</v>
      </c>
      <c r="R45" s="19">
        <f>R7*Inputs!$B$35/12*(1+Inputs!$B$43)^INT((17-1)/12)</f>
        <v>7875</v>
      </c>
      <c r="S45" s="19">
        <f>S7*Inputs!$B$35/12*(1+Inputs!$B$43)^INT((18-1)/12)</f>
        <v>7875</v>
      </c>
      <c r="T45" s="19">
        <f>T7*Inputs!$B$35/12*(1+Inputs!$B$43)^INT((19-1)/12)</f>
        <v>7875</v>
      </c>
      <c r="U45" s="19">
        <f>U7*Inputs!$B$35/12*(1+Inputs!$B$43)^INT((20-1)/12)</f>
        <v>7875</v>
      </c>
      <c r="V45" s="19">
        <f>V7*Inputs!$B$35/12*(1+Inputs!$B$43)^INT((21-1)/12)</f>
        <v>7875</v>
      </c>
      <c r="W45" s="19">
        <f>W7*Inputs!$B$35/12*(1+Inputs!$B$43)^INT((22-1)/12)</f>
        <v>7875</v>
      </c>
      <c r="X45" s="19">
        <f>X7*Inputs!$B$35/12*(1+Inputs!$B$43)^INT((23-1)/12)</f>
        <v>7875</v>
      </c>
      <c r="Y45" s="19">
        <f>Y7*Inputs!$B$35/12*(1+Inputs!$B$43)^INT((24-1)/12)</f>
        <v>7875</v>
      </c>
      <c r="Z45" s="19">
        <f>Z7*Inputs!$B$35/12*(1+Inputs!$B$43)^INT((25-1)/12)</f>
        <v>8268.75</v>
      </c>
      <c r="AA45" s="19">
        <f>AA7*Inputs!$B$35/12*(1+Inputs!$B$43)^INT((26-1)/12)</f>
        <v>8268.75</v>
      </c>
      <c r="AB45" s="19">
        <f>AB7*Inputs!$B$35/12*(1+Inputs!$B$43)^INT((27-1)/12)</f>
        <v>8268.75</v>
      </c>
      <c r="AC45" s="19">
        <f>AC7*Inputs!$B$35/12*(1+Inputs!$B$43)^INT((28-1)/12)</f>
        <v>8268.75</v>
      </c>
      <c r="AD45" s="19">
        <f>AD7*Inputs!$B$35/12*(1+Inputs!$B$43)^INT((29-1)/12)</f>
        <v>8268.75</v>
      </c>
      <c r="AE45" s="19">
        <f>AE7*Inputs!$B$35/12*(1+Inputs!$B$43)^INT((30-1)/12)</f>
        <v>8268.75</v>
      </c>
      <c r="AF45" s="19">
        <f>AF7*Inputs!$B$35/12*(1+Inputs!$B$43)^INT((31-1)/12)</f>
        <v>8268.75</v>
      </c>
      <c r="AG45" s="19">
        <f>AG7*Inputs!$B$35/12*(1+Inputs!$B$43)^INT((32-1)/12)</f>
        <v>8268.75</v>
      </c>
      <c r="AH45" s="19">
        <f>AH7*Inputs!$B$35/12*(1+Inputs!$B$43)^INT((33-1)/12)</f>
        <v>8268.75</v>
      </c>
      <c r="AI45" s="19">
        <f>AI7*Inputs!$B$35/12*(1+Inputs!$B$43)^INT((34-1)/12)</f>
        <v>8268.75</v>
      </c>
      <c r="AJ45" s="19">
        <f>AJ7*Inputs!$B$35/12*(1+Inputs!$B$43)^INT((35-1)/12)</f>
        <v>8268.75</v>
      </c>
      <c r="AK45" s="19">
        <f>AK7*Inputs!$B$35/12*(1+Inputs!$B$43)^INT((36-1)/12)</f>
        <v>8268.75</v>
      </c>
      <c r="AL45" s="19">
        <f>AL7*Inputs!$B$35/12*(1+Inputs!$B$43)^INT((37-1)/12)</f>
        <v>8682.1875000000018</v>
      </c>
      <c r="AM45" s="19">
        <f>AM7*Inputs!$B$35/12*(1+Inputs!$B$43)^INT((38-1)/12)</f>
        <v>8682.1875000000018</v>
      </c>
      <c r="AN45" s="19">
        <f>AN7*Inputs!$B$35/12*(1+Inputs!$B$43)^INT((39-1)/12)</f>
        <v>8682.1875000000018</v>
      </c>
      <c r="AO45" s="19">
        <f>AO7*Inputs!$B$35/12*(1+Inputs!$B$43)^INT((40-1)/12)</f>
        <v>8682.1875000000018</v>
      </c>
      <c r="AP45" s="19">
        <f>AP7*Inputs!$B$35/12*(1+Inputs!$B$43)^INT((41-1)/12)</f>
        <v>8682.1875000000018</v>
      </c>
      <c r="AQ45" s="19">
        <f>AQ7*Inputs!$B$35/12*(1+Inputs!$B$43)^INT((42-1)/12)</f>
        <v>8682.1875000000018</v>
      </c>
      <c r="AR45" s="19">
        <f>AR7*Inputs!$B$35/12*(1+Inputs!$B$43)^INT((43-1)/12)</f>
        <v>8682.1875000000018</v>
      </c>
      <c r="AS45" s="19">
        <f>AS7*Inputs!$B$35/12*(1+Inputs!$B$43)^INT((44-1)/12)</f>
        <v>8682.1875000000018</v>
      </c>
      <c r="AT45" s="19">
        <f>AT7*Inputs!$B$35/12*(1+Inputs!$B$43)^INT((45-1)/12)</f>
        <v>8682.1875000000018</v>
      </c>
      <c r="AU45" s="19">
        <f>AU7*Inputs!$B$35/12*(1+Inputs!$B$43)^INT((46-1)/12)</f>
        <v>8682.1875000000018</v>
      </c>
      <c r="AV45" s="19">
        <f>AV7*Inputs!$B$35/12*(1+Inputs!$B$43)^INT((47-1)/12)</f>
        <v>8682.1875000000018</v>
      </c>
      <c r="AW45" s="19">
        <f>AW7*Inputs!$B$35/12*(1+Inputs!$B$43)^INT((48-1)/12)</f>
        <v>8682.1875000000018</v>
      </c>
      <c r="AX45" s="19">
        <f>AX7*Inputs!$B$35/12*(1+Inputs!$B$43)^INT((49-1)/12)</f>
        <v>9116.296875</v>
      </c>
      <c r="AY45" s="19">
        <f>AY7*Inputs!$B$35/12*(1+Inputs!$B$43)^INT((50-1)/12)</f>
        <v>9116.296875</v>
      </c>
      <c r="AZ45" s="19">
        <f>AZ7*Inputs!$B$35/12*(1+Inputs!$B$43)^INT((51-1)/12)</f>
        <v>9116.296875</v>
      </c>
      <c r="BA45" s="19">
        <f>BA7*Inputs!$B$35/12*(1+Inputs!$B$43)^INT((52-1)/12)</f>
        <v>9116.296875</v>
      </c>
    </row>
    <row r="46" spans="1:53" x14ac:dyDescent="0.35">
      <c r="A46" s="3" t="s">
        <v>351</v>
      </c>
      <c r="B46" s="19">
        <f>B8*Inputs!$B$36/12*(1+Inputs!$B$43)^INT((1-1)/12)</f>
        <v>0</v>
      </c>
      <c r="C46" s="19">
        <f>C8*Inputs!$B$36/12*(1+Inputs!$B$43)^INT((2-1)/12)</f>
        <v>0</v>
      </c>
      <c r="D46" s="19">
        <f>D8*Inputs!$B$36/12*(1+Inputs!$B$43)^INT((3-1)/12)</f>
        <v>0</v>
      </c>
      <c r="E46" s="19">
        <f>E8*Inputs!$B$36/12*(1+Inputs!$B$43)^INT((4-1)/12)</f>
        <v>0</v>
      </c>
      <c r="F46" s="19">
        <f>F8*Inputs!$B$36/12*(1+Inputs!$B$43)^INT((5-1)/12)</f>
        <v>0</v>
      </c>
      <c r="G46" s="19">
        <f>G8*Inputs!$B$36/12*(1+Inputs!$B$43)^INT((6-1)/12)</f>
        <v>0</v>
      </c>
      <c r="H46" s="19">
        <f>H8*Inputs!$B$36/12*(1+Inputs!$B$43)^INT((7-1)/12)</f>
        <v>0</v>
      </c>
      <c r="I46" s="19">
        <f>I8*Inputs!$B$36/12*(1+Inputs!$B$43)^INT((8-1)/12)</f>
        <v>0</v>
      </c>
      <c r="J46" s="19">
        <f>J8*Inputs!$B$36/12*(1+Inputs!$B$43)^INT((9-1)/12)</f>
        <v>5000</v>
      </c>
      <c r="K46" s="19">
        <f>K8*Inputs!$B$36/12*(1+Inputs!$B$43)^INT((10-1)/12)</f>
        <v>5000</v>
      </c>
      <c r="L46" s="19">
        <f>L8*Inputs!$B$36/12*(1+Inputs!$B$43)^INT((11-1)/12)</f>
        <v>5000</v>
      </c>
      <c r="M46" s="19">
        <f>M8*Inputs!$B$36/12*(1+Inputs!$B$43)^INT((12-1)/12)</f>
        <v>5000</v>
      </c>
      <c r="N46" s="19">
        <f>N8*Inputs!$B$36/12*(1+Inputs!$B$43)^INT((13-1)/12)</f>
        <v>5250</v>
      </c>
      <c r="O46" s="19">
        <f>O8*Inputs!$B$36/12*(1+Inputs!$B$43)^INT((14-1)/12)</f>
        <v>5250</v>
      </c>
      <c r="P46" s="19">
        <f>P8*Inputs!$B$36/12*(1+Inputs!$B$43)^INT((15-1)/12)</f>
        <v>5250</v>
      </c>
      <c r="Q46" s="19">
        <f>Q8*Inputs!$B$36/12*(1+Inputs!$B$43)^INT((16-1)/12)</f>
        <v>5250</v>
      </c>
      <c r="R46" s="19">
        <f>R8*Inputs!$B$36/12*(1+Inputs!$B$43)^INT((17-1)/12)</f>
        <v>5250</v>
      </c>
      <c r="S46" s="19">
        <f>S8*Inputs!$B$36/12*(1+Inputs!$B$43)^INT((18-1)/12)</f>
        <v>5250</v>
      </c>
      <c r="T46" s="19">
        <f>T8*Inputs!$B$36/12*(1+Inputs!$B$43)^INT((19-1)/12)</f>
        <v>5250</v>
      </c>
      <c r="U46" s="19">
        <f>U8*Inputs!$B$36/12*(1+Inputs!$B$43)^INT((20-1)/12)</f>
        <v>5250</v>
      </c>
      <c r="V46" s="19">
        <f>V8*Inputs!$B$36/12*(1+Inputs!$B$43)^INT((21-1)/12)</f>
        <v>5250</v>
      </c>
      <c r="W46" s="19">
        <f>W8*Inputs!$B$36/12*(1+Inputs!$B$43)^INT((22-1)/12)</f>
        <v>5250</v>
      </c>
      <c r="X46" s="19">
        <f>X8*Inputs!$B$36/12*(1+Inputs!$B$43)^INT((23-1)/12)</f>
        <v>5250</v>
      </c>
      <c r="Y46" s="19">
        <f>Y8*Inputs!$B$36/12*(1+Inputs!$B$43)^INT((24-1)/12)</f>
        <v>5250</v>
      </c>
      <c r="Z46" s="19">
        <f>Z8*Inputs!$B$36/12*(1+Inputs!$B$43)^INT((25-1)/12)</f>
        <v>5512.5</v>
      </c>
      <c r="AA46" s="19">
        <f>AA8*Inputs!$B$36/12*(1+Inputs!$B$43)^INT((26-1)/12)</f>
        <v>5512.5</v>
      </c>
      <c r="AB46" s="19">
        <f>AB8*Inputs!$B$36/12*(1+Inputs!$B$43)^INT((27-1)/12)</f>
        <v>5512.5</v>
      </c>
      <c r="AC46" s="19">
        <f>AC8*Inputs!$B$36/12*(1+Inputs!$B$43)^INT((28-1)/12)</f>
        <v>5512.5</v>
      </c>
      <c r="AD46" s="19">
        <f>AD8*Inputs!$B$36/12*(1+Inputs!$B$43)^INT((29-1)/12)</f>
        <v>5512.5</v>
      </c>
      <c r="AE46" s="19">
        <f>AE8*Inputs!$B$36/12*(1+Inputs!$B$43)^INT((30-1)/12)</f>
        <v>5512.5</v>
      </c>
      <c r="AF46" s="19">
        <f>AF8*Inputs!$B$36/12*(1+Inputs!$B$43)^INT((31-1)/12)</f>
        <v>5512.5</v>
      </c>
      <c r="AG46" s="19">
        <f>AG8*Inputs!$B$36/12*(1+Inputs!$B$43)^INT((32-1)/12)</f>
        <v>5512.5</v>
      </c>
      <c r="AH46" s="19">
        <f>AH8*Inputs!$B$36/12*(1+Inputs!$B$43)^INT((33-1)/12)</f>
        <v>5512.5</v>
      </c>
      <c r="AI46" s="19">
        <f>AI8*Inputs!$B$36/12*(1+Inputs!$B$43)^INT((34-1)/12)</f>
        <v>5512.5</v>
      </c>
      <c r="AJ46" s="19">
        <f>AJ8*Inputs!$B$36/12*(1+Inputs!$B$43)^INT((35-1)/12)</f>
        <v>5512.5</v>
      </c>
      <c r="AK46" s="19">
        <f>AK8*Inputs!$B$36/12*(1+Inputs!$B$43)^INT((36-1)/12)</f>
        <v>5512.5</v>
      </c>
      <c r="AL46" s="19">
        <f>AL8*Inputs!$B$36/12*(1+Inputs!$B$43)^INT((37-1)/12)</f>
        <v>5788.1250000000009</v>
      </c>
      <c r="AM46" s="19">
        <f>AM8*Inputs!$B$36/12*(1+Inputs!$B$43)^INT((38-1)/12)</f>
        <v>5788.1250000000009</v>
      </c>
      <c r="AN46" s="19">
        <f>AN8*Inputs!$B$36/12*(1+Inputs!$B$43)^INT((39-1)/12)</f>
        <v>5788.1250000000009</v>
      </c>
      <c r="AO46" s="19">
        <f>AO8*Inputs!$B$36/12*(1+Inputs!$B$43)^INT((40-1)/12)</f>
        <v>5788.1250000000009</v>
      </c>
      <c r="AP46" s="19">
        <f>AP8*Inputs!$B$36/12*(1+Inputs!$B$43)^INT((41-1)/12)</f>
        <v>5788.1250000000009</v>
      </c>
      <c r="AQ46" s="19">
        <f>AQ8*Inputs!$B$36/12*(1+Inputs!$B$43)^INT((42-1)/12)</f>
        <v>5788.1250000000009</v>
      </c>
      <c r="AR46" s="19">
        <f>AR8*Inputs!$B$36/12*(1+Inputs!$B$43)^INT((43-1)/12)</f>
        <v>5788.1250000000009</v>
      </c>
      <c r="AS46" s="19">
        <f>AS8*Inputs!$B$36/12*(1+Inputs!$B$43)^INT((44-1)/12)</f>
        <v>5788.1250000000009</v>
      </c>
      <c r="AT46" s="19">
        <f>AT8*Inputs!$B$36/12*(1+Inputs!$B$43)^INT((45-1)/12)</f>
        <v>5788.1250000000009</v>
      </c>
      <c r="AU46" s="19">
        <f>AU8*Inputs!$B$36/12*(1+Inputs!$B$43)^INT((46-1)/12)</f>
        <v>5788.1250000000009</v>
      </c>
      <c r="AV46" s="19">
        <f>AV8*Inputs!$B$36/12*(1+Inputs!$B$43)^INT((47-1)/12)</f>
        <v>5788.1250000000009</v>
      </c>
      <c r="AW46" s="19">
        <f>AW8*Inputs!$B$36/12*(1+Inputs!$B$43)^INT((48-1)/12)</f>
        <v>5788.1250000000009</v>
      </c>
      <c r="AX46" s="19">
        <f>AX8*Inputs!$B$36/12*(1+Inputs!$B$43)^INT((49-1)/12)</f>
        <v>6077.53125</v>
      </c>
      <c r="AY46" s="19">
        <f>AY8*Inputs!$B$36/12*(1+Inputs!$B$43)^INT((50-1)/12)</f>
        <v>6077.53125</v>
      </c>
      <c r="AZ46" s="19">
        <f>AZ8*Inputs!$B$36/12*(1+Inputs!$B$43)^INT((51-1)/12)</f>
        <v>6077.53125</v>
      </c>
      <c r="BA46" s="19">
        <f>BA8*Inputs!$B$36/12*(1+Inputs!$B$43)^INT((52-1)/12)</f>
        <v>6077.53125</v>
      </c>
    </row>
    <row r="47" spans="1:53" x14ac:dyDescent="0.35">
      <c r="A47" s="3" t="s">
        <v>352</v>
      </c>
      <c r="B47" s="19">
        <f>B9*Inputs!$B$37/12*(1+Inputs!$B$43)^INT((1-1)/12)</f>
        <v>0</v>
      </c>
      <c r="C47" s="19">
        <f>C9*Inputs!$B$37/12*(1+Inputs!$B$43)^INT((2-1)/12)</f>
        <v>0</v>
      </c>
      <c r="D47" s="19">
        <f>D9*Inputs!$B$37/12*(1+Inputs!$B$43)^INT((3-1)/12)</f>
        <v>0</v>
      </c>
      <c r="E47" s="19">
        <f>E9*Inputs!$B$37/12*(1+Inputs!$B$43)^INT((4-1)/12)</f>
        <v>0</v>
      </c>
      <c r="F47" s="19">
        <f>F9*Inputs!$B$37/12*(1+Inputs!$B$43)^INT((5-1)/12)</f>
        <v>0</v>
      </c>
      <c r="G47" s="19">
        <f>G9*Inputs!$B$37/12*(1+Inputs!$B$43)^INT((6-1)/12)</f>
        <v>0</v>
      </c>
      <c r="H47" s="19">
        <f>H9*Inputs!$B$37/12*(1+Inputs!$B$43)^INT((7-1)/12)</f>
        <v>0</v>
      </c>
      <c r="I47" s="19">
        <f>I9*Inputs!$B$37/12*(1+Inputs!$B$43)^INT((8-1)/12)</f>
        <v>9166.6666666666661</v>
      </c>
      <c r="J47" s="19">
        <f>J9*Inputs!$B$37/12*(1+Inputs!$B$43)^INT((9-1)/12)</f>
        <v>9166.6666666666661</v>
      </c>
      <c r="K47" s="19">
        <f>K9*Inputs!$B$37/12*(1+Inputs!$B$43)^INT((10-1)/12)</f>
        <v>9166.6666666666661</v>
      </c>
      <c r="L47" s="19">
        <f>L9*Inputs!$B$37/12*(1+Inputs!$B$43)^INT((11-1)/12)</f>
        <v>9166.6666666666661</v>
      </c>
      <c r="M47" s="19">
        <f>M9*Inputs!$B$37/12*(1+Inputs!$B$43)^INT((12-1)/12)</f>
        <v>9166.6666666666661</v>
      </c>
      <c r="N47" s="19">
        <f>N9*Inputs!$B$37/12*(1+Inputs!$B$43)^INT((13-1)/12)</f>
        <v>9625</v>
      </c>
      <c r="O47" s="19">
        <f>O9*Inputs!$B$37/12*(1+Inputs!$B$43)^INT((14-1)/12)</f>
        <v>9625</v>
      </c>
      <c r="P47" s="19">
        <f>P9*Inputs!$B$37/12*(1+Inputs!$B$43)^INT((15-1)/12)</f>
        <v>9625</v>
      </c>
      <c r="Q47" s="19">
        <f>Q9*Inputs!$B$37/12*(1+Inputs!$B$43)^INT((16-1)/12)</f>
        <v>9625</v>
      </c>
      <c r="R47" s="19">
        <f>R9*Inputs!$B$37/12*(1+Inputs!$B$43)^INT((17-1)/12)</f>
        <v>9625</v>
      </c>
      <c r="S47" s="19">
        <f>S9*Inputs!$B$37/12*(1+Inputs!$B$43)^INT((18-1)/12)</f>
        <v>9625</v>
      </c>
      <c r="T47" s="19">
        <f>T9*Inputs!$B$37/12*(1+Inputs!$B$43)^INT((19-1)/12)</f>
        <v>9625</v>
      </c>
      <c r="U47" s="19">
        <f>U9*Inputs!$B$37/12*(1+Inputs!$B$43)^INT((20-1)/12)</f>
        <v>9625</v>
      </c>
      <c r="V47" s="19">
        <f>V9*Inputs!$B$37/12*(1+Inputs!$B$43)^INT((21-1)/12)</f>
        <v>9625</v>
      </c>
      <c r="W47" s="19">
        <f>W9*Inputs!$B$37/12*(1+Inputs!$B$43)^INT((22-1)/12)</f>
        <v>9625</v>
      </c>
      <c r="X47" s="19">
        <f>X9*Inputs!$B$37/12*(1+Inputs!$B$43)^INT((23-1)/12)</f>
        <v>9625</v>
      </c>
      <c r="Y47" s="19">
        <f>Y9*Inputs!$B$37/12*(1+Inputs!$B$43)^INT((24-1)/12)</f>
        <v>9625</v>
      </c>
      <c r="Z47" s="19">
        <f>Z9*Inputs!$B$37/12*(1+Inputs!$B$43)^INT((25-1)/12)</f>
        <v>10106.25</v>
      </c>
      <c r="AA47" s="19">
        <f>AA9*Inputs!$B$37/12*(1+Inputs!$B$43)^INT((26-1)/12)</f>
        <v>10106.25</v>
      </c>
      <c r="AB47" s="19">
        <f>AB9*Inputs!$B$37/12*(1+Inputs!$B$43)^INT((27-1)/12)</f>
        <v>10106.25</v>
      </c>
      <c r="AC47" s="19">
        <f>AC9*Inputs!$B$37/12*(1+Inputs!$B$43)^INT((28-1)/12)</f>
        <v>10106.25</v>
      </c>
      <c r="AD47" s="19">
        <f>AD9*Inputs!$B$37/12*(1+Inputs!$B$43)^INT((29-1)/12)</f>
        <v>10106.25</v>
      </c>
      <c r="AE47" s="19">
        <f>AE9*Inputs!$B$37/12*(1+Inputs!$B$43)^INT((30-1)/12)</f>
        <v>10106.25</v>
      </c>
      <c r="AF47" s="19">
        <f>AF9*Inputs!$B$37/12*(1+Inputs!$B$43)^INT((31-1)/12)</f>
        <v>10106.25</v>
      </c>
      <c r="AG47" s="19">
        <f>AG9*Inputs!$B$37/12*(1+Inputs!$B$43)^INT((32-1)/12)</f>
        <v>10106.25</v>
      </c>
      <c r="AH47" s="19">
        <f>AH9*Inputs!$B$37/12*(1+Inputs!$B$43)^INT((33-1)/12)</f>
        <v>10106.25</v>
      </c>
      <c r="AI47" s="19">
        <f>AI9*Inputs!$B$37/12*(1+Inputs!$B$43)^INT((34-1)/12)</f>
        <v>10106.25</v>
      </c>
      <c r="AJ47" s="19">
        <f>AJ9*Inputs!$B$37/12*(1+Inputs!$B$43)^INT((35-1)/12)</f>
        <v>10106.25</v>
      </c>
      <c r="AK47" s="19">
        <f>AK9*Inputs!$B$37/12*(1+Inputs!$B$43)^INT((36-1)/12)</f>
        <v>10106.25</v>
      </c>
      <c r="AL47" s="19">
        <f>AL9*Inputs!$B$37/12*(1+Inputs!$B$43)^INT((37-1)/12)</f>
        <v>10611.5625</v>
      </c>
      <c r="AM47" s="19">
        <f>AM9*Inputs!$B$37/12*(1+Inputs!$B$43)^INT((38-1)/12)</f>
        <v>10611.5625</v>
      </c>
      <c r="AN47" s="19">
        <f>AN9*Inputs!$B$37/12*(1+Inputs!$B$43)^INT((39-1)/12)</f>
        <v>10611.5625</v>
      </c>
      <c r="AO47" s="19">
        <f>AO9*Inputs!$B$37/12*(1+Inputs!$B$43)^INT((40-1)/12)</f>
        <v>10611.5625</v>
      </c>
      <c r="AP47" s="19">
        <f>AP9*Inputs!$B$37/12*(1+Inputs!$B$43)^INT((41-1)/12)</f>
        <v>10611.5625</v>
      </c>
      <c r="AQ47" s="19">
        <f>AQ9*Inputs!$B$37/12*(1+Inputs!$B$43)^INT((42-1)/12)</f>
        <v>10611.5625</v>
      </c>
      <c r="AR47" s="19">
        <f>AR9*Inputs!$B$37/12*(1+Inputs!$B$43)^INT((43-1)/12)</f>
        <v>10611.5625</v>
      </c>
      <c r="AS47" s="19">
        <f>AS9*Inputs!$B$37/12*(1+Inputs!$B$43)^INT((44-1)/12)</f>
        <v>10611.5625</v>
      </c>
      <c r="AT47" s="19">
        <f>AT9*Inputs!$B$37/12*(1+Inputs!$B$43)^INT((45-1)/12)</f>
        <v>10611.5625</v>
      </c>
      <c r="AU47" s="19">
        <f>AU9*Inputs!$B$37/12*(1+Inputs!$B$43)^INT((46-1)/12)</f>
        <v>10611.5625</v>
      </c>
      <c r="AV47" s="19">
        <f>AV9*Inputs!$B$37/12*(1+Inputs!$B$43)^INT((47-1)/12)</f>
        <v>10611.5625</v>
      </c>
      <c r="AW47" s="19">
        <f>AW9*Inputs!$B$37/12*(1+Inputs!$B$43)^INT((48-1)/12)</f>
        <v>10611.5625</v>
      </c>
      <c r="AX47" s="19">
        <f>AX9*Inputs!$B$37/12*(1+Inputs!$B$43)^INT((49-1)/12)</f>
        <v>11142.140625</v>
      </c>
      <c r="AY47" s="19">
        <f>AY9*Inputs!$B$37/12*(1+Inputs!$B$43)^INT((50-1)/12)</f>
        <v>11142.140625</v>
      </c>
      <c r="AZ47" s="19">
        <f>AZ9*Inputs!$B$37/12*(1+Inputs!$B$43)^INT((51-1)/12)</f>
        <v>11142.140625</v>
      </c>
      <c r="BA47" s="19">
        <f>BA9*Inputs!$B$37/12*(1+Inputs!$B$43)^INT((52-1)/12)</f>
        <v>11142.140625</v>
      </c>
    </row>
    <row r="48" spans="1:53" x14ac:dyDescent="0.35">
      <c r="A48" s="3" t="s">
        <v>353</v>
      </c>
      <c r="B48" s="19">
        <f>B10*Inputs!$B$37/12*(1+Inputs!$B$43)^INT((1-1)/12)</f>
        <v>0</v>
      </c>
      <c r="C48" s="19">
        <f>C10*Inputs!$B$37/12*(1+Inputs!$B$43)^INT((2-1)/12)</f>
        <v>0</v>
      </c>
      <c r="D48" s="19">
        <f>D10*Inputs!$B$37/12*(1+Inputs!$B$43)^INT((3-1)/12)</f>
        <v>0</v>
      </c>
      <c r="E48" s="19">
        <f>E10*Inputs!$B$37/12*(1+Inputs!$B$43)^INT((4-1)/12)</f>
        <v>0</v>
      </c>
      <c r="F48" s="19">
        <f>F10*Inputs!$B$37/12*(1+Inputs!$B$43)^INT((5-1)/12)</f>
        <v>0</v>
      </c>
      <c r="G48" s="19">
        <f>G10*Inputs!$B$37/12*(1+Inputs!$B$43)^INT((6-1)/12)</f>
        <v>0</v>
      </c>
      <c r="H48" s="19">
        <f>H10*Inputs!$B$37/12*(1+Inputs!$B$43)^INT((7-1)/12)</f>
        <v>0</v>
      </c>
      <c r="I48" s="19">
        <f>I10*Inputs!$B$37/12*(1+Inputs!$B$43)^INT((8-1)/12)</f>
        <v>0</v>
      </c>
      <c r="J48" s="19">
        <f>J10*Inputs!$B$37/12*(1+Inputs!$B$43)^INT((9-1)/12)</f>
        <v>0</v>
      </c>
      <c r="K48" s="19">
        <f>K10*Inputs!$B$37/12*(1+Inputs!$B$43)^INT((10-1)/12)</f>
        <v>0</v>
      </c>
      <c r="L48" s="19">
        <f>L10*Inputs!$B$37/12*(1+Inputs!$B$43)^INT((11-1)/12)</f>
        <v>0</v>
      </c>
      <c r="M48" s="19">
        <f>M10*Inputs!$B$37/12*(1+Inputs!$B$43)^INT((12-1)/12)</f>
        <v>0</v>
      </c>
      <c r="N48" s="19">
        <f>N10*Inputs!$B$37/12*(1+Inputs!$B$43)^INT((13-1)/12)</f>
        <v>0</v>
      </c>
      <c r="O48" s="19">
        <f>O10*Inputs!$B$37/12*(1+Inputs!$B$43)^INT((14-1)/12)</f>
        <v>9625</v>
      </c>
      <c r="P48" s="19">
        <f>P10*Inputs!$B$37/12*(1+Inputs!$B$43)^INT((15-1)/12)</f>
        <v>9625</v>
      </c>
      <c r="Q48" s="19">
        <f>Q10*Inputs!$B$37/12*(1+Inputs!$B$43)^INT((16-1)/12)</f>
        <v>9625</v>
      </c>
      <c r="R48" s="19">
        <f>R10*Inputs!$B$37/12*(1+Inputs!$B$43)^INT((17-1)/12)</f>
        <v>9625</v>
      </c>
      <c r="S48" s="19">
        <f>S10*Inputs!$B$37/12*(1+Inputs!$B$43)^INT((18-1)/12)</f>
        <v>9625</v>
      </c>
      <c r="T48" s="19">
        <f>T10*Inputs!$B$37/12*(1+Inputs!$B$43)^INT((19-1)/12)</f>
        <v>9625</v>
      </c>
      <c r="U48" s="19">
        <f>U10*Inputs!$B$37/12*(1+Inputs!$B$43)^INT((20-1)/12)</f>
        <v>9625</v>
      </c>
      <c r="V48" s="19">
        <f>V10*Inputs!$B$37/12*(1+Inputs!$B$43)^INT((21-1)/12)</f>
        <v>9625</v>
      </c>
      <c r="W48" s="19">
        <f>W10*Inputs!$B$37/12*(1+Inputs!$B$43)^INT((22-1)/12)</f>
        <v>9625</v>
      </c>
      <c r="X48" s="19">
        <f>X10*Inputs!$B$37/12*(1+Inputs!$B$43)^INT((23-1)/12)</f>
        <v>9625</v>
      </c>
      <c r="Y48" s="19">
        <f>Y10*Inputs!$B$37/12*(1+Inputs!$B$43)^INT((24-1)/12)</f>
        <v>9625</v>
      </c>
      <c r="Z48" s="19">
        <f>Z10*Inputs!$B$37/12*(1+Inputs!$B$43)^INT((25-1)/12)</f>
        <v>10106.25</v>
      </c>
      <c r="AA48" s="19">
        <f>AA10*Inputs!$B$37/12*(1+Inputs!$B$43)^INT((26-1)/12)</f>
        <v>10106.25</v>
      </c>
      <c r="AB48" s="19">
        <f>AB10*Inputs!$B$37/12*(1+Inputs!$B$43)^INT((27-1)/12)</f>
        <v>10106.25</v>
      </c>
      <c r="AC48" s="19">
        <f>AC10*Inputs!$B$37/12*(1+Inputs!$B$43)^INT((28-1)/12)</f>
        <v>10106.25</v>
      </c>
      <c r="AD48" s="19">
        <f>AD10*Inputs!$B$37/12*(1+Inputs!$B$43)^INT((29-1)/12)</f>
        <v>10106.25</v>
      </c>
      <c r="AE48" s="19">
        <f>AE10*Inputs!$B$37/12*(1+Inputs!$B$43)^INT((30-1)/12)</f>
        <v>10106.25</v>
      </c>
      <c r="AF48" s="19">
        <f>AF10*Inputs!$B$37/12*(1+Inputs!$B$43)^INT((31-1)/12)</f>
        <v>10106.25</v>
      </c>
      <c r="AG48" s="19">
        <f>AG10*Inputs!$B$37/12*(1+Inputs!$B$43)^INT((32-1)/12)</f>
        <v>10106.25</v>
      </c>
      <c r="AH48" s="19">
        <f>AH10*Inputs!$B$37/12*(1+Inputs!$B$43)^INT((33-1)/12)</f>
        <v>10106.25</v>
      </c>
      <c r="AI48" s="19">
        <f>AI10*Inputs!$B$37/12*(1+Inputs!$B$43)^INT((34-1)/12)</f>
        <v>10106.25</v>
      </c>
      <c r="AJ48" s="19">
        <f>AJ10*Inputs!$B$37/12*(1+Inputs!$B$43)^INT((35-1)/12)</f>
        <v>10106.25</v>
      </c>
      <c r="AK48" s="19">
        <f>AK10*Inputs!$B$37/12*(1+Inputs!$B$43)^INT((36-1)/12)</f>
        <v>10106.25</v>
      </c>
      <c r="AL48" s="19">
        <f>AL10*Inputs!$B$37/12*(1+Inputs!$B$43)^INT((37-1)/12)</f>
        <v>10611.5625</v>
      </c>
      <c r="AM48" s="19">
        <f>AM10*Inputs!$B$37/12*(1+Inputs!$B$43)^INT((38-1)/12)</f>
        <v>10611.5625</v>
      </c>
      <c r="AN48" s="19">
        <f>AN10*Inputs!$B$37/12*(1+Inputs!$B$43)^INT((39-1)/12)</f>
        <v>10611.5625</v>
      </c>
      <c r="AO48" s="19">
        <f>AO10*Inputs!$B$37/12*(1+Inputs!$B$43)^INT((40-1)/12)</f>
        <v>10611.5625</v>
      </c>
      <c r="AP48" s="19">
        <f>AP10*Inputs!$B$37/12*(1+Inputs!$B$43)^INT((41-1)/12)</f>
        <v>10611.5625</v>
      </c>
      <c r="AQ48" s="19">
        <f>AQ10*Inputs!$B$37/12*(1+Inputs!$B$43)^INT((42-1)/12)</f>
        <v>10611.5625</v>
      </c>
      <c r="AR48" s="19">
        <f>AR10*Inputs!$B$37/12*(1+Inputs!$B$43)^INT((43-1)/12)</f>
        <v>10611.5625</v>
      </c>
      <c r="AS48" s="19">
        <f>AS10*Inputs!$B$37/12*(1+Inputs!$B$43)^INT((44-1)/12)</f>
        <v>10611.5625</v>
      </c>
      <c r="AT48" s="19">
        <f>AT10*Inputs!$B$37/12*(1+Inputs!$B$43)^INT((45-1)/12)</f>
        <v>10611.5625</v>
      </c>
      <c r="AU48" s="19">
        <f>AU10*Inputs!$B$37/12*(1+Inputs!$B$43)^INT((46-1)/12)</f>
        <v>10611.5625</v>
      </c>
      <c r="AV48" s="19">
        <f>AV10*Inputs!$B$37/12*(1+Inputs!$B$43)^INT((47-1)/12)</f>
        <v>10611.5625</v>
      </c>
      <c r="AW48" s="19">
        <f>AW10*Inputs!$B$37/12*(1+Inputs!$B$43)^INT((48-1)/12)</f>
        <v>10611.5625</v>
      </c>
      <c r="AX48" s="19">
        <f>AX10*Inputs!$B$37/12*(1+Inputs!$B$43)^INT((49-1)/12)</f>
        <v>11142.140625</v>
      </c>
      <c r="AY48" s="19">
        <f>AY10*Inputs!$B$37/12*(1+Inputs!$B$43)^INT((50-1)/12)</f>
        <v>11142.140625</v>
      </c>
      <c r="AZ48" s="19">
        <f>AZ10*Inputs!$B$37/12*(1+Inputs!$B$43)^INT((51-1)/12)</f>
        <v>11142.140625</v>
      </c>
      <c r="BA48" s="19">
        <f>BA10*Inputs!$B$37/12*(1+Inputs!$B$43)^INT((52-1)/12)</f>
        <v>11142.140625</v>
      </c>
    </row>
    <row r="49" spans="1:53" x14ac:dyDescent="0.35">
      <c r="A49" s="3" t="s">
        <v>354</v>
      </c>
      <c r="B49" s="19">
        <f>B11*Inputs!$B$39/12*(1+Inputs!$B$43)^INT((1-1)/12)</f>
        <v>0</v>
      </c>
      <c r="C49" s="19">
        <f>C11*Inputs!$B$39/12*(1+Inputs!$B$43)^INT((2-1)/12)</f>
        <v>0</v>
      </c>
      <c r="D49" s="19">
        <f>D11*Inputs!$B$39/12*(1+Inputs!$B$43)^INT((3-1)/12)</f>
        <v>0</v>
      </c>
      <c r="E49" s="19">
        <f>E11*Inputs!$B$39/12*(1+Inputs!$B$43)^INT((4-1)/12)</f>
        <v>0</v>
      </c>
      <c r="F49" s="19">
        <f>F11*Inputs!$B$39/12*(1+Inputs!$B$43)^INT((5-1)/12)</f>
        <v>0</v>
      </c>
      <c r="G49" s="19">
        <f>G11*Inputs!$B$39/12*(1+Inputs!$B$43)^INT((6-1)/12)</f>
        <v>0</v>
      </c>
      <c r="H49" s="19">
        <f>H11*Inputs!$B$39/12*(1+Inputs!$B$43)^INT((7-1)/12)</f>
        <v>0</v>
      </c>
      <c r="I49" s="19">
        <f>I11*Inputs!$B$39/12*(1+Inputs!$B$43)^INT((8-1)/12)</f>
        <v>0</v>
      </c>
      <c r="J49" s="19">
        <f>J11*Inputs!$B$39/12*(1+Inputs!$B$43)^INT((9-1)/12)</f>
        <v>0</v>
      </c>
      <c r="K49" s="19">
        <f>K11*Inputs!$B$39/12*(1+Inputs!$B$43)^INT((10-1)/12)</f>
        <v>10833.333333333334</v>
      </c>
      <c r="L49" s="19">
        <f>L11*Inputs!$B$39/12*(1+Inputs!$B$43)^INT((11-1)/12)</f>
        <v>10833.333333333334</v>
      </c>
      <c r="M49" s="19">
        <f>M11*Inputs!$B$39/12*(1+Inputs!$B$43)^INT((12-1)/12)</f>
        <v>10833.333333333334</v>
      </c>
      <c r="N49" s="19">
        <f>N11*Inputs!$B$39/12*(1+Inputs!$B$43)^INT((13-1)/12)</f>
        <v>11375.000000000002</v>
      </c>
      <c r="O49" s="19">
        <f>O11*Inputs!$B$39/12*(1+Inputs!$B$43)^INT((14-1)/12)</f>
        <v>11375.000000000002</v>
      </c>
      <c r="P49" s="19">
        <f>P11*Inputs!$B$39/12*(1+Inputs!$B$43)^INT((15-1)/12)</f>
        <v>11375.000000000002</v>
      </c>
      <c r="Q49" s="19">
        <f>Q11*Inputs!$B$39/12*(1+Inputs!$B$43)^INT((16-1)/12)</f>
        <v>11375.000000000002</v>
      </c>
      <c r="R49" s="19">
        <f>R11*Inputs!$B$39/12*(1+Inputs!$B$43)^INT((17-1)/12)</f>
        <v>11375.000000000002</v>
      </c>
      <c r="S49" s="19">
        <f>S11*Inputs!$B$39/12*(1+Inputs!$B$43)^INT((18-1)/12)</f>
        <v>11375.000000000002</v>
      </c>
      <c r="T49" s="19">
        <f>T11*Inputs!$B$39/12*(1+Inputs!$B$43)^INT((19-1)/12)</f>
        <v>11375.000000000002</v>
      </c>
      <c r="U49" s="19">
        <f>U11*Inputs!$B$39/12*(1+Inputs!$B$43)^INT((20-1)/12)</f>
        <v>11375.000000000002</v>
      </c>
      <c r="V49" s="19">
        <f>V11*Inputs!$B$39/12*(1+Inputs!$B$43)^INT((21-1)/12)</f>
        <v>11375.000000000002</v>
      </c>
      <c r="W49" s="19">
        <f>W11*Inputs!$B$39/12*(1+Inputs!$B$43)^INT((22-1)/12)</f>
        <v>11375.000000000002</v>
      </c>
      <c r="X49" s="19">
        <f>X11*Inputs!$B$39/12*(1+Inputs!$B$43)^INT((23-1)/12)</f>
        <v>11375.000000000002</v>
      </c>
      <c r="Y49" s="19">
        <f>Y11*Inputs!$B$39/12*(1+Inputs!$B$43)^INT((24-1)/12)</f>
        <v>11375.000000000002</v>
      </c>
      <c r="Z49" s="19">
        <f>Z11*Inputs!$B$39/12*(1+Inputs!$B$43)^INT((25-1)/12)</f>
        <v>11943.750000000002</v>
      </c>
      <c r="AA49" s="19">
        <f>AA11*Inputs!$B$39/12*(1+Inputs!$B$43)^INT((26-1)/12)</f>
        <v>11943.750000000002</v>
      </c>
      <c r="AB49" s="19">
        <f>AB11*Inputs!$B$39/12*(1+Inputs!$B$43)^INT((27-1)/12)</f>
        <v>11943.750000000002</v>
      </c>
      <c r="AC49" s="19">
        <f>AC11*Inputs!$B$39/12*(1+Inputs!$B$43)^INT((28-1)/12)</f>
        <v>11943.750000000002</v>
      </c>
      <c r="AD49" s="19">
        <f>AD11*Inputs!$B$39/12*(1+Inputs!$B$43)^INT((29-1)/12)</f>
        <v>11943.750000000002</v>
      </c>
      <c r="AE49" s="19">
        <f>AE11*Inputs!$B$39/12*(1+Inputs!$B$43)^INT((30-1)/12)</f>
        <v>11943.750000000002</v>
      </c>
      <c r="AF49" s="19">
        <f>AF11*Inputs!$B$39/12*(1+Inputs!$B$43)^INT((31-1)/12)</f>
        <v>11943.750000000002</v>
      </c>
      <c r="AG49" s="19">
        <f>AG11*Inputs!$B$39/12*(1+Inputs!$B$43)^INT((32-1)/12)</f>
        <v>11943.750000000002</v>
      </c>
      <c r="AH49" s="19">
        <f>AH11*Inputs!$B$39/12*(1+Inputs!$B$43)^INT((33-1)/12)</f>
        <v>11943.750000000002</v>
      </c>
      <c r="AI49" s="19">
        <f>AI11*Inputs!$B$39/12*(1+Inputs!$B$43)^INT((34-1)/12)</f>
        <v>11943.750000000002</v>
      </c>
      <c r="AJ49" s="19">
        <f>AJ11*Inputs!$B$39/12*(1+Inputs!$B$43)^INT((35-1)/12)</f>
        <v>11943.750000000002</v>
      </c>
      <c r="AK49" s="19">
        <f>AK11*Inputs!$B$39/12*(1+Inputs!$B$43)^INT((36-1)/12)</f>
        <v>11943.750000000002</v>
      </c>
      <c r="AL49" s="19">
        <f>AL11*Inputs!$B$39/12*(1+Inputs!$B$43)^INT((37-1)/12)</f>
        <v>12540.937500000002</v>
      </c>
      <c r="AM49" s="19">
        <f>AM11*Inputs!$B$39/12*(1+Inputs!$B$43)^INT((38-1)/12)</f>
        <v>12540.937500000002</v>
      </c>
      <c r="AN49" s="19">
        <f>AN11*Inputs!$B$39/12*(1+Inputs!$B$43)^INT((39-1)/12)</f>
        <v>12540.937500000002</v>
      </c>
      <c r="AO49" s="19">
        <f>AO11*Inputs!$B$39/12*(1+Inputs!$B$43)^INT((40-1)/12)</f>
        <v>12540.937500000002</v>
      </c>
      <c r="AP49" s="19">
        <f>AP11*Inputs!$B$39/12*(1+Inputs!$B$43)^INT((41-1)/12)</f>
        <v>12540.937500000002</v>
      </c>
      <c r="AQ49" s="19">
        <f>AQ11*Inputs!$B$39/12*(1+Inputs!$B$43)^INT((42-1)/12)</f>
        <v>12540.937500000002</v>
      </c>
      <c r="AR49" s="19">
        <f>AR11*Inputs!$B$39/12*(1+Inputs!$B$43)^INT((43-1)/12)</f>
        <v>12540.937500000002</v>
      </c>
      <c r="AS49" s="19">
        <f>AS11*Inputs!$B$39/12*(1+Inputs!$B$43)^INT((44-1)/12)</f>
        <v>12540.937500000002</v>
      </c>
      <c r="AT49" s="19">
        <f>AT11*Inputs!$B$39/12*(1+Inputs!$B$43)^INT((45-1)/12)</f>
        <v>12540.937500000002</v>
      </c>
      <c r="AU49" s="19">
        <f>AU11*Inputs!$B$39/12*(1+Inputs!$B$43)^INT((46-1)/12)</f>
        <v>12540.937500000002</v>
      </c>
      <c r="AV49" s="19">
        <f>AV11*Inputs!$B$39/12*(1+Inputs!$B$43)^INT((47-1)/12)</f>
        <v>12540.937500000002</v>
      </c>
      <c r="AW49" s="19">
        <f>AW11*Inputs!$B$39/12*(1+Inputs!$B$43)^INT((48-1)/12)</f>
        <v>12540.937500000002</v>
      </c>
      <c r="AX49" s="19">
        <f>AX11*Inputs!$B$39/12*(1+Inputs!$B$43)^INT((49-1)/12)</f>
        <v>13167.984375</v>
      </c>
      <c r="AY49" s="19">
        <f>AY11*Inputs!$B$39/12*(1+Inputs!$B$43)^INT((50-1)/12)</f>
        <v>13167.984375</v>
      </c>
      <c r="AZ49" s="19">
        <f>AZ11*Inputs!$B$39/12*(1+Inputs!$B$43)^INT((51-1)/12)</f>
        <v>13167.984375</v>
      </c>
      <c r="BA49" s="19">
        <f>BA11*Inputs!$B$39/12*(1+Inputs!$B$43)^INT((52-1)/12)</f>
        <v>13167.984375</v>
      </c>
    </row>
    <row r="50" spans="1:53" x14ac:dyDescent="0.35">
      <c r="A50" s="3" t="s">
        <v>355</v>
      </c>
      <c r="B50" s="19">
        <f>B12*Inputs!$B$39/12*(1+Inputs!$B$43)^INT((1-1)/12)</f>
        <v>0</v>
      </c>
      <c r="C50" s="19">
        <f>C12*Inputs!$B$39/12*(1+Inputs!$B$43)^INT((2-1)/12)</f>
        <v>0</v>
      </c>
      <c r="D50" s="19">
        <f>D12*Inputs!$B$39/12*(1+Inputs!$B$43)^INT((3-1)/12)</f>
        <v>0</v>
      </c>
      <c r="E50" s="19">
        <f>E12*Inputs!$B$39/12*(1+Inputs!$B$43)^INT((4-1)/12)</f>
        <v>0</v>
      </c>
      <c r="F50" s="19">
        <f>F12*Inputs!$B$39/12*(1+Inputs!$B$43)^INT((5-1)/12)</f>
        <v>0</v>
      </c>
      <c r="G50" s="19">
        <f>G12*Inputs!$B$39/12*(1+Inputs!$B$43)^INT((6-1)/12)</f>
        <v>0</v>
      </c>
      <c r="H50" s="19">
        <f>H12*Inputs!$B$39/12*(1+Inputs!$B$43)^INT((7-1)/12)</f>
        <v>0</v>
      </c>
      <c r="I50" s="19">
        <f>I12*Inputs!$B$39/12*(1+Inputs!$B$43)^INT((8-1)/12)</f>
        <v>0</v>
      </c>
      <c r="J50" s="19">
        <f>J12*Inputs!$B$39/12*(1+Inputs!$B$43)^INT((9-1)/12)</f>
        <v>0</v>
      </c>
      <c r="K50" s="19">
        <f>K12*Inputs!$B$39/12*(1+Inputs!$B$43)^INT((10-1)/12)</f>
        <v>0</v>
      </c>
      <c r="L50" s="19">
        <f>L12*Inputs!$B$39/12*(1+Inputs!$B$43)^INT((11-1)/12)</f>
        <v>0</v>
      </c>
      <c r="M50" s="19">
        <f>M12*Inputs!$B$39/12*(1+Inputs!$B$43)^INT((12-1)/12)</f>
        <v>0</v>
      </c>
      <c r="N50" s="19">
        <f>N12*Inputs!$B$39/12*(1+Inputs!$B$43)^INT((13-1)/12)</f>
        <v>0</v>
      </c>
      <c r="O50" s="19">
        <f>O12*Inputs!$B$39/12*(1+Inputs!$B$43)^INT((14-1)/12)</f>
        <v>0</v>
      </c>
      <c r="P50" s="19">
        <f>P12*Inputs!$B$39/12*(1+Inputs!$B$43)^INT((15-1)/12)</f>
        <v>0</v>
      </c>
      <c r="Q50" s="19">
        <f>Q12*Inputs!$B$39/12*(1+Inputs!$B$43)^INT((16-1)/12)</f>
        <v>0</v>
      </c>
      <c r="R50" s="19">
        <f>R12*Inputs!$B$39/12*(1+Inputs!$B$43)^INT((17-1)/12)</f>
        <v>0</v>
      </c>
      <c r="S50" s="19">
        <f>S12*Inputs!$B$39/12*(1+Inputs!$B$43)^INT((18-1)/12)</f>
        <v>11375.000000000002</v>
      </c>
      <c r="T50" s="19">
        <f>T12*Inputs!$B$39/12*(1+Inputs!$B$43)^INT((19-1)/12)</f>
        <v>11375.000000000002</v>
      </c>
      <c r="U50" s="19">
        <f>U12*Inputs!$B$39/12*(1+Inputs!$B$43)^INT((20-1)/12)</f>
        <v>11375.000000000002</v>
      </c>
      <c r="V50" s="19">
        <f>V12*Inputs!$B$39/12*(1+Inputs!$B$43)^INT((21-1)/12)</f>
        <v>11375.000000000002</v>
      </c>
      <c r="W50" s="19">
        <f>W12*Inputs!$B$39/12*(1+Inputs!$B$43)^INT((22-1)/12)</f>
        <v>11375.000000000002</v>
      </c>
      <c r="X50" s="19">
        <f>X12*Inputs!$B$39/12*(1+Inputs!$B$43)^INT((23-1)/12)</f>
        <v>11375.000000000002</v>
      </c>
      <c r="Y50" s="19">
        <f>Y12*Inputs!$B$39/12*(1+Inputs!$B$43)^INT((24-1)/12)</f>
        <v>11375.000000000002</v>
      </c>
      <c r="Z50" s="19">
        <f>Z12*Inputs!$B$39/12*(1+Inputs!$B$43)^INT((25-1)/12)</f>
        <v>11943.750000000002</v>
      </c>
      <c r="AA50" s="19">
        <f>AA12*Inputs!$B$39/12*(1+Inputs!$B$43)^INT((26-1)/12)</f>
        <v>11943.750000000002</v>
      </c>
      <c r="AB50" s="19">
        <f>AB12*Inputs!$B$39/12*(1+Inputs!$B$43)^INT((27-1)/12)</f>
        <v>11943.750000000002</v>
      </c>
      <c r="AC50" s="19">
        <f>AC12*Inputs!$B$39/12*(1+Inputs!$B$43)^INT((28-1)/12)</f>
        <v>11943.750000000002</v>
      </c>
      <c r="AD50" s="19">
        <f>AD12*Inputs!$B$39/12*(1+Inputs!$B$43)^INT((29-1)/12)</f>
        <v>11943.750000000002</v>
      </c>
      <c r="AE50" s="19">
        <f>AE12*Inputs!$B$39/12*(1+Inputs!$B$43)^INT((30-1)/12)</f>
        <v>11943.750000000002</v>
      </c>
      <c r="AF50" s="19">
        <f>AF12*Inputs!$B$39/12*(1+Inputs!$B$43)^INT((31-1)/12)</f>
        <v>11943.750000000002</v>
      </c>
      <c r="AG50" s="19">
        <f>AG12*Inputs!$B$39/12*(1+Inputs!$B$43)^INT((32-1)/12)</f>
        <v>11943.750000000002</v>
      </c>
      <c r="AH50" s="19">
        <f>AH12*Inputs!$B$39/12*(1+Inputs!$B$43)^INT((33-1)/12)</f>
        <v>11943.750000000002</v>
      </c>
      <c r="AI50" s="19">
        <f>AI12*Inputs!$B$39/12*(1+Inputs!$B$43)^INT((34-1)/12)</f>
        <v>11943.750000000002</v>
      </c>
      <c r="AJ50" s="19">
        <f>AJ12*Inputs!$B$39/12*(1+Inputs!$B$43)^INT((35-1)/12)</f>
        <v>11943.750000000002</v>
      </c>
      <c r="AK50" s="19">
        <f>AK12*Inputs!$B$39/12*(1+Inputs!$B$43)^INT((36-1)/12)</f>
        <v>11943.750000000002</v>
      </c>
      <c r="AL50" s="19">
        <f>AL12*Inputs!$B$39/12*(1+Inputs!$B$43)^INT((37-1)/12)</f>
        <v>12540.937500000002</v>
      </c>
      <c r="AM50" s="19">
        <f>AM12*Inputs!$B$39/12*(1+Inputs!$B$43)^INT((38-1)/12)</f>
        <v>12540.937500000002</v>
      </c>
      <c r="AN50" s="19">
        <f>AN12*Inputs!$B$39/12*(1+Inputs!$B$43)^INT((39-1)/12)</f>
        <v>12540.937500000002</v>
      </c>
      <c r="AO50" s="19">
        <f>AO12*Inputs!$B$39/12*(1+Inputs!$B$43)^INT((40-1)/12)</f>
        <v>12540.937500000002</v>
      </c>
      <c r="AP50" s="19">
        <f>AP12*Inputs!$B$39/12*(1+Inputs!$B$43)^INT((41-1)/12)</f>
        <v>12540.937500000002</v>
      </c>
      <c r="AQ50" s="19">
        <f>AQ12*Inputs!$B$39/12*(1+Inputs!$B$43)^INT((42-1)/12)</f>
        <v>12540.937500000002</v>
      </c>
      <c r="AR50" s="19">
        <f>AR12*Inputs!$B$39/12*(1+Inputs!$B$43)^INT((43-1)/12)</f>
        <v>12540.937500000002</v>
      </c>
      <c r="AS50" s="19">
        <f>AS12*Inputs!$B$39/12*(1+Inputs!$B$43)^INT((44-1)/12)</f>
        <v>12540.937500000002</v>
      </c>
      <c r="AT50" s="19">
        <f>AT12*Inputs!$B$39/12*(1+Inputs!$B$43)^INT((45-1)/12)</f>
        <v>12540.937500000002</v>
      </c>
      <c r="AU50" s="19">
        <f>AU12*Inputs!$B$39/12*(1+Inputs!$B$43)^INT((46-1)/12)</f>
        <v>12540.937500000002</v>
      </c>
      <c r="AV50" s="19">
        <f>AV12*Inputs!$B$39/12*(1+Inputs!$B$43)^INT((47-1)/12)</f>
        <v>12540.937500000002</v>
      </c>
      <c r="AW50" s="19">
        <f>AW12*Inputs!$B$39/12*(1+Inputs!$B$43)^INT((48-1)/12)</f>
        <v>12540.937500000002</v>
      </c>
      <c r="AX50" s="19">
        <f>AX12*Inputs!$B$39/12*(1+Inputs!$B$43)^INT((49-1)/12)</f>
        <v>13167.984375</v>
      </c>
      <c r="AY50" s="19">
        <f>AY12*Inputs!$B$39/12*(1+Inputs!$B$43)^INT((50-1)/12)</f>
        <v>13167.984375</v>
      </c>
      <c r="AZ50" s="19">
        <f>AZ12*Inputs!$B$39/12*(1+Inputs!$B$43)^INT((51-1)/12)</f>
        <v>13167.984375</v>
      </c>
      <c r="BA50" s="19">
        <f>BA12*Inputs!$B$39/12*(1+Inputs!$B$43)^INT((52-1)/12)</f>
        <v>13167.984375</v>
      </c>
    </row>
    <row r="51" spans="1:53" x14ac:dyDescent="0.35">
      <c r="A51" s="3" t="s">
        <v>356</v>
      </c>
      <c r="B51" s="19">
        <f>B13*Inputs!$B$41/12*(1+Inputs!$B$43)^INT((1-1)/12)</f>
        <v>0</v>
      </c>
      <c r="C51" s="19">
        <f>C13*Inputs!$B$41/12*(1+Inputs!$B$43)^INT((2-1)/12)</f>
        <v>0</v>
      </c>
      <c r="D51" s="19">
        <f>D13*Inputs!$B$41/12*(1+Inputs!$B$43)^INT((3-1)/12)</f>
        <v>0</v>
      </c>
      <c r="E51" s="19">
        <f>E13*Inputs!$B$41/12*(1+Inputs!$B$43)^INT((4-1)/12)</f>
        <v>0</v>
      </c>
      <c r="F51" s="19">
        <f>F13*Inputs!$B$41/12*(1+Inputs!$B$43)^INT((5-1)/12)</f>
        <v>0</v>
      </c>
      <c r="G51" s="19">
        <f>G13*Inputs!$B$41/12*(1+Inputs!$B$43)^INT((6-1)/12)</f>
        <v>0</v>
      </c>
      <c r="H51" s="19">
        <f>H13*Inputs!$B$41/12*(1+Inputs!$B$43)^INT((7-1)/12)</f>
        <v>0</v>
      </c>
      <c r="I51" s="19">
        <f>I13*Inputs!$B$41/12*(1+Inputs!$B$43)^INT((8-1)/12)</f>
        <v>0</v>
      </c>
      <c r="J51" s="19">
        <f>J13*Inputs!$B$41/12*(1+Inputs!$B$43)^INT((9-1)/12)</f>
        <v>0</v>
      </c>
      <c r="K51" s="19">
        <f>K13*Inputs!$B$41/12*(1+Inputs!$B$43)^INT((10-1)/12)</f>
        <v>0</v>
      </c>
      <c r="L51" s="19">
        <f>L13*Inputs!$B$41/12*(1+Inputs!$B$43)^INT((11-1)/12)</f>
        <v>0</v>
      </c>
      <c r="M51" s="19">
        <f>M13*Inputs!$B$41/12*(1+Inputs!$B$43)^INT((12-1)/12)</f>
        <v>5416.666666666667</v>
      </c>
      <c r="N51" s="19">
        <f>N13*Inputs!$B$41/12*(1+Inputs!$B$43)^INT((13-1)/12)</f>
        <v>5687.5000000000009</v>
      </c>
      <c r="O51" s="19">
        <f>O13*Inputs!$B$41/12*(1+Inputs!$B$43)^INT((14-1)/12)</f>
        <v>5687.5000000000009</v>
      </c>
      <c r="P51" s="19">
        <f>P13*Inputs!$B$41/12*(1+Inputs!$B$43)^INT((15-1)/12)</f>
        <v>5687.5000000000009</v>
      </c>
      <c r="Q51" s="19">
        <f>Q13*Inputs!$B$41/12*(1+Inputs!$B$43)^INT((16-1)/12)</f>
        <v>5687.5000000000009</v>
      </c>
      <c r="R51" s="19">
        <f>R13*Inputs!$B$41/12*(1+Inputs!$B$43)^INT((17-1)/12)</f>
        <v>5687.5000000000009</v>
      </c>
      <c r="S51" s="19">
        <f>S13*Inputs!$B$41/12*(1+Inputs!$B$43)^INT((18-1)/12)</f>
        <v>5687.5000000000009</v>
      </c>
      <c r="T51" s="19">
        <f>T13*Inputs!$B$41/12*(1+Inputs!$B$43)^INT((19-1)/12)</f>
        <v>5687.5000000000009</v>
      </c>
      <c r="U51" s="19">
        <f>U13*Inputs!$B$41/12*(1+Inputs!$B$43)^INT((20-1)/12)</f>
        <v>5687.5000000000009</v>
      </c>
      <c r="V51" s="19">
        <f>V13*Inputs!$B$41/12*(1+Inputs!$B$43)^INT((21-1)/12)</f>
        <v>5687.5000000000009</v>
      </c>
      <c r="W51" s="19">
        <f>W13*Inputs!$B$41/12*(1+Inputs!$B$43)^INT((22-1)/12)</f>
        <v>5687.5000000000009</v>
      </c>
      <c r="X51" s="19">
        <f>X13*Inputs!$B$41/12*(1+Inputs!$B$43)^INT((23-1)/12)</f>
        <v>5687.5000000000009</v>
      </c>
      <c r="Y51" s="19">
        <f>Y13*Inputs!$B$41/12*(1+Inputs!$B$43)^INT((24-1)/12)</f>
        <v>5687.5000000000009</v>
      </c>
      <c r="Z51" s="19">
        <f>Z13*Inputs!$B$41/12*(1+Inputs!$B$43)^INT((25-1)/12)</f>
        <v>5971.8750000000009</v>
      </c>
      <c r="AA51" s="19">
        <f>AA13*Inputs!$B$41/12*(1+Inputs!$B$43)^INT((26-1)/12)</f>
        <v>5971.8750000000009</v>
      </c>
      <c r="AB51" s="19">
        <f>AB13*Inputs!$B$41/12*(1+Inputs!$B$43)^INT((27-1)/12)</f>
        <v>5971.8750000000009</v>
      </c>
      <c r="AC51" s="19">
        <f>AC13*Inputs!$B$41/12*(1+Inputs!$B$43)^INT((28-1)/12)</f>
        <v>5971.8750000000009</v>
      </c>
      <c r="AD51" s="19">
        <f>AD13*Inputs!$B$41/12*(1+Inputs!$B$43)^INT((29-1)/12)</f>
        <v>5971.8750000000009</v>
      </c>
      <c r="AE51" s="19">
        <f>AE13*Inputs!$B$41/12*(1+Inputs!$B$43)^INT((30-1)/12)</f>
        <v>5971.8750000000009</v>
      </c>
      <c r="AF51" s="19">
        <f>AF13*Inputs!$B$41/12*(1+Inputs!$B$43)^INT((31-1)/12)</f>
        <v>5971.8750000000009</v>
      </c>
      <c r="AG51" s="19">
        <f>AG13*Inputs!$B$41/12*(1+Inputs!$B$43)^INT((32-1)/12)</f>
        <v>5971.8750000000009</v>
      </c>
      <c r="AH51" s="19">
        <f>AH13*Inputs!$B$41/12*(1+Inputs!$B$43)^INT((33-1)/12)</f>
        <v>5971.8750000000009</v>
      </c>
      <c r="AI51" s="19">
        <f>AI13*Inputs!$B$41/12*(1+Inputs!$B$43)^INT((34-1)/12)</f>
        <v>5971.8750000000009</v>
      </c>
      <c r="AJ51" s="19">
        <f>AJ13*Inputs!$B$41/12*(1+Inputs!$B$43)^INT((35-1)/12)</f>
        <v>5971.8750000000009</v>
      </c>
      <c r="AK51" s="19">
        <f>AK13*Inputs!$B$41/12*(1+Inputs!$B$43)^INT((36-1)/12)</f>
        <v>5971.8750000000009</v>
      </c>
      <c r="AL51" s="19">
        <f>AL13*Inputs!$B$41/12*(1+Inputs!$B$43)^INT((37-1)/12)</f>
        <v>6270.4687500000009</v>
      </c>
      <c r="AM51" s="19">
        <f>AM13*Inputs!$B$41/12*(1+Inputs!$B$43)^INT((38-1)/12)</f>
        <v>6270.4687500000009</v>
      </c>
      <c r="AN51" s="19">
        <f>AN13*Inputs!$B$41/12*(1+Inputs!$B$43)^INT((39-1)/12)</f>
        <v>6270.4687500000009</v>
      </c>
      <c r="AO51" s="19">
        <f>AO13*Inputs!$B$41/12*(1+Inputs!$B$43)^INT((40-1)/12)</f>
        <v>6270.4687500000009</v>
      </c>
      <c r="AP51" s="19">
        <f>AP13*Inputs!$B$41/12*(1+Inputs!$B$43)^INT((41-1)/12)</f>
        <v>6270.4687500000009</v>
      </c>
      <c r="AQ51" s="19">
        <f>AQ13*Inputs!$B$41/12*(1+Inputs!$B$43)^INT((42-1)/12)</f>
        <v>6270.4687500000009</v>
      </c>
      <c r="AR51" s="19">
        <f>AR13*Inputs!$B$41/12*(1+Inputs!$B$43)^INT((43-1)/12)</f>
        <v>6270.4687500000009</v>
      </c>
      <c r="AS51" s="19">
        <f>AS13*Inputs!$B$41/12*(1+Inputs!$B$43)^INT((44-1)/12)</f>
        <v>6270.4687500000009</v>
      </c>
      <c r="AT51" s="19">
        <f>AT13*Inputs!$B$41/12*(1+Inputs!$B$43)^INT((45-1)/12)</f>
        <v>6270.4687500000009</v>
      </c>
      <c r="AU51" s="19">
        <f>AU13*Inputs!$B$41/12*(1+Inputs!$B$43)^INT((46-1)/12)</f>
        <v>6270.4687500000009</v>
      </c>
      <c r="AV51" s="19">
        <f>AV13*Inputs!$B$41/12*(1+Inputs!$B$43)^INT((47-1)/12)</f>
        <v>6270.4687500000009</v>
      </c>
      <c r="AW51" s="19">
        <f>AW13*Inputs!$B$41/12*(1+Inputs!$B$43)^INT((48-1)/12)</f>
        <v>6270.4687500000009</v>
      </c>
      <c r="AX51" s="19">
        <f>AX13*Inputs!$B$41/12*(1+Inputs!$B$43)^INT((49-1)/12)</f>
        <v>6583.9921875</v>
      </c>
      <c r="AY51" s="19">
        <f>AY13*Inputs!$B$41/12*(1+Inputs!$B$43)^INT((50-1)/12)</f>
        <v>6583.9921875</v>
      </c>
      <c r="AZ51" s="19">
        <f>AZ13*Inputs!$B$41/12*(1+Inputs!$B$43)^INT((51-1)/12)</f>
        <v>6583.9921875</v>
      </c>
      <c r="BA51" s="19">
        <f>BA13*Inputs!$B$41/12*(1+Inputs!$B$43)^INT((52-1)/12)</f>
        <v>6583.9921875</v>
      </c>
    </row>
    <row r="52" spans="1:53" x14ac:dyDescent="0.35">
      <c r="A52" s="3" t="s">
        <v>357</v>
      </c>
      <c r="B52" s="19">
        <f>B14*Inputs!$B$40/12*(1+Inputs!$B$43)^INT((1-1)/12)</f>
        <v>0</v>
      </c>
      <c r="C52" s="19">
        <f>C14*Inputs!$B$40/12*(1+Inputs!$B$43)^INT((2-1)/12)</f>
        <v>0</v>
      </c>
      <c r="D52" s="19">
        <f>D14*Inputs!$B$40/12*(1+Inputs!$B$43)^INT((3-1)/12)</f>
        <v>0</v>
      </c>
      <c r="E52" s="19">
        <f>E14*Inputs!$B$40/12*(1+Inputs!$B$43)^INT((4-1)/12)</f>
        <v>0</v>
      </c>
      <c r="F52" s="19">
        <f>F14*Inputs!$B$40/12*(1+Inputs!$B$43)^INT((5-1)/12)</f>
        <v>0</v>
      </c>
      <c r="G52" s="19">
        <f>G14*Inputs!$B$40/12*(1+Inputs!$B$43)^INT((6-1)/12)</f>
        <v>0</v>
      </c>
      <c r="H52" s="19">
        <f>H14*Inputs!$B$40/12*(1+Inputs!$B$43)^INT((7-1)/12)</f>
        <v>0</v>
      </c>
      <c r="I52" s="19">
        <f>I14*Inputs!$B$40/12*(1+Inputs!$B$43)^INT((8-1)/12)</f>
        <v>0</v>
      </c>
      <c r="J52" s="19">
        <f>J14*Inputs!$B$40/12*(1+Inputs!$B$43)^INT((9-1)/12)</f>
        <v>0</v>
      </c>
      <c r="K52" s="19">
        <f>K14*Inputs!$B$40/12*(1+Inputs!$B$43)^INT((10-1)/12)</f>
        <v>0</v>
      </c>
      <c r="L52" s="19">
        <f>L14*Inputs!$B$40/12*(1+Inputs!$B$43)^INT((11-1)/12)</f>
        <v>5416.666666666667</v>
      </c>
      <c r="M52" s="19">
        <f>M14*Inputs!$B$40/12*(1+Inputs!$B$43)^INT((12-1)/12)</f>
        <v>5416.666666666667</v>
      </c>
      <c r="N52" s="19">
        <f>N14*Inputs!$B$40/12*(1+Inputs!$B$43)^INT((13-1)/12)</f>
        <v>5687.5000000000009</v>
      </c>
      <c r="O52" s="19">
        <f>O14*Inputs!$B$40/12*(1+Inputs!$B$43)^INT((14-1)/12)</f>
        <v>5687.5000000000009</v>
      </c>
      <c r="P52" s="19">
        <f>P14*Inputs!$B$40/12*(1+Inputs!$B$43)^INT((15-1)/12)</f>
        <v>5687.5000000000009</v>
      </c>
      <c r="Q52" s="19">
        <f>Q14*Inputs!$B$40/12*(1+Inputs!$B$43)^INT((16-1)/12)</f>
        <v>5687.5000000000009</v>
      </c>
      <c r="R52" s="19">
        <f>R14*Inputs!$B$40/12*(1+Inputs!$B$43)^INT((17-1)/12)</f>
        <v>5687.5000000000009</v>
      </c>
      <c r="S52" s="19">
        <f>S14*Inputs!$B$40/12*(1+Inputs!$B$43)^INT((18-1)/12)</f>
        <v>5687.5000000000009</v>
      </c>
      <c r="T52" s="19">
        <f>T14*Inputs!$B$40/12*(1+Inputs!$B$43)^INT((19-1)/12)</f>
        <v>5687.5000000000009</v>
      </c>
      <c r="U52" s="19">
        <f>U14*Inputs!$B$40/12*(1+Inputs!$B$43)^INT((20-1)/12)</f>
        <v>5687.5000000000009</v>
      </c>
      <c r="V52" s="19">
        <f>V14*Inputs!$B$40/12*(1+Inputs!$B$43)^INT((21-1)/12)</f>
        <v>5687.5000000000009</v>
      </c>
      <c r="W52" s="19">
        <f>W14*Inputs!$B$40/12*(1+Inputs!$B$43)^INT((22-1)/12)</f>
        <v>5687.5000000000009</v>
      </c>
      <c r="X52" s="19">
        <f>X14*Inputs!$B$40/12*(1+Inputs!$B$43)^INT((23-1)/12)</f>
        <v>5687.5000000000009</v>
      </c>
      <c r="Y52" s="19">
        <f>Y14*Inputs!$B$40/12*(1+Inputs!$B$43)^INT((24-1)/12)</f>
        <v>5687.5000000000009</v>
      </c>
      <c r="Z52" s="19">
        <f>Z14*Inputs!$B$40/12*(1+Inputs!$B$43)^INT((25-1)/12)</f>
        <v>5971.8750000000009</v>
      </c>
      <c r="AA52" s="19">
        <f>AA14*Inputs!$B$40/12*(1+Inputs!$B$43)^INT((26-1)/12)</f>
        <v>5971.8750000000009</v>
      </c>
      <c r="AB52" s="19">
        <f>AB14*Inputs!$B$40/12*(1+Inputs!$B$43)^INT((27-1)/12)</f>
        <v>5971.8750000000009</v>
      </c>
      <c r="AC52" s="19">
        <f>AC14*Inputs!$B$40/12*(1+Inputs!$B$43)^INT((28-1)/12)</f>
        <v>5971.8750000000009</v>
      </c>
      <c r="AD52" s="19">
        <f>AD14*Inputs!$B$40/12*(1+Inputs!$B$43)^INT((29-1)/12)</f>
        <v>5971.8750000000009</v>
      </c>
      <c r="AE52" s="19">
        <f>AE14*Inputs!$B$40/12*(1+Inputs!$B$43)^INT((30-1)/12)</f>
        <v>5971.8750000000009</v>
      </c>
      <c r="AF52" s="19">
        <f>AF14*Inputs!$B$40/12*(1+Inputs!$B$43)^INT((31-1)/12)</f>
        <v>5971.8750000000009</v>
      </c>
      <c r="AG52" s="19">
        <f>AG14*Inputs!$B$40/12*(1+Inputs!$B$43)^INT((32-1)/12)</f>
        <v>5971.8750000000009</v>
      </c>
      <c r="AH52" s="19">
        <f>AH14*Inputs!$B$40/12*(1+Inputs!$B$43)^INT((33-1)/12)</f>
        <v>5971.8750000000009</v>
      </c>
      <c r="AI52" s="19">
        <f>AI14*Inputs!$B$40/12*(1+Inputs!$B$43)^INT((34-1)/12)</f>
        <v>5971.8750000000009</v>
      </c>
      <c r="AJ52" s="19">
        <f>AJ14*Inputs!$B$40/12*(1+Inputs!$B$43)^INT((35-1)/12)</f>
        <v>5971.8750000000009</v>
      </c>
      <c r="AK52" s="19">
        <f>AK14*Inputs!$B$40/12*(1+Inputs!$B$43)^INT((36-1)/12)</f>
        <v>5971.8750000000009</v>
      </c>
      <c r="AL52" s="19">
        <f>AL14*Inputs!$B$40/12*(1+Inputs!$B$43)^INT((37-1)/12)</f>
        <v>6270.4687500000009</v>
      </c>
      <c r="AM52" s="19">
        <f>AM14*Inputs!$B$40/12*(1+Inputs!$B$43)^INT((38-1)/12)</f>
        <v>6270.4687500000009</v>
      </c>
      <c r="AN52" s="19">
        <f>AN14*Inputs!$B$40/12*(1+Inputs!$B$43)^INT((39-1)/12)</f>
        <v>6270.4687500000009</v>
      </c>
      <c r="AO52" s="19">
        <f>AO14*Inputs!$B$40/12*(1+Inputs!$B$43)^INT((40-1)/12)</f>
        <v>6270.4687500000009</v>
      </c>
      <c r="AP52" s="19">
        <f>AP14*Inputs!$B$40/12*(1+Inputs!$B$43)^INT((41-1)/12)</f>
        <v>6270.4687500000009</v>
      </c>
      <c r="AQ52" s="19">
        <f>AQ14*Inputs!$B$40/12*(1+Inputs!$B$43)^INT((42-1)/12)</f>
        <v>6270.4687500000009</v>
      </c>
      <c r="AR52" s="19">
        <f>AR14*Inputs!$B$40/12*(1+Inputs!$B$43)^INT((43-1)/12)</f>
        <v>6270.4687500000009</v>
      </c>
      <c r="AS52" s="19">
        <f>AS14*Inputs!$B$40/12*(1+Inputs!$B$43)^INT((44-1)/12)</f>
        <v>6270.4687500000009</v>
      </c>
      <c r="AT52" s="19">
        <f>AT14*Inputs!$B$40/12*(1+Inputs!$B$43)^INT((45-1)/12)</f>
        <v>6270.4687500000009</v>
      </c>
      <c r="AU52" s="19">
        <f>AU14*Inputs!$B$40/12*(1+Inputs!$B$43)^INT((46-1)/12)</f>
        <v>6270.4687500000009</v>
      </c>
      <c r="AV52" s="19">
        <f>AV14*Inputs!$B$40/12*(1+Inputs!$B$43)^INT((47-1)/12)</f>
        <v>6270.4687500000009</v>
      </c>
      <c r="AW52" s="19">
        <f>AW14*Inputs!$B$40/12*(1+Inputs!$B$43)^INT((48-1)/12)</f>
        <v>6270.4687500000009</v>
      </c>
      <c r="AX52" s="19">
        <f>AX14*Inputs!$B$40/12*(1+Inputs!$B$43)^INT((49-1)/12)</f>
        <v>6583.9921875</v>
      </c>
      <c r="AY52" s="19">
        <f>AY14*Inputs!$B$40/12*(1+Inputs!$B$43)^INT((50-1)/12)</f>
        <v>6583.9921875</v>
      </c>
      <c r="AZ52" s="19">
        <f>AZ14*Inputs!$B$40/12*(1+Inputs!$B$43)^INT((51-1)/12)</f>
        <v>6583.9921875</v>
      </c>
      <c r="BA52" s="19">
        <f>BA14*Inputs!$B$40/12*(1+Inputs!$B$43)^INT((52-1)/12)</f>
        <v>6583.9921875</v>
      </c>
    </row>
    <row r="53" spans="1:53" x14ac:dyDescent="0.35">
      <c r="A53" s="3" t="s">
        <v>358</v>
      </c>
      <c r="B53" s="19">
        <f>B15*Inputs!$B$38/12*(1+Inputs!$B$43)^INT((1-1)/12)</f>
        <v>0</v>
      </c>
      <c r="C53" s="19">
        <f>C15*Inputs!$B$38/12*(1+Inputs!$B$43)^INT((2-1)/12)</f>
        <v>0</v>
      </c>
      <c r="D53" s="19">
        <f>D15*Inputs!$B$38/12*(1+Inputs!$B$43)^INT((3-1)/12)</f>
        <v>0</v>
      </c>
      <c r="E53" s="19">
        <f>E15*Inputs!$B$38/12*(1+Inputs!$B$43)^INT((4-1)/12)</f>
        <v>0</v>
      </c>
      <c r="F53" s="19">
        <f>F15*Inputs!$B$38/12*(1+Inputs!$B$43)^INT((5-1)/12)</f>
        <v>0</v>
      </c>
      <c r="G53" s="19">
        <f>G15*Inputs!$B$38/12*(1+Inputs!$B$43)^INT((6-1)/12)</f>
        <v>0</v>
      </c>
      <c r="H53" s="19">
        <f>H15*Inputs!$B$38/12*(1+Inputs!$B$43)^INT((7-1)/12)</f>
        <v>0</v>
      </c>
      <c r="I53" s="19">
        <f>I15*Inputs!$B$38/12*(1+Inputs!$B$43)^INT((8-1)/12)</f>
        <v>0</v>
      </c>
      <c r="J53" s="19">
        <f>J15*Inputs!$B$38/12*(1+Inputs!$B$43)^INT((9-1)/12)</f>
        <v>0</v>
      </c>
      <c r="K53" s="19">
        <f>K15*Inputs!$B$38/12*(1+Inputs!$B$43)^INT((10-1)/12)</f>
        <v>0</v>
      </c>
      <c r="L53" s="19">
        <f>L15*Inputs!$B$38/12*(1+Inputs!$B$43)^INT((11-1)/12)</f>
        <v>0</v>
      </c>
      <c r="M53" s="19">
        <f>M15*Inputs!$B$38/12*(1+Inputs!$B$43)^INT((12-1)/12)</f>
        <v>0</v>
      </c>
      <c r="N53" s="19">
        <f>N15*Inputs!$B$38/12*(1+Inputs!$B$43)^INT((13-1)/12)</f>
        <v>7000.0000000000009</v>
      </c>
      <c r="O53" s="19">
        <f>O15*Inputs!$B$38/12*(1+Inputs!$B$43)^INT((14-1)/12)</f>
        <v>7000.0000000000009</v>
      </c>
      <c r="P53" s="19">
        <f>P15*Inputs!$B$38/12*(1+Inputs!$B$43)^INT((15-1)/12)</f>
        <v>7000.0000000000009</v>
      </c>
      <c r="Q53" s="19">
        <f>Q15*Inputs!$B$38/12*(1+Inputs!$B$43)^INT((16-1)/12)</f>
        <v>7000.0000000000009</v>
      </c>
      <c r="R53" s="19">
        <f>R15*Inputs!$B$38/12*(1+Inputs!$B$43)^INT((17-1)/12)</f>
        <v>7000.0000000000009</v>
      </c>
      <c r="S53" s="19">
        <f>S15*Inputs!$B$38/12*(1+Inputs!$B$43)^INT((18-1)/12)</f>
        <v>7000.0000000000009</v>
      </c>
      <c r="T53" s="19">
        <f>T15*Inputs!$B$38/12*(1+Inputs!$B$43)^INT((19-1)/12)</f>
        <v>7000.0000000000009</v>
      </c>
      <c r="U53" s="19">
        <f>U15*Inputs!$B$38/12*(1+Inputs!$B$43)^INT((20-1)/12)</f>
        <v>7000.0000000000009</v>
      </c>
      <c r="V53" s="19">
        <f>V15*Inputs!$B$38/12*(1+Inputs!$B$43)^INT((21-1)/12)</f>
        <v>7000.0000000000009</v>
      </c>
      <c r="W53" s="19">
        <f>W15*Inputs!$B$38/12*(1+Inputs!$B$43)^INT((22-1)/12)</f>
        <v>7000.0000000000009</v>
      </c>
      <c r="X53" s="19">
        <f>X15*Inputs!$B$38/12*(1+Inputs!$B$43)^INT((23-1)/12)</f>
        <v>7000.0000000000009</v>
      </c>
      <c r="Y53" s="19">
        <f>Y15*Inputs!$B$38/12*(1+Inputs!$B$43)^INT((24-1)/12)</f>
        <v>7000.0000000000009</v>
      </c>
      <c r="Z53" s="19">
        <f>Z15*Inputs!$B$38/12*(1+Inputs!$B$43)^INT((25-1)/12)</f>
        <v>7350.0000000000009</v>
      </c>
      <c r="AA53" s="19">
        <f>AA15*Inputs!$B$38/12*(1+Inputs!$B$43)^INT((26-1)/12)</f>
        <v>7350.0000000000009</v>
      </c>
      <c r="AB53" s="19">
        <f>AB15*Inputs!$B$38/12*(1+Inputs!$B$43)^INT((27-1)/12)</f>
        <v>7350.0000000000009</v>
      </c>
      <c r="AC53" s="19">
        <f>AC15*Inputs!$B$38/12*(1+Inputs!$B$43)^INT((28-1)/12)</f>
        <v>7350.0000000000009</v>
      </c>
      <c r="AD53" s="19">
        <f>AD15*Inputs!$B$38/12*(1+Inputs!$B$43)^INT((29-1)/12)</f>
        <v>7350.0000000000009</v>
      </c>
      <c r="AE53" s="19">
        <f>AE15*Inputs!$B$38/12*(1+Inputs!$B$43)^INT((30-1)/12)</f>
        <v>7350.0000000000009</v>
      </c>
      <c r="AF53" s="19">
        <f>AF15*Inputs!$B$38/12*(1+Inputs!$B$43)^INT((31-1)/12)</f>
        <v>7350.0000000000009</v>
      </c>
      <c r="AG53" s="19">
        <f>AG15*Inputs!$B$38/12*(1+Inputs!$B$43)^INT((32-1)/12)</f>
        <v>7350.0000000000009</v>
      </c>
      <c r="AH53" s="19">
        <f>AH15*Inputs!$B$38/12*(1+Inputs!$B$43)^INT((33-1)/12)</f>
        <v>7350.0000000000009</v>
      </c>
      <c r="AI53" s="19">
        <f>AI15*Inputs!$B$38/12*(1+Inputs!$B$43)^INT((34-1)/12)</f>
        <v>7350.0000000000009</v>
      </c>
      <c r="AJ53" s="19">
        <f>AJ15*Inputs!$B$38/12*(1+Inputs!$B$43)^INT((35-1)/12)</f>
        <v>7350.0000000000009</v>
      </c>
      <c r="AK53" s="19">
        <f>AK15*Inputs!$B$38/12*(1+Inputs!$B$43)^INT((36-1)/12)</f>
        <v>7350.0000000000009</v>
      </c>
      <c r="AL53" s="19">
        <f>AL15*Inputs!$B$38/12*(1+Inputs!$B$43)^INT((37-1)/12)</f>
        <v>7717.5000000000009</v>
      </c>
      <c r="AM53" s="19">
        <f>AM15*Inputs!$B$38/12*(1+Inputs!$B$43)^INT((38-1)/12)</f>
        <v>7717.5000000000009</v>
      </c>
      <c r="AN53" s="19">
        <f>AN15*Inputs!$B$38/12*(1+Inputs!$B$43)^INT((39-1)/12)</f>
        <v>7717.5000000000009</v>
      </c>
      <c r="AO53" s="19">
        <f>AO15*Inputs!$B$38/12*(1+Inputs!$B$43)^INT((40-1)/12)</f>
        <v>7717.5000000000009</v>
      </c>
      <c r="AP53" s="19">
        <f>AP15*Inputs!$B$38/12*(1+Inputs!$B$43)^INT((41-1)/12)</f>
        <v>7717.5000000000009</v>
      </c>
      <c r="AQ53" s="19">
        <f>AQ15*Inputs!$B$38/12*(1+Inputs!$B$43)^INT((42-1)/12)</f>
        <v>7717.5000000000009</v>
      </c>
      <c r="AR53" s="19">
        <f>AR15*Inputs!$B$38/12*(1+Inputs!$B$43)^INT((43-1)/12)</f>
        <v>7717.5000000000009</v>
      </c>
      <c r="AS53" s="19">
        <f>AS15*Inputs!$B$38/12*(1+Inputs!$B$43)^INT((44-1)/12)</f>
        <v>7717.5000000000009</v>
      </c>
      <c r="AT53" s="19">
        <f>AT15*Inputs!$B$38/12*(1+Inputs!$B$43)^INT((45-1)/12)</f>
        <v>7717.5000000000009</v>
      </c>
      <c r="AU53" s="19">
        <f>AU15*Inputs!$B$38/12*(1+Inputs!$B$43)^INT((46-1)/12)</f>
        <v>7717.5000000000009</v>
      </c>
      <c r="AV53" s="19">
        <f>AV15*Inputs!$B$38/12*(1+Inputs!$B$43)^INT((47-1)/12)</f>
        <v>7717.5000000000009</v>
      </c>
      <c r="AW53" s="19">
        <f>AW15*Inputs!$B$38/12*(1+Inputs!$B$43)^INT((48-1)/12)</f>
        <v>7717.5000000000009</v>
      </c>
      <c r="AX53" s="19">
        <f>AX15*Inputs!$B$38/12*(1+Inputs!$B$43)^INT((49-1)/12)</f>
        <v>8103.375</v>
      </c>
      <c r="AY53" s="19">
        <f>AY15*Inputs!$B$38/12*(1+Inputs!$B$43)^INT((50-1)/12)</f>
        <v>8103.375</v>
      </c>
      <c r="AZ53" s="19">
        <f>AZ15*Inputs!$B$38/12*(1+Inputs!$B$43)^INT((51-1)/12)</f>
        <v>8103.375</v>
      </c>
      <c r="BA53" s="19">
        <f>BA15*Inputs!$B$38/12*(1+Inputs!$B$43)^INT((52-1)/12)</f>
        <v>8103.375</v>
      </c>
    </row>
    <row r="54" spans="1:53" x14ac:dyDescent="0.35">
      <c r="A54" s="3" t="s">
        <v>359</v>
      </c>
      <c r="B54" s="19">
        <f>B16*Inputs!$B$42/12*(1+Inputs!$B$43)^INT((1-1)/12)</f>
        <v>0</v>
      </c>
      <c r="C54" s="19">
        <f>C16*Inputs!$B$42/12*(1+Inputs!$B$43)^INT((2-1)/12)</f>
        <v>0</v>
      </c>
      <c r="D54" s="19">
        <f>D16*Inputs!$B$42/12*(1+Inputs!$B$43)^INT((3-1)/12)</f>
        <v>0</v>
      </c>
      <c r="E54" s="19">
        <f>E16*Inputs!$B$42/12*(1+Inputs!$B$43)^INT((4-1)/12)</f>
        <v>0</v>
      </c>
      <c r="F54" s="19">
        <f>F16*Inputs!$B$42/12*(1+Inputs!$B$43)^INT((5-1)/12)</f>
        <v>0</v>
      </c>
      <c r="G54" s="19">
        <f>G16*Inputs!$B$42/12*(1+Inputs!$B$43)^INT((6-1)/12)</f>
        <v>0</v>
      </c>
      <c r="H54" s="19">
        <f>H16*Inputs!$B$42/12*(1+Inputs!$B$43)^INT((7-1)/12)</f>
        <v>0</v>
      </c>
      <c r="I54" s="19">
        <f>I16*Inputs!$B$42/12*(1+Inputs!$B$43)^INT((8-1)/12)</f>
        <v>0</v>
      </c>
      <c r="J54" s="19">
        <f>J16*Inputs!$B$42/12*(1+Inputs!$B$43)^INT((9-1)/12)</f>
        <v>0</v>
      </c>
      <c r="K54" s="19">
        <f>K16*Inputs!$B$42/12*(1+Inputs!$B$43)^INT((10-1)/12)</f>
        <v>0</v>
      </c>
      <c r="L54" s="19">
        <f>L16*Inputs!$B$42/12*(1+Inputs!$B$43)^INT((11-1)/12)</f>
        <v>0</v>
      </c>
      <c r="M54" s="19">
        <f>M16*Inputs!$B$42/12*(1+Inputs!$B$43)^INT((12-1)/12)</f>
        <v>0</v>
      </c>
      <c r="N54" s="19">
        <f>N16*Inputs!$B$42/12*(1+Inputs!$B$43)^INT((13-1)/12)</f>
        <v>0</v>
      </c>
      <c r="O54" s="19">
        <f>O16*Inputs!$B$42/12*(1+Inputs!$B$43)^INT((14-1)/12)</f>
        <v>3937.5</v>
      </c>
      <c r="P54" s="19">
        <f>P16*Inputs!$B$42/12*(1+Inputs!$B$43)^INT((15-1)/12)</f>
        <v>3937.5</v>
      </c>
      <c r="Q54" s="19">
        <f>Q16*Inputs!$B$42/12*(1+Inputs!$B$43)^INT((16-1)/12)</f>
        <v>3937.5</v>
      </c>
      <c r="R54" s="19">
        <f>R16*Inputs!$B$42/12*(1+Inputs!$B$43)^INT((17-1)/12)</f>
        <v>3937.5</v>
      </c>
      <c r="S54" s="19">
        <f>S16*Inputs!$B$42/12*(1+Inputs!$B$43)^INT((18-1)/12)</f>
        <v>3937.5</v>
      </c>
      <c r="T54" s="19">
        <f>T16*Inputs!$B$42/12*(1+Inputs!$B$43)^INT((19-1)/12)</f>
        <v>3937.5</v>
      </c>
      <c r="U54" s="19">
        <f>U16*Inputs!$B$42/12*(1+Inputs!$B$43)^INT((20-1)/12)</f>
        <v>3937.5</v>
      </c>
      <c r="V54" s="19">
        <f>V16*Inputs!$B$42/12*(1+Inputs!$B$43)^INT((21-1)/12)</f>
        <v>3937.5</v>
      </c>
      <c r="W54" s="19">
        <f>W16*Inputs!$B$42/12*(1+Inputs!$B$43)^INT((22-1)/12)</f>
        <v>3937.5</v>
      </c>
      <c r="X54" s="19">
        <f>X16*Inputs!$B$42/12*(1+Inputs!$B$43)^INT((23-1)/12)</f>
        <v>3937.5</v>
      </c>
      <c r="Y54" s="19">
        <f>Y16*Inputs!$B$42/12*(1+Inputs!$B$43)^INT((24-1)/12)</f>
        <v>3937.5</v>
      </c>
      <c r="Z54" s="19">
        <f>Z16*Inputs!$B$42/12*(1+Inputs!$B$43)^INT((25-1)/12)</f>
        <v>4134.375</v>
      </c>
      <c r="AA54" s="19">
        <f>AA16*Inputs!$B$42/12*(1+Inputs!$B$43)^INT((26-1)/12)</f>
        <v>4134.375</v>
      </c>
      <c r="AB54" s="19">
        <f>AB16*Inputs!$B$42/12*(1+Inputs!$B$43)^INT((27-1)/12)</f>
        <v>4134.375</v>
      </c>
      <c r="AC54" s="19">
        <f>AC16*Inputs!$B$42/12*(1+Inputs!$B$43)^INT((28-1)/12)</f>
        <v>4134.375</v>
      </c>
      <c r="AD54" s="19">
        <f>AD16*Inputs!$B$42/12*(1+Inputs!$B$43)^INT((29-1)/12)</f>
        <v>4134.375</v>
      </c>
      <c r="AE54" s="19">
        <f>AE16*Inputs!$B$42/12*(1+Inputs!$B$43)^INT((30-1)/12)</f>
        <v>4134.375</v>
      </c>
      <c r="AF54" s="19">
        <f>AF16*Inputs!$B$42/12*(1+Inputs!$B$43)^INT((31-1)/12)</f>
        <v>4134.375</v>
      </c>
      <c r="AG54" s="19">
        <f>AG16*Inputs!$B$42/12*(1+Inputs!$B$43)^INT((32-1)/12)</f>
        <v>4134.375</v>
      </c>
      <c r="AH54" s="19">
        <f>AH16*Inputs!$B$42/12*(1+Inputs!$B$43)^INT((33-1)/12)</f>
        <v>4134.375</v>
      </c>
      <c r="AI54" s="19">
        <f>AI16*Inputs!$B$42/12*(1+Inputs!$B$43)^INT((34-1)/12)</f>
        <v>4134.375</v>
      </c>
      <c r="AJ54" s="19">
        <f>AJ16*Inputs!$B$42/12*(1+Inputs!$B$43)^INT((35-1)/12)</f>
        <v>4134.375</v>
      </c>
      <c r="AK54" s="19">
        <f>AK16*Inputs!$B$42/12*(1+Inputs!$B$43)^INT((36-1)/12)</f>
        <v>4134.375</v>
      </c>
      <c r="AL54" s="19">
        <f>AL16*Inputs!$B$42/12*(1+Inputs!$B$43)^INT((37-1)/12)</f>
        <v>4341.0937500000009</v>
      </c>
      <c r="AM54" s="19">
        <f>AM16*Inputs!$B$42/12*(1+Inputs!$B$43)^INT((38-1)/12)</f>
        <v>4341.0937500000009</v>
      </c>
      <c r="AN54" s="19">
        <f>AN16*Inputs!$B$42/12*(1+Inputs!$B$43)^INT((39-1)/12)</f>
        <v>4341.0937500000009</v>
      </c>
      <c r="AO54" s="19">
        <f>AO16*Inputs!$B$42/12*(1+Inputs!$B$43)^INT((40-1)/12)</f>
        <v>4341.0937500000009</v>
      </c>
      <c r="AP54" s="19">
        <f>AP16*Inputs!$B$42/12*(1+Inputs!$B$43)^INT((41-1)/12)</f>
        <v>4341.0937500000009</v>
      </c>
      <c r="AQ54" s="19">
        <f>AQ16*Inputs!$B$42/12*(1+Inputs!$B$43)^INT((42-1)/12)</f>
        <v>4341.0937500000009</v>
      </c>
      <c r="AR54" s="19">
        <f>AR16*Inputs!$B$42/12*(1+Inputs!$B$43)^INT((43-1)/12)</f>
        <v>4341.0937500000009</v>
      </c>
      <c r="AS54" s="19">
        <f>AS16*Inputs!$B$42/12*(1+Inputs!$B$43)^INT((44-1)/12)</f>
        <v>4341.0937500000009</v>
      </c>
      <c r="AT54" s="19">
        <f>AT16*Inputs!$B$42/12*(1+Inputs!$B$43)^INT((45-1)/12)</f>
        <v>4341.0937500000009</v>
      </c>
      <c r="AU54" s="19">
        <f>AU16*Inputs!$B$42/12*(1+Inputs!$B$43)^INT((46-1)/12)</f>
        <v>4341.0937500000009</v>
      </c>
      <c r="AV54" s="19">
        <f>AV16*Inputs!$B$42/12*(1+Inputs!$B$43)^INT((47-1)/12)</f>
        <v>4341.0937500000009</v>
      </c>
      <c r="AW54" s="19">
        <f>AW16*Inputs!$B$42/12*(1+Inputs!$B$43)^INT((48-1)/12)</f>
        <v>4341.0937500000009</v>
      </c>
      <c r="AX54" s="19">
        <f>AX16*Inputs!$B$42/12*(1+Inputs!$B$43)^INT((49-1)/12)</f>
        <v>4558.1484375</v>
      </c>
      <c r="AY54" s="19">
        <f>AY16*Inputs!$B$42/12*(1+Inputs!$B$43)^INT((50-1)/12)</f>
        <v>4558.1484375</v>
      </c>
      <c r="AZ54" s="19">
        <f>AZ16*Inputs!$B$42/12*(1+Inputs!$B$43)^INT((51-1)/12)</f>
        <v>4558.1484375</v>
      </c>
      <c r="BA54" s="19">
        <f>BA16*Inputs!$B$42/12*(1+Inputs!$B$43)^INT((52-1)/12)</f>
        <v>4558.1484375</v>
      </c>
    </row>
    <row r="55" spans="1:53" x14ac:dyDescent="0.35">
      <c r="A55" s="3" t="s">
        <v>360</v>
      </c>
      <c r="B55" s="19">
        <f>B17*Inputs!$B$35/12*(1+Inputs!$B$43)^INT((1-1)/12)</f>
        <v>0</v>
      </c>
      <c r="C55" s="19">
        <f>C17*Inputs!$B$35/12*(1+Inputs!$B$43)^INT((2-1)/12)</f>
        <v>0</v>
      </c>
      <c r="D55" s="19">
        <f>D17*Inputs!$B$35/12*(1+Inputs!$B$43)^INT((3-1)/12)</f>
        <v>0</v>
      </c>
      <c r="E55" s="19">
        <f>E17*Inputs!$B$35/12*(1+Inputs!$B$43)^INT((4-1)/12)</f>
        <v>0</v>
      </c>
      <c r="F55" s="19">
        <f>F17*Inputs!$B$35/12*(1+Inputs!$B$43)^INT((5-1)/12)</f>
        <v>0</v>
      </c>
      <c r="G55" s="19">
        <f>G17*Inputs!$B$35/12*(1+Inputs!$B$43)^INT((6-1)/12)</f>
        <v>0</v>
      </c>
      <c r="H55" s="19">
        <f>H17*Inputs!$B$35/12*(1+Inputs!$B$43)^INT((7-1)/12)</f>
        <v>0</v>
      </c>
      <c r="I55" s="19">
        <f>I17*Inputs!$B$35/12*(1+Inputs!$B$43)^INT((8-1)/12)</f>
        <v>0</v>
      </c>
      <c r="J55" s="19">
        <f>J17*Inputs!$B$35/12*(1+Inputs!$B$43)^INT((9-1)/12)</f>
        <v>0</v>
      </c>
      <c r="K55" s="19">
        <f>K17*Inputs!$B$35/12*(1+Inputs!$B$43)^INT((10-1)/12)</f>
        <v>0</v>
      </c>
      <c r="L55" s="19">
        <f>L17*Inputs!$B$35/12*(1+Inputs!$B$43)^INT((11-1)/12)</f>
        <v>0</v>
      </c>
      <c r="M55" s="19">
        <f>M17*Inputs!$B$35/12*(1+Inputs!$B$43)^INT((12-1)/12)</f>
        <v>0</v>
      </c>
      <c r="N55" s="19">
        <f>N17*Inputs!$B$35/12*(1+Inputs!$B$43)^INT((13-1)/12)</f>
        <v>0</v>
      </c>
      <c r="O55" s="19">
        <f>O17*Inputs!$B$35/12*(1+Inputs!$B$43)^INT((14-1)/12)</f>
        <v>0</v>
      </c>
      <c r="P55" s="19">
        <f>P17*Inputs!$B$35/12*(1+Inputs!$B$43)^INT((15-1)/12)</f>
        <v>0</v>
      </c>
      <c r="Q55" s="19">
        <f>Q17*Inputs!$B$35/12*(1+Inputs!$B$43)^INT((16-1)/12)</f>
        <v>0</v>
      </c>
      <c r="R55" s="19">
        <f>R17*Inputs!$B$35/12*(1+Inputs!$B$43)^INT((17-1)/12)</f>
        <v>0</v>
      </c>
      <c r="S55" s="19">
        <f>S17*Inputs!$B$35/12*(1+Inputs!$B$43)^INT((18-1)/12)</f>
        <v>7875</v>
      </c>
      <c r="T55" s="19">
        <f>T17*Inputs!$B$35/12*(1+Inputs!$B$43)^INT((19-1)/12)</f>
        <v>7875</v>
      </c>
      <c r="U55" s="19">
        <f>U17*Inputs!$B$35/12*(1+Inputs!$B$43)^INT((20-1)/12)</f>
        <v>7875</v>
      </c>
      <c r="V55" s="19">
        <f>V17*Inputs!$B$35/12*(1+Inputs!$B$43)^INT((21-1)/12)</f>
        <v>7875</v>
      </c>
      <c r="W55" s="19">
        <f>W17*Inputs!$B$35/12*(1+Inputs!$B$43)^INT((22-1)/12)</f>
        <v>7875</v>
      </c>
      <c r="X55" s="19">
        <f>X17*Inputs!$B$35/12*(1+Inputs!$B$43)^INT((23-1)/12)</f>
        <v>7875</v>
      </c>
      <c r="Y55" s="19">
        <f>Y17*Inputs!$B$35/12*(1+Inputs!$B$43)^INT((24-1)/12)</f>
        <v>7875</v>
      </c>
      <c r="Z55" s="19">
        <f>Z17*Inputs!$B$35/12*(1+Inputs!$B$43)^INT((25-1)/12)</f>
        <v>8268.75</v>
      </c>
      <c r="AA55" s="19">
        <f>AA17*Inputs!$B$35/12*(1+Inputs!$B$43)^INT((26-1)/12)</f>
        <v>8268.75</v>
      </c>
      <c r="AB55" s="19">
        <f>AB17*Inputs!$B$35/12*(1+Inputs!$B$43)^INT((27-1)/12)</f>
        <v>8268.75</v>
      </c>
      <c r="AC55" s="19">
        <f>AC17*Inputs!$B$35/12*(1+Inputs!$B$43)^INT((28-1)/12)</f>
        <v>8268.75</v>
      </c>
      <c r="AD55" s="19">
        <f>AD17*Inputs!$B$35/12*(1+Inputs!$B$43)^INT((29-1)/12)</f>
        <v>8268.75</v>
      </c>
      <c r="AE55" s="19">
        <f>AE17*Inputs!$B$35/12*(1+Inputs!$B$43)^INT((30-1)/12)</f>
        <v>8268.75</v>
      </c>
      <c r="AF55" s="19">
        <f>AF17*Inputs!$B$35/12*(1+Inputs!$B$43)^INT((31-1)/12)</f>
        <v>8268.75</v>
      </c>
      <c r="AG55" s="19">
        <f>AG17*Inputs!$B$35/12*(1+Inputs!$B$43)^INT((32-1)/12)</f>
        <v>8268.75</v>
      </c>
      <c r="AH55" s="19">
        <f>AH17*Inputs!$B$35/12*(1+Inputs!$B$43)^INT((33-1)/12)</f>
        <v>8268.75</v>
      </c>
      <c r="AI55" s="19">
        <f>AI17*Inputs!$B$35/12*(1+Inputs!$B$43)^INT((34-1)/12)</f>
        <v>8268.75</v>
      </c>
      <c r="AJ55" s="19">
        <f>AJ17*Inputs!$B$35/12*(1+Inputs!$B$43)^INT((35-1)/12)</f>
        <v>8268.75</v>
      </c>
      <c r="AK55" s="19">
        <f>AK17*Inputs!$B$35/12*(1+Inputs!$B$43)^INT((36-1)/12)</f>
        <v>8268.75</v>
      </c>
      <c r="AL55" s="19">
        <f>AL17*Inputs!$B$35/12*(1+Inputs!$B$43)^INT((37-1)/12)</f>
        <v>8682.1875000000018</v>
      </c>
      <c r="AM55" s="19">
        <f>AM17*Inputs!$B$35/12*(1+Inputs!$B$43)^INT((38-1)/12)</f>
        <v>8682.1875000000018</v>
      </c>
      <c r="AN55" s="19">
        <f>AN17*Inputs!$B$35/12*(1+Inputs!$B$43)^INT((39-1)/12)</f>
        <v>8682.1875000000018</v>
      </c>
      <c r="AO55" s="19">
        <f>AO17*Inputs!$B$35/12*(1+Inputs!$B$43)^INT((40-1)/12)</f>
        <v>8682.1875000000018</v>
      </c>
      <c r="AP55" s="19">
        <f>AP17*Inputs!$B$35/12*(1+Inputs!$B$43)^INT((41-1)/12)</f>
        <v>8682.1875000000018</v>
      </c>
      <c r="AQ55" s="19">
        <f>AQ17*Inputs!$B$35/12*(1+Inputs!$B$43)^INT((42-1)/12)</f>
        <v>8682.1875000000018</v>
      </c>
      <c r="AR55" s="19">
        <f>AR17*Inputs!$B$35/12*(1+Inputs!$B$43)^INT((43-1)/12)</f>
        <v>8682.1875000000018</v>
      </c>
      <c r="AS55" s="19">
        <f>AS17*Inputs!$B$35/12*(1+Inputs!$B$43)^INT((44-1)/12)</f>
        <v>8682.1875000000018</v>
      </c>
      <c r="AT55" s="19">
        <f>AT17*Inputs!$B$35/12*(1+Inputs!$B$43)^INT((45-1)/12)</f>
        <v>8682.1875000000018</v>
      </c>
      <c r="AU55" s="19">
        <f>AU17*Inputs!$B$35/12*(1+Inputs!$B$43)^INT((46-1)/12)</f>
        <v>8682.1875000000018</v>
      </c>
      <c r="AV55" s="19">
        <f>AV17*Inputs!$B$35/12*(1+Inputs!$B$43)^INT((47-1)/12)</f>
        <v>8682.1875000000018</v>
      </c>
      <c r="AW55" s="19">
        <f>AW17*Inputs!$B$35/12*(1+Inputs!$B$43)^INT((48-1)/12)</f>
        <v>8682.1875000000018</v>
      </c>
      <c r="AX55" s="19">
        <f>AX17*Inputs!$B$35/12*(1+Inputs!$B$43)^INT((49-1)/12)</f>
        <v>9116.296875</v>
      </c>
      <c r="AY55" s="19">
        <f>AY17*Inputs!$B$35/12*(1+Inputs!$B$43)^INT((50-1)/12)</f>
        <v>9116.296875</v>
      </c>
      <c r="AZ55" s="19">
        <f>AZ17*Inputs!$B$35/12*(1+Inputs!$B$43)^INT((51-1)/12)</f>
        <v>9116.296875</v>
      </c>
      <c r="BA55" s="19">
        <f>BA17*Inputs!$B$35/12*(1+Inputs!$B$43)^INT((52-1)/12)</f>
        <v>9116.296875</v>
      </c>
    </row>
    <row r="56" spans="1:53" x14ac:dyDescent="0.35">
      <c r="A56" s="3" t="s">
        <v>361</v>
      </c>
      <c r="B56" s="19">
        <f>B18*Inputs!$B$35/12*(1+Inputs!$B$43)^INT((1-1)/12)</f>
        <v>0</v>
      </c>
      <c r="C56" s="19">
        <f>C18*Inputs!$B$35/12*(1+Inputs!$B$43)^INT((2-1)/12)</f>
        <v>0</v>
      </c>
      <c r="D56" s="19">
        <f>D18*Inputs!$B$35/12*(1+Inputs!$B$43)^INT((3-1)/12)</f>
        <v>0</v>
      </c>
      <c r="E56" s="19">
        <f>E18*Inputs!$B$35/12*(1+Inputs!$B$43)^INT((4-1)/12)</f>
        <v>0</v>
      </c>
      <c r="F56" s="19">
        <f>F18*Inputs!$B$35/12*(1+Inputs!$B$43)^INT((5-1)/12)</f>
        <v>0</v>
      </c>
      <c r="G56" s="19">
        <f>G18*Inputs!$B$35/12*(1+Inputs!$B$43)^INT((6-1)/12)</f>
        <v>0</v>
      </c>
      <c r="H56" s="19">
        <f>H18*Inputs!$B$35/12*(1+Inputs!$B$43)^INT((7-1)/12)</f>
        <v>0</v>
      </c>
      <c r="I56" s="19">
        <f>I18*Inputs!$B$35/12*(1+Inputs!$B$43)^INT((8-1)/12)</f>
        <v>0</v>
      </c>
      <c r="J56" s="19">
        <f>J18*Inputs!$B$35/12*(1+Inputs!$B$43)^INT((9-1)/12)</f>
        <v>0</v>
      </c>
      <c r="K56" s="19">
        <f>K18*Inputs!$B$35/12*(1+Inputs!$B$43)^INT((10-1)/12)</f>
        <v>0</v>
      </c>
      <c r="L56" s="19">
        <f>L18*Inputs!$B$35/12*(1+Inputs!$B$43)^INT((11-1)/12)</f>
        <v>0</v>
      </c>
      <c r="M56" s="19">
        <f>M18*Inputs!$B$35/12*(1+Inputs!$B$43)^INT((12-1)/12)</f>
        <v>0</v>
      </c>
      <c r="N56" s="19">
        <f>N18*Inputs!$B$35/12*(1+Inputs!$B$43)^INT((13-1)/12)</f>
        <v>0</v>
      </c>
      <c r="O56" s="19">
        <f>O18*Inputs!$B$35/12*(1+Inputs!$B$43)^INT((14-1)/12)</f>
        <v>0</v>
      </c>
      <c r="P56" s="19">
        <f>P18*Inputs!$B$35/12*(1+Inputs!$B$43)^INT((15-1)/12)</f>
        <v>0</v>
      </c>
      <c r="Q56" s="19">
        <f>Q18*Inputs!$B$35/12*(1+Inputs!$B$43)^INT((16-1)/12)</f>
        <v>0</v>
      </c>
      <c r="R56" s="19">
        <f>R18*Inputs!$B$35/12*(1+Inputs!$B$43)^INT((17-1)/12)</f>
        <v>0</v>
      </c>
      <c r="S56" s="19">
        <f>S18*Inputs!$B$35/12*(1+Inputs!$B$43)^INT((18-1)/12)</f>
        <v>0</v>
      </c>
      <c r="T56" s="19">
        <f>T18*Inputs!$B$35/12*(1+Inputs!$B$43)^INT((19-1)/12)</f>
        <v>0</v>
      </c>
      <c r="U56" s="19">
        <f>U18*Inputs!$B$35/12*(1+Inputs!$B$43)^INT((20-1)/12)</f>
        <v>0</v>
      </c>
      <c r="V56" s="19">
        <f>V18*Inputs!$B$35/12*(1+Inputs!$B$43)^INT((21-1)/12)</f>
        <v>0</v>
      </c>
      <c r="W56" s="19">
        <f>W18*Inputs!$B$35/12*(1+Inputs!$B$43)^INT((22-1)/12)</f>
        <v>0</v>
      </c>
      <c r="X56" s="19">
        <f>X18*Inputs!$B$35/12*(1+Inputs!$B$43)^INT((23-1)/12)</f>
        <v>0</v>
      </c>
      <c r="Y56" s="19">
        <f>Y18*Inputs!$B$35/12*(1+Inputs!$B$43)^INT((24-1)/12)</f>
        <v>7875</v>
      </c>
      <c r="Z56" s="19">
        <f>Z18*Inputs!$B$35/12*(1+Inputs!$B$43)^INT((25-1)/12)</f>
        <v>8268.75</v>
      </c>
      <c r="AA56" s="19">
        <f>AA18*Inputs!$B$35/12*(1+Inputs!$B$43)^INT((26-1)/12)</f>
        <v>8268.75</v>
      </c>
      <c r="AB56" s="19">
        <f>AB18*Inputs!$B$35/12*(1+Inputs!$B$43)^INT((27-1)/12)</f>
        <v>8268.75</v>
      </c>
      <c r="AC56" s="19">
        <f>AC18*Inputs!$B$35/12*(1+Inputs!$B$43)^INT((28-1)/12)</f>
        <v>8268.75</v>
      </c>
      <c r="AD56" s="19">
        <f>AD18*Inputs!$B$35/12*(1+Inputs!$B$43)^INT((29-1)/12)</f>
        <v>8268.75</v>
      </c>
      <c r="AE56" s="19">
        <f>AE18*Inputs!$B$35/12*(1+Inputs!$B$43)^INT((30-1)/12)</f>
        <v>8268.75</v>
      </c>
      <c r="AF56" s="19">
        <f>AF18*Inputs!$B$35/12*(1+Inputs!$B$43)^INT((31-1)/12)</f>
        <v>8268.75</v>
      </c>
      <c r="AG56" s="19">
        <f>AG18*Inputs!$B$35/12*(1+Inputs!$B$43)^INT((32-1)/12)</f>
        <v>8268.75</v>
      </c>
      <c r="AH56" s="19">
        <f>AH18*Inputs!$B$35/12*(1+Inputs!$B$43)^INT((33-1)/12)</f>
        <v>8268.75</v>
      </c>
      <c r="AI56" s="19">
        <f>AI18*Inputs!$B$35/12*(1+Inputs!$B$43)^INT((34-1)/12)</f>
        <v>8268.75</v>
      </c>
      <c r="AJ56" s="19">
        <f>AJ18*Inputs!$B$35/12*(1+Inputs!$B$43)^INT((35-1)/12)</f>
        <v>8268.75</v>
      </c>
      <c r="AK56" s="19">
        <f>AK18*Inputs!$B$35/12*(1+Inputs!$B$43)^INT((36-1)/12)</f>
        <v>8268.75</v>
      </c>
      <c r="AL56" s="19">
        <f>AL18*Inputs!$B$35/12*(1+Inputs!$B$43)^INT((37-1)/12)</f>
        <v>8682.1875000000018</v>
      </c>
      <c r="AM56" s="19">
        <f>AM18*Inputs!$B$35/12*(1+Inputs!$B$43)^INT((38-1)/12)</f>
        <v>8682.1875000000018</v>
      </c>
      <c r="AN56" s="19">
        <f>AN18*Inputs!$B$35/12*(1+Inputs!$B$43)^INT((39-1)/12)</f>
        <v>8682.1875000000018</v>
      </c>
      <c r="AO56" s="19">
        <f>AO18*Inputs!$B$35/12*(1+Inputs!$B$43)^INT((40-1)/12)</f>
        <v>8682.1875000000018</v>
      </c>
      <c r="AP56" s="19">
        <f>AP18*Inputs!$B$35/12*(1+Inputs!$B$43)^INT((41-1)/12)</f>
        <v>8682.1875000000018</v>
      </c>
      <c r="AQ56" s="19">
        <f>AQ18*Inputs!$B$35/12*(1+Inputs!$B$43)^INT((42-1)/12)</f>
        <v>8682.1875000000018</v>
      </c>
      <c r="AR56" s="19">
        <f>AR18*Inputs!$B$35/12*(1+Inputs!$B$43)^INT((43-1)/12)</f>
        <v>8682.1875000000018</v>
      </c>
      <c r="AS56" s="19">
        <f>AS18*Inputs!$B$35/12*(1+Inputs!$B$43)^INT((44-1)/12)</f>
        <v>8682.1875000000018</v>
      </c>
      <c r="AT56" s="19">
        <f>AT18*Inputs!$B$35/12*(1+Inputs!$B$43)^INT((45-1)/12)</f>
        <v>8682.1875000000018</v>
      </c>
      <c r="AU56" s="19">
        <f>AU18*Inputs!$B$35/12*(1+Inputs!$B$43)^INT((46-1)/12)</f>
        <v>8682.1875000000018</v>
      </c>
      <c r="AV56" s="19">
        <f>AV18*Inputs!$B$35/12*(1+Inputs!$B$43)^INT((47-1)/12)</f>
        <v>8682.1875000000018</v>
      </c>
      <c r="AW56" s="19">
        <f>AW18*Inputs!$B$35/12*(1+Inputs!$B$43)^INT((48-1)/12)</f>
        <v>8682.1875000000018</v>
      </c>
      <c r="AX56" s="19">
        <f>AX18*Inputs!$B$35/12*(1+Inputs!$B$43)^INT((49-1)/12)</f>
        <v>9116.296875</v>
      </c>
      <c r="AY56" s="19">
        <f>AY18*Inputs!$B$35/12*(1+Inputs!$B$43)^INT((50-1)/12)</f>
        <v>9116.296875</v>
      </c>
      <c r="AZ56" s="19">
        <f>AZ18*Inputs!$B$35/12*(1+Inputs!$B$43)^INT((51-1)/12)</f>
        <v>9116.296875</v>
      </c>
      <c r="BA56" s="19">
        <f>BA18*Inputs!$B$35/12*(1+Inputs!$B$43)^INT((52-1)/12)</f>
        <v>9116.296875</v>
      </c>
    </row>
    <row r="57" spans="1:53" x14ac:dyDescent="0.35">
      <c r="A57" s="3" t="s">
        <v>362</v>
      </c>
      <c r="B57" s="19">
        <f>B19*Inputs!$B$36/12*(1+Inputs!$B$43)^INT((1-1)/12)</f>
        <v>0</v>
      </c>
      <c r="C57" s="19">
        <f>C19*Inputs!$B$36/12*(1+Inputs!$B$43)^INT((2-1)/12)</f>
        <v>0</v>
      </c>
      <c r="D57" s="19">
        <f>D19*Inputs!$B$36/12*(1+Inputs!$B$43)^INT((3-1)/12)</f>
        <v>0</v>
      </c>
      <c r="E57" s="19">
        <f>E19*Inputs!$B$36/12*(1+Inputs!$B$43)^INT((4-1)/12)</f>
        <v>0</v>
      </c>
      <c r="F57" s="19">
        <f>F19*Inputs!$B$36/12*(1+Inputs!$B$43)^INT((5-1)/12)</f>
        <v>0</v>
      </c>
      <c r="G57" s="19">
        <f>G19*Inputs!$B$36/12*(1+Inputs!$B$43)^INT((6-1)/12)</f>
        <v>0</v>
      </c>
      <c r="H57" s="19">
        <f>H19*Inputs!$B$36/12*(1+Inputs!$B$43)^INT((7-1)/12)</f>
        <v>0</v>
      </c>
      <c r="I57" s="19">
        <f>I19*Inputs!$B$36/12*(1+Inputs!$B$43)^INT((8-1)/12)</f>
        <v>0</v>
      </c>
      <c r="J57" s="19">
        <f>J19*Inputs!$B$36/12*(1+Inputs!$B$43)^INT((9-1)/12)</f>
        <v>0</v>
      </c>
      <c r="K57" s="19">
        <f>K19*Inputs!$B$36/12*(1+Inputs!$B$43)^INT((10-1)/12)</f>
        <v>0</v>
      </c>
      <c r="L57" s="19">
        <f>L19*Inputs!$B$36/12*(1+Inputs!$B$43)^INT((11-1)/12)</f>
        <v>0</v>
      </c>
      <c r="M57" s="19">
        <f>M19*Inputs!$B$36/12*(1+Inputs!$B$43)^INT((12-1)/12)</f>
        <v>0</v>
      </c>
      <c r="N57" s="19">
        <f>N19*Inputs!$B$36/12*(1+Inputs!$B$43)^INT((13-1)/12)</f>
        <v>0</v>
      </c>
      <c r="O57" s="19">
        <f>O19*Inputs!$B$36/12*(1+Inputs!$B$43)^INT((14-1)/12)</f>
        <v>0</v>
      </c>
      <c r="P57" s="19">
        <f>P19*Inputs!$B$36/12*(1+Inputs!$B$43)^INT((15-1)/12)</f>
        <v>0</v>
      </c>
      <c r="Q57" s="19">
        <f>Q19*Inputs!$B$36/12*(1+Inputs!$B$43)^INT((16-1)/12)</f>
        <v>0</v>
      </c>
      <c r="R57" s="19">
        <f>R19*Inputs!$B$36/12*(1+Inputs!$B$43)^INT((17-1)/12)</f>
        <v>0</v>
      </c>
      <c r="S57" s="19">
        <f>S19*Inputs!$B$36/12*(1+Inputs!$B$43)^INT((18-1)/12)</f>
        <v>0</v>
      </c>
      <c r="T57" s="19">
        <f>T19*Inputs!$B$36/12*(1+Inputs!$B$43)^INT((19-1)/12)</f>
        <v>0</v>
      </c>
      <c r="U57" s="19">
        <f>U19*Inputs!$B$36/12*(1+Inputs!$B$43)^INT((20-1)/12)</f>
        <v>5250</v>
      </c>
      <c r="V57" s="19">
        <f>V19*Inputs!$B$36/12*(1+Inputs!$B$43)^INT((21-1)/12)</f>
        <v>5250</v>
      </c>
      <c r="W57" s="19">
        <f>W19*Inputs!$B$36/12*(1+Inputs!$B$43)^INT((22-1)/12)</f>
        <v>5250</v>
      </c>
      <c r="X57" s="19">
        <f>X19*Inputs!$B$36/12*(1+Inputs!$B$43)^INT((23-1)/12)</f>
        <v>5250</v>
      </c>
      <c r="Y57" s="19">
        <f>Y19*Inputs!$B$36/12*(1+Inputs!$B$43)^INT((24-1)/12)</f>
        <v>5250</v>
      </c>
      <c r="Z57" s="19">
        <f>Z19*Inputs!$B$36/12*(1+Inputs!$B$43)^INT((25-1)/12)</f>
        <v>5512.5</v>
      </c>
      <c r="AA57" s="19">
        <f>AA19*Inputs!$B$36/12*(1+Inputs!$B$43)^INT((26-1)/12)</f>
        <v>5512.5</v>
      </c>
      <c r="AB57" s="19">
        <f>AB19*Inputs!$B$36/12*(1+Inputs!$B$43)^INT((27-1)/12)</f>
        <v>5512.5</v>
      </c>
      <c r="AC57" s="19">
        <f>AC19*Inputs!$B$36/12*(1+Inputs!$B$43)^INT((28-1)/12)</f>
        <v>5512.5</v>
      </c>
      <c r="AD57" s="19">
        <f>AD19*Inputs!$B$36/12*(1+Inputs!$B$43)^INT((29-1)/12)</f>
        <v>5512.5</v>
      </c>
      <c r="AE57" s="19">
        <f>AE19*Inputs!$B$36/12*(1+Inputs!$B$43)^INT((30-1)/12)</f>
        <v>5512.5</v>
      </c>
      <c r="AF57" s="19">
        <f>AF19*Inputs!$B$36/12*(1+Inputs!$B$43)^INT((31-1)/12)</f>
        <v>5512.5</v>
      </c>
      <c r="AG57" s="19">
        <f>AG19*Inputs!$B$36/12*(1+Inputs!$B$43)^INT((32-1)/12)</f>
        <v>5512.5</v>
      </c>
      <c r="AH57" s="19">
        <f>AH19*Inputs!$B$36/12*(1+Inputs!$B$43)^INT((33-1)/12)</f>
        <v>5512.5</v>
      </c>
      <c r="AI57" s="19">
        <f>AI19*Inputs!$B$36/12*(1+Inputs!$B$43)^INT((34-1)/12)</f>
        <v>5512.5</v>
      </c>
      <c r="AJ57" s="19">
        <f>AJ19*Inputs!$B$36/12*(1+Inputs!$B$43)^INT((35-1)/12)</f>
        <v>5512.5</v>
      </c>
      <c r="AK57" s="19">
        <f>AK19*Inputs!$B$36/12*(1+Inputs!$B$43)^INT((36-1)/12)</f>
        <v>5512.5</v>
      </c>
      <c r="AL57" s="19">
        <f>AL19*Inputs!$B$36/12*(1+Inputs!$B$43)^INT((37-1)/12)</f>
        <v>5788.1250000000009</v>
      </c>
      <c r="AM57" s="19">
        <f>AM19*Inputs!$B$36/12*(1+Inputs!$B$43)^INT((38-1)/12)</f>
        <v>5788.1250000000009</v>
      </c>
      <c r="AN57" s="19">
        <f>AN19*Inputs!$B$36/12*(1+Inputs!$B$43)^INT((39-1)/12)</f>
        <v>5788.1250000000009</v>
      </c>
      <c r="AO57" s="19">
        <f>AO19*Inputs!$B$36/12*(1+Inputs!$B$43)^INT((40-1)/12)</f>
        <v>5788.1250000000009</v>
      </c>
      <c r="AP57" s="19">
        <f>AP19*Inputs!$B$36/12*(1+Inputs!$B$43)^INT((41-1)/12)</f>
        <v>5788.1250000000009</v>
      </c>
      <c r="AQ57" s="19">
        <f>AQ19*Inputs!$B$36/12*(1+Inputs!$B$43)^INT((42-1)/12)</f>
        <v>5788.1250000000009</v>
      </c>
      <c r="AR57" s="19">
        <f>AR19*Inputs!$B$36/12*(1+Inputs!$B$43)^INT((43-1)/12)</f>
        <v>5788.1250000000009</v>
      </c>
      <c r="AS57" s="19">
        <f>AS19*Inputs!$B$36/12*(1+Inputs!$B$43)^INT((44-1)/12)</f>
        <v>5788.1250000000009</v>
      </c>
      <c r="AT57" s="19">
        <f>AT19*Inputs!$B$36/12*(1+Inputs!$B$43)^INT((45-1)/12)</f>
        <v>5788.1250000000009</v>
      </c>
      <c r="AU57" s="19">
        <f>AU19*Inputs!$B$36/12*(1+Inputs!$B$43)^INT((46-1)/12)</f>
        <v>5788.1250000000009</v>
      </c>
      <c r="AV57" s="19">
        <f>AV19*Inputs!$B$36/12*(1+Inputs!$B$43)^INT((47-1)/12)</f>
        <v>5788.1250000000009</v>
      </c>
      <c r="AW57" s="19">
        <f>AW19*Inputs!$B$36/12*(1+Inputs!$B$43)^INT((48-1)/12)</f>
        <v>5788.1250000000009</v>
      </c>
      <c r="AX57" s="19">
        <f>AX19*Inputs!$B$36/12*(1+Inputs!$B$43)^INT((49-1)/12)</f>
        <v>6077.53125</v>
      </c>
      <c r="AY57" s="19">
        <f>AY19*Inputs!$B$36/12*(1+Inputs!$B$43)^INT((50-1)/12)</f>
        <v>6077.53125</v>
      </c>
      <c r="AZ57" s="19">
        <f>AZ19*Inputs!$B$36/12*(1+Inputs!$B$43)^INT((51-1)/12)</f>
        <v>6077.53125</v>
      </c>
      <c r="BA57" s="19">
        <f>BA19*Inputs!$B$36/12*(1+Inputs!$B$43)^INT((52-1)/12)</f>
        <v>6077.53125</v>
      </c>
    </row>
    <row r="58" spans="1:53" x14ac:dyDescent="0.35">
      <c r="A58" s="3" t="s">
        <v>363</v>
      </c>
      <c r="B58" s="19">
        <f>B20*Inputs!$B$37/12*(1+Inputs!$B$43)^INT((1-1)/12)</f>
        <v>0</v>
      </c>
      <c r="C58" s="19">
        <f>C20*Inputs!$B$37/12*(1+Inputs!$B$43)^INT((2-1)/12)</f>
        <v>0</v>
      </c>
      <c r="D58" s="19">
        <f>D20*Inputs!$B$37/12*(1+Inputs!$B$43)^INT((3-1)/12)</f>
        <v>0</v>
      </c>
      <c r="E58" s="19">
        <f>E20*Inputs!$B$37/12*(1+Inputs!$B$43)^INT((4-1)/12)</f>
        <v>0</v>
      </c>
      <c r="F58" s="19">
        <f>F20*Inputs!$B$37/12*(1+Inputs!$B$43)^INT((5-1)/12)</f>
        <v>0</v>
      </c>
      <c r="G58" s="19">
        <f>G20*Inputs!$B$37/12*(1+Inputs!$B$43)^INT((6-1)/12)</f>
        <v>0</v>
      </c>
      <c r="H58" s="19">
        <f>H20*Inputs!$B$37/12*(1+Inputs!$B$43)^INT((7-1)/12)</f>
        <v>0</v>
      </c>
      <c r="I58" s="19">
        <f>I20*Inputs!$B$37/12*(1+Inputs!$B$43)^INT((8-1)/12)</f>
        <v>0</v>
      </c>
      <c r="J58" s="19">
        <f>J20*Inputs!$B$37/12*(1+Inputs!$B$43)^INT((9-1)/12)</f>
        <v>0</v>
      </c>
      <c r="K58" s="19">
        <f>K20*Inputs!$B$37/12*(1+Inputs!$B$43)^INT((10-1)/12)</f>
        <v>0</v>
      </c>
      <c r="L58" s="19">
        <f>L20*Inputs!$B$37/12*(1+Inputs!$B$43)^INT((11-1)/12)</f>
        <v>0</v>
      </c>
      <c r="M58" s="19">
        <f>M20*Inputs!$B$37/12*(1+Inputs!$B$43)^INT((12-1)/12)</f>
        <v>0</v>
      </c>
      <c r="N58" s="19">
        <f>N20*Inputs!$B$37/12*(1+Inputs!$B$43)^INT((13-1)/12)</f>
        <v>0</v>
      </c>
      <c r="O58" s="19">
        <f>O20*Inputs!$B$37/12*(1+Inputs!$B$43)^INT((14-1)/12)</f>
        <v>0</v>
      </c>
      <c r="P58" s="19">
        <f>P20*Inputs!$B$37/12*(1+Inputs!$B$43)^INT((15-1)/12)</f>
        <v>0</v>
      </c>
      <c r="Q58" s="19">
        <f>Q20*Inputs!$B$37/12*(1+Inputs!$B$43)^INT((16-1)/12)</f>
        <v>0</v>
      </c>
      <c r="R58" s="19">
        <f>R20*Inputs!$B$37/12*(1+Inputs!$B$43)^INT((17-1)/12)</f>
        <v>0</v>
      </c>
      <c r="S58" s="19">
        <f>S20*Inputs!$B$37/12*(1+Inputs!$B$43)^INT((18-1)/12)</f>
        <v>0</v>
      </c>
      <c r="T58" s="19">
        <f>T20*Inputs!$B$37/12*(1+Inputs!$B$43)^INT((19-1)/12)</f>
        <v>0</v>
      </c>
      <c r="U58" s="19">
        <f>U20*Inputs!$B$37/12*(1+Inputs!$B$43)^INT((20-1)/12)</f>
        <v>0</v>
      </c>
      <c r="V58" s="19">
        <f>V20*Inputs!$B$37/12*(1+Inputs!$B$43)^INT((21-1)/12)</f>
        <v>0</v>
      </c>
      <c r="W58" s="19">
        <f>W20*Inputs!$B$37/12*(1+Inputs!$B$43)^INT((22-1)/12)</f>
        <v>9625</v>
      </c>
      <c r="X58" s="19">
        <f>X20*Inputs!$B$37/12*(1+Inputs!$B$43)^INT((23-1)/12)</f>
        <v>9625</v>
      </c>
      <c r="Y58" s="19">
        <f>Y20*Inputs!$B$37/12*(1+Inputs!$B$43)^INT((24-1)/12)</f>
        <v>9625</v>
      </c>
      <c r="Z58" s="19">
        <f>Z20*Inputs!$B$37/12*(1+Inputs!$B$43)^INT((25-1)/12)</f>
        <v>10106.25</v>
      </c>
      <c r="AA58" s="19">
        <f>AA20*Inputs!$B$37/12*(1+Inputs!$B$43)^INT((26-1)/12)</f>
        <v>10106.25</v>
      </c>
      <c r="AB58" s="19">
        <f>AB20*Inputs!$B$37/12*(1+Inputs!$B$43)^INT((27-1)/12)</f>
        <v>10106.25</v>
      </c>
      <c r="AC58" s="19">
        <f>AC20*Inputs!$B$37/12*(1+Inputs!$B$43)^INT((28-1)/12)</f>
        <v>10106.25</v>
      </c>
      <c r="AD58" s="19">
        <f>AD20*Inputs!$B$37/12*(1+Inputs!$B$43)^INT((29-1)/12)</f>
        <v>10106.25</v>
      </c>
      <c r="AE58" s="19">
        <f>AE20*Inputs!$B$37/12*(1+Inputs!$B$43)^INT((30-1)/12)</f>
        <v>10106.25</v>
      </c>
      <c r="AF58" s="19">
        <f>AF20*Inputs!$B$37/12*(1+Inputs!$B$43)^INT((31-1)/12)</f>
        <v>10106.25</v>
      </c>
      <c r="AG58" s="19">
        <f>AG20*Inputs!$B$37/12*(1+Inputs!$B$43)^INT((32-1)/12)</f>
        <v>10106.25</v>
      </c>
      <c r="AH58" s="19">
        <f>AH20*Inputs!$B$37/12*(1+Inputs!$B$43)^INT((33-1)/12)</f>
        <v>10106.25</v>
      </c>
      <c r="AI58" s="19">
        <f>AI20*Inputs!$B$37/12*(1+Inputs!$B$43)^INT((34-1)/12)</f>
        <v>10106.25</v>
      </c>
      <c r="AJ58" s="19">
        <f>AJ20*Inputs!$B$37/12*(1+Inputs!$B$43)^INT((35-1)/12)</f>
        <v>10106.25</v>
      </c>
      <c r="AK58" s="19">
        <f>AK20*Inputs!$B$37/12*(1+Inputs!$B$43)^INT((36-1)/12)</f>
        <v>10106.25</v>
      </c>
      <c r="AL58" s="19">
        <f>AL20*Inputs!$B$37/12*(1+Inputs!$B$43)^INT((37-1)/12)</f>
        <v>10611.5625</v>
      </c>
      <c r="AM58" s="19">
        <f>AM20*Inputs!$B$37/12*(1+Inputs!$B$43)^INT((38-1)/12)</f>
        <v>10611.5625</v>
      </c>
      <c r="AN58" s="19">
        <f>AN20*Inputs!$B$37/12*(1+Inputs!$B$43)^INT((39-1)/12)</f>
        <v>10611.5625</v>
      </c>
      <c r="AO58" s="19">
        <f>AO20*Inputs!$B$37/12*(1+Inputs!$B$43)^INT((40-1)/12)</f>
        <v>10611.5625</v>
      </c>
      <c r="AP58" s="19">
        <f>AP20*Inputs!$B$37/12*(1+Inputs!$B$43)^INT((41-1)/12)</f>
        <v>10611.5625</v>
      </c>
      <c r="AQ58" s="19">
        <f>AQ20*Inputs!$B$37/12*(1+Inputs!$B$43)^INT((42-1)/12)</f>
        <v>10611.5625</v>
      </c>
      <c r="AR58" s="19">
        <f>AR20*Inputs!$B$37/12*(1+Inputs!$B$43)^INT((43-1)/12)</f>
        <v>10611.5625</v>
      </c>
      <c r="AS58" s="19">
        <f>AS20*Inputs!$B$37/12*(1+Inputs!$B$43)^INT((44-1)/12)</f>
        <v>10611.5625</v>
      </c>
      <c r="AT58" s="19">
        <f>AT20*Inputs!$B$37/12*(1+Inputs!$B$43)^INT((45-1)/12)</f>
        <v>10611.5625</v>
      </c>
      <c r="AU58" s="19">
        <f>AU20*Inputs!$B$37/12*(1+Inputs!$B$43)^INT((46-1)/12)</f>
        <v>10611.5625</v>
      </c>
      <c r="AV58" s="19">
        <f>AV20*Inputs!$B$37/12*(1+Inputs!$B$43)^INT((47-1)/12)</f>
        <v>10611.5625</v>
      </c>
      <c r="AW58" s="19">
        <f>AW20*Inputs!$B$37/12*(1+Inputs!$B$43)^INT((48-1)/12)</f>
        <v>10611.5625</v>
      </c>
      <c r="AX58" s="19">
        <f>AX20*Inputs!$B$37/12*(1+Inputs!$B$43)^INT((49-1)/12)</f>
        <v>11142.140625</v>
      </c>
      <c r="AY58" s="19">
        <f>AY20*Inputs!$B$37/12*(1+Inputs!$B$43)^INT((50-1)/12)</f>
        <v>11142.140625</v>
      </c>
      <c r="AZ58" s="19">
        <f>AZ20*Inputs!$B$37/12*(1+Inputs!$B$43)^INT((51-1)/12)</f>
        <v>11142.140625</v>
      </c>
      <c r="BA58" s="19">
        <f>BA20*Inputs!$B$37/12*(1+Inputs!$B$43)^INT((52-1)/12)</f>
        <v>11142.140625</v>
      </c>
    </row>
    <row r="59" spans="1:53" x14ac:dyDescent="0.35">
      <c r="A59" s="3" t="s">
        <v>364</v>
      </c>
      <c r="B59" s="19">
        <f>B21*Inputs!$B$39/12*(1+Inputs!$B$43)^INT((1-1)/12)</f>
        <v>0</v>
      </c>
      <c r="C59" s="19">
        <f>C21*Inputs!$B$39/12*(1+Inputs!$B$43)^INT((2-1)/12)</f>
        <v>0</v>
      </c>
      <c r="D59" s="19">
        <f>D21*Inputs!$B$39/12*(1+Inputs!$B$43)^INT((3-1)/12)</f>
        <v>0</v>
      </c>
      <c r="E59" s="19">
        <f>E21*Inputs!$B$39/12*(1+Inputs!$B$43)^INT((4-1)/12)</f>
        <v>0</v>
      </c>
      <c r="F59" s="19">
        <f>F21*Inputs!$B$39/12*(1+Inputs!$B$43)^INT((5-1)/12)</f>
        <v>0</v>
      </c>
      <c r="G59" s="19">
        <f>G21*Inputs!$B$39/12*(1+Inputs!$B$43)^INT((6-1)/12)</f>
        <v>0</v>
      </c>
      <c r="H59" s="19">
        <f>H21*Inputs!$B$39/12*(1+Inputs!$B$43)^INT((7-1)/12)</f>
        <v>0</v>
      </c>
      <c r="I59" s="19">
        <f>I21*Inputs!$B$39/12*(1+Inputs!$B$43)^INT((8-1)/12)</f>
        <v>0</v>
      </c>
      <c r="J59" s="19">
        <f>J21*Inputs!$B$39/12*(1+Inputs!$B$43)^INT((9-1)/12)</f>
        <v>0</v>
      </c>
      <c r="K59" s="19">
        <f>K21*Inputs!$B$39/12*(1+Inputs!$B$43)^INT((10-1)/12)</f>
        <v>0</v>
      </c>
      <c r="L59" s="19">
        <f>L21*Inputs!$B$39/12*(1+Inputs!$B$43)^INT((11-1)/12)</f>
        <v>0</v>
      </c>
      <c r="M59" s="19">
        <f>M21*Inputs!$B$39/12*(1+Inputs!$B$43)^INT((12-1)/12)</f>
        <v>0</v>
      </c>
      <c r="N59" s="19">
        <f>N21*Inputs!$B$39/12*(1+Inputs!$B$43)^INT((13-1)/12)</f>
        <v>0</v>
      </c>
      <c r="O59" s="19">
        <f>O21*Inputs!$B$39/12*(1+Inputs!$B$43)^INT((14-1)/12)</f>
        <v>0</v>
      </c>
      <c r="P59" s="19">
        <f>P21*Inputs!$B$39/12*(1+Inputs!$B$43)^INT((15-1)/12)</f>
        <v>0</v>
      </c>
      <c r="Q59" s="19">
        <f>Q21*Inputs!$B$39/12*(1+Inputs!$B$43)^INT((16-1)/12)</f>
        <v>0</v>
      </c>
      <c r="R59" s="19">
        <f>R21*Inputs!$B$39/12*(1+Inputs!$B$43)^INT((17-1)/12)</f>
        <v>0</v>
      </c>
      <c r="S59" s="19">
        <f>S21*Inputs!$B$39/12*(1+Inputs!$B$43)^INT((18-1)/12)</f>
        <v>0</v>
      </c>
      <c r="T59" s="19">
        <f>T21*Inputs!$B$39/12*(1+Inputs!$B$43)^INT((19-1)/12)</f>
        <v>0</v>
      </c>
      <c r="U59" s="19">
        <f>U21*Inputs!$B$39/12*(1+Inputs!$B$43)^INT((20-1)/12)</f>
        <v>0</v>
      </c>
      <c r="V59" s="19">
        <f>V21*Inputs!$B$39/12*(1+Inputs!$B$43)^INT((21-1)/12)</f>
        <v>0</v>
      </c>
      <c r="W59" s="19">
        <f>W21*Inputs!$B$39/12*(1+Inputs!$B$43)^INT((22-1)/12)</f>
        <v>0</v>
      </c>
      <c r="X59" s="19">
        <f>X21*Inputs!$B$39/12*(1+Inputs!$B$43)^INT((23-1)/12)</f>
        <v>0</v>
      </c>
      <c r="Y59" s="19">
        <f>Y21*Inputs!$B$39/12*(1+Inputs!$B$43)^INT((24-1)/12)</f>
        <v>0</v>
      </c>
      <c r="Z59" s="19">
        <f>Z21*Inputs!$B$39/12*(1+Inputs!$B$43)^INT((25-1)/12)</f>
        <v>0</v>
      </c>
      <c r="AA59" s="19">
        <f>AA21*Inputs!$B$39/12*(1+Inputs!$B$43)^INT((26-1)/12)</f>
        <v>11943.750000000002</v>
      </c>
      <c r="AB59" s="19">
        <f>AB21*Inputs!$B$39/12*(1+Inputs!$B$43)^INT((27-1)/12)</f>
        <v>11943.750000000002</v>
      </c>
      <c r="AC59" s="19">
        <f>AC21*Inputs!$B$39/12*(1+Inputs!$B$43)^INT((28-1)/12)</f>
        <v>11943.750000000002</v>
      </c>
      <c r="AD59" s="19">
        <f>AD21*Inputs!$B$39/12*(1+Inputs!$B$43)^INT((29-1)/12)</f>
        <v>11943.750000000002</v>
      </c>
      <c r="AE59" s="19">
        <f>AE21*Inputs!$B$39/12*(1+Inputs!$B$43)^INT((30-1)/12)</f>
        <v>11943.750000000002</v>
      </c>
      <c r="AF59" s="19">
        <f>AF21*Inputs!$B$39/12*(1+Inputs!$B$43)^INT((31-1)/12)</f>
        <v>11943.750000000002</v>
      </c>
      <c r="AG59" s="19">
        <f>AG21*Inputs!$B$39/12*(1+Inputs!$B$43)^INT((32-1)/12)</f>
        <v>11943.750000000002</v>
      </c>
      <c r="AH59" s="19">
        <f>AH21*Inputs!$B$39/12*(1+Inputs!$B$43)^INT((33-1)/12)</f>
        <v>11943.750000000002</v>
      </c>
      <c r="AI59" s="19">
        <f>AI21*Inputs!$B$39/12*(1+Inputs!$B$43)^INT((34-1)/12)</f>
        <v>11943.750000000002</v>
      </c>
      <c r="AJ59" s="19">
        <f>AJ21*Inputs!$B$39/12*(1+Inputs!$B$43)^INT((35-1)/12)</f>
        <v>11943.750000000002</v>
      </c>
      <c r="AK59" s="19">
        <f>AK21*Inputs!$B$39/12*(1+Inputs!$B$43)^INT((36-1)/12)</f>
        <v>11943.750000000002</v>
      </c>
      <c r="AL59" s="19">
        <f>AL21*Inputs!$B$39/12*(1+Inputs!$B$43)^INT((37-1)/12)</f>
        <v>12540.937500000002</v>
      </c>
      <c r="AM59" s="19">
        <f>AM21*Inputs!$B$39/12*(1+Inputs!$B$43)^INT((38-1)/12)</f>
        <v>12540.937500000002</v>
      </c>
      <c r="AN59" s="19">
        <f>AN21*Inputs!$B$39/12*(1+Inputs!$B$43)^INT((39-1)/12)</f>
        <v>12540.937500000002</v>
      </c>
      <c r="AO59" s="19">
        <f>AO21*Inputs!$B$39/12*(1+Inputs!$B$43)^INT((40-1)/12)</f>
        <v>12540.937500000002</v>
      </c>
      <c r="AP59" s="19">
        <f>AP21*Inputs!$B$39/12*(1+Inputs!$B$43)^INT((41-1)/12)</f>
        <v>12540.937500000002</v>
      </c>
      <c r="AQ59" s="19">
        <f>AQ21*Inputs!$B$39/12*(1+Inputs!$B$43)^INT((42-1)/12)</f>
        <v>12540.937500000002</v>
      </c>
      <c r="AR59" s="19">
        <f>AR21*Inputs!$B$39/12*(1+Inputs!$B$43)^INT((43-1)/12)</f>
        <v>12540.937500000002</v>
      </c>
      <c r="AS59" s="19">
        <f>AS21*Inputs!$B$39/12*(1+Inputs!$B$43)^INT((44-1)/12)</f>
        <v>12540.937500000002</v>
      </c>
      <c r="AT59" s="19">
        <f>AT21*Inputs!$B$39/12*(1+Inputs!$B$43)^INT((45-1)/12)</f>
        <v>12540.937500000002</v>
      </c>
      <c r="AU59" s="19">
        <f>AU21*Inputs!$B$39/12*(1+Inputs!$B$43)^INT((46-1)/12)</f>
        <v>12540.937500000002</v>
      </c>
      <c r="AV59" s="19">
        <f>AV21*Inputs!$B$39/12*(1+Inputs!$B$43)^INT((47-1)/12)</f>
        <v>12540.937500000002</v>
      </c>
      <c r="AW59" s="19">
        <f>AW21*Inputs!$B$39/12*(1+Inputs!$B$43)^INT((48-1)/12)</f>
        <v>12540.937500000002</v>
      </c>
      <c r="AX59" s="19">
        <f>AX21*Inputs!$B$39/12*(1+Inputs!$B$43)^INT((49-1)/12)</f>
        <v>13167.984375</v>
      </c>
      <c r="AY59" s="19">
        <f>AY21*Inputs!$B$39/12*(1+Inputs!$B$43)^INT((50-1)/12)</f>
        <v>13167.984375</v>
      </c>
      <c r="AZ59" s="19">
        <f>AZ21*Inputs!$B$39/12*(1+Inputs!$B$43)^INT((51-1)/12)</f>
        <v>13167.984375</v>
      </c>
      <c r="BA59" s="19">
        <f>BA21*Inputs!$B$39/12*(1+Inputs!$B$43)^INT((52-1)/12)</f>
        <v>13167.984375</v>
      </c>
    </row>
    <row r="60" spans="1:53" x14ac:dyDescent="0.35">
      <c r="A60" s="3" t="s">
        <v>365</v>
      </c>
      <c r="B60" s="19">
        <f>B22*Inputs!$B$41/12*(1+Inputs!$B$43)^INT((1-1)/12)</f>
        <v>0</v>
      </c>
      <c r="C60" s="19">
        <f>C22*Inputs!$B$41/12*(1+Inputs!$B$43)^INT((2-1)/12)</f>
        <v>0</v>
      </c>
      <c r="D60" s="19">
        <f>D22*Inputs!$B$41/12*(1+Inputs!$B$43)^INT((3-1)/12)</f>
        <v>0</v>
      </c>
      <c r="E60" s="19">
        <f>E22*Inputs!$B$41/12*(1+Inputs!$B$43)^INT((4-1)/12)</f>
        <v>0</v>
      </c>
      <c r="F60" s="19">
        <f>F22*Inputs!$B$41/12*(1+Inputs!$B$43)^INT((5-1)/12)</f>
        <v>0</v>
      </c>
      <c r="G60" s="19">
        <f>G22*Inputs!$B$41/12*(1+Inputs!$B$43)^INT((6-1)/12)</f>
        <v>0</v>
      </c>
      <c r="H60" s="19">
        <f>H22*Inputs!$B$41/12*(1+Inputs!$B$43)^INT((7-1)/12)</f>
        <v>0</v>
      </c>
      <c r="I60" s="19">
        <f>I22*Inputs!$B$41/12*(1+Inputs!$B$43)^INT((8-1)/12)</f>
        <v>0</v>
      </c>
      <c r="J60" s="19">
        <f>J22*Inputs!$B$41/12*(1+Inputs!$B$43)^INT((9-1)/12)</f>
        <v>0</v>
      </c>
      <c r="K60" s="19">
        <f>K22*Inputs!$B$41/12*(1+Inputs!$B$43)^INT((10-1)/12)</f>
        <v>0</v>
      </c>
      <c r="L60" s="19">
        <f>L22*Inputs!$B$41/12*(1+Inputs!$B$43)^INT((11-1)/12)</f>
        <v>0</v>
      </c>
      <c r="M60" s="19">
        <f>M22*Inputs!$B$41/12*(1+Inputs!$B$43)^INT((12-1)/12)</f>
        <v>0</v>
      </c>
      <c r="N60" s="19">
        <f>N22*Inputs!$B$41/12*(1+Inputs!$B$43)^INT((13-1)/12)</f>
        <v>0</v>
      </c>
      <c r="O60" s="19">
        <f>O22*Inputs!$B$41/12*(1+Inputs!$B$43)^INT((14-1)/12)</f>
        <v>0</v>
      </c>
      <c r="P60" s="19">
        <f>P22*Inputs!$B$41/12*(1+Inputs!$B$43)^INT((15-1)/12)</f>
        <v>0</v>
      </c>
      <c r="Q60" s="19">
        <f>Q22*Inputs!$B$41/12*(1+Inputs!$B$43)^INT((16-1)/12)</f>
        <v>0</v>
      </c>
      <c r="R60" s="19">
        <f>R22*Inputs!$B$41/12*(1+Inputs!$B$43)^INT((17-1)/12)</f>
        <v>0</v>
      </c>
      <c r="S60" s="19">
        <f>S22*Inputs!$B$41/12*(1+Inputs!$B$43)^INT((18-1)/12)</f>
        <v>0</v>
      </c>
      <c r="T60" s="19">
        <f>T22*Inputs!$B$41/12*(1+Inputs!$B$43)^INT((19-1)/12)</f>
        <v>0</v>
      </c>
      <c r="U60" s="19">
        <f>U22*Inputs!$B$41/12*(1+Inputs!$B$43)^INT((20-1)/12)</f>
        <v>0</v>
      </c>
      <c r="V60" s="19">
        <f>V22*Inputs!$B$41/12*(1+Inputs!$B$43)^INT((21-1)/12)</f>
        <v>0</v>
      </c>
      <c r="W60" s="19">
        <f>W22*Inputs!$B$41/12*(1+Inputs!$B$43)^INT((22-1)/12)</f>
        <v>0</v>
      </c>
      <c r="X60" s="19">
        <f>X22*Inputs!$B$41/12*(1+Inputs!$B$43)^INT((23-1)/12)</f>
        <v>0</v>
      </c>
      <c r="Y60" s="19">
        <f>Y22*Inputs!$B$41/12*(1+Inputs!$B$43)^INT((24-1)/12)</f>
        <v>5687.5000000000009</v>
      </c>
      <c r="Z60" s="19">
        <f>Z22*Inputs!$B$41/12*(1+Inputs!$B$43)^INT((25-1)/12)</f>
        <v>5971.8750000000009</v>
      </c>
      <c r="AA60" s="19">
        <f>AA22*Inputs!$B$41/12*(1+Inputs!$B$43)^INT((26-1)/12)</f>
        <v>5971.8750000000009</v>
      </c>
      <c r="AB60" s="19">
        <f>AB22*Inputs!$B$41/12*(1+Inputs!$B$43)^INT((27-1)/12)</f>
        <v>5971.8750000000009</v>
      </c>
      <c r="AC60" s="19">
        <f>AC22*Inputs!$B$41/12*(1+Inputs!$B$43)^INT((28-1)/12)</f>
        <v>5971.8750000000009</v>
      </c>
      <c r="AD60" s="19">
        <f>AD22*Inputs!$B$41/12*(1+Inputs!$B$43)^INT((29-1)/12)</f>
        <v>5971.8750000000009</v>
      </c>
      <c r="AE60" s="19">
        <f>AE22*Inputs!$B$41/12*(1+Inputs!$B$43)^INT((30-1)/12)</f>
        <v>5971.8750000000009</v>
      </c>
      <c r="AF60" s="19">
        <f>AF22*Inputs!$B$41/12*(1+Inputs!$B$43)^INT((31-1)/12)</f>
        <v>5971.8750000000009</v>
      </c>
      <c r="AG60" s="19">
        <f>AG22*Inputs!$B$41/12*(1+Inputs!$B$43)^INT((32-1)/12)</f>
        <v>5971.8750000000009</v>
      </c>
      <c r="AH60" s="19">
        <f>AH22*Inputs!$B$41/12*(1+Inputs!$B$43)^INT((33-1)/12)</f>
        <v>5971.8750000000009</v>
      </c>
      <c r="AI60" s="19">
        <f>AI22*Inputs!$B$41/12*(1+Inputs!$B$43)^INT((34-1)/12)</f>
        <v>5971.8750000000009</v>
      </c>
      <c r="AJ60" s="19">
        <f>AJ22*Inputs!$B$41/12*(1+Inputs!$B$43)^INT((35-1)/12)</f>
        <v>5971.8750000000009</v>
      </c>
      <c r="AK60" s="19">
        <f>AK22*Inputs!$B$41/12*(1+Inputs!$B$43)^INT((36-1)/12)</f>
        <v>5971.8750000000009</v>
      </c>
      <c r="AL60" s="19">
        <f>AL22*Inputs!$B$41/12*(1+Inputs!$B$43)^INT((37-1)/12)</f>
        <v>6270.4687500000009</v>
      </c>
      <c r="AM60" s="19">
        <f>AM22*Inputs!$B$41/12*(1+Inputs!$B$43)^INT((38-1)/12)</f>
        <v>6270.4687500000009</v>
      </c>
      <c r="AN60" s="19">
        <f>AN22*Inputs!$B$41/12*(1+Inputs!$B$43)^INT((39-1)/12)</f>
        <v>6270.4687500000009</v>
      </c>
      <c r="AO60" s="19">
        <f>AO22*Inputs!$B$41/12*(1+Inputs!$B$43)^INT((40-1)/12)</f>
        <v>6270.4687500000009</v>
      </c>
      <c r="AP60" s="19">
        <f>AP22*Inputs!$B$41/12*(1+Inputs!$B$43)^INT((41-1)/12)</f>
        <v>6270.4687500000009</v>
      </c>
      <c r="AQ60" s="19">
        <f>AQ22*Inputs!$B$41/12*(1+Inputs!$B$43)^INT((42-1)/12)</f>
        <v>6270.4687500000009</v>
      </c>
      <c r="AR60" s="19">
        <f>AR22*Inputs!$B$41/12*(1+Inputs!$B$43)^INT((43-1)/12)</f>
        <v>6270.4687500000009</v>
      </c>
      <c r="AS60" s="19">
        <f>AS22*Inputs!$B$41/12*(1+Inputs!$B$43)^INT((44-1)/12)</f>
        <v>6270.4687500000009</v>
      </c>
      <c r="AT60" s="19">
        <f>AT22*Inputs!$B$41/12*(1+Inputs!$B$43)^INT((45-1)/12)</f>
        <v>6270.4687500000009</v>
      </c>
      <c r="AU60" s="19">
        <f>AU22*Inputs!$B$41/12*(1+Inputs!$B$43)^INT((46-1)/12)</f>
        <v>6270.4687500000009</v>
      </c>
      <c r="AV60" s="19">
        <f>AV22*Inputs!$B$41/12*(1+Inputs!$B$43)^INT((47-1)/12)</f>
        <v>6270.4687500000009</v>
      </c>
      <c r="AW60" s="19">
        <f>AW22*Inputs!$B$41/12*(1+Inputs!$B$43)^INT((48-1)/12)</f>
        <v>6270.4687500000009</v>
      </c>
      <c r="AX60" s="19">
        <f>AX22*Inputs!$B$41/12*(1+Inputs!$B$43)^INT((49-1)/12)</f>
        <v>6583.9921875</v>
      </c>
      <c r="AY60" s="19">
        <f>AY22*Inputs!$B$41/12*(1+Inputs!$B$43)^INT((50-1)/12)</f>
        <v>6583.9921875</v>
      </c>
      <c r="AZ60" s="19">
        <f>AZ22*Inputs!$B$41/12*(1+Inputs!$B$43)^INT((51-1)/12)</f>
        <v>6583.9921875</v>
      </c>
      <c r="BA60" s="19">
        <f>BA22*Inputs!$B$41/12*(1+Inputs!$B$43)^INT((52-1)/12)</f>
        <v>6583.9921875</v>
      </c>
    </row>
    <row r="61" spans="1:53" x14ac:dyDescent="0.35">
      <c r="A61" s="3" t="s">
        <v>366</v>
      </c>
      <c r="B61" s="19">
        <f>B23*Inputs!$B$40/12*(1+Inputs!$B$43)^INT((1-1)/12)</f>
        <v>0</v>
      </c>
      <c r="C61" s="19">
        <f>C23*Inputs!$B$40/12*(1+Inputs!$B$43)^INT((2-1)/12)</f>
        <v>0</v>
      </c>
      <c r="D61" s="19">
        <f>D23*Inputs!$B$40/12*(1+Inputs!$B$43)^INT((3-1)/12)</f>
        <v>0</v>
      </c>
      <c r="E61" s="19">
        <f>E23*Inputs!$B$40/12*(1+Inputs!$B$43)^INT((4-1)/12)</f>
        <v>0</v>
      </c>
      <c r="F61" s="19">
        <f>F23*Inputs!$B$40/12*(1+Inputs!$B$43)^INT((5-1)/12)</f>
        <v>0</v>
      </c>
      <c r="G61" s="19">
        <f>G23*Inputs!$B$40/12*(1+Inputs!$B$43)^INT((6-1)/12)</f>
        <v>0</v>
      </c>
      <c r="H61" s="19">
        <f>H23*Inputs!$B$40/12*(1+Inputs!$B$43)^INT((7-1)/12)</f>
        <v>0</v>
      </c>
      <c r="I61" s="19">
        <f>I23*Inputs!$B$40/12*(1+Inputs!$B$43)^INT((8-1)/12)</f>
        <v>0</v>
      </c>
      <c r="J61" s="19">
        <f>J23*Inputs!$B$40/12*(1+Inputs!$B$43)^INT((9-1)/12)</f>
        <v>0</v>
      </c>
      <c r="K61" s="19">
        <f>K23*Inputs!$B$40/12*(1+Inputs!$B$43)^INT((10-1)/12)</f>
        <v>0</v>
      </c>
      <c r="L61" s="19">
        <f>L23*Inputs!$B$40/12*(1+Inputs!$B$43)^INT((11-1)/12)</f>
        <v>0</v>
      </c>
      <c r="M61" s="19">
        <f>M23*Inputs!$B$40/12*(1+Inputs!$B$43)^INT((12-1)/12)</f>
        <v>0</v>
      </c>
      <c r="N61" s="19">
        <f>N23*Inputs!$B$40/12*(1+Inputs!$B$43)^INT((13-1)/12)</f>
        <v>0</v>
      </c>
      <c r="O61" s="19">
        <f>O23*Inputs!$B$40/12*(1+Inputs!$B$43)^INT((14-1)/12)</f>
        <v>0</v>
      </c>
      <c r="P61" s="19">
        <f>P23*Inputs!$B$40/12*(1+Inputs!$B$43)^INT((15-1)/12)</f>
        <v>0</v>
      </c>
      <c r="Q61" s="19">
        <f>Q23*Inputs!$B$40/12*(1+Inputs!$B$43)^INT((16-1)/12)</f>
        <v>0</v>
      </c>
      <c r="R61" s="19">
        <f>R23*Inputs!$B$40/12*(1+Inputs!$B$43)^INT((17-1)/12)</f>
        <v>0</v>
      </c>
      <c r="S61" s="19">
        <f>S23*Inputs!$B$40/12*(1+Inputs!$B$43)^INT((18-1)/12)</f>
        <v>0</v>
      </c>
      <c r="T61" s="19">
        <f>T23*Inputs!$B$40/12*(1+Inputs!$B$43)^INT((19-1)/12)</f>
        <v>0</v>
      </c>
      <c r="U61" s="19">
        <f>U23*Inputs!$B$40/12*(1+Inputs!$B$43)^INT((20-1)/12)</f>
        <v>0</v>
      </c>
      <c r="V61" s="19">
        <f>V23*Inputs!$B$40/12*(1+Inputs!$B$43)^INT((21-1)/12)</f>
        <v>0</v>
      </c>
      <c r="W61" s="19">
        <f>W23*Inputs!$B$40/12*(1+Inputs!$B$43)^INT((22-1)/12)</f>
        <v>0</v>
      </c>
      <c r="X61" s="19">
        <f>X23*Inputs!$B$40/12*(1+Inputs!$B$43)^INT((23-1)/12)</f>
        <v>0</v>
      </c>
      <c r="Y61" s="19">
        <f>Y23*Inputs!$B$40/12*(1+Inputs!$B$43)^INT((24-1)/12)</f>
        <v>0</v>
      </c>
      <c r="Z61" s="19">
        <f>Z23*Inputs!$B$40/12*(1+Inputs!$B$43)^INT((25-1)/12)</f>
        <v>0</v>
      </c>
      <c r="AA61" s="19">
        <f>AA23*Inputs!$B$40/12*(1+Inputs!$B$43)^INT((26-1)/12)</f>
        <v>0</v>
      </c>
      <c r="AB61" s="19">
        <f>AB23*Inputs!$B$40/12*(1+Inputs!$B$43)^INT((27-1)/12)</f>
        <v>0</v>
      </c>
      <c r="AC61" s="19">
        <f>AC23*Inputs!$B$40/12*(1+Inputs!$B$43)^INT((28-1)/12)</f>
        <v>5971.8750000000009</v>
      </c>
      <c r="AD61" s="19">
        <f>AD23*Inputs!$B$40/12*(1+Inputs!$B$43)^INT((29-1)/12)</f>
        <v>5971.8750000000009</v>
      </c>
      <c r="AE61" s="19">
        <f>AE23*Inputs!$B$40/12*(1+Inputs!$B$43)^INT((30-1)/12)</f>
        <v>5971.8750000000009</v>
      </c>
      <c r="AF61" s="19">
        <f>AF23*Inputs!$B$40/12*(1+Inputs!$B$43)^INT((31-1)/12)</f>
        <v>5971.8750000000009</v>
      </c>
      <c r="AG61" s="19">
        <f>AG23*Inputs!$B$40/12*(1+Inputs!$B$43)^INT((32-1)/12)</f>
        <v>5971.8750000000009</v>
      </c>
      <c r="AH61" s="19">
        <f>AH23*Inputs!$B$40/12*(1+Inputs!$B$43)^INT((33-1)/12)</f>
        <v>5971.8750000000009</v>
      </c>
      <c r="AI61" s="19">
        <f>AI23*Inputs!$B$40/12*(1+Inputs!$B$43)^INT((34-1)/12)</f>
        <v>5971.8750000000009</v>
      </c>
      <c r="AJ61" s="19">
        <f>AJ23*Inputs!$B$40/12*(1+Inputs!$B$43)^INT((35-1)/12)</f>
        <v>5971.8750000000009</v>
      </c>
      <c r="AK61" s="19">
        <f>AK23*Inputs!$B$40/12*(1+Inputs!$B$43)^INT((36-1)/12)</f>
        <v>5971.8750000000009</v>
      </c>
      <c r="AL61" s="19">
        <f>AL23*Inputs!$B$40/12*(1+Inputs!$B$43)^INT((37-1)/12)</f>
        <v>6270.4687500000009</v>
      </c>
      <c r="AM61" s="19">
        <f>AM23*Inputs!$B$40/12*(1+Inputs!$B$43)^INT((38-1)/12)</f>
        <v>6270.4687500000009</v>
      </c>
      <c r="AN61" s="19">
        <f>AN23*Inputs!$B$40/12*(1+Inputs!$B$43)^INT((39-1)/12)</f>
        <v>6270.4687500000009</v>
      </c>
      <c r="AO61" s="19">
        <f>AO23*Inputs!$B$40/12*(1+Inputs!$B$43)^INT((40-1)/12)</f>
        <v>6270.4687500000009</v>
      </c>
      <c r="AP61" s="19">
        <f>AP23*Inputs!$B$40/12*(1+Inputs!$B$43)^INT((41-1)/12)</f>
        <v>6270.4687500000009</v>
      </c>
      <c r="AQ61" s="19">
        <f>AQ23*Inputs!$B$40/12*(1+Inputs!$B$43)^INT((42-1)/12)</f>
        <v>6270.4687500000009</v>
      </c>
      <c r="AR61" s="19">
        <f>AR23*Inputs!$B$40/12*(1+Inputs!$B$43)^INT((43-1)/12)</f>
        <v>6270.4687500000009</v>
      </c>
      <c r="AS61" s="19">
        <f>AS23*Inputs!$B$40/12*(1+Inputs!$B$43)^INT((44-1)/12)</f>
        <v>6270.4687500000009</v>
      </c>
      <c r="AT61" s="19">
        <f>AT23*Inputs!$B$40/12*(1+Inputs!$B$43)^INT((45-1)/12)</f>
        <v>6270.4687500000009</v>
      </c>
      <c r="AU61" s="19">
        <f>AU23*Inputs!$B$40/12*(1+Inputs!$B$43)^INT((46-1)/12)</f>
        <v>6270.4687500000009</v>
      </c>
      <c r="AV61" s="19">
        <f>AV23*Inputs!$B$40/12*(1+Inputs!$B$43)^INT((47-1)/12)</f>
        <v>6270.4687500000009</v>
      </c>
      <c r="AW61" s="19">
        <f>AW23*Inputs!$B$40/12*(1+Inputs!$B$43)^INT((48-1)/12)</f>
        <v>6270.4687500000009</v>
      </c>
      <c r="AX61" s="19">
        <f>AX23*Inputs!$B$40/12*(1+Inputs!$B$43)^INT((49-1)/12)</f>
        <v>6583.9921875</v>
      </c>
      <c r="AY61" s="19">
        <f>AY23*Inputs!$B$40/12*(1+Inputs!$B$43)^INT((50-1)/12)</f>
        <v>6583.9921875</v>
      </c>
      <c r="AZ61" s="19">
        <f>AZ23*Inputs!$B$40/12*(1+Inputs!$B$43)^INT((51-1)/12)</f>
        <v>6583.9921875</v>
      </c>
      <c r="BA61" s="19">
        <f>BA23*Inputs!$B$40/12*(1+Inputs!$B$43)^INT((52-1)/12)</f>
        <v>6583.9921875</v>
      </c>
    </row>
    <row r="62" spans="1:53" x14ac:dyDescent="0.35">
      <c r="A62" s="3" t="s">
        <v>367</v>
      </c>
      <c r="B62" s="19">
        <f>B24*Inputs!$B$35/12*(1+Inputs!$B$43)^INT((1-1)/12)</f>
        <v>0</v>
      </c>
      <c r="C62" s="19">
        <f>C24*Inputs!$B$35/12*(1+Inputs!$B$43)^INT((2-1)/12)</f>
        <v>0</v>
      </c>
      <c r="D62" s="19">
        <f>D24*Inputs!$B$35/12*(1+Inputs!$B$43)^INT((3-1)/12)</f>
        <v>0</v>
      </c>
      <c r="E62" s="19">
        <f>E24*Inputs!$B$35/12*(1+Inputs!$B$43)^INT((4-1)/12)</f>
        <v>0</v>
      </c>
      <c r="F62" s="19">
        <f>F24*Inputs!$B$35/12*(1+Inputs!$B$43)^INT((5-1)/12)</f>
        <v>0</v>
      </c>
      <c r="G62" s="19">
        <f>G24*Inputs!$B$35/12*(1+Inputs!$B$43)^INT((6-1)/12)</f>
        <v>0</v>
      </c>
      <c r="H62" s="19">
        <f>H24*Inputs!$B$35/12*(1+Inputs!$B$43)^INT((7-1)/12)</f>
        <v>0</v>
      </c>
      <c r="I62" s="19">
        <f>I24*Inputs!$B$35/12*(1+Inputs!$B$43)^INT((8-1)/12)</f>
        <v>0</v>
      </c>
      <c r="J62" s="19">
        <f>J24*Inputs!$B$35/12*(1+Inputs!$B$43)^INT((9-1)/12)</f>
        <v>0</v>
      </c>
      <c r="K62" s="19">
        <f>K24*Inputs!$B$35/12*(1+Inputs!$B$43)^INT((10-1)/12)</f>
        <v>0</v>
      </c>
      <c r="L62" s="19">
        <f>L24*Inputs!$B$35/12*(1+Inputs!$B$43)^INT((11-1)/12)</f>
        <v>0</v>
      </c>
      <c r="M62" s="19">
        <f>M24*Inputs!$B$35/12*(1+Inputs!$B$43)^INT((12-1)/12)</f>
        <v>0</v>
      </c>
      <c r="N62" s="19">
        <f>N24*Inputs!$B$35/12*(1+Inputs!$B$43)^INT((13-1)/12)</f>
        <v>0</v>
      </c>
      <c r="O62" s="19">
        <f>O24*Inputs!$B$35/12*(1+Inputs!$B$43)^INT((14-1)/12)</f>
        <v>0</v>
      </c>
      <c r="P62" s="19">
        <f>P24*Inputs!$B$35/12*(1+Inputs!$B$43)^INT((15-1)/12)</f>
        <v>0</v>
      </c>
      <c r="Q62" s="19">
        <f>Q24*Inputs!$B$35/12*(1+Inputs!$B$43)^INT((16-1)/12)</f>
        <v>0</v>
      </c>
      <c r="R62" s="19">
        <f>R24*Inputs!$B$35/12*(1+Inputs!$B$43)^INT((17-1)/12)</f>
        <v>0</v>
      </c>
      <c r="S62" s="19">
        <f>S24*Inputs!$B$35/12*(1+Inputs!$B$43)^INT((18-1)/12)</f>
        <v>0</v>
      </c>
      <c r="T62" s="19">
        <f>T24*Inputs!$B$35/12*(1+Inputs!$B$43)^INT((19-1)/12)</f>
        <v>0</v>
      </c>
      <c r="U62" s="19">
        <f>U24*Inputs!$B$35/12*(1+Inputs!$B$43)^INT((20-1)/12)</f>
        <v>0</v>
      </c>
      <c r="V62" s="19">
        <f>V24*Inputs!$B$35/12*(1+Inputs!$B$43)^INT((21-1)/12)</f>
        <v>0</v>
      </c>
      <c r="W62" s="19">
        <f>W24*Inputs!$B$35/12*(1+Inputs!$B$43)^INT((22-1)/12)</f>
        <v>0</v>
      </c>
      <c r="X62" s="19">
        <f>X24*Inputs!$B$35/12*(1+Inputs!$B$43)^INT((23-1)/12)</f>
        <v>0</v>
      </c>
      <c r="Y62" s="19">
        <f>Y24*Inputs!$B$35/12*(1+Inputs!$B$43)^INT((24-1)/12)</f>
        <v>0</v>
      </c>
      <c r="Z62" s="19">
        <f>Z24*Inputs!$B$35/12*(1+Inputs!$B$43)^INT((25-1)/12)</f>
        <v>0</v>
      </c>
      <c r="AA62" s="19">
        <f>AA24*Inputs!$B$35/12*(1+Inputs!$B$43)^INT((26-1)/12)</f>
        <v>0</v>
      </c>
      <c r="AB62" s="19">
        <f>AB24*Inputs!$B$35/12*(1+Inputs!$B$43)^INT((27-1)/12)</f>
        <v>0</v>
      </c>
      <c r="AC62" s="19">
        <f>AC24*Inputs!$B$35/12*(1+Inputs!$B$43)^INT((28-1)/12)</f>
        <v>0</v>
      </c>
      <c r="AD62" s="19">
        <f>AD24*Inputs!$B$35/12*(1+Inputs!$B$43)^INT((29-1)/12)</f>
        <v>0</v>
      </c>
      <c r="AE62" s="19">
        <f>AE24*Inputs!$B$35/12*(1+Inputs!$B$43)^INT((30-1)/12)</f>
        <v>8268.75</v>
      </c>
      <c r="AF62" s="19">
        <f>AF24*Inputs!$B$35/12*(1+Inputs!$B$43)^INT((31-1)/12)</f>
        <v>8268.75</v>
      </c>
      <c r="AG62" s="19">
        <f>AG24*Inputs!$B$35/12*(1+Inputs!$B$43)^INT((32-1)/12)</f>
        <v>8268.75</v>
      </c>
      <c r="AH62" s="19">
        <f>AH24*Inputs!$B$35/12*(1+Inputs!$B$43)^INT((33-1)/12)</f>
        <v>8268.75</v>
      </c>
      <c r="AI62" s="19">
        <f>AI24*Inputs!$B$35/12*(1+Inputs!$B$43)^INT((34-1)/12)</f>
        <v>8268.75</v>
      </c>
      <c r="AJ62" s="19">
        <f>AJ24*Inputs!$B$35/12*(1+Inputs!$B$43)^INT((35-1)/12)</f>
        <v>8268.75</v>
      </c>
      <c r="AK62" s="19">
        <f>AK24*Inputs!$B$35/12*(1+Inputs!$B$43)^INT((36-1)/12)</f>
        <v>8268.75</v>
      </c>
      <c r="AL62" s="19">
        <f>AL24*Inputs!$B$35/12*(1+Inputs!$B$43)^INT((37-1)/12)</f>
        <v>8682.1875000000018</v>
      </c>
      <c r="AM62" s="19">
        <f>AM24*Inputs!$B$35/12*(1+Inputs!$B$43)^INT((38-1)/12)</f>
        <v>8682.1875000000018</v>
      </c>
      <c r="AN62" s="19">
        <f>AN24*Inputs!$B$35/12*(1+Inputs!$B$43)^INT((39-1)/12)</f>
        <v>8682.1875000000018</v>
      </c>
      <c r="AO62" s="19">
        <f>AO24*Inputs!$B$35/12*(1+Inputs!$B$43)^INT((40-1)/12)</f>
        <v>8682.1875000000018</v>
      </c>
      <c r="AP62" s="19">
        <f>AP24*Inputs!$B$35/12*(1+Inputs!$B$43)^INT((41-1)/12)</f>
        <v>8682.1875000000018</v>
      </c>
      <c r="AQ62" s="19">
        <f>AQ24*Inputs!$B$35/12*(1+Inputs!$B$43)^INT((42-1)/12)</f>
        <v>8682.1875000000018</v>
      </c>
      <c r="AR62" s="19">
        <f>AR24*Inputs!$B$35/12*(1+Inputs!$B$43)^INT((43-1)/12)</f>
        <v>8682.1875000000018</v>
      </c>
      <c r="AS62" s="19">
        <f>AS24*Inputs!$B$35/12*(1+Inputs!$B$43)^INT((44-1)/12)</f>
        <v>8682.1875000000018</v>
      </c>
      <c r="AT62" s="19">
        <f>AT24*Inputs!$B$35/12*(1+Inputs!$B$43)^INT((45-1)/12)</f>
        <v>8682.1875000000018</v>
      </c>
      <c r="AU62" s="19">
        <f>AU24*Inputs!$B$35/12*(1+Inputs!$B$43)^INT((46-1)/12)</f>
        <v>8682.1875000000018</v>
      </c>
      <c r="AV62" s="19">
        <f>AV24*Inputs!$B$35/12*(1+Inputs!$B$43)^INT((47-1)/12)</f>
        <v>8682.1875000000018</v>
      </c>
      <c r="AW62" s="19">
        <f>AW24*Inputs!$B$35/12*(1+Inputs!$B$43)^INT((48-1)/12)</f>
        <v>8682.1875000000018</v>
      </c>
      <c r="AX62" s="19">
        <f>AX24*Inputs!$B$35/12*(1+Inputs!$B$43)^INT((49-1)/12)</f>
        <v>9116.296875</v>
      </c>
      <c r="AY62" s="19">
        <f>AY24*Inputs!$B$35/12*(1+Inputs!$B$43)^INT((50-1)/12)</f>
        <v>9116.296875</v>
      </c>
      <c r="AZ62" s="19">
        <f>AZ24*Inputs!$B$35/12*(1+Inputs!$B$43)^INT((51-1)/12)</f>
        <v>9116.296875</v>
      </c>
      <c r="BA62" s="19">
        <f>BA24*Inputs!$B$35/12*(1+Inputs!$B$43)^INT((52-1)/12)</f>
        <v>9116.296875</v>
      </c>
    </row>
    <row r="63" spans="1:53" x14ac:dyDescent="0.35">
      <c r="A63" s="3" t="s">
        <v>368</v>
      </c>
      <c r="B63" s="19">
        <f>B25*Inputs!$B$36/12*(1+Inputs!$B$43)^INT((1-1)/12)</f>
        <v>0</v>
      </c>
      <c r="C63" s="19">
        <f>C25*Inputs!$B$36/12*(1+Inputs!$B$43)^INT((2-1)/12)</f>
        <v>0</v>
      </c>
      <c r="D63" s="19">
        <f>D25*Inputs!$B$36/12*(1+Inputs!$B$43)^INT((3-1)/12)</f>
        <v>0</v>
      </c>
      <c r="E63" s="19">
        <f>E25*Inputs!$B$36/12*(1+Inputs!$B$43)^INT((4-1)/12)</f>
        <v>0</v>
      </c>
      <c r="F63" s="19">
        <f>F25*Inputs!$B$36/12*(1+Inputs!$B$43)^INT((5-1)/12)</f>
        <v>0</v>
      </c>
      <c r="G63" s="19">
        <f>G25*Inputs!$B$36/12*(1+Inputs!$B$43)^INT((6-1)/12)</f>
        <v>0</v>
      </c>
      <c r="H63" s="19">
        <f>H25*Inputs!$B$36/12*(1+Inputs!$B$43)^INT((7-1)/12)</f>
        <v>0</v>
      </c>
      <c r="I63" s="19">
        <f>I25*Inputs!$B$36/12*(1+Inputs!$B$43)^INT((8-1)/12)</f>
        <v>0</v>
      </c>
      <c r="J63" s="19">
        <f>J25*Inputs!$B$36/12*(1+Inputs!$B$43)^INT((9-1)/12)</f>
        <v>0</v>
      </c>
      <c r="K63" s="19">
        <f>K25*Inputs!$B$36/12*(1+Inputs!$B$43)^INT((10-1)/12)</f>
        <v>0</v>
      </c>
      <c r="L63" s="19">
        <f>L25*Inputs!$B$36/12*(1+Inputs!$B$43)^INT((11-1)/12)</f>
        <v>0</v>
      </c>
      <c r="M63" s="19">
        <f>M25*Inputs!$B$36/12*(1+Inputs!$B$43)^INT((12-1)/12)</f>
        <v>0</v>
      </c>
      <c r="N63" s="19">
        <f>N25*Inputs!$B$36/12*(1+Inputs!$B$43)^INT((13-1)/12)</f>
        <v>0</v>
      </c>
      <c r="O63" s="19">
        <f>O25*Inputs!$B$36/12*(1+Inputs!$B$43)^INT((14-1)/12)</f>
        <v>0</v>
      </c>
      <c r="P63" s="19">
        <f>P25*Inputs!$B$36/12*(1+Inputs!$B$43)^INT((15-1)/12)</f>
        <v>0</v>
      </c>
      <c r="Q63" s="19">
        <f>Q25*Inputs!$B$36/12*(1+Inputs!$B$43)^INT((16-1)/12)</f>
        <v>0</v>
      </c>
      <c r="R63" s="19">
        <f>R25*Inputs!$B$36/12*(1+Inputs!$B$43)^INT((17-1)/12)</f>
        <v>0</v>
      </c>
      <c r="S63" s="19">
        <f>S25*Inputs!$B$36/12*(1+Inputs!$B$43)^INT((18-1)/12)</f>
        <v>0</v>
      </c>
      <c r="T63" s="19">
        <f>T25*Inputs!$B$36/12*(1+Inputs!$B$43)^INT((19-1)/12)</f>
        <v>0</v>
      </c>
      <c r="U63" s="19">
        <f>U25*Inputs!$B$36/12*(1+Inputs!$B$43)^INT((20-1)/12)</f>
        <v>0</v>
      </c>
      <c r="V63" s="19">
        <f>V25*Inputs!$B$36/12*(1+Inputs!$B$43)^INT((21-1)/12)</f>
        <v>0</v>
      </c>
      <c r="W63" s="19">
        <f>W25*Inputs!$B$36/12*(1+Inputs!$B$43)^INT((22-1)/12)</f>
        <v>0</v>
      </c>
      <c r="X63" s="19">
        <f>X25*Inputs!$B$36/12*(1+Inputs!$B$43)^INT((23-1)/12)</f>
        <v>0</v>
      </c>
      <c r="Y63" s="19">
        <f>Y25*Inputs!$B$36/12*(1+Inputs!$B$43)^INT((24-1)/12)</f>
        <v>0</v>
      </c>
      <c r="Z63" s="19">
        <f>Z25*Inputs!$B$36/12*(1+Inputs!$B$43)^INT((25-1)/12)</f>
        <v>0</v>
      </c>
      <c r="AA63" s="19">
        <f>AA25*Inputs!$B$36/12*(1+Inputs!$B$43)^INT((26-1)/12)</f>
        <v>0</v>
      </c>
      <c r="AB63" s="19">
        <f>AB25*Inputs!$B$36/12*(1+Inputs!$B$43)^INT((27-1)/12)</f>
        <v>0</v>
      </c>
      <c r="AC63" s="19">
        <f>AC25*Inputs!$B$36/12*(1+Inputs!$B$43)^INT((28-1)/12)</f>
        <v>0</v>
      </c>
      <c r="AD63" s="19">
        <f>AD25*Inputs!$B$36/12*(1+Inputs!$B$43)^INT((29-1)/12)</f>
        <v>0</v>
      </c>
      <c r="AE63" s="19">
        <f>AE25*Inputs!$B$36/12*(1+Inputs!$B$43)^INT((30-1)/12)</f>
        <v>0</v>
      </c>
      <c r="AF63" s="19">
        <f>AF25*Inputs!$B$36/12*(1+Inputs!$B$43)^INT((31-1)/12)</f>
        <v>0</v>
      </c>
      <c r="AG63" s="19">
        <f>AG25*Inputs!$B$36/12*(1+Inputs!$B$43)^INT((32-1)/12)</f>
        <v>5512.5</v>
      </c>
      <c r="AH63" s="19">
        <f>AH25*Inputs!$B$36/12*(1+Inputs!$B$43)^INT((33-1)/12)</f>
        <v>5512.5</v>
      </c>
      <c r="AI63" s="19">
        <f>AI25*Inputs!$B$36/12*(1+Inputs!$B$43)^INT((34-1)/12)</f>
        <v>5512.5</v>
      </c>
      <c r="AJ63" s="19">
        <f>AJ25*Inputs!$B$36/12*(1+Inputs!$B$43)^INT((35-1)/12)</f>
        <v>5512.5</v>
      </c>
      <c r="AK63" s="19">
        <f>AK25*Inputs!$B$36/12*(1+Inputs!$B$43)^INT((36-1)/12)</f>
        <v>5512.5</v>
      </c>
      <c r="AL63" s="19">
        <f>AL25*Inputs!$B$36/12*(1+Inputs!$B$43)^INT((37-1)/12)</f>
        <v>5788.1250000000009</v>
      </c>
      <c r="AM63" s="19">
        <f>AM25*Inputs!$B$36/12*(1+Inputs!$B$43)^INT((38-1)/12)</f>
        <v>5788.1250000000009</v>
      </c>
      <c r="AN63" s="19">
        <f>AN25*Inputs!$B$36/12*(1+Inputs!$B$43)^INT((39-1)/12)</f>
        <v>5788.1250000000009</v>
      </c>
      <c r="AO63" s="19">
        <f>AO25*Inputs!$B$36/12*(1+Inputs!$B$43)^INT((40-1)/12)</f>
        <v>5788.1250000000009</v>
      </c>
      <c r="AP63" s="19">
        <f>AP25*Inputs!$B$36/12*(1+Inputs!$B$43)^INT((41-1)/12)</f>
        <v>5788.1250000000009</v>
      </c>
      <c r="AQ63" s="19">
        <f>AQ25*Inputs!$B$36/12*(1+Inputs!$B$43)^INT((42-1)/12)</f>
        <v>5788.1250000000009</v>
      </c>
      <c r="AR63" s="19">
        <f>AR25*Inputs!$B$36/12*(1+Inputs!$B$43)^INT((43-1)/12)</f>
        <v>5788.1250000000009</v>
      </c>
      <c r="AS63" s="19">
        <f>AS25*Inputs!$B$36/12*(1+Inputs!$B$43)^INT((44-1)/12)</f>
        <v>5788.1250000000009</v>
      </c>
      <c r="AT63" s="19">
        <f>AT25*Inputs!$B$36/12*(1+Inputs!$B$43)^INT((45-1)/12)</f>
        <v>5788.1250000000009</v>
      </c>
      <c r="AU63" s="19">
        <f>AU25*Inputs!$B$36/12*(1+Inputs!$B$43)^INT((46-1)/12)</f>
        <v>5788.1250000000009</v>
      </c>
      <c r="AV63" s="19">
        <f>AV25*Inputs!$B$36/12*(1+Inputs!$B$43)^INT((47-1)/12)</f>
        <v>5788.1250000000009</v>
      </c>
      <c r="AW63" s="19">
        <f>AW25*Inputs!$B$36/12*(1+Inputs!$B$43)^INT((48-1)/12)</f>
        <v>5788.1250000000009</v>
      </c>
      <c r="AX63" s="19">
        <f>AX25*Inputs!$B$36/12*(1+Inputs!$B$43)^INT((49-1)/12)</f>
        <v>6077.53125</v>
      </c>
      <c r="AY63" s="19">
        <f>AY25*Inputs!$B$36/12*(1+Inputs!$B$43)^INT((50-1)/12)</f>
        <v>6077.53125</v>
      </c>
      <c r="AZ63" s="19">
        <f>AZ25*Inputs!$B$36/12*(1+Inputs!$B$43)^INT((51-1)/12)</f>
        <v>6077.53125</v>
      </c>
      <c r="BA63" s="19">
        <f>BA25*Inputs!$B$36/12*(1+Inputs!$B$43)^INT((52-1)/12)</f>
        <v>6077.53125</v>
      </c>
    </row>
    <row r="64" spans="1:53" x14ac:dyDescent="0.35">
      <c r="A64" s="3" t="s">
        <v>369</v>
      </c>
      <c r="B64" s="19">
        <f>B26*Inputs!$B$37/12*(1+Inputs!$B$43)^INT((1-1)/12)</f>
        <v>0</v>
      </c>
      <c r="C64" s="19">
        <f>C26*Inputs!$B$37/12*(1+Inputs!$B$43)^INT((2-1)/12)</f>
        <v>0</v>
      </c>
      <c r="D64" s="19">
        <f>D26*Inputs!$B$37/12*(1+Inputs!$B$43)^INT((3-1)/12)</f>
        <v>0</v>
      </c>
      <c r="E64" s="19">
        <f>E26*Inputs!$B$37/12*(1+Inputs!$B$43)^INT((4-1)/12)</f>
        <v>0</v>
      </c>
      <c r="F64" s="19">
        <f>F26*Inputs!$B$37/12*(1+Inputs!$B$43)^INT((5-1)/12)</f>
        <v>0</v>
      </c>
      <c r="G64" s="19">
        <f>G26*Inputs!$B$37/12*(1+Inputs!$B$43)^INT((6-1)/12)</f>
        <v>0</v>
      </c>
      <c r="H64" s="19">
        <f>H26*Inputs!$B$37/12*(1+Inputs!$B$43)^INT((7-1)/12)</f>
        <v>0</v>
      </c>
      <c r="I64" s="19">
        <f>I26*Inputs!$B$37/12*(1+Inputs!$B$43)^INT((8-1)/12)</f>
        <v>0</v>
      </c>
      <c r="J64" s="19">
        <f>J26*Inputs!$B$37/12*(1+Inputs!$B$43)^INT((9-1)/12)</f>
        <v>0</v>
      </c>
      <c r="K64" s="19">
        <f>K26*Inputs!$B$37/12*(1+Inputs!$B$43)^INT((10-1)/12)</f>
        <v>0</v>
      </c>
      <c r="L64" s="19">
        <f>L26*Inputs!$B$37/12*(1+Inputs!$B$43)^INT((11-1)/12)</f>
        <v>0</v>
      </c>
      <c r="M64" s="19">
        <f>M26*Inputs!$B$37/12*(1+Inputs!$B$43)^INT((12-1)/12)</f>
        <v>0</v>
      </c>
      <c r="N64" s="19">
        <f>N26*Inputs!$B$37/12*(1+Inputs!$B$43)^INT((13-1)/12)</f>
        <v>0</v>
      </c>
      <c r="O64" s="19">
        <f>O26*Inputs!$B$37/12*(1+Inputs!$B$43)^INT((14-1)/12)</f>
        <v>0</v>
      </c>
      <c r="P64" s="19">
        <f>P26*Inputs!$B$37/12*(1+Inputs!$B$43)^INT((15-1)/12)</f>
        <v>0</v>
      </c>
      <c r="Q64" s="19">
        <f>Q26*Inputs!$B$37/12*(1+Inputs!$B$43)^INT((16-1)/12)</f>
        <v>0</v>
      </c>
      <c r="R64" s="19">
        <f>R26*Inputs!$B$37/12*(1+Inputs!$B$43)^INT((17-1)/12)</f>
        <v>0</v>
      </c>
      <c r="S64" s="19">
        <f>S26*Inputs!$B$37/12*(1+Inputs!$B$43)^INT((18-1)/12)</f>
        <v>0</v>
      </c>
      <c r="T64" s="19">
        <f>T26*Inputs!$B$37/12*(1+Inputs!$B$43)^INT((19-1)/12)</f>
        <v>0</v>
      </c>
      <c r="U64" s="19">
        <f>U26*Inputs!$B$37/12*(1+Inputs!$B$43)^INT((20-1)/12)</f>
        <v>0</v>
      </c>
      <c r="V64" s="19">
        <f>V26*Inputs!$B$37/12*(1+Inputs!$B$43)^INT((21-1)/12)</f>
        <v>0</v>
      </c>
      <c r="W64" s="19">
        <f>W26*Inputs!$B$37/12*(1+Inputs!$B$43)^INT((22-1)/12)</f>
        <v>0</v>
      </c>
      <c r="X64" s="19">
        <f>X26*Inputs!$B$37/12*(1+Inputs!$B$43)^INT((23-1)/12)</f>
        <v>0</v>
      </c>
      <c r="Y64" s="19">
        <f>Y26*Inputs!$B$37/12*(1+Inputs!$B$43)^INT((24-1)/12)</f>
        <v>0</v>
      </c>
      <c r="Z64" s="19">
        <f>Z26*Inputs!$B$37/12*(1+Inputs!$B$43)^INT((25-1)/12)</f>
        <v>0</v>
      </c>
      <c r="AA64" s="19">
        <f>AA26*Inputs!$B$37/12*(1+Inputs!$B$43)^INT((26-1)/12)</f>
        <v>0</v>
      </c>
      <c r="AB64" s="19">
        <f>AB26*Inputs!$B$37/12*(1+Inputs!$B$43)^INT((27-1)/12)</f>
        <v>0</v>
      </c>
      <c r="AC64" s="19">
        <f>AC26*Inputs!$B$37/12*(1+Inputs!$B$43)^INT((28-1)/12)</f>
        <v>0</v>
      </c>
      <c r="AD64" s="19">
        <f>AD26*Inputs!$B$37/12*(1+Inputs!$B$43)^INT((29-1)/12)</f>
        <v>0</v>
      </c>
      <c r="AE64" s="19">
        <f>AE26*Inputs!$B$37/12*(1+Inputs!$B$43)^INT((30-1)/12)</f>
        <v>0</v>
      </c>
      <c r="AF64" s="19">
        <f>AF26*Inputs!$B$37/12*(1+Inputs!$B$43)^INT((31-1)/12)</f>
        <v>0</v>
      </c>
      <c r="AG64" s="19">
        <f>AG26*Inputs!$B$37/12*(1+Inputs!$B$43)^INT((32-1)/12)</f>
        <v>0</v>
      </c>
      <c r="AH64" s="19">
        <f>AH26*Inputs!$B$37/12*(1+Inputs!$B$43)^INT((33-1)/12)</f>
        <v>0</v>
      </c>
      <c r="AI64" s="19">
        <f>AI26*Inputs!$B$37/12*(1+Inputs!$B$43)^INT((34-1)/12)</f>
        <v>10106.25</v>
      </c>
      <c r="AJ64" s="19">
        <f>AJ26*Inputs!$B$37/12*(1+Inputs!$B$43)^INT((35-1)/12)</f>
        <v>10106.25</v>
      </c>
      <c r="AK64" s="19">
        <f>AK26*Inputs!$B$37/12*(1+Inputs!$B$43)^INT((36-1)/12)</f>
        <v>10106.25</v>
      </c>
      <c r="AL64" s="19">
        <f>AL26*Inputs!$B$37/12*(1+Inputs!$B$43)^INT((37-1)/12)</f>
        <v>10611.5625</v>
      </c>
      <c r="AM64" s="19">
        <f>AM26*Inputs!$B$37/12*(1+Inputs!$B$43)^INT((38-1)/12)</f>
        <v>10611.5625</v>
      </c>
      <c r="AN64" s="19">
        <f>AN26*Inputs!$B$37/12*(1+Inputs!$B$43)^INT((39-1)/12)</f>
        <v>10611.5625</v>
      </c>
      <c r="AO64" s="19">
        <f>AO26*Inputs!$B$37/12*(1+Inputs!$B$43)^INT((40-1)/12)</f>
        <v>10611.5625</v>
      </c>
      <c r="AP64" s="19">
        <f>AP26*Inputs!$B$37/12*(1+Inputs!$B$43)^INT((41-1)/12)</f>
        <v>10611.5625</v>
      </c>
      <c r="AQ64" s="19">
        <f>AQ26*Inputs!$B$37/12*(1+Inputs!$B$43)^INT((42-1)/12)</f>
        <v>10611.5625</v>
      </c>
      <c r="AR64" s="19">
        <f>AR26*Inputs!$B$37/12*(1+Inputs!$B$43)^INT((43-1)/12)</f>
        <v>10611.5625</v>
      </c>
      <c r="AS64" s="19">
        <f>AS26*Inputs!$B$37/12*(1+Inputs!$B$43)^INT((44-1)/12)</f>
        <v>10611.5625</v>
      </c>
      <c r="AT64" s="19">
        <f>AT26*Inputs!$B$37/12*(1+Inputs!$B$43)^INT((45-1)/12)</f>
        <v>10611.5625</v>
      </c>
      <c r="AU64" s="19">
        <f>AU26*Inputs!$B$37/12*(1+Inputs!$B$43)^INT((46-1)/12)</f>
        <v>10611.5625</v>
      </c>
      <c r="AV64" s="19">
        <f>AV26*Inputs!$B$37/12*(1+Inputs!$B$43)^INT((47-1)/12)</f>
        <v>10611.5625</v>
      </c>
      <c r="AW64" s="19">
        <f>AW26*Inputs!$B$37/12*(1+Inputs!$B$43)^INT((48-1)/12)</f>
        <v>10611.5625</v>
      </c>
      <c r="AX64" s="19">
        <f>AX26*Inputs!$B$37/12*(1+Inputs!$B$43)^INT((49-1)/12)</f>
        <v>11142.140625</v>
      </c>
      <c r="AY64" s="19">
        <f>AY26*Inputs!$B$37/12*(1+Inputs!$B$43)^INT((50-1)/12)</f>
        <v>11142.140625</v>
      </c>
      <c r="AZ64" s="19">
        <f>AZ26*Inputs!$B$37/12*(1+Inputs!$B$43)^INT((51-1)/12)</f>
        <v>11142.140625</v>
      </c>
      <c r="BA64" s="19">
        <f>BA26*Inputs!$B$37/12*(1+Inputs!$B$43)^INT((52-1)/12)</f>
        <v>11142.140625</v>
      </c>
    </row>
    <row r="65" spans="1:53" x14ac:dyDescent="0.35">
      <c r="A65" s="3" t="s">
        <v>370</v>
      </c>
      <c r="B65" s="19">
        <f>B27*Inputs!$B$38/12*(1+Inputs!$B$43)^INT((1-1)/12)</f>
        <v>0</v>
      </c>
      <c r="C65" s="19">
        <f>C27*Inputs!$B$38/12*(1+Inputs!$B$43)^INT((2-1)/12)</f>
        <v>0</v>
      </c>
      <c r="D65" s="19">
        <f>D27*Inputs!$B$38/12*(1+Inputs!$B$43)^INT((3-1)/12)</f>
        <v>0</v>
      </c>
      <c r="E65" s="19">
        <f>E27*Inputs!$B$38/12*(1+Inputs!$B$43)^INT((4-1)/12)</f>
        <v>0</v>
      </c>
      <c r="F65" s="19">
        <f>F27*Inputs!$B$38/12*(1+Inputs!$B$43)^INT((5-1)/12)</f>
        <v>0</v>
      </c>
      <c r="G65" s="19">
        <f>G27*Inputs!$B$38/12*(1+Inputs!$B$43)^INT((6-1)/12)</f>
        <v>0</v>
      </c>
      <c r="H65" s="19">
        <f>H27*Inputs!$B$38/12*(1+Inputs!$B$43)^INT((7-1)/12)</f>
        <v>0</v>
      </c>
      <c r="I65" s="19">
        <f>I27*Inputs!$B$38/12*(1+Inputs!$B$43)^INT((8-1)/12)</f>
        <v>0</v>
      </c>
      <c r="J65" s="19">
        <f>J27*Inputs!$B$38/12*(1+Inputs!$B$43)^INT((9-1)/12)</f>
        <v>0</v>
      </c>
      <c r="K65" s="19">
        <f>K27*Inputs!$B$38/12*(1+Inputs!$B$43)^INT((10-1)/12)</f>
        <v>0</v>
      </c>
      <c r="L65" s="19">
        <f>L27*Inputs!$B$38/12*(1+Inputs!$B$43)^INT((11-1)/12)</f>
        <v>0</v>
      </c>
      <c r="M65" s="19">
        <f>M27*Inputs!$B$38/12*(1+Inputs!$B$43)^INT((12-1)/12)</f>
        <v>0</v>
      </c>
      <c r="N65" s="19">
        <f>N27*Inputs!$B$38/12*(1+Inputs!$B$43)^INT((13-1)/12)</f>
        <v>0</v>
      </c>
      <c r="O65" s="19">
        <f>O27*Inputs!$B$38/12*(1+Inputs!$B$43)^INT((14-1)/12)</f>
        <v>0</v>
      </c>
      <c r="P65" s="19">
        <f>P27*Inputs!$B$38/12*(1+Inputs!$B$43)^INT((15-1)/12)</f>
        <v>0</v>
      </c>
      <c r="Q65" s="19">
        <f>Q27*Inputs!$B$38/12*(1+Inputs!$B$43)^INT((16-1)/12)</f>
        <v>0</v>
      </c>
      <c r="R65" s="19">
        <f>R27*Inputs!$B$38/12*(1+Inputs!$B$43)^INT((17-1)/12)</f>
        <v>0</v>
      </c>
      <c r="S65" s="19">
        <f>S27*Inputs!$B$38/12*(1+Inputs!$B$43)^INT((18-1)/12)</f>
        <v>0</v>
      </c>
      <c r="T65" s="19">
        <f>T27*Inputs!$B$38/12*(1+Inputs!$B$43)^INT((19-1)/12)</f>
        <v>0</v>
      </c>
      <c r="U65" s="19">
        <f>U27*Inputs!$B$38/12*(1+Inputs!$B$43)^INT((20-1)/12)</f>
        <v>0</v>
      </c>
      <c r="V65" s="19">
        <f>V27*Inputs!$B$38/12*(1+Inputs!$B$43)^INT((21-1)/12)</f>
        <v>0</v>
      </c>
      <c r="W65" s="19">
        <f>W27*Inputs!$B$38/12*(1+Inputs!$B$43)^INT((22-1)/12)</f>
        <v>0</v>
      </c>
      <c r="X65" s="19">
        <f>X27*Inputs!$B$38/12*(1+Inputs!$B$43)^INT((23-1)/12)</f>
        <v>0</v>
      </c>
      <c r="Y65" s="19">
        <f>Y27*Inputs!$B$38/12*(1+Inputs!$B$43)^INT((24-1)/12)</f>
        <v>0</v>
      </c>
      <c r="Z65" s="19">
        <f>Z27*Inputs!$B$38/12*(1+Inputs!$B$43)^INT((25-1)/12)</f>
        <v>0</v>
      </c>
      <c r="AA65" s="19">
        <f>AA27*Inputs!$B$38/12*(1+Inputs!$B$43)^INT((26-1)/12)</f>
        <v>0</v>
      </c>
      <c r="AB65" s="19">
        <f>AB27*Inputs!$B$38/12*(1+Inputs!$B$43)^INT((27-1)/12)</f>
        <v>0</v>
      </c>
      <c r="AC65" s="19">
        <f>AC27*Inputs!$B$38/12*(1+Inputs!$B$43)^INT((28-1)/12)</f>
        <v>0</v>
      </c>
      <c r="AD65" s="19">
        <f>AD27*Inputs!$B$38/12*(1+Inputs!$B$43)^INT((29-1)/12)</f>
        <v>0</v>
      </c>
      <c r="AE65" s="19">
        <f>AE27*Inputs!$B$38/12*(1+Inputs!$B$43)^INT((30-1)/12)</f>
        <v>7350.0000000000009</v>
      </c>
      <c r="AF65" s="19">
        <f>AF27*Inputs!$B$38/12*(1+Inputs!$B$43)^INT((31-1)/12)</f>
        <v>7350.0000000000009</v>
      </c>
      <c r="AG65" s="19">
        <f>AG27*Inputs!$B$38/12*(1+Inputs!$B$43)^INT((32-1)/12)</f>
        <v>7350.0000000000009</v>
      </c>
      <c r="AH65" s="19">
        <f>AH27*Inputs!$B$38/12*(1+Inputs!$B$43)^INT((33-1)/12)</f>
        <v>7350.0000000000009</v>
      </c>
      <c r="AI65" s="19">
        <f>AI27*Inputs!$B$38/12*(1+Inputs!$B$43)^INT((34-1)/12)</f>
        <v>7350.0000000000009</v>
      </c>
      <c r="AJ65" s="19">
        <f>AJ27*Inputs!$B$38/12*(1+Inputs!$B$43)^INT((35-1)/12)</f>
        <v>7350.0000000000009</v>
      </c>
      <c r="AK65" s="19">
        <f>AK27*Inputs!$B$38/12*(1+Inputs!$B$43)^INT((36-1)/12)</f>
        <v>7350.0000000000009</v>
      </c>
      <c r="AL65" s="19">
        <f>AL27*Inputs!$B$38/12*(1+Inputs!$B$43)^INT((37-1)/12)</f>
        <v>7717.5000000000009</v>
      </c>
      <c r="AM65" s="19">
        <f>AM27*Inputs!$B$38/12*(1+Inputs!$B$43)^INT((38-1)/12)</f>
        <v>7717.5000000000009</v>
      </c>
      <c r="AN65" s="19">
        <f>AN27*Inputs!$B$38/12*(1+Inputs!$B$43)^INT((39-1)/12)</f>
        <v>7717.5000000000009</v>
      </c>
      <c r="AO65" s="19">
        <f>AO27*Inputs!$B$38/12*(1+Inputs!$B$43)^INT((40-1)/12)</f>
        <v>7717.5000000000009</v>
      </c>
      <c r="AP65" s="19">
        <f>AP27*Inputs!$B$38/12*(1+Inputs!$B$43)^INT((41-1)/12)</f>
        <v>7717.5000000000009</v>
      </c>
      <c r="AQ65" s="19">
        <f>AQ27*Inputs!$B$38/12*(1+Inputs!$B$43)^INT((42-1)/12)</f>
        <v>7717.5000000000009</v>
      </c>
      <c r="AR65" s="19">
        <f>AR27*Inputs!$B$38/12*(1+Inputs!$B$43)^INT((43-1)/12)</f>
        <v>7717.5000000000009</v>
      </c>
      <c r="AS65" s="19">
        <f>AS27*Inputs!$B$38/12*(1+Inputs!$B$43)^INT((44-1)/12)</f>
        <v>7717.5000000000009</v>
      </c>
      <c r="AT65" s="19">
        <f>AT27*Inputs!$B$38/12*(1+Inputs!$B$43)^INT((45-1)/12)</f>
        <v>7717.5000000000009</v>
      </c>
      <c r="AU65" s="19">
        <f>AU27*Inputs!$B$38/12*(1+Inputs!$B$43)^INT((46-1)/12)</f>
        <v>7717.5000000000009</v>
      </c>
      <c r="AV65" s="19">
        <f>AV27*Inputs!$B$38/12*(1+Inputs!$B$43)^INT((47-1)/12)</f>
        <v>7717.5000000000009</v>
      </c>
      <c r="AW65" s="19">
        <f>AW27*Inputs!$B$38/12*(1+Inputs!$B$43)^INT((48-1)/12)</f>
        <v>7717.5000000000009</v>
      </c>
      <c r="AX65" s="19">
        <f>AX27*Inputs!$B$38/12*(1+Inputs!$B$43)^INT((49-1)/12)</f>
        <v>8103.375</v>
      </c>
      <c r="AY65" s="19">
        <f>AY27*Inputs!$B$38/12*(1+Inputs!$B$43)^INT((50-1)/12)</f>
        <v>8103.375</v>
      </c>
      <c r="AZ65" s="19">
        <f>AZ27*Inputs!$B$38/12*(1+Inputs!$B$43)^INT((51-1)/12)</f>
        <v>8103.375</v>
      </c>
      <c r="BA65" s="19">
        <f>BA27*Inputs!$B$38/12*(1+Inputs!$B$43)^INT((52-1)/12)</f>
        <v>8103.375</v>
      </c>
    </row>
    <row r="66" spans="1:53" x14ac:dyDescent="0.35">
      <c r="A66" s="3" t="s">
        <v>371</v>
      </c>
      <c r="B66" s="19">
        <f>B28*Inputs!$B$39/12*(1+Inputs!$B$43)^INT((1-1)/12)</f>
        <v>0</v>
      </c>
      <c r="C66" s="19">
        <f>C28*Inputs!$B$39/12*(1+Inputs!$B$43)^INT((2-1)/12)</f>
        <v>0</v>
      </c>
      <c r="D66" s="19">
        <f>D28*Inputs!$B$39/12*(1+Inputs!$B$43)^INT((3-1)/12)</f>
        <v>0</v>
      </c>
      <c r="E66" s="19">
        <f>E28*Inputs!$B$39/12*(1+Inputs!$B$43)^INT((4-1)/12)</f>
        <v>0</v>
      </c>
      <c r="F66" s="19">
        <f>F28*Inputs!$B$39/12*(1+Inputs!$B$43)^INT((5-1)/12)</f>
        <v>0</v>
      </c>
      <c r="G66" s="19">
        <f>G28*Inputs!$B$39/12*(1+Inputs!$B$43)^INT((6-1)/12)</f>
        <v>0</v>
      </c>
      <c r="H66" s="19">
        <f>H28*Inputs!$B$39/12*(1+Inputs!$B$43)^INT((7-1)/12)</f>
        <v>0</v>
      </c>
      <c r="I66" s="19">
        <f>I28*Inputs!$B$39/12*(1+Inputs!$B$43)^INT((8-1)/12)</f>
        <v>0</v>
      </c>
      <c r="J66" s="19">
        <f>J28*Inputs!$B$39/12*(1+Inputs!$B$43)^INT((9-1)/12)</f>
        <v>0</v>
      </c>
      <c r="K66" s="19">
        <f>K28*Inputs!$B$39/12*(1+Inputs!$B$43)^INT((10-1)/12)</f>
        <v>0</v>
      </c>
      <c r="L66" s="19">
        <f>L28*Inputs!$B$39/12*(1+Inputs!$B$43)^INT((11-1)/12)</f>
        <v>0</v>
      </c>
      <c r="M66" s="19">
        <f>M28*Inputs!$B$39/12*(1+Inputs!$B$43)^INT((12-1)/12)</f>
        <v>0</v>
      </c>
      <c r="N66" s="19">
        <f>N28*Inputs!$B$39/12*(1+Inputs!$B$43)^INT((13-1)/12)</f>
        <v>0</v>
      </c>
      <c r="O66" s="19">
        <f>O28*Inputs!$B$39/12*(1+Inputs!$B$43)^INT((14-1)/12)</f>
        <v>0</v>
      </c>
      <c r="P66" s="19">
        <f>P28*Inputs!$B$39/12*(1+Inputs!$B$43)^INT((15-1)/12)</f>
        <v>0</v>
      </c>
      <c r="Q66" s="19">
        <f>Q28*Inputs!$B$39/12*(1+Inputs!$B$43)^INT((16-1)/12)</f>
        <v>0</v>
      </c>
      <c r="R66" s="19">
        <f>R28*Inputs!$B$39/12*(1+Inputs!$B$43)^INT((17-1)/12)</f>
        <v>0</v>
      </c>
      <c r="S66" s="19">
        <f>S28*Inputs!$B$39/12*(1+Inputs!$B$43)^INT((18-1)/12)</f>
        <v>0</v>
      </c>
      <c r="T66" s="19">
        <f>T28*Inputs!$B$39/12*(1+Inputs!$B$43)^INT((19-1)/12)</f>
        <v>0</v>
      </c>
      <c r="U66" s="19">
        <f>U28*Inputs!$B$39/12*(1+Inputs!$B$43)^INT((20-1)/12)</f>
        <v>0</v>
      </c>
      <c r="V66" s="19">
        <f>V28*Inputs!$B$39/12*(1+Inputs!$B$43)^INT((21-1)/12)</f>
        <v>0</v>
      </c>
      <c r="W66" s="19">
        <f>W28*Inputs!$B$39/12*(1+Inputs!$B$43)^INT((22-1)/12)</f>
        <v>0</v>
      </c>
      <c r="X66" s="19">
        <f>X28*Inputs!$B$39/12*(1+Inputs!$B$43)^INT((23-1)/12)</f>
        <v>0</v>
      </c>
      <c r="Y66" s="19">
        <f>Y28*Inputs!$B$39/12*(1+Inputs!$B$43)^INT((24-1)/12)</f>
        <v>0</v>
      </c>
      <c r="Z66" s="19">
        <f>Z28*Inputs!$B$39/12*(1+Inputs!$B$43)^INT((25-1)/12)</f>
        <v>0</v>
      </c>
      <c r="AA66" s="19">
        <f>AA28*Inputs!$B$39/12*(1+Inputs!$B$43)^INT((26-1)/12)</f>
        <v>0</v>
      </c>
      <c r="AB66" s="19">
        <f>AB28*Inputs!$B$39/12*(1+Inputs!$B$43)^INT((27-1)/12)</f>
        <v>0</v>
      </c>
      <c r="AC66" s="19">
        <f>AC28*Inputs!$B$39/12*(1+Inputs!$B$43)^INT((28-1)/12)</f>
        <v>0</v>
      </c>
      <c r="AD66" s="19">
        <f>AD28*Inputs!$B$39/12*(1+Inputs!$B$43)^INT((29-1)/12)</f>
        <v>0</v>
      </c>
      <c r="AE66" s="19">
        <f>AE28*Inputs!$B$39/12*(1+Inputs!$B$43)^INT((30-1)/12)</f>
        <v>0</v>
      </c>
      <c r="AF66" s="19">
        <f>AF28*Inputs!$B$39/12*(1+Inputs!$B$43)^INT((31-1)/12)</f>
        <v>0</v>
      </c>
      <c r="AG66" s="19">
        <f>AG28*Inputs!$B$39/12*(1+Inputs!$B$43)^INT((32-1)/12)</f>
        <v>0</v>
      </c>
      <c r="AH66" s="19">
        <f>AH28*Inputs!$B$39/12*(1+Inputs!$B$43)^INT((33-1)/12)</f>
        <v>0</v>
      </c>
      <c r="AI66" s="19">
        <f>AI28*Inputs!$B$39/12*(1+Inputs!$B$43)^INT((34-1)/12)</f>
        <v>0</v>
      </c>
      <c r="AJ66" s="19">
        <f>AJ28*Inputs!$B$39/12*(1+Inputs!$B$43)^INT((35-1)/12)</f>
        <v>0</v>
      </c>
      <c r="AK66" s="19">
        <f>AK28*Inputs!$B$39/12*(1+Inputs!$B$43)^INT((36-1)/12)</f>
        <v>11943.750000000002</v>
      </c>
      <c r="AL66" s="19">
        <f>AL28*Inputs!$B$39/12*(1+Inputs!$B$43)^INT((37-1)/12)</f>
        <v>12540.937500000002</v>
      </c>
      <c r="AM66" s="19">
        <f>AM28*Inputs!$B$39/12*(1+Inputs!$B$43)^INT((38-1)/12)</f>
        <v>12540.937500000002</v>
      </c>
      <c r="AN66" s="19">
        <f>AN28*Inputs!$B$39/12*(1+Inputs!$B$43)^INT((39-1)/12)</f>
        <v>12540.937500000002</v>
      </c>
      <c r="AO66" s="19">
        <f>AO28*Inputs!$B$39/12*(1+Inputs!$B$43)^INT((40-1)/12)</f>
        <v>12540.937500000002</v>
      </c>
      <c r="AP66" s="19">
        <f>AP28*Inputs!$B$39/12*(1+Inputs!$B$43)^INT((41-1)/12)</f>
        <v>12540.937500000002</v>
      </c>
      <c r="AQ66" s="19">
        <f>AQ28*Inputs!$B$39/12*(1+Inputs!$B$43)^INT((42-1)/12)</f>
        <v>12540.937500000002</v>
      </c>
      <c r="AR66" s="19">
        <f>AR28*Inputs!$B$39/12*(1+Inputs!$B$43)^INT((43-1)/12)</f>
        <v>12540.937500000002</v>
      </c>
      <c r="AS66" s="19">
        <f>AS28*Inputs!$B$39/12*(1+Inputs!$B$43)^INT((44-1)/12)</f>
        <v>12540.937500000002</v>
      </c>
      <c r="AT66" s="19">
        <f>AT28*Inputs!$B$39/12*(1+Inputs!$B$43)^INT((45-1)/12)</f>
        <v>12540.937500000002</v>
      </c>
      <c r="AU66" s="19">
        <f>AU28*Inputs!$B$39/12*(1+Inputs!$B$43)^INT((46-1)/12)</f>
        <v>12540.937500000002</v>
      </c>
      <c r="AV66" s="19">
        <f>AV28*Inputs!$B$39/12*(1+Inputs!$B$43)^INT((47-1)/12)</f>
        <v>12540.937500000002</v>
      </c>
      <c r="AW66" s="19">
        <f>AW28*Inputs!$B$39/12*(1+Inputs!$B$43)^INT((48-1)/12)</f>
        <v>12540.937500000002</v>
      </c>
      <c r="AX66" s="19">
        <f>AX28*Inputs!$B$39/12*(1+Inputs!$B$43)^INT((49-1)/12)</f>
        <v>13167.984375</v>
      </c>
      <c r="AY66" s="19">
        <f>AY28*Inputs!$B$39/12*(1+Inputs!$B$43)^INT((50-1)/12)</f>
        <v>13167.984375</v>
      </c>
      <c r="AZ66" s="19">
        <f>AZ28*Inputs!$B$39/12*(1+Inputs!$B$43)^INT((51-1)/12)</f>
        <v>13167.984375</v>
      </c>
      <c r="BA66" s="19">
        <f>BA28*Inputs!$B$39/12*(1+Inputs!$B$43)^INT((52-1)/12)</f>
        <v>13167.984375</v>
      </c>
    </row>
    <row r="67" spans="1:53" x14ac:dyDescent="0.35">
      <c r="A67" s="3" t="s">
        <v>372</v>
      </c>
      <c r="B67" s="19">
        <f>B29*Inputs!$B$41/12*(1+Inputs!$B$43)^INT((1-1)/12)</f>
        <v>0</v>
      </c>
      <c r="C67" s="19">
        <f>C29*Inputs!$B$41/12*(1+Inputs!$B$43)^INT((2-1)/12)</f>
        <v>0</v>
      </c>
      <c r="D67" s="19">
        <f>D29*Inputs!$B$41/12*(1+Inputs!$B$43)^INT((3-1)/12)</f>
        <v>0</v>
      </c>
      <c r="E67" s="19">
        <f>E29*Inputs!$B$41/12*(1+Inputs!$B$43)^INT((4-1)/12)</f>
        <v>0</v>
      </c>
      <c r="F67" s="19">
        <f>F29*Inputs!$B$41/12*(1+Inputs!$B$43)^INT((5-1)/12)</f>
        <v>0</v>
      </c>
      <c r="G67" s="19">
        <f>G29*Inputs!$B$41/12*(1+Inputs!$B$43)^INT((6-1)/12)</f>
        <v>0</v>
      </c>
      <c r="H67" s="19">
        <f>H29*Inputs!$B$41/12*(1+Inputs!$B$43)^INT((7-1)/12)</f>
        <v>0</v>
      </c>
      <c r="I67" s="19">
        <f>I29*Inputs!$B$41/12*(1+Inputs!$B$43)^INT((8-1)/12)</f>
        <v>0</v>
      </c>
      <c r="J67" s="19">
        <f>J29*Inputs!$B$41/12*(1+Inputs!$B$43)^INT((9-1)/12)</f>
        <v>0</v>
      </c>
      <c r="K67" s="19">
        <f>K29*Inputs!$B$41/12*(1+Inputs!$B$43)^INT((10-1)/12)</f>
        <v>0</v>
      </c>
      <c r="L67" s="19">
        <f>L29*Inputs!$B$41/12*(1+Inputs!$B$43)^INT((11-1)/12)</f>
        <v>0</v>
      </c>
      <c r="M67" s="19">
        <f>M29*Inputs!$B$41/12*(1+Inputs!$B$43)^INT((12-1)/12)</f>
        <v>0</v>
      </c>
      <c r="N67" s="19">
        <f>N29*Inputs!$B$41/12*(1+Inputs!$B$43)^INT((13-1)/12)</f>
        <v>0</v>
      </c>
      <c r="O67" s="19">
        <f>O29*Inputs!$B$41/12*(1+Inputs!$B$43)^INT((14-1)/12)</f>
        <v>0</v>
      </c>
      <c r="P67" s="19">
        <f>P29*Inputs!$B$41/12*(1+Inputs!$B$43)^INT((15-1)/12)</f>
        <v>0</v>
      </c>
      <c r="Q67" s="19">
        <f>Q29*Inputs!$B$41/12*(1+Inputs!$B$43)^INT((16-1)/12)</f>
        <v>0</v>
      </c>
      <c r="R67" s="19">
        <f>R29*Inputs!$B$41/12*(1+Inputs!$B$43)^INT((17-1)/12)</f>
        <v>0</v>
      </c>
      <c r="S67" s="19">
        <f>S29*Inputs!$B$41/12*(1+Inputs!$B$43)^INT((18-1)/12)</f>
        <v>0</v>
      </c>
      <c r="T67" s="19">
        <f>T29*Inputs!$B$41/12*(1+Inputs!$B$43)^INT((19-1)/12)</f>
        <v>0</v>
      </c>
      <c r="U67" s="19">
        <f>U29*Inputs!$B$41/12*(1+Inputs!$B$43)^INT((20-1)/12)</f>
        <v>0</v>
      </c>
      <c r="V67" s="19">
        <f>V29*Inputs!$B$41/12*(1+Inputs!$B$43)^INT((21-1)/12)</f>
        <v>0</v>
      </c>
      <c r="W67" s="19">
        <f>W29*Inputs!$B$41/12*(1+Inputs!$B$43)^INT((22-1)/12)</f>
        <v>0</v>
      </c>
      <c r="X67" s="19">
        <f>X29*Inputs!$B$41/12*(1+Inputs!$B$43)^INT((23-1)/12)</f>
        <v>0</v>
      </c>
      <c r="Y67" s="19">
        <f>Y29*Inputs!$B$41/12*(1+Inputs!$B$43)^INT((24-1)/12)</f>
        <v>0</v>
      </c>
      <c r="Z67" s="19">
        <f>Z29*Inputs!$B$41/12*(1+Inputs!$B$43)^INT((25-1)/12)</f>
        <v>0</v>
      </c>
      <c r="AA67" s="19">
        <f>AA29*Inputs!$B$41/12*(1+Inputs!$B$43)^INT((26-1)/12)</f>
        <v>0</v>
      </c>
      <c r="AB67" s="19">
        <f>AB29*Inputs!$B$41/12*(1+Inputs!$B$43)^INT((27-1)/12)</f>
        <v>0</v>
      </c>
      <c r="AC67" s="19">
        <f>AC29*Inputs!$B$41/12*(1+Inputs!$B$43)^INT((28-1)/12)</f>
        <v>0</v>
      </c>
      <c r="AD67" s="19">
        <f>AD29*Inputs!$B$41/12*(1+Inputs!$B$43)^INT((29-1)/12)</f>
        <v>0</v>
      </c>
      <c r="AE67" s="19">
        <f>AE29*Inputs!$B$41/12*(1+Inputs!$B$43)^INT((30-1)/12)</f>
        <v>0</v>
      </c>
      <c r="AF67" s="19">
        <f>AF29*Inputs!$B$41/12*(1+Inputs!$B$43)^INT((31-1)/12)</f>
        <v>0</v>
      </c>
      <c r="AG67" s="19">
        <f>AG29*Inputs!$B$41/12*(1+Inputs!$B$43)^INT((32-1)/12)</f>
        <v>0</v>
      </c>
      <c r="AH67" s="19">
        <f>AH29*Inputs!$B$41/12*(1+Inputs!$B$43)^INT((33-1)/12)</f>
        <v>0</v>
      </c>
      <c r="AI67" s="19">
        <f>AI29*Inputs!$B$41/12*(1+Inputs!$B$43)^INT((34-1)/12)</f>
        <v>0</v>
      </c>
      <c r="AJ67" s="19">
        <f>AJ29*Inputs!$B$41/12*(1+Inputs!$B$43)^INT((35-1)/12)</f>
        <v>0</v>
      </c>
      <c r="AK67" s="19">
        <f>AK29*Inputs!$B$41/12*(1+Inputs!$B$43)^INT((36-1)/12)</f>
        <v>5971.8750000000009</v>
      </c>
      <c r="AL67" s="19">
        <f>AL29*Inputs!$B$41/12*(1+Inputs!$B$43)^INT((37-1)/12)</f>
        <v>6270.4687500000009</v>
      </c>
      <c r="AM67" s="19">
        <f>AM29*Inputs!$B$41/12*(1+Inputs!$B$43)^INT((38-1)/12)</f>
        <v>6270.4687500000009</v>
      </c>
      <c r="AN67" s="19">
        <f>AN29*Inputs!$B$41/12*(1+Inputs!$B$43)^INT((39-1)/12)</f>
        <v>6270.4687500000009</v>
      </c>
      <c r="AO67" s="19">
        <f>AO29*Inputs!$B$41/12*(1+Inputs!$B$43)^INT((40-1)/12)</f>
        <v>6270.4687500000009</v>
      </c>
      <c r="AP67" s="19">
        <f>AP29*Inputs!$B$41/12*(1+Inputs!$B$43)^INT((41-1)/12)</f>
        <v>6270.4687500000009</v>
      </c>
      <c r="AQ67" s="19">
        <f>AQ29*Inputs!$B$41/12*(1+Inputs!$B$43)^INT((42-1)/12)</f>
        <v>6270.4687500000009</v>
      </c>
      <c r="AR67" s="19">
        <f>AR29*Inputs!$B$41/12*(1+Inputs!$B$43)^INT((43-1)/12)</f>
        <v>6270.4687500000009</v>
      </c>
      <c r="AS67" s="19">
        <f>AS29*Inputs!$B$41/12*(1+Inputs!$B$43)^INT((44-1)/12)</f>
        <v>6270.4687500000009</v>
      </c>
      <c r="AT67" s="19">
        <f>AT29*Inputs!$B$41/12*(1+Inputs!$B$43)^INT((45-1)/12)</f>
        <v>6270.4687500000009</v>
      </c>
      <c r="AU67" s="19">
        <f>AU29*Inputs!$B$41/12*(1+Inputs!$B$43)^INT((46-1)/12)</f>
        <v>6270.4687500000009</v>
      </c>
      <c r="AV67" s="19">
        <f>AV29*Inputs!$B$41/12*(1+Inputs!$B$43)^INT((47-1)/12)</f>
        <v>6270.4687500000009</v>
      </c>
      <c r="AW67" s="19">
        <f>AW29*Inputs!$B$41/12*(1+Inputs!$B$43)^INT((48-1)/12)</f>
        <v>6270.4687500000009</v>
      </c>
      <c r="AX67" s="19">
        <f>AX29*Inputs!$B$41/12*(1+Inputs!$B$43)^INT((49-1)/12)</f>
        <v>6583.9921875</v>
      </c>
      <c r="AY67" s="19">
        <f>AY29*Inputs!$B$41/12*(1+Inputs!$B$43)^INT((50-1)/12)</f>
        <v>6583.9921875</v>
      </c>
      <c r="AZ67" s="19">
        <f>AZ29*Inputs!$B$41/12*(1+Inputs!$B$43)^INT((51-1)/12)</f>
        <v>6583.9921875</v>
      </c>
      <c r="BA67" s="19">
        <f>BA29*Inputs!$B$41/12*(1+Inputs!$B$43)^INT((52-1)/12)</f>
        <v>6583.9921875</v>
      </c>
    </row>
    <row r="68" spans="1:53" x14ac:dyDescent="0.35">
      <c r="A68" s="3" t="s">
        <v>373</v>
      </c>
      <c r="B68" s="19">
        <f>B30*Inputs!$B$42/12*(1+Inputs!$B$43)^INT((1-1)/12)</f>
        <v>0</v>
      </c>
      <c r="C68" s="19">
        <f>C30*Inputs!$B$42/12*(1+Inputs!$B$43)^INT((2-1)/12)</f>
        <v>0</v>
      </c>
      <c r="D68" s="19">
        <f>D30*Inputs!$B$42/12*(1+Inputs!$B$43)^INT((3-1)/12)</f>
        <v>0</v>
      </c>
      <c r="E68" s="19">
        <f>E30*Inputs!$B$42/12*(1+Inputs!$B$43)^INT((4-1)/12)</f>
        <v>0</v>
      </c>
      <c r="F68" s="19">
        <f>F30*Inputs!$B$42/12*(1+Inputs!$B$43)^INT((5-1)/12)</f>
        <v>0</v>
      </c>
      <c r="G68" s="19">
        <f>G30*Inputs!$B$42/12*(1+Inputs!$B$43)^INT((6-1)/12)</f>
        <v>0</v>
      </c>
      <c r="H68" s="19">
        <f>H30*Inputs!$B$42/12*(1+Inputs!$B$43)^INT((7-1)/12)</f>
        <v>0</v>
      </c>
      <c r="I68" s="19">
        <f>I30*Inputs!$B$42/12*(1+Inputs!$B$43)^INT((8-1)/12)</f>
        <v>0</v>
      </c>
      <c r="J68" s="19">
        <f>J30*Inputs!$B$42/12*(1+Inputs!$B$43)^INT((9-1)/12)</f>
        <v>0</v>
      </c>
      <c r="K68" s="19">
        <f>K30*Inputs!$B$42/12*(1+Inputs!$B$43)^INT((10-1)/12)</f>
        <v>0</v>
      </c>
      <c r="L68" s="19">
        <f>L30*Inputs!$B$42/12*(1+Inputs!$B$43)^INT((11-1)/12)</f>
        <v>0</v>
      </c>
      <c r="M68" s="19">
        <f>M30*Inputs!$B$42/12*(1+Inputs!$B$43)^INT((12-1)/12)</f>
        <v>0</v>
      </c>
      <c r="N68" s="19">
        <f>N30*Inputs!$B$42/12*(1+Inputs!$B$43)^INT((13-1)/12)</f>
        <v>0</v>
      </c>
      <c r="O68" s="19">
        <f>O30*Inputs!$B$42/12*(1+Inputs!$B$43)^INT((14-1)/12)</f>
        <v>0</v>
      </c>
      <c r="P68" s="19">
        <f>P30*Inputs!$B$42/12*(1+Inputs!$B$43)^INT((15-1)/12)</f>
        <v>0</v>
      </c>
      <c r="Q68" s="19">
        <f>Q30*Inputs!$B$42/12*(1+Inputs!$B$43)^INT((16-1)/12)</f>
        <v>0</v>
      </c>
      <c r="R68" s="19">
        <f>R30*Inputs!$B$42/12*(1+Inputs!$B$43)^INT((17-1)/12)</f>
        <v>0</v>
      </c>
      <c r="S68" s="19">
        <f>S30*Inputs!$B$42/12*(1+Inputs!$B$43)^INT((18-1)/12)</f>
        <v>3937.5</v>
      </c>
      <c r="T68" s="19">
        <f>T30*Inputs!$B$42/12*(1+Inputs!$B$43)^INT((19-1)/12)</f>
        <v>3937.5</v>
      </c>
      <c r="U68" s="19">
        <f>U30*Inputs!$B$42/12*(1+Inputs!$B$43)^INT((20-1)/12)</f>
        <v>3937.5</v>
      </c>
      <c r="V68" s="19">
        <f>V30*Inputs!$B$42/12*(1+Inputs!$B$43)^INT((21-1)/12)</f>
        <v>3937.5</v>
      </c>
      <c r="W68" s="19">
        <f>W30*Inputs!$B$42/12*(1+Inputs!$B$43)^INT((22-1)/12)</f>
        <v>3937.5</v>
      </c>
      <c r="X68" s="19">
        <f>X30*Inputs!$B$42/12*(1+Inputs!$B$43)^INT((23-1)/12)</f>
        <v>3937.5</v>
      </c>
      <c r="Y68" s="19">
        <f>Y30*Inputs!$B$42/12*(1+Inputs!$B$43)^INT((24-1)/12)</f>
        <v>3937.5</v>
      </c>
      <c r="Z68" s="19">
        <f>Z30*Inputs!$B$42/12*(1+Inputs!$B$43)^INT((25-1)/12)</f>
        <v>4134.375</v>
      </c>
      <c r="AA68" s="19">
        <f>AA30*Inputs!$B$42/12*(1+Inputs!$B$43)^INT((26-1)/12)</f>
        <v>4134.375</v>
      </c>
      <c r="AB68" s="19">
        <f>AB30*Inputs!$B$42/12*(1+Inputs!$B$43)^INT((27-1)/12)</f>
        <v>4134.375</v>
      </c>
      <c r="AC68" s="19">
        <f>AC30*Inputs!$B$42/12*(1+Inputs!$B$43)^INT((28-1)/12)</f>
        <v>4134.375</v>
      </c>
      <c r="AD68" s="19">
        <f>AD30*Inputs!$B$42/12*(1+Inputs!$B$43)^INT((29-1)/12)</f>
        <v>4134.375</v>
      </c>
      <c r="AE68" s="19">
        <f>AE30*Inputs!$B$42/12*(1+Inputs!$B$43)^INT((30-1)/12)</f>
        <v>4134.375</v>
      </c>
      <c r="AF68" s="19">
        <f>AF30*Inputs!$B$42/12*(1+Inputs!$B$43)^INT((31-1)/12)</f>
        <v>4134.375</v>
      </c>
      <c r="AG68" s="19">
        <f>AG30*Inputs!$B$42/12*(1+Inputs!$B$43)^INT((32-1)/12)</f>
        <v>4134.375</v>
      </c>
      <c r="AH68" s="19">
        <f>AH30*Inputs!$B$42/12*(1+Inputs!$B$43)^INT((33-1)/12)</f>
        <v>4134.375</v>
      </c>
      <c r="AI68" s="19">
        <f>AI30*Inputs!$B$42/12*(1+Inputs!$B$43)^INT((34-1)/12)</f>
        <v>4134.375</v>
      </c>
      <c r="AJ68" s="19">
        <f>AJ30*Inputs!$B$42/12*(1+Inputs!$B$43)^INT((35-1)/12)</f>
        <v>4134.375</v>
      </c>
      <c r="AK68" s="19">
        <f>AK30*Inputs!$B$42/12*(1+Inputs!$B$43)^INT((36-1)/12)</f>
        <v>4134.375</v>
      </c>
      <c r="AL68" s="19">
        <f>AL30*Inputs!$B$42/12*(1+Inputs!$B$43)^INT((37-1)/12)</f>
        <v>4341.0937500000009</v>
      </c>
      <c r="AM68" s="19">
        <f>AM30*Inputs!$B$42/12*(1+Inputs!$B$43)^INT((38-1)/12)</f>
        <v>4341.0937500000009</v>
      </c>
      <c r="AN68" s="19">
        <f>AN30*Inputs!$B$42/12*(1+Inputs!$B$43)^INT((39-1)/12)</f>
        <v>4341.0937500000009</v>
      </c>
      <c r="AO68" s="19">
        <f>AO30*Inputs!$B$42/12*(1+Inputs!$B$43)^INT((40-1)/12)</f>
        <v>4341.0937500000009</v>
      </c>
      <c r="AP68" s="19">
        <f>AP30*Inputs!$B$42/12*(1+Inputs!$B$43)^INT((41-1)/12)</f>
        <v>4341.0937500000009</v>
      </c>
      <c r="AQ68" s="19">
        <f>AQ30*Inputs!$B$42/12*(1+Inputs!$B$43)^INT((42-1)/12)</f>
        <v>4341.0937500000009</v>
      </c>
      <c r="AR68" s="19">
        <f>AR30*Inputs!$B$42/12*(1+Inputs!$B$43)^INT((43-1)/12)</f>
        <v>4341.0937500000009</v>
      </c>
      <c r="AS68" s="19">
        <f>AS30*Inputs!$B$42/12*(1+Inputs!$B$43)^INT((44-1)/12)</f>
        <v>4341.0937500000009</v>
      </c>
      <c r="AT68" s="19">
        <f>AT30*Inputs!$B$42/12*(1+Inputs!$B$43)^INT((45-1)/12)</f>
        <v>4341.0937500000009</v>
      </c>
      <c r="AU68" s="19">
        <f>AU30*Inputs!$B$42/12*(1+Inputs!$B$43)^INT((46-1)/12)</f>
        <v>4341.0937500000009</v>
      </c>
      <c r="AV68" s="19">
        <f>AV30*Inputs!$B$42/12*(1+Inputs!$B$43)^INT((47-1)/12)</f>
        <v>4341.0937500000009</v>
      </c>
      <c r="AW68" s="19">
        <f>AW30*Inputs!$B$42/12*(1+Inputs!$B$43)^INT((48-1)/12)</f>
        <v>4341.0937500000009</v>
      </c>
      <c r="AX68" s="19">
        <f>AX30*Inputs!$B$42/12*(1+Inputs!$B$43)^INT((49-1)/12)</f>
        <v>4558.1484375</v>
      </c>
      <c r="AY68" s="19">
        <f>AY30*Inputs!$B$42/12*(1+Inputs!$B$43)^INT((50-1)/12)</f>
        <v>4558.1484375</v>
      </c>
      <c r="AZ68" s="19">
        <f>AZ30*Inputs!$B$42/12*(1+Inputs!$B$43)^INT((51-1)/12)</f>
        <v>4558.1484375</v>
      </c>
      <c r="BA68" s="19">
        <f>BA30*Inputs!$B$42/12*(1+Inputs!$B$43)^INT((52-1)/12)</f>
        <v>4558.1484375</v>
      </c>
    </row>
    <row r="69" spans="1:53" x14ac:dyDescent="0.35">
      <c r="A69" s="3" t="s">
        <v>374</v>
      </c>
      <c r="B69" s="19">
        <f>B31*Inputs!$B$35/12*(1+Inputs!$B$43)^INT((1-1)/12)</f>
        <v>0</v>
      </c>
      <c r="C69" s="19">
        <f>C31*Inputs!$B$35/12*(1+Inputs!$B$43)^INT((2-1)/12)</f>
        <v>0</v>
      </c>
      <c r="D69" s="19">
        <f>D31*Inputs!$B$35/12*(1+Inputs!$B$43)^INT((3-1)/12)</f>
        <v>0</v>
      </c>
      <c r="E69" s="19">
        <f>E31*Inputs!$B$35/12*(1+Inputs!$B$43)^INT((4-1)/12)</f>
        <v>0</v>
      </c>
      <c r="F69" s="19">
        <f>F31*Inputs!$B$35/12*(1+Inputs!$B$43)^INT((5-1)/12)</f>
        <v>0</v>
      </c>
      <c r="G69" s="19">
        <f>G31*Inputs!$B$35/12*(1+Inputs!$B$43)^INT((6-1)/12)</f>
        <v>0</v>
      </c>
      <c r="H69" s="19">
        <f>H31*Inputs!$B$35/12*(1+Inputs!$B$43)^INT((7-1)/12)</f>
        <v>0</v>
      </c>
      <c r="I69" s="19">
        <f>I31*Inputs!$B$35/12*(1+Inputs!$B$43)^INT((8-1)/12)</f>
        <v>0</v>
      </c>
      <c r="J69" s="19">
        <f>J31*Inputs!$B$35/12*(1+Inputs!$B$43)^INT((9-1)/12)</f>
        <v>0</v>
      </c>
      <c r="K69" s="19">
        <f>K31*Inputs!$B$35/12*(1+Inputs!$B$43)^INT((10-1)/12)</f>
        <v>0</v>
      </c>
      <c r="L69" s="19">
        <f>L31*Inputs!$B$35/12*(1+Inputs!$B$43)^INT((11-1)/12)</f>
        <v>0</v>
      </c>
      <c r="M69" s="19">
        <f>M31*Inputs!$B$35/12*(1+Inputs!$B$43)^INT((12-1)/12)</f>
        <v>0</v>
      </c>
      <c r="N69" s="19">
        <f>N31*Inputs!$B$35/12*(1+Inputs!$B$43)^INT((13-1)/12)</f>
        <v>0</v>
      </c>
      <c r="O69" s="19">
        <f>O31*Inputs!$B$35/12*(1+Inputs!$B$43)^INT((14-1)/12)</f>
        <v>0</v>
      </c>
      <c r="P69" s="19">
        <f>P31*Inputs!$B$35/12*(1+Inputs!$B$43)^INT((15-1)/12)</f>
        <v>0</v>
      </c>
      <c r="Q69" s="19">
        <f>Q31*Inputs!$B$35/12*(1+Inputs!$B$43)^INT((16-1)/12)</f>
        <v>0</v>
      </c>
      <c r="R69" s="19">
        <f>R31*Inputs!$B$35/12*(1+Inputs!$B$43)^INT((17-1)/12)</f>
        <v>0</v>
      </c>
      <c r="S69" s="19">
        <f>S31*Inputs!$B$35/12*(1+Inputs!$B$43)^INT((18-1)/12)</f>
        <v>0</v>
      </c>
      <c r="T69" s="19">
        <f>T31*Inputs!$B$35/12*(1+Inputs!$B$43)^INT((19-1)/12)</f>
        <v>0</v>
      </c>
      <c r="U69" s="19">
        <f>U31*Inputs!$B$35/12*(1+Inputs!$B$43)^INT((20-1)/12)</f>
        <v>0</v>
      </c>
      <c r="V69" s="19">
        <f>V31*Inputs!$B$35/12*(1+Inputs!$B$43)^INT((21-1)/12)</f>
        <v>0</v>
      </c>
      <c r="W69" s="19">
        <f>W31*Inputs!$B$35/12*(1+Inputs!$B$43)^INT((22-1)/12)</f>
        <v>0</v>
      </c>
      <c r="X69" s="19">
        <f>X31*Inputs!$B$35/12*(1+Inputs!$B$43)^INT((23-1)/12)</f>
        <v>0</v>
      </c>
      <c r="Y69" s="19">
        <f>Y31*Inputs!$B$35/12*(1+Inputs!$B$43)^INT((24-1)/12)</f>
        <v>0</v>
      </c>
      <c r="Z69" s="19">
        <f>Z31*Inputs!$B$35/12*(1+Inputs!$B$43)^INT((25-1)/12)</f>
        <v>0</v>
      </c>
      <c r="AA69" s="19">
        <f>AA31*Inputs!$B$35/12*(1+Inputs!$B$43)^INT((26-1)/12)</f>
        <v>0</v>
      </c>
      <c r="AB69" s="19">
        <f>AB31*Inputs!$B$35/12*(1+Inputs!$B$43)^INT((27-1)/12)</f>
        <v>0</v>
      </c>
      <c r="AC69" s="19">
        <f>AC31*Inputs!$B$35/12*(1+Inputs!$B$43)^INT((28-1)/12)</f>
        <v>0</v>
      </c>
      <c r="AD69" s="19">
        <f>AD31*Inputs!$B$35/12*(1+Inputs!$B$43)^INT((29-1)/12)</f>
        <v>0</v>
      </c>
      <c r="AE69" s="19">
        <f>AE31*Inputs!$B$35/12*(1+Inputs!$B$43)^INT((30-1)/12)</f>
        <v>0</v>
      </c>
      <c r="AF69" s="19">
        <f>AF31*Inputs!$B$35/12*(1+Inputs!$B$43)^INT((31-1)/12)</f>
        <v>0</v>
      </c>
      <c r="AG69" s="19">
        <f>AG31*Inputs!$B$35/12*(1+Inputs!$B$43)^INT((32-1)/12)</f>
        <v>0</v>
      </c>
      <c r="AH69" s="19">
        <f>AH31*Inputs!$B$35/12*(1+Inputs!$B$43)^INT((33-1)/12)</f>
        <v>0</v>
      </c>
      <c r="AI69" s="19">
        <f>AI31*Inputs!$B$35/12*(1+Inputs!$B$43)^INT((34-1)/12)</f>
        <v>0</v>
      </c>
      <c r="AJ69" s="19">
        <f>AJ31*Inputs!$B$35/12*(1+Inputs!$B$43)^INT((35-1)/12)</f>
        <v>0</v>
      </c>
      <c r="AK69" s="19">
        <f>AK31*Inputs!$B$35/12*(1+Inputs!$B$43)^INT((36-1)/12)</f>
        <v>0</v>
      </c>
      <c r="AL69" s="19">
        <f>AL31*Inputs!$B$35/12*(1+Inputs!$B$43)^INT((37-1)/12)</f>
        <v>0</v>
      </c>
      <c r="AM69" s="19">
        <f>AM31*Inputs!$B$35/12*(1+Inputs!$B$43)^INT((38-1)/12)</f>
        <v>8682.1875000000018</v>
      </c>
      <c r="AN69" s="19">
        <f>AN31*Inputs!$B$35/12*(1+Inputs!$B$43)^INT((39-1)/12)</f>
        <v>8682.1875000000018</v>
      </c>
      <c r="AO69" s="19">
        <f>AO31*Inputs!$B$35/12*(1+Inputs!$B$43)^INT((40-1)/12)</f>
        <v>8682.1875000000018</v>
      </c>
      <c r="AP69" s="19">
        <f>AP31*Inputs!$B$35/12*(1+Inputs!$B$43)^INT((41-1)/12)</f>
        <v>8682.1875000000018</v>
      </c>
      <c r="AQ69" s="19">
        <f>AQ31*Inputs!$B$35/12*(1+Inputs!$B$43)^INT((42-1)/12)</f>
        <v>8682.1875000000018</v>
      </c>
      <c r="AR69" s="19">
        <f>AR31*Inputs!$B$35/12*(1+Inputs!$B$43)^INT((43-1)/12)</f>
        <v>8682.1875000000018</v>
      </c>
      <c r="AS69" s="19">
        <f>AS31*Inputs!$B$35/12*(1+Inputs!$B$43)^INT((44-1)/12)</f>
        <v>8682.1875000000018</v>
      </c>
      <c r="AT69" s="19">
        <f>AT31*Inputs!$B$35/12*(1+Inputs!$B$43)^INT((45-1)/12)</f>
        <v>8682.1875000000018</v>
      </c>
      <c r="AU69" s="19">
        <f>AU31*Inputs!$B$35/12*(1+Inputs!$B$43)^INT((46-1)/12)</f>
        <v>8682.1875000000018</v>
      </c>
      <c r="AV69" s="19">
        <f>AV31*Inputs!$B$35/12*(1+Inputs!$B$43)^INT((47-1)/12)</f>
        <v>8682.1875000000018</v>
      </c>
      <c r="AW69" s="19">
        <f>AW31*Inputs!$B$35/12*(1+Inputs!$B$43)^INT((48-1)/12)</f>
        <v>8682.1875000000018</v>
      </c>
      <c r="AX69" s="19">
        <f>AX31*Inputs!$B$35/12*(1+Inputs!$B$43)^INT((49-1)/12)</f>
        <v>9116.296875</v>
      </c>
      <c r="AY69" s="19">
        <f>AY31*Inputs!$B$35/12*(1+Inputs!$B$43)^INT((50-1)/12)</f>
        <v>9116.296875</v>
      </c>
      <c r="AZ69" s="19">
        <f>AZ31*Inputs!$B$35/12*(1+Inputs!$B$43)^INT((51-1)/12)</f>
        <v>9116.296875</v>
      </c>
      <c r="BA69" s="19">
        <f>BA31*Inputs!$B$35/12*(1+Inputs!$B$43)^INT((52-1)/12)</f>
        <v>9116.296875</v>
      </c>
    </row>
    <row r="70" spans="1:53" x14ac:dyDescent="0.35">
      <c r="A70" s="3" t="s">
        <v>375</v>
      </c>
      <c r="B70" s="19">
        <f>B32*Inputs!$B$35/12*(1+Inputs!$B$43)^INT((1-1)/12)</f>
        <v>0</v>
      </c>
      <c r="C70" s="19">
        <f>C32*Inputs!$B$35/12*(1+Inputs!$B$43)^INT((2-1)/12)</f>
        <v>0</v>
      </c>
      <c r="D70" s="19">
        <f>D32*Inputs!$B$35/12*(1+Inputs!$B$43)^INT((3-1)/12)</f>
        <v>0</v>
      </c>
      <c r="E70" s="19">
        <f>E32*Inputs!$B$35/12*(1+Inputs!$B$43)^INT((4-1)/12)</f>
        <v>0</v>
      </c>
      <c r="F70" s="19">
        <f>F32*Inputs!$B$35/12*(1+Inputs!$B$43)^INT((5-1)/12)</f>
        <v>0</v>
      </c>
      <c r="G70" s="19">
        <f>G32*Inputs!$B$35/12*(1+Inputs!$B$43)^INT((6-1)/12)</f>
        <v>0</v>
      </c>
      <c r="H70" s="19">
        <f>H32*Inputs!$B$35/12*(1+Inputs!$B$43)^INT((7-1)/12)</f>
        <v>0</v>
      </c>
      <c r="I70" s="19">
        <f>I32*Inputs!$B$35/12*(1+Inputs!$B$43)^INT((8-1)/12)</f>
        <v>0</v>
      </c>
      <c r="J70" s="19">
        <f>J32*Inputs!$B$35/12*(1+Inputs!$B$43)^INT((9-1)/12)</f>
        <v>0</v>
      </c>
      <c r="K70" s="19">
        <f>K32*Inputs!$B$35/12*(1+Inputs!$B$43)^INT((10-1)/12)</f>
        <v>0</v>
      </c>
      <c r="L70" s="19">
        <f>L32*Inputs!$B$35/12*(1+Inputs!$B$43)^INT((11-1)/12)</f>
        <v>0</v>
      </c>
      <c r="M70" s="19">
        <f>M32*Inputs!$B$35/12*(1+Inputs!$B$43)^INT((12-1)/12)</f>
        <v>0</v>
      </c>
      <c r="N70" s="19">
        <f>N32*Inputs!$B$35/12*(1+Inputs!$B$43)^INT((13-1)/12)</f>
        <v>0</v>
      </c>
      <c r="O70" s="19">
        <f>O32*Inputs!$B$35/12*(1+Inputs!$B$43)^INT((14-1)/12)</f>
        <v>0</v>
      </c>
      <c r="P70" s="19">
        <f>P32*Inputs!$B$35/12*(1+Inputs!$B$43)^INT((15-1)/12)</f>
        <v>0</v>
      </c>
      <c r="Q70" s="19">
        <f>Q32*Inputs!$B$35/12*(1+Inputs!$B$43)^INT((16-1)/12)</f>
        <v>0</v>
      </c>
      <c r="R70" s="19">
        <f>R32*Inputs!$B$35/12*(1+Inputs!$B$43)^INT((17-1)/12)</f>
        <v>0</v>
      </c>
      <c r="S70" s="19">
        <f>S32*Inputs!$B$35/12*(1+Inputs!$B$43)^INT((18-1)/12)</f>
        <v>0</v>
      </c>
      <c r="T70" s="19">
        <f>T32*Inputs!$B$35/12*(1+Inputs!$B$43)^INT((19-1)/12)</f>
        <v>0</v>
      </c>
      <c r="U70" s="19">
        <f>U32*Inputs!$B$35/12*(1+Inputs!$B$43)^INT((20-1)/12)</f>
        <v>0</v>
      </c>
      <c r="V70" s="19">
        <f>V32*Inputs!$B$35/12*(1+Inputs!$B$43)^INT((21-1)/12)</f>
        <v>0</v>
      </c>
      <c r="W70" s="19">
        <f>W32*Inputs!$B$35/12*(1+Inputs!$B$43)^INT((22-1)/12)</f>
        <v>0</v>
      </c>
      <c r="X70" s="19">
        <f>X32*Inputs!$B$35/12*(1+Inputs!$B$43)^INT((23-1)/12)</f>
        <v>0</v>
      </c>
      <c r="Y70" s="19">
        <f>Y32*Inputs!$B$35/12*(1+Inputs!$B$43)^INT((24-1)/12)</f>
        <v>0</v>
      </c>
      <c r="Z70" s="19">
        <f>Z32*Inputs!$B$35/12*(1+Inputs!$B$43)^INT((25-1)/12)</f>
        <v>0</v>
      </c>
      <c r="AA70" s="19">
        <f>AA32*Inputs!$B$35/12*(1+Inputs!$B$43)^INT((26-1)/12)</f>
        <v>0</v>
      </c>
      <c r="AB70" s="19">
        <f>AB32*Inputs!$B$35/12*(1+Inputs!$B$43)^INT((27-1)/12)</f>
        <v>0</v>
      </c>
      <c r="AC70" s="19">
        <f>AC32*Inputs!$B$35/12*(1+Inputs!$B$43)^INT((28-1)/12)</f>
        <v>0</v>
      </c>
      <c r="AD70" s="19">
        <f>AD32*Inputs!$B$35/12*(1+Inputs!$B$43)^INT((29-1)/12)</f>
        <v>0</v>
      </c>
      <c r="AE70" s="19">
        <f>AE32*Inputs!$B$35/12*(1+Inputs!$B$43)^INT((30-1)/12)</f>
        <v>0</v>
      </c>
      <c r="AF70" s="19">
        <f>AF32*Inputs!$B$35/12*(1+Inputs!$B$43)^INT((31-1)/12)</f>
        <v>0</v>
      </c>
      <c r="AG70" s="19">
        <f>AG32*Inputs!$B$35/12*(1+Inputs!$B$43)^INT((32-1)/12)</f>
        <v>0</v>
      </c>
      <c r="AH70" s="19">
        <f>AH32*Inputs!$B$35/12*(1+Inputs!$B$43)^INT((33-1)/12)</f>
        <v>0</v>
      </c>
      <c r="AI70" s="19">
        <f>AI32*Inputs!$B$35/12*(1+Inputs!$B$43)^INT((34-1)/12)</f>
        <v>0</v>
      </c>
      <c r="AJ70" s="19">
        <f>AJ32*Inputs!$B$35/12*(1+Inputs!$B$43)^INT((35-1)/12)</f>
        <v>0</v>
      </c>
      <c r="AK70" s="19">
        <f>AK32*Inputs!$B$35/12*(1+Inputs!$B$43)^INT((36-1)/12)</f>
        <v>0</v>
      </c>
      <c r="AL70" s="19">
        <f>AL32*Inputs!$B$35/12*(1+Inputs!$B$43)^INT((37-1)/12)</f>
        <v>0</v>
      </c>
      <c r="AM70" s="19">
        <f>AM32*Inputs!$B$35/12*(1+Inputs!$B$43)^INT((38-1)/12)</f>
        <v>0</v>
      </c>
      <c r="AN70" s="19">
        <f>AN32*Inputs!$B$35/12*(1+Inputs!$B$43)^INT((39-1)/12)</f>
        <v>0</v>
      </c>
      <c r="AO70" s="19">
        <f>AO32*Inputs!$B$35/12*(1+Inputs!$B$43)^INT((40-1)/12)</f>
        <v>0</v>
      </c>
      <c r="AP70" s="19">
        <f>AP32*Inputs!$B$35/12*(1+Inputs!$B$43)^INT((41-1)/12)</f>
        <v>0</v>
      </c>
      <c r="AQ70" s="19">
        <f>AQ32*Inputs!$B$35/12*(1+Inputs!$B$43)^INT((42-1)/12)</f>
        <v>8682.1875000000018</v>
      </c>
      <c r="AR70" s="19">
        <f>AR32*Inputs!$B$35/12*(1+Inputs!$B$43)^INT((43-1)/12)</f>
        <v>8682.1875000000018</v>
      </c>
      <c r="AS70" s="19">
        <f>AS32*Inputs!$B$35/12*(1+Inputs!$B$43)^INT((44-1)/12)</f>
        <v>8682.1875000000018</v>
      </c>
      <c r="AT70" s="19">
        <f>AT32*Inputs!$B$35/12*(1+Inputs!$B$43)^INT((45-1)/12)</f>
        <v>8682.1875000000018</v>
      </c>
      <c r="AU70" s="19">
        <f>AU32*Inputs!$B$35/12*(1+Inputs!$B$43)^INT((46-1)/12)</f>
        <v>8682.1875000000018</v>
      </c>
      <c r="AV70" s="19">
        <f>AV32*Inputs!$B$35/12*(1+Inputs!$B$43)^INT((47-1)/12)</f>
        <v>8682.1875000000018</v>
      </c>
      <c r="AW70" s="19">
        <f>AW32*Inputs!$B$35/12*(1+Inputs!$B$43)^INT((48-1)/12)</f>
        <v>8682.1875000000018</v>
      </c>
      <c r="AX70" s="19">
        <f>AX32*Inputs!$B$35/12*(1+Inputs!$B$43)^INT((49-1)/12)</f>
        <v>9116.296875</v>
      </c>
      <c r="AY70" s="19">
        <f>AY32*Inputs!$B$35/12*(1+Inputs!$B$43)^INT((50-1)/12)</f>
        <v>9116.296875</v>
      </c>
      <c r="AZ70" s="19">
        <f>AZ32*Inputs!$B$35/12*(1+Inputs!$B$43)^INT((51-1)/12)</f>
        <v>9116.296875</v>
      </c>
      <c r="BA70" s="19">
        <f>BA32*Inputs!$B$35/12*(1+Inputs!$B$43)^INT((52-1)/12)</f>
        <v>9116.296875</v>
      </c>
    </row>
    <row r="71" spans="1:53" x14ac:dyDescent="0.35">
      <c r="A71" s="3" t="s">
        <v>376</v>
      </c>
      <c r="B71" s="19">
        <f>B33*Inputs!$B$36/12*(1+Inputs!$B$43)^INT((1-1)/12)</f>
        <v>0</v>
      </c>
      <c r="C71" s="19">
        <f>C33*Inputs!$B$36/12*(1+Inputs!$B$43)^INT((2-1)/12)</f>
        <v>0</v>
      </c>
      <c r="D71" s="19">
        <f>D33*Inputs!$B$36/12*(1+Inputs!$B$43)^INT((3-1)/12)</f>
        <v>0</v>
      </c>
      <c r="E71" s="19">
        <f>E33*Inputs!$B$36/12*(1+Inputs!$B$43)^INT((4-1)/12)</f>
        <v>0</v>
      </c>
      <c r="F71" s="19">
        <f>F33*Inputs!$B$36/12*(1+Inputs!$B$43)^INT((5-1)/12)</f>
        <v>0</v>
      </c>
      <c r="G71" s="19">
        <f>G33*Inputs!$B$36/12*(1+Inputs!$B$43)^INT((6-1)/12)</f>
        <v>0</v>
      </c>
      <c r="H71" s="19">
        <f>H33*Inputs!$B$36/12*(1+Inputs!$B$43)^INT((7-1)/12)</f>
        <v>0</v>
      </c>
      <c r="I71" s="19">
        <f>I33*Inputs!$B$36/12*(1+Inputs!$B$43)^INT((8-1)/12)</f>
        <v>0</v>
      </c>
      <c r="J71" s="19">
        <f>J33*Inputs!$B$36/12*(1+Inputs!$B$43)^INT((9-1)/12)</f>
        <v>0</v>
      </c>
      <c r="K71" s="19">
        <f>K33*Inputs!$B$36/12*(1+Inputs!$B$43)^INT((10-1)/12)</f>
        <v>0</v>
      </c>
      <c r="L71" s="19">
        <f>L33*Inputs!$B$36/12*(1+Inputs!$B$43)^INT((11-1)/12)</f>
        <v>0</v>
      </c>
      <c r="M71" s="19">
        <f>M33*Inputs!$B$36/12*(1+Inputs!$B$43)^INT((12-1)/12)</f>
        <v>0</v>
      </c>
      <c r="N71" s="19">
        <f>N33*Inputs!$B$36/12*(1+Inputs!$B$43)^INT((13-1)/12)</f>
        <v>0</v>
      </c>
      <c r="O71" s="19">
        <f>O33*Inputs!$B$36/12*(1+Inputs!$B$43)^INT((14-1)/12)</f>
        <v>0</v>
      </c>
      <c r="P71" s="19">
        <f>P33*Inputs!$B$36/12*(1+Inputs!$B$43)^INT((15-1)/12)</f>
        <v>0</v>
      </c>
      <c r="Q71" s="19">
        <f>Q33*Inputs!$B$36/12*(1+Inputs!$B$43)^INT((16-1)/12)</f>
        <v>0</v>
      </c>
      <c r="R71" s="19">
        <f>R33*Inputs!$B$36/12*(1+Inputs!$B$43)^INT((17-1)/12)</f>
        <v>0</v>
      </c>
      <c r="S71" s="19">
        <f>S33*Inputs!$B$36/12*(1+Inputs!$B$43)^INT((18-1)/12)</f>
        <v>0</v>
      </c>
      <c r="T71" s="19">
        <f>T33*Inputs!$B$36/12*(1+Inputs!$B$43)^INT((19-1)/12)</f>
        <v>0</v>
      </c>
      <c r="U71" s="19">
        <f>U33*Inputs!$B$36/12*(1+Inputs!$B$43)^INT((20-1)/12)</f>
        <v>0</v>
      </c>
      <c r="V71" s="19">
        <f>V33*Inputs!$B$36/12*(1+Inputs!$B$43)^INT((21-1)/12)</f>
        <v>0</v>
      </c>
      <c r="W71" s="19">
        <f>W33*Inputs!$B$36/12*(1+Inputs!$B$43)^INT((22-1)/12)</f>
        <v>0</v>
      </c>
      <c r="X71" s="19">
        <f>X33*Inputs!$B$36/12*(1+Inputs!$B$43)^INT((23-1)/12)</f>
        <v>0</v>
      </c>
      <c r="Y71" s="19">
        <f>Y33*Inputs!$B$36/12*(1+Inputs!$B$43)^INT((24-1)/12)</f>
        <v>0</v>
      </c>
      <c r="Z71" s="19">
        <f>Z33*Inputs!$B$36/12*(1+Inputs!$B$43)^INT((25-1)/12)</f>
        <v>0</v>
      </c>
      <c r="AA71" s="19">
        <f>AA33*Inputs!$B$36/12*(1+Inputs!$B$43)^INT((26-1)/12)</f>
        <v>0</v>
      </c>
      <c r="AB71" s="19">
        <f>AB33*Inputs!$B$36/12*(1+Inputs!$B$43)^INT((27-1)/12)</f>
        <v>0</v>
      </c>
      <c r="AC71" s="19">
        <f>AC33*Inputs!$B$36/12*(1+Inputs!$B$43)^INT((28-1)/12)</f>
        <v>0</v>
      </c>
      <c r="AD71" s="19">
        <f>AD33*Inputs!$B$36/12*(1+Inputs!$B$43)^INT((29-1)/12)</f>
        <v>0</v>
      </c>
      <c r="AE71" s="19">
        <f>AE33*Inputs!$B$36/12*(1+Inputs!$B$43)^INT((30-1)/12)</f>
        <v>0</v>
      </c>
      <c r="AF71" s="19">
        <f>AF33*Inputs!$B$36/12*(1+Inputs!$B$43)^INT((31-1)/12)</f>
        <v>0</v>
      </c>
      <c r="AG71" s="19">
        <f>AG33*Inputs!$B$36/12*(1+Inputs!$B$43)^INT((32-1)/12)</f>
        <v>0</v>
      </c>
      <c r="AH71" s="19">
        <f>AH33*Inputs!$B$36/12*(1+Inputs!$B$43)^INT((33-1)/12)</f>
        <v>0</v>
      </c>
      <c r="AI71" s="19">
        <f>AI33*Inputs!$B$36/12*(1+Inputs!$B$43)^INT((34-1)/12)</f>
        <v>0</v>
      </c>
      <c r="AJ71" s="19">
        <f>AJ33*Inputs!$B$36/12*(1+Inputs!$B$43)^INT((35-1)/12)</f>
        <v>0</v>
      </c>
      <c r="AK71" s="19">
        <f>AK33*Inputs!$B$36/12*(1+Inputs!$B$43)^INT((36-1)/12)</f>
        <v>0</v>
      </c>
      <c r="AL71" s="19">
        <f>AL33*Inputs!$B$36/12*(1+Inputs!$B$43)^INT((37-1)/12)</f>
        <v>0</v>
      </c>
      <c r="AM71" s="19">
        <f>AM33*Inputs!$B$36/12*(1+Inputs!$B$43)^INT((38-1)/12)</f>
        <v>0</v>
      </c>
      <c r="AN71" s="19">
        <f>AN33*Inputs!$B$36/12*(1+Inputs!$B$43)^INT((39-1)/12)</f>
        <v>0</v>
      </c>
      <c r="AO71" s="19">
        <f>AO33*Inputs!$B$36/12*(1+Inputs!$B$43)^INT((40-1)/12)</f>
        <v>5788.1250000000009</v>
      </c>
      <c r="AP71" s="19">
        <f>AP33*Inputs!$B$36/12*(1+Inputs!$B$43)^INT((41-1)/12)</f>
        <v>5788.1250000000009</v>
      </c>
      <c r="AQ71" s="19">
        <f>AQ33*Inputs!$B$36/12*(1+Inputs!$B$43)^INT((42-1)/12)</f>
        <v>5788.1250000000009</v>
      </c>
      <c r="AR71" s="19">
        <f>AR33*Inputs!$B$36/12*(1+Inputs!$B$43)^INT((43-1)/12)</f>
        <v>5788.1250000000009</v>
      </c>
      <c r="AS71" s="19">
        <f>AS33*Inputs!$B$36/12*(1+Inputs!$B$43)^INT((44-1)/12)</f>
        <v>5788.1250000000009</v>
      </c>
      <c r="AT71" s="19">
        <f>AT33*Inputs!$B$36/12*(1+Inputs!$B$43)^INT((45-1)/12)</f>
        <v>5788.1250000000009</v>
      </c>
      <c r="AU71" s="19">
        <f>AU33*Inputs!$B$36/12*(1+Inputs!$B$43)^INT((46-1)/12)</f>
        <v>5788.1250000000009</v>
      </c>
      <c r="AV71" s="19">
        <f>AV33*Inputs!$B$36/12*(1+Inputs!$B$43)^INT((47-1)/12)</f>
        <v>5788.1250000000009</v>
      </c>
      <c r="AW71" s="19">
        <f>AW33*Inputs!$B$36/12*(1+Inputs!$B$43)^INT((48-1)/12)</f>
        <v>5788.1250000000009</v>
      </c>
      <c r="AX71" s="19">
        <f>AX33*Inputs!$B$36/12*(1+Inputs!$B$43)^INT((49-1)/12)</f>
        <v>6077.53125</v>
      </c>
      <c r="AY71" s="19">
        <f>AY33*Inputs!$B$36/12*(1+Inputs!$B$43)^INT((50-1)/12)</f>
        <v>6077.53125</v>
      </c>
      <c r="AZ71" s="19">
        <f>AZ33*Inputs!$B$36/12*(1+Inputs!$B$43)^INT((51-1)/12)</f>
        <v>6077.53125</v>
      </c>
      <c r="BA71" s="19">
        <f>BA33*Inputs!$B$36/12*(1+Inputs!$B$43)^INT((52-1)/12)</f>
        <v>6077.53125</v>
      </c>
    </row>
    <row r="72" spans="1:53" x14ac:dyDescent="0.35">
      <c r="A72" s="3" t="s">
        <v>377</v>
      </c>
      <c r="B72" s="19">
        <f>B34*Inputs!$B$37/12*(1+Inputs!$B$43)^INT((1-1)/12)</f>
        <v>0</v>
      </c>
      <c r="C72" s="19">
        <f>C34*Inputs!$B$37/12*(1+Inputs!$B$43)^INT((2-1)/12)</f>
        <v>0</v>
      </c>
      <c r="D72" s="19">
        <f>D34*Inputs!$B$37/12*(1+Inputs!$B$43)^INT((3-1)/12)</f>
        <v>0</v>
      </c>
      <c r="E72" s="19">
        <f>E34*Inputs!$B$37/12*(1+Inputs!$B$43)^INT((4-1)/12)</f>
        <v>0</v>
      </c>
      <c r="F72" s="19">
        <f>F34*Inputs!$B$37/12*(1+Inputs!$B$43)^INT((5-1)/12)</f>
        <v>0</v>
      </c>
      <c r="G72" s="19">
        <f>G34*Inputs!$B$37/12*(1+Inputs!$B$43)^INT((6-1)/12)</f>
        <v>0</v>
      </c>
      <c r="H72" s="19">
        <f>H34*Inputs!$B$37/12*(1+Inputs!$B$43)^INT((7-1)/12)</f>
        <v>0</v>
      </c>
      <c r="I72" s="19">
        <f>I34*Inputs!$B$37/12*(1+Inputs!$B$43)^INT((8-1)/12)</f>
        <v>0</v>
      </c>
      <c r="J72" s="19">
        <f>J34*Inputs!$B$37/12*(1+Inputs!$B$43)^INT((9-1)/12)</f>
        <v>0</v>
      </c>
      <c r="K72" s="19">
        <f>K34*Inputs!$B$37/12*(1+Inputs!$B$43)^INT((10-1)/12)</f>
        <v>0</v>
      </c>
      <c r="L72" s="19">
        <f>L34*Inputs!$B$37/12*(1+Inputs!$B$43)^INT((11-1)/12)</f>
        <v>0</v>
      </c>
      <c r="M72" s="19">
        <f>M34*Inputs!$B$37/12*(1+Inputs!$B$43)^INT((12-1)/12)</f>
        <v>0</v>
      </c>
      <c r="N72" s="19">
        <f>N34*Inputs!$B$37/12*(1+Inputs!$B$43)^INT((13-1)/12)</f>
        <v>0</v>
      </c>
      <c r="O72" s="19">
        <f>O34*Inputs!$B$37/12*(1+Inputs!$B$43)^INT((14-1)/12)</f>
        <v>0</v>
      </c>
      <c r="P72" s="19">
        <f>P34*Inputs!$B$37/12*(1+Inputs!$B$43)^INT((15-1)/12)</f>
        <v>0</v>
      </c>
      <c r="Q72" s="19">
        <f>Q34*Inputs!$B$37/12*(1+Inputs!$B$43)^INT((16-1)/12)</f>
        <v>0</v>
      </c>
      <c r="R72" s="19">
        <f>R34*Inputs!$B$37/12*(1+Inputs!$B$43)^INT((17-1)/12)</f>
        <v>0</v>
      </c>
      <c r="S72" s="19">
        <f>S34*Inputs!$B$37/12*(1+Inputs!$B$43)^INT((18-1)/12)</f>
        <v>0</v>
      </c>
      <c r="T72" s="19">
        <f>T34*Inputs!$B$37/12*(1+Inputs!$B$43)^INT((19-1)/12)</f>
        <v>0</v>
      </c>
      <c r="U72" s="19">
        <f>U34*Inputs!$B$37/12*(1+Inputs!$B$43)^INT((20-1)/12)</f>
        <v>0</v>
      </c>
      <c r="V72" s="19">
        <f>V34*Inputs!$B$37/12*(1+Inputs!$B$43)^INT((21-1)/12)</f>
        <v>0</v>
      </c>
      <c r="W72" s="19">
        <f>W34*Inputs!$B$37/12*(1+Inputs!$B$43)^INT((22-1)/12)</f>
        <v>0</v>
      </c>
      <c r="X72" s="19">
        <f>X34*Inputs!$B$37/12*(1+Inputs!$B$43)^INT((23-1)/12)</f>
        <v>0</v>
      </c>
      <c r="Y72" s="19">
        <f>Y34*Inputs!$B$37/12*(1+Inputs!$B$43)^INT((24-1)/12)</f>
        <v>0</v>
      </c>
      <c r="Z72" s="19">
        <f>Z34*Inputs!$B$37/12*(1+Inputs!$B$43)^INT((25-1)/12)</f>
        <v>0</v>
      </c>
      <c r="AA72" s="19">
        <f>AA34*Inputs!$B$37/12*(1+Inputs!$B$43)^INT((26-1)/12)</f>
        <v>0</v>
      </c>
      <c r="AB72" s="19">
        <f>AB34*Inputs!$B$37/12*(1+Inputs!$B$43)^INT((27-1)/12)</f>
        <v>0</v>
      </c>
      <c r="AC72" s="19">
        <f>AC34*Inputs!$B$37/12*(1+Inputs!$B$43)^INT((28-1)/12)</f>
        <v>0</v>
      </c>
      <c r="AD72" s="19">
        <f>AD34*Inputs!$B$37/12*(1+Inputs!$B$43)^INT((29-1)/12)</f>
        <v>0</v>
      </c>
      <c r="AE72" s="19">
        <f>AE34*Inputs!$B$37/12*(1+Inputs!$B$43)^INT((30-1)/12)</f>
        <v>0</v>
      </c>
      <c r="AF72" s="19">
        <f>AF34*Inputs!$B$37/12*(1+Inputs!$B$43)^INT((31-1)/12)</f>
        <v>0</v>
      </c>
      <c r="AG72" s="19">
        <f>AG34*Inputs!$B$37/12*(1+Inputs!$B$43)^INT((32-1)/12)</f>
        <v>0</v>
      </c>
      <c r="AH72" s="19">
        <f>AH34*Inputs!$B$37/12*(1+Inputs!$B$43)^INT((33-1)/12)</f>
        <v>0</v>
      </c>
      <c r="AI72" s="19">
        <f>AI34*Inputs!$B$37/12*(1+Inputs!$B$43)^INT((34-1)/12)</f>
        <v>0</v>
      </c>
      <c r="AJ72" s="19">
        <f>AJ34*Inputs!$B$37/12*(1+Inputs!$B$43)^INT((35-1)/12)</f>
        <v>0</v>
      </c>
      <c r="AK72" s="19">
        <f>AK34*Inputs!$B$37/12*(1+Inputs!$B$43)^INT((36-1)/12)</f>
        <v>0</v>
      </c>
      <c r="AL72" s="19">
        <f>AL34*Inputs!$B$37/12*(1+Inputs!$B$43)^INT((37-1)/12)</f>
        <v>0</v>
      </c>
      <c r="AM72" s="19">
        <f>AM34*Inputs!$B$37/12*(1+Inputs!$B$43)^INT((38-1)/12)</f>
        <v>0</v>
      </c>
      <c r="AN72" s="19">
        <f>AN34*Inputs!$B$37/12*(1+Inputs!$B$43)^INT((39-1)/12)</f>
        <v>0</v>
      </c>
      <c r="AO72" s="19">
        <f>AO34*Inputs!$B$37/12*(1+Inputs!$B$43)^INT((40-1)/12)</f>
        <v>0</v>
      </c>
      <c r="AP72" s="19">
        <f>AP34*Inputs!$B$37/12*(1+Inputs!$B$43)^INT((41-1)/12)</f>
        <v>0</v>
      </c>
      <c r="AQ72" s="19">
        <f>AQ34*Inputs!$B$37/12*(1+Inputs!$B$43)^INT((42-1)/12)</f>
        <v>0</v>
      </c>
      <c r="AR72" s="19">
        <f>AR34*Inputs!$B$37/12*(1+Inputs!$B$43)^INT((43-1)/12)</f>
        <v>0</v>
      </c>
      <c r="AS72" s="19">
        <f>AS34*Inputs!$B$37/12*(1+Inputs!$B$43)^INT((44-1)/12)</f>
        <v>10611.5625</v>
      </c>
      <c r="AT72" s="19">
        <f>AT34*Inputs!$B$37/12*(1+Inputs!$B$43)^INT((45-1)/12)</f>
        <v>10611.5625</v>
      </c>
      <c r="AU72" s="19">
        <f>AU34*Inputs!$B$37/12*(1+Inputs!$B$43)^INT((46-1)/12)</f>
        <v>10611.5625</v>
      </c>
      <c r="AV72" s="19">
        <f>AV34*Inputs!$B$37/12*(1+Inputs!$B$43)^INT((47-1)/12)</f>
        <v>10611.5625</v>
      </c>
      <c r="AW72" s="19">
        <f>AW34*Inputs!$B$37/12*(1+Inputs!$B$43)^INT((48-1)/12)</f>
        <v>10611.5625</v>
      </c>
      <c r="AX72" s="19">
        <f>AX34*Inputs!$B$37/12*(1+Inputs!$B$43)^INT((49-1)/12)</f>
        <v>11142.140625</v>
      </c>
      <c r="AY72" s="19">
        <f>AY34*Inputs!$B$37/12*(1+Inputs!$B$43)^INT((50-1)/12)</f>
        <v>11142.140625</v>
      </c>
      <c r="AZ72" s="19">
        <f>AZ34*Inputs!$B$37/12*(1+Inputs!$B$43)^INT((51-1)/12)</f>
        <v>11142.140625</v>
      </c>
      <c r="BA72" s="19">
        <f>BA34*Inputs!$B$37/12*(1+Inputs!$B$43)^INT((52-1)/12)</f>
        <v>11142.140625</v>
      </c>
    </row>
    <row r="73" spans="1:53" x14ac:dyDescent="0.35">
      <c r="A73" s="3" t="s">
        <v>378</v>
      </c>
      <c r="B73" s="19">
        <f>B35*Inputs!$B$39/12*(1+Inputs!$B$43)^INT((1-1)/12)</f>
        <v>0</v>
      </c>
      <c r="C73" s="19">
        <f>C35*Inputs!$B$39/12*(1+Inputs!$B$43)^INT((2-1)/12)</f>
        <v>0</v>
      </c>
      <c r="D73" s="19">
        <f>D35*Inputs!$B$39/12*(1+Inputs!$B$43)^INT((3-1)/12)</f>
        <v>0</v>
      </c>
      <c r="E73" s="19">
        <f>E35*Inputs!$B$39/12*(1+Inputs!$B$43)^INT((4-1)/12)</f>
        <v>0</v>
      </c>
      <c r="F73" s="19">
        <f>F35*Inputs!$B$39/12*(1+Inputs!$B$43)^INT((5-1)/12)</f>
        <v>0</v>
      </c>
      <c r="G73" s="19">
        <f>G35*Inputs!$B$39/12*(1+Inputs!$B$43)^INT((6-1)/12)</f>
        <v>0</v>
      </c>
      <c r="H73" s="19">
        <f>H35*Inputs!$B$39/12*(1+Inputs!$B$43)^INT((7-1)/12)</f>
        <v>0</v>
      </c>
      <c r="I73" s="19">
        <f>I35*Inputs!$B$39/12*(1+Inputs!$B$43)^INT((8-1)/12)</f>
        <v>0</v>
      </c>
      <c r="J73" s="19">
        <f>J35*Inputs!$B$39/12*(1+Inputs!$B$43)^INT((9-1)/12)</f>
        <v>0</v>
      </c>
      <c r="K73" s="19">
        <f>K35*Inputs!$B$39/12*(1+Inputs!$B$43)^INT((10-1)/12)</f>
        <v>0</v>
      </c>
      <c r="L73" s="19">
        <f>L35*Inputs!$B$39/12*(1+Inputs!$B$43)^INT((11-1)/12)</f>
        <v>0</v>
      </c>
      <c r="M73" s="19">
        <f>M35*Inputs!$B$39/12*(1+Inputs!$B$43)^INT((12-1)/12)</f>
        <v>0</v>
      </c>
      <c r="N73" s="19">
        <f>N35*Inputs!$B$39/12*(1+Inputs!$B$43)^INT((13-1)/12)</f>
        <v>0</v>
      </c>
      <c r="O73" s="19">
        <f>O35*Inputs!$B$39/12*(1+Inputs!$B$43)^INT((14-1)/12)</f>
        <v>0</v>
      </c>
      <c r="P73" s="19">
        <f>P35*Inputs!$B$39/12*(1+Inputs!$B$43)^INT((15-1)/12)</f>
        <v>0</v>
      </c>
      <c r="Q73" s="19">
        <f>Q35*Inputs!$B$39/12*(1+Inputs!$B$43)^INT((16-1)/12)</f>
        <v>0</v>
      </c>
      <c r="R73" s="19">
        <f>R35*Inputs!$B$39/12*(1+Inputs!$B$43)^INT((17-1)/12)</f>
        <v>0</v>
      </c>
      <c r="S73" s="19">
        <f>S35*Inputs!$B$39/12*(1+Inputs!$B$43)^INT((18-1)/12)</f>
        <v>0</v>
      </c>
      <c r="T73" s="19">
        <f>T35*Inputs!$B$39/12*(1+Inputs!$B$43)^INT((19-1)/12)</f>
        <v>0</v>
      </c>
      <c r="U73" s="19">
        <f>U35*Inputs!$B$39/12*(1+Inputs!$B$43)^INT((20-1)/12)</f>
        <v>0</v>
      </c>
      <c r="V73" s="19">
        <f>V35*Inputs!$B$39/12*(1+Inputs!$B$43)^INT((21-1)/12)</f>
        <v>0</v>
      </c>
      <c r="W73" s="19">
        <f>W35*Inputs!$B$39/12*(1+Inputs!$B$43)^INT((22-1)/12)</f>
        <v>0</v>
      </c>
      <c r="X73" s="19">
        <f>X35*Inputs!$B$39/12*(1+Inputs!$B$43)^INT((23-1)/12)</f>
        <v>0</v>
      </c>
      <c r="Y73" s="19">
        <f>Y35*Inputs!$B$39/12*(1+Inputs!$B$43)^INT((24-1)/12)</f>
        <v>0</v>
      </c>
      <c r="Z73" s="19">
        <f>Z35*Inputs!$B$39/12*(1+Inputs!$B$43)^INT((25-1)/12)</f>
        <v>0</v>
      </c>
      <c r="AA73" s="19">
        <f>AA35*Inputs!$B$39/12*(1+Inputs!$B$43)^INT((26-1)/12)</f>
        <v>0</v>
      </c>
      <c r="AB73" s="19">
        <f>AB35*Inputs!$B$39/12*(1+Inputs!$B$43)^INT((27-1)/12)</f>
        <v>0</v>
      </c>
      <c r="AC73" s="19">
        <f>AC35*Inputs!$B$39/12*(1+Inputs!$B$43)^INT((28-1)/12)</f>
        <v>0</v>
      </c>
      <c r="AD73" s="19">
        <f>AD35*Inputs!$B$39/12*(1+Inputs!$B$43)^INT((29-1)/12)</f>
        <v>0</v>
      </c>
      <c r="AE73" s="19">
        <f>AE35*Inputs!$B$39/12*(1+Inputs!$B$43)^INT((30-1)/12)</f>
        <v>0</v>
      </c>
      <c r="AF73" s="19">
        <f>AF35*Inputs!$B$39/12*(1+Inputs!$B$43)^INT((31-1)/12)</f>
        <v>0</v>
      </c>
      <c r="AG73" s="19">
        <f>AG35*Inputs!$B$39/12*(1+Inputs!$B$43)^INT((32-1)/12)</f>
        <v>0</v>
      </c>
      <c r="AH73" s="19">
        <f>AH35*Inputs!$B$39/12*(1+Inputs!$B$43)^INT((33-1)/12)</f>
        <v>0</v>
      </c>
      <c r="AI73" s="19">
        <f>AI35*Inputs!$B$39/12*(1+Inputs!$B$43)^INT((34-1)/12)</f>
        <v>0</v>
      </c>
      <c r="AJ73" s="19">
        <f>AJ35*Inputs!$B$39/12*(1+Inputs!$B$43)^INT((35-1)/12)</f>
        <v>0</v>
      </c>
      <c r="AK73" s="19">
        <f>AK35*Inputs!$B$39/12*(1+Inputs!$B$43)^INT((36-1)/12)</f>
        <v>0</v>
      </c>
      <c r="AL73" s="19">
        <f>AL35*Inputs!$B$39/12*(1+Inputs!$B$43)^INT((37-1)/12)</f>
        <v>0</v>
      </c>
      <c r="AM73" s="19">
        <f>AM35*Inputs!$B$39/12*(1+Inputs!$B$43)^INT((38-1)/12)</f>
        <v>0</v>
      </c>
      <c r="AN73" s="19">
        <f>AN35*Inputs!$B$39/12*(1+Inputs!$B$43)^INT((39-1)/12)</f>
        <v>0</v>
      </c>
      <c r="AO73" s="19">
        <f>AO35*Inputs!$B$39/12*(1+Inputs!$B$43)^INT((40-1)/12)</f>
        <v>0</v>
      </c>
      <c r="AP73" s="19">
        <f>AP35*Inputs!$B$39/12*(1+Inputs!$B$43)^INT((41-1)/12)</f>
        <v>0</v>
      </c>
      <c r="AQ73" s="19">
        <f>AQ35*Inputs!$B$39/12*(1+Inputs!$B$43)^INT((42-1)/12)</f>
        <v>12540.937500000002</v>
      </c>
      <c r="AR73" s="19">
        <f>AR35*Inputs!$B$39/12*(1+Inputs!$B$43)^INT((43-1)/12)</f>
        <v>12540.937500000002</v>
      </c>
      <c r="AS73" s="19">
        <f>AS35*Inputs!$B$39/12*(1+Inputs!$B$43)^INT((44-1)/12)</f>
        <v>12540.937500000002</v>
      </c>
      <c r="AT73" s="19">
        <f>AT35*Inputs!$B$39/12*(1+Inputs!$B$43)^INT((45-1)/12)</f>
        <v>12540.937500000002</v>
      </c>
      <c r="AU73" s="19">
        <f>AU35*Inputs!$B$39/12*(1+Inputs!$B$43)^INT((46-1)/12)</f>
        <v>12540.937500000002</v>
      </c>
      <c r="AV73" s="19">
        <f>AV35*Inputs!$B$39/12*(1+Inputs!$B$43)^INT((47-1)/12)</f>
        <v>12540.937500000002</v>
      </c>
      <c r="AW73" s="19">
        <f>AW35*Inputs!$B$39/12*(1+Inputs!$B$43)^INT((48-1)/12)</f>
        <v>12540.937500000002</v>
      </c>
      <c r="AX73" s="19">
        <f>AX35*Inputs!$B$39/12*(1+Inputs!$B$43)^INT((49-1)/12)</f>
        <v>13167.984375</v>
      </c>
      <c r="AY73" s="19">
        <f>AY35*Inputs!$B$39/12*(1+Inputs!$B$43)^INT((50-1)/12)</f>
        <v>13167.984375</v>
      </c>
      <c r="AZ73" s="19">
        <f>AZ35*Inputs!$B$39/12*(1+Inputs!$B$43)^INT((51-1)/12)</f>
        <v>13167.984375</v>
      </c>
      <c r="BA73" s="19">
        <f>BA35*Inputs!$B$39/12*(1+Inputs!$B$43)^INT((52-1)/12)</f>
        <v>13167.984375</v>
      </c>
    </row>
    <row r="74" spans="1:53" x14ac:dyDescent="0.35">
      <c r="A74" s="3" t="s">
        <v>379</v>
      </c>
      <c r="B74" s="19">
        <f>B36*Inputs!$B$41/12*(1+Inputs!$B$43)^INT((1-1)/12)</f>
        <v>0</v>
      </c>
      <c r="C74" s="19">
        <f>C36*Inputs!$B$41/12*(1+Inputs!$B$43)^INT((2-1)/12)</f>
        <v>0</v>
      </c>
      <c r="D74" s="19">
        <f>D36*Inputs!$B$41/12*(1+Inputs!$B$43)^INT((3-1)/12)</f>
        <v>0</v>
      </c>
      <c r="E74" s="19">
        <f>E36*Inputs!$B$41/12*(1+Inputs!$B$43)^INT((4-1)/12)</f>
        <v>0</v>
      </c>
      <c r="F74" s="19">
        <f>F36*Inputs!$B$41/12*(1+Inputs!$B$43)^INT((5-1)/12)</f>
        <v>0</v>
      </c>
      <c r="G74" s="19">
        <f>G36*Inputs!$B$41/12*(1+Inputs!$B$43)^INT((6-1)/12)</f>
        <v>0</v>
      </c>
      <c r="H74" s="19">
        <f>H36*Inputs!$B$41/12*(1+Inputs!$B$43)^INT((7-1)/12)</f>
        <v>0</v>
      </c>
      <c r="I74" s="19">
        <f>I36*Inputs!$B$41/12*(1+Inputs!$B$43)^INT((8-1)/12)</f>
        <v>0</v>
      </c>
      <c r="J74" s="19">
        <f>J36*Inputs!$B$41/12*(1+Inputs!$B$43)^INT((9-1)/12)</f>
        <v>0</v>
      </c>
      <c r="K74" s="19">
        <f>K36*Inputs!$B$41/12*(1+Inputs!$B$43)^INT((10-1)/12)</f>
        <v>0</v>
      </c>
      <c r="L74" s="19">
        <f>L36*Inputs!$B$41/12*(1+Inputs!$B$43)^INT((11-1)/12)</f>
        <v>0</v>
      </c>
      <c r="M74" s="19">
        <f>M36*Inputs!$B$41/12*(1+Inputs!$B$43)^INT((12-1)/12)</f>
        <v>0</v>
      </c>
      <c r="N74" s="19">
        <f>N36*Inputs!$B$41/12*(1+Inputs!$B$43)^INT((13-1)/12)</f>
        <v>0</v>
      </c>
      <c r="O74" s="19">
        <f>O36*Inputs!$B$41/12*(1+Inputs!$B$43)^INT((14-1)/12)</f>
        <v>0</v>
      </c>
      <c r="P74" s="19">
        <f>P36*Inputs!$B$41/12*(1+Inputs!$B$43)^INT((15-1)/12)</f>
        <v>0</v>
      </c>
      <c r="Q74" s="19">
        <f>Q36*Inputs!$B$41/12*(1+Inputs!$B$43)^INT((16-1)/12)</f>
        <v>0</v>
      </c>
      <c r="R74" s="19">
        <f>R36*Inputs!$B$41/12*(1+Inputs!$B$43)^INT((17-1)/12)</f>
        <v>0</v>
      </c>
      <c r="S74" s="19">
        <f>S36*Inputs!$B$41/12*(1+Inputs!$B$43)^INT((18-1)/12)</f>
        <v>0</v>
      </c>
      <c r="T74" s="19">
        <f>T36*Inputs!$B$41/12*(1+Inputs!$B$43)^INT((19-1)/12)</f>
        <v>0</v>
      </c>
      <c r="U74" s="19">
        <f>U36*Inputs!$B$41/12*(1+Inputs!$B$43)^INT((20-1)/12)</f>
        <v>0</v>
      </c>
      <c r="V74" s="19">
        <f>V36*Inputs!$B$41/12*(1+Inputs!$B$43)^INT((21-1)/12)</f>
        <v>0</v>
      </c>
      <c r="W74" s="19">
        <f>W36*Inputs!$B$41/12*(1+Inputs!$B$43)^INT((22-1)/12)</f>
        <v>0</v>
      </c>
      <c r="X74" s="19">
        <f>X36*Inputs!$B$41/12*(1+Inputs!$B$43)^INT((23-1)/12)</f>
        <v>0</v>
      </c>
      <c r="Y74" s="19">
        <f>Y36*Inputs!$B$41/12*(1+Inputs!$B$43)^INT((24-1)/12)</f>
        <v>0</v>
      </c>
      <c r="Z74" s="19">
        <f>Z36*Inputs!$B$41/12*(1+Inputs!$B$43)^INT((25-1)/12)</f>
        <v>0</v>
      </c>
      <c r="AA74" s="19">
        <f>AA36*Inputs!$B$41/12*(1+Inputs!$B$43)^INT((26-1)/12)</f>
        <v>0</v>
      </c>
      <c r="AB74" s="19">
        <f>AB36*Inputs!$B$41/12*(1+Inputs!$B$43)^INT((27-1)/12)</f>
        <v>0</v>
      </c>
      <c r="AC74" s="19">
        <f>AC36*Inputs!$B$41/12*(1+Inputs!$B$43)^INT((28-1)/12)</f>
        <v>0</v>
      </c>
      <c r="AD74" s="19">
        <f>AD36*Inputs!$B$41/12*(1+Inputs!$B$43)^INT((29-1)/12)</f>
        <v>0</v>
      </c>
      <c r="AE74" s="19">
        <f>AE36*Inputs!$B$41/12*(1+Inputs!$B$43)^INT((30-1)/12)</f>
        <v>0</v>
      </c>
      <c r="AF74" s="19">
        <f>AF36*Inputs!$B$41/12*(1+Inputs!$B$43)^INT((31-1)/12)</f>
        <v>0</v>
      </c>
      <c r="AG74" s="19">
        <f>AG36*Inputs!$B$41/12*(1+Inputs!$B$43)^INT((32-1)/12)</f>
        <v>0</v>
      </c>
      <c r="AH74" s="19">
        <f>AH36*Inputs!$B$41/12*(1+Inputs!$B$43)^INT((33-1)/12)</f>
        <v>0</v>
      </c>
      <c r="AI74" s="19">
        <f>AI36*Inputs!$B$41/12*(1+Inputs!$B$43)^INT((34-1)/12)</f>
        <v>0</v>
      </c>
      <c r="AJ74" s="19">
        <f>AJ36*Inputs!$B$41/12*(1+Inputs!$B$43)^INT((35-1)/12)</f>
        <v>0</v>
      </c>
      <c r="AK74" s="19">
        <f>AK36*Inputs!$B$41/12*(1+Inputs!$B$43)^INT((36-1)/12)</f>
        <v>0</v>
      </c>
      <c r="AL74" s="19">
        <f>AL36*Inputs!$B$41/12*(1+Inputs!$B$43)^INT((37-1)/12)</f>
        <v>0</v>
      </c>
      <c r="AM74" s="19">
        <f>AM36*Inputs!$B$41/12*(1+Inputs!$B$43)^INT((38-1)/12)</f>
        <v>0</v>
      </c>
      <c r="AN74" s="19">
        <f>AN36*Inputs!$B$41/12*(1+Inputs!$B$43)^INT((39-1)/12)</f>
        <v>0</v>
      </c>
      <c r="AO74" s="19">
        <f>AO36*Inputs!$B$41/12*(1+Inputs!$B$43)^INT((40-1)/12)</f>
        <v>0</v>
      </c>
      <c r="AP74" s="19">
        <f>AP36*Inputs!$B$41/12*(1+Inputs!$B$43)^INT((41-1)/12)</f>
        <v>0</v>
      </c>
      <c r="AQ74" s="19">
        <f>AQ36*Inputs!$B$41/12*(1+Inputs!$B$43)^INT((42-1)/12)</f>
        <v>0</v>
      </c>
      <c r="AR74" s="19">
        <f>AR36*Inputs!$B$41/12*(1+Inputs!$B$43)^INT((43-1)/12)</f>
        <v>0</v>
      </c>
      <c r="AS74" s="19">
        <f>AS36*Inputs!$B$41/12*(1+Inputs!$B$43)^INT((44-1)/12)</f>
        <v>6270.4687500000009</v>
      </c>
      <c r="AT74" s="19">
        <f>AT36*Inputs!$B$41/12*(1+Inputs!$B$43)^INT((45-1)/12)</f>
        <v>6270.4687500000009</v>
      </c>
      <c r="AU74" s="19">
        <f>AU36*Inputs!$B$41/12*(1+Inputs!$B$43)^INT((46-1)/12)</f>
        <v>6270.4687500000009</v>
      </c>
      <c r="AV74" s="19">
        <f>AV36*Inputs!$B$41/12*(1+Inputs!$B$43)^INT((47-1)/12)</f>
        <v>6270.4687500000009</v>
      </c>
      <c r="AW74" s="19">
        <f>AW36*Inputs!$B$41/12*(1+Inputs!$B$43)^INT((48-1)/12)</f>
        <v>6270.4687500000009</v>
      </c>
      <c r="AX74" s="19">
        <f>AX36*Inputs!$B$41/12*(1+Inputs!$B$43)^INT((49-1)/12)</f>
        <v>6583.9921875</v>
      </c>
      <c r="AY74" s="19">
        <f>AY36*Inputs!$B$41/12*(1+Inputs!$B$43)^INT((50-1)/12)</f>
        <v>6583.9921875</v>
      </c>
      <c r="AZ74" s="19">
        <f>AZ36*Inputs!$B$41/12*(1+Inputs!$B$43)^INT((51-1)/12)</f>
        <v>6583.9921875</v>
      </c>
      <c r="BA74" s="19">
        <f>BA36*Inputs!$B$41/12*(1+Inputs!$B$43)^INT((52-1)/12)</f>
        <v>6583.9921875</v>
      </c>
    </row>
    <row r="75" spans="1:53" x14ac:dyDescent="0.35">
      <c r="A75" s="3" t="s">
        <v>380</v>
      </c>
      <c r="B75" s="19">
        <f>B37*Inputs!$B$40/12*(1+Inputs!$B$43)^INT((1-1)/12)</f>
        <v>0</v>
      </c>
      <c r="C75" s="19">
        <f>C37*Inputs!$B$40/12*(1+Inputs!$B$43)^INT((2-1)/12)</f>
        <v>0</v>
      </c>
      <c r="D75" s="19">
        <f>D37*Inputs!$B$40/12*(1+Inputs!$B$43)^INT((3-1)/12)</f>
        <v>0</v>
      </c>
      <c r="E75" s="19">
        <f>E37*Inputs!$B$40/12*(1+Inputs!$B$43)^INT((4-1)/12)</f>
        <v>0</v>
      </c>
      <c r="F75" s="19">
        <f>F37*Inputs!$B$40/12*(1+Inputs!$B$43)^INT((5-1)/12)</f>
        <v>0</v>
      </c>
      <c r="G75" s="19">
        <f>G37*Inputs!$B$40/12*(1+Inputs!$B$43)^INT((6-1)/12)</f>
        <v>0</v>
      </c>
      <c r="H75" s="19">
        <f>H37*Inputs!$B$40/12*(1+Inputs!$B$43)^INT((7-1)/12)</f>
        <v>0</v>
      </c>
      <c r="I75" s="19">
        <f>I37*Inputs!$B$40/12*(1+Inputs!$B$43)^INT((8-1)/12)</f>
        <v>0</v>
      </c>
      <c r="J75" s="19">
        <f>J37*Inputs!$B$40/12*(1+Inputs!$B$43)^INT((9-1)/12)</f>
        <v>0</v>
      </c>
      <c r="K75" s="19">
        <f>K37*Inputs!$B$40/12*(1+Inputs!$B$43)^INT((10-1)/12)</f>
        <v>0</v>
      </c>
      <c r="L75" s="19">
        <f>L37*Inputs!$B$40/12*(1+Inputs!$B$43)^INT((11-1)/12)</f>
        <v>0</v>
      </c>
      <c r="M75" s="19">
        <f>M37*Inputs!$B$40/12*(1+Inputs!$B$43)^INT((12-1)/12)</f>
        <v>0</v>
      </c>
      <c r="N75" s="19">
        <f>N37*Inputs!$B$40/12*(1+Inputs!$B$43)^INT((13-1)/12)</f>
        <v>0</v>
      </c>
      <c r="O75" s="19">
        <f>O37*Inputs!$B$40/12*(1+Inputs!$B$43)^INT((14-1)/12)</f>
        <v>0</v>
      </c>
      <c r="P75" s="19">
        <f>P37*Inputs!$B$40/12*(1+Inputs!$B$43)^INT((15-1)/12)</f>
        <v>0</v>
      </c>
      <c r="Q75" s="19">
        <f>Q37*Inputs!$B$40/12*(1+Inputs!$B$43)^INT((16-1)/12)</f>
        <v>0</v>
      </c>
      <c r="R75" s="19">
        <f>R37*Inputs!$B$40/12*(1+Inputs!$B$43)^INT((17-1)/12)</f>
        <v>0</v>
      </c>
      <c r="S75" s="19">
        <f>S37*Inputs!$B$40/12*(1+Inputs!$B$43)^INT((18-1)/12)</f>
        <v>0</v>
      </c>
      <c r="T75" s="19">
        <f>T37*Inputs!$B$40/12*(1+Inputs!$B$43)^INT((19-1)/12)</f>
        <v>0</v>
      </c>
      <c r="U75" s="19">
        <f>U37*Inputs!$B$40/12*(1+Inputs!$B$43)^INT((20-1)/12)</f>
        <v>0</v>
      </c>
      <c r="V75" s="19">
        <f>V37*Inputs!$B$40/12*(1+Inputs!$B$43)^INT((21-1)/12)</f>
        <v>0</v>
      </c>
      <c r="W75" s="19">
        <f>W37*Inputs!$B$40/12*(1+Inputs!$B$43)^INT((22-1)/12)</f>
        <v>0</v>
      </c>
      <c r="X75" s="19">
        <f>X37*Inputs!$B$40/12*(1+Inputs!$B$43)^INT((23-1)/12)</f>
        <v>0</v>
      </c>
      <c r="Y75" s="19">
        <f>Y37*Inputs!$B$40/12*(1+Inputs!$B$43)^INT((24-1)/12)</f>
        <v>0</v>
      </c>
      <c r="Z75" s="19">
        <f>Z37*Inputs!$B$40/12*(1+Inputs!$B$43)^INT((25-1)/12)</f>
        <v>0</v>
      </c>
      <c r="AA75" s="19">
        <f>AA37*Inputs!$B$40/12*(1+Inputs!$B$43)^INT((26-1)/12)</f>
        <v>0</v>
      </c>
      <c r="AB75" s="19">
        <f>AB37*Inputs!$B$40/12*(1+Inputs!$B$43)^INT((27-1)/12)</f>
        <v>0</v>
      </c>
      <c r="AC75" s="19">
        <f>AC37*Inputs!$B$40/12*(1+Inputs!$B$43)^INT((28-1)/12)</f>
        <v>0</v>
      </c>
      <c r="AD75" s="19">
        <f>AD37*Inputs!$B$40/12*(1+Inputs!$B$43)^INT((29-1)/12)</f>
        <v>0</v>
      </c>
      <c r="AE75" s="19">
        <f>AE37*Inputs!$B$40/12*(1+Inputs!$B$43)^INT((30-1)/12)</f>
        <v>0</v>
      </c>
      <c r="AF75" s="19">
        <f>AF37*Inputs!$B$40/12*(1+Inputs!$B$43)^INT((31-1)/12)</f>
        <v>0</v>
      </c>
      <c r="AG75" s="19">
        <f>AG37*Inputs!$B$40/12*(1+Inputs!$B$43)^INT((32-1)/12)</f>
        <v>0</v>
      </c>
      <c r="AH75" s="19">
        <f>AH37*Inputs!$B$40/12*(1+Inputs!$B$43)^INT((33-1)/12)</f>
        <v>0</v>
      </c>
      <c r="AI75" s="19">
        <f>AI37*Inputs!$B$40/12*(1+Inputs!$B$43)^INT((34-1)/12)</f>
        <v>0</v>
      </c>
      <c r="AJ75" s="19">
        <f>AJ37*Inputs!$B$40/12*(1+Inputs!$B$43)^INT((35-1)/12)</f>
        <v>0</v>
      </c>
      <c r="AK75" s="19">
        <f>AK37*Inputs!$B$40/12*(1+Inputs!$B$43)^INT((36-1)/12)</f>
        <v>0</v>
      </c>
      <c r="AL75" s="19">
        <f>AL37*Inputs!$B$40/12*(1+Inputs!$B$43)^INT((37-1)/12)</f>
        <v>0</v>
      </c>
      <c r="AM75" s="19">
        <f>AM37*Inputs!$B$40/12*(1+Inputs!$B$43)^INT((38-1)/12)</f>
        <v>0</v>
      </c>
      <c r="AN75" s="19">
        <f>AN37*Inputs!$B$40/12*(1+Inputs!$B$43)^INT((39-1)/12)</f>
        <v>0</v>
      </c>
      <c r="AO75" s="19">
        <f>AO37*Inputs!$B$40/12*(1+Inputs!$B$43)^INT((40-1)/12)</f>
        <v>6270.4687500000009</v>
      </c>
      <c r="AP75" s="19">
        <f>AP37*Inputs!$B$40/12*(1+Inputs!$B$43)^INT((41-1)/12)</f>
        <v>6270.4687500000009</v>
      </c>
      <c r="AQ75" s="19">
        <f>AQ37*Inputs!$B$40/12*(1+Inputs!$B$43)^INT((42-1)/12)</f>
        <v>6270.4687500000009</v>
      </c>
      <c r="AR75" s="19">
        <f>AR37*Inputs!$B$40/12*(1+Inputs!$B$43)^INT((43-1)/12)</f>
        <v>6270.4687500000009</v>
      </c>
      <c r="AS75" s="19">
        <f>AS37*Inputs!$B$40/12*(1+Inputs!$B$43)^INT((44-1)/12)</f>
        <v>6270.4687500000009</v>
      </c>
      <c r="AT75" s="19">
        <f>AT37*Inputs!$B$40/12*(1+Inputs!$B$43)^INT((45-1)/12)</f>
        <v>6270.4687500000009</v>
      </c>
      <c r="AU75" s="19">
        <f>AU37*Inputs!$B$40/12*(1+Inputs!$B$43)^INT((46-1)/12)</f>
        <v>6270.4687500000009</v>
      </c>
      <c r="AV75" s="19">
        <f>AV37*Inputs!$B$40/12*(1+Inputs!$B$43)^INT((47-1)/12)</f>
        <v>6270.4687500000009</v>
      </c>
      <c r="AW75" s="19">
        <f>AW37*Inputs!$B$40/12*(1+Inputs!$B$43)^INT((48-1)/12)</f>
        <v>6270.4687500000009</v>
      </c>
      <c r="AX75" s="19">
        <f>AX37*Inputs!$B$40/12*(1+Inputs!$B$43)^INT((49-1)/12)</f>
        <v>6583.9921875</v>
      </c>
      <c r="AY75" s="19">
        <f>AY37*Inputs!$B$40/12*(1+Inputs!$B$43)^INT((50-1)/12)</f>
        <v>6583.9921875</v>
      </c>
      <c r="AZ75" s="19">
        <f>AZ37*Inputs!$B$40/12*(1+Inputs!$B$43)^INT((51-1)/12)</f>
        <v>6583.9921875</v>
      </c>
      <c r="BA75" s="19">
        <f>BA37*Inputs!$B$40/12*(1+Inputs!$B$43)^INT((52-1)/12)</f>
        <v>6583.9921875</v>
      </c>
    </row>
    <row r="76" spans="1:53" x14ac:dyDescent="0.35">
      <c r="A76" s="2" t="s">
        <v>381</v>
      </c>
      <c r="B76" s="19">
        <f t="shared" ref="B76:AG76" si="2">SUM(B41:B75)</f>
        <v>18000</v>
      </c>
      <c r="C76" s="19">
        <f t="shared" si="2"/>
        <v>18000</v>
      </c>
      <c r="D76" s="19">
        <f t="shared" si="2"/>
        <v>18000</v>
      </c>
      <c r="E76" s="19">
        <f t="shared" si="2"/>
        <v>18000</v>
      </c>
      <c r="F76" s="19">
        <f t="shared" si="2"/>
        <v>18000</v>
      </c>
      <c r="G76" s="19">
        <f t="shared" si="2"/>
        <v>18000</v>
      </c>
      <c r="H76" s="19">
        <f t="shared" si="2"/>
        <v>25500</v>
      </c>
      <c r="I76" s="19">
        <f t="shared" si="2"/>
        <v>34666.666666666664</v>
      </c>
      <c r="J76" s="19">
        <f t="shared" si="2"/>
        <v>39666.666666666664</v>
      </c>
      <c r="K76" s="19">
        <f t="shared" si="2"/>
        <v>58000</v>
      </c>
      <c r="L76" s="19">
        <f t="shared" si="2"/>
        <v>63416.666666666664</v>
      </c>
      <c r="M76" s="19">
        <f t="shared" si="2"/>
        <v>68833.333333333328</v>
      </c>
      <c r="N76" s="19">
        <f t="shared" si="2"/>
        <v>79275</v>
      </c>
      <c r="O76" s="19">
        <f t="shared" si="2"/>
        <v>92837.5</v>
      </c>
      <c r="P76" s="19">
        <f t="shared" si="2"/>
        <v>92837.5</v>
      </c>
      <c r="Q76" s="19">
        <f t="shared" si="2"/>
        <v>92837.5</v>
      </c>
      <c r="R76" s="19">
        <f t="shared" si="2"/>
        <v>92837.5</v>
      </c>
      <c r="S76" s="19">
        <f t="shared" si="2"/>
        <v>116025</v>
      </c>
      <c r="T76" s="19">
        <f t="shared" si="2"/>
        <v>116025</v>
      </c>
      <c r="U76" s="19">
        <f t="shared" si="2"/>
        <v>121275</v>
      </c>
      <c r="V76" s="19">
        <f t="shared" si="2"/>
        <v>121275</v>
      </c>
      <c r="W76" s="19">
        <f t="shared" si="2"/>
        <v>130900</v>
      </c>
      <c r="X76" s="19">
        <f t="shared" si="2"/>
        <v>130900</v>
      </c>
      <c r="Y76" s="19">
        <f t="shared" si="2"/>
        <v>144462.5</v>
      </c>
      <c r="Z76" s="19">
        <f t="shared" si="2"/>
        <v>151685.625</v>
      </c>
      <c r="AA76" s="19">
        <f t="shared" si="2"/>
        <v>163629.375</v>
      </c>
      <c r="AB76" s="19">
        <f t="shared" si="2"/>
        <v>163629.375</v>
      </c>
      <c r="AC76" s="19">
        <f t="shared" si="2"/>
        <v>169601.25</v>
      </c>
      <c r="AD76" s="19">
        <f t="shared" si="2"/>
        <v>169601.25</v>
      </c>
      <c r="AE76" s="19">
        <f t="shared" si="2"/>
        <v>185220</v>
      </c>
      <c r="AF76" s="19">
        <f t="shared" si="2"/>
        <v>185220</v>
      </c>
      <c r="AG76" s="19">
        <f t="shared" si="2"/>
        <v>190732.5</v>
      </c>
      <c r="AH76" s="19">
        <f t="shared" ref="AH76:BA76" si="3">SUM(AH41:AH75)</f>
        <v>190732.5</v>
      </c>
      <c r="AI76" s="19">
        <f t="shared" si="3"/>
        <v>200838.75</v>
      </c>
      <c r="AJ76" s="19">
        <f t="shared" si="3"/>
        <v>200838.75</v>
      </c>
      <c r="AK76" s="19">
        <f t="shared" si="3"/>
        <v>218754.375</v>
      </c>
      <c r="AL76" s="19">
        <f t="shared" si="3"/>
        <v>229692.09375000003</v>
      </c>
      <c r="AM76" s="19">
        <f t="shared" si="3"/>
        <v>238374.28125000003</v>
      </c>
      <c r="AN76" s="19">
        <f t="shared" si="3"/>
        <v>238374.28125000003</v>
      </c>
      <c r="AO76" s="19">
        <f t="shared" si="3"/>
        <v>250432.87500000003</v>
      </c>
      <c r="AP76" s="19">
        <f t="shared" si="3"/>
        <v>250432.87500000003</v>
      </c>
      <c r="AQ76" s="19">
        <f t="shared" si="3"/>
        <v>271656.00000000006</v>
      </c>
      <c r="AR76" s="19">
        <f t="shared" si="3"/>
        <v>271656.00000000006</v>
      </c>
      <c r="AS76" s="19">
        <f t="shared" si="3"/>
        <v>288538.03125</v>
      </c>
      <c r="AT76" s="19">
        <f t="shared" si="3"/>
        <v>288538.03125</v>
      </c>
      <c r="AU76" s="19">
        <f t="shared" si="3"/>
        <v>288538.03125</v>
      </c>
      <c r="AV76" s="19">
        <f t="shared" si="3"/>
        <v>288538.03125</v>
      </c>
      <c r="AW76" s="19">
        <f t="shared" si="3"/>
        <v>288538.03125</v>
      </c>
      <c r="AX76" s="19">
        <f t="shared" si="3"/>
        <v>302964.93281249999</v>
      </c>
      <c r="AY76" s="19">
        <f t="shared" si="3"/>
        <v>302964.93281249999</v>
      </c>
      <c r="AZ76" s="19">
        <f t="shared" si="3"/>
        <v>302964.93281249999</v>
      </c>
      <c r="BA76" s="19">
        <f t="shared" si="3"/>
        <v>302964.93281249999</v>
      </c>
    </row>
    <row r="77" spans="1:53" x14ac:dyDescent="0.35">
      <c r="A77" s="3" t="s">
        <v>382</v>
      </c>
      <c r="B77" s="19">
        <f>B76*Inputs!$B$44</f>
        <v>3780</v>
      </c>
      <c r="C77" s="19">
        <f>C76*Inputs!$B$44</f>
        <v>3780</v>
      </c>
      <c r="D77" s="19">
        <f>D76*Inputs!$B$44</f>
        <v>3780</v>
      </c>
      <c r="E77" s="19">
        <f>E76*Inputs!$B$44</f>
        <v>3780</v>
      </c>
      <c r="F77" s="19">
        <f>F76*Inputs!$B$44</f>
        <v>3780</v>
      </c>
      <c r="G77" s="19">
        <f>G76*Inputs!$B$44</f>
        <v>3780</v>
      </c>
      <c r="H77" s="19">
        <f>H76*Inputs!$B$44</f>
        <v>5355</v>
      </c>
      <c r="I77" s="19">
        <f>I76*Inputs!$B$44</f>
        <v>7279.9999999999991</v>
      </c>
      <c r="J77" s="19">
        <f>J76*Inputs!$B$44</f>
        <v>8330</v>
      </c>
      <c r="K77" s="19">
        <f>K76*Inputs!$B$44</f>
        <v>12180</v>
      </c>
      <c r="L77" s="19">
        <f>L76*Inputs!$B$44</f>
        <v>13317.499999999998</v>
      </c>
      <c r="M77" s="19">
        <f>M76*Inputs!$B$44</f>
        <v>14454.999999999998</v>
      </c>
      <c r="N77" s="19">
        <f>N76*Inputs!$B$44</f>
        <v>16647.75</v>
      </c>
      <c r="O77" s="19">
        <f>O76*Inputs!$B$44</f>
        <v>19495.875</v>
      </c>
      <c r="P77" s="19">
        <f>P76*Inputs!$B$44</f>
        <v>19495.875</v>
      </c>
      <c r="Q77" s="19">
        <f>Q76*Inputs!$B$44</f>
        <v>19495.875</v>
      </c>
      <c r="R77" s="19">
        <f>R76*Inputs!$B$44</f>
        <v>19495.875</v>
      </c>
      <c r="S77" s="19">
        <f>S76*Inputs!$B$44</f>
        <v>24365.25</v>
      </c>
      <c r="T77" s="19">
        <f>T76*Inputs!$B$44</f>
        <v>24365.25</v>
      </c>
      <c r="U77" s="19">
        <f>U76*Inputs!$B$44</f>
        <v>25467.75</v>
      </c>
      <c r="V77" s="19">
        <f>V76*Inputs!$B$44</f>
        <v>25467.75</v>
      </c>
      <c r="W77" s="19">
        <f>W76*Inputs!$B$44</f>
        <v>27489</v>
      </c>
      <c r="X77" s="19">
        <f>X76*Inputs!$B$44</f>
        <v>27489</v>
      </c>
      <c r="Y77" s="19">
        <f>Y76*Inputs!$B$44</f>
        <v>30337.125</v>
      </c>
      <c r="Z77" s="19">
        <f>Z76*Inputs!$B$44</f>
        <v>31853.981249999997</v>
      </c>
      <c r="AA77" s="19">
        <f>AA76*Inputs!$B$44</f>
        <v>34362.168749999997</v>
      </c>
      <c r="AB77" s="19">
        <f>AB76*Inputs!$B$44</f>
        <v>34362.168749999997</v>
      </c>
      <c r="AC77" s="19">
        <f>AC76*Inputs!$B$44</f>
        <v>35616.262499999997</v>
      </c>
      <c r="AD77" s="19">
        <f>AD76*Inputs!$B$44</f>
        <v>35616.262499999997</v>
      </c>
      <c r="AE77" s="19">
        <f>AE76*Inputs!$B$44</f>
        <v>38896.199999999997</v>
      </c>
      <c r="AF77" s="19">
        <f>AF76*Inputs!$B$44</f>
        <v>38896.199999999997</v>
      </c>
      <c r="AG77" s="19">
        <f>AG76*Inputs!$B$44</f>
        <v>40053.824999999997</v>
      </c>
      <c r="AH77" s="19">
        <f>AH76*Inputs!$B$44</f>
        <v>40053.824999999997</v>
      </c>
      <c r="AI77" s="19">
        <f>AI76*Inputs!$B$44</f>
        <v>42176.137499999997</v>
      </c>
      <c r="AJ77" s="19">
        <f>AJ76*Inputs!$B$44</f>
        <v>42176.137499999997</v>
      </c>
      <c r="AK77" s="19">
        <f>AK76*Inputs!$B$44</f>
        <v>45938.418749999997</v>
      </c>
      <c r="AL77" s="19">
        <f>AL76*Inputs!$B$44</f>
        <v>48235.339687500003</v>
      </c>
      <c r="AM77" s="19">
        <f>AM76*Inputs!$B$44</f>
        <v>50058.599062500005</v>
      </c>
      <c r="AN77" s="19">
        <f>AN76*Inputs!$B$44</f>
        <v>50058.599062500005</v>
      </c>
      <c r="AO77" s="19">
        <f>AO76*Inputs!$B$44</f>
        <v>52590.903750000005</v>
      </c>
      <c r="AP77" s="19">
        <f>AP76*Inputs!$B$44</f>
        <v>52590.903750000005</v>
      </c>
      <c r="AQ77" s="19">
        <f>AQ76*Inputs!$B$44</f>
        <v>57047.760000000009</v>
      </c>
      <c r="AR77" s="19">
        <f>AR76*Inputs!$B$44</f>
        <v>57047.760000000009</v>
      </c>
      <c r="AS77" s="19">
        <f>AS76*Inputs!$B$44</f>
        <v>60592.986562499995</v>
      </c>
      <c r="AT77" s="19">
        <f>AT76*Inputs!$B$44</f>
        <v>60592.986562499995</v>
      </c>
      <c r="AU77" s="19">
        <f>AU76*Inputs!$B$44</f>
        <v>60592.986562499995</v>
      </c>
      <c r="AV77" s="19">
        <f>AV76*Inputs!$B$44</f>
        <v>60592.986562499995</v>
      </c>
      <c r="AW77" s="19">
        <f>AW76*Inputs!$B$44</f>
        <v>60592.986562499995</v>
      </c>
      <c r="AX77" s="19">
        <f>AX76*Inputs!$B$44</f>
        <v>63622.635890624995</v>
      </c>
      <c r="AY77" s="19">
        <f>AY76*Inputs!$B$44</f>
        <v>63622.635890624995</v>
      </c>
      <c r="AZ77" s="19">
        <f>AZ76*Inputs!$B$44</f>
        <v>63622.635890624995</v>
      </c>
      <c r="BA77" s="19">
        <f>BA76*Inputs!$B$44</f>
        <v>63622.635890624995</v>
      </c>
    </row>
    <row r="78" spans="1:53" x14ac:dyDescent="0.35">
      <c r="A78" s="2" t="s">
        <v>383</v>
      </c>
      <c r="B78" s="17">
        <f t="shared" ref="B78:AG78" si="4">B76+B77</f>
        <v>21780</v>
      </c>
      <c r="C78" s="17">
        <f t="shared" si="4"/>
        <v>21780</v>
      </c>
      <c r="D78" s="17">
        <f t="shared" si="4"/>
        <v>21780</v>
      </c>
      <c r="E78" s="17">
        <f t="shared" si="4"/>
        <v>21780</v>
      </c>
      <c r="F78" s="17">
        <f t="shared" si="4"/>
        <v>21780</v>
      </c>
      <c r="G78" s="17">
        <f t="shared" si="4"/>
        <v>21780</v>
      </c>
      <c r="H78" s="17">
        <f t="shared" si="4"/>
        <v>30855</v>
      </c>
      <c r="I78" s="17">
        <f t="shared" si="4"/>
        <v>41946.666666666664</v>
      </c>
      <c r="J78" s="17">
        <f t="shared" si="4"/>
        <v>47996.666666666664</v>
      </c>
      <c r="K78" s="17">
        <f t="shared" si="4"/>
        <v>70180</v>
      </c>
      <c r="L78" s="17">
        <f t="shared" si="4"/>
        <v>76734.166666666657</v>
      </c>
      <c r="M78" s="17">
        <f t="shared" si="4"/>
        <v>83288.333333333328</v>
      </c>
      <c r="N78" s="17">
        <f t="shared" si="4"/>
        <v>95922.75</v>
      </c>
      <c r="O78" s="17">
        <f t="shared" si="4"/>
        <v>112333.375</v>
      </c>
      <c r="P78" s="17">
        <f t="shared" si="4"/>
        <v>112333.375</v>
      </c>
      <c r="Q78" s="17">
        <f t="shared" si="4"/>
        <v>112333.375</v>
      </c>
      <c r="R78" s="17">
        <f t="shared" si="4"/>
        <v>112333.375</v>
      </c>
      <c r="S78" s="17">
        <f t="shared" si="4"/>
        <v>140390.25</v>
      </c>
      <c r="T78" s="17">
        <f t="shared" si="4"/>
        <v>140390.25</v>
      </c>
      <c r="U78" s="17">
        <f t="shared" si="4"/>
        <v>146742.75</v>
      </c>
      <c r="V78" s="17">
        <f t="shared" si="4"/>
        <v>146742.75</v>
      </c>
      <c r="W78" s="17">
        <f t="shared" si="4"/>
        <v>158389</v>
      </c>
      <c r="X78" s="17">
        <f t="shared" si="4"/>
        <v>158389</v>
      </c>
      <c r="Y78" s="17">
        <f t="shared" si="4"/>
        <v>174799.625</v>
      </c>
      <c r="Z78" s="17">
        <f t="shared" si="4"/>
        <v>183539.60625000001</v>
      </c>
      <c r="AA78" s="17">
        <f t="shared" si="4"/>
        <v>197991.54375000001</v>
      </c>
      <c r="AB78" s="17">
        <f t="shared" si="4"/>
        <v>197991.54375000001</v>
      </c>
      <c r="AC78" s="17">
        <f t="shared" si="4"/>
        <v>205217.51250000001</v>
      </c>
      <c r="AD78" s="17">
        <f t="shared" si="4"/>
        <v>205217.51250000001</v>
      </c>
      <c r="AE78" s="17">
        <f t="shared" si="4"/>
        <v>224116.2</v>
      </c>
      <c r="AF78" s="17">
        <f t="shared" si="4"/>
        <v>224116.2</v>
      </c>
      <c r="AG78" s="17">
        <f t="shared" si="4"/>
        <v>230786.32500000001</v>
      </c>
      <c r="AH78" s="17">
        <f t="shared" ref="AH78:BA78" si="5">AH76+AH77</f>
        <v>230786.32500000001</v>
      </c>
      <c r="AI78" s="17">
        <f t="shared" si="5"/>
        <v>243014.88750000001</v>
      </c>
      <c r="AJ78" s="17">
        <f t="shared" si="5"/>
        <v>243014.88750000001</v>
      </c>
      <c r="AK78" s="17">
        <f t="shared" si="5"/>
        <v>264692.79375000001</v>
      </c>
      <c r="AL78" s="17">
        <f t="shared" si="5"/>
        <v>277927.43343750003</v>
      </c>
      <c r="AM78" s="17">
        <f t="shared" si="5"/>
        <v>288432.88031250006</v>
      </c>
      <c r="AN78" s="17">
        <f t="shared" si="5"/>
        <v>288432.88031250006</v>
      </c>
      <c r="AO78" s="17">
        <f t="shared" si="5"/>
        <v>303023.77875000006</v>
      </c>
      <c r="AP78" s="17">
        <f t="shared" si="5"/>
        <v>303023.77875000006</v>
      </c>
      <c r="AQ78" s="17">
        <f t="shared" si="5"/>
        <v>328703.76000000007</v>
      </c>
      <c r="AR78" s="17">
        <f t="shared" si="5"/>
        <v>328703.76000000007</v>
      </c>
      <c r="AS78" s="17">
        <f t="shared" si="5"/>
        <v>349131.01781250001</v>
      </c>
      <c r="AT78" s="17">
        <f t="shared" si="5"/>
        <v>349131.01781250001</v>
      </c>
      <c r="AU78" s="17">
        <f t="shared" si="5"/>
        <v>349131.01781250001</v>
      </c>
      <c r="AV78" s="17">
        <f t="shared" si="5"/>
        <v>349131.01781250001</v>
      </c>
      <c r="AW78" s="17">
        <f t="shared" si="5"/>
        <v>349131.01781250001</v>
      </c>
      <c r="AX78" s="17">
        <f t="shared" si="5"/>
        <v>366587.568703125</v>
      </c>
      <c r="AY78" s="17">
        <f t="shared" si="5"/>
        <v>366587.568703125</v>
      </c>
      <c r="AZ78" s="17">
        <f t="shared" si="5"/>
        <v>366587.568703125</v>
      </c>
      <c r="BA78" s="17">
        <f t="shared" si="5"/>
        <v>366587.568703125</v>
      </c>
    </row>
    <row r="80" spans="1:53" x14ac:dyDescent="0.35">
      <c r="A80" s="2" t="s">
        <v>384</v>
      </c>
    </row>
    <row r="81" spans="1:53" x14ac:dyDescent="0.35">
      <c r="A81" s="3" t="s">
        <v>385</v>
      </c>
      <c r="B81" s="19">
        <f>Inputs!$B$81</f>
        <v>1200</v>
      </c>
      <c r="C81" s="19">
        <f>Inputs!$B$81</f>
        <v>1200</v>
      </c>
      <c r="D81" s="19">
        <f>Inputs!$B$81</f>
        <v>1200</v>
      </c>
      <c r="E81" s="19">
        <f>Inputs!$B$81</f>
        <v>1200</v>
      </c>
      <c r="F81" s="19">
        <f>Inputs!$B$81</f>
        <v>1200</v>
      </c>
      <c r="G81" s="19">
        <f>Inputs!$B$81</f>
        <v>1200</v>
      </c>
      <c r="H81" s="19">
        <f>Inputs!$B$81</f>
        <v>1200</v>
      </c>
      <c r="I81" s="19">
        <f>Inputs!$B$81</f>
        <v>1200</v>
      </c>
      <c r="J81" s="19">
        <f>Inputs!$B$81</f>
        <v>1200</v>
      </c>
      <c r="K81" s="19">
        <f>Inputs!$B$81</f>
        <v>1200</v>
      </c>
      <c r="L81" s="19">
        <f>Inputs!$B$81</f>
        <v>1200</v>
      </c>
      <c r="M81" s="19">
        <f>Inputs!$B$81</f>
        <v>1200</v>
      </c>
      <c r="N81" s="19">
        <f>Inputs!$B$81</f>
        <v>1200</v>
      </c>
      <c r="O81" s="19">
        <f>Inputs!$B$81</f>
        <v>1200</v>
      </c>
      <c r="P81" s="19">
        <f>Inputs!$B$81</f>
        <v>1200</v>
      </c>
      <c r="Q81" s="19">
        <f>Inputs!$B$81</f>
        <v>1200</v>
      </c>
      <c r="R81" s="19">
        <f>Inputs!$B$81</f>
        <v>1200</v>
      </c>
      <c r="S81" s="19">
        <f>Inputs!$B$81</f>
        <v>1200</v>
      </c>
      <c r="T81" s="19">
        <f>Inputs!$B$81</f>
        <v>1200</v>
      </c>
      <c r="U81" s="19">
        <f>Inputs!$B$81</f>
        <v>1200</v>
      </c>
      <c r="V81" s="19">
        <f>Inputs!$B$81</f>
        <v>1200</v>
      </c>
      <c r="W81" s="19">
        <f>Inputs!$B$81</f>
        <v>1200</v>
      </c>
      <c r="X81" s="19">
        <f>Inputs!$B$81</f>
        <v>1200</v>
      </c>
      <c r="Y81" s="19">
        <f>Inputs!$B$81</f>
        <v>1200</v>
      </c>
      <c r="Z81" s="19">
        <f>Inputs!$B$81</f>
        <v>1200</v>
      </c>
      <c r="AA81" s="19">
        <f>Inputs!$B$81</f>
        <v>1200</v>
      </c>
      <c r="AB81" s="19">
        <f>Inputs!$B$81</f>
        <v>1200</v>
      </c>
      <c r="AC81" s="19">
        <f>Inputs!$B$81</f>
        <v>1200</v>
      </c>
      <c r="AD81" s="19">
        <f>Inputs!$B$81</f>
        <v>1200</v>
      </c>
      <c r="AE81" s="19">
        <f>Inputs!$B$81</f>
        <v>1200</v>
      </c>
      <c r="AF81" s="19">
        <f>Inputs!$B$81</f>
        <v>1200</v>
      </c>
      <c r="AG81" s="19">
        <f>Inputs!$B$81</f>
        <v>1200</v>
      </c>
      <c r="AH81" s="19">
        <f>Inputs!$B$81</f>
        <v>1200</v>
      </c>
      <c r="AI81" s="19">
        <f>Inputs!$B$81</f>
        <v>1200</v>
      </c>
      <c r="AJ81" s="19">
        <f>Inputs!$B$81</f>
        <v>1200</v>
      </c>
      <c r="AK81" s="19">
        <f>Inputs!$B$81</f>
        <v>1200</v>
      </c>
      <c r="AL81" s="19">
        <f>Inputs!$B$81</f>
        <v>1200</v>
      </c>
      <c r="AM81" s="19">
        <f>Inputs!$B$81</f>
        <v>1200</v>
      </c>
      <c r="AN81" s="19">
        <f>Inputs!$B$81</f>
        <v>1200</v>
      </c>
      <c r="AO81" s="19">
        <f>Inputs!$B$81</f>
        <v>1200</v>
      </c>
      <c r="AP81" s="19">
        <f>Inputs!$B$81</f>
        <v>1200</v>
      </c>
      <c r="AQ81" s="19">
        <f>Inputs!$B$81</f>
        <v>1200</v>
      </c>
      <c r="AR81" s="19">
        <f>Inputs!$B$81</f>
        <v>1200</v>
      </c>
      <c r="AS81" s="19">
        <f>Inputs!$B$81</f>
        <v>1200</v>
      </c>
      <c r="AT81" s="19">
        <f>Inputs!$B$81</f>
        <v>1200</v>
      </c>
      <c r="AU81" s="19">
        <f>Inputs!$B$81</f>
        <v>1200</v>
      </c>
      <c r="AV81" s="19">
        <f>Inputs!$B$81</f>
        <v>1200</v>
      </c>
      <c r="AW81" s="19">
        <f>Inputs!$B$81</f>
        <v>1200</v>
      </c>
      <c r="AX81" s="19">
        <f>Inputs!$B$81</f>
        <v>1200</v>
      </c>
      <c r="AY81" s="19">
        <f>Inputs!$B$81</f>
        <v>1200</v>
      </c>
      <c r="AZ81" s="19">
        <f>Inputs!$B$81</f>
        <v>1200</v>
      </c>
      <c r="BA81" s="19">
        <f>Inputs!$B$81</f>
        <v>1200</v>
      </c>
    </row>
    <row r="82" spans="1:53" x14ac:dyDescent="0.35">
      <c r="A82" s="3" t="s">
        <v>386</v>
      </c>
      <c r="B82" s="16">
        <f>Revenue!B8*Inputs!$B$82</f>
        <v>0</v>
      </c>
      <c r="C82" s="16">
        <f>Revenue!C8*Inputs!$B$82</f>
        <v>0</v>
      </c>
      <c r="D82" s="16">
        <f>Revenue!D8*Inputs!$B$82</f>
        <v>0</v>
      </c>
      <c r="E82" s="16">
        <f>Revenue!E8*Inputs!$B$82</f>
        <v>0</v>
      </c>
      <c r="F82" s="16">
        <f>Revenue!F8*Inputs!$B$82</f>
        <v>0</v>
      </c>
      <c r="G82" s="16">
        <f>Revenue!G8*Inputs!$B$82</f>
        <v>0</v>
      </c>
      <c r="H82" s="16">
        <f>Revenue!H8*Inputs!$B$82</f>
        <v>0</v>
      </c>
      <c r="I82" s="16">
        <f>Revenue!I8*Inputs!$B$82</f>
        <v>0</v>
      </c>
      <c r="J82" s="16">
        <f>Revenue!J8*Inputs!$B$82</f>
        <v>250</v>
      </c>
      <c r="K82" s="16">
        <f>Revenue!K8*Inputs!$B$82</f>
        <v>250</v>
      </c>
      <c r="L82" s="16">
        <f>Revenue!L8*Inputs!$B$82</f>
        <v>250</v>
      </c>
      <c r="M82" s="16">
        <f>Revenue!M8*Inputs!$B$82</f>
        <v>250</v>
      </c>
      <c r="N82" s="16">
        <f>Revenue!N8*Inputs!$B$82</f>
        <v>250</v>
      </c>
      <c r="O82" s="16">
        <f>Revenue!O8*Inputs!$B$82</f>
        <v>250</v>
      </c>
      <c r="P82" s="16">
        <f>Revenue!P8*Inputs!$B$82</f>
        <v>250</v>
      </c>
      <c r="Q82" s="16">
        <f>Revenue!Q8*Inputs!$B$82</f>
        <v>250</v>
      </c>
      <c r="R82" s="16">
        <f>Revenue!R8*Inputs!$B$82</f>
        <v>250</v>
      </c>
      <c r="S82" s="16">
        <f>Revenue!S8*Inputs!$B$82</f>
        <v>250</v>
      </c>
      <c r="T82" s="16">
        <f>Revenue!T8*Inputs!$B$82</f>
        <v>250</v>
      </c>
      <c r="U82" s="16">
        <f>Revenue!U8*Inputs!$B$82</f>
        <v>250</v>
      </c>
      <c r="V82" s="16">
        <f>Revenue!V8*Inputs!$B$82</f>
        <v>250</v>
      </c>
      <c r="W82" s="16">
        <f>Revenue!W8*Inputs!$B$82</f>
        <v>250</v>
      </c>
      <c r="X82" s="16">
        <f>Revenue!X8*Inputs!$B$82</f>
        <v>250</v>
      </c>
      <c r="Y82" s="16">
        <f>Revenue!Y8*Inputs!$B$82</f>
        <v>250</v>
      </c>
      <c r="Z82" s="16">
        <f>Revenue!Z8*Inputs!$B$82</f>
        <v>250</v>
      </c>
      <c r="AA82" s="16">
        <f>Revenue!AA8*Inputs!$B$82</f>
        <v>250</v>
      </c>
      <c r="AB82" s="16">
        <f>Revenue!AB8*Inputs!$B$82</f>
        <v>250</v>
      </c>
      <c r="AC82" s="16">
        <f>Revenue!AC8*Inputs!$B$82</f>
        <v>250</v>
      </c>
      <c r="AD82" s="16">
        <f>Revenue!AD8*Inputs!$B$82</f>
        <v>250</v>
      </c>
      <c r="AE82" s="16">
        <f>Revenue!AE8*Inputs!$B$82</f>
        <v>250</v>
      </c>
      <c r="AF82" s="16">
        <f>Revenue!AF8*Inputs!$B$82</f>
        <v>250</v>
      </c>
      <c r="AG82" s="16">
        <f>Revenue!AG8*Inputs!$B$82</f>
        <v>250</v>
      </c>
      <c r="AH82" s="16">
        <f>Revenue!AH8*Inputs!$B$82</f>
        <v>250</v>
      </c>
      <c r="AI82" s="16">
        <f>Revenue!AI8*Inputs!$B$82</f>
        <v>250</v>
      </c>
      <c r="AJ82" s="16">
        <f>Revenue!AJ8*Inputs!$B$82</f>
        <v>250</v>
      </c>
      <c r="AK82" s="16">
        <f>Revenue!AK8*Inputs!$B$82</f>
        <v>250</v>
      </c>
      <c r="AL82" s="16">
        <f>Revenue!AL8*Inputs!$B$82</f>
        <v>250</v>
      </c>
      <c r="AM82" s="16">
        <f>Revenue!AM8*Inputs!$B$82</f>
        <v>250</v>
      </c>
      <c r="AN82" s="16">
        <f>Revenue!AN8*Inputs!$B$82</f>
        <v>250</v>
      </c>
      <c r="AO82" s="16">
        <f>Revenue!AO8*Inputs!$B$82</f>
        <v>250</v>
      </c>
      <c r="AP82" s="16">
        <f>Revenue!AP8*Inputs!$B$82</f>
        <v>250</v>
      </c>
      <c r="AQ82" s="16">
        <f>Revenue!AQ8*Inputs!$B$82</f>
        <v>250</v>
      </c>
      <c r="AR82" s="16">
        <f>Revenue!AR8*Inputs!$B$82</f>
        <v>250</v>
      </c>
      <c r="AS82" s="16">
        <f>Revenue!AS8*Inputs!$B$82</f>
        <v>250</v>
      </c>
      <c r="AT82" s="16">
        <f>Revenue!AT8*Inputs!$B$82</f>
        <v>250</v>
      </c>
      <c r="AU82" s="16">
        <f>Revenue!AU8*Inputs!$B$82</f>
        <v>250</v>
      </c>
      <c r="AV82" s="16">
        <f>Revenue!AV8*Inputs!$B$82</f>
        <v>250</v>
      </c>
      <c r="AW82" s="16">
        <f>Revenue!AW8*Inputs!$B$82</f>
        <v>250</v>
      </c>
      <c r="AX82" s="16">
        <f>Revenue!AX8*Inputs!$B$82</f>
        <v>250</v>
      </c>
      <c r="AY82" s="16">
        <f>Revenue!AY8*Inputs!$B$82</f>
        <v>250</v>
      </c>
      <c r="AZ82" s="16">
        <f>Revenue!AZ8*Inputs!$B$82</f>
        <v>250</v>
      </c>
      <c r="BA82" s="16">
        <f>Revenue!BA8*Inputs!$B$82</f>
        <v>250</v>
      </c>
    </row>
    <row r="83" spans="1:53" x14ac:dyDescent="0.35">
      <c r="A83" s="3" t="s">
        <v>301</v>
      </c>
      <c r="B83" s="19">
        <f>Inputs!$B$83*(1+Inputs!$B$84)^(1-1)</f>
        <v>1000</v>
      </c>
      <c r="C83" s="19">
        <f>Inputs!$B$83*(1+Inputs!$B$84)^(2-1)</f>
        <v>1050</v>
      </c>
      <c r="D83" s="19">
        <f>Inputs!$B$83*(1+Inputs!$B$84)^(3-1)</f>
        <v>1102.5</v>
      </c>
      <c r="E83" s="19">
        <f>Inputs!$B$83*(1+Inputs!$B$84)^(4-1)</f>
        <v>1157.6250000000002</v>
      </c>
      <c r="F83" s="19">
        <f>Inputs!$B$83*(1+Inputs!$B$84)^(5-1)</f>
        <v>1215.5062499999999</v>
      </c>
      <c r="G83" s="19">
        <f>Inputs!$B$83*(1+Inputs!$B$84)^(6-1)</f>
        <v>1276.2815625000001</v>
      </c>
      <c r="H83" s="19">
        <f>Inputs!$B$83*(1+Inputs!$B$84)^(7-1)</f>
        <v>1340.095640625</v>
      </c>
      <c r="I83" s="19">
        <f>Inputs!$B$83*(1+Inputs!$B$84)^(8-1)</f>
        <v>1407.1004226562502</v>
      </c>
      <c r="J83" s="19">
        <f>Inputs!$B$83*(1+Inputs!$B$84)^(9-1)</f>
        <v>1477.4554437890627</v>
      </c>
      <c r="K83" s="19">
        <f>Inputs!$B$83*(1+Inputs!$B$84)^(10-1)</f>
        <v>1551.3282159785158</v>
      </c>
      <c r="L83" s="19">
        <f>Inputs!$B$83*(1+Inputs!$B$84)^(11-1)</f>
        <v>1628.8946267774415</v>
      </c>
      <c r="M83" s="19">
        <f>Inputs!$B$83*(1+Inputs!$B$84)^(12-1)</f>
        <v>1710.3393581163139</v>
      </c>
      <c r="N83" s="19">
        <f>Inputs!$B$83*(1+Inputs!$B$84)^(13-1)</f>
        <v>1795.8563260221292</v>
      </c>
      <c r="O83" s="19">
        <f>Inputs!$B$83*(1+Inputs!$B$84)^(14-1)</f>
        <v>1885.649142323236</v>
      </c>
      <c r="P83" s="19">
        <f>Inputs!$B$83*(1+Inputs!$B$84)^(15-1)</f>
        <v>1979.9315994393974</v>
      </c>
      <c r="Q83" s="19">
        <f>Inputs!$B$83*(1+Inputs!$B$84)^(16-1)</f>
        <v>2078.9281794113681</v>
      </c>
      <c r="R83" s="19">
        <f>Inputs!$B$83*(1+Inputs!$B$84)^(17-1)</f>
        <v>2182.8745883819361</v>
      </c>
      <c r="S83" s="19">
        <f>Inputs!$B$83*(1+Inputs!$B$84)^(18-1)</f>
        <v>2292.0183178010329</v>
      </c>
      <c r="T83" s="19">
        <f>Inputs!$B$83*(1+Inputs!$B$84)^(19-1)</f>
        <v>2406.6192336910849</v>
      </c>
      <c r="U83" s="19">
        <f>Inputs!$B$83*(1+Inputs!$B$84)^(20-1)</f>
        <v>2526.9501953756389</v>
      </c>
      <c r="V83" s="19">
        <f>Inputs!$B$83*(1+Inputs!$B$84)^(21-1)</f>
        <v>2653.2977051444209</v>
      </c>
      <c r="W83" s="19">
        <f>Inputs!$B$83*(1+Inputs!$B$84)^(22-1)</f>
        <v>2785.962590401642</v>
      </c>
      <c r="X83" s="19">
        <f>Inputs!$B$83*(1+Inputs!$B$84)^(23-1)</f>
        <v>2925.2607199217236</v>
      </c>
      <c r="Y83" s="19">
        <f>Inputs!$B$83*(1+Inputs!$B$84)^(24-1)</f>
        <v>3071.5237559178104</v>
      </c>
      <c r="Z83" s="19">
        <f>Inputs!$B$83*(1+Inputs!$B$84)^(25-1)</f>
        <v>3225.0999437137007</v>
      </c>
      <c r="AA83" s="19">
        <f>Inputs!$B$83*(1+Inputs!$B$84)^(26-1)</f>
        <v>3386.3549408993858</v>
      </c>
      <c r="AB83" s="19">
        <f>Inputs!$B$83*(1+Inputs!$B$84)^(27-1)</f>
        <v>3555.6726879443554</v>
      </c>
      <c r="AC83" s="19">
        <f>Inputs!$B$83*(1+Inputs!$B$84)^(28-1)</f>
        <v>3733.4563223415735</v>
      </c>
      <c r="AD83" s="19">
        <f>Inputs!$B$83*(1+Inputs!$B$84)^(29-1)</f>
        <v>3920.1291384586516</v>
      </c>
      <c r="AE83" s="19">
        <f>Inputs!$B$83*(1+Inputs!$B$84)^(30-1)</f>
        <v>4116.1355953815846</v>
      </c>
      <c r="AF83" s="19">
        <f>Inputs!$B$83*(1+Inputs!$B$84)^(31-1)</f>
        <v>4321.9423751506629</v>
      </c>
      <c r="AG83" s="19">
        <f>Inputs!$B$83*(1+Inputs!$B$84)^(32-1)</f>
        <v>4538.0394939081971</v>
      </c>
      <c r="AH83" s="19">
        <f>Inputs!$B$83*(1+Inputs!$B$84)^(33-1)</f>
        <v>4764.9414686036071</v>
      </c>
      <c r="AI83" s="19">
        <f>Inputs!$B$83*(1+Inputs!$B$84)^(34-1)</f>
        <v>5003.1885420337876</v>
      </c>
      <c r="AJ83" s="19">
        <f>Inputs!$B$83*(1+Inputs!$B$84)^(35-1)</f>
        <v>5253.3479691354769</v>
      </c>
      <c r="AK83" s="19">
        <f>Inputs!$B$83*(1+Inputs!$B$84)^(36-1)</f>
        <v>5516.0153675922511</v>
      </c>
      <c r="AL83" s="19">
        <f>Inputs!$B$83*(1+Inputs!$B$84)^(37-1)</f>
        <v>5791.8161359718633</v>
      </c>
      <c r="AM83" s="19">
        <f>Inputs!$B$83*(1+Inputs!$B$84)^(38-1)</f>
        <v>6081.4069427704562</v>
      </c>
      <c r="AN83" s="19">
        <f>Inputs!$B$83*(1+Inputs!$B$84)^(39-1)</f>
        <v>6385.4772899089785</v>
      </c>
      <c r="AO83" s="19">
        <f>Inputs!$B$83*(1+Inputs!$B$84)^(40-1)</f>
        <v>6704.7511544044291</v>
      </c>
      <c r="AP83" s="19">
        <f>Inputs!$B$83*(1+Inputs!$B$84)^(41-1)</f>
        <v>7039.9887121246493</v>
      </c>
      <c r="AQ83" s="19">
        <f>Inputs!$B$83*(1+Inputs!$B$84)^(42-1)</f>
        <v>7391.9881477308818</v>
      </c>
      <c r="AR83" s="19">
        <f>Inputs!$B$83*(1+Inputs!$B$84)^(43-1)</f>
        <v>7761.5875551174258</v>
      </c>
      <c r="AS83" s="19">
        <f>Inputs!$B$83*(1+Inputs!$B$84)^(44-1)</f>
        <v>8149.6669328732987</v>
      </c>
      <c r="AT83" s="19">
        <f>Inputs!$B$83*(1+Inputs!$B$84)^(45-1)</f>
        <v>8557.1502795169617</v>
      </c>
      <c r="AU83" s="19">
        <f>Inputs!$B$83*(1+Inputs!$B$84)^(46-1)</f>
        <v>8985.0077934928122</v>
      </c>
      <c r="AV83" s="19">
        <f>Inputs!$B$83*(1+Inputs!$B$84)^(47-1)</f>
        <v>9434.2581831674506</v>
      </c>
      <c r="AW83" s="19">
        <f>Inputs!$B$83*(1+Inputs!$B$84)^(48-1)</f>
        <v>9905.9710923258262</v>
      </c>
      <c r="AX83" s="19">
        <f>Inputs!$B$83*(1+Inputs!$B$84)^(49-1)</f>
        <v>10401.269646942117</v>
      </c>
      <c r="AY83" s="19">
        <f>Inputs!$B$83*(1+Inputs!$B$84)^(50-1)</f>
        <v>10921.333129289224</v>
      </c>
      <c r="AZ83" s="19">
        <f>Inputs!$B$83*(1+Inputs!$B$84)^(51-1)</f>
        <v>11467.399785753685</v>
      </c>
      <c r="BA83" s="19">
        <f>Inputs!$B$83*(1+Inputs!$B$84)^(52-1)</f>
        <v>12040.769775041368</v>
      </c>
    </row>
    <row r="84" spans="1:53" x14ac:dyDescent="0.35">
      <c r="A84" s="3" t="s">
        <v>387</v>
      </c>
      <c r="B84" s="19">
        <f>Inputs!$B$85+B38*Inputs!$B$86</f>
        <v>700</v>
      </c>
      <c r="C84" s="19">
        <f>Inputs!$B$85+C38*Inputs!$B$86</f>
        <v>700</v>
      </c>
      <c r="D84" s="19">
        <f>Inputs!$B$85+D38*Inputs!$B$86</f>
        <v>700</v>
      </c>
      <c r="E84" s="19">
        <f>Inputs!$B$85+E38*Inputs!$B$86</f>
        <v>700</v>
      </c>
      <c r="F84" s="19">
        <f>Inputs!$B$85+F38*Inputs!$B$86</f>
        <v>700</v>
      </c>
      <c r="G84" s="19">
        <f>Inputs!$B$85+G38*Inputs!$B$86</f>
        <v>700</v>
      </c>
      <c r="H84" s="19">
        <f>Inputs!$B$85+H38*Inputs!$B$86</f>
        <v>800</v>
      </c>
      <c r="I84" s="19">
        <f>Inputs!$B$85+I38*Inputs!$B$86</f>
        <v>900</v>
      </c>
      <c r="J84" s="19">
        <f>Inputs!$B$85+J38*Inputs!$B$86</f>
        <v>1000</v>
      </c>
      <c r="K84" s="19">
        <f>Inputs!$B$85+K38*Inputs!$B$86</f>
        <v>1200</v>
      </c>
      <c r="L84" s="19">
        <f>Inputs!$B$85+L38*Inputs!$B$86</f>
        <v>1300</v>
      </c>
      <c r="M84" s="19">
        <f>Inputs!$B$85+M38*Inputs!$B$86</f>
        <v>1400</v>
      </c>
      <c r="N84" s="19">
        <f>Inputs!$B$85+N38*Inputs!$B$86</f>
        <v>1500</v>
      </c>
      <c r="O84" s="19">
        <f>Inputs!$B$85+O38*Inputs!$B$86</f>
        <v>1700</v>
      </c>
      <c r="P84" s="19">
        <f>Inputs!$B$85+P38*Inputs!$B$86</f>
        <v>1700</v>
      </c>
      <c r="Q84" s="19">
        <f>Inputs!$B$85+Q38*Inputs!$B$86</f>
        <v>1700</v>
      </c>
      <c r="R84" s="19">
        <f>Inputs!$B$85+R38*Inputs!$B$86</f>
        <v>1700</v>
      </c>
      <c r="S84" s="19">
        <f>Inputs!$B$85+S38*Inputs!$B$86</f>
        <v>2000</v>
      </c>
      <c r="T84" s="19">
        <f>Inputs!$B$85+T38*Inputs!$B$86</f>
        <v>2000</v>
      </c>
      <c r="U84" s="19">
        <f>Inputs!$B$85+U38*Inputs!$B$86</f>
        <v>2100</v>
      </c>
      <c r="V84" s="19">
        <f>Inputs!$B$85+V38*Inputs!$B$86</f>
        <v>2100</v>
      </c>
      <c r="W84" s="19">
        <f>Inputs!$B$85+W38*Inputs!$B$86</f>
        <v>2200</v>
      </c>
      <c r="X84" s="19">
        <f>Inputs!$B$85+X38*Inputs!$B$86</f>
        <v>2200</v>
      </c>
      <c r="Y84" s="19">
        <f>Inputs!$B$85+Y38*Inputs!$B$86</f>
        <v>2400</v>
      </c>
      <c r="Z84" s="19">
        <f>Inputs!$B$85+Z38*Inputs!$B$86</f>
        <v>2400</v>
      </c>
      <c r="AA84" s="19">
        <f>Inputs!$B$85+AA38*Inputs!$B$86</f>
        <v>2500</v>
      </c>
      <c r="AB84" s="19">
        <f>Inputs!$B$85+AB38*Inputs!$B$86</f>
        <v>2500</v>
      </c>
      <c r="AC84" s="19">
        <f>Inputs!$B$85+AC38*Inputs!$B$86</f>
        <v>2600</v>
      </c>
      <c r="AD84" s="19">
        <f>Inputs!$B$85+AD38*Inputs!$B$86</f>
        <v>2600</v>
      </c>
      <c r="AE84" s="19">
        <f>Inputs!$B$85+AE38*Inputs!$B$86</f>
        <v>2800</v>
      </c>
      <c r="AF84" s="19">
        <f>Inputs!$B$85+AF38*Inputs!$B$86</f>
        <v>2800</v>
      </c>
      <c r="AG84" s="19">
        <f>Inputs!$B$85+AG38*Inputs!$B$86</f>
        <v>2900</v>
      </c>
      <c r="AH84" s="19">
        <f>Inputs!$B$85+AH38*Inputs!$B$86</f>
        <v>2900</v>
      </c>
      <c r="AI84" s="19">
        <f>Inputs!$B$85+AI38*Inputs!$B$86</f>
        <v>3000</v>
      </c>
      <c r="AJ84" s="19">
        <f>Inputs!$B$85+AJ38*Inputs!$B$86</f>
        <v>3000</v>
      </c>
      <c r="AK84" s="19">
        <f>Inputs!$B$85+AK38*Inputs!$B$86</f>
        <v>3200</v>
      </c>
      <c r="AL84" s="19">
        <f>Inputs!$B$85+AL38*Inputs!$B$86</f>
        <v>3200</v>
      </c>
      <c r="AM84" s="19">
        <f>Inputs!$B$85+AM38*Inputs!$B$86</f>
        <v>3300</v>
      </c>
      <c r="AN84" s="19">
        <f>Inputs!$B$85+AN38*Inputs!$B$86</f>
        <v>3300</v>
      </c>
      <c r="AO84" s="19">
        <f>Inputs!$B$85+AO38*Inputs!$B$86</f>
        <v>3500</v>
      </c>
      <c r="AP84" s="19">
        <f>Inputs!$B$85+AP38*Inputs!$B$86</f>
        <v>3500</v>
      </c>
      <c r="AQ84" s="19">
        <f>Inputs!$B$85+AQ38*Inputs!$B$86</f>
        <v>3700</v>
      </c>
      <c r="AR84" s="19">
        <f>Inputs!$B$85+AR38*Inputs!$B$86</f>
        <v>3700</v>
      </c>
      <c r="AS84" s="19">
        <f>Inputs!$B$85+AS38*Inputs!$B$86</f>
        <v>3900</v>
      </c>
      <c r="AT84" s="19">
        <f>Inputs!$B$85+AT38*Inputs!$B$86</f>
        <v>3900</v>
      </c>
      <c r="AU84" s="19">
        <f>Inputs!$B$85+AU38*Inputs!$B$86</f>
        <v>3900</v>
      </c>
      <c r="AV84" s="19">
        <f>Inputs!$B$85+AV38*Inputs!$B$86</f>
        <v>3900</v>
      </c>
      <c r="AW84" s="19">
        <f>Inputs!$B$85+AW38*Inputs!$B$86</f>
        <v>3900</v>
      </c>
      <c r="AX84" s="19">
        <f>Inputs!$B$85+AX38*Inputs!$B$86</f>
        <v>3900</v>
      </c>
      <c r="AY84" s="19">
        <f>Inputs!$B$85+AY38*Inputs!$B$86</f>
        <v>3900</v>
      </c>
      <c r="AZ84" s="19">
        <f>Inputs!$B$85+AZ38*Inputs!$B$86</f>
        <v>3900</v>
      </c>
      <c r="BA84" s="19">
        <f>Inputs!$B$85+BA38*Inputs!$B$86</f>
        <v>3900</v>
      </c>
    </row>
    <row r="85" spans="1:53" x14ac:dyDescent="0.35">
      <c r="A85" s="3" t="s">
        <v>178</v>
      </c>
      <c r="B85" s="19">
        <f>Inputs!$B$87/12</f>
        <v>416.66666666666669</v>
      </c>
      <c r="C85" s="19">
        <f>Inputs!$B$87/12</f>
        <v>416.66666666666669</v>
      </c>
      <c r="D85" s="19">
        <f>Inputs!$B$87/12</f>
        <v>416.66666666666669</v>
      </c>
      <c r="E85" s="19">
        <f>Inputs!$B$87/12</f>
        <v>416.66666666666669</v>
      </c>
      <c r="F85" s="19">
        <f>Inputs!$B$87/12</f>
        <v>416.66666666666669</v>
      </c>
      <c r="G85" s="19">
        <f>Inputs!$B$87/12</f>
        <v>416.66666666666669</v>
      </c>
      <c r="H85" s="19">
        <f>Inputs!$B$87/12</f>
        <v>416.66666666666669</v>
      </c>
      <c r="I85" s="19">
        <f>Inputs!$B$87/12</f>
        <v>416.66666666666669</v>
      </c>
      <c r="J85" s="19">
        <f>Inputs!$B$87/12</f>
        <v>416.66666666666669</v>
      </c>
      <c r="K85" s="19">
        <f>Inputs!$B$87/12</f>
        <v>416.66666666666669</v>
      </c>
      <c r="L85" s="19">
        <f>Inputs!$B$87/12</f>
        <v>416.66666666666669</v>
      </c>
      <c r="M85" s="19">
        <f>Inputs!$B$87/12</f>
        <v>416.66666666666669</v>
      </c>
      <c r="N85" s="19">
        <f>Inputs!$B$87/12</f>
        <v>416.66666666666669</v>
      </c>
      <c r="O85" s="19">
        <f>Inputs!$B$87/12</f>
        <v>416.66666666666669</v>
      </c>
      <c r="P85" s="19">
        <f>Inputs!$B$87/12</f>
        <v>416.66666666666669</v>
      </c>
      <c r="Q85" s="19">
        <f>Inputs!$B$87/12</f>
        <v>416.66666666666669</v>
      </c>
      <c r="R85" s="19">
        <f>Inputs!$B$87/12</f>
        <v>416.66666666666669</v>
      </c>
      <c r="S85" s="19">
        <f>Inputs!$B$87/12</f>
        <v>416.66666666666669</v>
      </c>
      <c r="T85" s="19">
        <f>Inputs!$B$87/12</f>
        <v>416.66666666666669</v>
      </c>
      <c r="U85" s="19">
        <f>Inputs!$B$87/12</f>
        <v>416.66666666666669</v>
      </c>
      <c r="V85" s="19">
        <f>Inputs!$B$87/12</f>
        <v>416.66666666666669</v>
      </c>
      <c r="W85" s="19">
        <f>Inputs!$B$87/12</f>
        <v>416.66666666666669</v>
      </c>
      <c r="X85" s="19">
        <f>Inputs!$B$87/12</f>
        <v>416.66666666666669</v>
      </c>
      <c r="Y85" s="19">
        <f>Inputs!$B$87/12</f>
        <v>416.66666666666669</v>
      </c>
      <c r="Z85" s="19">
        <f>Inputs!$B$87/12</f>
        <v>416.66666666666669</v>
      </c>
      <c r="AA85" s="19">
        <f>Inputs!$B$87/12</f>
        <v>416.66666666666669</v>
      </c>
      <c r="AB85" s="19">
        <f>Inputs!$B$87/12</f>
        <v>416.66666666666669</v>
      </c>
      <c r="AC85" s="19">
        <f>Inputs!$B$87/12</f>
        <v>416.66666666666669</v>
      </c>
      <c r="AD85" s="19">
        <f>Inputs!$B$87/12</f>
        <v>416.66666666666669</v>
      </c>
      <c r="AE85" s="19">
        <f>Inputs!$B$87/12</f>
        <v>416.66666666666669</v>
      </c>
      <c r="AF85" s="19">
        <f>Inputs!$B$87/12</f>
        <v>416.66666666666669</v>
      </c>
      <c r="AG85" s="19">
        <f>Inputs!$B$87/12</f>
        <v>416.66666666666669</v>
      </c>
      <c r="AH85" s="19">
        <f>Inputs!$B$87/12</f>
        <v>416.66666666666669</v>
      </c>
      <c r="AI85" s="19">
        <f>Inputs!$B$87/12</f>
        <v>416.66666666666669</v>
      </c>
      <c r="AJ85" s="19">
        <f>Inputs!$B$87/12</f>
        <v>416.66666666666669</v>
      </c>
      <c r="AK85" s="19">
        <f>Inputs!$B$87/12</f>
        <v>416.66666666666669</v>
      </c>
      <c r="AL85" s="19">
        <f>Inputs!$B$87/12</f>
        <v>416.66666666666669</v>
      </c>
      <c r="AM85" s="19">
        <f>Inputs!$B$87/12</f>
        <v>416.66666666666669</v>
      </c>
      <c r="AN85" s="19">
        <f>Inputs!$B$87/12</f>
        <v>416.66666666666669</v>
      </c>
      <c r="AO85" s="19">
        <f>Inputs!$B$87/12</f>
        <v>416.66666666666669</v>
      </c>
      <c r="AP85" s="19">
        <f>Inputs!$B$87/12</f>
        <v>416.66666666666669</v>
      </c>
      <c r="AQ85" s="19">
        <f>Inputs!$B$87/12</f>
        <v>416.66666666666669</v>
      </c>
      <c r="AR85" s="19">
        <f>Inputs!$B$87/12</f>
        <v>416.66666666666669</v>
      </c>
      <c r="AS85" s="19">
        <f>Inputs!$B$87/12</f>
        <v>416.66666666666669</v>
      </c>
      <c r="AT85" s="19">
        <f>Inputs!$B$87/12</f>
        <v>416.66666666666669</v>
      </c>
      <c r="AU85" s="19">
        <f>Inputs!$B$87/12</f>
        <v>416.66666666666669</v>
      </c>
      <c r="AV85" s="19">
        <f>Inputs!$B$87/12</f>
        <v>416.66666666666669</v>
      </c>
      <c r="AW85" s="19">
        <f>Inputs!$B$87/12</f>
        <v>416.66666666666669</v>
      </c>
      <c r="AX85" s="19">
        <f>Inputs!$B$87/12</f>
        <v>416.66666666666669</v>
      </c>
      <c r="AY85" s="19">
        <f>Inputs!$B$87/12</f>
        <v>416.66666666666669</v>
      </c>
      <c r="AZ85" s="19">
        <f>Inputs!$B$87/12</f>
        <v>416.66666666666669</v>
      </c>
      <c r="BA85" s="19">
        <f>Inputs!$B$87/12</f>
        <v>416.66666666666669</v>
      </c>
    </row>
    <row r="86" spans="1:53" x14ac:dyDescent="0.35">
      <c r="A86" s="3" t="s">
        <v>180</v>
      </c>
      <c r="B86" s="19">
        <f>Inputs!$B$88</f>
        <v>3500</v>
      </c>
      <c r="C86" s="19">
        <f>Inputs!$B$88</f>
        <v>3500</v>
      </c>
      <c r="D86" s="19">
        <f>Inputs!$B$88</f>
        <v>3500</v>
      </c>
      <c r="E86" s="19">
        <f>Inputs!$B$88</f>
        <v>3500</v>
      </c>
      <c r="F86" s="19">
        <f>Inputs!$B$88</f>
        <v>3500</v>
      </c>
      <c r="G86" s="19">
        <f>Inputs!$B$88</f>
        <v>3500</v>
      </c>
      <c r="H86" s="19">
        <f>Inputs!$B$88</f>
        <v>3500</v>
      </c>
      <c r="I86" s="19">
        <f>Inputs!$B$88</f>
        <v>3500</v>
      </c>
      <c r="J86" s="19">
        <f>Inputs!$B$88</f>
        <v>3500</v>
      </c>
      <c r="K86" s="19">
        <f>Inputs!$B$88</f>
        <v>3500</v>
      </c>
      <c r="L86" s="19">
        <f>Inputs!$B$88</f>
        <v>3500</v>
      </c>
      <c r="M86" s="19">
        <f>Inputs!$B$88</f>
        <v>3500</v>
      </c>
      <c r="N86" s="19">
        <f>Inputs!$B$88</f>
        <v>3500</v>
      </c>
      <c r="O86" s="19">
        <f>Inputs!$B$88</f>
        <v>3500</v>
      </c>
      <c r="P86" s="19">
        <f>Inputs!$B$88</f>
        <v>3500</v>
      </c>
      <c r="Q86" s="19">
        <f>Inputs!$B$88</f>
        <v>3500</v>
      </c>
      <c r="R86" s="19">
        <f>Inputs!$B$88</f>
        <v>3500</v>
      </c>
      <c r="S86" s="19">
        <f>Inputs!$B$88</f>
        <v>3500</v>
      </c>
      <c r="T86" s="19">
        <f>Inputs!$B$88</f>
        <v>3500</v>
      </c>
      <c r="U86" s="19">
        <f>Inputs!$B$88</f>
        <v>3500</v>
      </c>
      <c r="V86" s="19">
        <f>Inputs!$B$88</f>
        <v>3500</v>
      </c>
      <c r="W86" s="19">
        <f>Inputs!$B$88</f>
        <v>3500</v>
      </c>
      <c r="X86" s="19">
        <f>Inputs!$B$88</f>
        <v>3500</v>
      </c>
      <c r="Y86" s="19">
        <f>Inputs!$B$88</f>
        <v>3500</v>
      </c>
      <c r="Z86" s="19">
        <f>Inputs!$B$88</f>
        <v>3500</v>
      </c>
      <c r="AA86" s="19">
        <f>Inputs!$B$88</f>
        <v>3500</v>
      </c>
      <c r="AB86" s="19">
        <f>Inputs!$B$88</f>
        <v>3500</v>
      </c>
      <c r="AC86" s="19">
        <f>Inputs!$B$88</f>
        <v>3500</v>
      </c>
      <c r="AD86" s="19">
        <f>Inputs!$B$88</f>
        <v>3500</v>
      </c>
      <c r="AE86" s="19">
        <f>Inputs!$B$88</f>
        <v>3500</v>
      </c>
      <c r="AF86" s="19">
        <f>Inputs!$B$88</f>
        <v>3500</v>
      </c>
      <c r="AG86" s="19">
        <f>Inputs!$B$88</f>
        <v>3500</v>
      </c>
      <c r="AH86" s="19">
        <f>Inputs!$B$88</f>
        <v>3500</v>
      </c>
      <c r="AI86" s="19">
        <f>Inputs!$B$88</f>
        <v>3500</v>
      </c>
      <c r="AJ86" s="19">
        <f>Inputs!$B$88</f>
        <v>3500</v>
      </c>
      <c r="AK86" s="19">
        <f>Inputs!$B$88</f>
        <v>3500</v>
      </c>
      <c r="AL86" s="19">
        <f>Inputs!$B$88</f>
        <v>3500</v>
      </c>
      <c r="AM86" s="19">
        <f>Inputs!$B$88</f>
        <v>3500</v>
      </c>
      <c r="AN86" s="19">
        <f>Inputs!$B$88</f>
        <v>3500</v>
      </c>
      <c r="AO86" s="19">
        <f>Inputs!$B$88</f>
        <v>3500</v>
      </c>
      <c r="AP86" s="19">
        <f>Inputs!$B$88</f>
        <v>3500</v>
      </c>
      <c r="AQ86" s="19">
        <f>Inputs!$B$88</f>
        <v>3500</v>
      </c>
      <c r="AR86" s="19">
        <f>Inputs!$B$88</f>
        <v>3500</v>
      </c>
      <c r="AS86" s="19">
        <f>Inputs!$B$88</f>
        <v>3500</v>
      </c>
      <c r="AT86" s="19">
        <f>Inputs!$B$88</f>
        <v>3500</v>
      </c>
      <c r="AU86" s="19">
        <f>Inputs!$B$88</f>
        <v>3500</v>
      </c>
      <c r="AV86" s="19">
        <f>Inputs!$B$88</f>
        <v>3500</v>
      </c>
      <c r="AW86" s="19">
        <f>Inputs!$B$88</f>
        <v>3500</v>
      </c>
      <c r="AX86" s="19">
        <f>Inputs!$B$88</f>
        <v>3500</v>
      </c>
      <c r="AY86" s="19">
        <f>Inputs!$B$88</f>
        <v>3500</v>
      </c>
      <c r="AZ86" s="19">
        <f>Inputs!$B$88</f>
        <v>3500</v>
      </c>
      <c r="BA86" s="19">
        <f>Inputs!$B$88</f>
        <v>3500</v>
      </c>
    </row>
    <row r="87" spans="1:53" x14ac:dyDescent="0.35">
      <c r="A87" s="2" t="s">
        <v>388</v>
      </c>
      <c r="B87" s="17">
        <f t="shared" ref="B87:AG87" si="6">SUM(B81:B86)</f>
        <v>6816.6666666666661</v>
      </c>
      <c r="C87" s="17">
        <f t="shared" si="6"/>
        <v>6866.6666666666661</v>
      </c>
      <c r="D87" s="17">
        <f t="shared" si="6"/>
        <v>6919.1666666666661</v>
      </c>
      <c r="E87" s="17">
        <f t="shared" si="6"/>
        <v>6974.2916666666661</v>
      </c>
      <c r="F87" s="17">
        <f t="shared" si="6"/>
        <v>7032.1729166666664</v>
      </c>
      <c r="G87" s="17">
        <f t="shared" si="6"/>
        <v>7092.9482291666664</v>
      </c>
      <c r="H87" s="17">
        <f t="shared" si="6"/>
        <v>7256.7623072916667</v>
      </c>
      <c r="I87" s="17">
        <f t="shared" si="6"/>
        <v>7423.7670893229169</v>
      </c>
      <c r="J87" s="17">
        <f t="shared" si="6"/>
        <v>7844.1221104557299</v>
      </c>
      <c r="K87" s="17">
        <f t="shared" si="6"/>
        <v>8117.9948826451828</v>
      </c>
      <c r="L87" s="17">
        <f t="shared" si="6"/>
        <v>8295.5612934441087</v>
      </c>
      <c r="M87" s="17">
        <f t="shared" si="6"/>
        <v>8477.0060247829806</v>
      </c>
      <c r="N87" s="17">
        <f t="shared" si="6"/>
        <v>8662.5229926887951</v>
      </c>
      <c r="O87" s="17">
        <f t="shared" si="6"/>
        <v>8952.3158089899043</v>
      </c>
      <c r="P87" s="17">
        <f t="shared" si="6"/>
        <v>9046.5982661060643</v>
      </c>
      <c r="Q87" s="17">
        <f t="shared" si="6"/>
        <v>9145.5948460780346</v>
      </c>
      <c r="R87" s="17">
        <f t="shared" si="6"/>
        <v>9249.5412550486035</v>
      </c>
      <c r="S87" s="17">
        <f t="shared" si="6"/>
        <v>9658.6849844676999</v>
      </c>
      <c r="T87" s="17">
        <f t="shared" si="6"/>
        <v>9773.2859003577505</v>
      </c>
      <c r="U87" s="17">
        <f t="shared" si="6"/>
        <v>9993.616862042305</v>
      </c>
      <c r="V87" s="17">
        <f t="shared" si="6"/>
        <v>10119.964371811089</v>
      </c>
      <c r="W87" s="17">
        <f t="shared" si="6"/>
        <v>10352.629257068309</v>
      </c>
      <c r="X87" s="17">
        <f t="shared" si="6"/>
        <v>10491.927386588392</v>
      </c>
      <c r="Y87" s="17">
        <f t="shared" si="6"/>
        <v>10838.190422584477</v>
      </c>
      <c r="Z87" s="17">
        <f t="shared" si="6"/>
        <v>10991.766610380368</v>
      </c>
      <c r="AA87" s="17">
        <f t="shared" si="6"/>
        <v>11253.021607566054</v>
      </c>
      <c r="AB87" s="17">
        <f t="shared" si="6"/>
        <v>11422.339354611024</v>
      </c>
      <c r="AC87" s="17">
        <f t="shared" si="6"/>
        <v>11700.12298900824</v>
      </c>
      <c r="AD87" s="17">
        <f t="shared" si="6"/>
        <v>11886.795805125317</v>
      </c>
      <c r="AE87" s="17">
        <f t="shared" si="6"/>
        <v>12282.80226204825</v>
      </c>
      <c r="AF87" s="17">
        <f t="shared" si="6"/>
        <v>12488.609041817328</v>
      </c>
      <c r="AG87" s="17">
        <f t="shared" si="6"/>
        <v>12804.706160574862</v>
      </c>
      <c r="AH87" s="17">
        <f t="shared" ref="AH87:BA87" si="7">SUM(AH81:AH86)</f>
        <v>13031.608135270273</v>
      </c>
      <c r="AI87" s="17">
        <f t="shared" si="7"/>
        <v>13369.855208700454</v>
      </c>
      <c r="AJ87" s="17">
        <f t="shared" si="7"/>
        <v>13620.014635802143</v>
      </c>
      <c r="AK87" s="17">
        <f t="shared" si="7"/>
        <v>14082.682034258918</v>
      </c>
      <c r="AL87" s="17">
        <f t="shared" si="7"/>
        <v>14358.482802638529</v>
      </c>
      <c r="AM87" s="17">
        <f t="shared" si="7"/>
        <v>14748.073609437122</v>
      </c>
      <c r="AN87" s="17">
        <f t="shared" si="7"/>
        <v>15052.143956575645</v>
      </c>
      <c r="AO87" s="17">
        <f t="shared" si="7"/>
        <v>15571.417821071094</v>
      </c>
      <c r="AP87" s="17">
        <f t="shared" si="7"/>
        <v>15906.655378791316</v>
      </c>
      <c r="AQ87" s="17">
        <f t="shared" si="7"/>
        <v>16458.654814397545</v>
      </c>
      <c r="AR87" s="17">
        <f t="shared" si="7"/>
        <v>16828.254221784089</v>
      </c>
      <c r="AS87" s="17">
        <f t="shared" si="7"/>
        <v>17416.333599539965</v>
      </c>
      <c r="AT87" s="17">
        <f t="shared" si="7"/>
        <v>17823.81694618363</v>
      </c>
      <c r="AU87" s="17">
        <f t="shared" si="7"/>
        <v>18251.674460159476</v>
      </c>
      <c r="AV87" s="17">
        <f t="shared" si="7"/>
        <v>18700.924849834119</v>
      </c>
      <c r="AW87" s="17">
        <f t="shared" si="7"/>
        <v>19172.637758992492</v>
      </c>
      <c r="AX87" s="17">
        <f t="shared" si="7"/>
        <v>19667.936313608785</v>
      </c>
      <c r="AY87" s="17">
        <f t="shared" si="7"/>
        <v>20187.99979595589</v>
      </c>
      <c r="AZ87" s="17">
        <f t="shared" si="7"/>
        <v>20734.066452420353</v>
      </c>
      <c r="BA87" s="17">
        <f t="shared" si="7"/>
        <v>21307.436441708036</v>
      </c>
    </row>
    <row r="89" spans="1:53" x14ac:dyDescent="0.35">
      <c r="A89" s="2" t="s">
        <v>389</v>
      </c>
    </row>
    <row r="90" spans="1:53" x14ac:dyDescent="0.35">
      <c r="A90" s="3" t="s">
        <v>192</v>
      </c>
      <c r="B90" s="19">
        <f>IF(1&gt;=Inputs!$B$98,Inputs!$B$99,Inputs!$B$97)</f>
        <v>1500</v>
      </c>
      <c r="C90" s="19">
        <f>IF(2&gt;=Inputs!$B$98,Inputs!$B$99,Inputs!$B$97)</f>
        <v>1500</v>
      </c>
      <c r="D90" s="19">
        <f>IF(3&gt;=Inputs!$B$98,Inputs!$B$99,Inputs!$B$97)</f>
        <v>1500</v>
      </c>
      <c r="E90" s="19">
        <f>IF(4&gt;=Inputs!$B$98,Inputs!$B$99,Inputs!$B$97)</f>
        <v>1500</v>
      </c>
      <c r="F90" s="19">
        <f>IF(5&gt;=Inputs!$B$98,Inputs!$B$99,Inputs!$B$97)</f>
        <v>1500</v>
      </c>
      <c r="G90" s="19">
        <f>IF(6&gt;=Inputs!$B$98,Inputs!$B$99,Inputs!$B$97)</f>
        <v>1500</v>
      </c>
      <c r="H90" s="19">
        <f>IF(7&gt;=Inputs!$B$98,Inputs!$B$99,Inputs!$B$97)</f>
        <v>1500</v>
      </c>
      <c r="I90" s="19">
        <f>IF(8&gt;=Inputs!$B$98,Inputs!$B$99,Inputs!$B$97)</f>
        <v>1500</v>
      </c>
      <c r="J90" s="19">
        <f>IF(9&gt;=Inputs!$B$98,Inputs!$B$99,Inputs!$B$97)</f>
        <v>1500</v>
      </c>
      <c r="K90" s="19">
        <f>IF(10&gt;=Inputs!$B$98,Inputs!$B$99,Inputs!$B$97)</f>
        <v>1500</v>
      </c>
      <c r="L90" s="19">
        <f>IF(11&gt;=Inputs!$B$98,Inputs!$B$99,Inputs!$B$97)</f>
        <v>1500</v>
      </c>
      <c r="M90" s="19">
        <f>IF(12&gt;=Inputs!$B$98,Inputs!$B$99,Inputs!$B$97)</f>
        <v>1500</v>
      </c>
      <c r="N90" s="19">
        <f>IF(13&gt;=Inputs!$B$98,Inputs!$B$99,Inputs!$B$97)</f>
        <v>1500</v>
      </c>
      <c r="O90" s="19">
        <f>IF(14&gt;=Inputs!$B$98,Inputs!$B$99,Inputs!$B$97)</f>
        <v>1500</v>
      </c>
      <c r="P90" s="19">
        <f>IF(15&gt;=Inputs!$B$98,Inputs!$B$99,Inputs!$B$97)</f>
        <v>1500</v>
      </c>
      <c r="Q90" s="19">
        <f>IF(16&gt;=Inputs!$B$98,Inputs!$B$99,Inputs!$B$97)</f>
        <v>1500</v>
      </c>
      <c r="R90" s="19">
        <f>IF(17&gt;=Inputs!$B$98,Inputs!$B$99,Inputs!$B$97)</f>
        <v>1500</v>
      </c>
      <c r="S90" s="19">
        <f>IF(18&gt;=Inputs!$B$98,Inputs!$B$99,Inputs!$B$97)</f>
        <v>4500</v>
      </c>
      <c r="T90" s="19">
        <f>IF(19&gt;=Inputs!$B$98,Inputs!$B$99,Inputs!$B$97)</f>
        <v>4500</v>
      </c>
      <c r="U90" s="19">
        <f>IF(20&gt;=Inputs!$B$98,Inputs!$B$99,Inputs!$B$97)</f>
        <v>4500</v>
      </c>
      <c r="V90" s="19">
        <f>IF(21&gt;=Inputs!$B$98,Inputs!$B$99,Inputs!$B$97)</f>
        <v>4500</v>
      </c>
      <c r="W90" s="19">
        <f>IF(22&gt;=Inputs!$B$98,Inputs!$B$99,Inputs!$B$97)</f>
        <v>4500</v>
      </c>
      <c r="X90" s="19">
        <f>IF(23&gt;=Inputs!$B$98,Inputs!$B$99,Inputs!$B$97)</f>
        <v>4500</v>
      </c>
      <c r="Y90" s="19">
        <f>IF(24&gt;=Inputs!$B$98,Inputs!$B$99,Inputs!$B$97)</f>
        <v>4500</v>
      </c>
      <c r="Z90" s="19">
        <f>IF(25&gt;=Inputs!$B$98,Inputs!$B$99,Inputs!$B$97)</f>
        <v>4500</v>
      </c>
      <c r="AA90" s="19">
        <f>IF(26&gt;=Inputs!$B$98,Inputs!$B$99,Inputs!$B$97)</f>
        <v>4500</v>
      </c>
      <c r="AB90" s="19">
        <f>IF(27&gt;=Inputs!$B$98,Inputs!$B$99,Inputs!$B$97)</f>
        <v>4500</v>
      </c>
      <c r="AC90" s="19">
        <f>IF(28&gt;=Inputs!$B$98,Inputs!$B$99,Inputs!$B$97)</f>
        <v>4500</v>
      </c>
      <c r="AD90" s="19">
        <f>IF(29&gt;=Inputs!$B$98,Inputs!$B$99,Inputs!$B$97)</f>
        <v>4500</v>
      </c>
      <c r="AE90" s="19">
        <f>IF(30&gt;=Inputs!$B$98,Inputs!$B$99,Inputs!$B$97)</f>
        <v>4500</v>
      </c>
      <c r="AF90" s="19">
        <f>IF(31&gt;=Inputs!$B$98,Inputs!$B$99,Inputs!$B$97)</f>
        <v>4500</v>
      </c>
      <c r="AG90" s="19">
        <f>IF(32&gt;=Inputs!$B$98,Inputs!$B$99,Inputs!$B$97)</f>
        <v>4500</v>
      </c>
      <c r="AH90" s="19">
        <f>IF(33&gt;=Inputs!$B$98,Inputs!$B$99,Inputs!$B$97)</f>
        <v>4500</v>
      </c>
      <c r="AI90" s="19">
        <f>IF(34&gt;=Inputs!$B$98,Inputs!$B$99,Inputs!$B$97)</f>
        <v>4500</v>
      </c>
      <c r="AJ90" s="19">
        <f>IF(35&gt;=Inputs!$B$98,Inputs!$B$99,Inputs!$B$97)</f>
        <v>4500</v>
      </c>
      <c r="AK90" s="19">
        <f>IF(36&gt;=Inputs!$B$98,Inputs!$B$99,Inputs!$B$97)</f>
        <v>4500</v>
      </c>
      <c r="AL90" s="19">
        <f>IF(37&gt;=Inputs!$B$98,Inputs!$B$99,Inputs!$B$97)</f>
        <v>4500</v>
      </c>
      <c r="AM90" s="19">
        <f>IF(38&gt;=Inputs!$B$98,Inputs!$B$99,Inputs!$B$97)</f>
        <v>4500</v>
      </c>
      <c r="AN90" s="19">
        <f>IF(39&gt;=Inputs!$B$98,Inputs!$B$99,Inputs!$B$97)</f>
        <v>4500</v>
      </c>
      <c r="AO90" s="19">
        <f>IF(40&gt;=Inputs!$B$98,Inputs!$B$99,Inputs!$B$97)</f>
        <v>4500</v>
      </c>
      <c r="AP90" s="19">
        <f>IF(41&gt;=Inputs!$B$98,Inputs!$B$99,Inputs!$B$97)</f>
        <v>4500</v>
      </c>
      <c r="AQ90" s="19">
        <f>IF(42&gt;=Inputs!$B$98,Inputs!$B$99,Inputs!$B$97)</f>
        <v>4500</v>
      </c>
      <c r="AR90" s="19">
        <f>IF(43&gt;=Inputs!$B$98,Inputs!$B$99,Inputs!$B$97)</f>
        <v>4500</v>
      </c>
      <c r="AS90" s="19">
        <f>IF(44&gt;=Inputs!$B$98,Inputs!$B$99,Inputs!$B$97)</f>
        <v>4500</v>
      </c>
      <c r="AT90" s="19">
        <f>IF(45&gt;=Inputs!$B$98,Inputs!$B$99,Inputs!$B$97)</f>
        <v>4500</v>
      </c>
      <c r="AU90" s="19">
        <f>IF(46&gt;=Inputs!$B$98,Inputs!$B$99,Inputs!$B$97)</f>
        <v>4500</v>
      </c>
      <c r="AV90" s="19">
        <f>IF(47&gt;=Inputs!$B$98,Inputs!$B$99,Inputs!$B$97)</f>
        <v>4500</v>
      </c>
      <c r="AW90" s="19">
        <f>IF(48&gt;=Inputs!$B$98,Inputs!$B$99,Inputs!$B$97)</f>
        <v>4500</v>
      </c>
      <c r="AX90" s="19">
        <f>IF(49&gt;=Inputs!$B$98,Inputs!$B$99,Inputs!$B$97)</f>
        <v>4500</v>
      </c>
      <c r="AY90" s="19">
        <f>IF(50&gt;=Inputs!$B$98,Inputs!$B$99,Inputs!$B$97)</f>
        <v>4500</v>
      </c>
      <c r="AZ90" s="19">
        <f>IF(51&gt;=Inputs!$B$98,Inputs!$B$99,Inputs!$B$97)</f>
        <v>4500</v>
      </c>
      <c r="BA90" s="19">
        <f>IF(52&gt;=Inputs!$B$98,Inputs!$B$99,Inputs!$B$97)</f>
        <v>4500</v>
      </c>
    </row>
    <row r="91" spans="1:53" x14ac:dyDescent="0.35">
      <c r="A91" s="3" t="s">
        <v>198</v>
      </c>
      <c r="B91" s="19">
        <f>Inputs!$B$100</f>
        <v>300</v>
      </c>
      <c r="C91" s="19">
        <f>Inputs!$B$100</f>
        <v>300</v>
      </c>
      <c r="D91" s="19">
        <f>Inputs!$B$100</f>
        <v>300</v>
      </c>
      <c r="E91" s="19">
        <f>Inputs!$B$100</f>
        <v>300</v>
      </c>
      <c r="F91" s="19">
        <f>Inputs!$B$100</f>
        <v>300</v>
      </c>
      <c r="G91" s="19">
        <f>Inputs!$B$100</f>
        <v>300</v>
      </c>
      <c r="H91" s="19">
        <f>Inputs!$B$100</f>
        <v>300</v>
      </c>
      <c r="I91" s="19">
        <f>Inputs!$B$100</f>
        <v>300</v>
      </c>
      <c r="J91" s="19">
        <f>Inputs!$B$100</f>
        <v>300</v>
      </c>
      <c r="K91" s="19">
        <f>Inputs!$B$100</f>
        <v>300</v>
      </c>
      <c r="L91" s="19">
        <f>Inputs!$B$100</f>
        <v>300</v>
      </c>
      <c r="M91" s="19">
        <f>Inputs!$B$100</f>
        <v>300</v>
      </c>
      <c r="N91" s="19">
        <f>Inputs!$B$100</f>
        <v>300</v>
      </c>
      <c r="O91" s="19">
        <f>Inputs!$B$100</f>
        <v>300</v>
      </c>
      <c r="P91" s="19">
        <f>Inputs!$B$100</f>
        <v>300</v>
      </c>
      <c r="Q91" s="19">
        <f>Inputs!$B$100</f>
        <v>300</v>
      </c>
      <c r="R91" s="19">
        <f>Inputs!$B$100</f>
        <v>300</v>
      </c>
      <c r="S91" s="19">
        <f>Inputs!$B$100</f>
        <v>300</v>
      </c>
      <c r="T91" s="19">
        <f>Inputs!$B$100</f>
        <v>300</v>
      </c>
      <c r="U91" s="19">
        <f>Inputs!$B$100</f>
        <v>300</v>
      </c>
      <c r="V91" s="19">
        <f>Inputs!$B$100</f>
        <v>300</v>
      </c>
      <c r="W91" s="19">
        <f>Inputs!$B$100</f>
        <v>300</v>
      </c>
      <c r="X91" s="19">
        <f>Inputs!$B$100</f>
        <v>300</v>
      </c>
      <c r="Y91" s="19">
        <f>Inputs!$B$100</f>
        <v>300</v>
      </c>
      <c r="Z91" s="19">
        <f>Inputs!$B$100</f>
        <v>300</v>
      </c>
      <c r="AA91" s="19">
        <f>Inputs!$B$100</f>
        <v>300</v>
      </c>
      <c r="AB91" s="19">
        <f>Inputs!$B$100</f>
        <v>300</v>
      </c>
      <c r="AC91" s="19">
        <f>Inputs!$B$100</f>
        <v>300</v>
      </c>
      <c r="AD91" s="19">
        <f>Inputs!$B$100</f>
        <v>300</v>
      </c>
      <c r="AE91" s="19">
        <f>Inputs!$B$100</f>
        <v>300</v>
      </c>
      <c r="AF91" s="19">
        <f>Inputs!$B$100</f>
        <v>300</v>
      </c>
      <c r="AG91" s="19">
        <f>Inputs!$B$100</f>
        <v>300</v>
      </c>
      <c r="AH91" s="19">
        <f>Inputs!$B$100</f>
        <v>300</v>
      </c>
      <c r="AI91" s="19">
        <f>Inputs!$B$100</f>
        <v>300</v>
      </c>
      <c r="AJ91" s="19">
        <f>Inputs!$B$100</f>
        <v>300</v>
      </c>
      <c r="AK91" s="19">
        <f>Inputs!$B$100</f>
        <v>300</v>
      </c>
      <c r="AL91" s="19">
        <f>Inputs!$B$100</f>
        <v>300</v>
      </c>
      <c r="AM91" s="19">
        <f>Inputs!$B$100</f>
        <v>300</v>
      </c>
      <c r="AN91" s="19">
        <f>Inputs!$B$100</f>
        <v>300</v>
      </c>
      <c r="AO91" s="19">
        <f>Inputs!$B$100</f>
        <v>300</v>
      </c>
      <c r="AP91" s="19">
        <f>Inputs!$B$100</f>
        <v>300</v>
      </c>
      <c r="AQ91" s="19">
        <f>Inputs!$B$100</f>
        <v>300</v>
      </c>
      <c r="AR91" s="19">
        <f>Inputs!$B$100</f>
        <v>300</v>
      </c>
      <c r="AS91" s="19">
        <f>Inputs!$B$100</f>
        <v>300</v>
      </c>
      <c r="AT91" s="19">
        <f>Inputs!$B$100</f>
        <v>300</v>
      </c>
      <c r="AU91" s="19">
        <f>Inputs!$B$100</f>
        <v>300</v>
      </c>
      <c r="AV91" s="19">
        <f>Inputs!$B$100</f>
        <v>300</v>
      </c>
      <c r="AW91" s="19">
        <f>Inputs!$B$100</f>
        <v>300</v>
      </c>
      <c r="AX91" s="19">
        <f>Inputs!$B$100</f>
        <v>300</v>
      </c>
      <c r="AY91" s="19">
        <f>Inputs!$B$100</f>
        <v>300</v>
      </c>
      <c r="AZ91" s="19">
        <f>Inputs!$B$100</f>
        <v>300</v>
      </c>
      <c r="BA91" s="19">
        <f>Inputs!$B$100</f>
        <v>300</v>
      </c>
    </row>
    <row r="92" spans="1:53" x14ac:dyDescent="0.35">
      <c r="A92" s="3" t="s">
        <v>200</v>
      </c>
      <c r="B92" s="19">
        <f>Inputs!$B$101</f>
        <v>150</v>
      </c>
      <c r="C92" s="19">
        <f>Inputs!$B$101</f>
        <v>150</v>
      </c>
      <c r="D92" s="19">
        <f>Inputs!$B$101</f>
        <v>150</v>
      </c>
      <c r="E92" s="19">
        <f>Inputs!$B$101</f>
        <v>150</v>
      </c>
      <c r="F92" s="19">
        <f>Inputs!$B$101</f>
        <v>150</v>
      </c>
      <c r="G92" s="19">
        <f>Inputs!$B$101</f>
        <v>150</v>
      </c>
      <c r="H92" s="19">
        <f>Inputs!$B$101</f>
        <v>150</v>
      </c>
      <c r="I92" s="19">
        <f>Inputs!$B$101</f>
        <v>150</v>
      </c>
      <c r="J92" s="19">
        <f>Inputs!$B$101</f>
        <v>150</v>
      </c>
      <c r="K92" s="19">
        <f>Inputs!$B$101</f>
        <v>150</v>
      </c>
      <c r="L92" s="19">
        <f>Inputs!$B$101</f>
        <v>150</v>
      </c>
      <c r="M92" s="19">
        <f>Inputs!$B$101</f>
        <v>150</v>
      </c>
      <c r="N92" s="19">
        <f>Inputs!$B$101</f>
        <v>150</v>
      </c>
      <c r="O92" s="19">
        <f>Inputs!$B$101</f>
        <v>150</v>
      </c>
      <c r="P92" s="19">
        <f>Inputs!$B$101</f>
        <v>150</v>
      </c>
      <c r="Q92" s="19">
        <f>Inputs!$B$101</f>
        <v>150</v>
      </c>
      <c r="R92" s="19">
        <f>Inputs!$B$101</f>
        <v>150</v>
      </c>
      <c r="S92" s="19">
        <f>Inputs!$B$101</f>
        <v>150</v>
      </c>
      <c r="T92" s="19">
        <f>Inputs!$B$101</f>
        <v>150</v>
      </c>
      <c r="U92" s="19">
        <f>Inputs!$B$101</f>
        <v>150</v>
      </c>
      <c r="V92" s="19">
        <f>Inputs!$B$101</f>
        <v>150</v>
      </c>
      <c r="W92" s="19">
        <f>Inputs!$B$101</f>
        <v>150</v>
      </c>
      <c r="X92" s="19">
        <f>Inputs!$B$101</f>
        <v>150</v>
      </c>
      <c r="Y92" s="19">
        <f>Inputs!$B$101</f>
        <v>150</v>
      </c>
      <c r="Z92" s="19">
        <f>Inputs!$B$101</f>
        <v>150</v>
      </c>
      <c r="AA92" s="19">
        <f>Inputs!$B$101</f>
        <v>150</v>
      </c>
      <c r="AB92" s="19">
        <f>Inputs!$B$101</f>
        <v>150</v>
      </c>
      <c r="AC92" s="19">
        <f>Inputs!$B$101</f>
        <v>150</v>
      </c>
      <c r="AD92" s="19">
        <f>Inputs!$B$101</f>
        <v>150</v>
      </c>
      <c r="AE92" s="19">
        <f>Inputs!$B$101</f>
        <v>150</v>
      </c>
      <c r="AF92" s="19">
        <f>Inputs!$B$101</f>
        <v>150</v>
      </c>
      <c r="AG92" s="19">
        <f>Inputs!$B$101</f>
        <v>150</v>
      </c>
      <c r="AH92" s="19">
        <f>Inputs!$B$101</f>
        <v>150</v>
      </c>
      <c r="AI92" s="19">
        <f>Inputs!$B$101</f>
        <v>150</v>
      </c>
      <c r="AJ92" s="19">
        <f>Inputs!$B$101</f>
        <v>150</v>
      </c>
      <c r="AK92" s="19">
        <f>Inputs!$B$101</f>
        <v>150</v>
      </c>
      <c r="AL92" s="19">
        <f>Inputs!$B$101</f>
        <v>150</v>
      </c>
      <c r="AM92" s="19">
        <f>Inputs!$B$101</f>
        <v>150</v>
      </c>
      <c r="AN92" s="19">
        <f>Inputs!$B$101</f>
        <v>150</v>
      </c>
      <c r="AO92" s="19">
        <f>Inputs!$B$101</f>
        <v>150</v>
      </c>
      <c r="AP92" s="19">
        <f>Inputs!$B$101</f>
        <v>150</v>
      </c>
      <c r="AQ92" s="19">
        <f>Inputs!$B$101</f>
        <v>150</v>
      </c>
      <c r="AR92" s="19">
        <f>Inputs!$B$101</f>
        <v>150</v>
      </c>
      <c r="AS92" s="19">
        <f>Inputs!$B$101</f>
        <v>150</v>
      </c>
      <c r="AT92" s="19">
        <f>Inputs!$B$101</f>
        <v>150</v>
      </c>
      <c r="AU92" s="19">
        <f>Inputs!$B$101</f>
        <v>150</v>
      </c>
      <c r="AV92" s="19">
        <f>Inputs!$B$101</f>
        <v>150</v>
      </c>
      <c r="AW92" s="19">
        <f>Inputs!$B$101</f>
        <v>150</v>
      </c>
      <c r="AX92" s="19">
        <f>Inputs!$B$101</f>
        <v>150</v>
      </c>
      <c r="AY92" s="19">
        <f>Inputs!$B$101</f>
        <v>150</v>
      </c>
      <c r="AZ92" s="19">
        <f>Inputs!$B$101</f>
        <v>150</v>
      </c>
      <c r="BA92" s="19">
        <f>Inputs!$B$101</f>
        <v>150</v>
      </c>
    </row>
    <row r="93" spans="1:53" x14ac:dyDescent="0.35">
      <c r="A93" s="3" t="s">
        <v>390</v>
      </c>
      <c r="B93" s="19">
        <f>B38*Inputs!$B$103</f>
        <v>90</v>
      </c>
      <c r="C93" s="19">
        <f>C38*Inputs!$B$103</f>
        <v>90</v>
      </c>
      <c r="D93" s="19">
        <f>D38*Inputs!$B$103</f>
        <v>90</v>
      </c>
      <c r="E93" s="19">
        <f>E38*Inputs!$B$103</f>
        <v>90</v>
      </c>
      <c r="F93" s="19">
        <f>F38*Inputs!$B$103</f>
        <v>90</v>
      </c>
      <c r="G93" s="19">
        <f>G38*Inputs!$B$103</f>
        <v>90</v>
      </c>
      <c r="H93" s="19">
        <f>H38*Inputs!$B$103</f>
        <v>120</v>
      </c>
      <c r="I93" s="19">
        <f>I38*Inputs!$B$103</f>
        <v>150</v>
      </c>
      <c r="J93" s="19">
        <f>J38*Inputs!$B$103</f>
        <v>180</v>
      </c>
      <c r="K93" s="19">
        <f>K38*Inputs!$B$103</f>
        <v>240</v>
      </c>
      <c r="L93" s="19">
        <f>L38*Inputs!$B$103</f>
        <v>270</v>
      </c>
      <c r="M93" s="19">
        <f>M38*Inputs!$B$103</f>
        <v>300</v>
      </c>
      <c r="N93" s="19">
        <f>N38*Inputs!$B$103</f>
        <v>330</v>
      </c>
      <c r="O93" s="19">
        <f>O38*Inputs!$B$103</f>
        <v>390</v>
      </c>
      <c r="P93" s="19">
        <f>P38*Inputs!$B$103</f>
        <v>390</v>
      </c>
      <c r="Q93" s="19">
        <f>Q38*Inputs!$B$103</f>
        <v>390</v>
      </c>
      <c r="R93" s="19">
        <f>R38*Inputs!$B$103</f>
        <v>390</v>
      </c>
      <c r="S93" s="19">
        <f>S38*Inputs!$B$103</f>
        <v>480</v>
      </c>
      <c r="T93" s="19">
        <f>T38*Inputs!$B$103</f>
        <v>480</v>
      </c>
      <c r="U93" s="19">
        <f>U38*Inputs!$B$103</f>
        <v>510</v>
      </c>
      <c r="V93" s="19">
        <f>V38*Inputs!$B$103</f>
        <v>510</v>
      </c>
      <c r="W93" s="19">
        <f>W38*Inputs!$B$103</f>
        <v>540</v>
      </c>
      <c r="X93" s="19">
        <f>X38*Inputs!$B$103</f>
        <v>540</v>
      </c>
      <c r="Y93" s="19">
        <f>Y38*Inputs!$B$103</f>
        <v>600</v>
      </c>
      <c r="Z93" s="19">
        <f>Z38*Inputs!$B$103</f>
        <v>600</v>
      </c>
      <c r="AA93" s="19">
        <f>AA38*Inputs!$B$103</f>
        <v>630</v>
      </c>
      <c r="AB93" s="19">
        <f>AB38*Inputs!$B$103</f>
        <v>630</v>
      </c>
      <c r="AC93" s="19">
        <f>AC38*Inputs!$B$103</f>
        <v>660</v>
      </c>
      <c r="AD93" s="19">
        <f>AD38*Inputs!$B$103</f>
        <v>660</v>
      </c>
      <c r="AE93" s="19">
        <f>AE38*Inputs!$B$103</f>
        <v>720</v>
      </c>
      <c r="AF93" s="19">
        <f>AF38*Inputs!$B$103</f>
        <v>720</v>
      </c>
      <c r="AG93" s="19">
        <f>AG38*Inputs!$B$103</f>
        <v>750</v>
      </c>
      <c r="AH93" s="19">
        <f>AH38*Inputs!$B$103</f>
        <v>750</v>
      </c>
      <c r="AI93" s="19">
        <f>AI38*Inputs!$B$103</f>
        <v>780</v>
      </c>
      <c r="AJ93" s="19">
        <f>AJ38*Inputs!$B$103</f>
        <v>780</v>
      </c>
      <c r="AK93" s="19">
        <f>AK38*Inputs!$B$103</f>
        <v>840</v>
      </c>
      <c r="AL93" s="19">
        <f>AL38*Inputs!$B$103</f>
        <v>840</v>
      </c>
      <c r="AM93" s="19">
        <f>AM38*Inputs!$B$103</f>
        <v>870</v>
      </c>
      <c r="AN93" s="19">
        <f>AN38*Inputs!$B$103</f>
        <v>870</v>
      </c>
      <c r="AO93" s="19">
        <f>AO38*Inputs!$B$103</f>
        <v>930</v>
      </c>
      <c r="AP93" s="19">
        <f>AP38*Inputs!$B$103</f>
        <v>930</v>
      </c>
      <c r="AQ93" s="19">
        <f>AQ38*Inputs!$B$103</f>
        <v>990</v>
      </c>
      <c r="AR93" s="19">
        <f>AR38*Inputs!$B$103</f>
        <v>990</v>
      </c>
      <c r="AS93" s="19">
        <f>AS38*Inputs!$B$103</f>
        <v>1050</v>
      </c>
      <c r="AT93" s="19">
        <f>AT38*Inputs!$B$103</f>
        <v>1050</v>
      </c>
      <c r="AU93" s="19">
        <f>AU38*Inputs!$B$103</f>
        <v>1050</v>
      </c>
      <c r="AV93" s="19">
        <f>AV38*Inputs!$B$103</f>
        <v>1050</v>
      </c>
      <c r="AW93" s="19">
        <f>AW38*Inputs!$B$103</f>
        <v>1050</v>
      </c>
      <c r="AX93" s="19">
        <f>AX38*Inputs!$B$103</f>
        <v>1050</v>
      </c>
      <c r="AY93" s="19">
        <f>AY38*Inputs!$B$103</f>
        <v>1050</v>
      </c>
      <c r="AZ93" s="19">
        <f>AZ38*Inputs!$B$103</f>
        <v>1050</v>
      </c>
      <c r="BA93" s="19">
        <f>BA38*Inputs!$B$103</f>
        <v>1050</v>
      </c>
    </row>
    <row r="94" spans="1:53" x14ac:dyDescent="0.35">
      <c r="A94" s="2" t="s">
        <v>391</v>
      </c>
      <c r="B94" s="17">
        <f t="shared" ref="B94:AG94" si="8">SUM(B90:B93)</f>
        <v>2040</v>
      </c>
      <c r="C94" s="17">
        <f t="shared" si="8"/>
        <v>2040</v>
      </c>
      <c r="D94" s="17">
        <f t="shared" si="8"/>
        <v>2040</v>
      </c>
      <c r="E94" s="17">
        <f t="shared" si="8"/>
        <v>2040</v>
      </c>
      <c r="F94" s="17">
        <f t="shared" si="8"/>
        <v>2040</v>
      </c>
      <c r="G94" s="17">
        <f t="shared" si="8"/>
        <v>2040</v>
      </c>
      <c r="H94" s="17">
        <f t="shared" si="8"/>
        <v>2070</v>
      </c>
      <c r="I94" s="17">
        <f t="shared" si="8"/>
        <v>2100</v>
      </c>
      <c r="J94" s="17">
        <f t="shared" si="8"/>
        <v>2130</v>
      </c>
      <c r="K94" s="17">
        <f t="shared" si="8"/>
        <v>2190</v>
      </c>
      <c r="L94" s="17">
        <f t="shared" si="8"/>
        <v>2220</v>
      </c>
      <c r="M94" s="17">
        <f t="shared" si="8"/>
        <v>2250</v>
      </c>
      <c r="N94" s="17">
        <f t="shared" si="8"/>
        <v>2280</v>
      </c>
      <c r="O94" s="17">
        <f t="shared" si="8"/>
        <v>2340</v>
      </c>
      <c r="P94" s="17">
        <f t="shared" si="8"/>
        <v>2340</v>
      </c>
      <c r="Q94" s="17">
        <f t="shared" si="8"/>
        <v>2340</v>
      </c>
      <c r="R94" s="17">
        <f t="shared" si="8"/>
        <v>2340</v>
      </c>
      <c r="S94" s="17">
        <f t="shared" si="8"/>
        <v>5430</v>
      </c>
      <c r="T94" s="17">
        <f t="shared" si="8"/>
        <v>5430</v>
      </c>
      <c r="U94" s="17">
        <f t="shared" si="8"/>
        <v>5460</v>
      </c>
      <c r="V94" s="17">
        <f t="shared" si="8"/>
        <v>5460</v>
      </c>
      <c r="W94" s="17">
        <f t="shared" si="8"/>
        <v>5490</v>
      </c>
      <c r="X94" s="17">
        <f t="shared" si="8"/>
        <v>5490</v>
      </c>
      <c r="Y94" s="17">
        <f t="shared" si="8"/>
        <v>5550</v>
      </c>
      <c r="Z94" s="17">
        <f t="shared" si="8"/>
        <v>5550</v>
      </c>
      <c r="AA94" s="17">
        <f t="shared" si="8"/>
        <v>5580</v>
      </c>
      <c r="AB94" s="17">
        <f t="shared" si="8"/>
        <v>5580</v>
      </c>
      <c r="AC94" s="17">
        <f t="shared" si="8"/>
        <v>5610</v>
      </c>
      <c r="AD94" s="17">
        <f t="shared" si="8"/>
        <v>5610</v>
      </c>
      <c r="AE94" s="17">
        <f t="shared" si="8"/>
        <v>5670</v>
      </c>
      <c r="AF94" s="17">
        <f t="shared" si="8"/>
        <v>5670</v>
      </c>
      <c r="AG94" s="17">
        <f t="shared" si="8"/>
        <v>5700</v>
      </c>
      <c r="AH94" s="17">
        <f t="shared" ref="AH94:BA94" si="9">SUM(AH90:AH93)</f>
        <v>5700</v>
      </c>
      <c r="AI94" s="17">
        <f t="shared" si="9"/>
        <v>5730</v>
      </c>
      <c r="AJ94" s="17">
        <f t="shared" si="9"/>
        <v>5730</v>
      </c>
      <c r="AK94" s="17">
        <f t="shared" si="9"/>
        <v>5790</v>
      </c>
      <c r="AL94" s="17">
        <f t="shared" si="9"/>
        <v>5790</v>
      </c>
      <c r="AM94" s="17">
        <f t="shared" si="9"/>
        <v>5820</v>
      </c>
      <c r="AN94" s="17">
        <f t="shared" si="9"/>
        <v>5820</v>
      </c>
      <c r="AO94" s="17">
        <f t="shared" si="9"/>
        <v>5880</v>
      </c>
      <c r="AP94" s="17">
        <f t="shared" si="9"/>
        <v>5880</v>
      </c>
      <c r="AQ94" s="17">
        <f t="shared" si="9"/>
        <v>5940</v>
      </c>
      <c r="AR94" s="17">
        <f t="shared" si="9"/>
        <v>5940</v>
      </c>
      <c r="AS94" s="17">
        <f t="shared" si="9"/>
        <v>6000</v>
      </c>
      <c r="AT94" s="17">
        <f t="shared" si="9"/>
        <v>6000</v>
      </c>
      <c r="AU94" s="17">
        <f t="shared" si="9"/>
        <v>6000</v>
      </c>
      <c r="AV94" s="17">
        <f t="shared" si="9"/>
        <v>6000</v>
      </c>
      <c r="AW94" s="17">
        <f t="shared" si="9"/>
        <v>6000</v>
      </c>
      <c r="AX94" s="17">
        <f t="shared" si="9"/>
        <v>6000</v>
      </c>
      <c r="AY94" s="17">
        <f t="shared" si="9"/>
        <v>6000</v>
      </c>
      <c r="AZ94" s="17">
        <f t="shared" si="9"/>
        <v>6000</v>
      </c>
      <c r="BA94" s="17">
        <f t="shared" si="9"/>
        <v>6000</v>
      </c>
    </row>
    <row r="96" spans="1:53" x14ac:dyDescent="0.35">
      <c r="A96" s="2" t="s">
        <v>206</v>
      </c>
    </row>
    <row r="97" spans="1:53" x14ac:dyDescent="0.35">
      <c r="A97" s="3" t="s">
        <v>392</v>
      </c>
      <c r="B97" s="19">
        <f>Inputs!$B$106/12+IF(OR(1=Inputs!$B$11,1=Inputs!$B$13,1=Inputs!$B$15,1=Inputs!$B$17),Inputs!$B$107,0)</f>
        <v>15666.666666666666</v>
      </c>
      <c r="C97" s="19">
        <f>Inputs!$B$106/12+IF(OR(2=Inputs!$B$11,2=Inputs!$B$13,2=Inputs!$B$15,2=Inputs!$B$17),Inputs!$B$107,0)</f>
        <v>666.66666666666663</v>
      </c>
      <c r="D97" s="19">
        <f>Inputs!$B$106/12+IF(OR(3=Inputs!$B$11,3=Inputs!$B$13,3=Inputs!$B$15,3=Inputs!$B$17),Inputs!$B$107,0)</f>
        <v>666.66666666666663</v>
      </c>
      <c r="E97" s="19">
        <f>Inputs!$B$106/12+IF(OR(4=Inputs!$B$11,4=Inputs!$B$13,4=Inputs!$B$15,4=Inputs!$B$17),Inputs!$B$107,0)</f>
        <v>666.66666666666663</v>
      </c>
      <c r="F97" s="19">
        <f>Inputs!$B$106/12+IF(OR(5=Inputs!$B$11,5=Inputs!$B$13,5=Inputs!$B$15,5=Inputs!$B$17),Inputs!$B$107,0)</f>
        <v>15666.666666666666</v>
      </c>
      <c r="G97" s="19">
        <f>Inputs!$B$106/12+IF(OR(6=Inputs!$B$11,6=Inputs!$B$13,6=Inputs!$B$15,6=Inputs!$B$17),Inputs!$B$107,0)</f>
        <v>666.66666666666663</v>
      </c>
      <c r="H97" s="19">
        <f>Inputs!$B$106/12+IF(OR(7=Inputs!$B$11,7=Inputs!$B$13,7=Inputs!$B$15,7=Inputs!$B$17),Inputs!$B$107,0)</f>
        <v>666.66666666666663</v>
      </c>
      <c r="I97" s="19">
        <f>Inputs!$B$106/12+IF(OR(8=Inputs!$B$11,8=Inputs!$B$13,8=Inputs!$B$15,8=Inputs!$B$17),Inputs!$B$107,0)</f>
        <v>666.66666666666663</v>
      </c>
      <c r="J97" s="19">
        <f>Inputs!$B$106/12+IF(OR(9=Inputs!$B$11,9=Inputs!$B$13,9=Inputs!$B$15,9=Inputs!$B$17),Inputs!$B$107,0)</f>
        <v>666.66666666666663</v>
      </c>
      <c r="K97" s="19">
        <f>Inputs!$B$106/12+IF(OR(10=Inputs!$B$11,10=Inputs!$B$13,10=Inputs!$B$15,10=Inputs!$B$17),Inputs!$B$107,0)</f>
        <v>666.66666666666663</v>
      </c>
      <c r="L97" s="19">
        <f>Inputs!$B$106/12+IF(OR(11=Inputs!$B$11,11=Inputs!$B$13,11=Inputs!$B$15,11=Inputs!$B$17),Inputs!$B$107,0)</f>
        <v>666.66666666666663</v>
      </c>
      <c r="M97" s="19">
        <f>Inputs!$B$106/12+IF(OR(12=Inputs!$B$11,12=Inputs!$B$13,12=Inputs!$B$15,12=Inputs!$B$17),Inputs!$B$107,0)</f>
        <v>666.66666666666663</v>
      </c>
      <c r="N97" s="19">
        <f>Inputs!$B$106/12+IF(OR(13=Inputs!$B$11,13=Inputs!$B$13,13=Inputs!$B$15,13=Inputs!$B$17),Inputs!$B$107,0)</f>
        <v>666.66666666666663</v>
      </c>
      <c r="O97" s="19">
        <f>Inputs!$B$106/12+IF(OR(14=Inputs!$B$11,14=Inputs!$B$13,14=Inputs!$B$15,14=Inputs!$B$17),Inputs!$B$107,0)</f>
        <v>666.66666666666663</v>
      </c>
      <c r="P97" s="19">
        <f>Inputs!$B$106/12+IF(OR(15=Inputs!$B$11,15=Inputs!$B$13,15=Inputs!$B$15,15=Inputs!$B$17),Inputs!$B$107,0)</f>
        <v>666.66666666666663</v>
      </c>
      <c r="Q97" s="19">
        <f>Inputs!$B$106/12+IF(OR(16=Inputs!$B$11,16=Inputs!$B$13,16=Inputs!$B$15,16=Inputs!$B$17),Inputs!$B$107,0)</f>
        <v>666.66666666666663</v>
      </c>
      <c r="R97" s="19">
        <f>Inputs!$B$106/12+IF(OR(17=Inputs!$B$11,17=Inputs!$B$13,17=Inputs!$B$15,17=Inputs!$B$17),Inputs!$B$107,0)</f>
        <v>15666.666666666666</v>
      </c>
      <c r="S97" s="19">
        <f>Inputs!$B$106/12+IF(OR(18=Inputs!$B$11,18=Inputs!$B$13,18=Inputs!$B$15,18=Inputs!$B$17),Inputs!$B$107,0)</f>
        <v>666.66666666666663</v>
      </c>
      <c r="T97" s="19">
        <f>Inputs!$B$106/12+IF(OR(19=Inputs!$B$11,19=Inputs!$B$13,19=Inputs!$B$15,19=Inputs!$B$17),Inputs!$B$107,0)</f>
        <v>666.66666666666663</v>
      </c>
      <c r="U97" s="19">
        <f>Inputs!$B$106/12+IF(OR(20=Inputs!$B$11,20=Inputs!$B$13,20=Inputs!$B$15,20=Inputs!$B$17),Inputs!$B$107,0)</f>
        <v>666.66666666666663</v>
      </c>
      <c r="V97" s="19">
        <f>Inputs!$B$106/12+IF(OR(21=Inputs!$B$11,21=Inputs!$B$13,21=Inputs!$B$15,21=Inputs!$B$17),Inputs!$B$107,0)</f>
        <v>666.66666666666663</v>
      </c>
      <c r="W97" s="19">
        <f>Inputs!$B$106/12+IF(OR(22=Inputs!$B$11,22=Inputs!$B$13,22=Inputs!$B$15,22=Inputs!$B$17),Inputs!$B$107,0)</f>
        <v>666.66666666666663</v>
      </c>
      <c r="X97" s="19">
        <f>Inputs!$B$106/12+IF(OR(23=Inputs!$B$11,23=Inputs!$B$13,23=Inputs!$B$15,23=Inputs!$B$17),Inputs!$B$107,0)</f>
        <v>666.66666666666663</v>
      </c>
      <c r="Y97" s="19">
        <f>Inputs!$B$106/12+IF(OR(24=Inputs!$B$11,24=Inputs!$B$13,24=Inputs!$B$15,24=Inputs!$B$17),Inputs!$B$107,0)</f>
        <v>666.66666666666663</v>
      </c>
      <c r="Z97" s="19">
        <f>Inputs!$B$106/12+IF(OR(25=Inputs!$B$11,25=Inputs!$B$13,25=Inputs!$B$15,25=Inputs!$B$17),Inputs!$B$107,0)</f>
        <v>666.66666666666663</v>
      </c>
      <c r="AA97" s="19">
        <f>Inputs!$B$106/12+IF(OR(26=Inputs!$B$11,26=Inputs!$B$13,26=Inputs!$B$15,26=Inputs!$B$17),Inputs!$B$107,0)</f>
        <v>666.66666666666663</v>
      </c>
      <c r="AB97" s="19">
        <f>Inputs!$B$106/12+IF(OR(27=Inputs!$B$11,27=Inputs!$B$13,27=Inputs!$B$15,27=Inputs!$B$17),Inputs!$B$107,0)</f>
        <v>666.66666666666663</v>
      </c>
      <c r="AC97" s="19">
        <f>Inputs!$B$106/12+IF(OR(28=Inputs!$B$11,28=Inputs!$B$13,28=Inputs!$B$15,28=Inputs!$B$17),Inputs!$B$107,0)</f>
        <v>666.66666666666663</v>
      </c>
      <c r="AD97" s="19">
        <f>Inputs!$B$106/12+IF(OR(29=Inputs!$B$11,29=Inputs!$B$13,29=Inputs!$B$15,29=Inputs!$B$17),Inputs!$B$107,0)</f>
        <v>666.66666666666663</v>
      </c>
      <c r="AE97" s="19">
        <f>Inputs!$B$106/12+IF(OR(30=Inputs!$B$11,30=Inputs!$B$13,30=Inputs!$B$15,30=Inputs!$B$17),Inputs!$B$107,0)</f>
        <v>666.66666666666663</v>
      </c>
      <c r="AF97" s="19">
        <f>Inputs!$B$106/12+IF(OR(31=Inputs!$B$11,31=Inputs!$B$13,31=Inputs!$B$15,31=Inputs!$B$17),Inputs!$B$107,0)</f>
        <v>666.66666666666663</v>
      </c>
      <c r="AG97" s="19">
        <f>Inputs!$B$106/12+IF(OR(32=Inputs!$B$11,32=Inputs!$B$13,32=Inputs!$B$15,32=Inputs!$B$17),Inputs!$B$107,0)</f>
        <v>666.66666666666663</v>
      </c>
      <c r="AH97" s="19">
        <f>Inputs!$B$106/12+IF(OR(33=Inputs!$B$11,33=Inputs!$B$13,33=Inputs!$B$15,33=Inputs!$B$17),Inputs!$B$107,0)</f>
        <v>666.66666666666663</v>
      </c>
      <c r="AI97" s="19">
        <f>Inputs!$B$106/12+IF(OR(34=Inputs!$B$11,34=Inputs!$B$13,34=Inputs!$B$15,34=Inputs!$B$17),Inputs!$B$107,0)</f>
        <v>666.66666666666663</v>
      </c>
      <c r="AJ97" s="19">
        <f>Inputs!$B$106/12+IF(OR(35=Inputs!$B$11,35=Inputs!$B$13,35=Inputs!$B$15,35=Inputs!$B$17),Inputs!$B$107,0)</f>
        <v>15666.666666666666</v>
      </c>
      <c r="AK97" s="19">
        <f>Inputs!$B$106/12+IF(OR(36=Inputs!$B$11,36=Inputs!$B$13,36=Inputs!$B$15,36=Inputs!$B$17),Inputs!$B$107,0)</f>
        <v>666.66666666666663</v>
      </c>
      <c r="AL97" s="19">
        <f>Inputs!$B$106/12+IF(OR(37=Inputs!$B$11,37=Inputs!$B$13,37=Inputs!$B$15,37=Inputs!$B$17),Inputs!$B$107,0)</f>
        <v>666.66666666666663</v>
      </c>
      <c r="AM97" s="19">
        <f>Inputs!$B$106/12+IF(OR(38=Inputs!$B$11,38=Inputs!$B$13,38=Inputs!$B$15,38=Inputs!$B$17),Inputs!$B$107,0)</f>
        <v>666.66666666666663</v>
      </c>
      <c r="AN97" s="19">
        <f>Inputs!$B$106/12+IF(OR(39=Inputs!$B$11,39=Inputs!$B$13,39=Inputs!$B$15,39=Inputs!$B$17),Inputs!$B$107,0)</f>
        <v>666.66666666666663</v>
      </c>
      <c r="AO97" s="19">
        <f>Inputs!$B$106/12+IF(OR(40=Inputs!$B$11,40=Inputs!$B$13,40=Inputs!$B$15,40=Inputs!$B$17),Inputs!$B$107,0)</f>
        <v>666.66666666666663</v>
      </c>
      <c r="AP97" s="19">
        <f>Inputs!$B$106/12+IF(OR(41=Inputs!$B$11,41=Inputs!$B$13,41=Inputs!$B$15,41=Inputs!$B$17),Inputs!$B$107,0)</f>
        <v>666.66666666666663</v>
      </c>
      <c r="AQ97" s="19">
        <f>Inputs!$B$106/12+IF(OR(42=Inputs!$B$11,42=Inputs!$B$13,42=Inputs!$B$15,42=Inputs!$B$17),Inputs!$B$107,0)</f>
        <v>666.66666666666663</v>
      </c>
      <c r="AR97" s="19">
        <f>Inputs!$B$106/12+IF(OR(43=Inputs!$B$11,43=Inputs!$B$13,43=Inputs!$B$15,43=Inputs!$B$17),Inputs!$B$107,0)</f>
        <v>666.66666666666663</v>
      </c>
      <c r="AS97" s="19">
        <f>Inputs!$B$106/12+IF(OR(44=Inputs!$B$11,44=Inputs!$B$13,44=Inputs!$B$15,44=Inputs!$B$17),Inputs!$B$107,0)</f>
        <v>666.66666666666663</v>
      </c>
      <c r="AT97" s="19">
        <f>Inputs!$B$106/12+IF(OR(45=Inputs!$B$11,45=Inputs!$B$13,45=Inputs!$B$15,45=Inputs!$B$17),Inputs!$B$107,0)</f>
        <v>666.66666666666663</v>
      </c>
      <c r="AU97" s="19">
        <f>Inputs!$B$106/12+IF(OR(46=Inputs!$B$11,46=Inputs!$B$13,46=Inputs!$B$15,46=Inputs!$B$17),Inputs!$B$107,0)</f>
        <v>666.66666666666663</v>
      </c>
      <c r="AV97" s="19">
        <f>Inputs!$B$106/12+IF(OR(47=Inputs!$B$11,47=Inputs!$B$13,47=Inputs!$B$15,47=Inputs!$B$17),Inputs!$B$107,0)</f>
        <v>666.66666666666663</v>
      </c>
      <c r="AW97" s="19">
        <f>Inputs!$B$106/12+IF(OR(48=Inputs!$B$11,48=Inputs!$B$13,48=Inputs!$B$15,48=Inputs!$B$17),Inputs!$B$107,0)</f>
        <v>666.66666666666663</v>
      </c>
      <c r="AX97" s="19">
        <f>Inputs!$B$106/12+IF(OR(49=Inputs!$B$11,49=Inputs!$B$13,49=Inputs!$B$15,49=Inputs!$B$17),Inputs!$B$107,0)</f>
        <v>666.66666666666663</v>
      </c>
      <c r="AY97" s="19">
        <f>Inputs!$B$106/12+IF(OR(50=Inputs!$B$11,50=Inputs!$B$13,50=Inputs!$B$15,50=Inputs!$B$17),Inputs!$B$107,0)</f>
        <v>666.66666666666663</v>
      </c>
      <c r="AZ97" s="19">
        <f>Inputs!$B$106/12+IF(OR(51=Inputs!$B$11,51=Inputs!$B$13,51=Inputs!$B$15,51=Inputs!$B$17),Inputs!$B$107,0)</f>
        <v>666.66666666666663</v>
      </c>
      <c r="BA97" s="19">
        <f>Inputs!$B$106/12+IF(OR(52=Inputs!$B$11,52=Inputs!$B$13,52=Inputs!$B$15,52=Inputs!$B$17),Inputs!$B$107,0)</f>
        <v>666.66666666666663</v>
      </c>
    </row>
    <row r="98" spans="1:53" x14ac:dyDescent="0.35">
      <c r="A98" s="3" t="s">
        <v>211</v>
      </c>
      <c r="B98" s="19">
        <f>Inputs!$B$108</f>
        <v>800</v>
      </c>
      <c r="C98" s="19">
        <f>Inputs!$B$108</f>
        <v>800</v>
      </c>
      <c r="D98" s="19">
        <f>Inputs!$B$108</f>
        <v>800</v>
      </c>
      <c r="E98" s="19">
        <f>Inputs!$B$108</f>
        <v>800</v>
      </c>
      <c r="F98" s="19">
        <f>Inputs!$B$108</f>
        <v>800</v>
      </c>
      <c r="G98" s="19">
        <f>Inputs!$B$108</f>
        <v>800</v>
      </c>
      <c r="H98" s="19">
        <f>Inputs!$B$108</f>
        <v>800</v>
      </c>
      <c r="I98" s="19">
        <f>Inputs!$B$108</f>
        <v>800</v>
      </c>
      <c r="J98" s="19">
        <f>Inputs!$B$108</f>
        <v>800</v>
      </c>
      <c r="K98" s="19">
        <f>Inputs!$B$108</f>
        <v>800</v>
      </c>
      <c r="L98" s="19">
        <f>Inputs!$B$108</f>
        <v>800</v>
      </c>
      <c r="M98" s="19">
        <f>Inputs!$B$108</f>
        <v>800</v>
      </c>
      <c r="N98" s="19">
        <f>Inputs!$B$108</f>
        <v>800</v>
      </c>
      <c r="O98" s="19">
        <f>Inputs!$B$108</f>
        <v>800</v>
      </c>
      <c r="P98" s="19">
        <f>Inputs!$B$108</f>
        <v>800</v>
      </c>
      <c r="Q98" s="19">
        <f>Inputs!$B$108</f>
        <v>800</v>
      </c>
      <c r="R98" s="19">
        <f>Inputs!$B$108</f>
        <v>800</v>
      </c>
      <c r="S98" s="19">
        <f>Inputs!$B$108</f>
        <v>800</v>
      </c>
      <c r="T98" s="19">
        <f>Inputs!$B$108</f>
        <v>800</v>
      </c>
      <c r="U98" s="19">
        <f>Inputs!$B$108</f>
        <v>800</v>
      </c>
      <c r="V98" s="19">
        <f>Inputs!$B$108</f>
        <v>800</v>
      </c>
      <c r="W98" s="19">
        <f>Inputs!$B$108</f>
        <v>800</v>
      </c>
      <c r="X98" s="19">
        <f>Inputs!$B$108</f>
        <v>800</v>
      </c>
      <c r="Y98" s="19">
        <f>Inputs!$B$108</f>
        <v>800</v>
      </c>
      <c r="Z98" s="19">
        <f>Inputs!$B$108</f>
        <v>800</v>
      </c>
      <c r="AA98" s="19">
        <f>Inputs!$B$108</f>
        <v>800</v>
      </c>
      <c r="AB98" s="19">
        <f>Inputs!$B$108</f>
        <v>800</v>
      </c>
      <c r="AC98" s="19">
        <f>Inputs!$B$108</f>
        <v>800</v>
      </c>
      <c r="AD98" s="19">
        <f>Inputs!$B$108</f>
        <v>800</v>
      </c>
      <c r="AE98" s="19">
        <f>Inputs!$B$108</f>
        <v>800</v>
      </c>
      <c r="AF98" s="19">
        <f>Inputs!$B$108</f>
        <v>800</v>
      </c>
      <c r="AG98" s="19">
        <f>Inputs!$B$108</f>
        <v>800</v>
      </c>
      <c r="AH98" s="19">
        <f>Inputs!$B$108</f>
        <v>800</v>
      </c>
      <c r="AI98" s="19">
        <f>Inputs!$B$108</f>
        <v>800</v>
      </c>
      <c r="AJ98" s="19">
        <f>Inputs!$B$108</f>
        <v>800</v>
      </c>
      <c r="AK98" s="19">
        <f>Inputs!$B$108</f>
        <v>800</v>
      </c>
      <c r="AL98" s="19">
        <f>Inputs!$B$108</f>
        <v>800</v>
      </c>
      <c r="AM98" s="19">
        <f>Inputs!$B$108</f>
        <v>800</v>
      </c>
      <c r="AN98" s="19">
        <f>Inputs!$B$108</f>
        <v>800</v>
      </c>
      <c r="AO98" s="19">
        <f>Inputs!$B$108</f>
        <v>800</v>
      </c>
      <c r="AP98" s="19">
        <f>Inputs!$B$108</f>
        <v>800</v>
      </c>
      <c r="AQ98" s="19">
        <f>Inputs!$B$108</f>
        <v>800</v>
      </c>
      <c r="AR98" s="19">
        <f>Inputs!$B$108</f>
        <v>800</v>
      </c>
      <c r="AS98" s="19">
        <f>Inputs!$B$108</f>
        <v>800</v>
      </c>
      <c r="AT98" s="19">
        <f>Inputs!$B$108</f>
        <v>800</v>
      </c>
      <c r="AU98" s="19">
        <f>Inputs!$B$108</f>
        <v>800</v>
      </c>
      <c r="AV98" s="19">
        <f>Inputs!$B$108</f>
        <v>800</v>
      </c>
      <c r="AW98" s="19">
        <f>Inputs!$B$108</f>
        <v>800</v>
      </c>
      <c r="AX98" s="19">
        <f>Inputs!$B$108</f>
        <v>800</v>
      </c>
      <c r="AY98" s="19">
        <f>Inputs!$B$108</f>
        <v>800</v>
      </c>
      <c r="AZ98" s="19">
        <f>Inputs!$B$108</f>
        <v>800</v>
      </c>
      <c r="BA98" s="19">
        <f>Inputs!$B$108</f>
        <v>800</v>
      </c>
    </row>
    <row r="99" spans="1:53" x14ac:dyDescent="0.35">
      <c r="A99" s="3" t="s">
        <v>393</v>
      </c>
      <c r="B99" s="19">
        <f>IF(1&gt;=Inputs!$B$110,Inputs!$B$109/12,0)</f>
        <v>0</v>
      </c>
      <c r="C99" s="19">
        <f>IF(2&gt;=Inputs!$B$110,Inputs!$B$109/12,0)</f>
        <v>0</v>
      </c>
      <c r="D99" s="19">
        <f>IF(3&gt;=Inputs!$B$110,Inputs!$B$109/12,0)</f>
        <v>0</v>
      </c>
      <c r="E99" s="19">
        <f>IF(4&gt;=Inputs!$B$110,Inputs!$B$109/12,0)</f>
        <v>0</v>
      </c>
      <c r="F99" s="19">
        <f>IF(5&gt;=Inputs!$B$110,Inputs!$B$109/12,0)</f>
        <v>0</v>
      </c>
      <c r="G99" s="19">
        <f>IF(6&gt;=Inputs!$B$110,Inputs!$B$109/12,0)</f>
        <v>0</v>
      </c>
      <c r="H99" s="19">
        <f>IF(7&gt;=Inputs!$B$110,Inputs!$B$109/12,0)</f>
        <v>0</v>
      </c>
      <c r="I99" s="19">
        <f>IF(8&gt;=Inputs!$B$110,Inputs!$B$109/12,0)</f>
        <v>0</v>
      </c>
      <c r="J99" s="19">
        <f>IF(9&gt;=Inputs!$B$110,Inputs!$B$109/12,0)</f>
        <v>0</v>
      </c>
      <c r="K99" s="19">
        <f>IF(10&gt;=Inputs!$B$110,Inputs!$B$109/12,0)</f>
        <v>0</v>
      </c>
      <c r="L99" s="19">
        <f>IF(11&gt;=Inputs!$B$110,Inputs!$B$109/12,0)</f>
        <v>0</v>
      </c>
      <c r="M99" s="19">
        <f>IF(12&gt;=Inputs!$B$110,Inputs!$B$109/12,0)</f>
        <v>0</v>
      </c>
      <c r="N99" s="19">
        <f>IF(13&gt;=Inputs!$B$110,Inputs!$B$109/12,0)</f>
        <v>0</v>
      </c>
      <c r="O99" s="19">
        <f>IF(14&gt;=Inputs!$B$110,Inputs!$B$109/12,0)</f>
        <v>0</v>
      </c>
      <c r="P99" s="19">
        <f>IF(15&gt;=Inputs!$B$110,Inputs!$B$109/12,0)</f>
        <v>0</v>
      </c>
      <c r="Q99" s="19">
        <f>IF(16&gt;=Inputs!$B$110,Inputs!$B$109/12,0)</f>
        <v>0</v>
      </c>
      <c r="R99" s="19">
        <f>IF(17&gt;=Inputs!$B$110,Inputs!$B$109/12,0)</f>
        <v>1000</v>
      </c>
      <c r="S99" s="19">
        <f>IF(18&gt;=Inputs!$B$110,Inputs!$B$109/12,0)</f>
        <v>1000</v>
      </c>
      <c r="T99" s="19">
        <f>IF(19&gt;=Inputs!$B$110,Inputs!$B$109/12,0)</f>
        <v>1000</v>
      </c>
      <c r="U99" s="19">
        <f>IF(20&gt;=Inputs!$B$110,Inputs!$B$109/12,0)</f>
        <v>1000</v>
      </c>
      <c r="V99" s="19">
        <f>IF(21&gt;=Inputs!$B$110,Inputs!$B$109/12,0)</f>
        <v>1000</v>
      </c>
      <c r="W99" s="19">
        <f>IF(22&gt;=Inputs!$B$110,Inputs!$B$109/12,0)</f>
        <v>1000</v>
      </c>
      <c r="X99" s="19">
        <f>IF(23&gt;=Inputs!$B$110,Inputs!$B$109/12,0)</f>
        <v>1000</v>
      </c>
      <c r="Y99" s="19">
        <f>IF(24&gt;=Inputs!$B$110,Inputs!$B$109/12,0)</f>
        <v>1000</v>
      </c>
      <c r="Z99" s="19">
        <f>IF(25&gt;=Inputs!$B$110,Inputs!$B$109/12,0)</f>
        <v>1000</v>
      </c>
      <c r="AA99" s="19">
        <f>IF(26&gt;=Inputs!$B$110,Inputs!$B$109/12,0)</f>
        <v>1000</v>
      </c>
      <c r="AB99" s="19">
        <f>IF(27&gt;=Inputs!$B$110,Inputs!$B$109/12,0)</f>
        <v>1000</v>
      </c>
      <c r="AC99" s="19">
        <f>IF(28&gt;=Inputs!$B$110,Inputs!$B$109/12,0)</f>
        <v>1000</v>
      </c>
      <c r="AD99" s="19">
        <f>IF(29&gt;=Inputs!$B$110,Inputs!$B$109/12,0)</f>
        <v>1000</v>
      </c>
      <c r="AE99" s="19">
        <f>IF(30&gt;=Inputs!$B$110,Inputs!$B$109/12,0)</f>
        <v>1000</v>
      </c>
      <c r="AF99" s="19">
        <f>IF(31&gt;=Inputs!$B$110,Inputs!$B$109/12,0)</f>
        <v>1000</v>
      </c>
      <c r="AG99" s="19">
        <f>IF(32&gt;=Inputs!$B$110,Inputs!$B$109/12,0)</f>
        <v>1000</v>
      </c>
      <c r="AH99" s="19">
        <f>IF(33&gt;=Inputs!$B$110,Inputs!$B$109/12,0)</f>
        <v>1000</v>
      </c>
      <c r="AI99" s="19">
        <f>IF(34&gt;=Inputs!$B$110,Inputs!$B$109/12,0)</f>
        <v>1000</v>
      </c>
      <c r="AJ99" s="19">
        <f>IF(35&gt;=Inputs!$B$110,Inputs!$B$109/12,0)</f>
        <v>1000</v>
      </c>
      <c r="AK99" s="19">
        <f>IF(36&gt;=Inputs!$B$110,Inputs!$B$109/12,0)</f>
        <v>1000</v>
      </c>
      <c r="AL99" s="19">
        <f>IF(37&gt;=Inputs!$B$110,Inputs!$B$109/12,0)</f>
        <v>1000</v>
      </c>
      <c r="AM99" s="19">
        <f>IF(38&gt;=Inputs!$B$110,Inputs!$B$109/12,0)</f>
        <v>1000</v>
      </c>
      <c r="AN99" s="19">
        <f>IF(39&gt;=Inputs!$B$110,Inputs!$B$109/12,0)</f>
        <v>1000</v>
      </c>
      <c r="AO99" s="19">
        <f>IF(40&gt;=Inputs!$B$110,Inputs!$B$109/12,0)</f>
        <v>1000</v>
      </c>
      <c r="AP99" s="19">
        <f>IF(41&gt;=Inputs!$B$110,Inputs!$B$109/12,0)</f>
        <v>1000</v>
      </c>
      <c r="AQ99" s="19">
        <f>IF(42&gt;=Inputs!$B$110,Inputs!$B$109/12,0)</f>
        <v>1000</v>
      </c>
      <c r="AR99" s="19">
        <f>IF(43&gt;=Inputs!$B$110,Inputs!$B$109/12,0)</f>
        <v>1000</v>
      </c>
      <c r="AS99" s="19">
        <f>IF(44&gt;=Inputs!$B$110,Inputs!$B$109/12,0)</f>
        <v>1000</v>
      </c>
      <c r="AT99" s="19">
        <f>IF(45&gt;=Inputs!$B$110,Inputs!$B$109/12,0)</f>
        <v>1000</v>
      </c>
      <c r="AU99" s="19">
        <f>IF(46&gt;=Inputs!$B$110,Inputs!$B$109/12,0)</f>
        <v>1000</v>
      </c>
      <c r="AV99" s="19">
        <f>IF(47&gt;=Inputs!$B$110,Inputs!$B$109/12,0)</f>
        <v>1000</v>
      </c>
      <c r="AW99" s="19">
        <f>IF(48&gt;=Inputs!$B$110,Inputs!$B$109/12,0)</f>
        <v>1000</v>
      </c>
      <c r="AX99" s="19">
        <f>IF(49&gt;=Inputs!$B$110,Inputs!$B$109/12,0)</f>
        <v>1000</v>
      </c>
      <c r="AY99" s="19">
        <f>IF(50&gt;=Inputs!$B$110,Inputs!$B$109/12,0)</f>
        <v>1000</v>
      </c>
      <c r="AZ99" s="19">
        <f>IF(51&gt;=Inputs!$B$110,Inputs!$B$109/12,0)</f>
        <v>1000</v>
      </c>
      <c r="BA99" s="19">
        <f>IF(52&gt;=Inputs!$B$110,Inputs!$B$109/12,0)</f>
        <v>1000</v>
      </c>
    </row>
    <row r="100" spans="1:53" x14ac:dyDescent="0.35">
      <c r="A100" s="3" t="s">
        <v>394</v>
      </c>
      <c r="B100" s="19">
        <f>Inputs!$B$111/12</f>
        <v>416.66666666666669</v>
      </c>
      <c r="C100" s="19">
        <f>Inputs!$B$111/12</f>
        <v>416.66666666666669</v>
      </c>
      <c r="D100" s="19">
        <f>Inputs!$B$111/12</f>
        <v>416.66666666666669</v>
      </c>
      <c r="E100" s="19">
        <f>Inputs!$B$111/12</f>
        <v>416.66666666666669</v>
      </c>
      <c r="F100" s="19">
        <f>Inputs!$B$111/12</f>
        <v>416.66666666666669</v>
      </c>
      <c r="G100" s="19">
        <f>Inputs!$B$111/12</f>
        <v>416.66666666666669</v>
      </c>
      <c r="H100" s="19">
        <f>Inputs!$B$111/12</f>
        <v>416.66666666666669</v>
      </c>
      <c r="I100" s="19">
        <f>Inputs!$B$111/12</f>
        <v>416.66666666666669</v>
      </c>
      <c r="J100" s="19">
        <f>Inputs!$B$111/12</f>
        <v>416.66666666666669</v>
      </c>
      <c r="K100" s="19">
        <f>Inputs!$B$111/12</f>
        <v>416.66666666666669</v>
      </c>
      <c r="L100" s="19">
        <f>Inputs!$B$111/12</f>
        <v>416.66666666666669</v>
      </c>
      <c r="M100" s="19">
        <f>Inputs!$B$111/12</f>
        <v>416.66666666666669</v>
      </c>
      <c r="N100" s="19">
        <f>Inputs!$B$111/12</f>
        <v>416.66666666666669</v>
      </c>
      <c r="O100" s="19">
        <f>Inputs!$B$111/12</f>
        <v>416.66666666666669</v>
      </c>
      <c r="P100" s="19">
        <f>Inputs!$B$111/12</f>
        <v>416.66666666666669</v>
      </c>
      <c r="Q100" s="19">
        <f>Inputs!$B$111/12</f>
        <v>416.66666666666669</v>
      </c>
      <c r="R100" s="19">
        <f>Inputs!$B$111/12</f>
        <v>416.66666666666669</v>
      </c>
      <c r="S100" s="19">
        <f>Inputs!$B$111/12</f>
        <v>416.66666666666669</v>
      </c>
      <c r="T100" s="19">
        <f>Inputs!$B$111/12</f>
        <v>416.66666666666669</v>
      </c>
      <c r="U100" s="19">
        <f>Inputs!$B$111/12</f>
        <v>416.66666666666669</v>
      </c>
      <c r="V100" s="19">
        <f>Inputs!$B$111/12</f>
        <v>416.66666666666669</v>
      </c>
      <c r="W100" s="19">
        <f>Inputs!$B$111/12</f>
        <v>416.66666666666669</v>
      </c>
      <c r="X100" s="19">
        <f>Inputs!$B$111/12</f>
        <v>416.66666666666669</v>
      </c>
      <c r="Y100" s="19">
        <f>Inputs!$B$111/12</f>
        <v>416.66666666666669</v>
      </c>
      <c r="Z100" s="19">
        <f>Inputs!$B$111/12</f>
        <v>416.66666666666669</v>
      </c>
      <c r="AA100" s="19">
        <f>Inputs!$B$111/12</f>
        <v>416.66666666666669</v>
      </c>
      <c r="AB100" s="19">
        <f>Inputs!$B$111/12</f>
        <v>416.66666666666669</v>
      </c>
      <c r="AC100" s="19">
        <f>Inputs!$B$111/12</f>
        <v>416.66666666666669</v>
      </c>
      <c r="AD100" s="19">
        <f>Inputs!$B$111/12</f>
        <v>416.66666666666669</v>
      </c>
      <c r="AE100" s="19">
        <f>Inputs!$B$111/12</f>
        <v>416.66666666666669</v>
      </c>
      <c r="AF100" s="19">
        <f>Inputs!$B$111/12</f>
        <v>416.66666666666669</v>
      </c>
      <c r="AG100" s="19">
        <f>Inputs!$B$111/12</f>
        <v>416.66666666666669</v>
      </c>
      <c r="AH100" s="19">
        <f>Inputs!$B$111/12</f>
        <v>416.66666666666669</v>
      </c>
      <c r="AI100" s="19">
        <f>Inputs!$B$111/12</f>
        <v>416.66666666666669</v>
      </c>
      <c r="AJ100" s="19">
        <f>Inputs!$B$111/12</f>
        <v>416.66666666666669</v>
      </c>
      <c r="AK100" s="19">
        <f>Inputs!$B$111/12</f>
        <v>416.66666666666669</v>
      </c>
      <c r="AL100" s="19">
        <f>Inputs!$B$111/12</f>
        <v>416.66666666666669</v>
      </c>
      <c r="AM100" s="19">
        <f>Inputs!$B$111/12</f>
        <v>416.66666666666669</v>
      </c>
      <c r="AN100" s="19">
        <f>Inputs!$B$111/12</f>
        <v>416.66666666666669</v>
      </c>
      <c r="AO100" s="19">
        <f>Inputs!$B$111/12</f>
        <v>416.66666666666669</v>
      </c>
      <c r="AP100" s="19">
        <f>Inputs!$B$111/12</f>
        <v>416.66666666666669</v>
      </c>
      <c r="AQ100" s="19">
        <f>Inputs!$B$111/12</f>
        <v>416.66666666666669</v>
      </c>
      <c r="AR100" s="19">
        <f>Inputs!$B$111/12</f>
        <v>416.66666666666669</v>
      </c>
      <c r="AS100" s="19">
        <f>Inputs!$B$111/12</f>
        <v>416.66666666666669</v>
      </c>
      <c r="AT100" s="19">
        <f>Inputs!$B$111/12</f>
        <v>416.66666666666669</v>
      </c>
      <c r="AU100" s="19">
        <f>Inputs!$B$111/12</f>
        <v>416.66666666666669</v>
      </c>
      <c r="AV100" s="19">
        <f>Inputs!$B$111/12</f>
        <v>416.66666666666669</v>
      </c>
      <c r="AW100" s="19">
        <f>Inputs!$B$111/12</f>
        <v>416.66666666666669</v>
      </c>
      <c r="AX100" s="19">
        <f>Inputs!$B$111/12</f>
        <v>416.66666666666669</v>
      </c>
      <c r="AY100" s="19">
        <f>Inputs!$B$111/12</f>
        <v>416.66666666666669</v>
      </c>
      <c r="AZ100" s="19">
        <f>Inputs!$B$111/12</f>
        <v>416.66666666666669</v>
      </c>
      <c r="BA100" s="19">
        <f>Inputs!$B$111/12</f>
        <v>416.66666666666669</v>
      </c>
    </row>
    <row r="101" spans="1:53" x14ac:dyDescent="0.35">
      <c r="A101" s="2" t="s">
        <v>395</v>
      </c>
      <c r="B101" s="17">
        <f t="shared" ref="B101:AG101" si="10">SUM(B97:B100)</f>
        <v>16883.333333333332</v>
      </c>
      <c r="C101" s="17">
        <f t="shared" si="10"/>
        <v>1883.3333333333333</v>
      </c>
      <c r="D101" s="17">
        <f t="shared" si="10"/>
        <v>1883.3333333333333</v>
      </c>
      <c r="E101" s="17">
        <f t="shared" si="10"/>
        <v>1883.3333333333333</v>
      </c>
      <c r="F101" s="17">
        <f t="shared" si="10"/>
        <v>16883.333333333332</v>
      </c>
      <c r="G101" s="17">
        <f t="shared" si="10"/>
        <v>1883.3333333333333</v>
      </c>
      <c r="H101" s="17">
        <f t="shared" si="10"/>
        <v>1883.3333333333333</v>
      </c>
      <c r="I101" s="17">
        <f t="shared" si="10"/>
        <v>1883.3333333333333</v>
      </c>
      <c r="J101" s="17">
        <f t="shared" si="10"/>
        <v>1883.3333333333333</v>
      </c>
      <c r="K101" s="17">
        <f t="shared" si="10"/>
        <v>1883.3333333333333</v>
      </c>
      <c r="L101" s="17">
        <f t="shared" si="10"/>
        <v>1883.3333333333333</v>
      </c>
      <c r="M101" s="17">
        <f t="shared" si="10"/>
        <v>1883.3333333333333</v>
      </c>
      <c r="N101" s="17">
        <f t="shared" si="10"/>
        <v>1883.3333333333333</v>
      </c>
      <c r="O101" s="17">
        <f t="shared" si="10"/>
        <v>1883.3333333333333</v>
      </c>
      <c r="P101" s="17">
        <f t="shared" si="10"/>
        <v>1883.3333333333333</v>
      </c>
      <c r="Q101" s="17">
        <f t="shared" si="10"/>
        <v>1883.3333333333333</v>
      </c>
      <c r="R101" s="17">
        <f t="shared" si="10"/>
        <v>17883.333333333332</v>
      </c>
      <c r="S101" s="17">
        <f t="shared" si="10"/>
        <v>2883.333333333333</v>
      </c>
      <c r="T101" s="17">
        <f t="shared" si="10"/>
        <v>2883.333333333333</v>
      </c>
      <c r="U101" s="17">
        <f t="shared" si="10"/>
        <v>2883.333333333333</v>
      </c>
      <c r="V101" s="17">
        <f t="shared" si="10"/>
        <v>2883.333333333333</v>
      </c>
      <c r="W101" s="17">
        <f t="shared" si="10"/>
        <v>2883.333333333333</v>
      </c>
      <c r="X101" s="17">
        <f t="shared" si="10"/>
        <v>2883.333333333333</v>
      </c>
      <c r="Y101" s="17">
        <f t="shared" si="10"/>
        <v>2883.333333333333</v>
      </c>
      <c r="Z101" s="17">
        <f t="shared" si="10"/>
        <v>2883.333333333333</v>
      </c>
      <c r="AA101" s="17">
        <f t="shared" si="10"/>
        <v>2883.333333333333</v>
      </c>
      <c r="AB101" s="17">
        <f t="shared" si="10"/>
        <v>2883.333333333333</v>
      </c>
      <c r="AC101" s="17">
        <f t="shared" si="10"/>
        <v>2883.333333333333</v>
      </c>
      <c r="AD101" s="17">
        <f t="shared" si="10"/>
        <v>2883.333333333333</v>
      </c>
      <c r="AE101" s="17">
        <f t="shared" si="10"/>
        <v>2883.333333333333</v>
      </c>
      <c r="AF101" s="17">
        <f t="shared" si="10"/>
        <v>2883.333333333333</v>
      </c>
      <c r="AG101" s="17">
        <f t="shared" si="10"/>
        <v>2883.333333333333</v>
      </c>
      <c r="AH101" s="17">
        <f t="shared" ref="AH101:BA101" si="11">SUM(AH97:AH100)</f>
        <v>2883.333333333333</v>
      </c>
      <c r="AI101" s="17">
        <f t="shared" si="11"/>
        <v>2883.333333333333</v>
      </c>
      <c r="AJ101" s="17">
        <f t="shared" si="11"/>
        <v>17883.333333333332</v>
      </c>
      <c r="AK101" s="17">
        <f t="shared" si="11"/>
        <v>2883.333333333333</v>
      </c>
      <c r="AL101" s="17">
        <f t="shared" si="11"/>
        <v>2883.333333333333</v>
      </c>
      <c r="AM101" s="17">
        <f t="shared" si="11"/>
        <v>2883.333333333333</v>
      </c>
      <c r="AN101" s="17">
        <f t="shared" si="11"/>
        <v>2883.333333333333</v>
      </c>
      <c r="AO101" s="17">
        <f t="shared" si="11"/>
        <v>2883.333333333333</v>
      </c>
      <c r="AP101" s="17">
        <f t="shared" si="11"/>
        <v>2883.333333333333</v>
      </c>
      <c r="AQ101" s="17">
        <f t="shared" si="11"/>
        <v>2883.333333333333</v>
      </c>
      <c r="AR101" s="17">
        <f t="shared" si="11"/>
        <v>2883.333333333333</v>
      </c>
      <c r="AS101" s="17">
        <f t="shared" si="11"/>
        <v>2883.333333333333</v>
      </c>
      <c r="AT101" s="17">
        <f t="shared" si="11"/>
        <v>2883.333333333333</v>
      </c>
      <c r="AU101" s="17">
        <f t="shared" si="11"/>
        <v>2883.333333333333</v>
      </c>
      <c r="AV101" s="17">
        <f t="shared" si="11"/>
        <v>2883.333333333333</v>
      </c>
      <c r="AW101" s="17">
        <f t="shared" si="11"/>
        <v>2883.333333333333</v>
      </c>
      <c r="AX101" s="17">
        <f t="shared" si="11"/>
        <v>2883.333333333333</v>
      </c>
      <c r="AY101" s="17">
        <f t="shared" si="11"/>
        <v>2883.333333333333</v>
      </c>
      <c r="AZ101" s="17">
        <f t="shared" si="11"/>
        <v>2883.333333333333</v>
      </c>
      <c r="BA101" s="17">
        <f t="shared" si="11"/>
        <v>2883.333333333333</v>
      </c>
    </row>
    <row r="103" spans="1:53" x14ac:dyDescent="0.35">
      <c r="A103" s="2" t="s">
        <v>217</v>
      </c>
    </row>
    <row r="104" spans="1:53" x14ac:dyDescent="0.35">
      <c r="A104" s="3" t="s">
        <v>396</v>
      </c>
      <c r="B104" s="19">
        <f>Inputs!$B$114/12</f>
        <v>250</v>
      </c>
      <c r="C104" s="19">
        <f>Inputs!$B$114/12</f>
        <v>250</v>
      </c>
      <c r="D104" s="19">
        <f>Inputs!$B$114/12</f>
        <v>250</v>
      </c>
      <c r="E104" s="19">
        <f>Inputs!$B$114/12</f>
        <v>250</v>
      </c>
      <c r="F104" s="19">
        <f>Inputs!$B$114/12</f>
        <v>250</v>
      </c>
      <c r="G104" s="19">
        <f>Inputs!$B$114/12</f>
        <v>250</v>
      </c>
      <c r="H104" s="19">
        <f>Inputs!$B$114/12</f>
        <v>250</v>
      </c>
      <c r="I104" s="19">
        <f>Inputs!$B$114/12</f>
        <v>250</v>
      </c>
      <c r="J104" s="19">
        <f>Inputs!$B$114/12</f>
        <v>250</v>
      </c>
      <c r="K104" s="19">
        <f>Inputs!$B$114/12</f>
        <v>250</v>
      </c>
      <c r="L104" s="19">
        <f>Inputs!$B$114/12</f>
        <v>250</v>
      </c>
      <c r="M104" s="19">
        <f>Inputs!$B$114/12</f>
        <v>250</v>
      </c>
      <c r="N104" s="19">
        <f>Inputs!$B$114/12</f>
        <v>250</v>
      </c>
      <c r="O104" s="19">
        <f>Inputs!$B$114/12</f>
        <v>250</v>
      </c>
      <c r="P104" s="19">
        <f>Inputs!$B$114/12</f>
        <v>250</v>
      </c>
      <c r="Q104" s="19">
        <f>Inputs!$B$114/12</f>
        <v>250</v>
      </c>
      <c r="R104" s="19">
        <f>Inputs!$B$114/12</f>
        <v>250</v>
      </c>
      <c r="S104" s="19">
        <f>Inputs!$B$114/12</f>
        <v>250</v>
      </c>
      <c r="T104" s="19">
        <f>Inputs!$B$114/12</f>
        <v>250</v>
      </c>
      <c r="U104" s="19">
        <f>Inputs!$B$114/12</f>
        <v>250</v>
      </c>
      <c r="V104" s="19">
        <f>Inputs!$B$114/12</f>
        <v>250</v>
      </c>
      <c r="W104" s="19">
        <f>Inputs!$B$114/12</f>
        <v>250</v>
      </c>
      <c r="X104" s="19">
        <f>Inputs!$B$114/12</f>
        <v>250</v>
      </c>
      <c r="Y104" s="19">
        <f>Inputs!$B$114/12</f>
        <v>250</v>
      </c>
      <c r="Z104" s="19">
        <f>Inputs!$B$114/12</f>
        <v>250</v>
      </c>
      <c r="AA104" s="19">
        <f>Inputs!$B$114/12</f>
        <v>250</v>
      </c>
      <c r="AB104" s="19">
        <f>Inputs!$B$114/12</f>
        <v>250</v>
      </c>
      <c r="AC104" s="19">
        <f>Inputs!$B$114/12</f>
        <v>250</v>
      </c>
      <c r="AD104" s="19">
        <f>Inputs!$B$114/12</f>
        <v>250</v>
      </c>
      <c r="AE104" s="19">
        <f>Inputs!$B$114/12</f>
        <v>250</v>
      </c>
      <c r="AF104" s="19">
        <f>Inputs!$B$114/12</f>
        <v>250</v>
      </c>
      <c r="AG104" s="19">
        <f>Inputs!$B$114/12</f>
        <v>250</v>
      </c>
      <c r="AH104" s="19">
        <f>Inputs!$B$114/12</f>
        <v>250</v>
      </c>
      <c r="AI104" s="19">
        <f>Inputs!$B$114/12</f>
        <v>250</v>
      </c>
      <c r="AJ104" s="19">
        <f>Inputs!$B$114/12</f>
        <v>250</v>
      </c>
      <c r="AK104" s="19">
        <f>Inputs!$B$114/12</f>
        <v>250</v>
      </c>
      <c r="AL104" s="19">
        <f>Inputs!$B$114/12</f>
        <v>250</v>
      </c>
      <c r="AM104" s="19">
        <f>Inputs!$B$114/12</f>
        <v>250</v>
      </c>
      <c r="AN104" s="19">
        <f>Inputs!$B$114/12</f>
        <v>250</v>
      </c>
      <c r="AO104" s="19">
        <f>Inputs!$B$114/12</f>
        <v>250</v>
      </c>
      <c r="AP104" s="19">
        <f>Inputs!$B$114/12</f>
        <v>250</v>
      </c>
      <c r="AQ104" s="19">
        <f>Inputs!$B$114/12</f>
        <v>250</v>
      </c>
      <c r="AR104" s="19">
        <f>Inputs!$B$114/12</f>
        <v>250</v>
      </c>
      <c r="AS104" s="19">
        <f>Inputs!$B$114/12</f>
        <v>250</v>
      </c>
      <c r="AT104" s="19">
        <f>Inputs!$B$114/12</f>
        <v>250</v>
      </c>
      <c r="AU104" s="19">
        <f>Inputs!$B$114/12</f>
        <v>250</v>
      </c>
      <c r="AV104" s="19">
        <f>Inputs!$B$114/12</f>
        <v>250</v>
      </c>
      <c r="AW104" s="19">
        <f>Inputs!$B$114/12</f>
        <v>250</v>
      </c>
      <c r="AX104" s="19">
        <f>Inputs!$B$114/12</f>
        <v>250</v>
      </c>
      <c r="AY104" s="19">
        <f>Inputs!$B$114/12</f>
        <v>250</v>
      </c>
      <c r="AZ104" s="19">
        <f>Inputs!$B$114/12</f>
        <v>250</v>
      </c>
      <c r="BA104" s="19">
        <f>Inputs!$B$114/12</f>
        <v>250</v>
      </c>
    </row>
    <row r="105" spans="1:53" x14ac:dyDescent="0.35">
      <c r="A105" s="3" t="s">
        <v>397</v>
      </c>
      <c r="B105" s="19">
        <f>Inputs!$B$115/12</f>
        <v>125</v>
      </c>
      <c r="C105" s="19">
        <f>Inputs!$B$115/12</f>
        <v>125</v>
      </c>
      <c r="D105" s="19">
        <f>Inputs!$B$115/12</f>
        <v>125</v>
      </c>
      <c r="E105" s="19">
        <f>Inputs!$B$115/12</f>
        <v>125</v>
      </c>
      <c r="F105" s="19">
        <f>Inputs!$B$115/12</f>
        <v>125</v>
      </c>
      <c r="G105" s="19">
        <f>Inputs!$B$115/12</f>
        <v>125</v>
      </c>
      <c r="H105" s="19">
        <f>Inputs!$B$115/12</f>
        <v>125</v>
      </c>
      <c r="I105" s="19">
        <f>Inputs!$B$115/12</f>
        <v>125</v>
      </c>
      <c r="J105" s="19">
        <f>Inputs!$B$115/12</f>
        <v>125</v>
      </c>
      <c r="K105" s="19">
        <f>Inputs!$B$115/12</f>
        <v>125</v>
      </c>
      <c r="L105" s="19">
        <f>Inputs!$B$115/12</f>
        <v>125</v>
      </c>
      <c r="M105" s="19">
        <f>Inputs!$B$115/12</f>
        <v>125</v>
      </c>
      <c r="N105" s="19">
        <f>Inputs!$B$115/12</f>
        <v>125</v>
      </c>
      <c r="O105" s="19">
        <f>Inputs!$B$115/12</f>
        <v>125</v>
      </c>
      <c r="P105" s="19">
        <f>Inputs!$B$115/12</f>
        <v>125</v>
      </c>
      <c r="Q105" s="19">
        <f>Inputs!$B$115/12</f>
        <v>125</v>
      </c>
      <c r="R105" s="19">
        <f>Inputs!$B$115/12</f>
        <v>125</v>
      </c>
      <c r="S105" s="19">
        <f>Inputs!$B$115/12</f>
        <v>125</v>
      </c>
      <c r="T105" s="19">
        <f>Inputs!$B$115/12</f>
        <v>125</v>
      </c>
      <c r="U105" s="19">
        <f>Inputs!$B$115/12</f>
        <v>125</v>
      </c>
      <c r="V105" s="19">
        <f>Inputs!$B$115/12</f>
        <v>125</v>
      </c>
      <c r="W105" s="19">
        <f>Inputs!$B$115/12</f>
        <v>125</v>
      </c>
      <c r="X105" s="19">
        <f>Inputs!$B$115/12</f>
        <v>125</v>
      </c>
      <c r="Y105" s="19">
        <f>Inputs!$B$115/12</f>
        <v>125</v>
      </c>
      <c r="Z105" s="19">
        <f>Inputs!$B$115/12</f>
        <v>125</v>
      </c>
      <c r="AA105" s="19">
        <f>Inputs!$B$115/12</f>
        <v>125</v>
      </c>
      <c r="AB105" s="19">
        <f>Inputs!$B$115/12</f>
        <v>125</v>
      </c>
      <c r="AC105" s="19">
        <f>Inputs!$B$115/12</f>
        <v>125</v>
      </c>
      <c r="AD105" s="19">
        <f>Inputs!$B$115/12</f>
        <v>125</v>
      </c>
      <c r="AE105" s="19">
        <f>Inputs!$B$115/12</f>
        <v>125</v>
      </c>
      <c r="AF105" s="19">
        <f>Inputs!$B$115/12</f>
        <v>125</v>
      </c>
      <c r="AG105" s="19">
        <f>Inputs!$B$115/12</f>
        <v>125</v>
      </c>
      <c r="AH105" s="19">
        <f>Inputs!$B$115/12</f>
        <v>125</v>
      </c>
      <c r="AI105" s="19">
        <f>Inputs!$B$115/12</f>
        <v>125</v>
      </c>
      <c r="AJ105" s="19">
        <f>Inputs!$B$115/12</f>
        <v>125</v>
      </c>
      <c r="AK105" s="19">
        <f>Inputs!$B$115/12</f>
        <v>125</v>
      </c>
      <c r="AL105" s="19">
        <f>Inputs!$B$115/12</f>
        <v>125</v>
      </c>
      <c r="AM105" s="19">
        <f>Inputs!$B$115/12</f>
        <v>125</v>
      </c>
      <c r="AN105" s="19">
        <f>Inputs!$B$115/12</f>
        <v>125</v>
      </c>
      <c r="AO105" s="19">
        <f>Inputs!$B$115/12</f>
        <v>125</v>
      </c>
      <c r="AP105" s="19">
        <f>Inputs!$B$115/12</f>
        <v>125</v>
      </c>
      <c r="AQ105" s="19">
        <f>Inputs!$B$115/12</f>
        <v>125</v>
      </c>
      <c r="AR105" s="19">
        <f>Inputs!$B$115/12</f>
        <v>125</v>
      </c>
      <c r="AS105" s="19">
        <f>Inputs!$B$115/12</f>
        <v>125</v>
      </c>
      <c r="AT105" s="19">
        <f>Inputs!$B$115/12</f>
        <v>125</v>
      </c>
      <c r="AU105" s="19">
        <f>Inputs!$B$115/12</f>
        <v>125</v>
      </c>
      <c r="AV105" s="19">
        <f>Inputs!$B$115/12</f>
        <v>125</v>
      </c>
      <c r="AW105" s="19">
        <f>Inputs!$B$115/12</f>
        <v>125</v>
      </c>
      <c r="AX105" s="19">
        <f>Inputs!$B$115/12</f>
        <v>125</v>
      </c>
      <c r="AY105" s="19">
        <f>Inputs!$B$115/12</f>
        <v>125</v>
      </c>
      <c r="AZ105" s="19">
        <f>Inputs!$B$115/12</f>
        <v>125</v>
      </c>
      <c r="BA105" s="19">
        <f>Inputs!$B$115/12</f>
        <v>125</v>
      </c>
    </row>
    <row r="106" spans="1:53" x14ac:dyDescent="0.35">
      <c r="A106" s="3" t="s">
        <v>398</v>
      </c>
      <c r="B106" s="19">
        <f>Inputs!$B$116/12</f>
        <v>166.66666666666666</v>
      </c>
      <c r="C106" s="19">
        <f>Inputs!$B$116/12</f>
        <v>166.66666666666666</v>
      </c>
      <c r="D106" s="19">
        <f>Inputs!$B$116/12</f>
        <v>166.66666666666666</v>
      </c>
      <c r="E106" s="19">
        <f>Inputs!$B$116/12</f>
        <v>166.66666666666666</v>
      </c>
      <c r="F106" s="19">
        <f>Inputs!$B$116/12</f>
        <v>166.66666666666666</v>
      </c>
      <c r="G106" s="19">
        <f>Inputs!$B$116/12</f>
        <v>166.66666666666666</v>
      </c>
      <c r="H106" s="19">
        <f>Inputs!$B$116/12</f>
        <v>166.66666666666666</v>
      </c>
      <c r="I106" s="19">
        <f>Inputs!$B$116/12</f>
        <v>166.66666666666666</v>
      </c>
      <c r="J106" s="19">
        <f>Inputs!$B$116/12</f>
        <v>166.66666666666666</v>
      </c>
      <c r="K106" s="19">
        <f>Inputs!$B$116/12</f>
        <v>166.66666666666666</v>
      </c>
      <c r="L106" s="19">
        <f>Inputs!$B$116/12</f>
        <v>166.66666666666666</v>
      </c>
      <c r="M106" s="19">
        <f>Inputs!$B$116/12</f>
        <v>166.66666666666666</v>
      </c>
      <c r="N106" s="19">
        <f>Inputs!$B$116/12</f>
        <v>166.66666666666666</v>
      </c>
      <c r="O106" s="19">
        <f>Inputs!$B$116/12</f>
        <v>166.66666666666666</v>
      </c>
      <c r="P106" s="19">
        <f>Inputs!$B$116/12</f>
        <v>166.66666666666666</v>
      </c>
      <c r="Q106" s="19">
        <f>Inputs!$B$116/12</f>
        <v>166.66666666666666</v>
      </c>
      <c r="R106" s="19">
        <f>Inputs!$B$116/12</f>
        <v>166.66666666666666</v>
      </c>
      <c r="S106" s="19">
        <f>Inputs!$B$116/12</f>
        <v>166.66666666666666</v>
      </c>
      <c r="T106" s="19">
        <f>Inputs!$B$116/12</f>
        <v>166.66666666666666</v>
      </c>
      <c r="U106" s="19">
        <f>Inputs!$B$116/12</f>
        <v>166.66666666666666</v>
      </c>
      <c r="V106" s="19">
        <f>Inputs!$B$116/12</f>
        <v>166.66666666666666</v>
      </c>
      <c r="W106" s="19">
        <f>Inputs!$B$116/12</f>
        <v>166.66666666666666</v>
      </c>
      <c r="X106" s="19">
        <f>Inputs!$B$116/12</f>
        <v>166.66666666666666</v>
      </c>
      <c r="Y106" s="19">
        <f>Inputs!$B$116/12</f>
        <v>166.66666666666666</v>
      </c>
      <c r="Z106" s="19">
        <f>Inputs!$B$116/12</f>
        <v>166.66666666666666</v>
      </c>
      <c r="AA106" s="19">
        <f>Inputs!$B$116/12</f>
        <v>166.66666666666666</v>
      </c>
      <c r="AB106" s="19">
        <f>Inputs!$B$116/12</f>
        <v>166.66666666666666</v>
      </c>
      <c r="AC106" s="19">
        <f>Inputs!$B$116/12</f>
        <v>166.66666666666666</v>
      </c>
      <c r="AD106" s="19">
        <f>Inputs!$B$116/12</f>
        <v>166.66666666666666</v>
      </c>
      <c r="AE106" s="19">
        <f>Inputs!$B$116/12</f>
        <v>166.66666666666666</v>
      </c>
      <c r="AF106" s="19">
        <f>Inputs!$B$116/12</f>
        <v>166.66666666666666</v>
      </c>
      <c r="AG106" s="19">
        <f>Inputs!$B$116/12</f>
        <v>166.66666666666666</v>
      </c>
      <c r="AH106" s="19">
        <f>Inputs!$B$116/12</f>
        <v>166.66666666666666</v>
      </c>
      <c r="AI106" s="19">
        <f>Inputs!$B$116/12</f>
        <v>166.66666666666666</v>
      </c>
      <c r="AJ106" s="19">
        <f>Inputs!$B$116/12</f>
        <v>166.66666666666666</v>
      </c>
      <c r="AK106" s="19">
        <f>Inputs!$B$116/12</f>
        <v>166.66666666666666</v>
      </c>
      <c r="AL106" s="19">
        <f>Inputs!$B$116/12</f>
        <v>166.66666666666666</v>
      </c>
      <c r="AM106" s="19">
        <f>Inputs!$B$116/12</f>
        <v>166.66666666666666</v>
      </c>
      <c r="AN106" s="19">
        <f>Inputs!$B$116/12</f>
        <v>166.66666666666666</v>
      </c>
      <c r="AO106" s="19">
        <f>Inputs!$B$116/12</f>
        <v>166.66666666666666</v>
      </c>
      <c r="AP106" s="19">
        <f>Inputs!$B$116/12</f>
        <v>166.66666666666666</v>
      </c>
      <c r="AQ106" s="19">
        <f>Inputs!$B$116/12</f>
        <v>166.66666666666666</v>
      </c>
      <c r="AR106" s="19">
        <f>Inputs!$B$116/12</f>
        <v>166.66666666666666</v>
      </c>
      <c r="AS106" s="19">
        <f>Inputs!$B$116/12</f>
        <v>166.66666666666666</v>
      </c>
      <c r="AT106" s="19">
        <f>Inputs!$B$116/12</f>
        <v>166.66666666666666</v>
      </c>
      <c r="AU106" s="19">
        <f>Inputs!$B$116/12</f>
        <v>166.66666666666666</v>
      </c>
      <c r="AV106" s="19">
        <f>Inputs!$B$116/12</f>
        <v>166.66666666666666</v>
      </c>
      <c r="AW106" s="19">
        <f>Inputs!$B$116/12</f>
        <v>166.66666666666666</v>
      </c>
      <c r="AX106" s="19">
        <f>Inputs!$B$116/12</f>
        <v>166.66666666666666</v>
      </c>
      <c r="AY106" s="19">
        <f>Inputs!$B$116/12</f>
        <v>166.66666666666666</v>
      </c>
      <c r="AZ106" s="19">
        <f>Inputs!$B$116/12</f>
        <v>166.66666666666666</v>
      </c>
      <c r="BA106" s="19">
        <f>Inputs!$B$116/12</f>
        <v>166.66666666666666</v>
      </c>
    </row>
    <row r="107" spans="1:53" x14ac:dyDescent="0.35">
      <c r="A107" s="3" t="s">
        <v>221</v>
      </c>
      <c r="B107" s="19">
        <f>Inputs!$B$117</f>
        <v>50</v>
      </c>
      <c r="C107" s="19">
        <f>Inputs!$B$117</f>
        <v>50</v>
      </c>
      <c r="D107" s="19">
        <f>Inputs!$B$117</f>
        <v>50</v>
      </c>
      <c r="E107" s="19">
        <f>Inputs!$B$117</f>
        <v>50</v>
      </c>
      <c r="F107" s="19">
        <f>Inputs!$B$117</f>
        <v>50</v>
      </c>
      <c r="G107" s="19">
        <f>Inputs!$B$117</f>
        <v>50</v>
      </c>
      <c r="H107" s="19">
        <f>Inputs!$B$117</f>
        <v>50</v>
      </c>
      <c r="I107" s="19">
        <f>Inputs!$B$117</f>
        <v>50</v>
      </c>
      <c r="J107" s="19">
        <f>Inputs!$B$117</f>
        <v>50</v>
      </c>
      <c r="K107" s="19">
        <f>Inputs!$B$117</f>
        <v>50</v>
      </c>
      <c r="L107" s="19">
        <f>Inputs!$B$117</f>
        <v>50</v>
      </c>
      <c r="M107" s="19">
        <f>Inputs!$B$117</f>
        <v>50</v>
      </c>
      <c r="N107" s="19">
        <f>Inputs!$B$117</f>
        <v>50</v>
      </c>
      <c r="O107" s="19">
        <f>Inputs!$B$117</f>
        <v>50</v>
      </c>
      <c r="P107" s="19">
        <f>Inputs!$B$117</f>
        <v>50</v>
      </c>
      <c r="Q107" s="19">
        <f>Inputs!$B$117</f>
        <v>50</v>
      </c>
      <c r="R107" s="19">
        <f>Inputs!$B$117</f>
        <v>50</v>
      </c>
      <c r="S107" s="19">
        <f>Inputs!$B$117</f>
        <v>50</v>
      </c>
      <c r="T107" s="19">
        <f>Inputs!$B$117</f>
        <v>50</v>
      </c>
      <c r="U107" s="19">
        <f>Inputs!$B$117</f>
        <v>50</v>
      </c>
      <c r="V107" s="19">
        <f>Inputs!$B$117</f>
        <v>50</v>
      </c>
      <c r="W107" s="19">
        <f>Inputs!$B$117</f>
        <v>50</v>
      </c>
      <c r="X107" s="19">
        <f>Inputs!$B$117</f>
        <v>50</v>
      </c>
      <c r="Y107" s="19">
        <f>Inputs!$B$117</f>
        <v>50</v>
      </c>
      <c r="Z107" s="19">
        <f>Inputs!$B$117</f>
        <v>50</v>
      </c>
      <c r="AA107" s="19">
        <f>Inputs!$B$117</f>
        <v>50</v>
      </c>
      <c r="AB107" s="19">
        <f>Inputs!$B$117</f>
        <v>50</v>
      </c>
      <c r="AC107" s="19">
        <f>Inputs!$B$117</f>
        <v>50</v>
      </c>
      <c r="AD107" s="19">
        <f>Inputs!$B$117</f>
        <v>50</v>
      </c>
      <c r="AE107" s="19">
        <f>Inputs!$B$117</f>
        <v>50</v>
      </c>
      <c r="AF107" s="19">
        <f>Inputs!$B$117</f>
        <v>50</v>
      </c>
      <c r="AG107" s="19">
        <f>Inputs!$B$117</f>
        <v>50</v>
      </c>
      <c r="AH107" s="19">
        <f>Inputs!$B$117</f>
        <v>50</v>
      </c>
      <c r="AI107" s="19">
        <f>Inputs!$B$117</f>
        <v>50</v>
      </c>
      <c r="AJ107" s="19">
        <f>Inputs!$B$117</f>
        <v>50</v>
      </c>
      <c r="AK107" s="19">
        <f>Inputs!$B$117</f>
        <v>50</v>
      </c>
      <c r="AL107" s="19">
        <f>Inputs!$B$117</f>
        <v>50</v>
      </c>
      <c r="AM107" s="19">
        <f>Inputs!$B$117</f>
        <v>50</v>
      </c>
      <c r="AN107" s="19">
        <f>Inputs!$B$117</f>
        <v>50</v>
      </c>
      <c r="AO107" s="19">
        <f>Inputs!$B$117</f>
        <v>50</v>
      </c>
      <c r="AP107" s="19">
        <f>Inputs!$B$117</f>
        <v>50</v>
      </c>
      <c r="AQ107" s="19">
        <f>Inputs!$B$117</f>
        <v>50</v>
      </c>
      <c r="AR107" s="19">
        <f>Inputs!$B$117</f>
        <v>50</v>
      </c>
      <c r="AS107" s="19">
        <f>Inputs!$B$117</f>
        <v>50</v>
      </c>
      <c r="AT107" s="19">
        <f>Inputs!$B$117</f>
        <v>50</v>
      </c>
      <c r="AU107" s="19">
        <f>Inputs!$B$117</f>
        <v>50</v>
      </c>
      <c r="AV107" s="19">
        <f>Inputs!$B$117</f>
        <v>50</v>
      </c>
      <c r="AW107" s="19">
        <f>Inputs!$B$117</f>
        <v>50</v>
      </c>
      <c r="AX107" s="19">
        <f>Inputs!$B$117</f>
        <v>50</v>
      </c>
      <c r="AY107" s="19">
        <f>Inputs!$B$117</f>
        <v>50</v>
      </c>
      <c r="AZ107" s="19">
        <f>Inputs!$B$117</f>
        <v>50</v>
      </c>
      <c r="BA107" s="19">
        <f>Inputs!$B$117</f>
        <v>50</v>
      </c>
    </row>
    <row r="108" spans="1:53" x14ac:dyDescent="0.35">
      <c r="A108" s="2" t="s">
        <v>399</v>
      </c>
      <c r="B108" s="17">
        <f t="shared" ref="B108:AG108" si="12">SUM(B104:B107)</f>
        <v>591.66666666666663</v>
      </c>
      <c r="C108" s="17">
        <f t="shared" si="12"/>
        <v>591.66666666666663</v>
      </c>
      <c r="D108" s="17">
        <f t="shared" si="12"/>
        <v>591.66666666666663</v>
      </c>
      <c r="E108" s="17">
        <f t="shared" si="12"/>
        <v>591.66666666666663</v>
      </c>
      <c r="F108" s="17">
        <f t="shared" si="12"/>
        <v>591.66666666666663</v>
      </c>
      <c r="G108" s="17">
        <f t="shared" si="12"/>
        <v>591.66666666666663</v>
      </c>
      <c r="H108" s="17">
        <f t="shared" si="12"/>
        <v>591.66666666666663</v>
      </c>
      <c r="I108" s="17">
        <f t="shared" si="12"/>
        <v>591.66666666666663</v>
      </c>
      <c r="J108" s="17">
        <f t="shared" si="12"/>
        <v>591.66666666666663</v>
      </c>
      <c r="K108" s="17">
        <f t="shared" si="12"/>
        <v>591.66666666666663</v>
      </c>
      <c r="L108" s="17">
        <f t="shared" si="12"/>
        <v>591.66666666666663</v>
      </c>
      <c r="M108" s="17">
        <f t="shared" si="12"/>
        <v>591.66666666666663</v>
      </c>
      <c r="N108" s="17">
        <f t="shared" si="12"/>
        <v>591.66666666666663</v>
      </c>
      <c r="O108" s="17">
        <f t="shared" si="12"/>
        <v>591.66666666666663</v>
      </c>
      <c r="P108" s="17">
        <f t="shared" si="12"/>
        <v>591.66666666666663</v>
      </c>
      <c r="Q108" s="17">
        <f t="shared" si="12"/>
        <v>591.66666666666663</v>
      </c>
      <c r="R108" s="17">
        <f t="shared" si="12"/>
        <v>591.66666666666663</v>
      </c>
      <c r="S108" s="17">
        <f t="shared" si="12"/>
        <v>591.66666666666663</v>
      </c>
      <c r="T108" s="17">
        <f t="shared" si="12"/>
        <v>591.66666666666663</v>
      </c>
      <c r="U108" s="17">
        <f t="shared" si="12"/>
        <v>591.66666666666663</v>
      </c>
      <c r="V108" s="17">
        <f t="shared" si="12"/>
        <v>591.66666666666663</v>
      </c>
      <c r="W108" s="17">
        <f t="shared" si="12"/>
        <v>591.66666666666663</v>
      </c>
      <c r="X108" s="17">
        <f t="shared" si="12"/>
        <v>591.66666666666663</v>
      </c>
      <c r="Y108" s="17">
        <f t="shared" si="12"/>
        <v>591.66666666666663</v>
      </c>
      <c r="Z108" s="17">
        <f t="shared" si="12"/>
        <v>591.66666666666663</v>
      </c>
      <c r="AA108" s="17">
        <f t="shared" si="12"/>
        <v>591.66666666666663</v>
      </c>
      <c r="AB108" s="17">
        <f t="shared" si="12"/>
        <v>591.66666666666663</v>
      </c>
      <c r="AC108" s="17">
        <f t="shared" si="12"/>
        <v>591.66666666666663</v>
      </c>
      <c r="AD108" s="17">
        <f t="shared" si="12"/>
        <v>591.66666666666663</v>
      </c>
      <c r="AE108" s="17">
        <f t="shared" si="12"/>
        <v>591.66666666666663</v>
      </c>
      <c r="AF108" s="17">
        <f t="shared" si="12"/>
        <v>591.66666666666663</v>
      </c>
      <c r="AG108" s="17">
        <f t="shared" si="12"/>
        <v>591.66666666666663</v>
      </c>
      <c r="AH108" s="17">
        <f t="shared" ref="AH108:BA108" si="13">SUM(AH104:AH107)</f>
        <v>591.66666666666663</v>
      </c>
      <c r="AI108" s="17">
        <f t="shared" si="13"/>
        <v>591.66666666666663</v>
      </c>
      <c r="AJ108" s="17">
        <f t="shared" si="13"/>
        <v>591.66666666666663</v>
      </c>
      <c r="AK108" s="17">
        <f t="shared" si="13"/>
        <v>591.66666666666663</v>
      </c>
      <c r="AL108" s="17">
        <f t="shared" si="13"/>
        <v>591.66666666666663</v>
      </c>
      <c r="AM108" s="17">
        <f t="shared" si="13"/>
        <v>591.66666666666663</v>
      </c>
      <c r="AN108" s="17">
        <f t="shared" si="13"/>
        <v>591.66666666666663</v>
      </c>
      <c r="AO108" s="17">
        <f t="shared" si="13"/>
        <v>591.66666666666663</v>
      </c>
      <c r="AP108" s="17">
        <f t="shared" si="13"/>
        <v>591.66666666666663</v>
      </c>
      <c r="AQ108" s="17">
        <f t="shared" si="13"/>
        <v>591.66666666666663</v>
      </c>
      <c r="AR108" s="17">
        <f t="shared" si="13"/>
        <v>591.66666666666663</v>
      </c>
      <c r="AS108" s="17">
        <f t="shared" si="13"/>
        <v>591.66666666666663</v>
      </c>
      <c r="AT108" s="17">
        <f t="shared" si="13"/>
        <v>591.66666666666663</v>
      </c>
      <c r="AU108" s="17">
        <f t="shared" si="13"/>
        <v>591.66666666666663</v>
      </c>
      <c r="AV108" s="17">
        <f t="shared" si="13"/>
        <v>591.66666666666663</v>
      </c>
      <c r="AW108" s="17">
        <f t="shared" si="13"/>
        <v>591.66666666666663</v>
      </c>
      <c r="AX108" s="17">
        <f t="shared" si="13"/>
        <v>591.66666666666663</v>
      </c>
      <c r="AY108" s="17">
        <f t="shared" si="13"/>
        <v>591.66666666666663</v>
      </c>
      <c r="AZ108" s="17">
        <f t="shared" si="13"/>
        <v>591.66666666666663</v>
      </c>
      <c r="BA108" s="17">
        <f t="shared" si="13"/>
        <v>591.66666666666663</v>
      </c>
    </row>
    <row r="110" spans="1:53" x14ac:dyDescent="0.35">
      <c r="A110" s="2" t="s">
        <v>400</v>
      </c>
    </row>
    <row r="111" spans="1:53" x14ac:dyDescent="0.35">
      <c r="A111" s="3" t="s">
        <v>401</v>
      </c>
      <c r="B111" s="19">
        <f>Inputs!$B$121*(1+Inputs!$B$122)^(1-1)</f>
        <v>500</v>
      </c>
      <c r="C111" s="19">
        <f>Inputs!$B$121*(1+Inputs!$B$122)^(2-1)</f>
        <v>525</v>
      </c>
      <c r="D111" s="19">
        <f>Inputs!$B$121*(1+Inputs!$B$122)^(3-1)</f>
        <v>551.25</v>
      </c>
      <c r="E111" s="19">
        <f>Inputs!$B$121*(1+Inputs!$B$122)^(4-1)</f>
        <v>578.81250000000011</v>
      </c>
      <c r="F111" s="19">
        <f>Inputs!$B$121*(1+Inputs!$B$122)^(5-1)</f>
        <v>607.75312499999995</v>
      </c>
      <c r="G111" s="19">
        <f>Inputs!$B$121*(1+Inputs!$B$122)^(6-1)</f>
        <v>638.14078125000003</v>
      </c>
      <c r="H111" s="19">
        <f>Inputs!$B$121*(1+Inputs!$B$122)^(7-1)</f>
        <v>670.04782031249999</v>
      </c>
      <c r="I111" s="19">
        <f>Inputs!$B$121*(1+Inputs!$B$122)^(8-1)</f>
        <v>703.5502113281251</v>
      </c>
      <c r="J111" s="19">
        <f>Inputs!$B$121*(1+Inputs!$B$122)^(9-1)</f>
        <v>738.72772189453133</v>
      </c>
      <c r="K111" s="19">
        <f>Inputs!$B$121*(1+Inputs!$B$122)^(10-1)</f>
        <v>775.6641079892579</v>
      </c>
      <c r="L111" s="19">
        <f>Inputs!$B$121*(1+Inputs!$B$122)^(11-1)</f>
        <v>814.44731338872077</v>
      </c>
      <c r="M111" s="19">
        <f>Inputs!$B$121*(1+Inputs!$B$122)^(12-1)</f>
        <v>855.16967905815693</v>
      </c>
      <c r="N111" s="19">
        <f>Inputs!$B$121*(1+Inputs!$B$122)^(13-1)</f>
        <v>897.92816301106461</v>
      </c>
      <c r="O111" s="19">
        <f>Inputs!$B$121*(1+Inputs!$B$122)^(14-1)</f>
        <v>942.824571161618</v>
      </c>
      <c r="P111" s="19">
        <f>Inputs!$B$121*(1+Inputs!$B$122)^(15-1)</f>
        <v>989.96579971969868</v>
      </c>
      <c r="Q111" s="19">
        <f>Inputs!$B$121*(1+Inputs!$B$122)^(16-1)</f>
        <v>1039.464089705684</v>
      </c>
      <c r="R111" s="19">
        <f>Inputs!$B$121*(1+Inputs!$B$122)^(17-1)</f>
        <v>1091.437294190968</v>
      </c>
      <c r="S111" s="19">
        <f>Inputs!$B$121*(1+Inputs!$B$122)^(18-1)</f>
        <v>1146.0091589005165</v>
      </c>
      <c r="T111" s="19">
        <f>Inputs!$B$121*(1+Inputs!$B$122)^(19-1)</f>
        <v>1203.3096168455425</v>
      </c>
      <c r="U111" s="19">
        <f>Inputs!$B$121*(1+Inputs!$B$122)^(20-1)</f>
        <v>1263.4750976878195</v>
      </c>
      <c r="V111" s="19">
        <f>Inputs!$B$121*(1+Inputs!$B$122)^(21-1)</f>
        <v>1326.6488525722104</v>
      </c>
      <c r="W111" s="19">
        <f>Inputs!$B$121*(1+Inputs!$B$122)^(22-1)</f>
        <v>1392.981295200821</v>
      </c>
      <c r="X111" s="19">
        <f>Inputs!$B$121*(1+Inputs!$B$122)^(23-1)</f>
        <v>1462.6303599608618</v>
      </c>
      <c r="Y111" s="19">
        <f>Inputs!$B$121*(1+Inputs!$B$122)^(24-1)</f>
        <v>1535.7618779589052</v>
      </c>
      <c r="Z111" s="19">
        <f>Inputs!$B$121*(1+Inputs!$B$122)^(25-1)</f>
        <v>1612.5499718568503</v>
      </c>
      <c r="AA111" s="19">
        <f>Inputs!$B$121*(1+Inputs!$B$122)^(26-1)</f>
        <v>1693.1774704496929</v>
      </c>
      <c r="AB111" s="19">
        <f>Inputs!$B$121*(1+Inputs!$B$122)^(27-1)</f>
        <v>1777.8363439721777</v>
      </c>
      <c r="AC111" s="19">
        <f>Inputs!$B$121*(1+Inputs!$B$122)^(28-1)</f>
        <v>1866.7281611707867</v>
      </c>
      <c r="AD111" s="19">
        <f>Inputs!$B$121*(1+Inputs!$B$122)^(29-1)</f>
        <v>1960.0645692293258</v>
      </c>
      <c r="AE111" s="19">
        <f>Inputs!$B$121*(1+Inputs!$B$122)^(30-1)</f>
        <v>2058.0677976907923</v>
      </c>
      <c r="AF111" s="19">
        <f>Inputs!$B$121*(1+Inputs!$B$122)^(31-1)</f>
        <v>2160.9711875753314</v>
      </c>
      <c r="AG111" s="19">
        <f>Inputs!$B$121*(1+Inputs!$B$122)^(32-1)</f>
        <v>2269.0197469540985</v>
      </c>
      <c r="AH111" s="19">
        <f>Inputs!$B$121*(1+Inputs!$B$122)^(33-1)</f>
        <v>2382.4707343018035</v>
      </c>
      <c r="AI111" s="19">
        <f>Inputs!$B$121*(1+Inputs!$B$122)^(34-1)</f>
        <v>2501.5942710168938</v>
      </c>
      <c r="AJ111" s="19">
        <f>Inputs!$B$121*(1+Inputs!$B$122)^(35-1)</f>
        <v>2626.6739845677384</v>
      </c>
      <c r="AK111" s="19">
        <f>Inputs!$B$121*(1+Inputs!$B$122)^(36-1)</f>
        <v>2758.0076837961255</v>
      </c>
      <c r="AL111" s="19">
        <f>Inputs!$B$121*(1+Inputs!$B$122)^(37-1)</f>
        <v>2895.9080679859317</v>
      </c>
      <c r="AM111" s="19">
        <f>Inputs!$B$121*(1+Inputs!$B$122)^(38-1)</f>
        <v>3040.7034713852281</v>
      </c>
      <c r="AN111" s="19">
        <f>Inputs!$B$121*(1+Inputs!$B$122)^(39-1)</f>
        <v>3192.7386449544892</v>
      </c>
      <c r="AO111" s="19">
        <f>Inputs!$B$121*(1+Inputs!$B$122)^(40-1)</f>
        <v>3352.3755772022146</v>
      </c>
      <c r="AP111" s="19">
        <f>Inputs!$B$121*(1+Inputs!$B$122)^(41-1)</f>
        <v>3519.9943560623246</v>
      </c>
      <c r="AQ111" s="19">
        <f>Inputs!$B$121*(1+Inputs!$B$122)^(42-1)</f>
        <v>3695.9940738654409</v>
      </c>
      <c r="AR111" s="19">
        <f>Inputs!$B$121*(1+Inputs!$B$122)^(43-1)</f>
        <v>3880.7937775587129</v>
      </c>
      <c r="AS111" s="19">
        <f>Inputs!$B$121*(1+Inputs!$B$122)^(44-1)</f>
        <v>4074.8334664366494</v>
      </c>
      <c r="AT111" s="19">
        <f>Inputs!$B$121*(1+Inputs!$B$122)^(45-1)</f>
        <v>4278.5751397584809</v>
      </c>
      <c r="AU111" s="19">
        <f>Inputs!$B$121*(1+Inputs!$B$122)^(46-1)</f>
        <v>4492.5038967464061</v>
      </c>
      <c r="AV111" s="19">
        <f>Inputs!$B$121*(1+Inputs!$B$122)^(47-1)</f>
        <v>4717.1290915837253</v>
      </c>
      <c r="AW111" s="19">
        <f>Inputs!$B$121*(1+Inputs!$B$122)^(48-1)</f>
        <v>4952.9855461629131</v>
      </c>
      <c r="AX111" s="19">
        <f>Inputs!$B$121*(1+Inputs!$B$122)^(49-1)</f>
        <v>5200.6348234710586</v>
      </c>
      <c r="AY111" s="19">
        <f>Inputs!$B$121*(1+Inputs!$B$122)^(50-1)</f>
        <v>5460.6665646446118</v>
      </c>
      <c r="AZ111" s="19">
        <f>Inputs!$B$121*(1+Inputs!$B$122)^(51-1)</f>
        <v>5733.6998928768426</v>
      </c>
      <c r="BA111" s="19">
        <f>Inputs!$B$121*(1+Inputs!$B$122)^(52-1)</f>
        <v>6020.3848875206841</v>
      </c>
    </row>
    <row r="112" spans="1:53" x14ac:dyDescent="0.35">
      <c r="A112" s="3" t="s">
        <v>227</v>
      </c>
      <c r="B112" s="19">
        <f>Inputs!$B$123</f>
        <v>1500</v>
      </c>
      <c r="C112" s="19">
        <f>Inputs!$B$123</f>
        <v>1500</v>
      </c>
      <c r="D112" s="19">
        <f>Inputs!$B$123</f>
        <v>1500</v>
      </c>
      <c r="E112" s="19">
        <f>Inputs!$B$123</f>
        <v>1500</v>
      </c>
      <c r="F112" s="19">
        <f>Inputs!$B$123</f>
        <v>1500</v>
      </c>
      <c r="G112" s="19">
        <f>Inputs!$B$123</f>
        <v>1500</v>
      </c>
      <c r="H112" s="19">
        <f>Inputs!$B$123</f>
        <v>1500</v>
      </c>
      <c r="I112" s="19">
        <f>Inputs!$B$123</f>
        <v>1500</v>
      </c>
      <c r="J112" s="19">
        <f>Inputs!$B$123</f>
        <v>1500</v>
      </c>
      <c r="K112" s="19">
        <f>Inputs!$B$123</f>
        <v>1500</v>
      </c>
      <c r="L112" s="19">
        <f>Inputs!$B$123</f>
        <v>1500</v>
      </c>
      <c r="M112" s="19">
        <f>Inputs!$B$123</f>
        <v>1500</v>
      </c>
      <c r="N112" s="19">
        <f>Inputs!$B$123</f>
        <v>1500</v>
      </c>
      <c r="O112" s="19">
        <f>Inputs!$B$123</f>
        <v>1500</v>
      </c>
      <c r="P112" s="19">
        <f>Inputs!$B$123</f>
        <v>1500</v>
      </c>
      <c r="Q112" s="19">
        <f>Inputs!$B$123</f>
        <v>1500</v>
      </c>
      <c r="R112" s="19">
        <f>Inputs!$B$123</f>
        <v>1500</v>
      </c>
      <c r="S112" s="19">
        <f>Inputs!$B$123</f>
        <v>1500</v>
      </c>
      <c r="T112" s="19">
        <f>Inputs!$B$123</f>
        <v>1500</v>
      </c>
      <c r="U112" s="19">
        <f>Inputs!$B$123</f>
        <v>1500</v>
      </c>
      <c r="V112" s="19">
        <f>Inputs!$B$123</f>
        <v>1500</v>
      </c>
      <c r="W112" s="19">
        <f>Inputs!$B$123</f>
        <v>1500</v>
      </c>
      <c r="X112" s="19">
        <f>Inputs!$B$123</f>
        <v>1500</v>
      </c>
      <c r="Y112" s="19">
        <f>Inputs!$B$123</f>
        <v>1500</v>
      </c>
      <c r="Z112" s="19">
        <f>Inputs!$B$123</f>
        <v>1500</v>
      </c>
      <c r="AA112" s="19">
        <f>Inputs!$B$123</f>
        <v>1500</v>
      </c>
      <c r="AB112" s="19">
        <f>Inputs!$B$123</f>
        <v>1500</v>
      </c>
      <c r="AC112" s="19">
        <f>Inputs!$B$123</f>
        <v>1500</v>
      </c>
      <c r="AD112" s="19">
        <f>Inputs!$B$123</f>
        <v>1500</v>
      </c>
      <c r="AE112" s="19">
        <f>Inputs!$B$123</f>
        <v>1500</v>
      </c>
      <c r="AF112" s="19">
        <f>Inputs!$B$123</f>
        <v>1500</v>
      </c>
      <c r="AG112" s="19">
        <f>Inputs!$B$123</f>
        <v>1500</v>
      </c>
      <c r="AH112" s="19">
        <f>Inputs!$B$123</f>
        <v>1500</v>
      </c>
      <c r="AI112" s="19">
        <f>Inputs!$B$123</f>
        <v>1500</v>
      </c>
      <c r="AJ112" s="19">
        <f>Inputs!$B$123</f>
        <v>1500</v>
      </c>
      <c r="AK112" s="19">
        <f>Inputs!$B$123</f>
        <v>1500</v>
      </c>
      <c r="AL112" s="19">
        <f>Inputs!$B$123</f>
        <v>1500</v>
      </c>
      <c r="AM112" s="19">
        <f>Inputs!$B$123</f>
        <v>1500</v>
      </c>
      <c r="AN112" s="19">
        <f>Inputs!$B$123</f>
        <v>1500</v>
      </c>
      <c r="AO112" s="19">
        <f>Inputs!$B$123</f>
        <v>1500</v>
      </c>
      <c r="AP112" s="19">
        <f>Inputs!$B$123</f>
        <v>1500</v>
      </c>
      <c r="AQ112" s="19">
        <f>Inputs!$B$123</f>
        <v>1500</v>
      </c>
      <c r="AR112" s="19">
        <f>Inputs!$B$123</f>
        <v>1500</v>
      </c>
      <c r="AS112" s="19">
        <f>Inputs!$B$123</f>
        <v>1500</v>
      </c>
      <c r="AT112" s="19">
        <f>Inputs!$B$123</f>
        <v>1500</v>
      </c>
      <c r="AU112" s="19">
        <f>Inputs!$B$123</f>
        <v>1500</v>
      </c>
      <c r="AV112" s="19">
        <f>Inputs!$B$123</f>
        <v>1500</v>
      </c>
      <c r="AW112" s="19">
        <f>Inputs!$B$123</f>
        <v>1500</v>
      </c>
      <c r="AX112" s="19">
        <f>Inputs!$B$123</f>
        <v>1500</v>
      </c>
      <c r="AY112" s="19">
        <f>Inputs!$B$123</f>
        <v>1500</v>
      </c>
      <c r="AZ112" s="19">
        <f>Inputs!$B$123</f>
        <v>1500</v>
      </c>
      <c r="BA112" s="19">
        <f>Inputs!$B$123</f>
        <v>1500</v>
      </c>
    </row>
    <row r="113" spans="1:53" x14ac:dyDescent="0.35">
      <c r="A113" s="3" t="s">
        <v>402</v>
      </c>
      <c r="B113" s="19">
        <f>Inputs!$B$124/12</f>
        <v>2083.3333333333335</v>
      </c>
      <c r="C113" s="19">
        <f>Inputs!$B$124/12</f>
        <v>2083.3333333333335</v>
      </c>
      <c r="D113" s="19">
        <f>Inputs!$B$124/12</f>
        <v>2083.3333333333335</v>
      </c>
      <c r="E113" s="19">
        <f>Inputs!$B$124/12</f>
        <v>2083.3333333333335</v>
      </c>
      <c r="F113" s="19">
        <f>Inputs!$B$124/12</f>
        <v>2083.3333333333335</v>
      </c>
      <c r="G113" s="19">
        <f>Inputs!$B$124/12</f>
        <v>2083.3333333333335</v>
      </c>
      <c r="H113" s="19">
        <f>Inputs!$B$124/12</f>
        <v>2083.3333333333335</v>
      </c>
      <c r="I113" s="19">
        <f>Inputs!$B$124/12</f>
        <v>2083.3333333333335</v>
      </c>
      <c r="J113" s="19">
        <f>Inputs!$B$124/12</f>
        <v>2083.3333333333335</v>
      </c>
      <c r="K113" s="19">
        <f>Inputs!$B$124/12</f>
        <v>2083.3333333333335</v>
      </c>
      <c r="L113" s="19">
        <f>Inputs!$B$124/12</f>
        <v>2083.3333333333335</v>
      </c>
      <c r="M113" s="19">
        <f>Inputs!$B$124/12</f>
        <v>2083.3333333333335</v>
      </c>
      <c r="N113" s="19">
        <f>Inputs!$B$124/12</f>
        <v>2083.3333333333335</v>
      </c>
      <c r="O113" s="19">
        <f>Inputs!$B$124/12</f>
        <v>2083.3333333333335</v>
      </c>
      <c r="P113" s="19">
        <f>Inputs!$B$124/12</f>
        <v>2083.3333333333335</v>
      </c>
      <c r="Q113" s="19">
        <f>Inputs!$B$124/12</f>
        <v>2083.3333333333335</v>
      </c>
      <c r="R113" s="19">
        <f>Inputs!$B$124/12</f>
        <v>2083.3333333333335</v>
      </c>
      <c r="S113" s="19">
        <f>Inputs!$B$124/12</f>
        <v>2083.3333333333335</v>
      </c>
      <c r="T113" s="19">
        <f>Inputs!$B$124/12</f>
        <v>2083.3333333333335</v>
      </c>
      <c r="U113" s="19">
        <f>Inputs!$B$124/12</f>
        <v>2083.3333333333335</v>
      </c>
      <c r="V113" s="19">
        <f>Inputs!$B$124/12</f>
        <v>2083.3333333333335</v>
      </c>
      <c r="W113" s="19">
        <f>Inputs!$B$124/12</f>
        <v>2083.3333333333335</v>
      </c>
      <c r="X113" s="19">
        <f>Inputs!$B$124/12</f>
        <v>2083.3333333333335</v>
      </c>
      <c r="Y113" s="19">
        <f>Inputs!$B$124/12</f>
        <v>2083.3333333333335</v>
      </c>
      <c r="Z113" s="19">
        <f>Inputs!$B$124/12</f>
        <v>2083.3333333333335</v>
      </c>
      <c r="AA113" s="19">
        <f>Inputs!$B$124/12</f>
        <v>2083.3333333333335</v>
      </c>
      <c r="AB113" s="19">
        <f>Inputs!$B$124/12</f>
        <v>2083.3333333333335</v>
      </c>
      <c r="AC113" s="19">
        <f>Inputs!$B$124/12</f>
        <v>2083.3333333333335</v>
      </c>
      <c r="AD113" s="19">
        <f>Inputs!$B$124/12</f>
        <v>2083.3333333333335</v>
      </c>
      <c r="AE113" s="19">
        <f>Inputs!$B$124/12</f>
        <v>2083.3333333333335</v>
      </c>
      <c r="AF113" s="19">
        <f>Inputs!$B$124/12</f>
        <v>2083.3333333333335</v>
      </c>
      <c r="AG113" s="19">
        <f>Inputs!$B$124/12</f>
        <v>2083.3333333333335</v>
      </c>
      <c r="AH113" s="19">
        <f>Inputs!$B$124/12</f>
        <v>2083.3333333333335</v>
      </c>
      <c r="AI113" s="19">
        <f>Inputs!$B$124/12</f>
        <v>2083.3333333333335</v>
      </c>
      <c r="AJ113" s="19">
        <f>Inputs!$B$124/12</f>
        <v>2083.3333333333335</v>
      </c>
      <c r="AK113" s="19">
        <f>Inputs!$B$124/12</f>
        <v>2083.3333333333335</v>
      </c>
      <c r="AL113" s="19">
        <f>Inputs!$B$124/12</f>
        <v>2083.3333333333335</v>
      </c>
      <c r="AM113" s="19">
        <f>Inputs!$B$124/12</f>
        <v>2083.3333333333335</v>
      </c>
      <c r="AN113" s="19">
        <f>Inputs!$B$124/12</f>
        <v>2083.3333333333335</v>
      </c>
      <c r="AO113" s="19">
        <f>Inputs!$B$124/12</f>
        <v>2083.3333333333335</v>
      </c>
      <c r="AP113" s="19">
        <f>Inputs!$B$124/12</f>
        <v>2083.3333333333335</v>
      </c>
      <c r="AQ113" s="19">
        <f>Inputs!$B$124/12</f>
        <v>2083.3333333333335</v>
      </c>
      <c r="AR113" s="19">
        <f>Inputs!$B$124/12</f>
        <v>2083.3333333333335</v>
      </c>
      <c r="AS113" s="19">
        <f>Inputs!$B$124/12</f>
        <v>2083.3333333333335</v>
      </c>
      <c r="AT113" s="19">
        <f>Inputs!$B$124/12</f>
        <v>2083.3333333333335</v>
      </c>
      <c r="AU113" s="19">
        <f>Inputs!$B$124/12</f>
        <v>2083.3333333333335</v>
      </c>
      <c r="AV113" s="19">
        <f>Inputs!$B$124/12</f>
        <v>2083.3333333333335</v>
      </c>
      <c r="AW113" s="19">
        <f>Inputs!$B$124/12</f>
        <v>2083.3333333333335</v>
      </c>
      <c r="AX113" s="19">
        <f>Inputs!$B$124/12</f>
        <v>2083.3333333333335</v>
      </c>
      <c r="AY113" s="19">
        <f>Inputs!$B$124/12</f>
        <v>2083.3333333333335</v>
      </c>
      <c r="AZ113" s="19">
        <f>Inputs!$B$124/12</f>
        <v>2083.3333333333335</v>
      </c>
      <c r="BA113" s="19">
        <f>Inputs!$B$124/12</f>
        <v>2083.3333333333335</v>
      </c>
    </row>
    <row r="114" spans="1:53" x14ac:dyDescent="0.35">
      <c r="A114" s="3" t="s">
        <v>229</v>
      </c>
      <c r="B114" s="19">
        <f>Inputs!$B$125</f>
        <v>300</v>
      </c>
      <c r="C114" s="19">
        <f>Inputs!$B$125</f>
        <v>300</v>
      </c>
      <c r="D114" s="19">
        <f>Inputs!$B$125</f>
        <v>300</v>
      </c>
      <c r="E114" s="19">
        <f>Inputs!$B$125</f>
        <v>300</v>
      </c>
      <c r="F114" s="19">
        <f>Inputs!$B$125</f>
        <v>300</v>
      </c>
      <c r="G114" s="19">
        <f>Inputs!$B$125</f>
        <v>300</v>
      </c>
      <c r="H114" s="19">
        <f>Inputs!$B$125</f>
        <v>300</v>
      </c>
      <c r="I114" s="19">
        <f>Inputs!$B$125</f>
        <v>300</v>
      </c>
      <c r="J114" s="19">
        <f>Inputs!$B$125</f>
        <v>300</v>
      </c>
      <c r="K114" s="19">
        <f>Inputs!$B$125</f>
        <v>300</v>
      </c>
      <c r="L114" s="19">
        <f>Inputs!$B$125</f>
        <v>300</v>
      </c>
      <c r="M114" s="19">
        <f>Inputs!$B$125</f>
        <v>300</v>
      </c>
      <c r="N114" s="19">
        <f>Inputs!$B$125</f>
        <v>300</v>
      </c>
      <c r="O114" s="19">
        <f>Inputs!$B$125</f>
        <v>300</v>
      </c>
      <c r="P114" s="19">
        <f>Inputs!$B$125</f>
        <v>300</v>
      </c>
      <c r="Q114" s="19">
        <f>Inputs!$B$125</f>
        <v>300</v>
      </c>
      <c r="R114" s="19">
        <f>Inputs!$B$125</f>
        <v>300</v>
      </c>
      <c r="S114" s="19">
        <f>Inputs!$B$125</f>
        <v>300</v>
      </c>
      <c r="T114" s="19">
        <f>Inputs!$B$125</f>
        <v>300</v>
      </c>
      <c r="U114" s="19">
        <f>Inputs!$B$125</f>
        <v>300</v>
      </c>
      <c r="V114" s="19">
        <f>Inputs!$B$125</f>
        <v>300</v>
      </c>
      <c r="W114" s="19">
        <f>Inputs!$B$125</f>
        <v>300</v>
      </c>
      <c r="X114" s="19">
        <f>Inputs!$B$125</f>
        <v>300</v>
      </c>
      <c r="Y114" s="19">
        <f>Inputs!$B$125</f>
        <v>300</v>
      </c>
      <c r="Z114" s="19">
        <f>Inputs!$B$125</f>
        <v>300</v>
      </c>
      <c r="AA114" s="19">
        <f>Inputs!$B$125</f>
        <v>300</v>
      </c>
      <c r="AB114" s="19">
        <f>Inputs!$B$125</f>
        <v>300</v>
      </c>
      <c r="AC114" s="19">
        <f>Inputs!$B$125</f>
        <v>300</v>
      </c>
      <c r="AD114" s="19">
        <f>Inputs!$B$125</f>
        <v>300</v>
      </c>
      <c r="AE114" s="19">
        <f>Inputs!$B$125</f>
        <v>300</v>
      </c>
      <c r="AF114" s="19">
        <f>Inputs!$B$125</f>
        <v>300</v>
      </c>
      <c r="AG114" s="19">
        <f>Inputs!$B$125</f>
        <v>300</v>
      </c>
      <c r="AH114" s="19">
        <f>Inputs!$B$125</f>
        <v>300</v>
      </c>
      <c r="AI114" s="19">
        <f>Inputs!$B$125</f>
        <v>300</v>
      </c>
      <c r="AJ114" s="19">
        <f>Inputs!$B$125</f>
        <v>300</v>
      </c>
      <c r="AK114" s="19">
        <f>Inputs!$B$125</f>
        <v>300</v>
      </c>
      <c r="AL114" s="19">
        <f>Inputs!$B$125</f>
        <v>300</v>
      </c>
      <c r="AM114" s="19">
        <f>Inputs!$B$125</f>
        <v>300</v>
      </c>
      <c r="AN114" s="19">
        <f>Inputs!$B$125</f>
        <v>300</v>
      </c>
      <c r="AO114" s="19">
        <f>Inputs!$B$125</f>
        <v>300</v>
      </c>
      <c r="AP114" s="19">
        <f>Inputs!$B$125</f>
        <v>300</v>
      </c>
      <c r="AQ114" s="19">
        <f>Inputs!$B$125</f>
        <v>300</v>
      </c>
      <c r="AR114" s="19">
        <f>Inputs!$B$125</f>
        <v>300</v>
      </c>
      <c r="AS114" s="19">
        <f>Inputs!$B$125</f>
        <v>300</v>
      </c>
      <c r="AT114" s="19">
        <f>Inputs!$B$125</f>
        <v>300</v>
      </c>
      <c r="AU114" s="19">
        <f>Inputs!$B$125</f>
        <v>300</v>
      </c>
      <c r="AV114" s="19">
        <f>Inputs!$B$125</f>
        <v>300</v>
      </c>
      <c r="AW114" s="19">
        <f>Inputs!$B$125</f>
        <v>300</v>
      </c>
      <c r="AX114" s="19">
        <f>Inputs!$B$125</f>
        <v>300</v>
      </c>
      <c r="AY114" s="19">
        <f>Inputs!$B$125</f>
        <v>300</v>
      </c>
      <c r="AZ114" s="19">
        <f>Inputs!$B$125</f>
        <v>300</v>
      </c>
      <c r="BA114" s="19">
        <f>Inputs!$B$125</f>
        <v>300</v>
      </c>
    </row>
    <row r="115" spans="1:53" x14ac:dyDescent="0.35">
      <c r="A115" s="3" t="s">
        <v>403</v>
      </c>
      <c r="B115" s="16">
        <f>Revenue!B23/12*Inputs!$B$126</f>
        <v>0</v>
      </c>
      <c r="C115" s="16">
        <f>Revenue!C23/12*Inputs!$B$126</f>
        <v>0</v>
      </c>
      <c r="D115" s="16">
        <f>Revenue!D23/12*Inputs!$B$126</f>
        <v>0</v>
      </c>
      <c r="E115" s="16">
        <f>Revenue!E23/12*Inputs!$B$126</f>
        <v>0</v>
      </c>
      <c r="F115" s="16">
        <f>Revenue!F23/12*Inputs!$B$126</f>
        <v>0</v>
      </c>
      <c r="G115" s="16">
        <f>Revenue!G23/12*Inputs!$B$126</f>
        <v>0</v>
      </c>
      <c r="H115" s="16">
        <f>Revenue!H23/12*Inputs!$B$126</f>
        <v>0</v>
      </c>
      <c r="I115" s="16">
        <f>Revenue!I23/12*Inputs!$B$126</f>
        <v>0</v>
      </c>
      <c r="J115" s="16">
        <f>Revenue!J23/12*Inputs!$B$126</f>
        <v>500</v>
      </c>
      <c r="K115" s="16">
        <f>Revenue!K23/12*Inputs!$B$126</f>
        <v>0</v>
      </c>
      <c r="L115" s="16">
        <f>Revenue!L23/12*Inputs!$B$126</f>
        <v>0</v>
      </c>
      <c r="M115" s="16">
        <f>Revenue!M23/12*Inputs!$B$126</f>
        <v>0</v>
      </c>
      <c r="N115" s="16">
        <f>Revenue!N23/12*Inputs!$B$126</f>
        <v>0</v>
      </c>
      <c r="O115" s="16">
        <f>Revenue!O23/12*Inputs!$B$126</f>
        <v>0</v>
      </c>
      <c r="P115" s="16">
        <f>Revenue!P23/12*Inputs!$B$126</f>
        <v>0</v>
      </c>
      <c r="Q115" s="16">
        <f>Revenue!Q23/12*Inputs!$B$126</f>
        <v>0</v>
      </c>
      <c r="R115" s="16">
        <f>Revenue!R23/12*Inputs!$B$126</f>
        <v>0</v>
      </c>
      <c r="S115" s="16">
        <f>Revenue!S23/12*Inputs!$B$126</f>
        <v>0</v>
      </c>
      <c r="T115" s="16">
        <f>Revenue!T23/12*Inputs!$B$126</f>
        <v>0</v>
      </c>
      <c r="U115" s="16">
        <f>Revenue!U23/12*Inputs!$B$126</f>
        <v>0</v>
      </c>
      <c r="V115" s="16">
        <f>Revenue!V23/12*Inputs!$B$126</f>
        <v>0</v>
      </c>
      <c r="W115" s="16">
        <f>Revenue!W23/12*Inputs!$B$126</f>
        <v>0</v>
      </c>
      <c r="X115" s="16">
        <f>Revenue!X23/12*Inputs!$B$126</f>
        <v>0</v>
      </c>
      <c r="Y115" s="16">
        <f>Revenue!Y23/12*Inputs!$B$126</f>
        <v>1350</v>
      </c>
      <c r="Z115" s="16">
        <f>Revenue!Z23/12*Inputs!$B$126</f>
        <v>0</v>
      </c>
      <c r="AA115" s="16">
        <f>Revenue!AA23/12*Inputs!$B$126</f>
        <v>0</v>
      </c>
      <c r="AB115" s="16">
        <f>Revenue!AB23/12*Inputs!$B$126</f>
        <v>1458.0000000000002</v>
      </c>
      <c r="AC115" s="16">
        <f>Revenue!AC23/12*Inputs!$B$126</f>
        <v>0</v>
      </c>
      <c r="AD115" s="16">
        <f>Revenue!AD23/12*Inputs!$B$126</f>
        <v>0</v>
      </c>
      <c r="AE115" s="16">
        <f>Revenue!AE23/12*Inputs!$B$126</f>
        <v>1458.0000000000002</v>
      </c>
      <c r="AF115" s="16">
        <f>Revenue!AF23/12*Inputs!$B$126</f>
        <v>0</v>
      </c>
      <c r="AG115" s="16">
        <f>Revenue!AG23/12*Inputs!$B$126</f>
        <v>0</v>
      </c>
      <c r="AH115" s="16">
        <f>Revenue!AH23/12*Inputs!$B$126</f>
        <v>1458.0000000000002</v>
      </c>
      <c r="AI115" s="16">
        <f>Revenue!AI23/12*Inputs!$B$126</f>
        <v>0</v>
      </c>
      <c r="AJ115" s="16">
        <f>Revenue!AJ23/12*Inputs!$B$126</f>
        <v>0</v>
      </c>
      <c r="AK115" s="16">
        <f>Revenue!AK23/12*Inputs!$B$126</f>
        <v>1458.0000000000002</v>
      </c>
      <c r="AL115" s="16">
        <f>Revenue!AL23/12*Inputs!$B$126</f>
        <v>0</v>
      </c>
      <c r="AM115" s="16">
        <f>Revenue!AM23/12*Inputs!$B$126</f>
        <v>0</v>
      </c>
      <c r="AN115" s="16">
        <f>Revenue!AN23/12*Inputs!$B$126</f>
        <v>1574.6400000000003</v>
      </c>
      <c r="AO115" s="16">
        <f>Revenue!AO23/12*Inputs!$B$126</f>
        <v>0</v>
      </c>
      <c r="AP115" s="16">
        <f>Revenue!AP23/12*Inputs!$B$126</f>
        <v>0</v>
      </c>
      <c r="AQ115" s="16">
        <f>Revenue!AQ23/12*Inputs!$B$126</f>
        <v>1574.6400000000003</v>
      </c>
      <c r="AR115" s="16">
        <f>Revenue!AR23/12*Inputs!$B$126</f>
        <v>0</v>
      </c>
      <c r="AS115" s="16">
        <f>Revenue!AS23/12*Inputs!$B$126</f>
        <v>0</v>
      </c>
      <c r="AT115" s="16">
        <f>Revenue!AT23/12*Inputs!$B$126</f>
        <v>1574.6400000000003</v>
      </c>
      <c r="AU115" s="16">
        <f>Revenue!AU23/12*Inputs!$B$126</f>
        <v>0</v>
      </c>
      <c r="AV115" s="16">
        <f>Revenue!AV23/12*Inputs!$B$126</f>
        <v>0</v>
      </c>
      <c r="AW115" s="16">
        <f>Revenue!AW23/12*Inputs!$B$126</f>
        <v>1574.6400000000003</v>
      </c>
      <c r="AX115" s="16">
        <f>Revenue!AX23/12*Inputs!$B$126</f>
        <v>0</v>
      </c>
      <c r="AY115" s="16">
        <f>Revenue!AY23/12*Inputs!$B$126</f>
        <v>0</v>
      </c>
      <c r="AZ115" s="16">
        <f>Revenue!AZ23/12*Inputs!$B$126</f>
        <v>1700.6112000000005</v>
      </c>
      <c r="BA115" s="16">
        <f>Revenue!BA23/12*Inputs!$B$126</f>
        <v>0</v>
      </c>
    </row>
    <row r="116" spans="1:53" x14ac:dyDescent="0.35">
      <c r="A116" s="3" t="s">
        <v>404</v>
      </c>
      <c r="B116" s="19">
        <f>(B11+B12+B21+B28+B35)*Inputs!$B$127</f>
        <v>0</v>
      </c>
      <c r="C116" s="19">
        <f>(C11+C12+C21+C28+C35)*Inputs!$B$127</f>
        <v>0</v>
      </c>
      <c r="D116" s="19">
        <f>(D11+D12+D21+D28+D35)*Inputs!$B$127</f>
        <v>0</v>
      </c>
      <c r="E116" s="19">
        <f>(E11+E12+E21+E28+E35)*Inputs!$B$127</f>
        <v>0</v>
      </c>
      <c r="F116" s="19">
        <f>(F11+F12+F21+F28+F35)*Inputs!$B$127</f>
        <v>0</v>
      </c>
      <c r="G116" s="19">
        <f>(G11+G12+G21+G28+G35)*Inputs!$B$127</f>
        <v>0</v>
      </c>
      <c r="H116" s="19">
        <f>(H11+H12+H21+H28+H35)*Inputs!$B$127</f>
        <v>0</v>
      </c>
      <c r="I116" s="19">
        <f>(I11+I12+I21+I28+I35)*Inputs!$B$127</f>
        <v>0</v>
      </c>
      <c r="J116" s="19">
        <f>(J11+J12+J21+J28+J35)*Inputs!$B$127</f>
        <v>0</v>
      </c>
      <c r="K116" s="19">
        <f>(K11+K12+K21+K28+K35)*Inputs!$B$127</f>
        <v>500</v>
      </c>
      <c r="L116" s="19">
        <f>(L11+L12+L21+L28+L35)*Inputs!$B$127</f>
        <v>500</v>
      </c>
      <c r="M116" s="19">
        <f>(M11+M12+M21+M28+M35)*Inputs!$B$127</f>
        <v>500</v>
      </c>
      <c r="N116" s="19">
        <f>(N11+N12+N21+N28+N35)*Inputs!$B$127</f>
        <v>500</v>
      </c>
      <c r="O116" s="19">
        <f>(O11+O12+O21+O28+O35)*Inputs!$B$127</f>
        <v>500</v>
      </c>
      <c r="P116" s="19">
        <f>(P11+P12+P21+P28+P35)*Inputs!$B$127</f>
        <v>500</v>
      </c>
      <c r="Q116" s="19">
        <f>(Q11+Q12+Q21+Q28+Q35)*Inputs!$B$127</f>
        <v>500</v>
      </c>
      <c r="R116" s="19">
        <f>(R11+R12+R21+R28+R35)*Inputs!$B$127</f>
        <v>500</v>
      </c>
      <c r="S116" s="19">
        <f>(S11+S12+S21+S28+S35)*Inputs!$B$127</f>
        <v>1000</v>
      </c>
      <c r="T116" s="19">
        <f>(T11+T12+T21+T28+T35)*Inputs!$B$127</f>
        <v>1000</v>
      </c>
      <c r="U116" s="19">
        <f>(U11+U12+U21+U28+U35)*Inputs!$B$127</f>
        <v>1000</v>
      </c>
      <c r="V116" s="19">
        <f>(V11+V12+V21+V28+V35)*Inputs!$B$127</f>
        <v>1000</v>
      </c>
      <c r="W116" s="19">
        <f>(W11+W12+W21+W28+W35)*Inputs!$B$127</f>
        <v>1000</v>
      </c>
      <c r="X116" s="19">
        <f>(X11+X12+X21+X28+X35)*Inputs!$B$127</f>
        <v>1000</v>
      </c>
      <c r="Y116" s="19">
        <f>(Y11+Y12+Y21+Y28+Y35)*Inputs!$B$127</f>
        <v>1000</v>
      </c>
      <c r="Z116" s="19">
        <f>(Z11+Z12+Z21+Z28+Z35)*Inputs!$B$127</f>
        <v>1000</v>
      </c>
      <c r="AA116" s="19">
        <f>(AA11+AA12+AA21+AA28+AA35)*Inputs!$B$127</f>
        <v>1500</v>
      </c>
      <c r="AB116" s="19">
        <f>(AB11+AB12+AB21+AB28+AB35)*Inputs!$B$127</f>
        <v>1500</v>
      </c>
      <c r="AC116" s="19">
        <f>(AC11+AC12+AC21+AC28+AC35)*Inputs!$B$127</f>
        <v>1500</v>
      </c>
      <c r="AD116" s="19">
        <f>(AD11+AD12+AD21+AD28+AD35)*Inputs!$B$127</f>
        <v>1500</v>
      </c>
      <c r="AE116" s="19">
        <f>(AE11+AE12+AE21+AE28+AE35)*Inputs!$B$127</f>
        <v>1500</v>
      </c>
      <c r="AF116" s="19">
        <f>(AF11+AF12+AF21+AF28+AF35)*Inputs!$B$127</f>
        <v>1500</v>
      </c>
      <c r="AG116" s="19">
        <f>(AG11+AG12+AG21+AG28+AG35)*Inputs!$B$127</f>
        <v>1500</v>
      </c>
      <c r="AH116" s="19">
        <f>(AH11+AH12+AH21+AH28+AH35)*Inputs!$B$127</f>
        <v>1500</v>
      </c>
      <c r="AI116" s="19">
        <f>(AI11+AI12+AI21+AI28+AI35)*Inputs!$B$127</f>
        <v>1500</v>
      </c>
      <c r="AJ116" s="19">
        <f>(AJ11+AJ12+AJ21+AJ28+AJ35)*Inputs!$B$127</f>
        <v>1500</v>
      </c>
      <c r="AK116" s="19">
        <f>(AK11+AK12+AK21+AK28+AK35)*Inputs!$B$127</f>
        <v>2000</v>
      </c>
      <c r="AL116" s="19">
        <f>(AL11+AL12+AL21+AL28+AL35)*Inputs!$B$127</f>
        <v>2000</v>
      </c>
      <c r="AM116" s="19">
        <f>(AM11+AM12+AM21+AM28+AM35)*Inputs!$B$127</f>
        <v>2000</v>
      </c>
      <c r="AN116" s="19">
        <f>(AN11+AN12+AN21+AN28+AN35)*Inputs!$B$127</f>
        <v>2000</v>
      </c>
      <c r="AO116" s="19">
        <f>(AO11+AO12+AO21+AO28+AO35)*Inputs!$B$127</f>
        <v>2000</v>
      </c>
      <c r="AP116" s="19">
        <f>(AP11+AP12+AP21+AP28+AP35)*Inputs!$B$127</f>
        <v>2000</v>
      </c>
      <c r="AQ116" s="19">
        <f>(AQ11+AQ12+AQ21+AQ28+AQ35)*Inputs!$B$127</f>
        <v>2500</v>
      </c>
      <c r="AR116" s="19">
        <f>(AR11+AR12+AR21+AR28+AR35)*Inputs!$B$127</f>
        <v>2500</v>
      </c>
      <c r="AS116" s="19">
        <f>(AS11+AS12+AS21+AS28+AS35)*Inputs!$B$127</f>
        <v>2500</v>
      </c>
      <c r="AT116" s="19">
        <f>(AT11+AT12+AT21+AT28+AT35)*Inputs!$B$127</f>
        <v>2500</v>
      </c>
      <c r="AU116" s="19">
        <f>(AU11+AU12+AU21+AU28+AU35)*Inputs!$B$127</f>
        <v>2500</v>
      </c>
      <c r="AV116" s="19">
        <f>(AV11+AV12+AV21+AV28+AV35)*Inputs!$B$127</f>
        <v>2500</v>
      </c>
      <c r="AW116" s="19">
        <f>(AW11+AW12+AW21+AW28+AW35)*Inputs!$B$127</f>
        <v>2500</v>
      </c>
      <c r="AX116" s="19">
        <f>(AX11+AX12+AX21+AX28+AX35)*Inputs!$B$127</f>
        <v>2500</v>
      </c>
      <c r="AY116" s="19">
        <f>(AY11+AY12+AY21+AY28+AY35)*Inputs!$B$127</f>
        <v>2500</v>
      </c>
      <c r="AZ116" s="19">
        <f>(AZ11+AZ12+AZ21+AZ28+AZ35)*Inputs!$B$127</f>
        <v>2500</v>
      </c>
      <c r="BA116" s="19">
        <f>(BA11+BA12+BA21+BA28+BA35)*Inputs!$B$127</f>
        <v>2500</v>
      </c>
    </row>
    <row r="117" spans="1:53" x14ac:dyDescent="0.35">
      <c r="A117" s="2" t="s">
        <v>405</v>
      </c>
      <c r="B117" s="17">
        <f t="shared" ref="B117:AG117" si="14">SUM(B111:B116)</f>
        <v>4383.3333333333339</v>
      </c>
      <c r="C117" s="17">
        <f t="shared" si="14"/>
        <v>4408.3333333333339</v>
      </c>
      <c r="D117" s="17">
        <f t="shared" si="14"/>
        <v>4434.5833333333339</v>
      </c>
      <c r="E117" s="17">
        <f t="shared" si="14"/>
        <v>4462.1458333333339</v>
      </c>
      <c r="F117" s="17">
        <f t="shared" si="14"/>
        <v>4491.0864583333332</v>
      </c>
      <c r="G117" s="17">
        <f t="shared" si="14"/>
        <v>4521.4741145833341</v>
      </c>
      <c r="H117" s="17">
        <f t="shared" si="14"/>
        <v>4553.3811536458334</v>
      </c>
      <c r="I117" s="17">
        <f t="shared" si="14"/>
        <v>4586.8835446614585</v>
      </c>
      <c r="J117" s="17">
        <f t="shared" si="14"/>
        <v>5122.0610552278649</v>
      </c>
      <c r="K117" s="17">
        <f t="shared" si="14"/>
        <v>5158.9974413225918</v>
      </c>
      <c r="L117" s="17">
        <f t="shared" si="14"/>
        <v>5197.7806467220544</v>
      </c>
      <c r="M117" s="17">
        <f t="shared" si="14"/>
        <v>5238.5030123914903</v>
      </c>
      <c r="N117" s="17">
        <f t="shared" si="14"/>
        <v>5281.2614963443975</v>
      </c>
      <c r="O117" s="17">
        <f t="shared" si="14"/>
        <v>5326.1579044949522</v>
      </c>
      <c r="P117" s="17">
        <f t="shared" si="14"/>
        <v>5373.2991330530322</v>
      </c>
      <c r="Q117" s="17">
        <f t="shared" si="14"/>
        <v>5422.7974230390173</v>
      </c>
      <c r="R117" s="17">
        <f t="shared" si="14"/>
        <v>5474.7706275243017</v>
      </c>
      <c r="S117" s="17">
        <f t="shared" si="14"/>
        <v>6029.34249223385</v>
      </c>
      <c r="T117" s="17">
        <f t="shared" si="14"/>
        <v>6086.6429501788753</v>
      </c>
      <c r="U117" s="17">
        <f t="shared" si="14"/>
        <v>6146.8084310211525</v>
      </c>
      <c r="V117" s="17">
        <f t="shared" si="14"/>
        <v>6209.9821859055446</v>
      </c>
      <c r="W117" s="17">
        <f t="shared" si="14"/>
        <v>6276.3146285341545</v>
      </c>
      <c r="X117" s="17">
        <f t="shared" si="14"/>
        <v>6345.9636932941958</v>
      </c>
      <c r="Y117" s="17">
        <f t="shared" si="14"/>
        <v>7769.0952112922387</v>
      </c>
      <c r="Z117" s="17">
        <f t="shared" si="14"/>
        <v>6495.8833051901838</v>
      </c>
      <c r="AA117" s="17">
        <f t="shared" si="14"/>
        <v>7076.5108037830269</v>
      </c>
      <c r="AB117" s="17">
        <f t="shared" si="14"/>
        <v>8619.1696773055119</v>
      </c>
      <c r="AC117" s="17">
        <f t="shared" si="14"/>
        <v>7250.0614945041198</v>
      </c>
      <c r="AD117" s="17">
        <f t="shared" si="14"/>
        <v>7343.3979025626595</v>
      </c>
      <c r="AE117" s="17">
        <f t="shared" si="14"/>
        <v>8899.4011310241258</v>
      </c>
      <c r="AF117" s="17">
        <f t="shared" si="14"/>
        <v>7544.3045209086649</v>
      </c>
      <c r="AG117" s="17">
        <f t="shared" si="14"/>
        <v>7652.353080287432</v>
      </c>
      <c r="AH117" s="17">
        <f t="shared" ref="AH117:BA117" si="15">SUM(AH111:AH116)</f>
        <v>9223.8040676351375</v>
      </c>
      <c r="AI117" s="17">
        <f t="shared" si="15"/>
        <v>7884.9276043502268</v>
      </c>
      <c r="AJ117" s="17">
        <f t="shared" si="15"/>
        <v>8010.0073179010724</v>
      </c>
      <c r="AK117" s="17">
        <f t="shared" si="15"/>
        <v>10099.34101712946</v>
      </c>
      <c r="AL117" s="17">
        <f t="shared" si="15"/>
        <v>8779.2414013192647</v>
      </c>
      <c r="AM117" s="17">
        <f t="shared" si="15"/>
        <v>8924.0368047185621</v>
      </c>
      <c r="AN117" s="17">
        <f t="shared" si="15"/>
        <v>10650.711978287822</v>
      </c>
      <c r="AO117" s="17">
        <f t="shared" si="15"/>
        <v>9235.7089105355481</v>
      </c>
      <c r="AP117" s="17">
        <f t="shared" si="15"/>
        <v>9403.327689395659</v>
      </c>
      <c r="AQ117" s="17">
        <f t="shared" si="15"/>
        <v>11653.967407198776</v>
      </c>
      <c r="AR117" s="17">
        <f t="shared" si="15"/>
        <v>10264.127110892046</v>
      </c>
      <c r="AS117" s="17">
        <f t="shared" si="15"/>
        <v>10458.166799769982</v>
      </c>
      <c r="AT117" s="17">
        <f t="shared" si="15"/>
        <v>12236.548473091814</v>
      </c>
      <c r="AU117" s="17">
        <f t="shared" si="15"/>
        <v>10875.83723007974</v>
      </c>
      <c r="AV117" s="17">
        <f t="shared" si="15"/>
        <v>11100.462424917059</v>
      </c>
      <c r="AW117" s="17">
        <f t="shared" si="15"/>
        <v>12910.958879496247</v>
      </c>
      <c r="AX117" s="17">
        <f t="shared" si="15"/>
        <v>11583.968156804392</v>
      </c>
      <c r="AY117" s="17">
        <f t="shared" si="15"/>
        <v>11843.999897977945</v>
      </c>
      <c r="AZ117" s="17">
        <f t="shared" si="15"/>
        <v>13817.644426210178</v>
      </c>
      <c r="BA117" s="17">
        <f t="shared" si="15"/>
        <v>12403.718220854018</v>
      </c>
    </row>
    <row r="119" spans="1:53" x14ac:dyDescent="0.35">
      <c r="A119" s="2" t="s">
        <v>232</v>
      </c>
    </row>
    <row r="120" spans="1:53" x14ac:dyDescent="0.35">
      <c r="A120" s="3" t="s">
        <v>406</v>
      </c>
      <c r="B120" s="19">
        <f>B38*Inputs!$B$130/12</f>
        <v>500</v>
      </c>
      <c r="C120" s="19">
        <f>C38*Inputs!$B$130/12</f>
        <v>500</v>
      </c>
      <c r="D120" s="19">
        <f>D38*Inputs!$B$130/12</f>
        <v>500</v>
      </c>
      <c r="E120" s="19">
        <f>E38*Inputs!$B$130/12</f>
        <v>500</v>
      </c>
      <c r="F120" s="19">
        <f>F38*Inputs!$B$130/12</f>
        <v>500</v>
      </c>
      <c r="G120" s="19">
        <f>G38*Inputs!$B$130/12</f>
        <v>500</v>
      </c>
      <c r="H120" s="19">
        <f>H38*Inputs!$B$130/12</f>
        <v>666.66666666666663</v>
      </c>
      <c r="I120" s="19">
        <f>I38*Inputs!$B$130/12</f>
        <v>833.33333333333337</v>
      </c>
      <c r="J120" s="19">
        <f>J38*Inputs!$B$130/12</f>
        <v>1000</v>
      </c>
      <c r="K120" s="19">
        <f>K38*Inputs!$B$130/12</f>
        <v>1333.3333333333333</v>
      </c>
      <c r="L120" s="19">
        <f>L38*Inputs!$B$130/12</f>
        <v>1500</v>
      </c>
      <c r="M120" s="19">
        <f>M38*Inputs!$B$130/12</f>
        <v>1666.6666666666667</v>
      </c>
      <c r="N120" s="19">
        <f>N38*Inputs!$B$130/12</f>
        <v>1833.3333333333333</v>
      </c>
      <c r="O120" s="19">
        <f>O38*Inputs!$B$130/12</f>
        <v>2166.6666666666665</v>
      </c>
      <c r="P120" s="19">
        <f>P38*Inputs!$B$130/12</f>
        <v>2166.6666666666665</v>
      </c>
      <c r="Q120" s="19">
        <f>Q38*Inputs!$B$130/12</f>
        <v>2166.6666666666665</v>
      </c>
      <c r="R120" s="19">
        <f>R38*Inputs!$B$130/12</f>
        <v>2166.6666666666665</v>
      </c>
      <c r="S120" s="19">
        <f>S38*Inputs!$B$130/12</f>
        <v>2666.6666666666665</v>
      </c>
      <c r="T120" s="19">
        <f>T38*Inputs!$B$130/12</f>
        <v>2666.6666666666665</v>
      </c>
      <c r="U120" s="19">
        <f>U38*Inputs!$B$130/12</f>
        <v>2833.3333333333335</v>
      </c>
      <c r="V120" s="19">
        <f>V38*Inputs!$B$130/12</f>
        <v>2833.3333333333335</v>
      </c>
      <c r="W120" s="19">
        <f>W38*Inputs!$B$130/12</f>
        <v>3000</v>
      </c>
      <c r="X120" s="19">
        <f>X38*Inputs!$B$130/12</f>
        <v>3000</v>
      </c>
      <c r="Y120" s="19">
        <f>Y38*Inputs!$B$130/12</f>
        <v>3333.3333333333335</v>
      </c>
      <c r="Z120" s="19">
        <f>Z38*Inputs!$B$130/12</f>
        <v>3333.3333333333335</v>
      </c>
      <c r="AA120" s="19">
        <f>AA38*Inputs!$B$130/12</f>
        <v>3500</v>
      </c>
      <c r="AB120" s="19">
        <f>AB38*Inputs!$B$130/12</f>
        <v>3500</v>
      </c>
      <c r="AC120" s="19">
        <f>AC38*Inputs!$B$130/12</f>
        <v>3666.6666666666665</v>
      </c>
      <c r="AD120" s="19">
        <f>AD38*Inputs!$B$130/12</f>
        <v>3666.6666666666665</v>
      </c>
      <c r="AE120" s="19">
        <f>AE38*Inputs!$B$130/12</f>
        <v>4000</v>
      </c>
      <c r="AF120" s="19">
        <f>AF38*Inputs!$B$130/12</f>
        <v>4000</v>
      </c>
      <c r="AG120" s="19">
        <f>AG38*Inputs!$B$130/12</f>
        <v>4166.666666666667</v>
      </c>
      <c r="AH120" s="19">
        <f>AH38*Inputs!$B$130/12</f>
        <v>4166.666666666667</v>
      </c>
      <c r="AI120" s="19">
        <f>AI38*Inputs!$B$130/12</f>
        <v>4333.333333333333</v>
      </c>
      <c r="AJ120" s="19">
        <f>AJ38*Inputs!$B$130/12</f>
        <v>4333.333333333333</v>
      </c>
      <c r="AK120" s="19">
        <f>AK38*Inputs!$B$130/12</f>
        <v>4666.666666666667</v>
      </c>
      <c r="AL120" s="19">
        <f>AL38*Inputs!$B$130/12</f>
        <v>4666.666666666667</v>
      </c>
      <c r="AM120" s="19">
        <f>AM38*Inputs!$B$130/12</f>
        <v>4833.333333333333</v>
      </c>
      <c r="AN120" s="19">
        <f>AN38*Inputs!$B$130/12</f>
        <v>4833.333333333333</v>
      </c>
      <c r="AO120" s="19">
        <f>AO38*Inputs!$B$130/12</f>
        <v>5166.666666666667</v>
      </c>
      <c r="AP120" s="19">
        <f>AP38*Inputs!$B$130/12</f>
        <v>5166.666666666667</v>
      </c>
      <c r="AQ120" s="19">
        <f>AQ38*Inputs!$B$130/12</f>
        <v>5500</v>
      </c>
      <c r="AR120" s="19">
        <f>AR38*Inputs!$B$130/12</f>
        <v>5500</v>
      </c>
      <c r="AS120" s="19">
        <f>AS38*Inputs!$B$130/12</f>
        <v>5833.333333333333</v>
      </c>
      <c r="AT120" s="19">
        <f>AT38*Inputs!$B$130/12</f>
        <v>5833.333333333333</v>
      </c>
      <c r="AU120" s="19">
        <f>AU38*Inputs!$B$130/12</f>
        <v>5833.333333333333</v>
      </c>
      <c r="AV120" s="19">
        <f>AV38*Inputs!$B$130/12</f>
        <v>5833.333333333333</v>
      </c>
      <c r="AW120" s="19">
        <f>AW38*Inputs!$B$130/12</f>
        <v>5833.333333333333</v>
      </c>
      <c r="AX120" s="19">
        <f>AX38*Inputs!$B$130/12</f>
        <v>5833.333333333333</v>
      </c>
      <c r="AY120" s="19">
        <f>AY38*Inputs!$B$130/12</f>
        <v>5833.333333333333</v>
      </c>
      <c r="AZ120" s="19">
        <f>AZ38*Inputs!$B$130/12</f>
        <v>5833.333333333333</v>
      </c>
      <c r="BA120" s="19">
        <f>BA38*Inputs!$B$130/12</f>
        <v>5833.333333333333</v>
      </c>
    </row>
    <row r="121" spans="1:53" x14ac:dyDescent="0.35">
      <c r="A121" s="3" t="s">
        <v>407</v>
      </c>
      <c r="B121" s="19">
        <f>B38*Inputs!$B$131/12</f>
        <v>375</v>
      </c>
      <c r="C121" s="19">
        <f>C38*Inputs!$B$131/12</f>
        <v>375</v>
      </c>
      <c r="D121" s="19">
        <f>D38*Inputs!$B$131/12</f>
        <v>375</v>
      </c>
      <c r="E121" s="19">
        <f>E38*Inputs!$B$131/12</f>
        <v>375</v>
      </c>
      <c r="F121" s="19">
        <f>F38*Inputs!$B$131/12</f>
        <v>375</v>
      </c>
      <c r="G121" s="19">
        <f>G38*Inputs!$B$131/12</f>
        <v>375</v>
      </c>
      <c r="H121" s="19">
        <f>H38*Inputs!$B$131/12</f>
        <v>500</v>
      </c>
      <c r="I121" s="19">
        <f>I38*Inputs!$B$131/12</f>
        <v>625</v>
      </c>
      <c r="J121" s="19">
        <f>J38*Inputs!$B$131/12</f>
        <v>750</v>
      </c>
      <c r="K121" s="19">
        <f>K38*Inputs!$B$131/12</f>
        <v>1000</v>
      </c>
      <c r="L121" s="19">
        <f>L38*Inputs!$B$131/12</f>
        <v>1125</v>
      </c>
      <c r="M121" s="19">
        <f>M38*Inputs!$B$131/12</f>
        <v>1250</v>
      </c>
      <c r="N121" s="19">
        <f>N38*Inputs!$B$131/12</f>
        <v>1375</v>
      </c>
      <c r="O121" s="19">
        <f>O38*Inputs!$B$131/12</f>
        <v>1625</v>
      </c>
      <c r="P121" s="19">
        <f>P38*Inputs!$B$131/12</f>
        <v>1625</v>
      </c>
      <c r="Q121" s="19">
        <f>Q38*Inputs!$B$131/12</f>
        <v>1625</v>
      </c>
      <c r="R121" s="19">
        <f>R38*Inputs!$B$131/12</f>
        <v>1625</v>
      </c>
      <c r="S121" s="19">
        <f>S38*Inputs!$B$131/12</f>
        <v>2000</v>
      </c>
      <c r="T121" s="19">
        <f>T38*Inputs!$B$131/12</f>
        <v>2000</v>
      </c>
      <c r="U121" s="19">
        <f>U38*Inputs!$B$131/12</f>
        <v>2125</v>
      </c>
      <c r="V121" s="19">
        <f>V38*Inputs!$B$131/12</f>
        <v>2125</v>
      </c>
      <c r="W121" s="19">
        <f>W38*Inputs!$B$131/12</f>
        <v>2250</v>
      </c>
      <c r="X121" s="19">
        <f>X38*Inputs!$B$131/12</f>
        <v>2250</v>
      </c>
      <c r="Y121" s="19">
        <f>Y38*Inputs!$B$131/12</f>
        <v>2500</v>
      </c>
      <c r="Z121" s="19">
        <f>Z38*Inputs!$B$131/12</f>
        <v>2500</v>
      </c>
      <c r="AA121" s="19">
        <f>AA38*Inputs!$B$131/12</f>
        <v>2625</v>
      </c>
      <c r="AB121" s="19">
        <f>AB38*Inputs!$B$131/12</f>
        <v>2625</v>
      </c>
      <c r="AC121" s="19">
        <f>AC38*Inputs!$B$131/12</f>
        <v>2750</v>
      </c>
      <c r="AD121" s="19">
        <f>AD38*Inputs!$B$131/12</f>
        <v>2750</v>
      </c>
      <c r="AE121" s="19">
        <f>AE38*Inputs!$B$131/12</f>
        <v>3000</v>
      </c>
      <c r="AF121" s="19">
        <f>AF38*Inputs!$B$131/12</f>
        <v>3000</v>
      </c>
      <c r="AG121" s="19">
        <f>AG38*Inputs!$B$131/12</f>
        <v>3125</v>
      </c>
      <c r="AH121" s="19">
        <f>AH38*Inputs!$B$131/12</f>
        <v>3125</v>
      </c>
      <c r="AI121" s="19">
        <f>AI38*Inputs!$B$131/12</f>
        <v>3250</v>
      </c>
      <c r="AJ121" s="19">
        <f>AJ38*Inputs!$B$131/12</f>
        <v>3250</v>
      </c>
      <c r="AK121" s="19">
        <f>AK38*Inputs!$B$131/12</f>
        <v>3500</v>
      </c>
      <c r="AL121" s="19">
        <f>AL38*Inputs!$B$131/12</f>
        <v>3500</v>
      </c>
      <c r="AM121" s="19">
        <f>AM38*Inputs!$B$131/12</f>
        <v>3625</v>
      </c>
      <c r="AN121" s="19">
        <f>AN38*Inputs!$B$131/12</f>
        <v>3625</v>
      </c>
      <c r="AO121" s="19">
        <f>AO38*Inputs!$B$131/12</f>
        <v>3875</v>
      </c>
      <c r="AP121" s="19">
        <f>AP38*Inputs!$B$131/12</f>
        <v>3875</v>
      </c>
      <c r="AQ121" s="19">
        <f>AQ38*Inputs!$B$131/12</f>
        <v>4125</v>
      </c>
      <c r="AR121" s="19">
        <f>AR38*Inputs!$B$131/12</f>
        <v>4125</v>
      </c>
      <c r="AS121" s="19">
        <f>AS38*Inputs!$B$131/12</f>
        <v>4375</v>
      </c>
      <c r="AT121" s="19">
        <f>AT38*Inputs!$B$131/12</f>
        <v>4375</v>
      </c>
      <c r="AU121" s="19">
        <f>AU38*Inputs!$B$131/12</f>
        <v>4375</v>
      </c>
      <c r="AV121" s="19">
        <f>AV38*Inputs!$B$131/12</f>
        <v>4375</v>
      </c>
      <c r="AW121" s="19">
        <f>AW38*Inputs!$B$131/12</f>
        <v>4375</v>
      </c>
      <c r="AX121" s="19">
        <f>AX38*Inputs!$B$131/12</f>
        <v>4375</v>
      </c>
      <c r="AY121" s="19">
        <f>AY38*Inputs!$B$131/12</f>
        <v>4375</v>
      </c>
      <c r="AZ121" s="19">
        <f>AZ38*Inputs!$B$131/12</f>
        <v>4375</v>
      </c>
      <c r="BA121" s="19">
        <f>BA38*Inputs!$B$131/12</f>
        <v>4375</v>
      </c>
    </row>
    <row r="122" spans="1:53" x14ac:dyDescent="0.35">
      <c r="A122" s="3" t="s">
        <v>408</v>
      </c>
      <c r="B122" s="19">
        <f>B38*Inputs!$B$132/12</f>
        <v>250</v>
      </c>
      <c r="C122" s="19">
        <f>C38*Inputs!$B$132/12</f>
        <v>250</v>
      </c>
      <c r="D122" s="19">
        <f>D38*Inputs!$B$132/12</f>
        <v>250</v>
      </c>
      <c r="E122" s="19">
        <f>E38*Inputs!$B$132/12</f>
        <v>250</v>
      </c>
      <c r="F122" s="19">
        <f>F38*Inputs!$B$132/12</f>
        <v>250</v>
      </c>
      <c r="G122" s="19">
        <f>G38*Inputs!$B$132/12</f>
        <v>250</v>
      </c>
      <c r="H122" s="19">
        <f>H38*Inputs!$B$132/12</f>
        <v>333.33333333333331</v>
      </c>
      <c r="I122" s="19">
        <f>I38*Inputs!$B$132/12</f>
        <v>416.66666666666669</v>
      </c>
      <c r="J122" s="19">
        <f>J38*Inputs!$B$132/12</f>
        <v>500</v>
      </c>
      <c r="K122" s="19">
        <f>K38*Inputs!$B$132/12</f>
        <v>666.66666666666663</v>
      </c>
      <c r="L122" s="19">
        <f>L38*Inputs!$B$132/12</f>
        <v>750</v>
      </c>
      <c r="M122" s="19">
        <f>M38*Inputs!$B$132/12</f>
        <v>833.33333333333337</v>
      </c>
      <c r="N122" s="19">
        <f>N38*Inputs!$B$132/12</f>
        <v>916.66666666666663</v>
      </c>
      <c r="O122" s="19">
        <f>O38*Inputs!$B$132/12</f>
        <v>1083.3333333333333</v>
      </c>
      <c r="P122" s="19">
        <f>P38*Inputs!$B$132/12</f>
        <v>1083.3333333333333</v>
      </c>
      <c r="Q122" s="19">
        <f>Q38*Inputs!$B$132/12</f>
        <v>1083.3333333333333</v>
      </c>
      <c r="R122" s="19">
        <f>R38*Inputs!$B$132/12</f>
        <v>1083.3333333333333</v>
      </c>
      <c r="S122" s="19">
        <f>S38*Inputs!$B$132/12</f>
        <v>1333.3333333333333</v>
      </c>
      <c r="T122" s="19">
        <f>T38*Inputs!$B$132/12</f>
        <v>1333.3333333333333</v>
      </c>
      <c r="U122" s="19">
        <f>U38*Inputs!$B$132/12</f>
        <v>1416.6666666666667</v>
      </c>
      <c r="V122" s="19">
        <f>V38*Inputs!$B$132/12</f>
        <v>1416.6666666666667</v>
      </c>
      <c r="W122" s="19">
        <f>W38*Inputs!$B$132/12</f>
        <v>1500</v>
      </c>
      <c r="X122" s="19">
        <f>X38*Inputs!$B$132/12</f>
        <v>1500</v>
      </c>
      <c r="Y122" s="19">
        <f>Y38*Inputs!$B$132/12</f>
        <v>1666.6666666666667</v>
      </c>
      <c r="Z122" s="19">
        <f>Z38*Inputs!$B$132/12</f>
        <v>1666.6666666666667</v>
      </c>
      <c r="AA122" s="19">
        <f>AA38*Inputs!$B$132/12</f>
        <v>1750</v>
      </c>
      <c r="AB122" s="19">
        <f>AB38*Inputs!$B$132/12</f>
        <v>1750</v>
      </c>
      <c r="AC122" s="19">
        <f>AC38*Inputs!$B$132/12</f>
        <v>1833.3333333333333</v>
      </c>
      <c r="AD122" s="19">
        <f>AD38*Inputs!$B$132/12</f>
        <v>1833.3333333333333</v>
      </c>
      <c r="AE122" s="19">
        <f>AE38*Inputs!$B$132/12</f>
        <v>2000</v>
      </c>
      <c r="AF122" s="19">
        <f>AF38*Inputs!$B$132/12</f>
        <v>2000</v>
      </c>
      <c r="AG122" s="19">
        <f>AG38*Inputs!$B$132/12</f>
        <v>2083.3333333333335</v>
      </c>
      <c r="AH122" s="19">
        <f>AH38*Inputs!$B$132/12</f>
        <v>2083.3333333333335</v>
      </c>
      <c r="AI122" s="19">
        <f>AI38*Inputs!$B$132/12</f>
        <v>2166.6666666666665</v>
      </c>
      <c r="AJ122" s="19">
        <f>AJ38*Inputs!$B$132/12</f>
        <v>2166.6666666666665</v>
      </c>
      <c r="AK122" s="19">
        <f>AK38*Inputs!$B$132/12</f>
        <v>2333.3333333333335</v>
      </c>
      <c r="AL122" s="19">
        <f>AL38*Inputs!$B$132/12</f>
        <v>2333.3333333333335</v>
      </c>
      <c r="AM122" s="19">
        <f>AM38*Inputs!$B$132/12</f>
        <v>2416.6666666666665</v>
      </c>
      <c r="AN122" s="19">
        <f>AN38*Inputs!$B$132/12</f>
        <v>2416.6666666666665</v>
      </c>
      <c r="AO122" s="19">
        <f>AO38*Inputs!$B$132/12</f>
        <v>2583.3333333333335</v>
      </c>
      <c r="AP122" s="19">
        <f>AP38*Inputs!$B$132/12</f>
        <v>2583.3333333333335</v>
      </c>
      <c r="AQ122" s="19">
        <f>AQ38*Inputs!$B$132/12</f>
        <v>2750</v>
      </c>
      <c r="AR122" s="19">
        <f>AR38*Inputs!$B$132/12</f>
        <v>2750</v>
      </c>
      <c r="AS122" s="19">
        <f>AS38*Inputs!$B$132/12</f>
        <v>2916.6666666666665</v>
      </c>
      <c r="AT122" s="19">
        <f>AT38*Inputs!$B$132/12</f>
        <v>2916.6666666666665</v>
      </c>
      <c r="AU122" s="19">
        <f>AU38*Inputs!$B$132/12</f>
        <v>2916.6666666666665</v>
      </c>
      <c r="AV122" s="19">
        <f>AV38*Inputs!$B$132/12</f>
        <v>2916.6666666666665</v>
      </c>
      <c r="AW122" s="19">
        <f>AW38*Inputs!$B$132/12</f>
        <v>2916.6666666666665</v>
      </c>
      <c r="AX122" s="19">
        <f>AX38*Inputs!$B$132/12</f>
        <v>2916.6666666666665</v>
      </c>
      <c r="AY122" s="19">
        <f>AY38*Inputs!$B$132/12</f>
        <v>2916.6666666666665</v>
      </c>
      <c r="AZ122" s="19">
        <f>AZ38*Inputs!$B$132/12</f>
        <v>2916.6666666666665</v>
      </c>
      <c r="BA122" s="19">
        <f>BA38*Inputs!$B$132/12</f>
        <v>2916.6666666666665</v>
      </c>
    </row>
    <row r="123" spans="1:53" x14ac:dyDescent="0.35">
      <c r="A123" s="3" t="s">
        <v>409</v>
      </c>
      <c r="B123" s="19">
        <f>B38*(Inputs!$B$91+Inputs!$B$92)</f>
        <v>9900</v>
      </c>
      <c r="C123" s="19">
        <f>MAX(0,C38-B38)*(Inputs!$B$91+Inputs!$B$92)</f>
        <v>0</v>
      </c>
      <c r="D123" s="19">
        <f>MAX(0,D38-C38)*(Inputs!$B$91+Inputs!$B$92)</f>
        <v>0</v>
      </c>
      <c r="E123" s="19">
        <f>MAX(0,E38-D38)*(Inputs!$B$91+Inputs!$B$92)</f>
        <v>0</v>
      </c>
      <c r="F123" s="19">
        <f>MAX(0,F38-E38)*(Inputs!$B$91+Inputs!$B$92)</f>
        <v>0</v>
      </c>
      <c r="G123" s="19">
        <f>MAX(0,G38-F38)*(Inputs!$B$91+Inputs!$B$92)</f>
        <v>0</v>
      </c>
      <c r="H123" s="19">
        <f>MAX(0,H38-G38)*(Inputs!$B$91+Inputs!$B$92)</f>
        <v>3300</v>
      </c>
      <c r="I123" s="19">
        <f>MAX(0,I38-H38)*(Inputs!$B$91+Inputs!$B$92)</f>
        <v>3300</v>
      </c>
      <c r="J123" s="19">
        <f>MAX(0,J38-I38)*(Inputs!$B$91+Inputs!$B$92)</f>
        <v>3300</v>
      </c>
      <c r="K123" s="19">
        <f>MAX(0,K38-J38)*(Inputs!$B$91+Inputs!$B$92)</f>
        <v>6600</v>
      </c>
      <c r="L123" s="19">
        <f>MAX(0,L38-K38)*(Inputs!$B$91+Inputs!$B$92)</f>
        <v>3300</v>
      </c>
      <c r="M123" s="19">
        <f>MAX(0,M38-L38)*(Inputs!$B$91+Inputs!$B$92)</f>
        <v>3300</v>
      </c>
      <c r="N123" s="19">
        <f>MAX(0,N38-M38)*(Inputs!$B$91+Inputs!$B$92)</f>
        <v>3300</v>
      </c>
      <c r="O123" s="19">
        <f>MAX(0,O38-N38)*(Inputs!$B$91+Inputs!$B$92)</f>
        <v>6600</v>
      </c>
      <c r="P123" s="19">
        <f>MAX(0,P38-O38)*(Inputs!$B$91+Inputs!$B$92)</f>
        <v>0</v>
      </c>
      <c r="Q123" s="19">
        <f>MAX(0,Q38-P38)*(Inputs!$B$91+Inputs!$B$92)</f>
        <v>0</v>
      </c>
      <c r="R123" s="19">
        <f>MAX(0,R38-Q38)*(Inputs!$B$91+Inputs!$B$92)</f>
        <v>0</v>
      </c>
      <c r="S123" s="19">
        <f>MAX(0,S38-R38)*(Inputs!$B$91+Inputs!$B$92)</f>
        <v>9900</v>
      </c>
      <c r="T123" s="19">
        <f>MAX(0,T38-S38)*(Inputs!$B$91+Inputs!$B$92)</f>
        <v>0</v>
      </c>
      <c r="U123" s="19">
        <f>MAX(0,U38-T38)*(Inputs!$B$91+Inputs!$B$92)</f>
        <v>3300</v>
      </c>
      <c r="V123" s="19">
        <f>MAX(0,V38-U38)*(Inputs!$B$91+Inputs!$B$92)</f>
        <v>0</v>
      </c>
      <c r="W123" s="19">
        <f>MAX(0,W38-V38)*(Inputs!$B$91+Inputs!$B$92)</f>
        <v>3300</v>
      </c>
      <c r="X123" s="19">
        <f>MAX(0,X38-W38)*(Inputs!$B$91+Inputs!$B$92)</f>
        <v>0</v>
      </c>
      <c r="Y123" s="19">
        <f>MAX(0,Y38-X38)*(Inputs!$B$91+Inputs!$B$92)</f>
        <v>6600</v>
      </c>
      <c r="Z123" s="19">
        <f>MAX(0,Z38-Y38)*(Inputs!$B$91+Inputs!$B$92)</f>
        <v>0</v>
      </c>
      <c r="AA123" s="19">
        <f>MAX(0,AA38-Z38)*(Inputs!$B$91+Inputs!$B$92)</f>
        <v>3300</v>
      </c>
      <c r="AB123" s="19">
        <f>MAX(0,AB38-AA38)*(Inputs!$B$91+Inputs!$B$92)</f>
        <v>0</v>
      </c>
      <c r="AC123" s="19">
        <f>MAX(0,AC38-AB38)*(Inputs!$B$91+Inputs!$B$92)</f>
        <v>3300</v>
      </c>
      <c r="AD123" s="19">
        <f>MAX(0,AD38-AC38)*(Inputs!$B$91+Inputs!$B$92)</f>
        <v>0</v>
      </c>
      <c r="AE123" s="19">
        <f>MAX(0,AE38-AD38)*(Inputs!$B$91+Inputs!$B$92)</f>
        <v>6600</v>
      </c>
      <c r="AF123" s="19">
        <f>MAX(0,AF38-AE38)*(Inputs!$B$91+Inputs!$B$92)</f>
        <v>0</v>
      </c>
      <c r="AG123" s="19">
        <f>MAX(0,AG38-AF38)*(Inputs!$B$91+Inputs!$B$92)</f>
        <v>3300</v>
      </c>
      <c r="AH123" s="19">
        <f>MAX(0,AH38-AG38)*(Inputs!$B$91+Inputs!$B$92)</f>
        <v>0</v>
      </c>
      <c r="AI123" s="19">
        <f>MAX(0,AI38-AH38)*(Inputs!$B$91+Inputs!$B$92)</f>
        <v>3300</v>
      </c>
      <c r="AJ123" s="19">
        <f>MAX(0,AJ38-AI38)*(Inputs!$B$91+Inputs!$B$92)</f>
        <v>0</v>
      </c>
      <c r="AK123" s="19">
        <f>MAX(0,AK38-AJ38)*(Inputs!$B$91+Inputs!$B$92)</f>
        <v>6600</v>
      </c>
      <c r="AL123" s="19">
        <f>MAX(0,AL38-AK38)*(Inputs!$B$91+Inputs!$B$92)</f>
        <v>0</v>
      </c>
      <c r="AM123" s="19">
        <f>MAX(0,AM38-AL38)*(Inputs!$B$91+Inputs!$B$92)</f>
        <v>3300</v>
      </c>
      <c r="AN123" s="19">
        <f>MAX(0,AN38-AM38)*(Inputs!$B$91+Inputs!$B$92)</f>
        <v>0</v>
      </c>
      <c r="AO123" s="19">
        <f>MAX(0,AO38-AN38)*(Inputs!$B$91+Inputs!$B$92)</f>
        <v>6600</v>
      </c>
      <c r="AP123" s="19">
        <f>MAX(0,AP38-AO38)*(Inputs!$B$91+Inputs!$B$92)</f>
        <v>0</v>
      </c>
      <c r="AQ123" s="19">
        <f>MAX(0,AQ38-AP38)*(Inputs!$B$91+Inputs!$B$92)</f>
        <v>6600</v>
      </c>
      <c r="AR123" s="19">
        <f>MAX(0,AR38-AQ38)*(Inputs!$B$91+Inputs!$B$92)</f>
        <v>0</v>
      </c>
      <c r="AS123" s="19">
        <f>MAX(0,AS38-AR38)*(Inputs!$B$91+Inputs!$B$92)</f>
        <v>6600</v>
      </c>
      <c r="AT123" s="19">
        <f>MAX(0,AT38-AS38)*(Inputs!$B$91+Inputs!$B$92)</f>
        <v>0</v>
      </c>
      <c r="AU123" s="19">
        <f>MAX(0,AU38-AT38)*(Inputs!$B$91+Inputs!$B$92)</f>
        <v>0</v>
      </c>
      <c r="AV123" s="19">
        <f>MAX(0,AV38-AU38)*(Inputs!$B$91+Inputs!$B$92)</f>
        <v>0</v>
      </c>
      <c r="AW123" s="19">
        <f>MAX(0,AW38-AV38)*(Inputs!$B$91+Inputs!$B$92)</f>
        <v>0</v>
      </c>
      <c r="AX123" s="19">
        <f>MAX(0,AX38-AW38)*(Inputs!$B$91+Inputs!$B$92)</f>
        <v>0</v>
      </c>
      <c r="AY123" s="19">
        <f>MAX(0,AY38-AX38)*(Inputs!$B$91+Inputs!$B$92)</f>
        <v>0</v>
      </c>
      <c r="AZ123" s="19">
        <f>MAX(0,AZ38-AY38)*(Inputs!$B$91+Inputs!$B$92)</f>
        <v>0</v>
      </c>
      <c r="BA123" s="19">
        <f>MAX(0,BA38-AZ38)*(Inputs!$B$91+Inputs!$B$92)</f>
        <v>0</v>
      </c>
    </row>
    <row r="124" spans="1:53" x14ac:dyDescent="0.35">
      <c r="A124" s="3" t="s">
        <v>410</v>
      </c>
      <c r="B124" s="19">
        <f>Inputs!$B$94/12</f>
        <v>166.66666666666666</v>
      </c>
      <c r="C124" s="19">
        <f>Inputs!$B$94/12</f>
        <v>166.66666666666666</v>
      </c>
      <c r="D124" s="19">
        <f>Inputs!$B$94/12</f>
        <v>166.66666666666666</v>
      </c>
      <c r="E124" s="19">
        <f>Inputs!$B$94/12</f>
        <v>166.66666666666666</v>
      </c>
      <c r="F124" s="19">
        <f>Inputs!$B$94/12</f>
        <v>166.66666666666666</v>
      </c>
      <c r="G124" s="19">
        <f>Inputs!$B$94/12</f>
        <v>166.66666666666666</v>
      </c>
      <c r="H124" s="19">
        <f>Inputs!$B$94/12</f>
        <v>166.66666666666666</v>
      </c>
      <c r="I124" s="19">
        <f>Inputs!$B$94/12</f>
        <v>166.66666666666666</v>
      </c>
      <c r="J124" s="19">
        <f>Inputs!$B$94/12</f>
        <v>166.66666666666666</v>
      </c>
      <c r="K124" s="19">
        <f>Inputs!$B$94/12</f>
        <v>166.66666666666666</v>
      </c>
      <c r="L124" s="19">
        <f>Inputs!$B$94/12</f>
        <v>166.66666666666666</v>
      </c>
      <c r="M124" s="19">
        <f>Inputs!$B$94/12</f>
        <v>166.66666666666666</v>
      </c>
      <c r="N124" s="19">
        <f>Inputs!$B$94/12</f>
        <v>166.66666666666666</v>
      </c>
      <c r="O124" s="19">
        <f>Inputs!$B$94/12</f>
        <v>166.66666666666666</v>
      </c>
      <c r="P124" s="19">
        <f>Inputs!$B$94/12</f>
        <v>166.66666666666666</v>
      </c>
      <c r="Q124" s="19">
        <f>Inputs!$B$94/12</f>
        <v>166.66666666666666</v>
      </c>
      <c r="R124" s="19">
        <f>Inputs!$B$94/12</f>
        <v>166.66666666666666</v>
      </c>
      <c r="S124" s="19">
        <f>Inputs!$B$94/12</f>
        <v>166.66666666666666</v>
      </c>
      <c r="T124" s="19">
        <f>Inputs!$B$94/12</f>
        <v>166.66666666666666</v>
      </c>
      <c r="U124" s="19">
        <f>Inputs!$B$94/12</f>
        <v>166.66666666666666</v>
      </c>
      <c r="V124" s="19">
        <f>Inputs!$B$94/12</f>
        <v>166.66666666666666</v>
      </c>
      <c r="W124" s="19">
        <f>Inputs!$B$94/12</f>
        <v>166.66666666666666</v>
      </c>
      <c r="X124" s="19">
        <f>Inputs!$B$94/12</f>
        <v>166.66666666666666</v>
      </c>
      <c r="Y124" s="19">
        <f>Inputs!$B$94/12</f>
        <v>166.66666666666666</v>
      </c>
      <c r="Z124" s="19">
        <f>Inputs!$B$94/12</f>
        <v>166.66666666666666</v>
      </c>
      <c r="AA124" s="19">
        <f>Inputs!$B$94/12</f>
        <v>166.66666666666666</v>
      </c>
      <c r="AB124" s="19">
        <f>Inputs!$B$94/12</f>
        <v>166.66666666666666</v>
      </c>
      <c r="AC124" s="19">
        <f>Inputs!$B$94/12</f>
        <v>166.66666666666666</v>
      </c>
      <c r="AD124" s="19">
        <f>Inputs!$B$94/12</f>
        <v>166.66666666666666</v>
      </c>
      <c r="AE124" s="19">
        <f>Inputs!$B$94/12</f>
        <v>166.66666666666666</v>
      </c>
      <c r="AF124" s="19">
        <f>Inputs!$B$94/12</f>
        <v>166.66666666666666</v>
      </c>
      <c r="AG124" s="19">
        <f>Inputs!$B$94/12</f>
        <v>166.66666666666666</v>
      </c>
      <c r="AH124" s="19">
        <f>Inputs!$B$94/12</f>
        <v>166.66666666666666</v>
      </c>
      <c r="AI124" s="19">
        <f>Inputs!$B$94/12</f>
        <v>166.66666666666666</v>
      </c>
      <c r="AJ124" s="19">
        <f>Inputs!$B$94/12</f>
        <v>166.66666666666666</v>
      </c>
      <c r="AK124" s="19">
        <f>Inputs!$B$94/12</f>
        <v>166.66666666666666</v>
      </c>
      <c r="AL124" s="19">
        <f>Inputs!$B$94/12</f>
        <v>166.66666666666666</v>
      </c>
      <c r="AM124" s="19">
        <f>Inputs!$B$94/12</f>
        <v>166.66666666666666</v>
      </c>
      <c r="AN124" s="19">
        <f>Inputs!$B$94/12</f>
        <v>166.66666666666666</v>
      </c>
      <c r="AO124" s="19">
        <f>Inputs!$B$94/12</f>
        <v>166.66666666666666</v>
      </c>
      <c r="AP124" s="19">
        <f>Inputs!$B$94/12</f>
        <v>166.66666666666666</v>
      </c>
      <c r="AQ124" s="19">
        <f>Inputs!$B$94/12</f>
        <v>166.66666666666666</v>
      </c>
      <c r="AR124" s="19">
        <f>Inputs!$B$94/12</f>
        <v>166.66666666666666</v>
      </c>
      <c r="AS124" s="19">
        <f>Inputs!$B$94/12</f>
        <v>166.66666666666666</v>
      </c>
      <c r="AT124" s="19">
        <f>Inputs!$B$94/12</f>
        <v>166.66666666666666</v>
      </c>
      <c r="AU124" s="19">
        <f>Inputs!$B$94/12</f>
        <v>166.66666666666666</v>
      </c>
      <c r="AV124" s="19">
        <f>Inputs!$B$94/12</f>
        <v>166.66666666666666</v>
      </c>
      <c r="AW124" s="19">
        <f>Inputs!$B$94/12</f>
        <v>166.66666666666666</v>
      </c>
      <c r="AX124" s="19">
        <f>Inputs!$B$94/12</f>
        <v>166.66666666666666</v>
      </c>
      <c r="AY124" s="19">
        <f>Inputs!$B$94/12</f>
        <v>166.66666666666666</v>
      </c>
      <c r="AZ124" s="19">
        <f>Inputs!$B$94/12</f>
        <v>166.66666666666666</v>
      </c>
      <c r="BA124" s="19">
        <f>Inputs!$B$94/12</f>
        <v>166.66666666666666</v>
      </c>
    </row>
    <row r="125" spans="1:53" x14ac:dyDescent="0.35">
      <c r="A125" s="2" t="s">
        <v>411</v>
      </c>
      <c r="B125" s="17">
        <f t="shared" ref="B125:AG125" si="16">SUM(B120:B124)</f>
        <v>11191.666666666666</v>
      </c>
      <c r="C125" s="17">
        <f t="shared" si="16"/>
        <v>1291.6666666666667</v>
      </c>
      <c r="D125" s="17">
        <f t="shared" si="16"/>
        <v>1291.6666666666667</v>
      </c>
      <c r="E125" s="17">
        <f t="shared" si="16"/>
        <v>1291.6666666666667</v>
      </c>
      <c r="F125" s="17">
        <f t="shared" si="16"/>
        <v>1291.6666666666667</v>
      </c>
      <c r="G125" s="17">
        <f t="shared" si="16"/>
        <v>1291.6666666666667</v>
      </c>
      <c r="H125" s="17">
        <f t="shared" si="16"/>
        <v>4966.666666666667</v>
      </c>
      <c r="I125" s="17">
        <f t="shared" si="16"/>
        <v>5341.666666666667</v>
      </c>
      <c r="J125" s="17">
        <f t="shared" si="16"/>
        <v>5716.666666666667</v>
      </c>
      <c r="K125" s="17">
        <f t="shared" si="16"/>
        <v>9766.6666666666661</v>
      </c>
      <c r="L125" s="17">
        <f t="shared" si="16"/>
        <v>6841.666666666667</v>
      </c>
      <c r="M125" s="17">
        <f t="shared" si="16"/>
        <v>7216.666666666667</v>
      </c>
      <c r="N125" s="17">
        <f t="shared" si="16"/>
        <v>7591.666666666667</v>
      </c>
      <c r="O125" s="17">
        <f t="shared" si="16"/>
        <v>11641.666666666666</v>
      </c>
      <c r="P125" s="17">
        <f t="shared" si="16"/>
        <v>5041.666666666667</v>
      </c>
      <c r="Q125" s="17">
        <f t="shared" si="16"/>
        <v>5041.666666666667</v>
      </c>
      <c r="R125" s="17">
        <f t="shared" si="16"/>
        <v>5041.666666666667</v>
      </c>
      <c r="S125" s="17">
        <f t="shared" si="16"/>
        <v>16066.666666666666</v>
      </c>
      <c r="T125" s="17">
        <f t="shared" si="16"/>
        <v>6166.6666666666661</v>
      </c>
      <c r="U125" s="17">
        <f t="shared" si="16"/>
        <v>9841.6666666666661</v>
      </c>
      <c r="V125" s="17">
        <f t="shared" si="16"/>
        <v>6541.6666666666679</v>
      </c>
      <c r="W125" s="17">
        <f t="shared" si="16"/>
        <v>10216.666666666666</v>
      </c>
      <c r="X125" s="17">
        <f t="shared" si="16"/>
        <v>6916.666666666667</v>
      </c>
      <c r="Y125" s="17">
        <f t="shared" si="16"/>
        <v>14266.666666666666</v>
      </c>
      <c r="Z125" s="17">
        <f t="shared" si="16"/>
        <v>7666.6666666666679</v>
      </c>
      <c r="AA125" s="17">
        <f t="shared" si="16"/>
        <v>11341.666666666666</v>
      </c>
      <c r="AB125" s="17">
        <f t="shared" si="16"/>
        <v>8041.666666666667</v>
      </c>
      <c r="AC125" s="17">
        <f t="shared" si="16"/>
        <v>11716.666666666666</v>
      </c>
      <c r="AD125" s="17">
        <f t="shared" si="16"/>
        <v>8416.6666666666661</v>
      </c>
      <c r="AE125" s="17">
        <f t="shared" si="16"/>
        <v>15766.666666666666</v>
      </c>
      <c r="AF125" s="17">
        <f t="shared" si="16"/>
        <v>9166.6666666666661</v>
      </c>
      <c r="AG125" s="17">
        <f t="shared" si="16"/>
        <v>12841.666666666666</v>
      </c>
      <c r="AH125" s="17">
        <f t="shared" ref="AH125:BA125" si="17">SUM(AH120:AH124)</f>
        <v>9541.6666666666661</v>
      </c>
      <c r="AI125" s="17">
        <f t="shared" si="17"/>
        <v>13216.666666666666</v>
      </c>
      <c r="AJ125" s="17">
        <f t="shared" si="17"/>
        <v>9916.6666666666661</v>
      </c>
      <c r="AK125" s="17">
        <f t="shared" si="17"/>
        <v>17266.666666666668</v>
      </c>
      <c r="AL125" s="17">
        <f t="shared" si="17"/>
        <v>10666.666666666666</v>
      </c>
      <c r="AM125" s="17">
        <f t="shared" si="17"/>
        <v>14341.666666666664</v>
      </c>
      <c r="AN125" s="17">
        <f t="shared" si="17"/>
        <v>11041.666666666664</v>
      </c>
      <c r="AO125" s="17">
        <f t="shared" si="17"/>
        <v>18391.666666666668</v>
      </c>
      <c r="AP125" s="17">
        <f t="shared" si="17"/>
        <v>11791.666666666668</v>
      </c>
      <c r="AQ125" s="17">
        <f t="shared" si="17"/>
        <v>19141.666666666668</v>
      </c>
      <c r="AR125" s="17">
        <f t="shared" si="17"/>
        <v>12541.666666666666</v>
      </c>
      <c r="AS125" s="17">
        <f t="shared" si="17"/>
        <v>19891.666666666668</v>
      </c>
      <c r="AT125" s="17">
        <f t="shared" si="17"/>
        <v>13291.666666666664</v>
      </c>
      <c r="AU125" s="17">
        <f t="shared" si="17"/>
        <v>13291.666666666664</v>
      </c>
      <c r="AV125" s="17">
        <f t="shared" si="17"/>
        <v>13291.666666666664</v>
      </c>
      <c r="AW125" s="17">
        <f t="shared" si="17"/>
        <v>13291.666666666664</v>
      </c>
      <c r="AX125" s="17">
        <f t="shared" si="17"/>
        <v>13291.666666666664</v>
      </c>
      <c r="AY125" s="17">
        <f t="shared" si="17"/>
        <v>13291.666666666664</v>
      </c>
      <c r="AZ125" s="17">
        <f t="shared" si="17"/>
        <v>13291.666666666664</v>
      </c>
      <c r="BA125" s="17">
        <f t="shared" si="17"/>
        <v>13291.666666666664</v>
      </c>
    </row>
    <row r="127" spans="1:53" x14ac:dyDescent="0.35">
      <c r="A127" s="2" t="s">
        <v>412</v>
      </c>
    </row>
    <row r="128" spans="1:53" x14ac:dyDescent="0.35">
      <c r="A128" s="3" t="s">
        <v>413</v>
      </c>
      <c r="B128" s="16">
        <f>Revenue!B20*Inputs!$B$118</f>
        <v>0</v>
      </c>
      <c r="C128" s="16">
        <f>Revenue!C20*Inputs!$B$118</f>
        <v>0</v>
      </c>
      <c r="D128" s="16">
        <f>Revenue!D20*Inputs!$B$118</f>
        <v>0</v>
      </c>
      <c r="E128" s="16">
        <f>Revenue!E20*Inputs!$B$118</f>
        <v>0</v>
      </c>
      <c r="F128" s="16">
        <f>Revenue!F20*Inputs!$B$118</f>
        <v>0</v>
      </c>
      <c r="G128" s="16">
        <f>Revenue!G20*Inputs!$B$118</f>
        <v>0</v>
      </c>
      <c r="H128" s="16">
        <f>Revenue!H20*Inputs!$B$118</f>
        <v>0</v>
      </c>
      <c r="I128" s="16">
        <f>Revenue!I20*Inputs!$B$118</f>
        <v>0</v>
      </c>
      <c r="J128" s="16">
        <f>Revenue!J20*Inputs!$B$118</f>
        <v>125</v>
      </c>
      <c r="K128" s="16">
        <f>Revenue!K20*Inputs!$B$118</f>
        <v>125</v>
      </c>
      <c r="L128" s="16">
        <f>Revenue!L20*Inputs!$B$118</f>
        <v>125</v>
      </c>
      <c r="M128" s="16">
        <f>Revenue!M20*Inputs!$B$118</f>
        <v>125</v>
      </c>
      <c r="N128" s="16">
        <f>Revenue!N20*Inputs!$B$118</f>
        <v>135</v>
      </c>
      <c r="O128" s="16">
        <f>Revenue!O20*Inputs!$B$118</f>
        <v>135</v>
      </c>
      <c r="P128" s="16">
        <f>Revenue!P20*Inputs!$B$118</f>
        <v>135</v>
      </c>
      <c r="Q128" s="16">
        <f>Revenue!Q20*Inputs!$B$118</f>
        <v>135</v>
      </c>
      <c r="R128" s="16">
        <f>Revenue!R20*Inputs!$B$118</f>
        <v>135</v>
      </c>
      <c r="S128" s="16">
        <f>Revenue!S20*Inputs!$B$118</f>
        <v>135</v>
      </c>
      <c r="T128" s="16">
        <f>Revenue!T20*Inputs!$B$118</f>
        <v>135</v>
      </c>
      <c r="U128" s="16">
        <f>Revenue!U20*Inputs!$B$118</f>
        <v>135</v>
      </c>
      <c r="V128" s="16">
        <f>Revenue!V20*Inputs!$B$118</f>
        <v>135</v>
      </c>
      <c r="W128" s="16">
        <f>Revenue!W20*Inputs!$B$118</f>
        <v>135</v>
      </c>
      <c r="X128" s="16">
        <f>Revenue!X20*Inputs!$B$118</f>
        <v>135</v>
      </c>
      <c r="Y128" s="16">
        <f>Revenue!Y20*Inputs!$B$118</f>
        <v>472.5</v>
      </c>
      <c r="Z128" s="16">
        <f>Revenue!Z20*Inputs!$B$118</f>
        <v>510.3</v>
      </c>
      <c r="AA128" s="16">
        <f>Revenue!AA20*Inputs!$B$118</f>
        <v>510.3</v>
      </c>
      <c r="AB128" s="16">
        <f>Revenue!AB20*Inputs!$B$118</f>
        <v>874.80000000000007</v>
      </c>
      <c r="AC128" s="16">
        <f>Revenue!AC20*Inputs!$B$118</f>
        <v>874.80000000000007</v>
      </c>
      <c r="AD128" s="16">
        <f>Revenue!AD20*Inputs!$B$118</f>
        <v>874.80000000000007</v>
      </c>
      <c r="AE128" s="16">
        <f>Revenue!AE20*Inputs!$B$118</f>
        <v>1239.3000000000002</v>
      </c>
      <c r="AF128" s="16">
        <f>Revenue!AF20*Inputs!$B$118</f>
        <v>1239.3000000000002</v>
      </c>
      <c r="AG128" s="16">
        <f>Revenue!AG20*Inputs!$B$118</f>
        <v>1239.3000000000002</v>
      </c>
      <c r="AH128" s="16">
        <f>Revenue!AH20*Inputs!$B$118</f>
        <v>1603.8000000000002</v>
      </c>
      <c r="AI128" s="16">
        <f>Revenue!AI20*Inputs!$B$118</f>
        <v>1603.8000000000002</v>
      </c>
      <c r="AJ128" s="16">
        <f>Revenue!AJ20*Inputs!$B$118</f>
        <v>1603.8000000000002</v>
      </c>
      <c r="AK128" s="16">
        <f>Revenue!AK20*Inputs!$B$118</f>
        <v>1968.3000000000004</v>
      </c>
      <c r="AL128" s="16">
        <f>Revenue!AL20*Inputs!$B$118</f>
        <v>2125.7640000000006</v>
      </c>
      <c r="AM128" s="16">
        <f>Revenue!AM20*Inputs!$B$118</f>
        <v>2125.7640000000006</v>
      </c>
      <c r="AN128" s="16">
        <f>Revenue!AN20*Inputs!$B$118</f>
        <v>2519.4240000000004</v>
      </c>
      <c r="AO128" s="16">
        <f>Revenue!AO20*Inputs!$B$118</f>
        <v>2519.4240000000004</v>
      </c>
      <c r="AP128" s="16">
        <f>Revenue!AP20*Inputs!$B$118</f>
        <v>2519.4240000000004</v>
      </c>
      <c r="AQ128" s="16">
        <f>Revenue!AQ20*Inputs!$B$118</f>
        <v>2913.0840000000003</v>
      </c>
      <c r="AR128" s="16">
        <f>Revenue!AR20*Inputs!$B$118</f>
        <v>2913.0840000000003</v>
      </c>
      <c r="AS128" s="16">
        <f>Revenue!AS20*Inputs!$B$118</f>
        <v>2913.0840000000003</v>
      </c>
      <c r="AT128" s="16">
        <f>Revenue!AT20*Inputs!$B$118</f>
        <v>3306.7440000000006</v>
      </c>
      <c r="AU128" s="16">
        <f>Revenue!AU20*Inputs!$B$118</f>
        <v>3306.7440000000006</v>
      </c>
      <c r="AV128" s="16">
        <f>Revenue!AV20*Inputs!$B$118</f>
        <v>3306.7440000000006</v>
      </c>
      <c r="AW128" s="16">
        <f>Revenue!AW20*Inputs!$B$118</f>
        <v>3306.7440000000006</v>
      </c>
      <c r="AX128" s="16">
        <f>Revenue!AX20*Inputs!$B$118</f>
        <v>3571.2835200000009</v>
      </c>
      <c r="AY128" s="16">
        <f>Revenue!AY20*Inputs!$B$118</f>
        <v>3571.2835200000009</v>
      </c>
      <c r="AZ128" s="16">
        <f>Revenue!AZ20*Inputs!$B$118</f>
        <v>3996.4363200000007</v>
      </c>
      <c r="BA128" s="16">
        <f>Revenue!BA20*Inputs!$B$118</f>
        <v>3996.4363200000007</v>
      </c>
    </row>
    <row r="130" spans="1:53" x14ac:dyDescent="0.35">
      <c r="A130" s="3" t="s">
        <v>414</v>
      </c>
      <c r="B130" s="19">
        <f>(B78+B87+B94+B101+B108+B117+B125)*Inputs!$B$133</f>
        <v>3184.3333333333335</v>
      </c>
      <c r="C130" s="19">
        <f>(C78+C87+C94+C101+C108+C117+C125)*Inputs!$B$133</f>
        <v>1943.0833333333333</v>
      </c>
      <c r="D130" s="19">
        <f>(D78+D87+D94+D101+D108+D117+D125)*Inputs!$B$133</f>
        <v>1947.0208333333333</v>
      </c>
      <c r="E130" s="19">
        <f>(E78+E87+E94+E101+E108+E117+E125)*Inputs!$B$133</f>
        <v>1951.1552083333333</v>
      </c>
      <c r="F130" s="19">
        <f>(F78+F87+F94+F101+F108+F117+F125)*Inputs!$B$133</f>
        <v>2705.4963020833329</v>
      </c>
      <c r="G130" s="19">
        <f>(G78+G87+G94+G101+G108+G117+G125)*Inputs!$B$133</f>
        <v>1960.0544505208331</v>
      </c>
      <c r="H130" s="19">
        <f>(H78+H87+H94+H101+H108+H117+H125)*Inputs!$B$133</f>
        <v>2608.8405063802084</v>
      </c>
      <c r="I130" s="19">
        <f>(I78+I87+I94+I101+I108+I117+I125)*Inputs!$B$133</f>
        <v>3193.6991983658854</v>
      </c>
      <c r="J130" s="19">
        <f>(J78+J87+J94+J101+J108+J117+J125)*Inputs!$B$133</f>
        <v>3564.2258249508468</v>
      </c>
      <c r="K130" s="19">
        <f>(K78+K87+K94+K101+K108+K117+K125)*Inputs!$B$133</f>
        <v>4894.4329495317224</v>
      </c>
      <c r="L130" s="19">
        <f>(L78+L87+L94+L101+L108+L117+L125)*Inputs!$B$133</f>
        <v>5088.2087636749748</v>
      </c>
      <c r="M130" s="19">
        <f>(M78+M87+M94+M101+M108+M117+M125)*Inputs!$B$133</f>
        <v>5447.2754518587244</v>
      </c>
      <c r="N130" s="19">
        <f>(N78+N87+N94+N101+N108+N117+N125)*Inputs!$B$133</f>
        <v>6110.6600577849931</v>
      </c>
      <c r="O130" s="19">
        <f>(O78+O87+O94+O101+O108+O117+O125)*Inputs!$B$133</f>
        <v>7153.4257690075756</v>
      </c>
      <c r="P130" s="19">
        <f>(P78+P87+P94+P101+P108+P117+P125)*Inputs!$B$133</f>
        <v>6830.4969532912874</v>
      </c>
      <c r="Q130" s="19">
        <f>(Q78+Q87+Q94+Q101+Q108+Q117+Q125)*Inputs!$B$133</f>
        <v>6837.9216967891862</v>
      </c>
      <c r="R130" s="19">
        <f>(R78+R87+R94+R101+R108+R117+R125)*Inputs!$B$133</f>
        <v>7645.7176774619775</v>
      </c>
      <c r="S130" s="19">
        <f>(S78+S87+S94+S101+S108+S117+S125)*Inputs!$B$133</f>
        <v>9052.4972071684097</v>
      </c>
      <c r="T130" s="19">
        <f>(T78+T87+T94+T101+T108+T117+T125)*Inputs!$B$133</f>
        <v>8566.0922758601646</v>
      </c>
      <c r="U130" s="19">
        <f>(U78+U87+U94+U101+U108+U117+U125)*Inputs!$B$133</f>
        <v>9082.9920979865055</v>
      </c>
      <c r="V130" s="19">
        <f>(V78+V87+V94+V101+V108+V117+V125)*Inputs!$B$133</f>
        <v>8927.4681612191634</v>
      </c>
      <c r="W130" s="19">
        <f>(W78+W87+W94+W101+W108+W117+W125)*Inputs!$B$133</f>
        <v>9709.9805276134557</v>
      </c>
      <c r="X130" s="19">
        <f>(X78+X87+X94+X101+X108+X117+X125)*Inputs!$B$133</f>
        <v>9555.4278873274634</v>
      </c>
      <c r="Y130" s="19">
        <f>(Y78+Y87+Y94+Y101+Y108+Y117+Y125)*Inputs!$B$133</f>
        <v>10834.92886502717</v>
      </c>
      <c r="Z130" s="19">
        <f>(Z78+Z87+Z94+Z101+Z108+Z117+Z125)*Inputs!$B$133</f>
        <v>10885.946141611863</v>
      </c>
      <c r="AA130" s="19">
        <f>(AA78+AA87+AA94+AA101+AA108+AA117+AA125)*Inputs!$B$133</f>
        <v>11835.887141400788</v>
      </c>
      <c r="AB130" s="19">
        <f>(AB78+AB87+AB94+AB101+AB108+AB117+AB125)*Inputs!$B$133</f>
        <v>11756.48597242916</v>
      </c>
      <c r="AC130" s="19">
        <f>(AC78+AC87+AC94+AC101+AC108+AC117+AC125)*Inputs!$B$133</f>
        <v>12248.468182508952</v>
      </c>
      <c r="AD130" s="19">
        <f>(AD78+AD87+AD94+AD101+AD108+AD117+AD125)*Inputs!$B$133</f>
        <v>12097.468643717733</v>
      </c>
      <c r="AE130" s="19">
        <f>(AE78+AE87+AE94+AE101+AE108+AE117+AE125)*Inputs!$B$133</f>
        <v>13510.503502986954</v>
      </c>
      <c r="AF130" s="19">
        <f>(AF78+AF87+AF94+AF101+AF108+AF117+AF125)*Inputs!$B$133</f>
        <v>13123.039011469635</v>
      </c>
      <c r="AG130" s="19">
        <f>(AG78+AG87+AG94+AG101+AG108+AG117+AG125)*Inputs!$B$133</f>
        <v>13663.002545376448</v>
      </c>
      <c r="AH130" s="19">
        <f>(AH78+AH87+AH94+AH101+AH108+AH117+AH125)*Inputs!$B$133</f>
        <v>13587.920193478605</v>
      </c>
      <c r="AI130" s="19">
        <f>(AI78+AI87+AI94+AI101+AI108+AI117+AI125)*Inputs!$B$133</f>
        <v>14334.566848985869</v>
      </c>
      <c r="AJ130" s="19">
        <f>(AJ78+AJ87+AJ94+AJ101+AJ108+AJ117+AJ125)*Inputs!$B$133</f>
        <v>14938.328806018495</v>
      </c>
      <c r="AK130" s="19">
        <f>(AK78+AK87+AK94+AK101+AK108+AK117+AK125)*Inputs!$B$133</f>
        <v>15770.324173402754</v>
      </c>
      <c r="AL130" s="19">
        <f>(AL78+AL87+AL94+AL101+AL108+AL117+AL125)*Inputs!$B$133</f>
        <v>16049.841215406228</v>
      </c>
      <c r="AM130" s="19">
        <f>(AM78+AM87+AM94+AM101+AM108+AM117+AM125)*Inputs!$B$133</f>
        <v>16787.082869666119</v>
      </c>
      <c r="AN130" s="19">
        <f>(AN78+AN87+AN94+AN101+AN108+AN117+AN125)*Inputs!$B$133</f>
        <v>16723.620145701512</v>
      </c>
      <c r="AO130" s="19">
        <f>(AO78+AO87+AO94+AO101+AO108+AO117+AO125)*Inputs!$B$133</f>
        <v>17778.87860741367</v>
      </c>
      <c r="AP130" s="19">
        <f>(AP78+AP87+AP94+AP101+AP108+AP117+AP125)*Inputs!$B$133</f>
        <v>17474.021424242685</v>
      </c>
      <c r="AQ130" s="19">
        <f>(AQ78+AQ87+AQ94+AQ101+AQ108+AQ117+AQ125)*Inputs!$B$133</f>
        <v>19268.652444413157</v>
      </c>
      <c r="AR130" s="19">
        <f>(AR78+AR87+AR94+AR101+AR108+AR117+AR125)*Inputs!$B$133</f>
        <v>18887.640399967142</v>
      </c>
      <c r="AS130" s="19">
        <f>(AS78+AS87+AS94+AS101+AS108+AS117+AS125)*Inputs!$B$133</f>
        <v>20318.609243923831</v>
      </c>
      <c r="AT130" s="19">
        <f>(AT78+AT87+AT94+AT101+AT108+AT117+AT125)*Inputs!$B$133</f>
        <v>20097.902494922106</v>
      </c>
      <c r="AU130" s="19">
        <f>(AU78+AU87+AU94+AU101+AU108+AU117+AU125)*Inputs!$B$133</f>
        <v>20051.259808470299</v>
      </c>
      <c r="AV130" s="19">
        <f>(AV78+AV87+AV94+AV101+AV108+AV117+AV125)*Inputs!$B$133</f>
        <v>20084.953587695898</v>
      </c>
      <c r="AW130" s="19">
        <f>(AW78+AW87+AW94+AW101+AW108+AW117+AW125)*Inputs!$B$133</f>
        <v>20199.064055882773</v>
      </c>
      <c r="AX130" s="19">
        <f>(AX78+AX87+AX94+AX101+AX108+AX117+AX125)*Inputs!$B$133</f>
        <v>21030.306992010243</v>
      </c>
      <c r="AY130" s="19">
        <f>(AY78+AY87+AY94+AY101+AY108+AY117+AY125)*Inputs!$B$133</f>
        <v>21069.311753186277</v>
      </c>
      <c r="AZ130" s="19">
        <f>(AZ78+AZ87+AZ94+AZ101+AZ108+AZ117+AZ125)*Inputs!$B$133</f>
        <v>21195.297312421113</v>
      </c>
      <c r="BA130" s="19">
        <f>(BA78+BA87+BA94+BA101+BA108+BA117+BA125)*Inputs!$B$133</f>
        <v>21153.269501617688</v>
      </c>
    </row>
    <row r="132" spans="1:53" x14ac:dyDescent="0.35">
      <c r="A132" s="2" t="s">
        <v>415</v>
      </c>
      <c r="B132" s="17">
        <f t="shared" ref="B132:AG132" si="18">B78+B87+B94+B101+B108+B117+B125+B130</f>
        <v>66871</v>
      </c>
      <c r="C132" s="17">
        <f t="shared" si="18"/>
        <v>40804.75</v>
      </c>
      <c r="D132" s="17">
        <f t="shared" si="18"/>
        <v>40887.4375</v>
      </c>
      <c r="E132" s="17">
        <f t="shared" si="18"/>
        <v>40974.259374999994</v>
      </c>
      <c r="F132" s="17">
        <f t="shared" si="18"/>
        <v>56815.42234374999</v>
      </c>
      <c r="G132" s="17">
        <f t="shared" si="18"/>
        <v>41161.143460937492</v>
      </c>
      <c r="H132" s="17">
        <f t="shared" si="18"/>
        <v>54785.650633984369</v>
      </c>
      <c r="I132" s="17">
        <f t="shared" si="18"/>
        <v>67067.683165683586</v>
      </c>
      <c r="J132" s="17">
        <f t="shared" si="18"/>
        <v>74848.742323967774</v>
      </c>
      <c r="K132" s="17">
        <f t="shared" si="18"/>
        <v>102783.09194016617</v>
      </c>
      <c r="L132" s="17">
        <f t="shared" si="18"/>
        <v>106852.38403717446</v>
      </c>
      <c r="M132" s="17">
        <f t="shared" si="18"/>
        <v>114392.78448903319</v>
      </c>
      <c r="N132" s="17">
        <f t="shared" si="18"/>
        <v>128323.86121348485</v>
      </c>
      <c r="O132" s="17">
        <f t="shared" si="18"/>
        <v>150221.9411491591</v>
      </c>
      <c r="P132" s="17">
        <f t="shared" si="18"/>
        <v>143440.43601911704</v>
      </c>
      <c r="Q132" s="17">
        <f t="shared" si="18"/>
        <v>143596.3556325729</v>
      </c>
      <c r="R132" s="17">
        <f t="shared" si="18"/>
        <v>160560.07122670152</v>
      </c>
      <c r="S132" s="17">
        <f t="shared" si="18"/>
        <v>190102.4413505366</v>
      </c>
      <c r="T132" s="17">
        <f t="shared" si="18"/>
        <v>179887.93779306347</v>
      </c>
      <c r="U132" s="17">
        <f t="shared" si="18"/>
        <v>190742.83405771662</v>
      </c>
      <c r="V132" s="17">
        <f t="shared" si="18"/>
        <v>187476.83138560242</v>
      </c>
      <c r="W132" s="17">
        <f t="shared" si="18"/>
        <v>203909.59107988258</v>
      </c>
      <c r="X132" s="17">
        <f t="shared" si="18"/>
        <v>200663.98563387673</v>
      </c>
      <c r="Y132" s="17">
        <f t="shared" si="18"/>
        <v>227533.50616557055</v>
      </c>
      <c r="Z132" s="17">
        <f t="shared" si="18"/>
        <v>228604.86897384911</v>
      </c>
      <c r="AA132" s="17">
        <f t="shared" si="18"/>
        <v>248553.62996941654</v>
      </c>
      <c r="AB132" s="17">
        <f t="shared" si="18"/>
        <v>246886.20542101236</v>
      </c>
      <c r="AC132" s="17">
        <f t="shared" si="18"/>
        <v>257217.83183268798</v>
      </c>
      <c r="AD132" s="17">
        <f t="shared" si="18"/>
        <v>254046.84151807238</v>
      </c>
      <c r="AE132" s="17">
        <f t="shared" si="18"/>
        <v>283720.57356272603</v>
      </c>
      <c r="AF132" s="17">
        <f t="shared" si="18"/>
        <v>275583.81924086233</v>
      </c>
      <c r="AG132" s="17">
        <f t="shared" si="18"/>
        <v>286923.05345290538</v>
      </c>
      <c r="AH132" s="17">
        <f t="shared" ref="AH132:BA132" si="19">AH78+AH87+AH94+AH101+AH108+AH117+AH125+AH130</f>
        <v>285346.32406305068</v>
      </c>
      <c r="AI132" s="17">
        <f t="shared" si="19"/>
        <v>301025.90382870322</v>
      </c>
      <c r="AJ132" s="17">
        <f t="shared" si="19"/>
        <v>313704.90492638841</v>
      </c>
      <c r="AK132" s="17">
        <f t="shared" si="19"/>
        <v>331176.80764145782</v>
      </c>
      <c r="AL132" s="17">
        <f t="shared" si="19"/>
        <v>337046.6655235308</v>
      </c>
      <c r="AM132" s="17">
        <f t="shared" si="19"/>
        <v>352528.74026298849</v>
      </c>
      <c r="AN132" s="17">
        <f t="shared" si="19"/>
        <v>351196.02305973176</v>
      </c>
      <c r="AO132" s="17">
        <f t="shared" si="19"/>
        <v>373356.45075568708</v>
      </c>
      <c r="AP132" s="17">
        <f t="shared" si="19"/>
        <v>366954.44990909641</v>
      </c>
      <c r="AQ132" s="17">
        <f t="shared" si="19"/>
        <v>404641.70133267628</v>
      </c>
      <c r="AR132" s="17">
        <f t="shared" si="19"/>
        <v>396640.44839931</v>
      </c>
      <c r="AS132" s="17">
        <f t="shared" si="19"/>
        <v>426690.79412240046</v>
      </c>
      <c r="AT132" s="17">
        <f t="shared" si="19"/>
        <v>422055.95239336422</v>
      </c>
      <c r="AU132" s="17">
        <f t="shared" si="19"/>
        <v>421076.45597787626</v>
      </c>
      <c r="AV132" s="17">
        <f t="shared" si="19"/>
        <v>421784.0253416138</v>
      </c>
      <c r="AW132" s="17">
        <f t="shared" si="19"/>
        <v>424180.3451735382</v>
      </c>
      <c r="AX132" s="17">
        <f t="shared" si="19"/>
        <v>441636.44683221506</v>
      </c>
      <c r="AY132" s="17">
        <f t="shared" si="19"/>
        <v>442455.54681691178</v>
      </c>
      <c r="AZ132" s="17">
        <f t="shared" si="19"/>
        <v>445101.2435608434</v>
      </c>
      <c r="BA132" s="17">
        <f t="shared" si="19"/>
        <v>444218.6595339714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BA24"/>
  <sheetViews>
    <sheetView workbookViewId="0">
      <pane xSplit="1" ySplit="3" topLeftCell="AM4" activePane="bottomRight" state="frozen"/>
      <selection pane="topRight"/>
      <selection pane="bottomLeft"/>
      <selection pane="bottomRight" activeCell="B2" sqref="B2:BA2"/>
    </sheetView>
  </sheetViews>
  <sheetFormatPr baseColWidth="10" defaultColWidth="8.7265625" defaultRowHeight="14.5" x14ac:dyDescent="0.35"/>
  <cols>
    <col min="1" max="1" width="35" customWidth="1"/>
    <col min="2" max="53" width="12" customWidth="1"/>
  </cols>
  <sheetData>
    <row r="1" spans="1:53" ht="18" x14ac:dyDescent="0.4">
      <c r="A1" s="1" t="s">
        <v>416</v>
      </c>
    </row>
    <row r="2" spans="1:53" x14ac:dyDescent="0.35">
      <c r="B2" s="34">
        <v>46113</v>
      </c>
      <c r="C2" s="34">
        <v>46143</v>
      </c>
      <c r="D2" s="34">
        <v>46174</v>
      </c>
      <c r="E2" s="34">
        <v>46204</v>
      </c>
      <c r="F2" s="34">
        <v>46235</v>
      </c>
      <c r="G2" s="34">
        <v>46266</v>
      </c>
      <c r="H2" s="34">
        <v>46296</v>
      </c>
      <c r="I2" s="34">
        <v>46327</v>
      </c>
      <c r="J2" s="34">
        <v>46357</v>
      </c>
      <c r="K2" s="34">
        <v>46388</v>
      </c>
      <c r="L2" s="34">
        <v>46419</v>
      </c>
      <c r="M2" s="34">
        <v>46447</v>
      </c>
      <c r="N2" s="34">
        <v>46478</v>
      </c>
      <c r="O2" s="34">
        <v>46508</v>
      </c>
      <c r="P2" s="34">
        <v>46539</v>
      </c>
      <c r="Q2" s="34">
        <v>46569</v>
      </c>
      <c r="R2" s="34">
        <v>46600</v>
      </c>
      <c r="S2" s="34">
        <v>46631</v>
      </c>
      <c r="T2" s="34">
        <v>46661</v>
      </c>
      <c r="U2" s="34">
        <v>46692</v>
      </c>
      <c r="V2" s="34">
        <v>46722</v>
      </c>
      <c r="W2" s="34">
        <v>46753</v>
      </c>
      <c r="X2" s="34">
        <v>46784</v>
      </c>
      <c r="Y2" s="34">
        <v>46813</v>
      </c>
      <c r="Z2" s="34">
        <v>46844</v>
      </c>
      <c r="AA2" s="34">
        <v>46874</v>
      </c>
      <c r="AB2" s="34">
        <v>46905</v>
      </c>
      <c r="AC2" s="34">
        <v>46935</v>
      </c>
      <c r="AD2" s="34">
        <v>46966</v>
      </c>
      <c r="AE2" s="34">
        <v>46997</v>
      </c>
      <c r="AF2" s="34">
        <v>47027</v>
      </c>
      <c r="AG2" s="34">
        <v>47058</v>
      </c>
      <c r="AH2" s="34">
        <v>47088</v>
      </c>
      <c r="AI2" s="34">
        <v>47119</v>
      </c>
      <c r="AJ2" s="34">
        <v>47150</v>
      </c>
      <c r="AK2" s="34">
        <v>47178</v>
      </c>
      <c r="AL2" s="34">
        <v>47209</v>
      </c>
      <c r="AM2" s="34">
        <v>47239</v>
      </c>
      <c r="AN2" s="34">
        <v>47270</v>
      </c>
      <c r="AO2" s="34">
        <v>47300</v>
      </c>
      <c r="AP2" s="34">
        <v>47331</v>
      </c>
      <c r="AQ2" s="34">
        <v>47362</v>
      </c>
      <c r="AR2" s="34">
        <v>47392</v>
      </c>
      <c r="AS2" s="34">
        <v>47423</v>
      </c>
      <c r="AT2" s="34">
        <v>47453</v>
      </c>
      <c r="AU2" s="34">
        <v>47484</v>
      </c>
      <c r="AV2" s="34">
        <v>47515</v>
      </c>
      <c r="AW2" s="34">
        <v>47543</v>
      </c>
      <c r="AX2" s="34">
        <v>47574</v>
      </c>
      <c r="AY2" s="34">
        <v>47604</v>
      </c>
      <c r="AZ2" s="34">
        <v>47635</v>
      </c>
      <c r="BA2" s="34">
        <v>47665</v>
      </c>
    </row>
    <row r="3" spans="1:53" x14ac:dyDescent="0.35">
      <c r="A3" s="7" t="s">
        <v>242</v>
      </c>
      <c r="B3" s="7" t="s">
        <v>243</v>
      </c>
      <c r="C3" s="7" t="s">
        <v>244</v>
      </c>
      <c r="D3" s="7" t="s">
        <v>245</v>
      </c>
      <c r="E3" s="7" t="s">
        <v>246</v>
      </c>
      <c r="F3" s="7" t="s">
        <v>247</v>
      </c>
      <c r="G3" s="7" t="s">
        <v>248</v>
      </c>
      <c r="H3" s="7" t="s">
        <v>249</v>
      </c>
      <c r="I3" s="7" t="s">
        <v>250</v>
      </c>
      <c r="J3" s="7" t="s">
        <v>251</v>
      </c>
      <c r="K3" s="7" t="s">
        <v>252</v>
      </c>
      <c r="L3" s="7" t="s">
        <v>253</v>
      </c>
      <c r="M3" s="7" t="s">
        <v>254</v>
      </c>
      <c r="N3" s="7" t="s">
        <v>255</v>
      </c>
      <c r="O3" s="7" t="s">
        <v>256</v>
      </c>
      <c r="P3" s="7" t="s">
        <v>257</v>
      </c>
      <c r="Q3" s="7" t="s">
        <v>258</v>
      </c>
      <c r="R3" s="7" t="s">
        <v>259</v>
      </c>
      <c r="S3" s="7" t="s">
        <v>260</v>
      </c>
      <c r="T3" s="7" t="s">
        <v>261</v>
      </c>
      <c r="U3" s="7" t="s">
        <v>262</v>
      </c>
      <c r="V3" s="7" t="s">
        <v>263</v>
      </c>
      <c r="W3" s="7" t="s">
        <v>264</v>
      </c>
      <c r="X3" s="7" t="s">
        <v>265</v>
      </c>
      <c r="Y3" s="7" t="s">
        <v>266</v>
      </c>
      <c r="Z3" s="7" t="s">
        <v>267</v>
      </c>
      <c r="AA3" s="7" t="s">
        <v>268</v>
      </c>
      <c r="AB3" s="7" t="s">
        <v>269</v>
      </c>
      <c r="AC3" s="7" t="s">
        <v>270</v>
      </c>
      <c r="AD3" s="7" t="s">
        <v>271</v>
      </c>
      <c r="AE3" s="7" t="s">
        <v>272</v>
      </c>
      <c r="AF3" s="7" t="s">
        <v>273</v>
      </c>
      <c r="AG3" s="7" t="s">
        <v>274</v>
      </c>
      <c r="AH3" s="7" t="s">
        <v>275</v>
      </c>
      <c r="AI3" s="7" t="s">
        <v>276</v>
      </c>
      <c r="AJ3" s="7" t="s">
        <v>277</v>
      </c>
      <c r="AK3" s="7" t="s">
        <v>278</v>
      </c>
      <c r="AL3" s="7" t="s">
        <v>279</v>
      </c>
      <c r="AM3" s="7" t="s">
        <v>280</v>
      </c>
      <c r="AN3" s="7" t="s">
        <v>281</v>
      </c>
      <c r="AO3" s="7" t="s">
        <v>282</v>
      </c>
      <c r="AP3" s="7" t="s">
        <v>283</v>
      </c>
      <c r="AQ3" s="7" t="s">
        <v>284</v>
      </c>
      <c r="AR3" s="7" t="s">
        <v>285</v>
      </c>
      <c r="AS3" s="7" t="s">
        <v>286</v>
      </c>
      <c r="AT3" s="7" t="s">
        <v>287</v>
      </c>
      <c r="AU3" s="7" t="s">
        <v>288</v>
      </c>
      <c r="AV3" s="7" t="s">
        <v>289</v>
      </c>
      <c r="AW3" s="7" t="s">
        <v>290</v>
      </c>
      <c r="AX3" s="7" t="s">
        <v>291</v>
      </c>
      <c r="AY3" s="7" t="s">
        <v>292</v>
      </c>
      <c r="AZ3" s="7" t="s">
        <v>293</v>
      </c>
      <c r="BA3" s="7" t="s">
        <v>294</v>
      </c>
    </row>
    <row r="4" spans="1:53" x14ac:dyDescent="0.35">
      <c r="A4" s="2" t="s">
        <v>417</v>
      </c>
    </row>
    <row r="5" spans="1:53" x14ac:dyDescent="0.35">
      <c r="A5" s="3" t="s">
        <v>418</v>
      </c>
      <c r="B5" s="16">
        <f>'Cash Flow'!B22</f>
        <v>15658.5</v>
      </c>
      <c r="C5" s="16">
        <f>'Cash Flow'!C22</f>
        <v>-28802.875</v>
      </c>
      <c r="D5" s="16">
        <f>'Cash Flow'!D22</f>
        <v>-70784.543749999997</v>
      </c>
      <c r="E5" s="16">
        <f>'Cash Flow'!E22</f>
        <v>-112907.74593749999</v>
      </c>
      <c r="F5" s="16">
        <f>'Cash Flow'!F22</f>
        <v>1330645.441765625</v>
      </c>
      <c r="G5" s="16">
        <f>'Cash Flow'!G22</f>
        <v>1286642.5888539064</v>
      </c>
      <c r="H5" s="16">
        <f>'Cash Flow'!H22</f>
        <v>1229305.2932966016</v>
      </c>
      <c r="I5" s="16">
        <f>'Cash Flow'!I22</f>
        <v>1159646.0462947651</v>
      </c>
      <c r="J5" s="16">
        <f>'Cash Flow'!J22</f>
        <v>1085906.9544428366</v>
      </c>
      <c r="K5" s="16">
        <f>'Cash Flow'!K22</f>
        <v>984165.63591497834</v>
      </c>
      <c r="L5" s="16">
        <f>'Cash Flow'!L22</f>
        <v>877940.61979406059</v>
      </c>
      <c r="M5" s="16">
        <f>'Cash Flow'!M22</f>
        <v>764440.86932543025</v>
      </c>
      <c r="N5" s="16">
        <f>'Cash Flow'!N22</f>
        <v>638440.01279170183</v>
      </c>
      <c r="O5" s="16">
        <f>'Cash Flow'!O22</f>
        <v>488250.08049378695</v>
      </c>
      <c r="P5" s="16">
        <f>'Cash Flow'!P22</f>
        <v>347166.56236222631</v>
      </c>
      <c r="Q5" s="16">
        <f>'Cash Flow'!Q22</f>
        <v>206521.87051158762</v>
      </c>
      <c r="R5" s="16">
        <f>'Cash Flow'!R22</f>
        <v>6050490.2962559173</v>
      </c>
      <c r="S5" s="16">
        <f>'Cash Flow'!S22</f>
        <v>5858409.6235999633</v>
      </c>
      <c r="T5" s="16">
        <f>'Cash Flow'!T22</f>
        <v>5680108.6162174614</v>
      </c>
      <c r="U5" s="16">
        <f>'Cash Flow'!U22</f>
        <v>5490147.5215908345</v>
      </c>
      <c r="V5" s="16">
        <f>'Cash Flow'!V22</f>
        <v>5304705.7922328766</v>
      </c>
      <c r="W5" s="16">
        <f>'Cash Flow'!W22</f>
        <v>5102300.2145320205</v>
      </c>
      <c r="X5" s="16">
        <f>'Cash Flow'!X22</f>
        <v>4903401.4076336212</v>
      </c>
      <c r="Y5" s="16">
        <f>'Cash Flow'!Y22</f>
        <v>4674873.6797653027</v>
      </c>
      <c r="Z5" s="16">
        <f>'Cash Flow'!Z22</f>
        <v>4462421.7456285674</v>
      </c>
      <c r="AA5" s="16">
        <f>'Cash Flow'!AA22</f>
        <v>4229984.4918178078</v>
      </c>
      <c r="AB5" s="16">
        <f>'Cash Flow'!AB22</f>
        <v>3998663.0712540108</v>
      </c>
      <c r="AC5" s="16">
        <f>'Cash Flow'!AC22</f>
        <v>3769890.2232401487</v>
      </c>
      <c r="AD5" s="16">
        <f>'Cash Flow'!AD22</f>
        <v>3545473.3535521561</v>
      </c>
      <c r="AE5" s="16">
        <f>'Cash Flow'!AE22</f>
        <v>3289018.6125985137</v>
      </c>
      <c r="AF5" s="16">
        <f>'Cash Flow'!AF22</f>
        <v>3056381.8755503143</v>
      </c>
      <c r="AG5" s="16">
        <f>'Cash Flow'!AG22</f>
        <v>2811371.016024705</v>
      </c>
      <c r="AH5" s="16">
        <f>'Cash Flow'!AH22</f>
        <v>2568820.2775540655</v>
      </c>
      <c r="AI5" s="16">
        <f>'Cash Flow'!AI22</f>
        <v>2324335.6281598937</v>
      </c>
      <c r="AJ5" s="16">
        <f>'Cash Flow'!AJ22</f>
        <v>17068943.47537414</v>
      </c>
      <c r="AK5" s="16">
        <f>'Cash Flow'!AK22</f>
        <v>16791065.775136597</v>
      </c>
      <c r="AL5" s="16">
        <f>'Cash Flow'!AL22</f>
        <v>16526695.846440302</v>
      </c>
      <c r="AM5" s="16">
        <f>'Cash Flow'!AM22</f>
        <v>16249829.138458489</v>
      </c>
      <c r="AN5" s="16">
        <f>'Cash Flow'!AN22</f>
        <v>15974375.502388522</v>
      </c>
      <c r="AO5" s="16">
        <f>'Cash Flow'!AO22</f>
        <v>15689105.151123026</v>
      </c>
      <c r="AP5" s="16">
        <f>'Cash Flow'!AP22</f>
        <v>15412478.048417147</v>
      </c>
      <c r="AQ5" s="16">
        <f>'Cash Flow'!AQ22</f>
        <v>15097281.358579097</v>
      </c>
      <c r="AR5" s="16">
        <f>'Cash Flow'!AR22</f>
        <v>14805439.473331334</v>
      </c>
      <c r="AS5" s="16">
        <f>'Cash Flow'!AS22</f>
        <v>14481998.503473369</v>
      </c>
      <c r="AT5" s="16">
        <f>'Cash Flow'!AT22</f>
        <v>14163888.532627584</v>
      </c>
      <c r="AU5" s="16">
        <f>'Cash Flow'!AU22</f>
        <v>13862442.135214666</v>
      </c>
      <c r="AV5" s="16">
        <f>'Cash Flow'!AV22</f>
        <v>13560007.624626258</v>
      </c>
      <c r="AW5" s="16">
        <f>'Cash Flow'!AW22</f>
        <v>13254873.956343587</v>
      </c>
      <c r="AX5" s="16">
        <f>'Cash Flow'!AX22</f>
        <v>12934930.735381547</v>
      </c>
      <c r="AY5" s="16">
        <f>'Cash Flow'!AY22</f>
        <v>12620665.822713817</v>
      </c>
      <c r="AZ5" s="16">
        <f>'Cash Flow'!AZ22</f>
        <v>12302966.653521612</v>
      </c>
      <c r="BA5" s="16">
        <f>'Cash Flow'!BA22</f>
        <v>12002229.982289912</v>
      </c>
    </row>
    <row r="6" spans="1:53" x14ac:dyDescent="0.35">
      <c r="A6" s="3" t="s">
        <v>419</v>
      </c>
      <c r="B6" s="16">
        <f>'P&amp;L'!B7</f>
        <v>0</v>
      </c>
      <c r="C6" s="16">
        <f>'P&amp;L'!C7</f>
        <v>0</v>
      </c>
      <c r="D6" s="16">
        <f>'P&amp;L'!D7</f>
        <v>0</v>
      </c>
      <c r="E6" s="16">
        <f>'P&amp;L'!E7</f>
        <v>0</v>
      </c>
      <c r="F6" s="16">
        <f>'P&amp;L'!F7</f>
        <v>0</v>
      </c>
      <c r="G6" s="16">
        <f>'P&amp;L'!G7</f>
        <v>0</v>
      </c>
      <c r="H6" s="16">
        <f>'P&amp;L'!H7</f>
        <v>0</v>
      </c>
      <c r="I6" s="16">
        <f>'P&amp;L'!I7</f>
        <v>0</v>
      </c>
      <c r="J6" s="16">
        <f>'P&amp;L'!J7</f>
        <v>5000</v>
      </c>
      <c r="K6" s="16">
        <f>'P&amp;L'!K7</f>
        <v>5000</v>
      </c>
      <c r="L6" s="16">
        <f>'P&amp;L'!L7</f>
        <v>5000</v>
      </c>
      <c r="M6" s="16">
        <f>'P&amp;L'!M7</f>
        <v>5000</v>
      </c>
      <c r="N6" s="16">
        <f>'P&amp;L'!N7</f>
        <v>5400</v>
      </c>
      <c r="O6" s="16">
        <f>'P&amp;L'!O7</f>
        <v>5400</v>
      </c>
      <c r="P6" s="16">
        <f>'P&amp;L'!P7</f>
        <v>5400</v>
      </c>
      <c r="Q6" s="16">
        <f>'P&amp;L'!Q7</f>
        <v>5400</v>
      </c>
      <c r="R6" s="16">
        <f>'P&amp;L'!R7</f>
        <v>5400</v>
      </c>
      <c r="S6" s="16">
        <f>'P&amp;L'!S7</f>
        <v>5400</v>
      </c>
      <c r="T6" s="16">
        <f>'P&amp;L'!T7</f>
        <v>5400</v>
      </c>
      <c r="U6" s="16">
        <f>'P&amp;L'!U7</f>
        <v>5400</v>
      </c>
      <c r="V6" s="16">
        <f>'P&amp;L'!V7</f>
        <v>5400</v>
      </c>
      <c r="W6" s="16">
        <f>'P&amp;L'!W7</f>
        <v>5400</v>
      </c>
      <c r="X6" s="16">
        <f>'P&amp;L'!X7</f>
        <v>5400</v>
      </c>
      <c r="Y6" s="16">
        <f>'P&amp;L'!Y7</f>
        <v>18900</v>
      </c>
      <c r="Z6" s="16">
        <f>'P&amp;L'!Z7</f>
        <v>20412</v>
      </c>
      <c r="AA6" s="16">
        <f>'P&amp;L'!AA7</f>
        <v>20412</v>
      </c>
      <c r="AB6" s="16">
        <f>'P&amp;L'!AB7</f>
        <v>34992</v>
      </c>
      <c r="AC6" s="16">
        <f>'P&amp;L'!AC7</f>
        <v>34992</v>
      </c>
      <c r="AD6" s="16">
        <f>'P&amp;L'!AD7</f>
        <v>34992</v>
      </c>
      <c r="AE6" s="16">
        <f>'P&amp;L'!AE7</f>
        <v>49572.000000000007</v>
      </c>
      <c r="AF6" s="16">
        <f>'P&amp;L'!AF7</f>
        <v>49572.000000000007</v>
      </c>
      <c r="AG6" s="16">
        <f>'P&amp;L'!AG7</f>
        <v>49572.000000000007</v>
      </c>
      <c r="AH6" s="16">
        <f>'P&amp;L'!AH7</f>
        <v>64152.000000000007</v>
      </c>
      <c r="AI6" s="16">
        <f>'P&amp;L'!AI7</f>
        <v>64152.000000000007</v>
      </c>
      <c r="AJ6" s="16">
        <f>'P&amp;L'!AJ7</f>
        <v>64152.000000000007</v>
      </c>
      <c r="AK6" s="16">
        <f>'P&amp;L'!AK7</f>
        <v>78732.000000000015</v>
      </c>
      <c r="AL6" s="16">
        <f>'P&amp;L'!AL7</f>
        <v>85030.560000000012</v>
      </c>
      <c r="AM6" s="16">
        <f>'P&amp;L'!AM7</f>
        <v>85030.560000000012</v>
      </c>
      <c r="AN6" s="16">
        <f>'P&amp;L'!AN7</f>
        <v>100776.96000000001</v>
      </c>
      <c r="AO6" s="16">
        <f>'P&amp;L'!AO7</f>
        <v>100776.96000000001</v>
      </c>
      <c r="AP6" s="16">
        <f>'P&amp;L'!AP7</f>
        <v>100776.96000000001</v>
      </c>
      <c r="AQ6" s="16">
        <f>'P&amp;L'!AQ7</f>
        <v>116523.36</v>
      </c>
      <c r="AR6" s="16">
        <f>'P&amp;L'!AR7</f>
        <v>116523.36</v>
      </c>
      <c r="AS6" s="16">
        <f>'P&amp;L'!AS7</f>
        <v>116523.36</v>
      </c>
      <c r="AT6" s="16">
        <f>'P&amp;L'!AT7</f>
        <v>132269.76000000001</v>
      </c>
      <c r="AU6" s="16">
        <f>'P&amp;L'!AU7</f>
        <v>132269.76000000001</v>
      </c>
      <c r="AV6" s="16">
        <f>'P&amp;L'!AV7</f>
        <v>132269.76000000001</v>
      </c>
      <c r="AW6" s="16">
        <f>'P&amp;L'!AW7</f>
        <v>132269.76000000001</v>
      </c>
      <c r="AX6" s="16">
        <f>'P&amp;L'!AX7</f>
        <v>142851.34080000003</v>
      </c>
      <c r="AY6" s="16">
        <f>'P&amp;L'!AY7</f>
        <v>142851.34080000003</v>
      </c>
      <c r="AZ6" s="16">
        <f>'P&amp;L'!AZ7</f>
        <v>159857.45280000003</v>
      </c>
      <c r="BA6" s="16">
        <f>'P&amp;L'!BA7</f>
        <v>159857.45280000003</v>
      </c>
    </row>
    <row r="7" spans="1:53" x14ac:dyDescent="0.35">
      <c r="A7" s="3" t="s">
        <v>420</v>
      </c>
      <c r="B7" s="19">
        <v>0</v>
      </c>
      <c r="C7" s="19">
        <v>0</v>
      </c>
      <c r="D7" s="19">
        <v>0</v>
      </c>
      <c r="E7" s="19">
        <v>0</v>
      </c>
      <c r="F7" s="19">
        <v>0</v>
      </c>
      <c r="G7" s="19">
        <v>0</v>
      </c>
      <c r="H7" s="19">
        <v>0</v>
      </c>
      <c r="I7" s="19">
        <v>0</v>
      </c>
      <c r="J7" s="19">
        <v>0</v>
      </c>
      <c r="K7" s="19">
        <v>0</v>
      </c>
      <c r="L7" s="19">
        <v>0</v>
      </c>
      <c r="M7" s="19">
        <v>0</v>
      </c>
      <c r="N7" s="19">
        <v>0</v>
      </c>
      <c r="O7" s="19">
        <v>0</v>
      </c>
      <c r="P7" s="19">
        <v>0</v>
      </c>
      <c r="Q7" s="19">
        <v>0</v>
      </c>
      <c r="R7" s="19">
        <v>0</v>
      </c>
      <c r="S7" s="19">
        <v>0</v>
      </c>
      <c r="T7" s="19">
        <v>0</v>
      </c>
      <c r="U7" s="19">
        <v>0</v>
      </c>
      <c r="V7" s="19">
        <v>0</v>
      </c>
      <c r="W7" s="19">
        <v>0</v>
      </c>
      <c r="X7" s="19">
        <v>0</v>
      </c>
      <c r="Y7" s="19">
        <v>0</v>
      </c>
      <c r="Z7" s="19">
        <v>0</v>
      </c>
      <c r="AA7" s="19">
        <v>0</v>
      </c>
      <c r="AB7" s="19">
        <v>0</v>
      </c>
      <c r="AC7" s="19">
        <v>0</v>
      </c>
      <c r="AD7" s="19">
        <v>0</v>
      </c>
      <c r="AE7" s="19">
        <v>0</v>
      </c>
      <c r="AF7" s="19">
        <v>0</v>
      </c>
      <c r="AG7" s="19">
        <v>0</v>
      </c>
      <c r="AH7" s="19">
        <v>0</v>
      </c>
      <c r="AI7" s="19">
        <v>0</v>
      </c>
      <c r="AJ7" s="19">
        <v>0</v>
      </c>
      <c r="AK7" s="19">
        <v>0</v>
      </c>
      <c r="AL7" s="19">
        <v>0</v>
      </c>
      <c r="AM7" s="19">
        <v>0</v>
      </c>
      <c r="AN7" s="19">
        <v>0</v>
      </c>
      <c r="AO7" s="19">
        <v>0</v>
      </c>
      <c r="AP7" s="19">
        <v>0</v>
      </c>
      <c r="AQ7" s="19">
        <v>0</v>
      </c>
      <c r="AR7" s="19">
        <v>0</v>
      </c>
      <c r="AS7" s="19">
        <v>0</v>
      </c>
      <c r="AT7" s="19">
        <v>0</v>
      </c>
      <c r="AU7" s="19">
        <v>0</v>
      </c>
      <c r="AV7" s="19">
        <v>0</v>
      </c>
      <c r="AW7" s="19">
        <v>0</v>
      </c>
      <c r="AX7" s="19">
        <v>0</v>
      </c>
      <c r="AY7" s="19">
        <v>0</v>
      </c>
      <c r="AZ7" s="19">
        <v>0</v>
      </c>
      <c r="BA7" s="19">
        <v>0</v>
      </c>
    </row>
    <row r="8" spans="1:53" x14ac:dyDescent="0.35">
      <c r="A8" s="3" t="s">
        <v>421</v>
      </c>
      <c r="B8" s="19">
        <f>Costs!B123+Inputs!$B$102</f>
        <v>14900</v>
      </c>
      <c r="C8" s="19">
        <f>B8+Costs!C123-'P&amp;L'!C32</f>
        <v>14900</v>
      </c>
      <c r="D8" s="19">
        <f>C8+Costs!D123-'P&amp;L'!D32</f>
        <v>14900</v>
      </c>
      <c r="E8" s="19">
        <f>D8+Costs!E123-'P&amp;L'!E32</f>
        <v>14900</v>
      </c>
      <c r="F8" s="19">
        <f>E8+Costs!F123-'P&amp;L'!F32</f>
        <v>14900</v>
      </c>
      <c r="G8" s="19">
        <f>F8+Costs!G123-'P&amp;L'!G32</f>
        <v>14900</v>
      </c>
      <c r="H8" s="19">
        <f>G8+Costs!H123-'P&amp;L'!H32</f>
        <v>18108.333333333332</v>
      </c>
      <c r="I8" s="19">
        <f>H8+Costs!I123-'P&amp;L'!I32</f>
        <v>21316.666666666664</v>
      </c>
      <c r="J8" s="19">
        <f>I8+Costs!J123-'P&amp;L'!J32</f>
        <v>24524.999999999996</v>
      </c>
      <c r="K8" s="19">
        <f>J8+Costs!K123-'P&amp;L'!K32</f>
        <v>30941.666666666664</v>
      </c>
      <c r="L8" s="19">
        <f>K8+Costs!L123-'P&amp;L'!L32</f>
        <v>34150</v>
      </c>
      <c r="M8" s="19">
        <f>L8+Costs!M123-'P&amp;L'!M32</f>
        <v>37358.333333333336</v>
      </c>
      <c r="N8" s="19">
        <f>M8+Costs!N123-'P&amp;L'!N32</f>
        <v>40566.666666666672</v>
      </c>
      <c r="O8" s="19">
        <f>N8+Costs!O123-'P&amp;L'!O32</f>
        <v>46983.333333333336</v>
      </c>
      <c r="P8" s="19">
        <f>O8+Costs!P123-'P&amp;L'!P32</f>
        <v>46983.333333333336</v>
      </c>
      <c r="Q8" s="19">
        <f>P8+Costs!Q123-'P&amp;L'!Q32</f>
        <v>46983.333333333336</v>
      </c>
      <c r="R8" s="19">
        <f>Q8+Costs!R123-'P&amp;L'!R32</f>
        <v>46983.333333333336</v>
      </c>
      <c r="S8" s="19">
        <f>R8+Costs!S123-'P&amp;L'!S32</f>
        <v>56608.333333333336</v>
      </c>
      <c r="T8" s="19">
        <f>S8+Costs!T123-'P&amp;L'!T32</f>
        <v>56608.333333333336</v>
      </c>
      <c r="U8" s="19">
        <f>T8+Costs!U123-'P&amp;L'!U32</f>
        <v>59816.666666666672</v>
      </c>
      <c r="V8" s="19">
        <f>U8+Costs!V123-'P&amp;L'!V32</f>
        <v>59816.666666666672</v>
      </c>
      <c r="W8" s="19">
        <f>V8+Costs!W123-'P&amp;L'!W32</f>
        <v>63025.000000000007</v>
      </c>
      <c r="X8" s="19">
        <f>W8+Costs!X123-'P&amp;L'!X32</f>
        <v>63025.000000000007</v>
      </c>
      <c r="Y8" s="19">
        <f>X8+Costs!Y123-'P&amp;L'!Y32</f>
        <v>69441.666666666672</v>
      </c>
      <c r="Z8" s="19">
        <f>Y8+Costs!Z123-'P&amp;L'!Z32</f>
        <v>69441.666666666672</v>
      </c>
      <c r="AA8" s="19">
        <f>Z8+Costs!AA123-'P&amp;L'!AA32</f>
        <v>72650</v>
      </c>
      <c r="AB8" s="19">
        <f>AA8+Costs!AB123-'P&amp;L'!AB32</f>
        <v>72650</v>
      </c>
      <c r="AC8" s="19">
        <f>AB8+Costs!AC123-'P&amp;L'!AC32</f>
        <v>75858.333333333328</v>
      </c>
      <c r="AD8" s="19">
        <f>AC8+Costs!AD123-'P&amp;L'!AD32</f>
        <v>75858.333333333328</v>
      </c>
      <c r="AE8" s="19">
        <f>AD8+Costs!AE123-'P&amp;L'!AE32</f>
        <v>82275</v>
      </c>
      <c r="AF8" s="19">
        <f>AE8+Costs!AF123-'P&amp;L'!AF32</f>
        <v>82275</v>
      </c>
      <c r="AG8" s="19">
        <f>AF8+Costs!AG123-'P&amp;L'!AG32</f>
        <v>85483.333333333328</v>
      </c>
      <c r="AH8" s="19">
        <f>AG8+Costs!AH123-'P&amp;L'!AH32</f>
        <v>85483.333333333328</v>
      </c>
      <c r="AI8" s="19">
        <f>AH8+Costs!AI123-'P&amp;L'!AI32</f>
        <v>88691.666666666657</v>
      </c>
      <c r="AJ8" s="19">
        <f>AI8+Costs!AJ123-'P&amp;L'!AJ32</f>
        <v>88691.666666666657</v>
      </c>
      <c r="AK8" s="19">
        <f>AJ8+Costs!AK123-'P&amp;L'!AK32</f>
        <v>95108.333333333328</v>
      </c>
      <c r="AL8" s="19">
        <f>AK8+Costs!AL123-'P&amp;L'!AL32</f>
        <v>95108.333333333328</v>
      </c>
      <c r="AM8" s="19">
        <f>AL8+Costs!AM123-'P&amp;L'!AM32</f>
        <v>98316.666666666657</v>
      </c>
      <c r="AN8" s="19">
        <f>AM8+Costs!AN123-'P&amp;L'!AN32</f>
        <v>98316.666666666657</v>
      </c>
      <c r="AO8" s="19">
        <f>AN8+Costs!AO123-'P&amp;L'!AO32</f>
        <v>104733.33333333333</v>
      </c>
      <c r="AP8" s="19">
        <f>AO8+Costs!AP123-'P&amp;L'!AP32</f>
        <v>104733.33333333333</v>
      </c>
      <c r="AQ8" s="19">
        <f>AP8+Costs!AQ123-'P&amp;L'!AQ32</f>
        <v>111150</v>
      </c>
      <c r="AR8" s="19">
        <f>AQ8+Costs!AR123-'P&amp;L'!AR32</f>
        <v>111150</v>
      </c>
      <c r="AS8" s="19">
        <f>AR8+Costs!AS123-'P&amp;L'!AS32</f>
        <v>117566.66666666667</v>
      </c>
      <c r="AT8" s="19">
        <f>AS8+Costs!AT123-'P&amp;L'!AT32</f>
        <v>117566.66666666667</v>
      </c>
      <c r="AU8" s="19">
        <f>AT8+Costs!AU123-'P&amp;L'!AU32</f>
        <v>117566.66666666667</v>
      </c>
      <c r="AV8" s="19">
        <f>AU8+Costs!AV123-'P&amp;L'!AV32</f>
        <v>117566.66666666667</v>
      </c>
      <c r="AW8" s="19">
        <f>AV8+Costs!AW123-'P&amp;L'!AW32</f>
        <v>117566.66666666667</v>
      </c>
      <c r="AX8" s="19">
        <f>AW8+Costs!AX123-'P&amp;L'!AX32</f>
        <v>117566.66666666667</v>
      </c>
      <c r="AY8" s="19">
        <f>AX8+Costs!AY123-'P&amp;L'!AY32</f>
        <v>117566.66666666667</v>
      </c>
      <c r="AZ8" s="19">
        <f>AY8+Costs!AZ123-'P&amp;L'!AZ32</f>
        <v>117566.66666666667</v>
      </c>
      <c r="BA8" s="19">
        <f>AZ8+Costs!BA123-'P&amp;L'!BA32</f>
        <v>117566.66666666667</v>
      </c>
    </row>
    <row r="9" spans="1:53" x14ac:dyDescent="0.35">
      <c r="A9" s="2" t="s">
        <v>422</v>
      </c>
      <c r="B9" s="17">
        <f t="shared" ref="B9:AG9" si="0">SUM(B5:B8)</f>
        <v>30558.5</v>
      </c>
      <c r="C9" s="17">
        <f t="shared" si="0"/>
        <v>-13902.875</v>
      </c>
      <c r="D9" s="17">
        <f t="shared" si="0"/>
        <v>-55884.543749999997</v>
      </c>
      <c r="E9" s="17">
        <f t="shared" si="0"/>
        <v>-98007.745937499989</v>
      </c>
      <c r="F9" s="17">
        <f t="shared" si="0"/>
        <v>1345545.441765625</v>
      </c>
      <c r="G9" s="17">
        <f t="shared" si="0"/>
        <v>1301542.5888539064</v>
      </c>
      <c r="H9" s="17">
        <f t="shared" si="0"/>
        <v>1247413.6266299349</v>
      </c>
      <c r="I9" s="17">
        <f t="shared" si="0"/>
        <v>1180962.7129614318</v>
      </c>
      <c r="J9" s="17">
        <f t="shared" si="0"/>
        <v>1115431.9544428366</v>
      </c>
      <c r="K9" s="17">
        <f t="shared" si="0"/>
        <v>1020107.302581645</v>
      </c>
      <c r="L9" s="17">
        <f t="shared" si="0"/>
        <v>917090.61979406059</v>
      </c>
      <c r="M9" s="17">
        <f t="shared" si="0"/>
        <v>806799.20265876362</v>
      </c>
      <c r="N9" s="17">
        <f t="shared" si="0"/>
        <v>684406.67945836845</v>
      </c>
      <c r="O9" s="17">
        <f t="shared" si="0"/>
        <v>540633.41382712033</v>
      </c>
      <c r="P9" s="17">
        <f t="shared" si="0"/>
        <v>399549.89569555962</v>
      </c>
      <c r="Q9" s="17">
        <f t="shared" si="0"/>
        <v>258905.20384492096</v>
      </c>
      <c r="R9" s="17">
        <f t="shared" si="0"/>
        <v>6102873.6295892503</v>
      </c>
      <c r="S9" s="17">
        <f t="shared" si="0"/>
        <v>5920417.9569332963</v>
      </c>
      <c r="T9" s="17">
        <f t="shared" si="0"/>
        <v>5742116.9495507944</v>
      </c>
      <c r="U9" s="17">
        <f t="shared" si="0"/>
        <v>5555364.1882575015</v>
      </c>
      <c r="V9" s="17">
        <f t="shared" si="0"/>
        <v>5369922.4588995436</v>
      </c>
      <c r="W9" s="17">
        <f t="shared" si="0"/>
        <v>5170725.2145320205</v>
      </c>
      <c r="X9" s="17">
        <f t="shared" si="0"/>
        <v>4971826.4076336212</v>
      </c>
      <c r="Y9" s="17">
        <f t="shared" si="0"/>
        <v>4763215.3464319697</v>
      </c>
      <c r="Z9" s="17">
        <f t="shared" si="0"/>
        <v>4552275.4122952344</v>
      </c>
      <c r="AA9" s="17">
        <f t="shared" si="0"/>
        <v>4323046.4918178078</v>
      </c>
      <c r="AB9" s="17">
        <f t="shared" si="0"/>
        <v>4106305.0712540108</v>
      </c>
      <c r="AC9" s="17">
        <f t="shared" si="0"/>
        <v>3880740.5565734822</v>
      </c>
      <c r="AD9" s="17">
        <f t="shared" si="0"/>
        <v>3656323.6868854896</v>
      </c>
      <c r="AE9" s="17">
        <f t="shared" si="0"/>
        <v>3420865.6125985137</v>
      </c>
      <c r="AF9" s="17">
        <f t="shared" si="0"/>
        <v>3188228.8755503143</v>
      </c>
      <c r="AG9" s="17">
        <f t="shared" si="0"/>
        <v>2946426.3493580385</v>
      </c>
      <c r="AH9" s="17">
        <f t="shared" ref="AH9:BA9" si="1">SUM(AH5:AH8)</f>
        <v>2718455.6108873989</v>
      </c>
      <c r="AI9" s="17">
        <f t="shared" si="1"/>
        <v>2477179.2948265602</v>
      </c>
      <c r="AJ9" s="17">
        <f t="shared" si="1"/>
        <v>17221787.142040808</v>
      </c>
      <c r="AK9" s="17">
        <f t="shared" si="1"/>
        <v>16964906.10846993</v>
      </c>
      <c r="AL9" s="17">
        <f t="shared" si="1"/>
        <v>16706834.739773637</v>
      </c>
      <c r="AM9" s="17">
        <f t="shared" si="1"/>
        <v>16433176.365125155</v>
      </c>
      <c r="AN9" s="17">
        <f t="shared" si="1"/>
        <v>16173469.129055189</v>
      </c>
      <c r="AO9" s="17">
        <f t="shared" si="1"/>
        <v>15894615.444456361</v>
      </c>
      <c r="AP9" s="17">
        <f t="shared" si="1"/>
        <v>15617988.341750482</v>
      </c>
      <c r="AQ9" s="17">
        <f t="shared" si="1"/>
        <v>15324954.718579097</v>
      </c>
      <c r="AR9" s="17">
        <f t="shared" si="1"/>
        <v>15033112.833331333</v>
      </c>
      <c r="AS9" s="17">
        <f t="shared" si="1"/>
        <v>14716088.530140035</v>
      </c>
      <c r="AT9" s="17">
        <f t="shared" si="1"/>
        <v>14413724.95929425</v>
      </c>
      <c r="AU9" s="17">
        <f t="shared" si="1"/>
        <v>14112278.561881332</v>
      </c>
      <c r="AV9" s="17">
        <f t="shared" si="1"/>
        <v>13809844.051292924</v>
      </c>
      <c r="AW9" s="17">
        <f t="shared" si="1"/>
        <v>13504710.383010253</v>
      </c>
      <c r="AX9" s="17">
        <f t="shared" si="1"/>
        <v>13195348.742848214</v>
      </c>
      <c r="AY9" s="17">
        <f t="shared" si="1"/>
        <v>12881083.830180483</v>
      </c>
      <c r="AZ9" s="17">
        <f t="shared" si="1"/>
        <v>12580390.772988278</v>
      </c>
      <c r="BA9" s="17">
        <f t="shared" si="1"/>
        <v>12279654.101756578</v>
      </c>
    </row>
    <row r="11" spans="1:53" x14ac:dyDescent="0.35">
      <c r="A11" s="2" t="s">
        <v>423</v>
      </c>
    </row>
    <row r="12" spans="1:53" x14ac:dyDescent="0.35">
      <c r="A12" s="3" t="s">
        <v>424</v>
      </c>
      <c r="B12" s="19">
        <f>Costs!B132*0.1</f>
        <v>6687.1</v>
      </c>
      <c r="C12" s="19">
        <f>Costs!C132*0.1</f>
        <v>4080.4750000000004</v>
      </c>
      <c r="D12" s="19">
        <f>Costs!D132*0.1</f>
        <v>4088.7437500000001</v>
      </c>
      <c r="E12" s="19">
        <f>Costs!E132*0.1</f>
        <v>4097.4259374999992</v>
      </c>
      <c r="F12" s="19">
        <f>Costs!F132*0.1</f>
        <v>5681.5422343749997</v>
      </c>
      <c r="G12" s="19">
        <f>Costs!G132*0.1</f>
        <v>4116.1143460937492</v>
      </c>
      <c r="H12" s="19">
        <f>Costs!H132*0.1</f>
        <v>5478.5650633984369</v>
      </c>
      <c r="I12" s="19">
        <f>Costs!I132*0.1</f>
        <v>6706.7683165683593</v>
      </c>
      <c r="J12" s="19">
        <f>Costs!J132*0.1</f>
        <v>7484.8742323967781</v>
      </c>
      <c r="K12" s="19">
        <f>Costs!K132*0.1</f>
        <v>10278.309194016618</v>
      </c>
      <c r="L12" s="19">
        <f>Costs!L132*0.1</f>
        <v>10685.238403717447</v>
      </c>
      <c r="M12" s="19">
        <f>Costs!M132*0.1</f>
        <v>11439.27844890332</v>
      </c>
      <c r="N12" s="19">
        <f>Costs!N132*0.1</f>
        <v>12832.386121348485</v>
      </c>
      <c r="O12" s="19">
        <f>Costs!O132*0.1</f>
        <v>15022.19411491591</v>
      </c>
      <c r="P12" s="19">
        <f>Costs!P132*0.1</f>
        <v>14344.043601911704</v>
      </c>
      <c r="Q12" s="19">
        <f>Costs!Q132*0.1</f>
        <v>14359.63556325729</v>
      </c>
      <c r="R12" s="19">
        <f>Costs!R132*0.1</f>
        <v>16056.007122670153</v>
      </c>
      <c r="S12" s="19">
        <f>Costs!S132*0.1</f>
        <v>19010.244135053661</v>
      </c>
      <c r="T12" s="19">
        <f>Costs!T132*0.1</f>
        <v>17988.793779306347</v>
      </c>
      <c r="U12" s="19">
        <f>Costs!U132*0.1</f>
        <v>19074.283405771665</v>
      </c>
      <c r="V12" s="19">
        <f>Costs!V132*0.1</f>
        <v>18747.683138560242</v>
      </c>
      <c r="W12" s="19">
        <f>Costs!W132*0.1</f>
        <v>20390.959107988259</v>
      </c>
      <c r="X12" s="19">
        <f>Costs!X132*0.1</f>
        <v>20066.398563387673</v>
      </c>
      <c r="Y12" s="19">
        <f>Costs!Y132*0.1</f>
        <v>22753.350616557058</v>
      </c>
      <c r="Z12" s="19">
        <f>Costs!Z132*0.1</f>
        <v>22860.486897384912</v>
      </c>
      <c r="AA12" s="19">
        <f>Costs!AA132*0.1</f>
        <v>24855.362996941654</v>
      </c>
      <c r="AB12" s="19">
        <f>Costs!AB132*0.1</f>
        <v>24688.620542101238</v>
      </c>
      <c r="AC12" s="19">
        <f>Costs!AC132*0.1</f>
        <v>25721.783183268799</v>
      </c>
      <c r="AD12" s="19">
        <f>Costs!AD132*0.1</f>
        <v>25404.68415180724</v>
      </c>
      <c r="AE12" s="19">
        <f>Costs!AE132*0.1</f>
        <v>28372.057356272606</v>
      </c>
      <c r="AF12" s="19">
        <f>Costs!AF132*0.1</f>
        <v>27558.381924086236</v>
      </c>
      <c r="AG12" s="19">
        <f>Costs!AG132*0.1</f>
        <v>28692.305345290541</v>
      </c>
      <c r="AH12" s="19">
        <f>Costs!AH132*0.1</f>
        <v>28534.632406305071</v>
      </c>
      <c r="AI12" s="19">
        <f>Costs!AI132*0.1</f>
        <v>30102.590382870323</v>
      </c>
      <c r="AJ12" s="19">
        <f>Costs!AJ132*0.1</f>
        <v>31370.490492638841</v>
      </c>
      <c r="AK12" s="19">
        <f>Costs!AK132*0.1</f>
        <v>33117.680764145785</v>
      </c>
      <c r="AL12" s="19">
        <f>Costs!AL132*0.1</f>
        <v>33704.666552353083</v>
      </c>
      <c r="AM12" s="19">
        <f>Costs!AM132*0.1</f>
        <v>35252.87402629885</v>
      </c>
      <c r="AN12" s="19">
        <f>Costs!AN132*0.1</f>
        <v>35119.602305973174</v>
      </c>
      <c r="AO12" s="19">
        <f>Costs!AO132*0.1</f>
        <v>37335.645075568711</v>
      </c>
      <c r="AP12" s="19">
        <f>Costs!AP132*0.1</f>
        <v>36695.444990909644</v>
      </c>
      <c r="AQ12" s="19">
        <f>Costs!AQ132*0.1</f>
        <v>40464.170133267631</v>
      </c>
      <c r="AR12" s="19">
        <f>Costs!AR132*0.1</f>
        <v>39664.044839931004</v>
      </c>
      <c r="AS12" s="19">
        <f>Costs!AS132*0.1</f>
        <v>42669.079412240048</v>
      </c>
      <c r="AT12" s="19">
        <f>Costs!AT132*0.1</f>
        <v>42205.595239336428</v>
      </c>
      <c r="AU12" s="19">
        <f>Costs!AU132*0.1</f>
        <v>42107.645597787632</v>
      </c>
      <c r="AV12" s="19">
        <f>Costs!AV132*0.1</f>
        <v>42178.402534161381</v>
      </c>
      <c r="AW12" s="19">
        <f>Costs!AW132*0.1</f>
        <v>42418.034517353823</v>
      </c>
      <c r="AX12" s="19">
        <f>Costs!AX132*0.1</f>
        <v>44163.644683221508</v>
      </c>
      <c r="AY12" s="19">
        <f>Costs!AY132*0.1</f>
        <v>44245.554681691181</v>
      </c>
      <c r="AZ12" s="19">
        <f>Costs!AZ132*0.1</f>
        <v>44510.124356084343</v>
      </c>
      <c r="BA12" s="19">
        <f>Costs!BA132*0.1</f>
        <v>44421.865953397144</v>
      </c>
    </row>
    <row r="13" spans="1:53" x14ac:dyDescent="0.35">
      <c r="A13" s="3" t="s">
        <v>425</v>
      </c>
      <c r="B13" s="19">
        <f>Costs!B78*0.08</f>
        <v>1742.4</v>
      </c>
      <c r="C13" s="19">
        <f>Costs!C78*0.08</f>
        <v>1742.4</v>
      </c>
      <c r="D13" s="19">
        <f>Costs!D78*0.08</f>
        <v>1742.4</v>
      </c>
      <c r="E13" s="19">
        <f>Costs!E78*0.08</f>
        <v>1742.4</v>
      </c>
      <c r="F13" s="19">
        <f>Costs!F78*0.08</f>
        <v>1742.4</v>
      </c>
      <c r="G13" s="19">
        <f>Costs!G78*0.08</f>
        <v>1742.4</v>
      </c>
      <c r="H13" s="19">
        <f>Costs!H78*0.08</f>
        <v>2468.4</v>
      </c>
      <c r="I13" s="19">
        <f>Costs!I78*0.08</f>
        <v>3355.7333333333331</v>
      </c>
      <c r="J13" s="19">
        <f>Costs!J78*0.08</f>
        <v>3839.7333333333331</v>
      </c>
      <c r="K13" s="19">
        <f>Costs!K78*0.08</f>
        <v>5614.4000000000005</v>
      </c>
      <c r="L13" s="19">
        <f>Costs!L78*0.08</f>
        <v>6138.7333333333327</v>
      </c>
      <c r="M13" s="19">
        <f>Costs!M78*0.08</f>
        <v>6663.0666666666666</v>
      </c>
      <c r="N13" s="19">
        <f>Costs!N78*0.08</f>
        <v>7673.82</v>
      </c>
      <c r="O13" s="19">
        <f>Costs!O78*0.08</f>
        <v>8986.67</v>
      </c>
      <c r="P13" s="19">
        <f>Costs!P78*0.08</f>
        <v>8986.67</v>
      </c>
      <c r="Q13" s="19">
        <f>Costs!Q78*0.08</f>
        <v>8986.67</v>
      </c>
      <c r="R13" s="19">
        <f>Costs!R78*0.08</f>
        <v>8986.67</v>
      </c>
      <c r="S13" s="19">
        <f>Costs!S78*0.08</f>
        <v>11231.22</v>
      </c>
      <c r="T13" s="19">
        <f>Costs!T78*0.08</f>
        <v>11231.22</v>
      </c>
      <c r="U13" s="19">
        <f>Costs!U78*0.08</f>
        <v>11739.42</v>
      </c>
      <c r="V13" s="19">
        <f>Costs!V78*0.08</f>
        <v>11739.42</v>
      </c>
      <c r="W13" s="19">
        <f>Costs!W78*0.08</f>
        <v>12671.12</v>
      </c>
      <c r="X13" s="19">
        <f>Costs!X78*0.08</f>
        <v>12671.12</v>
      </c>
      <c r="Y13" s="19">
        <f>Costs!Y78*0.08</f>
        <v>13983.970000000001</v>
      </c>
      <c r="Z13" s="19">
        <f>Costs!Z78*0.08</f>
        <v>14683.168500000002</v>
      </c>
      <c r="AA13" s="19">
        <f>Costs!AA78*0.08</f>
        <v>15839.3235</v>
      </c>
      <c r="AB13" s="19">
        <f>Costs!AB78*0.08</f>
        <v>15839.3235</v>
      </c>
      <c r="AC13" s="19">
        <f>Costs!AC78*0.08</f>
        <v>16417.401000000002</v>
      </c>
      <c r="AD13" s="19">
        <f>Costs!AD78*0.08</f>
        <v>16417.401000000002</v>
      </c>
      <c r="AE13" s="19">
        <f>Costs!AE78*0.08</f>
        <v>17929.296000000002</v>
      </c>
      <c r="AF13" s="19">
        <f>Costs!AF78*0.08</f>
        <v>17929.296000000002</v>
      </c>
      <c r="AG13" s="19">
        <f>Costs!AG78*0.08</f>
        <v>18462.906000000003</v>
      </c>
      <c r="AH13" s="19">
        <f>Costs!AH78*0.08</f>
        <v>18462.906000000003</v>
      </c>
      <c r="AI13" s="19">
        <f>Costs!AI78*0.08</f>
        <v>19441.191000000003</v>
      </c>
      <c r="AJ13" s="19">
        <f>Costs!AJ78*0.08</f>
        <v>19441.191000000003</v>
      </c>
      <c r="AK13" s="19">
        <f>Costs!AK78*0.08</f>
        <v>21175.423500000001</v>
      </c>
      <c r="AL13" s="19">
        <f>Costs!AL78*0.08</f>
        <v>22234.194675000002</v>
      </c>
      <c r="AM13" s="19">
        <f>Costs!AM78*0.08</f>
        <v>23074.630425000007</v>
      </c>
      <c r="AN13" s="19">
        <f>Costs!AN78*0.08</f>
        <v>23074.630425000007</v>
      </c>
      <c r="AO13" s="19">
        <f>Costs!AO78*0.08</f>
        <v>24241.902300000005</v>
      </c>
      <c r="AP13" s="19">
        <f>Costs!AP78*0.08</f>
        <v>24241.902300000005</v>
      </c>
      <c r="AQ13" s="19">
        <f>Costs!AQ78*0.08</f>
        <v>26296.300800000005</v>
      </c>
      <c r="AR13" s="19">
        <f>Costs!AR78*0.08</f>
        <v>26296.300800000005</v>
      </c>
      <c r="AS13" s="19">
        <f>Costs!AS78*0.08</f>
        <v>27930.481425000002</v>
      </c>
      <c r="AT13" s="19">
        <f>Costs!AT78*0.08</f>
        <v>27930.481425000002</v>
      </c>
      <c r="AU13" s="19">
        <f>Costs!AU78*0.08</f>
        <v>27930.481425000002</v>
      </c>
      <c r="AV13" s="19">
        <f>Costs!AV78*0.08</f>
        <v>27930.481425000002</v>
      </c>
      <c r="AW13" s="19">
        <f>Costs!AW78*0.08</f>
        <v>27930.481425000002</v>
      </c>
      <c r="AX13" s="19">
        <f>Costs!AX78*0.08</f>
        <v>29327.00549625</v>
      </c>
      <c r="AY13" s="19">
        <f>Costs!AY78*0.08</f>
        <v>29327.00549625</v>
      </c>
      <c r="AZ13" s="19">
        <f>Costs!AZ78*0.08</f>
        <v>29327.00549625</v>
      </c>
      <c r="BA13" s="19">
        <f>Costs!BA78*0.08</f>
        <v>29327.00549625</v>
      </c>
    </row>
    <row r="14" spans="1:53" x14ac:dyDescent="0.35">
      <c r="A14" s="3" t="s">
        <v>426</v>
      </c>
      <c r="B14" s="19">
        <f>'P&amp;L'!B5</f>
        <v>0</v>
      </c>
      <c r="C14" s="19">
        <f>'P&amp;L'!C5</f>
        <v>0</v>
      </c>
      <c r="D14" s="19">
        <f>'P&amp;L'!D5</f>
        <v>0</v>
      </c>
      <c r="E14" s="19">
        <f>'P&amp;L'!E5</f>
        <v>0</v>
      </c>
      <c r="F14" s="19">
        <f>'P&amp;L'!F5</f>
        <v>0</v>
      </c>
      <c r="G14" s="19">
        <f>'P&amp;L'!G5</f>
        <v>0</v>
      </c>
      <c r="H14" s="19">
        <f>'P&amp;L'!H5</f>
        <v>0</v>
      </c>
      <c r="I14" s="19">
        <f>'P&amp;L'!I5</f>
        <v>0</v>
      </c>
      <c r="J14" s="19">
        <f>'P&amp;L'!J5</f>
        <v>5000</v>
      </c>
      <c r="K14" s="19">
        <f>'P&amp;L'!K5</f>
        <v>5000</v>
      </c>
      <c r="L14" s="19">
        <f>'P&amp;L'!L5</f>
        <v>5000</v>
      </c>
      <c r="M14" s="19">
        <f>'P&amp;L'!M5</f>
        <v>5000</v>
      </c>
      <c r="N14" s="19">
        <f>'P&amp;L'!N5</f>
        <v>5400</v>
      </c>
      <c r="O14" s="19">
        <f>'P&amp;L'!O5</f>
        <v>5400</v>
      </c>
      <c r="P14" s="19">
        <f>'P&amp;L'!P5</f>
        <v>5400</v>
      </c>
      <c r="Q14" s="19">
        <f>'P&amp;L'!Q5</f>
        <v>5400</v>
      </c>
      <c r="R14" s="19">
        <f>'P&amp;L'!R5</f>
        <v>5400</v>
      </c>
      <c r="S14" s="19">
        <f>'P&amp;L'!S5</f>
        <v>5400</v>
      </c>
      <c r="T14" s="19">
        <f>'P&amp;L'!T5</f>
        <v>5400</v>
      </c>
      <c r="U14" s="19">
        <f>'P&amp;L'!U5</f>
        <v>5400</v>
      </c>
      <c r="V14" s="19">
        <f>'P&amp;L'!V5</f>
        <v>5400</v>
      </c>
      <c r="W14" s="19">
        <f>'P&amp;L'!W5</f>
        <v>5400</v>
      </c>
      <c r="X14" s="19">
        <f>'P&amp;L'!X5</f>
        <v>5400</v>
      </c>
      <c r="Y14" s="19">
        <f>'P&amp;L'!Y5</f>
        <v>5400</v>
      </c>
      <c r="Z14" s="19">
        <f>'P&amp;L'!Z5</f>
        <v>5832</v>
      </c>
      <c r="AA14" s="19">
        <f>'P&amp;L'!AA5</f>
        <v>5832</v>
      </c>
      <c r="AB14" s="19">
        <f>'P&amp;L'!AB5</f>
        <v>5832</v>
      </c>
      <c r="AC14" s="19">
        <f>'P&amp;L'!AC5</f>
        <v>5832</v>
      </c>
      <c r="AD14" s="19">
        <f>'P&amp;L'!AD5</f>
        <v>5832</v>
      </c>
      <c r="AE14" s="19">
        <f>'P&amp;L'!AE5</f>
        <v>5832</v>
      </c>
      <c r="AF14" s="19">
        <f>'P&amp;L'!AF5</f>
        <v>5832</v>
      </c>
      <c r="AG14" s="19">
        <f>'P&amp;L'!AG5</f>
        <v>5832</v>
      </c>
      <c r="AH14" s="19">
        <f>'P&amp;L'!AH5</f>
        <v>5832</v>
      </c>
      <c r="AI14" s="19">
        <f>'P&amp;L'!AI5</f>
        <v>5832</v>
      </c>
      <c r="AJ14" s="19">
        <f>'P&amp;L'!AJ5</f>
        <v>5832</v>
      </c>
      <c r="AK14" s="19">
        <f>'P&amp;L'!AK5</f>
        <v>5832</v>
      </c>
      <c r="AL14" s="19">
        <f>'P&amp;L'!AL5</f>
        <v>6298.5600000000013</v>
      </c>
      <c r="AM14" s="19">
        <f>'P&amp;L'!AM5</f>
        <v>6298.5600000000013</v>
      </c>
      <c r="AN14" s="19">
        <f>'P&amp;L'!AN5</f>
        <v>6298.5600000000013</v>
      </c>
      <c r="AO14" s="19">
        <f>'P&amp;L'!AO5</f>
        <v>6298.5600000000013</v>
      </c>
      <c r="AP14" s="19">
        <f>'P&amp;L'!AP5</f>
        <v>6298.5600000000013</v>
      </c>
      <c r="AQ14" s="19">
        <f>'P&amp;L'!AQ5</f>
        <v>6298.5600000000013</v>
      </c>
      <c r="AR14" s="19">
        <f>'P&amp;L'!AR5</f>
        <v>6298.5600000000013</v>
      </c>
      <c r="AS14" s="19">
        <f>'P&amp;L'!AS5</f>
        <v>6298.5600000000013</v>
      </c>
      <c r="AT14" s="19">
        <f>'P&amp;L'!AT5</f>
        <v>6298.5600000000013</v>
      </c>
      <c r="AU14" s="19">
        <f>'P&amp;L'!AU5</f>
        <v>6298.5600000000013</v>
      </c>
      <c r="AV14" s="19">
        <f>'P&amp;L'!AV5</f>
        <v>6298.5600000000013</v>
      </c>
      <c r="AW14" s="19">
        <f>'P&amp;L'!AW5</f>
        <v>6298.5600000000013</v>
      </c>
      <c r="AX14" s="19">
        <f>'P&amp;L'!AX5</f>
        <v>6802.444800000002</v>
      </c>
      <c r="AY14" s="19">
        <f>'P&amp;L'!AY5</f>
        <v>6802.444800000002</v>
      </c>
      <c r="AZ14" s="19">
        <f>'P&amp;L'!AZ5</f>
        <v>6802.444800000002</v>
      </c>
      <c r="BA14" s="19">
        <f>'P&amp;L'!BA5</f>
        <v>6802.444800000002</v>
      </c>
    </row>
    <row r="15" spans="1:53" x14ac:dyDescent="0.35">
      <c r="A15" s="2" t="s">
        <v>427</v>
      </c>
      <c r="B15" s="17">
        <f t="shared" ref="B15:AG15" si="2">SUM(B12:B14)</f>
        <v>8429.5</v>
      </c>
      <c r="C15" s="17">
        <f t="shared" si="2"/>
        <v>5822.875</v>
      </c>
      <c r="D15" s="17">
        <f t="shared" si="2"/>
        <v>5831.1437500000002</v>
      </c>
      <c r="E15" s="17">
        <f t="shared" si="2"/>
        <v>5839.8259374999998</v>
      </c>
      <c r="F15" s="17">
        <f t="shared" si="2"/>
        <v>7423.9422343749993</v>
      </c>
      <c r="G15" s="17">
        <f t="shared" si="2"/>
        <v>5858.5143460937488</v>
      </c>
      <c r="H15" s="17">
        <f t="shared" si="2"/>
        <v>7946.9650633984365</v>
      </c>
      <c r="I15" s="17">
        <f t="shared" si="2"/>
        <v>10062.501649901693</v>
      </c>
      <c r="J15" s="17">
        <f t="shared" si="2"/>
        <v>16324.607565730112</v>
      </c>
      <c r="K15" s="17">
        <f t="shared" si="2"/>
        <v>20892.709194016617</v>
      </c>
      <c r="L15" s="17">
        <f t="shared" si="2"/>
        <v>21823.971737050779</v>
      </c>
      <c r="M15" s="17">
        <f t="shared" si="2"/>
        <v>23102.345115569988</v>
      </c>
      <c r="N15" s="17">
        <f t="shared" si="2"/>
        <v>25906.206121348485</v>
      </c>
      <c r="O15" s="17">
        <f t="shared" si="2"/>
        <v>29408.864114915908</v>
      </c>
      <c r="P15" s="17">
        <f t="shared" si="2"/>
        <v>28730.713601911702</v>
      </c>
      <c r="Q15" s="17">
        <f t="shared" si="2"/>
        <v>28746.30556325729</v>
      </c>
      <c r="R15" s="17">
        <f t="shared" si="2"/>
        <v>30442.677122670153</v>
      </c>
      <c r="S15" s="17">
        <f t="shared" si="2"/>
        <v>35641.464135053662</v>
      </c>
      <c r="T15" s="17">
        <f t="shared" si="2"/>
        <v>34620.013779306348</v>
      </c>
      <c r="U15" s="17">
        <f t="shared" si="2"/>
        <v>36213.703405771666</v>
      </c>
      <c r="V15" s="17">
        <f t="shared" si="2"/>
        <v>35887.10313856024</v>
      </c>
      <c r="W15" s="17">
        <f t="shared" si="2"/>
        <v>38462.079107988262</v>
      </c>
      <c r="X15" s="17">
        <f t="shared" si="2"/>
        <v>38137.518563387675</v>
      </c>
      <c r="Y15" s="17">
        <f t="shared" si="2"/>
        <v>42137.320616557059</v>
      </c>
      <c r="Z15" s="17">
        <f t="shared" si="2"/>
        <v>43375.655397384915</v>
      </c>
      <c r="AA15" s="17">
        <f t="shared" si="2"/>
        <v>46526.686496941657</v>
      </c>
      <c r="AB15" s="17">
        <f t="shared" si="2"/>
        <v>46359.94404210124</v>
      </c>
      <c r="AC15" s="17">
        <f t="shared" si="2"/>
        <v>47971.184183268801</v>
      </c>
      <c r="AD15" s="17">
        <f t="shared" si="2"/>
        <v>47654.085151807245</v>
      </c>
      <c r="AE15" s="17">
        <f t="shared" si="2"/>
        <v>52133.353356272608</v>
      </c>
      <c r="AF15" s="17">
        <f t="shared" si="2"/>
        <v>51319.677924086238</v>
      </c>
      <c r="AG15" s="17">
        <f t="shared" si="2"/>
        <v>52987.211345290547</v>
      </c>
      <c r="AH15" s="17">
        <f t="shared" ref="AH15:BA15" si="3">SUM(AH12:AH14)</f>
        <v>52829.538406305073</v>
      </c>
      <c r="AI15" s="17">
        <f t="shared" si="3"/>
        <v>55375.781382870322</v>
      </c>
      <c r="AJ15" s="17">
        <f t="shared" si="3"/>
        <v>56643.681492638847</v>
      </c>
      <c r="AK15" s="17">
        <f t="shared" si="3"/>
        <v>60125.10426414579</v>
      </c>
      <c r="AL15" s="17">
        <f t="shared" si="3"/>
        <v>62237.421227353087</v>
      </c>
      <c r="AM15" s="17">
        <f t="shared" si="3"/>
        <v>64626.064451298851</v>
      </c>
      <c r="AN15" s="17">
        <f t="shared" si="3"/>
        <v>64492.792730973175</v>
      </c>
      <c r="AO15" s="17">
        <f t="shared" si="3"/>
        <v>67876.10737556871</v>
      </c>
      <c r="AP15" s="17">
        <f t="shared" si="3"/>
        <v>67235.907290909643</v>
      </c>
      <c r="AQ15" s="17">
        <f t="shared" si="3"/>
        <v>73059.030933267641</v>
      </c>
      <c r="AR15" s="17">
        <f t="shared" si="3"/>
        <v>72258.905639931007</v>
      </c>
      <c r="AS15" s="17">
        <f t="shared" si="3"/>
        <v>76898.120837240043</v>
      </c>
      <c r="AT15" s="17">
        <f t="shared" si="3"/>
        <v>76434.636664336431</v>
      </c>
      <c r="AU15" s="17">
        <f t="shared" si="3"/>
        <v>76336.687022787635</v>
      </c>
      <c r="AV15" s="17">
        <f t="shared" si="3"/>
        <v>76407.443959161377</v>
      </c>
      <c r="AW15" s="17">
        <f t="shared" si="3"/>
        <v>76647.075942353826</v>
      </c>
      <c r="AX15" s="17">
        <f t="shared" si="3"/>
        <v>80293.094979471498</v>
      </c>
      <c r="AY15" s="17">
        <f t="shared" si="3"/>
        <v>80375.004977941178</v>
      </c>
      <c r="AZ15" s="17">
        <f t="shared" si="3"/>
        <v>80639.57465233434</v>
      </c>
      <c r="BA15" s="17">
        <f t="shared" si="3"/>
        <v>80551.316249647149</v>
      </c>
    </row>
    <row r="17" spans="1:53" x14ac:dyDescent="0.35">
      <c r="A17" s="2" t="s">
        <v>428</v>
      </c>
    </row>
    <row r="18" spans="1:53" x14ac:dyDescent="0.35">
      <c r="A18" s="3" t="s">
        <v>429</v>
      </c>
      <c r="B18" s="19">
        <v>25000</v>
      </c>
      <c r="C18" s="19">
        <v>25000</v>
      </c>
      <c r="D18" s="19">
        <v>25000</v>
      </c>
      <c r="E18" s="19">
        <v>25000</v>
      </c>
      <c r="F18" s="19">
        <v>25000</v>
      </c>
      <c r="G18" s="19">
        <v>25000</v>
      </c>
      <c r="H18" s="19">
        <v>25000</v>
      </c>
      <c r="I18" s="19">
        <v>25000</v>
      </c>
      <c r="J18" s="19">
        <v>25000</v>
      </c>
      <c r="K18" s="19">
        <v>25000</v>
      </c>
      <c r="L18" s="19">
        <v>25000</v>
      </c>
      <c r="M18" s="19">
        <v>25000</v>
      </c>
      <c r="N18" s="19">
        <v>25000</v>
      </c>
      <c r="O18" s="19">
        <v>25000</v>
      </c>
      <c r="P18" s="19">
        <v>25000</v>
      </c>
      <c r="Q18" s="19">
        <v>25000</v>
      </c>
      <c r="R18" s="19">
        <v>25000</v>
      </c>
      <c r="S18" s="19">
        <v>25000</v>
      </c>
      <c r="T18" s="19">
        <v>25000</v>
      </c>
      <c r="U18" s="19">
        <v>25000</v>
      </c>
      <c r="V18" s="19">
        <v>25000</v>
      </c>
      <c r="W18" s="19">
        <v>25000</v>
      </c>
      <c r="X18" s="19">
        <v>25000</v>
      </c>
      <c r="Y18" s="19">
        <v>25000</v>
      </c>
      <c r="Z18" s="19">
        <v>25000</v>
      </c>
      <c r="AA18" s="19">
        <v>25000</v>
      </c>
      <c r="AB18" s="19">
        <v>25000</v>
      </c>
      <c r="AC18" s="19">
        <v>25000</v>
      </c>
      <c r="AD18" s="19">
        <v>25000</v>
      </c>
      <c r="AE18" s="19">
        <v>25000</v>
      </c>
      <c r="AF18" s="19">
        <v>25000</v>
      </c>
      <c r="AG18" s="19">
        <v>25000</v>
      </c>
      <c r="AH18" s="19">
        <v>25000</v>
      </c>
      <c r="AI18" s="19">
        <v>25000</v>
      </c>
      <c r="AJ18" s="19">
        <v>25000</v>
      </c>
      <c r="AK18" s="19">
        <v>25000</v>
      </c>
      <c r="AL18" s="19">
        <v>25000</v>
      </c>
      <c r="AM18" s="19">
        <v>25000</v>
      </c>
      <c r="AN18" s="19">
        <v>25000</v>
      </c>
      <c r="AO18" s="19">
        <v>25000</v>
      </c>
      <c r="AP18" s="19">
        <v>25000</v>
      </c>
      <c r="AQ18" s="19">
        <v>25000</v>
      </c>
      <c r="AR18" s="19">
        <v>25000</v>
      </c>
      <c r="AS18" s="19">
        <v>25000</v>
      </c>
      <c r="AT18" s="19">
        <v>25000</v>
      </c>
      <c r="AU18" s="19">
        <v>25000</v>
      </c>
      <c r="AV18" s="19">
        <v>25000</v>
      </c>
      <c r="AW18" s="19">
        <v>25000</v>
      </c>
      <c r="AX18" s="19">
        <v>25000</v>
      </c>
      <c r="AY18" s="19">
        <v>25000</v>
      </c>
      <c r="AZ18" s="19">
        <v>25000</v>
      </c>
      <c r="BA18" s="19">
        <v>25000</v>
      </c>
    </row>
    <row r="19" spans="1:53" x14ac:dyDescent="0.35">
      <c r="A19" s="3" t="s">
        <v>430</v>
      </c>
      <c r="B19" s="19">
        <f>IF(1=Inputs!$B$11,Inputs!$B$10,0)+IF(1=Inputs!$B$13,Inputs!$B$12,0)+IF(1=Inputs!$B$15,Inputs!$B$14,0)+IF(1=Inputs!$B$17,Inputs!$B$16,0)</f>
        <v>90000</v>
      </c>
      <c r="C19" s="19">
        <f>B19+IF(2=Inputs!$B$11,Inputs!$B$10,0)+IF(2=Inputs!$B$13,Inputs!$B$12,0)+IF(2=Inputs!$B$15,Inputs!$B$14,0)+IF(2=Inputs!$B$17,Inputs!$B$16,0)</f>
        <v>90000</v>
      </c>
      <c r="D19" s="19">
        <f>C19+IF(3=Inputs!$B$11,Inputs!$B$10,0)+IF(3=Inputs!$B$13,Inputs!$B$12,0)+IF(3=Inputs!$B$15,Inputs!$B$14,0)+IF(3=Inputs!$B$17,Inputs!$B$16,0)</f>
        <v>90000</v>
      </c>
      <c r="E19" s="19">
        <f>D19+IF(4=Inputs!$B$11,Inputs!$B$10,0)+IF(4=Inputs!$B$13,Inputs!$B$12,0)+IF(4=Inputs!$B$15,Inputs!$B$14,0)+IF(4=Inputs!$B$17,Inputs!$B$16,0)</f>
        <v>90000</v>
      </c>
      <c r="F19" s="19">
        <f>E19+IF(5=Inputs!$B$11,Inputs!$B$10,0)+IF(5=Inputs!$B$13,Inputs!$B$12,0)+IF(5=Inputs!$B$15,Inputs!$B$14,0)+IF(5=Inputs!$B$17,Inputs!$B$16,0)</f>
        <v>1590000</v>
      </c>
      <c r="G19" s="19">
        <f>F19+IF(6=Inputs!$B$11,Inputs!$B$10,0)+IF(6=Inputs!$B$13,Inputs!$B$12,0)+IF(6=Inputs!$B$15,Inputs!$B$14,0)+IF(6=Inputs!$B$17,Inputs!$B$16,0)</f>
        <v>1590000</v>
      </c>
      <c r="H19" s="19">
        <f>G19+IF(7=Inputs!$B$11,Inputs!$B$10,0)+IF(7=Inputs!$B$13,Inputs!$B$12,0)+IF(7=Inputs!$B$15,Inputs!$B$14,0)+IF(7=Inputs!$B$17,Inputs!$B$16,0)</f>
        <v>1590000</v>
      </c>
      <c r="I19" s="19">
        <f>H19+IF(8=Inputs!$B$11,Inputs!$B$10,0)+IF(8=Inputs!$B$13,Inputs!$B$12,0)+IF(8=Inputs!$B$15,Inputs!$B$14,0)+IF(8=Inputs!$B$17,Inputs!$B$16,0)</f>
        <v>1590000</v>
      </c>
      <c r="J19" s="19">
        <f>I19+IF(9=Inputs!$B$11,Inputs!$B$10,0)+IF(9=Inputs!$B$13,Inputs!$B$12,0)+IF(9=Inputs!$B$15,Inputs!$B$14,0)+IF(9=Inputs!$B$17,Inputs!$B$16,0)</f>
        <v>1590000</v>
      </c>
      <c r="K19" s="19">
        <f>J19+IF(10=Inputs!$B$11,Inputs!$B$10,0)+IF(10=Inputs!$B$13,Inputs!$B$12,0)+IF(10=Inputs!$B$15,Inputs!$B$14,0)+IF(10=Inputs!$B$17,Inputs!$B$16,0)</f>
        <v>1590000</v>
      </c>
      <c r="L19" s="19">
        <f>K19+IF(11=Inputs!$B$11,Inputs!$B$10,0)+IF(11=Inputs!$B$13,Inputs!$B$12,0)+IF(11=Inputs!$B$15,Inputs!$B$14,0)+IF(11=Inputs!$B$17,Inputs!$B$16,0)</f>
        <v>1590000</v>
      </c>
      <c r="M19" s="19">
        <f>L19+IF(12=Inputs!$B$11,Inputs!$B$10,0)+IF(12=Inputs!$B$13,Inputs!$B$12,0)+IF(12=Inputs!$B$15,Inputs!$B$14,0)+IF(12=Inputs!$B$17,Inputs!$B$16,0)</f>
        <v>1590000</v>
      </c>
      <c r="N19" s="19">
        <f>M19+IF(13=Inputs!$B$11,Inputs!$B$10,0)+IF(13=Inputs!$B$13,Inputs!$B$12,0)+IF(13=Inputs!$B$15,Inputs!$B$14,0)+IF(13=Inputs!$B$17,Inputs!$B$16,0)</f>
        <v>1590000</v>
      </c>
      <c r="O19" s="19">
        <f>N19+IF(14=Inputs!$B$11,Inputs!$B$10,0)+IF(14=Inputs!$B$13,Inputs!$B$12,0)+IF(14=Inputs!$B$15,Inputs!$B$14,0)+IF(14=Inputs!$B$17,Inputs!$B$16,0)</f>
        <v>1590000</v>
      </c>
      <c r="P19" s="19">
        <f>O19+IF(15=Inputs!$B$11,Inputs!$B$10,0)+IF(15=Inputs!$B$13,Inputs!$B$12,0)+IF(15=Inputs!$B$15,Inputs!$B$14,0)+IF(15=Inputs!$B$17,Inputs!$B$16,0)</f>
        <v>1590000</v>
      </c>
      <c r="Q19" s="19">
        <f>P19+IF(16=Inputs!$B$11,Inputs!$B$10,0)+IF(16=Inputs!$B$13,Inputs!$B$12,0)+IF(16=Inputs!$B$15,Inputs!$B$14,0)+IF(16=Inputs!$B$17,Inputs!$B$16,0)</f>
        <v>1590000</v>
      </c>
      <c r="R19" s="19">
        <f>Q19+IF(17=Inputs!$B$11,Inputs!$B$10,0)+IF(17=Inputs!$B$13,Inputs!$B$12,0)+IF(17=Inputs!$B$15,Inputs!$B$14,0)+IF(17=Inputs!$B$17,Inputs!$B$16,0)</f>
        <v>7590000</v>
      </c>
      <c r="S19" s="19">
        <f>R19+IF(18=Inputs!$B$11,Inputs!$B$10,0)+IF(18=Inputs!$B$13,Inputs!$B$12,0)+IF(18=Inputs!$B$15,Inputs!$B$14,0)+IF(18=Inputs!$B$17,Inputs!$B$16,0)</f>
        <v>7590000</v>
      </c>
      <c r="T19" s="19">
        <f>S19+IF(19=Inputs!$B$11,Inputs!$B$10,0)+IF(19=Inputs!$B$13,Inputs!$B$12,0)+IF(19=Inputs!$B$15,Inputs!$B$14,0)+IF(19=Inputs!$B$17,Inputs!$B$16,0)</f>
        <v>7590000</v>
      </c>
      <c r="U19" s="19">
        <f>T19+IF(20=Inputs!$B$11,Inputs!$B$10,0)+IF(20=Inputs!$B$13,Inputs!$B$12,0)+IF(20=Inputs!$B$15,Inputs!$B$14,0)+IF(20=Inputs!$B$17,Inputs!$B$16,0)</f>
        <v>7590000</v>
      </c>
      <c r="V19" s="19">
        <f>U19+IF(21=Inputs!$B$11,Inputs!$B$10,0)+IF(21=Inputs!$B$13,Inputs!$B$12,0)+IF(21=Inputs!$B$15,Inputs!$B$14,0)+IF(21=Inputs!$B$17,Inputs!$B$16,0)</f>
        <v>7590000</v>
      </c>
      <c r="W19" s="19">
        <f>V19+IF(22=Inputs!$B$11,Inputs!$B$10,0)+IF(22=Inputs!$B$13,Inputs!$B$12,0)+IF(22=Inputs!$B$15,Inputs!$B$14,0)+IF(22=Inputs!$B$17,Inputs!$B$16,0)</f>
        <v>7590000</v>
      </c>
      <c r="X19" s="19">
        <f>W19+IF(23=Inputs!$B$11,Inputs!$B$10,0)+IF(23=Inputs!$B$13,Inputs!$B$12,0)+IF(23=Inputs!$B$15,Inputs!$B$14,0)+IF(23=Inputs!$B$17,Inputs!$B$16,0)</f>
        <v>7590000</v>
      </c>
      <c r="Y19" s="19">
        <f>X19+IF(24=Inputs!$B$11,Inputs!$B$10,0)+IF(24=Inputs!$B$13,Inputs!$B$12,0)+IF(24=Inputs!$B$15,Inputs!$B$14,0)+IF(24=Inputs!$B$17,Inputs!$B$16,0)</f>
        <v>7590000</v>
      </c>
      <c r="Z19" s="19">
        <f>Y19+IF(25=Inputs!$B$11,Inputs!$B$10,0)+IF(25=Inputs!$B$13,Inputs!$B$12,0)+IF(25=Inputs!$B$15,Inputs!$B$14,0)+IF(25=Inputs!$B$17,Inputs!$B$16,0)</f>
        <v>7590000</v>
      </c>
      <c r="AA19" s="19">
        <f>Z19+IF(26=Inputs!$B$11,Inputs!$B$10,0)+IF(26=Inputs!$B$13,Inputs!$B$12,0)+IF(26=Inputs!$B$15,Inputs!$B$14,0)+IF(26=Inputs!$B$17,Inputs!$B$16,0)</f>
        <v>7590000</v>
      </c>
      <c r="AB19" s="19">
        <f>AA19+IF(27=Inputs!$B$11,Inputs!$B$10,0)+IF(27=Inputs!$B$13,Inputs!$B$12,0)+IF(27=Inputs!$B$15,Inputs!$B$14,0)+IF(27=Inputs!$B$17,Inputs!$B$16,0)</f>
        <v>7590000</v>
      </c>
      <c r="AC19" s="19">
        <f>AB19+IF(28=Inputs!$B$11,Inputs!$B$10,0)+IF(28=Inputs!$B$13,Inputs!$B$12,0)+IF(28=Inputs!$B$15,Inputs!$B$14,0)+IF(28=Inputs!$B$17,Inputs!$B$16,0)</f>
        <v>7590000</v>
      </c>
      <c r="AD19" s="19">
        <f>AC19+IF(29=Inputs!$B$11,Inputs!$B$10,0)+IF(29=Inputs!$B$13,Inputs!$B$12,0)+IF(29=Inputs!$B$15,Inputs!$B$14,0)+IF(29=Inputs!$B$17,Inputs!$B$16,0)</f>
        <v>7590000</v>
      </c>
      <c r="AE19" s="19">
        <f>AD19+IF(30=Inputs!$B$11,Inputs!$B$10,0)+IF(30=Inputs!$B$13,Inputs!$B$12,0)+IF(30=Inputs!$B$15,Inputs!$B$14,0)+IF(30=Inputs!$B$17,Inputs!$B$16,0)</f>
        <v>7590000</v>
      </c>
      <c r="AF19" s="19">
        <f>AE19+IF(31=Inputs!$B$11,Inputs!$B$10,0)+IF(31=Inputs!$B$13,Inputs!$B$12,0)+IF(31=Inputs!$B$15,Inputs!$B$14,0)+IF(31=Inputs!$B$17,Inputs!$B$16,0)</f>
        <v>7590000</v>
      </c>
      <c r="AG19" s="19">
        <f>AF19+IF(32=Inputs!$B$11,Inputs!$B$10,0)+IF(32=Inputs!$B$13,Inputs!$B$12,0)+IF(32=Inputs!$B$15,Inputs!$B$14,0)+IF(32=Inputs!$B$17,Inputs!$B$16,0)</f>
        <v>7590000</v>
      </c>
      <c r="AH19" s="19">
        <f>AG19+IF(33=Inputs!$B$11,Inputs!$B$10,0)+IF(33=Inputs!$B$13,Inputs!$B$12,0)+IF(33=Inputs!$B$15,Inputs!$B$14,0)+IF(33=Inputs!$B$17,Inputs!$B$16,0)</f>
        <v>7590000</v>
      </c>
      <c r="AI19" s="19">
        <f>AH19+IF(34=Inputs!$B$11,Inputs!$B$10,0)+IF(34=Inputs!$B$13,Inputs!$B$12,0)+IF(34=Inputs!$B$15,Inputs!$B$14,0)+IF(34=Inputs!$B$17,Inputs!$B$16,0)</f>
        <v>7590000</v>
      </c>
      <c r="AJ19" s="19">
        <f>AI19+IF(35=Inputs!$B$11,Inputs!$B$10,0)+IF(35=Inputs!$B$13,Inputs!$B$12,0)+IF(35=Inputs!$B$15,Inputs!$B$14,0)+IF(35=Inputs!$B$17,Inputs!$B$16,0)</f>
        <v>22590000</v>
      </c>
      <c r="AK19" s="19">
        <f>AJ19+IF(36=Inputs!$B$11,Inputs!$B$10,0)+IF(36=Inputs!$B$13,Inputs!$B$12,0)+IF(36=Inputs!$B$15,Inputs!$B$14,0)+IF(36=Inputs!$B$17,Inputs!$B$16,0)</f>
        <v>22590000</v>
      </c>
      <c r="AL19" s="19">
        <f>AK19+IF(37=Inputs!$B$11,Inputs!$B$10,0)+IF(37=Inputs!$B$13,Inputs!$B$12,0)+IF(37=Inputs!$B$15,Inputs!$B$14,0)+IF(37=Inputs!$B$17,Inputs!$B$16,0)</f>
        <v>22590000</v>
      </c>
      <c r="AM19" s="19">
        <f>AL19+IF(38=Inputs!$B$11,Inputs!$B$10,0)+IF(38=Inputs!$B$13,Inputs!$B$12,0)+IF(38=Inputs!$B$15,Inputs!$B$14,0)+IF(38=Inputs!$B$17,Inputs!$B$16,0)</f>
        <v>22590000</v>
      </c>
      <c r="AN19" s="19">
        <f>AM19+IF(39=Inputs!$B$11,Inputs!$B$10,0)+IF(39=Inputs!$B$13,Inputs!$B$12,0)+IF(39=Inputs!$B$15,Inputs!$B$14,0)+IF(39=Inputs!$B$17,Inputs!$B$16,0)</f>
        <v>22590000</v>
      </c>
      <c r="AO19" s="19">
        <f>AN19+IF(40=Inputs!$B$11,Inputs!$B$10,0)+IF(40=Inputs!$B$13,Inputs!$B$12,0)+IF(40=Inputs!$B$15,Inputs!$B$14,0)+IF(40=Inputs!$B$17,Inputs!$B$16,0)</f>
        <v>22590000</v>
      </c>
      <c r="AP19" s="19">
        <f>AO19+IF(41=Inputs!$B$11,Inputs!$B$10,0)+IF(41=Inputs!$B$13,Inputs!$B$12,0)+IF(41=Inputs!$B$15,Inputs!$B$14,0)+IF(41=Inputs!$B$17,Inputs!$B$16,0)</f>
        <v>22590000</v>
      </c>
      <c r="AQ19" s="19">
        <f>AP19+IF(42=Inputs!$B$11,Inputs!$B$10,0)+IF(42=Inputs!$B$13,Inputs!$B$12,0)+IF(42=Inputs!$B$15,Inputs!$B$14,0)+IF(42=Inputs!$B$17,Inputs!$B$16,0)</f>
        <v>22590000</v>
      </c>
      <c r="AR19" s="19">
        <f>AQ19+IF(43=Inputs!$B$11,Inputs!$B$10,0)+IF(43=Inputs!$B$13,Inputs!$B$12,0)+IF(43=Inputs!$B$15,Inputs!$B$14,0)+IF(43=Inputs!$B$17,Inputs!$B$16,0)</f>
        <v>22590000</v>
      </c>
      <c r="AS19" s="19">
        <f>AR19+IF(44=Inputs!$B$11,Inputs!$B$10,0)+IF(44=Inputs!$B$13,Inputs!$B$12,0)+IF(44=Inputs!$B$15,Inputs!$B$14,0)+IF(44=Inputs!$B$17,Inputs!$B$16,0)</f>
        <v>22590000</v>
      </c>
      <c r="AT19" s="19">
        <f>AS19+IF(45=Inputs!$B$11,Inputs!$B$10,0)+IF(45=Inputs!$B$13,Inputs!$B$12,0)+IF(45=Inputs!$B$15,Inputs!$B$14,0)+IF(45=Inputs!$B$17,Inputs!$B$16,0)</f>
        <v>22590000</v>
      </c>
      <c r="AU19" s="19">
        <f>AT19+IF(46=Inputs!$B$11,Inputs!$B$10,0)+IF(46=Inputs!$B$13,Inputs!$B$12,0)+IF(46=Inputs!$B$15,Inputs!$B$14,0)+IF(46=Inputs!$B$17,Inputs!$B$16,0)</f>
        <v>22590000</v>
      </c>
      <c r="AV19" s="19">
        <f>AU19+IF(47=Inputs!$B$11,Inputs!$B$10,0)+IF(47=Inputs!$B$13,Inputs!$B$12,0)+IF(47=Inputs!$B$15,Inputs!$B$14,0)+IF(47=Inputs!$B$17,Inputs!$B$16,0)</f>
        <v>22590000</v>
      </c>
      <c r="AW19" s="19">
        <f>AV19+IF(48=Inputs!$B$11,Inputs!$B$10,0)+IF(48=Inputs!$B$13,Inputs!$B$12,0)+IF(48=Inputs!$B$15,Inputs!$B$14,0)+IF(48=Inputs!$B$17,Inputs!$B$16,0)</f>
        <v>22590000</v>
      </c>
      <c r="AX19" s="19">
        <f>AW19+IF(49=Inputs!$B$11,Inputs!$B$10,0)+IF(49=Inputs!$B$13,Inputs!$B$12,0)+IF(49=Inputs!$B$15,Inputs!$B$14,0)+IF(49=Inputs!$B$17,Inputs!$B$16,0)</f>
        <v>22590000</v>
      </c>
      <c r="AY19" s="19">
        <f>AX19+IF(50=Inputs!$B$11,Inputs!$B$10,0)+IF(50=Inputs!$B$13,Inputs!$B$12,0)+IF(50=Inputs!$B$15,Inputs!$B$14,0)+IF(50=Inputs!$B$17,Inputs!$B$16,0)</f>
        <v>22590000</v>
      </c>
      <c r="AZ19" s="19">
        <f>AY19+IF(51=Inputs!$B$11,Inputs!$B$10,0)+IF(51=Inputs!$B$13,Inputs!$B$12,0)+IF(51=Inputs!$B$15,Inputs!$B$14,0)+IF(51=Inputs!$B$17,Inputs!$B$16,0)</f>
        <v>22590000</v>
      </c>
      <c r="BA19" s="19">
        <f>AZ19+IF(52=Inputs!$B$11,Inputs!$B$10,0)+IF(52=Inputs!$B$13,Inputs!$B$12,0)+IF(52=Inputs!$B$15,Inputs!$B$14,0)+IF(52=Inputs!$B$17,Inputs!$B$16,0)</f>
        <v>22590000</v>
      </c>
    </row>
    <row r="20" spans="1:53" x14ac:dyDescent="0.35">
      <c r="A20" s="3" t="s">
        <v>431</v>
      </c>
      <c r="B20" s="19">
        <f>'P&amp;L'!B39</f>
        <v>-68146</v>
      </c>
      <c r="C20" s="19">
        <f>B20+'P&amp;L'!C39</f>
        <v>-110000.75</v>
      </c>
      <c r="D20" s="19">
        <f>C20+'P&amp;L'!D39</f>
        <v>-151990.6875</v>
      </c>
      <c r="E20" s="19">
        <f>D20+'P&amp;L'!E39</f>
        <v>-194122.57187499999</v>
      </c>
      <c r="F20" s="19">
        <f>E20+'P&amp;L'!F39</f>
        <v>-252153.50046874999</v>
      </c>
      <c r="G20" s="19">
        <f>F20+'P&amp;L'!G39</f>
        <v>-294590.9254921875</v>
      </c>
      <c r="H20" s="19">
        <f>G20+'P&amp;L'!H39</f>
        <v>-350808.33843346353</v>
      </c>
      <c r="I20" s="19">
        <f>H20+'P&amp;L'!I39</f>
        <v>-419374.78868847003</v>
      </c>
      <c r="J20" s="19">
        <f>I20+'P&amp;L'!J39</f>
        <v>-491167.65312289353</v>
      </c>
      <c r="K20" s="19">
        <f>J20+'P&amp;L'!K39</f>
        <v>-591060.40661237156</v>
      </c>
      <c r="L20" s="19">
        <f>K20+'P&amp;L'!L39</f>
        <v>-695008.35194299009</v>
      </c>
      <c r="M20" s="19">
        <f>L20+'P&amp;L'!M39</f>
        <v>-806578.14245680626</v>
      </c>
      <c r="N20" s="19">
        <f>M20+'P&amp;L'!N39</f>
        <v>-931774.52666297997</v>
      </c>
      <c r="O20" s="19">
        <f>N20+'P&amp;L'!O39</f>
        <v>-1079050.4502877956</v>
      </c>
      <c r="P20" s="19">
        <f>O20+'P&amp;L'!P39</f>
        <v>-1219455.817906352</v>
      </c>
      <c r="Q20" s="19">
        <f>P20+'P&amp;L'!Q39</f>
        <v>-1360116.1017183363</v>
      </c>
      <c r="R20" s="19">
        <f>Q20+'P&amp;L'!R39</f>
        <v>-1517844.0475334199</v>
      </c>
      <c r="S20" s="19">
        <f>R20+'P&amp;L'!S39</f>
        <v>-1705498.5072017575</v>
      </c>
      <c r="T20" s="19">
        <f>S20+'P&amp;L'!T39</f>
        <v>-1882778.0642285121</v>
      </c>
      <c r="U20" s="19">
        <f>T20+'P&amp;L'!U39</f>
        <v>-2071124.5151482711</v>
      </c>
      <c r="V20" s="19">
        <f>U20+'P&amp;L'!V39</f>
        <v>-2256239.6442390177</v>
      </c>
      <c r="W20" s="19">
        <f>V20+'P&amp;L'!W39</f>
        <v>-2458011.8645759686</v>
      </c>
      <c r="X20" s="19">
        <f>W20+'P&amp;L'!X39</f>
        <v>-2656586.1109297671</v>
      </c>
      <c r="Y20" s="19">
        <f>X20+'P&amp;L'!Y39</f>
        <v>-2869196.974184589</v>
      </c>
      <c r="Z20" s="19">
        <f>Y20+'P&amp;L'!Z39</f>
        <v>-3081375.2431021519</v>
      </c>
      <c r="AA20" s="19">
        <f>Z20+'P&amp;L'!AA39</f>
        <v>-3313755.1946791345</v>
      </c>
      <c r="AB20" s="19">
        <f>AA20+'P&amp;L'!AB39</f>
        <v>-3530329.8727880912</v>
      </c>
      <c r="AC20" s="19">
        <f>AB20+'P&amp;L'!AC39</f>
        <v>-3757505.6276097875</v>
      </c>
      <c r="AD20" s="19">
        <f>AC20+'P&amp;L'!AD39</f>
        <v>-3981605.3982663187</v>
      </c>
      <c r="AE20" s="19">
        <f>AD20+'P&amp;L'!AE39</f>
        <v>-4221542.7407577597</v>
      </c>
      <c r="AF20" s="19">
        <f>AE20+'P&amp;L'!AF39</f>
        <v>-4453365.8023737725</v>
      </c>
      <c r="AG20" s="19">
        <f>AF20+'P&amp;L'!AG39</f>
        <v>-4696835.8619872527</v>
      </c>
      <c r="AH20" s="19">
        <f>AG20+'P&amp;L'!AH39</f>
        <v>-4924648.927518907</v>
      </c>
      <c r="AI20" s="19">
        <f>AH20+'P&amp;L'!AI39</f>
        <v>-5168471.4865563102</v>
      </c>
      <c r="AJ20" s="19">
        <f>AI20+'P&amp;L'!AJ39</f>
        <v>-5425131.5394518338</v>
      </c>
      <c r="AK20" s="19">
        <f>AJ20+'P&amp;L'!AK39</f>
        <v>-5685493.9957942171</v>
      </c>
      <c r="AL20" s="19">
        <f>AK20+'P&amp;L'!AL39</f>
        <v>-5945677.6814537197</v>
      </c>
      <c r="AM20" s="19">
        <f>AL20+'P&amp;L'!AM39</f>
        <v>-6221724.6993261455</v>
      </c>
      <c r="AN20" s="19">
        <f>AM20+'P&amp;L'!AN39</f>
        <v>-6481298.663675786</v>
      </c>
      <c r="AO20" s="19">
        <f>AN20+'P&amp;L'!AO39</f>
        <v>-6763535.6629192112</v>
      </c>
      <c r="AP20" s="19">
        <f>AO20+'P&amp;L'!AP39</f>
        <v>-7039522.565540432</v>
      </c>
      <c r="AQ20" s="19">
        <f>AP20+'P&amp;L'!AQ39</f>
        <v>-7338379.3123541726</v>
      </c>
      <c r="AR20" s="19">
        <f>AQ20+'P&amp;L'!AR39</f>
        <v>-7629421.0723085999</v>
      </c>
      <c r="AS20" s="19">
        <f>AR20+'P&amp;L'!AS39</f>
        <v>-7951084.5906972066</v>
      </c>
      <c r="AT20" s="19">
        <f>AS20+'P&amp;L'!AT39</f>
        <v>-8252984.6773700882</v>
      </c>
      <c r="AU20" s="19">
        <f>AT20+'P&amp;L'!AU39</f>
        <v>-8554333.1251414567</v>
      </c>
      <c r="AV20" s="19">
        <f>AU20+'P&amp;L'!AV39</f>
        <v>-8856838.3926662374</v>
      </c>
      <c r="AW20" s="19">
        <f>AV20+'P&amp;L'!AW39</f>
        <v>-9162211.692932101</v>
      </c>
      <c r="AX20" s="19">
        <f>AW20+'P&amp;L'!AX39</f>
        <v>-9475219.3521312587</v>
      </c>
      <c r="AY20" s="19">
        <f>AX20+'P&amp;L'!AY39</f>
        <v>-9789566.1747974604</v>
      </c>
      <c r="AZ20" s="19">
        <f>AY20+'P&amp;L'!AZ39</f>
        <v>-10090523.801664058</v>
      </c>
      <c r="BA20" s="19">
        <f>AZ20+'P&amp;L'!BA39</f>
        <v>-10391172.214493072</v>
      </c>
    </row>
    <row r="21" spans="1:53" x14ac:dyDescent="0.35">
      <c r="A21" s="2" t="s">
        <v>432</v>
      </c>
      <c r="B21" s="17">
        <f t="shared" ref="B21:AG21" si="4">B18+B19+B20</f>
        <v>46854</v>
      </c>
      <c r="C21" s="17">
        <f t="shared" si="4"/>
        <v>4999.25</v>
      </c>
      <c r="D21" s="17">
        <f t="shared" si="4"/>
        <v>-36990.6875</v>
      </c>
      <c r="E21" s="17">
        <f t="shared" si="4"/>
        <v>-79122.571874999994</v>
      </c>
      <c r="F21" s="17">
        <f t="shared" si="4"/>
        <v>1362846.49953125</v>
      </c>
      <c r="G21" s="17">
        <f t="shared" si="4"/>
        <v>1320409.0745078125</v>
      </c>
      <c r="H21" s="17">
        <f t="shared" si="4"/>
        <v>1264191.6615665364</v>
      </c>
      <c r="I21" s="17">
        <f t="shared" si="4"/>
        <v>1195625.2113115299</v>
      </c>
      <c r="J21" s="17">
        <f t="shared" si="4"/>
        <v>1123832.3468771065</v>
      </c>
      <c r="K21" s="17">
        <f t="shared" si="4"/>
        <v>1023939.5933876284</v>
      </c>
      <c r="L21" s="17">
        <f t="shared" si="4"/>
        <v>919991.64805700991</v>
      </c>
      <c r="M21" s="17">
        <f t="shared" si="4"/>
        <v>808421.85754319374</v>
      </c>
      <c r="N21" s="17">
        <f t="shared" si="4"/>
        <v>683225.47333702003</v>
      </c>
      <c r="O21" s="17">
        <f t="shared" si="4"/>
        <v>535949.54971220437</v>
      </c>
      <c r="P21" s="17">
        <f t="shared" si="4"/>
        <v>395544.18209364801</v>
      </c>
      <c r="Q21" s="17">
        <f t="shared" si="4"/>
        <v>254883.89828166366</v>
      </c>
      <c r="R21" s="17">
        <f t="shared" si="4"/>
        <v>6097155.9524665801</v>
      </c>
      <c r="S21" s="17">
        <f t="shared" si="4"/>
        <v>5909501.4927982427</v>
      </c>
      <c r="T21" s="17">
        <f t="shared" si="4"/>
        <v>5732221.9357714877</v>
      </c>
      <c r="U21" s="17">
        <f t="shared" si="4"/>
        <v>5543875.4848517291</v>
      </c>
      <c r="V21" s="17">
        <f t="shared" si="4"/>
        <v>5358760.3557609823</v>
      </c>
      <c r="W21" s="17">
        <f t="shared" si="4"/>
        <v>5156988.1354240309</v>
      </c>
      <c r="X21" s="17">
        <f t="shared" si="4"/>
        <v>4958413.8890702333</v>
      </c>
      <c r="Y21" s="17">
        <f t="shared" si="4"/>
        <v>4745803.0258154105</v>
      </c>
      <c r="Z21" s="17">
        <f t="shared" si="4"/>
        <v>4533624.7568978481</v>
      </c>
      <c r="AA21" s="17">
        <f t="shared" si="4"/>
        <v>4301244.8053208655</v>
      </c>
      <c r="AB21" s="17">
        <f t="shared" si="4"/>
        <v>4084670.1272119088</v>
      </c>
      <c r="AC21" s="17">
        <f t="shared" si="4"/>
        <v>3857494.3723902125</v>
      </c>
      <c r="AD21" s="17">
        <f t="shared" si="4"/>
        <v>3633394.6017336813</v>
      </c>
      <c r="AE21" s="17">
        <f t="shared" si="4"/>
        <v>3393457.2592422403</v>
      </c>
      <c r="AF21" s="17">
        <f t="shared" si="4"/>
        <v>3161634.1976262275</v>
      </c>
      <c r="AG21" s="17">
        <f t="shared" si="4"/>
        <v>2918164.1380127473</v>
      </c>
      <c r="AH21" s="17">
        <f t="shared" ref="AH21:BA21" si="5">AH18+AH19+AH20</f>
        <v>2690351.072481093</v>
      </c>
      <c r="AI21" s="17">
        <f t="shared" si="5"/>
        <v>2446528.5134436898</v>
      </c>
      <c r="AJ21" s="17">
        <f t="shared" si="5"/>
        <v>17189868.460548166</v>
      </c>
      <c r="AK21" s="17">
        <f t="shared" si="5"/>
        <v>16929506.004205782</v>
      </c>
      <c r="AL21" s="17">
        <f t="shared" si="5"/>
        <v>16669322.31854628</v>
      </c>
      <c r="AM21" s="17">
        <f t="shared" si="5"/>
        <v>16393275.300673854</v>
      </c>
      <c r="AN21" s="17">
        <f t="shared" si="5"/>
        <v>16133701.336324215</v>
      </c>
      <c r="AO21" s="17">
        <f t="shared" si="5"/>
        <v>15851464.337080788</v>
      </c>
      <c r="AP21" s="17">
        <f t="shared" si="5"/>
        <v>15575477.434459567</v>
      </c>
      <c r="AQ21" s="17">
        <f t="shared" si="5"/>
        <v>15276620.687645826</v>
      </c>
      <c r="AR21" s="17">
        <f t="shared" si="5"/>
        <v>14985578.9276914</v>
      </c>
      <c r="AS21" s="17">
        <f t="shared" si="5"/>
        <v>14663915.409302793</v>
      </c>
      <c r="AT21" s="17">
        <f t="shared" si="5"/>
        <v>14362015.322629912</v>
      </c>
      <c r="AU21" s="17">
        <f t="shared" si="5"/>
        <v>14060666.874858543</v>
      </c>
      <c r="AV21" s="17">
        <f t="shared" si="5"/>
        <v>13758161.607333763</v>
      </c>
      <c r="AW21" s="17">
        <f t="shared" si="5"/>
        <v>13452788.307067899</v>
      </c>
      <c r="AX21" s="17">
        <f t="shared" si="5"/>
        <v>13139780.647868741</v>
      </c>
      <c r="AY21" s="17">
        <f t="shared" si="5"/>
        <v>12825433.82520254</v>
      </c>
      <c r="AZ21" s="17">
        <f t="shared" si="5"/>
        <v>12524476.198335942</v>
      </c>
      <c r="BA21" s="17">
        <f t="shared" si="5"/>
        <v>12223827.785506928</v>
      </c>
    </row>
    <row r="23" spans="1:53" x14ac:dyDescent="0.35">
      <c r="A23" s="2" t="s">
        <v>433</v>
      </c>
      <c r="B23" s="17">
        <f t="shared" ref="B23:AG23" si="6">B15+B21</f>
        <v>55283.5</v>
      </c>
      <c r="C23" s="17">
        <f t="shared" si="6"/>
        <v>10822.125</v>
      </c>
      <c r="D23" s="17">
        <f t="shared" si="6"/>
        <v>-31159.543750000001</v>
      </c>
      <c r="E23" s="17">
        <f t="shared" si="6"/>
        <v>-73282.745937499989</v>
      </c>
      <c r="F23" s="17">
        <f t="shared" si="6"/>
        <v>1370270.441765625</v>
      </c>
      <c r="G23" s="17">
        <f t="shared" si="6"/>
        <v>1326267.5888539061</v>
      </c>
      <c r="H23" s="17">
        <f t="shared" si="6"/>
        <v>1272138.6266299349</v>
      </c>
      <c r="I23" s="17">
        <f t="shared" si="6"/>
        <v>1205687.7129614316</v>
      </c>
      <c r="J23" s="17">
        <f t="shared" si="6"/>
        <v>1140156.9544428366</v>
      </c>
      <c r="K23" s="17">
        <f t="shared" si="6"/>
        <v>1044832.3025816451</v>
      </c>
      <c r="L23" s="17">
        <f t="shared" si="6"/>
        <v>941815.61979406071</v>
      </c>
      <c r="M23" s="17">
        <f t="shared" si="6"/>
        <v>831524.20265876374</v>
      </c>
      <c r="N23" s="17">
        <f t="shared" si="6"/>
        <v>709131.67945836857</v>
      </c>
      <c r="O23" s="17">
        <f t="shared" si="6"/>
        <v>565358.41382712033</v>
      </c>
      <c r="P23" s="17">
        <f t="shared" si="6"/>
        <v>424274.89569555968</v>
      </c>
      <c r="Q23" s="17">
        <f t="shared" si="6"/>
        <v>283630.20384492096</v>
      </c>
      <c r="R23" s="17">
        <f t="shared" si="6"/>
        <v>6127598.6295892503</v>
      </c>
      <c r="S23" s="17">
        <f t="shared" si="6"/>
        <v>5945142.9569332963</v>
      </c>
      <c r="T23" s="17">
        <f t="shared" si="6"/>
        <v>5766841.9495507944</v>
      </c>
      <c r="U23" s="17">
        <f t="shared" si="6"/>
        <v>5580089.1882575005</v>
      </c>
      <c r="V23" s="17">
        <f t="shared" si="6"/>
        <v>5394647.4588995427</v>
      </c>
      <c r="W23" s="17">
        <f t="shared" si="6"/>
        <v>5195450.2145320196</v>
      </c>
      <c r="X23" s="17">
        <f t="shared" si="6"/>
        <v>4996551.4076336212</v>
      </c>
      <c r="Y23" s="17">
        <f t="shared" si="6"/>
        <v>4787940.3464319678</v>
      </c>
      <c r="Z23" s="17">
        <f t="shared" si="6"/>
        <v>4577000.4122952335</v>
      </c>
      <c r="AA23" s="17">
        <f t="shared" si="6"/>
        <v>4347771.4918178068</v>
      </c>
      <c r="AB23" s="17">
        <f t="shared" si="6"/>
        <v>4131030.0712540098</v>
      </c>
      <c r="AC23" s="17">
        <f t="shared" si="6"/>
        <v>3905465.5565734813</v>
      </c>
      <c r="AD23" s="17">
        <f t="shared" si="6"/>
        <v>3681048.6868854887</v>
      </c>
      <c r="AE23" s="17">
        <f t="shared" si="6"/>
        <v>3445590.6125985128</v>
      </c>
      <c r="AF23" s="17">
        <f t="shared" si="6"/>
        <v>3212953.8755503139</v>
      </c>
      <c r="AG23" s="17">
        <f t="shared" si="6"/>
        <v>2971151.349358038</v>
      </c>
      <c r="AH23" s="17">
        <f t="shared" ref="AH23:BA23" si="7">AH15+AH21</f>
        <v>2743180.610887398</v>
      </c>
      <c r="AI23" s="17">
        <f t="shared" si="7"/>
        <v>2501904.2948265602</v>
      </c>
      <c r="AJ23" s="17">
        <f t="shared" si="7"/>
        <v>17246512.142040804</v>
      </c>
      <c r="AK23" s="17">
        <f t="shared" si="7"/>
        <v>16989631.10846993</v>
      </c>
      <c r="AL23" s="17">
        <f t="shared" si="7"/>
        <v>16731559.739773633</v>
      </c>
      <c r="AM23" s="17">
        <f t="shared" si="7"/>
        <v>16457901.365125153</v>
      </c>
      <c r="AN23" s="17">
        <f t="shared" si="7"/>
        <v>16198194.129055189</v>
      </c>
      <c r="AO23" s="17">
        <f t="shared" si="7"/>
        <v>15919340.444456358</v>
      </c>
      <c r="AP23" s="17">
        <f t="shared" si="7"/>
        <v>15642713.341750477</v>
      </c>
      <c r="AQ23" s="17">
        <f t="shared" si="7"/>
        <v>15349679.718579095</v>
      </c>
      <c r="AR23" s="17">
        <f t="shared" si="7"/>
        <v>15057837.833331332</v>
      </c>
      <c r="AS23" s="17">
        <f t="shared" si="7"/>
        <v>14740813.530140033</v>
      </c>
      <c r="AT23" s="17">
        <f t="shared" si="7"/>
        <v>14438449.959294248</v>
      </c>
      <c r="AU23" s="17">
        <f t="shared" si="7"/>
        <v>14137003.561881332</v>
      </c>
      <c r="AV23" s="17">
        <f t="shared" si="7"/>
        <v>13834569.051292924</v>
      </c>
      <c r="AW23" s="17">
        <f t="shared" si="7"/>
        <v>13529435.383010253</v>
      </c>
      <c r="AX23" s="17">
        <f t="shared" si="7"/>
        <v>13220073.742848212</v>
      </c>
      <c r="AY23" s="17">
        <f t="shared" si="7"/>
        <v>12905808.830180481</v>
      </c>
      <c r="AZ23" s="17">
        <f t="shared" si="7"/>
        <v>12605115.772988277</v>
      </c>
      <c r="BA23" s="17">
        <f t="shared" si="7"/>
        <v>12304379.101756575</v>
      </c>
    </row>
    <row r="24" spans="1:53" x14ac:dyDescent="0.35">
      <c r="A24" s="3" t="s">
        <v>434</v>
      </c>
      <c r="B24" s="19">
        <f t="shared" ref="B24:AG24" si="8">B9-B23</f>
        <v>-24725</v>
      </c>
      <c r="C24" s="19">
        <f t="shared" si="8"/>
        <v>-24725</v>
      </c>
      <c r="D24" s="19">
        <f t="shared" si="8"/>
        <v>-24724.999999999996</v>
      </c>
      <c r="E24" s="19">
        <f t="shared" si="8"/>
        <v>-24725</v>
      </c>
      <c r="F24" s="19">
        <f t="shared" si="8"/>
        <v>-24725</v>
      </c>
      <c r="G24" s="19">
        <f t="shared" si="8"/>
        <v>-24724.999999999767</v>
      </c>
      <c r="H24" s="19">
        <f t="shared" si="8"/>
        <v>-24725</v>
      </c>
      <c r="I24" s="19">
        <f t="shared" si="8"/>
        <v>-24724.999999999767</v>
      </c>
      <c r="J24" s="19">
        <f t="shared" si="8"/>
        <v>-24725</v>
      </c>
      <c r="K24" s="19">
        <f t="shared" si="8"/>
        <v>-24725.000000000116</v>
      </c>
      <c r="L24" s="19">
        <f t="shared" si="8"/>
        <v>-24725.000000000116</v>
      </c>
      <c r="M24" s="19">
        <f t="shared" si="8"/>
        <v>-24725.000000000116</v>
      </c>
      <c r="N24" s="19">
        <f t="shared" si="8"/>
        <v>-24725.000000000116</v>
      </c>
      <c r="O24" s="19">
        <f t="shared" si="8"/>
        <v>-24725</v>
      </c>
      <c r="P24" s="19">
        <f t="shared" si="8"/>
        <v>-24725.000000000058</v>
      </c>
      <c r="Q24" s="19">
        <f t="shared" si="8"/>
        <v>-24725</v>
      </c>
      <c r="R24" s="19">
        <f t="shared" si="8"/>
        <v>-24725</v>
      </c>
      <c r="S24" s="19">
        <f t="shared" si="8"/>
        <v>-24725</v>
      </c>
      <c r="T24" s="19">
        <f t="shared" si="8"/>
        <v>-24725</v>
      </c>
      <c r="U24" s="19">
        <f t="shared" si="8"/>
        <v>-24724.999999999069</v>
      </c>
      <c r="V24" s="19">
        <f t="shared" si="8"/>
        <v>-24724.999999999069</v>
      </c>
      <c r="W24" s="19">
        <f t="shared" si="8"/>
        <v>-24724.999999999069</v>
      </c>
      <c r="X24" s="19">
        <f t="shared" si="8"/>
        <v>-24725</v>
      </c>
      <c r="Y24" s="19">
        <f t="shared" si="8"/>
        <v>-24724.999999998137</v>
      </c>
      <c r="Z24" s="19">
        <f t="shared" si="8"/>
        <v>-24724.999999999069</v>
      </c>
      <c r="AA24" s="19">
        <f t="shared" si="8"/>
        <v>-24724.999999999069</v>
      </c>
      <c r="AB24" s="19">
        <f t="shared" si="8"/>
        <v>-24724.999999999069</v>
      </c>
      <c r="AC24" s="19">
        <f t="shared" si="8"/>
        <v>-24724.999999999069</v>
      </c>
      <c r="AD24" s="19">
        <f t="shared" si="8"/>
        <v>-24724.999999999069</v>
      </c>
      <c r="AE24" s="19">
        <f t="shared" si="8"/>
        <v>-24724.999999999069</v>
      </c>
      <c r="AF24" s="19">
        <f t="shared" si="8"/>
        <v>-24724.999999999534</v>
      </c>
      <c r="AG24" s="19">
        <f t="shared" si="8"/>
        <v>-24724.999999999534</v>
      </c>
      <c r="AH24" s="19">
        <f t="shared" ref="AH24:BA24" si="9">AH9-AH23</f>
        <v>-24724.999999999069</v>
      </c>
      <c r="AI24" s="19">
        <f t="shared" si="9"/>
        <v>-24725</v>
      </c>
      <c r="AJ24" s="19">
        <f t="shared" si="9"/>
        <v>-24724.999999996275</v>
      </c>
      <c r="AK24" s="19">
        <f t="shared" si="9"/>
        <v>-24725</v>
      </c>
      <c r="AL24" s="19">
        <f t="shared" si="9"/>
        <v>-24724.999999996275</v>
      </c>
      <c r="AM24" s="19">
        <f t="shared" si="9"/>
        <v>-24724.999999998137</v>
      </c>
      <c r="AN24" s="19">
        <f t="shared" si="9"/>
        <v>-24725</v>
      </c>
      <c r="AO24" s="19">
        <f t="shared" si="9"/>
        <v>-24724.999999996275</v>
      </c>
      <c r="AP24" s="19">
        <f t="shared" si="9"/>
        <v>-24724.999999994412</v>
      </c>
      <c r="AQ24" s="19">
        <f t="shared" si="9"/>
        <v>-24724.999999998137</v>
      </c>
      <c r="AR24" s="19">
        <f t="shared" si="9"/>
        <v>-24724.999999998137</v>
      </c>
      <c r="AS24" s="19">
        <f t="shared" si="9"/>
        <v>-24724.999999998137</v>
      </c>
      <c r="AT24" s="19">
        <f t="shared" si="9"/>
        <v>-24724.999999998137</v>
      </c>
      <c r="AU24" s="19">
        <f t="shared" si="9"/>
        <v>-24725</v>
      </c>
      <c r="AV24" s="19">
        <f t="shared" si="9"/>
        <v>-24725</v>
      </c>
      <c r="AW24" s="19">
        <f t="shared" si="9"/>
        <v>-24725</v>
      </c>
      <c r="AX24" s="19">
        <f t="shared" si="9"/>
        <v>-24724.999999998137</v>
      </c>
      <c r="AY24" s="19">
        <f t="shared" si="9"/>
        <v>-24724.999999998137</v>
      </c>
      <c r="AZ24" s="19">
        <f t="shared" si="9"/>
        <v>-24724.999999998137</v>
      </c>
      <c r="BA24" s="19">
        <f t="shared" si="9"/>
        <v>-24724.999999996275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BA28"/>
  <sheetViews>
    <sheetView workbookViewId="0">
      <pane xSplit="1" ySplit="3" topLeftCell="B4" activePane="bottomRight" state="frozen"/>
      <selection pane="topRight"/>
      <selection pane="bottomLeft"/>
      <selection pane="bottomRight" activeCell="B2" sqref="B2:BA2"/>
    </sheetView>
  </sheetViews>
  <sheetFormatPr baseColWidth="10" defaultColWidth="8.7265625" defaultRowHeight="14.5" x14ac:dyDescent="0.35"/>
  <cols>
    <col min="1" max="1" width="35" customWidth="1"/>
    <col min="2" max="53" width="12" customWidth="1"/>
  </cols>
  <sheetData>
    <row r="1" spans="1:53" ht="18" x14ac:dyDescent="0.4">
      <c r="A1" s="1" t="s">
        <v>435</v>
      </c>
    </row>
    <row r="2" spans="1:53" x14ac:dyDescent="0.35">
      <c r="B2" s="34">
        <v>46113</v>
      </c>
      <c r="C2" s="34">
        <v>46143</v>
      </c>
      <c r="D2" s="34">
        <v>46174</v>
      </c>
      <c r="E2" s="34">
        <v>46204</v>
      </c>
      <c r="F2" s="34">
        <v>46235</v>
      </c>
      <c r="G2" s="34">
        <v>46266</v>
      </c>
      <c r="H2" s="34">
        <v>46296</v>
      </c>
      <c r="I2" s="34">
        <v>46327</v>
      </c>
      <c r="J2" s="34">
        <v>46357</v>
      </c>
      <c r="K2" s="34">
        <v>46388</v>
      </c>
      <c r="L2" s="34">
        <v>46419</v>
      </c>
      <c r="M2" s="34">
        <v>46447</v>
      </c>
      <c r="N2" s="34">
        <v>46478</v>
      </c>
      <c r="O2" s="34">
        <v>46508</v>
      </c>
      <c r="P2" s="34">
        <v>46539</v>
      </c>
      <c r="Q2" s="34">
        <v>46569</v>
      </c>
      <c r="R2" s="34">
        <v>46600</v>
      </c>
      <c r="S2" s="34">
        <v>46631</v>
      </c>
      <c r="T2" s="34">
        <v>46661</v>
      </c>
      <c r="U2" s="34">
        <v>46692</v>
      </c>
      <c r="V2" s="34">
        <v>46722</v>
      </c>
      <c r="W2" s="34">
        <v>46753</v>
      </c>
      <c r="X2" s="34">
        <v>46784</v>
      </c>
      <c r="Y2" s="34">
        <v>46813</v>
      </c>
      <c r="Z2" s="34">
        <v>46844</v>
      </c>
      <c r="AA2" s="34">
        <v>46874</v>
      </c>
      <c r="AB2" s="34">
        <v>46905</v>
      </c>
      <c r="AC2" s="34">
        <v>46935</v>
      </c>
      <c r="AD2" s="34">
        <v>46966</v>
      </c>
      <c r="AE2" s="34">
        <v>46997</v>
      </c>
      <c r="AF2" s="34">
        <v>47027</v>
      </c>
      <c r="AG2" s="34">
        <v>47058</v>
      </c>
      <c r="AH2" s="34">
        <v>47088</v>
      </c>
      <c r="AI2" s="34">
        <v>47119</v>
      </c>
      <c r="AJ2" s="34">
        <v>47150</v>
      </c>
      <c r="AK2" s="34">
        <v>47178</v>
      </c>
      <c r="AL2" s="34">
        <v>47209</v>
      </c>
      <c r="AM2" s="34">
        <v>47239</v>
      </c>
      <c r="AN2" s="34">
        <v>47270</v>
      </c>
      <c r="AO2" s="34">
        <v>47300</v>
      </c>
      <c r="AP2" s="34">
        <v>47331</v>
      </c>
      <c r="AQ2" s="34">
        <v>47362</v>
      </c>
      <c r="AR2" s="34">
        <v>47392</v>
      </c>
      <c r="AS2" s="34">
        <v>47423</v>
      </c>
      <c r="AT2" s="34">
        <v>47453</v>
      </c>
      <c r="AU2" s="34">
        <v>47484</v>
      </c>
      <c r="AV2" s="34">
        <v>47515</v>
      </c>
      <c r="AW2" s="34">
        <v>47543</v>
      </c>
      <c r="AX2" s="34">
        <v>47574</v>
      </c>
      <c r="AY2" s="34">
        <v>47604</v>
      </c>
      <c r="AZ2" s="34">
        <v>47635</v>
      </c>
      <c r="BA2" s="34">
        <v>47665</v>
      </c>
    </row>
    <row r="3" spans="1:53" x14ac:dyDescent="0.35">
      <c r="A3" s="7" t="s">
        <v>242</v>
      </c>
      <c r="B3" s="7" t="s">
        <v>243</v>
      </c>
      <c r="C3" s="7" t="s">
        <v>244</v>
      </c>
      <c r="D3" s="7" t="s">
        <v>245</v>
      </c>
      <c r="E3" s="7" t="s">
        <v>246</v>
      </c>
      <c r="F3" s="7" t="s">
        <v>247</v>
      </c>
      <c r="G3" s="7" t="s">
        <v>248</v>
      </c>
      <c r="H3" s="7" t="s">
        <v>249</v>
      </c>
      <c r="I3" s="7" t="s">
        <v>250</v>
      </c>
      <c r="J3" s="7" t="s">
        <v>251</v>
      </c>
      <c r="K3" s="7" t="s">
        <v>252</v>
      </c>
      <c r="L3" s="7" t="s">
        <v>253</v>
      </c>
      <c r="M3" s="7" t="s">
        <v>254</v>
      </c>
      <c r="N3" s="7" t="s">
        <v>255</v>
      </c>
      <c r="O3" s="7" t="s">
        <v>256</v>
      </c>
      <c r="P3" s="7" t="s">
        <v>257</v>
      </c>
      <c r="Q3" s="7" t="s">
        <v>258</v>
      </c>
      <c r="R3" s="7" t="s">
        <v>259</v>
      </c>
      <c r="S3" s="7" t="s">
        <v>260</v>
      </c>
      <c r="T3" s="7" t="s">
        <v>261</v>
      </c>
      <c r="U3" s="7" t="s">
        <v>262</v>
      </c>
      <c r="V3" s="7" t="s">
        <v>263</v>
      </c>
      <c r="W3" s="7" t="s">
        <v>264</v>
      </c>
      <c r="X3" s="7" t="s">
        <v>265</v>
      </c>
      <c r="Y3" s="7" t="s">
        <v>266</v>
      </c>
      <c r="Z3" s="7" t="s">
        <v>267</v>
      </c>
      <c r="AA3" s="7" t="s">
        <v>268</v>
      </c>
      <c r="AB3" s="7" t="s">
        <v>269</v>
      </c>
      <c r="AC3" s="7" t="s">
        <v>270</v>
      </c>
      <c r="AD3" s="7" t="s">
        <v>271</v>
      </c>
      <c r="AE3" s="7" t="s">
        <v>272</v>
      </c>
      <c r="AF3" s="7" t="s">
        <v>273</v>
      </c>
      <c r="AG3" s="7" t="s">
        <v>274</v>
      </c>
      <c r="AH3" s="7" t="s">
        <v>275</v>
      </c>
      <c r="AI3" s="7" t="s">
        <v>276</v>
      </c>
      <c r="AJ3" s="7" t="s">
        <v>277</v>
      </c>
      <c r="AK3" s="7" t="s">
        <v>278</v>
      </c>
      <c r="AL3" s="7" t="s">
        <v>279</v>
      </c>
      <c r="AM3" s="7" t="s">
        <v>280</v>
      </c>
      <c r="AN3" s="7" t="s">
        <v>281</v>
      </c>
      <c r="AO3" s="7" t="s">
        <v>282</v>
      </c>
      <c r="AP3" s="7" t="s">
        <v>283</v>
      </c>
      <c r="AQ3" s="7" t="s">
        <v>284</v>
      </c>
      <c r="AR3" s="7" t="s">
        <v>285</v>
      </c>
      <c r="AS3" s="7" t="s">
        <v>286</v>
      </c>
      <c r="AT3" s="7" t="s">
        <v>287</v>
      </c>
      <c r="AU3" s="7" t="s">
        <v>288</v>
      </c>
      <c r="AV3" s="7" t="s">
        <v>289</v>
      </c>
      <c r="AW3" s="7" t="s">
        <v>290</v>
      </c>
      <c r="AX3" s="7" t="s">
        <v>291</v>
      </c>
      <c r="AY3" s="7" t="s">
        <v>292</v>
      </c>
      <c r="AZ3" s="7" t="s">
        <v>293</v>
      </c>
      <c r="BA3" s="7" t="s">
        <v>294</v>
      </c>
    </row>
    <row r="4" spans="1:53" x14ac:dyDescent="0.35">
      <c r="A4" s="2" t="s">
        <v>436</v>
      </c>
    </row>
    <row r="5" spans="1:53" x14ac:dyDescent="0.35">
      <c r="A5" s="3" t="s">
        <v>437</v>
      </c>
      <c r="B5" s="16">
        <f>'P&amp;L'!B39</f>
        <v>-68146</v>
      </c>
      <c r="C5" s="16">
        <f>'P&amp;L'!C39</f>
        <v>-41854.75</v>
      </c>
      <c r="D5" s="16">
        <f>'P&amp;L'!D39</f>
        <v>-41989.9375</v>
      </c>
      <c r="E5" s="16">
        <f>'P&amp;L'!E39</f>
        <v>-42131.884374999994</v>
      </c>
      <c r="F5" s="16">
        <f>'P&amp;L'!F39</f>
        <v>-58030.928593749988</v>
      </c>
      <c r="G5" s="16">
        <f>'P&amp;L'!G39</f>
        <v>-42437.425023437492</v>
      </c>
      <c r="H5" s="16">
        <f>'P&amp;L'!H39</f>
        <v>-56217.41294127603</v>
      </c>
      <c r="I5" s="16">
        <f>'P&amp;L'!I39</f>
        <v>-68566.450255006508</v>
      </c>
      <c r="J5" s="16">
        <f>'P&amp;L'!J39</f>
        <v>-71792.864434423507</v>
      </c>
      <c r="K5" s="16">
        <f>'P&amp;L'!K39</f>
        <v>-99892.753489478011</v>
      </c>
      <c r="L5" s="16">
        <f>'P&amp;L'!L39</f>
        <v>-103947.94533061858</v>
      </c>
      <c r="M5" s="16">
        <f>'P&amp;L'!M39</f>
        <v>-111569.79051381617</v>
      </c>
      <c r="N5" s="16">
        <f>'P&amp;L'!N39</f>
        <v>-125196.38420617365</v>
      </c>
      <c r="O5" s="16">
        <f>'P&amp;L'!O39</f>
        <v>-147275.92362481568</v>
      </c>
      <c r="P5" s="16">
        <f>'P&amp;L'!P39</f>
        <v>-140405.36761855643</v>
      </c>
      <c r="Q5" s="16">
        <f>'P&amp;L'!Q39</f>
        <v>-140660.28381198426</v>
      </c>
      <c r="R5" s="16">
        <f>'P&amp;L'!R39</f>
        <v>-157727.94581508345</v>
      </c>
      <c r="S5" s="16">
        <f>'P&amp;L'!S39</f>
        <v>-187654.45966833763</v>
      </c>
      <c r="T5" s="16">
        <f>'P&amp;L'!T39</f>
        <v>-177279.55702675454</v>
      </c>
      <c r="U5" s="16">
        <f>'P&amp;L'!U39</f>
        <v>-188346.45091975891</v>
      </c>
      <c r="V5" s="16">
        <f>'P&amp;L'!V39</f>
        <v>-185115.12909074684</v>
      </c>
      <c r="W5" s="16">
        <f>'P&amp;L'!W39</f>
        <v>-201772.22033695088</v>
      </c>
      <c r="X5" s="16">
        <f>'P&amp;L'!X39</f>
        <v>-198574.24635379846</v>
      </c>
      <c r="Y5" s="16">
        <f>'P&amp;L'!Y39</f>
        <v>-212610.86325482171</v>
      </c>
      <c r="Z5" s="16">
        <f>'P&amp;L'!Z39</f>
        <v>-212178.26891756282</v>
      </c>
      <c r="AA5" s="16">
        <f>'P&amp;L'!AA39</f>
        <v>-232379.95157698257</v>
      </c>
      <c r="AB5" s="16">
        <f>'P&amp;L'!AB39</f>
        <v>-216574.67810895672</v>
      </c>
      <c r="AC5" s="16">
        <f>'P&amp;L'!AC39</f>
        <v>-227175.7548216962</v>
      </c>
      <c r="AD5" s="16">
        <f>'P&amp;L'!AD39</f>
        <v>-224099.77065653104</v>
      </c>
      <c r="AE5" s="16">
        <f>'P&amp;L'!AE39</f>
        <v>-239937.34249144094</v>
      </c>
      <c r="AF5" s="16">
        <f>'P&amp;L'!AF39</f>
        <v>-231823.061616013</v>
      </c>
      <c r="AG5" s="16">
        <f>'P&amp;L'!AG39</f>
        <v>-243470.05961348023</v>
      </c>
      <c r="AH5" s="16">
        <f>'P&amp;L'!AH39</f>
        <v>-227813.06553165428</v>
      </c>
      <c r="AI5" s="16">
        <f>'P&amp;L'!AI39</f>
        <v>-243822.55903740364</v>
      </c>
      <c r="AJ5" s="16">
        <f>'P&amp;L'!AJ39</f>
        <v>-256660.05289552387</v>
      </c>
      <c r="AK5" s="16">
        <f>'P&amp;L'!AK39</f>
        <v>-260362.4563423834</v>
      </c>
      <c r="AL5" s="16">
        <f>'P&amp;L'!AL39</f>
        <v>-260183.68565950263</v>
      </c>
      <c r="AM5" s="16">
        <f>'P&amp;L'!AM39</f>
        <v>-276047.01787242561</v>
      </c>
      <c r="AN5" s="16">
        <f>'P&amp;L'!AN39</f>
        <v>-259573.96434964074</v>
      </c>
      <c r="AO5" s="16">
        <f>'P&amp;L'!AO39</f>
        <v>-282236.9992434248</v>
      </c>
      <c r="AP5" s="16">
        <f>'P&amp;L'!AP39</f>
        <v>-275986.90262122103</v>
      </c>
      <c r="AQ5" s="16">
        <f>'P&amp;L'!AQ39</f>
        <v>-298856.74681374046</v>
      </c>
      <c r="AR5" s="16">
        <f>'P&amp;L'!AR39</f>
        <v>-291041.75995442743</v>
      </c>
      <c r="AS5" s="16">
        <f>'P&amp;L'!AS39</f>
        <v>-321663.51838860707</v>
      </c>
      <c r="AT5" s="16">
        <f>'P&amp;L'!AT39</f>
        <v>-301900.08667288115</v>
      </c>
      <c r="AU5" s="16">
        <f>'P&amp;L'!AU39</f>
        <v>-301348.44777136907</v>
      </c>
      <c r="AV5" s="16">
        <f>'P&amp;L'!AV39</f>
        <v>-302505.26752478123</v>
      </c>
      <c r="AW5" s="16">
        <f>'P&amp;L'!AW39</f>
        <v>-305373.300265864</v>
      </c>
      <c r="AX5" s="16">
        <f>'P&amp;L'!AX39</f>
        <v>-313007.65919915715</v>
      </c>
      <c r="AY5" s="16">
        <f>'P&amp;L'!AY39</f>
        <v>-314346.82266620098</v>
      </c>
      <c r="AZ5" s="16">
        <f>'P&amp;L'!AZ39</f>
        <v>-300957.6268665971</v>
      </c>
      <c r="BA5" s="16">
        <f>'P&amp;L'!BA39</f>
        <v>-300648.41282901273</v>
      </c>
    </row>
    <row r="6" spans="1:53" x14ac:dyDescent="0.35">
      <c r="A6" s="3" t="s">
        <v>438</v>
      </c>
      <c r="B6" s="16">
        <f>'P&amp;L'!B32</f>
        <v>275</v>
      </c>
      <c r="C6" s="16">
        <f>'P&amp;L'!C32</f>
        <v>0</v>
      </c>
      <c r="D6" s="16">
        <f>'P&amp;L'!D32</f>
        <v>0</v>
      </c>
      <c r="E6" s="16">
        <f>'P&amp;L'!E32</f>
        <v>0</v>
      </c>
      <c r="F6" s="16">
        <f>'P&amp;L'!F32</f>
        <v>0</v>
      </c>
      <c r="G6" s="16">
        <f>'P&amp;L'!G32</f>
        <v>0</v>
      </c>
      <c r="H6" s="16">
        <f>'P&amp;L'!H32</f>
        <v>91.666666666666671</v>
      </c>
      <c r="I6" s="16">
        <f>'P&amp;L'!I32</f>
        <v>91.666666666666671</v>
      </c>
      <c r="J6" s="16">
        <f>'P&amp;L'!J32</f>
        <v>91.666666666666671</v>
      </c>
      <c r="K6" s="16">
        <f>'P&amp;L'!K32</f>
        <v>183.33333333333334</v>
      </c>
      <c r="L6" s="16">
        <f>'P&amp;L'!L32</f>
        <v>91.666666666666671</v>
      </c>
      <c r="M6" s="16">
        <f>'P&amp;L'!M32</f>
        <v>91.666666666666671</v>
      </c>
      <c r="N6" s="16">
        <f>'P&amp;L'!N32</f>
        <v>91.666666666666671</v>
      </c>
      <c r="O6" s="16">
        <f>'P&amp;L'!O32</f>
        <v>183.33333333333334</v>
      </c>
      <c r="P6" s="16">
        <f>'P&amp;L'!P32</f>
        <v>0</v>
      </c>
      <c r="Q6" s="16">
        <f>'P&amp;L'!Q32</f>
        <v>0</v>
      </c>
      <c r="R6" s="16">
        <f>'P&amp;L'!R32</f>
        <v>0</v>
      </c>
      <c r="S6" s="16">
        <f>'P&amp;L'!S32</f>
        <v>275</v>
      </c>
      <c r="T6" s="16">
        <f>'P&amp;L'!T32</f>
        <v>0</v>
      </c>
      <c r="U6" s="16">
        <f>'P&amp;L'!U32</f>
        <v>91.666666666666671</v>
      </c>
      <c r="V6" s="16">
        <f>'P&amp;L'!V32</f>
        <v>0</v>
      </c>
      <c r="W6" s="16">
        <f>'P&amp;L'!W32</f>
        <v>91.666666666666671</v>
      </c>
      <c r="X6" s="16">
        <f>'P&amp;L'!X32</f>
        <v>0</v>
      </c>
      <c r="Y6" s="16">
        <f>'P&amp;L'!Y32</f>
        <v>183.33333333333334</v>
      </c>
      <c r="Z6" s="16">
        <f>'P&amp;L'!Z32</f>
        <v>0</v>
      </c>
      <c r="AA6" s="16">
        <f>'P&amp;L'!AA32</f>
        <v>91.666666666666671</v>
      </c>
      <c r="AB6" s="16">
        <f>'P&amp;L'!AB32</f>
        <v>0</v>
      </c>
      <c r="AC6" s="16">
        <f>'P&amp;L'!AC32</f>
        <v>91.666666666666671</v>
      </c>
      <c r="AD6" s="16">
        <f>'P&amp;L'!AD32</f>
        <v>0</v>
      </c>
      <c r="AE6" s="16">
        <f>'P&amp;L'!AE32</f>
        <v>183.33333333333334</v>
      </c>
      <c r="AF6" s="16">
        <f>'P&amp;L'!AF32</f>
        <v>0</v>
      </c>
      <c r="AG6" s="16">
        <f>'P&amp;L'!AG32</f>
        <v>91.666666666666671</v>
      </c>
      <c r="AH6" s="16">
        <f>'P&amp;L'!AH32</f>
        <v>0</v>
      </c>
      <c r="AI6" s="16">
        <f>'P&amp;L'!AI32</f>
        <v>91.666666666666671</v>
      </c>
      <c r="AJ6" s="16">
        <f>'P&amp;L'!AJ32</f>
        <v>0</v>
      </c>
      <c r="AK6" s="16">
        <f>'P&amp;L'!AK32</f>
        <v>183.33333333333334</v>
      </c>
      <c r="AL6" s="16">
        <f>'P&amp;L'!AL32</f>
        <v>0</v>
      </c>
      <c r="AM6" s="16">
        <f>'P&amp;L'!AM32</f>
        <v>91.666666666666671</v>
      </c>
      <c r="AN6" s="16">
        <f>'P&amp;L'!AN32</f>
        <v>0</v>
      </c>
      <c r="AO6" s="16">
        <f>'P&amp;L'!AO32</f>
        <v>183.33333333333334</v>
      </c>
      <c r="AP6" s="16">
        <f>'P&amp;L'!AP32</f>
        <v>0</v>
      </c>
      <c r="AQ6" s="16">
        <f>'P&amp;L'!AQ32</f>
        <v>183.33333333333334</v>
      </c>
      <c r="AR6" s="16">
        <f>'P&amp;L'!AR32</f>
        <v>0</v>
      </c>
      <c r="AS6" s="16">
        <f>'P&amp;L'!AS32</f>
        <v>183.33333333333334</v>
      </c>
      <c r="AT6" s="16">
        <f>'P&amp;L'!AT32</f>
        <v>0</v>
      </c>
      <c r="AU6" s="16">
        <f>'P&amp;L'!AU32</f>
        <v>0</v>
      </c>
      <c r="AV6" s="16">
        <f>'P&amp;L'!AV32</f>
        <v>0</v>
      </c>
      <c r="AW6" s="16">
        <f>'P&amp;L'!AW32</f>
        <v>0</v>
      </c>
      <c r="AX6" s="16">
        <f>'P&amp;L'!AX32</f>
        <v>0</v>
      </c>
      <c r="AY6" s="16">
        <f>'P&amp;L'!AY32</f>
        <v>0</v>
      </c>
      <c r="AZ6" s="16">
        <f>'P&amp;L'!AZ32</f>
        <v>0</v>
      </c>
      <c r="BA6" s="16">
        <f>'P&amp;L'!BA32</f>
        <v>0</v>
      </c>
    </row>
    <row r="7" spans="1:53" x14ac:dyDescent="0.35">
      <c r="A7" s="3" t="s">
        <v>439</v>
      </c>
      <c r="B7" s="19">
        <f>-'Balance Sheet'!B6-'Balance Sheet'!B7+'Balance Sheet'!B12+'Balance Sheet'!B13+'Balance Sheet'!B14</f>
        <v>8429.5</v>
      </c>
      <c r="C7" s="19">
        <f>-('Balance Sheet'!C6-'Balance Sheet'!B6)-('Balance Sheet'!C7-'Balance Sheet'!B7)+('Balance Sheet'!C12-'Balance Sheet'!B12)+('Balance Sheet'!C13-'Balance Sheet'!B13)+('Balance Sheet'!C14-'Balance Sheet'!B14)</f>
        <v>-2606.625</v>
      </c>
      <c r="D7" s="19">
        <f>-('Balance Sheet'!D6-'Balance Sheet'!C6)-('Balance Sheet'!D7-'Balance Sheet'!C7)+('Balance Sheet'!D12-'Balance Sheet'!C12)+('Balance Sheet'!D13-'Balance Sheet'!C13)+('Balance Sheet'!D14-'Balance Sheet'!C14)</f>
        <v>8.2687499999997272</v>
      </c>
      <c r="E7" s="19">
        <f>-('Balance Sheet'!E6-'Balance Sheet'!D6)-('Balance Sheet'!E7-'Balance Sheet'!D7)+('Balance Sheet'!E12-'Balance Sheet'!D12)+('Balance Sheet'!E13-'Balance Sheet'!D13)+('Balance Sheet'!E14-'Balance Sheet'!D14)</f>
        <v>8.6821874999991451</v>
      </c>
      <c r="F7" s="19">
        <f>-('Balance Sheet'!F6-'Balance Sheet'!E6)-('Balance Sheet'!F7-'Balance Sheet'!E7)+('Balance Sheet'!F12-'Balance Sheet'!E12)+('Balance Sheet'!F13-'Balance Sheet'!E13)+('Balance Sheet'!F14-'Balance Sheet'!E14)</f>
        <v>1584.1162968750004</v>
      </c>
      <c r="G7" s="19">
        <f>-('Balance Sheet'!G6-'Balance Sheet'!F6)-('Balance Sheet'!G7-'Balance Sheet'!F7)+('Balance Sheet'!G12-'Balance Sheet'!F12)+('Balance Sheet'!G13-'Balance Sheet'!F13)+('Balance Sheet'!G14-'Balance Sheet'!F14)</f>
        <v>-1565.4278882812505</v>
      </c>
      <c r="H7" s="19">
        <f>-('Balance Sheet'!H6-'Balance Sheet'!G6)-('Balance Sheet'!H7-'Balance Sheet'!G7)+('Balance Sheet'!H12-'Balance Sheet'!G12)+('Balance Sheet'!H13-'Balance Sheet'!G13)+('Balance Sheet'!H14-'Balance Sheet'!G14)</f>
        <v>2088.4507173046877</v>
      </c>
      <c r="I7" s="19">
        <f>-('Balance Sheet'!I6-'Balance Sheet'!H6)-('Balance Sheet'!I7-'Balance Sheet'!H7)+('Balance Sheet'!I12-'Balance Sheet'!H12)+('Balance Sheet'!I13-'Balance Sheet'!H13)+('Balance Sheet'!I14-'Balance Sheet'!H14)</f>
        <v>2115.5365865032554</v>
      </c>
      <c r="J7" s="19">
        <f>-('Balance Sheet'!J6-'Balance Sheet'!I6)-('Balance Sheet'!J7-'Balance Sheet'!I7)+('Balance Sheet'!J12-'Balance Sheet'!I12)+('Balance Sheet'!J13-'Balance Sheet'!I13)+('Balance Sheet'!J14-'Balance Sheet'!I14)</f>
        <v>1262.1059158284188</v>
      </c>
      <c r="K7" s="19">
        <f>-('Balance Sheet'!K6-'Balance Sheet'!J6)-('Balance Sheet'!K7-'Balance Sheet'!J7)+('Balance Sheet'!K12-'Balance Sheet'!J12)+('Balance Sheet'!K13-'Balance Sheet'!J13)+('Balance Sheet'!K14-'Balance Sheet'!J14)</f>
        <v>4568.1016282865075</v>
      </c>
      <c r="L7" s="19">
        <f>-('Balance Sheet'!L6-'Balance Sheet'!K6)-('Balance Sheet'!L7-'Balance Sheet'!K7)+('Balance Sheet'!L12-'Balance Sheet'!K12)+('Balance Sheet'!L13-'Balance Sheet'!K13)+('Balance Sheet'!L14-'Balance Sheet'!K14)</f>
        <v>931.26254303416135</v>
      </c>
      <c r="M7" s="19">
        <f>-('Balance Sheet'!M6-'Balance Sheet'!L6)-('Balance Sheet'!M7-'Balance Sheet'!L7)+('Balance Sheet'!M12-'Balance Sheet'!L12)+('Balance Sheet'!M13-'Balance Sheet'!L13)+('Balance Sheet'!M14-'Balance Sheet'!L14)</f>
        <v>1278.3733785192071</v>
      </c>
      <c r="N7" s="19">
        <f>-('Balance Sheet'!N6-'Balance Sheet'!M6)-('Balance Sheet'!N7-'Balance Sheet'!M7)+('Balance Sheet'!N12-'Balance Sheet'!M12)+('Balance Sheet'!N13-'Balance Sheet'!M13)+('Balance Sheet'!N14-'Balance Sheet'!M14)</f>
        <v>2403.8610057784981</v>
      </c>
      <c r="O7" s="19">
        <f>-('Balance Sheet'!O6-'Balance Sheet'!N6)-('Balance Sheet'!O7-'Balance Sheet'!N7)+('Balance Sheet'!O12-'Balance Sheet'!N12)+('Balance Sheet'!O13-'Balance Sheet'!N13)+('Balance Sheet'!O14-'Balance Sheet'!N14)</f>
        <v>3502.6579935674254</v>
      </c>
      <c r="P7" s="19">
        <f>-('Balance Sheet'!P6-'Balance Sheet'!O6)-('Balance Sheet'!P7-'Balance Sheet'!O7)+('Balance Sheet'!P12-'Balance Sheet'!O12)+('Balance Sheet'!P13-'Balance Sheet'!O13)+('Balance Sheet'!P14-'Balance Sheet'!O14)</f>
        <v>-678.150513004206</v>
      </c>
      <c r="Q7" s="19">
        <f>-('Balance Sheet'!Q6-'Balance Sheet'!P6)-('Balance Sheet'!Q7-'Balance Sheet'!P7)+('Balance Sheet'!Q12-'Balance Sheet'!P12)+('Balance Sheet'!Q13-'Balance Sheet'!P13)+('Balance Sheet'!Q14-'Balance Sheet'!P14)</f>
        <v>15.591961345586242</v>
      </c>
      <c r="R7" s="19">
        <f>-('Balance Sheet'!R6-'Balance Sheet'!Q6)-('Balance Sheet'!R7-'Balance Sheet'!Q7)+('Balance Sheet'!R12-'Balance Sheet'!Q12)+('Balance Sheet'!R13-'Balance Sheet'!Q13)+('Balance Sheet'!R14-'Balance Sheet'!Q14)</f>
        <v>1696.3715594128626</v>
      </c>
      <c r="S7" s="19">
        <f>-('Balance Sheet'!S6-'Balance Sheet'!R6)-('Balance Sheet'!S7-'Balance Sheet'!R7)+('Balance Sheet'!S12-'Balance Sheet'!R12)+('Balance Sheet'!S13-'Balance Sheet'!R13)+('Balance Sheet'!S14-'Balance Sheet'!R14)</f>
        <v>5198.7870123835073</v>
      </c>
      <c r="T7" s="19">
        <f>-('Balance Sheet'!T6-'Balance Sheet'!S6)-('Balance Sheet'!T7-'Balance Sheet'!S7)+('Balance Sheet'!T12-'Balance Sheet'!S12)+('Balance Sheet'!T13-'Balance Sheet'!S13)+('Balance Sheet'!T14-'Balance Sheet'!S14)</f>
        <v>-1021.4503557473145</v>
      </c>
      <c r="U7" s="19">
        <f>-('Balance Sheet'!U6-'Balance Sheet'!T6)-('Balance Sheet'!U7-'Balance Sheet'!T7)+('Balance Sheet'!U12-'Balance Sheet'!T12)+('Balance Sheet'!U13-'Balance Sheet'!T13)+('Balance Sheet'!U14-'Balance Sheet'!T14)</f>
        <v>1593.6896264653187</v>
      </c>
      <c r="V7" s="19">
        <f>-('Balance Sheet'!V6-'Balance Sheet'!U6)-('Balance Sheet'!V7-'Balance Sheet'!U7)+('Balance Sheet'!V12-'Balance Sheet'!U12)+('Balance Sheet'!V13-'Balance Sheet'!U13)+('Balance Sheet'!V14-'Balance Sheet'!U14)</f>
        <v>-326.60026721142276</v>
      </c>
      <c r="W7" s="19">
        <f>-('Balance Sheet'!W6-'Balance Sheet'!V6)-('Balance Sheet'!W7-'Balance Sheet'!V7)+('Balance Sheet'!W12-'Balance Sheet'!V12)+('Balance Sheet'!W13-'Balance Sheet'!V13)+('Balance Sheet'!W14-'Balance Sheet'!V14)</f>
        <v>2574.9759694280183</v>
      </c>
      <c r="X7" s="19">
        <f>-('Balance Sheet'!X6-'Balance Sheet'!W6)-('Balance Sheet'!X7-'Balance Sheet'!W7)+('Balance Sheet'!X12-'Balance Sheet'!W12)+('Balance Sheet'!X13-'Balance Sheet'!W13)+('Balance Sheet'!X14-'Balance Sheet'!W14)</f>
        <v>-324.56054460058658</v>
      </c>
      <c r="Y7" s="19">
        <f>-('Balance Sheet'!Y6-'Balance Sheet'!X6)-('Balance Sheet'!Y7-'Balance Sheet'!X7)+('Balance Sheet'!Y12-'Balance Sheet'!X12)+('Balance Sheet'!Y13-'Balance Sheet'!X13)+('Balance Sheet'!Y14-'Balance Sheet'!X14)</f>
        <v>-9500.1979468306145</v>
      </c>
      <c r="Z7" s="19">
        <f>-('Balance Sheet'!Z6-'Balance Sheet'!Y6)-('Balance Sheet'!Z7-'Balance Sheet'!Y7)+('Balance Sheet'!Z12-'Balance Sheet'!Y12)+('Balance Sheet'!Z13-'Balance Sheet'!Y13)+('Balance Sheet'!Z14-'Balance Sheet'!Y14)</f>
        <v>-273.66521917214595</v>
      </c>
      <c r="AA7" s="19">
        <f>-('Balance Sheet'!AA6-'Balance Sheet'!Z6)-('Balance Sheet'!AA7-'Balance Sheet'!Z7)+('Balance Sheet'!AA12-'Balance Sheet'!Z12)+('Balance Sheet'!AA13-'Balance Sheet'!Z13)+('Balance Sheet'!AA14-'Balance Sheet'!Z14)</f>
        <v>3151.0310995567415</v>
      </c>
      <c r="AB7" s="19">
        <f>-('Balance Sheet'!AB6-'Balance Sheet'!AA6)-('Balance Sheet'!AB7-'Balance Sheet'!AA7)+('Balance Sheet'!AB12-'Balance Sheet'!AA12)+('Balance Sheet'!AB13-'Balance Sheet'!AA13)+('Balance Sheet'!AB14-'Balance Sheet'!AA14)</f>
        <v>-14746.742454840416</v>
      </c>
      <c r="AC7" s="19">
        <f>-('Balance Sheet'!AC6-'Balance Sheet'!AB6)-('Balance Sheet'!AC7-'Balance Sheet'!AB7)+('Balance Sheet'!AC12-'Balance Sheet'!AB12)+('Balance Sheet'!AC13-'Balance Sheet'!AB13)+('Balance Sheet'!AC14-'Balance Sheet'!AB14)</f>
        <v>1611.2401411675619</v>
      </c>
      <c r="AD7" s="19">
        <f>-('Balance Sheet'!AD6-'Balance Sheet'!AC6)-('Balance Sheet'!AD7-'Balance Sheet'!AC7)+('Balance Sheet'!AD12-'Balance Sheet'!AC12)+('Balance Sheet'!AD13-'Balance Sheet'!AC13)+('Balance Sheet'!AD14-'Balance Sheet'!AC14)</f>
        <v>-317.09903146155921</v>
      </c>
      <c r="AE7" s="19">
        <f>-('Balance Sheet'!AE6-'Balance Sheet'!AD6)-('Balance Sheet'!AE7-'Balance Sheet'!AD7)+('Balance Sheet'!AE12-'Balance Sheet'!AD12)+('Balance Sheet'!AE13-'Balance Sheet'!AD13)+('Balance Sheet'!AE14-'Balance Sheet'!AD14)</f>
        <v>-10100.731795534641</v>
      </c>
      <c r="AF7" s="19">
        <f>-('Balance Sheet'!AF6-'Balance Sheet'!AE6)-('Balance Sheet'!AF7-'Balance Sheet'!AE7)+('Balance Sheet'!AF12-'Balance Sheet'!AE12)+('Balance Sheet'!AF13-'Balance Sheet'!AE13)+('Balance Sheet'!AF14-'Balance Sheet'!AE14)</f>
        <v>-813.67543218637002</v>
      </c>
      <c r="AG7" s="19">
        <f>-('Balance Sheet'!AG6-'Balance Sheet'!AF6)-('Balance Sheet'!AG7-'Balance Sheet'!AF7)+('Balance Sheet'!AG12-'Balance Sheet'!AF12)+('Balance Sheet'!AG13-'Balance Sheet'!AF13)+('Balance Sheet'!AG14-'Balance Sheet'!AF14)</f>
        <v>1667.5334212043053</v>
      </c>
      <c r="AH7" s="19">
        <f>-('Balance Sheet'!AH6-'Balance Sheet'!AG6)-('Balance Sheet'!AH7-'Balance Sheet'!AG7)+('Balance Sheet'!AH12-'Balance Sheet'!AG12)+('Balance Sheet'!AH13-'Balance Sheet'!AG13)+('Balance Sheet'!AH14-'Balance Sheet'!AG14)</f>
        <v>-14737.67293898547</v>
      </c>
      <c r="AI7" s="19">
        <f>-('Balance Sheet'!AI6-'Balance Sheet'!AH6)-('Balance Sheet'!AI7-'Balance Sheet'!AH7)+('Balance Sheet'!AI12-'Balance Sheet'!AH12)+('Balance Sheet'!AI13-'Balance Sheet'!AH13)+('Balance Sheet'!AI14-'Balance Sheet'!AH14)</f>
        <v>2546.2429765652523</v>
      </c>
      <c r="AJ7" s="19">
        <f>-('Balance Sheet'!AJ6-'Balance Sheet'!AI6)-('Balance Sheet'!AJ7-'Balance Sheet'!AI7)+('Balance Sheet'!AJ12-'Balance Sheet'!AI12)+('Balance Sheet'!AJ13-'Balance Sheet'!AI13)+('Balance Sheet'!AJ14-'Balance Sheet'!AI14)</f>
        <v>1267.9001097685177</v>
      </c>
      <c r="AK7" s="19">
        <f>-('Balance Sheet'!AK6-'Balance Sheet'!AJ6)-('Balance Sheet'!AK7-'Balance Sheet'!AJ7)+('Balance Sheet'!AK12-'Balance Sheet'!AJ12)+('Balance Sheet'!AK13-'Balance Sheet'!AJ13)+('Balance Sheet'!AK14-'Balance Sheet'!AJ14)</f>
        <v>-11098.577228493064</v>
      </c>
      <c r="AL7" s="19">
        <f>-('Balance Sheet'!AL6-'Balance Sheet'!AK6)-('Balance Sheet'!AL7-'Balance Sheet'!AK7)+('Balance Sheet'!AL12-'Balance Sheet'!AK12)+('Balance Sheet'!AL13-'Balance Sheet'!AK13)+('Balance Sheet'!AL14-'Balance Sheet'!AK14)</f>
        <v>-4186.2430367926972</v>
      </c>
      <c r="AM7" s="19">
        <f>-('Balance Sheet'!AM6-'Balance Sheet'!AL6)-('Balance Sheet'!AM7-'Balance Sheet'!AL7)+('Balance Sheet'!AM12-'Balance Sheet'!AL12)+('Balance Sheet'!AM13-'Balance Sheet'!AL13)+('Balance Sheet'!AM14-'Balance Sheet'!AL14)</f>
        <v>2388.6432239457718</v>
      </c>
      <c r="AN7" s="19">
        <f>-('Balance Sheet'!AN6-'Balance Sheet'!AM6)-('Balance Sheet'!AN7-'Balance Sheet'!AM7)+('Balance Sheet'!AN12-'Balance Sheet'!AM12)+('Balance Sheet'!AN13-'Balance Sheet'!AM13)+('Balance Sheet'!AN14-'Balance Sheet'!AM14)</f>
        <v>-15879.67172032567</v>
      </c>
      <c r="AO7" s="19">
        <f>-('Balance Sheet'!AO6-'Balance Sheet'!AN6)-('Balance Sheet'!AO7-'Balance Sheet'!AN7)+('Balance Sheet'!AO12-'Balance Sheet'!AN12)+('Balance Sheet'!AO13-'Balance Sheet'!AN13)+('Balance Sheet'!AO14-'Balance Sheet'!AN14)</f>
        <v>3383.3146445955354</v>
      </c>
      <c r="AP7" s="19">
        <f>-('Balance Sheet'!AP6-'Balance Sheet'!AO6)-('Balance Sheet'!AP7-'Balance Sheet'!AO7)+('Balance Sheet'!AP12-'Balance Sheet'!AO12)+('Balance Sheet'!AP13-'Balance Sheet'!AO13)+('Balance Sheet'!AP14-'Balance Sheet'!AO14)</f>
        <v>-640.20008465906722</v>
      </c>
      <c r="AQ7" s="19">
        <f>-('Balance Sheet'!AQ6-'Balance Sheet'!AP6)-('Balance Sheet'!AQ7-'Balance Sheet'!AP7)+('Balance Sheet'!AQ12-'Balance Sheet'!AP12)+('Balance Sheet'!AQ13-'Balance Sheet'!AP13)+('Balance Sheet'!AQ14-'Balance Sheet'!AP14)</f>
        <v>-9923.2763576420075</v>
      </c>
      <c r="AR7" s="19">
        <f>-('Balance Sheet'!AR6-'Balance Sheet'!AQ6)-('Balance Sheet'!AR7-'Balance Sheet'!AQ7)+('Balance Sheet'!AR12-'Balance Sheet'!AQ12)+('Balance Sheet'!AR13-'Balance Sheet'!AQ13)+('Balance Sheet'!AR14-'Balance Sheet'!AQ14)</f>
        <v>-800.12529333662678</v>
      </c>
      <c r="AS7" s="19">
        <f>-('Balance Sheet'!AS6-'Balance Sheet'!AR6)-('Balance Sheet'!AS7-'Balance Sheet'!AR7)+('Balance Sheet'!AS12-'Balance Sheet'!AR12)+('Balance Sheet'!AS13-'Balance Sheet'!AR13)+('Balance Sheet'!AS14-'Balance Sheet'!AR14)</f>
        <v>4639.2151973090404</v>
      </c>
      <c r="AT7" s="19">
        <f>-('Balance Sheet'!AT6-'Balance Sheet'!AS6)-('Balance Sheet'!AT7-'Balance Sheet'!AS7)+('Balance Sheet'!AT12-'Balance Sheet'!AS12)+('Balance Sheet'!AT13-'Balance Sheet'!AS13)+('Balance Sheet'!AT14-'Balance Sheet'!AS14)</f>
        <v>-16209.884172903628</v>
      </c>
      <c r="AU7" s="19">
        <f>-('Balance Sheet'!AU6-'Balance Sheet'!AT6)-('Balance Sheet'!AU7-'Balance Sheet'!AT7)+('Balance Sheet'!AU12-'Balance Sheet'!AT12)+('Balance Sheet'!AU13-'Balance Sheet'!AT13)+('Balance Sheet'!AU14-'Balance Sheet'!AT14)</f>
        <v>-97.949641548795626</v>
      </c>
      <c r="AV7" s="19">
        <f>-('Balance Sheet'!AV6-'Balance Sheet'!AU6)-('Balance Sheet'!AV7-'Balance Sheet'!AU7)+('Balance Sheet'!AV12-'Balance Sheet'!AU12)+('Balance Sheet'!AV13-'Balance Sheet'!AU13)+('Balance Sheet'!AV14-'Balance Sheet'!AU14)</f>
        <v>70.75693637374934</v>
      </c>
      <c r="AW7" s="19">
        <f>-('Balance Sheet'!AW6-'Balance Sheet'!AV6)-('Balance Sheet'!AW7-'Balance Sheet'!AV7)+('Balance Sheet'!AW12-'Balance Sheet'!AV12)+('Balance Sheet'!AW13-'Balance Sheet'!AV13)+('Balance Sheet'!AW14-'Balance Sheet'!AV14)</f>
        <v>239.63198319244111</v>
      </c>
      <c r="AX7" s="19">
        <f>-('Balance Sheet'!AX6-'Balance Sheet'!AW6)-('Balance Sheet'!AX7-'Balance Sheet'!AW7)+('Balance Sheet'!AX12-'Balance Sheet'!AW12)+('Balance Sheet'!AX13-'Balance Sheet'!AW13)+('Balance Sheet'!AX14-'Balance Sheet'!AW14)</f>
        <v>-6935.5617628823411</v>
      </c>
      <c r="AY7" s="19">
        <f>-('Balance Sheet'!AY6-'Balance Sheet'!AX6)-('Balance Sheet'!AY7-'Balance Sheet'!AX7)+('Balance Sheet'!AY12-'Balance Sheet'!AX12)+('Balance Sheet'!AY13-'Balance Sheet'!AX13)+('Balance Sheet'!AY14-'Balance Sheet'!AX14)</f>
        <v>81.909998469673155</v>
      </c>
      <c r="AZ7" s="19">
        <f>-('Balance Sheet'!AZ6-'Balance Sheet'!AY6)-('Balance Sheet'!AZ7-'Balance Sheet'!AY7)+('Balance Sheet'!AZ12-'Balance Sheet'!AY12)+('Balance Sheet'!AZ13-'Balance Sheet'!AY13)+('Balance Sheet'!AZ14-'Balance Sheet'!AY14)</f>
        <v>-16741.542325606832</v>
      </c>
      <c r="BA7" s="19">
        <f>-('Balance Sheet'!BA6-'Balance Sheet'!AZ6)-('Balance Sheet'!BA7-'Balance Sheet'!AZ7)+('Balance Sheet'!BA12-'Balance Sheet'!AZ12)+('Balance Sheet'!BA13-'Balance Sheet'!AZ13)+('Balance Sheet'!BA14-'Balance Sheet'!AZ14)</f>
        <v>-88.258402687199123</v>
      </c>
    </row>
    <row r="8" spans="1:53" x14ac:dyDescent="0.35">
      <c r="A8" s="2" t="s">
        <v>440</v>
      </c>
      <c r="B8" s="17">
        <f t="shared" ref="B8:AG8" si="0">B5+B6+B7</f>
        <v>-59441.5</v>
      </c>
      <c r="C8" s="17">
        <f t="shared" si="0"/>
        <v>-44461.375</v>
      </c>
      <c r="D8" s="17">
        <f t="shared" si="0"/>
        <v>-41981.668749999997</v>
      </c>
      <c r="E8" s="17">
        <f t="shared" si="0"/>
        <v>-42123.202187499992</v>
      </c>
      <c r="F8" s="17">
        <f t="shared" si="0"/>
        <v>-56446.812296874989</v>
      </c>
      <c r="G8" s="17">
        <f t="shared" si="0"/>
        <v>-44002.852911718743</v>
      </c>
      <c r="H8" s="17">
        <f t="shared" si="0"/>
        <v>-54037.295557304678</v>
      </c>
      <c r="I8" s="17">
        <f t="shared" si="0"/>
        <v>-66359.247001836586</v>
      </c>
      <c r="J8" s="17">
        <f t="shared" si="0"/>
        <v>-70439.091851928417</v>
      </c>
      <c r="K8" s="17">
        <f t="shared" si="0"/>
        <v>-95141.31852785818</v>
      </c>
      <c r="L8" s="17">
        <f t="shared" si="0"/>
        <v>-102925.01612091775</v>
      </c>
      <c r="M8" s="17">
        <f t="shared" si="0"/>
        <v>-110199.7504686303</v>
      </c>
      <c r="N8" s="17">
        <f t="shared" si="0"/>
        <v>-122700.85653372848</v>
      </c>
      <c r="O8" s="17">
        <f t="shared" si="0"/>
        <v>-143589.9322979149</v>
      </c>
      <c r="P8" s="17">
        <f t="shared" si="0"/>
        <v>-141083.51813156065</v>
      </c>
      <c r="Q8" s="17">
        <f t="shared" si="0"/>
        <v>-140644.69185063869</v>
      </c>
      <c r="R8" s="17">
        <f t="shared" si="0"/>
        <v>-156031.5742556706</v>
      </c>
      <c r="S8" s="17">
        <f t="shared" si="0"/>
        <v>-182180.67265595411</v>
      </c>
      <c r="T8" s="17">
        <f t="shared" si="0"/>
        <v>-178301.00738250185</v>
      </c>
      <c r="U8" s="17">
        <f t="shared" si="0"/>
        <v>-186661.09462662693</v>
      </c>
      <c r="V8" s="17">
        <f t="shared" si="0"/>
        <v>-185441.72935795825</v>
      </c>
      <c r="W8" s="17">
        <f t="shared" si="0"/>
        <v>-199105.5777008562</v>
      </c>
      <c r="X8" s="17">
        <f t="shared" si="0"/>
        <v>-198898.80689839905</v>
      </c>
      <c r="Y8" s="17">
        <f t="shared" si="0"/>
        <v>-221927.72786831899</v>
      </c>
      <c r="Z8" s="17">
        <f t="shared" si="0"/>
        <v>-212451.93413673496</v>
      </c>
      <c r="AA8" s="17">
        <f t="shared" si="0"/>
        <v>-229137.25381075917</v>
      </c>
      <c r="AB8" s="17">
        <f t="shared" si="0"/>
        <v>-231321.42056379715</v>
      </c>
      <c r="AC8" s="17">
        <f t="shared" si="0"/>
        <v>-225472.84801386198</v>
      </c>
      <c r="AD8" s="17">
        <f t="shared" si="0"/>
        <v>-224416.86968799258</v>
      </c>
      <c r="AE8" s="17">
        <f t="shared" si="0"/>
        <v>-249854.74095364223</v>
      </c>
      <c r="AF8" s="17">
        <f t="shared" si="0"/>
        <v>-232636.73704819937</v>
      </c>
      <c r="AG8" s="17">
        <f t="shared" si="0"/>
        <v>-241710.85952560927</v>
      </c>
      <c r="AH8" s="17">
        <f t="shared" ref="AH8:BA8" si="1">AH5+AH6+AH7</f>
        <v>-242550.73847063974</v>
      </c>
      <c r="AI8" s="17">
        <f t="shared" si="1"/>
        <v>-241184.64939417172</v>
      </c>
      <c r="AJ8" s="17">
        <f t="shared" si="1"/>
        <v>-255392.15278575534</v>
      </c>
      <c r="AK8" s="17">
        <f t="shared" si="1"/>
        <v>-271277.70023754315</v>
      </c>
      <c r="AL8" s="17">
        <f t="shared" si="1"/>
        <v>-264369.9286962953</v>
      </c>
      <c r="AM8" s="17">
        <f t="shared" si="1"/>
        <v>-273566.70798181318</v>
      </c>
      <c r="AN8" s="17">
        <f t="shared" si="1"/>
        <v>-275453.63606996642</v>
      </c>
      <c r="AO8" s="17">
        <f t="shared" si="1"/>
        <v>-278670.35126549593</v>
      </c>
      <c r="AP8" s="17">
        <f t="shared" si="1"/>
        <v>-276627.10270588007</v>
      </c>
      <c r="AQ8" s="17">
        <f t="shared" si="1"/>
        <v>-308596.68983804918</v>
      </c>
      <c r="AR8" s="17">
        <f t="shared" si="1"/>
        <v>-291841.88524776406</v>
      </c>
      <c r="AS8" s="17">
        <f t="shared" si="1"/>
        <v>-316840.96985796472</v>
      </c>
      <c r="AT8" s="17">
        <f t="shared" si="1"/>
        <v>-318109.97084578476</v>
      </c>
      <c r="AU8" s="17">
        <f t="shared" si="1"/>
        <v>-301446.39741291787</v>
      </c>
      <c r="AV8" s="17">
        <f t="shared" si="1"/>
        <v>-302434.51058840746</v>
      </c>
      <c r="AW8" s="17">
        <f t="shared" si="1"/>
        <v>-305133.66828267154</v>
      </c>
      <c r="AX8" s="17">
        <f t="shared" si="1"/>
        <v>-319943.22096203949</v>
      </c>
      <c r="AY8" s="17">
        <f t="shared" si="1"/>
        <v>-314264.91266773129</v>
      </c>
      <c r="AZ8" s="17">
        <f t="shared" si="1"/>
        <v>-317699.1691922039</v>
      </c>
      <c r="BA8" s="17">
        <f t="shared" si="1"/>
        <v>-300736.67123169993</v>
      </c>
    </row>
    <row r="10" spans="1:53" x14ac:dyDescent="0.35">
      <c r="A10" s="2" t="s">
        <v>441</v>
      </c>
    </row>
    <row r="11" spans="1:53" x14ac:dyDescent="0.35">
      <c r="A11" s="3" t="s">
        <v>442</v>
      </c>
      <c r="B11" s="19">
        <f>-(Costs!B123+Inputs!$B$102)</f>
        <v>-14900</v>
      </c>
      <c r="C11" s="19">
        <f>-Costs!C123</f>
        <v>0</v>
      </c>
      <c r="D11" s="19">
        <f>-Costs!D123</f>
        <v>0</v>
      </c>
      <c r="E11" s="19">
        <f>-Costs!E123</f>
        <v>0</v>
      </c>
      <c r="F11" s="19">
        <f>-Costs!F123</f>
        <v>0</v>
      </c>
      <c r="G11" s="19">
        <f>-Costs!G123</f>
        <v>0</v>
      </c>
      <c r="H11" s="19">
        <f>-Costs!H123</f>
        <v>-3300</v>
      </c>
      <c r="I11" s="19">
        <f>-Costs!I123</f>
        <v>-3300</v>
      </c>
      <c r="J11" s="19">
        <f>-Costs!J123</f>
        <v>-3300</v>
      </c>
      <c r="K11" s="19">
        <f>-Costs!K123</f>
        <v>-6600</v>
      </c>
      <c r="L11" s="19">
        <f>-Costs!L123</f>
        <v>-3300</v>
      </c>
      <c r="M11" s="19">
        <f>-Costs!M123</f>
        <v>-3300</v>
      </c>
      <c r="N11" s="19">
        <f>-Costs!N123</f>
        <v>-3300</v>
      </c>
      <c r="O11" s="19">
        <f>-Costs!O123</f>
        <v>-6600</v>
      </c>
      <c r="P11" s="19">
        <f>-Costs!P123</f>
        <v>0</v>
      </c>
      <c r="Q11" s="19">
        <f>-Costs!Q123</f>
        <v>0</v>
      </c>
      <c r="R11" s="19">
        <f>-Costs!R123</f>
        <v>0</v>
      </c>
      <c r="S11" s="19">
        <f>-Costs!S123</f>
        <v>-9900</v>
      </c>
      <c r="T11" s="19">
        <f>-Costs!T123</f>
        <v>0</v>
      </c>
      <c r="U11" s="19">
        <f>-Costs!U123</f>
        <v>-3300</v>
      </c>
      <c r="V11" s="19">
        <f>-Costs!V123</f>
        <v>0</v>
      </c>
      <c r="W11" s="19">
        <f>-Costs!W123</f>
        <v>-3300</v>
      </c>
      <c r="X11" s="19">
        <f>-Costs!X123</f>
        <v>0</v>
      </c>
      <c r="Y11" s="19">
        <f>-Costs!Y123</f>
        <v>-6600</v>
      </c>
      <c r="Z11" s="19">
        <f>-Costs!Z123</f>
        <v>0</v>
      </c>
      <c r="AA11" s="19">
        <f>-Costs!AA123</f>
        <v>-3300</v>
      </c>
      <c r="AB11" s="19">
        <f>-Costs!AB123</f>
        <v>0</v>
      </c>
      <c r="AC11" s="19">
        <f>-Costs!AC123</f>
        <v>-3300</v>
      </c>
      <c r="AD11" s="19">
        <f>-Costs!AD123</f>
        <v>0</v>
      </c>
      <c r="AE11" s="19">
        <f>-Costs!AE123</f>
        <v>-6600</v>
      </c>
      <c r="AF11" s="19">
        <f>-Costs!AF123</f>
        <v>0</v>
      </c>
      <c r="AG11" s="19">
        <f>-Costs!AG123</f>
        <v>-3300</v>
      </c>
      <c r="AH11" s="19">
        <f>-Costs!AH123</f>
        <v>0</v>
      </c>
      <c r="AI11" s="19">
        <f>-Costs!AI123</f>
        <v>-3300</v>
      </c>
      <c r="AJ11" s="19">
        <f>-Costs!AJ123</f>
        <v>0</v>
      </c>
      <c r="AK11" s="19">
        <f>-Costs!AK123</f>
        <v>-6600</v>
      </c>
      <c r="AL11" s="19">
        <f>-Costs!AL123</f>
        <v>0</v>
      </c>
      <c r="AM11" s="19">
        <f>-Costs!AM123</f>
        <v>-3300</v>
      </c>
      <c r="AN11" s="19">
        <f>-Costs!AN123</f>
        <v>0</v>
      </c>
      <c r="AO11" s="19">
        <f>-Costs!AO123</f>
        <v>-6600</v>
      </c>
      <c r="AP11" s="19">
        <f>-Costs!AP123</f>
        <v>0</v>
      </c>
      <c r="AQ11" s="19">
        <f>-Costs!AQ123</f>
        <v>-6600</v>
      </c>
      <c r="AR11" s="19">
        <f>-Costs!AR123</f>
        <v>0</v>
      </c>
      <c r="AS11" s="19">
        <f>-Costs!AS123</f>
        <v>-6600</v>
      </c>
      <c r="AT11" s="19">
        <f>-Costs!AT123</f>
        <v>0</v>
      </c>
      <c r="AU11" s="19">
        <f>-Costs!AU123</f>
        <v>0</v>
      </c>
      <c r="AV11" s="19">
        <f>-Costs!AV123</f>
        <v>0</v>
      </c>
      <c r="AW11" s="19">
        <f>-Costs!AW123</f>
        <v>0</v>
      </c>
      <c r="AX11" s="19">
        <f>-Costs!AX123</f>
        <v>0</v>
      </c>
      <c r="AY11" s="19">
        <f>-Costs!AY123</f>
        <v>0</v>
      </c>
      <c r="AZ11" s="19">
        <f>-Costs!AZ123</f>
        <v>0</v>
      </c>
      <c r="BA11" s="19">
        <f>-Costs!BA123</f>
        <v>0</v>
      </c>
    </row>
    <row r="12" spans="1:53" x14ac:dyDescent="0.35">
      <c r="A12" s="2" t="s">
        <v>443</v>
      </c>
      <c r="B12" s="17">
        <f t="shared" ref="B12:AG12" si="2">B11</f>
        <v>-14900</v>
      </c>
      <c r="C12" s="17">
        <f t="shared" si="2"/>
        <v>0</v>
      </c>
      <c r="D12" s="17">
        <f t="shared" si="2"/>
        <v>0</v>
      </c>
      <c r="E12" s="17">
        <f t="shared" si="2"/>
        <v>0</v>
      </c>
      <c r="F12" s="17">
        <f t="shared" si="2"/>
        <v>0</v>
      </c>
      <c r="G12" s="17">
        <f t="shared" si="2"/>
        <v>0</v>
      </c>
      <c r="H12" s="17">
        <f t="shared" si="2"/>
        <v>-3300</v>
      </c>
      <c r="I12" s="17">
        <f t="shared" si="2"/>
        <v>-3300</v>
      </c>
      <c r="J12" s="17">
        <f t="shared" si="2"/>
        <v>-3300</v>
      </c>
      <c r="K12" s="17">
        <f t="shared" si="2"/>
        <v>-6600</v>
      </c>
      <c r="L12" s="17">
        <f t="shared" si="2"/>
        <v>-3300</v>
      </c>
      <c r="M12" s="17">
        <f t="shared" si="2"/>
        <v>-3300</v>
      </c>
      <c r="N12" s="17">
        <f t="shared" si="2"/>
        <v>-3300</v>
      </c>
      <c r="O12" s="17">
        <f t="shared" si="2"/>
        <v>-6600</v>
      </c>
      <c r="P12" s="17">
        <f t="shared" si="2"/>
        <v>0</v>
      </c>
      <c r="Q12" s="17">
        <f t="shared" si="2"/>
        <v>0</v>
      </c>
      <c r="R12" s="17">
        <f t="shared" si="2"/>
        <v>0</v>
      </c>
      <c r="S12" s="17">
        <f t="shared" si="2"/>
        <v>-9900</v>
      </c>
      <c r="T12" s="17">
        <f t="shared" si="2"/>
        <v>0</v>
      </c>
      <c r="U12" s="17">
        <f t="shared" si="2"/>
        <v>-3300</v>
      </c>
      <c r="V12" s="17">
        <f t="shared" si="2"/>
        <v>0</v>
      </c>
      <c r="W12" s="17">
        <f t="shared" si="2"/>
        <v>-3300</v>
      </c>
      <c r="X12" s="17">
        <f t="shared" si="2"/>
        <v>0</v>
      </c>
      <c r="Y12" s="17">
        <f t="shared" si="2"/>
        <v>-6600</v>
      </c>
      <c r="Z12" s="17">
        <f t="shared" si="2"/>
        <v>0</v>
      </c>
      <c r="AA12" s="17">
        <f t="shared" si="2"/>
        <v>-3300</v>
      </c>
      <c r="AB12" s="17">
        <f t="shared" si="2"/>
        <v>0</v>
      </c>
      <c r="AC12" s="17">
        <f t="shared" si="2"/>
        <v>-3300</v>
      </c>
      <c r="AD12" s="17">
        <f t="shared" si="2"/>
        <v>0</v>
      </c>
      <c r="AE12" s="17">
        <f t="shared" si="2"/>
        <v>-6600</v>
      </c>
      <c r="AF12" s="17">
        <f t="shared" si="2"/>
        <v>0</v>
      </c>
      <c r="AG12" s="17">
        <f t="shared" si="2"/>
        <v>-3300</v>
      </c>
      <c r="AH12" s="17">
        <f t="shared" ref="AH12:BA12" si="3">AH11</f>
        <v>0</v>
      </c>
      <c r="AI12" s="17">
        <f t="shared" si="3"/>
        <v>-3300</v>
      </c>
      <c r="AJ12" s="17">
        <f t="shared" si="3"/>
        <v>0</v>
      </c>
      <c r="AK12" s="17">
        <f t="shared" si="3"/>
        <v>-6600</v>
      </c>
      <c r="AL12" s="17">
        <f t="shared" si="3"/>
        <v>0</v>
      </c>
      <c r="AM12" s="17">
        <f t="shared" si="3"/>
        <v>-3300</v>
      </c>
      <c r="AN12" s="17">
        <f t="shared" si="3"/>
        <v>0</v>
      </c>
      <c r="AO12" s="17">
        <f t="shared" si="3"/>
        <v>-6600</v>
      </c>
      <c r="AP12" s="17">
        <f t="shared" si="3"/>
        <v>0</v>
      </c>
      <c r="AQ12" s="17">
        <f t="shared" si="3"/>
        <v>-6600</v>
      </c>
      <c r="AR12" s="17">
        <f t="shared" si="3"/>
        <v>0</v>
      </c>
      <c r="AS12" s="17">
        <f t="shared" si="3"/>
        <v>-6600</v>
      </c>
      <c r="AT12" s="17">
        <f t="shared" si="3"/>
        <v>0</v>
      </c>
      <c r="AU12" s="17">
        <f t="shared" si="3"/>
        <v>0</v>
      </c>
      <c r="AV12" s="17">
        <f t="shared" si="3"/>
        <v>0</v>
      </c>
      <c r="AW12" s="17">
        <f t="shared" si="3"/>
        <v>0</v>
      </c>
      <c r="AX12" s="17">
        <f t="shared" si="3"/>
        <v>0</v>
      </c>
      <c r="AY12" s="17">
        <f t="shared" si="3"/>
        <v>0</v>
      </c>
      <c r="AZ12" s="17">
        <f t="shared" si="3"/>
        <v>0</v>
      </c>
      <c r="BA12" s="17">
        <f t="shared" si="3"/>
        <v>0</v>
      </c>
    </row>
    <row r="14" spans="1:53" x14ac:dyDescent="0.35">
      <c r="A14" s="2" t="s">
        <v>444</v>
      </c>
    </row>
    <row r="15" spans="1:53" x14ac:dyDescent="0.35">
      <c r="A15" s="3" t="s">
        <v>445</v>
      </c>
      <c r="B15" s="19">
        <f>IF(1=Inputs!$B$11,Inputs!$B$10,0)+IF(1=Inputs!$B$13,Inputs!$B$12,0)+IF(1=Inputs!$B$15,Inputs!$B$14,0)+IF(1=Inputs!$B$17,Inputs!$B$16,0)</f>
        <v>90000</v>
      </c>
      <c r="C15" s="19">
        <f>IF(2=Inputs!$B$11,Inputs!$B$10,0)+IF(2=Inputs!$B$13,Inputs!$B$12,0)+IF(2=Inputs!$B$15,Inputs!$B$14,0)+IF(2=Inputs!$B$17,Inputs!$B$16,0)</f>
        <v>0</v>
      </c>
      <c r="D15" s="19">
        <f>IF(3=Inputs!$B$11,Inputs!$B$10,0)+IF(3=Inputs!$B$13,Inputs!$B$12,0)+IF(3=Inputs!$B$15,Inputs!$B$14,0)+IF(3=Inputs!$B$17,Inputs!$B$16,0)</f>
        <v>0</v>
      </c>
      <c r="E15" s="19">
        <f>IF(4=Inputs!$B$11,Inputs!$B$10,0)+IF(4=Inputs!$B$13,Inputs!$B$12,0)+IF(4=Inputs!$B$15,Inputs!$B$14,0)+IF(4=Inputs!$B$17,Inputs!$B$16,0)</f>
        <v>0</v>
      </c>
      <c r="F15" s="19">
        <f>IF(5=Inputs!$B$11,Inputs!$B$10,0)+IF(5=Inputs!$B$13,Inputs!$B$12,0)+IF(5=Inputs!$B$15,Inputs!$B$14,0)+IF(5=Inputs!$B$17,Inputs!$B$16,0)</f>
        <v>1500000</v>
      </c>
      <c r="G15" s="19">
        <f>IF(6=Inputs!$B$11,Inputs!$B$10,0)+IF(6=Inputs!$B$13,Inputs!$B$12,0)+IF(6=Inputs!$B$15,Inputs!$B$14,0)+IF(6=Inputs!$B$17,Inputs!$B$16,0)</f>
        <v>0</v>
      </c>
      <c r="H15" s="19">
        <f>IF(7=Inputs!$B$11,Inputs!$B$10,0)+IF(7=Inputs!$B$13,Inputs!$B$12,0)+IF(7=Inputs!$B$15,Inputs!$B$14,0)+IF(7=Inputs!$B$17,Inputs!$B$16,0)</f>
        <v>0</v>
      </c>
      <c r="I15" s="19">
        <f>IF(8=Inputs!$B$11,Inputs!$B$10,0)+IF(8=Inputs!$B$13,Inputs!$B$12,0)+IF(8=Inputs!$B$15,Inputs!$B$14,0)+IF(8=Inputs!$B$17,Inputs!$B$16,0)</f>
        <v>0</v>
      </c>
      <c r="J15" s="19">
        <f>IF(9=Inputs!$B$11,Inputs!$B$10,0)+IF(9=Inputs!$B$13,Inputs!$B$12,0)+IF(9=Inputs!$B$15,Inputs!$B$14,0)+IF(9=Inputs!$B$17,Inputs!$B$16,0)</f>
        <v>0</v>
      </c>
      <c r="K15" s="19">
        <f>IF(10=Inputs!$B$11,Inputs!$B$10,0)+IF(10=Inputs!$B$13,Inputs!$B$12,0)+IF(10=Inputs!$B$15,Inputs!$B$14,0)+IF(10=Inputs!$B$17,Inputs!$B$16,0)</f>
        <v>0</v>
      </c>
      <c r="L15" s="19">
        <f>IF(11=Inputs!$B$11,Inputs!$B$10,0)+IF(11=Inputs!$B$13,Inputs!$B$12,0)+IF(11=Inputs!$B$15,Inputs!$B$14,0)+IF(11=Inputs!$B$17,Inputs!$B$16,0)</f>
        <v>0</v>
      </c>
      <c r="M15" s="19">
        <f>IF(12=Inputs!$B$11,Inputs!$B$10,0)+IF(12=Inputs!$B$13,Inputs!$B$12,0)+IF(12=Inputs!$B$15,Inputs!$B$14,0)+IF(12=Inputs!$B$17,Inputs!$B$16,0)</f>
        <v>0</v>
      </c>
      <c r="N15" s="19">
        <f>IF(13=Inputs!$B$11,Inputs!$B$10,0)+IF(13=Inputs!$B$13,Inputs!$B$12,0)+IF(13=Inputs!$B$15,Inputs!$B$14,0)+IF(13=Inputs!$B$17,Inputs!$B$16,0)</f>
        <v>0</v>
      </c>
      <c r="O15" s="19">
        <f>IF(14=Inputs!$B$11,Inputs!$B$10,0)+IF(14=Inputs!$B$13,Inputs!$B$12,0)+IF(14=Inputs!$B$15,Inputs!$B$14,0)+IF(14=Inputs!$B$17,Inputs!$B$16,0)</f>
        <v>0</v>
      </c>
      <c r="P15" s="19">
        <f>IF(15=Inputs!$B$11,Inputs!$B$10,0)+IF(15=Inputs!$B$13,Inputs!$B$12,0)+IF(15=Inputs!$B$15,Inputs!$B$14,0)+IF(15=Inputs!$B$17,Inputs!$B$16,0)</f>
        <v>0</v>
      </c>
      <c r="Q15" s="19">
        <f>IF(16=Inputs!$B$11,Inputs!$B$10,0)+IF(16=Inputs!$B$13,Inputs!$B$12,0)+IF(16=Inputs!$B$15,Inputs!$B$14,0)+IF(16=Inputs!$B$17,Inputs!$B$16,0)</f>
        <v>0</v>
      </c>
      <c r="R15" s="19">
        <f>IF(17=Inputs!$B$11,Inputs!$B$10,0)+IF(17=Inputs!$B$13,Inputs!$B$12,0)+IF(17=Inputs!$B$15,Inputs!$B$14,0)+IF(17=Inputs!$B$17,Inputs!$B$16,0)</f>
        <v>6000000</v>
      </c>
      <c r="S15" s="19">
        <f>IF(18=Inputs!$B$11,Inputs!$B$10,0)+IF(18=Inputs!$B$13,Inputs!$B$12,0)+IF(18=Inputs!$B$15,Inputs!$B$14,0)+IF(18=Inputs!$B$17,Inputs!$B$16,0)</f>
        <v>0</v>
      </c>
      <c r="T15" s="19">
        <f>IF(19=Inputs!$B$11,Inputs!$B$10,0)+IF(19=Inputs!$B$13,Inputs!$B$12,0)+IF(19=Inputs!$B$15,Inputs!$B$14,0)+IF(19=Inputs!$B$17,Inputs!$B$16,0)</f>
        <v>0</v>
      </c>
      <c r="U15" s="19">
        <f>IF(20=Inputs!$B$11,Inputs!$B$10,0)+IF(20=Inputs!$B$13,Inputs!$B$12,0)+IF(20=Inputs!$B$15,Inputs!$B$14,0)+IF(20=Inputs!$B$17,Inputs!$B$16,0)</f>
        <v>0</v>
      </c>
      <c r="V15" s="19">
        <f>IF(21=Inputs!$B$11,Inputs!$B$10,0)+IF(21=Inputs!$B$13,Inputs!$B$12,0)+IF(21=Inputs!$B$15,Inputs!$B$14,0)+IF(21=Inputs!$B$17,Inputs!$B$16,0)</f>
        <v>0</v>
      </c>
      <c r="W15" s="19">
        <f>IF(22=Inputs!$B$11,Inputs!$B$10,0)+IF(22=Inputs!$B$13,Inputs!$B$12,0)+IF(22=Inputs!$B$15,Inputs!$B$14,0)+IF(22=Inputs!$B$17,Inputs!$B$16,0)</f>
        <v>0</v>
      </c>
      <c r="X15" s="19">
        <f>IF(23=Inputs!$B$11,Inputs!$B$10,0)+IF(23=Inputs!$B$13,Inputs!$B$12,0)+IF(23=Inputs!$B$15,Inputs!$B$14,0)+IF(23=Inputs!$B$17,Inputs!$B$16,0)</f>
        <v>0</v>
      </c>
      <c r="Y15" s="19">
        <f>IF(24=Inputs!$B$11,Inputs!$B$10,0)+IF(24=Inputs!$B$13,Inputs!$B$12,0)+IF(24=Inputs!$B$15,Inputs!$B$14,0)+IF(24=Inputs!$B$17,Inputs!$B$16,0)</f>
        <v>0</v>
      </c>
      <c r="Z15" s="19">
        <f>IF(25=Inputs!$B$11,Inputs!$B$10,0)+IF(25=Inputs!$B$13,Inputs!$B$12,0)+IF(25=Inputs!$B$15,Inputs!$B$14,0)+IF(25=Inputs!$B$17,Inputs!$B$16,0)</f>
        <v>0</v>
      </c>
      <c r="AA15" s="19">
        <f>IF(26=Inputs!$B$11,Inputs!$B$10,0)+IF(26=Inputs!$B$13,Inputs!$B$12,0)+IF(26=Inputs!$B$15,Inputs!$B$14,0)+IF(26=Inputs!$B$17,Inputs!$B$16,0)</f>
        <v>0</v>
      </c>
      <c r="AB15" s="19">
        <f>IF(27=Inputs!$B$11,Inputs!$B$10,0)+IF(27=Inputs!$B$13,Inputs!$B$12,0)+IF(27=Inputs!$B$15,Inputs!$B$14,0)+IF(27=Inputs!$B$17,Inputs!$B$16,0)</f>
        <v>0</v>
      </c>
      <c r="AC15" s="19">
        <f>IF(28=Inputs!$B$11,Inputs!$B$10,0)+IF(28=Inputs!$B$13,Inputs!$B$12,0)+IF(28=Inputs!$B$15,Inputs!$B$14,0)+IF(28=Inputs!$B$17,Inputs!$B$16,0)</f>
        <v>0</v>
      </c>
      <c r="AD15" s="19">
        <f>IF(29=Inputs!$B$11,Inputs!$B$10,0)+IF(29=Inputs!$B$13,Inputs!$B$12,0)+IF(29=Inputs!$B$15,Inputs!$B$14,0)+IF(29=Inputs!$B$17,Inputs!$B$16,0)</f>
        <v>0</v>
      </c>
      <c r="AE15" s="19">
        <f>IF(30=Inputs!$B$11,Inputs!$B$10,0)+IF(30=Inputs!$B$13,Inputs!$B$12,0)+IF(30=Inputs!$B$15,Inputs!$B$14,0)+IF(30=Inputs!$B$17,Inputs!$B$16,0)</f>
        <v>0</v>
      </c>
      <c r="AF15" s="19">
        <f>IF(31=Inputs!$B$11,Inputs!$B$10,0)+IF(31=Inputs!$B$13,Inputs!$B$12,0)+IF(31=Inputs!$B$15,Inputs!$B$14,0)+IF(31=Inputs!$B$17,Inputs!$B$16,0)</f>
        <v>0</v>
      </c>
      <c r="AG15" s="19">
        <f>IF(32=Inputs!$B$11,Inputs!$B$10,0)+IF(32=Inputs!$B$13,Inputs!$B$12,0)+IF(32=Inputs!$B$15,Inputs!$B$14,0)+IF(32=Inputs!$B$17,Inputs!$B$16,0)</f>
        <v>0</v>
      </c>
      <c r="AH15" s="19">
        <f>IF(33=Inputs!$B$11,Inputs!$B$10,0)+IF(33=Inputs!$B$13,Inputs!$B$12,0)+IF(33=Inputs!$B$15,Inputs!$B$14,0)+IF(33=Inputs!$B$17,Inputs!$B$16,0)</f>
        <v>0</v>
      </c>
      <c r="AI15" s="19">
        <f>IF(34=Inputs!$B$11,Inputs!$B$10,0)+IF(34=Inputs!$B$13,Inputs!$B$12,0)+IF(34=Inputs!$B$15,Inputs!$B$14,0)+IF(34=Inputs!$B$17,Inputs!$B$16,0)</f>
        <v>0</v>
      </c>
      <c r="AJ15" s="19">
        <f>IF(35=Inputs!$B$11,Inputs!$B$10,0)+IF(35=Inputs!$B$13,Inputs!$B$12,0)+IF(35=Inputs!$B$15,Inputs!$B$14,0)+IF(35=Inputs!$B$17,Inputs!$B$16,0)</f>
        <v>15000000</v>
      </c>
      <c r="AK15" s="19">
        <f>IF(36=Inputs!$B$11,Inputs!$B$10,0)+IF(36=Inputs!$B$13,Inputs!$B$12,0)+IF(36=Inputs!$B$15,Inputs!$B$14,0)+IF(36=Inputs!$B$17,Inputs!$B$16,0)</f>
        <v>0</v>
      </c>
      <c r="AL15" s="19">
        <f>IF(37=Inputs!$B$11,Inputs!$B$10,0)+IF(37=Inputs!$B$13,Inputs!$B$12,0)+IF(37=Inputs!$B$15,Inputs!$B$14,0)+IF(37=Inputs!$B$17,Inputs!$B$16,0)</f>
        <v>0</v>
      </c>
      <c r="AM15" s="19">
        <f>IF(38=Inputs!$B$11,Inputs!$B$10,0)+IF(38=Inputs!$B$13,Inputs!$B$12,0)+IF(38=Inputs!$B$15,Inputs!$B$14,0)+IF(38=Inputs!$B$17,Inputs!$B$16,0)</f>
        <v>0</v>
      </c>
      <c r="AN15" s="19">
        <f>IF(39=Inputs!$B$11,Inputs!$B$10,0)+IF(39=Inputs!$B$13,Inputs!$B$12,0)+IF(39=Inputs!$B$15,Inputs!$B$14,0)+IF(39=Inputs!$B$17,Inputs!$B$16,0)</f>
        <v>0</v>
      </c>
      <c r="AO15" s="19">
        <f>IF(40=Inputs!$B$11,Inputs!$B$10,0)+IF(40=Inputs!$B$13,Inputs!$B$12,0)+IF(40=Inputs!$B$15,Inputs!$B$14,0)+IF(40=Inputs!$B$17,Inputs!$B$16,0)</f>
        <v>0</v>
      </c>
      <c r="AP15" s="19">
        <f>IF(41=Inputs!$B$11,Inputs!$B$10,0)+IF(41=Inputs!$B$13,Inputs!$B$12,0)+IF(41=Inputs!$B$15,Inputs!$B$14,0)+IF(41=Inputs!$B$17,Inputs!$B$16,0)</f>
        <v>0</v>
      </c>
      <c r="AQ15" s="19">
        <f>IF(42=Inputs!$B$11,Inputs!$B$10,0)+IF(42=Inputs!$B$13,Inputs!$B$12,0)+IF(42=Inputs!$B$15,Inputs!$B$14,0)+IF(42=Inputs!$B$17,Inputs!$B$16,0)</f>
        <v>0</v>
      </c>
      <c r="AR15" s="19">
        <f>IF(43=Inputs!$B$11,Inputs!$B$10,0)+IF(43=Inputs!$B$13,Inputs!$B$12,0)+IF(43=Inputs!$B$15,Inputs!$B$14,0)+IF(43=Inputs!$B$17,Inputs!$B$16,0)</f>
        <v>0</v>
      </c>
      <c r="AS15" s="19">
        <f>IF(44=Inputs!$B$11,Inputs!$B$10,0)+IF(44=Inputs!$B$13,Inputs!$B$12,0)+IF(44=Inputs!$B$15,Inputs!$B$14,0)+IF(44=Inputs!$B$17,Inputs!$B$16,0)</f>
        <v>0</v>
      </c>
      <c r="AT15" s="19">
        <f>IF(45=Inputs!$B$11,Inputs!$B$10,0)+IF(45=Inputs!$B$13,Inputs!$B$12,0)+IF(45=Inputs!$B$15,Inputs!$B$14,0)+IF(45=Inputs!$B$17,Inputs!$B$16,0)</f>
        <v>0</v>
      </c>
      <c r="AU15" s="19">
        <f>IF(46=Inputs!$B$11,Inputs!$B$10,0)+IF(46=Inputs!$B$13,Inputs!$B$12,0)+IF(46=Inputs!$B$15,Inputs!$B$14,0)+IF(46=Inputs!$B$17,Inputs!$B$16,0)</f>
        <v>0</v>
      </c>
      <c r="AV15" s="19">
        <f>IF(47=Inputs!$B$11,Inputs!$B$10,0)+IF(47=Inputs!$B$13,Inputs!$B$12,0)+IF(47=Inputs!$B$15,Inputs!$B$14,0)+IF(47=Inputs!$B$17,Inputs!$B$16,0)</f>
        <v>0</v>
      </c>
      <c r="AW15" s="19">
        <f>IF(48=Inputs!$B$11,Inputs!$B$10,0)+IF(48=Inputs!$B$13,Inputs!$B$12,0)+IF(48=Inputs!$B$15,Inputs!$B$14,0)+IF(48=Inputs!$B$17,Inputs!$B$16,0)</f>
        <v>0</v>
      </c>
      <c r="AX15" s="19">
        <f>IF(49=Inputs!$B$11,Inputs!$B$10,0)+IF(49=Inputs!$B$13,Inputs!$B$12,0)+IF(49=Inputs!$B$15,Inputs!$B$14,0)+IF(49=Inputs!$B$17,Inputs!$B$16,0)</f>
        <v>0</v>
      </c>
      <c r="AY15" s="19">
        <f>IF(50=Inputs!$B$11,Inputs!$B$10,0)+IF(50=Inputs!$B$13,Inputs!$B$12,0)+IF(50=Inputs!$B$15,Inputs!$B$14,0)+IF(50=Inputs!$B$17,Inputs!$B$16,0)</f>
        <v>0</v>
      </c>
      <c r="AZ15" s="19">
        <f>IF(51=Inputs!$B$11,Inputs!$B$10,0)+IF(51=Inputs!$B$13,Inputs!$B$12,0)+IF(51=Inputs!$B$15,Inputs!$B$14,0)+IF(51=Inputs!$B$17,Inputs!$B$16,0)</f>
        <v>0</v>
      </c>
      <c r="BA15" s="19">
        <f>IF(52=Inputs!$B$11,Inputs!$B$10,0)+IF(52=Inputs!$B$13,Inputs!$B$12,0)+IF(52=Inputs!$B$15,Inputs!$B$14,0)+IF(52=Inputs!$B$17,Inputs!$B$16,0)</f>
        <v>0</v>
      </c>
    </row>
    <row r="16" spans="1:53" x14ac:dyDescent="0.35">
      <c r="A16" s="2" t="s">
        <v>446</v>
      </c>
      <c r="B16" s="17">
        <f t="shared" ref="B16:AG16" si="4">B15</f>
        <v>90000</v>
      </c>
      <c r="C16" s="17">
        <f t="shared" si="4"/>
        <v>0</v>
      </c>
      <c r="D16" s="17">
        <f t="shared" si="4"/>
        <v>0</v>
      </c>
      <c r="E16" s="17">
        <f t="shared" si="4"/>
        <v>0</v>
      </c>
      <c r="F16" s="17">
        <f t="shared" si="4"/>
        <v>1500000</v>
      </c>
      <c r="G16" s="17">
        <f t="shared" si="4"/>
        <v>0</v>
      </c>
      <c r="H16" s="17">
        <f t="shared" si="4"/>
        <v>0</v>
      </c>
      <c r="I16" s="17">
        <f t="shared" si="4"/>
        <v>0</v>
      </c>
      <c r="J16" s="17">
        <f t="shared" si="4"/>
        <v>0</v>
      </c>
      <c r="K16" s="17">
        <f t="shared" si="4"/>
        <v>0</v>
      </c>
      <c r="L16" s="17">
        <f t="shared" si="4"/>
        <v>0</v>
      </c>
      <c r="M16" s="17">
        <f t="shared" si="4"/>
        <v>0</v>
      </c>
      <c r="N16" s="17">
        <f t="shared" si="4"/>
        <v>0</v>
      </c>
      <c r="O16" s="17">
        <f t="shared" si="4"/>
        <v>0</v>
      </c>
      <c r="P16" s="17">
        <f t="shared" si="4"/>
        <v>0</v>
      </c>
      <c r="Q16" s="17">
        <f t="shared" si="4"/>
        <v>0</v>
      </c>
      <c r="R16" s="17">
        <f t="shared" si="4"/>
        <v>6000000</v>
      </c>
      <c r="S16" s="17">
        <f t="shared" si="4"/>
        <v>0</v>
      </c>
      <c r="T16" s="17">
        <f t="shared" si="4"/>
        <v>0</v>
      </c>
      <c r="U16" s="17">
        <f t="shared" si="4"/>
        <v>0</v>
      </c>
      <c r="V16" s="17">
        <f t="shared" si="4"/>
        <v>0</v>
      </c>
      <c r="W16" s="17">
        <f t="shared" si="4"/>
        <v>0</v>
      </c>
      <c r="X16" s="17">
        <f t="shared" si="4"/>
        <v>0</v>
      </c>
      <c r="Y16" s="17">
        <f t="shared" si="4"/>
        <v>0</v>
      </c>
      <c r="Z16" s="17">
        <f t="shared" si="4"/>
        <v>0</v>
      </c>
      <c r="AA16" s="17">
        <f t="shared" si="4"/>
        <v>0</v>
      </c>
      <c r="AB16" s="17">
        <f t="shared" si="4"/>
        <v>0</v>
      </c>
      <c r="AC16" s="17">
        <f t="shared" si="4"/>
        <v>0</v>
      </c>
      <c r="AD16" s="17">
        <f t="shared" si="4"/>
        <v>0</v>
      </c>
      <c r="AE16" s="17">
        <f t="shared" si="4"/>
        <v>0</v>
      </c>
      <c r="AF16" s="17">
        <f t="shared" si="4"/>
        <v>0</v>
      </c>
      <c r="AG16" s="17">
        <f t="shared" si="4"/>
        <v>0</v>
      </c>
      <c r="AH16" s="17">
        <f t="shared" ref="AH16:BA16" si="5">AH15</f>
        <v>0</v>
      </c>
      <c r="AI16" s="17">
        <f t="shared" si="5"/>
        <v>0</v>
      </c>
      <c r="AJ16" s="17">
        <f t="shared" si="5"/>
        <v>15000000</v>
      </c>
      <c r="AK16" s="17">
        <f t="shared" si="5"/>
        <v>0</v>
      </c>
      <c r="AL16" s="17">
        <f t="shared" si="5"/>
        <v>0</v>
      </c>
      <c r="AM16" s="17">
        <f t="shared" si="5"/>
        <v>0</v>
      </c>
      <c r="AN16" s="17">
        <f t="shared" si="5"/>
        <v>0</v>
      </c>
      <c r="AO16" s="17">
        <f t="shared" si="5"/>
        <v>0</v>
      </c>
      <c r="AP16" s="17">
        <f t="shared" si="5"/>
        <v>0</v>
      </c>
      <c r="AQ16" s="17">
        <f t="shared" si="5"/>
        <v>0</v>
      </c>
      <c r="AR16" s="17">
        <f t="shared" si="5"/>
        <v>0</v>
      </c>
      <c r="AS16" s="17">
        <f t="shared" si="5"/>
        <v>0</v>
      </c>
      <c r="AT16" s="17">
        <f t="shared" si="5"/>
        <v>0</v>
      </c>
      <c r="AU16" s="17">
        <f t="shared" si="5"/>
        <v>0</v>
      </c>
      <c r="AV16" s="17">
        <f t="shared" si="5"/>
        <v>0</v>
      </c>
      <c r="AW16" s="17">
        <f t="shared" si="5"/>
        <v>0</v>
      </c>
      <c r="AX16" s="17">
        <f t="shared" si="5"/>
        <v>0</v>
      </c>
      <c r="AY16" s="17">
        <f t="shared" si="5"/>
        <v>0</v>
      </c>
      <c r="AZ16" s="17">
        <f t="shared" si="5"/>
        <v>0</v>
      </c>
      <c r="BA16" s="17">
        <f t="shared" si="5"/>
        <v>0</v>
      </c>
    </row>
    <row r="18" spans="1:53" x14ac:dyDescent="0.35">
      <c r="A18" s="2" t="s">
        <v>447</v>
      </c>
      <c r="B18" s="17">
        <f t="shared" ref="B18:AG18" si="6">B8+B12+B16</f>
        <v>15658.5</v>
      </c>
      <c r="C18" s="17">
        <f t="shared" si="6"/>
        <v>-44461.375</v>
      </c>
      <c r="D18" s="17">
        <f t="shared" si="6"/>
        <v>-41981.668749999997</v>
      </c>
      <c r="E18" s="17">
        <f t="shared" si="6"/>
        <v>-42123.202187499992</v>
      </c>
      <c r="F18" s="17">
        <f t="shared" si="6"/>
        <v>1443553.1877031249</v>
      </c>
      <c r="G18" s="17">
        <f t="shared" si="6"/>
        <v>-44002.852911718743</v>
      </c>
      <c r="H18" s="17">
        <f t="shared" si="6"/>
        <v>-57337.295557304678</v>
      </c>
      <c r="I18" s="17">
        <f t="shared" si="6"/>
        <v>-69659.247001836586</v>
      </c>
      <c r="J18" s="17">
        <f t="shared" si="6"/>
        <v>-73739.091851928417</v>
      </c>
      <c r="K18" s="17">
        <f t="shared" si="6"/>
        <v>-101741.31852785818</v>
      </c>
      <c r="L18" s="17">
        <f t="shared" si="6"/>
        <v>-106225.01612091775</v>
      </c>
      <c r="M18" s="17">
        <f t="shared" si="6"/>
        <v>-113499.7504686303</v>
      </c>
      <c r="N18" s="17">
        <f t="shared" si="6"/>
        <v>-126000.85653372848</v>
      </c>
      <c r="O18" s="17">
        <f t="shared" si="6"/>
        <v>-150189.9322979149</v>
      </c>
      <c r="P18" s="17">
        <f t="shared" si="6"/>
        <v>-141083.51813156065</v>
      </c>
      <c r="Q18" s="17">
        <f t="shared" si="6"/>
        <v>-140644.69185063869</v>
      </c>
      <c r="R18" s="17">
        <f t="shared" si="6"/>
        <v>5843968.4257443296</v>
      </c>
      <c r="S18" s="17">
        <f t="shared" si="6"/>
        <v>-192080.67265595411</v>
      </c>
      <c r="T18" s="17">
        <f t="shared" si="6"/>
        <v>-178301.00738250185</v>
      </c>
      <c r="U18" s="17">
        <f t="shared" si="6"/>
        <v>-189961.09462662693</v>
      </c>
      <c r="V18" s="17">
        <f t="shared" si="6"/>
        <v>-185441.72935795825</v>
      </c>
      <c r="W18" s="17">
        <f t="shared" si="6"/>
        <v>-202405.5777008562</v>
      </c>
      <c r="X18" s="17">
        <f t="shared" si="6"/>
        <v>-198898.80689839905</v>
      </c>
      <c r="Y18" s="17">
        <f t="shared" si="6"/>
        <v>-228527.72786831899</v>
      </c>
      <c r="Z18" s="17">
        <f t="shared" si="6"/>
        <v>-212451.93413673496</v>
      </c>
      <c r="AA18" s="17">
        <f t="shared" si="6"/>
        <v>-232437.25381075917</v>
      </c>
      <c r="AB18" s="17">
        <f t="shared" si="6"/>
        <v>-231321.42056379715</v>
      </c>
      <c r="AC18" s="17">
        <f t="shared" si="6"/>
        <v>-228772.84801386198</v>
      </c>
      <c r="AD18" s="17">
        <f t="shared" si="6"/>
        <v>-224416.86968799258</v>
      </c>
      <c r="AE18" s="17">
        <f t="shared" si="6"/>
        <v>-256454.74095364223</v>
      </c>
      <c r="AF18" s="17">
        <f t="shared" si="6"/>
        <v>-232636.73704819937</v>
      </c>
      <c r="AG18" s="17">
        <f t="shared" si="6"/>
        <v>-245010.85952560927</v>
      </c>
      <c r="AH18" s="17">
        <f t="shared" ref="AH18:BA18" si="7">AH8+AH12+AH16</f>
        <v>-242550.73847063974</v>
      </c>
      <c r="AI18" s="17">
        <f t="shared" si="7"/>
        <v>-244484.64939417172</v>
      </c>
      <c r="AJ18" s="17">
        <f t="shared" si="7"/>
        <v>14744607.847214244</v>
      </c>
      <c r="AK18" s="17">
        <f t="shared" si="7"/>
        <v>-277877.70023754315</v>
      </c>
      <c r="AL18" s="17">
        <f t="shared" si="7"/>
        <v>-264369.9286962953</v>
      </c>
      <c r="AM18" s="17">
        <f t="shared" si="7"/>
        <v>-276866.70798181318</v>
      </c>
      <c r="AN18" s="17">
        <f t="shared" si="7"/>
        <v>-275453.63606996642</v>
      </c>
      <c r="AO18" s="17">
        <f t="shared" si="7"/>
        <v>-285270.35126549593</v>
      </c>
      <c r="AP18" s="17">
        <f t="shared" si="7"/>
        <v>-276627.10270588007</v>
      </c>
      <c r="AQ18" s="17">
        <f t="shared" si="7"/>
        <v>-315196.68983804918</v>
      </c>
      <c r="AR18" s="17">
        <f t="shared" si="7"/>
        <v>-291841.88524776406</v>
      </c>
      <c r="AS18" s="17">
        <f t="shared" si="7"/>
        <v>-323440.96985796472</v>
      </c>
      <c r="AT18" s="17">
        <f t="shared" si="7"/>
        <v>-318109.97084578476</v>
      </c>
      <c r="AU18" s="17">
        <f t="shared" si="7"/>
        <v>-301446.39741291787</v>
      </c>
      <c r="AV18" s="17">
        <f t="shared" si="7"/>
        <v>-302434.51058840746</v>
      </c>
      <c r="AW18" s="17">
        <f t="shared" si="7"/>
        <v>-305133.66828267154</v>
      </c>
      <c r="AX18" s="17">
        <f t="shared" si="7"/>
        <v>-319943.22096203949</v>
      </c>
      <c r="AY18" s="17">
        <f t="shared" si="7"/>
        <v>-314264.91266773129</v>
      </c>
      <c r="AZ18" s="17">
        <f t="shared" si="7"/>
        <v>-317699.1691922039</v>
      </c>
      <c r="BA18" s="17">
        <f t="shared" si="7"/>
        <v>-300736.67123169993</v>
      </c>
    </row>
    <row r="20" spans="1:53" x14ac:dyDescent="0.35">
      <c r="A20" s="3" t="s">
        <v>448</v>
      </c>
      <c r="B20" s="19">
        <v>0</v>
      </c>
      <c r="C20" s="19">
        <f t="shared" ref="C20:AH20" si="8">B22</f>
        <v>15658.5</v>
      </c>
      <c r="D20" s="19">
        <f t="shared" si="8"/>
        <v>-28802.875</v>
      </c>
      <c r="E20" s="19">
        <f t="shared" si="8"/>
        <v>-70784.543749999997</v>
      </c>
      <c r="F20" s="19">
        <f t="shared" si="8"/>
        <v>-112907.74593749999</v>
      </c>
      <c r="G20" s="19">
        <f t="shared" si="8"/>
        <v>1330645.441765625</v>
      </c>
      <c r="H20" s="19">
        <f t="shared" si="8"/>
        <v>1286642.5888539064</v>
      </c>
      <c r="I20" s="19">
        <f t="shared" si="8"/>
        <v>1229305.2932966016</v>
      </c>
      <c r="J20" s="19">
        <f t="shared" si="8"/>
        <v>1159646.0462947651</v>
      </c>
      <c r="K20" s="19">
        <f t="shared" si="8"/>
        <v>1085906.9544428366</v>
      </c>
      <c r="L20" s="19">
        <f t="shared" si="8"/>
        <v>984165.63591497834</v>
      </c>
      <c r="M20" s="19">
        <f t="shared" si="8"/>
        <v>877940.61979406059</v>
      </c>
      <c r="N20" s="19">
        <f t="shared" si="8"/>
        <v>764440.86932543025</v>
      </c>
      <c r="O20" s="19">
        <f t="shared" si="8"/>
        <v>638440.01279170183</v>
      </c>
      <c r="P20" s="19">
        <f t="shared" si="8"/>
        <v>488250.08049378695</v>
      </c>
      <c r="Q20" s="19">
        <f t="shared" si="8"/>
        <v>347166.56236222631</v>
      </c>
      <c r="R20" s="19">
        <f t="shared" si="8"/>
        <v>206521.87051158762</v>
      </c>
      <c r="S20" s="19">
        <f t="shared" si="8"/>
        <v>6050490.2962559173</v>
      </c>
      <c r="T20" s="19">
        <f t="shared" si="8"/>
        <v>5858409.6235999633</v>
      </c>
      <c r="U20" s="19">
        <f t="shared" si="8"/>
        <v>5680108.6162174614</v>
      </c>
      <c r="V20" s="19">
        <f t="shared" si="8"/>
        <v>5490147.5215908345</v>
      </c>
      <c r="W20" s="19">
        <f t="shared" si="8"/>
        <v>5304705.7922328766</v>
      </c>
      <c r="X20" s="19">
        <f t="shared" si="8"/>
        <v>5102300.2145320205</v>
      </c>
      <c r="Y20" s="19">
        <f t="shared" si="8"/>
        <v>4903401.4076336212</v>
      </c>
      <c r="Z20" s="19">
        <f t="shared" si="8"/>
        <v>4674873.6797653027</v>
      </c>
      <c r="AA20" s="19">
        <f t="shared" si="8"/>
        <v>4462421.7456285674</v>
      </c>
      <c r="AB20" s="19">
        <f t="shared" si="8"/>
        <v>4229984.4918178078</v>
      </c>
      <c r="AC20" s="19">
        <f t="shared" si="8"/>
        <v>3998663.0712540108</v>
      </c>
      <c r="AD20" s="19">
        <f t="shared" si="8"/>
        <v>3769890.2232401487</v>
      </c>
      <c r="AE20" s="19">
        <f t="shared" si="8"/>
        <v>3545473.3535521561</v>
      </c>
      <c r="AF20" s="19">
        <f t="shared" si="8"/>
        <v>3289018.6125985137</v>
      </c>
      <c r="AG20" s="19">
        <f t="shared" si="8"/>
        <v>3056381.8755503143</v>
      </c>
      <c r="AH20" s="19">
        <f t="shared" si="8"/>
        <v>2811371.016024705</v>
      </c>
      <c r="AI20" s="19">
        <f t="shared" ref="AI20:BA20" si="9">AH22</f>
        <v>2568820.2775540655</v>
      </c>
      <c r="AJ20" s="19">
        <f t="shared" si="9"/>
        <v>2324335.6281598937</v>
      </c>
      <c r="AK20" s="19">
        <f t="shared" si="9"/>
        <v>17068943.47537414</v>
      </c>
      <c r="AL20" s="19">
        <f t="shared" si="9"/>
        <v>16791065.775136597</v>
      </c>
      <c r="AM20" s="19">
        <f t="shared" si="9"/>
        <v>16526695.846440302</v>
      </c>
      <c r="AN20" s="19">
        <f t="shared" si="9"/>
        <v>16249829.138458489</v>
      </c>
      <c r="AO20" s="19">
        <f t="shared" si="9"/>
        <v>15974375.502388522</v>
      </c>
      <c r="AP20" s="19">
        <f t="shared" si="9"/>
        <v>15689105.151123026</v>
      </c>
      <c r="AQ20" s="19">
        <f t="shared" si="9"/>
        <v>15412478.048417147</v>
      </c>
      <c r="AR20" s="19">
        <f t="shared" si="9"/>
        <v>15097281.358579097</v>
      </c>
      <c r="AS20" s="19">
        <f t="shared" si="9"/>
        <v>14805439.473331334</v>
      </c>
      <c r="AT20" s="19">
        <f t="shared" si="9"/>
        <v>14481998.503473369</v>
      </c>
      <c r="AU20" s="19">
        <f t="shared" si="9"/>
        <v>14163888.532627584</v>
      </c>
      <c r="AV20" s="19">
        <f t="shared" si="9"/>
        <v>13862442.135214666</v>
      </c>
      <c r="AW20" s="19">
        <f t="shared" si="9"/>
        <v>13560007.624626258</v>
      </c>
      <c r="AX20" s="19">
        <f t="shared" si="9"/>
        <v>13254873.956343587</v>
      </c>
      <c r="AY20" s="19">
        <f t="shared" si="9"/>
        <v>12934930.735381547</v>
      </c>
      <c r="AZ20" s="19">
        <f t="shared" si="9"/>
        <v>12620665.822713817</v>
      </c>
      <c r="BA20" s="19">
        <f t="shared" si="9"/>
        <v>12302966.653521612</v>
      </c>
    </row>
    <row r="21" spans="1:53" x14ac:dyDescent="0.35">
      <c r="A21" s="3" t="s">
        <v>449</v>
      </c>
      <c r="B21" s="19">
        <f t="shared" ref="B21:AG21" si="10">B18</f>
        <v>15658.5</v>
      </c>
      <c r="C21" s="19">
        <f t="shared" si="10"/>
        <v>-44461.375</v>
      </c>
      <c r="D21" s="19">
        <f t="shared" si="10"/>
        <v>-41981.668749999997</v>
      </c>
      <c r="E21" s="19">
        <f t="shared" si="10"/>
        <v>-42123.202187499992</v>
      </c>
      <c r="F21" s="19">
        <f t="shared" si="10"/>
        <v>1443553.1877031249</v>
      </c>
      <c r="G21" s="19">
        <f t="shared" si="10"/>
        <v>-44002.852911718743</v>
      </c>
      <c r="H21" s="19">
        <f t="shared" si="10"/>
        <v>-57337.295557304678</v>
      </c>
      <c r="I21" s="19">
        <f t="shared" si="10"/>
        <v>-69659.247001836586</v>
      </c>
      <c r="J21" s="19">
        <f t="shared" si="10"/>
        <v>-73739.091851928417</v>
      </c>
      <c r="K21" s="19">
        <f t="shared" si="10"/>
        <v>-101741.31852785818</v>
      </c>
      <c r="L21" s="19">
        <f t="shared" si="10"/>
        <v>-106225.01612091775</v>
      </c>
      <c r="M21" s="19">
        <f t="shared" si="10"/>
        <v>-113499.7504686303</v>
      </c>
      <c r="N21" s="19">
        <f t="shared" si="10"/>
        <v>-126000.85653372848</v>
      </c>
      <c r="O21" s="19">
        <f t="shared" si="10"/>
        <v>-150189.9322979149</v>
      </c>
      <c r="P21" s="19">
        <f t="shared" si="10"/>
        <v>-141083.51813156065</v>
      </c>
      <c r="Q21" s="19">
        <f t="shared" si="10"/>
        <v>-140644.69185063869</v>
      </c>
      <c r="R21" s="19">
        <f t="shared" si="10"/>
        <v>5843968.4257443296</v>
      </c>
      <c r="S21" s="19">
        <f t="shared" si="10"/>
        <v>-192080.67265595411</v>
      </c>
      <c r="T21" s="19">
        <f t="shared" si="10"/>
        <v>-178301.00738250185</v>
      </c>
      <c r="U21" s="19">
        <f t="shared" si="10"/>
        <v>-189961.09462662693</v>
      </c>
      <c r="V21" s="19">
        <f t="shared" si="10"/>
        <v>-185441.72935795825</v>
      </c>
      <c r="W21" s="19">
        <f t="shared" si="10"/>
        <v>-202405.5777008562</v>
      </c>
      <c r="X21" s="19">
        <f t="shared" si="10"/>
        <v>-198898.80689839905</v>
      </c>
      <c r="Y21" s="19">
        <f t="shared" si="10"/>
        <v>-228527.72786831899</v>
      </c>
      <c r="Z21" s="19">
        <f t="shared" si="10"/>
        <v>-212451.93413673496</v>
      </c>
      <c r="AA21" s="19">
        <f t="shared" si="10"/>
        <v>-232437.25381075917</v>
      </c>
      <c r="AB21" s="19">
        <f t="shared" si="10"/>
        <v>-231321.42056379715</v>
      </c>
      <c r="AC21" s="19">
        <f t="shared" si="10"/>
        <v>-228772.84801386198</v>
      </c>
      <c r="AD21" s="19">
        <f t="shared" si="10"/>
        <v>-224416.86968799258</v>
      </c>
      <c r="AE21" s="19">
        <f t="shared" si="10"/>
        <v>-256454.74095364223</v>
      </c>
      <c r="AF21" s="19">
        <f t="shared" si="10"/>
        <v>-232636.73704819937</v>
      </c>
      <c r="AG21" s="19">
        <f t="shared" si="10"/>
        <v>-245010.85952560927</v>
      </c>
      <c r="AH21" s="19">
        <f t="shared" ref="AH21:BA21" si="11">AH18</f>
        <v>-242550.73847063974</v>
      </c>
      <c r="AI21" s="19">
        <f t="shared" si="11"/>
        <v>-244484.64939417172</v>
      </c>
      <c r="AJ21" s="19">
        <f t="shared" si="11"/>
        <v>14744607.847214244</v>
      </c>
      <c r="AK21" s="19">
        <f t="shared" si="11"/>
        <v>-277877.70023754315</v>
      </c>
      <c r="AL21" s="19">
        <f t="shared" si="11"/>
        <v>-264369.9286962953</v>
      </c>
      <c r="AM21" s="19">
        <f t="shared" si="11"/>
        <v>-276866.70798181318</v>
      </c>
      <c r="AN21" s="19">
        <f t="shared" si="11"/>
        <v>-275453.63606996642</v>
      </c>
      <c r="AO21" s="19">
        <f t="shared" si="11"/>
        <v>-285270.35126549593</v>
      </c>
      <c r="AP21" s="19">
        <f t="shared" si="11"/>
        <v>-276627.10270588007</v>
      </c>
      <c r="AQ21" s="19">
        <f t="shared" si="11"/>
        <v>-315196.68983804918</v>
      </c>
      <c r="AR21" s="19">
        <f t="shared" si="11"/>
        <v>-291841.88524776406</v>
      </c>
      <c r="AS21" s="19">
        <f t="shared" si="11"/>
        <v>-323440.96985796472</v>
      </c>
      <c r="AT21" s="19">
        <f t="shared" si="11"/>
        <v>-318109.97084578476</v>
      </c>
      <c r="AU21" s="19">
        <f t="shared" si="11"/>
        <v>-301446.39741291787</v>
      </c>
      <c r="AV21" s="19">
        <f t="shared" si="11"/>
        <v>-302434.51058840746</v>
      </c>
      <c r="AW21" s="19">
        <f t="shared" si="11"/>
        <v>-305133.66828267154</v>
      </c>
      <c r="AX21" s="19">
        <f t="shared" si="11"/>
        <v>-319943.22096203949</v>
      </c>
      <c r="AY21" s="19">
        <f t="shared" si="11"/>
        <v>-314264.91266773129</v>
      </c>
      <c r="AZ21" s="19">
        <f t="shared" si="11"/>
        <v>-317699.1691922039</v>
      </c>
      <c r="BA21" s="19">
        <f t="shared" si="11"/>
        <v>-300736.67123169993</v>
      </c>
    </row>
    <row r="22" spans="1:53" x14ac:dyDescent="0.35">
      <c r="A22" s="2" t="s">
        <v>450</v>
      </c>
      <c r="B22" s="17">
        <f t="shared" ref="B22:AG22" si="12">B20+B21</f>
        <v>15658.5</v>
      </c>
      <c r="C22" s="17">
        <f t="shared" si="12"/>
        <v>-28802.875</v>
      </c>
      <c r="D22" s="17">
        <f t="shared" si="12"/>
        <v>-70784.543749999997</v>
      </c>
      <c r="E22" s="17">
        <f t="shared" si="12"/>
        <v>-112907.74593749999</v>
      </c>
      <c r="F22" s="17">
        <f t="shared" si="12"/>
        <v>1330645.441765625</v>
      </c>
      <c r="G22" s="17">
        <f t="shared" si="12"/>
        <v>1286642.5888539064</v>
      </c>
      <c r="H22" s="17">
        <f t="shared" si="12"/>
        <v>1229305.2932966016</v>
      </c>
      <c r="I22" s="17">
        <f t="shared" si="12"/>
        <v>1159646.0462947651</v>
      </c>
      <c r="J22" s="17">
        <f t="shared" si="12"/>
        <v>1085906.9544428366</v>
      </c>
      <c r="K22" s="17">
        <f t="shared" si="12"/>
        <v>984165.63591497834</v>
      </c>
      <c r="L22" s="17">
        <f t="shared" si="12"/>
        <v>877940.61979406059</v>
      </c>
      <c r="M22" s="17">
        <f t="shared" si="12"/>
        <v>764440.86932543025</v>
      </c>
      <c r="N22" s="17">
        <f t="shared" si="12"/>
        <v>638440.01279170183</v>
      </c>
      <c r="O22" s="17">
        <f t="shared" si="12"/>
        <v>488250.08049378695</v>
      </c>
      <c r="P22" s="17">
        <f t="shared" si="12"/>
        <v>347166.56236222631</v>
      </c>
      <c r="Q22" s="17">
        <f t="shared" si="12"/>
        <v>206521.87051158762</v>
      </c>
      <c r="R22" s="17">
        <f t="shared" si="12"/>
        <v>6050490.2962559173</v>
      </c>
      <c r="S22" s="17">
        <f t="shared" si="12"/>
        <v>5858409.6235999633</v>
      </c>
      <c r="T22" s="17">
        <f t="shared" si="12"/>
        <v>5680108.6162174614</v>
      </c>
      <c r="U22" s="17">
        <f t="shared" si="12"/>
        <v>5490147.5215908345</v>
      </c>
      <c r="V22" s="17">
        <f t="shared" si="12"/>
        <v>5304705.7922328766</v>
      </c>
      <c r="W22" s="17">
        <f t="shared" si="12"/>
        <v>5102300.2145320205</v>
      </c>
      <c r="X22" s="17">
        <f t="shared" si="12"/>
        <v>4903401.4076336212</v>
      </c>
      <c r="Y22" s="17">
        <f t="shared" si="12"/>
        <v>4674873.6797653027</v>
      </c>
      <c r="Z22" s="17">
        <f t="shared" si="12"/>
        <v>4462421.7456285674</v>
      </c>
      <c r="AA22" s="17">
        <f t="shared" si="12"/>
        <v>4229984.4918178078</v>
      </c>
      <c r="AB22" s="17">
        <f t="shared" si="12"/>
        <v>3998663.0712540108</v>
      </c>
      <c r="AC22" s="17">
        <f t="shared" si="12"/>
        <v>3769890.2232401487</v>
      </c>
      <c r="AD22" s="17">
        <f t="shared" si="12"/>
        <v>3545473.3535521561</v>
      </c>
      <c r="AE22" s="17">
        <f t="shared" si="12"/>
        <v>3289018.6125985137</v>
      </c>
      <c r="AF22" s="17">
        <f t="shared" si="12"/>
        <v>3056381.8755503143</v>
      </c>
      <c r="AG22" s="17">
        <f t="shared" si="12"/>
        <v>2811371.016024705</v>
      </c>
      <c r="AH22" s="17">
        <f t="shared" ref="AH22:BA22" si="13">AH20+AH21</f>
        <v>2568820.2775540655</v>
      </c>
      <c r="AI22" s="17">
        <f t="shared" si="13"/>
        <v>2324335.6281598937</v>
      </c>
      <c r="AJ22" s="17">
        <f t="shared" si="13"/>
        <v>17068943.47537414</v>
      </c>
      <c r="AK22" s="17">
        <f t="shared" si="13"/>
        <v>16791065.775136597</v>
      </c>
      <c r="AL22" s="17">
        <f t="shared" si="13"/>
        <v>16526695.846440302</v>
      </c>
      <c r="AM22" s="17">
        <f t="shared" si="13"/>
        <v>16249829.138458489</v>
      </c>
      <c r="AN22" s="17">
        <f t="shared" si="13"/>
        <v>15974375.502388522</v>
      </c>
      <c r="AO22" s="17">
        <f t="shared" si="13"/>
        <v>15689105.151123026</v>
      </c>
      <c r="AP22" s="17">
        <f t="shared" si="13"/>
        <v>15412478.048417147</v>
      </c>
      <c r="AQ22" s="17">
        <f t="shared" si="13"/>
        <v>15097281.358579097</v>
      </c>
      <c r="AR22" s="17">
        <f t="shared" si="13"/>
        <v>14805439.473331334</v>
      </c>
      <c r="AS22" s="17">
        <f t="shared" si="13"/>
        <v>14481998.503473369</v>
      </c>
      <c r="AT22" s="17">
        <f t="shared" si="13"/>
        <v>14163888.532627584</v>
      </c>
      <c r="AU22" s="17">
        <f t="shared" si="13"/>
        <v>13862442.135214666</v>
      </c>
      <c r="AV22" s="17">
        <f t="shared" si="13"/>
        <v>13560007.624626258</v>
      </c>
      <c r="AW22" s="17">
        <f t="shared" si="13"/>
        <v>13254873.956343587</v>
      </c>
      <c r="AX22" s="17">
        <f t="shared" si="13"/>
        <v>12934930.735381547</v>
      </c>
      <c r="AY22" s="17">
        <f t="shared" si="13"/>
        <v>12620665.822713817</v>
      </c>
      <c r="AZ22" s="17">
        <f t="shared" si="13"/>
        <v>12302966.653521612</v>
      </c>
      <c r="BA22" s="17">
        <f t="shared" si="13"/>
        <v>12002229.982289912</v>
      </c>
    </row>
    <row r="24" spans="1:53" x14ac:dyDescent="0.35">
      <c r="A24" s="2" t="s">
        <v>451</v>
      </c>
    </row>
    <row r="25" spans="1:53" x14ac:dyDescent="0.35">
      <c r="A25" s="3" t="s">
        <v>452</v>
      </c>
      <c r="B25" s="19">
        <f t="shared" ref="B25:AG25" si="14">IF(B18&lt;0,-B18,0)</f>
        <v>0</v>
      </c>
      <c r="C25" s="19">
        <f t="shared" si="14"/>
        <v>44461.375</v>
      </c>
      <c r="D25" s="19">
        <f t="shared" si="14"/>
        <v>41981.668749999997</v>
      </c>
      <c r="E25" s="19">
        <f t="shared" si="14"/>
        <v>42123.202187499992</v>
      </c>
      <c r="F25" s="19">
        <f t="shared" si="14"/>
        <v>0</v>
      </c>
      <c r="G25" s="19">
        <f t="shared" si="14"/>
        <v>44002.852911718743</v>
      </c>
      <c r="H25" s="19">
        <f t="shared" si="14"/>
        <v>57337.295557304678</v>
      </c>
      <c r="I25" s="19">
        <f t="shared" si="14"/>
        <v>69659.247001836586</v>
      </c>
      <c r="J25" s="19">
        <f t="shared" si="14"/>
        <v>73739.091851928417</v>
      </c>
      <c r="K25" s="19">
        <f t="shared" si="14"/>
        <v>101741.31852785818</v>
      </c>
      <c r="L25" s="19">
        <f t="shared" si="14"/>
        <v>106225.01612091775</v>
      </c>
      <c r="M25" s="19">
        <f t="shared" si="14"/>
        <v>113499.7504686303</v>
      </c>
      <c r="N25" s="19">
        <f t="shared" si="14"/>
        <v>126000.85653372848</v>
      </c>
      <c r="O25" s="19">
        <f t="shared" si="14"/>
        <v>150189.9322979149</v>
      </c>
      <c r="P25" s="19">
        <f t="shared" si="14"/>
        <v>141083.51813156065</v>
      </c>
      <c r="Q25" s="19">
        <f t="shared" si="14"/>
        <v>140644.69185063869</v>
      </c>
      <c r="R25" s="19">
        <f t="shared" si="14"/>
        <v>0</v>
      </c>
      <c r="S25" s="19">
        <f t="shared" si="14"/>
        <v>192080.67265595411</v>
      </c>
      <c r="T25" s="19">
        <f t="shared" si="14"/>
        <v>178301.00738250185</v>
      </c>
      <c r="U25" s="19">
        <f t="shared" si="14"/>
        <v>189961.09462662693</v>
      </c>
      <c r="V25" s="19">
        <f t="shared" si="14"/>
        <v>185441.72935795825</v>
      </c>
      <c r="W25" s="19">
        <f t="shared" si="14"/>
        <v>202405.5777008562</v>
      </c>
      <c r="X25" s="19">
        <f t="shared" si="14"/>
        <v>198898.80689839905</v>
      </c>
      <c r="Y25" s="19">
        <f t="shared" si="14"/>
        <v>228527.72786831899</v>
      </c>
      <c r="Z25" s="19">
        <f t="shared" si="14"/>
        <v>212451.93413673496</v>
      </c>
      <c r="AA25" s="19">
        <f t="shared" si="14"/>
        <v>232437.25381075917</v>
      </c>
      <c r="AB25" s="19">
        <f t="shared" si="14"/>
        <v>231321.42056379715</v>
      </c>
      <c r="AC25" s="19">
        <f t="shared" si="14"/>
        <v>228772.84801386198</v>
      </c>
      <c r="AD25" s="19">
        <f t="shared" si="14"/>
        <v>224416.86968799258</v>
      </c>
      <c r="AE25" s="19">
        <f t="shared" si="14"/>
        <v>256454.74095364223</v>
      </c>
      <c r="AF25" s="19">
        <f t="shared" si="14"/>
        <v>232636.73704819937</v>
      </c>
      <c r="AG25" s="19">
        <f t="shared" si="14"/>
        <v>245010.85952560927</v>
      </c>
      <c r="AH25" s="19">
        <f t="shared" ref="AH25:BA25" si="15">IF(AH18&lt;0,-AH18,0)</f>
        <v>242550.73847063974</v>
      </c>
      <c r="AI25" s="19">
        <f t="shared" si="15"/>
        <v>244484.64939417172</v>
      </c>
      <c r="AJ25" s="19">
        <f t="shared" si="15"/>
        <v>0</v>
      </c>
      <c r="AK25" s="19">
        <f t="shared" si="15"/>
        <v>277877.70023754315</v>
      </c>
      <c r="AL25" s="19">
        <f t="shared" si="15"/>
        <v>264369.9286962953</v>
      </c>
      <c r="AM25" s="19">
        <f t="shared" si="15"/>
        <v>276866.70798181318</v>
      </c>
      <c r="AN25" s="19">
        <f t="shared" si="15"/>
        <v>275453.63606996642</v>
      </c>
      <c r="AO25" s="19">
        <f t="shared" si="15"/>
        <v>285270.35126549593</v>
      </c>
      <c r="AP25" s="19">
        <f t="shared" si="15"/>
        <v>276627.10270588007</v>
      </c>
      <c r="AQ25" s="19">
        <f t="shared" si="15"/>
        <v>315196.68983804918</v>
      </c>
      <c r="AR25" s="19">
        <f t="shared" si="15"/>
        <v>291841.88524776406</v>
      </c>
      <c r="AS25" s="19">
        <f t="shared" si="15"/>
        <v>323440.96985796472</v>
      </c>
      <c r="AT25" s="19">
        <f t="shared" si="15"/>
        <v>318109.97084578476</v>
      </c>
      <c r="AU25" s="19">
        <f t="shared" si="15"/>
        <v>301446.39741291787</v>
      </c>
      <c r="AV25" s="19">
        <f t="shared" si="15"/>
        <v>302434.51058840746</v>
      </c>
      <c r="AW25" s="19">
        <f t="shared" si="15"/>
        <v>305133.66828267154</v>
      </c>
      <c r="AX25" s="19">
        <f t="shared" si="15"/>
        <v>319943.22096203949</v>
      </c>
      <c r="AY25" s="19">
        <f t="shared" si="15"/>
        <v>314264.91266773129</v>
      </c>
      <c r="AZ25" s="19">
        <f t="shared" si="15"/>
        <v>317699.1691922039</v>
      </c>
      <c r="BA25" s="19">
        <f t="shared" si="15"/>
        <v>300736.67123169993</v>
      </c>
    </row>
    <row r="26" spans="1:53" x14ac:dyDescent="0.35">
      <c r="A26" s="3" t="s">
        <v>453</v>
      </c>
      <c r="B26" s="22" t="str">
        <f t="shared" ref="B26:AG26" si="16">IFERROR(IF(B25&gt;0,B22/B25,"∞"),"∞")</f>
        <v>∞</v>
      </c>
      <c r="C26" s="22">
        <f t="shared" si="16"/>
        <v>-0.64781790936515127</v>
      </c>
      <c r="D26" s="22">
        <f t="shared" si="16"/>
        <v>-1.6860821843819631</v>
      </c>
      <c r="E26" s="22">
        <f t="shared" si="16"/>
        <v>-2.6804169691307376</v>
      </c>
      <c r="F26" s="22" t="str">
        <f t="shared" si="16"/>
        <v>∞</v>
      </c>
      <c r="G26" s="22">
        <f t="shared" si="16"/>
        <v>29.239981131115492</v>
      </c>
      <c r="H26" s="22">
        <f t="shared" si="16"/>
        <v>21.439889714854019</v>
      </c>
      <c r="I26" s="22">
        <f t="shared" si="16"/>
        <v>16.647410016708776</v>
      </c>
      <c r="J26" s="22">
        <f t="shared" si="16"/>
        <v>14.726340224305842</v>
      </c>
      <c r="K26" s="22">
        <f t="shared" si="16"/>
        <v>9.6732148762697641</v>
      </c>
      <c r="L26" s="22">
        <f t="shared" si="16"/>
        <v>8.2649139708737334</v>
      </c>
      <c r="M26" s="22">
        <f t="shared" si="16"/>
        <v>6.7351766516589011</v>
      </c>
      <c r="N26" s="22">
        <f t="shared" si="16"/>
        <v>5.0669497839548523</v>
      </c>
      <c r="O26" s="22">
        <f t="shared" si="16"/>
        <v>3.2508842172276906</v>
      </c>
      <c r="P26" s="22">
        <f t="shared" si="16"/>
        <v>2.4607166518096948</v>
      </c>
      <c r="Q26" s="22">
        <f t="shared" si="16"/>
        <v>1.4683943474447576</v>
      </c>
      <c r="R26" s="22" t="str">
        <f t="shared" si="16"/>
        <v>∞</v>
      </c>
      <c r="S26" s="22">
        <f t="shared" si="16"/>
        <v>30.499735046707546</v>
      </c>
      <c r="T26" s="22">
        <f t="shared" si="16"/>
        <v>31.856850948868487</v>
      </c>
      <c r="U26" s="22">
        <f t="shared" si="16"/>
        <v>28.901431276661416</v>
      </c>
      <c r="V26" s="22">
        <f t="shared" si="16"/>
        <v>28.605782585176396</v>
      </c>
      <c r="W26" s="22">
        <f t="shared" si="16"/>
        <v>25.208298469288859</v>
      </c>
      <c r="X26" s="22">
        <f t="shared" si="16"/>
        <v>24.652744197396636</v>
      </c>
      <c r="Y26" s="22">
        <f t="shared" si="16"/>
        <v>20.456483435826364</v>
      </c>
      <c r="Z26" s="22">
        <f t="shared" si="16"/>
        <v>21.004382773736172</v>
      </c>
      <c r="AA26" s="22">
        <f t="shared" si="16"/>
        <v>18.198392996252171</v>
      </c>
      <c r="AB26" s="22">
        <f t="shared" si="16"/>
        <v>17.286177222619994</v>
      </c>
      <c r="AC26" s="22">
        <f t="shared" si="16"/>
        <v>16.478748487721415</v>
      </c>
      <c r="AD26" s="22">
        <f t="shared" si="16"/>
        <v>15.798604438612115</v>
      </c>
      <c r="AE26" s="22">
        <f t="shared" si="16"/>
        <v>12.824947592577551</v>
      </c>
      <c r="AF26" s="22">
        <f t="shared" si="16"/>
        <v>13.138001823491321</v>
      </c>
      <c r="AG26" s="22">
        <f t="shared" si="16"/>
        <v>11.474475137420805</v>
      </c>
      <c r="AH26" s="22">
        <f t="shared" ref="AH26:BA26" si="17">IFERROR(IF(AH25&gt;0,AH22/AH25,"∞"),"∞")</f>
        <v>10.590857375868248</v>
      </c>
      <c r="AI26" s="22">
        <f t="shared" si="17"/>
        <v>9.5070820761939565</v>
      </c>
      <c r="AJ26" s="22" t="str">
        <f t="shared" si="17"/>
        <v>∞</v>
      </c>
      <c r="AK26" s="22">
        <f t="shared" si="17"/>
        <v>60.426100262031788</v>
      </c>
      <c r="AL26" s="22">
        <f t="shared" si="17"/>
        <v>62.513523863850466</v>
      </c>
      <c r="AM26" s="22">
        <f t="shared" si="17"/>
        <v>58.691885553556361</v>
      </c>
      <c r="AN26" s="22">
        <f t="shared" si="17"/>
        <v>57.992973809686653</v>
      </c>
      <c r="AO26" s="22">
        <f t="shared" si="17"/>
        <v>54.997321248156844</v>
      </c>
      <c r="AP26" s="22">
        <f t="shared" si="17"/>
        <v>55.715719456470794</v>
      </c>
      <c r="AQ26" s="22">
        <f t="shared" si="17"/>
        <v>47.897969253218406</v>
      </c>
      <c r="AR26" s="22">
        <f t="shared" si="17"/>
        <v>50.731030128735661</v>
      </c>
      <c r="AS26" s="22">
        <f t="shared" si="17"/>
        <v>44.7747807268602</v>
      </c>
      <c r="AT26" s="22">
        <f t="shared" si="17"/>
        <v>44.525132283558754</v>
      </c>
      <c r="AU26" s="22">
        <f t="shared" si="17"/>
        <v>45.986424963725973</v>
      </c>
      <c r="AV26" s="22">
        <f t="shared" si="17"/>
        <v>44.836178246471661</v>
      </c>
      <c r="AW26" s="22">
        <f t="shared" si="17"/>
        <v>43.439565456488594</v>
      </c>
      <c r="AX26" s="22">
        <f t="shared" si="17"/>
        <v>40.428832017404261</v>
      </c>
      <c r="AY26" s="22">
        <f t="shared" si="17"/>
        <v>40.159322005054705</v>
      </c>
      <c r="AZ26" s="22">
        <f t="shared" si="17"/>
        <v>38.725208771567409</v>
      </c>
      <c r="BA26" s="22">
        <f t="shared" si="17"/>
        <v>39.909432837483592</v>
      </c>
    </row>
    <row r="27" spans="1:53" x14ac:dyDescent="0.35">
      <c r="A27" s="3" t="s">
        <v>454</v>
      </c>
      <c r="B27" s="19">
        <f t="shared" ref="B27:AG27" si="18">B22</f>
        <v>15658.5</v>
      </c>
      <c r="C27" s="19">
        <f t="shared" si="18"/>
        <v>-28802.875</v>
      </c>
      <c r="D27" s="19">
        <f t="shared" si="18"/>
        <v>-70784.543749999997</v>
      </c>
      <c r="E27" s="19">
        <f t="shared" si="18"/>
        <v>-112907.74593749999</v>
      </c>
      <c r="F27" s="19">
        <f t="shared" si="18"/>
        <v>1330645.441765625</v>
      </c>
      <c r="G27" s="19">
        <f t="shared" si="18"/>
        <v>1286642.5888539064</v>
      </c>
      <c r="H27" s="19">
        <f t="shared" si="18"/>
        <v>1229305.2932966016</v>
      </c>
      <c r="I27" s="19">
        <f t="shared" si="18"/>
        <v>1159646.0462947651</v>
      </c>
      <c r="J27" s="19">
        <f t="shared" si="18"/>
        <v>1085906.9544428366</v>
      </c>
      <c r="K27" s="19">
        <f t="shared" si="18"/>
        <v>984165.63591497834</v>
      </c>
      <c r="L27" s="19">
        <f t="shared" si="18"/>
        <v>877940.61979406059</v>
      </c>
      <c r="M27" s="19">
        <f t="shared" si="18"/>
        <v>764440.86932543025</v>
      </c>
      <c r="N27" s="19">
        <f t="shared" si="18"/>
        <v>638440.01279170183</v>
      </c>
      <c r="O27" s="19">
        <f t="shared" si="18"/>
        <v>488250.08049378695</v>
      </c>
      <c r="P27" s="19">
        <f t="shared" si="18"/>
        <v>347166.56236222631</v>
      </c>
      <c r="Q27" s="19">
        <f t="shared" si="18"/>
        <v>206521.87051158762</v>
      </c>
      <c r="R27" s="19">
        <f t="shared" si="18"/>
        <v>6050490.2962559173</v>
      </c>
      <c r="S27" s="19">
        <f t="shared" si="18"/>
        <v>5858409.6235999633</v>
      </c>
      <c r="T27" s="19">
        <f t="shared" si="18"/>
        <v>5680108.6162174614</v>
      </c>
      <c r="U27" s="19">
        <f t="shared" si="18"/>
        <v>5490147.5215908345</v>
      </c>
      <c r="V27" s="19">
        <f t="shared" si="18"/>
        <v>5304705.7922328766</v>
      </c>
      <c r="W27" s="19">
        <f t="shared" si="18"/>
        <v>5102300.2145320205</v>
      </c>
      <c r="X27" s="19">
        <f t="shared" si="18"/>
        <v>4903401.4076336212</v>
      </c>
      <c r="Y27" s="19">
        <f t="shared" si="18"/>
        <v>4674873.6797653027</v>
      </c>
      <c r="Z27" s="19">
        <f t="shared" si="18"/>
        <v>4462421.7456285674</v>
      </c>
      <c r="AA27" s="19">
        <f t="shared" si="18"/>
        <v>4229984.4918178078</v>
      </c>
      <c r="AB27" s="19">
        <f t="shared" si="18"/>
        <v>3998663.0712540108</v>
      </c>
      <c r="AC27" s="19">
        <f t="shared" si="18"/>
        <v>3769890.2232401487</v>
      </c>
      <c r="AD27" s="19">
        <f t="shared" si="18"/>
        <v>3545473.3535521561</v>
      </c>
      <c r="AE27" s="19">
        <f t="shared" si="18"/>
        <v>3289018.6125985137</v>
      </c>
      <c r="AF27" s="19">
        <f t="shared" si="18"/>
        <v>3056381.8755503143</v>
      </c>
      <c r="AG27" s="19">
        <f t="shared" si="18"/>
        <v>2811371.016024705</v>
      </c>
      <c r="AH27" s="19">
        <f t="shared" ref="AH27:BA27" si="19">AH22</f>
        <v>2568820.2775540655</v>
      </c>
      <c r="AI27" s="19">
        <f t="shared" si="19"/>
        <v>2324335.6281598937</v>
      </c>
      <c r="AJ27" s="19">
        <f t="shared" si="19"/>
        <v>17068943.47537414</v>
      </c>
      <c r="AK27" s="19">
        <f t="shared" si="19"/>
        <v>16791065.775136597</v>
      </c>
      <c r="AL27" s="19">
        <f t="shared" si="19"/>
        <v>16526695.846440302</v>
      </c>
      <c r="AM27" s="19">
        <f t="shared" si="19"/>
        <v>16249829.138458489</v>
      </c>
      <c r="AN27" s="19">
        <f t="shared" si="19"/>
        <v>15974375.502388522</v>
      </c>
      <c r="AO27" s="19">
        <f t="shared" si="19"/>
        <v>15689105.151123026</v>
      </c>
      <c r="AP27" s="19">
        <f t="shared" si="19"/>
        <v>15412478.048417147</v>
      </c>
      <c r="AQ27" s="19">
        <f t="shared" si="19"/>
        <v>15097281.358579097</v>
      </c>
      <c r="AR27" s="19">
        <f t="shared" si="19"/>
        <v>14805439.473331334</v>
      </c>
      <c r="AS27" s="19">
        <f t="shared" si="19"/>
        <v>14481998.503473369</v>
      </c>
      <c r="AT27" s="19">
        <f t="shared" si="19"/>
        <v>14163888.532627584</v>
      </c>
      <c r="AU27" s="19">
        <f t="shared" si="19"/>
        <v>13862442.135214666</v>
      </c>
      <c r="AV27" s="19">
        <f t="shared" si="19"/>
        <v>13560007.624626258</v>
      </c>
      <c r="AW27" s="19">
        <f t="shared" si="19"/>
        <v>13254873.956343587</v>
      </c>
      <c r="AX27" s="19">
        <f t="shared" si="19"/>
        <v>12934930.735381547</v>
      </c>
      <c r="AY27" s="19">
        <f t="shared" si="19"/>
        <v>12620665.822713817</v>
      </c>
      <c r="AZ27" s="19">
        <f t="shared" si="19"/>
        <v>12302966.653521612</v>
      </c>
      <c r="BA27" s="19">
        <f t="shared" si="19"/>
        <v>12002229.982289912</v>
      </c>
    </row>
    <row r="28" spans="1:53" x14ac:dyDescent="0.35">
      <c r="A28" s="2" t="s">
        <v>455</v>
      </c>
      <c r="B28" t="str">
        <f t="shared" ref="B28:AG28" si="20">IF(ISNUMBER(B26),IF(B26&lt;6,"WARNUNG: &lt;6 Monate!","OK"),"OK")</f>
        <v>OK</v>
      </c>
      <c r="C28" t="str">
        <f t="shared" si="20"/>
        <v>WARNUNG: &lt;6 Monate!</v>
      </c>
      <c r="D28" t="str">
        <f t="shared" si="20"/>
        <v>WARNUNG: &lt;6 Monate!</v>
      </c>
      <c r="E28" t="str">
        <f t="shared" si="20"/>
        <v>WARNUNG: &lt;6 Monate!</v>
      </c>
      <c r="F28" t="str">
        <f t="shared" si="20"/>
        <v>OK</v>
      </c>
      <c r="G28" t="str">
        <f t="shared" si="20"/>
        <v>OK</v>
      </c>
      <c r="H28" t="str">
        <f t="shared" si="20"/>
        <v>OK</v>
      </c>
      <c r="I28" t="str">
        <f t="shared" si="20"/>
        <v>OK</v>
      </c>
      <c r="J28" t="str">
        <f t="shared" si="20"/>
        <v>OK</v>
      </c>
      <c r="K28" t="str">
        <f t="shared" si="20"/>
        <v>OK</v>
      </c>
      <c r="L28" t="str">
        <f t="shared" si="20"/>
        <v>OK</v>
      </c>
      <c r="M28" t="str">
        <f t="shared" si="20"/>
        <v>OK</v>
      </c>
      <c r="N28" t="str">
        <f t="shared" si="20"/>
        <v>WARNUNG: &lt;6 Monate!</v>
      </c>
      <c r="O28" t="str">
        <f t="shared" si="20"/>
        <v>WARNUNG: &lt;6 Monate!</v>
      </c>
      <c r="P28" t="str">
        <f t="shared" si="20"/>
        <v>WARNUNG: &lt;6 Monate!</v>
      </c>
      <c r="Q28" t="str">
        <f t="shared" si="20"/>
        <v>WARNUNG: &lt;6 Monate!</v>
      </c>
      <c r="R28" t="str">
        <f t="shared" si="20"/>
        <v>OK</v>
      </c>
      <c r="S28" t="str">
        <f t="shared" si="20"/>
        <v>OK</v>
      </c>
      <c r="T28" t="str">
        <f t="shared" si="20"/>
        <v>OK</v>
      </c>
      <c r="U28" t="str">
        <f t="shared" si="20"/>
        <v>OK</v>
      </c>
      <c r="V28" t="str">
        <f t="shared" si="20"/>
        <v>OK</v>
      </c>
      <c r="W28" t="str">
        <f t="shared" si="20"/>
        <v>OK</v>
      </c>
      <c r="X28" t="str">
        <f t="shared" si="20"/>
        <v>OK</v>
      </c>
      <c r="Y28" t="str">
        <f t="shared" si="20"/>
        <v>OK</v>
      </c>
      <c r="Z28" t="str">
        <f t="shared" si="20"/>
        <v>OK</v>
      </c>
      <c r="AA28" t="str">
        <f t="shared" si="20"/>
        <v>OK</v>
      </c>
      <c r="AB28" t="str">
        <f t="shared" si="20"/>
        <v>OK</v>
      </c>
      <c r="AC28" t="str">
        <f t="shared" si="20"/>
        <v>OK</v>
      </c>
      <c r="AD28" t="str">
        <f t="shared" si="20"/>
        <v>OK</v>
      </c>
      <c r="AE28" t="str">
        <f t="shared" si="20"/>
        <v>OK</v>
      </c>
      <c r="AF28" t="str">
        <f t="shared" si="20"/>
        <v>OK</v>
      </c>
      <c r="AG28" t="str">
        <f t="shared" si="20"/>
        <v>OK</v>
      </c>
      <c r="AH28" t="str">
        <f t="shared" ref="AH28:BA28" si="21">IF(ISNUMBER(AH26),IF(AH26&lt;6,"WARNUNG: &lt;6 Monate!","OK"),"OK")</f>
        <v>OK</v>
      </c>
      <c r="AI28" t="str">
        <f t="shared" si="21"/>
        <v>OK</v>
      </c>
      <c r="AJ28" t="str">
        <f t="shared" si="21"/>
        <v>OK</v>
      </c>
      <c r="AK28" t="str">
        <f t="shared" si="21"/>
        <v>OK</v>
      </c>
      <c r="AL28" t="str">
        <f t="shared" si="21"/>
        <v>OK</v>
      </c>
      <c r="AM28" t="str">
        <f t="shared" si="21"/>
        <v>OK</v>
      </c>
      <c r="AN28" t="str">
        <f t="shared" si="21"/>
        <v>OK</v>
      </c>
      <c r="AO28" t="str">
        <f t="shared" si="21"/>
        <v>OK</v>
      </c>
      <c r="AP28" t="str">
        <f t="shared" si="21"/>
        <v>OK</v>
      </c>
      <c r="AQ28" t="str">
        <f t="shared" si="21"/>
        <v>OK</v>
      </c>
      <c r="AR28" t="str">
        <f t="shared" si="21"/>
        <v>OK</v>
      </c>
      <c r="AS28" t="str">
        <f t="shared" si="21"/>
        <v>OK</v>
      </c>
      <c r="AT28" t="str">
        <f t="shared" si="21"/>
        <v>OK</v>
      </c>
      <c r="AU28" t="str">
        <f t="shared" si="21"/>
        <v>OK</v>
      </c>
      <c r="AV28" t="str">
        <f t="shared" si="21"/>
        <v>OK</v>
      </c>
      <c r="AW28" t="str">
        <f t="shared" si="21"/>
        <v>OK</v>
      </c>
      <c r="AX28" t="str">
        <f t="shared" si="21"/>
        <v>OK</v>
      </c>
      <c r="AY28" t="str">
        <f t="shared" si="21"/>
        <v>OK</v>
      </c>
      <c r="AZ28" t="str">
        <f t="shared" si="21"/>
        <v>OK</v>
      </c>
      <c r="BA28" t="str">
        <f t="shared" si="21"/>
        <v>OK</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Inputs</vt:lpstr>
      <vt:lpstr>P&amp;L</vt:lpstr>
      <vt:lpstr>Revenue</vt:lpstr>
      <vt:lpstr>Costs</vt:lpstr>
      <vt:lpstr>Balance Sheet</vt:lpstr>
      <vt:lpstr>Cash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Olaf</dc:creator>
  <cp:lastModifiedBy>Olaf Pick</cp:lastModifiedBy>
  <dcterms:created xsi:type="dcterms:W3CDTF">2026-02-09T22:26:56Z</dcterms:created>
  <dcterms:modified xsi:type="dcterms:W3CDTF">2026-02-12T22:44:43Z</dcterms:modified>
</cp:coreProperties>
</file>