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leitung" sheetId="1" r:id="rId5"/>
    <sheet state="visible" name="Szenarien_Analyse" sheetId="2" r:id="rId6"/>
    <sheet state="visible" name="Inputs" sheetId="3" r:id="rId7"/>
    <sheet state="visible" name="00_Input_Sandbox" sheetId="4" r:id="rId8"/>
    <sheet state="visible" name="P&amp;L" sheetId="5" r:id="rId9"/>
    <sheet state="visible" name="Revenue" sheetId="6" r:id="rId10"/>
    <sheet state="visible" name="Costs" sheetId="7" r:id="rId11"/>
    <sheet state="visible" name="Balance Sheet" sheetId="8" r:id="rId12"/>
    <sheet state="visible" name="Cash Flow"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tc={218aae39-da89-4611-8c8e-e476e39f1d8f}</author>
    <author>tc={5080228d-04af-4183-a4df-d98ad1c518e0}</author>
    <author>tc={c8293c1e-810b-4ba5-b0ce-7becbb834cf8}</author>
  </authors>
  <commentList>
    <comment authorId="0" xr:uid="{218aae39-da89-4611-8c8e-e476e39f1d8f}" ref="D10">
      <text>
        <t xml:space="preserve">[Threaded comment]
 Your version of Excel allows you to read this threaded comment; however, any edits to it will get removed if the file is opened in a newer version of Excel. Learn more: https://go.microsoft.com/fwlink/?linkid=870924
Comment:
	Plan bleibt wie er ist, Stelle kommt zum anvisierten Zielmonat
</t>
      </text>
    </comment>
    <comment authorId="1" xr:uid="{5080228d-04af-4183-a4df-d98ad1c518e0}" ref="F10">
      <text>
        <t xml:space="preserve">[Threaded comment]
 Your version of Excel allows you to read this threaded comment; however, any edits to it will get removed if the file is opened in a newer version of Excel. Learn more: https://go.microsoft.com/fwlink/?linkid=870924
Comment:
	Durch Einsatz von AI wird Stelle effektiv gestrichen, Eintrittswert wird daher auf 99 Monate hochgesetzt
</t>
      </text>
    </comment>
    <comment authorId="2" xr:uid="{c8293c1e-810b-4ba5-b0ce-7becbb834cf8}" ref="E10">
      <text>
        <t xml:space="preserve">[Threaded comment]
 Your version of Excel allows you to read this threaded comment; however, any edits to it will get removed if the file is opened in a newer version of Excel. Learn more: https://go.microsoft.com/fwlink/?linkid=870924
Comment:
	AI kompensiert Aufgaben, dadurch verschiebt sich der Eintritt des neuen MA um 6 Monate
</t>
      </text>
    </comment>
  </commentList>
</comments>
</file>

<file path=xl/sharedStrings.xml><?xml version="1.0" encoding="utf-8"?>
<sst xmlns="http://schemas.openxmlformats.org/spreadsheetml/2006/main" count="925" uniqueCount="620">
  <si>
    <t>LoopforgeLab GmbH – Financial Projection Model</t>
  </si>
  <si>
    <t>Projektionszeitraum: 52 Monate (ca. 4,3 Jahre)</t>
  </si>
  <si>
    <t>INHALTSVERZEICHNIS</t>
  </si>
  <si>
    <t>Sheet 1: Anleitung – Diese Seite mit Übersicht und Legende</t>
  </si>
  <si>
    <t>Sheet 2: Inputs – Zentrale Eingabewerte (HIER STARTEN)</t>
  </si>
  <si>
    <t>Sheet 3: P&amp;L – Gewinn- und Verlustrechnung (monatlich + jährlich)</t>
  </si>
  <si>
    <t>Sheet 4: Revenue – Detaillierte Umsatzmodellierung</t>
  </si>
  <si>
    <t>Sheet 5: Costs – Detaillierte Kostenaufschlüsselung</t>
  </si>
  <si>
    <t>Sheet 6: Balance Sheet – Vereinfachte Bilanz</t>
  </si>
  <si>
    <t>Sheet 7: Cash Flow – Kapitalflussrechnung mit Runway</t>
  </si>
  <si>
    <t>FARBCODIERUNG</t>
  </si>
  <si>
    <t>Blau</t>
  </si>
  <si>
    <t>Editierbare Eingabefelder</t>
  </si>
  <si>
    <t>Schwarz</t>
  </si>
  <si>
    <t>Formeln – nicht manuell ändern</t>
  </si>
  <si>
    <t>Grün</t>
  </si>
  <si>
    <t>Verweise auf andere Sheets</t>
  </si>
  <si>
    <t>Gelb hinterlegt</t>
  </si>
  <si>
    <t>Kritische Annahmen</t>
  </si>
  <si>
    <t>KURZANLEITUNG</t>
  </si>
  <si>
    <t>1. Gehen Sie zum Sheet 'Inputs' und passen Sie alle blau markierten Werte an.</t>
  </si>
  <si>
    <t>2. Alle anderen Sheets berechnen sich automatisch aus den Inputs.</t>
  </si>
  <si>
    <t>3. Prüfen Sie die P&amp;L, Revenue und Cash Flow Sheets auf Plausibilität.</t>
  </si>
  <si>
    <t>4. Achten Sie auf rot markierte Warnungen (z.B. Runway &lt; 6 Monate).</t>
  </si>
  <si>
    <t>5. Exportieren Sie relevante Sheets als PDF für Investoren-Präsentationen.</t>
  </si>
  <si>
    <t>DISCLAIMER: Diese Projektion dient ausschließlich der Planung.</t>
  </si>
  <si>
    <t>Tatsächliche Ergebnisse können erheblich abweichen. Keine Garantie.</t>
  </si>
  <si>
    <t>Faktor</t>
  </si>
  <si>
    <t>Referenz (Basis)</t>
  </si>
  <si>
    <t>Szenario: Gering</t>
  </si>
  <si>
    <t>Szenario: Normal</t>
  </si>
  <si>
    <t>Szenario: Stark</t>
  </si>
  <si>
    <t>DELTA: (Stark vs Nomal)</t>
  </si>
  <si>
    <t>Argumentation (Lothar.bm &amp; Transkripte)</t>
  </si>
  <si>
    <t>Fokus: Packaging</t>
  </si>
  <si>
    <t>Höhere Margen, schnellere Zyklen als Auto.</t>
  </si>
  <si>
    <t>Fokus: Automotive</t>
  </si>
  <si>
    <t>Hohe IT-Hürden und Margendruck (Lothar).</t>
  </si>
  <si>
    <t>Erste zahlende Kunden Monat</t>
  </si>
  <si>
    <t>IT-Integration ist der Flaschenhals.</t>
  </si>
  <si>
    <t>Consulting Anteil</t>
  </si>
  <si>
    <t>Consulting ist Enabler für IT-Anbindung.</t>
  </si>
  <si>
    <t>Startpreis pro Seat/Jahr</t>
  </si>
  <si>
    <t>Value-Pricing eher in Packaging möglich.</t>
  </si>
  <si>
    <t>Personal (Experten)</t>
  </si>
  <si>
    <t>5 FTE</t>
  </si>
  <si>
    <t>3 FTE</t>
  </si>
  <si>
    <t>7 FTE</t>
  </si>
  <si>
    <t>12 FTE</t>
  </si>
  <si>
    <t>Bedarf an "Übersetzern" für IT-Landschaft.</t>
  </si>
  <si>
    <t>ZENTRALE EINGABEWERTE</t>
  </si>
  <si>
    <t>Wert</t>
  </si>
  <si>
    <t>Erklärung / Hinweis</t>
  </si>
  <si>
    <t>Bemerkungen</t>
  </si>
  <si>
    <t>Einstellungsplan: KI-Strategie</t>
  </si>
  <si>
    <t>Szenarioauswahl: gering, normal, stark</t>
  </si>
  <si>
    <t>ALLGEMEINE EINSTELLUNGEN</t>
  </si>
  <si>
    <t>Firmenname</t>
  </si>
  <si>
    <t>LoopforgeLab GmbH</t>
  </si>
  <si>
    <t>Name des Unternehmens</t>
  </si>
  <si>
    <t>Startdatum</t>
  </si>
  <si>
    <t>Beginn der Projektionen</t>
  </si>
  <si>
    <t>Währung</t>
  </si>
  <si>
    <t>EUR</t>
  </si>
  <si>
    <t>EUR für DACH-Startups</t>
  </si>
  <si>
    <t>Steuersatz</t>
  </si>
  <si>
    <t>KSt + GewSt (~30% in DE)</t>
  </si>
  <si>
    <t>Übernahme des Standardsatzes (KSt + GewSt in Deutschland).</t>
  </si>
  <si>
    <t>FINANZIERUNGSRUNDEN</t>
  </si>
  <si>
    <t>Ideation Phase</t>
  </si>
  <si>
    <t>Typisch: 100.000-500.000€</t>
  </si>
  <si>
    <t>Phase: 1.4.26 bis 15.7.2026
MVP-Anschubfinanzierung; stellt keine Unternehmensbewertung dar.</t>
  </si>
  <si>
    <t>Monat der Einzahlung</t>
  </si>
  <si>
    <t>MVP-Entwicklung und IP-Aufbau starten unmittelbar.</t>
  </si>
  <si>
    <t>Pre-Seed Betrag</t>
  </si>
  <si>
    <t>Typisch: 500.000-2.000.000€</t>
  </si>
  <si>
    <t>Pre-Seed Phase ab VC Pitch im Juli '26 (1.5M-3M Bewertung).</t>
  </si>
  <si>
    <t>Pre-Seed Monat</t>
  </si>
  <si>
    <t>Typisch: Monat 5</t>
  </si>
  <si>
    <t xml:space="preserve">Juli 2026 entspricht Monat 5 Fokus auf Pilot-Traction. </t>
  </si>
  <si>
    <t>Seed Betrag</t>
  </si>
  <si>
    <t>Typisch: 3.000.000-10.000.000€</t>
  </si>
  <si>
    <t>Abhängig von Pilotprojekten und Reife des Produktes</t>
  </si>
  <si>
    <t>Seed Monat</t>
  </si>
  <si>
    <t>Typisch: Monat 17</t>
  </si>
  <si>
    <t>Geplant für Mitte 2027.</t>
  </si>
  <si>
    <t>Series A Betrag</t>
  </si>
  <si>
    <t>Typisch: 10.000.000-25.000.000€</t>
  </si>
  <si>
    <t>Vorerst unverändert als langfristige Wachstumsambition.</t>
  </si>
  <si>
    <t>Series A Monat</t>
  </si>
  <si>
    <t>Typisch: Monat 35</t>
  </si>
  <si>
    <t>Geplant für Herbst 2028.</t>
  </si>
  <si>
    <t>REVENUE-ANNAHMEN (SaaS/ARR)</t>
  </si>
  <si>
    <t>Jährliche Lizenzgebühr pro Nutzer</t>
  </si>
  <si>
    <t>1. Realistisch? Hängt auch ab vom Business Modell..Pricing basierend auf Wettbewerb oder auf voraussichtlichem Einsparpotential?
2. weitere Erlösquellen? Beratung? Implementierungsaufwand?
Hybrid-Modell: Deckt Fixkosten und partizipiert am TCO-Einsparwert. [1]</t>
  </si>
  <si>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</si>
  <si>
    <t>Preiserhöhung/Jahr</t>
  </si>
  <si>
    <t>Typisch: 3-5% p.a.</t>
  </si>
  <si>
    <t>Standard für AI-SaaS 2026 (Kompensation Inferenz/Innovation). [4]</t>
  </si>
  <si>
    <t>Wann erster Umsatz?</t>
  </si>
  <si>
    <t>Erster Umsatz in Monat 8 (Start: 04/26)…Realistisch? Wie lange Lead-Time? Zielkunden? Beachhead-Market?
Weitere Begründung: wenn im Automotivebereich: Puffer für Sales-Zyklen (9-12 Mon.) und TISAX im Mittelstand. [1</t>
  </si>
  <si>
    <t>Initiale Seats</t>
  </si>
  <si>
    <t>Anzahl Seats beim ersten Kunden</t>
  </si>
  <si>
    <t>Realistisch? Hängt von Kundengrösse ab. Implementierungsaufwand je Kunde mit einkalkulieren
weitere Aspekte: Kalkulieren mit 1-2 Projekten/ Start mit Pilotprojekten (Werke) zur ROI-Validierung ("Land&amp;Expand")</t>
  </si>
  <si>
    <t>Monatliche Seat-Wachstumsrate</t>
  </si>
  <si>
    <t>Wachstum neue Seats/Monat</t>
  </si>
  <si>
    <t>--&gt;hier eine Annahme bzgll Vertriebsplanung treffen. Wie hoch ist die Zahl der Verkauften Sitze nach 1, 2, 3 Jahren? Gibt es noch andere Erlösströme?
ALTERNATIVE: Account-basierte Planng: Wechsel auf "Stufenfunktion" beim Aufbau des Geschäfts (Roll-out pro Werk statt linearer Rate)</t>
  </si>
  <si>
    <t>Enterprise-Deals ab Monat</t>
  </si>
  <si>
    <t xml:space="preserve">Wann starten große Verträge?
Wenn Automotive: Verschiebung durch längere Technical Validation und Compliance-Hürden. </t>
  </si>
  <si>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</si>
  <si>
    <t>Durchschnitt Enterprise ARR</t>
  </si>
  <si>
    <t>Typisch: 50.000-200.000€/Jahr</t>
  </si>
  <si>
    <t>Höheres Volumen durch Tiefe der Integration: hier Annahme von weiteren Benefits wie Einbeziehung von DPP &amp; Sustainability</t>
  </si>
  <si>
    <t>Enterprise Deals pro Quartal</t>
  </si>
  <si>
    <t>Neue Enterprise-Deals pro Quartal</t>
  </si>
  <si>
    <t>Jährliche Churn Rate</t>
  </si>
  <si>
    <t>Typisch SaaS: 5-10%</t>
  </si>
  <si>
    <t xml:space="preserve">Konservative Planung für komplexe industrielle Buying Center. 
Plausibel im Mittel (höher im Pilot-Jahr 1; niedriger ab Jahr 3). </t>
  </si>
  <si>
    <t>Net Revenue Retention</t>
  </si>
  <si>
    <t>Expansion - Churn, typisch: 100-120%</t>
  </si>
  <si>
    <t>Erklärung: Realisierbar durch DPP-Zusatzmodule und Material-Analytics-Upgrades, ergo weiteren monetarisierbaren Benefits</t>
  </si>
  <si>
    <t xml:space="preserve"> das ist schon wieder falsch. Die Gehälter für die Executive-Funktionen stehen nicht in den von dir genannten Zellen B26 bis B28 </t>
  </si>
  <si>
    <t>GEHÄLTER (Brutto/Jahr)</t>
  </si>
  <si>
    <t>CEO Gehalt</t>
  </si>
  <si>
    <t>Typisch Startup: 60.000-90.000€</t>
  </si>
  <si>
    <t>Gründer-Satz Pre-Seed); Anpassung ab Seed-Runde.
Muss noch genauer präzisiert werden</t>
  </si>
  <si>
    <t>CTO Gehalt</t>
  </si>
  <si>
    <t>CCO Gehalt</t>
  </si>
  <si>
    <t>Senior Engineer Gehalt</t>
  </si>
  <si>
    <t>Typisch: 70.000-90.000€</t>
  </si>
  <si>
    <t>Berliner Tech-Benchmark 2025/26 für Senior-Fullstack/Backends. [9]</t>
  </si>
  <si>
    <t>Junior Engineer Gehalt</t>
  </si>
  <si>
    <t>Typisch: 45.000-60.000€</t>
  </si>
  <si>
    <t>Anpassung an gestiegene Einstiegsgehälter für Top-Tech-Talente. [9]</t>
  </si>
  <si>
    <t>ML/AI Engineer Gehalt</t>
  </si>
  <si>
    <t>Typisch: 75.000-100.000€</t>
  </si>
  <si>
    <t>Höchste Marktnachfrage; KI-Experten in Berlin deutlich über SWE-Schnitt. [10]</t>
  </si>
  <si>
    <t>Product Manager Gehalt</t>
  </si>
  <si>
    <t>Typisch: 65.000-85.000€</t>
  </si>
  <si>
    <t>Durchschnitt für Technical PMs (Industrial AI) am Standort Berlin</t>
  </si>
  <si>
    <t>Sales Representative Gehalt</t>
  </si>
  <si>
    <t>Typisch: 50.000-70.000€ + Provision</t>
  </si>
  <si>
    <t>Split 50/50 (65k fix + 65k var); zwingend für Enterprise-Vertrieb. [12</t>
  </si>
  <si>
    <t>Marketing Manager Gehalt</t>
  </si>
  <si>
    <t>Typisch: 55.000-75.000€</t>
  </si>
  <si>
    <t>Anpassung an Marktniveau für B2B-Industrie-Spezialisten.</t>
  </si>
  <si>
    <t>Customer Success Gehalt</t>
  </si>
  <si>
    <t>Shift hin zu Solution Architect Profil (techn. Implementierung). [13]</t>
  </si>
  <si>
    <t>Office/Admin Gehalt</t>
  </si>
  <si>
    <t>Typisch: 40.000-50.000€</t>
  </si>
  <si>
    <t>(marktüblich für Berlin).</t>
  </si>
  <si>
    <t>Finance Manager</t>
  </si>
  <si>
    <t>Jährliche Gehaltserhöhung</t>
  </si>
  <si>
    <t>Typisch: 3-5%</t>
  </si>
  <si>
    <t>Berücksichtigt Inflations- und Kompetenzentwicklung im Tech-Sektor.</t>
  </si>
  <si>
    <t>Lohnnebenkosten</t>
  </si>
  <si>
    <t>AG-Anteil Sozialversicherung ~20-21%</t>
  </si>
  <si>
    <t>Übernahme des gesetzlichen AG-Anteils.</t>
  </si>
  <si>
    <t>EINSTELLUNGSPLAN (Eintrittsmonat)</t>
  </si>
  <si>
    <t>geplanter Bedarf/ Zeitpunkt des geplanten Eintritts</t>
  </si>
  <si>
    <t>WICHTIG: KEINE Zeilen löschen. Wenn nicht benötigt, einfach SPALTE B nicht befüllen</t>
  </si>
  <si>
    <t>KI Strategie</t>
  </si>
  <si>
    <t>Tatsächlicher Eintritt ins Unternehmen</t>
  </si>
  <si>
    <t>1. Senior Engineer</t>
  </si>
  <si>
    <t>Erste technische Verstärkung</t>
  </si>
  <si>
    <t>Kern-Dev für MVP-Finalisierung und Deep IP.</t>
  </si>
  <si>
    <t>Fix (Strategische Rolle, kein Effekt durch KI Einsatz)</t>
  </si>
  <si>
    <t>2. Senior Engineer</t>
  </si>
  <si>
    <t>Zweite technische Verstärkung</t>
  </si>
  <si>
    <t>Skalierung der Kern-Architektur.</t>
  </si>
  <si>
    <t>KI-Hebel (KI-Position kann durch KI-Einsatz später eingestellt werden)</t>
  </si>
  <si>
    <t>1. Junior Engineer</t>
  </si>
  <si>
    <t>Junior Developer</t>
  </si>
  <si>
    <r>
      <rPr>
        <rFont val="Calibri"/>
        <color theme="1"/>
        <sz val="11.0"/>
      </rPr>
      <t xml:space="preserve">Support bei Feature-Entwicklung. </t>
    </r>
    <r>
      <rPr>
        <rFont val="Calibri"/>
        <b/>
        <color theme="1"/>
        <sz val="11.0"/>
      </rPr>
      <t>Mit KI Hebel könnte Effizienz auf 1,5 Jun Eng angehoben werden</t>
    </r>
  </si>
  <si>
    <t>1. ML/AI Engineer</t>
  </si>
  <si>
    <t>ML/AI Spezialist</t>
  </si>
  <si>
    <t>Fokus auf agentische Systeme und Design-Algorithmen.</t>
  </si>
  <si>
    <t>2. ML/AI Engineer</t>
  </si>
  <si>
    <t>Zweiter ML Engineer</t>
  </si>
  <si>
    <t>Vertiefung der Material-Analytics-Funktionen.</t>
  </si>
  <si>
    <t>1. Sales Rep</t>
  </si>
  <si>
    <t>Erster Vertriebsmitarbeiter</t>
  </si>
  <si>
    <t>KI-AGENT
Substitution durch AI-SDR (Lead Gen/Outbound) @ ca. 500 EUR/Mo. [14</t>
  </si>
  <si>
    <t>KI-Agent (Position kann durch KI-Agenten ersetzt werden/ Hiring wenn überhaupt in ferner Zukunft)</t>
  </si>
  <si>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</si>
  <si>
    <t>2. Sales Rep</t>
  </si>
  <si>
    <t>Zweiter Vertrieb</t>
  </si>
  <si>
    <t>Human-in-the-Loop für komplexe Enterprise-Abschlüsse.</t>
  </si>
  <si>
    <t>1. Customer Success</t>
  </si>
  <si>
    <t>Erster CS Manager</t>
  </si>
  <si>
    <t>KI-AGENT
Substitution durch Wissens-Agent (RAG) für Support &amp; Doku. [15]</t>
  </si>
  <si>
    <t>1. Marketing Manager</t>
  </si>
  <si>
    <t>Marketing</t>
  </si>
  <si>
    <t>Fokus auf Content (ROI-Case Studies) und Industry-Partner.</t>
  </si>
  <si>
    <t>1. Product Manager</t>
  </si>
  <si>
    <t>Product Management</t>
  </si>
  <si>
    <t>Überführung der Pilot-Learnings in das Kernprodukt.</t>
  </si>
  <si>
    <t>1. Office Manager</t>
  </si>
  <si>
    <t>Admin/Office</t>
  </si>
  <si>
    <t>Übernahme zur administrativen Entlastung der Gründer.</t>
  </si>
  <si>
    <t>3. Senior Engineer</t>
  </si>
  <si>
    <t>Dritter Senior Engineer</t>
  </si>
  <si>
    <t>Ausbau der Enterprise-Readiness (SSO; Audit Logs).</t>
  </si>
  <si>
    <t>4. Senior Engineer</t>
  </si>
  <si>
    <t>Vierter Senior Engineer</t>
  </si>
  <si>
    <t>Zweite Dev-Squad zur Skalierung.</t>
  </si>
  <si>
    <t>2. Junior Engineer</t>
  </si>
  <si>
    <t>Zweiter Junior</t>
  </si>
  <si>
    <t>Team-Erweiterung.</t>
  </si>
  <si>
    <t>3. ML/AI Engineer</t>
  </si>
  <si>
    <t>Dritter ML Engineer</t>
  </si>
  <si>
    <t>Optimierung der Inferenzkosten (COGS-Effizienz).</t>
  </si>
  <si>
    <t>3. Sales Rep</t>
  </si>
  <si>
    <t>Dritter Vertrieb</t>
  </si>
  <si>
    <t>Marktausweitung (Batterie- &amp; Elektronik-Sektor).</t>
  </si>
  <si>
    <t>2. Customer Success</t>
  </si>
  <si>
    <t>Zweiter CS Manager</t>
  </si>
  <si>
    <t>First Hire für komplexes Solution Architecting vor Ort. [13]</t>
  </si>
  <si>
    <t>2. Marketing Manager</t>
  </si>
  <si>
    <t>Zweiter Marketing</t>
  </si>
  <si>
    <t>Expansion des Partner-Netzwerks (Engineering Services).</t>
  </si>
  <si>
    <t>5. Senior Engineer</t>
  </si>
  <si>
    <t>Fünfter Senior Engineer</t>
  </si>
  <si>
    <t>Übernahme.</t>
  </si>
  <si>
    <t>3. Junior Engineer</t>
  </si>
  <si>
    <t>Dritter Junior</t>
  </si>
  <si>
    <t>4. ML/AI Engineer</t>
  </si>
  <si>
    <t>Vierter ML Engineer</t>
  </si>
  <si>
    <t>Fokus auf prädiktive Sustainability-Modelle (DPP).</t>
  </si>
  <si>
    <t>2. Product Manager</t>
  </si>
  <si>
    <t>Zweiter PM</t>
  </si>
  <si>
    <t>Erweiterung für modulare Produktlinien.</t>
  </si>
  <si>
    <t>4. Sales Rep</t>
  </si>
  <si>
    <t>Vierter Vertrieb</t>
  </si>
  <si>
    <t>Vertriebsskalierung.</t>
  </si>
  <si>
    <t>3. Customer Success</t>
  </si>
  <si>
    <t>Dritter CS</t>
  </si>
  <si>
    <t>Finance/Controlling</t>
  </si>
  <si>
    <t>Notwendig für professionelles Reporting ab Seed-Phase.</t>
  </si>
  <si>
    <t>6. Senior Engineer</t>
  </si>
  <si>
    <t>Sechster Senior</t>
  </si>
  <si>
    <t>7. Senior Engineer</t>
  </si>
  <si>
    <t>Siebter Senior</t>
  </si>
  <si>
    <t>4. Junior Engineer</t>
  </si>
  <si>
    <t>Vierter Junior</t>
  </si>
  <si>
    <t>5. ML/AI Engineer</t>
  </si>
  <si>
    <t>Fünfter ML Engineer</t>
  </si>
  <si>
    <t>5. Sales Rep</t>
  </si>
  <si>
    <t>Fünfter Vertrieb</t>
  </si>
  <si>
    <t>4. Customer Success</t>
  </si>
  <si>
    <t>Vierter CS</t>
  </si>
  <si>
    <t>3. Marketing Manager</t>
  </si>
  <si>
    <t>Dritter Marketing</t>
  </si>
  <si>
    <t>TECHNOLOGIE &amp; CLOUD KOSTEN</t>
  </si>
  <si>
    <t>Cloud/Hosting Basis</t>
  </si>
  <si>
    <t>AWS/Azure/GCP Grundkosten €/Monat</t>
  </si>
  <si>
    <t xml:space="preserve">Höhere Last durch GPU-Inferenz und Vektordatenbanken. </t>
  </si>
  <si>
    <t>Cloud Skalierung pro Seat</t>
  </si>
  <si>
    <t>Variable Kosten €/Seat/Monat</t>
  </si>
  <si>
    <t xml:space="preserve">Wechsel von Seat- auf Projekt-Basis (AI-intensive Rechenlast). </t>
  </si>
  <si>
    <t>AI/ML APIs Basis</t>
  </si>
  <si>
    <t>OpenAI/Anthropic etc. €/Monat</t>
  </si>
  <si>
    <t xml:space="preserve">Nutzung von Frontier Models (GPT-5/Claude) für Design-Logic. </t>
  </si>
  <si>
    <t>AI Kosten Wachstum/Monat</t>
  </si>
  <si>
    <t>Steigerung mit Nutzung</t>
  </si>
  <si>
    <t>Skalierung proportional zur Nutzung und Datentiefe.</t>
  </si>
  <si>
    <t>SaaS Tools intern Basis</t>
  </si>
  <si>
    <t>Slack, Notion, GitHub etc. €/Monat</t>
  </si>
  <si>
    <t>Slack; Notion; GitHub etc. (unverändert).</t>
  </si>
  <si>
    <t>SaaS Tools pro MA</t>
  </si>
  <si>
    <t>Zusätzliche Lizenzen €/MA/Monat</t>
  </si>
  <si>
    <t>Inklusive KI-Coding-Tools (Copilot/Cursor) für Dev-Effizienz.</t>
  </si>
  <si>
    <t>Software-Lizenzen Dev</t>
  </si>
  <si>
    <t>IDE, Frameworks €/Jahr</t>
  </si>
  <si>
    <t>Spezialisierte Engineering-Tools und Frameworks (IDE).</t>
  </si>
  <si>
    <t>Sicherheit &amp; Compliance</t>
  </si>
  <si>
    <t>Security Tools €/Monat</t>
  </si>
  <si>
    <t>Puffer für TISAX-Audits und laufendes Compliance-Monitoring. [17</t>
  </si>
  <si>
    <t>HARDWARE &amp; EQUIPMENT</t>
  </si>
  <si>
    <t>Laptop pro MA</t>
  </si>
  <si>
    <t>Typisch: 1.500-3.000€</t>
  </si>
  <si>
    <t>High-End Hardware zwingend für KI-Entwicklung (lokale Inferenz).</t>
  </si>
  <si>
    <t>Monitor &amp; Peripherie</t>
  </si>
  <si>
    <t>Typisch: 500-1.000€</t>
  </si>
  <si>
    <t>Standard-Setup für Tech-Mitarbeiter.</t>
  </si>
  <si>
    <t>Ersatz-Zyklus Monate</t>
  </si>
  <si>
    <t>Typisch: 36-48 Monate</t>
  </si>
  <si>
    <t>Branchenüblicher Turnus.</t>
  </si>
  <si>
    <t>Sonstige IT-Ausstattung/Jahr</t>
  </si>
  <si>
    <t>Server, Netzwerk etc.</t>
  </si>
  <si>
    <t>Puffer für Serverkomponenten/Netzwerk.</t>
  </si>
  <si>
    <t>BÜRO &amp; FACILITIES</t>
  </si>
  <si>
    <t>Büromiete</t>
  </si>
  <si>
    <t>Coworking anfangs €/Monat</t>
  </si>
  <si>
    <t>Coworking-Fokus in der ersten Phase (Berlin Mitte/Kreuzberg).</t>
  </si>
  <si>
    <t>Büro-Upgrade ab Monat</t>
  </si>
  <si>
    <t>Wann größeres Büro?</t>
  </si>
  <si>
    <t>Shift analog zur Einstellung von Solution Architects (Teamgröße).</t>
  </si>
  <si>
    <t>Neue Büromiete</t>
  </si>
  <si>
    <t>Kosten nach Upgrade €/Monat</t>
  </si>
  <si>
    <t>Anpassung an Berliner Marktpreise für ca. 15-20 Personen.</t>
  </si>
  <si>
    <t>Nebenkosten</t>
  </si>
  <si>
    <t>Strom, Wasser, Heizung €/Monat</t>
  </si>
  <si>
    <t>Internet &amp; Telefon</t>
  </si>
  <si>
    <t>€/Monat</t>
  </si>
  <si>
    <t>Büroausstattung Initial</t>
  </si>
  <si>
    <t>Möbel, Einrichtung €</t>
  </si>
  <si>
    <t>Möbel und IT-Grundausstattung für Erst-Team.</t>
  </si>
  <si>
    <t>Bürobedarf pro MA</t>
  </si>
  <si>
    <t>Verbrauchsmaterial €/MA/Monat</t>
  </si>
  <si>
    <t>Verbrauchsmaterial (unverändert).</t>
  </si>
  <si>
    <t>PROFESSIONAL SERVICES</t>
  </si>
  <si>
    <t>Rechtsanwalt Basis/Jahr</t>
  </si>
  <si>
    <t>Laufende Beratung €/Jahr</t>
  </si>
  <si>
    <t>RA pro Finanzierung</t>
  </si>
  <si>
    <t>Zusätzlich bei Funding €</t>
  </si>
  <si>
    <t>Steuerberater</t>
  </si>
  <si>
    <t>Laufende Buchhaltung €/Monat</t>
  </si>
  <si>
    <t>Wirtschaftsprüfer/Jahr</t>
  </si>
  <si>
    <t>Ab Series A €/Jahr</t>
  </si>
  <si>
    <t>WP ab Monat</t>
  </si>
  <si>
    <t>Ab wann Wirtschaftsprüfer?
Start mit tatsächlicher Seed-Phase Mitte 2027.</t>
  </si>
  <si>
    <t>Unternehmensberater/Jahr</t>
  </si>
  <si>
    <t>Optional €/Jahr
Optionaler Puffer für Spezialberatung (DPP/MDR).</t>
  </si>
  <si>
    <t>VERSICHERUNGEN &amp; BANK</t>
  </si>
  <si>
    <t>D&amp;O Versicherung/Jahr</t>
  </si>
  <si>
    <t>Directors &amp; Officers €/Jahr
Schutz für Management (Standard-Satz).</t>
  </si>
  <si>
    <t>Betriebshaftpflicht/Jahr</t>
  </si>
  <si>
    <t>€/Jahr
Deckung für industrielle Software-Einsätze.</t>
  </si>
  <si>
    <t>Cyber-Versicherung/Jahr</t>
  </si>
  <si>
    <t>€/Jahr
Kritisch bei Verarbeitung von Kundendaten (IP-Schutz).</t>
  </si>
  <si>
    <t>Bankgebühren</t>
  </si>
  <si>
    <t>Kontoführung €/Monat</t>
  </si>
  <si>
    <t>Payment Processing</t>
  </si>
  <si>
    <t>Stripe/PayPal ~2-3% vom Umsatz
Anteil am Umsatz für SaaS-Billing-Systeme (Stripe etc.).</t>
  </si>
  <si>
    <t>MARKETING &amp; SALES</t>
  </si>
  <si>
    <t>Paid Ads Budget Initial</t>
  </si>
  <si>
    <t>Google, LinkedIn etc. €/Monat
Fokus eher auf Content/SEO (Industrie-Vertrieb).</t>
  </si>
  <si>
    <t>Ads Budget Wachstum/Monat</t>
  </si>
  <si>
    <t>Monatliche Steigerung
Skalierung mit Marktbekanntheit.</t>
  </si>
  <si>
    <t>Content &amp; SEO</t>
  </si>
  <si>
    <t>€/Monat
Fokus auf Whitepaper zu ROI; TCO und DPP-Compliance.</t>
  </si>
  <si>
    <t>Events &amp; Messen/Jahr</t>
  </si>
  <si>
    <t>Teilnahme, Stände €/Jahr
Präsenz auf Leitmessen (Hannover Messe; SPS) ??.</t>
  </si>
  <si>
    <t>Sales Tools</t>
  </si>
  <si>
    <t>CRM, Outreach €/Monat
CRM und Sales Intelligence (unverändert).</t>
  </si>
  <si>
    <t>Sales Provision</t>
  </si>
  <si>
    <t>Vertriebsprovision % vom neuen ARR
Anteil am neuen ARR als Anreiz für Verkäufer (AEs).</t>
  </si>
  <si>
    <t>Reisekosten Sales/MA/Monat</t>
  </si>
  <si>
    <t>€/MA/Monat
Notwendig für Werksbegehungen und Kundenbesuche.</t>
  </si>
  <si>
    <t>SONSTIGE KOSTEN</t>
  </si>
  <si>
    <t>Reisekosten allgemein/MA/Jahr</t>
  </si>
  <si>
    <t>€/MA/Jahr</t>
  </si>
  <si>
    <t>Team-Mobilität und Kooperationen.</t>
  </si>
  <si>
    <t>Weiterbildung/MA/Jahr</t>
  </si>
  <si>
    <t>Besonders wichtig im ML-Bereich (Konferenzen/Kurse).</t>
  </si>
  <si>
    <t>Team Events/MA/Jahr</t>
  </si>
  <si>
    <t>Mitarbeiterbindung im kompetitiven Berliner Markt.</t>
  </si>
  <si>
    <t>Sonstiges/Puffer</t>
  </si>
  <si>
    <t>% der OpEx, Unvorhergesehenes</t>
  </si>
  <si>
    <t>Vorsichtsprinzip für ungeplante Ausgaben (OpEx).</t>
  </si>
  <si>
    <t>Abschreibungsdauer Jahre</t>
  </si>
  <si>
    <t>Für CapEx, typisch 3-5 Jahre</t>
  </si>
  <si>
    <t>Standard für Hardware und Lizenzen (CapEx).</t>
  </si>
  <si>
    <t>Aktives Szenario</t>
  </si>
  <si>
    <t>gering</t>
  </si>
  <si>
    <t>Einheit</t>
  </si>
  <si>
    <t>Gering (Auto-Fokus)</t>
  </si>
  <si>
    <t>Normal (Hybrid)</t>
  </si>
  <si>
    <t>Stark (Pack-Fokus)</t>
  </si>
  <si>
    <t>Argumentation / Quelle</t>
  </si>
  <si>
    <t>Spalten-Index (intern)</t>
  </si>
  <si>
    <t>Kategorie</t>
  </si>
  <si>
    <t>Variable</t>
  </si>
  <si>
    <t>Gering</t>
  </si>
  <si>
    <t>Normal</t>
  </si>
  <si>
    <t>Stark</t>
  </si>
  <si>
    <t>Quelle</t>
  </si>
  <si>
    <t>Markt-Mix</t>
  </si>
  <si>
    <t>Anteil Packaging</t>
  </si>
  <si>
    <t>%</t>
  </si>
  <si>
    <t>Lothar.bm: Packaging hat schnellere Zyklen.</t>
  </si>
  <si>
    <t>Vertrieb</t>
  </si>
  <si>
    <t>Startmonat Kunden</t>
  </si>
  <si>
    <t>Monate</t>
  </si>
  <si>
    <t>Lothar.bm: IT-Hürden bei Automotive Tier-1.</t>
  </si>
  <si>
    <t>Revenue 1</t>
  </si>
  <si>
    <t>Startpreis Seat/Jahr</t>
  </si>
  <si>
    <t>Value-based Pricing in Packaging (White Paper).</t>
  </si>
  <si>
    <t>Revenue 2</t>
  </si>
  <si>
    <t>Consulting-Tagessatz</t>
  </si>
  <si>
    <t>€/Tag</t>
  </si>
  <si>
    <t>Expertenstatus (Haag/Candemir).</t>
  </si>
  <si>
    <t>Effizienz</t>
  </si>
  <si>
    <t>Iterations-Reduktion</t>
  </si>
  <si>
    <t>1,2x</t>
  </si>
  <si>
    <t>2,0x</t>
  </si>
  <si>
    <t>3,0x</t>
  </si>
  <si>
    <t>White Paper: Redesign Trap vermeiden.</t>
  </si>
  <si>
    <t>Kosten</t>
  </si>
  <si>
    <t>Onboarding-Aufwand</t>
  </si>
  <si>
    <t>Stunden</t>
  </si>
  <si>
    <t>Lothar.bm: Hoher Aufwand bei alten IT-Systemen.</t>
  </si>
  <si>
    <t>AI-Personal-Hebel</t>
  </si>
  <si>
    <t>GEWINN- UND VERLUSTRECHNUNG (P&amp;L)</t>
  </si>
  <si>
    <t>Position</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</si>
  <si>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</si>
  <si>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</si>
  <si>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</si>
  <si>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</si>
  <si>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</si>
  <si>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</si>
  <si>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</si>
  <si>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</si>
  <si>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</si>
  <si>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</si>
  <si>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</si>
  <si>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</si>
  <si>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</si>
  <si>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</si>
  <si>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</si>
  <si>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</si>
  <si>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</si>
  <si>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</si>
  <si>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</si>
  <si>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</si>
  <si>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</si>
  <si>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</si>
  <si>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</si>
  <si>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</si>
  <si>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</si>
  <si>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</si>
  <si>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</si>
  <si>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</si>
  <si>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</si>
  <si>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</si>
  <si>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</si>
  <si>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</si>
  <si>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</si>
  <si>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</si>
  <si>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</si>
  <si>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</si>
  <si>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</si>
  <si>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</si>
  <si>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</si>
  <si>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</si>
  <si>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</si>
  <si>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</si>
  <si>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</si>
  <si>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</si>
  <si>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</si>
  <si>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</si>
  <si>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</si>
  <si>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</si>
  <si>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</si>
  <si>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</si>
  <si>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</si>
  <si>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</si>
  <si>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REVENUE</t>
  </si>
  <si>
    <t>Subscription Revenue</t>
  </si>
  <si>
    <t>Enterprise Revenue</t>
  </si>
  <si>
    <t>TOTAL REVENUE</t>
  </si>
  <si>
    <t>COST OF GOODS SOLD (COGS)</t>
  </si>
  <si>
    <t>Cloud Hosting (variable)</t>
  </si>
  <si>
    <t>AI/ML API Kosten</t>
  </si>
  <si>
    <t>TOTAL COGS</t>
  </si>
  <si>
    <t>GROSS PROFIT</t>
  </si>
  <si>
    <t>Gross Margin %</t>
  </si>
  <si>
    <t>OPERATING EXPENSES</t>
  </si>
  <si>
    <t>Total Personnel</t>
  </si>
  <si>
    <t>Total Technology</t>
  </si>
  <si>
    <t>Total Office/Facilities</t>
  </si>
  <si>
    <t>Total Professional Services</t>
  </si>
  <si>
    <t>Total Insurance &amp; Bank</t>
  </si>
  <si>
    <t>Total Marketing &amp; Sales</t>
  </si>
  <si>
    <t>Total Other OpEx</t>
  </si>
  <si>
    <t>Contingency/Buffer</t>
  </si>
  <si>
    <t>TOTAL OPERATING EXPENSES</t>
  </si>
  <si>
    <t>EBITDA</t>
  </si>
  <si>
    <t>EBITDA Margin %</t>
  </si>
  <si>
    <t>Depreciation &amp; Amortization</t>
  </si>
  <si>
    <t>EBIT (Operating Income)</t>
  </si>
  <si>
    <t>EBT (Earnings Before Tax)</t>
  </si>
  <si>
    <t>Income Tax</t>
  </si>
  <si>
    <t>NET INCOME</t>
  </si>
  <si>
    <t>Net Margin %</t>
  </si>
  <si>
    <t>UMSATZMODELL - Detaillierte Aufschlüsselung</t>
  </si>
  <si>
    <t>Kennzahl</t>
  </si>
  <si>
    <t>Preis pro Seat/Monat (€)</t>
  </si>
  <si>
    <t>Neue Seats</t>
  </si>
  <si>
    <t>Churned Seats</t>
  </si>
  <si>
    <t>Net New Seats</t>
  </si>
  <si>
    <t>Total Active Seats</t>
  </si>
  <si>
    <t>Monthly Subscription Revenue (€)</t>
  </si>
  <si>
    <t>Subscription ARR (€)</t>
  </si>
  <si>
    <t>HIER FEHLT CONSULTING UMSATZ...AUSSERDEM SIND DIE PREISE FÜR SEATS und PRojekte zu gering</t>
  </si>
  <si>
    <t>3v</t>
  </si>
  <si>
    <t>Churned Enterprise</t>
  </si>
  <si>
    <t>Active Enterprise Contracts</t>
  </si>
  <si>
    <t>Avg Enterprise ACV (€)</t>
  </si>
  <si>
    <t>Enterprise Monthly Revenue (€)</t>
  </si>
  <si>
    <t>TOTAL MRR (€)</t>
  </si>
  <si>
    <t>TOTAL ARR (€)</t>
  </si>
  <si>
    <t>Total Monthly Revenue (€)</t>
  </si>
  <si>
    <t>ARR Growth % (MoM)</t>
  </si>
  <si>
    <t>Net Revenue Retention %</t>
  </si>
  <si>
    <t>Gross New ARR (€)</t>
  </si>
  <si>
    <t>KOSTENDETAILS</t>
  </si>
  <si>
    <t>Kostenposition</t>
  </si>
  <si>
    <t>HEADCOUNT PLAN</t>
  </si>
  <si>
    <t>Executives (CEO, CTO, CCO)</t>
  </si>
  <si>
    <t>TOTAL HEADCOUNT</t>
  </si>
  <si>
    <t>GEHÄLTER &amp; PERSONALKOSTEN</t>
  </si>
  <si>
    <t>1. Senior Engineer Gehalt</t>
  </si>
  <si>
    <t>2. Senior Engineer Gehalt</t>
  </si>
  <si>
    <t>1. Junior Engineer Gehalt</t>
  </si>
  <si>
    <t>1. ML/AI Engineer Gehalt</t>
  </si>
  <si>
    <t>2. ML/AI Engineer Gehalt</t>
  </si>
  <si>
    <t>1. Sales Rep Gehalt</t>
  </si>
  <si>
    <t>2. Sales Rep Gehalt</t>
  </si>
  <si>
    <t>1. Customer Success Gehalt</t>
  </si>
  <si>
    <t>1. Marketing Manager Gehalt</t>
  </si>
  <si>
    <t>1. Product Manager Gehalt</t>
  </si>
  <si>
    <t>1. Office Manager Gehalt</t>
  </si>
  <si>
    <t>3. Senior Engineer Gehalt</t>
  </si>
  <si>
    <t>4. Senior Engineer Gehalt</t>
  </si>
  <si>
    <t>2. Junior Engineer Gehalt</t>
  </si>
  <si>
    <t>3. ML/AI Engineer Gehalt</t>
  </si>
  <si>
    <t>3. Sales Rep Gehalt</t>
  </si>
  <si>
    <t>2. Customer Success Gehalt</t>
  </si>
  <si>
    <t>2. Marketing Manager Gehalt</t>
  </si>
  <si>
    <t>5. Senior Engineer Gehalt</t>
  </si>
  <si>
    <t>3. Junior Engineer Gehalt</t>
  </si>
  <si>
    <t>4. ML/AI Engineer Gehalt</t>
  </si>
  <si>
    <t>2. Product Manager Gehalt</t>
  </si>
  <si>
    <t>4. Sales Rep Gehalt</t>
  </si>
  <si>
    <t>3. Customer Success Gehalt</t>
  </si>
  <si>
    <t>Finance Manager Gehalt</t>
  </si>
  <si>
    <t>6. Senior Engineer Gehalt</t>
  </si>
  <si>
    <t>7. Senior Engineer Gehalt</t>
  </si>
  <si>
    <t>4. Junior Engineer Gehalt</t>
  </si>
  <si>
    <t>5. ML/AI Engineer Gehalt</t>
  </si>
  <si>
    <t>5. Sales Rep Gehalt</t>
  </si>
  <si>
    <t>4. Customer Success Gehalt</t>
  </si>
  <si>
    <t>3. Marketing Manager Gehalt</t>
  </si>
  <si>
    <t>Subtotal Brutto-Gehälter</t>
  </si>
  <si>
    <t>Lohnnebenkosten (AG-Anteil)</t>
  </si>
  <si>
    <t>TOTAL PERSONALKOSTEN</t>
  </si>
  <si>
    <t>TECHNOLOGIEKOSTEN</t>
  </si>
  <si>
    <t>Cloud Infrastructure (Basis)</t>
  </si>
  <si>
    <t>Cloud Infrastructure (Variable)</t>
  </si>
  <si>
    <t>SaaS Tools intern</t>
  </si>
  <si>
    <t>TOTAL TECHNOLOGIE</t>
  </si>
  <si>
    <t>BÜROKOSTEN</t>
  </si>
  <si>
    <t>Bürobedarf</t>
  </si>
  <si>
    <t>TOTAL BÜRO</t>
  </si>
  <si>
    <t>Rechtsanwalt (laufend)</t>
  </si>
  <si>
    <t>Wirtschaftsprüfer</t>
  </si>
  <si>
    <t>Unternehmensberater</t>
  </si>
  <si>
    <t>TOTAL PROFESSIONAL</t>
  </si>
  <si>
    <t>D&amp;O Versicherung</t>
  </si>
  <si>
    <t>Betriebshaftpflicht</t>
  </si>
  <si>
    <t>Cyber-Versicherung</t>
  </si>
  <si>
    <t>TOTAL VERSICHERUNG &amp; BANK</t>
  </si>
  <si>
    <t>MARKETING &amp; SALES KOSTEN</t>
  </si>
  <si>
    <t>Paid Advertising</t>
  </si>
  <si>
    <t>Events &amp; Messen</t>
  </si>
  <si>
    <t>Sales Provisionen</t>
  </si>
  <si>
    <t>Reisekosten Sales</t>
  </si>
  <si>
    <t>TOTAL MARKETING &amp; SALES</t>
  </si>
  <si>
    <t>Reisekosten allgemein</t>
  </si>
  <si>
    <t>Weiterbildung</t>
  </si>
  <si>
    <t>Team Events</t>
  </si>
  <si>
    <t>Hardware (neue MA)</t>
  </si>
  <si>
    <t>Sonstige IT-Ausstattung</t>
  </si>
  <si>
    <t>TOTAL SONSTIGE</t>
  </si>
  <si>
    <t>PAYMENT PROCESSING</t>
  </si>
  <si>
    <t>Payment Processing Fees</t>
  </si>
  <si>
    <t>Puffer/Unvorhergesehenes</t>
  </si>
  <si>
    <t>TOTAL KOSTEN (exkl. COGS)</t>
  </si>
  <si>
    <t>BILANZ (Vereinfacht)</t>
  </si>
  <si>
    <t>AKTIVA (ASSETS)</t>
  </si>
  <si>
    <t>Cash &amp; Cash Equivalents</t>
  </si>
  <si>
    <t>Accounts Receivable</t>
  </si>
  <si>
    <t>Prepaid Expenses</t>
  </si>
  <si>
    <t>Property &amp; Equipment (net)</t>
  </si>
  <si>
    <t>TOTAL ASSETS</t>
  </si>
  <si>
    <t>PASSIVA (LIABILITIES)</t>
  </si>
  <si>
    <t>Accounts Payable</t>
  </si>
  <si>
    <t>Accrued Expenses</t>
  </si>
  <si>
    <t>Deferred Revenue</t>
  </si>
  <si>
    <t>TOTAL LIABILITIES</t>
  </si>
  <si>
    <t>EIGENKAPITAL (EQUITY)</t>
  </si>
  <si>
    <t>Share Capital</t>
  </si>
  <si>
    <t>Additional Paid-in Capital</t>
  </si>
  <si>
    <t>Retained Earnings</t>
  </si>
  <si>
    <t>TOTAL EQUITY</t>
  </si>
  <si>
    <t>TOTAL LIABILITIES + EQUITY</t>
  </si>
  <si>
    <t>Check (Assets - L&amp;E = 0)</t>
  </si>
  <si>
    <t>KAPITALFLUSSRECHNUNG (CASH FLOW)</t>
  </si>
  <si>
    <t>OPERATING ACTIVITIES</t>
  </si>
  <si>
    <t>Net Income</t>
  </si>
  <si>
    <t>+ Depreciation &amp; Amortization</t>
  </si>
  <si>
    <t>Changes in Working Capital</t>
  </si>
  <si>
    <t>Net Cash from Operations</t>
  </si>
  <si>
    <t>INVESTING ACTIVITIES</t>
  </si>
  <si>
    <t>Purchase of Equipment</t>
  </si>
  <si>
    <t>Net Cash from Investing</t>
  </si>
  <si>
    <t>FINANCING ACTIVITIES</t>
  </si>
  <si>
    <t>Equity Funding Received</t>
  </si>
  <si>
    <t>Net Cash from Financing</t>
  </si>
  <si>
    <t>NET CHANGE IN CASH</t>
  </si>
  <si>
    <t>Beginning Cash Balance</t>
  </si>
  <si>
    <t>Net Change</t>
  </si>
  <si>
    <t>ENDING CASH BALANCE</t>
  </si>
  <si>
    <t>KEY METRICS</t>
  </si>
  <si>
    <t>Monthly Burn Rate</t>
  </si>
  <si>
    <t>Runway (Months)</t>
  </si>
  <si>
    <t>Cumulative Cash Position</t>
  </si>
  <si>
    <t>Cash Runway Alert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</si>
</sst>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0.0%"/>
    <numFmt numFmtId="166" formatCode="#,##0;\(#,##0\)"/>
    <numFmt numFmtId="167" formatCode="0.0"/>
  </numFmts>
  <fonts count="19">
    <font>
      <sz val="11.0"/>
      <color theme="1"/>
      <name val="Calibri"/>
      <scheme val="minor"/>
    </font>
    <font>
      <b/>
      <sz val="14.0"/>
      <color theme="1"/>
      <name val="Arial"/>
    </font>
    <font>
      <b/>
      <sz val="11.0"/>
      <color theme="1"/>
      <name val="Arial"/>
    </font>
    <font>
      <sz val="10.0"/>
      <color theme="1"/>
      <name val="Arial"/>
    </font>
    <font>
      <sz val="10.0"/>
      <color rgb="FF0000FF"/>
      <name val="Arial"/>
    </font>
    <font>
      <sz val="10.0"/>
      <color rgb="FF008000"/>
      <name val="Arial"/>
    </font>
    <font>
      <b/>
      <color rgb="FF1F1F1F"/>
      <name val="&quot;Google Sans Text&quot;"/>
    </font>
    <font>
      <color theme="1"/>
      <name val="Calibri"/>
      <scheme val="minor"/>
    </font>
    <font>
      <color rgb="FF1F1F1F"/>
      <name val="&quot;Google Sans Text&quot;"/>
    </font>
    <font>
      <b/>
      <sz val="10.0"/>
      <color theme="1"/>
      <name val="Arial"/>
    </font>
    <font>
      <b/>
      <color theme="1"/>
      <name val="Calibri"/>
      <scheme val="minor"/>
    </font>
    <font>
      <sz val="11.0"/>
      <color theme="1"/>
      <name val="Calibri"/>
    </font>
    <font>
      <sz val="9.0"/>
      <color rgb="FF666666"/>
      <name val="Arial"/>
    </font>
    <font>
      <b/>
      <sz val="11.0"/>
      <color theme="1"/>
      <name val="Calibri"/>
    </font>
    <font>
      <strike/>
      <sz val="10.0"/>
      <color theme="1"/>
      <name val="Arial"/>
    </font>
    <font>
      <strike/>
      <sz val="10.0"/>
      <color rgb="FF0000FF"/>
      <name val="Arial"/>
    </font>
    <font>
      <strike/>
      <sz val="9.0"/>
      <color rgb="FF666666"/>
      <name val="Arial"/>
    </font>
    <font>
      <i/>
      <color rgb="FF1F1F1F"/>
      <name val="&quot;Google Sans Text&quot;"/>
    </font>
    <font>
      <b/>
      <i/>
      <color rgb="FF1F1F1F"/>
      <name val="&quot;Google Sans Text&quot;"/>
    </font>
  </fonts>
  <fills count="14">
    <fill>
      <patternFill patternType="none"/>
    </fill>
    <fill>
      <patternFill patternType="lightGray"/>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FF9900"/>
        <bgColor rgb="FFFF9900"/>
      </patternFill>
    </fill>
  </fills>
  <borders count="13">
    <border/>
    <border>
      <left/>
      <right/>
      <top/>
      <bottom/>
    </border>
    <border>
      <left/>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1" fillId="2" fontId="3" numFmtId="0" xfId="0" applyBorder="1" applyFill="1" applyFont="1"/>
    <xf borderId="0" fillId="3" fontId="6" numFmtId="0" xfId="0" applyAlignment="1" applyFill="1" applyFont="1">
      <alignment readingOrder="0" shrinkToFit="0" wrapText="1"/>
    </xf>
    <xf borderId="0" fillId="4" fontId="6" numFmtId="0" xfId="0" applyAlignment="1" applyFill="1" applyFont="1">
      <alignment readingOrder="0" shrinkToFit="0" wrapText="1"/>
    </xf>
    <xf borderId="0" fillId="0" fontId="7" numFmtId="0" xfId="0" applyAlignment="1" applyFont="1">
      <alignment shrinkToFit="0" wrapText="1"/>
    </xf>
    <xf borderId="0" fillId="0" fontId="6" numFmtId="0" xfId="0" applyAlignment="1" applyFont="1">
      <alignment readingOrder="0" shrinkToFit="0" wrapText="1"/>
    </xf>
    <xf borderId="0" fillId="0" fontId="8" numFmtId="9" xfId="0" applyAlignment="1" applyFont="1" applyNumberFormat="1">
      <alignment readingOrder="0" shrinkToFit="0" wrapText="1"/>
    </xf>
    <xf borderId="0" fillId="0" fontId="6" numFmtId="9" xfId="0" applyAlignment="1" applyFont="1" applyNumberFormat="1">
      <alignment readingOrder="0" shrinkToFit="0" wrapText="1"/>
    </xf>
    <xf borderId="0" fillId="0" fontId="8" numFmtId="0" xfId="0" applyAlignment="1" applyFont="1">
      <alignment readingOrder="0" shrinkToFit="0" wrapText="1"/>
    </xf>
    <xf borderId="0" fillId="0" fontId="6" numFmtId="0" xfId="0" applyAlignment="1" applyFont="1">
      <alignment shrinkToFit="0" wrapText="1"/>
    </xf>
    <xf borderId="2" fillId="5" fontId="9" numFmtId="0" xfId="0" applyAlignment="1" applyBorder="1" applyFill="1" applyFont="1">
      <alignment shrinkToFit="0" wrapText="1"/>
    </xf>
    <xf borderId="1" fillId="6" fontId="9" numFmtId="0" xfId="0" applyAlignment="1" applyBorder="1" applyFill="1" applyFont="1">
      <alignment shrinkToFit="0" wrapText="1"/>
    </xf>
    <xf borderId="2" fillId="5" fontId="9" numFmtId="0" xfId="0" applyAlignment="1" applyBorder="1" applyFont="1">
      <alignment readingOrder="0" shrinkToFit="0" wrapText="1"/>
    </xf>
    <xf borderId="0" fillId="7" fontId="10" numFmtId="0" xfId="0" applyAlignment="1" applyFill="1" applyFont="1">
      <alignment readingOrder="0" shrinkToFit="0" wrapText="1"/>
    </xf>
    <xf borderId="0" fillId="0" fontId="11" numFmtId="0" xfId="0" applyAlignment="1" applyFont="1">
      <alignment shrinkToFit="0" wrapText="1"/>
    </xf>
    <xf borderId="0" fillId="0" fontId="7" numFmtId="0" xfId="0" applyFont="1"/>
    <xf borderId="1" fillId="5" fontId="2" numFmtId="0" xfId="0" applyAlignment="1" applyBorder="1" applyFont="1">
      <alignment shrinkToFit="0" wrapText="1"/>
    </xf>
    <xf borderId="1" fillId="5" fontId="11" numFmtId="0" xfId="0" applyAlignment="1" applyBorder="1" applyFont="1">
      <alignment shrinkToFit="0" wrapText="1"/>
    </xf>
    <xf borderId="0" fillId="0" fontId="3" numFmtId="0" xfId="0" applyAlignment="1" applyFont="1">
      <alignment shrinkToFit="0" wrapText="1"/>
    </xf>
    <xf borderId="0" fillId="0" fontId="4" numFmtId="0" xfId="0" applyAlignment="1" applyFont="1">
      <alignment shrinkToFit="0" wrapText="1"/>
    </xf>
    <xf borderId="0" fillId="0" fontId="12" numFmtId="0" xfId="0" applyAlignment="1" applyFont="1">
      <alignment shrinkToFit="0" wrapText="1"/>
    </xf>
    <xf borderId="0" fillId="0" fontId="4" numFmtId="164" xfId="0" applyAlignment="1" applyFont="1" applyNumberFormat="1">
      <alignment shrinkToFit="0" wrapText="1"/>
    </xf>
    <xf borderId="1" fillId="2" fontId="4" numFmtId="165" xfId="0" applyAlignment="1" applyBorder="1" applyFont="1" applyNumberFormat="1">
      <alignment shrinkToFit="0" wrapText="1"/>
    </xf>
    <xf borderId="0" fillId="0" fontId="11" numFmtId="0" xfId="0" applyAlignment="1" applyFont="1">
      <alignment horizontal="left" shrinkToFit="0" vertical="top" wrapText="1"/>
    </xf>
    <xf borderId="0" fillId="0" fontId="4" numFmtId="3" xfId="0" applyAlignment="1" applyFont="1" applyNumberFormat="1">
      <alignment shrinkToFit="0" wrapText="1"/>
    </xf>
    <xf borderId="0" fillId="0" fontId="7" numFmtId="0" xfId="0" applyAlignment="1" applyFont="1">
      <alignment readingOrder="0" shrinkToFit="0" wrapText="1"/>
    </xf>
    <xf borderId="0" fillId="2" fontId="7" numFmtId="0" xfId="0" applyAlignment="1" applyFont="1">
      <alignment shrinkToFit="0" wrapText="1"/>
    </xf>
    <xf borderId="0" fillId="0" fontId="11" numFmtId="0" xfId="0" applyAlignment="1" applyFont="1">
      <alignment readingOrder="0" shrinkToFit="0" wrapText="1"/>
    </xf>
    <xf borderId="0" fillId="0" fontId="4" numFmtId="165" xfId="0" applyAlignment="1" applyFont="1" applyNumberFormat="1">
      <alignment shrinkToFit="0" wrapText="1"/>
    </xf>
    <xf borderId="0" fillId="2" fontId="7" numFmtId="0" xfId="0" applyAlignment="1" applyFont="1">
      <alignment shrinkToFit="0" wrapText="1"/>
    </xf>
    <xf quotePrefix="1" borderId="0" fillId="0" fontId="12" numFmtId="0" xfId="0" applyAlignment="1" applyFont="1">
      <alignment shrinkToFit="0" wrapText="1"/>
    </xf>
    <xf borderId="0" fillId="0" fontId="11" numFmtId="3" xfId="0" applyAlignment="1" applyFont="1" applyNumberFormat="1">
      <alignment horizontal="left" shrinkToFit="0" vertical="top" wrapText="1"/>
    </xf>
    <xf borderId="0" fillId="0" fontId="11" numFmtId="0" xfId="0" applyAlignment="1" applyFont="1">
      <alignment horizontal="left" readingOrder="0" shrinkToFit="0" vertical="top" wrapText="1"/>
    </xf>
    <xf borderId="0" fillId="0" fontId="3" numFmtId="0" xfId="0" applyAlignment="1" applyFont="1">
      <alignment readingOrder="0" shrinkToFit="0" wrapText="1"/>
    </xf>
    <xf borderId="1" fillId="5" fontId="13" numFmtId="0" xfId="0" applyAlignment="1" applyBorder="1" applyFont="1">
      <alignment readingOrder="0" shrinkToFit="0" wrapText="1"/>
    </xf>
    <xf borderId="1" fillId="8" fontId="13" numFmtId="0" xfId="0" applyAlignment="1" applyBorder="1" applyFill="1" applyFont="1">
      <alignment readingOrder="0" shrinkToFit="0" wrapText="1"/>
    </xf>
    <xf borderId="1" fillId="5" fontId="13" numFmtId="0" xfId="0" applyAlignment="1" applyBorder="1" applyFont="1">
      <alignment shrinkToFit="0" wrapText="1"/>
    </xf>
    <xf borderId="1" fillId="2" fontId="13" numFmtId="0" xfId="0" applyAlignment="1" applyBorder="1" applyFont="1">
      <alignment readingOrder="0" shrinkToFit="0" wrapText="1"/>
    </xf>
    <xf borderId="0" fillId="0" fontId="7" numFmtId="0" xfId="0" applyAlignment="1" applyFont="1">
      <alignment shrinkToFit="0" wrapText="1"/>
    </xf>
    <xf borderId="0" fillId="0" fontId="7" numFmtId="0" xfId="0" applyFont="1"/>
    <xf borderId="0" fillId="9" fontId="14" numFmtId="0" xfId="0" applyAlignment="1" applyFill="1" applyFont="1">
      <alignment shrinkToFit="0" wrapText="1"/>
    </xf>
    <xf borderId="0" fillId="9" fontId="15" numFmtId="0" xfId="0" applyAlignment="1" applyFont="1">
      <alignment readingOrder="0" shrinkToFit="0" wrapText="1"/>
    </xf>
    <xf borderId="0" fillId="9" fontId="12" numFmtId="0" xfId="0" applyAlignment="1" applyFont="1">
      <alignment shrinkToFit="0" wrapText="1"/>
    </xf>
    <xf borderId="0" fillId="9" fontId="11" numFmtId="0" xfId="0" applyAlignment="1" applyFont="1">
      <alignment horizontal="left" shrinkToFit="0" vertical="top" wrapText="1"/>
    </xf>
    <xf borderId="0" fillId="9" fontId="16" numFmtId="0" xfId="0" applyAlignment="1" applyFont="1">
      <alignment shrinkToFit="0" wrapText="1"/>
    </xf>
    <xf borderId="0" fillId="9" fontId="14" numFmtId="0" xfId="0" applyAlignment="1" applyFont="1">
      <alignment shrinkToFit="0" wrapText="1"/>
    </xf>
    <xf borderId="0" fillId="9" fontId="15" numFmtId="0" xfId="0" applyAlignment="1" applyFont="1">
      <alignment readingOrder="0" shrinkToFit="0" wrapText="1"/>
    </xf>
    <xf borderId="0" fillId="9" fontId="16" numFmtId="0" xfId="0" applyAlignment="1" applyFont="1">
      <alignment shrinkToFit="0" wrapText="1"/>
    </xf>
    <xf borderId="0" fillId="10" fontId="6" numFmtId="0" xfId="0" applyAlignment="1" applyFill="1" applyFont="1">
      <alignment readingOrder="0" shrinkToFit="0" wrapText="1"/>
    </xf>
    <xf borderId="0" fillId="11" fontId="6" numFmtId="0" xfId="0" applyAlignment="1" applyFill="1" applyFont="1">
      <alignment readingOrder="0" shrinkToFit="0" wrapText="1"/>
    </xf>
    <xf borderId="0" fillId="0" fontId="17" numFmtId="0" xfId="0" applyAlignment="1" applyFont="1">
      <alignment readingOrder="0" shrinkToFit="0" wrapText="1"/>
    </xf>
    <xf borderId="3" fillId="12" fontId="6" numFmtId="0" xfId="0" applyAlignment="1" applyBorder="1" applyFill="1" applyFont="1">
      <alignment readingOrder="0" shrinkToFit="0" wrapText="1"/>
    </xf>
    <xf borderId="4" fillId="12" fontId="6" numFmtId="0" xfId="0" applyAlignment="1" applyBorder="1" applyFont="1">
      <alignment readingOrder="0" shrinkToFit="0" wrapText="1"/>
    </xf>
    <xf borderId="5" fillId="12" fontId="18" numFmtId="0" xfId="0" applyAlignment="1" applyBorder="1" applyFont="1">
      <alignment readingOrder="0" shrinkToFit="0" wrapText="1"/>
    </xf>
    <xf borderId="6" fillId="0" fontId="6" numFmtId="0" xfId="0" applyAlignment="1" applyBorder="1" applyFont="1">
      <alignment readingOrder="0" shrinkToFit="0" wrapText="1"/>
    </xf>
    <xf borderId="7" fillId="0" fontId="8" numFmtId="0" xfId="0" applyAlignment="1" applyBorder="1" applyFont="1">
      <alignment readingOrder="0" shrinkToFit="0" wrapText="1"/>
    </xf>
    <xf borderId="7" fillId="0" fontId="8" numFmtId="9" xfId="0" applyAlignment="1" applyBorder="1" applyFont="1" applyNumberFormat="1">
      <alignment readingOrder="0" shrinkToFit="0" wrapText="1"/>
    </xf>
    <xf borderId="8" fillId="0" fontId="17" numFmtId="0" xfId="0" applyAlignment="1" applyBorder="1" applyFont="1">
      <alignment readingOrder="0" shrinkToFit="0" wrapText="1"/>
    </xf>
    <xf borderId="7" fillId="0" fontId="8" numFmtId="3" xfId="0" applyAlignment="1" applyBorder="1" applyFont="1" applyNumberFormat="1">
      <alignment readingOrder="0" shrinkToFit="0" wrapText="1"/>
    </xf>
    <xf borderId="9" fillId="0" fontId="6" numFmtId="0" xfId="0" applyAlignment="1" applyBorder="1" applyFont="1">
      <alignment readingOrder="0" shrinkToFit="0" wrapText="1"/>
    </xf>
    <xf borderId="10" fillId="0" fontId="8" numFmtId="0" xfId="0" applyAlignment="1" applyBorder="1" applyFont="1">
      <alignment readingOrder="0" shrinkToFit="0" wrapText="1"/>
    </xf>
    <xf borderId="11" fillId="0" fontId="17" numFmtId="0" xfId="0" applyAlignment="1" applyBorder="1" applyFont="1">
      <alignment readingOrder="0" shrinkToFit="0" wrapText="1"/>
    </xf>
    <xf borderId="12" fillId="0" fontId="6" numFmtId="0" xfId="0" applyAlignment="1" applyBorder="1" applyFont="1">
      <alignment readingOrder="0" shrinkToFit="0" wrapText="1"/>
    </xf>
    <xf borderId="12" fillId="0" fontId="7" numFmtId="0" xfId="0" applyAlignment="1" applyBorder="1" applyFont="1">
      <alignment readingOrder="0" shrinkToFit="0" wrapText="1"/>
    </xf>
    <xf borderId="12" fillId="0" fontId="7" numFmtId="0" xfId="0" applyAlignment="1" applyBorder="1" applyFont="1">
      <alignment shrinkToFit="0" wrapText="1"/>
    </xf>
    <xf borderId="2" fillId="5" fontId="9" numFmtId="0" xfId="0" applyBorder="1" applyFont="1"/>
    <xf borderId="0" fillId="0" fontId="5" numFmtId="166" xfId="0" applyFont="1" applyNumberFormat="1"/>
    <xf borderId="0" fillId="0" fontId="2" numFmtId="166" xfId="0" applyFont="1" applyNumberFormat="1"/>
    <xf borderId="0" fillId="0" fontId="11" numFmtId="165" xfId="0" applyFont="1" applyNumberFormat="1"/>
    <xf borderId="0" fillId="0" fontId="11" numFmtId="166" xfId="0" applyFont="1" applyNumberFormat="1"/>
    <xf borderId="0" fillId="0" fontId="11" numFmtId="17" xfId="0" applyFont="1" applyNumberFormat="1"/>
    <xf borderId="0" fillId="13" fontId="2" numFmtId="0" xfId="0" applyAlignment="1" applyFill="1" applyFont="1">
      <alignment readingOrder="0"/>
    </xf>
    <xf borderId="0" fillId="0" fontId="3" numFmtId="0" xfId="0" applyAlignment="1" applyFont="1">
      <alignment readingOrder="0"/>
    </xf>
    <xf borderId="0" fillId="0" fontId="7" numFmtId="1" xfId="0" applyAlignment="1" applyFont="1" applyNumberFormat="1">
      <alignment readingOrder="0"/>
    </xf>
    <xf borderId="0" fillId="0" fontId="7" numFmtId="1" xfId="0" applyFont="1" applyNumberFormat="1"/>
    <xf borderId="0" fillId="0" fontId="2" numFmtId="1" xfId="0" applyFont="1" applyNumberFormat="1"/>
    <xf borderId="0" fillId="0" fontId="7" numFmtId="166" xfId="0" applyFont="1" applyNumberFormat="1"/>
    <xf borderId="0" fillId="0" fontId="11" numFmtId="167" xfId="0" applyFont="1" applyNumberFormat="1"/>
  </cellXfs>
  <cellStyles count="1">
    <cellStyle xfId="0" name="Normal" builtinId="0"/>
  </cellStyles>
  <dxfs count="3">
    <dxf>
      <font/>
      <fill>
        <patternFill patternType="solid">
          <fgColor rgb="FFFF9900"/>
          <bgColor rgb="FFFF9900"/>
        </patternFill>
      </fill>
      <border/>
    </dxf>
    <dxf>
      <font/>
      <fill>
        <patternFill patternType="solid">
          <fgColor rgb="FFB7E1CD"/>
          <bgColor rgb="FFB7E1CD"/>
        </patternFill>
      </fill>
      <border/>
    </dxf>
    <dxf>
      <font>
        <b/>
        <color theme="0"/>
      </font>
      <fill>
        <patternFill patternType="solid">
          <fgColor rgb="FF1155CC"/>
          <bgColor rgb="FF1155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laf Pick" id="{ce5280f1-c10d-458b-a630-0ed4551ad07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6-03-03T11:49:32.00" personId="{ce5280f1-c10d-458b-a630-0ed4551ad07d}" id="{218aae39-da89-4611-8c8e-e476e39f1d8f}" done="0">
    <x18tc:text xml:space="preserve">Plan bleibt wie er ist, Stelle kommt zum anvisierten Zielmonat</x18tc:text>
  </x18tc:threadedComment>
  <x18tc:threadedComment ref="F10" dT="2026-03-03T11:51:24.00" personId="{ce5280f1-c10d-458b-a630-0ed4551ad07d}" id="{5080228d-04af-4183-a4df-d98ad1c518e0}" done="0">
    <x18tc:text xml:space="preserve">Durch Einsatz von AI wird Stelle effektiv gestrichen, Eintrittswert wird daher auf 99 Monate hochgesetzt</x18tc:text>
  </x18tc:threadedComment>
  <x18tc:threadedComment ref="E10" dT="2026-03-03T11:50:16.00" personId="{ce5280f1-c10d-458b-a630-0ed4551ad07d}" id="{c8293c1e-810b-4ba5-b0ce-7becbb834cf8}" done="0">
    <x18tc:text xml:space="preserve">AI kompensiert Aufgaben, dadurch verschiebt sich der Eintritt des neuen MA um 6 Monate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sheetViews>
  <sheetFormatPr customHeight="1" defaultColWidth="14.43" defaultRowHeight="15.0"/>
  <cols>
    <col customWidth="1" min="1" max="1" width="60.0"/>
    <col customWidth="1" min="2" max="2" width="40.0"/>
    <col customWidth="1" min="3" max="26" width="8.71"/>
  </cols>
  <sheetData>
    <row r="1" ht="14.25" customHeight="1">
      <c r="A1" s="1" t="s">
        <v>0</v>
      </c>
    </row>
    <row r="2" ht="14.25" customHeight="1">
      <c r="A2" s="1"/>
    </row>
    <row r="3" ht="14.25" customHeight="1">
      <c r="A3" s="2" t="s">
        <v>1</v>
      </c>
    </row>
    <row r="4" ht="14.25" customHeight="1"/>
    <row r="5" ht="14.25" customHeight="1">
      <c r="A5" s="2" t="s">
        <v>2</v>
      </c>
    </row>
    <row r="6" ht="14.25" customHeight="1">
      <c r="A6" s="3" t="s">
        <v>3</v>
      </c>
    </row>
    <row r="7" ht="14.25" customHeight="1">
      <c r="A7" s="3" t="s">
        <v>4</v>
      </c>
    </row>
    <row r="8" ht="14.25" customHeight="1">
      <c r="A8" s="3" t="s">
        <v>5</v>
      </c>
    </row>
    <row r="9" ht="14.25" customHeight="1">
      <c r="A9" s="3" t="s">
        <v>6</v>
      </c>
    </row>
    <row r="10" ht="14.25" customHeight="1">
      <c r="A10" s="3" t="s">
        <v>7</v>
      </c>
    </row>
    <row r="11" ht="14.25" customHeight="1">
      <c r="A11" s="3" t="s">
        <v>8</v>
      </c>
    </row>
    <row r="12" ht="14.25" customHeight="1">
      <c r="A12" s="3" t="s">
        <v>9</v>
      </c>
    </row>
    <row r="13" ht="14.25" customHeight="1"/>
    <row r="14" ht="14.25" customHeight="1">
      <c r="A14" s="2" t="s">
        <v>10</v>
      </c>
    </row>
    <row r="15" ht="14.25" customHeight="1">
      <c r="A15" s="4" t="s">
        <v>11</v>
      </c>
      <c r="B15" s="3" t="s">
        <v>12</v>
      </c>
    </row>
    <row r="16" ht="14.25" customHeight="1">
      <c r="A16" s="3" t="s">
        <v>13</v>
      </c>
      <c r="B16" s="3" t="s">
        <v>14</v>
      </c>
    </row>
    <row r="17" ht="14.25" customHeight="1">
      <c r="A17" s="5" t="s">
        <v>15</v>
      </c>
      <c r="B17" s="3" t="s">
        <v>16</v>
      </c>
    </row>
    <row r="18" ht="14.25" customHeight="1">
      <c r="A18" s="6" t="s">
        <v>17</v>
      </c>
      <c r="B18" s="3" t="s">
        <v>18</v>
      </c>
    </row>
    <row r="19" ht="14.25" customHeight="1"/>
    <row r="20" ht="14.25" customHeight="1">
      <c r="A20" s="2" t="s">
        <v>19</v>
      </c>
    </row>
    <row r="21" ht="14.25" customHeight="1">
      <c r="A21" s="3" t="s">
        <v>20</v>
      </c>
    </row>
    <row r="22" ht="14.25" customHeight="1">
      <c r="A22" s="3" t="s">
        <v>21</v>
      </c>
    </row>
    <row r="23" ht="14.25" customHeight="1">
      <c r="A23" s="3" t="s">
        <v>22</v>
      </c>
    </row>
    <row r="24" ht="14.25" customHeight="1">
      <c r="A24" s="3" t="s">
        <v>23</v>
      </c>
    </row>
    <row r="25" ht="14.25" customHeight="1">
      <c r="A25" s="3" t="s">
        <v>24</v>
      </c>
    </row>
    <row r="26" ht="14.25" customHeight="1">
      <c r="A26" s="3"/>
    </row>
    <row r="27" ht="14.25" customHeight="1">
      <c r="A27" s="3" t="s">
        <v>25</v>
      </c>
    </row>
    <row r="28" ht="14.25" customHeight="1">
      <c r="A28" s="3" t="s">
        <v>26</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 t="s">
        <v>27</v>
      </c>
      <c r="B1" s="7" t="s">
        <v>28</v>
      </c>
      <c r="C1" s="7" t="s">
        <v>29</v>
      </c>
      <c r="D1" s="7" t="s">
        <v>30</v>
      </c>
      <c r="E1" s="7" t="s">
        <v>31</v>
      </c>
      <c r="F1" s="8" t="s">
        <v>32</v>
      </c>
      <c r="G1" s="7" t="s">
        <v>33</v>
      </c>
      <c r="H1" s="9"/>
      <c r="I1" s="9"/>
      <c r="J1" s="9"/>
      <c r="K1" s="9"/>
      <c r="L1" s="9"/>
      <c r="M1" s="9"/>
      <c r="N1" s="9"/>
      <c r="O1" s="9"/>
      <c r="P1" s="9"/>
      <c r="Q1" s="9"/>
      <c r="R1" s="9"/>
      <c r="S1" s="9"/>
      <c r="T1" s="9"/>
      <c r="U1" s="9"/>
      <c r="V1" s="9"/>
      <c r="W1" s="9"/>
      <c r="X1" s="9"/>
      <c r="Y1" s="9"/>
      <c r="Z1" s="9"/>
      <c r="AA1" s="9"/>
    </row>
    <row r="2">
      <c r="A2" s="10" t="s">
        <v>34</v>
      </c>
      <c r="B2" s="11">
        <v>0.3</v>
      </c>
      <c r="C2" s="11">
        <v>0.1</v>
      </c>
      <c r="D2" s="12">
        <v>0.6</v>
      </c>
      <c r="E2" s="11">
        <v>0.8</v>
      </c>
      <c r="F2" s="11">
        <f t="shared" ref="F2:F7" si="1">E2-D2</f>
        <v>0.2</v>
      </c>
      <c r="G2" s="13" t="s">
        <v>35</v>
      </c>
      <c r="H2" s="9"/>
      <c r="I2" s="9"/>
      <c r="J2" s="9"/>
      <c r="K2" s="9"/>
      <c r="L2" s="9"/>
      <c r="M2" s="9"/>
      <c r="N2" s="9"/>
      <c r="O2" s="9"/>
      <c r="P2" s="9"/>
      <c r="Q2" s="9"/>
      <c r="R2" s="9"/>
      <c r="S2" s="9"/>
      <c r="T2" s="9"/>
      <c r="U2" s="9"/>
      <c r="V2" s="9"/>
      <c r="W2" s="9"/>
      <c r="X2" s="9"/>
      <c r="Y2" s="9"/>
      <c r="Z2" s="9"/>
      <c r="AA2" s="9"/>
    </row>
    <row r="3">
      <c r="A3" s="10" t="s">
        <v>36</v>
      </c>
      <c r="B3" s="11">
        <v>0.7</v>
      </c>
      <c r="C3" s="11">
        <v>0.9</v>
      </c>
      <c r="D3" s="12">
        <v>0.4</v>
      </c>
      <c r="E3" s="11">
        <v>0.2</v>
      </c>
      <c r="F3" s="11">
        <f t="shared" si="1"/>
        <v>-0.2</v>
      </c>
      <c r="G3" s="13" t="s">
        <v>37</v>
      </c>
      <c r="H3" s="9"/>
      <c r="I3" s="9"/>
      <c r="J3" s="9"/>
      <c r="K3" s="9"/>
      <c r="L3" s="9"/>
      <c r="M3" s="9"/>
      <c r="N3" s="9"/>
      <c r="O3" s="9"/>
      <c r="P3" s="9"/>
      <c r="Q3" s="9"/>
      <c r="R3" s="9"/>
      <c r="S3" s="9"/>
      <c r="T3" s="9"/>
      <c r="U3" s="9"/>
      <c r="V3" s="9"/>
      <c r="W3" s="9"/>
      <c r="X3" s="9"/>
      <c r="Y3" s="9"/>
      <c r="Z3" s="9"/>
      <c r="AA3" s="9"/>
    </row>
    <row r="4">
      <c r="A4" s="10" t="s">
        <v>38</v>
      </c>
      <c r="B4" s="13">
        <v>6.0</v>
      </c>
      <c r="C4" s="13">
        <v>14.0</v>
      </c>
      <c r="D4" s="10">
        <v>8.0</v>
      </c>
      <c r="E4" s="13">
        <v>4.0</v>
      </c>
      <c r="F4" s="13">
        <f t="shared" si="1"/>
        <v>-4</v>
      </c>
      <c r="G4" s="13" t="s">
        <v>39</v>
      </c>
      <c r="H4" s="9"/>
      <c r="I4" s="9"/>
      <c r="J4" s="9"/>
      <c r="K4" s="9"/>
      <c r="L4" s="9"/>
      <c r="M4" s="9"/>
      <c r="N4" s="9"/>
      <c r="O4" s="9"/>
      <c r="P4" s="9"/>
      <c r="Q4" s="9"/>
      <c r="R4" s="9"/>
      <c r="S4" s="9"/>
      <c r="T4" s="9"/>
      <c r="U4" s="9"/>
      <c r="V4" s="9"/>
      <c r="W4" s="9"/>
      <c r="X4" s="9"/>
      <c r="Y4" s="9"/>
      <c r="Z4" s="9"/>
      <c r="AA4" s="9"/>
    </row>
    <row r="5">
      <c r="A5" s="10" t="s">
        <v>40</v>
      </c>
      <c r="B5" s="11">
        <v>0.2</v>
      </c>
      <c r="C5" s="11">
        <v>0.5</v>
      </c>
      <c r="D5" s="12">
        <v>0.35</v>
      </c>
      <c r="E5" s="11">
        <v>0.15</v>
      </c>
      <c r="F5" s="11">
        <f t="shared" si="1"/>
        <v>-0.2</v>
      </c>
      <c r="G5" s="13" t="s">
        <v>41</v>
      </c>
      <c r="H5" s="9"/>
      <c r="I5" s="9"/>
      <c r="J5" s="9"/>
      <c r="K5" s="9"/>
      <c r="L5" s="9"/>
      <c r="M5" s="9"/>
      <c r="N5" s="9"/>
      <c r="O5" s="9"/>
      <c r="P5" s="9"/>
      <c r="Q5" s="9"/>
      <c r="R5" s="9"/>
      <c r="S5" s="9"/>
      <c r="T5" s="9"/>
      <c r="U5" s="9"/>
      <c r="V5" s="9"/>
      <c r="W5" s="9"/>
      <c r="X5" s="9"/>
      <c r="Y5" s="9"/>
      <c r="Z5" s="9"/>
      <c r="AA5" s="9"/>
    </row>
    <row r="6">
      <c r="A6" s="14" t="s">
        <v>42</v>
      </c>
      <c r="B6" s="11">
        <v>1.0</v>
      </c>
      <c r="C6" s="11">
        <v>0.8</v>
      </c>
      <c r="D6" s="12">
        <v>1.0</v>
      </c>
      <c r="E6" s="11">
        <v>1.2</v>
      </c>
      <c r="F6" s="11">
        <f t="shared" si="1"/>
        <v>0.2</v>
      </c>
      <c r="G6" s="13" t="s">
        <v>43</v>
      </c>
      <c r="H6" s="9"/>
      <c r="I6" s="9"/>
      <c r="J6" s="9"/>
      <c r="K6" s="9"/>
      <c r="L6" s="9"/>
      <c r="M6" s="9"/>
      <c r="N6" s="9"/>
      <c r="O6" s="9"/>
      <c r="P6" s="9"/>
      <c r="Q6" s="9"/>
      <c r="R6" s="9"/>
      <c r="S6" s="9"/>
      <c r="T6" s="9"/>
      <c r="U6" s="9"/>
      <c r="V6" s="9"/>
      <c r="W6" s="9"/>
      <c r="X6" s="9"/>
      <c r="Y6" s="9"/>
      <c r="Z6" s="9"/>
      <c r="AA6" s="9"/>
    </row>
    <row r="7">
      <c r="A7" s="10" t="s">
        <v>44</v>
      </c>
      <c r="B7" s="13" t="s">
        <v>45</v>
      </c>
      <c r="C7" s="13" t="s">
        <v>46</v>
      </c>
      <c r="D7" s="10" t="s">
        <v>47</v>
      </c>
      <c r="E7" s="13" t="s">
        <v>48</v>
      </c>
      <c r="F7" s="13" t="str">
        <f t="shared" si="1"/>
        <v>#VALUE!</v>
      </c>
      <c r="G7" s="13" t="s">
        <v>49</v>
      </c>
      <c r="H7" s="9"/>
      <c r="I7" s="9"/>
      <c r="J7" s="9"/>
      <c r="K7" s="9"/>
      <c r="L7" s="9"/>
      <c r="M7" s="9"/>
      <c r="N7" s="9"/>
      <c r="O7" s="9"/>
      <c r="P7" s="9"/>
      <c r="Q7" s="9"/>
      <c r="R7" s="9"/>
      <c r="S7" s="9"/>
      <c r="T7" s="9"/>
      <c r="U7" s="9"/>
      <c r="V7" s="9"/>
      <c r="W7" s="9"/>
      <c r="X7" s="9"/>
      <c r="Y7" s="9"/>
      <c r="Z7" s="9"/>
      <c r="AA7" s="9"/>
    </row>
    <row r="8">
      <c r="A8" s="9"/>
      <c r="B8" s="9"/>
      <c r="C8" s="9"/>
      <c r="D8" s="9"/>
      <c r="E8" s="9"/>
      <c r="F8" s="9"/>
      <c r="G8" s="9"/>
      <c r="H8" s="9"/>
      <c r="I8" s="9"/>
      <c r="J8" s="9"/>
      <c r="K8" s="9"/>
      <c r="L8" s="9"/>
      <c r="M8" s="9"/>
      <c r="N8" s="9"/>
      <c r="O8" s="9"/>
      <c r="P8" s="9"/>
      <c r="Q8" s="9"/>
      <c r="R8" s="9"/>
      <c r="S8" s="9"/>
      <c r="T8" s="9"/>
      <c r="U8" s="9"/>
      <c r="V8" s="9"/>
      <c r="W8" s="9"/>
      <c r="X8" s="9"/>
      <c r="Y8" s="9"/>
      <c r="Z8" s="9"/>
      <c r="AA8" s="9"/>
    </row>
    <row r="9">
      <c r="A9" s="9"/>
      <c r="B9" s="9"/>
      <c r="C9" s="9"/>
      <c r="D9" s="9"/>
      <c r="E9" s="9"/>
      <c r="F9" s="9"/>
      <c r="G9" s="9"/>
      <c r="H9" s="9"/>
      <c r="I9" s="9"/>
      <c r="J9" s="9"/>
      <c r="K9" s="9"/>
      <c r="L9" s="9"/>
      <c r="M9" s="9"/>
      <c r="N9" s="9"/>
      <c r="O9" s="9"/>
      <c r="P9" s="9"/>
      <c r="Q9" s="9"/>
      <c r="R9" s="9"/>
      <c r="S9" s="9"/>
      <c r="T9" s="9"/>
      <c r="U9" s="9"/>
      <c r="V9" s="9"/>
      <c r="W9" s="9"/>
      <c r="X9" s="9"/>
      <c r="Y9" s="9"/>
      <c r="Z9" s="9"/>
      <c r="AA9" s="9"/>
    </row>
    <row r="10">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14"/>
    <col customWidth="1" min="2" max="2" width="17.14"/>
    <col customWidth="1" min="3" max="3" width="30.14"/>
    <col customWidth="1" min="4" max="4" width="40.29"/>
    <col customWidth="1" min="5" max="7" width="42.43"/>
    <col customWidth="1" min="8" max="28" width="30.14"/>
  </cols>
  <sheetData>
    <row r="1" ht="14.25" customHeight="1">
      <c r="A1" s="15" t="s">
        <v>50</v>
      </c>
      <c r="B1" s="15" t="s">
        <v>51</v>
      </c>
      <c r="C1" s="15" t="s">
        <v>52</v>
      </c>
      <c r="D1" s="16" t="s">
        <v>53</v>
      </c>
      <c r="E1" s="17" t="s">
        <v>54</v>
      </c>
      <c r="F1" s="18" t="s">
        <v>55</v>
      </c>
      <c r="G1" s="9"/>
      <c r="H1" s="9"/>
      <c r="I1" s="9"/>
      <c r="J1" s="9"/>
      <c r="K1" s="9"/>
      <c r="L1" s="9"/>
      <c r="M1" s="9"/>
      <c r="N1" s="9"/>
      <c r="O1" s="9"/>
      <c r="P1" s="9"/>
      <c r="Q1" s="9"/>
      <c r="R1" s="9"/>
      <c r="S1" s="9"/>
      <c r="T1" s="9"/>
      <c r="U1" s="9"/>
      <c r="V1" s="9"/>
      <c r="W1" s="9"/>
      <c r="X1" s="9"/>
      <c r="Y1" s="9"/>
      <c r="Z1" s="9"/>
      <c r="AA1" s="9"/>
      <c r="AB1" s="9"/>
    </row>
    <row r="2" ht="14.25" customHeight="1">
      <c r="A2" s="9"/>
      <c r="B2" s="9"/>
      <c r="C2" s="9"/>
      <c r="D2" s="19"/>
      <c r="E2" s="9"/>
      <c r="F2" s="20">
        <f>'00_Input_Sandbox'!$B$2</f>
        <v>4</v>
      </c>
      <c r="G2" s="9"/>
      <c r="H2" s="9"/>
      <c r="I2" s="9"/>
      <c r="J2" s="9"/>
      <c r="K2" s="9"/>
      <c r="L2" s="9"/>
      <c r="M2" s="9"/>
      <c r="N2" s="9"/>
      <c r="O2" s="9"/>
      <c r="P2" s="9"/>
      <c r="Q2" s="9"/>
      <c r="R2" s="9"/>
      <c r="S2" s="9"/>
      <c r="T2" s="9"/>
      <c r="U2" s="9"/>
      <c r="V2" s="9"/>
      <c r="W2" s="9"/>
      <c r="X2" s="9"/>
      <c r="Y2" s="9"/>
      <c r="Z2" s="9"/>
      <c r="AA2" s="9"/>
      <c r="AB2" s="9"/>
    </row>
    <row r="3" ht="14.25" customHeight="1">
      <c r="A3" s="21" t="s">
        <v>56</v>
      </c>
      <c r="B3" s="22"/>
      <c r="C3" s="22"/>
      <c r="D3" s="22"/>
      <c r="E3" s="9"/>
      <c r="F3" s="9"/>
      <c r="G3" s="9"/>
      <c r="H3" s="9"/>
      <c r="I3" s="9"/>
      <c r="J3" s="9"/>
      <c r="K3" s="9"/>
      <c r="L3" s="9"/>
      <c r="M3" s="9"/>
      <c r="N3" s="9"/>
      <c r="O3" s="9"/>
      <c r="P3" s="9"/>
      <c r="Q3" s="9"/>
      <c r="R3" s="9"/>
      <c r="S3" s="9"/>
      <c r="T3" s="9"/>
      <c r="U3" s="9"/>
      <c r="V3" s="9"/>
      <c r="W3" s="9"/>
      <c r="X3" s="9"/>
      <c r="Y3" s="9"/>
      <c r="Z3" s="9"/>
      <c r="AA3" s="9"/>
      <c r="AB3" s="9"/>
    </row>
    <row r="4" ht="14.25" customHeight="1">
      <c r="A4" s="23" t="s">
        <v>57</v>
      </c>
      <c r="B4" s="24" t="s">
        <v>58</v>
      </c>
      <c r="C4" s="25" t="s">
        <v>59</v>
      </c>
      <c r="D4" s="25"/>
      <c r="E4" s="9"/>
      <c r="F4" s="9"/>
      <c r="G4" s="9"/>
      <c r="H4" s="9"/>
      <c r="I4" s="9"/>
      <c r="J4" s="9"/>
      <c r="K4" s="9"/>
      <c r="L4" s="9"/>
      <c r="M4" s="9"/>
      <c r="N4" s="9"/>
      <c r="O4" s="9"/>
      <c r="P4" s="9"/>
      <c r="Q4" s="9"/>
      <c r="R4" s="9"/>
      <c r="S4" s="9"/>
      <c r="T4" s="9"/>
      <c r="U4" s="9"/>
      <c r="V4" s="9"/>
      <c r="W4" s="9"/>
      <c r="X4" s="9"/>
      <c r="Y4" s="9"/>
      <c r="Z4" s="9"/>
      <c r="AA4" s="9"/>
      <c r="AB4" s="9"/>
    </row>
    <row r="5" ht="14.25" customHeight="1">
      <c r="A5" s="23" t="s">
        <v>60</v>
      </c>
      <c r="B5" s="26">
        <v>46113.0</v>
      </c>
      <c r="C5" s="25" t="s">
        <v>61</v>
      </c>
      <c r="D5" s="25"/>
      <c r="E5" s="9"/>
      <c r="F5" s="9"/>
      <c r="G5" s="9"/>
      <c r="H5" s="9"/>
      <c r="I5" s="9"/>
      <c r="J5" s="9"/>
      <c r="K5" s="9"/>
      <c r="L5" s="9"/>
      <c r="M5" s="9"/>
      <c r="N5" s="9"/>
      <c r="O5" s="9"/>
      <c r="P5" s="9"/>
      <c r="Q5" s="9"/>
      <c r="R5" s="9"/>
      <c r="S5" s="9"/>
      <c r="T5" s="9"/>
      <c r="U5" s="9"/>
      <c r="V5" s="9"/>
      <c r="W5" s="9"/>
      <c r="X5" s="9"/>
      <c r="Y5" s="9"/>
      <c r="Z5" s="9"/>
      <c r="AA5" s="9"/>
      <c r="AB5" s="9"/>
    </row>
    <row r="6" ht="14.25" customHeight="1">
      <c r="A6" s="23" t="s">
        <v>62</v>
      </c>
      <c r="B6" s="24" t="s">
        <v>63</v>
      </c>
      <c r="C6" s="25" t="s">
        <v>64</v>
      </c>
      <c r="D6" s="25"/>
      <c r="E6" s="9"/>
      <c r="F6" s="9"/>
      <c r="G6" s="9"/>
      <c r="H6" s="9"/>
      <c r="I6" s="9"/>
      <c r="J6" s="9"/>
      <c r="K6" s="9"/>
      <c r="L6" s="9"/>
      <c r="M6" s="9"/>
      <c r="N6" s="9"/>
      <c r="O6" s="9"/>
      <c r="P6" s="9"/>
      <c r="Q6" s="9"/>
      <c r="R6" s="9"/>
      <c r="S6" s="9"/>
      <c r="T6" s="9"/>
      <c r="U6" s="9"/>
      <c r="V6" s="9"/>
      <c r="W6" s="9"/>
      <c r="X6" s="9"/>
      <c r="Y6" s="9"/>
      <c r="Z6" s="9"/>
      <c r="AA6" s="9"/>
      <c r="AB6" s="9"/>
    </row>
    <row r="7" ht="14.25" customHeight="1">
      <c r="A7" s="23" t="s">
        <v>65</v>
      </c>
      <c r="B7" s="27">
        <v>0.3</v>
      </c>
      <c r="C7" s="25" t="s">
        <v>66</v>
      </c>
      <c r="D7" s="28" t="s">
        <v>67</v>
      </c>
      <c r="E7" s="9"/>
      <c r="F7" s="9"/>
      <c r="G7" s="9"/>
      <c r="H7" s="9"/>
      <c r="I7" s="9"/>
      <c r="J7" s="9"/>
      <c r="K7" s="9"/>
      <c r="L7" s="9"/>
      <c r="M7" s="9"/>
      <c r="N7" s="9"/>
      <c r="O7" s="9"/>
      <c r="P7" s="9"/>
      <c r="Q7" s="9"/>
      <c r="R7" s="9"/>
      <c r="S7" s="9"/>
      <c r="T7" s="9"/>
      <c r="U7" s="9"/>
      <c r="V7" s="9"/>
      <c r="W7" s="9"/>
      <c r="X7" s="9"/>
      <c r="Y7" s="9"/>
      <c r="Z7" s="9"/>
      <c r="AA7" s="9"/>
      <c r="AB7" s="9"/>
    </row>
    <row r="8" ht="14.25" customHeight="1">
      <c r="A8" s="9"/>
      <c r="B8" s="9"/>
      <c r="C8" s="9"/>
      <c r="D8" s="19"/>
      <c r="E8" s="9"/>
      <c r="F8" s="9"/>
      <c r="G8" s="9"/>
      <c r="H8" s="9"/>
      <c r="I8" s="9"/>
      <c r="J8" s="9"/>
      <c r="K8" s="9"/>
      <c r="L8" s="9"/>
      <c r="M8" s="9"/>
      <c r="N8" s="9"/>
      <c r="O8" s="9"/>
      <c r="P8" s="9"/>
      <c r="Q8" s="9"/>
      <c r="R8" s="9"/>
      <c r="S8" s="9"/>
      <c r="T8" s="9"/>
      <c r="U8" s="9"/>
      <c r="V8" s="9"/>
      <c r="W8" s="9"/>
      <c r="X8" s="9"/>
      <c r="Y8" s="9"/>
      <c r="Z8" s="9"/>
      <c r="AA8" s="9"/>
      <c r="AB8" s="9"/>
    </row>
    <row r="9" ht="14.25" customHeight="1">
      <c r="A9" s="21" t="s">
        <v>68</v>
      </c>
      <c r="B9" s="22"/>
      <c r="C9" s="22"/>
      <c r="D9" s="22"/>
      <c r="E9" s="9"/>
      <c r="F9" s="9"/>
      <c r="G9" s="9"/>
      <c r="H9" s="9"/>
      <c r="I9" s="9"/>
      <c r="J9" s="9"/>
      <c r="K9" s="9"/>
      <c r="L9" s="9"/>
      <c r="M9" s="9"/>
      <c r="N9" s="9"/>
      <c r="O9" s="9"/>
      <c r="P9" s="9"/>
      <c r="Q9" s="9"/>
      <c r="R9" s="9"/>
      <c r="S9" s="9"/>
      <c r="T9" s="9"/>
      <c r="U9" s="9"/>
      <c r="V9" s="9"/>
      <c r="W9" s="9"/>
      <c r="X9" s="9"/>
      <c r="Y9" s="9"/>
      <c r="Z9" s="9"/>
      <c r="AA9" s="9"/>
      <c r="AB9" s="9"/>
    </row>
    <row r="10" ht="14.25" customHeight="1">
      <c r="A10" s="23" t="s">
        <v>69</v>
      </c>
      <c r="B10" s="29">
        <v>90000.0</v>
      </c>
      <c r="C10" s="25" t="s">
        <v>70</v>
      </c>
      <c r="D10" s="28" t="s">
        <v>71</v>
      </c>
      <c r="E10" s="9"/>
      <c r="F10" s="9"/>
      <c r="G10" s="9"/>
      <c r="H10" s="9"/>
      <c r="I10" s="9"/>
      <c r="J10" s="9"/>
      <c r="K10" s="9"/>
      <c r="L10" s="9"/>
      <c r="M10" s="9"/>
      <c r="N10" s="9"/>
      <c r="O10" s="9"/>
      <c r="P10" s="9"/>
      <c r="Q10" s="9"/>
      <c r="R10" s="9"/>
      <c r="S10" s="9"/>
      <c r="T10" s="9"/>
      <c r="U10" s="9"/>
      <c r="V10" s="9"/>
      <c r="W10" s="9"/>
      <c r="X10" s="9"/>
      <c r="Y10" s="9"/>
      <c r="Z10" s="9"/>
      <c r="AA10" s="9"/>
      <c r="AB10" s="9"/>
    </row>
    <row r="11" ht="14.25" customHeight="1">
      <c r="A11" s="23" t="s">
        <v>69</v>
      </c>
      <c r="B11" s="24">
        <v>1.0</v>
      </c>
      <c r="C11" s="25" t="s">
        <v>72</v>
      </c>
      <c r="D11" s="28" t="s">
        <v>73</v>
      </c>
      <c r="E11" s="9"/>
      <c r="F11" s="9"/>
      <c r="G11" s="9"/>
      <c r="H11" s="9"/>
      <c r="I11" s="9"/>
      <c r="J11" s="9"/>
      <c r="K11" s="9"/>
      <c r="L11" s="9"/>
      <c r="M11" s="9"/>
      <c r="N11" s="9"/>
      <c r="O11" s="9"/>
      <c r="P11" s="9"/>
      <c r="Q11" s="9"/>
      <c r="R11" s="9"/>
      <c r="S11" s="9"/>
      <c r="T11" s="9"/>
      <c r="U11" s="9"/>
      <c r="V11" s="9"/>
      <c r="W11" s="9"/>
      <c r="X11" s="9"/>
      <c r="Y11" s="9"/>
      <c r="Z11" s="9"/>
      <c r="AA11" s="9"/>
      <c r="AB11" s="9"/>
    </row>
    <row r="12" ht="14.25" customHeight="1">
      <c r="A12" s="23" t="s">
        <v>74</v>
      </c>
      <c r="B12" s="29">
        <v>1500000.0</v>
      </c>
      <c r="C12" s="25" t="s">
        <v>75</v>
      </c>
      <c r="D12" s="28" t="s">
        <v>76</v>
      </c>
      <c r="E12" s="9"/>
      <c r="F12" s="9"/>
      <c r="G12" s="9"/>
      <c r="H12" s="9"/>
      <c r="I12" s="9"/>
      <c r="J12" s="9"/>
      <c r="K12" s="9"/>
      <c r="L12" s="9"/>
      <c r="M12" s="9"/>
      <c r="N12" s="9"/>
      <c r="O12" s="9"/>
      <c r="P12" s="9"/>
      <c r="Q12" s="9"/>
      <c r="R12" s="9"/>
      <c r="S12" s="9"/>
      <c r="T12" s="9"/>
      <c r="U12" s="9"/>
      <c r="V12" s="9"/>
      <c r="W12" s="9"/>
      <c r="X12" s="9"/>
      <c r="Y12" s="9"/>
      <c r="Z12" s="9"/>
      <c r="AA12" s="9"/>
      <c r="AB12" s="9"/>
    </row>
    <row r="13" ht="14.25" customHeight="1">
      <c r="A13" s="23" t="s">
        <v>77</v>
      </c>
      <c r="B13" s="24">
        <v>5.0</v>
      </c>
      <c r="C13" s="25" t="s">
        <v>78</v>
      </c>
      <c r="D13" s="28" t="s">
        <v>79</v>
      </c>
      <c r="E13" s="9"/>
      <c r="F13" s="9"/>
      <c r="G13" s="9"/>
      <c r="H13" s="9"/>
      <c r="I13" s="9"/>
      <c r="J13" s="9"/>
      <c r="K13" s="9"/>
      <c r="L13" s="9"/>
      <c r="M13" s="9"/>
      <c r="N13" s="9"/>
      <c r="O13" s="9"/>
      <c r="P13" s="9"/>
      <c r="Q13" s="9"/>
      <c r="R13" s="9"/>
      <c r="S13" s="9"/>
      <c r="T13" s="9"/>
      <c r="U13" s="9"/>
      <c r="V13" s="9"/>
      <c r="W13" s="9"/>
      <c r="X13" s="9"/>
      <c r="Y13" s="9"/>
      <c r="Z13" s="9"/>
      <c r="AA13" s="9"/>
      <c r="AB13" s="9"/>
    </row>
    <row r="14" ht="14.25" customHeight="1">
      <c r="A14" s="23" t="s">
        <v>80</v>
      </c>
      <c r="B14" s="29">
        <v>6000000.0</v>
      </c>
      <c r="C14" s="25" t="s">
        <v>81</v>
      </c>
      <c r="D14" s="28" t="s">
        <v>82</v>
      </c>
      <c r="E14" s="9"/>
      <c r="F14" s="9"/>
      <c r="G14" s="9"/>
      <c r="H14" s="9"/>
      <c r="I14" s="9"/>
      <c r="J14" s="9"/>
      <c r="K14" s="9"/>
      <c r="L14" s="9"/>
      <c r="M14" s="9"/>
      <c r="N14" s="9"/>
      <c r="O14" s="9"/>
      <c r="P14" s="9"/>
      <c r="Q14" s="9"/>
      <c r="R14" s="9"/>
      <c r="S14" s="9"/>
      <c r="T14" s="9"/>
      <c r="U14" s="9"/>
      <c r="V14" s="9"/>
      <c r="W14" s="9"/>
      <c r="X14" s="9"/>
      <c r="Y14" s="9"/>
      <c r="Z14" s="9"/>
      <c r="AA14" s="9"/>
      <c r="AB14" s="9"/>
    </row>
    <row r="15" ht="14.25" customHeight="1">
      <c r="A15" s="23" t="s">
        <v>83</v>
      </c>
      <c r="B15" s="24">
        <v>17.0</v>
      </c>
      <c r="C15" s="25" t="s">
        <v>84</v>
      </c>
      <c r="D15" s="28" t="s">
        <v>85</v>
      </c>
      <c r="E15" s="9"/>
      <c r="F15" s="9"/>
      <c r="G15" s="9"/>
      <c r="H15" s="9"/>
      <c r="I15" s="9"/>
      <c r="J15" s="9"/>
      <c r="K15" s="9"/>
      <c r="L15" s="9"/>
      <c r="M15" s="9"/>
      <c r="N15" s="9"/>
      <c r="O15" s="9"/>
      <c r="P15" s="9"/>
      <c r="Q15" s="9"/>
      <c r="R15" s="9"/>
      <c r="S15" s="9"/>
      <c r="T15" s="9"/>
      <c r="U15" s="9"/>
      <c r="V15" s="9"/>
      <c r="W15" s="9"/>
      <c r="X15" s="9"/>
      <c r="Y15" s="9"/>
      <c r="Z15" s="9"/>
      <c r="AA15" s="9"/>
      <c r="AB15" s="9"/>
    </row>
    <row r="16" ht="14.25" customHeight="1">
      <c r="A16" s="23" t="s">
        <v>86</v>
      </c>
      <c r="B16" s="29">
        <v>1.5E7</v>
      </c>
      <c r="C16" s="25" t="s">
        <v>87</v>
      </c>
      <c r="D16" s="28" t="s">
        <v>88</v>
      </c>
      <c r="E16" s="9"/>
      <c r="F16" s="30"/>
      <c r="G16" s="9"/>
      <c r="H16" s="9"/>
      <c r="I16" s="9"/>
      <c r="J16" s="9"/>
      <c r="K16" s="9"/>
      <c r="L16" s="9"/>
      <c r="M16" s="9"/>
      <c r="N16" s="9"/>
      <c r="O16" s="9"/>
      <c r="P16" s="9"/>
      <c r="Q16" s="9"/>
      <c r="R16" s="9"/>
      <c r="S16" s="9"/>
      <c r="T16" s="9"/>
      <c r="U16" s="9"/>
      <c r="V16" s="9"/>
      <c r="W16" s="9"/>
      <c r="X16" s="9"/>
      <c r="Y16" s="9"/>
      <c r="Z16" s="9"/>
      <c r="AA16" s="9"/>
      <c r="AB16" s="9"/>
    </row>
    <row r="17" ht="14.25" customHeight="1">
      <c r="A17" s="23" t="s">
        <v>89</v>
      </c>
      <c r="B17" s="24">
        <v>35.0</v>
      </c>
      <c r="C17" s="25" t="s">
        <v>90</v>
      </c>
      <c r="D17" s="28" t="s">
        <v>91</v>
      </c>
      <c r="E17" s="9"/>
      <c r="F17" s="9"/>
      <c r="G17" s="9"/>
      <c r="H17" s="9"/>
      <c r="I17" s="9"/>
      <c r="J17" s="9"/>
      <c r="K17" s="9"/>
      <c r="L17" s="9"/>
      <c r="M17" s="9"/>
      <c r="N17" s="9"/>
      <c r="O17" s="9"/>
      <c r="P17" s="9"/>
      <c r="Q17" s="9"/>
      <c r="R17" s="9"/>
      <c r="S17" s="9"/>
      <c r="T17" s="9"/>
      <c r="U17" s="9"/>
      <c r="V17" s="9"/>
      <c r="W17" s="9"/>
      <c r="X17" s="9"/>
      <c r="Y17" s="9"/>
      <c r="Z17" s="9"/>
      <c r="AA17" s="9"/>
      <c r="AB17" s="9"/>
    </row>
    <row r="18" ht="14.25" customHeight="1">
      <c r="A18" s="9"/>
      <c r="B18" s="9"/>
      <c r="C18" s="9"/>
      <c r="D18" s="19"/>
      <c r="E18" s="9"/>
      <c r="F18" s="9"/>
      <c r="G18" s="9"/>
      <c r="H18" s="9"/>
      <c r="I18" s="9"/>
      <c r="J18" s="9"/>
      <c r="K18" s="9"/>
      <c r="L18" s="9"/>
      <c r="M18" s="9"/>
      <c r="N18" s="9"/>
      <c r="O18" s="9"/>
      <c r="P18" s="9"/>
      <c r="Q18" s="9"/>
      <c r="R18" s="9"/>
      <c r="S18" s="9"/>
      <c r="T18" s="9"/>
      <c r="U18" s="9"/>
      <c r="V18" s="9"/>
      <c r="W18" s="9"/>
      <c r="X18" s="9"/>
      <c r="Y18" s="9"/>
      <c r="Z18" s="9"/>
      <c r="AA18" s="9"/>
      <c r="AB18" s="9"/>
    </row>
    <row r="19" ht="14.25" customHeight="1">
      <c r="A19" s="21" t="s">
        <v>92</v>
      </c>
      <c r="B19" s="22"/>
      <c r="C19" s="22"/>
      <c r="D19" s="22"/>
      <c r="E19" s="9"/>
      <c r="F19" s="30"/>
      <c r="G19" s="9"/>
      <c r="H19" s="9"/>
      <c r="I19" s="9"/>
      <c r="J19" s="9"/>
      <c r="K19" s="9"/>
      <c r="L19" s="9"/>
      <c r="M19" s="9"/>
      <c r="N19" s="9"/>
      <c r="O19" s="9"/>
      <c r="P19" s="9"/>
      <c r="Q19" s="9"/>
      <c r="R19" s="9"/>
      <c r="S19" s="9"/>
      <c r="T19" s="9"/>
      <c r="U19" s="9"/>
      <c r="V19" s="9"/>
      <c r="W19" s="9"/>
      <c r="X19" s="9"/>
      <c r="Y19" s="9"/>
      <c r="Z19" s="9"/>
      <c r="AA19" s="9"/>
      <c r="AB19" s="9"/>
    </row>
    <row r="20" ht="14.25" customHeight="1">
      <c r="A20" s="23" t="s">
        <v>42</v>
      </c>
      <c r="B20" s="31">
        <f>VLOOKUP("Startpreis Seat/Jahr", '00_Input_Sandbox'!$B$3:$F$20, '00_Input_Sandbox'!$B$2-1, FALSE) * 12</f>
        <v>9600</v>
      </c>
      <c r="C20" s="25" t="s">
        <v>93</v>
      </c>
      <c r="D20" s="25" t="s">
        <v>94</v>
      </c>
      <c r="E20" s="19"/>
      <c r="F20" s="32"/>
      <c r="G20" s="19" t="s">
        <v>95</v>
      </c>
      <c r="H20" s="9"/>
      <c r="I20" s="9"/>
      <c r="J20" s="9"/>
      <c r="K20" s="9"/>
      <c r="L20" s="9"/>
      <c r="M20" s="9"/>
      <c r="N20" s="9"/>
      <c r="O20" s="9"/>
      <c r="P20" s="9"/>
      <c r="Q20" s="9"/>
      <c r="R20" s="9"/>
      <c r="S20" s="9"/>
      <c r="T20" s="9"/>
      <c r="U20" s="9"/>
      <c r="V20" s="9"/>
      <c r="W20" s="9"/>
      <c r="X20" s="9"/>
      <c r="Y20" s="9"/>
      <c r="Z20" s="9"/>
      <c r="AA20" s="9"/>
      <c r="AB20" s="9"/>
    </row>
    <row r="21" ht="14.25" customHeight="1">
      <c r="A21" s="23" t="s">
        <v>96</v>
      </c>
      <c r="B21" s="33">
        <v>0.08</v>
      </c>
      <c r="C21" s="25" t="s">
        <v>97</v>
      </c>
      <c r="D21" s="28" t="s">
        <v>98</v>
      </c>
      <c r="E21" s="28"/>
      <c r="F21" s="28"/>
      <c r="G21" s="28"/>
      <c r="H21" s="9"/>
      <c r="I21" s="9"/>
      <c r="J21" s="9"/>
      <c r="K21" s="9"/>
      <c r="L21" s="9"/>
      <c r="M21" s="9"/>
      <c r="N21" s="9"/>
      <c r="O21" s="9"/>
      <c r="P21" s="9"/>
      <c r="Q21" s="9"/>
      <c r="R21" s="9"/>
      <c r="S21" s="9"/>
      <c r="T21" s="9"/>
      <c r="U21" s="9"/>
      <c r="V21" s="9"/>
      <c r="W21" s="9"/>
      <c r="X21" s="9"/>
      <c r="Y21" s="9"/>
      <c r="Z21" s="9"/>
      <c r="AA21" s="9"/>
      <c r="AB21" s="9"/>
    </row>
    <row r="22" ht="14.25" customHeight="1">
      <c r="A22" s="23" t="s">
        <v>38</v>
      </c>
      <c r="B22" s="34">
        <f>VLOOKUP("Startmonat Kunden", '00_Input_Sandbox'!$B$3:$F$20, '00_Input_Sandbox'!$B$2-1, FALSE)</f>
        <v>14</v>
      </c>
      <c r="C22" s="25" t="s">
        <v>99</v>
      </c>
      <c r="D22" s="25" t="s">
        <v>100</v>
      </c>
      <c r="E22" s="28"/>
      <c r="F22" s="28"/>
      <c r="G22" s="28"/>
      <c r="H22" s="9"/>
      <c r="I22" s="9"/>
      <c r="J22" s="9"/>
      <c r="K22" s="9"/>
      <c r="L22" s="9"/>
      <c r="M22" s="9"/>
      <c r="N22" s="9"/>
      <c r="O22" s="9"/>
      <c r="P22" s="9"/>
      <c r="Q22" s="9"/>
      <c r="R22" s="9"/>
      <c r="S22" s="9"/>
      <c r="T22" s="9"/>
      <c r="U22" s="9"/>
      <c r="V22" s="9"/>
      <c r="W22" s="9"/>
      <c r="X22" s="9"/>
      <c r="Y22" s="9"/>
      <c r="Z22" s="9"/>
      <c r="AA22" s="9"/>
      <c r="AB22" s="9"/>
    </row>
    <row r="23" ht="14.25" customHeight="1">
      <c r="A23" s="23" t="s">
        <v>101</v>
      </c>
      <c r="B23" s="24">
        <v>5.0</v>
      </c>
      <c r="C23" s="25" t="s">
        <v>102</v>
      </c>
      <c r="D23" s="25" t="s">
        <v>103</v>
      </c>
      <c r="E23" s="28"/>
      <c r="F23" s="28"/>
      <c r="G23" s="28"/>
      <c r="H23" s="9"/>
      <c r="I23" s="9"/>
      <c r="J23" s="9"/>
      <c r="K23" s="9"/>
      <c r="L23" s="9"/>
      <c r="M23" s="9"/>
      <c r="N23" s="9"/>
      <c r="O23" s="9"/>
      <c r="P23" s="9"/>
      <c r="Q23" s="9"/>
      <c r="R23" s="9"/>
      <c r="S23" s="9"/>
      <c r="T23" s="9"/>
      <c r="U23" s="9"/>
      <c r="V23" s="9"/>
      <c r="W23" s="9"/>
      <c r="X23" s="9"/>
      <c r="Y23" s="9"/>
      <c r="Z23" s="9"/>
      <c r="AA23" s="9"/>
      <c r="AB23" s="9"/>
    </row>
    <row r="24" ht="14.25" customHeight="1">
      <c r="A24" s="23" t="s">
        <v>104</v>
      </c>
      <c r="B24" s="27">
        <v>0.05</v>
      </c>
      <c r="C24" s="25" t="s">
        <v>105</v>
      </c>
      <c r="D24" s="35" t="s">
        <v>106</v>
      </c>
      <c r="E24" s="28"/>
      <c r="F24" s="28"/>
      <c r="G24" s="28"/>
      <c r="H24" s="9"/>
      <c r="I24" s="9"/>
      <c r="J24" s="9"/>
      <c r="K24" s="9"/>
      <c r="L24" s="9"/>
      <c r="M24" s="9"/>
      <c r="N24" s="9"/>
      <c r="O24" s="9"/>
      <c r="P24" s="9"/>
      <c r="Q24" s="9"/>
      <c r="R24" s="9"/>
      <c r="S24" s="9"/>
      <c r="T24" s="9"/>
      <c r="U24" s="9"/>
      <c r="V24" s="9"/>
      <c r="W24" s="9"/>
      <c r="X24" s="9"/>
      <c r="Y24" s="9"/>
      <c r="Z24" s="9"/>
      <c r="AA24" s="9"/>
      <c r="AB24" s="9"/>
    </row>
    <row r="25" ht="14.25" customHeight="1">
      <c r="A25" s="23" t="s">
        <v>107</v>
      </c>
      <c r="B25" s="24">
        <v>24.0</v>
      </c>
      <c r="C25" s="25" t="s">
        <v>108</v>
      </c>
      <c r="D25" s="25"/>
      <c r="E25" s="28"/>
      <c r="F25" s="28"/>
      <c r="G25" s="28" t="s">
        <v>109</v>
      </c>
      <c r="H25" s="9"/>
      <c r="I25" s="9"/>
      <c r="J25" s="9"/>
      <c r="K25" s="9"/>
      <c r="L25" s="9"/>
      <c r="M25" s="9"/>
      <c r="N25" s="9"/>
      <c r="O25" s="9"/>
      <c r="P25" s="9"/>
      <c r="Q25" s="9"/>
      <c r="R25" s="9"/>
      <c r="S25" s="9"/>
      <c r="T25" s="9"/>
      <c r="U25" s="9"/>
      <c r="V25" s="9"/>
      <c r="W25" s="9"/>
      <c r="X25" s="9"/>
      <c r="Y25" s="9"/>
      <c r="Z25" s="9"/>
      <c r="AA25" s="9"/>
      <c r="AB25" s="9"/>
    </row>
    <row r="26" ht="14.25" customHeight="1">
      <c r="A26" s="23" t="s">
        <v>110</v>
      </c>
      <c r="B26" s="29">
        <v>150000.0</v>
      </c>
      <c r="C26" s="25" t="s">
        <v>111</v>
      </c>
      <c r="D26" s="28" t="s">
        <v>112</v>
      </c>
      <c r="E26" s="36"/>
      <c r="F26" s="36"/>
      <c r="G26" s="36"/>
      <c r="H26" s="9"/>
      <c r="I26" s="9"/>
      <c r="J26" s="9"/>
      <c r="K26" s="9"/>
      <c r="L26" s="9"/>
      <c r="M26" s="9"/>
      <c r="N26" s="9"/>
      <c r="O26" s="9"/>
      <c r="P26" s="9"/>
      <c r="Q26" s="9"/>
      <c r="R26" s="9"/>
      <c r="S26" s="9"/>
      <c r="T26" s="9"/>
      <c r="U26" s="9"/>
      <c r="V26" s="9"/>
      <c r="W26" s="9"/>
      <c r="X26" s="9"/>
      <c r="Y26" s="9"/>
      <c r="Z26" s="9"/>
      <c r="AA26" s="9"/>
      <c r="AB26" s="9"/>
    </row>
    <row r="27" ht="14.25" customHeight="1">
      <c r="A27" s="23" t="s">
        <v>113</v>
      </c>
      <c r="B27" s="24">
        <v>1.0</v>
      </c>
      <c r="C27" s="25" t="s">
        <v>114</v>
      </c>
      <c r="D27" s="25"/>
      <c r="E27" s="28"/>
      <c r="F27" s="28"/>
      <c r="G27" s="28"/>
      <c r="H27" s="9"/>
      <c r="I27" s="9"/>
      <c r="J27" s="9"/>
      <c r="K27" s="9"/>
      <c r="L27" s="9"/>
      <c r="M27" s="9"/>
      <c r="N27" s="9"/>
      <c r="O27" s="9"/>
      <c r="P27" s="9"/>
      <c r="Q27" s="9"/>
      <c r="R27" s="9"/>
      <c r="S27" s="9"/>
      <c r="T27" s="9"/>
      <c r="U27" s="9"/>
      <c r="V27" s="9"/>
      <c r="W27" s="9"/>
      <c r="X27" s="9"/>
      <c r="Y27" s="9"/>
      <c r="Z27" s="9"/>
      <c r="AA27" s="9"/>
      <c r="AB27" s="9"/>
    </row>
    <row r="28" ht="14.25" customHeight="1">
      <c r="A28" s="23" t="s">
        <v>115</v>
      </c>
      <c r="B28" s="27">
        <v>0.08</v>
      </c>
      <c r="C28" s="25" t="s">
        <v>116</v>
      </c>
      <c r="D28" s="25" t="s">
        <v>117</v>
      </c>
      <c r="E28" s="28"/>
      <c r="F28" s="28"/>
      <c r="G28" s="28"/>
      <c r="H28" s="9"/>
      <c r="I28" s="9"/>
      <c r="J28" s="9"/>
      <c r="K28" s="9"/>
      <c r="L28" s="9"/>
      <c r="M28" s="9"/>
      <c r="N28" s="9"/>
      <c r="O28" s="9"/>
      <c r="P28" s="9"/>
      <c r="Q28" s="9"/>
      <c r="R28" s="9"/>
      <c r="S28" s="9"/>
      <c r="T28" s="9"/>
      <c r="U28" s="9"/>
      <c r="V28" s="9"/>
      <c r="W28" s="9"/>
      <c r="X28" s="9"/>
      <c r="Y28" s="9"/>
      <c r="Z28" s="9"/>
      <c r="AA28" s="9"/>
      <c r="AB28" s="9"/>
    </row>
    <row r="29" ht="14.25" customHeight="1">
      <c r="A29" s="23" t="s">
        <v>118</v>
      </c>
      <c r="B29" s="33">
        <v>1.18</v>
      </c>
      <c r="C29" s="25" t="s">
        <v>119</v>
      </c>
      <c r="D29" s="25" t="s">
        <v>120</v>
      </c>
      <c r="E29" s="28"/>
      <c r="F29" s="37" t="s">
        <v>121</v>
      </c>
      <c r="G29" s="28"/>
      <c r="H29" s="9"/>
      <c r="I29" s="9"/>
      <c r="J29" s="9"/>
      <c r="K29" s="9"/>
      <c r="L29" s="9"/>
      <c r="M29" s="9"/>
      <c r="N29" s="9"/>
      <c r="O29" s="9"/>
      <c r="P29" s="9"/>
      <c r="Q29" s="9"/>
      <c r="R29" s="9"/>
      <c r="S29" s="9"/>
      <c r="T29" s="9"/>
      <c r="U29" s="9"/>
      <c r="V29" s="9"/>
      <c r="W29" s="9"/>
      <c r="X29" s="9"/>
      <c r="Y29" s="9"/>
      <c r="Z29" s="9"/>
      <c r="AA29" s="9"/>
      <c r="AB29" s="9"/>
    </row>
    <row r="30" ht="14.25" customHeight="1">
      <c r="A30" s="9"/>
      <c r="B30" s="9"/>
      <c r="C30" s="9"/>
      <c r="D30" s="19"/>
      <c r="E30" s="9"/>
      <c r="F30" s="9"/>
      <c r="G30" s="9"/>
      <c r="H30" s="9"/>
      <c r="I30" s="9"/>
      <c r="J30" s="9"/>
      <c r="K30" s="9"/>
      <c r="L30" s="9"/>
      <c r="M30" s="9"/>
      <c r="N30" s="9"/>
      <c r="O30" s="9"/>
      <c r="P30" s="9"/>
      <c r="Q30" s="9"/>
      <c r="R30" s="9"/>
      <c r="S30" s="9"/>
      <c r="T30" s="9"/>
      <c r="U30" s="9"/>
      <c r="V30" s="9"/>
      <c r="W30" s="9"/>
      <c r="X30" s="9"/>
      <c r="Y30" s="9"/>
      <c r="Z30" s="9"/>
      <c r="AA30" s="9"/>
      <c r="AB30" s="9"/>
    </row>
    <row r="31" ht="14.25" customHeight="1">
      <c r="A31" s="21" t="s">
        <v>122</v>
      </c>
      <c r="B31" s="22"/>
      <c r="C31" s="22"/>
      <c r="D31" s="22"/>
      <c r="E31" s="9"/>
      <c r="F31" s="9"/>
      <c r="G31" s="9"/>
      <c r="H31" s="9"/>
      <c r="I31" s="9"/>
      <c r="J31" s="9"/>
      <c r="K31" s="9"/>
      <c r="L31" s="9"/>
      <c r="M31" s="9"/>
      <c r="N31" s="9"/>
      <c r="O31" s="9"/>
      <c r="P31" s="9"/>
      <c r="Q31" s="9"/>
      <c r="R31" s="9"/>
      <c r="S31" s="9"/>
      <c r="T31" s="9"/>
      <c r="U31" s="9"/>
      <c r="V31" s="9"/>
      <c r="W31" s="9"/>
      <c r="X31" s="9"/>
      <c r="Y31" s="9"/>
      <c r="Z31" s="9"/>
      <c r="AA31" s="9"/>
      <c r="AB31" s="9"/>
    </row>
    <row r="32" ht="14.25" customHeight="1">
      <c r="A32" s="23" t="s">
        <v>123</v>
      </c>
      <c r="B32" s="29">
        <v>72000.0</v>
      </c>
      <c r="C32" s="25" t="s">
        <v>124</v>
      </c>
      <c r="D32" s="25" t="s">
        <v>125</v>
      </c>
      <c r="E32" s="9"/>
      <c r="F32" s="9"/>
      <c r="G32" s="9"/>
      <c r="H32" s="9"/>
      <c r="I32" s="9"/>
      <c r="J32" s="9"/>
      <c r="K32" s="9"/>
      <c r="L32" s="9"/>
      <c r="M32" s="9"/>
      <c r="N32" s="9"/>
      <c r="O32" s="9"/>
      <c r="P32" s="9"/>
      <c r="Q32" s="9"/>
      <c r="R32" s="9"/>
      <c r="S32" s="9"/>
      <c r="T32" s="9"/>
      <c r="U32" s="9"/>
      <c r="V32" s="9"/>
      <c r="W32" s="9"/>
      <c r="X32" s="9"/>
      <c r="Y32" s="9"/>
      <c r="Z32" s="9"/>
      <c r="AA32" s="9"/>
      <c r="AB32" s="9"/>
    </row>
    <row r="33" ht="14.25" customHeight="1">
      <c r="A33" s="23" t="s">
        <v>126</v>
      </c>
      <c r="B33" s="29">
        <v>72000.0</v>
      </c>
      <c r="C33" s="25" t="s">
        <v>124</v>
      </c>
      <c r="D33" s="25" t="s">
        <v>125</v>
      </c>
      <c r="E33" s="9"/>
      <c r="F33" s="9"/>
      <c r="G33" s="9"/>
      <c r="H33" s="9"/>
      <c r="I33" s="9"/>
      <c r="J33" s="9"/>
      <c r="K33" s="9"/>
      <c r="L33" s="9"/>
      <c r="M33" s="9"/>
      <c r="N33" s="9"/>
      <c r="O33" s="9"/>
      <c r="P33" s="9"/>
      <c r="Q33" s="9"/>
      <c r="R33" s="9"/>
      <c r="S33" s="9"/>
      <c r="T33" s="9"/>
      <c r="U33" s="9"/>
      <c r="V33" s="9"/>
      <c r="W33" s="9"/>
      <c r="X33" s="9"/>
      <c r="Y33" s="9"/>
      <c r="Z33" s="9"/>
      <c r="AA33" s="9"/>
      <c r="AB33" s="9"/>
    </row>
    <row r="34" ht="14.25" customHeight="1">
      <c r="A34" s="23" t="s">
        <v>127</v>
      </c>
      <c r="B34" s="29">
        <v>72000.0</v>
      </c>
      <c r="C34" s="25" t="s">
        <v>124</v>
      </c>
      <c r="D34" s="25" t="s">
        <v>125</v>
      </c>
      <c r="E34" s="9"/>
      <c r="F34" s="9"/>
      <c r="G34" s="9"/>
      <c r="H34" s="9"/>
      <c r="I34" s="9"/>
      <c r="J34" s="9"/>
      <c r="K34" s="9"/>
      <c r="L34" s="9"/>
      <c r="M34" s="9"/>
      <c r="N34" s="9"/>
      <c r="O34" s="9"/>
      <c r="P34" s="9"/>
      <c r="Q34" s="9"/>
      <c r="R34" s="9"/>
      <c r="S34" s="9"/>
      <c r="T34" s="9"/>
      <c r="U34" s="9"/>
      <c r="V34" s="9"/>
      <c r="W34" s="9"/>
      <c r="X34" s="9"/>
      <c r="Y34" s="9"/>
      <c r="Z34" s="9"/>
      <c r="AA34" s="9"/>
      <c r="AB34" s="9"/>
    </row>
    <row r="35" ht="14.25" customHeight="1">
      <c r="A35" s="23" t="s">
        <v>128</v>
      </c>
      <c r="B35" s="29">
        <v>90000.0</v>
      </c>
      <c r="C35" s="25" t="s">
        <v>129</v>
      </c>
      <c r="D35" s="28" t="s">
        <v>130</v>
      </c>
      <c r="E35" s="9"/>
      <c r="F35" s="9"/>
      <c r="G35" s="9"/>
      <c r="H35" s="9"/>
      <c r="I35" s="9"/>
      <c r="J35" s="9"/>
      <c r="K35" s="9"/>
      <c r="L35" s="9"/>
      <c r="M35" s="9"/>
      <c r="N35" s="9"/>
      <c r="O35" s="9"/>
      <c r="P35" s="9"/>
      <c r="Q35" s="9"/>
      <c r="R35" s="9"/>
      <c r="S35" s="9"/>
      <c r="T35" s="9"/>
      <c r="U35" s="9"/>
      <c r="V35" s="9"/>
      <c r="W35" s="9"/>
      <c r="X35" s="9"/>
      <c r="Y35" s="9"/>
      <c r="Z35" s="9"/>
      <c r="AA35" s="9"/>
      <c r="AB35" s="9"/>
    </row>
    <row r="36" ht="14.25" customHeight="1">
      <c r="A36" s="23" t="s">
        <v>131</v>
      </c>
      <c r="B36" s="29">
        <v>60000.0</v>
      </c>
      <c r="C36" s="25" t="s">
        <v>132</v>
      </c>
      <c r="D36" s="28" t="s">
        <v>133</v>
      </c>
      <c r="E36" s="9"/>
      <c r="F36" s="9"/>
      <c r="G36" s="9"/>
      <c r="H36" s="9"/>
      <c r="I36" s="9"/>
      <c r="J36" s="9"/>
      <c r="K36" s="9"/>
      <c r="L36" s="9"/>
      <c r="M36" s="9"/>
      <c r="N36" s="9"/>
      <c r="O36" s="9"/>
      <c r="P36" s="9"/>
      <c r="Q36" s="9"/>
      <c r="R36" s="9"/>
      <c r="S36" s="9"/>
      <c r="T36" s="9"/>
      <c r="U36" s="9"/>
      <c r="V36" s="9"/>
      <c r="W36" s="9"/>
      <c r="X36" s="9"/>
      <c r="Y36" s="9"/>
      <c r="Z36" s="9"/>
      <c r="AA36" s="9"/>
      <c r="AB36" s="9"/>
    </row>
    <row r="37" ht="14.25" customHeight="1">
      <c r="A37" s="23" t="s">
        <v>134</v>
      </c>
      <c r="B37" s="29">
        <v>110000.0</v>
      </c>
      <c r="C37" s="25" t="s">
        <v>135</v>
      </c>
      <c r="D37" s="28" t="s">
        <v>136</v>
      </c>
      <c r="E37" s="9"/>
      <c r="F37" s="9"/>
      <c r="G37" s="9"/>
      <c r="H37" s="9"/>
      <c r="I37" s="9"/>
      <c r="J37" s="9"/>
      <c r="K37" s="9"/>
      <c r="L37" s="9"/>
      <c r="M37" s="9"/>
      <c r="N37" s="9"/>
      <c r="O37" s="9"/>
      <c r="P37" s="9"/>
      <c r="Q37" s="9"/>
      <c r="R37" s="9"/>
      <c r="S37" s="9"/>
      <c r="T37" s="9"/>
      <c r="U37" s="9"/>
      <c r="V37" s="9"/>
      <c r="W37" s="9"/>
      <c r="X37" s="9"/>
      <c r="Y37" s="9"/>
      <c r="Z37" s="9"/>
      <c r="AA37" s="9"/>
      <c r="AB37" s="9"/>
    </row>
    <row r="38" ht="14.25" customHeight="1">
      <c r="A38" s="23" t="s">
        <v>137</v>
      </c>
      <c r="B38" s="29">
        <v>80000.0</v>
      </c>
      <c r="C38" s="25" t="s">
        <v>138</v>
      </c>
      <c r="D38" s="28" t="s">
        <v>139</v>
      </c>
      <c r="E38" s="9"/>
      <c r="F38" s="9"/>
      <c r="G38" s="9"/>
      <c r="H38" s="9"/>
      <c r="I38" s="9"/>
      <c r="J38" s="9"/>
      <c r="K38" s="9"/>
      <c r="L38" s="9"/>
      <c r="M38" s="9"/>
      <c r="N38" s="9"/>
      <c r="O38" s="9"/>
      <c r="P38" s="9"/>
      <c r="Q38" s="9"/>
      <c r="R38" s="9"/>
      <c r="S38" s="9"/>
      <c r="T38" s="9"/>
      <c r="U38" s="9"/>
      <c r="V38" s="9"/>
      <c r="W38" s="9"/>
      <c r="X38" s="9"/>
      <c r="Y38" s="9"/>
      <c r="Z38" s="9"/>
      <c r="AA38" s="9"/>
      <c r="AB38" s="9"/>
    </row>
    <row r="39" ht="14.25" customHeight="1">
      <c r="A39" s="23" t="s">
        <v>140</v>
      </c>
      <c r="B39" s="29">
        <v>130000.0</v>
      </c>
      <c r="C39" s="25" t="s">
        <v>141</v>
      </c>
      <c r="D39" s="28" t="s">
        <v>142</v>
      </c>
      <c r="E39" s="9"/>
      <c r="F39" s="9"/>
      <c r="G39" s="9"/>
      <c r="H39" s="9"/>
      <c r="I39" s="9"/>
      <c r="J39" s="9"/>
      <c r="K39" s="9"/>
      <c r="L39" s="9"/>
      <c r="M39" s="9"/>
      <c r="N39" s="9"/>
      <c r="O39" s="9"/>
      <c r="P39" s="9"/>
      <c r="Q39" s="9"/>
      <c r="R39" s="9"/>
      <c r="S39" s="9"/>
      <c r="T39" s="9"/>
      <c r="U39" s="9"/>
      <c r="V39" s="9"/>
      <c r="W39" s="9"/>
      <c r="X39" s="9"/>
      <c r="Y39" s="9"/>
      <c r="Z39" s="9"/>
      <c r="AA39" s="9"/>
      <c r="AB39" s="9"/>
    </row>
    <row r="40" ht="14.25" customHeight="1">
      <c r="A40" s="23" t="s">
        <v>143</v>
      </c>
      <c r="B40" s="29">
        <v>65000.0</v>
      </c>
      <c r="C40" s="25" t="s">
        <v>144</v>
      </c>
      <c r="D40" s="28" t="s">
        <v>145</v>
      </c>
      <c r="E40" s="9"/>
      <c r="F40" s="9"/>
      <c r="G40" s="9"/>
      <c r="H40" s="9"/>
      <c r="I40" s="9"/>
      <c r="J40" s="9"/>
      <c r="K40" s="9"/>
      <c r="L40" s="9"/>
      <c r="M40" s="9"/>
      <c r="N40" s="9"/>
      <c r="O40" s="9"/>
      <c r="P40" s="9"/>
      <c r="Q40" s="9"/>
      <c r="R40" s="9"/>
      <c r="S40" s="9"/>
      <c r="T40" s="9"/>
      <c r="U40" s="9"/>
      <c r="V40" s="9"/>
      <c r="W40" s="9"/>
      <c r="X40" s="9"/>
      <c r="Y40" s="9"/>
      <c r="Z40" s="9"/>
      <c r="AA40" s="9"/>
      <c r="AB40" s="9"/>
    </row>
    <row r="41" ht="14.25" customHeight="1">
      <c r="A41" s="23" t="s">
        <v>146</v>
      </c>
      <c r="B41" s="29">
        <v>65000.0</v>
      </c>
      <c r="C41" s="25" t="s">
        <v>132</v>
      </c>
      <c r="D41" s="28" t="s">
        <v>147</v>
      </c>
      <c r="E41" s="9"/>
      <c r="F41" s="9"/>
      <c r="G41" s="9"/>
      <c r="H41" s="9"/>
      <c r="I41" s="9"/>
      <c r="J41" s="9"/>
      <c r="K41" s="9"/>
      <c r="L41" s="9"/>
      <c r="M41" s="9"/>
      <c r="N41" s="9"/>
      <c r="O41" s="9"/>
      <c r="P41" s="9"/>
      <c r="Q41" s="9"/>
      <c r="R41" s="9"/>
      <c r="S41" s="9"/>
      <c r="T41" s="9"/>
      <c r="U41" s="9"/>
      <c r="V41" s="9"/>
      <c r="W41" s="9"/>
      <c r="X41" s="9"/>
      <c r="Y41" s="9"/>
      <c r="Z41" s="9"/>
      <c r="AA41" s="9"/>
      <c r="AB41" s="9"/>
    </row>
    <row r="42" ht="14.25" customHeight="1">
      <c r="A42" s="23" t="s">
        <v>148</v>
      </c>
      <c r="B42" s="29">
        <v>45000.0</v>
      </c>
      <c r="C42" s="25" t="s">
        <v>149</v>
      </c>
      <c r="D42" s="25" t="s">
        <v>150</v>
      </c>
      <c r="E42" s="9"/>
      <c r="F42" s="9"/>
      <c r="G42" s="9"/>
      <c r="H42" s="9"/>
      <c r="I42" s="9"/>
      <c r="J42" s="9"/>
      <c r="K42" s="9"/>
      <c r="L42" s="9"/>
      <c r="M42" s="9"/>
      <c r="N42" s="9"/>
      <c r="O42" s="9"/>
      <c r="P42" s="9"/>
      <c r="Q42" s="9"/>
      <c r="R42" s="9"/>
      <c r="S42" s="9"/>
      <c r="T42" s="9"/>
      <c r="U42" s="9"/>
      <c r="V42" s="9"/>
      <c r="W42" s="9"/>
      <c r="X42" s="9"/>
      <c r="Y42" s="9"/>
      <c r="Z42" s="9"/>
      <c r="AA42" s="9"/>
      <c r="AB42" s="9"/>
    </row>
    <row r="43" ht="14.25" customHeight="1">
      <c r="A43" s="38" t="s">
        <v>151</v>
      </c>
      <c r="B43" s="29">
        <v>80000.0</v>
      </c>
      <c r="C43" s="25"/>
      <c r="D43" s="28"/>
      <c r="E43" s="9"/>
      <c r="F43" s="9"/>
      <c r="G43" s="9"/>
      <c r="H43" s="9"/>
      <c r="I43" s="9"/>
      <c r="J43" s="9"/>
      <c r="K43" s="9"/>
      <c r="L43" s="9"/>
      <c r="M43" s="9"/>
      <c r="N43" s="9"/>
      <c r="O43" s="9"/>
      <c r="P43" s="9"/>
      <c r="Q43" s="9"/>
      <c r="R43" s="9"/>
      <c r="S43" s="9"/>
      <c r="T43" s="9"/>
      <c r="U43" s="9"/>
      <c r="V43" s="9"/>
      <c r="W43" s="9"/>
      <c r="X43" s="9"/>
      <c r="Y43" s="9"/>
      <c r="Z43" s="9"/>
      <c r="AA43" s="9"/>
      <c r="AB43" s="9"/>
    </row>
    <row r="44" ht="14.25" customHeight="1">
      <c r="A44" s="23" t="s">
        <v>152</v>
      </c>
      <c r="B44" s="33">
        <v>0.05</v>
      </c>
      <c r="C44" s="25" t="s">
        <v>153</v>
      </c>
      <c r="D44" s="28" t="s">
        <v>154</v>
      </c>
      <c r="E44" s="9"/>
      <c r="F44" s="9"/>
      <c r="G44" s="9"/>
      <c r="H44" s="9"/>
      <c r="I44" s="9"/>
      <c r="J44" s="9"/>
      <c r="K44" s="9"/>
      <c r="L44" s="9"/>
      <c r="M44" s="9"/>
      <c r="N44" s="9"/>
      <c r="O44" s="9"/>
      <c r="P44" s="9"/>
      <c r="Q44" s="9"/>
      <c r="R44" s="9"/>
      <c r="S44" s="9"/>
      <c r="T44" s="9"/>
      <c r="U44" s="9"/>
      <c r="V44" s="9"/>
      <c r="W44" s="9"/>
      <c r="X44" s="9"/>
      <c r="Y44" s="9"/>
      <c r="Z44" s="9"/>
      <c r="AA44" s="9"/>
      <c r="AB44" s="9"/>
    </row>
    <row r="45" ht="14.25" customHeight="1">
      <c r="A45" s="23" t="s">
        <v>155</v>
      </c>
      <c r="B45" s="27">
        <v>0.21</v>
      </c>
      <c r="C45" s="25" t="s">
        <v>156</v>
      </c>
      <c r="D45" s="28" t="s">
        <v>157</v>
      </c>
      <c r="E45" s="9"/>
      <c r="F45" s="9"/>
      <c r="G45" s="9"/>
      <c r="H45" s="9"/>
      <c r="I45" s="9"/>
      <c r="J45" s="9"/>
      <c r="K45" s="9"/>
      <c r="L45" s="9"/>
      <c r="M45" s="9"/>
      <c r="N45" s="9"/>
      <c r="O45" s="9"/>
      <c r="P45" s="9"/>
      <c r="Q45" s="9"/>
      <c r="R45" s="9"/>
      <c r="S45" s="9"/>
      <c r="T45" s="9"/>
      <c r="U45" s="9"/>
      <c r="V45" s="9"/>
      <c r="W45" s="9"/>
      <c r="X45" s="9"/>
      <c r="Y45" s="9"/>
      <c r="Z45" s="9"/>
      <c r="AA45" s="9"/>
      <c r="AB45" s="9"/>
    </row>
    <row r="46" ht="14.25" customHeight="1">
      <c r="A46" s="9"/>
      <c r="B46" s="9"/>
      <c r="C46" s="9"/>
      <c r="D46" s="19"/>
      <c r="E46" s="9"/>
      <c r="F46" s="9"/>
      <c r="G46" s="9"/>
      <c r="H46" s="9"/>
      <c r="I46" s="9"/>
      <c r="J46" s="9"/>
      <c r="K46" s="9"/>
      <c r="L46" s="9"/>
      <c r="M46" s="9"/>
      <c r="N46" s="9"/>
      <c r="O46" s="9"/>
      <c r="P46" s="9"/>
      <c r="Q46" s="9"/>
      <c r="R46" s="9"/>
      <c r="S46" s="9"/>
      <c r="T46" s="9"/>
      <c r="U46" s="9"/>
      <c r="V46" s="9"/>
      <c r="W46" s="9"/>
      <c r="X46" s="9"/>
      <c r="Y46" s="9"/>
      <c r="Z46" s="9"/>
      <c r="AA46" s="9"/>
      <c r="AB46" s="9"/>
    </row>
    <row r="47" ht="14.25" customHeight="1">
      <c r="A47" s="21" t="s">
        <v>158</v>
      </c>
      <c r="B47" s="39" t="s">
        <v>159</v>
      </c>
      <c r="C47" s="40" t="s">
        <v>160</v>
      </c>
      <c r="D47" s="41"/>
      <c r="E47" s="41" t="s">
        <v>161</v>
      </c>
      <c r="F47" s="42" t="s">
        <v>162</v>
      </c>
      <c r="G47" s="9"/>
      <c r="H47" s="9"/>
      <c r="I47" s="9"/>
      <c r="J47" s="9"/>
      <c r="K47" s="9"/>
      <c r="L47" s="9"/>
      <c r="M47" s="9"/>
      <c r="N47" s="9"/>
      <c r="O47" s="9"/>
      <c r="P47" s="9"/>
      <c r="Q47" s="9"/>
      <c r="R47" s="9"/>
      <c r="S47" s="9"/>
      <c r="T47" s="9"/>
      <c r="U47" s="9"/>
      <c r="V47" s="9"/>
      <c r="W47" s="9"/>
      <c r="X47" s="9"/>
      <c r="Y47" s="9"/>
      <c r="Z47" s="9"/>
      <c r="AA47" s="9"/>
      <c r="AB47" s="9"/>
    </row>
    <row r="48" ht="14.25" customHeight="1">
      <c r="A48" s="23" t="s">
        <v>163</v>
      </c>
      <c r="B48" s="43">
        <f>7 + VLOOKUP("AI-Personal-Hebel", '00_Input_Sandbox'!$B$4:$F$10, '00_Input_Sandbox'!$B$2-1, FALSE)</f>
        <v>7</v>
      </c>
      <c r="C48" s="25" t="s">
        <v>164</v>
      </c>
      <c r="D48" s="28" t="s">
        <v>165</v>
      </c>
      <c r="E48" s="37" t="s">
        <v>166</v>
      </c>
      <c r="F48" s="44">
        <f>IF(COUNTIF(E48,"*Fix*")&gt;0, B48, IF(COUNTIF(E48,"*KI-Agent*")&gt;0, 99, B48 + VLOOKUP("AI-Personal-Hebel", '00_Input_Sandbox'!$B$4:$F$20, '00_Input_Sandbox'!$B$2-1, FALSE)))</f>
        <v>7</v>
      </c>
      <c r="G48" s="28"/>
      <c r="H48" s="9"/>
      <c r="I48" s="9"/>
      <c r="J48" s="9"/>
      <c r="K48" s="9"/>
      <c r="L48" s="9"/>
      <c r="M48" s="9"/>
      <c r="N48" s="9"/>
      <c r="O48" s="9"/>
      <c r="P48" s="9"/>
      <c r="Q48" s="9"/>
      <c r="R48" s="9"/>
      <c r="S48" s="9"/>
      <c r="T48" s="9"/>
      <c r="U48" s="9"/>
      <c r="V48" s="9"/>
      <c r="W48" s="9"/>
      <c r="X48" s="9"/>
      <c r="Y48" s="9"/>
      <c r="Z48" s="9"/>
      <c r="AA48" s="9"/>
      <c r="AB48" s="9"/>
    </row>
    <row r="49" ht="14.25" customHeight="1">
      <c r="A49" s="23" t="s">
        <v>167</v>
      </c>
      <c r="B49" s="24">
        <v>10.0</v>
      </c>
      <c r="C49" s="25" t="s">
        <v>168</v>
      </c>
      <c r="D49" s="28" t="s">
        <v>169</v>
      </c>
      <c r="E49" s="37" t="s">
        <v>170</v>
      </c>
      <c r="F49" s="44">
        <f>IF(COUNTIF(E49,"*Fix*")&gt;0, B49, IF(COUNTIF(E49,"*KI-Agent*")&gt;0, 99, B49 + VLOOKUP("AI-Personal-Hebel", '00_Input_Sandbox'!$B$4:$F$20, '00_Input_Sandbox'!$B$2-1, FALSE)))</f>
        <v>10</v>
      </c>
      <c r="G49" s="28"/>
      <c r="H49" s="9"/>
      <c r="I49" s="9"/>
      <c r="J49" s="9"/>
      <c r="K49" s="9"/>
      <c r="L49" s="9"/>
      <c r="M49" s="9"/>
      <c r="N49" s="9"/>
      <c r="O49" s="9"/>
      <c r="P49" s="9"/>
      <c r="Q49" s="9"/>
      <c r="R49" s="9"/>
      <c r="S49" s="9"/>
      <c r="T49" s="9"/>
      <c r="U49" s="9"/>
      <c r="V49" s="9"/>
      <c r="W49" s="9"/>
      <c r="X49" s="9"/>
      <c r="Y49" s="9"/>
      <c r="Z49" s="9"/>
      <c r="AA49" s="9"/>
      <c r="AB49" s="9"/>
    </row>
    <row r="50" ht="14.25" customHeight="1">
      <c r="A50" s="23" t="s">
        <v>171</v>
      </c>
      <c r="B50" s="24">
        <v>9.0</v>
      </c>
      <c r="C50" s="25" t="s">
        <v>172</v>
      </c>
      <c r="D50" s="37" t="s">
        <v>173</v>
      </c>
      <c r="E50" s="37" t="s">
        <v>170</v>
      </c>
      <c r="F50" s="44">
        <f>IF(COUNTIF(E50,"*Fix*")&gt;0, B50, IF(COUNTIF(E50,"*KI-Agent*")&gt;0, 99, B50 + VLOOKUP("AI-Personal-Hebel", '00_Input_Sandbox'!$B$4:$F$20, '00_Input_Sandbox'!$B$2-1, FALSE)))</f>
        <v>9</v>
      </c>
      <c r="G50" s="28"/>
      <c r="H50" s="9"/>
      <c r="I50" s="9"/>
      <c r="J50" s="9"/>
      <c r="K50" s="9"/>
      <c r="L50" s="9"/>
      <c r="M50" s="9"/>
      <c r="N50" s="9"/>
      <c r="O50" s="9"/>
      <c r="P50" s="9"/>
      <c r="Q50" s="9"/>
      <c r="R50" s="9"/>
      <c r="S50" s="9"/>
      <c r="T50" s="9"/>
      <c r="U50" s="9"/>
      <c r="V50" s="9"/>
      <c r="W50" s="9"/>
      <c r="X50" s="9"/>
      <c r="Y50" s="9"/>
      <c r="Z50" s="9"/>
      <c r="AA50" s="9"/>
      <c r="AB50" s="9"/>
    </row>
    <row r="51" ht="14.25" customHeight="1">
      <c r="A51" s="23" t="s">
        <v>174</v>
      </c>
      <c r="B51" s="24">
        <v>8.0</v>
      </c>
      <c r="C51" s="25" t="s">
        <v>175</v>
      </c>
      <c r="D51" s="28" t="s">
        <v>176</v>
      </c>
      <c r="E51" s="37" t="s">
        <v>166</v>
      </c>
      <c r="F51" s="44">
        <f>IF(COUNTIF(E51,"*Fix*")&gt;0, B51, IF(COUNTIF(E51,"*KI-Agent*")&gt;0, 99, B51 + VLOOKUP("AI-Personal-Hebel", '00_Input_Sandbox'!$B$4:$F$20, '00_Input_Sandbox'!$B$2-1, FALSE)))</f>
        <v>8</v>
      </c>
      <c r="G51" s="28"/>
      <c r="H51" s="9"/>
      <c r="I51" s="9"/>
      <c r="J51" s="9"/>
      <c r="K51" s="9"/>
      <c r="L51" s="9"/>
      <c r="M51" s="9"/>
      <c r="N51" s="9"/>
      <c r="O51" s="9"/>
      <c r="P51" s="9"/>
      <c r="Q51" s="9"/>
      <c r="R51" s="9"/>
      <c r="S51" s="9"/>
      <c r="T51" s="9"/>
      <c r="U51" s="9"/>
      <c r="V51" s="9"/>
      <c r="W51" s="9"/>
      <c r="X51" s="9"/>
      <c r="Y51" s="9"/>
      <c r="Z51" s="9"/>
      <c r="AA51" s="9"/>
      <c r="AB51" s="9"/>
    </row>
    <row r="52" ht="14.25" customHeight="1">
      <c r="A52" s="23" t="s">
        <v>177</v>
      </c>
      <c r="B52" s="24">
        <v>14.0</v>
      </c>
      <c r="C52" s="25" t="s">
        <v>178</v>
      </c>
      <c r="D52" s="28" t="s">
        <v>179</v>
      </c>
      <c r="E52" s="37" t="s">
        <v>170</v>
      </c>
      <c r="F52" s="44">
        <f>IF(COUNTIF(E52,"*Fix*")&gt;0, B52, IF(COUNTIF(E52,"*KI-Agent*")&gt;0, 99, B52 + VLOOKUP("AI-Personal-Hebel", '00_Input_Sandbox'!$B$4:$F$20, '00_Input_Sandbox'!$B$2-1, FALSE)))</f>
        <v>14</v>
      </c>
      <c r="G52" s="28"/>
      <c r="H52" s="9"/>
      <c r="I52" s="9"/>
      <c r="J52" s="9"/>
      <c r="K52" s="9"/>
      <c r="L52" s="9"/>
      <c r="M52" s="9"/>
      <c r="N52" s="9"/>
      <c r="O52" s="9"/>
      <c r="P52" s="9"/>
      <c r="Q52" s="9"/>
      <c r="R52" s="9"/>
      <c r="S52" s="9"/>
      <c r="T52" s="9"/>
      <c r="U52" s="9"/>
      <c r="V52" s="9"/>
      <c r="W52" s="9"/>
      <c r="X52" s="9"/>
      <c r="Y52" s="9"/>
      <c r="Z52" s="9"/>
      <c r="AA52" s="9"/>
      <c r="AB52" s="9"/>
    </row>
    <row r="53" ht="14.25" customHeight="1">
      <c r="A53" s="45" t="s">
        <v>180</v>
      </c>
      <c r="B53" s="46">
        <v>3.0</v>
      </c>
      <c r="C53" s="47" t="s">
        <v>181</v>
      </c>
      <c r="D53" s="48" t="s">
        <v>182</v>
      </c>
      <c r="E53" s="37" t="s">
        <v>183</v>
      </c>
      <c r="F53" s="44">
        <f>IF(COUNTIF(E53,"*Fix*")&gt;0, B53, IF(COUNTIF(E53,"*KI-Agent*")&gt;0, 99, B53 + VLOOKUP("AI-Personal-Hebel", '00_Input_Sandbox'!$B$4:$F$20, '00_Input_Sandbox'!$B$2-1, FALSE)))</f>
        <v>99</v>
      </c>
      <c r="G53" s="19" t="s">
        <v>184</v>
      </c>
      <c r="H53" s="9"/>
      <c r="I53" s="9"/>
      <c r="J53" s="9"/>
      <c r="K53" s="9"/>
      <c r="L53" s="9"/>
      <c r="M53" s="9"/>
      <c r="N53" s="9"/>
      <c r="O53" s="9"/>
      <c r="P53" s="9"/>
      <c r="Q53" s="9"/>
      <c r="R53" s="9"/>
      <c r="S53" s="9"/>
      <c r="T53" s="9"/>
      <c r="U53" s="9"/>
      <c r="V53" s="9"/>
      <c r="W53" s="9"/>
      <c r="X53" s="9"/>
      <c r="Y53" s="9"/>
      <c r="Z53" s="9"/>
      <c r="AA53" s="9"/>
      <c r="AB53" s="9"/>
    </row>
    <row r="54" ht="14.25" customHeight="1">
      <c r="A54" s="23" t="s">
        <v>185</v>
      </c>
      <c r="B54" s="24">
        <v>18.0</v>
      </c>
      <c r="C54" s="25" t="s">
        <v>186</v>
      </c>
      <c r="D54" s="28" t="s">
        <v>187</v>
      </c>
      <c r="E54" s="37" t="s">
        <v>170</v>
      </c>
      <c r="F54" s="44">
        <f>IF(COUNTIF(E54,"*Fix*")&gt;0, B54, IF(COUNTIF(E54,"*KI-Agent*")&gt;0, 99, B54 + VLOOKUP("AI-Personal-Hebel", '00_Input_Sandbox'!$B$4:$F$20, '00_Input_Sandbox'!$B$2-1, FALSE)))</f>
        <v>18</v>
      </c>
      <c r="G54" s="28"/>
      <c r="H54" s="9"/>
      <c r="I54" s="9"/>
      <c r="J54" s="9"/>
      <c r="K54" s="9"/>
      <c r="L54" s="9"/>
      <c r="M54" s="9"/>
      <c r="N54" s="9"/>
      <c r="O54" s="9"/>
      <c r="P54" s="9"/>
      <c r="Q54" s="9"/>
      <c r="R54" s="9"/>
      <c r="S54" s="9"/>
      <c r="T54" s="9"/>
      <c r="U54" s="9"/>
      <c r="V54" s="9"/>
      <c r="W54" s="9"/>
      <c r="X54" s="9"/>
      <c r="Y54" s="9"/>
      <c r="Z54" s="9"/>
      <c r="AA54" s="9"/>
      <c r="AB54" s="9"/>
    </row>
    <row r="55" ht="14.25" customHeight="1">
      <c r="A55" s="45" t="s">
        <v>188</v>
      </c>
      <c r="B55" s="46">
        <v>12.0</v>
      </c>
      <c r="C55" s="49" t="s">
        <v>189</v>
      </c>
      <c r="D55" s="48" t="s">
        <v>190</v>
      </c>
      <c r="E55" s="28"/>
      <c r="F55" s="44">
        <f>IF(COUNTIF(E55,"*Fix*")&gt;0, B55, IF(COUNTIF(E55,"*KI-Agent*")&gt;0, 99, B55 + VLOOKUP("AI-Personal-Hebel", '00_Input_Sandbox'!$B$4:$F$20, '00_Input_Sandbox'!$B$2-1, FALSE)))</f>
        <v>12</v>
      </c>
      <c r="G55" s="28"/>
      <c r="H55" s="9"/>
      <c r="I55" s="9"/>
      <c r="J55" s="9"/>
      <c r="K55" s="9"/>
      <c r="L55" s="9"/>
      <c r="M55" s="9"/>
      <c r="N55" s="9"/>
      <c r="O55" s="9"/>
      <c r="P55" s="9"/>
      <c r="Q55" s="9"/>
      <c r="R55" s="9"/>
      <c r="S55" s="9"/>
      <c r="T55" s="9"/>
      <c r="U55" s="9"/>
      <c r="V55" s="9"/>
      <c r="W55" s="9"/>
      <c r="X55" s="9"/>
      <c r="Y55" s="9"/>
      <c r="Z55" s="9"/>
      <c r="AA55" s="9"/>
      <c r="AB55" s="9"/>
    </row>
    <row r="56" ht="14.25" customHeight="1">
      <c r="A56" s="23" t="s">
        <v>191</v>
      </c>
      <c r="B56" s="24">
        <v>11.0</v>
      </c>
      <c r="C56" s="25" t="s">
        <v>192</v>
      </c>
      <c r="D56" s="28" t="s">
        <v>193</v>
      </c>
      <c r="E56" s="37" t="s">
        <v>170</v>
      </c>
      <c r="F56" s="44">
        <f>IF(COUNTIF(E56,"*Fix*")&gt;0, B56, IF(COUNTIF(E56,"*KI-Agent*")&gt;0, 99, B56 + VLOOKUP("AI-Personal-Hebel", '00_Input_Sandbox'!$B$4:$F$20, '00_Input_Sandbox'!$B$2-1, FALSE)))</f>
        <v>11</v>
      </c>
      <c r="G56" s="28"/>
      <c r="H56" s="9"/>
      <c r="I56" s="9"/>
      <c r="J56" s="9"/>
      <c r="K56" s="9"/>
      <c r="L56" s="9"/>
      <c r="M56" s="9"/>
      <c r="N56" s="9"/>
      <c r="O56" s="9"/>
      <c r="P56" s="9"/>
      <c r="Q56" s="9"/>
      <c r="R56" s="9"/>
      <c r="S56" s="9"/>
      <c r="T56" s="9"/>
      <c r="U56" s="9"/>
      <c r="V56" s="9"/>
      <c r="W56" s="9"/>
      <c r="X56" s="9"/>
      <c r="Y56" s="9"/>
      <c r="Z56" s="9"/>
      <c r="AA56" s="9"/>
      <c r="AB56" s="9"/>
    </row>
    <row r="57" ht="14.25" customHeight="1">
      <c r="A57" s="23" t="s">
        <v>194</v>
      </c>
      <c r="B57" s="24">
        <v>13.0</v>
      </c>
      <c r="C57" s="25" t="s">
        <v>195</v>
      </c>
      <c r="D57" s="28" t="s">
        <v>196</v>
      </c>
      <c r="E57" s="37" t="s">
        <v>170</v>
      </c>
      <c r="F57" s="44">
        <f>IF(COUNTIF(E57,"*Fix*")&gt;0, B57, IF(COUNTIF(E57,"*KI-Agent*")&gt;0, 99, B57 + VLOOKUP("AI-Personal-Hebel", '00_Input_Sandbox'!$B$4:$F$20, '00_Input_Sandbox'!$B$2-1, FALSE)))</f>
        <v>13</v>
      </c>
      <c r="G57" s="28"/>
      <c r="H57" s="9"/>
      <c r="I57" s="9"/>
      <c r="J57" s="9"/>
      <c r="K57" s="9"/>
      <c r="L57" s="9"/>
      <c r="M57" s="9"/>
      <c r="N57" s="9"/>
      <c r="O57" s="9"/>
      <c r="P57" s="9"/>
      <c r="Q57" s="9"/>
      <c r="R57" s="9"/>
      <c r="S57" s="9"/>
      <c r="T57" s="9"/>
      <c r="U57" s="9"/>
      <c r="V57" s="9"/>
      <c r="W57" s="9"/>
      <c r="X57" s="9"/>
      <c r="Y57" s="9"/>
      <c r="Z57" s="9"/>
      <c r="AA57" s="9"/>
      <c r="AB57" s="9"/>
    </row>
    <row r="58" ht="14.25" customHeight="1">
      <c r="A58" s="23" t="s">
        <v>197</v>
      </c>
      <c r="B58" s="24">
        <v>14.0</v>
      </c>
      <c r="C58" s="25" t="s">
        <v>198</v>
      </c>
      <c r="D58" s="28" t="s">
        <v>199</v>
      </c>
      <c r="E58" s="37" t="s">
        <v>166</v>
      </c>
      <c r="F58" s="44">
        <f>IF(COUNTIF(E58,"*Fix*")&gt;0, B58, IF(COUNTIF(E58,"*KI-Agent*")&gt;0, 99, B58 + VLOOKUP("AI-Personal-Hebel", '00_Input_Sandbox'!$B$4:$F$20, '00_Input_Sandbox'!$B$2-1, FALSE)))</f>
        <v>14</v>
      </c>
      <c r="G58" s="28"/>
      <c r="H58" s="9"/>
      <c r="I58" s="9"/>
      <c r="J58" s="9"/>
      <c r="K58" s="9"/>
      <c r="L58" s="9"/>
      <c r="M58" s="9"/>
      <c r="N58" s="9"/>
      <c r="O58" s="9"/>
      <c r="P58" s="9"/>
      <c r="Q58" s="9"/>
      <c r="R58" s="9"/>
      <c r="S58" s="9"/>
      <c r="T58" s="9"/>
      <c r="U58" s="9"/>
      <c r="V58" s="9"/>
      <c r="W58" s="9"/>
      <c r="X58" s="9"/>
      <c r="Y58" s="9"/>
      <c r="Z58" s="9"/>
      <c r="AA58" s="9"/>
      <c r="AB58" s="9"/>
    </row>
    <row r="59" ht="14.25" customHeight="1">
      <c r="A59" s="23" t="s">
        <v>200</v>
      </c>
      <c r="B59" s="24">
        <v>18.0</v>
      </c>
      <c r="C59" s="25" t="s">
        <v>201</v>
      </c>
      <c r="D59" s="28" t="s">
        <v>202</v>
      </c>
      <c r="E59" s="37" t="s">
        <v>166</v>
      </c>
      <c r="F59" s="44">
        <f>IF(COUNTIF(E59,"*Fix*")&gt;0, B59, IF(COUNTIF(E59,"*KI-Agent*")&gt;0, 99, B59 + VLOOKUP("AI-Personal-Hebel", '00_Input_Sandbox'!$B$4:$F$20, '00_Input_Sandbox'!$B$2-1, FALSE)))</f>
        <v>18</v>
      </c>
      <c r="G59" s="28"/>
      <c r="H59" s="9"/>
      <c r="I59" s="9"/>
      <c r="J59" s="9"/>
      <c r="K59" s="9"/>
      <c r="L59" s="9"/>
      <c r="M59" s="9"/>
      <c r="N59" s="9"/>
      <c r="O59" s="9"/>
      <c r="P59" s="9"/>
      <c r="Q59" s="9"/>
      <c r="R59" s="9"/>
      <c r="S59" s="9"/>
      <c r="T59" s="9"/>
      <c r="U59" s="9"/>
      <c r="V59" s="9"/>
      <c r="W59" s="9"/>
      <c r="X59" s="9"/>
      <c r="Y59" s="9"/>
      <c r="Z59" s="9"/>
      <c r="AA59" s="9"/>
      <c r="AB59" s="9"/>
    </row>
    <row r="60" ht="14.25" customHeight="1">
      <c r="A60" s="23" t="s">
        <v>203</v>
      </c>
      <c r="B60" s="24">
        <v>24.0</v>
      </c>
      <c r="C60" s="25" t="s">
        <v>204</v>
      </c>
      <c r="D60" s="28" t="s">
        <v>205</v>
      </c>
      <c r="E60" s="37" t="s">
        <v>183</v>
      </c>
      <c r="F60" s="44">
        <f>IF(COUNTIF(E60,"*Fix*")&gt;0, B60, IF(COUNTIF(E60,"*KI-Agent*")&gt;0, 99, B60 + VLOOKUP("AI-Personal-Hebel", '00_Input_Sandbox'!$B$4:$F$20, '00_Input_Sandbox'!$B$2-1, FALSE)))</f>
        <v>99</v>
      </c>
      <c r="G60" s="28"/>
      <c r="H60" s="9"/>
      <c r="I60" s="9"/>
      <c r="J60" s="9"/>
      <c r="K60" s="9"/>
      <c r="L60" s="9"/>
      <c r="M60" s="9"/>
      <c r="N60" s="9"/>
      <c r="O60" s="9"/>
      <c r="P60" s="9"/>
      <c r="Q60" s="9"/>
      <c r="R60" s="9"/>
      <c r="S60" s="9"/>
      <c r="T60" s="9"/>
      <c r="U60" s="9"/>
      <c r="V60" s="9"/>
      <c r="W60" s="9"/>
      <c r="X60" s="9"/>
      <c r="Y60" s="9"/>
      <c r="Z60" s="9"/>
      <c r="AA60" s="9"/>
      <c r="AB60" s="9"/>
    </row>
    <row r="61" ht="14.25" customHeight="1">
      <c r="A61" s="23" t="s">
        <v>206</v>
      </c>
      <c r="B61" s="24">
        <v>20.0</v>
      </c>
      <c r="C61" s="25" t="s">
        <v>207</v>
      </c>
      <c r="D61" s="28" t="s">
        <v>208</v>
      </c>
      <c r="E61" s="37" t="s">
        <v>170</v>
      </c>
      <c r="F61" s="44">
        <f>IF(COUNTIF(E61,"*Fix*")&gt;0, B61, IF(COUNTIF(E61,"*KI-Agent*")&gt;0, 99, B61 + VLOOKUP("AI-Personal-Hebel", '00_Input_Sandbox'!$B$4:$F$20, '00_Input_Sandbox'!$B$2-1, FALSE)))</f>
        <v>20</v>
      </c>
      <c r="G61" s="28"/>
      <c r="H61" s="9"/>
      <c r="I61" s="9"/>
      <c r="J61" s="9"/>
      <c r="K61" s="9"/>
      <c r="L61" s="9"/>
      <c r="M61" s="9"/>
      <c r="N61" s="9"/>
      <c r="O61" s="9"/>
      <c r="P61" s="9"/>
      <c r="Q61" s="9"/>
      <c r="R61" s="9"/>
      <c r="S61" s="9"/>
      <c r="T61" s="9"/>
      <c r="U61" s="9"/>
      <c r="V61" s="9"/>
      <c r="W61" s="9"/>
      <c r="X61" s="9"/>
      <c r="Y61" s="9"/>
      <c r="Z61" s="9"/>
      <c r="AA61" s="9"/>
      <c r="AB61" s="9"/>
    </row>
    <row r="62" ht="14.25" customHeight="1">
      <c r="A62" s="23" t="s">
        <v>209</v>
      </c>
      <c r="B62" s="24">
        <v>22.0</v>
      </c>
      <c r="C62" s="25" t="s">
        <v>210</v>
      </c>
      <c r="D62" s="28" t="s">
        <v>211</v>
      </c>
      <c r="E62" s="37" t="s">
        <v>170</v>
      </c>
      <c r="F62" s="44">
        <f>IF(COUNTIF(E62,"*Fix*")&gt;0, B62, IF(COUNTIF(E62,"*KI-Agent*")&gt;0, 99, B62 + VLOOKUP("AI-Personal-Hebel", '00_Input_Sandbox'!$B$4:$F$20, '00_Input_Sandbox'!$B$2-1, FALSE)))</f>
        <v>22</v>
      </c>
      <c r="G62" s="28"/>
      <c r="H62" s="9"/>
      <c r="I62" s="9"/>
      <c r="J62" s="9"/>
      <c r="K62" s="9"/>
      <c r="L62" s="9"/>
      <c r="M62" s="9"/>
      <c r="N62" s="9"/>
      <c r="O62" s="9"/>
      <c r="P62" s="9"/>
      <c r="Q62" s="9"/>
      <c r="R62" s="9"/>
      <c r="S62" s="9"/>
      <c r="T62" s="9"/>
      <c r="U62" s="9"/>
      <c r="V62" s="9"/>
      <c r="W62" s="9"/>
      <c r="X62" s="9"/>
      <c r="Y62" s="9"/>
      <c r="Z62" s="9"/>
      <c r="AA62" s="9"/>
      <c r="AB62" s="9"/>
    </row>
    <row r="63" ht="14.25" customHeight="1">
      <c r="A63" s="23" t="s">
        <v>212</v>
      </c>
      <c r="B63" s="24">
        <v>26.0</v>
      </c>
      <c r="C63" s="25" t="s">
        <v>213</v>
      </c>
      <c r="D63" s="28" t="s">
        <v>214</v>
      </c>
      <c r="E63" s="37" t="s">
        <v>183</v>
      </c>
      <c r="F63" s="44">
        <f>IF(COUNTIF(E63,"*Fix*")&gt;0, B63, IF(COUNTIF(E63,"*KI-Agent*")&gt;0, 99, B63 + VLOOKUP("AI-Personal-Hebel", '00_Input_Sandbox'!$B$4:$F$20, '00_Input_Sandbox'!$B$2-1, FALSE)))</f>
        <v>99</v>
      </c>
      <c r="G63" s="28"/>
      <c r="H63" s="9"/>
      <c r="I63" s="9"/>
      <c r="J63" s="9"/>
      <c r="K63" s="9"/>
      <c r="L63" s="9"/>
      <c r="M63" s="9"/>
      <c r="N63" s="9"/>
      <c r="O63" s="9"/>
      <c r="P63" s="9"/>
      <c r="Q63" s="9"/>
      <c r="R63" s="9"/>
      <c r="S63" s="9"/>
      <c r="T63" s="9"/>
      <c r="U63" s="9"/>
      <c r="V63" s="9"/>
      <c r="W63" s="9"/>
      <c r="X63" s="9"/>
      <c r="Y63" s="9"/>
      <c r="Z63" s="9"/>
      <c r="AA63" s="9"/>
      <c r="AB63" s="9"/>
    </row>
    <row r="64" ht="14.25" customHeight="1">
      <c r="A64" s="23" t="s">
        <v>215</v>
      </c>
      <c r="B64" s="24">
        <v>24.0</v>
      </c>
      <c r="C64" s="25" t="s">
        <v>216</v>
      </c>
      <c r="D64" s="28" t="s">
        <v>217</v>
      </c>
      <c r="E64" s="37" t="s">
        <v>166</v>
      </c>
      <c r="F64" s="44">
        <f>IF(COUNTIF(E64,"*Fix*")&gt;0, B64, IF(COUNTIF(E64,"*KI-Agent*")&gt;0, 99, B64 + VLOOKUP("AI-Personal-Hebel", '00_Input_Sandbox'!$B$4:$F$20, '00_Input_Sandbox'!$B$2-1, FALSE)))</f>
        <v>24</v>
      </c>
      <c r="G64" s="28"/>
      <c r="H64" s="9"/>
      <c r="I64" s="9"/>
      <c r="J64" s="9"/>
      <c r="K64" s="9"/>
      <c r="L64" s="9"/>
      <c r="M64" s="9"/>
      <c r="N64" s="9"/>
      <c r="O64" s="9"/>
      <c r="P64" s="9"/>
      <c r="Q64" s="9"/>
      <c r="R64" s="9"/>
      <c r="S64" s="9"/>
      <c r="T64" s="9"/>
      <c r="U64" s="9"/>
      <c r="V64" s="9"/>
      <c r="W64" s="9"/>
      <c r="X64" s="9"/>
      <c r="Y64" s="9"/>
      <c r="Z64" s="9"/>
      <c r="AA64" s="9"/>
      <c r="AB64" s="9"/>
    </row>
    <row r="65" ht="14.25" customHeight="1">
      <c r="A65" s="23" t="s">
        <v>218</v>
      </c>
      <c r="B65" s="24">
        <v>28.0</v>
      </c>
      <c r="C65" s="25" t="s">
        <v>219</v>
      </c>
      <c r="D65" s="28" t="s">
        <v>220</v>
      </c>
      <c r="E65" s="37" t="s">
        <v>170</v>
      </c>
      <c r="F65" s="44">
        <f>IF(COUNTIF(E65,"*Fix*")&gt;0, B65, IF(COUNTIF(E65,"*KI-Agent*")&gt;0, 99, B65 + VLOOKUP("AI-Personal-Hebel", '00_Input_Sandbox'!$B$4:$F$20, '00_Input_Sandbox'!$B$2-1, FALSE)))</f>
        <v>28</v>
      </c>
      <c r="G65" s="28"/>
      <c r="H65" s="9"/>
      <c r="I65" s="9"/>
      <c r="J65" s="9"/>
      <c r="K65" s="9"/>
      <c r="L65" s="9"/>
      <c r="M65" s="9"/>
      <c r="N65" s="9"/>
      <c r="O65" s="9"/>
      <c r="P65" s="9"/>
      <c r="Q65" s="9"/>
      <c r="R65" s="9"/>
      <c r="S65" s="9"/>
      <c r="T65" s="9"/>
      <c r="U65" s="9"/>
      <c r="V65" s="9"/>
      <c r="W65" s="9"/>
      <c r="X65" s="9"/>
      <c r="Y65" s="9"/>
      <c r="Z65" s="9"/>
      <c r="AA65" s="9"/>
      <c r="AB65" s="9"/>
    </row>
    <row r="66" ht="14.25" customHeight="1">
      <c r="A66" s="23" t="s">
        <v>221</v>
      </c>
      <c r="B66" s="24">
        <v>30.0</v>
      </c>
      <c r="C66" s="25" t="s">
        <v>222</v>
      </c>
      <c r="D66" s="28" t="s">
        <v>223</v>
      </c>
      <c r="E66" s="37" t="s">
        <v>183</v>
      </c>
      <c r="F66" s="44">
        <f>IF(COUNTIF(E66,"*Fix*")&gt;0, B66, IF(COUNTIF(E66,"*KI-Agent*")&gt;0, 99, B66 + VLOOKUP("AI-Personal-Hebel", '00_Input_Sandbox'!$B$4:$F$20, '00_Input_Sandbox'!$B$2-1, FALSE)))</f>
        <v>99</v>
      </c>
      <c r="G66" s="28"/>
      <c r="H66" s="9"/>
      <c r="I66" s="9"/>
      <c r="J66" s="9"/>
      <c r="K66" s="9"/>
      <c r="L66" s="9"/>
      <c r="M66" s="9"/>
      <c r="N66" s="9"/>
      <c r="O66" s="9"/>
      <c r="P66" s="9"/>
      <c r="Q66" s="9"/>
      <c r="R66" s="9"/>
      <c r="S66" s="9"/>
      <c r="T66" s="9"/>
      <c r="U66" s="9"/>
      <c r="V66" s="9"/>
      <c r="W66" s="9"/>
      <c r="X66" s="9"/>
      <c r="Y66" s="9"/>
      <c r="Z66" s="9"/>
      <c r="AA66" s="9"/>
      <c r="AB66" s="9"/>
    </row>
    <row r="67" ht="14.25" customHeight="1">
      <c r="A67" s="23" t="s">
        <v>224</v>
      </c>
      <c r="B67" s="24">
        <v>32.0</v>
      </c>
      <c r="C67" s="25" t="s">
        <v>225</v>
      </c>
      <c r="D67" s="28" t="s">
        <v>223</v>
      </c>
      <c r="E67" s="37" t="s">
        <v>183</v>
      </c>
      <c r="F67" s="44">
        <f>IF(COUNTIF(E67,"*Fix*")&gt;0, B67, IF(COUNTIF(E67,"*KI-Agent*")&gt;0, 99, B67 + VLOOKUP("AI-Personal-Hebel", '00_Input_Sandbox'!$B$4:$F$20, '00_Input_Sandbox'!$B$2-1, FALSE)))</f>
        <v>99</v>
      </c>
      <c r="G67" s="28"/>
      <c r="H67" s="9"/>
      <c r="I67" s="9"/>
      <c r="J67" s="9"/>
      <c r="K67" s="9"/>
      <c r="L67" s="9"/>
      <c r="M67" s="9"/>
      <c r="N67" s="9"/>
      <c r="O67" s="9"/>
      <c r="P67" s="9"/>
      <c r="Q67" s="9"/>
      <c r="R67" s="9"/>
      <c r="S67" s="9"/>
      <c r="T67" s="9"/>
      <c r="U67" s="9"/>
      <c r="V67" s="9"/>
      <c r="W67" s="9"/>
      <c r="X67" s="9"/>
      <c r="Y67" s="9"/>
      <c r="Z67" s="9"/>
      <c r="AA67" s="9"/>
      <c r="AB67" s="9"/>
    </row>
    <row r="68" ht="14.25" customHeight="1">
      <c r="A68" s="23" t="s">
        <v>226</v>
      </c>
      <c r="B68" s="24">
        <v>34.0</v>
      </c>
      <c r="C68" s="25" t="s">
        <v>227</v>
      </c>
      <c r="D68" s="28" t="s">
        <v>228</v>
      </c>
      <c r="E68" s="37" t="s">
        <v>183</v>
      </c>
      <c r="F68" s="44">
        <f>IF(COUNTIF(E68,"*Fix*")&gt;0, B68, IF(COUNTIF(E68,"*KI-Agent*")&gt;0, 99, B68 + VLOOKUP("AI-Personal-Hebel", '00_Input_Sandbox'!$B$4:$F$20, '00_Input_Sandbox'!$B$2-1, FALSE)))</f>
        <v>99</v>
      </c>
      <c r="G68" s="28"/>
      <c r="H68" s="9"/>
      <c r="I68" s="9"/>
      <c r="J68" s="9"/>
      <c r="K68" s="9"/>
      <c r="L68" s="9"/>
      <c r="M68" s="9"/>
      <c r="N68" s="9"/>
      <c r="O68" s="9"/>
      <c r="P68" s="9"/>
      <c r="Q68" s="9"/>
      <c r="R68" s="9"/>
      <c r="S68" s="9"/>
      <c r="T68" s="9"/>
      <c r="U68" s="9"/>
      <c r="V68" s="9"/>
      <c r="W68" s="9"/>
      <c r="X68" s="9"/>
      <c r="Y68" s="9"/>
      <c r="Z68" s="9"/>
      <c r="AA68" s="9"/>
      <c r="AB68" s="9"/>
    </row>
    <row r="69" ht="14.25" customHeight="1">
      <c r="A69" s="23" t="s">
        <v>229</v>
      </c>
      <c r="B69" s="24">
        <v>30.0</v>
      </c>
      <c r="C69" s="25" t="s">
        <v>230</v>
      </c>
      <c r="D69" s="28" t="s">
        <v>231</v>
      </c>
      <c r="E69" s="37" t="s">
        <v>170</v>
      </c>
      <c r="F69" s="44">
        <f>IF(COUNTIF(E69,"*Fix*")&gt;0, B69, IF(COUNTIF(E69,"*KI-Agent*")&gt;0, 99, B69 + VLOOKUP("AI-Personal-Hebel", '00_Input_Sandbox'!$B$4:$F$20, '00_Input_Sandbox'!$B$2-1, FALSE)))</f>
        <v>30</v>
      </c>
      <c r="G69" s="28"/>
      <c r="H69" s="9"/>
      <c r="I69" s="9"/>
      <c r="J69" s="9"/>
      <c r="K69" s="9"/>
      <c r="L69" s="9"/>
      <c r="M69" s="9"/>
      <c r="N69" s="9"/>
      <c r="O69" s="9"/>
      <c r="P69" s="9"/>
      <c r="Q69" s="9"/>
      <c r="R69" s="9"/>
      <c r="S69" s="9"/>
      <c r="T69" s="9"/>
      <c r="U69" s="9"/>
      <c r="V69" s="9"/>
      <c r="W69" s="9"/>
      <c r="X69" s="9"/>
      <c r="Y69" s="9"/>
      <c r="Z69" s="9"/>
      <c r="AA69" s="9"/>
      <c r="AB69" s="9"/>
    </row>
    <row r="70" ht="14.25" customHeight="1">
      <c r="A70" s="23" t="s">
        <v>232</v>
      </c>
      <c r="B70" s="24">
        <v>36.0</v>
      </c>
      <c r="C70" s="25" t="s">
        <v>233</v>
      </c>
      <c r="D70" s="28" t="s">
        <v>234</v>
      </c>
      <c r="E70" s="37" t="s">
        <v>170</v>
      </c>
      <c r="F70" s="44">
        <f>IF(COUNTIF(E70,"*Fix*")&gt;0, B70, IF(COUNTIF(E70,"*KI-Agent*")&gt;0, 99, B70 + VLOOKUP("AI-Personal-Hebel", '00_Input_Sandbox'!$B$4:$F$20, '00_Input_Sandbox'!$B$2-1, FALSE)))</f>
        <v>36</v>
      </c>
      <c r="G70" s="28"/>
      <c r="H70" s="9"/>
      <c r="I70" s="9"/>
      <c r="J70" s="9"/>
      <c r="K70" s="9"/>
      <c r="L70" s="9"/>
      <c r="M70" s="9"/>
      <c r="N70" s="9"/>
      <c r="O70" s="9"/>
      <c r="P70" s="9"/>
      <c r="Q70" s="9"/>
      <c r="R70" s="9"/>
      <c r="S70" s="9"/>
      <c r="T70" s="9"/>
      <c r="U70" s="9"/>
      <c r="V70" s="9"/>
      <c r="W70" s="9"/>
      <c r="X70" s="9"/>
      <c r="Y70" s="9"/>
      <c r="Z70" s="9"/>
      <c r="AA70" s="9"/>
      <c r="AB70" s="9"/>
    </row>
    <row r="71" ht="14.25" customHeight="1">
      <c r="A71" s="23" t="s">
        <v>235</v>
      </c>
      <c r="B71" s="24">
        <v>36.0</v>
      </c>
      <c r="C71" s="25" t="s">
        <v>236</v>
      </c>
      <c r="D71" s="25"/>
      <c r="E71" s="37" t="s">
        <v>183</v>
      </c>
      <c r="F71" s="44">
        <f>IF(COUNTIF(E71,"*Fix*")&gt;0, B71, IF(COUNTIF(E71,"*KI-Agent*")&gt;0, 99, B71 + VLOOKUP("AI-Personal-Hebel", '00_Input_Sandbox'!$B$4:$F$20, '00_Input_Sandbox'!$B$2-1, FALSE)))</f>
        <v>99</v>
      </c>
      <c r="G71" s="28"/>
      <c r="H71" s="9"/>
      <c r="I71" s="9"/>
      <c r="J71" s="9"/>
      <c r="K71" s="9"/>
      <c r="L71" s="9"/>
      <c r="M71" s="9"/>
      <c r="N71" s="9"/>
      <c r="O71" s="9"/>
      <c r="P71" s="9"/>
      <c r="Q71" s="9"/>
      <c r="R71" s="9"/>
      <c r="S71" s="9"/>
      <c r="T71" s="9"/>
      <c r="U71" s="9"/>
      <c r="V71" s="9"/>
      <c r="W71" s="9"/>
      <c r="X71" s="9"/>
      <c r="Y71" s="9"/>
      <c r="Z71" s="9"/>
      <c r="AA71" s="9"/>
      <c r="AB71" s="9"/>
    </row>
    <row r="72" ht="14.25" customHeight="1">
      <c r="A72" s="23" t="s">
        <v>151</v>
      </c>
      <c r="B72" s="24">
        <v>18.0</v>
      </c>
      <c r="C72" s="25" t="s">
        <v>237</v>
      </c>
      <c r="D72" s="28" t="s">
        <v>238</v>
      </c>
      <c r="E72" s="37" t="s">
        <v>166</v>
      </c>
      <c r="F72" s="44">
        <f>IF(COUNTIF(E72,"*Fix*")&gt;0, B72, IF(COUNTIF(E72,"*KI-Agent*")&gt;0, 99, B72 + VLOOKUP("AI-Personal-Hebel", '00_Input_Sandbox'!$B$4:$F$20, '00_Input_Sandbox'!$B$2-1, FALSE)))</f>
        <v>18</v>
      </c>
      <c r="G72" s="28"/>
      <c r="H72" s="9"/>
      <c r="I72" s="9"/>
      <c r="J72" s="9"/>
      <c r="K72" s="9"/>
      <c r="L72" s="9"/>
      <c r="M72" s="9"/>
      <c r="N72" s="9"/>
      <c r="O72" s="9"/>
      <c r="P72" s="9"/>
      <c r="Q72" s="9"/>
      <c r="R72" s="9"/>
      <c r="S72" s="9"/>
      <c r="T72" s="9"/>
      <c r="U72" s="9"/>
      <c r="V72" s="9"/>
      <c r="W72" s="9"/>
      <c r="X72" s="9"/>
      <c r="Y72" s="9"/>
      <c r="Z72" s="9"/>
      <c r="AA72" s="9"/>
      <c r="AB72" s="9"/>
    </row>
    <row r="73" ht="14.25" customHeight="1">
      <c r="A73" s="50" t="s">
        <v>239</v>
      </c>
      <c r="B73" s="51">
        <v>30.0</v>
      </c>
      <c r="C73" s="52" t="s">
        <v>240</v>
      </c>
      <c r="D73" s="52"/>
      <c r="E73" s="37" t="s">
        <v>183</v>
      </c>
      <c r="F73" s="44">
        <f>IF(COUNTIF(E73,"*Fix*")&gt;0, B73, IF(COUNTIF(E73,"*KI-Agent*")&gt;0, 99, B73 + VLOOKUP("AI-Personal-Hebel", '00_Input_Sandbox'!$B$4:$F$20, '00_Input_Sandbox'!$B$2-1, FALSE)))</f>
        <v>99</v>
      </c>
      <c r="G73" s="28"/>
      <c r="H73" s="9"/>
      <c r="I73" s="9"/>
      <c r="J73" s="9"/>
      <c r="K73" s="9"/>
      <c r="L73" s="9"/>
      <c r="M73" s="9"/>
      <c r="N73" s="9"/>
      <c r="O73" s="9"/>
      <c r="P73" s="9"/>
      <c r="Q73" s="9"/>
      <c r="R73" s="9"/>
      <c r="S73" s="9"/>
      <c r="T73" s="9"/>
      <c r="U73" s="9"/>
      <c r="V73" s="9"/>
      <c r="W73" s="9"/>
      <c r="X73" s="9"/>
      <c r="Y73" s="9"/>
      <c r="Z73" s="9"/>
      <c r="AA73" s="9"/>
      <c r="AB73" s="9"/>
    </row>
    <row r="74" ht="14.25" customHeight="1">
      <c r="A74" s="50" t="s">
        <v>241</v>
      </c>
      <c r="B74" s="51">
        <v>36.0</v>
      </c>
      <c r="C74" s="52" t="s">
        <v>242</v>
      </c>
      <c r="D74" s="52"/>
      <c r="E74" s="37" t="s">
        <v>183</v>
      </c>
      <c r="F74" s="44">
        <f>IF(COUNTIF(E74,"*Fix*")&gt;0, B74, IF(COUNTIF(E74,"*KI-Agent*")&gt;0, 99, B74 + VLOOKUP("AI-Personal-Hebel", '00_Input_Sandbox'!$B$4:$F$20, '00_Input_Sandbox'!$B$2-1, FALSE)))</f>
        <v>99</v>
      </c>
      <c r="G74" s="28"/>
      <c r="H74" s="9"/>
      <c r="I74" s="9"/>
      <c r="J74" s="9"/>
      <c r="K74" s="9"/>
      <c r="L74" s="9"/>
      <c r="M74" s="9"/>
      <c r="N74" s="9"/>
      <c r="O74" s="9"/>
      <c r="P74" s="9"/>
      <c r="Q74" s="9"/>
      <c r="R74" s="9"/>
      <c r="S74" s="9"/>
      <c r="T74" s="9"/>
      <c r="U74" s="9"/>
      <c r="V74" s="9"/>
      <c r="W74" s="9"/>
      <c r="X74" s="9"/>
      <c r="Y74" s="9"/>
      <c r="Z74" s="9"/>
      <c r="AA74" s="9"/>
      <c r="AB74" s="9"/>
    </row>
    <row r="75" ht="14.25" customHeight="1">
      <c r="A75" s="50" t="s">
        <v>243</v>
      </c>
      <c r="B75" s="51">
        <v>30.0</v>
      </c>
      <c r="C75" s="52" t="s">
        <v>244</v>
      </c>
      <c r="D75" s="52"/>
      <c r="E75" s="37" t="s">
        <v>183</v>
      </c>
      <c r="F75" s="44">
        <f>IF(COUNTIF(E75,"*Fix*")&gt;0, B75, IF(COUNTIF(E75,"*KI-Agent*")&gt;0, 99, B75 + VLOOKUP("AI-Personal-Hebel", '00_Input_Sandbox'!$B$4:$F$20, '00_Input_Sandbox'!$B$2-1, FALSE)))</f>
        <v>99</v>
      </c>
      <c r="G75" s="28"/>
      <c r="H75" s="9"/>
      <c r="I75" s="9"/>
      <c r="J75" s="9"/>
      <c r="K75" s="9"/>
      <c r="L75" s="9"/>
      <c r="M75" s="9"/>
      <c r="N75" s="9"/>
      <c r="O75" s="9"/>
      <c r="P75" s="9"/>
      <c r="Q75" s="9"/>
      <c r="R75" s="9"/>
      <c r="S75" s="9"/>
      <c r="T75" s="9"/>
      <c r="U75" s="9"/>
      <c r="V75" s="9"/>
      <c r="W75" s="9"/>
      <c r="X75" s="9"/>
      <c r="Y75" s="9"/>
      <c r="Z75" s="9"/>
      <c r="AA75" s="9"/>
      <c r="AB75" s="9"/>
    </row>
    <row r="76" ht="14.25" customHeight="1">
      <c r="A76" s="50" t="s">
        <v>245</v>
      </c>
      <c r="B76" s="51">
        <v>30.0</v>
      </c>
      <c r="C76" s="52" t="s">
        <v>246</v>
      </c>
      <c r="D76" s="52"/>
      <c r="E76" s="37" t="s">
        <v>183</v>
      </c>
      <c r="F76" s="44">
        <f>IF(COUNTIF(E76,"*Fix*")&gt;0, B76, IF(COUNTIF(E76,"*KI-Agent*")&gt;0, 99, B76 + VLOOKUP("AI-Personal-Hebel", '00_Input_Sandbox'!$B$4:$F$20, '00_Input_Sandbox'!$B$2-1, FALSE)))</f>
        <v>99</v>
      </c>
      <c r="G76" s="28"/>
      <c r="H76" s="9"/>
      <c r="I76" s="9"/>
      <c r="J76" s="9"/>
      <c r="K76" s="9"/>
      <c r="L76" s="9"/>
      <c r="M76" s="9"/>
      <c r="N76" s="9"/>
      <c r="O76" s="9"/>
      <c r="P76" s="9"/>
      <c r="Q76" s="9"/>
      <c r="R76" s="9"/>
      <c r="S76" s="9"/>
      <c r="T76" s="9"/>
      <c r="U76" s="9"/>
      <c r="V76" s="9"/>
      <c r="W76" s="9"/>
      <c r="X76" s="9"/>
      <c r="Y76" s="9"/>
      <c r="Z76" s="9"/>
      <c r="AA76" s="9"/>
      <c r="AB76" s="9"/>
    </row>
    <row r="77" ht="14.25" customHeight="1">
      <c r="A77" s="50" t="s">
        <v>247</v>
      </c>
      <c r="B77" s="51">
        <v>34.0</v>
      </c>
      <c r="C77" s="52" t="s">
        <v>248</v>
      </c>
      <c r="D77" s="52"/>
      <c r="E77" s="37" t="s">
        <v>183</v>
      </c>
      <c r="F77" s="44">
        <f>IF(COUNTIF(E77,"*Fix*")&gt;0, B77, IF(COUNTIF(E77,"*KI-Agent*")&gt;0, 99, B77 + VLOOKUP("AI-Personal-Hebel", '00_Input_Sandbox'!$B$4:$F$20, '00_Input_Sandbox'!$B$2-1, FALSE)))</f>
        <v>99</v>
      </c>
      <c r="G77" s="28"/>
      <c r="H77" s="9"/>
      <c r="I77" s="9"/>
      <c r="J77" s="9"/>
      <c r="K77" s="9"/>
      <c r="L77" s="9"/>
      <c r="M77" s="9"/>
      <c r="N77" s="9"/>
      <c r="O77" s="9"/>
      <c r="P77" s="9"/>
      <c r="Q77" s="9"/>
      <c r="R77" s="9"/>
      <c r="S77" s="9"/>
      <c r="T77" s="9"/>
      <c r="U77" s="9"/>
      <c r="V77" s="9"/>
      <c r="W77" s="9"/>
      <c r="X77" s="9"/>
      <c r="Y77" s="9"/>
      <c r="Z77" s="9"/>
      <c r="AA77" s="9"/>
      <c r="AB77" s="9"/>
    </row>
    <row r="78" ht="14.25" customHeight="1">
      <c r="A78" s="50" t="s">
        <v>249</v>
      </c>
      <c r="B78" s="51">
        <v>34.0</v>
      </c>
      <c r="C78" s="52" t="s">
        <v>250</v>
      </c>
      <c r="D78" s="52"/>
      <c r="E78" s="37" t="s">
        <v>183</v>
      </c>
      <c r="F78" s="44">
        <f>IF(COUNTIF(E78,"*Fix*")&gt;0, B78, IF(COUNTIF(E78,"*KI-Agent*")&gt;0, 99, B78 + VLOOKUP("AI-Personal-Hebel", '00_Input_Sandbox'!$B$4:$F$20, '00_Input_Sandbox'!$B$2-1, FALSE)))</f>
        <v>99</v>
      </c>
      <c r="G78" s="28"/>
      <c r="H78" s="9"/>
      <c r="I78" s="9"/>
      <c r="J78" s="9"/>
      <c r="K78" s="9"/>
      <c r="L78" s="9"/>
      <c r="M78" s="9"/>
      <c r="N78" s="9"/>
      <c r="O78" s="9"/>
      <c r="P78" s="9"/>
      <c r="Q78" s="9"/>
      <c r="R78" s="9"/>
      <c r="S78" s="9"/>
      <c r="T78" s="9"/>
      <c r="U78" s="9"/>
      <c r="V78" s="9"/>
      <c r="W78" s="9"/>
      <c r="X78" s="9"/>
      <c r="Y78" s="9"/>
      <c r="Z78" s="9"/>
      <c r="AA78" s="9"/>
      <c r="AB78" s="9"/>
    </row>
    <row r="79" ht="14.25" customHeight="1">
      <c r="A79" s="50" t="s">
        <v>251</v>
      </c>
      <c r="B79" s="51">
        <v>30.0</v>
      </c>
      <c r="C79" s="52" t="s">
        <v>252</v>
      </c>
      <c r="D79" s="52"/>
      <c r="E79" s="37" t="s">
        <v>183</v>
      </c>
      <c r="F79" s="44">
        <f>IF(COUNTIF(E79,"*Fix*")&gt;0, B79, IF(COUNTIF(E79,"*KI-Agent*")&gt;0, 99, B79 + VLOOKUP("AI-Personal-Hebel", '00_Input_Sandbox'!$B$4:$F$20, '00_Input_Sandbox'!$B$2-1, FALSE)))</f>
        <v>99</v>
      </c>
      <c r="G79" s="28"/>
      <c r="H79" s="9"/>
      <c r="I79" s="9"/>
      <c r="J79" s="9"/>
      <c r="K79" s="9"/>
      <c r="L79" s="9"/>
      <c r="M79" s="9"/>
      <c r="N79" s="9"/>
      <c r="O79" s="9"/>
      <c r="P79" s="9"/>
      <c r="Q79" s="9"/>
      <c r="R79" s="9"/>
      <c r="S79" s="9"/>
      <c r="T79" s="9"/>
      <c r="U79" s="9"/>
      <c r="V79" s="9"/>
      <c r="W79" s="9"/>
      <c r="X79" s="9"/>
      <c r="Y79" s="9"/>
      <c r="Z79" s="9"/>
      <c r="AA79" s="9"/>
      <c r="AB79" s="9"/>
    </row>
    <row r="80" ht="14.25" customHeight="1">
      <c r="A80" s="9"/>
      <c r="B80" s="9"/>
      <c r="C80" s="9"/>
      <c r="D80" s="19"/>
      <c r="E80" s="9"/>
      <c r="F80" s="9"/>
      <c r="G80" s="9"/>
      <c r="H80" s="9"/>
      <c r="I80" s="9"/>
      <c r="J80" s="9"/>
      <c r="K80" s="9"/>
      <c r="L80" s="9"/>
      <c r="M80" s="9"/>
      <c r="N80" s="9"/>
      <c r="O80" s="9"/>
      <c r="P80" s="9"/>
      <c r="Q80" s="9"/>
      <c r="R80" s="9"/>
      <c r="S80" s="9"/>
      <c r="T80" s="9"/>
      <c r="U80" s="9"/>
      <c r="V80" s="9"/>
      <c r="W80" s="9"/>
      <c r="X80" s="9"/>
      <c r="Y80" s="9"/>
      <c r="Z80" s="9"/>
      <c r="AA80" s="9"/>
      <c r="AB80" s="9"/>
    </row>
    <row r="81" ht="14.25" customHeight="1">
      <c r="A81" s="21" t="s">
        <v>253</v>
      </c>
      <c r="B81" s="22"/>
      <c r="C81" s="22"/>
      <c r="D81" s="22"/>
      <c r="E81" s="9"/>
      <c r="F81" s="9"/>
      <c r="G81" s="9"/>
      <c r="H81" s="9"/>
      <c r="I81" s="9"/>
      <c r="J81" s="9"/>
      <c r="K81" s="9"/>
      <c r="L81" s="9"/>
      <c r="M81" s="9"/>
      <c r="N81" s="9"/>
      <c r="O81" s="9"/>
      <c r="P81" s="9"/>
      <c r="Q81" s="9"/>
      <c r="R81" s="9"/>
      <c r="S81" s="9"/>
      <c r="T81" s="9"/>
      <c r="U81" s="9"/>
      <c r="V81" s="9"/>
      <c r="W81" s="9"/>
      <c r="X81" s="9"/>
      <c r="Y81" s="9"/>
      <c r="Z81" s="9"/>
      <c r="AA81" s="9"/>
      <c r="AB81" s="9"/>
    </row>
    <row r="82" ht="14.25" customHeight="1">
      <c r="A82" s="23" t="s">
        <v>254</v>
      </c>
      <c r="B82" s="29">
        <v>1200.0</v>
      </c>
      <c r="C82" s="25" t="s">
        <v>255</v>
      </c>
      <c r="D82" s="28" t="s">
        <v>256</v>
      </c>
      <c r="E82" s="9"/>
      <c r="F82" s="9"/>
      <c r="G82" s="9"/>
      <c r="H82" s="9"/>
      <c r="I82" s="9"/>
      <c r="J82" s="9"/>
      <c r="K82" s="9"/>
      <c r="L82" s="9"/>
      <c r="M82" s="9"/>
      <c r="N82" s="9"/>
      <c r="O82" s="9"/>
      <c r="P82" s="9"/>
      <c r="Q82" s="9"/>
      <c r="R82" s="9"/>
      <c r="S82" s="9"/>
      <c r="T82" s="9"/>
      <c r="U82" s="9"/>
      <c r="V82" s="9"/>
      <c r="W82" s="9"/>
      <c r="X82" s="9"/>
      <c r="Y82" s="9"/>
      <c r="Z82" s="9"/>
      <c r="AA82" s="9"/>
      <c r="AB82" s="9"/>
    </row>
    <row r="83" ht="14.25" customHeight="1">
      <c r="A83" s="23" t="s">
        <v>257</v>
      </c>
      <c r="B83" s="29">
        <v>50.0</v>
      </c>
      <c r="C83" s="25" t="s">
        <v>258</v>
      </c>
      <c r="D83" s="28" t="s">
        <v>259</v>
      </c>
      <c r="E83" s="9"/>
      <c r="F83" s="9"/>
      <c r="G83" s="9"/>
      <c r="H83" s="9"/>
      <c r="I83" s="9"/>
      <c r="J83" s="9"/>
      <c r="K83" s="9"/>
      <c r="L83" s="9"/>
      <c r="M83" s="9"/>
      <c r="N83" s="9"/>
      <c r="O83" s="9"/>
      <c r="P83" s="9"/>
      <c r="Q83" s="9"/>
      <c r="R83" s="9"/>
      <c r="S83" s="9"/>
      <c r="T83" s="9"/>
      <c r="U83" s="9"/>
      <c r="V83" s="9"/>
      <c r="W83" s="9"/>
      <c r="X83" s="9"/>
      <c r="Y83" s="9"/>
      <c r="Z83" s="9"/>
      <c r="AA83" s="9"/>
      <c r="AB83" s="9"/>
    </row>
    <row r="84" ht="14.25" customHeight="1">
      <c r="A84" s="23" t="s">
        <v>260</v>
      </c>
      <c r="B84" s="29">
        <v>1000.0</v>
      </c>
      <c r="C84" s="25" t="s">
        <v>261</v>
      </c>
      <c r="D84" s="25" t="s">
        <v>262</v>
      </c>
      <c r="E84" s="9"/>
      <c r="F84" s="9"/>
      <c r="G84" s="9"/>
      <c r="H84" s="9"/>
      <c r="I84" s="9"/>
      <c r="J84" s="9"/>
      <c r="K84" s="9"/>
      <c r="L84" s="9"/>
      <c r="M84" s="9"/>
      <c r="N84" s="9"/>
      <c r="O84" s="9"/>
      <c r="P84" s="9"/>
      <c r="Q84" s="9"/>
      <c r="R84" s="9"/>
      <c r="S84" s="9"/>
      <c r="T84" s="9"/>
      <c r="U84" s="9"/>
      <c r="V84" s="9"/>
      <c r="W84" s="9"/>
      <c r="X84" s="9"/>
      <c r="Y84" s="9"/>
      <c r="Z84" s="9"/>
      <c r="AA84" s="9"/>
      <c r="AB84" s="9"/>
    </row>
    <row r="85" ht="14.25" customHeight="1">
      <c r="A85" s="23" t="s">
        <v>263</v>
      </c>
      <c r="B85" s="33">
        <v>0.05</v>
      </c>
      <c r="C85" s="25" t="s">
        <v>264</v>
      </c>
      <c r="D85" s="28" t="s">
        <v>265</v>
      </c>
      <c r="E85" s="9"/>
      <c r="F85" s="9"/>
      <c r="G85" s="9"/>
      <c r="H85" s="9"/>
      <c r="I85" s="9"/>
      <c r="J85" s="9"/>
      <c r="K85" s="9"/>
      <c r="L85" s="9"/>
      <c r="M85" s="9"/>
      <c r="N85" s="9"/>
      <c r="O85" s="9"/>
      <c r="P85" s="9"/>
      <c r="Q85" s="9"/>
      <c r="R85" s="9"/>
      <c r="S85" s="9"/>
      <c r="T85" s="9"/>
      <c r="U85" s="9"/>
      <c r="V85" s="9"/>
      <c r="W85" s="9"/>
      <c r="X85" s="9"/>
      <c r="Y85" s="9"/>
      <c r="Z85" s="9"/>
      <c r="AA85" s="9"/>
      <c r="AB85" s="9"/>
    </row>
    <row r="86" ht="14.25" customHeight="1">
      <c r="A86" s="23" t="s">
        <v>266</v>
      </c>
      <c r="B86" s="29">
        <v>400.0</v>
      </c>
      <c r="C86" s="25" t="s">
        <v>267</v>
      </c>
      <c r="D86" s="28" t="s">
        <v>268</v>
      </c>
      <c r="E86" s="9"/>
      <c r="F86" s="9"/>
      <c r="G86" s="9"/>
      <c r="H86" s="9"/>
      <c r="I86" s="9"/>
      <c r="J86" s="9"/>
      <c r="K86" s="9"/>
      <c r="L86" s="9"/>
      <c r="M86" s="9"/>
      <c r="N86" s="9"/>
      <c r="O86" s="9"/>
      <c r="P86" s="9"/>
      <c r="Q86" s="9"/>
      <c r="R86" s="9"/>
      <c r="S86" s="9"/>
      <c r="T86" s="9"/>
      <c r="U86" s="9"/>
      <c r="V86" s="9"/>
      <c r="W86" s="9"/>
      <c r="X86" s="9"/>
      <c r="Y86" s="9"/>
      <c r="Z86" s="9"/>
      <c r="AA86" s="9"/>
      <c r="AB86" s="9"/>
    </row>
    <row r="87" ht="14.25" customHeight="1">
      <c r="A87" s="23" t="s">
        <v>269</v>
      </c>
      <c r="B87" s="29">
        <v>100.0</v>
      </c>
      <c r="C87" s="25" t="s">
        <v>270</v>
      </c>
      <c r="D87" s="28" t="s">
        <v>271</v>
      </c>
      <c r="E87" s="9"/>
      <c r="F87" s="9"/>
      <c r="G87" s="9"/>
      <c r="H87" s="9"/>
      <c r="I87" s="9"/>
      <c r="J87" s="9"/>
      <c r="K87" s="9"/>
      <c r="L87" s="9"/>
      <c r="M87" s="9"/>
      <c r="N87" s="9"/>
      <c r="O87" s="9"/>
      <c r="P87" s="9"/>
      <c r="Q87" s="9"/>
      <c r="R87" s="9"/>
      <c r="S87" s="9"/>
      <c r="T87" s="9"/>
      <c r="U87" s="9"/>
      <c r="V87" s="9"/>
      <c r="W87" s="9"/>
      <c r="X87" s="9"/>
      <c r="Y87" s="9"/>
      <c r="Z87" s="9"/>
      <c r="AA87" s="9"/>
      <c r="AB87" s="9"/>
    </row>
    <row r="88" ht="14.25" customHeight="1">
      <c r="A88" s="23" t="s">
        <v>272</v>
      </c>
      <c r="B88" s="29">
        <v>5000.0</v>
      </c>
      <c r="C88" s="25" t="s">
        <v>273</v>
      </c>
      <c r="D88" s="28" t="s">
        <v>274</v>
      </c>
      <c r="E88" s="9"/>
      <c r="F88" s="9"/>
      <c r="G88" s="9"/>
      <c r="H88" s="9"/>
      <c r="I88" s="9"/>
      <c r="J88" s="9"/>
      <c r="K88" s="9"/>
      <c r="L88" s="9"/>
      <c r="M88" s="9"/>
      <c r="N88" s="9"/>
      <c r="O88" s="9"/>
      <c r="P88" s="9"/>
      <c r="Q88" s="9"/>
      <c r="R88" s="9"/>
      <c r="S88" s="9"/>
      <c r="T88" s="9"/>
      <c r="U88" s="9"/>
      <c r="V88" s="9"/>
      <c r="W88" s="9"/>
      <c r="X88" s="9"/>
      <c r="Y88" s="9"/>
      <c r="Z88" s="9"/>
      <c r="AA88" s="9"/>
      <c r="AB88" s="9"/>
    </row>
    <row r="89" ht="14.25" customHeight="1">
      <c r="A89" s="23" t="s">
        <v>275</v>
      </c>
      <c r="B89" s="29">
        <v>3500.0</v>
      </c>
      <c r="C89" s="25" t="s">
        <v>276</v>
      </c>
      <c r="D89" s="28" t="s">
        <v>277</v>
      </c>
      <c r="E89" s="9"/>
      <c r="F89" s="9"/>
      <c r="G89" s="9"/>
      <c r="H89" s="9"/>
      <c r="I89" s="9"/>
      <c r="J89" s="9"/>
      <c r="K89" s="9"/>
      <c r="L89" s="9"/>
      <c r="M89" s="9"/>
      <c r="N89" s="9"/>
      <c r="O89" s="9"/>
      <c r="P89" s="9"/>
      <c r="Q89" s="9"/>
      <c r="R89" s="9"/>
      <c r="S89" s="9"/>
      <c r="T89" s="9"/>
      <c r="U89" s="9"/>
      <c r="V89" s="9"/>
      <c r="W89" s="9"/>
      <c r="X89" s="9"/>
      <c r="Y89" s="9"/>
      <c r="Z89" s="9"/>
      <c r="AA89" s="9"/>
      <c r="AB89" s="9"/>
    </row>
    <row r="90" ht="14.25" customHeight="1">
      <c r="A90" s="9"/>
      <c r="B90" s="9"/>
      <c r="C90" s="9"/>
      <c r="D90" s="19"/>
      <c r="E90" s="9"/>
      <c r="F90" s="9"/>
      <c r="G90" s="9"/>
      <c r="H90" s="9"/>
      <c r="I90" s="9"/>
      <c r="J90" s="9"/>
      <c r="K90" s="9"/>
      <c r="L90" s="9"/>
      <c r="M90" s="9"/>
      <c r="N90" s="9"/>
      <c r="O90" s="9"/>
      <c r="P90" s="9"/>
      <c r="Q90" s="9"/>
      <c r="R90" s="9"/>
      <c r="S90" s="9"/>
      <c r="T90" s="9"/>
      <c r="U90" s="9"/>
      <c r="V90" s="9"/>
      <c r="W90" s="9"/>
      <c r="X90" s="9"/>
      <c r="Y90" s="9"/>
      <c r="Z90" s="9"/>
      <c r="AA90" s="9"/>
      <c r="AB90" s="9"/>
    </row>
    <row r="91" ht="14.25" customHeight="1">
      <c r="A91" s="21" t="s">
        <v>278</v>
      </c>
      <c r="B91" s="22"/>
      <c r="C91" s="22"/>
      <c r="D91" s="22"/>
      <c r="E91" s="9"/>
      <c r="F91" s="9"/>
      <c r="G91" s="9"/>
      <c r="H91" s="9"/>
      <c r="I91" s="9"/>
      <c r="J91" s="9"/>
      <c r="K91" s="9"/>
      <c r="L91" s="9"/>
      <c r="M91" s="9"/>
      <c r="N91" s="9"/>
      <c r="O91" s="9"/>
      <c r="P91" s="9"/>
      <c r="Q91" s="9"/>
      <c r="R91" s="9"/>
      <c r="S91" s="9"/>
      <c r="T91" s="9"/>
      <c r="U91" s="9"/>
      <c r="V91" s="9"/>
      <c r="W91" s="9"/>
      <c r="X91" s="9"/>
      <c r="Y91" s="9"/>
      <c r="Z91" s="9"/>
      <c r="AA91" s="9"/>
      <c r="AB91" s="9"/>
    </row>
    <row r="92" ht="14.25" customHeight="1">
      <c r="A92" s="23" t="s">
        <v>279</v>
      </c>
      <c r="B92" s="29">
        <v>2500.0</v>
      </c>
      <c r="C92" s="25" t="s">
        <v>280</v>
      </c>
      <c r="D92" s="28" t="s">
        <v>281</v>
      </c>
      <c r="E92" s="9"/>
      <c r="F92" s="9"/>
      <c r="G92" s="9"/>
      <c r="H92" s="9"/>
      <c r="I92" s="9"/>
      <c r="J92" s="9"/>
      <c r="K92" s="9"/>
      <c r="L92" s="9"/>
      <c r="M92" s="9"/>
      <c r="N92" s="9"/>
      <c r="O92" s="9"/>
      <c r="P92" s="9"/>
      <c r="Q92" s="9"/>
      <c r="R92" s="9"/>
      <c r="S92" s="9"/>
      <c r="T92" s="9"/>
      <c r="U92" s="9"/>
      <c r="V92" s="9"/>
      <c r="W92" s="9"/>
      <c r="X92" s="9"/>
      <c r="Y92" s="9"/>
      <c r="Z92" s="9"/>
      <c r="AA92" s="9"/>
      <c r="AB92" s="9"/>
    </row>
    <row r="93" ht="14.25" customHeight="1">
      <c r="A93" s="23" t="s">
        <v>282</v>
      </c>
      <c r="B93" s="29">
        <v>800.0</v>
      </c>
      <c r="C93" s="25" t="s">
        <v>283</v>
      </c>
      <c r="D93" s="28" t="s">
        <v>284</v>
      </c>
      <c r="E93" s="9"/>
      <c r="F93" s="9"/>
      <c r="G93" s="9"/>
      <c r="H93" s="9"/>
      <c r="I93" s="9"/>
      <c r="J93" s="9"/>
      <c r="K93" s="9"/>
      <c r="L93" s="9"/>
      <c r="M93" s="9"/>
      <c r="N93" s="9"/>
      <c r="O93" s="9"/>
      <c r="P93" s="9"/>
      <c r="Q93" s="9"/>
      <c r="R93" s="9"/>
      <c r="S93" s="9"/>
      <c r="T93" s="9"/>
      <c r="U93" s="9"/>
      <c r="V93" s="9"/>
      <c r="W93" s="9"/>
      <c r="X93" s="9"/>
      <c r="Y93" s="9"/>
      <c r="Z93" s="9"/>
      <c r="AA93" s="9"/>
      <c r="AB93" s="9"/>
    </row>
    <row r="94" ht="14.25" customHeight="1">
      <c r="A94" s="23" t="s">
        <v>285</v>
      </c>
      <c r="B94" s="24">
        <v>36.0</v>
      </c>
      <c r="C94" s="25" t="s">
        <v>286</v>
      </c>
      <c r="D94" s="28" t="s">
        <v>287</v>
      </c>
      <c r="E94" s="9"/>
      <c r="F94" s="9"/>
      <c r="G94" s="9"/>
      <c r="H94" s="9"/>
      <c r="I94" s="9"/>
      <c r="J94" s="9"/>
      <c r="K94" s="9"/>
      <c r="L94" s="9"/>
      <c r="M94" s="9"/>
      <c r="N94" s="9"/>
      <c r="O94" s="9"/>
      <c r="P94" s="9"/>
      <c r="Q94" s="9"/>
      <c r="R94" s="9"/>
      <c r="S94" s="9"/>
      <c r="T94" s="9"/>
      <c r="U94" s="9"/>
      <c r="V94" s="9"/>
      <c r="W94" s="9"/>
      <c r="X94" s="9"/>
      <c r="Y94" s="9"/>
      <c r="Z94" s="9"/>
      <c r="AA94" s="9"/>
      <c r="AB94" s="9"/>
    </row>
    <row r="95" ht="14.25" customHeight="1">
      <c r="A95" s="23" t="s">
        <v>288</v>
      </c>
      <c r="B95" s="29">
        <v>2000.0</v>
      </c>
      <c r="C95" s="25" t="s">
        <v>289</v>
      </c>
      <c r="D95" s="28" t="s">
        <v>290</v>
      </c>
      <c r="E95" s="9"/>
      <c r="F95" s="9"/>
      <c r="G95" s="9"/>
      <c r="H95" s="9"/>
      <c r="I95" s="9"/>
      <c r="J95" s="9"/>
      <c r="K95" s="9"/>
      <c r="L95" s="9"/>
      <c r="M95" s="9"/>
      <c r="N95" s="9"/>
      <c r="O95" s="9"/>
      <c r="P95" s="9"/>
      <c r="Q95" s="9"/>
      <c r="R95" s="9"/>
      <c r="S95" s="9"/>
      <c r="T95" s="9"/>
      <c r="U95" s="9"/>
      <c r="V95" s="9"/>
      <c r="W95" s="9"/>
      <c r="X95" s="9"/>
      <c r="Y95" s="9"/>
      <c r="Z95" s="9"/>
      <c r="AA95" s="9"/>
      <c r="AB95" s="9"/>
    </row>
    <row r="96" ht="14.25" customHeight="1">
      <c r="A96" s="9"/>
      <c r="B96" s="9"/>
      <c r="C96" s="9"/>
      <c r="D96" s="19"/>
      <c r="E96" s="9"/>
      <c r="F96" s="9"/>
      <c r="G96" s="9"/>
      <c r="H96" s="9"/>
      <c r="I96" s="9"/>
      <c r="J96" s="9"/>
      <c r="K96" s="9"/>
      <c r="L96" s="9"/>
      <c r="M96" s="9"/>
      <c r="N96" s="9"/>
      <c r="O96" s="9"/>
      <c r="P96" s="9"/>
      <c r="Q96" s="9"/>
      <c r="R96" s="9"/>
      <c r="S96" s="9"/>
      <c r="T96" s="9"/>
      <c r="U96" s="9"/>
      <c r="V96" s="9"/>
      <c r="W96" s="9"/>
      <c r="X96" s="9"/>
      <c r="Y96" s="9"/>
      <c r="Z96" s="9"/>
      <c r="AA96" s="9"/>
      <c r="AB96" s="9"/>
    </row>
    <row r="97" ht="14.25" customHeight="1">
      <c r="A97" s="21" t="s">
        <v>291</v>
      </c>
      <c r="B97" s="22"/>
      <c r="C97" s="22"/>
      <c r="D97" s="22"/>
      <c r="E97" s="9"/>
      <c r="F97" s="9"/>
      <c r="G97" s="9"/>
      <c r="H97" s="9"/>
      <c r="I97" s="9"/>
      <c r="J97" s="9"/>
      <c r="K97" s="9"/>
      <c r="L97" s="9"/>
      <c r="M97" s="9"/>
      <c r="N97" s="9"/>
      <c r="O97" s="9"/>
      <c r="P97" s="9"/>
      <c r="Q97" s="9"/>
      <c r="R97" s="9"/>
      <c r="S97" s="9"/>
      <c r="T97" s="9"/>
      <c r="U97" s="9"/>
      <c r="V97" s="9"/>
      <c r="W97" s="9"/>
      <c r="X97" s="9"/>
      <c r="Y97" s="9"/>
      <c r="Z97" s="9"/>
      <c r="AA97" s="9"/>
      <c r="AB97" s="9"/>
    </row>
    <row r="98" ht="14.25" customHeight="1">
      <c r="A98" s="23" t="s">
        <v>292</v>
      </c>
      <c r="B98" s="29">
        <v>1500.0</v>
      </c>
      <c r="C98" s="25" t="s">
        <v>293</v>
      </c>
      <c r="D98" s="28" t="s">
        <v>294</v>
      </c>
      <c r="E98" s="9"/>
      <c r="F98" s="9"/>
      <c r="G98" s="9"/>
      <c r="H98" s="9"/>
      <c r="I98" s="9"/>
      <c r="J98" s="9"/>
      <c r="K98" s="9"/>
      <c r="L98" s="9"/>
      <c r="M98" s="9"/>
      <c r="N98" s="9"/>
      <c r="O98" s="9"/>
      <c r="P98" s="9"/>
      <c r="Q98" s="9"/>
      <c r="R98" s="9"/>
      <c r="S98" s="9"/>
      <c r="T98" s="9"/>
      <c r="U98" s="9"/>
      <c r="V98" s="9"/>
      <c r="W98" s="9"/>
      <c r="X98" s="9"/>
      <c r="Y98" s="9"/>
      <c r="Z98" s="9"/>
      <c r="AA98" s="9"/>
      <c r="AB98" s="9"/>
    </row>
    <row r="99" ht="14.25" customHeight="1">
      <c r="A99" s="23" t="s">
        <v>295</v>
      </c>
      <c r="B99" s="24">
        <v>18.0</v>
      </c>
      <c r="C99" s="25" t="s">
        <v>296</v>
      </c>
      <c r="D99" s="28" t="s">
        <v>297</v>
      </c>
      <c r="E99" s="9"/>
      <c r="F99" s="9"/>
      <c r="G99" s="9"/>
      <c r="H99" s="9"/>
      <c r="I99" s="9"/>
      <c r="J99" s="9"/>
      <c r="K99" s="9"/>
      <c r="L99" s="9"/>
      <c r="M99" s="9"/>
      <c r="N99" s="9"/>
      <c r="O99" s="9"/>
      <c r="P99" s="9"/>
      <c r="Q99" s="9"/>
      <c r="R99" s="9"/>
      <c r="S99" s="9"/>
      <c r="T99" s="9"/>
      <c r="U99" s="9"/>
      <c r="V99" s="9"/>
      <c r="W99" s="9"/>
      <c r="X99" s="9"/>
      <c r="Y99" s="9"/>
      <c r="Z99" s="9"/>
      <c r="AA99" s="9"/>
      <c r="AB99" s="9"/>
    </row>
    <row r="100" ht="14.25" customHeight="1">
      <c r="A100" s="23" t="s">
        <v>298</v>
      </c>
      <c r="B100" s="29">
        <v>4500.0</v>
      </c>
      <c r="C100" s="25" t="s">
        <v>299</v>
      </c>
      <c r="D100" s="28" t="s">
        <v>300</v>
      </c>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ht="14.25" customHeight="1">
      <c r="A101" s="23" t="s">
        <v>301</v>
      </c>
      <c r="B101" s="29">
        <v>300.0</v>
      </c>
      <c r="C101" s="25" t="s">
        <v>302</v>
      </c>
      <c r="D101" s="28" t="s">
        <v>223</v>
      </c>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ht="14.25" customHeight="1">
      <c r="A102" s="23" t="s">
        <v>303</v>
      </c>
      <c r="B102" s="29">
        <v>150.0</v>
      </c>
      <c r="C102" s="25" t="s">
        <v>304</v>
      </c>
      <c r="D102" s="28" t="s">
        <v>223</v>
      </c>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ht="14.25" customHeight="1">
      <c r="A103" s="23" t="s">
        <v>305</v>
      </c>
      <c r="B103" s="29">
        <v>5000.0</v>
      </c>
      <c r="C103" s="25" t="s">
        <v>306</v>
      </c>
      <c r="D103" s="28" t="s">
        <v>307</v>
      </c>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ht="14.25" customHeight="1">
      <c r="A104" s="23" t="s">
        <v>308</v>
      </c>
      <c r="B104" s="29">
        <v>30.0</v>
      </c>
      <c r="C104" s="25" t="s">
        <v>309</v>
      </c>
      <c r="D104" s="28" t="s">
        <v>310</v>
      </c>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ht="14.25" customHeight="1">
      <c r="A105" s="9"/>
      <c r="B105" s="9"/>
      <c r="C105" s="9"/>
      <c r="D105" s="1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ht="14.25" customHeight="1">
      <c r="A106" s="21" t="s">
        <v>311</v>
      </c>
      <c r="B106" s="22"/>
      <c r="C106" s="22"/>
      <c r="D106" s="22"/>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ht="14.25" customHeight="1">
      <c r="A107" s="23" t="s">
        <v>312</v>
      </c>
      <c r="B107" s="29">
        <v>8000.0</v>
      </c>
      <c r="C107" s="25" t="s">
        <v>313</v>
      </c>
      <c r="D107" s="25"/>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ht="14.25" customHeight="1">
      <c r="A108" s="23" t="s">
        <v>314</v>
      </c>
      <c r="B108" s="29">
        <v>15000.0</v>
      </c>
      <c r="C108" s="25" t="s">
        <v>315</v>
      </c>
      <c r="D108" s="25"/>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ht="14.25" customHeight="1">
      <c r="A109" s="23" t="s">
        <v>316</v>
      </c>
      <c r="B109" s="29">
        <v>800.0</v>
      </c>
      <c r="C109" s="25" t="s">
        <v>317</v>
      </c>
      <c r="D109" s="25"/>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ht="14.25" customHeight="1">
      <c r="A110" s="23" t="s">
        <v>318</v>
      </c>
      <c r="B110" s="29">
        <v>12000.0</v>
      </c>
      <c r="C110" s="25" t="s">
        <v>319</v>
      </c>
      <c r="D110" s="25"/>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ht="14.25" customHeight="1">
      <c r="A111" s="23" t="s">
        <v>320</v>
      </c>
      <c r="B111" s="24">
        <v>17.0</v>
      </c>
      <c r="C111" s="25" t="s">
        <v>321</v>
      </c>
      <c r="D111" s="25"/>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ht="14.25" customHeight="1">
      <c r="A112" s="23" t="s">
        <v>322</v>
      </c>
      <c r="B112" s="29">
        <v>5000.0</v>
      </c>
      <c r="C112" s="25" t="s">
        <v>323</v>
      </c>
      <c r="D112" s="25"/>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ht="14.25" customHeight="1">
      <c r="A113" s="9"/>
      <c r="B113" s="9"/>
      <c r="C113" s="9"/>
      <c r="D113" s="1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ht="14.25" customHeight="1">
      <c r="A114" s="21" t="s">
        <v>324</v>
      </c>
      <c r="B114" s="22"/>
      <c r="C114" s="22"/>
      <c r="D114" s="22"/>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ht="14.25" customHeight="1">
      <c r="A115" s="23" t="s">
        <v>325</v>
      </c>
      <c r="B115" s="29">
        <v>3000.0</v>
      </c>
      <c r="C115" s="25" t="s">
        <v>326</v>
      </c>
      <c r="D115" s="25"/>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ht="14.25" customHeight="1">
      <c r="A116" s="23" t="s">
        <v>327</v>
      </c>
      <c r="B116" s="29">
        <v>1500.0</v>
      </c>
      <c r="C116" s="25" t="s">
        <v>328</v>
      </c>
      <c r="D116" s="25"/>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ht="14.25" customHeight="1">
      <c r="A117" s="23" t="s">
        <v>329</v>
      </c>
      <c r="B117" s="29">
        <v>2000.0</v>
      </c>
      <c r="C117" s="25" t="s">
        <v>330</v>
      </c>
      <c r="D117" s="25"/>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ht="14.25" customHeight="1">
      <c r="A118" s="23" t="s">
        <v>331</v>
      </c>
      <c r="B118" s="29">
        <v>50.0</v>
      </c>
      <c r="C118" s="25" t="s">
        <v>332</v>
      </c>
      <c r="D118" s="25"/>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ht="14.25" customHeight="1">
      <c r="A119" s="23" t="s">
        <v>333</v>
      </c>
      <c r="B119" s="33">
        <v>0.025</v>
      </c>
      <c r="C119" s="25" t="s">
        <v>334</v>
      </c>
      <c r="D119" s="25"/>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ht="14.25" customHeight="1">
      <c r="A120" s="9"/>
      <c r="B120" s="9"/>
      <c r="C120" s="9"/>
      <c r="D120" s="1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ht="14.25" customHeight="1">
      <c r="A121" s="21" t="s">
        <v>335</v>
      </c>
      <c r="B121" s="22"/>
      <c r="C121" s="22"/>
      <c r="D121" s="22"/>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ht="14.25" customHeight="1">
      <c r="A122" s="23" t="s">
        <v>336</v>
      </c>
      <c r="B122" s="29">
        <v>500.0</v>
      </c>
      <c r="C122" s="25" t="s">
        <v>337</v>
      </c>
      <c r="D122" s="25"/>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ht="14.25" customHeight="1">
      <c r="A123" s="23" t="s">
        <v>338</v>
      </c>
      <c r="B123" s="33">
        <v>0.05</v>
      </c>
      <c r="C123" s="25" t="s">
        <v>339</v>
      </c>
      <c r="D123" s="25"/>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ht="14.25" customHeight="1">
      <c r="A124" s="23" t="s">
        <v>340</v>
      </c>
      <c r="B124" s="29">
        <v>1500.0</v>
      </c>
      <c r="C124" s="25" t="s">
        <v>341</v>
      </c>
      <c r="D124" s="25"/>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ht="14.25" customHeight="1">
      <c r="A125" s="23" t="s">
        <v>342</v>
      </c>
      <c r="B125" s="29">
        <v>25000.0</v>
      </c>
      <c r="C125" s="25" t="s">
        <v>343</v>
      </c>
      <c r="D125" s="25"/>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ht="14.25" customHeight="1">
      <c r="A126" s="23" t="s">
        <v>344</v>
      </c>
      <c r="B126" s="29">
        <v>300.0</v>
      </c>
      <c r="C126" s="25" t="s">
        <v>345</v>
      </c>
      <c r="D126" s="25"/>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ht="14.25" customHeight="1">
      <c r="A127" s="23" t="s">
        <v>346</v>
      </c>
      <c r="B127" s="33">
        <v>0.1</v>
      </c>
      <c r="C127" s="25" t="s">
        <v>347</v>
      </c>
      <c r="D127" s="25"/>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ht="14.25" customHeight="1">
      <c r="A128" s="23" t="s">
        <v>348</v>
      </c>
      <c r="B128" s="29">
        <v>500.0</v>
      </c>
      <c r="C128" s="25" t="s">
        <v>349</v>
      </c>
      <c r="D128" s="25"/>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ht="14.25" customHeight="1">
      <c r="A129" s="9"/>
      <c r="B129" s="9"/>
      <c r="C129" s="9"/>
      <c r="D129" s="1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ht="14.25" customHeight="1">
      <c r="A130" s="21" t="s">
        <v>350</v>
      </c>
      <c r="B130" s="22"/>
      <c r="C130" s="22"/>
      <c r="D130" s="22"/>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ht="14.25" customHeight="1">
      <c r="A131" s="23" t="s">
        <v>351</v>
      </c>
      <c r="B131" s="29">
        <v>2000.0</v>
      </c>
      <c r="C131" s="25" t="s">
        <v>352</v>
      </c>
      <c r="D131" s="28" t="s">
        <v>353</v>
      </c>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ht="14.25" customHeight="1">
      <c r="A132" s="23" t="s">
        <v>354</v>
      </c>
      <c r="B132" s="29">
        <v>1500.0</v>
      </c>
      <c r="C132" s="25" t="s">
        <v>352</v>
      </c>
      <c r="D132" s="28" t="s">
        <v>355</v>
      </c>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ht="14.25" customHeight="1">
      <c r="A133" s="23" t="s">
        <v>356</v>
      </c>
      <c r="B133" s="29">
        <v>1000.0</v>
      </c>
      <c r="C133" s="25" t="s">
        <v>352</v>
      </c>
      <c r="D133" s="28" t="s">
        <v>357</v>
      </c>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ht="14.25" customHeight="1">
      <c r="A134" s="23" t="s">
        <v>358</v>
      </c>
      <c r="B134" s="33">
        <v>0.05</v>
      </c>
      <c r="C134" s="25" t="s">
        <v>359</v>
      </c>
      <c r="D134" s="28" t="s">
        <v>360</v>
      </c>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ht="14.25" customHeight="1">
      <c r="A135" s="23" t="s">
        <v>361</v>
      </c>
      <c r="B135" s="24">
        <v>3.0</v>
      </c>
      <c r="C135" s="25" t="s">
        <v>362</v>
      </c>
      <c r="D135" s="28" t="s">
        <v>363</v>
      </c>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ht="14.25" customHeight="1">
      <c r="A136" s="9"/>
      <c r="B136" s="9"/>
      <c r="C136" s="9"/>
      <c r="D136" s="1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ht="14.25" customHeight="1">
      <c r="A137" s="9"/>
      <c r="B137" s="9"/>
      <c r="C137" s="9"/>
      <c r="D137" s="1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ht="14.25" customHeight="1">
      <c r="A138" s="9"/>
      <c r="B138" s="9"/>
      <c r="C138" s="9"/>
      <c r="D138" s="1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ht="14.25" customHeight="1">
      <c r="A139" s="9"/>
      <c r="B139" s="9"/>
      <c r="C139" s="9"/>
      <c r="D139" s="1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ht="14.25" customHeight="1">
      <c r="A140" s="9"/>
      <c r="B140" s="9"/>
      <c r="C140" s="9"/>
      <c r="D140" s="1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ht="14.25" customHeight="1">
      <c r="A141" s="9"/>
      <c r="B141" s="9"/>
      <c r="C141" s="9"/>
      <c r="D141" s="1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ht="14.25" customHeight="1">
      <c r="A142" s="9"/>
      <c r="B142" s="9"/>
      <c r="C142" s="9"/>
      <c r="D142" s="1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ht="14.25" customHeight="1">
      <c r="A143" s="9"/>
      <c r="B143" s="9"/>
      <c r="C143" s="9"/>
      <c r="D143" s="1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ht="14.25" customHeight="1">
      <c r="A144" s="9"/>
      <c r="B144" s="9"/>
      <c r="C144" s="9"/>
      <c r="D144" s="1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ht="14.25" customHeight="1">
      <c r="A145" s="9"/>
      <c r="B145" s="9"/>
      <c r="C145" s="9"/>
      <c r="D145" s="1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ht="14.25" customHeight="1">
      <c r="A146" s="9"/>
      <c r="B146" s="9"/>
      <c r="C146" s="9"/>
      <c r="D146" s="1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ht="14.25" customHeight="1">
      <c r="A147" s="9"/>
      <c r="B147" s="9"/>
      <c r="C147" s="9"/>
      <c r="D147" s="1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ht="14.25" customHeight="1">
      <c r="A148" s="9"/>
      <c r="B148" s="9"/>
      <c r="C148" s="9"/>
      <c r="D148" s="1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ht="14.25" customHeight="1">
      <c r="A149" s="9"/>
      <c r="B149" s="9"/>
      <c r="C149" s="9"/>
      <c r="D149" s="1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ht="14.25" customHeight="1">
      <c r="A150" s="9"/>
      <c r="B150" s="9"/>
      <c r="C150" s="9"/>
      <c r="D150" s="1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ht="14.25" customHeight="1">
      <c r="A151" s="9"/>
      <c r="B151" s="9"/>
      <c r="C151" s="9"/>
      <c r="D151" s="1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ht="14.25" customHeight="1">
      <c r="A152" s="9"/>
      <c r="B152" s="9"/>
      <c r="C152" s="9"/>
      <c r="D152" s="1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ht="14.25" customHeight="1">
      <c r="A153" s="9"/>
      <c r="B153" s="9"/>
      <c r="C153" s="9"/>
      <c r="D153" s="1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ht="14.25" customHeight="1">
      <c r="A154" s="9"/>
      <c r="B154" s="9"/>
      <c r="C154" s="9"/>
      <c r="D154" s="1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ht="14.25" customHeight="1">
      <c r="A155" s="9"/>
      <c r="B155" s="9"/>
      <c r="C155" s="9"/>
      <c r="D155" s="1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ht="14.25" customHeight="1">
      <c r="A156" s="9"/>
      <c r="B156" s="9"/>
      <c r="C156" s="9"/>
      <c r="D156" s="1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ht="14.25" customHeight="1">
      <c r="A157" s="9"/>
      <c r="B157" s="9"/>
      <c r="C157" s="9"/>
      <c r="D157" s="1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ht="14.25" customHeight="1">
      <c r="A158" s="9"/>
      <c r="B158" s="9"/>
      <c r="C158" s="9"/>
      <c r="D158" s="1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ht="14.25" customHeight="1">
      <c r="A159" s="9"/>
      <c r="B159" s="9"/>
      <c r="C159" s="9"/>
      <c r="D159" s="1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ht="14.25" customHeight="1">
      <c r="A160" s="9"/>
      <c r="B160" s="9"/>
      <c r="C160" s="9"/>
      <c r="D160" s="1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ht="14.25" customHeight="1">
      <c r="A161" s="9"/>
      <c r="B161" s="9"/>
      <c r="C161" s="9"/>
      <c r="D161" s="1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ht="14.25" customHeight="1">
      <c r="A162" s="9"/>
      <c r="B162" s="9"/>
      <c r="C162" s="9"/>
      <c r="D162" s="1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ht="14.25" customHeight="1">
      <c r="A163" s="9"/>
      <c r="B163" s="9"/>
      <c r="C163" s="9"/>
      <c r="D163" s="1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ht="14.25" customHeight="1">
      <c r="A164" s="9"/>
      <c r="B164" s="9"/>
      <c r="C164" s="9"/>
      <c r="D164" s="1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ht="14.25" customHeight="1">
      <c r="A165" s="9"/>
      <c r="B165" s="9"/>
      <c r="C165" s="9"/>
      <c r="D165" s="1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ht="14.25" customHeight="1">
      <c r="A166" s="9"/>
      <c r="B166" s="9"/>
      <c r="C166" s="9"/>
      <c r="D166" s="1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ht="14.25" customHeight="1">
      <c r="A167" s="9"/>
      <c r="B167" s="9"/>
      <c r="C167" s="9"/>
      <c r="D167" s="1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ht="14.25" customHeight="1">
      <c r="A168" s="9"/>
      <c r="B168" s="9"/>
      <c r="C168" s="9"/>
      <c r="D168" s="1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ht="14.25" customHeight="1">
      <c r="A169" s="9"/>
      <c r="B169" s="9"/>
      <c r="C169" s="9"/>
      <c r="D169" s="1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ht="14.25" customHeight="1">
      <c r="A170" s="9"/>
      <c r="B170" s="9"/>
      <c r="C170" s="9"/>
      <c r="D170" s="1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ht="14.25" customHeight="1">
      <c r="A171" s="9"/>
      <c r="B171" s="9"/>
      <c r="C171" s="9"/>
      <c r="D171" s="1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ht="14.25" customHeight="1">
      <c r="A172" s="9"/>
      <c r="B172" s="9"/>
      <c r="C172" s="9"/>
      <c r="D172" s="1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ht="14.25" customHeight="1">
      <c r="A173" s="9"/>
      <c r="B173" s="9"/>
      <c r="C173" s="9"/>
      <c r="D173" s="1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ht="14.25" customHeight="1">
      <c r="A174" s="9"/>
      <c r="B174" s="9"/>
      <c r="C174" s="9"/>
      <c r="D174" s="1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ht="14.25" customHeight="1">
      <c r="A175" s="9"/>
      <c r="B175" s="9"/>
      <c r="C175" s="9"/>
      <c r="D175" s="1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ht="14.25" customHeight="1">
      <c r="A176" s="9"/>
      <c r="B176" s="9"/>
      <c r="C176" s="9"/>
      <c r="D176" s="1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ht="14.25" customHeight="1">
      <c r="A177" s="9"/>
      <c r="B177" s="9"/>
      <c r="C177" s="9"/>
      <c r="D177" s="1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ht="14.25" customHeight="1">
      <c r="A178" s="9"/>
      <c r="B178" s="9"/>
      <c r="C178" s="9"/>
      <c r="D178" s="1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ht="14.25" customHeight="1">
      <c r="A179" s="9"/>
      <c r="B179" s="9"/>
      <c r="C179" s="9"/>
      <c r="D179" s="1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ht="14.25" customHeight="1">
      <c r="A180" s="9"/>
      <c r="B180" s="9"/>
      <c r="C180" s="9"/>
      <c r="D180" s="1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ht="14.25" customHeight="1">
      <c r="A181" s="9"/>
      <c r="B181" s="9"/>
      <c r="C181" s="9"/>
      <c r="D181" s="1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ht="14.25" customHeight="1">
      <c r="A182" s="9"/>
      <c r="B182" s="9"/>
      <c r="C182" s="9"/>
      <c r="D182" s="1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ht="14.25" customHeight="1">
      <c r="A183" s="9"/>
      <c r="B183" s="9"/>
      <c r="C183" s="9"/>
      <c r="D183" s="1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ht="14.25" customHeight="1">
      <c r="A184" s="9"/>
      <c r="B184" s="9"/>
      <c r="C184" s="9"/>
      <c r="D184" s="1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ht="14.25" customHeight="1">
      <c r="A185" s="9"/>
      <c r="B185" s="9"/>
      <c r="C185" s="9"/>
      <c r="D185" s="1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ht="14.25" customHeight="1">
      <c r="A186" s="9"/>
      <c r="B186" s="9"/>
      <c r="C186" s="9"/>
      <c r="D186" s="1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ht="14.25" customHeight="1">
      <c r="A187" s="9"/>
      <c r="B187" s="9"/>
      <c r="C187" s="9"/>
      <c r="D187" s="1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ht="14.25" customHeight="1">
      <c r="A188" s="9"/>
      <c r="B188" s="9"/>
      <c r="C188" s="9"/>
      <c r="D188" s="1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ht="14.25" customHeight="1">
      <c r="A189" s="9"/>
      <c r="B189" s="9"/>
      <c r="C189" s="9"/>
      <c r="D189" s="1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ht="14.25" customHeight="1">
      <c r="A190" s="9"/>
      <c r="B190" s="9"/>
      <c r="C190" s="9"/>
      <c r="D190" s="1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ht="14.25" customHeight="1">
      <c r="A191" s="9"/>
      <c r="B191" s="9"/>
      <c r="C191" s="9"/>
      <c r="D191" s="1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ht="14.25" customHeight="1">
      <c r="A192" s="9"/>
      <c r="B192" s="9"/>
      <c r="C192" s="9"/>
      <c r="D192" s="1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ht="14.25" customHeight="1">
      <c r="A193" s="9"/>
      <c r="B193" s="9"/>
      <c r="C193" s="9"/>
      <c r="D193" s="1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ht="14.25" customHeight="1">
      <c r="A194" s="9"/>
      <c r="B194" s="9"/>
      <c r="C194" s="9"/>
      <c r="D194" s="1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ht="14.25" customHeight="1">
      <c r="A195" s="9"/>
      <c r="B195" s="9"/>
      <c r="C195" s="9"/>
      <c r="D195" s="1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ht="14.25" customHeight="1">
      <c r="A196" s="9"/>
      <c r="B196" s="9"/>
      <c r="C196" s="9"/>
      <c r="D196" s="1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ht="14.25" customHeight="1">
      <c r="A197" s="9"/>
      <c r="B197" s="9"/>
      <c r="C197" s="9"/>
      <c r="D197" s="1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ht="14.25" customHeight="1">
      <c r="A198" s="9"/>
      <c r="B198" s="9"/>
      <c r="C198" s="9"/>
      <c r="D198" s="1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ht="14.25" customHeight="1">
      <c r="A199" s="9"/>
      <c r="B199" s="9"/>
      <c r="C199" s="9"/>
      <c r="D199" s="1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ht="14.25" customHeight="1">
      <c r="A200" s="9"/>
      <c r="B200" s="9"/>
      <c r="C200" s="9"/>
      <c r="D200" s="1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ht="14.25" customHeight="1">
      <c r="A201" s="9"/>
      <c r="B201" s="9"/>
      <c r="C201" s="9"/>
      <c r="D201" s="1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ht="14.25" customHeight="1">
      <c r="A202" s="9"/>
      <c r="B202" s="9"/>
      <c r="C202" s="9"/>
      <c r="D202" s="1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ht="14.25" customHeight="1">
      <c r="A203" s="9"/>
      <c r="B203" s="9"/>
      <c r="C203" s="9"/>
      <c r="D203" s="1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ht="14.25" customHeight="1">
      <c r="A204" s="9"/>
      <c r="B204" s="9"/>
      <c r="C204" s="9"/>
      <c r="D204" s="1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ht="14.25" customHeight="1">
      <c r="A205" s="9"/>
      <c r="B205" s="9"/>
      <c r="C205" s="9"/>
      <c r="D205" s="1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ht="14.25" customHeight="1">
      <c r="A206" s="9"/>
      <c r="B206" s="9"/>
      <c r="C206" s="9"/>
      <c r="D206" s="1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ht="14.25" customHeight="1">
      <c r="A207" s="9"/>
      <c r="B207" s="9"/>
      <c r="C207" s="9"/>
      <c r="D207" s="1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ht="14.25" customHeight="1">
      <c r="A208" s="9"/>
      <c r="B208" s="9"/>
      <c r="C208" s="9"/>
      <c r="D208" s="1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ht="14.25" customHeight="1">
      <c r="A209" s="9"/>
      <c r="B209" s="9"/>
      <c r="C209" s="9"/>
      <c r="D209" s="1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ht="14.25" customHeight="1">
      <c r="A210" s="9"/>
      <c r="B210" s="9"/>
      <c r="C210" s="9"/>
      <c r="D210" s="1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ht="14.25" customHeight="1">
      <c r="A211" s="9"/>
      <c r="B211" s="9"/>
      <c r="C211" s="9"/>
      <c r="D211" s="1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ht="14.25" customHeight="1">
      <c r="A212" s="9"/>
      <c r="B212" s="9"/>
      <c r="C212" s="9"/>
      <c r="D212" s="1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ht="14.25" customHeight="1">
      <c r="A213" s="9"/>
      <c r="B213" s="9"/>
      <c r="C213" s="9"/>
      <c r="D213" s="1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ht="14.25" customHeight="1">
      <c r="A214" s="9"/>
      <c r="B214" s="9"/>
      <c r="C214" s="9"/>
      <c r="D214" s="1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ht="14.25" customHeight="1">
      <c r="A215" s="9"/>
      <c r="B215" s="9"/>
      <c r="C215" s="9"/>
      <c r="D215" s="1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ht="14.25" customHeight="1">
      <c r="A216" s="9"/>
      <c r="B216" s="9"/>
      <c r="C216" s="9"/>
      <c r="D216" s="1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ht="14.25" customHeight="1">
      <c r="A217" s="9"/>
      <c r="B217" s="9"/>
      <c r="C217" s="9"/>
      <c r="D217" s="1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ht="14.25" customHeight="1">
      <c r="A218" s="9"/>
      <c r="B218" s="9"/>
      <c r="C218" s="9"/>
      <c r="D218" s="1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ht="14.25" customHeight="1">
      <c r="A219" s="9"/>
      <c r="B219" s="9"/>
      <c r="C219" s="9"/>
      <c r="D219" s="1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ht="14.25" customHeight="1">
      <c r="A220" s="9"/>
      <c r="B220" s="9"/>
      <c r="C220" s="9"/>
      <c r="D220" s="1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ht="14.25" customHeight="1">
      <c r="A221" s="9"/>
      <c r="B221" s="9"/>
      <c r="C221" s="9"/>
      <c r="D221" s="1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ht="14.25" customHeight="1">
      <c r="A222" s="9"/>
      <c r="B222" s="9"/>
      <c r="C222" s="9"/>
      <c r="D222" s="1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ht="14.25" customHeight="1">
      <c r="A223" s="9"/>
      <c r="B223" s="9"/>
      <c r="C223" s="9"/>
      <c r="D223" s="1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ht="14.25" customHeight="1">
      <c r="A224" s="9"/>
      <c r="B224" s="9"/>
      <c r="C224" s="9"/>
      <c r="D224" s="1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ht="14.25" customHeight="1">
      <c r="A225" s="9"/>
      <c r="B225" s="9"/>
      <c r="C225" s="9"/>
      <c r="D225" s="1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ht="14.25" customHeight="1">
      <c r="A226" s="9"/>
      <c r="B226" s="9"/>
      <c r="C226" s="9"/>
      <c r="D226" s="1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ht="14.25" customHeight="1">
      <c r="A227" s="9"/>
      <c r="B227" s="9"/>
      <c r="C227" s="9"/>
      <c r="D227" s="1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ht="14.25" customHeight="1">
      <c r="A228" s="9"/>
      <c r="B228" s="9"/>
      <c r="C228" s="9"/>
      <c r="D228" s="1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ht="14.25" customHeight="1">
      <c r="A229" s="9"/>
      <c r="B229" s="9"/>
      <c r="C229" s="9"/>
      <c r="D229" s="1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ht="14.25" customHeight="1">
      <c r="A230" s="9"/>
      <c r="B230" s="9"/>
      <c r="C230" s="9"/>
      <c r="D230" s="1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ht="14.25" customHeight="1">
      <c r="A231" s="9"/>
      <c r="B231" s="9"/>
      <c r="C231" s="9"/>
      <c r="D231" s="1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ht="14.25" customHeight="1">
      <c r="A232" s="9"/>
      <c r="B232" s="9"/>
      <c r="C232" s="9"/>
      <c r="D232" s="1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ht="14.25" customHeight="1">
      <c r="A233" s="9"/>
      <c r="B233" s="9"/>
      <c r="C233" s="9"/>
      <c r="D233" s="1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ht="14.25" customHeight="1">
      <c r="A234" s="9"/>
      <c r="B234" s="9"/>
      <c r="C234" s="9"/>
      <c r="D234" s="1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ht="14.25" customHeight="1">
      <c r="A235" s="9"/>
      <c r="B235" s="9"/>
      <c r="C235" s="9"/>
      <c r="D235" s="1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ht="14.25" customHeight="1">
      <c r="A236" s="9"/>
      <c r="B236" s="9"/>
      <c r="C236" s="9"/>
      <c r="D236" s="1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ht="14.25" customHeight="1">
      <c r="A237" s="9"/>
      <c r="B237" s="9"/>
      <c r="C237" s="9"/>
      <c r="D237" s="1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ht="14.25" customHeight="1">
      <c r="A238" s="9"/>
      <c r="B238" s="9"/>
      <c r="C238" s="9"/>
      <c r="D238" s="1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ht="14.25" customHeight="1">
      <c r="A239" s="9"/>
      <c r="B239" s="9"/>
      <c r="C239" s="9"/>
      <c r="D239" s="1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ht="14.25" customHeight="1">
      <c r="A240" s="9"/>
      <c r="B240" s="9"/>
      <c r="C240" s="9"/>
      <c r="D240" s="1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ht="14.25" customHeight="1">
      <c r="A241" s="9"/>
      <c r="B241" s="9"/>
      <c r="C241" s="9"/>
      <c r="D241" s="1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ht="14.25" customHeight="1">
      <c r="A242" s="9"/>
      <c r="B242" s="9"/>
      <c r="C242" s="9"/>
      <c r="D242" s="1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ht="14.25" customHeight="1">
      <c r="A243" s="9"/>
      <c r="B243" s="9"/>
      <c r="C243" s="9"/>
      <c r="D243" s="1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ht="14.25" customHeight="1">
      <c r="A244" s="9"/>
      <c r="B244" s="9"/>
      <c r="C244" s="9"/>
      <c r="D244" s="1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ht="14.25" customHeight="1">
      <c r="A245" s="9"/>
      <c r="B245" s="9"/>
      <c r="C245" s="9"/>
      <c r="D245" s="1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ht="14.25" customHeight="1">
      <c r="A246" s="9"/>
      <c r="B246" s="9"/>
      <c r="C246" s="9"/>
      <c r="D246" s="1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ht="14.25" customHeight="1">
      <c r="A247" s="9"/>
      <c r="B247" s="9"/>
      <c r="C247" s="9"/>
      <c r="D247" s="1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ht="14.25" customHeight="1">
      <c r="A248" s="9"/>
      <c r="B248" s="9"/>
      <c r="C248" s="9"/>
      <c r="D248" s="1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ht="14.25" customHeight="1">
      <c r="A249" s="9"/>
      <c r="B249" s="9"/>
      <c r="C249" s="9"/>
      <c r="D249" s="1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ht="14.25" customHeight="1">
      <c r="A250" s="9"/>
      <c r="B250" s="9"/>
      <c r="C250" s="9"/>
      <c r="D250" s="1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ht="14.25" customHeight="1">
      <c r="A251" s="9"/>
      <c r="B251" s="9"/>
      <c r="C251" s="9"/>
      <c r="D251" s="1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ht="14.25" customHeight="1">
      <c r="A252" s="9"/>
      <c r="B252" s="9"/>
      <c r="C252" s="9"/>
      <c r="D252" s="1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ht="14.25" customHeight="1">
      <c r="A253" s="9"/>
      <c r="B253" s="9"/>
      <c r="C253" s="9"/>
      <c r="D253" s="1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ht="14.25" customHeight="1">
      <c r="A254" s="9"/>
      <c r="B254" s="9"/>
      <c r="C254" s="9"/>
      <c r="D254" s="1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ht="14.25" customHeight="1">
      <c r="A255" s="9"/>
      <c r="B255" s="9"/>
      <c r="C255" s="9"/>
      <c r="D255" s="1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ht="14.25" customHeight="1">
      <c r="A256" s="9"/>
      <c r="B256" s="9"/>
      <c r="C256" s="9"/>
      <c r="D256" s="1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ht="14.25" customHeight="1">
      <c r="A257" s="9"/>
      <c r="B257" s="9"/>
      <c r="C257" s="9"/>
      <c r="D257" s="1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ht="14.25" customHeight="1">
      <c r="A258" s="9"/>
      <c r="B258" s="9"/>
      <c r="C258" s="9"/>
      <c r="D258" s="1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ht="14.25" customHeight="1">
      <c r="A259" s="9"/>
      <c r="B259" s="9"/>
      <c r="C259" s="9"/>
      <c r="D259" s="1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ht="14.25" customHeight="1">
      <c r="A260" s="9"/>
      <c r="B260" s="9"/>
      <c r="C260" s="9"/>
      <c r="D260" s="1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ht="14.25" customHeight="1">
      <c r="A261" s="9"/>
      <c r="B261" s="9"/>
      <c r="C261" s="9"/>
      <c r="D261" s="1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ht="14.25" customHeight="1">
      <c r="A262" s="9"/>
      <c r="B262" s="9"/>
      <c r="C262" s="9"/>
      <c r="D262" s="1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ht="14.25" customHeight="1">
      <c r="A263" s="9"/>
      <c r="B263" s="9"/>
      <c r="C263" s="9"/>
      <c r="D263" s="1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ht="14.25" customHeight="1">
      <c r="A264" s="9"/>
      <c r="B264" s="9"/>
      <c r="C264" s="9"/>
      <c r="D264" s="1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ht="14.25" customHeight="1">
      <c r="A265" s="9"/>
      <c r="B265" s="9"/>
      <c r="C265" s="9"/>
      <c r="D265" s="1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ht="14.25" customHeight="1">
      <c r="A266" s="9"/>
      <c r="B266" s="9"/>
      <c r="C266" s="9"/>
      <c r="D266" s="1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ht="14.25" customHeight="1">
      <c r="A267" s="9"/>
      <c r="B267" s="9"/>
      <c r="C267" s="9"/>
      <c r="D267" s="1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ht="14.25" customHeight="1">
      <c r="A268" s="9"/>
      <c r="B268" s="9"/>
      <c r="C268" s="9"/>
      <c r="D268" s="1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ht="14.25" customHeight="1">
      <c r="A269" s="9"/>
      <c r="B269" s="9"/>
      <c r="C269" s="9"/>
      <c r="D269" s="1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ht="14.25" customHeight="1">
      <c r="A270" s="9"/>
      <c r="B270" s="9"/>
      <c r="C270" s="9"/>
      <c r="D270" s="1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ht="14.25" customHeight="1">
      <c r="A271" s="9"/>
      <c r="B271" s="9"/>
      <c r="C271" s="9"/>
      <c r="D271" s="1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ht="14.25" customHeight="1">
      <c r="A272" s="9"/>
      <c r="B272" s="9"/>
      <c r="C272" s="9"/>
      <c r="D272" s="1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ht="14.25" customHeight="1">
      <c r="A273" s="9"/>
      <c r="B273" s="9"/>
      <c r="C273" s="9"/>
      <c r="D273" s="1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ht="14.25" customHeight="1">
      <c r="A274" s="9"/>
      <c r="B274" s="9"/>
      <c r="C274" s="9"/>
      <c r="D274" s="1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ht="14.25" customHeight="1">
      <c r="A275" s="9"/>
      <c r="B275" s="9"/>
      <c r="C275" s="9"/>
      <c r="D275" s="1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ht="14.25" customHeight="1">
      <c r="A276" s="9"/>
      <c r="B276" s="9"/>
      <c r="C276" s="9"/>
      <c r="D276" s="1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ht="14.25" customHeight="1">
      <c r="A277" s="9"/>
      <c r="B277" s="9"/>
      <c r="C277" s="9"/>
      <c r="D277" s="1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ht="14.25" customHeight="1">
      <c r="A278" s="9"/>
      <c r="B278" s="9"/>
      <c r="C278" s="9"/>
      <c r="D278" s="1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ht="14.25" customHeight="1">
      <c r="A279" s="9"/>
      <c r="B279" s="9"/>
      <c r="C279" s="9"/>
      <c r="D279" s="1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ht="14.25" customHeight="1">
      <c r="A280" s="9"/>
      <c r="B280" s="9"/>
      <c r="C280" s="9"/>
      <c r="D280" s="1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ht="14.25" customHeight="1">
      <c r="A281" s="9"/>
      <c r="B281" s="9"/>
      <c r="C281" s="9"/>
      <c r="D281" s="1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ht="14.25" customHeight="1">
      <c r="A282" s="9"/>
      <c r="B282" s="9"/>
      <c r="C282" s="9"/>
      <c r="D282" s="1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ht="14.25" customHeight="1">
      <c r="A283" s="9"/>
      <c r="B283" s="9"/>
      <c r="C283" s="9"/>
      <c r="D283" s="1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ht="14.25" customHeight="1">
      <c r="A284" s="9"/>
      <c r="B284" s="9"/>
      <c r="C284" s="9"/>
      <c r="D284" s="1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ht="14.25" customHeight="1">
      <c r="A285" s="9"/>
      <c r="B285" s="9"/>
      <c r="C285" s="9"/>
      <c r="D285" s="1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ht="14.25" customHeight="1">
      <c r="A286" s="9"/>
      <c r="B286" s="9"/>
      <c r="C286" s="9"/>
      <c r="D286" s="1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ht="14.25" customHeight="1">
      <c r="A287" s="9"/>
      <c r="B287" s="9"/>
      <c r="C287" s="9"/>
      <c r="D287" s="1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ht="14.25" customHeight="1">
      <c r="A288" s="9"/>
      <c r="B288" s="9"/>
      <c r="C288" s="9"/>
      <c r="D288" s="1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ht="14.25" customHeight="1">
      <c r="A289" s="9"/>
      <c r="B289" s="9"/>
      <c r="C289" s="9"/>
      <c r="D289" s="1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ht="14.25" customHeight="1">
      <c r="A290" s="9"/>
      <c r="B290" s="9"/>
      <c r="C290" s="9"/>
      <c r="D290" s="1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ht="14.25" customHeight="1">
      <c r="A291" s="9"/>
      <c r="B291" s="9"/>
      <c r="C291" s="9"/>
      <c r="D291" s="1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ht="14.25" customHeight="1">
      <c r="A292" s="9"/>
      <c r="B292" s="9"/>
      <c r="C292" s="9"/>
      <c r="D292" s="1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ht="14.25" customHeight="1">
      <c r="A293" s="9"/>
      <c r="B293" s="9"/>
      <c r="C293" s="9"/>
      <c r="D293" s="1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ht="14.25" customHeight="1">
      <c r="A294" s="9"/>
      <c r="B294" s="9"/>
      <c r="C294" s="9"/>
      <c r="D294" s="1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ht="14.25" customHeight="1">
      <c r="A295" s="9"/>
      <c r="B295" s="9"/>
      <c r="C295" s="9"/>
      <c r="D295" s="1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ht="14.25" customHeight="1">
      <c r="A296" s="9"/>
      <c r="B296" s="9"/>
      <c r="C296" s="9"/>
      <c r="D296" s="1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ht="14.25" customHeight="1">
      <c r="A297" s="9"/>
      <c r="B297" s="9"/>
      <c r="C297" s="9"/>
      <c r="D297" s="1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ht="14.25" customHeight="1">
      <c r="A298" s="9"/>
      <c r="B298" s="9"/>
      <c r="C298" s="9"/>
      <c r="D298" s="1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ht="14.25" customHeight="1">
      <c r="A299" s="9"/>
      <c r="B299" s="9"/>
      <c r="C299" s="9"/>
      <c r="D299" s="1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ht="14.25" customHeight="1">
      <c r="A300" s="9"/>
      <c r="B300" s="9"/>
      <c r="C300" s="9"/>
      <c r="D300" s="1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ht="14.25" customHeight="1">
      <c r="A301" s="9"/>
      <c r="B301" s="9"/>
      <c r="C301" s="9"/>
      <c r="D301" s="1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ht="14.25" customHeight="1">
      <c r="A302" s="9"/>
      <c r="B302" s="9"/>
      <c r="C302" s="9"/>
      <c r="D302" s="1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ht="14.25" customHeight="1">
      <c r="A303" s="9"/>
      <c r="B303" s="9"/>
      <c r="C303" s="9"/>
      <c r="D303" s="1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ht="14.25" customHeight="1">
      <c r="A304" s="9"/>
      <c r="B304" s="9"/>
      <c r="C304" s="9"/>
      <c r="D304" s="1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ht="14.25" customHeight="1">
      <c r="A305" s="9"/>
      <c r="B305" s="9"/>
      <c r="C305" s="9"/>
      <c r="D305" s="1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ht="14.25" customHeight="1">
      <c r="A306" s="9"/>
      <c r="B306" s="9"/>
      <c r="C306" s="9"/>
      <c r="D306" s="1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ht="14.25" customHeight="1">
      <c r="A307" s="9"/>
      <c r="B307" s="9"/>
      <c r="C307" s="9"/>
      <c r="D307" s="1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ht="14.25" customHeight="1">
      <c r="A308" s="9"/>
      <c r="B308" s="9"/>
      <c r="C308" s="9"/>
      <c r="D308" s="1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ht="14.25" customHeight="1">
      <c r="A309" s="9"/>
      <c r="B309" s="9"/>
      <c r="C309" s="9"/>
      <c r="D309" s="1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ht="14.25" customHeight="1">
      <c r="A310" s="9"/>
      <c r="B310" s="9"/>
      <c r="C310" s="9"/>
      <c r="D310" s="1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ht="14.25" customHeight="1">
      <c r="A311" s="9"/>
      <c r="B311" s="9"/>
      <c r="C311" s="9"/>
      <c r="D311" s="1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ht="14.25" customHeight="1">
      <c r="A312" s="9"/>
      <c r="B312" s="9"/>
      <c r="C312" s="9"/>
      <c r="D312" s="1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ht="14.25" customHeight="1">
      <c r="A313" s="9"/>
      <c r="B313" s="9"/>
      <c r="C313" s="9"/>
      <c r="D313" s="1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ht="14.25" customHeight="1">
      <c r="A314" s="9"/>
      <c r="B314" s="9"/>
      <c r="C314" s="9"/>
      <c r="D314" s="1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ht="14.25" customHeight="1">
      <c r="A315" s="9"/>
      <c r="B315" s="9"/>
      <c r="C315" s="9"/>
      <c r="D315" s="1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ht="14.25" customHeight="1">
      <c r="A316" s="9"/>
      <c r="B316" s="9"/>
      <c r="C316" s="9"/>
      <c r="D316" s="1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ht="14.25" customHeight="1">
      <c r="A317" s="9"/>
      <c r="B317" s="9"/>
      <c r="C317" s="9"/>
      <c r="D317" s="1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ht="14.25" customHeight="1">
      <c r="A318" s="9"/>
      <c r="B318" s="9"/>
      <c r="C318" s="9"/>
      <c r="D318" s="1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ht="14.25" customHeight="1">
      <c r="A319" s="9"/>
      <c r="B319" s="9"/>
      <c r="C319" s="9"/>
      <c r="D319" s="1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ht="14.25" customHeight="1">
      <c r="A320" s="9"/>
      <c r="B320" s="9"/>
      <c r="C320" s="9"/>
      <c r="D320" s="1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ht="14.25" customHeight="1">
      <c r="A321" s="9"/>
      <c r="B321" s="9"/>
      <c r="C321" s="9"/>
      <c r="D321" s="1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ht="14.25" customHeight="1">
      <c r="A322" s="9"/>
      <c r="B322" s="9"/>
      <c r="C322" s="9"/>
      <c r="D322" s="1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ht="14.25" customHeight="1">
      <c r="A323" s="9"/>
      <c r="B323" s="9"/>
      <c r="C323" s="9"/>
      <c r="D323" s="1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ht="14.25" customHeight="1">
      <c r="A324" s="9"/>
      <c r="B324" s="9"/>
      <c r="C324" s="9"/>
      <c r="D324" s="1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ht="14.25" customHeight="1">
      <c r="A325" s="9"/>
      <c r="B325" s="9"/>
      <c r="C325" s="9"/>
      <c r="D325" s="1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ht="14.25" customHeight="1">
      <c r="A326" s="9"/>
      <c r="B326" s="9"/>
      <c r="C326" s="9"/>
      <c r="D326" s="1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ht="14.25" customHeight="1">
      <c r="A327" s="9"/>
      <c r="B327" s="9"/>
      <c r="C327" s="9"/>
      <c r="D327" s="1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ht="14.25" customHeight="1">
      <c r="A328" s="9"/>
      <c r="B328" s="9"/>
      <c r="C328" s="9"/>
      <c r="D328" s="1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ht="14.25" customHeight="1">
      <c r="A329" s="9"/>
      <c r="B329" s="9"/>
      <c r="C329" s="9"/>
      <c r="D329" s="1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ht="14.25" customHeight="1">
      <c r="A330" s="9"/>
      <c r="B330" s="9"/>
      <c r="C330" s="9"/>
      <c r="D330" s="1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ht="14.25" customHeight="1">
      <c r="A331" s="9"/>
      <c r="B331" s="9"/>
      <c r="C331" s="9"/>
      <c r="D331" s="1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ht="14.25" customHeight="1">
      <c r="A332" s="9"/>
      <c r="B332" s="9"/>
      <c r="C332" s="9"/>
      <c r="D332" s="1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ht="14.25" customHeight="1">
      <c r="A333" s="9"/>
      <c r="B333" s="9"/>
      <c r="C333" s="9"/>
      <c r="D333" s="1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ht="14.25" customHeight="1">
      <c r="A334" s="9"/>
      <c r="B334" s="9"/>
      <c r="C334" s="9"/>
      <c r="D334" s="1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ht="14.25" customHeight="1">
      <c r="A335" s="9"/>
      <c r="B335" s="9"/>
      <c r="C335" s="9"/>
      <c r="D335" s="1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ht="14.25" customHeight="1">
      <c r="A336" s="9"/>
      <c r="B336" s="9"/>
      <c r="C336" s="9"/>
      <c r="D336" s="1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ht="14.25" customHeight="1">
      <c r="A337" s="9"/>
      <c r="B337" s="9"/>
      <c r="C337" s="9"/>
      <c r="D337" s="1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ht="14.25" customHeight="1">
      <c r="A338" s="9"/>
      <c r="B338" s="9"/>
      <c r="C338" s="9"/>
      <c r="D338" s="1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ht="14.25" customHeight="1">
      <c r="A339" s="9"/>
      <c r="B339" s="9"/>
      <c r="C339" s="9"/>
      <c r="D339" s="1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ht="14.25" customHeight="1">
      <c r="A340" s="9"/>
      <c r="B340" s="9"/>
      <c r="C340" s="9"/>
      <c r="D340" s="1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ht="14.25" customHeight="1">
      <c r="A341" s="9"/>
      <c r="B341" s="9"/>
      <c r="C341" s="9"/>
      <c r="D341" s="1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ht="14.25" customHeight="1">
      <c r="A342" s="9"/>
      <c r="B342" s="9"/>
      <c r="C342" s="9"/>
      <c r="D342" s="1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ht="14.25" customHeight="1">
      <c r="A343" s="9"/>
      <c r="B343" s="9"/>
      <c r="C343" s="9"/>
      <c r="D343" s="1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ht="14.25" customHeight="1">
      <c r="A344" s="9"/>
      <c r="B344" s="9"/>
      <c r="C344" s="9"/>
      <c r="D344" s="1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ht="14.25" customHeight="1">
      <c r="A345" s="9"/>
      <c r="B345" s="9"/>
      <c r="C345" s="9"/>
      <c r="D345" s="1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ht="14.25" customHeight="1">
      <c r="A346" s="9"/>
      <c r="B346" s="9"/>
      <c r="C346" s="9"/>
      <c r="D346" s="1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ht="14.25" customHeight="1">
      <c r="A347" s="9"/>
      <c r="B347" s="9"/>
      <c r="C347" s="9"/>
      <c r="D347" s="1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ht="14.25" customHeight="1">
      <c r="A348" s="9"/>
      <c r="B348" s="9"/>
      <c r="C348" s="9"/>
      <c r="D348" s="1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ht="14.25" customHeight="1">
      <c r="A349" s="9"/>
      <c r="B349" s="9"/>
      <c r="C349" s="9"/>
      <c r="D349" s="1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ht="14.25" customHeight="1">
      <c r="A350" s="9"/>
      <c r="B350" s="9"/>
      <c r="C350" s="9"/>
      <c r="D350" s="1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ht="14.25" customHeight="1">
      <c r="A351" s="9"/>
      <c r="B351" s="9"/>
      <c r="C351" s="9"/>
      <c r="D351" s="1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ht="14.25" customHeight="1">
      <c r="A352" s="9"/>
      <c r="B352" s="9"/>
      <c r="C352" s="9"/>
      <c r="D352" s="1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ht="14.25" customHeight="1">
      <c r="A353" s="9"/>
      <c r="B353" s="9"/>
      <c r="C353" s="9"/>
      <c r="D353" s="1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ht="14.25" customHeight="1">
      <c r="A354" s="9"/>
      <c r="B354" s="9"/>
      <c r="C354" s="9"/>
      <c r="D354" s="1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ht="14.25" customHeight="1">
      <c r="A355" s="9"/>
      <c r="B355" s="9"/>
      <c r="C355" s="9"/>
      <c r="D355" s="1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ht="14.25" customHeight="1">
      <c r="A356" s="9"/>
      <c r="B356" s="9"/>
      <c r="C356" s="9"/>
      <c r="D356" s="1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ht="14.25" customHeight="1">
      <c r="A357" s="9"/>
      <c r="B357" s="9"/>
      <c r="C357" s="9"/>
      <c r="D357" s="1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ht="14.25" customHeight="1">
      <c r="A358" s="9"/>
      <c r="B358" s="9"/>
      <c r="C358" s="9"/>
      <c r="D358" s="1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ht="14.25" customHeight="1">
      <c r="A359" s="9"/>
      <c r="B359" s="9"/>
      <c r="C359" s="9"/>
      <c r="D359" s="1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ht="14.25" customHeight="1">
      <c r="A360" s="9"/>
      <c r="B360" s="9"/>
      <c r="C360" s="9"/>
      <c r="D360" s="1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ht="14.25" customHeight="1">
      <c r="A361" s="9"/>
      <c r="B361" s="9"/>
      <c r="C361" s="9"/>
      <c r="D361" s="1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ht="14.25" customHeight="1">
      <c r="A362" s="9"/>
      <c r="B362" s="9"/>
      <c r="C362" s="9"/>
      <c r="D362" s="1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ht="14.25" customHeight="1">
      <c r="A363" s="9"/>
      <c r="B363" s="9"/>
      <c r="C363" s="9"/>
      <c r="D363" s="1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ht="14.25" customHeight="1">
      <c r="A364" s="9"/>
      <c r="B364" s="9"/>
      <c r="C364" s="9"/>
      <c r="D364" s="1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ht="14.25" customHeight="1">
      <c r="A365" s="9"/>
      <c r="B365" s="9"/>
      <c r="C365" s="9"/>
      <c r="D365" s="1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ht="14.25" customHeight="1">
      <c r="A366" s="9"/>
      <c r="B366" s="9"/>
      <c r="C366" s="9"/>
      <c r="D366" s="1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ht="14.25" customHeight="1">
      <c r="A367" s="9"/>
      <c r="B367" s="9"/>
      <c r="C367" s="9"/>
      <c r="D367" s="1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ht="14.25" customHeight="1">
      <c r="A368" s="9"/>
      <c r="B368" s="9"/>
      <c r="C368" s="9"/>
      <c r="D368" s="1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ht="14.25" customHeight="1">
      <c r="A369" s="9"/>
      <c r="B369" s="9"/>
      <c r="C369" s="9"/>
      <c r="D369" s="1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ht="14.25" customHeight="1">
      <c r="A370" s="9"/>
      <c r="B370" s="9"/>
      <c r="C370" s="9"/>
      <c r="D370" s="1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ht="14.25" customHeight="1">
      <c r="A371" s="9"/>
      <c r="B371" s="9"/>
      <c r="C371" s="9"/>
      <c r="D371" s="1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ht="14.25" customHeight="1">
      <c r="A372" s="9"/>
      <c r="B372" s="9"/>
      <c r="C372" s="9"/>
      <c r="D372" s="1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ht="14.25" customHeight="1">
      <c r="A373" s="9"/>
      <c r="B373" s="9"/>
      <c r="C373" s="9"/>
      <c r="D373" s="1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ht="14.25" customHeight="1">
      <c r="A374" s="9"/>
      <c r="B374" s="9"/>
      <c r="C374" s="9"/>
      <c r="D374" s="1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ht="14.25" customHeight="1">
      <c r="A375" s="9"/>
      <c r="B375" s="9"/>
      <c r="C375" s="9"/>
      <c r="D375" s="1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ht="14.25" customHeight="1">
      <c r="A376" s="9"/>
      <c r="B376" s="9"/>
      <c r="C376" s="9"/>
      <c r="D376" s="1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ht="14.25" customHeight="1">
      <c r="A377" s="9"/>
      <c r="B377" s="9"/>
      <c r="C377" s="9"/>
      <c r="D377" s="1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ht="14.25" customHeight="1">
      <c r="A378" s="9"/>
      <c r="B378" s="9"/>
      <c r="C378" s="9"/>
      <c r="D378" s="1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ht="14.25" customHeight="1">
      <c r="A379" s="9"/>
      <c r="B379" s="9"/>
      <c r="C379" s="9"/>
      <c r="D379" s="1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ht="14.25" customHeight="1">
      <c r="A380" s="9"/>
      <c r="B380" s="9"/>
      <c r="C380" s="9"/>
      <c r="D380" s="1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ht="14.25" customHeight="1">
      <c r="A381" s="9"/>
      <c r="B381" s="9"/>
      <c r="C381" s="9"/>
      <c r="D381" s="1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ht="14.25" customHeight="1">
      <c r="A382" s="9"/>
      <c r="B382" s="9"/>
      <c r="C382" s="9"/>
      <c r="D382" s="1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ht="14.25" customHeight="1">
      <c r="A383" s="9"/>
      <c r="B383" s="9"/>
      <c r="C383" s="9"/>
      <c r="D383" s="1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ht="14.25" customHeight="1">
      <c r="A384" s="9"/>
      <c r="B384" s="9"/>
      <c r="C384" s="9"/>
      <c r="D384" s="1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ht="14.25" customHeight="1">
      <c r="A385" s="9"/>
      <c r="B385" s="9"/>
      <c r="C385" s="9"/>
      <c r="D385" s="1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ht="14.25" customHeight="1">
      <c r="A386" s="9"/>
      <c r="B386" s="9"/>
      <c r="C386" s="9"/>
      <c r="D386" s="1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ht="14.25" customHeight="1">
      <c r="A387" s="9"/>
      <c r="B387" s="9"/>
      <c r="C387" s="9"/>
      <c r="D387" s="1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ht="14.25" customHeight="1">
      <c r="A388" s="9"/>
      <c r="B388" s="9"/>
      <c r="C388" s="9"/>
      <c r="D388" s="1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ht="14.25" customHeight="1">
      <c r="A389" s="9"/>
      <c r="B389" s="9"/>
      <c r="C389" s="9"/>
      <c r="D389" s="1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ht="14.25" customHeight="1">
      <c r="A390" s="9"/>
      <c r="B390" s="9"/>
      <c r="C390" s="9"/>
      <c r="D390" s="1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ht="14.25" customHeight="1">
      <c r="A391" s="9"/>
      <c r="B391" s="9"/>
      <c r="C391" s="9"/>
      <c r="D391" s="1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ht="14.25" customHeight="1">
      <c r="A392" s="9"/>
      <c r="B392" s="9"/>
      <c r="C392" s="9"/>
      <c r="D392" s="1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ht="14.25" customHeight="1">
      <c r="A393" s="9"/>
      <c r="B393" s="9"/>
      <c r="C393" s="9"/>
      <c r="D393" s="1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ht="14.25" customHeight="1">
      <c r="A394" s="9"/>
      <c r="B394" s="9"/>
      <c r="C394" s="9"/>
      <c r="D394" s="1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ht="14.25" customHeight="1">
      <c r="A395" s="9"/>
      <c r="B395" s="9"/>
      <c r="C395" s="9"/>
      <c r="D395" s="1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ht="14.25" customHeight="1">
      <c r="A396" s="9"/>
      <c r="B396" s="9"/>
      <c r="C396" s="9"/>
      <c r="D396" s="1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ht="14.25" customHeight="1">
      <c r="A397" s="9"/>
      <c r="B397" s="9"/>
      <c r="C397" s="9"/>
      <c r="D397" s="1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ht="14.25" customHeight="1">
      <c r="A398" s="9"/>
      <c r="B398" s="9"/>
      <c r="C398" s="9"/>
      <c r="D398" s="1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ht="14.25" customHeight="1">
      <c r="A399" s="9"/>
      <c r="B399" s="9"/>
      <c r="C399" s="9"/>
      <c r="D399" s="1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ht="14.25" customHeight="1">
      <c r="A400" s="9"/>
      <c r="B400" s="9"/>
      <c r="C400" s="9"/>
      <c r="D400" s="1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ht="14.25" customHeight="1">
      <c r="A401" s="9"/>
      <c r="B401" s="9"/>
      <c r="C401" s="9"/>
      <c r="D401" s="1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ht="14.25" customHeight="1">
      <c r="A402" s="9"/>
      <c r="B402" s="9"/>
      <c r="C402" s="9"/>
      <c r="D402" s="1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ht="14.25" customHeight="1">
      <c r="A403" s="9"/>
      <c r="B403" s="9"/>
      <c r="C403" s="9"/>
      <c r="D403" s="1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ht="14.25" customHeight="1">
      <c r="A404" s="9"/>
      <c r="B404" s="9"/>
      <c r="C404" s="9"/>
      <c r="D404" s="1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ht="14.25" customHeight="1">
      <c r="A405" s="9"/>
      <c r="B405" s="9"/>
      <c r="C405" s="9"/>
      <c r="D405" s="1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ht="14.25" customHeight="1">
      <c r="A406" s="9"/>
      <c r="B406" s="9"/>
      <c r="C406" s="9"/>
      <c r="D406" s="1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ht="14.25" customHeight="1">
      <c r="A407" s="9"/>
      <c r="B407" s="9"/>
      <c r="C407" s="9"/>
      <c r="D407" s="1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ht="14.25" customHeight="1">
      <c r="A408" s="9"/>
      <c r="B408" s="9"/>
      <c r="C408" s="9"/>
      <c r="D408" s="1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ht="14.25" customHeight="1">
      <c r="A409" s="9"/>
      <c r="B409" s="9"/>
      <c r="C409" s="9"/>
      <c r="D409" s="1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ht="14.25" customHeight="1">
      <c r="A410" s="9"/>
      <c r="B410" s="9"/>
      <c r="C410" s="9"/>
      <c r="D410" s="1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ht="14.25" customHeight="1">
      <c r="A411" s="9"/>
      <c r="B411" s="9"/>
      <c r="C411" s="9"/>
      <c r="D411" s="1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ht="14.25" customHeight="1">
      <c r="A412" s="9"/>
      <c r="B412" s="9"/>
      <c r="C412" s="9"/>
      <c r="D412" s="1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ht="14.25" customHeight="1">
      <c r="A413" s="9"/>
      <c r="B413" s="9"/>
      <c r="C413" s="9"/>
      <c r="D413" s="1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ht="14.25" customHeight="1">
      <c r="A414" s="9"/>
      <c r="B414" s="9"/>
      <c r="C414" s="9"/>
      <c r="D414" s="1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ht="14.25" customHeight="1">
      <c r="A415" s="9"/>
      <c r="B415" s="9"/>
      <c r="C415" s="9"/>
      <c r="D415" s="1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ht="14.25" customHeight="1">
      <c r="A416" s="9"/>
      <c r="B416" s="9"/>
      <c r="C416" s="9"/>
      <c r="D416" s="1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ht="14.25" customHeight="1">
      <c r="A417" s="9"/>
      <c r="B417" s="9"/>
      <c r="C417" s="9"/>
      <c r="D417" s="1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ht="14.25" customHeight="1">
      <c r="A418" s="9"/>
      <c r="B418" s="9"/>
      <c r="C418" s="9"/>
      <c r="D418" s="1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ht="14.25" customHeight="1">
      <c r="A419" s="9"/>
      <c r="B419" s="9"/>
      <c r="C419" s="9"/>
      <c r="D419" s="1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ht="14.25" customHeight="1">
      <c r="A420" s="9"/>
      <c r="B420" s="9"/>
      <c r="C420" s="9"/>
      <c r="D420" s="1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ht="14.25" customHeight="1">
      <c r="A421" s="9"/>
      <c r="B421" s="9"/>
      <c r="C421" s="9"/>
      <c r="D421" s="1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ht="14.25" customHeight="1">
      <c r="A422" s="9"/>
      <c r="B422" s="9"/>
      <c r="C422" s="9"/>
      <c r="D422" s="1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ht="14.25" customHeight="1">
      <c r="A423" s="9"/>
      <c r="B423" s="9"/>
      <c r="C423" s="9"/>
      <c r="D423" s="1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ht="14.25" customHeight="1">
      <c r="A424" s="9"/>
      <c r="B424" s="9"/>
      <c r="C424" s="9"/>
      <c r="D424" s="1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ht="14.25" customHeight="1">
      <c r="A425" s="9"/>
      <c r="B425" s="9"/>
      <c r="C425" s="9"/>
      <c r="D425" s="1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ht="14.25" customHeight="1">
      <c r="A426" s="9"/>
      <c r="B426" s="9"/>
      <c r="C426" s="9"/>
      <c r="D426" s="1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ht="14.25" customHeight="1">
      <c r="A427" s="9"/>
      <c r="B427" s="9"/>
      <c r="C427" s="9"/>
      <c r="D427" s="1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ht="14.25" customHeight="1">
      <c r="A428" s="9"/>
      <c r="B428" s="9"/>
      <c r="C428" s="9"/>
      <c r="D428" s="1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ht="14.25" customHeight="1">
      <c r="A429" s="9"/>
      <c r="B429" s="9"/>
      <c r="C429" s="9"/>
      <c r="D429" s="1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ht="14.25" customHeight="1">
      <c r="A430" s="9"/>
      <c r="B430" s="9"/>
      <c r="C430" s="9"/>
      <c r="D430" s="1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ht="14.25" customHeight="1">
      <c r="A431" s="9"/>
      <c r="B431" s="9"/>
      <c r="C431" s="9"/>
      <c r="D431" s="1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ht="14.25" customHeight="1">
      <c r="A432" s="9"/>
      <c r="B432" s="9"/>
      <c r="C432" s="9"/>
      <c r="D432" s="1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ht="14.25" customHeight="1">
      <c r="A433" s="9"/>
      <c r="B433" s="9"/>
      <c r="C433" s="9"/>
      <c r="D433" s="1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ht="14.25" customHeight="1">
      <c r="A434" s="9"/>
      <c r="B434" s="9"/>
      <c r="C434" s="9"/>
      <c r="D434" s="1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ht="14.25" customHeight="1">
      <c r="A435" s="9"/>
      <c r="B435" s="9"/>
      <c r="C435" s="9"/>
      <c r="D435" s="1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ht="14.25" customHeight="1">
      <c r="A436" s="9"/>
      <c r="B436" s="9"/>
      <c r="C436" s="9"/>
      <c r="D436" s="1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ht="14.25" customHeight="1">
      <c r="A437" s="9"/>
      <c r="B437" s="9"/>
      <c r="C437" s="9"/>
      <c r="D437" s="1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ht="14.25" customHeight="1">
      <c r="A438" s="9"/>
      <c r="B438" s="9"/>
      <c r="C438" s="9"/>
      <c r="D438" s="1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ht="14.25" customHeight="1">
      <c r="A439" s="9"/>
      <c r="B439" s="9"/>
      <c r="C439" s="9"/>
      <c r="D439" s="1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ht="14.25" customHeight="1">
      <c r="A440" s="9"/>
      <c r="B440" s="9"/>
      <c r="C440" s="9"/>
      <c r="D440" s="1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ht="14.25" customHeight="1">
      <c r="A441" s="9"/>
      <c r="B441" s="9"/>
      <c r="C441" s="9"/>
      <c r="D441" s="1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ht="14.25" customHeight="1">
      <c r="A442" s="9"/>
      <c r="B442" s="9"/>
      <c r="C442" s="9"/>
      <c r="D442" s="1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ht="14.25" customHeight="1">
      <c r="A443" s="9"/>
      <c r="B443" s="9"/>
      <c r="C443" s="9"/>
      <c r="D443" s="1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ht="14.25" customHeight="1">
      <c r="A444" s="9"/>
      <c r="B444" s="9"/>
      <c r="C444" s="9"/>
      <c r="D444" s="1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ht="14.25" customHeight="1">
      <c r="A445" s="9"/>
      <c r="B445" s="9"/>
      <c r="C445" s="9"/>
      <c r="D445" s="1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ht="14.25" customHeight="1">
      <c r="A446" s="9"/>
      <c r="B446" s="9"/>
      <c r="C446" s="9"/>
      <c r="D446" s="1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ht="14.25" customHeight="1">
      <c r="A447" s="9"/>
      <c r="B447" s="9"/>
      <c r="C447" s="9"/>
      <c r="D447" s="1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ht="14.25" customHeight="1">
      <c r="A448" s="9"/>
      <c r="B448" s="9"/>
      <c r="C448" s="9"/>
      <c r="D448" s="1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ht="14.25" customHeight="1">
      <c r="A449" s="9"/>
      <c r="B449" s="9"/>
      <c r="C449" s="9"/>
      <c r="D449" s="1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ht="14.25" customHeight="1">
      <c r="A450" s="9"/>
      <c r="B450" s="9"/>
      <c r="C450" s="9"/>
      <c r="D450" s="1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ht="14.25" customHeight="1">
      <c r="A451" s="9"/>
      <c r="B451" s="9"/>
      <c r="C451" s="9"/>
      <c r="D451" s="1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ht="14.25" customHeight="1">
      <c r="A452" s="9"/>
      <c r="B452" s="9"/>
      <c r="C452" s="9"/>
      <c r="D452" s="1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ht="14.25" customHeight="1">
      <c r="A453" s="9"/>
      <c r="B453" s="9"/>
      <c r="C453" s="9"/>
      <c r="D453" s="1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ht="14.25" customHeight="1">
      <c r="A454" s="9"/>
      <c r="B454" s="9"/>
      <c r="C454" s="9"/>
      <c r="D454" s="1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ht="14.25" customHeight="1">
      <c r="A455" s="9"/>
      <c r="B455" s="9"/>
      <c r="C455" s="9"/>
      <c r="D455" s="1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ht="14.25" customHeight="1">
      <c r="A456" s="9"/>
      <c r="B456" s="9"/>
      <c r="C456" s="9"/>
      <c r="D456" s="1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ht="14.25" customHeight="1">
      <c r="A457" s="9"/>
      <c r="B457" s="9"/>
      <c r="C457" s="9"/>
      <c r="D457" s="1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ht="14.25" customHeight="1">
      <c r="A458" s="9"/>
      <c r="B458" s="9"/>
      <c r="C458" s="9"/>
      <c r="D458" s="1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ht="14.25" customHeight="1">
      <c r="A459" s="9"/>
      <c r="B459" s="9"/>
      <c r="C459" s="9"/>
      <c r="D459" s="1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ht="14.25" customHeight="1">
      <c r="A460" s="9"/>
      <c r="B460" s="9"/>
      <c r="C460" s="9"/>
      <c r="D460" s="1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ht="14.25" customHeight="1">
      <c r="A461" s="9"/>
      <c r="B461" s="9"/>
      <c r="C461" s="9"/>
      <c r="D461" s="1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ht="14.25" customHeight="1">
      <c r="A462" s="9"/>
      <c r="B462" s="9"/>
      <c r="C462" s="9"/>
      <c r="D462" s="1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ht="14.25" customHeight="1">
      <c r="A463" s="9"/>
      <c r="B463" s="9"/>
      <c r="C463" s="9"/>
      <c r="D463" s="1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ht="14.25" customHeight="1">
      <c r="A464" s="9"/>
      <c r="B464" s="9"/>
      <c r="C464" s="9"/>
      <c r="D464" s="1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ht="14.25" customHeight="1">
      <c r="A465" s="9"/>
      <c r="B465" s="9"/>
      <c r="C465" s="9"/>
      <c r="D465" s="1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ht="14.25" customHeight="1">
      <c r="A466" s="9"/>
      <c r="B466" s="9"/>
      <c r="C466" s="9"/>
      <c r="D466" s="1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ht="14.25" customHeight="1">
      <c r="A467" s="9"/>
      <c r="B467" s="9"/>
      <c r="C467" s="9"/>
      <c r="D467" s="1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ht="14.25" customHeight="1">
      <c r="A468" s="9"/>
      <c r="B468" s="9"/>
      <c r="C468" s="9"/>
      <c r="D468" s="1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ht="14.25" customHeight="1">
      <c r="A469" s="9"/>
      <c r="B469" s="9"/>
      <c r="C469" s="9"/>
      <c r="D469" s="1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ht="14.25" customHeight="1">
      <c r="A470" s="9"/>
      <c r="B470" s="9"/>
      <c r="C470" s="9"/>
      <c r="D470" s="1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ht="14.25" customHeight="1">
      <c r="A471" s="9"/>
      <c r="B471" s="9"/>
      <c r="C471" s="9"/>
      <c r="D471" s="1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ht="14.25" customHeight="1">
      <c r="A472" s="9"/>
      <c r="B472" s="9"/>
      <c r="C472" s="9"/>
      <c r="D472" s="1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ht="14.25" customHeight="1">
      <c r="A473" s="9"/>
      <c r="B473" s="9"/>
      <c r="C473" s="9"/>
      <c r="D473" s="1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ht="14.25" customHeight="1">
      <c r="A474" s="9"/>
      <c r="B474" s="9"/>
      <c r="C474" s="9"/>
      <c r="D474" s="1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ht="14.25" customHeight="1">
      <c r="A475" s="9"/>
      <c r="B475" s="9"/>
      <c r="C475" s="9"/>
      <c r="D475" s="1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ht="14.25" customHeight="1">
      <c r="A476" s="9"/>
      <c r="B476" s="9"/>
      <c r="C476" s="9"/>
      <c r="D476" s="1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ht="14.25" customHeight="1">
      <c r="A477" s="9"/>
      <c r="B477" s="9"/>
      <c r="C477" s="9"/>
      <c r="D477" s="1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ht="14.25" customHeight="1">
      <c r="A478" s="9"/>
      <c r="B478" s="9"/>
      <c r="C478" s="9"/>
      <c r="D478" s="1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ht="14.25" customHeight="1">
      <c r="A479" s="9"/>
      <c r="B479" s="9"/>
      <c r="C479" s="9"/>
      <c r="D479" s="1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ht="14.25" customHeight="1">
      <c r="A480" s="9"/>
      <c r="B480" s="9"/>
      <c r="C480" s="9"/>
      <c r="D480" s="1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ht="14.25" customHeight="1">
      <c r="A481" s="9"/>
      <c r="B481" s="9"/>
      <c r="C481" s="9"/>
      <c r="D481" s="1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ht="14.25" customHeight="1">
      <c r="A482" s="9"/>
      <c r="B482" s="9"/>
      <c r="C482" s="9"/>
      <c r="D482" s="1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ht="14.25" customHeight="1">
      <c r="A483" s="9"/>
      <c r="B483" s="9"/>
      <c r="C483" s="9"/>
      <c r="D483" s="1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ht="14.25" customHeight="1">
      <c r="A484" s="9"/>
      <c r="B484" s="9"/>
      <c r="C484" s="9"/>
      <c r="D484" s="1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ht="14.25" customHeight="1">
      <c r="A485" s="9"/>
      <c r="B485" s="9"/>
      <c r="C485" s="9"/>
      <c r="D485" s="1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ht="14.25" customHeight="1">
      <c r="A486" s="9"/>
      <c r="B486" s="9"/>
      <c r="C486" s="9"/>
      <c r="D486" s="1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ht="14.25" customHeight="1">
      <c r="A487" s="9"/>
      <c r="B487" s="9"/>
      <c r="C487" s="9"/>
      <c r="D487" s="1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ht="14.25" customHeight="1">
      <c r="A488" s="9"/>
      <c r="B488" s="9"/>
      <c r="C488" s="9"/>
      <c r="D488" s="1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ht="14.25" customHeight="1">
      <c r="A489" s="9"/>
      <c r="B489" s="9"/>
      <c r="C489" s="9"/>
      <c r="D489" s="1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ht="14.25" customHeight="1">
      <c r="A490" s="9"/>
      <c r="B490" s="9"/>
      <c r="C490" s="9"/>
      <c r="D490" s="1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ht="14.25" customHeight="1">
      <c r="A491" s="9"/>
      <c r="B491" s="9"/>
      <c r="C491" s="9"/>
      <c r="D491" s="1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ht="14.25" customHeight="1">
      <c r="A492" s="9"/>
      <c r="B492" s="9"/>
      <c r="C492" s="9"/>
      <c r="D492" s="1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ht="14.25" customHeight="1">
      <c r="A493" s="9"/>
      <c r="B493" s="9"/>
      <c r="C493" s="9"/>
      <c r="D493" s="1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ht="14.25" customHeight="1">
      <c r="A494" s="9"/>
      <c r="B494" s="9"/>
      <c r="C494" s="9"/>
      <c r="D494" s="1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ht="14.25" customHeight="1">
      <c r="A495" s="9"/>
      <c r="B495" s="9"/>
      <c r="C495" s="9"/>
      <c r="D495" s="1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ht="14.25" customHeight="1">
      <c r="A496" s="9"/>
      <c r="B496" s="9"/>
      <c r="C496" s="9"/>
      <c r="D496" s="1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ht="14.25" customHeight="1">
      <c r="A497" s="9"/>
      <c r="B497" s="9"/>
      <c r="C497" s="9"/>
      <c r="D497" s="1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ht="14.25" customHeight="1">
      <c r="A498" s="9"/>
      <c r="B498" s="9"/>
      <c r="C498" s="9"/>
      <c r="D498" s="1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ht="14.25" customHeight="1">
      <c r="A499" s="9"/>
      <c r="B499" s="9"/>
      <c r="C499" s="9"/>
      <c r="D499" s="1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ht="14.25" customHeight="1">
      <c r="A500" s="9"/>
      <c r="B500" s="9"/>
      <c r="C500" s="9"/>
      <c r="D500" s="1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ht="14.25" customHeight="1">
      <c r="A501" s="9"/>
      <c r="B501" s="9"/>
      <c r="C501" s="9"/>
      <c r="D501" s="1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ht="14.25" customHeight="1">
      <c r="A502" s="9"/>
      <c r="B502" s="9"/>
      <c r="C502" s="9"/>
      <c r="D502" s="1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ht="14.25" customHeight="1">
      <c r="A503" s="9"/>
      <c r="B503" s="9"/>
      <c r="C503" s="9"/>
      <c r="D503" s="1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ht="14.25" customHeight="1">
      <c r="A504" s="9"/>
      <c r="B504" s="9"/>
      <c r="C504" s="9"/>
      <c r="D504" s="1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ht="14.25" customHeight="1">
      <c r="A505" s="9"/>
      <c r="B505" s="9"/>
      <c r="C505" s="9"/>
      <c r="D505" s="1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ht="14.25" customHeight="1">
      <c r="A506" s="9"/>
      <c r="B506" s="9"/>
      <c r="C506" s="9"/>
      <c r="D506" s="1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ht="14.25" customHeight="1">
      <c r="A507" s="9"/>
      <c r="B507" s="9"/>
      <c r="C507" s="9"/>
      <c r="D507" s="1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ht="14.25" customHeight="1">
      <c r="A508" s="9"/>
      <c r="B508" s="9"/>
      <c r="C508" s="9"/>
      <c r="D508" s="1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ht="14.25" customHeight="1">
      <c r="A509" s="9"/>
      <c r="B509" s="9"/>
      <c r="C509" s="9"/>
      <c r="D509" s="1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ht="14.25" customHeight="1">
      <c r="A510" s="9"/>
      <c r="B510" s="9"/>
      <c r="C510" s="9"/>
      <c r="D510" s="1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ht="14.25" customHeight="1">
      <c r="A511" s="9"/>
      <c r="B511" s="9"/>
      <c r="C511" s="9"/>
      <c r="D511" s="1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ht="14.25" customHeight="1">
      <c r="A512" s="9"/>
      <c r="B512" s="9"/>
      <c r="C512" s="9"/>
      <c r="D512" s="1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ht="14.25" customHeight="1">
      <c r="A513" s="9"/>
      <c r="B513" s="9"/>
      <c r="C513" s="9"/>
      <c r="D513" s="1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ht="14.25" customHeight="1">
      <c r="A514" s="9"/>
      <c r="B514" s="9"/>
      <c r="C514" s="9"/>
      <c r="D514" s="1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ht="14.25" customHeight="1">
      <c r="A515" s="9"/>
      <c r="B515" s="9"/>
      <c r="C515" s="9"/>
      <c r="D515" s="1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ht="14.25" customHeight="1">
      <c r="A516" s="9"/>
      <c r="B516" s="9"/>
      <c r="C516" s="9"/>
      <c r="D516" s="1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ht="14.25" customHeight="1">
      <c r="A517" s="9"/>
      <c r="B517" s="9"/>
      <c r="C517" s="9"/>
      <c r="D517" s="1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ht="14.25" customHeight="1">
      <c r="A518" s="9"/>
      <c r="B518" s="9"/>
      <c r="C518" s="9"/>
      <c r="D518" s="1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ht="14.25" customHeight="1">
      <c r="A519" s="9"/>
      <c r="B519" s="9"/>
      <c r="C519" s="9"/>
      <c r="D519" s="1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ht="14.25" customHeight="1">
      <c r="A520" s="9"/>
      <c r="B520" s="9"/>
      <c r="C520" s="9"/>
      <c r="D520" s="1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ht="14.25" customHeight="1">
      <c r="A521" s="9"/>
      <c r="B521" s="9"/>
      <c r="C521" s="9"/>
      <c r="D521" s="1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ht="14.25" customHeight="1">
      <c r="A522" s="9"/>
      <c r="B522" s="9"/>
      <c r="C522" s="9"/>
      <c r="D522" s="1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ht="14.25" customHeight="1">
      <c r="A523" s="9"/>
      <c r="B523" s="9"/>
      <c r="C523" s="9"/>
      <c r="D523" s="1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ht="14.25" customHeight="1">
      <c r="A524" s="9"/>
      <c r="B524" s="9"/>
      <c r="C524" s="9"/>
      <c r="D524" s="1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ht="14.25" customHeight="1">
      <c r="A525" s="9"/>
      <c r="B525" s="9"/>
      <c r="C525" s="9"/>
      <c r="D525" s="1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ht="14.25" customHeight="1">
      <c r="A526" s="9"/>
      <c r="B526" s="9"/>
      <c r="C526" s="9"/>
      <c r="D526" s="1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ht="14.25" customHeight="1">
      <c r="A527" s="9"/>
      <c r="B527" s="9"/>
      <c r="C527" s="9"/>
      <c r="D527" s="1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ht="14.25" customHeight="1">
      <c r="A528" s="9"/>
      <c r="B528" s="9"/>
      <c r="C528" s="9"/>
      <c r="D528" s="1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ht="14.25" customHeight="1">
      <c r="A529" s="9"/>
      <c r="B529" s="9"/>
      <c r="C529" s="9"/>
      <c r="D529" s="1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ht="14.25" customHeight="1">
      <c r="A530" s="9"/>
      <c r="B530" s="9"/>
      <c r="C530" s="9"/>
      <c r="D530" s="1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ht="14.25" customHeight="1">
      <c r="A531" s="9"/>
      <c r="B531" s="9"/>
      <c r="C531" s="9"/>
      <c r="D531" s="1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ht="14.25" customHeight="1">
      <c r="A532" s="9"/>
      <c r="B532" s="9"/>
      <c r="C532" s="9"/>
      <c r="D532" s="1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ht="14.25" customHeight="1">
      <c r="A533" s="9"/>
      <c r="B533" s="9"/>
      <c r="C533" s="9"/>
      <c r="D533" s="1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ht="14.25" customHeight="1">
      <c r="A534" s="9"/>
      <c r="B534" s="9"/>
      <c r="C534" s="9"/>
      <c r="D534" s="1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ht="14.25" customHeight="1">
      <c r="A535" s="9"/>
      <c r="B535" s="9"/>
      <c r="C535" s="9"/>
      <c r="D535" s="1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ht="14.25" customHeight="1">
      <c r="A536" s="9"/>
      <c r="B536" s="9"/>
      <c r="C536" s="9"/>
      <c r="D536" s="1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ht="14.25" customHeight="1">
      <c r="A537" s="9"/>
      <c r="B537" s="9"/>
      <c r="C537" s="9"/>
      <c r="D537" s="1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ht="14.25" customHeight="1">
      <c r="A538" s="9"/>
      <c r="B538" s="9"/>
      <c r="C538" s="9"/>
      <c r="D538" s="1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ht="14.25" customHeight="1">
      <c r="A539" s="9"/>
      <c r="B539" s="9"/>
      <c r="C539" s="9"/>
      <c r="D539" s="1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ht="14.25" customHeight="1">
      <c r="A540" s="9"/>
      <c r="B540" s="9"/>
      <c r="C540" s="9"/>
      <c r="D540" s="1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ht="14.25" customHeight="1">
      <c r="A541" s="9"/>
      <c r="B541" s="9"/>
      <c r="C541" s="9"/>
      <c r="D541" s="1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ht="14.25" customHeight="1">
      <c r="A542" s="9"/>
      <c r="B542" s="9"/>
      <c r="C542" s="9"/>
      <c r="D542" s="1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ht="14.25" customHeight="1">
      <c r="A543" s="9"/>
      <c r="B543" s="9"/>
      <c r="C543" s="9"/>
      <c r="D543" s="1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ht="14.25" customHeight="1">
      <c r="A544" s="9"/>
      <c r="B544" s="9"/>
      <c r="C544" s="9"/>
      <c r="D544" s="1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ht="14.25" customHeight="1">
      <c r="A545" s="9"/>
      <c r="B545" s="9"/>
      <c r="C545" s="9"/>
      <c r="D545" s="1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ht="14.25" customHeight="1">
      <c r="A546" s="9"/>
      <c r="B546" s="9"/>
      <c r="C546" s="9"/>
      <c r="D546" s="1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ht="14.25" customHeight="1">
      <c r="A547" s="9"/>
      <c r="B547" s="9"/>
      <c r="C547" s="9"/>
      <c r="D547" s="1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ht="14.25" customHeight="1">
      <c r="A548" s="9"/>
      <c r="B548" s="9"/>
      <c r="C548" s="9"/>
      <c r="D548" s="1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ht="14.25" customHeight="1">
      <c r="A549" s="9"/>
      <c r="B549" s="9"/>
      <c r="C549" s="9"/>
      <c r="D549" s="1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ht="14.25" customHeight="1">
      <c r="A550" s="9"/>
      <c r="B550" s="9"/>
      <c r="C550" s="9"/>
      <c r="D550" s="1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ht="14.25" customHeight="1">
      <c r="A551" s="9"/>
      <c r="B551" s="9"/>
      <c r="C551" s="9"/>
      <c r="D551" s="1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ht="14.25" customHeight="1">
      <c r="A552" s="9"/>
      <c r="B552" s="9"/>
      <c r="C552" s="9"/>
      <c r="D552" s="1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ht="14.25" customHeight="1">
      <c r="A553" s="9"/>
      <c r="B553" s="9"/>
      <c r="C553" s="9"/>
      <c r="D553" s="1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ht="14.25" customHeight="1">
      <c r="A554" s="9"/>
      <c r="B554" s="9"/>
      <c r="C554" s="9"/>
      <c r="D554" s="1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ht="14.25" customHeight="1">
      <c r="A555" s="9"/>
      <c r="B555" s="9"/>
      <c r="C555" s="9"/>
      <c r="D555" s="1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ht="14.25" customHeight="1">
      <c r="A556" s="9"/>
      <c r="B556" s="9"/>
      <c r="C556" s="9"/>
      <c r="D556" s="1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ht="14.25" customHeight="1">
      <c r="A557" s="9"/>
      <c r="B557" s="9"/>
      <c r="C557" s="9"/>
      <c r="D557" s="1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ht="14.25" customHeight="1">
      <c r="A558" s="9"/>
      <c r="B558" s="9"/>
      <c r="C558" s="9"/>
      <c r="D558" s="1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ht="14.25" customHeight="1">
      <c r="A559" s="9"/>
      <c r="B559" s="9"/>
      <c r="C559" s="9"/>
      <c r="D559" s="1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ht="14.25" customHeight="1">
      <c r="A560" s="9"/>
      <c r="B560" s="9"/>
      <c r="C560" s="9"/>
      <c r="D560" s="1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ht="14.25" customHeight="1">
      <c r="A561" s="9"/>
      <c r="B561" s="9"/>
      <c r="C561" s="9"/>
      <c r="D561" s="1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ht="14.25" customHeight="1">
      <c r="A562" s="9"/>
      <c r="B562" s="9"/>
      <c r="C562" s="9"/>
      <c r="D562" s="1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ht="14.25" customHeight="1">
      <c r="A563" s="9"/>
      <c r="B563" s="9"/>
      <c r="C563" s="9"/>
      <c r="D563" s="1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ht="14.25" customHeight="1">
      <c r="A564" s="9"/>
      <c r="B564" s="9"/>
      <c r="C564" s="9"/>
      <c r="D564" s="1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ht="14.25" customHeight="1">
      <c r="A565" s="9"/>
      <c r="B565" s="9"/>
      <c r="C565" s="9"/>
      <c r="D565" s="1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ht="14.25" customHeight="1">
      <c r="A566" s="9"/>
      <c r="B566" s="9"/>
      <c r="C566" s="9"/>
      <c r="D566" s="1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ht="14.25" customHeight="1">
      <c r="A567" s="9"/>
      <c r="B567" s="9"/>
      <c r="C567" s="9"/>
      <c r="D567" s="1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ht="14.25" customHeight="1">
      <c r="A568" s="9"/>
      <c r="B568" s="9"/>
      <c r="C568" s="9"/>
      <c r="D568" s="1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ht="14.25" customHeight="1">
      <c r="A569" s="9"/>
      <c r="B569" s="9"/>
      <c r="C569" s="9"/>
      <c r="D569" s="1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ht="14.25" customHeight="1">
      <c r="A570" s="9"/>
      <c r="B570" s="9"/>
      <c r="C570" s="9"/>
      <c r="D570" s="1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ht="14.25" customHeight="1">
      <c r="A571" s="9"/>
      <c r="B571" s="9"/>
      <c r="C571" s="9"/>
      <c r="D571" s="1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ht="14.25" customHeight="1">
      <c r="A572" s="9"/>
      <c r="B572" s="9"/>
      <c r="C572" s="9"/>
      <c r="D572" s="1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ht="14.25" customHeight="1">
      <c r="A573" s="9"/>
      <c r="B573" s="9"/>
      <c r="C573" s="9"/>
      <c r="D573" s="1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ht="14.25" customHeight="1">
      <c r="A574" s="9"/>
      <c r="B574" s="9"/>
      <c r="C574" s="9"/>
      <c r="D574" s="1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ht="14.25" customHeight="1">
      <c r="A575" s="9"/>
      <c r="B575" s="9"/>
      <c r="C575" s="9"/>
      <c r="D575" s="1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ht="14.25" customHeight="1">
      <c r="A576" s="9"/>
      <c r="B576" s="9"/>
      <c r="C576" s="9"/>
      <c r="D576" s="1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ht="14.25" customHeight="1">
      <c r="A577" s="9"/>
      <c r="B577" s="9"/>
      <c r="C577" s="9"/>
      <c r="D577" s="1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ht="14.25" customHeight="1">
      <c r="A578" s="9"/>
      <c r="B578" s="9"/>
      <c r="C578" s="9"/>
      <c r="D578" s="1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ht="14.25" customHeight="1">
      <c r="A579" s="9"/>
      <c r="B579" s="9"/>
      <c r="C579" s="9"/>
      <c r="D579" s="1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ht="14.25" customHeight="1">
      <c r="A580" s="9"/>
      <c r="B580" s="9"/>
      <c r="C580" s="9"/>
      <c r="D580" s="1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ht="14.25" customHeight="1">
      <c r="A581" s="9"/>
      <c r="B581" s="9"/>
      <c r="C581" s="9"/>
      <c r="D581" s="1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ht="14.25" customHeight="1">
      <c r="A582" s="9"/>
      <c r="B582" s="9"/>
      <c r="C582" s="9"/>
      <c r="D582" s="1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ht="14.25" customHeight="1">
      <c r="A583" s="9"/>
      <c r="B583" s="9"/>
      <c r="C583" s="9"/>
      <c r="D583" s="1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ht="14.25" customHeight="1">
      <c r="A584" s="9"/>
      <c r="B584" s="9"/>
      <c r="C584" s="9"/>
      <c r="D584" s="1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ht="14.25" customHeight="1">
      <c r="A585" s="9"/>
      <c r="B585" s="9"/>
      <c r="C585" s="9"/>
      <c r="D585" s="1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ht="14.25" customHeight="1">
      <c r="A586" s="9"/>
      <c r="B586" s="9"/>
      <c r="C586" s="9"/>
      <c r="D586" s="1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ht="14.25" customHeight="1">
      <c r="A587" s="9"/>
      <c r="B587" s="9"/>
      <c r="C587" s="9"/>
      <c r="D587" s="1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ht="14.25" customHeight="1">
      <c r="A588" s="9"/>
      <c r="B588" s="9"/>
      <c r="C588" s="9"/>
      <c r="D588" s="1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ht="14.25" customHeight="1">
      <c r="A589" s="9"/>
      <c r="B589" s="9"/>
      <c r="C589" s="9"/>
      <c r="D589" s="1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ht="14.25" customHeight="1">
      <c r="A590" s="9"/>
      <c r="B590" s="9"/>
      <c r="C590" s="9"/>
      <c r="D590" s="1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ht="14.25" customHeight="1">
      <c r="A591" s="9"/>
      <c r="B591" s="9"/>
      <c r="C591" s="9"/>
      <c r="D591" s="1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ht="14.25" customHeight="1">
      <c r="A592" s="9"/>
      <c r="B592" s="9"/>
      <c r="C592" s="9"/>
      <c r="D592" s="1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ht="14.25" customHeight="1">
      <c r="A593" s="9"/>
      <c r="B593" s="9"/>
      <c r="C593" s="9"/>
      <c r="D593" s="1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ht="14.25" customHeight="1">
      <c r="A594" s="9"/>
      <c r="B594" s="9"/>
      <c r="C594" s="9"/>
      <c r="D594" s="1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ht="14.25" customHeight="1">
      <c r="A595" s="9"/>
      <c r="B595" s="9"/>
      <c r="C595" s="9"/>
      <c r="D595" s="1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ht="14.25" customHeight="1">
      <c r="A596" s="9"/>
      <c r="B596" s="9"/>
      <c r="C596" s="9"/>
      <c r="D596" s="1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ht="14.25" customHeight="1">
      <c r="A597" s="9"/>
      <c r="B597" s="9"/>
      <c r="C597" s="9"/>
      <c r="D597" s="1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ht="14.25" customHeight="1">
      <c r="A598" s="9"/>
      <c r="B598" s="9"/>
      <c r="C598" s="9"/>
      <c r="D598" s="1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ht="14.25" customHeight="1">
      <c r="A599" s="9"/>
      <c r="B599" s="9"/>
      <c r="C599" s="9"/>
      <c r="D599" s="1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ht="14.25" customHeight="1">
      <c r="A600" s="9"/>
      <c r="B600" s="9"/>
      <c r="C600" s="9"/>
      <c r="D600" s="1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ht="14.25" customHeight="1">
      <c r="A601" s="9"/>
      <c r="B601" s="9"/>
      <c r="C601" s="9"/>
      <c r="D601" s="1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ht="14.25" customHeight="1">
      <c r="A602" s="9"/>
      <c r="B602" s="9"/>
      <c r="C602" s="9"/>
      <c r="D602" s="1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ht="14.25" customHeight="1">
      <c r="A603" s="9"/>
      <c r="B603" s="9"/>
      <c r="C603" s="9"/>
      <c r="D603" s="1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ht="14.25" customHeight="1">
      <c r="A604" s="9"/>
      <c r="B604" s="9"/>
      <c r="C604" s="9"/>
      <c r="D604" s="1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ht="14.25" customHeight="1">
      <c r="A605" s="9"/>
      <c r="B605" s="9"/>
      <c r="C605" s="9"/>
      <c r="D605" s="1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ht="14.25" customHeight="1">
      <c r="A606" s="9"/>
      <c r="B606" s="9"/>
      <c r="C606" s="9"/>
      <c r="D606" s="1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ht="14.25" customHeight="1">
      <c r="A607" s="9"/>
      <c r="B607" s="9"/>
      <c r="C607" s="9"/>
      <c r="D607" s="1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ht="14.25" customHeight="1">
      <c r="A608" s="9"/>
      <c r="B608" s="9"/>
      <c r="C608" s="9"/>
      <c r="D608" s="1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ht="14.25" customHeight="1">
      <c r="A609" s="9"/>
      <c r="B609" s="9"/>
      <c r="C609" s="9"/>
      <c r="D609" s="1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ht="14.25" customHeight="1">
      <c r="A610" s="9"/>
      <c r="B610" s="9"/>
      <c r="C610" s="9"/>
      <c r="D610" s="1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ht="14.25" customHeight="1">
      <c r="A611" s="9"/>
      <c r="B611" s="9"/>
      <c r="C611" s="9"/>
      <c r="D611" s="1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ht="14.25" customHeight="1">
      <c r="A612" s="9"/>
      <c r="B612" s="9"/>
      <c r="C612" s="9"/>
      <c r="D612" s="1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ht="14.25" customHeight="1">
      <c r="A613" s="9"/>
      <c r="B613" s="9"/>
      <c r="C613" s="9"/>
      <c r="D613" s="1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ht="14.25" customHeight="1">
      <c r="A614" s="9"/>
      <c r="B614" s="9"/>
      <c r="C614" s="9"/>
      <c r="D614" s="1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ht="14.25" customHeight="1">
      <c r="A615" s="9"/>
      <c r="B615" s="9"/>
      <c r="C615" s="9"/>
      <c r="D615" s="1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ht="14.25" customHeight="1">
      <c r="A616" s="9"/>
      <c r="B616" s="9"/>
      <c r="C616" s="9"/>
      <c r="D616" s="1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ht="14.25" customHeight="1">
      <c r="A617" s="9"/>
      <c r="B617" s="9"/>
      <c r="C617" s="9"/>
      <c r="D617" s="1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ht="14.25" customHeight="1">
      <c r="A618" s="9"/>
      <c r="B618" s="9"/>
      <c r="C618" s="9"/>
      <c r="D618" s="1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ht="14.25" customHeight="1">
      <c r="A619" s="9"/>
      <c r="B619" s="9"/>
      <c r="C619" s="9"/>
      <c r="D619" s="1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ht="14.25" customHeight="1">
      <c r="A620" s="9"/>
      <c r="B620" s="9"/>
      <c r="C620" s="9"/>
      <c r="D620" s="1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ht="14.25" customHeight="1">
      <c r="A621" s="9"/>
      <c r="B621" s="9"/>
      <c r="C621" s="9"/>
      <c r="D621" s="1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ht="14.25" customHeight="1">
      <c r="A622" s="9"/>
      <c r="B622" s="9"/>
      <c r="C622" s="9"/>
      <c r="D622" s="1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ht="14.25" customHeight="1">
      <c r="A623" s="9"/>
      <c r="B623" s="9"/>
      <c r="C623" s="9"/>
      <c r="D623" s="1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ht="14.25" customHeight="1">
      <c r="A624" s="9"/>
      <c r="B624" s="9"/>
      <c r="C624" s="9"/>
      <c r="D624" s="1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ht="14.25" customHeight="1">
      <c r="A625" s="9"/>
      <c r="B625" s="9"/>
      <c r="C625" s="9"/>
      <c r="D625" s="1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ht="14.25" customHeight="1">
      <c r="A626" s="9"/>
      <c r="B626" s="9"/>
      <c r="C626" s="9"/>
      <c r="D626" s="1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ht="14.25" customHeight="1">
      <c r="A627" s="9"/>
      <c r="B627" s="9"/>
      <c r="C627" s="9"/>
      <c r="D627" s="1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ht="14.25" customHeight="1">
      <c r="A628" s="9"/>
      <c r="B628" s="9"/>
      <c r="C628" s="9"/>
      <c r="D628" s="1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ht="14.25" customHeight="1">
      <c r="A629" s="9"/>
      <c r="B629" s="9"/>
      <c r="C629" s="9"/>
      <c r="D629" s="1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ht="14.25" customHeight="1">
      <c r="A630" s="9"/>
      <c r="B630" s="9"/>
      <c r="C630" s="9"/>
      <c r="D630" s="1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ht="14.25" customHeight="1">
      <c r="A631" s="9"/>
      <c r="B631" s="9"/>
      <c r="C631" s="9"/>
      <c r="D631" s="1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ht="14.25" customHeight="1">
      <c r="A632" s="9"/>
      <c r="B632" s="9"/>
      <c r="C632" s="9"/>
      <c r="D632" s="1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ht="14.25" customHeight="1">
      <c r="A633" s="9"/>
      <c r="B633" s="9"/>
      <c r="C633" s="9"/>
      <c r="D633" s="1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ht="14.25" customHeight="1">
      <c r="A634" s="9"/>
      <c r="B634" s="9"/>
      <c r="C634" s="9"/>
      <c r="D634" s="1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ht="14.25" customHeight="1">
      <c r="A635" s="9"/>
      <c r="B635" s="9"/>
      <c r="C635" s="9"/>
      <c r="D635" s="1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ht="14.25" customHeight="1">
      <c r="A636" s="9"/>
      <c r="B636" s="9"/>
      <c r="C636" s="9"/>
      <c r="D636" s="1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ht="14.25" customHeight="1">
      <c r="A637" s="9"/>
      <c r="B637" s="9"/>
      <c r="C637" s="9"/>
      <c r="D637" s="1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ht="14.25" customHeight="1">
      <c r="A638" s="9"/>
      <c r="B638" s="9"/>
      <c r="C638" s="9"/>
      <c r="D638" s="1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ht="14.25" customHeight="1">
      <c r="A639" s="9"/>
      <c r="B639" s="9"/>
      <c r="C639" s="9"/>
      <c r="D639" s="1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ht="14.25" customHeight="1">
      <c r="A640" s="9"/>
      <c r="B640" s="9"/>
      <c r="C640" s="9"/>
      <c r="D640" s="1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ht="14.25" customHeight="1">
      <c r="A641" s="9"/>
      <c r="B641" s="9"/>
      <c r="C641" s="9"/>
      <c r="D641" s="1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ht="14.25" customHeight="1">
      <c r="A642" s="9"/>
      <c r="B642" s="9"/>
      <c r="C642" s="9"/>
      <c r="D642" s="1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ht="14.25" customHeight="1">
      <c r="A643" s="9"/>
      <c r="B643" s="9"/>
      <c r="C643" s="9"/>
      <c r="D643" s="1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ht="14.25" customHeight="1">
      <c r="A644" s="9"/>
      <c r="B644" s="9"/>
      <c r="C644" s="9"/>
      <c r="D644" s="1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ht="14.25" customHeight="1">
      <c r="A645" s="9"/>
      <c r="B645" s="9"/>
      <c r="C645" s="9"/>
      <c r="D645" s="1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ht="14.25" customHeight="1">
      <c r="A646" s="9"/>
      <c r="B646" s="9"/>
      <c r="C646" s="9"/>
      <c r="D646" s="1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ht="14.25" customHeight="1">
      <c r="A647" s="9"/>
      <c r="B647" s="9"/>
      <c r="C647" s="9"/>
      <c r="D647" s="1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ht="14.25" customHeight="1">
      <c r="A648" s="9"/>
      <c r="B648" s="9"/>
      <c r="C648" s="9"/>
      <c r="D648" s="1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ht="14.25" customHeight="1">
      <c r="A649" s="9"/>
      <c r="B649" s="9"/>
      <c r="C649" s="9"/>
      <c r="D649" s="1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ht="14.25" customHeight="1">
      <c r="A650" s="9"/>
      <c r="B650" s="9"/>
      <c r="C650" s="9"/>
      <c r="D650" s="1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ht="14.25" customHeight="1">
      <c r="A651" s="9"/>
      <c r="B651" s="9"/>
      <c r="C651" s="9"/>
      <c r="D651" s="1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ht="14.25" customHeight="1">
      <c r="A652" s="9"/>
      <c r="B652" s="9"/>
      <c r="C652" s="9"/>
      <c r="D652" s="1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ht="14.25" customHeight="1">
      <c r="A653" s="9"/>
      <c r="B653" s="9"/>
      <c r="C653" s="9"/>
      <c r="D653" s="1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ht="14.25" customHeight="1">
      <c r="A654" s="9"/>
      <c r="B654" s="9"/>
      <c r="C654" s="9"/>
      <c r="D654" s="1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ht="14.25" customHeight="1">
      <c r="A655" s="9"/>
      <c r="B655" s="9"/>
      <c r="C655" s="9"/>
      <c r="D655" s="1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ht="14.25" customHeight="1">
      <c r="A656" s="9"/>
      <c r="B656" s="9"/>
      <c r="C656" s="9"/>
      <c r="D656" s="1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ht="14.25" customHeight="1">
      <c r="A657" s="9"/>
      <c r="B657" s="9"/>
      <c r="C657" s="9"/>
      <c r="D657" s="1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ht="14.25" customHeight="1">
      <c r="A658" s="9"/>
      <c r="B658" s="9"/>
      <c r="C658" s="9"/>
      <c r="D658" s="1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ht="14.25" customHeight="1">
      <c r="A659" s="9"/>
      <c r="B659" s="9"/>
      <c r="C659" s="9"/>
      <c r="D659" s="1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ht="14.25" customHeight="1">
      <c r="A660" s="9"/>
      <c r="B660" s="9"/>
      <c r="C660" s="9"/>
      <c r="D660" s="1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ht="14.25" customHeight="1">
      <c r="A661" s="9"/>
      <c r="B661" s="9"/>
      <c r="C661" s="9"/>
      <c r="D661" s="1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ht="14.25" customHeight="1">
      <c r="A662" s="9"/>
      <c r="B662" s="9"/>
      <c r="C662" s="9"/>
      <c r="D662" s="1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ht="14.25" customHeight="1">
      <c r="A663" s="9"/>
      <c r="B663" s="9"/>
      <c r="C663" s="9"/>
      <c r="D663" s="1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ht="14.25" customHeight="1">
      <c r="A664" s="9"/>
      <c r="B664" s="9"/>
      <c r="C664" s="9"/>
      <c r="D664" s="1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ht="14.25" customHeight="1">
      <c r="A665" s="9"/>
      <c r="B665" s="9"/>
      <c r="C665" s="9"/>
      <c r="D665" s="1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ht="14.25" customHeight="1">
      <c r="A666" s="9"/>
      <c r="B666" s="9"/>
      <c r="C666" s="9"/>
      <c r="D666" s="1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ht="14.25" customHeight="1">
      <c r="A667" s="9"/>
      <c r="B667" s="9"/>
      <c r="C667" s="9"/>
      <c r="D667" s="1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ht="14.25" customHeight="1">
      <c r="A668" s="9"/>
      <c r="B668" s="9"/>
      <c r="C668" s="9"/>
      <c r="D668" s="1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ht="14.25" customHeight="1">
      <c r="A669" s="9"/>
      <c r="B669" s="9"/>
      <c r="C669" s="9"/>
      <c r="D669" s="1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ht="14.25" customHeight="1">
      <c r="A670" s="9"/>
      <c r="B670" s="9"/>
      <c r="C670" s="9"/>
      <c r="D670" s="1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ht="14.25" customHeight="1">
      <c r="A671" s="9"/>
      <c r="B671" s="9"/>
      <c r="C671" s="9"/>
      <c r="D671" s="1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ht="14.25" customHeight="1">
      <c r="A672" s="9"/>
      <c r="B672" s="9"/>
      <c r="C672" s="9"/>
      <c r="D672" s="1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ht="14.25" customHeight="1">
      <c r="A673" s="9"/>
      <c r="B673" s="9"/>
      <c r="C673" s="9"/>
      <c r="D673" s="1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ht="14.25" customHeight="1">
      <c r="A674" s="9"/>
      <c r="B674" s="9"/>
      <c r="C674" s="9"/>
      <c r="D674" s="1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ht="14.25" customHeight="1">
      <c r="A675" s="9"/>
      <c r="B675" s="9"/>
      <c r="C675" s="9"/>
      <c r="D675" s="1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ht="14.25" customHeight="1">
      <c r="A676" s="9"/>
      <c r="B676" s="9"/>
      <c r="C676" s="9"/>
      <c r="D676" s="1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ht="14.25" customHeight="1">
      <c r="A677" s="9"/>
      <c r="B677" s="9"/>
      <c r="C677" s="9"/>
      <c r="D677" s="1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ht="14.25" customHeight="1">
      <c r="A678" s="9"/>
      <c r="B678" s="9"/>
      <c r="C678" s="9"/>
      <c r="D678" s="1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ht="14.25" customHeight="1">
      <c r="A679" s="9"/>
      <c r="B679" s="9"/>
      <c r="C679" s="9"/>
      <c r="D679" s="1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ht="14.25" customHeight="1">
      <c r="A680" s="9"/>
      <c r="B680" s="9"/>
      <c r="C680" s="9"/>
      <c r="D680" s="1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ht="14.25" customHeight="1">
      <c r="A681" s="9"/>
      <c r="B681" s="9"/>
      <c r="C681" s="9"/>
      <c r="D681" s="1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ht="14.25" customHeight="1">
      <c r="A682" s="9"/>
      <c r="B682" s="9"/>
      <c r="C682" s="9"/>
      <c r="D682" s="1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ht="14.25" customHeight="1">
      <c r="A683" s="9"/>
      <c r="B683" s="9"/>
      <c r="C683" s="9"/>
      <c r="D683" s="1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ht="14.25" customHeight="1">
      <c r="A684" s="9"/>
      <c r="B684" s="9"/>
      <c r="C684" s="9"/>
      <c r="D684" s="1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ht="14.25" customHeight="1">
      <c r="A685" s="9"/>
      <c r="B685" s="9"/>
      <c r="C685" s="9"/>
      <c r="D685" s="1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ht="14.25" customHeight="1">
      <c r="A686" s="9"/>
      <c r="B686" s="9"/>
      <c r="C686" s="9"/>
      <c r="D686" s="1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ht="14.25" customHeight="1">
      <c r="A687" s="9"/>
      <c r="B687" s="9"/>
      <c r="C687" s="9"/>
      <c r="D687" s="1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ht="14.25" customHeight="1">
      <c r="A688" s="9"/>
      <c r="B688" s="9"/>
      <c r="C688" s="9"/>
      <c r="D688" s="1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ht="14.25" customHeight="1">
      <c r="A689" s="9"/>
      <c r="B689" s="9"/>
      <c r="C689" s="9"/>
      <c r="D689" s="1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ht="14.25" customHeight="1">
      <c r="A690" s="9"/>
      <c r="B690" s="9"/>
      <c r="C690" s="9"/>
      <c r="D690" s="1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ht="14.25" customHeight="1">
      <c r="A691" s="9"/>
      <c r="B691" s="9"/>
      <c r="C691" s="9"/>
      <c r="D691" s="1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ht="14.25" customHeight="1">
      <c r="A692" s="9"/>
      <c r="B692" s="9"/>
      <c r="C692" s="9"/>
      <c r="D692" s="1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ht="14.25" customHeight="1">
      <c r="A693" s="9"/>
      <c r="B693" s="9"/>
      <c r="C693" s="9"/>
      <c r="D693" s="1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ht="14.25" customHeight="1">
      <c r="A694" s="9"/>
      <c r="B694" s="9"/>
      <c r="C694" s="9"/>
      <c r="D694" s="1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ht="14.25" customHeight="1">
      <c r="A695" s="9"/>
      <c r="B695" s="9"/>
      <c r="C695" s="9"/>
      <c r="D695" s="1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ht="14.25" customHeight="1">
      <c r="A696" s="9"/>
      <c r="B696" s="9"/>
      <c r="C696" s="9"/>
      <c r="D696" s="1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ht="14.25" customHeight="1">
      <c r="A697" s="9"/>
      <c r="B697" s="9"/>
      <c r="C697" s="9"/>
      <c r="D697" s="1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ht="14.25" customHeight="1">
      <c r="A698" s="9"/>
      <c r="B698" s="9"/>
      <c r="C698" s="9"/>
      <c r="D698" s="1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ht="14.25" customHeight="1">
      <c r="A699" s="9"/>
      <c r="B699" s="9"/>
      <c r="C699" s="9"/>
      <c r="D699" s="1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ht="14.25" customHeight="1">
      <c r="A700" s="9"/>
      <c r="B700" s="9"/>
      <c r="C700" s="9"/>
      <c r="D700" s="1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ht="14.25" customHeight="1">
      <c r="A701" s="9"/>
      <c r="B701" s="9"/>
      <c r="C701" s="9"/>
      <c r="D701" s="1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ht="14.25" customHeight="1">
      <c r="A702" s="9"/>
      <c r="B702" s="9"/>
      <c r="C702" s="9"/>
      <c r="D702" s="1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ht="14.25" customHeight="1">
      <c r="A703" s="9"/>
      <c r="B703" s="9"/>
      <c r="C703" s="9"/>
      <c r="D703" s="1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ht="14.25" customHeight="1">
      <c r="A704" s="9"/>
      <c r="B704" s="9"/>
      <c r="C704" s="9"/>
      <c r="D704" s="1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ht="14.25" customHeight="1">
      <c r="A705" s="9"/>
      <c r="B705" s="9"/>
      <c r="C705" s="9"/>
      <c r="D705" s="1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ht="14.25" customHeight="1">
      <c r="A706" s="9"/>
      <c r="B706" s="9"/>
      <c r="C706" s="9"/>
      <c r="D706" s="1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ht="14.25" customHeight="1">
      <c r="A707" s="9"/>
      <c r="B707" s="9"/>
      <c r="C707" s="9"/>
      <c r="D707" s="1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ht="14.25" customHeight="1">
      <c r="A708" s="9"/>
      <c r="B708" s="9"/>
      <c r="C708" s="9"/>
      <c r="D708" s="1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ht="14.25" customHeight="1">
      <c r="A709" s="9"/>
      <c r="B709" s="9"/>
      <c r="C709" s="9"/>
      <c r="D709" s="1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ht="14.25" customHeight="1">
      <c r="A710" s="9"/>
      <c r="B710" s="9"/>
      <c r="C710" s="9"/>
      <c r="D710" s="1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ht="14.25" customHeight="1">
      <c r="A711" s="9"/>
      <c r="B711" s="9"/>
      <c r="C711" s="9"/>
      <c r="D711" s="1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ht="14.25" customHeight="1">
      <c r="A712" s="9"/>
      <c r="B712" s="9"/>
      <c r="C712" s="9"/>
      <c r="D712" s="1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ht="14.25" customHeight="1">
      <c r="A713" s="9"/>
      <c r="B713" s="9"/>
      <c r="C713" s="9"/>
      <c r="D713" s="1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ht="14.25" customHeight="1">
      <c r="A714" s="9"/>
      <c r="B714" s="9"/>
      <c r="C714" s="9"/>
      <c r="D714" s="1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ht="14.25" customHeight="1">
      <c r="A715" s="9"/>
      <c r="B715" s="9"/>
      <c r="C715" s="9"/>
      <c r="D715" s="1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ht="14.25" customHeight="1">
      <c r="A716" s="9"/>
      <c r="B716" s="9"/>
      <c r="C716" s="9"/>
      <c r="D716" s="1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ht="14.25" customHeight="1">
      <c r="A717" s="9"/>
      <c r="B717" s="9"/>
      <c r="C717" s="9"/>
      <c r="D717" s="1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ht="14.25" customHeight="1">
      <c r="A718" s="9"/>
      <c r="B718" s="9"/>
      <c r="C718" s="9"/>
      <c r="D718" s="1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ht="14.25" customHeight="1">
      <c r="A719" s="9"/>
      <c r="B719" s="9"/>
      <c r="C719" s="9"/>
      <c r="D719" s="1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ht="14.25" customHeight="1">
      <c r="A720" s="9"/>
      <c r="B720" s="9"/>
      <c r="C720" s="9"/>
      <c r="D720" s="1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ht="14.25" customHeight="1">
      <c r="A721" s="9"/>
      <c r="B721" s="9"/>
      <c r="C721" s="9"/>
      <c r="D721" s="1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ht="14.25" customHeight="1">
      <c r="A722" s="9"/>
      <c r="B722" s="9"/>
      <c r="C722" s="9"/>
      <c r="D722" s="1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ht="14.25" customHeight="1">
      <c r="A723" s="9"/>
      <c r="B723" s="9"/>
      <c r="C723" s="9"/>
      <c r="D723" s="1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ht="14.25" customHeight="1">
      <c r="A724" s="9"/>
      <c r="B724" s="9"/>
      <c r="C724" s="9"/>
      <c r="D724" s="1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ht="14.25" customHeight="1">
      <c r="A725" s="9"/>
      <c r="B725" s="9"/>
      <c r="C725" s="9"/>
      <c r="D725" s="1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ht="14.25" customHeight="1">
      <c r="A726" s="9"/>
      <c r="B726" s="9"/>
      <c r="C726" s="9"/>
      <c r="D726" s="1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ht="14.25" customHeight="1">
      <c r="A727" s="9"/>
      <c r="B727" s="9"/>
      <c r="C727" s="9"/>
      <c r="D727" s="1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ht="14.25" customHeight="1">
      <c r="A728" s="9"/>
      <c r="B728" s="9"/>
      <c r="C728" s="9"/>
      <c r="D728" s="1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ht="14.25" customHeight="1">
      <c r="A729" s="9"/>
      <c r="B729" s="9"/>
      <c r="C729" s="9"/>
      <c r="D729" s="1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ht="14.25" customHeight="1">
      <c r="A730" s="9"/>
      <c r="B730" s="9"/>
      <c r="C730" s="9"/>
      <c r="D730" s="1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ht="14.25" customHeight="1">
      <c r="A731" s="9"/>
      <c r="B731" s="9"/>
      <c r="C731" s="9"/>
      <c r="D731" s="1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ht="14.25" customHeight="1">
      <c r="A732" s="9"/>
      <c r="B732" s="9"/>
      <c r="C732" s="9"/>
      <c r="D732" s="1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ht="14.25" customHeight="1">
      <c r="A733" s="9"/>
      <c r="B733" s="9"/>
      <c r="C733" s="9"/>
      <c r="D733" s="1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ht="14.25" customHeight="1">
      <c r="A734" s="9"/>
      <c r="B734" s="9"/>
      <c r="C734" s="9"/>
      <c r="D734" s="1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ht="14.25" customHeight="1">
      <c r="A735" s="9"/>
      <c r="B735" s="9"/>
      <c r="C735" s="9"/>
      <c r="D735" s="1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ht="14.25" customHeight="1">
      <c r="A736" s="9"/>
      <c r="B736" s="9"/>
      <c r="C736" s="9"/>
      <c r="D736" s="1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ht="14.25" customHeight="1">
      <c r="A737" s="9"/>
      <c r="B737" s="9"/>
      <c r="C737" s="9"/>
      <c r="D737" s="1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ht="14.25" customHeight="1">
      <c r="A738" s="9"/>
      <c r="B738" s="9"/>
      <c r="C738" s="9"/>
      <c r="D738" s="1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ht="14.25" customHeight="1">
      <c r="A739" s="9"/>
      <c r="B739" s="9"/>
      <c r="C739" s="9"/>
      <c r="D739" s="1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ht="14.25" customHeight="1">
      <c r="A740" s="9"/>
      <c r="B740" s="9"/>
      <c r="C740" s="9"/>
      <c r="D740" s="1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ht="14.25" customHeight="1">
      <c r="A741" s="9"/>
      <c r="B741" s="9"/>
      <c r="C741" s="9"/>
      <c r="D741" s="1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ht="14.25" customHeight="1">
      <c r="A742" s="9"/>
      <c r="B742" s="9"/>
      <c r="C742" s="9"/>
      <c r="D742" s="1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ht="14.25" customHeight="1">
      <c r="A743" s="9"/>
      <c r="B743" s="9"/>
      <c r="C743" s="9"/>
      <c r="D743" s="1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ht="14.25" customHeight="1">
      <c r="A744" s="9"/>
      <c r="B744" s="9"/>
      <c r="C744" s="9"/>
      <c r="D744" s="1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ht="14.25" customHeight="1">
      <c r="A745" s="9"/>
      <c r="B745" s="9"/>
      <c r="C745" s="9"/>
      <c r="D745" s="1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ht="14.25" customHeight="1">
      <c r="A746" s="9"/>
      <c r="B746" s="9"/>
      <c r="C746" s="9"/>
      <c r="D746" s="1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ht="14.25" customHeight="1">
      <c r="A747" s="9"/>
      <c r="B747" s="9"/>
      <c r="C747" s="9"/>
      <c r="D747" s="1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ht="14.25" customHeight="1">
      <c r="A748" s="9"/>
      <c r="B748" s="9"/>
      <c r="C748" s="9"/>
      <c r="D748" s="1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ht="14.25" customHeight="1">
      <c r="A749" s="9"/>
      <c r="B749" s="9"/>
      <c r="C749" s="9"/>
      <c r="D749" s="1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ht="14.25" customHeight="1">
      <c r="A750" s="9"/>
      <c r="B750" s="9"/>
      <c r="C750" s="9"/>
      <c r="D750" s="1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ht="14.25" customHeight="1">
      <c r="A751" s="9"/>
      <c r="B751" s="9"/>
      <c r="C751" s="9"/>
      <c r="D751" s="1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ht="14.25" customHeight="1">
      <c r="A752" s="9"/>
      <c r="B752" s="9"/>
      <c r="C752" s="9"/>
      <c r="D752" s="1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ht="14.25" customHeight="1">
      <c r="A753" s="9"/>
      <c r="B753" s="9"/>
      <c r="C753" s="9"/>
      <c r="D753" s="1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ht="14.25" customHeight="1">
      <c r="A754" s="9"/>
      <c r="B754" s="9"/>
      <c r="C754" s="9"/>
      <c r="D754" s="1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ht="14.25" customHeight="1">
      <c r="A755" s="9"/>
      <c r="B755" s="9"/>
      <c r="C755" s="9"/>
      <c r="D755" s="1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ht="14.25" customHeight="1">
      <c r="A756" s="9"/>
      <c r="B756" s="9"/>
      <c r="C756" s="9"/>
      <c r="D756" s="1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ht="14.25" customHeight="1">
      <c r="A757" s="9"/>
      <c r="B757" s="9"/>
      <c r="C757" s="9"/>
      <c r="D757" s="1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ht="14.25" customHeight="1">
      <c r="A758" s="9"/>
      <c r="B758" s="9"/>
      <c r="C758" s="9"/>
      <c r="D758" s="1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ht="14.25" customHeight="1">
      <c r="A759" s="9"/>
      <c r="B759" s="9"/>
      <c r="C759" s="9"/>
      <c r="D759" s="1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ht="14.25" customHeight="1">
      <c r="A760" s="9"/>
      <c r="B760" s="9"/>
      <c r="C760" s="9"/>
      <c r="D760" s="1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ht="14.25" customHeight="1">
      <c r="A761" s="9"/>
      <c r="B761" s="9"/>
      <c r="C761" s="9"/>
      <c r="D761" s="1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ht="14.25" customHeight="1">
      <c r="A762" s="9"/>
      <c r="B762" s="9"/>
      <c r="C762" s="9"/>
      <c r="D762" s="1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ht="14.25" customHeight="1">
      <c r="A763" s="9"/>
      <c r="B763" s="9"/>
      <c r="C763" s="9"/>
      <c r="D763" s="1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ht="14.25" customHeight="1">
      <c r="A764" s="9"/>
      <c r="B764" s="9"/>
      <c r="C764" s="9"/>
      <c r="D764" s="1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ht="14.25" customHeight="1">
      <c r="A765" s="9"/>
      <c r="B765" s="9"/>
      <c r="C765" s="9"/>
      <c r="D765" s="1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ht="14.25" customHeight="1">
      <c r="A766" s="9"/>
      <c r="B766" s="9"/>
      <c r="C766" s="9"/>
      <c r="D766" s="1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ht="14.25" customHeight="1">
      <c r="A767" s="9"/>
      <c r="B767" s="9"/>
      <c r="C767" s="9"/>
      <c r="D767" s="1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ht="14.25" customHeight="1">
      <c r="A768" s="9"/>
      <c r="B768" s="9"/>
      <c r="C768" s="9"/>
      <c r="D768" s="1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ht="14.25" customHeight="1">
      <c r="A769" s="9"/>
      <c r="B769" s="9"/>
      <c r="C769" s="9"/>
      <c r="D769" s="1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ht="14.25" customHeight="1">
      <c r="A770" s="9"/>
      <c r="B770" s="9"/>
      <c r="C770" s="9"/>
      <c r="D770" s="1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ht="14.25" customHeight="1">
      <c r="A771" s="9"/>
      <c r="B771" s="9"/>
      <c r="C771" s="9"/>
      <c r="D771" s="1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ht="14.25" customHeight="1">
      <c r="A772" s="9"/>
      <c r="B772" s="9"/>
      <c r="C772" s="9"/>
      <c r="D772" s="1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ht="14.25" customHeight="1">
      <c r="A773" s="9"/>
      <c r="B773" s="9"/>
      <c r="C773" s="9"/>
      <c r="D773" s="1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ht="14.25" customHeight="1">
      <c r="A774" s="9"/>
      <c r="B774" s="9"/>
      <c r="C774" s="9"/>
      <c r="D774" s="1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ht="14.25" customHeight="1">
      <c r="A775" s="9"/>
      <c r="B775" s="9"/>
      <c r="C775" s="9"/>
      <c r="D775" s="1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ht="14.25" customHeight="1">
      <c r="A776" s="9"/>
      <c r="B776" s="9"/>
      <c r="C776" s="9"/>
      <c r="D776" s="1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ht="14.25" customHeight="1">
      <c r="A777" s="9"/>
      <c r="B777" s="9"/>
      <c r="C777" s="9"/>
      <c r="D777" s="1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ht="14.25" customHeight="1">
      <c r="A778" s="9"/>
      <c r="B778" s="9"/>
      <c r="C778" s="9"/>
      <c r="D778" s="1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ht="14.25" customHeight="1">
      <c r="A779" s="9"/>
      <c r="B779" s="9"/>
      <c r="C779" s="9"/>
      <c r="D779" s="1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ht="14.25" customHeight="1">
      <c r="A780" s="9"/>
      <c r="B780" s="9"/>
      <c r="C780" s="9"/>
      <c r="D780" s="1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ht="14.25" customHeight="1">
      <c r="A781" s="9"/>
      <c r="B781" s="9"/>
      <c r="C781" s="9"/>
      <c r="D781" s="1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ht="14.25" customHeight="1">
      <c r="A782" s="9"/>
      <c r="B782" s="9"/>
      <c r="C782" s="9"/>
      <c r="D782" s="1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ht="14.25" customHeight="1">
      <c r="A783" s="9"/>
      <c r="B783" s="9"/>
      <c r="C783" s="9"/>
      <c r="D783" s="1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ht="14.25" customHeight="1">
      <c r="A784" s="9"/>
      <c r="B784" s="9"/>
      <c r="C784" s="9"/>
      <c r="D784" s="1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ht="14.25" customHeight="1">
      <c r="A785" s="9"/>
      <c r="B785" s="9"/>
      <c r="C785" s="9"/>
      <c r="D785" s="1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ht="14.25" customHeight="1">
      <c r="A786" s="9"/>
      <c r="B786" s="9"/>
      <c r="C786" s="9"/>
      <c r="D786" s="1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ht="14.25" customHeight="1">
      <c r="A787" s="9"/>
      <c r="B787" s="9"/>
      <c r="C787" s="9"/>
      <c r="D787" s="1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ht="14.25" customHeight="1">
      <c r="A788" s="9"/>
      <c r="B788" s="9"/>
      <c r="C788" s="9"/>
      <c r="D788" s="1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ht="14.25" customHeight="1">
      <c r="A789" s="9"/>
      <c r="B789" s="9"/>
      <c r="C789" s="9"/>
      <c r="D789" s="1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ht="14.25" customHeight="1">
      <c r="A790" s="9"/>
      <c r="B790" s="9"/>
      <c r="C790" s="9"/>
      <c r="D790" s="1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ht="14.25" customHeight="1">
      <c r="A791" s="9"/>
      <c r="B791" s="9"/>
      <c r="C791" s="9"/>
      <c r="D791" s="1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ht="14.25" customHeight="1">
      <c r="A792" s="9"/>
      <c r="B792" s="9"/>
      <c r="C792" s="9"/>
      <c r="D792" s="1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ht="14.25" customHeight="1">
      <c r="A793" s="9"/>
      <c r="B793" s="9"/>
      <c r="C793" s="9"/>
      <c r="D793" s="1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ht="14.25" customHeight="1">
      <c r="A794" s="9"/>
      <c r="B794" s="9"/>
      <c r="C794" s="9"/>
      <c r="D794" s="1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ht="14.25" customHeight="1">
      <c r="A795" s="9"/>
      <c r="B795" s="9"/>
      <c r="C795" s="9"/>
      <c r="D795" s="1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ht="14.25" customHeight="1">
      <c r="A796" s="9"/>
      <c r="B796" s="9"/>
      <c r="C796" s="9"/>
      <c r="D796" s="1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ht="14.25" customHeight="1">
      <c r="A797" s="9"/>
      <c r="B797" s="9"/>
      <c r="C797" s="9"/>
      <c r="D797" s="1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ht="14.25" customHeight="1">
      <c r="A798" s="9"/>
      <c r="B798" s="9"/>
      <c r="C798" s="9"/>
      <c r="D798" s="1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ht="14.25" customHeight="1">
      <c r="A799" s="9"/>
      <c r="B799" s="9"/>
      <c r="C799" s="9"/>
      <c r="D799" s="1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ht="14.25" customHeight="1">
      <c r="A800" s="9"/>
      <c r="B800" s="9"/>
      <c r="C800" s="9"/>
      <c r="D800" s="1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ht="14.25" customHeight="1">
      <c r="A801" s="9"/>
      <c r="B801" s="9"/>
      <c r="C801" s="9"/>
      <c r="D801" s="1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ht="14.25" customHeight="1">
      <c r="A802" s="9"/>
      <c r="B802" s="9"/>
      <c r="C802" s="9"/>
      <c r="D802" s="1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ht="14.25" customHeight="1">
      <c r="A803" s="9"/>
      <c r="B803" s="9"/>
      <c r="C803" s="9"/>
      <c r="D803" s="1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ht="14.25" customHeight="1">
      <c r="A804" s="9"/>
      <c r="B804" s="9"/>
      <c r="C804" s="9"/>
      <c r="D804" s="1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ht="14.25" customHeight="1">
      <c r="A805" s="9"/>
      <c r="B805" s="9"/>
      <c r="C805" s="9"/>
      <c r="D805" s="1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ht="14.25" customHeight="1">
      <c r="A806" s="9"/>
      <c r="B806" s="9"/>
      <c r="C806" s="9"/>
      <c r="D806" s="1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ht="14.25" customHeight="1">
      <c r="A807" s="9"/>
      <c r="B807" s="9"/>
      <c r="C807" s="9"/>
      <c r="D807" s="1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ht="14.25" customHeight="1">
      <c r="A808" s="9"/>
      <c r="B808" s="9"/>
      <c r="C808" s="9"/>
      <c r="D808" s="1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ht="14.25" customHeight="1">
      <c r="A809" s="9"/>
      <c r="B809" s="9"/>
      <c r="C809" s="9"/>
      <c r="D809" s="1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ht="14.25" customHeight="1">
      <c r="A810" s="9"/>
      <c r="B810" s="9"/>
      <c r="C810" s="9"/>
      <c r="D810" s="1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ht="14.25" customHeight="1">
      <c r="A811" s="9"/>
      <c r="B811" s="9"/>
      <c r="C811" s="9"/>
      <c r="D811" s="1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ht="14.25" customHeight="1">
      <c r="A812" s="9"/>
      <c r="B812" s="9"/>
      <c r="C812" s="9"/>
      <c r="D812" s="1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ht="14.25" customHeight="1">
      <c r="A813" s="9"/>
      <c r="B813" s="9"/>
      <c r="C813" s="9"/>
      <c r="D813" s="1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ht="14.25" customHeight="1">
      <c r="A814" s="9"/>
      <c r="B814" s="9"/>
      <c r="C814" s="9"/>
      <c r="D814" s="1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ht="14.25" customHeight="1">
      <c r="A815" s="9"/>
      <c r="B815" s="9"/>
      <c r="C815" s="9"/>
      <c r="D815" s="1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ht="14.25" customHeight="1">
      <c r="A816" s="9"/>
      <c r="B816" s="9"/>
      <c r="C816" s="9"/>
      <c r="D816" s="1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ht="14.25" customHeight="1">
      <c r="A817" s="9"/>
      <c r="B817" s="9"/>
      <c r="C817" s="9"/>
      <c r="D817" s="1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ht="14.25" customHeight="1">
      <c r="A818" s="9"/>
      <c r="B818" s="9"/>
      <c r="C818" s="9"/>
      <c r="D818" s="1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ht="14.25" customHeight="1">
      <c r="A819" s="9"/>
      <c r="B819" s="9"/>
      <c r="C819" s="9"/>
      <c r="D819" s="1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ht="14.25" customHeight="1">
      <c r="A820" s="9"/>
      <c r="B820" s="9"/>
      <c r="C820" s="9"/>
      <c r="D820" s="1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ht="14.25" customHeight="1">
      <c r="A821" s="9"/>
      <c r="B821" s="9"/>
      <c r="C821" s="9"/>
      <c r="D821" s="1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ht="14.25" customHeight="1">
      <c r="A822" s="9"/>
      <c r="B822" s="9"/>
      <c r="C822" s="9"/>
      <c r="D822" s="1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ht="14.25" customHeight="1">
      <c r="A823" s="9"/>
      <c r="B823" s="9"/>
      <c r="C823" s="9"/>
      <c r="D823" s="1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ht="14.25" customHeight="1">
      <c r="A824" s="9"/>
      <c r="B824" s="9"/>
      <c r="C824" s="9"/>
      <c r="D824" s="1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ht="14.25" customHeight="1">
      <c r="A825" s="9"/>
      <c r="B825" s="9"/>
      <c r="C825" s="9"/>
      <c r="D825" s="1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ht="14.25" customHeight="1">
      <c r="A826" s="9"/>
      <c r="B826" s="9"/>
      <c r="C826" s="9"/>
      <c r="D826" s="1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ht="14.25" customHeight="1">
      <c r="A827" s="9"/>
      <c r="B827" s="9"/>
      <c r="C827" s="9"/>
      <c r="D827" s="1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ht="14.25" customHeight="1">
      <c r="A828" s="9"/>
      <c r="B828" s="9"/>
      <c r="C828" s="9"/>
      <c r="D828" s="1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ht="14.25" customHeight="1">
      <c r="A829" s="9"/>
      <c r="B829" s="9"/>
      <c r="C829" s="9"/>
      <c r="D829" s="1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ht="14.25" customHeight="1">
      <c r="A830" s="9"/>
      <c r="B830" s="9"/>
      <c r="C830" s="9"/>
      <c r="D830" s="1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ht="14.25" customHeight="1">
      <c r="A831" s="9"/>
      <c r="B831" s="9"/>
      <c r="C831" s="9"/>
      <c r="D831" s="1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ht="14.25" customHeight="1">
      <c r="A832" s="9"/>
      <c r="B832" s="9"/>
      <c r="C832" s="9"/>
      <c r="D832" s="1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ht="14.25" customHeight="1">
      <c r="A833" s="9"/>
      <c r="B833" s="9"/>
      <c r="C833" s="9"/>
      <c r="D833" s="1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ht="14.25" customHeight="1">
      <c r="A834" s="9"/>
      <c r="B834" s="9"/>
      <c r="C834" s="9"/>
      <c r="D834" s="1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ht="14.25" customHeight="1">
      <c r="A835" s="9"/>
      <c r="B835" s="9"/>
      <c r="C835" s="9"/>
      <c r="D835" s="1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ht="14.25" customHeight="1">
      <c r="A836" s="9"/>
      <c r="B836" s="9"/>
      <c r="C836" s="9"/>
      <c r="D836" s="1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ht="14.25" customHeight="1">
      <c r="A837" s="9"/>
      <c r="B837" s="9"/>
      <c r="C837" s="9"/>
      <c r="D837" s="1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ht="14.25" customHeight="1">
      <c r="A838" s="9"/>
      <c r="B838" s="9"/>
      <c r="C838" s="9"/>
      <c r="D838" s="1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ht="14.25" customHeight="1">
      <c r="A839" s="9"/>
      <c r="B839" s="9"/>
      <c r="C839" s="9"/>
      <c r="D839" s="1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ht="14.25" customHeight="1">
      <c r="A840" s="9"/>
      <c r="B840" s="9"/>
      <c r="C840" s="9"/>
      <c r="D840" s="1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ht="14.25" customHeight="1">
      <c r="A841" s="9"/>
      <c r="B841" s="9"/>
      <c r="C841" s="9"/>
      <c r="D841" s="1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ht="14.25" customHeight="1">
      <c r="A842" s="9"/>
      <c r="B842" s="9"/>
      <c r="C842" s="9"/>
      <c r="D842" s="1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ht="14.25" customHeight="1">
      <c r="A843" s="9"/>
      <c r="B843" s="9"/>
      <c r="C843" s="9"/>
      <c r="D843" s="1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ht="14.25" customHeight="1">
      <c r="A844" s="9"/>
      <c r="B844" s="9"/>
      <c r="C844" s="9"/>
      <c r="D844" s="1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ht="14.25" customHeight="1">
      <c r="A845" s="9"/>
      <c r="B845" s="9"/>
      <c r="C845" s="9"/>
      <c r="D845" s="1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ht="14.25" customHeight="1">
      <c r="A846" s="9"/>
      <c r="B846" s="9"/>
      <c r="C846" s="9"/>
      <c r="D846" s="1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ht="14.25" customHeight="1">
      <c r="A847" s="9"/>
      <c r="B847" s="9"/>
      <c r="C847" s="9"/>
      <c r="D847" s="1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ht="14.25" customHeight="1">
      <c r="A848" s="9"/>
      <c r="B848" s="9"/>
      <c r="C848" s="9"/>
      <c r="D848" s="1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ht="14.25" customHeight="1">
      <c r="A849" s="9"/>
      <c r="B849" s="9"/>
      <c r="C849" s="9"/>
      <c r="D849" s="1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ht="14.25" customHeight="1">
      <c r="A850" s="9"/>
      <c r="B850" s="9"/>
      <c r="C850" s="9"/>
      <c r="D850" s="1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ht="14.25" customHeight="1">
      <c r="A851" s="9"/>
      <c r="B851" s="9"/>
      <c r="C851" s="9"/>
      <c r="D851" s="1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ht="14.25" customHeight="1">
      <c r="A852" s="9"/>
      <c r="B852" s="9"/>
      <c r="C852" s="9"/>
      <c r="D852" s="1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ht="14.25" customHeight="1">
      <c r="A853" s="9"/>
      <c r="B853" s="9"/>
      <c r="C853" s="9"/>
      <c r="D853" s="1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ht="14.25" customHeight="1">
      <c r="A854" s="9"/>
      <c r="B854" s="9"/>
      <c r="C854" s="9"/>
      <c r="D854" s="1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ht="14.25" customHeight="1">
      <c r="A855" s="9"/>
      <c r="B855" s="9"/>
      <c r="C855" s="9"/>
      <c r="D855" s="1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ht="14.25" customHeight="1">
      <c r="A856" s="9"/>
      <c r="B856" s="9"/>
      <c r="C856" s="9"/>
      <c r="D856" s="1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ht="14.25" customHeight="1">
      <c r="A857" s="9"/>
      <c r="B857" s="9"/>
      <c r="C857" s="9"/>
      <c r="D857" s="1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ht="14.25" customHeight="1">
      <c r="A858" s="9"/>
      <c r="B858" s="9"/>
      <c r="C858" s="9"/>
      <c r="D858" s="1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ht="14.25" customHeight="1">
      <c r="A859" s="9"/>
      <c r="B859" s="9"/>
      <c r="C859" s="9"/>
      <c r="D859" s="1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ht="14.25" customHeight="1">
      <c r="A860" s="9"/>
      <c r="B860" s="9"/>
      <c r="C860" s="9"/>
      <c r="D860" s="1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ht="14.25" customHeight="1">
      <c r="A861" s="9"/>
      <c r="B861" s="9"/>
      <c r="C861" s="9"/>
      <c r="D861" s="1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ht="14.25" customHeight="1">
      <c r="A862" s="9"/>
      <c r="B862" s="9"/>
      <c r="C862" s="9"/>
      <c r="D862" s="1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ht="14.25" customHeight="1">
      <c r="A863" s="9"/>
      <c r="B863" s="9"/>
      <c r="C863" s="9"/>
      <c r="D863" s="1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ht="14.25" customHeight="1">
      <c r="A864" s="9"/>
      <c r="B864" s="9"/>
      <c r="C864" s="9"/>
      <c r="D864" s="1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ht="14.25" customHeight="1">
      <c r="A865" s="9"/>
      <c r="B865" s="9"/>
      <c r="C865" s="9"/>
      <c r="D865" s="1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ht="14.25" customHeight="1">
      <c r="A866" s="9"/>
      <c r="B866" s="9"/>
      <c r="C866" s="9"/>
      <c r="D866" s="1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ht="14.25" customHeight="1">
      <c r="A867" s="9"/>
      <c r="B867" s="9"/>
      <c r="C867" s="9"/>
      <c r="D867" s="1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ht="14.25" customHeight="1">
      <c r="A868" s="9"/>
      <c r="B868" s="9"/>
      <c r="C868" s="9"/>
      <c r="D868" s="1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ht="14.25" customHeight="1">
      <c r="A869" s="9"/>
      <c r="B869" s="9"/>
      <c r="C869" s="9"/>
      <c r="D869" s="1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ht="14.25" customHeight="1">
      <c r="A870" s="9"/>
      <c r="B870" s="9"/>
      <c r="C870" s="9"/>
      <c r="D870" s="1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ht="14.25" customHeight="1">
      <c r="A871" s="9"/>
      <c r="B871" s="9"/>
      <c r="C871" s="9"/>
      <c r="D871" s="1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ht="14.25" customHeight="1">
      <c r="A872" s="9"/>
      <c r="B872" s="9"/>
      <c r="C872" s="9"/>
      <c r="D872" s="1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ht="14.25" customHeight="1">
      <c r="A873" s="9"/>
      <c r="B873" s="9"/>
      <c r="C873" s="9"/>
      <c r="D873" s="1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ht="14.25" customHeight="1">
      <c r="A874" s="9"/>
      <c r="B874" s="9"/>
      <c r="C874" s="9"/>
      <c r="D874" s="1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ht="14.25" customHeight="1">
      <c r="A875" s="9"/>
      <c r="B875" s="9"/>
      <c r="C875" s="9"/>
      <c r="D875" s="1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ht="14.25" customHeight="1">
      <c r="A876" s="9"/>
      <c r="B876" s="9"/>
      <c r="C876" s="9"/>
      <c r="D876" s="1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ht="14.25" customHeight="1">
      <c r="A877" s="9"/>
      <c r="B877" s="9"/>
      <c r="C877" s="9"/>
      <c r="D877" s="1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ht="14.25" customHeight="1">
      <c r="A878" s="9"/>
      <c r="B878" s="9"/>
      <c r="C878" s="9"/>
      <c r="D878" s="1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ht="14.25" customHeight="1">
      <c r="A879" s="9"/>
      <c r="B879" s="9"/>
      <c r="C879" s="9"/>
      <c r="D879" s="1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ht="14.25" customHeight="1">
      <c r="A880" s="9"/>
      <c r="B880" s="9"/>
      <c r="C880" s="9"/>
      <c r="D880" s="1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ht="14.25" customHeight="1">
      <c r="A881" s="9"/>
      <c r="B881" s="9"/>
      <c r="C881" s="9"/>
      <c r="D881" s="1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ht="14.25" customHeight="1">
      <c r="A882" s="9"/>
      <c r="B882" s="9"/>
      <c r="C882" s="9"/>
      <c r="D882" s="1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ht="14.25" customHeight="1">
      <c r="A883" s="9"/>
      <c r="B883" s="9"/>
      <c r="C883" s="9"/>
      <c r="D883" s="1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ht="14.25" customHeight="1">
      <c r="A884" s="9"/>
      <c r="B884" s="9"/>
      <c r="C884" s="9"/>
      <c r="D884" s="1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ht="14.25" customHeight="1">
      <c r="A885" s="9"/>
      <c r="B885" s="9"/>
      <c r="C885" s="9"/>
      <c r="D885" s="1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ht="14.25" customHeight="1">
      <c r="A886" s="9"/>
      <c r="B886" s="9"/>
      <c r="C886" s="9"/>
      <c r="D886" s="1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ht="14.25" customHeight="1">
      <c r="A887" s="9"/>
      <c r="B887" s="9"/>
      <c r="C887" s="9"/>
      <c r="D887" s="1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ht="14.25" customHeight="1">
      <c r="A888" s="9"/>
      <c r="B888" s="9"/>
      <c r="C888" s="9"/>
      <c r="D888" s="1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ht="14.25" customHeight="1">
      <c r="A889" s="9"/>
      <c r="B889" s="9"/>
      <c r="C889" s="9"/>
      <c r="D889" s="1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ht="14.25" customHeight="1">
      <c r="A890" s="9"/>
      <c r="B890" s="9"/>
      <c r="C890" s="9"/>
      <c r="D890" s="1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ht="14.25" customHeight="1">
      <c r="A891" s="9"/>
      <c r="B891" s="9"/>
      <c r="C891" s="9"/>
      <c r="D891" s="1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ht="14.25" customHeight="1">
      <c r="A892" s="9"/>
      <c r="B892" s="9"/>
      <c r="C892" s="9"/>
      <c r="D892" s="1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ht="14.25" customHeight="1">
      <c r="A893" s="9"/>
      <c r="B893" s="9"/>
      <c r="C893" s="9"/>
      <c r="D893" s="1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ht="14.25" customHeight="1">
      <c r="A894" s="9"/>
      <c r="B894" s="9"/>
      <c r="C894" s="9"/>
      <c r="D894" s="1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ht="14.25" customHeight="1">
      <c r="A895" s="9"/>
      <c r="B895" s="9"/>
      <c r="C895" s="9"/>
      <c r="D895" s="1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ht="14.25" customHeight="1">
      <c r="A896" s="9"/>
      <c r="B896" s="9"/>
      <c r="C896" s="9"/>
      <c r="D896" s="1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ht="14.25" customHeight="1">
      <c r="A897" s="9"/>
      <c r="B897" s="9"/>
      <c r="C897" s="9"/>
      <c r="D897" s="1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ht="14.25" customHeight="1">
      <c r="A898" s="9"/>
      <c r="B898" s="9"/>
      <c r="C898" s="9"/>
      <c r="D898" s="1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ht="14.25" customHeight="1">
      <c r="A899" s="9"/>
      <c r="B899" s="9"/>
      <c r="C899" s="9"/>
      <c r="D899" s="1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ht="14.25" customHeight="1">
      <c r="A900" s="9"/>
      <c r="B900" s="9"/>
      <c r="C900" s="9"/>
      <c r="D900" s="1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ht="14.25" customHeight="1">
      <c r="A901" s="9"/>
      <c r="B901" s="9"/>
      <c r="C901" s="9"/>
      <c r="D901" s="1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ht="14.25" customHeight="1">
      <c r="A902" s="9"/>
      <c r="B902" s="9"/>
      <c r="C902" s="9"/>
      <c r="D902" s="1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ht="14.25" customHeight="1">
      <c r="A903" s="9"/>
      <c r="B903" s="9"/>
      <c r="C903" s="9"/>
      <c r="D903" s="1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ht="14.25" customHeight="1">
      <c r="A904" s="9"/>
      <c r="B904" s="9"/>
      <c r="C904" s="9"/>
      <c r="D904" s="1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ht="14.25" customHeight="1">
      <c r="A905" s="9"/>
      <c r="B905" s="9"/>
      <c r="C905" s="9"/>
      <c r="D905" s="1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ht="14.25" customHeight="1">
      <c r="A906" s="9"/>
      <c r="B906" s="9"/>
      <c r="C906" s="9"/>
      <c r="D906" s="1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ht="14.25" customHeight="1">
      <c r="A907" s="9"/>
      <c r="B907" s="9"/>
      <c r="C907" s="9"/>
      <c r="D907" s="1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ht="14.25" customHeight="1">
      <c r="A908" s="9"/>
      <c r="B908" s="9"/>
      <c r="C908" s="9"/>
      <c r="D908" s="1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ht="14.25" customHeight="1">
      <c r="A909" s="9"/>
      <c r="B909" s="9"/>
      <c r="C909" s="9"/>
      <c r="D909" s="1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ht="14.25" customHeight="1">
      <c r="A910" s="9"/>
      <c r="B910" s="9"/>
      <c r="C910" s="9"/>
      <c r="D910" s="1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ht="14.25" customHeight="1">
      <c r="A911" s="9"/>
      <c r="B911" s="9"/>
      <c r="C911" s="9"/>
      <c r="D911" s="1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ht="14.25" customHeight="1">
      <c r="A912" s="9"/>
      <c r="B912" s="9"/>
      <c r="C912" s="9"/>
      <c r="D912" s="1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ht="14.25" customHeight="1">
      <c r="A913" s="9"/>
      <c r="B913" s="9"/>
      <c r="C913" s="9"/>
      <c r="D913" s="1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ht="14.25" customHeight="1">
      <c r="A914" s="9"/>
      <c r="B914" s="9"/>
      <c r="C914" s="9"/>
      <c r="D914" s="1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ht="14.25" customHeight="1">
      <c r="A915" s="9"/>
      <c r="B915" s="9"/>
      <c r="C915" s="9"/>
      <c r="D915" s="1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ht="14.25" customHeight="1">
      <c r="A916" s="9"/>
      <c r="B916" s="9"/>
      <c r="C916" s="9"/>
      <c r="D916" s="1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ht="14.25" customHeight="1">
      <c r="A917" s="9"/>
      <c r="B917" s="9"/>
      <c r="C917" s="9"/>
      <c r="D917" s="1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ht="14.25" customHeight="1">
      <c r="A918" s="9"/>
      <c r="B918" s="9"/>
      <c r="C918" s="9"/>
      <c r="D918" s="1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ht="14.25" customHeight="1">
      <c r="A919" s="9"/>
      <c r="B919" s="9"/>
      <c r="C919" s="9"/>
      <c r="D919" s="1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ht="14.25" customHeight="1">
      <c r="A920" s="9"/>
      <c r="B920" s="9"/>
      <c r="C920" s="9"/>
      <c r="D920" s="1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ht="14.25" customHeight="1">
      <c r="A921" s="9"/>
      <c r="B921" s="9"/>
      <c r="C921" s="9"/>
      <c r="D921" s="1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ht="14.25" customHeight="1">
      <c r="A922" s="9"/>
      <c r="B922" s="9"/>
      <c r="C922" s="9"/>
      <c r="D922" s="1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ht="14.25" customHeight="1">
      <c r="A923" s="9"/>
      <c r="B923" s="9"/>
      <c r="C923" s="9"/>
      <c r="D923" s="1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ht="14.25" customHeight="1">
      <c r="A924" s="9"/>
      <c r="B924" s="9"/>
      <c r="C924" s="9"/>
      <c r="D924" s="1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ht="14.25" customHeight="1">
      <c r="A925" s="9"/>
      <c r="B925" s="9"/>
      <c r="C925" s="9"/>
      <c r="D925" s="1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ht="14.25" customHeight="1">
      <c r="A926" s="9"/>
      <c r="B926" s="9"/>
      <c r="C926" s="9"/>
      <c r="D926" s="1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ht="14.25" customHeight="1">
      <c r="A927" s="9"/>
      <c r="B927" s="9"/>
      <c r="C927" s="9"/>
      <c r="D927" s="1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ht="14.25" customHeight="1">
      <c r="A928" s="9"/>
      <c r="B928" s="9"/>
      <c r="C928" s="9"/>
      <c r="D928" s="1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ht="14.25" customHeight="1">
      <c r="A929" s="9"/>
      <c r="B929" s="9"/>
      <c r="C929" s="9"/>
      <c r="D929" s="1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ht="14.25" customHeight="1">
      <c r="A930" s="9"/>
      <c r="B930" s="9"/>
      <c r="C930" s="9"/>
      <c r="D930" s="1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ht="14.25" customHeight="1">
      <c r="A931" s="9"/>
      <c r="B931" s="9"/>
      <c r="C931" s="9"/>
      <c r="D931" s="1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ht="14.25" customHeight="1">
      <c r="A932" s="9"/>
      <c r="B932" s="9"/>
      <c r="C932" s="9"/>
      <c r="D932" s="1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ht="14.25" customHeight="1">
      <c r="A933" s="9"/>
      <c r="B933" s="9"/>
      <c r="C933" s="9"/>
      <c r="D933" s="1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ht="14.25" customHeight="1">
      <c r="A934" s="9"/>
      <c r="B934" s="9"/>
      <c r="C934" s="9"/>
      <c r="D934" s="1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ht="14.25" customHeight="1">
      <c r="A935" s="9"/>
      <c r="B935" s="9"/>
      <c r="C935" s="9"/>
      <c r="D935" s="1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ht="14.25" customHeight="1">
      <c r="A936" s="9"/>
      <c r="B936" s="9"/>
      <c r="C936" s="9"/>
      <c r="D936" s="1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ht="14.25" customHeight="1">
      <c r="A937" s="9"/>
      <c r="B937" s="9"/>
      <c r="C937" s="9"/>
      <c r="D937" s="1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ht="14.25" customHeight="1">
      <c r="A938" s="9"/>
      <c r="B938" s="9"/>
      <c r="C938" s="9"/>
      <c r="D938" s="1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ht="14.25" customHeight="1">
      <c r="A939" s="9"/>
      <c r="B939" s="9"/>
      <c r="C939" s="9"/>
      <c r="D939" s="1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ht="14.25" customHeight="1">
      <c r="A940" s="9"/>
      <c r="B940" s="9"/>
      <c r="C940" s="9"/>
      <c r="D940" s="1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ht="14.25" customHeight="1">
      <c r="A941" s="9"/>
      <c r="B941" s="9"/>
      <c r="C941" s="9"/>
      <c r="D941" s="1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ht="14.25" customHeight="1">
      <c r="A942" s="9"/>
      <c r="B942" s="9"/>
      <c r="C942" s="9"/>
      <c r="D942" s="1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ht="14.25" customHeight="1">
      <c r="A943" s="9"/>
      <c r="B943" s="9"/>
      <c r="C943" s="9"/>
      <c r="D943" s="1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ht="14.25" customHeight="1">
      <c r="A944" s="9"/>
      <c r="B944" s="9"/>
      <c r="C944" s="9"/>
      <c r="D944" s="1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ht="14.25" customHeight="1">
      <c r="A945" s="9"/>
      <c r="B945" s="9"/>
      <c r="C945" s="9"/>
      <c r="D945" s="1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ht="14.25" customHeight="1">
      <c r="A946" s="9"/>
      <c r="B946" s="9"/>
      <c r="C946" s="9"/>
      <c r="D946" s="1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ht="14.25" customHeight="1">
      <c r="A947" s="9"/>
      <c r="B947" s="9"/>
      <c r="C947" s="9"/>
      <c r="D947" s="1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ht="14.25" customHeight="1">
      <c r="A948" s="9"/>
      <c r="B948" s="9"/>
      <c r="C948" s="9"/>
      <c r="D948" s="1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ht="14.25" customHeight="1">
      <c r="A949" s="9"/>
      <c r="B949" s="9"/>
      <c r="C949" s="9"/>
      <c r="D949" s="1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ht="14.25" customHeight="1">
      <c r="A950" s="9"/>
      <c r="B950" s="9"/>
      <c r="C950" s="9"/>
      <c r="D950" s="1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ht="14.25" customHeight="1">
      <c r="A951" s="9"/>
      <c r="B951" s="9"/>
      <c r="C951" s="9"/>
      <c r="D951" s="1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ht="14.25" customHeight="1">
      <c r="A952" s="9"/>
      <c r="B952" s="9"/>
      <c r="C952" s="9"/>
      <c r="D952" s="1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ht="14.25" customHeight="1">
      <c r="A953" s="9"/>
      <c r="B953" s="9"/>
      <c r="C953" s="9"/>
      <c r="D953" s="1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ht="14.25" customHeight="1">
      <c r="A954" s="9"/>
      <c r="B954" s="9"/>
      <c r="C954" s="9"/>
      <c r="D954" s="1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ht="14.25" customHeight="1">
      <c r="A955" s="9"/>
      <c r="B955" s="9"/>
      <c r="C955" s="9"/>
      <c r="D955" s="1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ht="14.25" customHeight="1">
      <c r="A956" s="9"/>
      <c r="B956" s="9"/>
      <c r="C956" s="9"/>
      <c r="D956" s="1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ht="14.25" customHeight="1">
      <c r="A957" s="9"/>
      <c r="B957" s="9"/>
      <c r="C957" s="9"/>
      <c r="D957" s="1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ht="14.25" customHeight="1">
      <c r="A958" s="9"/>
      <c r="B958" s="9"/>
      <c r="C958" s="9"/>
      <c r="D958" s="1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ht="14.25" customHeight="1">
      <c r="A959" s="9"/>
      <c r="B959" s="9"/>
      <c r="C959" s="9"/>
      <c r="D959" s="1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ht="14.25" customHeight="1">
      <c r="A960" s="9"/>
      <c r="B960" s="9"/>
      <c r="C960" s="9"/>
      <c r="D960" s="1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ht="14.25" customHeight="1">
      <c r="A961" s="9"/>
      <c r="B961" s="9"/>
      <c r="C961" s="9"/>
      <c r="D961" s="1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ht="14.25" customHeight="1">
      <c r="A962" s="9"/>
      <c r="B962" s="9"/>
      <c r="C962" s="9"/>
      <c r="D962" s="1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ht="14.25" customHeight="1">
      <c r="A963" s="9"/>
      <c r="B963" s="9"/>
      <c r="C963" s="9"/>
      <c r="D963" s="1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ht="14.25" customHeight="1">
      <c r="A964" s="9"/>
      <c r="B964" s="9"/>
      <c r="C964" s="9"/>
      <c r="D964" s="1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ht="14.25" customHeight="1">
      <c r="A965" s="9"/>
      <c r="B965" s="9"/>
      <c r="C965" s="9"/>
      <c r="D965" s="1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ht="14.25" customHeight="1">
      <c r="A966" s="9"/>
      <c r="B966" s="9"/>
      <c r="C966" s="9"/>
      <c r="D966" s="1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ht="14.25" customHeight="1">
      <c r="A967" s="9"/>
      <c r="B967" s="9"/>
      <c r="C967" s="9"/>
      <c r="D967" s="1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ht="14.25" customHeight="1">
      <c r="A968" s="9"/>
      <c r="B968" s="9"/>
      <c r="C968" s="9"/>
      <c r="D968" s="1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ht="14.25" customHeight="1">
      <c r="A969" s="9"/>
      <c r="B969" s="9"/>
      <c r="C969" s="9"/>
      <c r="D969" s="1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ht="14.25" customHeight="1">
      <c r="A970" s="9"/>
      <c r="B970" s="9"/>
      <c r="C970" s="9"/>
      <c r="D970" s="1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ht="14.25" customHeight="1">
      <c r="A971" s="9"/>
      <c r="B971" s="9"/>
      <c r="C971" s="9"/>
      <c r="D971" s="1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ht="14.25" customHeight="1">
      <c r="A972" s="9"/>
      <c r="B972" s="9"/>
      <c r="C972" s="9"/>
      <c r="D972" s="1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ht="14.25" customHeight="1">
      <c r="A973" s="9"/>
      <c r="B973" s="9"/>
      <c r="C973" s="9"/>
      <c r="D973" s="1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ht="14.25" customHeight="1">
      <c r="A974" s="9"/>
      <c r="B974" s="9"/>
      <c r="C974" s="9"/>
      <c r="D974" s="1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ht="14.25" customHeight="1">
      <c r="A975" s="9"/>
      <c r="B975" s="9"/>
      <c r="C975" s="9"/>
      <c r="D975" s="1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ht="14.25" customHeight="1">
      <c r="A976" s="9"/>
      <c r="B976" s="9"/>
      <c r="C976" s="9"/>
      <c r="D976" s="1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ht="14.25" customHeight="1">
      <c r="A977" s="9"/>
      <c r="B977" s="9"/>
      <c r="C977" s="9"/>
      <c r="D977" s="1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ht="14.25" customHeight="1">
      <c r="A978" s="9"/>
      <c r="B978" s="9"/>
      <c r="C978" s="9"/>
      <c r="D978" s="1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ht="14.25" customHeight="1">
      <c r="A979" s="9"/>
      <c r="B979" s="9"/>
      <c r="C979" s="9"/>
      <c r="D979" s="1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ht="14.25" customHeight="1">
      <c r="A980" s="9"/>
      <c r="B980" s="9"/>
      <c r="C980" s="9"/>
      <c r="D980" s="1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ht="14.25" customHeight="1">
      <c r="A981" s="9"/>
      <c r="B981" s="9"/>
      <c r="C981" s="9"/>
      <c r="D981" s="1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ht="14.25" customHeight="1">
      <c r="A982" s="9"/>
      <c r="B982" s="9"/>
      <c r="C982" s="9"/>
      <c r="D982" s="1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ht="14.25" customHeight="1">
      <c r="A983" s="9"/>
      <c r="B983" s="9"/>
      <c r="C983" s="9"/>
      <c r="D983" s="1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ht="14.25" customHeight="1">
      <c r="A984" s="9"/>
      <c r="B984" s="9"/>
      <c r="C984" s="9"/>
      <c r="D984" s="1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ht="14.25" customHeight="1">
      <c r="A985" s="9"/>
      <c r="B985" s="9"/>
      <c r="C985" s="9"/>
      <c r="D985" s="1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ht="14.25" customHeight="1">
      <c r="A986" s="9"/>
      <c r="B986" s="9"/>
      <c r="C986" s="9"/>
      <c r="D986" s="1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ht="14.25" customHeight="1">
      <c r="A987" s="9"/>
      <c r="B987" s="9"/>
      <c r="C987" s="9"/>
      <c r="D987" s="1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ht="14.25" customHeight="1">
      <c r="A988" s="9"/>
      <c r="B988" s="9"/>
      <c r="C988" s="9"/>
      <c r="D988" s="1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ht="14.25" customHeight="1">
      <c r="A989" s="9"/>
      <c r="B989" s="9"/>
      <c r="C989" s="9"/>
      <c r="D989" s="1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ht="14.25" customHeight="1">
      <c r="A990" s="9"/>
      <c r="B990" s="9"/>
      <c r="C990" s="9"/>
      <c r="D990" s="1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ht="14.25" customHeight="1">
      <c r="A991" s="9"/>
      <c r="B991" s="9"/>
      <c r="C991" s="9"/>
      <c r="D991" s="1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ht="14.25" customHeight="1">
      <c r="A992" s="9"/>
      <c r="B992" s="9"/>
      <c r="C992" s="9"/>
      <c r="D992" s="1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ht="14.25" customHeight="1">
      <c r="A993" s="9"/>
      <c r="B993" s="9"/>
      <c r="C993" s="9"/>
      <c r="D993" s="1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ht="14.25" customHeight="1">
      <c r="A994" s="9"/>
      <c r="B994" s="9"/>
      <c r="C994" s="9"/>
      <c r="D994" s="1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ht="14.25" customHeight="1">
      <c r="A995" s="9"/>
      <c r="B995" s="9"/>
      <c r="C995" s="9"/>
      <c r="D995" s="1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ht="14.25" customHeight="1">
      <c r="A996" s="9"/>
      <c r="B996" s="9"/>
      <c r="C996" s="9"/>
      <c r="D996" s="1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ht="14.25" customHeight="1">
      <c r="A997" s="9"/>
      <c r="B997" s="9"/>
      <c r="C997" s="9"/>
      <c r="D997" s="1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ht="14.25" customHeight="1">
      <c r="A998" s="9"/>
      <c r="B998" s="9"/>
      <c r="C998" s="9"/>
      <c r="D998" s="1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ht="14.25" customHeight="1">
      <c r="A999" s="9"/>
      <c r="B999" s="9"/>
      <c r="C999" s="9"/>
      <c r="D999" s="1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ht="14.25" customHeight="1">
      <c r="A1000" s="9"/>
      <c r="B1000" s="9"/>
      <c r="C1000" s="9"/>
      <c r="D1000" s="1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row r="1001" ht="14.25" customHeight="1">
      <c r="A1001" s="9"/>
      <c r="B1001" s="9"/>
      <c r="C1001" s="9"/>
      <c r="D1001" s="1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row>
  </sheetData>
  <conditionalFormatting sqref="F2">
    <cfRule type="cellIs" dxfId="0" priority="1" operator="equal">
      <formula>4</formula>
    </cfRule>
  </conditionalFormatting>
  <conditionalFormatting sqref="F2">
    <cfRule type="cellIs" dxfId="1" priority="2" operator="equal">
      <formula>5</formula>
    </cfRule>
  </conditionalFormatting>
  <conditionalFormatting sqref="F2">
    <cfRule type="cellIs" dxfId="2" priority="3" operator="equal">
      <formula>6</formula>
    </cfRule>
  </conditionalFormatting>
  <dataValidations>
    <dataValidation type="list" allowBlank="1" showErrorMessage="1" sqref="E48:E79">
      <formula1>"Fix (Strategische Rolle, kein Effekt durch KI Einsatz),KI-Hebel (KI-Position kann durch KI-Einsatz später eingestellt werden),KI-Agent (Position kann durch KI-Agenten ersetzt werden/ Hiring wenn überhaupt in ferner Zukunft)"</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14"/>
    <col customWidth="1" min="7" max="7" width="29.14"/>
  </cols>
  <sheetData>
    <row r="1">
      <c r="A1" s="7" t="s">
        <v>364</v>
      </c>
      <c r="B1" s="7" t="s">
        <v>365</v>
      </c>
      <c r="C1" s="7" t="s">
        <v>366</v>
      </c>
      <c r="D1" s="53" t="s">
        <v>367</v>
      </c>
      <c r="E1" s="7" t="s">
        <v>368</v>
      </c>
      <c r="F1" s="54" t="s">
        <v>369</v>
      </c>
      <c r="G1" s="7" t="s">
        <v>370</v>
      </c>
      <c r="H1" s="9"/>
      <c r="I1" s="9"/>
      <c r="J1" s="9"/>
      <c r="K1" s="9"/>
      <c r="L1" s="9"/>
      <c r="M1" s="9"/>
      <c r="N1" s="9"/>
      <c r="O1" s="9"/>
      <c r="P1" s="9"/>
      <c r="Q1" s="9"/>
      <c r="R1" s="9"/>
      <c r="S1" s="9"/>
      <c r="T1" s="9"/>
      <c r="U1" s="9"/>
      <c r="V1" s="9"/>
      <c r="W1" s="9"/>
      <c r="X1" s="9"/>
      <c r="Y1" s="9"/>
      <c r="Z1" s="9"/>
    </row>
    <row r="2">
      <c r="A2" s="10" t="s">
        <v>371</v>
      </c>
      <c r="B2" s="13">
        <f>IF(B1="gering", 4, IF(B1="normal", 5, 6))</f>
        <v>4</v>
      </c>
      <c r="C2" s="13"/>
      <c r="D2" s="11"/>
      <c r="E2" s="11"/>
      <c r="F2" s="11"/>
      <c r="G2" s="55"/>
      <c r="H2" s="9"/>
      <c r="I2" s="9"/>
      <c r="J2" s="9"/>
      <c r="K2" s="9"/>
      <c r="L2" s="9"/>
      <c r="M2" s="9"/>
      <c r="N2" s="9"/>
      <c r="O2" s="9"/>
      <c r="P2" s="9"/>
      <c r="Q2" s="9"/>
      <c r="R2" s="9"/>
      <c r="S2" s="9"/>
      <c r="T2" s="9"/>
      <c r="U2" s="9"/>
      <c r="V2" s="9"/>
      <c r="W2" s="9"/>
      <c r="X2" s="9"/>
      <c r="Y2" s="9"/>
      <c r="Z2" s="9"/>
    </row>
    <row r="3">
      <c r="A3" s="56" t="s">
        <v>372</v>
      </c>
      <c r="B3" s="57" t="s">
        <v>373</v>
      </c>
      <c r="C3" s="57" t="s">
        <v>366</v>
      </c>
      <c r="D3" s="57" t="s">
        <v>374</v>
      </c>
      <c r="E3" s="57" t="s">
        <v>375</v>
      </c>
      <c r="F3" s="57" t="s">
        <v>376</v>
      </c>
      <c r="G3" s="58" t="s">
        <v>377</v>
      </c>
      <c r="H3" s="9"/>
      <c r="I3" s="9"/>
      <c r="J3" s="9"/>
      <c r="K3" s="9"/>
      <c r="L3" s="9"/>
      <c r="M3" s="9"/>
      <c r="N3" s="9"/>
      <c r="O3" s="9"/>
      <c r="P3" s="9"/>
      <c r="Q3" s="9"/>
      <c r="R3" s="9"/>
      <c r="S3" s="9"/>
      <c r="T3" s="9"/>
      <c r="U3" s="9"/>
      <c r="V3" s="9"/>
      <c r="W3" s="9"/>
      <c r="X3" s="9"/>
      <c r="Y3" s="9"/>
      <c r="Z3" s="9"/>
    </row>
    <row r="4">
      <c r="A4" s="59" t="s">
        <v>378</v>
      </c>
      <c r="B4" s="60" t="s">
        <v>379</v>
      </c>
      <c r="C4" s="60" t="s">
        <v>380</v>
      </c>
      <c r="D4" s="61">
        <v>0.1</v>
      </c>
      <c r="E4" s="61">
        <v>0.6</v>
      </c>
      <c r="F4" s="61">
        <v>0.8</v>
      </c>
      <c r="G4" s="62" t="s">
        <v>381</v>
      </c>
      <c r="H4" s="9"/>
      <c r="I4" s="9"/>
      <c r="J4" s="9"/>
      <c r="K4" s="9"/>
      <c r="L4" s="9"/>
      <c r="M4" s="9"/>
      <c r="N4" s="9"/>
      <c r="O4" s="9"/>
      <c r="P4" s="9"/>
      <c r="Q4" s="9"/>
      <c r="R4" s="9"/>
      <c r="S4" s="9"/>
      <c r="T4" s="9"/>
      <c r="U4" s="9"/>
      <c r="V4" s="9"/>
      <c r="W4" s="9"/>
      <c r="X4" s="9"/>
      <c r="Y4" s="9"/>
      <c r="Z4" s="9"/>
    </row>
    <row r="5">
      <c r="A5" s="59" t="s">
        <v>382</v>
      </c>
      <c r="B5" s="60" t="s">
        <v>383</v>
      </c>
      <c r="C5" s="60" t="s">
        <v>384</v>
      </c>
      <c r="D5" s="60">
        <v>14.0</v>
      </c>
      <c r="E5" s="60">
        <v>8.0</v>
      </c>
      <c r="F5" s="60">
        <v>4.0</v>
      </c>
      <c r="G5" s="62" t="s">
        <v>385</v>
      </c>
      <c r="H5" s="9"/>
      <c r="I5" s="9"/>
      <c r="J5" s="9"/>
      <c r="K5" s="9"/>
      <c r="L5" s="9"/>
      <c r="M5" s="9"/>
      <c r="N5" s="9"/>
      <c r="O5" s="9"/>
      <c r="P5" s="9"/>
      <c r="Q5" s="9"/>
      <c r="R5" s="9"/>
      <c r="S5" s="9"/>
      <c r="T5" s="9"/>
      <c r="U5" s="9"/>
      <c r="V5" s="9"/>
      <c r="W5" s="9"/>
      <c r="X5" s="9"/>
      <c r="Y5" s="9"/>
      <c r="Z5" s="9"/>
    </row>
    <row r="6">
      <c r="A6" s="59" t="s">
        <v>386</v>
      </c>
      <c r="B6" s="60" t="s">
        <v>387</v>
      </c>
      <c r="C6" s="60" t="s">
        <v>304</v>
      </c>
      <c r="D6" s="60">
        <v>800.0</v>
      </c>
      <c r="E6" s="63">
        <v>1000.0</v>
      </c>
      <c r="F6" s="63">
        <v>1200.0</v>
      </c>
      <c r="G6" s="62" t="s">
        <v>388</v>
      </c>
      <c r="H6" s="9"/>
      <c r="I6" s="9"/>
      <c r="J6" s="9"/>
      <c r="K6" s="9"/>
      <c r="L6" s="9"/>
      <c r="M6" s="9"/>
      <c r="N6" s="9"/>
      <c r="O6" s="9"/>
      <c r="P6" s="9"/>
      <c r="Q6" s="9"/>
      <c r="R6" s="9"/>
      <c r="S6" s="9"/>
      <c r="T6" s="9"/>
      <c r="U6" s="9"/>
      <c r="V6" s="9"/>
      <c r="W6" s="9"/>
      <c r="X6" s="9"/>
      <c r="Y6" s="9"/>
      <c r="Z6" s="9"/>
    </row>
    <row r="7">
      <c r="A7" s="59" t="s">
        <v>389</v>
      </c>
      <c r="B7" s="60" t="s">
        <v>390</v>
      </c>
      <c r="C7" s="60" t="s">
        <v>391</v>
      </c>
      <c r="D7" s="63">
        <v>1200.0</v>
      </c>
      <c r="E7" s="63">
        <v>1500.0</v>
      </c>
      <c r="F7" s="63">
        <v>1800.0</v>
      </c>
      <c r="G7" s="62" t="s">
        <v>392</v>
      </c>
      <c r="H7" s="9"/>
      <c r="I7" s="9"/>
      <c r="J7" s="9"/>
      <c r="K7" s="9"/>
      <c r="L7" s="9"/>
      <c r="M7" s="9"/>
      <c r="N7" s="9"/>
      <c r="O7" s="9"/>
      <c r="P7" s="9"/>
      <c r="Q7" s="9"/>
      <c r="R7" s="9"/>
      <c r="S7" s="9"/>
      <c r="T7" s="9"/>
      <c r="U7" s="9"/>
      <c r="V7" s="9"/>
      <c r="W7" s="9"/>
      <c r="X7" s="9"/>
      <c r="Y7" s="9"/>
      <c r="Z7" s="9"/>
    </row>
    <row r="8">
      <c r="A8" s="59" t="s">
        <v>393</v>
      </c>
      <c r="B8" s="60" t="s">
        <v>394</v>
      </c>
      <c r="C8" s="60" t="s">
        <v>27</v>
      </c>
      <c r="D8" s="60" t="s">
        <v>395</v>
      </c>
      <c r="E8" s="60" t="s">
        <v>396</v>
      </c>
      <c r="F8" s="60" t="s">
        <v>397</v>
      </c>
      <c r="G8" s="62" t="s">
        <v>398</v>
      </c>
      <c r="H8" s="9"/>
      <c r="I8" s="9"/>
      <c r="J8" s="9"/>
      <c r="K8" s="9"/>
      <c r="L8" s="9"/>
      <c r="M8" s="9"/>
      <c r="N8" s="9"/>
      <c r="O8" s="9"/>
      <c r="P8" s="9"/>
      <c r="Q8" s="9"/>
      <c r="R8" s="9"/>
      <c r="S8" s="9"/>
      <c r="T8" s="9"/>
      <c r="U8" s="9"/>
      <c r="V8" s="9"/>
      <c r="W8" s="9"/>
      <c r="X8" s="9"/>
      <c r="Y8" s="9"/>
      <c r="Z8" s="9"/>
    </row>
    <row r="9">
      <c r="A9" s="64" t="s">
        <v>399</v>
      </c>
      <c r="B9" s="65" t="s">
        <v>400</v>
      </c>
      <c r="C9" s="65" t="s">
        <v>401</v>
      </c>
      <c r="D9" s="65">
        <v>120.0</v>
      </c>
      <c r="E9" s="65">
        <v>60.0</v>
      </c>
      <c r="F9" s="65">
        <v>30.0</v>
      </c>
      <c r="G9" s="66" t="s">
        <v>402</v>
      </c>
      <c r="H9" s="9"/>
      <c r="I9" s="9"/>
      <c r="J9" s="9"/>
      <c r="K9" s="9"/>
      <c r="L9" s="9"/>
      <c r="M9" s="9"/>
      <c r="N9" s="9"/>
      <c r="O9" s="9"/>
      <c r="P9" s="9"/>
      <c r="Q9" s="9"/>
      <c r="R9" s="9"/>
      <c r="S9" s="9"/>
      <c r="T9" s="9"/>
      <c r="U9" s="9"/>
      <c r="V9" s="9"/>
      <c r="W9" s="9"/>
      <c r="X9" s="9"/>
      <c r="Y9" s="9"/>
      <c r="Z9" s="9"/>
    </row>
    <row r="10">
      <c r="A10" s="67" t="s">
        <v>393</v>
      </c>
      <c r="B10" s="68" t="s">
        <v>403</v>
      </c>
      <c r="C10" s="69"/>
      <c r="D10" s="68">
        <v>0.0</v>
      </c>
      <c r="E10" s="68">
        <v>6.0</v>
      </c>
      <c r="F10" s="68">
        <v>99.0</v>
      </c>
      <c r="G10" s="6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sheetData>
  <dataValidations>
    <dataValidation type="list" allowBlank="1" showErrorMessage="1" sqref="B1">
      <formula1>"gering,normal,stark"</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5.0"/>
    <col customWidth="1" min="2" max="53" width="12.0"/>
  </cols>
  <sheetData>
    <row r="1" ht="14.25" customHeight="1">
      <c r="A1" s="1" t="s">
        <v>404</v>
      </c>
    </row>
    <row r="2" ht="14.25" customHeight="1"/>
    <row r="3" ht="14.25" customHeight="1">
      <c r="A3" s="70" t="s">
        <v>405</v>
      </c>
      <c r="B3" s="70" t="s">
        <v>406</v>
      </c>
      <c r="C3" s="70" t="s">
        <v>407</v>
      </c>
      <c r="D3" s="70" t="s">
        <v>408</v>
      </c>
      <c r="E3" s="70" t="s">
        <v>409</v>
      </c>
      <c r="F3" s="70" t="s">
        <v>410</v>
      </c>
      <c r="G3" s="70" t="s">
        <v>411</v>
      </c>
      <c r="H3" s="70" t="s">
        <v>412</v>
      </c>
      <c r="I3" s="70" t="s">
        <v>413</v>
      </c>
      <c r="J3" s="70" t="s">
        <v>414</v>
      </c>
      <c r="K3" s="70" t="s">
        <v>415</v>
      </c>
      <c r="L3" s="70" t="s">
        <v>416</v>
      </c>
      <c r="M3" s="70" t="s">
        <v>417</v>
      </c>
      <c r="N3" s="70" t="s">
        <v>418</v>
      </c>
      <c r="O3" s="70" t="s">
        <v>419</v>
      </c>
      <c r="P3" s="70" t="s">
        <v>420</v>
      </c>
      <c r="Q3" s="70" t="s">
        <v>421</v>
      </c>
      <c r="R3" s="70" t="s">
        <v>422</v>
      </c>
      <c r="S3" s="70" t="s">
        <v>423</v>
      </c>
      <c r="T3" s="70" t="s">
        <v>424</v>
      </c>
      <c r="U3" s="70" t="s">
        <v>425</v>
      </c>
      <c r="V3" s="70" t="s">
        <v>426</v>
      </c>
      <c r="W3" s="70" t="s">
        <v>427</v>
      </c>
      <c r="X3" s="70" t="s">
        <v>428</v>
      </c>
      <c r="Y3" s="70" t="s">
        <v>429</v>
      </c>
      <c r="Z3" s="70" t="s">
        <v>430</v>
      </c>
      <c r="AA3" s="70" t="s">
        <v>431</v>
      </c>
      <c r="AB3" s="70" t="s">
        <v>432</v>
      </c>
      <c r="AC3" s="70" t="s">
        <v>433</v>
      </c>
      <c r="AD3" s="70" t="s">
        <v>434</v>
      </c>
      <c r="AE3" s="70" t="s">
        <v>435</v>
      </c>
      <c r="AF3" s="70" t="s">
        <v>436</v>
      </c>
      <c r="AG3" s="70" t="s">
        <v>437</v>
      </c>
      <c r="AH3" s="70" t="s">
        <v>438</v>
      </c>
      <c r="AI3" s="70" t="s">
        <v>439</v>
      </c>
      <c r="AJ3" s="70" t="s">
        <v>440</v>
      </c>
      <c r="AK3" s="70" t="s">
        <v>441</v>
      </c>
      <c r="AL3" s="70" t="s">
        <v>442</v>
      </c>
      <c r="AM3" s="70" t="s">
        <v>443</v>
      </c>
      <c r="AN3" s="70" t="s">
        <v>444</v>
      </c>
      <c r="AO3" s="70" t="s">
        <v>445</v>
      </c>
      <c r="AP3" s="70" t="s">
        <v>446</v>
      </c>
      <c r="AQ3" s="70" t="s">
        <v>447</v>
      </c>
      <c r="AR3" s="70" t="s">
        <v>448</v>
      </c>
      <c r="AS3" s="70" t="s">
        <v>449</v>
      </c>
      <c r="AT3" s="70" t="s">
        <v>450</v>
      </c>
      <c r="AU3" s="70" t="s">
        <v>451</v>
      </c>
      <c r="AV3" s="70" t="s">
        <v>452</v>
      </c>
      <c r="AW3" s="70" t="s">
        <v>453</v>
      </c>
      <c r="AX3" s="70" t="s">
        <v>454</v>
      </c>
      <c r="AY3" s="70" t="s">
        <v>455</v>
      </c>
      <c r="AZ3" s="70" t="s">
        <v>456</v>
      </c>
      <c r="BA3" s="70" t="s">
        <v>457</v>
      </c>
    </row>
    <row r="4" ht="14.25" customHeight="1">
      <c r="A4" s="2" t="s">
        <v>458</v>
      </c>
    </row>
    <row r="5" ht="14.25" customHeight="1">
      <c r="A5" s="3" t="s">
        <v>459</v>
      </c>
      <c r="B5" s="71">
        <f>Revenue!B9</f>
        <v>0</v>
      </c>
      <c r="C5" s="71">
        <f>Revenue!C9</f>
        <v>0</v>
      </c>
      <c r="D5" s="71">
        <f>Revenue!D9</f>
        <v>0</v>
      </c>
      <c r="E5" s="71">
        <f>Revenue!E9</f>
        <v>0</v>
      </c>
      <c r="F5" s="71">
        <f>Revenue!F9</f>
        <v>0</v>
      </c>
      <c r="G5" s="71">
        <f>Revenue!G9</f>
        <v>0</v>
      </c>
      <c r="H5" s="71">
        <f>Revenue!H9</f>
        <v>0</v>
      </c>
      <c r="I5" s="71">
        <f>Revenue!I9</f>
        <v>0</v>
      </c>
      <c r="J5" s="71">
        <f>Revenue!J9</f>
        <v>0</v>
      </c>
      <c r="K5" s="71">
        <f>Revenue!K9</f>
        <v>0</v>
      </c>
      <c r="L5" s="71">
        <f>Revenue!L9</f>
        <v>0</v>
      </c>
      <c r="M5" s="71">
        <f>Revenue!M9</f>
        <v>0</v>
      </c>
      <c r="N5" s="71">
        <f>Revenue!N9</f>
        <v>0</v>
      </c>
      <c r="O5" s="71">
        <f>Revenue!O9</f>
        <v>4320</v>
      </c>
      <c r="P5" s="71">
        <f>Revenue!P9</f>
        <v>4320</v>
      </c>
      <c r="Q5" s="71">
        <f>Revenue!Q9</f>
        <v>4320</v>
      </c>
      <c r="R5" s="71">
        <f>Revenue!R9</f>
        <v>4320</v>
      </c>
      <c r="S5" s="71">
        <f>Revenue!S9</f>
        <v>4320</v>
      </c>
      <c r="T5" s="71">
        <f>Revenue!T9</f>
        <v>4320</v>
      </c>
      <c r="U5" s="71">
        <f>Revenue!U9</f>
        <v>4320</v>
      </c>
      <c r="V5" s="71">
        <f>Revenue!V9</f>
        <v>4320</v>
      </c>
      <c r="W5" s="71">
        <f>Revenue!W9</f>
        <v>4320</v>
      </c>
      <c r="X5" s="71">
        <f>Revenue!X9</f>
        <v>4320</v>
      </c>
      <c r="Y5" s="71">
        <f>Revenue!Y9</f>
        <v>4320</v>
      </c>
      <c r="Z5" s="71">
        <f>Revenue!Z9</f>
        <v>4665.6</v>
      </c>
      <c r="AA5" s="71">
        <f>Revenue!AA9</f>
        <v>4665.6</v>
      </c>
      <c r="AB5" s="71">
        <f>Revenue!AB9</f>
        <v>4665.6</v>
      </c>
      <c r="AC5" s="71">
        <f>Revenue!AC9</f>
        <v>4665.6</v>
      </c>
      <c r="AD5" s="71">
        <f>Revenue!AD9</f>
        <v>4665.6</v>
      </c>
      <c r="AE5" s="71">
        <f>Revenue!AE9</f>
        <v>4665.6</v>
      </c>
      <c r="AF5" s="71">
        <f>Revenue!AF9</f>
        <v>4665.6</v>
      </c>
      <c r="AG5" s="71">
        <f>Revenue!AG9</f>
        <v>4665.6</v>
      </c>
      <c r="AH5" s="71">
        <f>Revenue!AH9</f>
        <v>4665.6</v>
      </c>
      <c r="AI5" s="71">
        <f>Revenue!AI9</f>
        <v>4665.6</v>
      </c>
      <c r="AJ5" s="71">
        <f>Revenue!AJ9</f>
        <v>4665.6</v>
      </c>
      <c r="AK5" s="71">
        <f>Revenue!AK9</f>
        <v>4665.6</v>
      </c>
      <c r="AL5" s="71">
        <f>Revenue!AL9</f>
        <v>5038.848</v>
      </c>
      <c r="AM5" s="71">
        <f>Revenue!AM9</f>
        <v>5038.848</v>
      </c>
      <c r="AN5" s="71">
        <f>Revenue!AN9</f>
        <v>5038.848</v>
      </c>
      <c r="AO5" s="71">
        <f>Revenue!AO9</f>
        <v>5038.848</v>
      </c>
      <c r="AP5" s="71">
        <f>Revenue!AP9</f>
        <v>5038.848</v>
      </c>
      <c r="AQ5" s="71">
        <f>Revenue!AQ9</f>
        <v>5038.848</v>
      </c>
      <c r="AR5" s="71">
        <f>Revenue!AR9</f>
        <v>5038.848</v>
      </c>
      <c r="AS5" s="71">
        <f>Revenue!AS9</f>
        <v>5038.848</v>
      </c>
      <c r="AT5" s="71">
        <f>Revenue!AT9</f>
        <v>5038.848</v>
      </c>
      <c r="AU5" s="71">
        <f>Revenue!AU9</f>
        <v>5038.848</v>
      </c>
      <c r="AV5" s="71">
        <f>Revenue!AV9</f>
        <v>5038.848</v>
      </c>
      <c r="AW5" s="71">
        <f>Revenue!AW9</f>
        <v>5038.848</v>
      </c>
      <c r="AX5" s="71">
        <f>Revenue!AX9</f>
        <v>5441.95584</v>
      </c>
      <c r="AY5" s="71">
        <f>Revenue!AY9</f>
        <v>5441.95584</v>
      </c>
      <c r="AZ5" s="71">
        <f>Revenue!AZ9</f>
        <v>5441.95584</v>
      </c>
      <c r="BA5" s="71">
        <f>Revenue!BA9</f>
        <v>5441.95584</v>
      </c>
    </row>
    <row r="6" ht="14.25" customHeight="1">
      <c r="A6" s="3" t="s">
        <v>460</v>
      </c>
      <c r="B6" s="71">
        <f>Revenue!B16</f>
        <v>0</v>
      </c>
      <c r="C6" s="71">
        <f>Revenue!C16</f>
        <v>0</v>
      </c>
      <c r="D6" s="71">
        <f>Revenue!D16</f>
        <v>0</v>
      </c>
      <c r="E6" s="71">
        <f>Revenue!E16</f>
        <v>0</v>
      </c>
      <c r="F6" s="71">
        <f>Revenue!F16</f>
        <v>0</v>
      </c>
      <c r="G6" s="71">
        <f>Revenue!G16</f>
        <v>0</v>
      </c>
      <c r="H6" s="71">
        <f>Revenue!H16</f>
        <v>0</v>
      </c>
      <c r="I6" s="71">
        <f>Revenue!I16</f>
        <v>0</v>
      </c>
      <c r="J6" s="71">
        <f>Revenue!J16</f>
        <v>0</v>
      </c>
      <c r="K6" s="71">
        <f>Revenue!K16</f>
        <v>0</v>
      </c>
      <c r="L6" s="71">
        <f>Revenue!L16</f>
        <v>0</v>
      </c>
      <c r="M6" s="71">
        <f>Revenue!M16</f>
        <v>0</v>
      </c>
      <c r="N6" s="71">
        <f>Revenue!N16</f>
        <v>0</v>
      </c>
      <c r="O6" s="71">
        <f>Revenue!O16</f>
        <v>0</v>
      </c>
      <c r="P6" s="71">
        <f>Revenue!P16</f>
        <v>0</v>
      </c>
      <c r="Q6" s="71">
        <f>Revenue!Q16</f>
        <v>0</v>
      </c>
      <c r="R6" s="71">
        <f>Revenue!R16</f>
        <v>0</v>
      </c>
      <c r="S6" s="71">
        <f>Revenue!S16</f>
        <v>0</v>
      </c>
      <c r="T6" s="71">
        <f>Revenue!T16</f>
        <v>0</v>
      </c>
      <c r="U6" s="71">
        <f>Revenue!U16</f>
        <v>0</v>
      </c>
      <c r="V6" s="71">
        <f>Revenue!V16</f>
        <v>0</v>
      </c>
      <c r="W6" s="71">
        <f>Revenue!W16</f>
        <v>0</v>
      </c>
      <c r="X6" s="71">
        <f>Revenue!X16</f>
        <v>0</v>
      </c>
      <c r="Y6" s="71">
        <f>Revenue!Y16</f>
        <v>13500</v>
      </c>
      <c r="Z6" s="71">
        <f>Revenue!Z16</f>
        <v>14580</v>
      </c>
      <c r="AA6" s="71">
        <f>Revenue!AA16</f>
        <v>14580</v>
      </c>
      <c r="AB6" s="71">
        <f>Revenue!AB16</f>
        <v>29160</v>
      </c>
      <c r="AC6" s="71">
        <f>Revenue!AC16</f>
        <v>29160</v>
      </c>
      <c r="AD6" s="71">
        <f>Revenue!AD16</f>
        <v>29160</v>
      </c>
      <c r="AE6" s="71">
        <f>Revenue!AE16</f>
        <v>43740</v>
      </c>
      <c r="AF6" s="71">
        <f>Revenue!AF16</f>
        <v>43740</v>
      </c>
      <c r="AG6" s="71">
        <f>Revenue!AG16</f>
        <v>43740</v>
      </c>
      <c r="AH6" s="71">
        <f>Revenue!AH16</f>
        <v>58320</v>
      </c>
      <c r="AI6" s="71">
        <f>Revenue!AI16</f>
        <v>58320</v>
      </c>
      <c r="AJ6" s="71">
        <f>Revenue!AJ16</f>
        <v>58320</v>
      </c>
      <c r="AK6" s="71">
        <f>Revenue!AK16</f>
        <v>72900</v>
      </c>
      <c r="AL6" s="71">
        <f>Revenue!AL16</f>
        <v>78732</v>
      </c>
      <c r="AM6" s="71">
        <f>Revenue!AM16</f>
        <v>78732</v>
      </c>
      <c r="AN6" s="71">
        <f>Revenue!AN16</f>
        <v>94478.4</v>
      </c>
      <c r="AO6" s="71">
        <f>Revenue!AO16</f>
        <v>94478.4</v>
      </c>
      <c r="AP6" s="71">
        <f>Revenue!AP16</f>
        <v>94478.4</v>
      </c>
      <c r="AQ6" s="71">
        <f>Revenue!AQ16</f>
        <v>110224.8</v>
      </c>
      <c r="AR6" s="71">
        <f>Revenue!AR16</f>
        <v>110224.8</v>
      </c>
      <c r="AS6" s="71">
        <f>Revenue!AS16</f>
        <v>110224.8</v>
      </c>
      <c r="AT6" s="71">
        <f>Revenue!AT16</f>
        <v>125971.2</v>
      </c>
      <c r="AU6" s="71">
        <f>Revenue!AU16</f>
        <v>125971.2</v>
      </c>
      <c r="AV6" s="71">
        <f>Revenue!AV16</f>
        <v>125971.2</v>
      </c>
      <c r="AW6" s="71">
        <f>Revenue!AW16</f>
        <v>125971.2</v>
      </c>
      <c r="AX6" s="71">
        <f>Revenue!AX16</f>
        <v>136048.896</v>
      </c>
      <c r="AY6" s="71">
        <f>Revenue!AY16</f>
        <v>136048.896</v>
      </c>
      <c r="AZ6" s="71">
        <f>Revenue!AZ16</f>
        <v>153055.008</v>
      </c>
      <c r="BA6" s="71">
        <f>Revenue!BA16</f>
        <v>153055.008</v>
      </c>
    </row>
    <row r="7" ht="14.25" customHeight="1">
      <c r="A7" s="2" t="s">
        <v>461</v>
      </c>
      <c r="B7" s="72">
        <f t="shared" ref="B7:BA7" si="1">B5+B6</f>
        <v>0</v>
      </c>
      <c r="C7" s="72">
        <f t="shared" si="1"/>
        <v>0</v>
      </c>
      <c r="D7" s="72">
        <f t="shared" si="1"/>
        <v>0</v>
      </c>
      <c r="E7" s="72">
        <f t="shared" si="1"/>
        <v>0</v>
      </c>
      <c r="F7" s="72">
        <f t="shared" si="1"/>
        <v>0</v>
      </c>
      <c r="G7" s="72">
        <f t="shared" si="1"/>
        <v>0</v>
      </c>
      <c r="H7" s="72">
        <f t="shared" si="1"/>
        <v>0</v>
      </c>
      <c r="I7" s="72">
        <f t="shared" si="1"/>
        <v>0</v>
      </c>
      <c r="J7" s="72">
        <f t="shared" si="1"/>
        <v>0</v>
      </c>
      <c r="K7" s="72">
        <f t="shared" si="1"/>
        <v>0</v>
      </c>
      <c r="L7" s="72">
        <f t="shared" si="1"/>
        <v>0</v>
      </c>
      <c r="M7" s="72">
        <f t="shared" si="1"/>
        <v>0</v>
      </c>
      <c r="N7" s="72">
        <f t="shared" si="1"/>
        <v>0</v>
      </c>
      <c r="O7" s="72">
        <f t="shared" si="1"/>
        <v>4320</v>
      </c>
      <c r="P7" s="72">
        <f t="shared" si="1"/>
        <v>4320</v>
      </c>
      <c r="Q7" s="72">
        <f t="shared" si="1"/>
        <v>4320</v>
      </c>
      <c r="R7" s="72">
        <f t="shared" si="1"/>
        <v>4320</v>
      </c>
      <c r="S7" s="72">
        <f t="shared" si="1"/>
        <v>4320</v>
      </c>
      <c r="T7" s="72">
        <f t="shared" si="1"/>
        <v>4320</v>
      </c>
      <c r="U7" s="72">
        <f t="shared" si="1"/>
        <v>4320</v>
      </c>
      <c r="V7" s="72">
        <f t="shared" si="1"/>
        <v>4320</v>
      </c>
      <c r="W7" s="72">
        <f t="shared" si="1"/>
        <v>4320</v>
      </c>
      <c r="X7" s="72">
        <f t="shared" si="1"/>
        <v>4320</v>
      </c>
      <c r="Y7" s="72">
        <f t="shared" si="1"/>
        <v>17820</v>
      </c>
      <c r="Z7" s="72">
        <f t="shared" si="1"/>
        <v>19245.6</v>
      </c>
      <c r="AA7" s="72">
        <f t="shared" si="1"/>
        <v>19245.6</v>
      </c>
      <c r="AB7" s="72">
        <f t="shared" si="1"/>
        <v>33825.6</v>
      </c>
      <c r="AC7" s="72">
        <f t="shared" si="1"/>
        <v>33825.6</v>
      </c>
      <c r="AD7" s="72">
        <f t="shared" si="1"/>
        <v>33825.6</v>
      </c>
      <c r="AE7" s="72">
        <f t="shared" si="1"/>
        <v>48405.6</v>
      </c>
      <c r="AF7" s="72">
        <f t="shared" si="1"/>
        <v>48405.6</v>
      </c>
      <c r="AG7" s="72">
        <f t="shared" si="1"/>
        <v>48405.6</v>
      </c>
      <c r="AH7" s="72">
        <f t="shared" si="1"/>
        <v>62985.6</v>
      </c>
      <c r="AI7" s="72">
        <f t="shared" si="1"/>
        <v>62985.6</v>
      </c>
      <c r="AJ7" s="72">
        <f t="shared" si="1"/>
        <v>62985.6</v>
      </c>
      <c r="AK7" s="72">
        <f t="shared" si="1"/>
        <v>77565.6</v>
      </c>
      <c r="AL7" s="72">
        <f t="shared" si="1"/>
        <v>83770.848</v>
      </c>
      <c r="AM7" s="72">
        <f t="shared" si="1"/>
        <v>83770.848</v>
      </c>
      <c r="AN7" s="72">
        <f t="shared" si="1"/>
        <v>99517.248</v>
      </c>
      <c r="AO7" s="72">
        <f t="shared" si="1"/>
        <v>99517.248</v>
      </c>
      <c r="AP7" s="72">
        <f t="shared" si="1"/>
        <v>99517.248</v>
      </c>
      <c r="AQ7" s="72">
        <f t="shared" si="1"/>
        <v>115263.648</v>
      </c>
      <c r="AR7" s="72">
        <f t="shared" si="1"/>
        <v>115263.648</v>
      </c>
      <c r="AS7" s="72">
        <f t="shared" si="1"/>
        <v>115263.648</v>
      </c>
      <c r="AT7" s="72">
        <f t="shared" si="1"/>
        <v>131010.048</v>
      </c>
      <c r="AU7" s="72">
        <f t="shared" si="1"/>
        <v>131010.048</v>
      </c>
      <c r="AV7" s="72">
        <f t="shared" si="1"/>
        <v>131010.048</v>
      </c>
      <c r="AW7" s="72">
        <f t="shared" si="1"/>
        <v>131010.048</v>
      </c>
      <c r="AX7" s="72">
        <f t="shared" si="1"/>
        <v>141490.8518</v>
      </c>
      <c r="AY7" s="72">
        <f t="shared" si="1"/>
        <v>141490.8518</v>
      </c>
      <c r="AZ7" s="72">
        <f t="shared" si="1"/>
        <v>158496.9638</v>
      </c>
      <c r="BA7" s="72">
        <f t="shared" si="1"/>
        <v>158496.9638</v>
      </c>
    </row>
    <row r="8" ht="14.25" customHeight="1"/>
    <row r="9" ht="14.25" customHeight="1">
      <c r="A9" s="2" t="s">
        <v>462</v>
      </c>
    </row>
    <row r="10" ht="14.25" customHeight="1">
      <c r="A10" s="3" t="s">
        <v>463</v>
      </c>
      <c r="B10" s="71">
        <f>Costs!B82</f>
        <v>0</v>
      </c>
      <c r="C10" s="71">
        <f>Costs!C82</f>
        <v>0</v>
      </c>
      <c r="D10" s="71">
        <f>Costs!D82</f>
        <v>0</v>
      </c>
      <c r="E10" s="71">
        <f>Costs!E82</f>
        <v>0</v>
      </c>
      <c r="F10" s="71">
        <f>Costs!F82</f>
        <v>0</v>
      </c>
      <c r="G10" s="71">
        <f>Costs!G82</f>
        <v>0</v>
      </c>
      <c r="H10" s="71">
        <f>Costs!H82</f>
        <v>0</v>
      </c>
      <c r="I10" s="71">
        <f>Costs!I82</f>
        <v>0</v>
      </c>
      <c r="J10" s="71">
        <f>Costs!J82</f>
        <v>0</v>
      </c>
      <c r="K10" s="71">
        <f>Costs!K82</f>
        <v>0</v>
      </c>
      <c r="L10" s="71">
        <f>Costs!L82</f>
        <v>0</v>
      </c>
      <c r="M10" s="71">
        <f>Costs!M82</f>
        <v>0</v>
      </c>
      <c r="N10" s="71">
        <f>Costs!N82</f>
        <v>0</v>
      </c>
      <c r="O10" s="71">
        <f>Costs!O82</f>
        <v>250</v>
      </c>
      <c r="P10" s="71">
        <f>Costs!P82</f>
        <v>250</v>
      </c>
      <c r="Q10" s="71">
        <f>Costs!Q82</f>
        <v>250</v>
      </c>
      <c r="R10" s="71">
        <f>Costs!R82</f>
        <v>250</v>
      </c>
      <c r="S10" s="71">
        <f>Costs!S82</f>
        <v>250</v>
      </c>
      <c r="T10" s="71">
        <f>Costs!T82</f>
        <v>250</v>
      </c>
      <c r="U10" s="71">
        <f>Costs!U82</f>
        <v>250</v>
      </c>
      <c r="V10" s="71">
        <f>Costs!V82</f>
        <v>250</v>
      </c>
      <c r="W10" s="71">
        <f>Costs!W82</f>
        <v>250</v>
      </c>
      <c r="X10" s="71">
        <f>Costs!X82</f>
        <v>250</v>
      </c>
      <c r="Y10" s="71">
        <f>Costs!Y82</f>
        <v>250</v>
      </c>
      <c r="Z10" s="71">
        <f>Costs!Z82</f>
        <v>250</v>
      </c>
      <c r="AA10" s="71">
        <f>Costs!AA82</f>
        <v>250</v>
      </c>
      <c r="AB10" s="71">
        <f>Costs!AB82</f>
        <v>250</v>
      </c>
      <c r="AC10" s="71">
        <f>Costs!AC82</f>
        <v>250</v>
      </c>
      <c r="AD10" s="71">
        <f>Costs!AD82</f>
        <v>250</v>
      </c>
      <c r="AE10" s="71">
        <f>Costs!AE82</f>
        <v>250</v>
      </c>
      <c r="AF10" s="71">
        <f>Costs!AF82</f>
        <v>250</v>
      </c>
      <c r="AG10" s="71">
        <f>Costs!AG82</f>
        <v>250</v>
      </c>
      <c r="AH10" s="71">
        <f>Costs!AH82</f>
        <v>250</v>
      </c>
      <c r="AI10" s="71">
        <f>Costs!AI82</f>
        <v>250</v>
      </c>
      <c r="AJ10" s="71">
        <f>Costs!AJ82</f>
        <v>250</v>
      </c>
      <c r="AK10" s="71">
        <f>Costs!AK82</f>
        <v>250</v>
      </c>
      <c r="AL10" s="71">
        <f>Costs!AL82</f>
        <v>250</v>
      </c>
      <c r="AM10" s="71">
        <f>Costs!AM82</f>
        <v>250</v>
      </c>
      <c r="AN10" s="71">
        <f>Costs!AN82</f>
        <v>250</v>
      </c>
      <c r="AO10" s="71">
        <f>Costs!AO82</f>
        <v>250</v>
      </c>
      <c r="AP10" s="71">
        <f>Costs!AP82</f>
        <v>250</v>
      </c>
      <c r="AQ10" s="71">
        <f>Costs!AQ82</f>
        <v>250</v>
      </c>
      <c r="AR10" s="71">
        <f>Costs!AR82</f>
        <v>250</v>
      </c>
      <c r="AS10" s="71">
        <f>Costs!AS82</f>
        <v>250</v>
      </c>
      <c r="AT10" s="71">
        <f>Costs!AT82</f>
        <v>250</v>
      </c>
      <c r="AU10" s="71">
        <f>Costs!AU82</f>
        <v>250</v>
      </c>
      <c r="AV10" s="71">
        <f>Costs!AV82</f>
        <v>250</v>
      </c>
      <c r="AW10" s="71">
        <f>Costs!AW82</f>
        <v>250</v>
      </c>
      <c r="AX10" s="71">
        <f>Costs!AX82</f>
        <v>250</v>
      </c>
      <c r="AY10" s="71">
        <f>Costs!AY82</f>
        <v>250</v>
      </c>
      <c r="AZ10" s="71">
        <f>Costs!AZ82</f>
        <v>250</v>
      </c>
      <c r="BA10" s="71">
        <f>Costs!BA82</f>
        <v>250</v>
      </c>
    </row>
    <row r="11" ht="14.25" customHeight="1">
      <c r="A11" s="3" t="s">
        <v>464</v>
      </c>
      <c r="B11" s="71">
        <f>Costs!B83</f>
        <v>1000</v>
      </c>
      <c r="C11" s="71">
        <f>Costs!C83</f>
        <v>1050</v>
      </c>
      <c r="D11" s="71">
        <f>Costs!D83</f>
        <v>1102.5</v>
      </c>
      <c r="E11" s="71">
        <f>Costs!E83</f>
        <v>1157.625</v>
      </c>
      <c r="F11" s="71">
        <f>Costs!F83</f>
        <v>1215.50625</v>
      </c>
      <c r="G11" s="71">
        <f>Costs!G83</f>
        <v>1276.281563</v>
      </c>
      <c r="H11" s="71">
        <f>Costs!H83</f>
        <v>1340.095641</v>
      </c>
      <c r="I11" s="71">
        <f>Costs!I83</f>
        <v>1407.100423</v>
      </c>
      <c r="J11" s="71">
        <f>Costs!J83</f>
        <v>1477.455444</v>
      </c>
      <c r="K11" s="71">
        <f>Costs!K83</f>
        <v>1551.328216</v>
      </c>
      <c r="L11" s="71">
        <f>Costs!L83</f>
        <v>1628.894627</v>
      </c>
      <c r="M11" s="71">
        <f>Costs!M83</f>
        <v>1710.339358</v>
      </c>
      <c r="N11" s="71">
        <f>Costs!N83</f>
        <v>1795.856326</v>
      </c>
      <c r="O11" s="71">
        <f>Costs!O83</f>
        <v>1885.649142</v>
      </c>
      <c r="P11" s="71">
        <f>Costs!P83</f>
        <v>1979.931599</v>
      </c>
      <c r="Q11" s="71">
        <f>Costs!Q83</f>
        <v>2078.928179</v>
      </c>
      <c r="R11" s="71">
        <f>Costs!R83</f>
        <v>2182.874588</v>
      </c>
      <c r="S11" s="71">
        <f>Costs!S83</f>
        <v>2292.018318</v>
      </c>
      <c r="T11" s="71">
        <f>Costs!T83</f>
        <v>2406.619234</v>
      </c>
      <c r="U11" s="71">
        <f>Costs!U83</f>
        <v>2526.950195</v>
      </c>
      <c r="V11" s="71">
        <f>Costs!V83</f>
        <v>2653.297705</v>
      </c>
      <c r="W11" s="71">
        <f>Costs!W83</f>
        <v>2785.96259</v>
      </c>
      <c r="X11" s="71">
        <f>Costs!X83</f>
        <v>2925.26072</v>
      </c>
      <c r="Y11" s="71">
        <f>Costs!Y83</f>
        <v>3071.523756</v>
      </c>
      <c r="Z11" s="71">
        <f>Costs!Z83</f>
        <v>3225.099944</v>
      </c>
      <c r="AA11" s="71">
        <f>Costs!AA83</f>
        <v>3386.354941</v>
      </c>
      <c r="AB11" s="71">
        <f>Costs!AB83</f>
        <v>3555.672688</v>
      </c>
      <c r="AC11" s="71">
        <f>Costs!AC83</f>
        <v>3733.456322</v>
      </c>
      <c r="AD11" s="71">
        <f>Costs!AD83</f>
        <v>3920.129138</v>
      </c>
      <c r="AE11" s="71">
        <f>Costs!AE83</f>
        <v>4116.135595</v>
      </c>
      <c r="AF11" s="71">
        <f>Costs!AF83</f>
        <v>4321.942375</v>
      </c>
      <c r="AG11" s="71">
        <f>Costs!AG83</f>
        <v>4538.039494</v>
      </c>
      <c r="AH11" s="71">
        <f>Costs!AH83</f>
        <v>4764.941469</v>
      </c>
      <c r="AI11" s="71">
        <f>Costs!AI83</f>
        <v>5003.188542</v>
      </c>
      <c r="AJ11" s="71">
        <f>Costs!AJ83</f>
        <v>5253.347969</v>
      </c>
      <c r="AK11" s="71">
        <f>Costs!AK83</f>
        <v>5516.015368</v>
      </c>
      <c r="AL11" s="71">
        <f>Costs!AL83</f>
        <v>5791.816136</v>
      </c>
      <c r="AM11" s="71">
        <f>Costs!AM83</f>
        <v>6081.406943</v>
      </c>
      <c r="AN11" s="71">
        <f>Costs!AN83</f>
        <v>6385.47729</v>
      </c>
      <c r="AO11" s="71">
        <f>Costs!AO83</f>
        <v>6704.751154</v>
      </c>
      <c r="AP11" s="71">
        <f>Costs!AP83</f>
        <v>7039.988712</v>
      </c>
      <c r="AQ11" s="71">
        <f>Costs!AQ83</f>
        <v>7391.988148</v>
      </c>
      <c r="AR11" s="71">
        <f>Costs!AR83</f>
        <v>7761.587555</v>
      </c>
      <c r="AS11" s="71">
        <f>Costs!AS83</f>
        <v>8149.666933</v>
      </c>
      <c r="AT11" s="71">
        <f>Costs!AT83</f>
        <v>8557.15028</v>
      </c>
      <c r="AU11" s="71">
        <f>Costs!AU83</f>
        <v>8985.007793</v>
      </c>
      <c r="AV11" s="71">
        <f>Costs!AV83</f>
        <v>9434.258183</v>
      </c>
      <c r="AW11" s="71">
        <f>Costs!AW83</f>
        <v>9905.971092</v>
      </c>
      <c r="AX11" s="71">
        <f>Costs!AX83</f>
        <v>10401.26965</v>
      </c>
      <c r="AY11" s="71">
        <f>Costs!AY83</f>
        <v>10921.33313</v>
      </c>
      <c r="AZ11" s="71">
        <f>Costs!AZ83</f>
        <v>11467.39979</v>
      </c>
      <c r="BA11" s="71">
        <f>Costs!BA83</f>
        <v>12040.76978</v>
      </c>
    </row>
    <row r="12" ht="14.25" customHeight="1">
      <c r="A12" s="3" t="s">
        <v>333</v>
      </c>
      <c r="B12" s="71">
        <f>Costs!B128</f>
        <v>0</v>
      </c>
      <c r="C12" s="71">
        <f>Costs!C128</f>
        <v>0</v>
      </c>
      <c r="D12" s="71">
        <f>Costs!D128</f>
        <v>0</v>
      </c>
      <c r="E12" s="71">
        <f>Costs!E128</f>
        <v>0</v>
      </c>
      <c r="F12" s="71">
        <f>Costs!F128</f>
        <v>0</v>
      </c>
      <c r="G12" s="71">
        <f>Costs!G128</f>
        <v>0</v>
      </c>
      <c r="H12" s="71">
        <f>Costs!H128</f>
        <v>0</v>
      </c>
      <c r="I12" s="71">
        <f>Costs!I128</f>
        <v>0</v>
      </c>
      <c r="J12" s="71">
        <f>Costs!J128</f>
        <v>0</v>
      </c>
      <c r="K12" s="71">
        <f>Costs!K128</f>
        <v>0</v>
      </c>
      <c r="L12" s="71">
        <f>Costs!L128</f>
        <v>0</v>
      </c>
      <c r="M12" s="71">
        <f>Costs!M128</f>
        <v>0</v>
      </c>
      <c r="N12" s="71">
        <f>Costs!N128</f>
        <v>0</v>
      </c>
      <c r="O12" s="71">
        <f>Costs!O128</f>
        <v>108</v>
      </c>
      <c r="P12" s="71">
        <f>Costs!P128</f>
        <v>108</v>
      </c>
      <c r="Q12" s="71">
        <f>Costs!Q128</f>
        <v>108</v>
      </c>
      <c r="R12" s="71">
        <f>Costs!R128</f>
        <v>108</v>
      </c>
      <c r="S12" s="71">
        <f>Costs!S128</f>
        <v>108</v>
      </c>
      <c r="T12" s="71">
        <f>Costs!T128</f>
        <v>108</v>
      </c>
      <c r="U12" s="71">
        <f>Costs!U128</f>
        <v>108</v>
      </c>
      <c r="V12" s="71">
        <f>Costs!V128</f>
        <v>108</v>
      </c>
      <c r="W12" s="71">
        <f>Costs!W128</f>
        <v>108</v>
      </c>
      <c r="X12" s="71">
        <f>Costs!X128</f>
        <v>108</v>
      </c>
      <c r="Y12" s="71">
        <f>Costs!Y128</f>
        <v>445.5</v>
      </c>
      <c r="Z12" s="71">
        <f>Costs!Z128</f>
        <v>481.14</v>
      </c>
      <c r="AA12" s="71">
        <f>Costs!AA128</f>
        <v>481.14</v>
      </c>
      <c r="AB12" s="71">
        <f>Costs!AB128</f>
        <v>845.64</v>
      </c>
      <c r="AC12" s="71">
        <f>Costs!AC128</f>
        <v>845.64</v>
      </c>
      <c r="AD12" s="71">
        <f>Costs!AD128</f>
        <v>845.64</v>
      </c>
      <c r="AE12" s="71">
        <f>Costs!AE128</f>
        <v>1210.14</v>
      </c>
      <c r="AF12" s="71">
        <f>Costs!AF128</f>
        <v>1210.14</v>
      </c>
      <c r="AG12" s="71">
        <f>Costs!AG128</f>
        <v>1210.14</v>
      </c>
      <c r="AH12" s="71">
        <f>Costs!AH128</f>
        <v>1574.64</v>
      </c>
      <c r="AI12" s="71">
        <f>Costs!AI128</f>
        <v>1574.64</v>
      </c>
      <c r="AJ12" s="71">
        <f>Costs!AJ128</f>
        <v>1574.64</v>
      </c>
      <c r="AK12" s="71">
        <f>Costs!AK128</f>
        <v>1939.14</v>
      </c>
      <c r="AL12" s="71">
        <f>Costs!AL128</f>
        <v>2094.2712</v>
      </c>
      <c r="AM12" s="71">
        <f>Costs!AM128</f>
        <v>2094.2712</v>
      </c>
      <c r="AN12" s="71">
        <f>Costs!AN128</f>
        <v>2487.9312</v>
      </c>
      <c r="AO12" s="71">
        <f>Costs!AO128</f>
        <v>2487.9312</v>
      </c>
      <c r="AP12" s="71">
        <f>Costs!AP128</f>
        <v>2487.9312</v>
      </c>
      <c r="AQ12" s="71">
        <f>Costs!AQ128</f>
        <v>2881.5912</v>
      </c>
      <c r="AR12" s="71">
        <f>Costs!AR128</f>
        <v>2881.5912</v>
      </c>
      <c r="AS12" s="71">
        <f>Costs!AS128</f>
        <v>2881.5912</v>
      </c>
      <c r="AT12" s="71">
        <f>Costs!AT128</f>
        <v>3275.2512</v>
      </c>
      <c r="AU12" s="71">
        <f>Costs!AU128</f>
        <v>3275.2512</v>
      </c>
      <c r="AV12" s="71">
        <f>Costs!AV128</f>
        <v>3275.2512</v>
      </c>
      <c r="AW12" s="71">
        <f>Costs!AW128</f>
        <v>3275.2512</v>
      </c>
      <c r="AX12" s="71">
        <f>Costs!AX128</f>
        <v>3537.271296</v>
      </c>
      <c r="AY12" s="71">
        <f>Costs!AY128</f>
        <v>3537.271296</v>
      </c>
      <c r="AZ12" s="71">
        <f>Costs!AZ128</f>
        <v>3962.424096</v>
      </c>
      <c r="BA12" s="71">
        <f>Costs!BA128</f>
        <v>3962.424096</v>
      </c>
    </row>
    <row r="13" ht="14.25" customHeight="1">
      <c r="A13" s="2" t="s">
        <v>465</v>
      </c>
      <c r="B13" s="72">
        <f t="shared" ref="B13:BA13" si="2">SUM(B10:B12)</f>
        <v>1000</v>
      </c>
      <c r="C13" s="72">
        <f t="shared" si="2"/>
        <v>1050</v>
      </c>
      <c r="D13" s="72">
        <f t="shared" si="2"/>
        <v>1102.5</v>
      </c>
      <c r="E13" s="72">
        <f t="shared" si="2"/>
        <v>1157.625</v>
      </c>
      <c r="F13" s="72">
        <f t="shared" si="2"/>
        <v>1215.50625</v>
      </c>
      <c r="G13" s="72">
        <f t="shared" si="2"/>
        <v>1276.281563</v>
      </c>
      <c r="H13" s="72">
        <f t="shared" si="2"/>
        <v>1340.095641</v>
      </c>
      <c r="I13" s="72">
        <f t="shared" si="2"/>
        <v>1407.100423</v>
      </c>
      <c r="J13" s="72">
        <f t="shared" si="2"/>
        <v>1477.455444</v>
      </c>
      <c r="K13" s="72">
        <f t="shared" si="2"/>
        <v>1551.328216</v>
      </c>
      <c r="L13" s="72">
        <f t="shared" si="2"/>
        <v>1628.894627</v>
      </c>
      <c r="M13" s="72">
        <f t="shared" si="2"/>
        <v>1710.339358</v>
      </c>
      <c r="N13" s="72">
        <f t="shared" si="2"/>
        <v>1795.856326</v>
      </c>
      <c r="O13" s="72">
        <f t="shared" si="2"/>
        <v>2243.649142</v>
      </c>
      <c r="P13" s="72">
        <f t="shared" si="2"/>
        <v>2337.931599</v>
      </c>
      <c r="Q13" s="72">
        <f t="shared" si="2"/>
        <v>2436.928179</v>
      </c>
      <c r="R13" s="72">
        <f t="shared" si="2"/>
        <v>2540.874588</v>
      </c>
      <c r="S13" s="72">
        <f t="shared" si="2"/>
        <v>2650.018318</v>
      </c>
      <c r="T13" s="72">
        <f t="shared" si="2"/>
        <v>2764.619234</v>
      </c>
      <c r="U13" s="72">
        <f t="shared" si="2"/>
        <v>2884.950195</v>
      </c>
      <c r="V13" s="72">
        <f t="shared" si="2"/>
        <v>3011.297705</v>
      </c>
      <c r="W13" s="72">
        <f t="shared" si="2"/>
        <v>3143.96259</v>
      </c>
      <c r="X13" s="72">
        <f t="shared" si="2"/>
        <v>3283.26072</v>
      </c>
      <c r="Y13" s="72">
        <f t="shared" si="2"/>
        <v>3767.023756</v>
      </c>
      <c r="Z13" s="72">
        <f t="shared" si="2"/>
        <v>3956.239944</v>
      </c>
      <c r="AA13" s="72">
        <f t="shared" si="2"/>
        <v>4117.494941</v>
      </c>
      <c r="AB13" s="72">
        <f t="shared" si="2"/>
        <v>4651.312688</v>
      </c>
      <c r="AC13" s="72">
        <f t="shared" si="2"/>
        <v>4829.096322</v>
      </c>
      <c r="AD13" s="72">
        <f t="shared" si="2"/>
        <v>5015.769138</v>
      </c>
      <c r="AE13" s="72">
        <f t="shared" si="2"/>
        <v>5576.275595</v>
      </c>
      <c r="AF13" s="72">
        <f t="shared" si="2"/>
        <v>5782.082375</v>
      </c>
      <c r="AG13" s="72">
        <f t="shared" si="2"/>
        <v>5998.179494</v>
      </c>
      <c r="AH13" s="72">
        <f t="shared" si="2"/>
        <v>6589.581469</v>
      </c>
      <c r="AI13" s="72">
        <f t="shared" si="2"/>
        <v>6827.828542</v>
      </c>
      <c r="AJ13" s="72">
        <f t="shared" si="2"/>
        <v>7077.987969</v>
      </c>
      <c r="AK13" s="72">
        <f t="shared" si="2"/>
        <v>7705.155368</v>
      </c>
      <c r="AL13" s="72">
        <f t="shared" si="2"/>
        <v>8136.087336</v>
      </c>
      <c r="AM13" s="72">
        <f t="shared" si="2"/>
        <v>8425.678143</v>
      </c>
      <c r="AN13" s="72">
        <f t="shared" si="2"/>
        <v>9123.40849</v>
      </c>
      <c r="AO13" s="72">
        <f t="shared" si="2"/>
        <v>9442.682354</v>
      </c>
      <c r="AP13" s="72">
        <f t="shared" si="2"/>
        <v>9777.919912</v>
      </c>
      <c r="AQ13" s="72">
        <f t="shared" si="2"/>
        <v>10523.57935</v>
      </c>
      <c r="AR13" s="72">
        <f t="shared" si="2"/>
        <v>10893.17876</v>
      </c>
      <c r="AS13" s="72">
        <f t="shared" si="2"/>
        <v>11281.25813</v>
      </c>
      <c r="AT13" s="72">
        <f t="shared" si="2"/>
        <v>12082.40148</v>
      </c>
      <c r="AU13" s="72">
        <f t="shared" si="2"/>
        <v>12510.25899</v>
      </c>
      <c r="AV13" s="72">
        <f t="shared" si="2"/>
        <v>12959.50938</v>
      </c>
      <c r="AW13" s="72">
        <f t="shared" si="2"/>
        <v>13431.22229</v>
      </c>
      <c r="AX13" s="72">
        <f t="shared" si="2"/>
        <v>14188.54094</v>
      </c>
      <c r="AY13" s="72">
        <f t="shared" si="2"/>
        <v>14708.60443</v>
      </c>
      <c r="AZ13" s="72">
        <f t="shared" si="2"/>
        <v>15679.82388</v>
      </c>
      <c r="BA13" s="72">
        <f t="shared" si="2"/>
        <v>16253.19387</v>
      </c>
    </row>
    <row r="14" ht="14.25" customHeight="1"/>
    <row r="15" ht="14.25" customHeight="1">
      <c r="A15" s="2" t="s">
        <v>466</v>
      </c>
      <c r="B15" s="72">
        <f t="shared" ref="B15:BA15" si="3">B7-B13</f>
        <v>-1000</v>
      </c>
      <c r="C15" s="72">
        <f t="shared" si="3"/>
        <v>-1050</v>
      </c>
      <c r="D15" s="72">
        <f t="shared" si="3"/>
        <v>-1102.5</v>
      </c>
      <c r="E15" s="72">
        <f t="shared" si="3"/>
        <v>-1157.625</v>
      </c>
      <c r="F15" s="72">
        <f t="shared" si="3"/>
        <v>-1215.50625</v>
      </c>
      <c r="G15" s="72">
        <f t="shared" si="3"/>
        <v>-1276.281563</v>
      </c>
      <c r="H15" s="72">
        <f t="shared" si="3"/>
        <v>-1340.095641</v>
      </c>
      <c r="I15" s="72">
        <f t="shared" si="3"/>
        <v>-1407.100423</v>
      </c>
      <c r="J15" s="72">
        <f t="shared" si="3"/>
        <v>-1477.455444</v>
      </c>
      <c r="K15" s="72">
        <f t="shared" si="3"/>
        <v>-1551.328216</v>
      </c>
      <c r="L15" s="72">
        <f t="shared" si="3"/>
        <v>-1628.894627</v>
      </c>
      <c r="M15" s="72">
        <f t="shared" si="3"/>
        <v>-1710.339358</v>
      </c>
      <c r="N15" s="72">
        <f t="shared" si="3"/>
        <v>-1795.856326</v>
      </c>
      <c r="O15" s="72">
        <f t="shared" si="3"/>
        <v>2076.350858</v>
      </c>
      <c r="P15" s="72">
        <f t="shared" si="3"/>
        <v>1982.068401</v>
      </c>
      <c r="Q15" s="72">
        <f t="shared" si="3"/>
        <v>1883.071821</v>
      </c>
      <c r="R15" s="72">
        <f t="shared" si="3"/>
        <v>1779.125412</v>
      </c>
      <c r="S15" s="72">
        <f t="shared" si="3"/>
        <v>1669.981682</v>
      </c>
      <c r="T15" s="72">
        <f t="shared" si="3"/>
        <v>1555.380766</v>
      </c>
      <c r="U15" s="72">
        <f t="shared" si="3"/>
        <v>1435.049805</v>
      </c>
      <c r="V15" s="72">
        <f t="shared" si="3"/>
        <v>1308.702295</v>
      </c>
      <c r="W15" s="72">
        <f t="shared" si="3"/>
        <v>1176.03741</v>
      </c>
      <c r="X15" s="72">
        <f t="shared" si="3"/>
        <v>1036.73928</v>
      </c>
      <c r="Y15" s="72">
        <f t="shared" si="3"/>
        <v>14052.97624</v>
      </c>
      <c r="Z15" s="72">
        <f t="shared" si="3"/>
        <v>15289.36006</v>
      </c>
      <c r="AA15" s="72">
        <f t="shared" si="3"/>
        <v>15128.10506</v>
      </c>
      <c r="AB15" s="72">
        <f t="shared" si="3"/>
        <v>29174.28731</v>
      </c>
      <c r="AC15" s="72">
        <f t="shared" si="3"/>
        <v>28996.50368</v>
      </c>
      <c r="AD15" s="72">
        <f t="shared" si="3"/>
        <v>28809.83086</v>
      </c>
      <c r="AE15" s="72">
        <f t="shared" si="3"/>
        <v>42829.3244</v>
      </c>
      <c r="AF15" s="72">
        <f t="shared" si="3"/>
        <v>42623.51762</v>
      </c>
      <c r="AG15" s="72">
        <f t="shared" si="3"/>
        <v>42407.42051</v>
      </c>
      <c r="AH15" s="72">
        <f t="shared" si="3"/>
        <v>56396.01853</v>
      </c>
      <c r="AI15" s="72">
        <f t="shared" si="3"/>
        <v>56157.77146</v>
      </c>
      <c r="AJ15" s="72">
        <f t="shared" si="3"/>
        <v>55907.61203</v>
      </c>
      <c r="AK15" s="72">
        <f t="shared" si="3"/>
        <v>69860.44463</v>
      </c>
      <c r="AL15" s="72">
        <f t="shared" si="3"/>
        <v>75634.76066</v>
      </c>
      <c r="AM15" s="72">
        <f t="shared" si="3"/>
        <v>75345.16986</v>
      </c>
      <c r="AN15" s="72">
        <f t="shared" si="3"/>
        <v>90393.83951</v>
      </c>
      <c r="AO15" s="72">
        <f t="shared" si="3"/>
        <v>90074.56565</v>
      </c>
      <c r="AP15" s="72">
        <f t="shared" si="3"/>
        <v>89739.32809</v>
      </c>
      <c r="AQ15" s="72">
        <f t="shared" si="3"/>
        <v>104740.0687</v>
      </c>
      <c r="AR15" s="72">
        <f t="shared" si="3"/>
        <v>104370.4692</v>
      </c>
      <c r="AS15" s="72">
        <f t="shared" si="3"/>
        <v>103982.3899</v>
      </c>
      <c r="AT15" s="72">
        <f t="shared" si="3"/>
        <v>118927.6465</v>
      </c>
      <c r="AU15" s="72">
        <f t="shared" si="3"/>
        <v>118499.789</v>
      </c>
      <c r="AV15" s="72">
        <f t="shared" si="3"/>
        <v>118050.5386</v>
      </c>
      <c r="AW15" s="72">
        <f t="shared" si="3"/>
        <v>117578.8257</v>
      </c>
      <c r="AX15" s="72">
        <f t="shared" si="3"/>
        <v>127302.3109</v>
      </c>
      <c r="AY15" s="72">
        <f t="shared" si="3"/>
        <v>126782.2474</v>
      </c>
      <c r="AZ15" s="72">
        <f t="shared" si="3"/>
        <v>142817.14</v>
      </c>
      <c r="BA15" s="72">
        <f t="shared" si="3"/>
        <v>142243.77</v>
      </c>
    </row>
    <row r="16" ht="14.25" customHeight="1">
      <c r="A16" s="3" t="s">
        <v>467</v>
      </c>
      <c r="B16" s="73">
        <f t="shared" ref="B16:BA16" si="4">IFERROR(B15/B7,0)</f>
        <v>0</v>
      </c>
      <c r="C16" s="73">
        <f t="shared" si="4"/>
        <v>0</v>
      </c>
      <c r="D16" s="73">
        <f t="shared" si="4"/>
        <v>0</v>
      </c>
      <c r="E16" s="73">
        <f t="shared" si="4"/>
        <v>0</v>
      </c>
      <c r="F16" s="73">
        <f t="shared" si="4"/>
        <v>0</v>
      </c>
      <c r="G16" s="73">
        <f t="shared" si="4"/>
        <v>0</v>
      </c>
      <c r="H16" s="73">
        <f t="shared" si="4"/>
        <v>0</v>
      </c>
      <c r="I16" s="73">
        <f t="shared" si="4"/>
        <v>0</v>
      </c>
      <c r="J16" s="73">
        <f t="shared" si="4"/>
        <v>0</v>
      </c>
      <c r="K16" s="73">
        <f t="shared" si="4"/>
        <v>0</v>
      </c>
      <c r="L16" s="73">
        <f t="shared" si="4"/>
        <v>0</v>
      </c>
      <c r="M16" s="73">
        <f t="shared" si="4"/>
        <v>0</v>
      </c>
      <c r="N16" s="73">
        <f t="shared" si="4"/>
        <v>0</v>
      </c>
      <c r="O16" s="73">
        <f t="shared" si="4"/>
        <v>0.4806367726</v>
      </c>
      <c r="P16" s="73">
        <f t="shared" si="4"/>
        <v>0.4588121298</v>
      </c>
      <c r="Q16" s="73">
        <f t="shared" si="4"/>
        <v>0.4358962548</v>
      </c>
      <c r="R16" s="73">
        <f t="shared" si="4"/>
        <v>0.411834586</v>
      </c>
      <c r="S16" s="73">
        <f t="shared" si="4"/>
        <v>0.3865698338</v>
      </c>
      <c r="T16" s="73">
        <f t="shared" si="4"/>
        <v>0.3600418441</v>
      </c>
      <c r="U16" s="73">
        <f t="shared" si="4"/>
        <v>0.3321874548</v>
      </c>
      <c r="V16" s="73">
        <f t="shared" si="4"/>
        <v>0.302940346</v>
      </c>
      <c r="W16" s="73">
        <f t="shared" si="4"/>
        <v>0.2722308819</v>
      </c>
      <c r="X16" s="73">
        <f t="shared" si="4"/>
        <v>0.2399859445</v>
      </c>
      <c r="Y16" s="73">
        <f t="shared" si="4"/>
        <v>0.7886069722</v>
      </c>
      <c r="Z16" s="73">
        <f t="shared" si="4"/>
        <v>0.7944340554</v>
      </c>
      <c r="AA16" s="73">
        <f t="shared" si="4"/>
        <v>0.7860552573</v>
      </c>
      <c r="AB16" s="73">
        <f t="shared" si="4"/>
        <v>0.8624913471</v>
      </c>
      <c r="AC16" s="73">
        <f t="shared" si="4"/>
        <v>0.8572354571</v>
      </c>
      <c r="AD16" s="73">
        <f t="shared" si="4"/>
        <v>0.8517167725</v>
      </c>
      <c r="AE16" s="73">
        <f t="shared" si="4"/>
        <v>0.8848010231</v>
      </c>
      <c r="AF16" s="73">
        <f t="shared" si="4"/>
        <v>0.8805493089</v>
      </c>
      <c r="AG16" s="73">
        <f t="shared" si="4"/>
        <v>0.8760850089</v>
      </c>
      <c r="AH16" s="73">
        <f t="shared" si="4"/>
        <v>0.8953795555</v>
      </c>
      <c r="AI16" s="73">
        <f t="shared" si="4"/>
        <v>0.8915969913</v>
      </c>
      <c r="AJ16" s="73">
        <f t="shared" si="4"/>
        <v>0.887625299</v>
      </c>
      <c r="AK16" s="73">
        <f t="shared" si="4"/>
        <v>0.9006627246</v>
      </c>
      <c r="AL16" s="73">
        <f t="shared" si="4"/>
        <v>0.9028768655</v>
      </c>
      <c r="AM16" s="73">
        <f t="shared" si="4"/>
        <v>0.8994199254</v>
      </c>
      <c r="AN16" s="73">
        <f t="shared" si="4"/>
        <v>0.9083233442</v>
      </c>
      <c r="AO16" s="73">
        <f t="shared" si="4"/>
        <v>0.9051151178</v>
      </c>
      <c r="AP16" s="73">
        <f t="shared" si="4"/>
        <v>0.90174648</v>
      </c>
      <c r="AQ16" s="73">
        <f t="shared" si="4"/>
        <v>0.9086999281</v>
      </c>
      <c r="AR16" s="73">
        <f t="shared" si="4"/>
        <v>0.9054933716</v>
      </c>
      <c r="AS16" s="73">
        <f t="shared" si="4"/>
        <v>0.9021264872</v>
      </c>
      <c r="AT16" s="73">
        <f t="shared" si="4"/>
        <v>0.9077750015</v>
      </c>
      <c r="AU16" s="73">
        <f t="shared" si="4"/>
        <v>0.9045091641</v>
      </c>
      <c r="AV16" s="73">
        <f t="shared" si="4"/>
        <v>0.9010800348</v>
      </c>
      <c r="AW16" s="73">
        <f t="shared" si="4"/>
        <v>0.8974794491</v>
      </c>
      <c r="AX16" s="73">
        <f t="shared" si="4"/>
        <v>0.8997211427</v>
      </c>
      <c r="AY16" s="73">
        <f t="shared" si="4"/>
        <v>0.8960455448</v>
      </c>
      <c r="AZ16" s="73">
        <f t="shared" si="4"/>
        <v>0.9010717713</v>
      </c>
      <c r="BA16" s="73">
        <f t="shared" si="4"/>
        <v>0.8974542258</v>
      </c>
    </row>
    <row r="17" ht="14.25" customHeight="1"/>
    <row r="18" ht="14.25" customHeight="1">
      <c r="A18" s="2" t="s">
        <v>468</v>
      </c>
    </row>
    <row r="19" ht="14.25" customHeight="1">
      <c r="A19" s="3" t="s">
        <v>469</v>
      </c>
      <c r="B19" s="71">
        <f>Costs!B78</f>
        <v>21780</v>
      </c>
      <c r="C19" s="71">
        <f>Costs!C78</f>
        <v>21780</v>
      </c>
      <c r="D19" s="71">
        <f>Costs!D78</f>
        <v>21780</v>
      </c>
      <c r="E19" s="71">
        <f>Costs!E78</f>
        <v>21780</v>
      </c>
      <c r="F19" s="71">
        <f>Costs!F78</f>
        <v>21780</v>
      </c>
      <c r="G19" s="71">
        <f>Costs!G78</f>
        <v>21780</v>
      </c>
      <c r="H19" s="71">
        <f>Costs!H78</f>
        <v>30855</v>
      </c>
      <c r="I19" s="71">
        <f>Costs!I78</f>
        <v>41946.66667</v>
      </c>
      <c r="J19" s="71">
        <f>Costs!J78</f>
        <v>47996.66667</v>
      </c>
      <c r="K19" s="71">
        <f>Costs!K78</f>
        <v>57071.66667</v>
      </c>
      <c r="L19" s="71">
        <f>Costs!L78</f>
        <v>63625.83333</v>
      </c>
      <c r="M19" s="71">
        <f>Costs!M78</f>
        <v>70180</v>
      </c>
      <c r="N19" s="71">
        <f>Costs!N78</f>
        <v>82159</v>
      </c>
      <c r="O19" s="71">
        <f>Costs!O78</f>
        <v>98569.625</v>
      </c>
      <c r="P19" s="71">
        <f>Costs!P78</f>
        <v>98569.625</v>
      </c>
      <c r="Q19" s="71">
        <f>Costs!Q78</f>
        <v>98569.625</v>
      </c>
      <c r="R19" s="71">
        <f>Costs!R78</f>
        <v>98569.625</v>
      </c>
      <c r="S19" s="71">
        <f>Costs!S78</f>
        <v>130332.125</v>
      </c>
      <c r="T19" s="71">
        <f>Costs!T78</f>
        <v>130332.125</v>
      </c>
      <c r="U19" s="71">
        <f>Costs!U78</f>
        <v>136684.625</v>
      </c>
      <c r="V19" s="71">
        <f>Costs!V78</f>
        <v>136684.625</v>
      </c>
      <c r="W19" s="71">
        <f>Costs!W78</f>
        <v>148330.875</v>
      </c>
      <c r="X19" s="71">
        <f>Costs!X78</f>
        <v>148330.875</v>
      </c>
      <c r="Y19" s="71">
        <f>Costs!Y78</f>
        <v>155212.75</v>
      </c>
      <c r="Z19" s="71">
        <f>Costs!Z78</f>
        <v>162973.3875</v>
      </c>
      <c r="AA19" s="71">
        <f>Costs!AA78</f>
        <v>162973.3875</v>
      </c>
      <c r="AB19" s="71">
        <f>Costs!AB78</f>
        <v>162973.3875</v>
      </c>
      <c r="AC19" s="71">
        <f>Costs!AC78</f>
        <v>170199.3563</v>
      </c>
      <c r="AD19" s="71">
        <f>Costs!AD78</f>
        <v>170199.3563</v>
      </c>
      <c r="AE19" s="71">
        <f>Costs!AE78</f>
        <v>179092.8563</v>
      </c>
      <c r="AF19" s="71">
        <f>Costs!AF78</f>
        <v>179092.8563</v>
      </c>
      <c r="AG19" s="71">
        <f>Costs!AG78</f>
        <v>179092.8563</v>
      </c>
      <c r="AH19" s="71">
        <f>Costs!AH78</f>
        <v>179092.8563</v>
      </c>
      <c r="AI19" s="71">
        <f>Costs!AI78</f>
        <v>179092.8563</v>
      </c>
      <c r="AJ19" s="71">
        <f>Costs!AJ78</f>
        <v>179092.8563</v>
      </c>
      <c r="AK19" s="71">
        <f>Costs!AK78</f>
        <v>193544.7938</v>
      </c>
      <c r="AL19" s="71">
        <f>Costs!AL78</f>
        <v>203222.0334</v>
      </c>
      <c r="AM19" s="71">
        <f>Costs!AM78</f>
        <v>203222.0334</v>
      </c>
      <c r="AN19" s="71">
        <f>Costs!AN78</f>
        <v>203222.0334</v>
      </c>
      <c r="AO19" s="71">
        <f>Costs!AO78</f>
        <v>203222.0334</v>
      </c>
      <c r="AP19" s="71">
        <f>Costs!AP78</f>
        <v>203222.0334</v>
      </c>
      <c r="AQ19" s="71">
        <f>Costs!AQ78</f>
        <v>203222.0334</v>
      </c>
      <c r="AR19" s="71">
        <f>Costs!AR78</f>
        <v>203222.0334</v>
      </c>
      <c r="AS19" s="71">
        <f>Costs!AS78</f>
        <v>203222.0334</v>
      </c>
      <c r="AT19" s="71">
        <f>Costs!AT78</f>
        <v>203222.0334</v>
      </c>
      <c r="AU19" s="71">
        <f>Costs!AU78</f>
        <v>203222.0334</v>
      </c>
      <c r="AV19" s="71">
        <f>Costs!AV78</f>
        <v>203222.0334</v>
      </c>
      <c r="AW19" s="71">
        <f>Costs!AW78</f>
        <v>203222.0334</v>
      </c>
      <c r="AX19" s="71">
        <f>Costs!AX78</f>
        <v>213383.1351</v>
      </c>
      <c r="AY19" s="71">
        <f>Costs!AY78</f>
        <v>213383.1351</v>
      </c>
      <c r="AZ19" s="71">
        <f>Costs!AZ78</f>
        <v>213383.1351</v>
      </c>
      <c r="BA19" s="71">
        <f>Costs!BA78</f>
        <v>213383.1351</v>
      </c>
    </row>
    <row r="20" ht="14.25" customHeight="1">
      <c r="A20" s="3" t="s">
        <v>470</v>
      </c>
      <c r="B20" s="71">
        <f>Costs!B87</f>
        <v>6816.666667</v>
      </c>
      <c r="C20" s="71">
        <f>Costs!C87</f>
        <v>6866.666667</v>
      </c>
      <c r="D20" s="71">
        <f>Costs!D87</f>
        <v>6919.166667</v>
      </c>
      <c r="E20" s="71">
        <f>Costs!E87</f>
        <v>6974.291667</v>
      </c>
      <c r="F20" s="71">
        <f>Costs!F87</f>
        <v>7032.172917</v>
      </c>
      <c r="G20" s="71">
        <f>Costs!G87</f>
        <v>7092.948229</v>
      </c>
      <c r="H20" s="71">
        <f>Costs!H87</f>
        <v>7256.762307</v>
      </c>
      <c r="I20" s="71">
        <f>Costs!I87</f>
        <v>7423.767089</v>
      </c>
      <c r="J20" s="71">
        <f>Costs!J87</f>
        <v>7594.12211</v>
      </c>
      <c r="K20" s="71">
        <f>Costs!K87</f>
        <v>7767.994883</v>
      </c>
      <c r="L20" s="71">
        <f>Costs!L87</f>
        <v>7945.561293</v>
      </c>
      <c r="M20" s="71">
        <f>Costs!M87</f>
        <v>8127.006025</v>
      </c>
      <c r="N20" s="71">
        <f>Costs!N87</f>
        <v>8312.522993</v>
      </c>
      <c r="O20" s="71">
        <f>Costs!O87</f>
        <v>8852.315809</v>
      </c>
      <c r="P20" s="71">
        <f>Costs!P87</f>
        <v>8946.598266</v>
      </c>
      <c r="Q20" s="71">
        <f>Costs!Q87</f>
        <v>9045.594846</v>
      </c>
      <c r="R20" s="71">
        <f>Costs!R87</f>
        <v>9149.541255</v>
      </c>
      <c r="S20" s="71">
        <f>Costs!S87</f>
        <v>9558.684984</v>
      </c>
      <c r="T20" s="71">
        <f>Costs!T87</f>
        <v>9673.2859</v>
      </c>
      <c r="U20" s="71">
        <f>Costs!U87</f>
        <v>9893.616862</v>
      </c>
      <c r="V20" s="71">
        <f>Costs!V87</f>
        <v>10019.96437</v>
      </c>
      <c r="W20" s="71">
        <f>Costs!W87</f>
        <v>10252.62926</v>
      </c>
      <c r="X20" s="71">
        <f>Costs!X87</f>
        <v>10391.92739</v>
      </c>
      <c r="Y20" s="71">
        <f>Costs!Y87</f>
        <v>10638.19042</v>
      </c>
      <c r="Z20" s="71">
        <f>Costs!Z87</f>
        <v>10791.76661</v>
      </c>
      <c r="AA20" s="71">
        <f>Costs!AA87</f>
        <v>10953.02161</v>
      </c>
      <c r="AB20" s="71">
        <f>Costs!AB87</f>
        <v>11122.33935</v>
      </c>
      <c r="AC20" s="71">
        <f>Costs!AC87</f>
        <v>11400.12299</v>
      </c>
      <c r="AD20" s="71">
        <f>Costs!AD87</f>
        <v>11586.79581</v>
      </c>
      <c r="AE20" s="71">
        <f>Costs!AE87</f>
        <v>11882.80226</v>
      </c>
      <c r="AF20" s="71">
        <f>Costs!AF87</f>
        <v>12088.60904</v>
      </c>
      <c r="AG20" s="71">
        <f>Costs!AG87</f>
        <v>12304.70616</v>
      </c>
      <c r="AH20" s="71">
        <f>Costs!AH87</f>
        <v>12531.60814</v>
      </c>
      <c r="AI20" s="71">
        <f>Costs!AI87</f>
        <v>12769.85521</v>
      </c>
      <c r="AJ20" s="71">
        <f>Costs!AJ87</f>
        <v>13020.01464</v>
      </c>
      <c r="AK20" s="71">
        <f>Costs!AK87</f>
        <v>13382.68203</v>
      </c>
      <c r="AL20" s="71">
        <f>Costs!AL87</f>
        <v>13658.4828</v>
      </c>
      <c r="AM20" s="71">
        <f>Costs!AM87</f>
        <v>13948.07361</v>
      </c>
      <c r="AN20" s="71">
        <f>Costs!AN87</f>
        <v>14252.14396</v>
      </c>
      <c r="AO20" s="71">
        <f>Costs!AO87</f>
        <v>14571.41782</v>
      </c>
      <c r="AP20" s="71">
        <f>Costs!AP87</f>
        <v>14906.65538</v>
      </c>
      <c r="AQ20" s="71">
        <f>Costs!AQ87</f>
        <v>15258.65481</v>
      </c>
      <c r="AR20" s="71">
        <f>Costs!AR87</f>
        <v>15628.25422</v>
      </c>
      <c r="AS20" s="71">
        <f>Costs!AS87</f>
        <v>16016.3336</v>
      </c>
      <c r="AT20" s="71">
        <f>Costs!AT87</f>
        <v>16423.81695</v>
      </c>
      <c r="AU20" s="71">
        <f>Costs!AU87</f>
        <v>16851.67446</v>
      </c>
      <c r="AV20" s="71">
        <f>Costs!AV87</f>
        <v>17300.92485</v>
      </c>
      <c r="AW20" s="71">
        <f>Costs!AW87</f>
        <v>17772.63776</v>
      </c>
      <c r="AX20" s="71">
        <f>Costs!AX87</f>
        <v>18267.93631</v>
      </c>
      <c r="AY20" s="71">
        <f>Costs!AY87</f>
        <v>18787.9998</v>
      </c>
      <c r="AZ20" s="71">
        <f>Costs!AZ87</f>
        <v>19334.06645</v>
      </c>
      <c r="BA20" s="71">
        <f>Costs!BA87</f>
        <v>19907.43644</v>
      </c>
    </row>
    <row r="21" ht="14.25" customHeight="1">
      <c r="A21" s="3" t="s">
        <v>471</v>
      </c>
      <c r="B21" s="71">
        <f>Costs!B94</f>
        <v>2040</v>
      </c>
      <c r="C21" s="71">
        <f>Costs!C94</f>
        <v>2040</v>
      </c>
      <c r="D21" s="71">
        <f>Costs!D94</f>
        <v>2040</v>
      </c>
      <c r="E21" s="71">
        <f>Costs!E94</f>
        <v>2040</v>
      </c>
      <c r="F21" s="71">
        <f>Costs!F94</f>
        <v>2040</v>
      </c>
      <c r="G21" s="71">
        <f>Costs!G94</f>
        <v>2040</v>
      </c>
      <c r="H21" s="71">
        <f>Costs!H94</f>
        <v>2070</v>
      </c>
      <c r="I21" s="71">
        <f>Costs!I94</f>
        <v>2100</v>
      </c>
      <c r="J21" s="71">
        <f>Costs!J94</f>
        <v>2130</v>
      </c>
      <c r="K21" s="71">
        <f>Costs!K94</f>
        <v>2160</v>
      </c>
      <c r="L21" s="71">
        <f>Costs!L94</f>
        <v>2190</v>
      </c>
      <c r="M21" s="71">
        <f>Costs!M94</f>
        <v>2220</v>
      </c>
      <c r="N21" s="71">
        <f>Costs!N94</f>
        <v>2250</v>
      </c>
      <c r="O21" s="71">
        <f>Costs!O94</f>
        <v>2310</v>
      </c>
      <c r="P21" s="71">
        <f>Costs!P94</f>
        <v>2310</v>
      </c>
      <c r="Q21" s="71">
        <f>Costs!Q94</f>
        <v>2310</v>
      </c>
      <c r="R21" s="71">
        <f>Costs!R94</f>
        <v>2310</v>
      </c>
      <c r="S21" s="71">
        <f>Costs!S94</f>
        <v>5400</v>
      </c>
      <c r="T21" s="71">
        <f>Costs!T94</f>
        <v>5400</v>
      </c>
      <c r="U21" s="71">
        <f>Costs!U94</f>
        <v>5430</v>
      </c>
      <c r="V21" s="71">
        <f>Costs!V94</f>
        <v>5430</v>
      </c>
      <c r="W21" s="71">
        <f>Costs!W94</f>
        <v>5460</v>
      </c>
      <c r="X21" s="71">
        <f>Costs!X94</f>
        <v>5460</v>
      </c>
      <c r="Y21" s="71">
        <f>Costs!Y94</f>
        <v>5490</v>
      </c>
      <c r="Z21" s="71">
        <f>Costs!Z94</f>
        <v>5490</v>
      </c>
      <c r="AA21" s="71">
        <f>Costs!AA94</f>
        <v>5490</v>
      </c>
      <c r="AB21" s="71">
        <f>Costs!AB94</f>
        <v>5490</v>
      </c>
      <c r="AC21" s="71">
        <f>Costs!AC94</f>
        <v>5520</v>
      </c>
      <c r="AD21" s="71">
        <f>Costs!AD94</f>
        <v>5520</v>
      </c>
      <c r="AE21" s="71">
        <f>Costs!AE94</f>
        <v>5550</v>
      </c>
      <c r="AF21" s="71">
        <f>Costs!AF94</f>
        <v>5550</v>
      </c>
      <c r="AG21" s="71">
        <f>Costs!AG94</f>
        <v>5550</v>
      </c>
      <c r="AH21" s="71">
        <f>Costs!AH94</f>
        <v>5550</v>
      </c>
      <c r="AI21" s="71">
        <f>Costs!AI94</f>
        <v>5550</v>
      </c>
      <c r="AJ21" s="71">
        <f>Costs!AJ94</f>
        <v>5550</v>
      </c>
      <c r="AK21" s="71">
        <f>Costs!AK94</f>
        <v>5580</v>
      </c>
      <c r="AL21" s="71">
        <f>Costs!AL94</f>
        <v>5580</v>
      </c>
      <c r="AM21" s="71">
        <f>Costs!AM94</f>
        <v>5580</v>
      </c>
      <c r="AN21" s="71">
        <f>Costs!AN94</f>
        <v>5580</v>
      </c>
      <c r="AO21" s="71">
        <f>Costs!AO94</f>
        <v>5580</v>
      </c>
      <c r="AP21" s="71">
        <f>Costs!AP94</f>
        <v>5580</v>
      </c>
      <c r="AQ21" s="71">
        <f>Costs!AQ94</f>
        <v>5580</v>
      </c>
      <c r="AR21" s="71">
        <f>Costs!AR94</f>
        <v>5580</v>
      </c>
      <c r="AS21" s="71">
        <f>Costs!AS94</f>
        <v>5580</v>
      </c>
      <c r="AT21" s="71">
        <f>Costs!AT94</f>
        <v>5580</v>
      </c>
      <c r="AU21" s="71">
        <f>Costs!AU94</f>
        <v>5580</v>
      </c>
      <c r="AV21" s="71">
        <f>Costs!AV94</f>
        <v>5580</v>
      </c>
      <c r="AW21" s="71">
        <f>Costs!AW94</f>
        <v>5580</v>
      </c>
      <c r="AX21" s="71">
        <f>Costs!AX94</f>
        <v>5580</v>
      </c>
      <c r="AY21" s="71">
        <f>Costs!AY94</f>
        <v>5580</v>
      </c>
      <c r="AZ21" s="71">
        <f>Costs!AZ94</f>
        <v>5580</v>
      </c>
      <c r="BA21" s="71">
        <f>Costs!BA94</f>
        <v>5580</v>
      </c>
    </row>
    <row r="22" ht="14.25" customHeight="1">
      <c r="A22" s="3" t="s">
        <v>472</v>
      </c>
      <c r="B22" s="71">
        <f>Costs!B101</f>
        <v>16883.33333</v>
      </c>
      <c r="C22" s="71">
        <f>Costs!C101</f>
        <v>1883.333333</v>
      </c>
      <c r="D22" s="71">
        <f>Costs!D101</f>
        <v>1883.333333</v>
      </c>
      <c r="E22" s="71">
        <f>Costs!E101</f>
        <v>1883.333333</v>
      </c>
      <c r="F22" s="71">
        <f>Costs!F101</f>
        <v>16883.33333</v>
      </c>
      <c r="G22" s="71">
        <f>Costs!G101</f>
        <v>1883.333333</v>
      </c>
      <c r="H22" s="71">
        <f>Costs!H101</f>
        <v>1883.333333</v>
      </c>
      <c r="I22" s="71">
        <f>Costs!I101</f>
        <v>1883.333333</v>
      </c>
      <c r="J22" s="71">
        <f>Costs!J101</f>
        <v>1883.333333</v>
      </c>
      <c r="K22" s="71">
        <f>Costs!K101</f>
        <v>1883.333333</v>
      </c>
      <c r="L22" s="71">
        <f>Costs!L101</f>
        <v>1883.333333</v>
      </c>
      <c r="M22" s="71">
        <f>Costs!M101</f>
        <v>1883.333333</v>
      </c>
      <c r="N22" s="71">
        <f>Costs!N101</f>
        <v>1883.333333</v>
      </c>
      <c r="O22" s="71">
        <f>Costs!O101</f>
        <v>1883.333333</v>
      </c>
      <c r="P22" s="71">
        <f>Costs!P101</f>
        <v>1883.333333</v>
      </c>
      <c r="Q22" s="71">
        <f>Costs!Q101</f>
        <v>1883.333333</v>
      </c>
      <c r="R22" s="71">
        <f>Costs!R101</f>
        <v>17883.33333</v>
      </c>
      <c r="S22" s="71">
        <f>Costs!S101</f>
        <v>2883.333333</v>
      </c>
      <c r="T22" s="71">
        <f>Costs!T101</f>
        <v>2883.333333</v>
      </c>
      <c r="U22" s="71">
        <f>Costs!U101</f>
        <v>2883.333333</v>
      </c>
      <c r="V22" s="71">
        <f>Costs!V101</f>
        <v>2883.333333</v>
      </c>
      <c r="W22" s="71">
        <f>Costs!W101</f>
        <v>2883.333333</v>
      </c>
      <c r="X22" s="71">
        <f>Costs!X101</f>
        <v>2883.333333</v>
      </c>
      <c r="Y22" s="71">
        <f>Costs!Y101</f>
        <v>2883.333333</v>
      </c>
      <c r="Z22" s="71">
        <f>Costs!Z101</f>
        <v>2883.333333</v>
      </c>
      <c r="AA22" s="71">
        <f>Costs!AA101</f>
        <v>2883.333333</v>
      </c>
      <c r="AB22" s="71">
        <f>Costs!AB101</f>
        <v>2883.333333</v>
      </c>
      <c r="AC22" s="71">
        <f>Costs!AC101</f>
        <v>2883.333333</v>
      </c>
      <c r="AD22" s="71">
        <f>Costs!AD101</f>
        <v>2883.333333</v>
      </c>
      <c r="AE22" s="71">
        <f>Costs!AE101</f>
        <v>2883.333333</v>
      </c>
      <c r="AF22" s="71">
        <f>Costs!AF101</f>
        <v>2883.333333</v>
      </c>
      <c r="AG22" s="71">
        <f>Costs!AG101</f>
        <v>2883.333333</v>
      </c>
      <c r="AH22" s="71">
        <f>Costs!AH101</f>
        <v>2883.333333</v>
      </c>
      <c r="AI22" s="71">
        <f>Costs!AI101</f>
        <v>2883.333333</v>
      </c>
      <c r="AJ22" s="71">
        <f>Costs!AJ101</f>
        <v>17883.33333</v>
      </c>
      <c r="AK22" s="71">
        <f>Costs!AK101</f>
        <v>2883.333333</v>
      </c>
      <c r="AL22" s="71">
        <f>Costs!AL101</f>
        <v>2883.333333</v>
      </c>
      <c r="AM22" s="71">
        <f>Costs!AM101</f>
        <v>2883.333333</v>
      </c>
      <c r="AN22" s="71">
        <f>Costs!AN101</f>
        <v>2883.333333</v>
      </c>
      <c r="AO22" s="71">
        <f>Costs!AO101</f>
        <v>2883.333333</v>
      </c>
      <c r="AP22" s="71">
        <f>Costs!AP101</f>
        <v>2883.333333</v>
      </c>
      <c r="AQ22" s="71">
        <f>Costs!AQ101</f>
        <v>2883.333333</v>
      </c>
      <c r="AR22" s="71">
        <f>Costs!AR101</f>
        <v>2883.333333</v>
      </c>
      <c r="AS22" s="71">
        <f>Costs!AS101</f>
        <v>2883.333333</v>
      </c>
      <c r="AT22" s="71">
        <f>Costs!AT101</f>
        <v>2883.333333</v>
      </c>
      <c r="AU22" s="71">
        <f>Costs!AU101</f>
        <v>2883.333333</v>
      </c>
      <c r="AV22" s="71">
        <f>Costs!AV101</f>
        <v>2883.333333</v>
      </c>
      <c r="AW22" s="71">
        <f>Costs!AW101</f>
        <v>2883.333333</v>
      </c>
      <c r="AX22" s="71">
        <f>Costs!AX101</f>
        <v>2883.333333</v>
      </c>
      <c r="AY22" s="71">
        <f>Costs!AY101</f>
        <v>2883.333333</v>
      </c>
      <c r="AZ22" s="71">
        <f>Costs!AZ101</f>
        <v>2883.333333</v>
      </c>
      <c r="BA22" s="71">
        <f>Costs!BA101</f>
        <v>2883.333333</v>
      </c>
    </row>
    <row r="23" ht="14.25" customHeight="1">
      <c r="A23" s="3" t="s">
        <v>473</v>
      </c>
      <c r="B23" s="71">
        <f>Costs!B108</f>
        <v>591.6666667</v>
      </c>
      <c r="C23" s="71">
        <f>Costs!C108</f>
        <v>591.6666667</v>
      </c>
      <c r="D23" s="71">
        <f>Costs!D108</f>
        <v>591.6666667</v>
      </c>
      <c r="E23" s="71">
        <f>Costs!E108</f>
        <v>591.6666667</v>
      </c>
      <c r="F23" s="71">
        <f>Costs!F108</f>
        <v>591.6666667</v>
      </c>
      <c r="G23" s="71">
        <f>Costs!G108</f>
        <v>591.6666667</v>
      </c>
      <c r="H23" s="71">
        <f>Costs!H108</f>
        <v>591.6666667</v>
      </c>
      <c r="I23" s="71">
        <f>Costs!I108</f>
        <v>591.6666667</v>
      </c>
      <c r="J23" s="71">
        <f>Costs!J108</f>
        <v>591.6666667</v>
      </c>
      <c r="K23" s="71">
        <f>Costs!K108</f>
        <v>591.6666667</v>
      </c>
      <c r="L23" s="71">
        <f>Costs!L108</f>
        <v>591.6666667</v>
      </c>
      <c r="M23" s="71">
        <f>Costs!M108</f>
        <v>591.6666667</v>
      </c>
      <c r="N23" s="71">
        <f>Costs!N108</f>
        <v>591.6666667</v>
      </c>
      <c r="O23" s="71">
        <f>Costs!O108</f>
        <v>591.6666667</v>
      </c>
      <c r="P23" s="71">
        <f>Costs!P108</f>
        <v>591.6666667</v>
      </c>
      <c r="Q23" s="71">
        <f>Costs!Q108</f>
        <v>591.6666667</v>
      </c>
      <c r="R23" s="71">
        <f>Costs!R108</f>
        <v>591.6666667</v>
      </c>
      <c r="S23" s="71">
        <f>Costs!S108</f>
        <v>591.6666667</v>
      </c>
      <c r="T23" s="71">
        <f>Costs!T108</f>
        <v>591.6666667</v>
      </c>
      <c r="U23" s="71">
        <f>Costs!U108</f>
        <v>591.6666667</v>
      </c>
      <c r="V23" s="71">
        <f>Costs!V108</f>
        <v>591.6666667</v>
      </c>
      <c r="W23" s="71">
        <f>Costs!W108</f>
        <v>591.6666667</v>
      </c>
      <c r="X23" s="71">
        <f>Costs!X108</f>
        <v>591.6666667</v>
      </c>
      <c r="Y23" s="71">
        <f>Costs!Y108</f>
        <v>591.6666667</v>
      </c>
      <c r="Z23" s="71">
        <f>Costs!Z108</f>
        <v>591.6666667</v>
      </c>
      <c r="AA23" s="71">
        <f>Costs!AA108</f>
        <v>591.6666667</v>
      </c>
      <c r="AB23" s="71">
        <f>Costs!AB108</f>
        <v>591.6666667</v>
      </c>
      <c r="AC23" s="71">
        <f>Costs!AC108</f>
        <v>591.6666667</v>
      </c>
      <c r="AD23" s="71">
        <f>Costs!AD108</f>
        <v>591.6666667</v>
      </c>
      <c r="AE23" s="71">
        <f>Costs!AE108</f>
        <v>591.6666667</v>
      </c>
      <c r="AF23" s="71">
        <f>Costs!AF108</f>
        <v>591.6666667</v>
      </c>
      <c r="AG23" s="71">
        <f>Costs!AG108</f>
        <v>591.6666667</v>
      </c>
      <c r="AH23" s="71">
        <f>Costs!AH108</f>
        <v>591.6666667</v>
      </c>
      <c r="AI23" s="71">
        <f>Costs!AI108</f>
        <v>591.6666667</v>
      </c>
      <c r="AJ23" s="71">
        <f>Costs!AJ108</f>
        <v>591.6666667</v>
      </c>
      <c r="AK23" s="71">
        <f>Costs!AK108</f>
        <v>591.6666667</v>
      </c>
      <c r="AL23" s="71">
        <f>Costs!AL108</f>
        <v>591.6666667</v>
      </c>
      <c r="AM23" s="71">
        <f>Costs!AM108</f>
        <v>591.6666667</v>
      </c>
      <c r="AN23" s="71">
        <f>Costs!AN108</f>
        <v>591.6666667</v>
      </c>
      <c r="AO23" s="71">
        <f>Costs!AO108</f>
        <v>591.6666667</v>
      </c>
      <c r="AP23" s="71">
        <f>Costs!AP108</f>
        <v>591.6666667</v>
      </c>
      <c r="AQ23" s="71">
        <f>Costs!AQ108</f>
        <v>591.6666667</v>
      </c>
      <c r="AR23" s="71">
        <f>Costs!AR108</f>
        <v>591.6666667</v>
      </c>
      <c r="AS23" s="71">
        <f>Costs!AS108</f>
        <v>591.6666667</v>
      </c>
      <c r="AT23" s="71">
        <f>Costs!AT108</f>
        <v>591.6666667</v>
      </c>
      <c r="AU23" s="71">
        <f>Costs!AU108</f>
        <v>591.6666667</v>
      </c>
      <c r="AV23" s="71">
        <f>Costs!AV108</f>
        <v>591.6666667</v>
      </c>
      <c r="AW23" s="71">
        <f>Costs!AW108</f>
        <v>591.6666667</v>
      </c>
      <c r="AX23" s="71">
        <f>Costs!AX108</f>
        <v>591.6666667</v>
      </c>
      <c r="AY23" s="71">
        <f>Costs!AY108</f>
        <v>591.6666667</v>
      </c>
      <c r="AZ23" s="71">
        <f>Costs!AZ108</f>
        <v>591.6666667</v>
      </c>
      <c r="BA23" s="71">
        <f>Costs!BA108</f>
        <v>591.6666667</v>
      </c>
    </row>
    <row r="24" ht="14.25" customHeight="1">
      <c r="A24" s="3" t="s">
        <v>474</v>
      </c>
      <c r="B24" s="71">
        <f>Costs!B117</f>
        <v>4383.333333</v>
      </c>
      <c r="C24" s="71">
        <f>Costs!C117</f>
        <v>4408.333333</v>
      </c>
      <c r="D24" s="71">
        <f>Costs!D117</f>
        <v>4434.583333</v>
      </c>
      <c r="E24" s="71">
        <f>Costs!E117</f>
        <v>4462.145833</v>
      </c>
      <c r="F24" s="71">
        <f>Costs!F117</f>
        <v>4491.086458</v>
      </c>
      <c r="G24" s="71">
        <f>Costs!G117</f>
        <v>4521.474115</v>
      </c>
      <c r="H24" s="71">
        <f>Costs!H117</f>
        <v>4553.381154</v>
      </c>
      <c r="I24" s="71">
        <f>Costs!I117</f>
        <v>4586.883545</v>
      </c>
      <c r="J24" s="71">
        <f>Costs!J117</f>
        <v>4622.061055</v>
      </c>
      <c r="K24" s="71">
        <f>Costs!K117</f>
        <v>4658.997441</v>
      </c>
      <c r="L24" s="71">
        <f>Costs!L117</f>
        <v>4697.780647</v>
      </c>
      <c r="M24" s="71">
        <f>Costs!M117</f>
        <v>4738.503012</v>
      </c>
      <c r="N24" s="71">
        <f>Costs!N117</f>
        <v>4781.261496</v>
      </c>
      <c r="O24" s="71">
        <f>Costs!O117</f>
        <v>5258.157904</v>
      </c>
      <c r="P24" s="71">
        <f>Costs!P117</f>
        <v>4873.299133</v>
      </c>
      <c r="Q24" s="71">
        <f>Costs!Q117</f>
        <v>4922.797423</v>
      </c>
      <c r="R24" s="71">
        <f>Costs!R117</f>
        <v>4974.770628</v>
      </c>
      <c r="S24" s="71">
        <f>Costs!S117</f>
        <v>5529.342492</v>
      </c>
      <c r="T24" s="71">
        <f>Costs!T117</f>
        <v>5586.64295</v>
      </c>
      <c r="U24" s="71">
        <f>Costs!U117</f>
        <v>5646.808431</v>
      </c>
      <c r="V24" s="71">
        <f>Costs!V117</f>
        <v>5709.982186</v>
      </c>
      <c r="W24" s="71">
        <f>Costs!W117</f>
        <v>5776.314629</v>
      </c>
      <c r="X24" s="71">
        <f>Costs!X117</f>
        <v>5845.963693</v>
      </c>
      <c r="Y24" s="71">
        <f>Costs!Y117</f>
        <v>7269.095211</v>
      </c>
      <c r="Z24" s="71">
        <f>Costs!Z117</f>
        <v>5995.883305</v>
      </c>
      <c r="AA24" s="71">
        <f>Costs!AA117</f>
        <v>6076.510804</v>
      </c>
      <c r="AB24" s="71">
        <f>Costs!AB117</f>
        <v>7619.169677</v>
      </c>
      <c r="AC24" s="71">
        <f>Costs!AC117</f>
        <v>6250.061495</v>
      </c>
      <c r="AD24" s="71">
        <f>Costs!AD117</f>
        <v>6343.397903</v>
      </c>
      <c r="AE24" s="71">
        <f>Costs!AE117</f>
        <v>7899.401131</v>
      </c>
      <c r="AF24" s="71">
        <f>Costs!AF117</f>
        <v>6544.304521</v>
      </c>
      <c r="AG24" s="71">
        <f>Costs!AG117</f>
        <v>6652.35308</v>
      </c>
      <c r="AH24" s="71">
        <f>Costs!AH117</f>
        <v>8223.804068</v>
      </c>
      <c r="AI24" s="71">
        <f>Costs!AI117</f>
        <v>6884.927604</v>
      </c>
      <c r="AJ24" s="71">
        <f>Costs!AJ117</f>
        <v>7010.007318</v>
      </c>
      <c r="AK24" s="71">
        <f>Costs!AK117</f>
        <v>9099.341017</v>
      </c>
      <c r="AL24" s="71">
        <f>Costs!AL117</f>
        <v>7779.241401</v>
      </c>
      <c r="AM24" s="71">
        <f>Costs!AM117</f>
        <v>7924.036805</v>
      </c>
      <c r="AN24" s="71">
        <f>Costs!AN117</f>
        <v>9650.711978</v>
      </c>
      <c r="AO24" s="71">
        <f>Costs!AO117</f>
        <v>8235.708911</v>
      </c>
      <c r="AP24" s="71">
        <f>Costs!AP117</f>
        <v>8403.327689</v>
      </c>
      <c r="AQ24" s="71">
        <f>Costs!AQ117</f>
        <v>10153.96741</v>
      </c>
      <c r="AR24" s="71">
        <f>Costs!AR117</f>
        <v>8764.127111</v>
      </c>
      <c r="AS24" s="71">
        <f>Costs!AS117</f>
        <v>8958.1668</v>
      </c>
      <c r="AT24" s="71">
        <f>Costs!AT117</f>
        <v>10736.54847</v>
      </c>
      <c r="AU24" s="71">
        <f>Costs!AU117</f>
        <v>9375.83723</v>
      </c>
      <c r="AV24" s="71">
        <f>Costs!AV117</f>
        <v>9600.462425</v>
      </c>
      <c r="AW24" s="71">
        <f>Costs!AW117</f>
        <v>11410.95888</v>
      </c>
      <c r="AX24" s="71">
        <f>Costs!AX117</f>
        <v>10083.96816</v>
      </c>
      <c r="AY24" s="71">
        <f>Costs!AY117</f>
        <v>10343.9999</v>
      </c>
      <c r="AZ24" s="71">
        <f>Costs!AZ117</f>
        <v>12317.64443</v>
      </c>
      <c r="BA24" s="71">
        <f>Costs!BA117</f>
        <v>10903.71822</v>
      </c>
    </row>
    <row r="25" ht="14.25" customHeight="1">
      <c r="A25" s="3" t="s">
        <v>475</v>
      </c>
      <c r="B25" s="71">
        <f>Costs!B125</f>
        <v>11191.66667</v>
      </c>
      <c r="C25" s="71">
        <f>Costs!C125</f>
        <v>1291.666667</v>
      </c>
      <c r="D25" s="71">
        <f>Costs!D125</f>
        <v>1291.666667</v>
      </c>
      <c r="E25" s="71">
        <f>Costs!E125</f>
        <v>1291.666667</v>
      </c>
      <c r="F25" s="71">
        <f>Costs!F125</f>
        <v>1291.666667</v>
      </c>
      <c r="G25" s="71">
        <f>Costs!G125</f>
        <v>1291.666667</v>
      </c>
      <c r="H25" s="71">
        <f>Costs!H125</f>
        <v>4966.666667</v>
      </c>
      <c r="I25" s="71">
        <f>Costs!I125</f>
        <v>5341.666667</v>
      </c>
      <c r="J25" s="71">
        <f>Costs!J125</f>
        <v>5716.666667</v>
      </c>
      <c r="K25" s="71">
        <f>Costs!K125</f>
        <v>6091.666667</v>
      </c>
      <c r="L25" s="71">
        <f>Costs!L125</f>
        <v>6466.666667</v>
      </c>
      <c r="M25" s="71">
        <f>Costs!M125</f>
        <v>6841.666667</v>
      </c>
      <c r="N25" s="71">
        <f>Costs!N125</f>
        <v>7216.666667</v>
      </c>
      <c r="O25" s="71">
        <f>Costs!O125</f>
        <v>11266.66667</v>
      </c>
      <c r="P25" s="71">
        <f>Costs!P125</f>
        <v>4666.666667</v>
      </c>
      <c r="Q25" s="71">
        <f>Costs!Q125</f>
        <v>4666.666667</v>
      </c>
      <c r="R25" s="71">
        <f>Costs!R125</f>
        <v>4666.666667</v>
      </c>
      <c r="S25" s="71">
        <f>Costs!S125</f>
        <v>15691.66667</v>
      </c>
      <c r="T25" s="71">
        <f>Costs!T125</f>
        <v>5791.666667</v>
      </c>
      <c r="U25" s="71">
        <f>Costs!U125</f>
        <v>9466.666667</v>
      </c>
      <c r="V25" s="71">
        <f>Costs!V125</f>
        <v>6166.666667</v>
      </c>
      <c r="W25" s="71">
        <f>Costs!W125</f>
        <v>9841.666667</v>
      </c>
      <c r="X25" s="71">
        <f>Costs!X125</f>
        <v>6541.666667</v>
      </c>
      <c r="Y25" s="71">
        <f>Costs!Y125</f>
        <v>10216.66667</v>
      </c>
      <c r="Z25" s="71">
        <f>Costs!Z125</f>
        <v>6916.666667</v>
      </c>
      <c r="AA25" s="71">
        <f>Costs!AA125</f>
        <v>6916.666667</v>
      </c>
      <c r="AB25" s="71">
        <f>Costs!AB125</f>
        <v>6916.666667</v>
      </c>
      <c r="AC25" s="71">
        <f>Costs!AC125</f>
        <v>10591.66667</v>
      </c>
      <c r="AD25" s="71">
        <f>Costs!AD125</f>
        <v>7291.666667</v>
      </c>
      <c r="AE25" s="71">
        <f>Costs!AE125</f>
        <v>10966.66667</v>
      </c>
      <c r="AF25" s="71">
        <f>Costs!AF125</f>
        <v>7666.666667</v>
      </c>
      <c r="AG25" s="71">
        <f>Costs!AG125</f>
        <v>7666.666667</v>
      </c>
      <c r="AH25" s="71">
        <f>Costs!AH125</f>
        <v>7666.666667</v>
      </c>
      <c r="AI25" s="71">
        <f>Costs!AI125</f>
        <v>7666.666667</v>
      </c>
      <c r="AJ25" s="71">
        <f>Costs!AJ125</f>
        <v>7666.666667</v>
      </c>
      <c r="AK25" s="71">
        <f>Costs!AK125</f>
        <v>11341.66667</v>
      </c>
      <c r="AL25" s="71">
        <f>Costs!AL125</f>
        <v>8041.666667</v>
      </c>
      <c r="AM25" s="71">
        <f>Costs!AM125</f>
        <v>8041.666667</v>
      </c>
      <c r="AN25" s="71">
        <f>Costs!AN125</f>
        <v>8041.666667</v>
      </c>
      <c r="AO25" s="71">
        <f>Costs!AO125</f>
        <v>8041.666667</v>
      </c>
      <c r="AP25" s="71">
        <f>Costs!AP125</f>
        <v>8041.666667</v>
      </c>
      <c r="AQ25" s="71">
        <f>Costs!AQ125</f>
        <v>8041.666667</v>
      </c>
      <c r="AR25" s="71">
        <f>Costs!AR125</f>
        <v>8041.666667</v>
      </c>
      <c r="AS25" s="71">
        <f>Costs!AS125</f>
        <v>8041.666667</v>
      </c>
      <c r="AT25" s="71">
        <f>Costs!AT125</f>
        <v>8041.666667</v>
      </c>
      <c r="AU25" s="71">
        <f>Costs!AU125</f>
        <v>8041.666667</v>
      </c>
      <c r="AV25" s="71">
        <f>Costs!AV125</f>
        <v>8041.666667</v>
      </c>
      <c r="AW25" s="71">
        <f>Costs!AW125</f>
        <v>8041.666667</v>
      </c>
      <c r="AX25" s="71">
        <f>Costs!AX125</f>
        <v>8041.666667</v>
      </c>
      <c r="AY25" s="71">
        <f>Costs!AY125</f>
        <v>8041.666667</v>
      </c>
      <c r="AZ25" s="71">
        <f>Costs!AZ125</f>
        <v>8041.666667</v>
      </c>
      <c r="BA25" s="71">
        <f>Costs!BA125</f>
        <v>8041.666667</v>
      </c>
    </row>
    <row r="26" ht="14.25" customHeight="1">
      <c r="A26" s="3" t="s">
        <v>476</v>
      </c>
      <c r="B26" s="71">
        <f>Costs!B130</f>
        <v>3184.333333</v>
      </c>
      <c r="C26" s="71">
        <f>Costs!C130</f>
        <v>1943.083333</v>
      </c>
      <c r="D26" s="71">
        <f>Costs!D130</f>
        <v>1947.020833</v>
      </c>
      <c r="E26" s="71">
        <f>Costs!E130</f>
        <v>1951.155208</v>
      </c>
      <c r="F26" s="71">
        <f>Costs!F130</f>
        <v>2705.496302</v>
      </c>
      <c r="G26" s="71">
        <f>Costs!G130</f>
        <v>1960.054451</v>
      </c>
      <c r="H26" s="71">
        <f>Costs!H130</f>
        <v>2608.840506</v>
      </c>
      <c r="I26" s="71">
        <f>Costs!I130</f>
        <v>3193.699198</v>
      </c>
      <c r="J26" s="71">
        <f>Costs!J130</f>
        <v>3526.725825</v>
      </c>
      <c r="K26" s="71">
        <f>Costs!K130</f>
        <v>4011.266283</v>
      </c>
      <c r="L26" s="71">
        <f>Costs!L130</f>
        <v>4370.042097</v>
      </c>
      <c r="M26" s="71">
        <f>Costs!M130</f>
        <v>4729.108785</v>
      </c>
      <c r="N26" s="71">
        <f>Costs!N130</f>
        <v>5359.722558</v>
      </c>
      <c r="O26" s="71">
        <f>Costs!O130</f>
        <v>6436.588269</v>
      </c>
      <c r="P26" s="71">
        <f>Costs!P130</f>
        <v>6092.059453</v>
      </c>
      <c r="Q26" s="71">
        <f>Costs!Q130</f>
        <v>6099.484197</v>
      </c>
      <c r="R26" s="71">
        <f>Costs!R130</f>
        <v>6907.280177</v>
      </c>
      <c r="S26" s="71">
        <f>Costs!S130</f>
        <v>8499.340957</v>
      </c>
      <c r="T26" s="71">
        <f>Costs!T130</f>
        <v>8012.936026</v>
      </c>
      <c r="U26" s="71">
        <f>Costs!U130</f>
        <v>8529.835848</v>
      </c>
      <c r="V26" s="71">
        <f>Costs!V130</f>
        <v>8374.311911</v>
      </c>
      <c r="W26" s="71">
        <f>Costs!W130</f>
        <v>9156.824278</v>
      </c>
      <c r="X26" s="71">
        <f>Costs!X130</f>
        <v>9002.271637</v>
      </c>
      <c r="Y26" s="71">
        <f>Costs!Y130</f>
        <v>9615.085115</v>
      </c>
      <c r="Z26" s="71">
        <f>Costs!Z130</f>
        <v>9782.135204</v>
      </c>
      <c r="AA26" s="71">
        <f>Costs!AA130</f>
        <v>9794.229329</v>
      </c>
      <c r="AB26" s="71">
        <f>Costs!AB130</f>
        <v>9879.82816</v>
      </c>
      <c r="AC26" s="71">
        <f>Costs!AC130</f>
        <v>10371.81037</v>
      </c>
      <c r="AD26" s="71">
        <f>Costs!AD130</f>
        <v>10220.81083</v>
      </c>
      <c r="AE26" s="71">
        <f>Costs!AE130</f>
        <v>10943.33632</v>
      </c>
      <c r="AF26" s="71">
        <f>Costs!AF130</f>
        <v>10720.87182</v>
      </c>
      <c r="AG26" s="71">
        <f>Costs!AG130</f>
        <v>10737.07911</v>
      </c>
      <c r="AH26" s="71">
        <f>Costs!AH130</f>
        <v>10826.99676</v>
      </c>
      <c r="AI26" s="71">
        <f>Costs!AI130</f>
        <v>10771.96529</v>
      </c>
      <c r="AJ26" s="71">
        <f>Costs!AJ130</f>
        <v>11540.72724</v>
      </c>
      <c r="AK26" s="71">
        <f>Costs!AK130</f>
        <v>11821.17417</v>
      </c>
      <c r="AL26" s="71">
        <f>Costs!AL130</f>
        <v>12087.82122</v>
      </c>
      <c r="AM26" s="71">
        <f>Costs!AM130</f>
        <v>12109.54053</v>
      </c>
      <c r="AN26" s="71">
        <f>Costs!AN130</f>
        <v>12211.0778</v>
      </c>
      <c r="AO26" s="71">
        <f>Costs!AO130</f>
        <v>12156.29134</v>
      </c>
      <c r="AP26" s="71">
        <f>Costs!AP130</f>
        <v>12181.43416</v>
      </c>
      <c r="AQ26" s="71">
        <f>Costs!AQ130</f>
        <v>12286.56612</v>
      </c>
      <c r="AR26" s="71">
        <f>Costs!AR130</f>
        <v>12235.55407</v>
      </c>
      <c r="AS26" s="71">
        <f>Costs!AS130</f>
        <v>12264.66003</v>
      </c>
      <c r="AT26" s="71">
        <f>Costs!AT130</f>
        <v>12373.95328</v>
      </c>
      <c r="AU26" s="71">
        <f>Costs!AU130</f>
        <v>12327.31059</v>
      </c>
      <c r="AV26" s="71">
        <f>Costs!AV130</f>
        <v>12361.00437</v>
      </c>
      <c r="AW26" s="71">
        <f>Costs!AW130</f>
        <v>12475.11484</v>
      </c>
      <c r="AX26" s="71">
        <f>Costs!AX130</f>
        <v>12941.58531</v>
      </c>
      <c r="AY26" s="71">
        <f>Costs!AY130</f>
        <v>12980.59007</v>
      </c>
      <c r="AZ26" s="71">
        <f>Costs!AZ130</f>
        <v>13106.57563</v>
      </c>
      <c r="BA26" s="71">
        <f>Costs!BA130</f>
        <v>13064.54782</v>
      </c>
    </row>
    <row r="27" ht="14.25" customHeight="1">
      <c r="A27" s="2" t="s">
        <v>477</v>
      </c>
      <c r="B27" s="72">
        <f t="shared" ref="B27:BA27" si="5">SUM(B19:B26)</f>
        <v>66871</v>
      </c>
      <c r="C27" s="72">
        <f t="shared" si="5"/>
        <v>40804.75</v>
      </c>
      <c r="D27" s="72">
        <f t="shared" si="5"/>
        <v>40887.4375</v>
      </c>
      <c r="E27" s="72">
        <f t="shared" si="5"/>
        <v>40974.25938</v>
      </c>
      <c r="F27" s="72">
        <f t="shared" si="5"/>
        <v>56815.42234</v>
      </c>
      <c r="G27" s="72">
        <f t="shared" si="5"/>
        <v>41161.14346</v>
      </c>
      <c r="H27" s="72">
        <f t="shared" si="5"/>
        <v>54785.65063</v>
      </c>
      <c r="I27" s="72">
        <f t="shared" si="5"/>
        <v>67067.68317</v>
      </c>
      <c r="J27" s="72">
        <f t="shared" si="5"/>
        <v>74061.24232</v>
      </c>
      <c r="K27" s="72">
        <f t="shared" si="5"/>
        <v>84236.59194</v>
      </c>
      <c r="L27" s="72">
        <f t="shared" si="5"/>
        <v>91770.88404</v>
      </c>
      <c r="M27" s="72">
        <f t="shared" si="5"/>
        <v>99311.28449</v>
      </c>
      <c r="N27" s="72">
        <f t="shared" si="5"/>
        <v>112554.1737</v>
      </c>
      <c r="O27" s="72">
        <f t="shared" si="5"/>
        <v>135168.3536</v>
      </c>
      <c r="P27" s="72">
        <f t="shared" si="5"/>
        <v>127933.2485</v>
      </c>
      <c r="Q27" s="72">
        <f t="shared" si="5"/>
        <v>128089.1681</v>
      </c>
      <c r="R27" s="72">
        <f t="shared" si="5"/>
        <v>145052.8837</v>
      </c>
      <c r="S27" s="72">
        <f t="shared" si="5"/>
        <v>178486.1601</v>
      </c>
      <c r="T27" s="72">
        <f t="shared" si="5"/>
        <v>168271.6565</v>
      </c>
      <c r="U27" s="72">
        <f t="shared" si="5"/>
        <v>179126.5528</v>
      </c>
      <c r="V27" s="72">
        <f t="shared" si="5"/>
        <v>175860.5501</v>
      </c>
      <c r="W27" s="72">
        <f t="shared" si="5"/>
        <v>192293.3098</v>
      </c>
      <c r="X27" s="72">
        <f t="shared" si="5"/>
        <v>189047.7044</v>
      </c>
      <c r="Y27" s="72">
        <f t="shared" si="5"/>
        <v>201916.7874</v>
      </c>
      <c r="Z27" s="72">
        <f t="shared" si="5"/>
        <v>205424.8393</v>
      </c>
      <c r="AA27" s="72">
        <f t="shared" si="5"/>
        <v>205678.8159</v>
      </c>
      <c r="AB27" s="72">
        <f t="shared" si="5"/>
        <v>207476.3914</v>
      </c>
      <c r="AC27" s="72">
        <f t="shared" si="5"/>
        <v>217808.0178</v>
      </c>
      <c r="AD27" s="72">
        <f t="shared" si="5"/>
        <v>214637.0275</v>
      </c>
      <c r="AE27" s="72">
        <f t="shared" si="5"/>
        <v>229810.0626</v>
      </c>
      <c r="AF27" s="72">
        <f t="shared" si="5"/>
        <v>225138.3083</v>
      </c>
      <c r="AG27" s="72">
        <f t="shared" si="5"/>
        <v>225478.6613</v>
      </c>
      <c r="AH27" s="72">
        <f t="shared" si="5"/>
        <v>227366.9319</v>
      </c>
      <c r="AI27" s="72">
        <f t="shared" si="5"/>
        <v>226211.271</v>
      </c>
      <c r="AJ27" s="72">
        <f t="shared" si="5"/>
        <v>242355.2721</v>
      </c>
      <c r="AK27" s="72">
        <f t="shared" si="5"/>
        <v>248244.6576</v>
      </c>
      <c r="AL27" s="72">
        <f t="shared" si="5"/>
        <v>253844.2455</v>
      </c>
      <c r="AM27" s="72">
        <f t="shared" si="5"/>
        <v>254300.351</v>
      </c>
      <c r="AN27" s="72">
        <f t="shared" si="5"/>
        <v>256432.6338</v>
      </c>
      <c r="AO27" s="72">
        <f t="shared" si="5"/>
        <v>255282.1182</v>
      </c>
      <c r="AP27" s="72">
        <f t="shared" si="5"/>
        <v>255810.1173</v>
      </c>
      <c r="AQ27" s="72">
        <f t="shared" si="5"/>
        <v>258017.8884</v>
      </c>
      <c r="AR27" s="72">
        <f t="shared" si="5"/>
        <v>256946.6355</v>
      </c>
      <c r="AS27" s="72">
        <f t="shared" si="5"/>
        <v>257557.8605</v>
      </c>
      <c r="AT27" s="72">
        <f t="shared" si="5"/>
        <v>259853.0188</v>
      </c>
      <c r="AU27" s="72">
        <f t="shared" si="5"/>
        <v>258873.5224</v>
      </c>
      <c r="AV27" s="72">
        <f t="shared" si="5"/>
        <v>259581.0917</v>
      </c>
      <c r="AW27" s="72">
        <f t="shared" si="5"/>
        <v>261977.4116</v>
      </c>
      <c r="AX27" s="72">
        <f t="shared" si="5"/>
        <v>271773.2916</v>
      </c>
      <c r="AY27" s="72">
        <f t="shared" si="5"/>
        <v>272592.3915</v>
      </c>
      <c r="AZ27" s="72">
        <f t="shared" si="5"/>
        <v>275238.0883</v>
      </c>
      <c r="BA27" s="72">
        <f t="shared" si="5"/>
        <v>274355.5043</v>
      </c>
    </row>
    <row r="28" ht="14.25" customHeight="1"/>
    <row r="29" ht="14.25" customHeight="1">
      <c r="A29" s="2" t="s">
        <v>478</v>
      </c>
      <c r="B29" s="72">
        <f t="shared" ref="B29:BA29" si="6">B15-B27</f>
        <v>-67871</v>
      </c>
      <c r="C29" s="72">
        <f t="shared" si="6"/>
        <v>-41854.75</v>
      </c>
      <c r="D29" s="72">
        <f t="shared" si="6"/>
        <v>-41989.9375</v>
      </c>
      <c r="E29" s="72">
        <f t="shared" si="6"/>
        <v>-42131.88438</v>
      </c>
      <c r="F29" s="72">
        <f t="shared" si="6"/>
        <v>-58030.92859</v>
      </c>
      <c r="G29" s="72">
        <f t="shared" si="6"/>
        <v>-42437.42502</v>
      </c>
      <c r="H29" s="72">
        <f t="shared" si="6"/>
        <v>-56125.74627</v>
      </c>
      <c r="I29" s="72">
        <f t="shared" si="6"/>
        <v>-68474.78359</v>
      </c>
      <c r="J29" s="72">
        <f t="shared" si="6"/>
        <v>-75538.69777</v>
      </c>
      <c r="K29" s="72">
        <f t="shared" si="6"/>
        <v>-85787.92016</v>
      </c>
      <c r="L29" s="72">
        <f t="shared" si="6"/>
        <v>-93399.77866</v>
      </c>
      <c r="M29" s="72">
        <f t="shared" si="6"/>
        <v>-101021.6238</v>
      </c>
      <c r="N29" s="72">
        <f t="shared" si="6"/>
        <v>-114350.03</v>
      </c>
      <c r="O29" s="72">
        <f t="shared" si="6"/>
        <v>-133092.0028</v>
      </c>
      <c r="P29" s="72">
        <f t="shared" si="6"/>
        <v>-125951.1801</v>
      </c>
      <c r="Q29" s="72">
        <f t="shared" si="6"/>
        <v>-126206.0963</v>
      </c>
      <c r="R29" s="72">
        <f t="shared" si="6"/>
        <v>-143273.7583</v>
      </c>
      <c r="S29" s="72">
        <f t="shared" si="6"/>
        <v>-176816.1784</v>
      </c>
      <c r="T29" s="72">
        <f t="shared" si="6"/>
        <v>-166716.2758</v>
      </c>
      <c r="U29" s="72">
        <f t="shared" si="6"/>
        <v>-177691.503</v>
      </c>
      <c r="V29" s="72">
        <f t="shared" si="6"/>
        <v>-174551.8478</v>
      </c>
      <c r="W29" s="72">
        <f t="shared" si="6"/>
        <v>-191117.2724</v>
      </c>
      <c r="X29" s="72">
        <f t="shared" si="6"/>
        <v>-188010.9651</v>
      </c>
      <c r="Y29" s="72">
        <f t="shared" si="6"/>
        <v>-187863.8112</v>
      </c>
      <c r="Z29" s="72">
        <f t="shared" si="6"/>
        <v>-190135.4792</v>
      </c>
      <c r="AA29" s="72">
        <f t="shared" si="6"/>
        <v>-190550.7108</v>
      </c>
      <c r="AB29" s="72">
        <f t="shared" si="6"/>
        <v>-178302.104</v>
      </c>
      <c r="AC29" s="72">
        <f t="shared" si="6"/>
        <v>-188811.5141</v>
      </c>
      <c r="AD29" s="72">
        <f t="shared" si="6"/>
        <v>-185827.1966</v>
      </c>
      <c r="AE29" s="72">
        <f t="shared" si="6"/>
        <v>-186980.7382</v>
      </c>
      <c r="AF29" s="72">
        <f t="shared" si="6"/>
        <v>-182514.7907</v>
      </c>
      <c r="AG29" s="72">
        <f t="shared" si="6"/>
        <v>-183071.2408</v>
      </c>
      <c r="AH29" s="72">
        <f t="shared" si="6"/>
        <v>-170970.9133</v>
      </c>
      <c r="AI29" s="72">
        <f t="shared" si="6"/>
        <v>-170053.4996</v>
      </c>
      <c r="AJ29" s="72">
        <f t="shared" si="6"/>
        <v>-186447.6601</v>
      </c>
      <c r="AK29" s="72">
        <f t="shared" si="6"/>
        <v>-178384.213</v>
      </c>
      <c r="AL29" s="72">
        <f t="shared" si="6"/>
        <v>-178209.4849</v>
      </c>
      <c r="AM29" s="72">
        <f t="shared" si="6"/>
        <v>-178955.1812</v>
      </c>
      <c r="AN29" s="72">
        <f t="shared" si="6"/>
        <v>-166038.7943</v>
      </c>
      <c r="AO29" s="72">
        <f t="shared" si="6"/>
        <v>-165207.5525</v>
      </c>
      <c r="AP29" s="72">
        <f t="shared" si="6"/>
        <v>-166070.7892</v>
      </c>
      <c r="AQ29" s="72">
        <f t="shared" si="6"/>
        <v>-153277.8198</v>
      </c>
      <c r="AR29" s="72">
        <f t="shared" si="6"/>
        <v>-152576.1663</v>
      </c>
      <c r="AS29" s="72">
        <f t="shared" si="6"/>
        <v>-153575.4707</v>
      </c>
      <c r="AT29" s="72">
        <f t="shared" si="6"/>
        <v>-140925.3723</v>
      </c>
      <c r="AU29" s="72">
        <f t="shared" si="6"/>
        <v>-140373.7334</v>
      </c>
      <c r="AV29" s="72">
        <f t="shared" si="6"/>
        <v>-141530.5531</v>
      </c>
      <c r="AW29" s="72">
        <f t="shared" si="6"/>
        <v>-144398.5859</v>
      </c>
      <c r="AX29" s="72">
        <f t="shared" si="6"/>
        <v>-144470.9807</v>
      </c>
      <c r="AY29" s="72">
        <f t="shared" si="6"/>
        <v>-145810.1441</v>
      </c>
      <c r="AZ29" s="72">
        <f t="shared" si="6"/>
        <v>-132420.9483</v>
      </c>
      <c r="BA29" s="72">
        <f t="shared" si="6"/>
        <v>-132111.7343</v>
      </c>
    </row>
    <row r="30" ht="14.25" customHeight="1">
      <c r="A30" s="3" t="s">
        <v>479</v>
      </c>
      <c r="B30" s="73">
        <f t="shared" ref="B30:BA30" si="7">IFERROR(B29/B7,0)</f>
        <v>0</v>
      </c>
      <c r="C30" s="73">
        <f t="shared" si="7"/>
        <v>0</v>
      </c>
      <c r="D30" s="73">
        <f t="shared" si="7"/>
        <v>0</v>
      </c>
      <c r="E30" s="73">
        <f t="shared" si="7"/>
        <v>0</v>
      </c>
      <c r="F30" s="73">
        <f t="shared" si="7"/>
        <v>0</v>
      </c>
      <c r="G30" s="73">
        <f t="shared" si="7"/>
        <v>0</v>
      </c>
      <c r="H30" s="73">
        <f t="shared" si="7"/>
        <v>0</v>
      </c>
      <c r="I30" s="73">
        <f t="shared" si="7"/>
        <v>0</v>
      </c>
      <c r="J30" s="73">
        <f t="shared" si="7"/>
        <v>0</v>
      </c>
      <c r="K30" s="73">
        <f t="shared" si="7"/>
        <v>0</v>
      </c>
      <c r="L30" s="73">
        <f t="shared" si="7"/>
        <v>0</v>
      </c>
      <c r="M30" s="73">
        <f t="shared" si="7"/>
        <v>0</v>
      </c>
      <c r="N30" s="73">
        <f t="shared" si="7"/>
        <v>0</v>
      </c>
      <c r="O30" s="73">
        <f t="shared" si="7"/>
        <v>-30.80833398</v>
      </c>
      <c r="P30" s="73">
        <f t="shared" si="7"/>
        <v>-29.15536577</v>
      </c>
      <c r="Q30" s="73">
        <f t="shared" si="7"/>
        <v>-29.21437415</v>
      </c>
      <c r="R30" s="73">
        <f t="shared" si="7"/>
        <v>-33.16522183</v>
      </c>
      <c r="S30" s="73">
        <f t="shared" si="7"/>
        <v>-40.92967093</v>
      </c>
      <c r="T30" s="73">
        <f t="shared" si="7"/>
        <v>-38.5917305</v>
      </c>
      <c r="U30" s="73">
        <f t="shared" si="7"/>
        <v>-41.13229236</v>
      </c>
      <c r="V30" s="73">
        <f t="shared" si="7"/>
        <v>-40.40552033</v>
      </c>
      <c r="W30" s="73">
        <f t="shared" si="7"/>
        <v>-44.24010936</v>
      </c>
      <c r="X30" s="73">
        <f t="shared" si="7"/>
        <v>-43.52105674</v>
      </c>
      <c r="Y30" s="73">
        <f t="shared" si="7"/>
        <v>-10.54230141</v>
      </c>
      <c r="Z30" s="73">
        <f t="shared" si="7"/>
        <v>-9.879425907</v>
      </c>
      <c r="AA30" s="73">
        <f t="shared" si="7"/>
        <v>-9.901001312</v>
      </c>
      <c r="AB30" s="73">
        <f t="shared" si="7"/>
        <v>-5.271217777</v>
      </c>
      <c r="AC30" s="73">
        <f t="shared" si="7"/>
        <v>-5.58191175</v>
      </c>
      <c r="AD30" s="73">
        <f t="shared" si="7"/>
        <v>-5.493685155</v>
      </c>
      <c r="AE30" s="73">
        <f t="shared" si="7"/>
        <v>-3.862791458</v>
      </c>
      <c r="AF30" s="73">
        <f t="shared" si="7"/>
        <v>-3.77053049</v>
      </c>
      <c r="AG30" s="73">
        <f t="shared" si="7"/>
        <v>-3.782026062</v>
      </c>
      <c r="AH30" s="73">
        <f t="shared" si="7"/>
        <v>-2.714444466</v>
      </c>
      <c r="AI30" s="73">
        <f t="shared" si="7"/>
        <v>-2.699879013</v>
      </c>
      <c r="AJ30" s="73">
        <f t="shared" si="7"/>
        <v>-2.960163277</v>
      </c>
      <c r="AK30" s="73">
        <f t="shared" si="7"/>
        <v>-2.299785124</v>
      </c>
      <c r="AL30" s="73">
        <f t="shared" si="7"/>
        <v>-2.127344883</v>
      </c>
      <c r="AM30" s="73">
        <f t="shared" si="7"/>
        <v>-2.136246504</v>
      </c>
      <c r="AN30" s="73">
        <f t="shared" si="7"/>
        <v>-1.668442382</v>
      </c>
      <c r="AO30" s="73">
        <f t="shared" si="7"/>
        <v>-1.660089641</v>
      </c>
      <c r="AP30" s="73">
        <f t="shared" si="7"/>
        <v>-1.668763883</v>
      </c>
      <c r="AQ30" s="73">
        <f t="shared" si="7"/>
        <v>-1.329801915</v>
      </c>
      <c r="AR30" s="73">
        <f t="shared" si="7"/>
        <v>-1.323714535</v>
      </c>
      <c r="AS30" s="73">
        <f t="shared" si="7"/>
        <v>-1.332384263</v>
      </c>
      <c r="AT30" s="73">
        <f t="shared" si="7"/>
        <v>-1.075683693</v>
      </c>
      <c r="AU30" s="73">
        <f t="shared" si="7"/>
        <v>-1.071473032</v>
      </c>
      <c r="AV30" s="73">
        <f t="shared" si="7"/>
        <v>-1.08030304</v>
      </c>
      <c r="AW30" s="73">
        <f t="shared" si="7"/>
        <v>-1.102194741</v>
      </c>
      <c r="AX30" s="73">
        <f t="shared" si="7"/>
        <v>-1.021062343</v>
      </c>
      <c r="AY30" s="73">
        <f t="shared" si="7"/>
        <v>-1.030527007</v>
      </c>
      <c r="AZ30" s="73">
        <f t="shared" si="7"/>
        <v>-0.8354794005</v>
      </c>
      <c r="BA30" s="73">
        <f t="shared" si="7"/>
        <v>-0.8335284859</v>
      </c>
    </row>
    <row r="31" ht="14.25" customHeight="1"/>
    <row r="32" ht="14.25" customHeight="1">
      <c r="A32" s="3" t="s">
        <v>480</v>
      </c>
      <c r="B32" s="74">
        <f>Costs!B123/Inputs!$B$135/12</f>
        <v>275</v>
      </c>
      <c r="C32" s="74">
        <f>Costs!C123/Inputs!$B$135/12</f>
        <v>0</v>
      </c>
      <c r="D32" s="74">
        <f>Costs!D123/Inputs!$B$135/12</f>
        <v>0</v>
      </c>
      <c r="E32" s="74">
        <f>Costs!E123/Inputs!$B$135/12</f>
        <v>0</v>
      </c>
      <c r="F32" s="74">
        <f>Costs!F123/Inputs!$B$135/12</f>
        <v>0</v>
      </c>
      <c r="G32" s="74">
        <f>Costs!G123/Inputs!$B$135/12</f>
        <v>0</v>
      </c>
      <c r="H32" s="74">
        <f>Costs!H123/Inputs!$B$135/12</f>
        <v>91.66666667</v>
      </c>
      <c r="I32" s="74">
        <f>Costs!I123/Inputs!$B$135/12</f>
        <v>91.66666667</v>
      </c>
      <c r="J32" s="74">
        <f>Costs!J123/Inputs!$B$135/12</f>
        <v>91.66666667</v>
      </c>
      <c r="K32" s="74">
        <f>Costs!K123/Inputs!$B$135/12</f>
        <v>91.66666667</v>
      </c>
      <c r="L32" s="74">
        <f>Costs!L123/Inputs!$B$135/12</f>
        <v>91.66666667</v>
      </c>
      <c r="M32" s="74">
        <f>Costs!M123/Inputs!$B$135/12</f>
        <v>91.66666667</v>
      </c>
      <c r="N32" s="74">
        <f>Costs!N123/Inputs!$B$135/12</f>
        <v>91.66666667</v>
      </c>
      <c r="O32" s="74">
        <f>Costs!O123/Inputs!$B$135/12</f>
        <v>183.3333333</v>
      </c>
      <c r="P32" s="74">
        <f>Costs!P123/Inputs!$B$135/12</f>
        <v>0</v>
      </c>
      <c r="Q32" s="74">
        <f>Costs!Q123/Inputs!$B$135/12</f>
        <v>0</v>
      </c>
      <c r="R32" s="74">
        <f>Costs!R123/Inputs!$B$135/12</f>
        <v>0</v>
      </c>
      <c r="S32" s="74">
        <f>Costs!S123/Inputs!$B$135/12</f>
        <v>275</v>
      </c>
      <c r="T32" s="74">
        <f>Costs!T123/Inputs!$B$135/12</f>
        <v>0</v>
      </c>
      <c r="U32" s="74">
        <f>Costs!U123/Inputs!$B$135/12</f>
        <v>91.66666667</v>
      </c>
      <c r="V32" s="74">
        <f>Costs!V123/Inputs!$B$135/12</f>
        <v>0</v>
      </c>
      <c r="W32" s="74">
        <f>Costs!W123/Inputs!$B$135/12</f>
        <v>91.66666667</v>
      </c>
      <c r="X32" s="74">
        <f>Costs!X123/Inputs!$B$135/12</f>
        <v>0</v>
      </c>
      <c r="Y32" s="74">
        <f>Costs!Y123/Inputs!$B$135/12</f>
        <v>91.66666667</v>
      </c>
      <c r="Z32" s="74">
        <f>Costs!Z123/Inputs!$B$135/12</f>
        <v>0</v>
      </c>
      <c r="AA32" s="74">
        <f>Costs!AA123/Inputs!$B$135/12</f>
        <v>0</v>
      </c>
      <c r="AB32" s="74">
        <f>Costs!AB123/Inputs!$B$135/12</f>
        <v>0</v>
      </c>
      <c r="AC32" s="74">
        <f>Costs!AC123/Inputs!$B$135/12</f>
        <v>91.66666667</v>
      </c>
      <c r="AD32" s="74">
        <f>Costs!AD123/Inputs!$B$135/12</f>
        <v>0</v>
      </c>
      <c r="AE32" s="74">
        <f>Costs!AE123/Inputs!$B$135/12</f>
        <v>91.66666667</v>
      </c>
      <c r="AF32" s="74">
        <f>Costs!AF123/Inputs!$B$135/12</f>
        <v>0</v>
      </c>
      <c r="AG32" s="74">
        <f>Costs!AG123/Inputs!$B$135/12</f>
        <v>0</v>
      </c>
      <c r="AH32" s="74">
        <f>Costs!AH123/Inputs!$B$135/12</f>
        <v>0</v>
      </c>
      <c r="AI32" s="74">
        <f>Costs!AI123/Inputs!$B$135/12</f>
        <v>0</v>
      </c>
      <c r="AJ32" s="74">
        <f>Costs!AJ123/Inputs!$B$135/12</f>
        <v>0</v>
      </c>
      <c r="AK32" s="74">
        <f>Costs!AK123/Inputs!$B$135/12</f>
        <v>91.66666667</v>
      </c>
      <c r="AL32" s="74">
        <f>Costs!AL123/Inputs!$B$135/12</f>
        <v>0</v>
      </c>
      <c r="AM32" s="74">
        <f>Costs!AM123/Inputs!$B$135/12</f>
        <v>0</v>
      </c>
      <c r="AN32" s="74">
        <f>Costs!AN123/Inputs!$B$135/12</f>
        <v>0</v>
      </c>
      <c r="AO32" s="74">
        <f>Costs!AO123/Inputs!$B$135/12</f>
        <v>0</v>
      </c>
      <c r="AP32" s="74">
        <f>Costs!AP123/Inputs!$B$135/12</f>
        <v>0</v>
      </c>
      <c r="AQ32" s="74">
        <f>Costs!AQ123/Inputs!$B$135/12</f>
        <v>0</v>
      </c>
      <c r="AR32" s="74">
        <f>Costs!AR123/Inputs!$B$135/12</f>
        <v>0</v>
      </c>
      <c r="AS32" s="74">
        <f>Costs!AS123/Inputs!$B$135/12</f>
        <v>0</v>
      </c>
      <c r="AT32" s="74">
        <f>Costs!AT123/Inputs!$B$135/12</f>
        <v>0</v>
      </c>
      <c r="AU32" s="74">
        <f>Costs!AU123/Inputs!$B$135/12</f>
        <v>0</v>
      </c>
      <c r="AV32" s="74">
        <f>Costs!AV123/Inputs!$B$135/12</f>
        <v>0</v>
      </c>
      <c r="AW32" s="74">
        <f>Costs!AW123/Inputs!$B$135/12</f>
        <v>0</v>
      </c>
      <c r="AX32" s="74">
        <f>Costs!AX123/Inputs!$B$135/12</f>
        <v>0</v>
      </c>
      <c r="AY32" s="74">
        <f>Costs!AY123/Inputs!$B$135/12</f>
        <v>0</v>
      </c>
      <c r="AZ32" s="74">
        <f>Costs!AZ123/Inputs!$B$135/12</f>
        <v>0</v>
      </c>
      <c r="BA32" s="74">
        <f>Costs!BA123/Inputs!$B$135/12</f>
        <v>0</v>
      </c>
    </row>
    <row r="33" ht="14.25" customHeight="1"/>
    <row r="34" ht="14.25" customHeight="1">
      <c r="A34" s="2" t="s">
        <v>481</v>
      </c>
      <c r="B34" s="72">
        <f t="shared" ref="B34:BA34" si="8">B29-B32</f>
        <v>-68146</v>
      </c>
      <c r="C34" s="72">
        <f t="shared" si="8"/>
        <v>-41854.75</v>
      </c>
      <c r="D34" s="72">
        <f t="shared" si="8"/>
        <v>-41989.9375</v>
      </c>
      <c r="E34" s="72">
        <f t="shared" si="8"/>
        <v>-42131.88438</v>
      </c>
      <c r="F34" s="72">
        <f t="shared" si="8"/>
        <v>-58030.92859</v>
      </c>
      <c r="G34" s="72">
        <f t="shared" si="8"/>
        <v>-42437.42502</v>
      </c>
      <c r="H34" s="72">
        <f t="shared" si="8"/>
        <v>-56217.41294</v>
      </c>
      <c r="I34" s="72">
        <f t="shared" si="8"/>
        <v>-68566.45026</v>
      </c>
      <c r="J34" s="72">
        <f t="shared" si="8"/>
        <v>-75630.36443</v>
      </c>
      <c r="K34" s="72">
        <f t="shared" si="8"/>
        <v>-85879.58682</v>
      </c>
      <c r="L34" s="72">
        <f t="shared" si="8"/>
        <v>-93491.44533</v>
      </c>
      <c r="M34" s="72">
        <f t="shared" si="8"/>
        <v>-101113.2905</v>
      </c>
      <c r="N34" s="72">
        <f t="shared" si="8"/>
        <v>-114441.6967</v>
      </c>
      <c r="O34" s="72">
        <f t="shared" si="8"/>
        <v>-133275.3361</v>
      </c>
      <c r="P34" s="72">
        <f t="shared" si="8"/>
        <v>-125951.1801</v>
      </c>
      <c r="Q34" s="72">
        <f t="shared" si="8"/>
        <v>-126206.0963</v>
      </c>
      <c r="R34" s="72">
        <f t="shared" si="8"/>
        <v>-143273.7583</v>
      </c>
      <c r="S34" s="72">
        <f t="shared" si="8"/>
        <v>-177091.1784</v>
      </c>
      <c r="T34" s="72">
        <f t="shared" si="8"/>
        <v>-166716.2758</v>
      </c>
      <c r="U34" s="72">
        <f t="shared" si="8"/>
        <v>-177783.1697</v>
      </c>
      <c r="V34" s="72">
        <f t="shared" si="8"/>
        <v>-174551.8478</v>
      </c>
      <c r="W34" s="72">
        <f t="shared" si="8"/>
        <v>-191208.9391</v>
      </c>
      <c r="X34" s="72">
        <f t="shared" si="8"/>
        <v>-188010.9651</v>
      </c>
      <c r="Y34" s="72">
        <f t="shared" si="8"/>
        <v>-187955.4778</v>
      </c>
      <c r="Z34" s="72">
        <f t="shared" si="8"/>
        <v>-190135.4792</v>
      </c>
      <c r="AA34" s="72">
        <f t="shared" si="8"/>
        <v>-190550.7108</v>
      </c>
      <c r="AB34" s="72">
        <f t="shared" si="8"/>
        <v>-178302.104</v>
      </c>
      <c r="AC34" s="72">
        <f t="shared" si="8"/>
        <v>-188903.1808</v>
      </c>
      <c r="AD34" s="72">
        <f t="shared" si="8"/>
        <v>-185827.1966</v>
      </c>
      <c r="AE34" s="72">
        <f t="shared" si="8"/>
        <v>-187072.4049</v>
      </c>
      <c r="AF34" s="72">
        <f t="shared" si="8"/>
        <v>-182514.7907</v>
      </c>
      <c r="AG34" s="72">
        <f t="shared" si="8"/>
        <v>-183071.2408</v>
      </c>
      <c r="AH34" s="72">
        <f t="shared" si="8"/>
        <v>-170970.9133</v>
      </c>
      <c r="AI34" s="72">
        <f t="shared" si="8"/>
        <v>-170053.4996</v>
      </c>
      <c r="AJ34" s="72">
        <f t="shared" si="8"/>
        <v>-186447.6601</v>
      </c>
      <c r="AK34" s="72">
        <f t="shared" si="8"/>
        <v>-178475.8797</v>
      </c>
      <c r="AL34" s="72">
        <f t="shared" si="8"/>
        <v>-178209.4849</v>
      </c>
      <c r="AM34" s="72">
        <f t="shared" si="8"/>
        <v>-178955.1812</v>
      </c>
      <c r="AN34" s="72">
        <f t="shared" si="8"/>
        <v>-166038.7943</v>
      </c>
      <c r="AO34" s="72">
        <f t="shared" si="8"/>
        <v>-165207.5525</v>
      </c>
      <c r="AP34" s="72">
        <f t="shared" si="8"/>
        <v>-166070.7892</v>
      </c>
      <c r="AQ34" s="72">
        <f t="shared" si="8"/>
        <v>-153277.8198</v>
      </c>
      <c r="AR34" s="72">
        <f t="shared" si="8"/>
        <v>-152576.1663</v>
      </c>
      <c r="AS34" s="72">
        <f t="shared" si="8"/>
        <v>-153575.4707</v>
      </c>
      <c r="AT34" s="72">
        <f t="shared" si="8"/>
        <v>-140925.3723</v>
      </c>
      <c r="AU34" s="72">
        <f t="shared" si="8"/>
        <v>-140373.7334</v>
      </c>
      <c r="AV34" s="72">
        <f t="shared" si="8"/>
        <v>-141530.5531</v>
      </c>
      <c r="AW34" s="72">
        <f t="shared" si="8"/>
        <v>-144398.5859</v>
      </c>
      <c r="AX34" s="72">
        <f t="shared" si="8"/>
        <v>-144470.9807</v>
      </c>
      <c r="AY34" s="72">
        <f t="shared" si="8"/>
        <v>-145810.1441</v>
      </c>
      <c r="AZ34" s="72">
        <f t="shared" si="8"/>
        <v>-132420.9483</v>
      </c>
      <c r="BA34" s="72">
        <f t="shared" si="8"/>
        <v>-132111.7343</v>
      </c>
    </row>
    <row r="35" ht="14.25" customHeight="1"/>
    <row r="36" ht="14.25" customHeight="1">
      <c r="A36" s="2" t="s">
        <v>482</v>
      </c>
      <c r="B36" s="72">
        <f t="shared" ref="B36:BA36" si="9">B34</f>
        <v>-68146</v>
      </c>
      <c r="C36" s="72">
        <f t="shared" si="9"/>
        <v>-41854.75</v>
      </c>
      <c r="D36" s="72">
        <f t="shared" si="9"/>
        <v>-41989.9375</v>
      </c>
      <c r="E36" s="72">
        <f t="shared" si="9"/>
        <v>-42131.88438</v>
      </c>
      <c r="F36" s="72">
        <f t="shared" si="9"/>
        <v>-58030.92859</v>
      </c>
      <c r="G36" s="72">
        <f t="shared" si="9"/>
        <v>-42437.42502</v>
      </c>
      <c r="H36" s="72">
        <f t="shared" si="9"/>
        <v>-56217.41294</v>
      </c>
      <c r="I36" s="72">
        <f t="shared" si="9"/>
        <v>-68566.45026</v>
      </c>
      <c r="J36" s="72">
        <f t="shared" si="9"/>
        <v>-75630.36443</v>
      </c>
      <c r="K36" s="72">
        <f t="shared" si="9"/>
        <v>-85879.58682</v>
      </c>
      <c r="L36" s="72">
        <f t="shared" si="9"/>
        <v>-93491.44533</v>
      </c>
      <c r="M36" s="72">
        <f t="shared" si="9"/>
        <v>-101113.2905</v>
      </c>
      <c r="N36" s="72">
        <f t="shared" si="9"/>
        <v>-114441.6967</v>
      </c>
      <c r="O36" s="72">
        <f t="shared" si="9"/>
        <v>-133275.3361</v>
      </c>
      <c r="P36" s="72">
        <f t="shared" si="9"/>
        <v>-125951.1801</v>
      </c>
      <c r="Q36" s="72">
        <f t="shared" si="9"/>
        <v>-126206.0963</v>
      </c>
      <c r="R36" s="72">
        <f t="shared" si="9"/>
        <v>-143273.7583</v>
      </c>
      <c r="S36" s="72">
        <f t="shared" si="9"/>
        <v>-177091.1784</v>
      </c>
      <c r="T36" s="72">
        <f t="shared" si="9"/>
        <v>-166716.2758</v>
      </c>
      <c r="U36" s="72">
        <f t="shared" si="9"/>
        <v>-177783.1697</v>
      </c>
      <c r="V36" s="72">
        <f t="shared" si="9"/>
        <v>-174551.8478</v>
      </c>
      <c r="W36" s="72">
        <f t="shared" si="9"/>
        <v>-191208.9391</v>
      </c>
      <c r="X36" s="72">
        <f t="shared" si="9"/>
        <v>-188010.9651</v>
      </c>
      <c r="Y36" s="72">
        <f t="shared" si="9"/>
        <v>-187955.4778</v>
      </c>
      <c r="Z36" s="72">
        <f t="shared" si="9"/>
        <v>-190135.4792</v>
      </c>
      <c r="AA36" s="72">
        <f t="shared" si="9"/>
        <v>-190550.7108</v>
      </c>
      <c r="AB36" s="72">
        <f t="shared" si="9"/>
        <v>-178302.104</v>
      </c>
      <c r="AC36" s="72">
        <f t="shared" si="9"/>
        <v>-188903.1808</v>
      </c>
      <c r="AD36" s="72">
        <f t="shared" si="9"/>
        <v>-185827.1966</v>
      </c>
      <c r="AE36" s="72">
        <f t="shared" si="9"/>
        <v>-187072.4049</v>
      </c>
      <c r="AF36" s="72">
        <f t="shared" si="9"/>
        <v>-182514.7907</v>
      </c>
      <c r="AG36" s="72">
        <f t="shared" si="9"/>
        <v>-183071.2408</v>
      </c>
      <c r="AH36" s="72">
        <f t="shared" si="9"/>
        <v>-170970.9133</v>
      </c>
      <c r="AI36" s="72">
        <f t="shared" si="9"/>
        <v>-170053.4996</v>
      </c>
      <c r="AJ36" s="72">
        <f t="shared" si="9"/>
        <v>-186447.6601</v>
      </c>
      <c r="AK36" s="72">
        <f t="shared" si="9"/>
        <v>-178475.8797</v>
      </c>
      <c r="AL36" s="72">
        <f t="shared" si="9"/>
        <v>-178209.4849</v>
      </c>
      <c r="AM36" s="72">
        <f t="shared" si="9"/>
        <v>-178955.1812</v>
      </c>
      <c r="AN36" s="72">
        <f t="shared" si="9"/>
        <v>-166038.7943</v>
      </c>
      <c r="AO36" s="72">
        <f t="shared" si="9"/>
        <v>-165207.5525</v>
      </c>
      <c r="AP36" s="72">
        <f t="shared" si="9"/>
        <v>-166070.7892</v>
      </c>
      <c r="AQ36" s="72">
        <f t="shared" si="9"/>
        <v>-153277.8198</v>
      </c>
      <c r="AR36" s="72">
        <f t="shared" si="9"/>
        <v>-152576.1663</v>
      </c>
      <c r="AS36" s="72">
        <f t="shared" si="9"/>
        <v>-153575.4707</v>
      </c>
      <c r="AT36" s="72">
        <f t="shared" si="9"/>
        <v>-140925.3723</v>
      </c>
      <c r="AU36" s="72">
        <f t="shared" si="9"/>
        <v>-140373.7334</v>
      </c>
      <c r="AV36" s="72">
        <f t="shared" si="9"/>
        <v>-141530.5531</v>
      </c>
      <c r="AW36" s="72">
        <f t="shared" si="9"/>
        <v>-144398.5859</v>
      </c>
      <c r="AX36" s="72">
        <f t="shared" si="9"/>
        <v>-144470.9807</v>
      </c>
      <c r="AY36" s="72">
        <f t="shared" si="9"/>
        <v>-145810.1441</v>
      </c>
      <c r="AZ36" s="72">
        <f t="shared" si="9"/>
        <v>-132420.9483</v>
      </c>
      <c r="BA36" s="72">
        <f t="shared" si="9"/>
        <v>-132111.7343</v>
      </c>
    </row>
    <row r="37" ht="14.25" customHeight="1">
      <c r="A37" s="3" t="s">
        <v>483</v>
      </c>
      <c r="B37" s="74">
        <f>IF(B36&gt;0,B36*Inputs!$B$7,0)</f>
        <v>0</v>
      </c>
      <c r="C37" s="74">
        <f>IF(C36&gt;0,C36*Inputs!$B$7,0)</f>
        <v>0</v>
      </c>
      <c r="D37" s="74">
        <f>IF(D36&gt;0,D36*Inputs!$B$7,0)</f>
        <v>0</v>
      </c>
      <c r="E37" s="74">
        <f>IF(E36&gt;0,E36*Inputs!$B$7,0)</f>
        <v>0</v>
      </c>
      <c r="F37" s="74">
        <f>IF(F36&gt;0,F36*Inputs!$B$7,0)</f>
        <v>0</v>
      </c>
      <c r="G37" s="74">
        <f>IF(G36&gt;0,G36*Inputs!$B$7,0)</f>
        <v>0</v>
      </c>
      <c r="H37" s="74">
        <f>IF(H36&gt;0,H36*Inputs!$B$7,0)</f>
        <v>0</v>
      </c>
      <c r="I37" s="74">
        <f>IF(I36&gt;0,I36*Inputs!$B$7,0)</f>
        <v>0</v>
      </c>
      <c r="J37" s="74">
        <f>IF(J36&gt;0,J36*Inputs!$B$7,0)</f>
        <v>0</v>
      </c>
      <c r="K37" s="74">
        <f>IF(K36&gt;0,K36*Inputs!$B$7,0)</f>
        <v>0</v>
      </c>
      <c r="L37" s="74">
        <f>IF(L36&gt;0,L36*Inputs!$B$7,0)</f>
        <v>0</v>
      </c>
      <c r="M37" s="74">
        <f>IF(M36&gt;0,M36*Inputs!$B$7,0)</f>
        <v>0</v>
      </c>
      <c r="N37" s="74">
        <f>IF(N36&gt;0,N36*Inputs!$B$7,0)</f>
        <v>0</v>
      </c>
      <c r="O37" s="74">
        <f>IF(O36&gt;0,O36*Inputs!$B$7,0)</f>
        <v>0</v>
      </c>
      <c r="P37" s="74">
        <f>IF(P36&gt;0,P36*Inputs!$B$7,0)</f>
        <v>0</v>
      </c>
      <c r="Q37" s="74">
        <f>IF(Q36&gt;0,Q36*Inputs!$B$7,0)</f>
        <v>0</v>
      </c>
      <c r="R37" s="74">
        <f>IF(R36&gt;0,R36*Inputs!$B$7,0)</f>
        <v>0</v>
      </c>
      <c r="S37" s="74">
        <f>IF(S36&gt;0,S36*Inputs!$B$7,0)</f>
        <v>0</v>
      </c>
      <c r="T37" s="74">
        <f>IF(T36&gt;0,T36*Inputs!$B$7,0)</f>
        <v>0</v>
      </c>
      <c r="U37" s="74">
        <f>IF(U36&gt;0,U36*Inputs!$B$7,0)</f>
        <v>0</v>
      </c>
      <c r="V37" s="74">
        <f>IF(V36&gt;0,V36*Inputs!$B$7,0)</f>
        <v>0</v>
      </c>
      <c r="W37" s="74">
        <f>IF(W36&gt;0,W36*Inputs!$B$7,0)</f>
        <v>0</v>
      </c>
      <c r="X37" s="74">
        <f>IF(X36&gt;0,X36*Inputs!$B$7,0)</f>
        <v>0</v>
      </c>
      <c r="Y37" s="74">
        <f>IF(Y36&gt;0,Y36*Inputs!$B$7,0)</f>
        <v>0</v>
      </c>
      <c r="Z37" s="74">
        <f>IF(Z36&gt;0,Z36*Inputs!$B$7,0)</f>
        <v>0</v>
      </c>
      <c r="AA37" s="74">
        <f>IF(AA36&gt;0,AA36*Inputs!$B$7,0)</f>
        <v>0</v>
      </c>
      <c r="AB37" s="74">
        <f>IF(AB36&gt;0,AB36*Inputs!$B$7,0)</f>
        <v>0</v>
      </c>
      <c r="AC37" s="74">
        <f>IF(AC36&gt;0,AC36*Inputs!$B$7,0)</f>
        <v>0</v>
      </c>
      <c r="AD37" s="74">
        <f>IF(AD36&gt;0,AD36*Inputs!$B$7,0)</f>
        <v>0</v>
      </c>
      <c r="AE37" s="74">
        <f>IF(AE36&gt;0,AE36*Inputs!$B$7,0)</f>
        <v>0</v>
      </c>
      <c r="AF37" s="74">
        <f>IF(AF36&gt;0,AF36*Inputs!$B$7,0)</f>
        <v>0</v>
      </c>
      <c r="AG37" s="74">
        <f>IF(AG36&gt;0,AG36*Inputs!$B$7,0)</f>
        <v>0</v>
      </c>
      <c r="AH37" s="74">
        <f>IF(AH36&gt;0,AH36*Inputs!$B$7,0)</f>
        <v>0</v>
      </c>
      <c r="AI37" s="74">
        <f>IF(AI36&gt;0,AI36*Inputs!$B$7,0)</f>
        <v>0</v>
      </c>
      <c r="AJ37" s="74">
        <f>IF(AJ36&gt;0,AJ36*Inputs!$B$7,0)</f>
        <v>0</v>
      </c>
      <c r="AK37" s="74">
        <f>IF(AK36&gt;0,AK36*Inputs!$B$7,0)</f>
        <v>0</v>
      </c>
      <c r="AL37" s="74">
        <f>IF(AL36&gt;0,AL36*Inputs!$B$7,0)</f>
        <v>0</v>
      </c>
      <c r="AM37" s="74">
        <f>IF(AM36&gt;0,AM36*Inputs!$B$7,0)</f>
        <v>0</v>
      </c>
      <c r="AN37" s="74">
        <f>IF(AN36&gt;0,AN36*Inputs!$B$7,0)</f>
        <v>0</v>
      </c>
      <c r="AO37" s="74">
        <f>IF(AO36&gt;0,AO36*Inputs!$B$7,0)</f>
        <v>0</v>
      </c>
      <c r="AP37" s="74">
        <f>IF(AP36&gt;0,AP36*Inputs!$B$7,0)</f>
        <v>0</v>
      </c>
      <c r="AQ37" s="74">
        <f>IF(AQ36&gt;0,AQ36*Inputs!$B$7,0)</f>
        <v>0</v>
      </c>
      <c r="AR37" s="74">
        <f>IF(AR36&gt;0,AR36*Inputs!$B$7,0)</f>
        <v>0</v>
      </c>
      <c r="AS37" s="74">
        <f>IF(AS36&gt;0,AS36*Inputs!$B$7,0)</f>
        <v>0</v>
      </c>
      <c r="AT37" s="74">
        <f>IF(AT36&gt;0,AT36*Inputs!$B$7,0)</f>
        <v>0</v>
      </c>
      <c r="AU37" s="74">
        <f>IF(AU36&gt;0,AU36*Inputs!$B$7,0)</f>
        <v>0</v>
      </c>
      <c r="AV37" s="74">
        <f>IF(AV36&gt;0,AV36*Inputs!$B$7,0)</f>
        <v>0</v>
      </c>
      <c r="AW37" s="74">
        <f>IF(AW36&gt;0,AW36*Inputs!$B$7,0)</f>
        <v>0</v>
      </c>
      <c r="AX37" s="74">
        <f>IF(AX36&gt;0,AX36*Inputs!$B$7,0)</f>
        <v>0</v>
      </c>
      <c r="AY37" s="74">
        <f>IF(AY36&gt;0,AY36*Inputs!$B$7,0)</f>
        <v>0</v>
      </c>
      <c r="AZ37" s="74">
        <f>IF(AZ36&gt;0,AZ36*Inputs!$B$7,0)</f>
        <v>0</v>
      </c>
      <c r="BA37" s="74">
        <f>IF(BA36&gt;0,BA36*Inputs!$B$7,0)</f>
        <v>0</v>
      </c>
    </row>
    <row r="38" ht="14.25" customHeight="1"/>
    <row r="39" ht="14.25" customHeight="1">
      <c r="A39" s="2" t="s">
        <v>484</v>
      </c>
      <c r="B39" s="72">
        <f t="shared" ref="B39:BA39" si="10">B36-B37</f>
        <v>-68146</v>
      </c>
      <c r="C39" s="72">
        <f t="shared" si="10"/>
        <v>-41854.75</v>
      </c>
      <c r="D39" s="72">
        <f t="shared" si="10"/>
        <v>-41989.9375</v>
      </c>
      <c r="E39" s="72">
        <f t="shared" si="10"/>
        <v>-42131.88438</v>
      </c>
      <c r="F39" s="72">
        <f t="shared" si="10"/>
        <v>-58030.92859</v>
      </c>
      <c r="G39" s="72">
        <f t="shared" si="10"/>
        <v>-42437.42502</v>
      </c>
      <c r="H39" s="72">
        <f t="shared" si="10"/>
        <v>-56217.41294</v>
      </c>
      <c r="I39" s="72">
        <f t="shared" si="10"/>
        <v>-68566.45026</v>
      </c>
      <c r="J39" s="72">
        <f t="shared" si="10"/>
        <v>-75630.36443</v>
      </c>
      <c r="K39" s="72">
        <f t="shared" si="10"/>
        <v>-85879.58682</v>
      </c>
      <c r="L39" s="72">
        <f t="shared" si="10"/>
        <v>-93491.44533</v>
      </c>
      <c r="M39" s="72">
        <f t="shared" si="10"/>
        <v>-101113.2905</v>
      </c>
      <c r="N39" s="72">
        <f t="shared" si="10"/>
        <v>-114441.6967</v>
      </c>
      <c r="O39" s="72">
        <f t="shared" si="10"/>
        <v>-133275.3361</v>
      </c>
      <c r="P39" s="72">
        <f t="shared" si="10"/>
        <v>-125951.1801</v>
      </c>
      <c r="Q39" s="72">
        <f t="shared" si="10"/>
        <v>-126206.0963</v>
      </c>
      <c r="R39" s="72">
        <f t="shared" si="10"/>
        <v>-143273.7583</v>
      </c>
      <c r="S39" s="72">
        <f t="shared" si="10"/>
        <v>-177091.1784</v>
      </c>
      <c r="T39" s="72">
        <f t="shared" si="10"/>
        <v>-166716.2758</v>
      </c>
      <c r="U39" s="72">
        <f t="shared" si="10"/>
        <v>-177783.1697</v>
      </c>
      <c r="V39" s="72">
        <f t="shared" si="10"/>
        <v>-174551.8478</v>
      </c>
      <c r="W39" s="72">
        <f t="shared" si="10"/>
        <v>-191208.9391</v>
      </c>
      <c r="X39" s="72">
        <f t="shared" si="10"/>
        <v>-188010.9651</v>
      </c>
      <c r="Y39" s="72">
        <f t="shared" si="10"/>
        <v>-187955.4778</v>
      </c>
      <c r="Z39" s="72">
        <f t="shared" si="10"/>
        <v>-190135.4792</v>
      </c>
      <c r="AA39" s="72">
        <f t="shared" si="10"/>
        <v>-190550.7108</v>
      </c>
      <c r="AB39" s="72">
        <f t="shared" si="10"/>
        <v>-178302.104</v>
      </c>
      <c r="AC39" s="72">
        <f t="shared" si="10"/>
        <v>-188903.1808</v>
      </c>
      <c r="AD39" s="72">
        <f t="shared" si="10"/>
        <v>-185827.1966</v>
      </c>
      <c r="AE39" s="72">
        <f t="shared" si="10"/>
        <v>-187072.4049</v>
      </c>
      <c r="AF39" s="72">
        <f t="shared" si="10"/>
        <v>-182514.7907</v>
      </c>
      <c r="AG39" s="72">
        <f t="shared" si="10"/>
        <v>-183071.2408</v>
      </c>
      <c r="AH39" s="72">
        <f t="shared" si="10"/>
        <v>-170970.9133</v>
      </c>
      <c r="AI39" s="72">
        <f t="shared" si="10"/>
        <v>-170053.4996</v>
      </c>
      <c r="AJ39" s="72">
        <f t="shared" si="10"/>
        <v>-186447.6601</v>
      </c>
      <c r="AK39" s="72">
        <f t="shared" si="10"/>
        <v>-178475.8797</v>
      </c>
      <c r="AL39" s="72">
        <f t="shared" si="10"/>
        <v>-178209.4849</v>
      </c>
      <c r="AM39" s="72">
        <f t="shared" si="10"/>
        <v>-178955.1812</v>
      </c>
      <c r="AN39" s="72">
        <f t="shared" si="10"/>
        <v>-166038.7943</v>
      </c>
      <c r="AO39" s="72">
        <f t="shared" si="10"/>
        <v>-165207.5525</v>
      </c>
      <c r="AP39" s="72">
        <f t="shared" si="10"/>
        <v>-166070.7892</v>
      </c>
      <c r="AQ39" s="72">
        <f t="shared" si="10"/>
        <v>-153277.8198</v>
      </c>
      <c r="AR39" s="72">
        <f t="shared" si="10"/>
        <v>-152576.1663</v>
      </c>
      <c r="AS39" s="72">
        <f t="shared" si="10"/>
        <v>-153575.4707</v>
      </c>
      <c r="AT39" s="72">
        <f t="shared" si="10"/>
        <v>-140925.3723</v>
      </c>
      <c r="AU39" s="72">
        <f t="shared" si="10"/>
        <v>-140373.7334</v>
      </c>
      <c r="AV39" s="72">
        <f t="shared" si="10"/>
        <v>-141530.5531</v>
      </c>
      <c r="AW39" s="72">
        <f t="shared" si="10"/>
        <v>-144398.5859</v>
      </c>
      <c r="AX39" s="72">
        <f t="shared" si="10"/>
        <v>-144470.9807</v>
      </c>
      <c r="AY39" s="72">
        <f t="shared" si="10"/>
        <v>-145810.1441</v>
      </c>
      <c r="AZ39" s="72">
        <f t="shared" si="10"/>
        <v>-132420.9483</v>
      </c>
      <c r="BA39" s="72">
        <f t="shared" si="10"/>
        <v>-132111.7343</v>
      </c>
    </row>
    <row r="40" ht="14.25" customHeight="1">
      <c r="A40" s="3" t="s">
        <v>485</v>
      </c>
      <c r="B40" s="73">
        <f t="shared" ref="B40:BA40" si="11">IFERROR(B39/B7,0)</f>
        <v>0</v>
      </c>
      <c r="C40" s="73">
        <f t="shared" si="11"/>
        <v>0</v>
      </c>
      <c r="D40" s="73">
        <f t="shared" si="11"/>
        <v>0</v>
      </c>
      <c r="E40" s="73">
        <f t="shared" si="11"/>
        <v>0</v>
      </c>
      <c r="F40" s="73">
        <f t="shared" si="11"/>
        <v>0</v>
      </c>
      <c r="G40" s="73">
        <f t="shared" si="11"/>
        <v>0</v>
      </c>
      <c r="H40" s="73">
        <f t="shared" si="11"/>
        <v>0</v>
      </c>
      <c r="I40" s="73">
        <f t="shared" si="11"/>
        <v>0</v>
      </c>
      <c r="J40" s="73">
        <f t="shared" si="11"/>
        <v>0</v>
      </c>
      <c r="K40" s="73">
        <f t="shared" si="11"/>
        <v>0</v>
      </c>
      <c r="L40" s="73">
        <f t="shared" si="11"/>
        <v>0</v>
      </c>
      <c r="M40" s="73">
        <f t="shared" si="11"/>
        <v>0</v>
      </c>
      <c r="N40" s="73">
        <f t="shared" si="11"/>
        <v>0</v>
      </c>
      <c r="O40" s="73">
        <f t="shared" si="11"/>
        <v>-30.85077225</v>
      </c>
      <c r="P40" s="73">
        <f t="shared" si="11"/>
        <v>-29.15536577</v>
      </c>
      <c r="Q40" s="73">
        <f t="shared" si="11"/>
        <v>-29.21437415</v>
      </c>
      <c r="R40" s="73">
        <f t="shared" si="11"/>
        <v>-33.16522183</v>
      </c>
      <c r="S40" s="73">
        <f t="shared" si="11"/>
        <v>-40.99332834</v>
      </c>
      <c r="T40" s="73">
        <f t="shared" si="11"/>
        <v>-38.5917305</v>
      </c>
      <c r="U40" s="73">
        <f t="shared" si="11"/>
        <v>-41.1535115</v>
      </c>
      <c r="V40" s="73">
        <f t="shared" si="11"/>
        <v>-40.40552033</v>
      </c>
      <c r="W40" s="73">
        <f t="shared" si="11"/>
        <v>-44.26132849</v>
      </c>
      <c r="X40" s="73">
        <f t="shared" si="11"/>
        <v>-43.52105674</v>
      </c>
      <c r="Y40" s="73">
        <f t="shared" si="11"/>
        <v>-10.54744545</v>
      </c>
      <c r="Z40" s="73">
        <f t="shared" si="11"/>
        <v>-9.879425907</v>
      </c>
      <c r="AA40" s="73">
        <f t="shared" si="11"/>
        <v>-9.901001312</v>
      </c>
      <c r="AB40" s="73">
        <f t="shared" si="11"/>
        <v>-5.271217777</v>
      </c>
      <c r="AC40" s="73">
        <f t="shared" si="11"/>
        <v>-5.584621729</v>
      </c>
      <c r="AD40" s="73">
        <f t="shared" si="11"/>
        <v>-5.493685155</v>
      </c>
      <c r="AE40" s="73">
        <f t="shared" si="11"/>
        <v>-3.864685179</v>
      </c>
      <c r="AF40" s="73">
        <f t="shared" si="11"/>
        <v>-3.77053049</v>
      </c>
      <c r="AG40" s="73">
        <f t="shared" si="11"/>
        <v>-3.782026062</v>
      </c>
      <c r="AH40" s="73">
        <f t="shared" si="11"/>
        <v>-2.714444466</v>
      </c>
      <c r="AI40" s="73">
        <f t="shared" si="11"/>
        <v>-2.699879013</v>
      </c>
      <c r="AJ40" s="73">
        <f t="shared" si="11"/>
        <v>-2.960163277</v>
      </c>
      <c r="AK40" s="73">
        <f t="shared" si="11"/>
        <v>-2.300966919</v>
      </c>
      <c r="AL40" s="73">
        <f t="shared" si="11"/>
        <v>-2.127344883</v>
      </c>
      <c r="AM40" s="73">
        <f t="shared" si="11"/>
        <v>-2.136246504</v>
      </c>
      <c r="AN40" s="73">
        <f t="shared" si="11"/>
        <v>-1.668442382</v>
      </c>
      <c r="AO40" s="73">
        <f t="shared" si="11"/>
        <v>-1.660089641</v>
      </c>
      <c r="AP40" s="73">
        <f t="shared" si="11"/>
        <v>-1.668763883</v>
      </c>
      <c r="AQ40" s="73">
        <f t="shared" si="11"/>
        <v>-1.329801915</v>
      </c>
      <c r="AR40" s="73">
        <f t="shared" si="11"/>
        <v>-1.323714535</v>
      </c>
      <c r="AS40" s="73">
        <f t="shared" si="11"/>
        <v>-1.332384263</v>
      </c>
      <c r="AT40" s="73">
        <f t="shared" si="11"/>
        <v>-1.075683693</v>
      </c>
      <c r="AU40" s="73">
        <f t="shared" si="11"/>
        <v>-1.071473032</v>
      </c>
      <c r="AV40" s="73">
        <f t="shared" si="11"/>
        <v>-1.08030304</v>
      </c>
      <c r="AW40" s="73">
        <f t="shared" si="11"/>
        <v>-1.102194741</v>
      </c>
      <c r="AX40" s="73">
        <f t="shared" si="11"/>
        <v>-1.021062343</v>
      </c>
      <c r="AY40" s="73">
        <f t="shared" si="11"/>
        <v>-1.030527007</v>
      </c>
      <c r="AZ40" s="73">
        <f t="shared" si="11"/>
        <v>-0.8354794005</v>
      </c>
      <c r="BA40" s="73">
        <f t="shared" si="11"/>
        <v>-0.8335284859</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5.0"/>
    <col customWidth="1" min="2" max="53" width="12.0"/>
  </cols>
  <sheetData>
    <row r="1" ht="14.25" customHeight="1">
      <c r="A1" s="1" t="s">
        <v>486</v>
      </c>
    </row>
    <row r="2" ht="14.25" customHeight="1">
      <c r="B2" s="75">
        <v>46113.0</v>
      </c>
      <c r="C2" s="75">
        <v>46143.0</v>
      </c>
      <c r="D2" s="75">
        <v>46174.0</v>
      </c>
      <c r="E2" s="75">
        <v>46204.0</v>
      </c>
      <c r="F2" s="75">
        <v>46235.0</v>
      </c>
      <c r="G2" s="75">
        <v>46266.0</v>
      </c>
      <c r="H2" s="75">
        <v>46296.0</v>
      </c>
      <c r="I2" s="75">
        <v>46327.0</v>
      </c>
      <c r="J2" s="75">
        <v>46357.0</v>
      </c>
      <c r="K2" s="75">
        <v>46388.0</v>
      </c>
      <c r="L2" s="75">
        <v>46419.0</v>
      </c>
      <c r="M2" s="75">
        <v>46447.0</v>
      </c>
      <c r="N2" s="75">
        <v>46478.0</v>
      </c>
      <c r="O2" s="75">
        <v>46508.0</v>
      </c>
      <c r="P2" s="75">
        <v>46539.0</v>
      </c>
      <c r="Q2" s="75">
        <v>46569.0</v>
      </c>
      <c r="R2" s="75">
        <v>46600.0</v>
      </c>
      <c r="S2" s="75">
        <v>46631.0</v>
      </c>
      <c r="T2" s="75">
        <v>46661.0</v>
      </c>
      <c r="U2" s="75">
        <v>46692.0</v>
      </c>
      <c r="V2" s="75">
        <v>46722.0</v>
      </c>
      <c r="W2" s="75">
        <v>46753.0</v>
      </c>
      <c r="X2" s="75">
        <v>46784.0</v>
      </c>
      <c r="Y2" s="75">
        <v>46813.0</v>
      </c>
      <c r="Z2" s="75">
        <v>46844.0</v>
      </c>
      <c r="AA2" s="75">
        <v>46874.0</v>
      </c>
      <c r="AB2" s="75">
        <v>46905.0</v>
      </c>
      <c r="AC2" s="75">
        <v>46935.0</v>
      </c>
      <c r="AD2" s="75">
        <v>46966.0</v>
      </c>
      <c r="AE2" s="75">
        <v>46997.0</v>
      </c>
      <c r="AF2" s="75">
        <v>47027.0</v>
      </c>
      <c r="AG2" s="75">
        <v>47058.0</v>
      </c>
      <c r="AH2" s="75">
        <v>47088.0</v>
      </c>
      <c r="AI2" s="75">
        <v>47119.0</v>
      </c>
      <c r="AJ2" s="75">
        <v>47150.0</v>
      </c>
      <c r="AK2" s="75">
        <v>47178.0</v>
      </c>
      <c r="AL2" s="75">
        <v>47209.0</v>
      </c>
      <c r="AM2" s="75">
        <v>47239.0</v>
      </c>
      <c r="AN2" s="75">
        <v>47270.0</v>
      </c>
      <c r="AO2" s="75">
        <v>47300.0</v>
      </c>
      <c r="AP2" s="75">
        <v>47331.0</v>
      </c>
      <c r="AQ2" s="75">
        <v>47362.0</v>
      </c>
      <c r="AR2" s="75">
        <v>47392.0</v>
      </c>
      <c r="AS2" s="75">
        <v>47423.0</v>
      </c>
      <c r="AT2" s="75">
        <v>47453.0</v>
      </c>
      <c r="AU2" s="75">
        <v>47484.0</v>
      </c>
      <c r="AV2" s="75">
        <v>47515.0</v>
      </c>
      <c r="AW2" s="75">
        <v>47543.0</v>
      </c>
      <c r="AX2" s="75">
        <v>47574.0</v>
      </c>
      <c r="AY2" s="75">
        <v>47604.0</v>
      </c>
      <c r="AZ2" s="75">
        <v>47635.0</v>
      </c>
      <c r="BA2" s="75">
        <v>47665.0</v>
      </c>
    </row>
    <row r="3" ht="14.25" customHeight="1">
      <c r="A3" s="70" t="s">
        <v>487</v>
      </c>
      <c r="B3" s="70" t="s">
        <v>406</v>
      </c>
      <c r="C3" s="70" t="s">
        <v>407</v>
      </c>
      <c r="D3" s="70" t="s">
        <v>408</v>
      </c>
      <c r="E3" s="70" t="s">
        <v>409</v>
      </c>
      <c r="F3" s="70" t="s">
        <v>410</v>
      </c>
      <c r="G3" s="70" t="s">
        <v>411</v>
      </c>
      <c r="H3" s="70" t="s">
        <v>412</v>
      </c>
      <c r="I3" s="70" t="s">
        <v>413</v>
      </c>
      <c r="J3" s="70" t="s">
        <v>414</v>
      </c>
      <c r="K3" s="70" t="s">
        <v>415</v>
      </c>
      <c r="L3" s="70" t="s">
        <v>416</v>
      </c>
      <c r="M3" s="70" t="s">
        <v>417</v>
      </c>
      <c r="N3" s="70" t="s">
        <v>418</v>
      </c>
      <c r="O3" s="70" t="s">
        <v>419</v>
      </c>
      <c r="P3" s="70" t="s">
        <v>420</v>
      </c>
      <c r="Q3" s="70" t="s">
        <v>421</v>
      </c>
      <c r="R3" s="70" t="s">
        <v>422</v>
      </c>
      <c r="S3" s="70" t="s">
        <v>423</v>
      </c>
      <c r="T3" s="70" t="s">
        <v>424</v>
      </c>
      <c r="U3" s="70" t="s">
        <v>425</v>
      </c>
      <c r="V3" s="70" t="s">
        <v>426</v>
      </c>
      <c r="W3" s="70" t="s">
        <v>427</v>
      </c>
      <c r="X3" s="70" t="s">
        <v>428</v>
      </c>
      <c r="Y3" s="70" t="s">
        <v>429</v>
      </c>
      <c r="Z3" s="70" t="s">
        <v>430</v>
      </c>
      <c r="AA3" s="70" t="s">
        <v>431</v>
      </c>
      <c r="AB3" s="70" t="s">
        <v>432</v>
      </c>
      <c r="AC3" s="70" t="s">
        <v>433</v>
      </c>
      <c r="AD3" s="70" t="s">
        <v>434</v>
      </c>
      <c r="AE3" s="70" t="s">
        <v>435</v>
      </c>
      <c r="AF3" s="70" t="s">
        <v>436</v>
      </c>
      <c r="AG3" s="70" t="s">
        <v>437</v>
      </c>
      <c r="AH3" s="70" t="s">
        <v>438</v>
      </c>
      <c r="AI3" s="70" t="s">
        <v>439</v>
      </c>
      <c r="AJ3" s="70" t="s">
        <v>440</v>
      </c>
      <c r="AK3" s="70" t="s">
        <v>441</v>
      </c>
      <c r="AL3" s="70" t="s">
        <v>442</v>
      </c>
      <c r="AM3" s="70" t="s">
        <v>443</v>
      </c>
      <c r="AN3" s="70" t="s">
        <v>444</v>
      </c>
      <c r="AO3" s="70" t="s">
        <v>445</v>
      </c>
      <c r="AP3" s="70" t="s">
        <v>446</v>
      </c>
      <c r="AQ3" s="70" t="s">
        <v>447</v>
      </c>
      <c r="AR3" s="70" t="s">
        <v>448</v>
      </c>
      <c r="AS3" s="70" t="s">
        <v>449</v>
      </c>
      <c r="AT3" s="70" t="s">
        <v>450</v>
      </c>
      <c r="AU3" s="70" t="s">
        <v>451</v>
      </c>
      <c r="AV3" s="70" t="s">
        <v>452</v>
      </c>
      <c r="AW3" s="70" t="s">
        <v>453</v>
      </c>
      <c r="AX3" s="70" t="s">
        <v>454</v>
      </c>
      <c r="AY3" s="70" t="s">
        <v>455</v>
      </c>
      <c r="AZ3" s="70" t="s">
        <v>456</v>
      </c>
      <c r="BA3" s="70" t="s">
        <v>457</v>
      </c>
    </row>
    <row r="4" ht="14.25" customHeight="1">
      <c r="A4" s="3" t="s">
        <v>488</v>
      </c>
      <c r="B4" s="74">
        <f>IFERROR(Inputs!$B$20/12*(1+Inputs!$B$21)^(INT((1-1)/12)),0)</f>
        <v>800</v>
      </c>
      <c r="C4" s="74">
        <f>Inputs!$B$20/12*(1+Inputs!$B$21)^INT((2-1)/12)</f>
        <v>800</v>
      </c>
      <c r="D4" s="74">
        <f>Inputs!$B$20/12*(1+Inputs!$B$21)^INT((3-1)/12)</f>
        <v>800</v>
      </c>
      <c r="E4" s="74">
        <f>Inputs!$B$20/12*(1+Inputs!$B$21)^INT((4-1)/12)</f>
        <v>800</v>
      </c>
      <c r="F4" s="74">
        <f>Inputs!$B$20/12*(1+Inputs!$B$21)^INT((5-1)/12)</f>
        <v>800</v>
      </c>
      <c r="G4" s="74">
        <f>Inputs!$B$20/12*(1+Inputs!$B$21)^INT((6-1)/12)</f>
        <v>800</v>
      </c>
      <c r="H4" s="74">
        <f>Inputs!$B$20/12*(1+Inputs!$B$21)^INT((7-1)/12)</f>
        <v>800</v>
      </c>
      <c r="I4" s="74">
        <f>Inputs!$B$20/12*(1+Inputs!$B$21)^INT((8-1)/12)</f>
        <v>800</v>
      </c>
      <c r="J4" s="74">
        <f>Inputs!$B$20/12*(1+Inputs!$B$21)^INT((9-1)/12)</f>
        <v>800</v>
      </c>
      <c r="K4" s="74">
        <f>Inputs!$B$20/12*(1+Inputs!$B$21)^INT((10-1)/12)</f>
        <v>800</v>
      </c>
      <c r="L4" s="74">
        <f>Inputs!$B$20/12*(1+Inputs!$B$21)^INT((11-1)/12)</f>
        <v>800</v>
      </c>
      <c r="M4" s="74">
        <f>Inputs!$B$20/12*(1+Inputs!$B$21)^INT((12-1)/12)</f>
        <v>800</v>
      </c>
      <c r="N4" s="74">
        <f>Inputs!$B$20/12*(1+Inputs!$B$21)^INT((13-1)/12)</f>
        <v>864</v>
      </c>
      <c r="O4" s="74">
        <f>Inputs!$B$20/12*(1+Inputs!$B$21)^INT((14-1)/12)</f>
        <v>864</v>
      </c>
      <c r="P4" s="74">
        <f>Inputs!$B$20/12*(1+Inputs!$B$21)^INT((15-1)/12)</f>
        <v>864</v>
      </c>
      <c r="Q4" s="74">
        <f>Inputs!$B$20/12*(1+Inputs!$B$21)^INT((16-1)/12)</f>
        <v>864</v>
      </c>
      <c r="R4" s="74">
        <f>Inputs!$B$20/12*(1+Inputs!$B$21)^INT((17-1)/12)</f>
        <v>864</v>
      </c>
      <c r="S4" s="74">
        <f>Inputs!$B$20/12*(1+Inputs!$B$21)^INT((18-1)/12)</f>
        <v>864</v>
      </c>
      <c r="T4" s="74">
        <f>Inputs!$B$20/12*(1+Inputs!$B$21)^INT((19-1)/12)</f>
        <v>864</v>
      </c>
      <c r="U4" s="74">
        <f>Inputs!$B$20/12*(1+Inputs!$B$21)^INT((20-1)/12)</f>
        <v>864</v>
      </c>
      <c r="V4" s="74">
        <f>Inputs!$B$20/12*(1+Inputs!$B$21)^INT((21-1)/12)</f>
        <v>864</v>
      </c>
      <c r="W4" s="74">
        <f>Inputs!$B$20/12*(1+Inputs!$B$21)^INT((22-1)/12)</f>
        <v>864</v>
      </c>
      <c r="X4" s="74">
        <f>Inputs!$B$20/12*(1+Inputs!$B$21)^INT((23-1)/12)</f>
        <v>864</v>
      </c>
      <c r="Y4" s="74">
        <f>Inputs!$B$20/12*(1+Inputs!$B$21)^INT((24-1)/12)</f>
        <v>864</v>
      </c>
      <c r="Z4" s="74">
        <f>Inputs!$B$20/12*(1+Inputs!$B$21)^INT((25-1)/12)</f>
        <v>933.12</v>
      </c>
      <c r="AA4" s="74">
        <f>Inputs!$B$20/12*(1+Inputs!$B$21)^INT((26-1)/12)</f>
        <v>933.12</v>
      </c>
      <c r="AB4" s="74">
        <f>Inputs!$B$20/12*(1+Inputs!$B$21)^INT((27-1)/12)</f>
        <v>933.12</v>
      </c>
      <c r="AC4" s="74">
        <f>Inputs!$B$20/12*(1+Inputs!$B$21)^INT((28-1)/12)</f>
        <v>933.12</v>
      </c>
      <c r="AD4" s="74">
        <f>Inputs!$B$20/12*(1+Inputs!$B$21)^INT((29-1)/12)</f>
        <v>933.12</v>
      </c>
      <c r="AE4" s="74">
        <f>Inputs!$B$20/12*(1+Inputs!$B$21)^INT((30-1)/12)</f>
        <v>933.12</v>
      </c>
      <c r="AF4" s="74">
        <f>Inputs!$B$20/12*(1+Inputs!$B$21)^INT((31-1)/12)</f>
        <v>933.12</v>
      </c>
      <c r="AG4" s="74">
        <f>Inputs!$B$20/12*(1+Inputs!$B$21)^INT((32-1)/12)</f>
        <v>933.12</v>
      </c>
      <c r="AH4" s="74">
        <f>Inputs!$B$20/12*(1+Inputs!$B$21)^INT((33-1)/12)</f>
        <v>933.12</v>
      </c>
      <c r="AI4" s="74">
        <f>Inputs!$B$20/12*(1+Inputs!$B$21)^INT((34-1)/12)</f>
        <v>933.12</v>
      </c>
      <c r="AJ4" s="74">
        <f>Inputs!$B$20/12*(1+Inputs!$B$21)^INT((35-1)/12)</f>
        <v>933.12</v>
      </c>
      <c r="AK4" s="74">
        <f>Inputs!$B$20/12*(1+Inputs!$B$21)^INT((36-1)/12)</f>
        <v>933.12</v>
      </c>
      <c r="AL4" s="74">
        <f>Inputs!$B$20/12*(1+Inputs!$B$21)^INT((37-1)/12)</f>
        <v>1007.7696</v>
      </c>
      <c r="AM4" s="74">
        <f>Inputs!$B$20/12*(1+Inputs!$B$21)^INT((38-1)/12)</f>
        <v>1007.7696</v>
      </c>
      <c r="AN4" s="74">
        <f>Inputs!$B$20/12*(1+Inputs!$B$21)^INT((39-1)/12)</f>
        <v>1007.7696</v>
      </c>
      <c r="AO4" s="74">
        <f>Inputs!$B$20/12*(1+Inputs!$B$21)^INT((40-1)/12)</f>
        <v>1007.7696</v>
      </c>
      <c r="AP4" s="74">
        <f>Inputs!$B$20/12*(1+Inputs!$B$21)^INT((41-1)/12)</f>
        <v>1007.7696</v>
      </c>
      <c r="AQ4" s="74">
        <f>Inputs!$B$20/12*(1+Inputs!$B$21)^INT((42-1)/12)</f>
        <v>1007.7696</v>
      </c>
      <c r="AR4" s="74">
        <f>Inputs!$B$20/12*(1+Inputs!$B$21)^INT((43-1)/12)</f>
        <v>1007.7696</v>
      </c>
      <c r="AS4" s="74">
        <f>Inputs!$B$20/12*(1+Inputs!$B$21)^INT((44-1)/12)</f>
        <v>1007.7696</v>
      </c>
      <c r="AT4" s="74">
        <f>Inputs!$B$20/12*(1+Inputs!$B$21)^INT((45-1)/12)</f>
        <v>1007.7696</v>
      </c>
      <c r="AU4" s="74">
        <f>Inputs!$B$20/12*(1+Inputs!$B$21)^INT((46-1)/12)</f>
        <v>1007.7696</v>
      </c>
      <c r="AV4" s="74">
        <f>Inputs!$B$20/12*(1+Inputs!$B$21)^INT((47-1)/12)</f>
        <v>1007.7696</v>
      </c>
      <c r="AW4" s="74">
        <f>Inputs!$B$20/12*(1+Inputs!$B$21)^INT((48-1)/12)</f>
        <v>1007.7696</v>
      </c>
      <c r="AX4" s="74">
        <f>Inputs!$B$20/12*(1+Inputs!$B$21)^INT((49-1)/12)</f>
        <v>1088.391168</v>
      </c>
      <c r="AY4" s="74">
        <f>Inputs!$B$20/12*(1+Inputs!$B$21)^INT((50-1)/12)</f>
        <v>1088.391168</v>
      </c>
      <c r="AZ4" s="74">
        <f>Inputs!$B$20/12*(1+Inputs!$B$21)^INT((51-1)/12)</f>
        <v>1088.391168</v>
      </c>
      <c r="BA4" s="74">
        <f>Inputs!$B$20/12*(1+Inputs!$B$21)^INT((52-1)/12)</f>
        <v>1088.391168</v>
      </c>
    </row>
    <row r="5" ht="14.25" customHeight="1">
      <c r="A5" s="3" t="s">
        <v>489</v>
      </c>
      <c r="B5" s="74">
        <f>IF(1&gt;=Inputs!$B$22,Inputs!$B$23,0)</f>
        <v>0</v>
      </c>
      <c r="C5" s="74">
        <f>IF(2&gt;=Inputs!$B$22,IF(2=Inputs!$B$22,Inputs!$B$23,ROUND(B8*Inputs!$B$24,0)),0)</f>
        <v>0</v>
      </c>
      <c r="D5" s="74">
        <f>IF(3&gt;=Inputs!$B$22,IF(3=Inputs!$B$22,Inputs!$B$23,ROUND(C8*Inputs!$B$24,0)),0)</f>
        <v>0</v>
      </c>
      <c r="E5" s="74">
        <f>IF(4&gt;=Inputs!$B$22,IF(4=Inputs!$B$22,Inputs!$B$23,ROUND(D8*Inputs!$B$24,0)),0)</f>
        <v>0</v>
      </c>
      <c r="F5" s="74">
        <f>IF(5&gt;=Inputs!$B$22,IF(5=Inputs!$B$22,Inputs!$B$23,ROUND(E8*Inputs!$B$24,0)),0)</f>
        <v>0</v>
      </c>
      <c r="G5" s="74">
        <f>IF(6&gt;=Inputs!$B$22,IF(6=Inputs!$B$22,Inputs!$B$23,ROUND(F8*Inputs!$B$24,0)),0)</f>
        <v>0</v>
      </c>
      <c r="H5" s="74">
        <f>IF(7&gt;=Inputs!$B$22,IF(7=Inputs!$B$22,Inputs!$B$23,ROUND(G8*Inputs!$B$24,0)),0)</f>
        <v>0</v>
      </c>
      <c r="I5" s="74">
        <f>IF(8&gt;=Inputs!$B$22,IF(8=Inputs!$B$22,Inputs!$B$23,ROUND(H8*Inputs!$B$24,0)),0)</f>
        <v>0</v>
      </c>
      <c r="J5" s="74">
        <f>IF(9&gt;=Inputs!$B$22,IF(9=Inputs!$B$22,Inputs!$B$23,ROUND(I8*Inputs!$B$24,0)),0)</f>
        <v>0</v>
      </c>
      <c r="K5" s="74">
        <f>IF(10&gt;=Inputs!$B$22,IF(10=Inputs!$B$22,Inputs!$B$23,ROUND(J8*Inputs!$B$24,0)),0)</f>
        <v>0</v>
      </c>
      <c r="L5" s="74">
        <f>IF(11&gt;=Inputs!$B$22,IF(11=Inputs!$B$22,Inputs!$B$23,ROUND(K8*Inputs!$B$24,0)),0)</f>
        <v>0</v>
      </c>
      <c r="M5" s="74">
        <f>IF(12&gt;=Inputs!$B$22,IF(12=Inputs!$B$22,Inputs!$B$23,ROUND(L8*Inputs!$B$24,0)),0)</f>
        <v>0</v>
      </c>
      <c r="N5" s="74">
        <f>IF(13&gt;=Inputs!$B$22,IF(13=Inputs!$B$22,Inputs!$B$23,ROUND(M8*Inputs!$B$24,0)),0)</f>
        <v>0</v>
      </c>
      <c r="O5" s="74">
        <f>IF(14&gt;=Inputs!$B$22,IF(14=Inputs!$B$22,Inputs!$B$23,ROUND(N8*Inputs!$B$24,0)),0)</f>
        <v>5</v>
      </c>
      <c r="P5" s="74">
        <f>IF(15&gt;=Inputs!$B$22,IF(15=Inputs!$B$22,Inputs!$B$23,ROUND(O8*Inputs!$B$24,0)),0)</f>
        <v>0</v>
      </c>
      <c r="Q5" s="74">
        <f>IF(16&gt;=Inputs!$B$22,IF(16=Inputs!$B$22,Inputs!$B$23,ROUND(P8*Inputs!$B$24,0)),0)</f>
        <v>0</v>
      </c>
      <c r="R5" s="74">
        <f>IF(17&gt;=Inputs!$B$22,IF(17=Inputs!$B$22,Inputs!$B$23,ROUND(Q8*Inputs!$B$24,0)),0)</f>
        <v>0</v>
      </c>
      <c r="S5" s="74">
        <f>IF(18&gt;=Inputs!$B$22,IF(18=Inputs!$B$22,Inputs!$B$23,ROUND(R8*Inputs!$B$24,0)),0)</f>
        <v>0</v>
      </c>
      <c r="T5" s="74">
        <f>IF(19&gt;=Inputs!$B$22,IF(19=Inputs!$B$22,Inputs!$B$23,ROUND(S8*Inputs!$B$24,0)),0)</f>
        <v>0</v>
      </c>
      <c r="U5" s="74">
        <f>IF(20&gt;=Inputs!$B$22,IF(20=Inputs!$B$22,Inputs!$B$23,ROUND(T8*Inputs!$B$24,0)),0)</f>
        <v>0</v>
      </c>
      <c r="V5" s="74">
        <f>IF(21&gt;=Inputs!$B$22,IF(21=Inputs!$B$22,Inputs!$B$23,ROUND(U8*Inputs!$B$24,0)),0)</f>
        <v>0</v>
      </c>
      <c r="W5" s="74">
        <f>IF(22&gt;=Inputs!$B$22,IF(22=Inputs!$B$22,Inputs!$B$23,ROUND(V8*Inputs!$B$24,0)),0)</f>
        <v>0</v>
      </c>
      <c r="X5" s="74">
        <f>IF(23&gt;=Inputs!$B$22,IF(23=Inputs!$B$22,Inputs!$B$23,ROUND(W8*Inputs!$B$24,0)),0)</f>
        <v>0</v>
      </c>
      <c r="Y5" s="74">
        <f>IF(24&gt;=Inputs!$B$22,IF(24=Inputs!$B$22,Inputs!$B$23,ROUND(X8*Inputs!$B$24,0)),0)</f>
        <v>0</v>
      </c>
      <c r="Z5" s="74">
        <f>IF(25&gt;=Inputs!$B$22,IF(25=Inputs!$B$22,Inputs!$B$23,ROUND(Y8*Inputs!$B$24,0)),0)</f>
        <v>0</v>
      </c>
      <c r="AA5" s="74">
        <f>IF(26&gt;=Inputs!$B$22,IF(26=Inputs!$B$22,Inputs!$B$23,ROUND(Z8*Inputs!$B$24,0)),0)</f>
        <v>0</v>
      </c>
      <c r="AB5" s="74">
        <f>IF(27&gt;=Inputs!$B$22,IF(27=Inputs!$B$22,Inputs!$B$23,ROUND(AA8*Inputs!$B$24,0)),0)</f>
        <v>0</v>
      </c>
      <c r="AC5" s="74">
        <f>IF(28&gt;=Inputs!$B$22,IF(28=Inputs!$B$22,Inputs!$B$23,ROUND(AB8*Inputs!$B$24,0)),0)</f>
        <v>0</v>
      </c>
      <c r="AD5" s="74">
        <f>IF(29&gt;=Inputs!$B$22,IF(29=Inputs!$B$22,Inputs!$B$23,ROUND(AC8*Inputs!$B$24,0)),0)</f>
        <v>0</v>
      </c>
      <c r="AE5" s="74">
        <f>IF(30&gt;=Inputs!$B$22,IF(30=Inputs!$B$22,Inputs!$B$23,ROUND(AD8*Inputs!$B$24,0)),0)</f>
        <v>0</v>
      </c>
      <c r="AF5" s="74">
        <f>IF(31&gt;=Inputs!$B$22,IF(31=Inputs!$B$22,Inputs!$B$23,ROUND(AE8*Inputs!$B$24,0)),0)</f>
        <v>0</v>
      </c>
      <c r="AG5" s="74">
        <f>IF(32&gt;=Inputs!$B$22,IF(32=Inputs!$B$22,Inputs!$B$23,ROUND(AF8*Inputs!$B$24,0)),0)</f>
        <v>0</v>
      </c>
      <c r="AH5" s="74">
        <f>IF(33&gt;=Inputs!$B$22,IF(33=Inputs!$B$22,Inputs!$B$23,ROUND(AG8*Inputs!$B$24,0)),0)</f>
        <v>0</v>
      </c>
      <c r="AI5" s="74">
        <f>IF(34&gt;=Inputs!$B$22,IF(34=Inputs!$B$22,Inputs!$B$23,ROUND(AH8*Inputs!$B$24,0)),0)</f>
        <v>0</v>
      </c>
      <c r="AJ5" s="74">
        <f>IF(35&gt;=Inputs!$B$22,IF(35=Inputs!$B$22,Inputs!$B$23,ROUND(AI8*Inputs!$B$24,0)),0)</f>
        <v>0</v>
      </c>
      <c r="AK5" s="74">
        <f>IF(36&gt;=Inputs!$B$22,IF(36=Inputs!$B$22,Inputs!$B$23,ROUND(AJ8*Inputs!$B$24,0)),0)</f>
        <v>0</v>
      </c>
      <c r="AL5" s="74">
        <f>IF(37&gt;=Inputs!$B$22,IF(37=Inputs!$B$22,Inputs!$B$23,ROUND(AK8*Inputs!$B$24,0)),0)</f>
        <v>0</v>
      </c>
      <c r="AM5" s="74">
        <f>IF(38&gt;=Inputs!$B$22,IF(38=Inputs!$B$22,Inputs!$B$23,ROUND(AL8*Inputs!$B$24,0)),0)</f>
        <v>0</v>
      </c>
      <c r="AN5" s="74">
        <f>IF(39&gt;=Inputs!$B$22,IF(39=Inputs!$B$22,Inputs!$B$23,ROUND(AM8*Inputs!$B$24,0)),0)</f>
        <v>0</v>
      </c>
      <c r="AO5" s="74">
        <f>IF(40&gt;=Inputs!$B$22,IF(40=Inputs!$B$22,Inputs!$B$23,ROUND(AN8*Inputs!$B$24,0)),0)</f>
        <v>0</v>
      </c>
      <c r="AP5" s="74">
        <f>IF(41&gt;=Inputs!$B$22,IF(41=Inputs!$B$22,Inputs!$B$23,ROUND(AO8*Inputs!$B$24,0)),0)</f>
        <v>0</v>
      </c>
      <c r="AQ5" s="74">
        <f>IF(42&gt;=Inputs!$B$22,IF(42=Inputs!$B$22,Inputs!$B$23,ROUND(AP8*Inputs!$B$24,0)),0)</f>
        <v>0</v>
      </c>
      <c r="AR5" s="74">
        <f>IF(43&gt;=Inputs!$B$22,IF(43=Inputs!$B$22,Inputs!$B$23,ROUND(AQ8*Inputs!$B$24,0)),0)</f>
        <v>0</v>
      </c>
      <c r="AS5" s="74">
        <f>IF(44&gt;=Inputs!$B$22,IF(44=Inputs!$B$22,Inputs!$B$23,ROUND(AR8*Inputs!$B$24,0)),0)</f>
        <v>0</v>
      </c>
      <c r="AT5" s="74">
        <f>IF(45&gt;=Inputs!$B$22,IF(45=Inputs!$B$22,Inputs!$B$23,ROUND(AS8*Inputs!$B$24,0)),0)</f>
        <v>0</v>
      </c>
      <c r="AU5" s="74">
        <f>IF(46&gt;=Inputs!$B$22,IF(46=Inputs!$B$22,Inputs!$B$23,ROUND(AT8*Inputs!$B$24,0)),0)</f>
        <v>0</v>
      </c>
      <c r="AV5" s="74">
        <f>IF(47&gt;=Inputs!$B$22,IF(47=Inputs!$B$22,Inputs!$B$23,ROUND(AU8*Inputs!$B$24,0)),0)</f>
        <v>0</v>
      </c>
      <c r="AW5" s="74">
        <f>IF(48&gt;=Inputs!$B$22,IF(48=Inputs!$B$22,Inputs!$B$23,ROUND(AV8*Inputs!$B$24,0)),0)</f>
        <v>0</v>
      </c>
      <c r="AX5" s="74">
        <f>IF(49&gt;=Inputs!$B$22,IF(49=Inputs!$B$22,Inputs!$B$23,ROUND(AW8*Inputs!$B$24,0)),0)</f>
        <v>0</v>
      </c>
      <c r="AY5" s="74">
        <f>IF(50&gt;=Inputs!$B$22,IF(50=Inputs!$B$22,Inputs!$B$23,ROUND(AX8*Inputs!$B$24,0)),0)</f>
        <v>0</v>
      </c>
      <c r="AZ5" s="74">
        <f>IF(51&gt;=Inputs!$B$22,IF(51=Inputs!$B$22,Inputs!$B$23,ROUND(AY8*Inputs!$B$24,0)),0)</f>
        <v>0</v>
      </c>
      <c r="BA5" s="74">
        <f>IF(52&gt;=Inputs!$B$22,IF(52=Inputs!$B$22,Inputs!$B$23,ROUND(AZ8*Inputs!$B$24,0)),0)</f>
        <v>0</v>
      </c>
    </row>
    <row r="6" ht="14.25" customHeight="1">
      <c r="A6" s="3" t="s">
        <v>490</v>
      </c>
      <c r="B6" s="74">
        <f>0</f>
        <v>0</v>
      </c>
      <c r="C6" s="74">
        <f>IF(B8&gt;0,ROUND(B8*Inputs!$B$28/12,0),0)</f>
        <v>0</v>
      </c>
      <c r="D6" s="74">
        <f>IF(C8&gt;0,ROUND(C8*Inputs!$B$28/12,0),0)</f>
        <v>0</v>
      </c>
      <c r="E6" s="74">
        <f>IF(D8&gt;0,ROUND(D8*Inputs!$B$28/12,0),0)</f>
        <v>0</v>
      </c>
      <c r="F6" s="74">
        <f>IF(E8&gt;0,ROUND(E8*Inputs!$B$28/12,0),0)</f>
        <v>0</v>
      </c>
      <c r="G6" s="74">
        <f>IF(F8&gt;0,ROUND(F8*Inputs!$B$28/12,0),0)</f>
        <v>0</v>
      </c>
      <c r="H6" s="74">
        <f>IF(G8&gt;0,ROUND(G8*Inputs!$B$28/12,0),0)</f>
        <v>0</v>
      </c>
      <c r="I6" s="74">
        <f>IF(H8&gt;0,ROUND(H8*Inputs!$B$28/12,0),0)</f>
        <v>0</v>
      </c>
      <c r="J6" s="74">
        <f>IF(I8&gt;0,ROUND(I8*Inputs!$B$28/12,0),0)</f>
        <v>0</v>
      </c>
      <c r="K6" s="74">
        <f>IF(J8&gt;0,ROUND(J8*Inputs!$B$28/12,0),0)</f>
        <v>0</v>
      </c>
      <c r="L6" s="74">
        <f>IF(K8&gt;0,ROUND(K8*Inputs!$B$28/12,0),0)</f>
        <v>0</v>
      </c>
      <c r="M6" s="74">
        <f>IF(L8&gt;0,ROUND(L8*Inputs!$B$28/12,0),0)</f>
        <v>0</v>
      </c>
      <c r="N6" s="74">
        <f>IF(M8&gt;0,ROUND(M8*Inputs!$B$28/12,0),0)</f>
        <v>0</v>
      </c>
      <c r="O6" s="74">
        <f>IF(N8&gt;0,ROUND(N8*Inputs!$B$28/12,0),0)</f>
        <v>0</v>
      </c>
      <c r="P6" s="74">
        <f>IF(O8&gt;0,ROUND(O8*Inputs!$B$28/12,0),0)</f>
        <v>0</v>
      </c>
      <c r="Q6" s="74">
        <f>IF(P8&gt;0,ROUND(P8*Inputs!$B$28/12,0),0)</f>
        <v>0</v>
      </c>
      <c r="R6" s="74">
        <f>IF(Q8&gt;0,ROUND(Q8*Inputs!$B$28/12,0),0)</f>
        <v>0</v>
      </c>
      <c r="S6" s="74">
        <f>IF(R8&gt;0,ROUND(R8*Inputs!$B$28/12,0),0)</f>
        <v>0</v>
      </c>
      <c r="T6" s="74">
        <f>IF(S8&gt;0,ROUND(S8*Inputs!$B$28/12,0),0)</f>
        <v>0</v>
      </c>
      <c r="U6" s="74">
        <f>IF(T8&gt;0,ROUND(T8*Inputs!$B$28/12,0),0)</f>
        <v>0</v>
      </c>
      <c r="V6" s="74">
        <f>IF(U8&gt;0,ROUND(U8*Inputs!$B$28/12,0),0)</f>
        <v>0</v>
      </c>
      <c r="W6" s="74">
        <f>IF(V8&gt;0,ROUND(V8*Inputs!$B$28/12,0),0)</f>
        <v>0</v>
      </c>
      <c r="X6" s="74">
        <f>IF(W8&gt;0,ROUND(W8*Inputs!$B$28/12,0),0)</f>
        <v>0</v>
      </c>
      <c r="Y6" s="74">
        <f>IF(X8&gt;0,ROUND(X8*Inputs!$B$28/12,0),0)</f>
        <v>0</v>
      </c>
      <c r="Z6" s="74">
        <f>IF(Y8&gt;0,ROUND(Y8*Inputs!$B$28/12,0),0)</f>
        <v>0</v>
      </c>
      <c r="AA6" s="74">
        <f>IF(Z8&gt;0,ROUND(Z8*Inputs!$B$28/12,0),0)</f>
        <v>0</v>
      </c>
      <c r="AB6" s="74">
        <f>IF(AA8&gt;0,ROUND(AA8*Inputs!$B$28/12,0),0)</f>
        <v>0</v>
      </c>
      <c r="AC6" s="74">
        <f>IF(AB8&gt;0,ROUND(AB8*Inputs!$B$28/12,0),0)</f>
        <v>0</v>
      </c>
      <c r="AD6" s="74">
        <f>IF(AC8&gt;0,ROUND(AC8*Inputs!$B$28/12,0),0)</f>
        <v>0</v>
      </c>
      <c r="AE6" s="74">
        <f>IF(AD8&gt;0,ROUND(AD8*Inputs!$B$28/12,0),0)</f>
        <v>0</v>
      </c>
      <c r="AF6" s="74">
        <f>IF(AE8&gt;0,ROUND(AE8*Inputs!$B$28/12,0),0)</f>
        <v>0</v>
      </c>
      <c r="AG6" s="74">
        <f>IF(AF8&gt;0,ROUND(AF8*Inputs!$B$28/12,0),0)</f>
        <v>0</v>
      </c>
      <c r="AH6" s="74">
        <f>IF(AG8&gt;0,ROUND(AG8*Inputs!$B$28/12,0),0)</f>
        <v>0</v>
      </c>
      <c r="AI6" s="74">
        <f>IF(AH8&gt;0,ROUND(AH8*Inputs!$B$28/12,0),0)</f>
        <v>0</v>
      </c>
      <c r="AJ6" s="74">
        <f>IF(AI8&gt;0,ROUND(AI8*Inputs!$B$28/12,0),0)</f>
        <v>0</v>
      </c>
      <c r="AK6" s="74">
        <f>IF(AJ8&gt;0,ROUND(AJ8*Inputs!$B$28/12,0),0)</f>
        <v>0</v>
      </c>
      <c r="AL6" s="74">
        <f>IF(AK8&gt;0,ROUND(AK8*Inputs!$B$28/12,0),0)</f>
        <v>0</v>
      </c>
      <c r="AM6" s="74">
        <f>IF(AL8&gt;0,ROUND(AL8*Inputs!$B$28/12,0),0)</f>
        <v>0</v>
      </c>
      <c r="AN6" s="74">
        <f>IF(AM8&gt;0,ROUND(AM8*Inputs!$B$28/12,0),0)</f>
        <v>0</v>
      </c>
      <c r="AO6" s="74">
        <f>IF(AN8&gt;0,ROUND(AN8*Inputs!$B$28/12,0),0)</f>
        <v>0</v>
      </c>
      <c r="AP6" s="74">
        <f>IF(AO8&gt;0,ROUND(AO8*Inputs!$B$28/12,0),0)</f>
        <v>0</v>
      </c>
      <c r="AQ6" s="74">
        <f>IF(AP8&gt;0,ROUND(AP8*Inputs!$B$28/12,0),0)</f>
        <v>0</v>
      </c>
      <c r="AR6" s="74">
        <f>IF(AQ8&gt;0,ROUND(AQ8*Inputs!$B$28/12,0),0)</f>
        <v>0</v>
      </c>
      <c r="AS6" s="74">
        <f>IF(AR8&gt;0,ROUND(AR8*Inputs!$B$28/12,0),0)</f>
        <v>0</v>
      </c>
      <c r="AT6" s="74">
        <f>IF(AS8&gt;0,ROUND(AS8*Inputs!$B$28/12,0),0)</f>
        <v>0</v>
      </c>
      <c r="AU6" s="74">
        <f>IF(AT8&gt;0,ROUND(AT8*Inputs!$B$28/12,0),0)</f>
        <v>0</v>
      </c>
      <c r="AV6" s="74">
        <f>IF(AU8&gt;0,ROUND(AU8*Inputs!$B$28/12,0),0)</f>
        <v>0</v>
      </c>
      <c r="AW6" s="74">
        <f>IF(AV8&gt;0,ROUND(AV8*Inputs!$B$28/12,0),0)</f>
        <v>0</v>
      </c>
      <c r="AX6" s="74">
        <f>IF(AW8&gt;0,ROUND(AW8*Inputs!$B$28/12,0),0)</f>
        <v>0</v>
      </c>
      <c r="AY6" s="74">
        <f>IF(AX8&gt;0,ROUND(AX8*Inputs!$B$28/12,0),0)</f>
        <v>0</v>
      </c>
      <c r="AZ6" s="74">
        <f>IF(AY8&gt;0,ROUND(AY8*Inputs!$B$28/12,0),0)</f>
        <v>0</v>
      </c>
      <c r="BA6" s="74">
        <f>IF(AZ8&gt;0,ROUND(AZ8*Inputs!$B$28/12,0),0)</f>
        <v>0</v>
      </c>
    </row>
    <row r="7" ht="14.25" customHeight="1">
      <c r="A7" s="3" t="s">
        <v>491</v>
      </c>
      <c r="B7" s="74">
        <f t="shared" ref="B7:BA7" si="1">B5-B6</f>
        <v>0</v>
      </c>
      <c r="C7" s="74">
        <f t="shared" si="1"/>
        <v>0</v>
      </c>
      <c r="D7" s="74">
        <f t="shared" si="1"/>
        <v>0</v>
      </c>
      <c r="E7" s="74">
        <f t="shared" si="1"/>
        <v>0</v>
      </c>
      <c r="F7" s="74">
        <f t="shared" si="1"/>
        <v>0</v>
      </c>
      <c r="G7" s="74">
        <f t="shared" si="1"/>
        <v>0</v>
      </c>
      <c r="H7" s="74">
        <f t="shared" si="1"/>
        <v>0</v>
      </c>
      <c r="I7" s="74">
        <f t="shared" si="1"/>
        <v>0</v>
      </c>
      <c r="J7" s="74">
        <f t="shared" si="1"/>
        <v>0</v>
      </c>
      <c r="K7" s="74">
        <f t="shared" si="1"/>
        <v>0</v>
      </c>
      <c r="L7" s="74">
        <f t="shared" si="1"/>
        <v>0</v>
      </c>
      <c r="M7" s="74">
        <f t="shared" si="1"/>
        <v>0</v>
      </c>
      <c r="N7" s="74">
        <f t="shared" si="1"/>
        <v>0</v>
      </c>
      <c r="O7" s="74">
        <f t="shared" si="1"/>
        <v>5</v>
      </c>
      <c r="P7" s="74">
        <f t="shared" si="1"/>
        <v>0</v>
      </c>
      <c r="Q7" s="74">
        <f t="shared" si="1"/>
        <v>0</v>
      </c>
      <c r="R7" s="74">
        <f t="shared" si="1"/>
        <v>0</v>
      </c>
      <c r="S7" s="74">
        <f t="shared" si="1"/>
        <v>0</v>
      </c>
      <c r="T7" s="74">
        <f t="shared" si="1"/>
        <v>0</v>
      </c>
      <c r="U7" s="74">
        <f t="shared" si="1"/>
        <v>0</v>
      </c>
      <c r="V7" s="74">
        <f t="shared" si="1"/>
        <v>0</v>
      </c>
      <c r="W7" s="74">
        <f t="shared" si="1"/>
        <v>0</v>
      </c>
      <c r="X7" s="74">
        <f t="shared" si="1"/>
        <v>0</v>
      </c>
      <c r="Y7" s="74">
        <f t="shared" si="1"/>
        <v>0</v>
      </c>
      <c r="Z7" s="74">
        <f t="shared" si="1"/>
        <v>0</v>
      </c>
      <c r="AA7" s="74">
        <f t="shared" si="1"/>
        <v>0</v>
      </c>
      <c r="AB7" s="74">
        <f t="shared" si="1"/>
        <v>0</v>
      </c>
      <c r="AC7" s="74">
        <f t="shared" si="1"/>
        <v>0</v>
      </c>
      <c r="AD7" s="74">
        <f t="shared" si="1"/>
        <v>0</v>
      </c>
      <c r="AE7" s="74">
        <f t="shared" si="1"/>
        <v>0</v>
      </c>
      <c r="AF7" s="74">
        <f t="shared" si="1"/>
        <v>0</v>
      </c>
      <c r="AG7" s="74">
        <f t="shared" si="1"/>
        <v>0</v>
      </c>
      <c r="AH7" s="74">
        <f t="shared" si="1"/>
        <v>0</v>
      </c>
      <c r="AI7" s="74">
        <f t="shared" si="1"/>
        <v>0</v>
      </c>
      <c r="AJ7" s="74">
        <f t="shared" si="1"/>
        <v>0</v>
      </c>
      <c r="AK7" s="74">
        <f t="shared" si="1"/>
        <v>0</v>
      </c>
      <c r="AL7" s="74">
        <f t="shared" si="1"/>
        <v>0</v>
      </c>
      <c r="AM7" s="74">
        <f t="shared" si="1"/>
        <v>0</v>
      </c>
      <c r="AN7" s="74">
        <f t="shared" si="1"/>
        <v>0</v>
      </c>
      <c r="AO7" s="74">
        <f t="shared" si="1"/>
        <v>0</v>
      </c>
      <c r="AP7" s="74">
        <f t="shared" si="1"/>
        <v>0</v>
      </c>
      <c r="AQ7" s="74">
        <f t="shared" si="1"/>
        <v>0</v>
      </c>
      <c r="AR7" s="74">
        <f t="shared" si="1"/>
        <v>0</v>
      </c>
      <c r="AS7" s="74">
        <f t="shared" si="1"/>
        <v>0</v>
      </c>
      <c r="AT7" s="74">
        <f t="shared" si="1"/>
        <v>0</v>
      </c>
      <c r="AU7" s="74">
        <f t="shared" si="1"/>
        <v>0</v>
      </c>
      <c r="AV7" s="74">
        <f t="shared" si="1"/>
        <v>0</v>
      </c>
      <c r="AW7" s="74">
        <f t="shared" si="1"/>
        <v>0</v>
      </c>
      <c r="AX7" s="74">
        <f t="shared" si="1"/>
        <v>0</v>
      </c>
      <c r="AY7" s="74">
        <f t="shared" si="1"/>
        <v>0</v>
      </c>
      <c r="AZ7" s="74">
        <f t="shared" si="1"/>
        <v>0</v>
      </c>
      <c r="BA7" s="74">
        <f t="shared" si="1"/>
        <v>0</v>
      </c>
    </row>
    <row r="8" ht="14.25" customHeight="1">
      <c r="A8" s="3" t="s">
        <v>492</v>
      </c>
      <c r="B8" s="74">
        <f>B7</f>
        <v>0</v>
      </c>
      <c r="C8" s="74">
        <f t="shared" ref="C8:BA8" si="2">B8+C7</f>
        <v>0</v>
      </c>
      <c r="D8" s="74">
        <f t="shared" si="2"/>
        <v>0</v>
      </c>
      <c r="E8" s="74">
        <f t="shared" si="2"/>
        <v>0</v>
      </c>
      <c r="F8" s="74">
        <f t="shared" si="2"/>
        <v>0</v>
      </c>
      <c r="G8" s="74">
        <f t="shared" si="2"/>
        <v>0</v>
      </c>
      <c r="H8" s="74">
        <f t="shared" si="2"/>
        <v>0</v>
      </c>
      <c r="I8" s="74">
        <f t="shared" si="2"/>
        <v>0</v>
      </c>
      <c r="J8" s="74">
        <f t="shared" si="2"/>
        <v>0</v>
      </c>
      <c r="K8" s="74">
        <f t="shared" si="2"/>
        <v>0</v>
      </c>
      <c r="L8" s="74">
        <f t="shared" si="2"/>
        <v>0</v>
      </c>
      <c r="M8" s="74">
        <f t="shared" si="2"/>
        <v>0</v>
      </c>
      <c r="N8" s="74">
        <f t="shared" si="2"/>
        <v>0</v>
      </c>
      <c r="O8" s="74">
        <f t="shared" si="2"/>
        <v>5</v>
      </c>
      <c r="P8" s="74">
        <f t="shared" si="2"/>
        <v>5</v>
      </c>
      <c r="Q8" s="74">
        <f t="shared" si="2"/>
        <v>5</v>
      </c>
      <c r="R8" s="74">
        <f t="shared" si="2"/>
        <v>5</v>
      </c>
      <c r="S8" s="74">
        <f t="shared" si="2"/>
        <v>5</v>
      </c>
      <c r="T8" s="74">
        <f t="shared" si="2"/>
        <v>5</v>
      </c>
      <c r="U8" s="74">
        <f t="shared" si="2"/>
        <v>5</v>
      </c>
      <c r="V8" s="74">
        <f t="shared" si="2"/>
        <v>5</v>
      </c>
      <c r="W8" s="74">
        <f t="shared" si="2"/>
        <v>5</v>
      </c>
      <c r="X8" s="74">
        <f t="shared" si="2"/>
        <v>5</v>
      </c>
      <c r="Y8" s="74">
        <f t="shared" si="2"/>
        <v>5</v>
      </c>
      <c r="Z8" s="74">
        <f t="shared" si="2"/>
        <v>5</v>
      </c>
      <c r="AA8" s="74">
        <f t="shared" si="2"/>
        <v>5</v>
      </c>
      <c r="AB8" s="74">
        <f t="shared" si="2"/>
        <v>5</v>
      </c>
      <c r="AC8" s="74">
        <f t="shared" si="2"/>
        <v>5</v>
      </c>
      <c r="AD8" s="74">
        <f t="shared" si="2"/>
        <v>5</v>
      </c>
      <c r="AE8" s="74">
        <f t="shared" si="2"/>
        <v>5</v>
      </c>
      <c r="AF8" s="74">
        <f t="shared" si="2"/>
        <v>5</v>
      </c>
      <c r="AG8" s="74">
        <f t="shared" si="2"/>
        <v>5</v>
      </c>
      <c r="AH8" s="74">
        <f t="shared" si="2"/>
        <v>5</v>
      </c>
      <c r="AI8" s="74">
        <f t="shared" si="2"/>
        <v>5</v>
      </c>
      <c r="AJ8" s="74">
        <f t="shared" si="2"/>
        <v>5</v>
      </c>
      <c r="AK8" s="74">
        <f t="shared" si="2"/>
        <v>5</v>
      </c>
      <c r="AL8" s="74">
        <f t="shared" si="2"/>
        <v>5</v>
      </c>
      <c r="AM8" s="74">
        <f t="shared" si="2"/>
        <v>5</v>
      </c>
      <c r="AN8" s="74">
        <f t="shared" si="2"/>
        <v>5</v>
      </c>
      <c r="AO8" s="74">
        <f t="shared" si="2"/>
        <v>5</v>
      </c>
      <c r="AP8" s="74">
        <f t="shared" si="2"/>
        <v>5</v>
      </c>
      <c r="AQ8" s="74">
        <f t="shared" si="2"/>
        <v>5</v>
      </c>
      <c r="AR8" s="74">
        <f t="shared" si="2"/>
        <v>5</v>
      </c>
      <c r="AS8" s="74">
        <f t="shared" si="2"/>
        <v>5</v>
      </c>
      <c r="AT8" s="74">
        <f t="shared" si="2"/>
        <v>5</v>
      </c>
      <c r="AU8" s="74">
        <f t="shared" si="2"/>
        <v>5</v>
      </c>
      <c r="AV8" s="74">
        <f t="shared" si="2"/>
        <v>5</v>
      </c>
      <c r="AW8" s="74">
        <f t="shared" si="2"/>
        <v>5</v>
      </c>
      <c r="AX8" s="74">
        <f t="shared" si="2"/>
        <v>5</v>
      </c>
      <c r="AY8" s="74">
        <f t="shared" si="2"/>
        <v>5</v>
      </c>
      <c r="AZ8" s="74">
        <f t="shared" si="2"/>
        <v>5</v>
      </c>
      <c r="BA8" s="74">
        <f t="shared" si="2"/>
        <v>5</v>
      </c>
    </row>
    <row r="9" ht="14.25" customHeight="1">
      <c r="A9" s="3" t="s">
        <v>493</v>
      </c>
      <c r="B9" s="74">
        <f t="shared" ref="B9:BA9" si="3">B8*B4</f>
        <v>0</v>
      </c>
      <c r="C9" s="74">
        <f t="shared" si="3"/>
        <v>0</v>
      </c>
      <c r="D9" s="74">
        <f t="shared" si="3"/>
        <v>0</v>
      </c>
      <c r="E9" s="74">
        <f t="shared" si="3"/>
        <v>0</v>
      </c>
      <c r="F9" s="74">
        <f t="shared" si="3"/>
        <v>0</v>
      </c>
      <c r="G9" s="74">
        <f t="shared" si="3"/>
        <v>0</v>
      </c>
      <c r="H9" s="74">
        <f t="shared" si="3"/>
        <v>0</v>
      </c>
      <c r="I9" s="74">
        <f t="shared" si="3"/>
        <v>0</v>
      </c>
      <c r="J9" s="74">
        <f t="shared" si="3"/>
        <v>0</v>
      </c>
      <c r="K9" s="74">
        <f t="shared" si="3"/>
        <v>0</v>
      </c>
      <c r="L9" s="74">
        <f t="shared" si="3"/>
        <v>0</v>
      </c>
      <c r="M9" s="74">
        <f t="shared" si="3"/>
        <v>0</v>
      </c>
      <c r="N9" s="74">
        <f t="shared" si="3"/>
        <v>0</v>
      </c>
      <c r="O9" s="74">
        <f t="shared" si="3"/>
        <v>4320</v>
      </c>
      <c r="P9" s="74">
        <f t="shared" si="3"/>
        <v>4320</v>
      </c>
      <c r="Q9" s="74">
        <f t="shared" si="3"/>
        <v>4320</v>
      </c>
      <c r="R9" s="74">
        <f t="shared" si="3"/>
        <v>4320</v>
      </c>
      <c r="S9" s="74">
        <f t="shared" si="3"/>
        <v>4320</v>
      </c>
      <c r="T9" s="74">
        <f t="shared" si="3"/>
        <v>4320</v>
      </c>
      <c r="U9" s="74">
        <f t="shared" si="3"/>
        <v>4320</v>
      </c>
      <c r="V9" s="74">
        <f t="shared" si="3"/>
        <v>4320</v>
      </c>
      <c r="W9" s="74">
        <f t="shared" si="3"/>
        <v>4320</v>
      </c>
      <c r="X9" s="74">
        <f t="shared" si="3"/>
        <v>4320</v>
      </c>
      <c r="Y9" s="74">
        <f t="shared" si="3"/>
        <v>4320</v>
      </c>
      <c r="Z9" s="74">
        <f t="shared" si="3"/>
        <v>4665.6</v>
      </c>
      <c r="AA9" s="74">
        <f t="shared" si="3"/>
        <v>4665.6</v>
      </c>
      <c r="AB9" s="74">
        <f t="shared" si="3"/>
        <v>4665.6</v>
      </c>
      <c r="AC9" s="74">
        <f t="shared" si="3"/>
        <v>4665.6</v>
      </c>
      <c r="AD9" s="74">
        <f t="shared" si="3"/>
        <v>4665.6</v>
      </c>
      <c r="AE9" s="74">
        <f t="shared" si="3"/>
        <v>4665.6</v>
      </c>
      <c r="AF9" s="74">
        <f t="shared" si="3"/>
        <v>4665.6</v>
      </c>
      <c r="AG9" s="74">
        <f t="shared" si="3"/>
        <v>4665.6</v>
      </c>
      <c r="AH9" s="74">
        <f t="shared" si="3"/>
        <v>4665.6</v>
      </c>
      <c r="AI9" s="74">
        <f t="shared" si="3"/>
        <v>4665.6</v>
      </c>
      <c r="AJ9" s="74">
        <f t="shared" si="3"/>
        <v>4665.6</v>
      </c>
      <c r="AK9" s="74">
        <f t="shared" si="3"/>
        <v>4665.6</v>
      </c>
      <c r="AL9" s="74">
        <f t="shared" si="3"/>
        <v>5038.848</v>
      </c>
      <c r="AM9" s="74">
        <f t="shared" si="3"/>
        <v>5038.848</v>
      </c>
      <c r="AN9" s="74">
        <f t="shared" si="3"/>
        <v>5038.848</v>
      </c>
      <c r="AO9" s="74">
        <f t="shared" si="3"/>
        <v>5038.848</v>
      </c>
      <c r="AP9" s="74">
        <f t="shared" si="3"/>
        <v>5038.848</v>
      </c>
      <c r="AQ9" s="74">
        <f t="shared" si="3"/>
        <v>5038.848</v>
      </c>
      <c r="AR9" s="74">
        <f t="shared" si="3"/>
        <v>5038.848</v>
      </c>
      <c r="AS9" s="74">
        <f t="shared" si="3"/>
        <v>5038.848</v>
      </c>
      <c r="AT9" s="74">
        <f t="shared" si="3"/>
        <v>5038.848</v>
      </c>
      <c r="AU9" s="74">
        <f t="shared" si="3"/>
        <v>5038.848</v>
      </c>
      <c r="AV9" s="74">
        <f t="shared" si="3"/>
        <v>5038.848</v>
      </c>
      <c r="AW9" s="74">
        <f t="shared" si="3"/>
        <v>5038.848</v>
      </c>
      <c r="AX9" s="74">
        <f t="shared" si="3"/>
        <v>5441.95584</v>
      </c>
      <c r="AY9" s="74">
        <f t="shared" si="3"/>
        <v>5441.95584</v>
      </c>
      <c r="AZ9" s="74">
        <f t="shared" si="3"/>
        <v>5441.95584</v>
      </c>
      <c r="BA9" s="74">
        <f t="shared" si="3"/>
        <v>5441.95584</v>
      </c>
    </row>
    <row r="10" ht="14.25" customHeight="1">
      <c r="A10" s="3" t="s">
        <v>494</v>
      </c>
      <c r="B10" s="74">
        <f t="shared" ref="B10:BA10" si="4">B9*12</f>
        <v>0</v>
      </c>
      <c r="C10" s="74">
        <f t="shared" si="4"/>
        <v>0</v>
      </c>
      <c r="D10" s="74">
        <f t="shared" si="4"/>
        <v>0</v>
      </c>
      <c r="E10" s="74">
        <f t="shared" si="4"/>
        <v>0</v>
      </c>
      <c r="F10" s="74">
        <f t="shared" si="4"/>
        <v>0</v>
      </c>
      <c r="G10" s="74">
        <f t="shared" si="4"/>
        <v>0</v>
      </c>
      <c r="H10" s="74">
        <f t="shared" si="4"/>
        <v>0</v>
      </c>
      <c r="I10" s="74">
        <f t="shared" si="4"/>
        <v>0</v>
      </c>
      <c r="J10" s="74">
        <f t="shared" si="4"/>
        <v>0</v>
      </c>
      <c r="K10" s="74">
        <f t="shared" si="4"/>
        <v>0</v>
      </c>
      <c r="L10" s="74">
        <f t="shared" si="4"/>
        <v>0</v>
      </c>
      <c r="M10" s="74">
        <f t="shared" si="4"/>
        <v>0</v>
      </c>
      <c r="N10" s="74">
        <f t="shared" si="4"/>
        <v>0</v>
      </c>
      <c r="O10" s="74">
        <f t="shared" si="4"/>
        <v>51840</v>
      </c>
      <c r="P10" s="74">
        <f t="shared" si="4"/>
        <v>51840</v>
      </c>
      <c r="Q10" s="74">
        <f t="shared" si="4"/>
        <v>51840</v>
      </c>
      <c r="R10" s="74">
        <f t="shared" si="4"/>
        <v>51840</v>
      </c>
      <c r="S10" s="74">
        <f t="shared" si="4"/>
        <v>51840</v>
      </c>
      <c r="T10" s="74">
        <f t="shared" si="4"/>
        <v>51840</v>
      </c>
      <c r="U10" s="74">
        <f t="shared" si="4"/>
        <v>51840</v>
      </c>
      <c r="V10" s="74">
        <f t="shared" si="4"/>
        <v>51840</v>
      </c>
      <c r="W10" s="74">
        <f t="shared" si="4"/>
        <v>51840</v>
      </c>
      <c r="X10" s="74">
        <f t="shared" si="4"/>
        <v>51840</v>
      </c>
      <c r="Y10" s="74">
        <f t="shared" si="4"/>
        <v>51840</v>
      </c>
      <c r="Z10" s="74">
        <f t="shared" si="4"/>
        <v>55987.2</v>
      </c>
      <c r="AA10" s="74">
        <f t="shared" si="4"/>
        <v>55987.2</v>
      </c>
      <c r="AB10" s="74">
        <f t="shared" si="4"/>
        <v>55987.2</v>
      </c>
      <c r="AC10" s="74">
        <f t="shared" si="4"/>
        <v>55987.2</v>
      </c>
      <c r="AD10" s="74">
        <f t="shared" si="4"/>
        <v>55987.2</v>
      </c>
      <c r="AE10" s="74">
        <f t="shared" si="4"/>
        <v>55987.2</v>
      </c>
      <c r="AF10" s="74">
        <f t="shared" si="4"/>
        <v>55987.2</v>
      </c>
      <c r="AG10" s="74">
        <f t="shared" si="4"/>
        <v>55987.2</v>
      </c>
      <c r="AH10" s="74">
        <f t="shared" si="4"/>
        <v>55987.2</v>
      </c>
      <c r="AI10" s="74">
        <f t="shared" si="4"/>
        <v>55987.2</v>
      </c>
      <c r="AJ10" s="74">
        <f t="shared" si="4"/>
        <v>55987.2</v>
      </c>
      <c r="AK10" s="74">
        <f t="shared" si="4"/>
        <v>55987.2</v>
      </c>
      <c r="AL10" s="74">
        <f t="shared" si="4"/>
        <v>60466.176</v>
      </c>
      <c r="AM10" s="74">
        <f t="shared" si="4"/>
        <v>60466.176</v>
      </c>
      <c r="AN10" s="74">
        <f t="shared" si="4"/>
        <v>60466.176</v>
      </c>
      <c r="AO10" s="74">
        <f t="shared" si="4"/>
        <v>60466.176</v>
      </c>
      <c r="AP10" s="74">
        <f t="shared" si="4"/>
        <v>60466.176</v>
      </c>
      <c r="AQ10" s="74">
        <f t="shared" si="4"/>
        <v>60466.176</v>
      </c>
      <c r="AR10" s="74">
        <f t="shared" si="4"/>
        <v>60466.176</v>
      </c>
      <c r="AS10" s="74">
        <f t="shared" si="4"/>
        <v>60466.176</v>
      </c>
      <c r="AT10" s="74">
        <f t="shared" si="4"/>
        <v>60466.176</v>
      </c>
      <c r="AU10" s="74">
        <f t="shared" si="4"/>
        <v>60466.176</v>
      </c>
      <c r="AV10" s="74">
        <f t="shared" si="4"/>
        <v>60466.176</v>
      </c>
      <c r="AW10" s="74">
        <f t="shared" si="4"/>
        <v>60466.176</v>
      </c>
      <c r="AX10" s="74">
        <f t="shared" si="4"/>
        <v>65303.47008</v>
      </c>
      <c r="AY10" s="74">
        <f t="shared" si="4"/>
        <v>65303.47008</v>
      </c>
      <c r="AZ10" s="74">
        <f t="shared" si="4"/>
        <v>65303.47008</v>
      </c>
      <c r="BA10" s="74">
        <f t="shared" si="4"/>
        <v>65303.47008</v>
      </c>
    </row>
    <row r="11" ht="14.25" customHeight="1">
      <c r="A11" s="76" t="s">
        <v>495</v>
      </c>
    </row>
    <row r="12" ht="14.25" customHeight="1">
      <c r="A12" s="77" t="s">
        <v>496</v>
      </c>
      <c r="B12" s="74">
        <f>IF(AND(1&gt;=Inputs!$B$25,MOD(1-Inputs!$B$25,3)=0),Inputs!$B$27,0)</f>
        <v>0</v>
      </c>
      <c r="C12" s="74">
        <f>IF(AND(2&gt;=Inputs!$B$25,MOD(2-Inputs!$B$25,3)=0),Inputs!$B$27,0)</f>
        <v>0</v>
      </c>
      <c r="D12" s="74">
        <f>IF(AND(3&gt;=Inputs!$B$25,MOD(3-Inputs!$B$25,3)=0),Inputs!$B$27,0)</f>
        <v>0</v>
      </c>
      <c r="E12" s="74">
        <f>IF(AND(4&gt;=Inputs!$B$25,MOD(4-Inputs!$B$25,3)=0),Inputs!$B$27,0)</f>
        <v>0</v>
      </c>
      <c r="F12" s="74">
        <f>IF(AND(5&gt;=Inputs!$B$25,MOD(5-Inputs!$B$25,3)=0),Inputs!$B$27,0)</f>
        <v>0</v>
      </c>
      <c r="G12" s="74">
        <f>IF(AND(6&gt;=Inputs!$B$25,MOD(6-Inputs!$B$25,3)=0),Inputs!$B$27,0)</f>
        <v>0</v>
      </c>
      <c r="H12" s="74">
        <f>IF(AND(7&gt;=Inputs!$B$25,MOD(7-Inputs!$B$25,3)=0),Inputs!$B$27,0)</f>
        <v>0</v>
      </c>
      <c r="I12" s="74">
        <f>IF(AND(8&gt;=Inputs!$B$25,MOD(8-Inputs!$B$25,3)=0),Inputs!$B$27,0)</f>
        <v>0</v>
      </c>
      <c r="J12" s="74">
        <f>IF(AND(9&gt;=Inputs!$B$25,MOD(9-Inputs!$B$25,3)=0),Inputs!$B$27,0)</f>
        <v>0</v>
      </c>
      <c r="K12" s="74">
        <f>IF(AND(10&gt;=Inputs!$B$25,MOD(10-Inputs!$B$25,3)=0),Inputs!$B$27,0)</f>
        <v>0</v>
      </c>
      <c r="L12" s="74">
        <f>IF(AND(11&gt;=Inputs!$B$25,MOD(11-Inputs!$B$25,3)=0),Inputs!$B$27,0)</f>
        <v>0</v>
      </c>
      <c r="M12" s="74">
        <f>IF(AND(12&gt;=Inputs!$B$25,MOD(12-Inputs!$B$25,3)=0),Inputs!$B$27,0)</f>
        <v>0</v>
      </c>
      <c r="N12" s="74">
        <f>IF(AND(13&gt;=Inputs!$B$25,MOD(13-Inputs!$B$25,3)=0),Inputs!$B$27,0)</f>
        <v>0</v>
      </c>
      <c r="O12" s="74">
        <f>IF(AND(14&gt;=Inputs!$B$25,MOD(14-Inputs!$B$25,3)=0),Inputs!$B$27,0)</f>
        <v>0</v>
      </c>
      <c r="P12" s="74">
        <f>IF(AND(15&gt;=Inputs!$B$25,MOD(15-Inputs!$B$25,3)=0),Inputs!$B$27,0)</f>
        <v>0</v>
      </c>
      <c r="Q12" s="74">
        <f>IF(AND(16&gt;=Inputs!$B$25,MOD(16-Inputs!$B$25,3)=0),Inputs!$B$27,0)</f>
        <v>0</v>
      </c>
      <c r="R12" s="74">
        <f>IF(AND(17&gt;=Inputs!$B$25,MOD(17-Inputs!$B$25,3)=0),Inputs!$B$27,0)</f>
        <v>0</v>
      </c>
      <c r="S12" s="74">
        <f>IF(AND(18&gt;=Inputs!$B$25,MOD(18-Inputs!$B$25,3)=0),Inputs!$B$27,0)</f>
        <v>0</v>
      </c>
      <c r="T12" s="74">
        <f>IF(AND(19&gt;=Inputs!$B$25,MOD(19-Inputs!$B$25,3)=0),Inputs!$B$27,0)</f>
        <v>0</v>
      </c>
      <c r="U12" s="74">
        <f>IF(AND(20&gt;=Inputs!$B$25,MOD(20-Inputs!$B$25,3)=0),Inputs!$B$27,0)</f>
        <v>0</v>
      </c>
      <c r="V12" s="74">
        <f>IF(AND(21&gt;=Inputs!$B$25,MOD(21-Inputs!$B$25,3)=0),Inputs!$B$27,0)</f>
        <v>0</v>
      </c>
      <c r="W12" s="74">
        <f>IF(AND(22&gt;=Inputs!$B$25,MOD(22-Inputs!$B$25,3)=0),Inputs!$B$27,0)</f>
        <v>0</v>
      </c>
      <c r="X12" s="74">
        <f>IF(AND(23&gt;=Inputs!$B$25,MOD(23-Inputs!$B$25,3)=0),Inputs!$B$27,0)</f>
        <v>0</v>
      </c>
      <c r="Y12" s="74">
        <f>IF(AND(24&gt;=Inputs!$B$25,MOD(24-Inputs!$B$25,3)=0),Inputs!$B$27,0)</f>
        <v>1</v>
      </c>
      <c r="Z12" s="74">
        <f>IF(AND(25&gt;=Inputs!$B$25,MOD(25-Inputs!$B$25,3)=0),Inputs!$B$27,0)</f>
        <v>0</v>
      </c>
      <c r="AA12" s="74">
        <f>IF(AND(26&gt;=Inputs!$B$25,MOD(26-Inputs!$B$25,3)=0),Inputs!$B$27,0)</f>
        <v>0</v>
      </c>
      <c r="AB12" s="74">
        <f>IF(AND(27&gt;=Inputs!$B$25,MOD(27-Inputs!$B$25,3)=0),Inputs!$B$27,0)</f>
        <v>1</v>
      </c>
      <c r="AC12" s="74">
        <f>IF(AND(28&gt;=Inputs!$B$25,MOD(28-Inputs!$B$25,3)=0),Inputs!$B$27,0)</f>
        <v>0</v>
      </c>
      <c r="AD12" s="74">
        <f>IF(AND(29&gt;=Inputs!$B$25,MOD(29-Inputs!$B$25,3)=0),Inputs!$B$27,0)</f>
        <v>0</v>
      </c>
      <c r="AE12" s="74">
        <f>IF(AND(30&gt;=Inputs!$B$25,MOD(30-Inputs!$B$25,3)=0),Inputs!$B$27,0)</f>
        <v>1</v>
      </c>
      <c r="AF12" s="74">
        <f>IF(AND(31&gt;=Inputs!$B$25,MOD(31-Inputs!$B$25,3)=0),Inputs!$B$27,0)</f>
        <v>0</v>
      </c>
      <c r="AG12" s="74">
        <f>IF(AND(32&gt;=Inputs!$B$25,MOD(32-Inputs!$B$25,3)=0),Inputs!$B$27,0)</f>
        <v>0</v>
      </c>
      <c r="AH12" s="74">
        <f>IF(AND(33&gt;=Inputs!$B$25,MOD(33-Inputs!$B$25,3)=0),Inputs!$B$27,0)</f>
        <v>1</v>
      </c>
      <c r="AI12" s="74">
        <f>IF(AND(34&gt;=Inputs!$B$25,MOD(34-Inputs!$B$25,3)=0),Inputs!$B$27,0)</f>
        <v>0</v>
      </c>
      <c r="AJ12" s="74">
        <f>IF(AND(35&gt;=Inputs!$B$25,MOD(35-Inputs!$B$25,3)=0),Inputs!$B$27,0)</f>
        <v>0</v>
      </c>
      <c r="AK12" s="74">
        <f>IF(AND(36&gt;=Inputs!$B$25,MOD(36-Inputs!$B$25,3)=0),Inputs!$B$27,0)</f>
        <v>1</v>
      </c>
      <c r="AL12" s="74">
        <f>IF(AND(37&gt;=Inputs!$B$25,MOD(37-Inputs!$B$25,3)=0),Inputs!$B$27,0)</f>
        <v>0</v>
      </c>
      <c r="AM12" s="74">
        <f>IF(AND(38&gt;=Inputs!$B$25,MOD(38-Inputs!$B$25,3)=0),Inputs!$B$27,0)</f>
        <v>0</v>
      </c>
      <c r="AN12" s="74">
        <f>IF(AND(39&gt;=Inputs!$B$25,MOD(39-Inputs!$B$25,3)=0),Inputs!$B$27,0)</f>
        <v>1</v>
      </c>
      <c r="AO12" s="74">
        <f>IF(AND(40&gt;=Inputs!$B$25,MOD(40-Inputs!$B$25,3)=0),Inputs!$B$27,0)</f>
        <v>0</v>
      </c>
      <c r="AP12" s="74">
        <f>IF(AND(41&gt;=Inputs!$B$25,MOD(41-Inputs!$B$25,3)=0),Inputs!$B$27,0)</f>
        <v>0</v>
      </c>
      <c r="AQ12" s="74">
        <f>IF(AND(42&gt;=Inputs!$B$25,MOD(42-Inputs!$B$25,3)=0),Inputs!$B$27,0)</f>
        <v>1</v>
      </c>
      <c r="AR12" s="74">
        <f>IF(AND(43&gt;=Inputs!$B$25,MOD(43-Inputs!$B$25,3)=0),Inputs!$B$27,0)</f>
        <v>0</v>
      </c>
      <c r="AS12" s="74">
        <f>IF(AND(44&gt;=Inputs!$B$25,MOD(44-Inputs!$B$25,3)=0),Inputs!$B$27,0)</f>
        <v>0</v>
      </c>
      <c r="AT12" s="74">
        <f>IF(AND(45&gt;=Inputs!$B$25,MOD(45-Inputs!$B$25,3)=0),Inputs!$B$27,0)</f>
        <v>1</v>
      </c>
      <c r="AU12" s="74">
        <f>IF(AND(46&gt;=Inputs!$B$25,MOD(46-Inputs!$B$25,3)=0),Inputs!$B$27,0)</f>
        <v>0</v>
      </c>
      <c r="AV12" s="74">
        <f>IF(AND(47&gt;=Inputs!$B$25,MOD(47-Inputs!$B$25,3)=0),Inputs!$B$27,0)</f>
        <v>0</v>
      </c>
      <c r="AW12" s="74">
        <f>IF(AND(48&gt;=Inputs!$B$25,MOD(48-Inputs!$B$25,3)=0),Inputs!$B$27,0)</f>
        <v>1</v>
      </c>
      <c r="AX12" s="74">
        <f>IF(AND(49&gt;=Inputs!$B$25,MOD(49-Inputs!$B$25,3)=0),Inputs!$B$27,0)</f>
        <v>0</v>
      </c>
      <c r="AY12" s="74">
        <f>IF(AND(50&gt;=Inputs!$B$25,MOD(50-Inputs!$B$25,3)=0),Inputs!$B$27,0)</f>
        <v>0</v>
      </c>
      <c r="AZ12" s="74">
        <f>IF(AND(51&gt;=Inputs!$B$25,MOD(51-Inputs!$B$25,3)=0),Inputs!$B$27,0)</f>
        <v>1</v>
      </c>
      <c r="BA12" s="74">
        <f>IF(AND(52&gt;=Inputs!$B$25,MOD(52-Inputs!$B$25,3)=0),Inputs!$B$27,0)</f>
        <v>0</v>
      </c>
    </row>
    <row r="13" ht="14.25" customHeight="1">
      <c r="A13" s="3" t="s">
        <v>497</v>
      </c>
      <c r="B13" s="74">
        <f>0</f>
        <v>0</v>
      </c>
      <c r="C13" s="74">
        <f>IF(B14&gt;0,IF(MOD(2,12)=0,ROUND(B14*Inputs!$B$28,0),0),0)</f>
        <v>0</v>
      </c>
      <c r="D13" s="74">
        <f>IF(C14&gt;0,IF(MOD(3,12)=0,ROUND(C14*Inputs!$B$28,0),0),0)</f>
        <v>0</v>
      </c>
      <c r="E13" s="74">
        <f>IF(D14&gt;0,IF(MOD(4,12)=0,ROUND(D14*Inputs!$B$28,0),0),0)</f>
        <v>0</v>
      </c>
      <c r="F13" s="74">
        <f>IF(E14&gt;0,IF(MOD(5,12)=0,ROUND(E14*Inputs!$B$28,0),0),0)</f>
        <v>0</v>
      </c>
      <c r="G13" s="74">
        <f>IF(F14&gt;0,IF(MOD(6,12)=0,ROUND(F14*Inputs!$B$28,0),0),0)</f>
        <v>0</v>
      </c>
      <c r="H13" s="74">
        <f>IF(G14&gt;0,IF(MOD(7,12)=0,ROUND(G14*Inputs!$B$28,0),0),0)</f>
        <v>0</v>
      </c>
      <c r="I13" s="74">
        <f>IF(H14&gt;0,IF(MOD(8,12)=0,ROUND(H14*Inputs!$B$28,0),0),0)</f>
        <v>0</v>
      </c>
      <c r="J13" s="74">
        <f>IF(I14&gt;0,IF(MOD(9,12)=0,ROUND(I14*Inputs!$B$28,0),0),0)</f>
        <v>0</v>
      </c>
      <c r="K13" s="74">
        <f>IF(J14&gt;0,IF(MOD(10,12)=0,ROUND(J14*Inputs!$B$28,0),0),0)</f>
        <v>0</v>
      </c>
      <c r="L13" s="74">
        <f>IF(K14&gt;0,IF(MOD(11,12)=0,ROUND(K14*Inputs!$B$28,0),0),0)</f>
        <v>0</v>
      </c>
      <c r="M13" s="74">
        <f>IF(L14&gt;0,IF(MOD(12,12)=0,ROUND(L14*Inputs!$B$28,0),0),0)</f>
        <v>0</v>
      </c>
      <c r="N13" s="74">
        <f>IF(M14&gt;0,IF(MOD(13,12)=0,ROUND(M14*Inputs!$B$28,0),0),0)</f>
        <v>0</v>
      </c>
      <c r="O13" s="74">
        <f>IF(N14&gt;0,IF(MOD(14,12)=0,ROUND(N14*Inputs!$B$28,0),0),0)</f>
        <v>0</v>
      </c>
      <c r="P13" s="74">
        <f>IF(O14&gt;0,IF(MOD(15,12)=0,ROUND(O14*Inputs!$B$28,0),0),0)</f>
        <v>0</v>
      </c>
      <c r="Q13" s="74">
        <f>IF(P14&gt;0,IF(MOD(16,12)=0,ROUND(P14*Inputs!$B$28,0),0),0)</f>
        <v>0</v>
      </c>
      <c r="R13" s="74">
        <f>IF(Q14&gt;0,IF(MOD(17,12)=0,ROUND(Q14*Inputs!$B$28,0),0),0)</f>
        <v>0</v>
      </c>
      <c r="S13" s="74">
        <f>IF(R14&gt;0,IF(MOD(18,12)=0,ROUND(R14*Inputs!$B$28,0),0),0)</f>
        <v>0</v>
      </c>
      <c r="T13" s="74">
        <f>IF(S14&gt;0,IF(MOD(19,12)=0,ROUND(S14*Inputs!$B$28,0),0),0)</f>
        <v>0</v>
      </c>
      <c r="U13" s="74">
        <f>IF(T14&gt;0,IF(MOD(20,12)=0,ROUND(T14*Inputs!$B$28,0),0),0)</f>
        <v>0</v>
      </c>
      <c r="V13" s="74">
        <f>IF(U14&gt;0,IF(MOD(21,12)=0,ROUND(U14*Inputs!$B$28,0),0),0)</f>
        <v>0</v>
      </c>
      <c r="W13" s="74">
        <f>IF(V14&gt;0,IF(MOD(22,12)=0,ROUND(V14*Inputs!$B$28,0),0),0)</f>
        <v>0</v>
      </c>
      <c r="X13" s="74">
        <f>IF(W14&gt;0,IF(MOD(23,12)=0,ROUND(W14*Inputs!$B$28,0),0),0)</f>
        <v>0</v>
      </c>
      <c r="Y13" s="74">
        <f>IF(X14&gt;0,IF(MOD(24,12)=0,ROUND(X14*Inputs!$B$28,0),0),0)</f>
        <v>0</v>
      </c>
      <c r="Z13" s="74">
        <f>IF(Y14&gt;0,IF(MOD(25,12)=0,ROUND(Y14*Inputs!$B$28,0),0),0)</f>
        <v>0</v>
      </c>
      <c r="AA13" s="74">
        <f>IF(Z14&gt;0,IF(MOD(26,12)=0,ROUND(Z14*Inputs!$B$28,0),0),0)</f>
        <v>0</v>
      </c>
      <c r="AB13" s="74">
        <f>IF(AA14&gt;0,IF(MOD(27,12)=0,ROUND(AA14*Inputs!$B$28,0),0),0)</f>
        <v>0</v>
      </c>
      <c r="AC13" s="74">
        <f>IF(AB14&gt;0,IF(MOD(28,12)=0,ROUND(AB14*Inputs!$B$28,0),0),0)</f>
        <v>0</v>
      </c>
      <c r="AD13" s="74">
        <f>IF(AC14&gt;0,IF(MOD(29,12)=0,ROUND(AC14*Inputs!$B$28,0),0),0)</f>
        <v>0</v>
      </c>
      <c r="AE13" s="74">
        <f>IF(AD14&gt;0,IF(MOD(30,12)=0,ROUND(AD14*Inputs!$B$28,0),0),0)</f>
        <v>0</v>
      </c>
      <c r="AF13" s="74">
        <f>IF(AE14&gt;0,IF(MOD(31,12)=0,ROUND(AE14*Inputs!$B$28,0),0),0)</f>
        <v>0</v>
      </c>
      <c r="AG13" s="74">
        <f>IF(AF14&gt;0,IF(MOD(32,12)=0,ROUND(AF14*Inputs!$B$28,0),0),0)</f>
        <v>0</v>
      </c>
      <c r="AH13" s="74">
        <f>IF(AG14&gt;0,IF(MOD(33,12)=0,ROUND(AG14*Inputs!$B$28,0),0),0)</f>
        <v>0</v>
      </c>
      <c r="AI13" s="74">
        <f>IF(AH14&gt;0,IF(MOD(34,12)=0,ROUND(AH14*Inputs!$B$28,0),0),0)</f>
        <v>0</v>
      </c>
      <c r="AJ13" s="74">
        <f>IF(AI14&gt;0,IF(MOD(35,12)=0,ROUND(AI14*Inputs!$B$28,0),0),0)</f>
        <v>0</v>
      </c>
      <c r="AK13" s="74">
        <f>IF(AJ14&gt;0,IF(MOD(36,12)=0,ROUND(AJ14*Inputs!$B$28,0),0),0)</f>
        <v>0</v>
      </c>
      <c r="AL13" s="74">
        <f>IF(AK14&gt;0,IF(MOD(37,12)=0,ROUND(AK14*Inputs!$B$28,0),0),0)</f>
        <v>0</v>
      </c>
      <c r="AM13" s="74">
        <f>IF(AL14&gt;0,IF(MOD(38,12)=0,ROUND(AL14*Inputs!$B$28,0),0),0)</f>
        <v>0</v>
      </c>
      <c r="AN13" s="74">
        <f>IF(AM14&gt;0,IF(MOD(39,12)=0,ROUND(AM14*Inputs!$B$28,0),0),0)</f>
        <v>0</v>
      </c>
      <c r="AO13" s="74">
        <f>IF(AN14&gt;0,IF(MOD(40,12)=0,ROUND(AN14*Inputs!$B$28,0),0),0)</f>
        <v>0</v>
      </c>
      <c r="AP13" s="74">
        <f>IF(AO14&gt;0,IF(MOD(41,12)=0,ROUND(AO14*Inputs!$B$28,0),0),0)</f>
        <v>0</v>
      </c>
      <c r="AQ13" s="74">
        <f>IF(AP14&gt;0,IF(MOD(42,12)=0,ROUND(AP14*Inputs!$B$28,0),0),0)</f>
        <v>0</v>
      </c>
      <c r="AR13" s="74">
        <f>IF(AQ14&gt;0,IF(MOD(43,12)=0,ROUND(AQ14*Inputs!$B$28,0),0),0)</f>
        <v>0</v>
      </c>
      <c r="AS13" s="74">
        <f>IF(AR14&gt;0,IF(MOD(44,12)=0,ROUND(AR14*Inputs!$B$28,0),0),0)</f>
        <v>0</v>
      </c>
      <c r="AT13" s="74">
        <f>IF(AS14&gt;0,IF(MOD(45,12)=0,ROUND(AS14*Inputs!$B$28,0),0),0)</f>
        <v>0</v>
      </c>
      <c r="AU13" s="74">
        <f>IF(AT14&gt;0,IF(MOD(46,12)=0,ROUND(AT14*Inputs!$B$28,0),0),0)</f>
        <v>0</v>
      </c>
      <c r="AV13" s="74">
        <f>IF(AU14&gt;0,IF(MOD(47,12)=0,ROUND(AU14*Inputs!$B$28,0),0),0)</f>
        <v>0</v>
      </c>
      <c r="AW13" s="74">
        <f>IF(AV14&gt;0,IF(MOD(48,12)=0,ROUND(AV14*Inputs!$B$28,0),0),0)</f>
        <v>1</v>
      </c>
      <c r="AX13" s="74">
        <f>IF(AW14&gt;0,IF(MOD(49,12)=0,ROUND(AW14*Inputs!$B$28,0),0),0)</f>
        <v>0</v>
      </c>
      <c r="AY13" s="74">
        <f>IF(AX14&gt;0,IF(MOD(50,12)=0,ROUND(AX14*Inputs!$B$28,0),0),0)</f>
        <v>0</v>
      </c>
      <c r="AZ13" s="74">
        <f>IF(AY14&gt;0,IF(MOD(51,12)=0,ROUND(AY14*Inputs!$B$28,0),0),0)</f>
        <v>0</v>
      </c>
      <c r="BA13" s="74">
        <f>IF(AZ14&gt;0,IF(MOD(52,12)=0,ROUND(AZ14*Inputs!$B$28,0),0),0)</f>
        <v>0</v>
      </c>
    </row>
    <row r="14" ht="14.25" customHeight="1">
      <c r="A14" s="3" t="s">
        <v>498</v>
      </c>
      <c r="B14" s="74">
        <f>B12-B13</f>
        <v>0</v>
      </c>
      <c r="C14" s="74">
        <f t="shared" ref="C14:BA14" si="5">B14+C12-C13</f>
        <v>0</v>
      </c>
      <c r="D14" s="74">
        <f t="shared" si="5"/>
        <v>0</v>
      </c>
      <c r="E14" s="74">
        <f t="shared" si="5"/>
        <v>0</v>
      </c>
      <c r="F14" s="74">
        <f t="shared" si="5"/>
        <v>0</v>
      </c>
      <c r="G14" s="74">
        <f t="shared" si="5"/>
        <v>0</v>
      </c>
      <c r="H14" s="74">
        <f t="shared" si="5"/>
        <v>0</v>
      </c>
      <c r="I14" s="74">
        <f t="shared" si="5"/>
        <v>0</v>
      </c>
      <c r="J14" s="74">
        <f t="shared" si="5"/>
        <v>0</v>
      </c>
      <c r="K14" s="74">
        <f t="shared" si="5"/>
        <v>0</v>
      </c>
      <c r="L14" s="74">
        <f t="shared" si="5"/>
        <v>0</v>
      </c>
      <c r="M14" s="74">
        <f t="shared" si="5"/>
        <v>0</v>
      </c>
      <c r="N14" s="74">
        <f t="shared" si="5"/>
        <v>0</v>
      </c>
      <c r="O14" s="74">
        <f t="shared" si="5"/>
        <v>0</v>
      </c>
      <c r="P14" s="74">
        <f t="shared" si="5"/>
        <v>0</v>
      </c>
      <c r="Q14" s="74">
        <f t="shared" si="5"/>
        <v>0</v>
      </c>
      <c r="R14" s="74">
        <f t="shared" si="5"/>
        <v>0</v>
      </c>
      <c r="S14" s="74">
        <f t="shared" si="5"/>
        <v>0</v>
      </c>
      <c r="T14" s="74">
        <f t="shared" si="5"/>
        <v>0</v>
      </c>
      <c r="U14" s="74">
        <f t="shared" si="5"/>
        <v>0</v>
      </c>
      <c r="V14" s="74">
        <f t="shared" si="5"/>
        <v>0</v>
      </c>
      <c r="W14" s="74">
        <f t="shared" si="5"/>
        <v>0</v>
      </c>
      <c r="X14" s="74">
        <f t="shared" si="5"/>
        <v>0</v>
      </c>
      <c r="Y14" s="74">
        <f t="shared" si="5"/>
        <v>1</v>
      </c>
      <c r="Z14" s="74">
        <f t="shared" si="5"/>
        <v>1</v>
      </c>
      <c r="AA14" s="74">
        <f t="shared" si="5"/>
        <v>1</v>
      </c>
      <c r="AB14" s="74">
        <f t="shared" si="5"/>
        <v>2</v>
      </c>
      <c r="AC14" s="74">
        <f t="shared" si="5"/>
        <v>2</v>
      </c>
      <c r="AD14" s="74">
        <f t="shared" si="5"/>
        <v>2</v>
      </c>
      <c r="AE14" s="74">
        <f t="shared" si="5"/>
        <v>3</v>
      </c>
      <c r="AF14" s="74">
        <f t="shared" si="5"/>
        <v>3</v>
      </c>
      <c r="AG14" s="74">
        <f t="shared" si="5"/>
        <v>3</v>
      </c>
      <c r="AH14" s="74">
        <f t="shared" si="5"/>
        <v>4</v>
      </c>
      <c r="AI14" s="74">
        <f t="shared" si="5"/>
        <v>4</v>
      </c>
      <c r="AJ14" s="74">
        <f t="shared" si="5"/>
        <v>4</v>
      </c>
      <c r="AK14" s="74">
        <f t="shared" si="5"/>
        <v>5</v>
      </c>
      <c r="AL14" s="74">
        <f t="shared" si="5"/>
        <v>5</v>
      </c>
      <c r="AM14" s="74">
        <f t="shared" si="5"/>
        <v>5</v>
      </c>
      <c r="AN14" s="74">
        <f t="shared" si="5"/>
        <v>6</v>
      </c>
      <c r="AO14" s="74">
        <f t="shared" si="5"/>
        <v>6</v>
      </c>
      <c r="AP14" s="74">
        <f t="shared" si="5"/>
        <v>6</v>
      </c>
      <c r="AQ14" s="74">
        <f t="shared" si="5"/>
        <v>7</v>
      </c>
      <c r="AR14" s="74">
        <f t="shared" si="5"/>
        <v>7</v>
      </c>
      <c r="AS14" s="74">
        <f t="shared" si="5"/>
        <v>7</v>
      </c>
      <c r="AT14" s="74">
        <f t="shared" si="5"/>
        <v>8</v>
      </c>
      <c r="AU14" s="74">
        <f t="shared" si="5"/>
        <v>8</v>
      </c>
      <c r="AV14" s="74">
        <f t="shared" si="5"/>
        <v>8</v>
      </c>
      <c r="AW14" s="74">
        <f t="shared" si="5"/>
        <v>8</v>
      </c>
      <c r="AX14" s="74">
        <f t="shared" si="5"/>
        <v>8</v>
      </c>
      <c r="AY14" s="74">
        <f t="shared" si="5"/>
        <v>8</v>
      </c>
      <c r="AZ14" s="74">
        <f t="shared" si="5"/>
        <v>9</v>
      </c>
      <c r="BA14" s="74">
        <f t="shared" si="5"/>
        <v>9</v>
      </c>
    </row>
    <row r="15" ht="14.25" customHeight="1">
      <c r="A15" s="3" t="s">
        <v>499</v>
      </c>
      <c r="B15" s="74">
        <f>Inputs!$B$26*(1+Inputs!$B$21)^INT((1-1)/12)</f>
        <v>150000</v>
      </c>
      <c r="C15" s="74">
        <f>Inputs!$B$26*(1+Inputs!$B$21)^INT((2-1)/12)</f>
        <v>150000</v>
      </c>
      <c r="D15" s="74">
        <f>Inputs!$B$26*(1+Inputs!$B$21)^INT((3-1)/12)</f>
        <v>150000</v>
      </c>
      <c r="E15" s="74">
        <f>Inputs!$B$26*(1+Inputs!$B$21)^INT((4-1)/12)</f>
        <v>150000</v>
      </c>
      <c r="F15" s="74">
        <f>Inputs!$B$26*(1+Inputs!$B$21)^INT((5-1)/12)</f>
        <v>150000</v>
      </c>
      <c r="G15" s="74">
        <f>Inputs!$B$26*(1+Inputs!$B$21)^INT((6-1)/12)</f>
        <v>150000</v>
      </c>
      <c r="H15" s="74">
        <f>Inputs!$B$26*(1+Inputs!$B$21)^INT((7-1)/12)</f>
        <v>150000</v>
      </c>
      <c r="I15" s="74">
        <f>Inputs!$B$26*(1+Inputs!$B$21)^INT((8-1)/12)</f>
        <v>150000</v>
      </c>
      <c r="J15" s="74">
        <f>Inputs!$B$26*(1+Inputs!$B$21)^INT((9-1)/12)</f>
        <v>150000</v>
      </c>
      <c r="K15" s="74">
        <f>Inputs!$B$26*(1+Inputs!$B$21)^INT((10-1)/12)</f>
        <v>150000</v>
      </c>
      <c r="L15" s="74">
        <f>Inputs!$B$26*(1+Inputs!$B$21)^INT((11-1)/12)</f>
        <v>150000</v>
      </c>
      <c r="M15" s="74">
        <f>Inputs!$B$26*(1+Inputs!$B$21)^INT((12-1)/12)</f>
        <v>150000</v>
      </c>
      <c r="N15" s="74">
        <f>Inputs!$B$26*(1+Inputs!$B$21)^INT((13-1)/12)</f>
        <v>162000</v>
      </c>
      <c r="O15" s="74">
        <f>Inputs!$B$26*(1+Inputs!$B$21)^INT((14-1)/12)</f>
        <v>162000</v>
      </c>
      <c r="P15" s="74">
        <f>Inputs!$B$26*(1+Inputs!$B$21)^INT((15-1)/12)</f>
        <v>162000</v>
      </c>
      <c r="Q15" s="74">
        <f>Inputs!$B$26*(1+Inputs!$B$21)^INT((16-1)/12)</f>
        <v>162000</v>
      </c>
      <c r="R15" s="74">
        <f>Inputs!$B$26*(1+Inputs!$B$21)^INT((17-1)/12)</f>
        <v>162000</v>
      </c>
      <c r="S15" s="74">
        <f>Inputs!$B$26*(1+Inputs!$B$21)^INT((18-1)/12)</f>
        <v>162000</v>
      </c>
      <c r="T15" s="74">
        <f>Inputs!$B$26*(1+Inputs!$B$21)^INT((19-1)/12)</f>
        <v>162000</v>
      </c>
      <c r="U15" s="74">
        <f>Inputs!$B$26*(1+Inputs!$B$21)^INT((20-1)/12)</f>
        <v>162000</v>
      </c>
      <c r="V15" s="74">
        <f>Inputs!$B$26*(1+Inputs!$B$21)^INT((21-1)/12)</f>
        <v>162000</v>
      </c>
      <c r="W15" s="74">
        <f>Inputs!$B$26*(1+Inputs!$B$21)^INT((22-1)/12)</f>
        <v>162000</v>
      </c>
      <c r="X15" s="74">
        <f>Inputs!$B$26*(1+Inputs!$B$21)^INT((23-1)/12)</f>
        <v>162000</v>
      </c>
      <c r="Y15" s="74">
        <f>Inputs!$B$26*(1+Inputs!$B$21)^INT((24-1)/12)</f>
        <v>162000</v>
      </c>
      <c r="Z15" s="74">
        <f>Inputs!$B$26*(1+Inputs!$B$21)^INT((25-1)/12)</f>
        <v>174960</v>
      </c>
      <c r="AA15" s="74">
        <f>Inputs!$B$26*(1+Inputs!$B$21)^INT((26-1)/12)</f>
        <v>174960</v>
      </c>
      <c r="AB15" s="74">
        <f>Inputs!$B$26*(1+Inputs!$B$21)^INT((27-1)/12)</f>
        <v>174960</v>
      </c>
      <c r="AC15" s="74">
        <f>Inputs!$B$26*(1+Inputs!$B$21)^INT((28-1)/12)</f>
        <v>174960</v>
      </c>
      <c r="AD15" s="74">
        <f>Inputs!$B$26*(1+Inputs!$B$21)^INT((29-1)/12)</f>
        <v>174960</v>
      </c>
      <c r="AE15" s="74">
        <f>Inputs!$B$26*(1+Inputs!$B$21)^INT((30-1)/12)</f>
        <v>174960</v>
      </c>
      <c r="AF15" s="74">
        <f>Inputs!$B$26*(1+Inputs!$B$21)^INT((31-1)/12)</f>
        <v>174960</v>
      </c>
      <c r="AG15" s="74">
        <f>Inputs!$B$26*(1+Inputs!$B$21)^INT((32-1)/12)</f>
        <v>174960</v>
      </c>
      <c r="AH15" s="74">
        <f>Inputs!$B$26*(1+Inputs!$B$21)^INT((33-1)/12)</f>
        <v>174960</v>
      </c>
      <c r="AI15" s="74">
        <f>Inputs!$B$26*(1+Inputs!$B$21)^INT((34-1)/12)</f>
        <v>174960</v>
      </c>
      <c r="AJ15" s="74">
        <f>Inputs!$B$26*(1+Inputs!$B$21)^INT((35-1)/12)</f>
        <v>174960</v>
      </c>
      <c r="AK15" s="74">
        <f>Inputs!$B$26*(1+Inputs!$B$21)^INT((36-1)/12)</f>
        <v>174960</v>
      </c>
      <c r="AL15" s="74">
        <f>Inputs!$B$26*(1+Inputs!$B$21)^INT((37-1)/12)</f>
        <v>188956.8</v>
      </c>
      <c r="AM15" s="74">
        <f>Inputs!$B$26*(1+Inputs!$B$21)^INT((38-1)/12)</f>
        <v>188956.8</v>
      </c>
      <c r="AN15" s="74">
        <f>Inputs!$B$26*(1+Inputs!$B$21)^INT((39-1)/12)</f>
        <v>188956.8</v>
      </c>
      <c r="AO15" s="74">
        <f>Inputs!$B$26*(1+Inputs!$B$21)^INT((40-1)/12)</f>
        <v>188956.8</v>
      </c>
      <c r="AP15" s="74">
        <f>Inputs!$B$26*(1+Inputs!$B$21)^INT((41-1)/12)</f>
        <v>188956.8</v>
      </c>
      <c r="AQ15" s="74">
        <f>Inputs!$B$26*(1+Inputs!$B$21)^INT((42-1)/12)</f>
        <v>188956.8</v>
      </c>
      <c r="AR15" s="74">
        <f>Inputs!$B$26*(1+Inputs!$B$21)^INT((43-1)/12)</f>
        <v>188956.8</v>
      </c>
      <c r="AS15" s="74">
        <f>Inputs!$B$26*(1+Inputs!$B$21)^INT((44-1)/12)</f>
        <v>188956.8</v>
      </c>
      <c r="AT15" s="74">
        <f>Inputs!$B$26*(1+Inputs!$B$21)^INT((45-1)/12)</f>
        <v>188956.8</v>
      </c>
      <c r="AU15" s="74">
        <f>Inputs!$B$26*(1+Inputs!$B$21)^INT((46-1)/12)</f>
        <v>188956.8</v>
      </c>
      <c r="AV15" s="74">
        <f>Inputs!$B$26*(1+Inputs!$B$21)^INT((47-1)/12)</f>
        <v>188956.8</v>
      </c>
      <c r="AW15" s="74">
        <f>Inputs!$B$26*(1+Inputs!$B$21)^INT((48-1)/12)</f>
        <v>188956.8</v>
      </c>
      <c r="AX15" s="74">
        <f>Inputs!$B$26*(1+Inputs!$B$21)^INT((49-1)/12)</f>
        <v>204073.344</v>
      </c>
      <c r="AY15" s="74">
        <f>Inputs!$B$26*(1+Inputs!$B$21)^INT((50-1)/12)</f>
        <v>204073.344</v>
      </c>
      <c r="AZ15" s="74">
        <f>Inputs!$B$26*(1+Inputs!$B$21)^INT((51-1)/12)</f>
        <v>204073.344</v>
      </c>
      <c r="BA15" s="74">
        <f>Inputs!$B$26*(1+Inputs!$B$21)^INT((52-1)/12)</f>
        <v>204073.344</v>
      </c>
    </row>
    <row r="16" ht="14.25" customHeight="1">
      <c r="A16" s="3" t="s">
        <v>500</v>
      </c>
      <c r="B16" s="74">
        <f t="shared" ref="B16:BA16" si="6">B14*B15/12</f>
        <v>0</v>
      </c>
      <c r="C16" s="74">
        <f t="shared" si="6"/>
        <v>0</v>
      </c>
      <c r="D16" s="74">
        <f t="shared" si="6"/>
        <v>0</v>
      </c>
      <c r="E16" s="74">
        <f t="shared" si="6"/>
        <v>0</v>
      </c>
      <c r="F16" s="74">
        <f t="shared" si="6"/>
        <v>0</v>
      </c>
      <c r="G16" s="74">
        <f t="shared" si="6"/>
        <v>0</v>
      </c>
      <c r="H16" s="74">
        <f t="shared" si="6"/>
        <v>0</v>
      </c>
      <c r="I16" s="74">
        <f t="shared" si="6"/>
        <v>0</v>
      </c>
      <c r="J16" s="74">
        <f t="shared" si="6"/>
        <v>0</v>
      </c>
      <c r="K16" s="74">
        <f t="shared" si="6"/>
        <v>0</v>
      </c>
      <c r="L16" s="74">
        <f t="shared" si="6"/>
        <v>0</v>
      </c>
      <c r="M16" s="74">
        <f t="shared" si="6"/>
        <v>0</v>
      </c>
      <c r="N16" s="74">
        <f t="shared" si="6"/>
        <v>0</v>
      </c>
      <c r="O16" s="74">
        <f t="shared" si="6"/>
        <v>0</v>
      </c>
      <c r="P16" s="74">
        <f t="shared" si="6"/>
        <v>0</v>
      </c>
      <c r="Q16" s="74">
        <f t="shared" si="6"/>
        <v>0</v>
      </c>
      <c r="R16" s="74">
        <f t="shared" si="6"/>
        <v>0</v>
      </c>
      <c r="S16" s="74">
        <f t="shared" si="6"/>
        <v>0</v>
      </c>
      <c r="T16" s="74">
        <f t="shared" si="6"/>
        <v>0</v>
      </c>
      <c r="U16" s="74">
        <f t="shared" si="6"/>
        <v>0</v>
      </c>
      <c r="V16" s="74">
        <f t="shared" si="6"/>
        <v>0</v>
      </c>
      <c r="W16" s="74">
        <f t="shared" si="6"/>
        <v>0</v>
      </c>
      <c r="X16" s="74">
        <f t="shared" si="6"/>
        <v>0</v>
      </c>
      <c r="Y16" s="74">
        <f t="shared" si="6"/>
        <v>13500</v>
      </c>
      <c r="Z16" s="74">
        <f t="shared" si="6"/>
        <v>14580</v>
      </c>
      <c r="AA16" s="74">
        <f t="shared" si="6"/>
        <v>14580</v>
      </c>
      <c r="AB16" s="74">
        <f t="shared" si="6"/>
        <v>29160</v>
      </c>
      <c r="AC16" s="74">
        <f t="shared" si="6"/>
        <v>29160</v>
      </c>
      <c r="AD16" s="74">
        <f t="shared" si="6"/>
        <v>29160</v>
      </c>
      <c r="AE16" s="74">
        <f t="shared" si="6"/>
        <v>43740</v>
      </c>
      <c r="AF16" s="74">
        <f t="shared" si="6"/>
        <v>43740</v>
      </c>
      <c r="AG16" s="74">
        <f t="shared" si="6"/>
        <v>43740</v>
      </c>
      <c r="AH16" s="74">
        <f t="shared" si="6"/>
        <v>58320</v>
      </c>
      <c r="AI16" s="74">
        <f t="shared" si="6"/>
        <v>58320</v>
      </c>
      <c r="AJ16" s="74">
        <f t="shared" si="6"/>
        <v>58320</v>
      </c>
      <c r="AK16" s="74">
        <f t="shared" si="6"/>
        <v>72900</v>
      </c>
      <c r="AL16" s="74">
        <f t="shared" si="6"/>
        <v>78732</v>
      </c>
      <c r="AM16" s="74">
        <f t="shared" si="6"/>
        <v>78732</v>
      </c>
      <c r="AN16" s="74">
        <f t="shared" si="6"/>
        <v>94478.4</v>
      </c>
      <c r="AO16" s="74">
        <f t="shared" si="6"/>
        <v>94478.4</v>
      </c>
      <c r="AP16" s="74">
        <f t="shared" si="6"/>
        <v>94478.4</v>
      </c>
      <c r="AQ16" s="74">
        <f t="shared" si="6"/>
        <v>110224.8</v>
      </c>
      <c r="AR16" s="74">
        <f t="shared" si="6"/>
        <v>110224.8</v>
      </c>
      <c r="AS16" s="74">
        <f t="shared" si="6"/>
        <v>110224.8</v>
      </c>
      <c r="AT16" s="74">
        <f t="shared" si="6"/>
        <v>125971.2</v>
      </c>
      <c r="AU16" s="74">
        <f t="shared" si="6"/>
        <v>125971.2</v>
      </c>
      <c r="AV16" s="74">
        <f t="shared" si="6"/>
        <v>125971.2</v>
      </c>
      <c r="AW16" s="74">
        <f t="shared" si="6"/>
        <v>125971.2</v>
      </c>
      <c r="AX16" s="74">
        <f t="shared" si="6"/>
        <v>136048.896</v>
      </c>
      <c r="AY16" s="74">
        <f t="shared" si="6"/>
        <v>136048.896</v>
      </c>
      <c r="AZ16" s="74">
        <f t="shared" si="6"/>
        <v>153055.008</v>
      </c>
      <c r="BA16" s="74">
        <f t="shared" si="6"/>
        <v>153055.008</v>
      </c>
    </row>
    <row r="17" ht="14.25" customHeight="1">
      <c r="A17" s="2"/>
    </row>
    <row r="18" ht="14.25" customHeight="1">
      <c r="A18" s="2" t="s">
        <v>501</v>
      </c>
      <c r="B18" s="74">
        <f t="shared" ref="B18:BA18" si="7">B9+B16</f>
        <v>0</v>
      </c>
      <c r="C18" s="74">
        <f t="shared" si="7"/>
        <v>0</v>
      </c>
      <c r="D18" s="74">
        <f t="shared" si="7"/>
        <v>0</v>
      </c>
      <c r="E18" s="74">
        <f t="shared" si="7"/>
        <v>0</v>
      </c>
      <c r="F18" s="74">
        <f t="shared" si="7"/>
        <v>0</v>
      </c>
      <c r="G18" s="74">
        <f t="shared" si="7"/>
        <v>0</v>
      </c>
      <c r="H18" s="74">
        <f t="shared" si="7"/>
        <v>0</v>
      </c>
      <c r="I18" s="74">
        <f t="shared" si="7"/>
        <v>0</v>
      </c>
      <c r="J18" s="74">
        <f t="shared" si="7"/>
        <v>0</v>
      </c>
      <c r="K18" s="74">
        <f t="shared" si="7"/>
        <v>0</v>
      </c>
      <c r="L18" s="74">
        <f t="shared" si="7"/>
        <v>0</v>
      </c>
      <c r="M18" s="74">
        <f t="shared" si="7"/>
        <v>0</v>
      </c>
      <c r="N18" s="74">
        <f t="shared" si="7"/>
        <v>0</v>
      </c>
      <c r="O18" s="74">
        <f t="shared" si="7"/>
        <v>4320</v>
      </c>
      <c r="P18" s="74">
        <f t="shared" si="7"/>
        <v>4320</v>
      </c>
      <c r="Q18" s="74">
        <f t="shared" si="7"/>
        <v>4320</v>
      </c>
      <c r="R18" s="74">
        <f t="shared" si="7"/>
        <v>4320</v>
      </c>
      <c r="S18" s="74">
        <f t="shared" si="7"/>
        <v>4320</v>
      </c>
      <c r="T18" s="74">
        <f t="shared" si="7"/>
        <v>4320</v>
      </c>
      <c r="U18" s="74">
        <f t="shared" si="7"/>
        <v>4320</v>
      </c>
      <c r="V18" s="74">
        <f t="shared" si="7"/>
        <v>4320</v>
      </c>
      <c r="W18" s="74">
        <f t="shared" si="7"/>
        <v>4320</v>
      </c>
      <c r="X18" s="74">
        <f t="shared" si="7"/>
        <v>4320</v>
      </c>
      <c r="Y18" s="74">
        <f t="shared" si="7"/>
        <v>17820</v>
      </c>
      <c r="Z18" s="74">
        <f t="shared" si="7"/>
        <v>19245.6</v>
      </c>
      <c r="AA18" s="74">
        <f t="shared" si="7"/>
        <v>19245.6</v>
      </c>
      <c r="AB18" s="74">
        <f t="shared" si="7"/>
        <v>33825.6</v>
      </c>
      <c r="AC18" s="74">
        <f t="shared" si="7"/>
        <v>33825.6</v>
      </c>
      <c r="AD18" s="74">
        <f t="shared" si="7"/>
        <v>33825.6</v>
      </c>
      <c r="AE18" s="74">
        <f t="shared" si="7"/>
        <v>48405.6</v>
      </c>
      <c r="AF18" s="74">
        <f t="shared" si="7"/>
        <v>48405.6</v>
      </c>
      <c r="AG18" s="74">
        <f t="shared" si="7"/>
        <v>48405.6</v>
      </c>
      <c r="AH18" s="74">
        <f t="shared" si="7"/>
        <v>62985.6</v>
      </c>
      <c r="AI18" s="74">
        <f t="shared" si="7"/>
        <v>62985.6</v>
      </c>
      <c r="AJ18" s="74">
        <f t="shared" si="7"/>
        <v>62985.6</v>
      </c>
      <c r="AK18" s="74">
        <f t="shared" si="7"/>
        <v>77565.6</v>
      </c>
      <c r="AL18" s="74">
        <f t="shared" si="7"/>
        <v>83770.848</v>
      </c>
      <c r="AM18" s="74">
        <f t="shared" si="7"/>
        <v>83770.848</v>
      </c>
      <c r="AN18" s="74">
        <f t="shared" si="7"/>
        <v>99517.248</v>
      </c>
      <c r="AO18" s="74">
        <f t="shared" si="7"/>
        <v>99517.248</v>
      </c>
      <c r="AP18" s="74">
        <f t="shared" si="7"/>
        <v>99517.248</v>
      </c>
      <c r="AQ18" s="74">
        <f t="shared" si="7"/>
        <v>115263.648</v>
      </c>
      <c r="AR18" s="74">
        <f t="shared" si="7"/>
        <v>115263.648</v>
      </c>
      <c r="AS18" s="74">
        <f t="shared" si="7"/>
        <v>115263.648</v>
      </c>
      <c r="AT18" s="74">
        <f t="shared" si="7"/>
        <v>131010.048</v>
      </c>
      <c r="AU18" s="74">
        <f t="shared" si="7"/>
        <v>131010.048</v>
      </c>
      <c r="AV18" s="74">
        <f t="shared" si="7"/>
        <v>131010.048</v>
      </c>
      <c r="AW18" s="74">
        <f t="shared" si="7"/>
        <v>131010.048</v>
      </c>
      <c r="AX18" s="74">
        <f t="shared" si="7"/>
        <v>141490.8518</v>
      </c>
      <c r="AY18" s="74">
        <f t="shared" si="7"/>
        <v>141490.8518</v>
      </c>
      <c r="AZ18" s="74">
        <f t="shared" si="7"/>
        <v>158496.9638</v>
      </c>
      <c r="BA18" s="74">
        <f t="shared" si="7"/>
        <v>158496.9638</v>
      </c>
    </row>
    <row r="19" ht="14.25" customHeight="1">
      <c r="A19" s="2" t="s">
        <v>502</v>
      </c>
      <c r="B19" s="74">
        <f t="shared" ref="B19:BA19" si="8">B18*12</f>
        <v>0</v>
      </c>
      <c r="C19" s="74">
        <f t="shared" si="8"/>
        <v>0</v>
      </c>
      <c r="D19" s="74">
        <f t="shared" si="8"/>
        <v>0</v>
      </c>
      <c r="E19" s="74">
        <f t="shared" si="8"/>
        <v>0</v>
      </c>
      <c r="F19" s="74">
        <f t="shared" si="8"/>
        <v>0</v>
      </c>
      <c r="G19" s="74">
        <f t="shared" si="8"/>
        <v>0</v>
      </c>
      <c r="H19" s="74">
        <f t="shared" si="8"/>
        <v>0</v>
      </c>
      <c r="I19" s="74">
        <f t="shared" si="8"/>
        <v>0</v>
      </c>
      <c r="J19" s="74">
        <f t="shared" si="8"/>
        <v>0</v>
      </c>
      <c r="K19" s="74">
        <f t="shared" si="8"/>
        <v>0</v>
      </c>
      <c r="L19" s="74">
        <f t="shared" si="8"/>
        <v>0</v>
      </c>
      <c r="M19" s="74">
        <f t="shared" si="8"/>
        <v>0</v>
      </c>
      <c r="N19" s="74">
        <f t="shared" si="8"/>
        <v>0</v>
      </c>
      <c r="O19" s="74">
        <f t="shared" si="8"/>
        <v>51840</v>
      </c>
      <c r="P19" s="74">
        <f t="shared" si="8"/>
        <v>51840</v>
      </c>
      <c r="Q19" s="74">
        <f t="shared" si="8"/>
        <v>51840</v>
      </c>
      <c r="R19" s="74">
        <f t="shared" si="8"/>
        <v>51840</v>
      </c>
      <c r="S19" s="74">
        <f t="shared" si="8"/>
        <v>51840</v>
      </c>
      <c r="T19" s="74">
        <f t="shared" si="8"/>
        <v>51840</v>
      </c>
      <c r="U19" s="74">
        <f t="shared" si="8"/>
        <v>51840</v>
      </c>
      <c r="V19" s="74">
        <f t="shared" si="8"/>
        <v>51840</v>
      </c>
      <c r="W19" s="74">
        <f t="shared" si="8"/>
        <v>51840</v>
      </c>
      <c r="X19" s="74">
        <f t="shared" si="8"/>
        <v>51840</v>
      </c>
      <c r="Y19" s="74">
        <f t="shared" si="8"/>
        <v>213840</v>
      </c>
      <c r="Z19" s="74">
        <f t="shared" si="8"/>
        <v>230947.2</v>
      </c>
      <c r="AA19" s="74">
        <f t="shared" si="8"/>
        <v>230947.2</v>
      </c>
      <c r="AB19" s="74">
        <f t="shared" si="8"/>
        <v>405907.2</v>
      </c>
      <c r="AC19" s="74">
        <f t="shared" si="8"/>
        <v>405907.2</v>
      </c>
      <c r="AD19" s="74">
        <f t="shared" si="8"/>
        <v>405907.2</v>
      </c>
      <c r="AE19" s="74">
        <f t="shared" si="8"/>
        <v>580867.2</v>
      </c>
      <c r="AF19" s="74">
        <f t="shared" si="8"/>
        <v>580867.2</v>
      </c>
      <c r="AG19" s="74">
        <f t="shared" si="8"/>
        <v>580867.2</v>
      </c>
      <c r="AH19" s="74">
        <f t="shared" si="8"/>
        <v>755827.2</v>
      </c>
      <c r="AI19" s="74">
        <f t="shared" si="8"/>
        <v>755827.2</v>
      </c>
      <c r="AJ19" s="74">
        <f t="shared" si="8"/>
        <v>755827.2</v>
      </c>
      <c r="AK19" s="74">
        <f t="shared" si="8"/>
        <v>930787.2</v>
      </c>
      <c r="AL19" s="74">
        <f t="shared" si="8"/>
        <v>1005250.176</v>
      </c>
      <c r="AM19" s="74">
        <f t="shared" si="8"/>
        <v>1005250.176</v>
      </c>
      <c r="AN19" s="74">
        <f t="shared" si="8"/>
        <v>1194206.976</v>
      </c>
      <c r="AO19" s="74">
        <f t="shared" si="8"/>
        <v>1194206.976</v>
      </c>
      <c r="AP19" s="74">
        <f t="shared" si="8"/>
        <v>1194206.976</v>
      </c>
      <c r="AQ19" s="74">
        <f t="shared" si="8"/>
        <v>1383163.776</v>
      </c>
      <c r="AR19" s="74">
        <f t="shared" si="8"/>
        <v>1383163.776</v>
      </c>
      <c r="AS19" s="74">
        <f t="shared" si="8"/>
        <v>1383163.776</v>
      </c>
      <c r="AT19" s="74">
        <f t="shared" si="8"/>
        <v>1572120.576</v>
      </c>
      <c r="AU19" s="74">
        <f t="shared" si="8"/>
        <v>1572120.576</v>
      </c>
      <c r="AV19" s="74">
        <f t="shared" si="8"/>
        <v>1572120.576</v>
      </c>
      <c r="AW19" s="74">
        <f t="shared" si="8"/>
        <v>1572120.576</v>
      </c>
      <c r="AX19" s="74">
        <f t="shared" si="8"/>
        <v>1697890.222</v>
      </c>
      <c r="AY19" s="74">
        <f t="shared" si="8"/>
        <v>1697890.222</v>
      </c>
      <c r="AZ19" s="74">
        <f t="shared" si="8"/>
        <v>1901963.566</v>
      </c>
      <c r="BA19" s="74">
        <f t="shared" si="8"/>
        <v>1901963.566</v>
      </c>
    </row>
    <row r="20" ht="14.25" customHeight="1">
      <c r="A20" s="3" t="s">
        <v>503</v>
      </c>
      <c r="B20" s="74">
        <f t="shared" ref="B20:BA20" si="9">B18</f>
        <v>0</v>
      </c>
      <c r="C20" s="74">
        <f t="shared" si="9"/>
        <v>0</v>
      </c>
      <c r="D20" s="74">
        <f t="shared" si="9"/>
        <v>0</v>
      </c>
      <c r="E20" s="74">
        <f t="shared" si="9"/>
        <v>0</v>
      </c>
      <c r="F20" s="74">
        <f t="shared" si="9"/>
        <v>0</v>
      </c>
      <c r="G20" s="74">
        <f t="shared" si="9"/>
        <v>0</v>
      </c>
      <c r="H20" s="74">
        <f t="shared" si="9"/>
        <v>0</v>
      </c>
      <c r="I20" s="74">
        <f t="shared" si="9"/>
        <v>0</v>
      </c>
      <c r="J20" s="74">
        <f t="shared" si="9"/>
        <v>0</v>
      </c>
      <c r="K20" s="74">
        <f t="shared" si="9"/>
        <v>0</v>
      </c>
      <c r="L20" s="74">
        <f t="shared" si="9"/>
        <v>0</v>
      </c>
      <c r="M20" s="74">
        <f t="shared" si="9"/>
        <v>0</v>
      </c>
      <c r="N20" s="74">
        <f t="shared" si="9"/>
        <v>0</v>
      </c>
      <c r="O20" s="74">
        <f t="shared" si="9"/>
        <v>4320</v>
      </c>
      <c r="P20" s="74">
        <f t="shared" si="9"/>
        <v>4320</v>
      </c>
      <c r="Q20" s="74">
        <f t="shared" si="9"/>
        <v>4320</v>
      </c>
      <c r="R20" s="74">
        <f t="shared" si="9"/>
        <v>4320</v>
      </c>
      <c r="S20" s="74">
        <f t="shared" si="9"/>
        <v>4320</v>
      </c>
      <c r="T20" s="74">
        <f t="shared" si="9"/>
        <v>4320</v>
      </c>
      <c r="U20" s="74">
        <f t="shared" si="9"/>
        <v>4320</v>
      </c>
      <c r="V20" s="74">
        <f t="shared" si="9"/>
        <v>4320</v>
      </c>
      <c r="W20" s="74">
        <f t="shared" si="9"/>
        <v>4320</v>
      </c>
      <c r="X20" s="74">
        <f t="shared" si="9"/>
        <v>4320</v>
      </c>
      <c r="Y20" s="74">
        <f t="shared" si="9"/>
        <v>17820</v>
      </c>
      <c r="Z20" s="74">
        <f t="shared" si="9"/>
        <v>19245.6</v>
      </c>
      <c r="AA20" s="74">
        <f t="shared" si="9"/>
        <v>19245.6</v>
      </c>
      <c r="AB20" s="74">
        <f t="shared" si="9"/>
        <v>33825.6</v>
      </c>
      <c r="AC20" s="74">
        <f t="shared" si="9"/>
        <v>33825.6</v>
      </c>
      <c r="AD20" s="74">
        <f t="shared" si="9"/>
        <v>33825.6</v>
      </c>
      <c r="AE20" s="74">
        <f t="shared" si="9"/>
        <v>48405.6</v>
      </c>
      <c r="AF20" s="74">
        <f t="shared" si="9"/>
        <v>48405.6</v>
      </c>
      <c r="AG20" s="74">
        <f t="shared" si="9"/>
        <v>48405.6</v>
      </c>
      <c r="AH20" s="74">
        <f t="shared" si="9"/>
        <v>62985.6</v>
      </c>
      <c r="AI20" s="74">
        <f t="shared" si="9"/>
        <v>62985.6</v>
      </c>
      <c r="AJ20" s="74">
        <f t="shared" si="9"/>
        <v>62985.6</v>
      </c>
      <c r="AK20" s="74">
        <f t="shared" si="9"/>
        <v>77565.6</v>
      </c>
      <c r="AL20" s="74">
        <f t="shared" si="9"/>
        <v>83770.848</v>
      </c>
      <c r="AM20" s="74">
        <f t="shared" si="9"/>
        <v>83770.848</v>
      </c>
      <c r="AN20" s="74">
        <f t="shared" si="9"/>
        <v>99517.248</v>
      </c>
      <c r="AO20" s="74">
        <f t="shared" si="9"/>
        <v>99517.248</v>
      </c>
      <c r="AP20" s="74">
        <f t="shared" si="9"/>
        <v>99517.248</v>
      </c>
      <c r="AQ20" s="74">
        <f t="shared" si="9"/>
        <v>115263.648</v>
      </c>
      <c r="AR20" s="74">
        <f t="shared" si="9"/>
        <v>115263.648</v>
      </c>
      <c r="AS20" s="74">
        <f t="shared" si="9"/>
        <v>115263.648</v>
      </c>
      <c r="AT20" s="74">
        <f t="shared" si="9"/>
        <v>131010.048</v>
      </c>
      <c r="AU20" s="74">
        <f t="shared" si="9"/>
        <v>131010.048</v>
      </c>
      <c r="AV20" s="74">
        <f t="shared" si="9"/>
        <v>131010.048</v>
      </c>
      <c r="AW20" s="74">
        <f t="shared" si="9"/>
        <v>131010.048</v>
      </c>
      <c r="AX20" s="74">
        <f t="shared" si="9"/>
        <v>141490.8518</v>
      </c>
      <c r="AY20" s="74">
        <f t="shared" si="9"/>
        <v>141490.8518</v>
      </c>
      <c r="AZ20" s="74">
        <f t="shared" si="9"/>
        <v>158496.9638</v>
      </c>
      <c r="BA20" s="74">
        <f t="shared" si="9"/>
        <v>158496.9638</v>
      </c>
    </row>
    <row r="21" ht="14.25" customHeight="1">
      <c r="A21" s="3" t="s">
        <v>504</v>
      </c>
      <c r="B21" s="73" t="str">
        <f>""</f>
        <v/>
      </c>
      <c r="C21" s="73" t="str">
        <f t="shared" ref="C21:BA21" si="10">IFERROR(C19/B19-1,"")</f>
        <v/>
      </c>
      <c r="D21" s="73" t="str">
        <f t="shared" si="10"/>
        <v/>
      </c>
      <c r="E21" s="73" t="str">
        <f t="shared" si="10"/>
        <v/>
      </c>
      <c r="F21" s="73" t="str">
        <f t="shared" si="10"/>
        <v/>
      </c>
      <c r="G21" s="73" t="str">
        <f t="shared" si="10"/>
        <v/>
      </c>
      <c r="H21" s="73" t="str">
        <f t="shared" si="10"/>
        <v/>
      </c>
      <c r="I21" s="73" t="str">
        <f t="shared" si="10"/>
        <v/>
      </c>
      <c r="J21" s="73" t="str">
        <f t="shared" si="10"/>
        <v/>
      </c>
      <c r="K21" s="73" t="str">
        <f t="shared" si="10"/>
        <v/>
      </c>
      <c r="L21" s="73" t="str">
        <f t="shared" si="10"/>
        <v/>
      </c>
      <c r="M21" s="73" t="str">
        <f t="shared" si="10"/>
        <v/>
      </c>
      <c r="N21" s="73" t="str">
        <f t="shared" si="10"/>
        <v/>
      </c>
      <c r="O21" s="73" t="str">
        <f t="shared" si="10"/>
        <v/>
      </c>
      <c r="P21" s="73">
        <f t="shared" si="10"/>
        <v>0</v>
      </c>
      <c r="Q21" s="73">
        <f t="shared" si="10"/>
        <v>0</v>
      </c>
      <c r="R21" s="73">
        <f t="shared" si="10"/>
        <v>0</v>
      </c>
      <c r="S21" s="73">
        <f t="shared" si="10"/>
        <v>0</v>
      </c>
      <c r="T21" s="73">
        <f t="shared" si="10"/>
        <v>0</v>
      </c>
      <c r="U21" s="73">
        <f t="shared" si="10"/>
        <v>0</v>
      </c>
      <c r="V21" s="73">
        <f t="shared" si="10"/>
        <v>0</v>
      </c>
      <c r="W21" s="73">
        <f t="shared" si="10"/>
        <v>0</v>
      </c>
      <c r="X21" s="73">
        <f t="shared" si="10"/>
        <v>0</v>
      </c>
      <c r="Y21" s="73">
        <f t="shared" si="10"/>
        <v>3.125</v>
      </c>
      <c r="Z21" s="73">
        <f t="shared" si="10"/>
        <v>0.08</v>
      </c>
      <c r="AA21" s="73">
        <f t="shared" si="10"/>
        <v>0</v>
      </c>
      <c r="AB21" s="73">
        <f t="shared" si="10"/>
        <v>0.7575757576</v>
      </c>
      <c r="AC21" s="73">
        <f t="shared" si="10"/>
        <v>0</v>
      </c>
      <c r="AD21" s="73">
        <f t="shared" si="10"/>
        <v>0</v>
      </c>
      <c r="AE21" s="73">
        <f t="shared" si="10"/>
        <v>0.4310344828</v>
      </c>
      <c r="AF21" s="73">
        <f t="shared" si="10"/>
        <v>0</v>
      </c>
      <c r="AG21" s="73">
        <f t="shared" si="10"/>
        <v>0</v>
      </c>
      <c r="AH21" s="73">
        <f t="shared" si="10"/>
        <v>0.3012048193</v>
      </c>
      <c r="AI21" s="73">
        <f t="shared" si="10"/>
        <v>0</v>
      </c>
      <c r="AJ21" s="73">
        <f t="shared" si="10"/>
        <v>0</v>
      </c>
      <c r="AK21" s="73">
        <f t="shared" si="10"/>
        <v>0.2314814815</v>
      </c>
      <c r="AL21" s="73">
        <f t="shared" si="10"/>
        <v>0.08</v>
      </c>
      <c r="AM21" s="73">
        <f t="shared" si="10"/>
        <v>0</v>
      </c>
      <c r="AN21" s="73">
        <f t="shared" si="10"/>
        <v>0.1879699248</v>
      </c>
      <c r="AO21" s="73">
        <f t="shared" si="10"/>
        <v>0</v>
      </c>
      <c r="AP21" s="73">
        <f t="shared" si="10"/>
        <v>0</v>
      </c>
      <c r="AQ21" s="73">
        <f t="shared" si="10"/>
        <v>0.1582278481</v>
      </c>
      <c r="AR21" s="73">
        <f t="shared" si="10"/>
        <v>0</v>
      </c>
      <c r="AS21" s="73">
        <f t="shared" si="10"/>
        <v>0</v>
      </c>
      <c r="AT21" s="73">
        <f t="shared" si="10"/>
        <v>0.1366120219</v>
      </c>
      <c r="AU21" s="73">
        <f t="shared" si="10"/>
        <v>0</v>
      </c>
      <c r="AV21" s="73">
        <f t="shared" si="10"/>
        <v>0</v>
      </c>
      <c r="AW21" s="73">
        <f t="shared" si="10"/>
        <v>0</v>
      </c>
      <c r="AX21" s="73">
        <f t="shared" si="10"/>
        <v>0.08</v>
      </c>
      <c r="AY21" s="73">
        <f t="shared" si="10"/>
        <v>0</v>
      </c>
      <c r="AZ21" s="73">
        <f t="shared" si="10"/>
        <v>0.1201923077</v>
      </c>
      <c r="BA21" s="73">
        <f t="shared" si="10"/>
        <v>0</v>
      </c>
    </row>
    <row r="22" ht="14.25" customHeight="1">
      <c r="A22" s="3" t="s">
        <v>505</v>
      </c>
      <c r="B22" s="73">
        <f>Inputs!$B$29</f>
        <v>1.18</v>
      </c>
      <c r="C22" s="73">
        <f>Inputs!$B$29</f>
        <v>1.18</v>
      </c>
      <c r="D22" s="73">
        <f>Inputs!$B$29</f>
        <v>1.18</v>
      </c>
      <c r="E22" s="73">
        <f>Inputs!$B$29</f>
        <v>1.18</v>
      </c>
      <c r="F22" s="73">
        <f>Inputs!$B$29</f>
        <v>1.18</v>
      </c>
      <c r="G22" s="73">
        <f>Inputs!$B$29</f>
        <v>1.18</v>
      </c>
      <c r="H22" s="73">
        <f>Inputs!$B$29</f>
        <v>1.18</v>
      </c>
      <c r="I22" s="73">
        <f>Inputs!$B$29</f>
        <v>1.18</v>
      </c>
      <c r="J22" s="73">
        <f>Inputs!$B$29</f>
        <v>1.18</v>
      </c>
      <c r="K22" s="73">
        <f>Inputs!$B$29</f>
        <v>1.18</v>
      </c>
      <c r="L22" s="73">
        <f>Inputs!$B$29</f>
        <v>1.18</v>
      </c>
      <c r="M22" s="73">
        <f>Inputs!$B$29</f>
        <v>1.18</v>
      </c>
      <c r="N22" s="73">
        <f>Inputs!$B$29</f>
        <v>1.18</v>
      </c>
      <c r="O22" s="73">
        <f>Inputs!$B$29</f>
        <v>1.18</v>
      </c>
      <c r="P22" s="73">
        <f>Inputs!$B$29</f>
        <v>1.18</v>
      </c>
      <c r="Q22" s="73">
        <f>Inputs!$B$29</f>
        <v>1.18</v>
      </c>
      <c r="R22" s="73">
        <f>Inputs!$B$29</f>
        <v>1.18</v>
      </c>
      <c r="S22" s="73">
        <f>Inputs!$B$29</f>
        <v>1.18</v>
      </c>
      <c r="T22" s="73">
        <f>Inputs!$B$29</f>
        <v>1.18</v>
      </c>
      <c r="U22" s="73">
        <f>Inputs!$B$29</f>
        <v>1.18</v>
      </c>
      <c r="V22" s="73">
        <f>Inputs!$B$29</f>
        <v>1.18</v>
      </c>
      <c r="W22" s="73">
        <f>Inputs!$B$29</f>
        <v>1.18</v>
      </c>
      <c r="X22" s="73">
        <f>Inputs!$B$29</f>
        <v>1.18</v>
      </c>
      <c r="Y22" s="73">
        <f>Inputs!$B$29</f>
        <v>1.18</v>
      </c>
      <c r="Z22" s="73">
        <f>Inputs!$B$29</f>
        <v>1.18</v>
      </c>
      <c r="AA22" s="73">
        <f>Inputs!$B$29</f>
        <v>1.18</v>
      </c>
      <c r="AB22" s="73">
        <f>Inputs!$B$29</f>
        <v>1.18</v>
      </c>
      <c r="AC22" s="73">
        <f>Inputs!$B$29</f>
        <v>1.18</v>
      </c>
      <c r="AD22" s="73">
        <f>Inputs!$B$29</f>
        <v>1.18</v>
      </c>
      <c r="AE22" s="73">
        <f>Inputs!$B$29</f>
        <v>1.18</v>
      </c>
      <c r="AF22" s="73">
        <f>Inputs!$B$29</f>
        <v>1.18</v>
      </c>
      <c r="AG22" s="73">
        <f>Inputs!$B$29</f>
        <v>1.18</v>
      </c>
      <c r="AH22" s="73">
        <f>Inputs!$B$29</f>
        <v>1.18</v>
      </c>
      <c r="AI22" s="73">
        <f>Inputs!$B$29</f>
        <v>1.18</v>
      </c>
      <c r="AJ22" s="73">
        <f>Inputs!$B$29</f>
        <v>1.18</v>
      </c>
      <c r="AK22" s="73">
        <f>Inputs!$B$29</f>
        <v>1.18</v>
      </c>
      <c r="AL22" s="73">
        <f>Inputs!$B$29</f>
        <v>1.18</v>
      </c>
      <c r="AM22" s="73">
        <f>Inputs!$B$29</f>
        <v>1.18</v>
      </c>
      <c r="AN22" s="73">
        <f>Inputs!$B$29</f>
        <v>1.18</v>
      </c>
      <c r="AO22" s="73">
        <f>Inputs!$B$29</f>
        <v>1.18</v>
      </c>
      <c r="AP22" s="73">
        <f>Inputs!$B$29</f>
        <v>1.18</v>
      </c>
      <c r="AQ22" s="73">
        <f>Inputs!$B$29</f>
        <v>1.18</v>
      </c>
      <c r="AR22" s="73">
        <f>Inputs!$B$29</f>
        <v>1.18</v>
      </c>
      <c r="AS22" s="73">
        <f>Inputs!$B$29</f>
        <v>1.18</v>
      </c>
      <c r="AT22" s="73">
        <f>Inputs!$B$29</f>
        <v>1.18</v>
      </c>
      <c r="AU22" s="73">
        <f>Inputs!$B$29</f>
        <v>1.18</v>
      </c>
      <c r="AV22" s="73">
        <f>Inputs!$B$29</f>
        <v>1.18</v>
      </c>
      <c r="AW22" s="73">
        <f>Inputs!$B$29</f>
        <v>1.18</v>
      </c>
      <c r="AX22" s="73">
        <f>Inputs!$B$29</f>
        <v>1.18</v>
      </c>
      <c r="AY22" s="73">
        <f>Inputs!$B$29</f>
        <v>1.18</v>
      </c>
      <c r="AZ22" s="73">
        <f>Inputs!$B$29</f>
        <v>1.18</v>
      </c>
      <c r="BA22" s="73">
        <f>Inputs!$B$29</f>
        <v>1.18</v>
      </c>
    </row>
    <row r="23" ht="14.25" customHeight="1">
      <c r="A23" s="3" t="s">
        <v>506</v>
      </c>
      <c r="B23" s="74">
        <f t="shared" ref="B23:BA23" si="11">B5*B4*12+B12*B15</f>
        <v>0</v>
      </c>
      <c r="C23" s="74">
        <f t="shared" si="11"/>
        <v>0</v>
      </c>
      <c r="D23" s="74">
        <f t="shared" si="11"/>
        <v>0</v>
      </c>
      <c r="E23" s="74">
        <f t="shared" si="11"/>
        <v>0</v>
      </c>
      <c r="F23" s="74">
        <f t="shared" si="11"/>
        <v>0</v>
      </c>
      <c r="G23" s="74">
        <f t="shared" si="11"/>
        <v>0</v>
      </c>
      <c r="H23" s="74">
        <f t="shared" si="11"/>
        <v>0</v>
      </c>
      <c r="I23" s="74">
        <f t="shared" si="11"/>
        <v>0</v>
      </c>
      <c r="J23" s="74">
        <f t="shared" si="11"/>
        <v>0</v>
      </c>
      <c r="K23" s="74">
        <f t="shared" si="11"/>
        <v>0</v>
      </c>
      <c r="L23" s="74">
        <f t="shared" si="11"/>
        <v>0</v>
      </c>
      <c r="M23" s="74">
        <f t="shared" si="11"/>
        <v>0</v>
      </c>
      <c r="N23" s="74">
        <f t="shared" si="11"/>
        <v>0</v>
      </c>
      <c r="O23" s="74">
        <f t="shared" si="11"/>
        <v>51840</v>
      </c>
      <c r="P23" s="74">
        <f t="shared" si="11"/>
        <v>0</v>
      </c>
      <c r="Q23" s="74">
        <f t="shared" si="11"/>
        <v>0</v>
      </c>
      <c r="R23" s="74">
        <f t="shared" si="11"/>
        <v>0</v>
      </c>
      <c r="S23" s="74">
        <f t="shared" si="11"/>
        <v>0</v>
      </c>
      <c r="T23" s="74">
        <f t="shared" si="11"/>
        <v>0</v>
      </c>
      <c r="U23" s="74">
        <f t="shared" si="11"/>
        <v>0</v>
      </c>
      <c r="V23" s="74">
        <f t="shared" si="11"/>
        <v>0</v>
      </c>
      <c r="W23" s="74">
        <f t="shared" si="11"/>
        <v>0</v>
      </c>
      <c r="X23" s="74">
        <f t="shared" si="11"/>
        <v>0</v>
      </c>
      <c r="Y23" s="74">
        <f t="shared" si="11"/>
        <v>162000</v>
      </c>
      <c r="Z23" s="74">
        <f t="shared" si="11"/>
        <v>0</v>
      </c>
      <c r="AA23" s="74">
        <f t="shared" si="11"/>
        <v>0</v>
      </c>
      <c r="AB23" s="74">
        <f t="shared" si="11"/>
        <v>174960</v>
      </c>
      <c r="AC23" s="74">
        <f t="shared" si="11"/>
        <v>0</v>
      </c>
      <c r="AD23" s="74">
        <f t="shared" si="11"/>
        <v>0</v>
      </c>
      <c r="AE23" s="74">
        <f t="shared" si="11"/>
        <v>174960</v>
      </c>
      <c r="AF23" s="74">
        <f t="shared" si="11"/>
        <v>0</v>
      </c>
      <c r="AG23" s="74">
        <f t="shared" si="11"/>
        <v>0</v>
      </c>
      <c r="AH23" s="74">
        <f t="shared" si="11"/>
        <v>174960</v>
      </c>
      <c r="AI23" s="74">
        <f t="shared" si="11"/>
        <v>0</v>
      </c>
      <c r="AJ23" s="74">
        <f t="shared" si="11"/>
        <v>0</v>
      </c>
      <c r="AK23" s="74">
        <f t="shared" si="11"/>
        <v>174960</v>
      </c>
      <c r="AL23" s="74">
        <f t="shared" si="11"/>
        <v>0</v>
      </c>
      <c r="AM23" s="74">
        <f t="shared" si="11"/>
        <v>0</v>
      </c>
      <c r="AN23" s="74">
        <f t="shared" si="11"/>
        <v>188956.8</v>
      </c>
      <c r="AO23" s="74">
        <f t="shared" si="11"/>
        <v>0</v>
      </c>
      <c r="AP23" s="74">
        <f t="shared" si="11"/>
        <v>0</v>
      </c>
      <c r="AQ23" s="74">
        <f t="shared" si="11"/>
        <v>188956.8</v>
      </c>
      <c r="AR23" s="74">
        <f t="shared" si="11"/>
        <v>0</v>
      </c>
      <c r="AS23" s="74">
        <f t="shared" si="11"/>
        <v>0</v>
      </c>
      <c r="AT23" s="74">
        <f t="shared" si="11"/>
        <v>188956.8</v>
      </c>
      <c r="AU23" s="74">
        <f t="shared" si="11"/>
        <v>0</v>
      </c>
      <c r="AV23" s="74">
        <f t="shared" si="11"/>
        <v>0</v>
      </c>
      <c r="AW23" s="74">
        <f t="shared" si="11"/>
        <v>188956.8</v>
      </c>
      <c r="AX23" s="74">
        <f t="shared" si="11"/>
        <v>0</v>
      </c>
      <c r="AY23" s="74">
        <f t="shared" si="11"/>
        <v>0</v>
      </c>
      <c r="AZ23" s="74">
        <f t="shared" si="11"/>
        <v>204073.344</v>
      </c>
      <c r="BA23" s="74">
        <f t="shared" si="11"/>
        <v>0</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5.0"/>
    <col customWidth="1" min="2" max="53" width="12.0"/>
  </cols>
  <sheetData>
    <row r="1" ht="14.25" customHeight="1">
      <c r="A1" s="1" t="s">
        <v>507</v>
      </c>
    </row>
    <row r="2" ht="14.25" customHeight="1">
      <c r="B2" s="75">
        <v>46113.0</v>
      </c>
      <c r="C2" s="75">
        <v>46143.0</v>
      </c>
      <c r="D2" s="75">
        <v>46174.0</v>
      </c>
      <c r="E2" s="75">
        <v>46204.0</v>
      </c>
      <c r="F2" s="75">
        <v>46235.0</v>
      </c>
      <c r="G2" s="75">
        <v>46266.0</v>
      </c>
      <c r="H2" s="75">
        <v>46296.0</v>
      </c>
      <c r="I2" s="75">
        <v>46327.0</v>
      </c>
      <c r="J2" s="75">
        <v>46357.0</v>
      </c>
      <c r="K2" s="75">
        <v>46388.0</v>
      </c>
      <c r="L2" s="75">
        <v>46419.0</v>
      </c>
      <c r="M2" s="75">
        <v>46447.0</v>
      </c>
      <c r="N2" s="75">
        <v>46478.0</v>
      </c>
      <c r="O2" s="75">
        <v>46508.0</v>
      </c>
      <c r="P2" s="75">
        <v>46539.0</v>
      </c>
      <c r="Q2" s="75">
        <v>46569.0</v>
      </c>
      <c r="R2" s="75">
        <v>46600.0</v>
      </c>
      <c r="S2" s="75">
        <v>46631.0</v>
      </c>
      <c r="T2" s="75">
        <v>46661.0</v>
      </c>
      <c r="U2" s="75">
        <v>46692.0</v>
      </c>
      <c r="V2" s="75">
        <v>46722.0</v>
      </c>
      <c r="W2" s="75">
        <v>46753.0</v>
      </c>
      <c r="X2" s="75">
        <v>46784.0</v>
      </c>
      <c r="Y2" s="75">
        <v>46813.0</v>
      </c>
      <c r="Z2" s="75">
        <v>46844.0</v>
      </c>
      <c r="AA2" s="75">
        <v>46874.0</v>
      </c>
      <c r="AB2" s="75">
        <v>46905.0</v>
      </c>
      <c r="AC2" s="75">
        <v>46935.0</v>
      </c>
      <c r="AD2" s="75">
        <v>46966.0</v>
      </c>
      <c r="AE2" s="75">
        <v>46997.0</v>
      </c>
      <c r="AF2" s="75">
        <v>47027.0</v>
      </c>
      <c r="AG2" s="75">
        <v>47058.0</v>
      </c>
      <c r="AH2" s="75">
        <v>47088.0</v>
      </c>
      <c r="AI2" s="75">
        <v>47119.0</v>
      </c>
      <c r="AJ2" s="75">
        <v>47150.0</v>
      </c>
      <c r="AK2" s="75">
        <v>47178.0</v>
      </c>
      <c r="AL2" s="75">
        <v>47209.0</v>
      </c>
      <c r="AM2" s="75">
        <v>47239.0</v>
      </c>
      <c r="AN2" s="75">
        <v>47270.0</v>
      </c>
      <c r="AO2" s="75">
        <v>47300.0</v>
      </c>
      <c r="AP2" s="75">
        <v>47331.0</v>
      </c>
      <c r="AQ2" s="75">
        <v>47362.0</v>
      </c>
      <c r="AR2" s="75">
        <v>47392.0</v>
      </c>
      <c r="AS2" s="75">
        <v>47423.0</v>
      </c>
      <c r="AT2" s="75">
        <v>47453.0</v>
      </c>
      <c r="AU2" s="75">
        <v>47484.0</v>
      </c>
      <c r="AV2" s="75">
        <v>47515.0</v>
      </c>
      <c r="AW2" s="75">
        <v>47543.0</v>
      </c>
      <c r="AX2" s="75">
        <v>47574.0</v>
      </c>
      <c r="AY2" s="75">
        <v>47604.0</v>
      </c>
      <c r="AZ2" s="75">
        <v>47635.0</v>
      </c>
      <c r="BA2" s="75">
        <v>47665.0</v>
      </c>
    </row>
    <row r="3" ht="14.25" customHeight="1">
      <c r="A3" s="70" t="s">
        <v>508</v>
      </c>
      <c r="B3" s="70" t="s">
        <v>406</v>
      </c>
      <c r="C3" s="70" t="s">
        <v>407</v>
      </c>
      <c r="D3" s="70" t="s">
        <v>408</v>
      </c>
      <c r="E3" s="70" t="s">
        <v>409</v>
      </c>
      <c r="F3" s="70" t="s">
        <v>410</v>
      </c>
      <c r="G3" s="70" t="s">
        <v>411</v>
      </c>
      <c r="H3" s="70" t="s">
        <v>412</v>
      </c>
      <c r="I3" s="70" t="s">
        <v>413</v>
      </c>
      <c r="J3" s="70" t="s">
        <v>414</v>
      </c>
      <c r="K3" s="70" t="s">
        <v>415</v>
      </c>
      <c r="L3" s="70" t="s">
        <v>416</v>
      </c>
      <c r="M3" s="70" t="s">
        <v>417</v>
      </c>
      <c r="N3" s="70" t="s">
        <v>418</v>
      </c>
      <c r="O3" s="70" t="s">
        <v>419</v>
      </c>
      <c r="P3" s="70" t="s">
        <v>420</v>
      </c>
      <c r="Q3" s="70" t="s">
        <v>421</v>
      </c>
      <c r="R3" s="70" t="s">
        <v>422</v>
      </c>
      <c r="S3" s="70" t="s">
        <v>423</v>
      </c>
      <c r="T3" s="70" t="s">
        <v>424</v>
      </c>
      <c r="U3" s="70" t="s">
        <v>425</v>
      </c>
      <c r="V3" s="70" t="s">
        <v>426</v>
      </c>
      <c r="W3" s="70" t="s">
        <v>427</v>
      </c>
      <c r="X3" s="70" t="s">
        <v>428</v>
      </c>
      <c r="Y3" s="70" t="s">
        <v>429</v>
      </c>
      <c r="Z3" s="70" t="s">
        <v>430</v>
      </c>
      <c r="AA3" s="70" t="s">
        <v>431</v>
      </c>
      <c r="AB3" s="70" t="s">
        <v>432</v>
      </c>
      <c r="AC3" s="70" t="s">
        <v>433</v>
      </c>
      <c r="AD3" s="70" t="s">
        <v>434</v>
      </c>
      <c r="AE3" s="70" t="s">
        <v>435</v>
      </c>
      <c r="AF3" s="70" t="s">
        <v>436</v>
      </c>
      <c r="AG3" s="70" t="s">
        <v>437</v>
      </c>
      <c r="AH3" s="70" t="s">
        <v>438</v>
      </c>
      <c r="AI3" s="70" t="s">
        <v>439</v>
      </c>
      <c r="AJ3" s="70" t="s">
        <v>440</v>
      </c>
      <c r="AK3" s="70" t="s">
        <v>441</v>
      </c>
      <c r="AL3" s="70" t="s">
        <v>442</v>
      </c>
      <c r="AM3" s="70" t="s">
        <v>443</v>
      </c>
      <c r="AN3" s="70" t="s">
        <v>444</v>
      </c>
      <c r="AO3" s="70" t="s">
        <v>445</v>
      </c>
      <c r="AP3" s="70" t="s">
        <v>446</v>
      </c>
      <c r="AQ3" s="70" t="s">
        <v>447</v>
      </c>
      <c r="AR3" s="70" t="s">
        <v>448</v>
      </c>
      <c r="AS3" s="70" t="s">
        <v>449</v>
      </c>
      <c r="AT3" s="70" t="s">
        <v>450</v>
      </c>
      <c r="AU3" s="70" t="s">
        <v>451</v>
      </c>
      <c r="AV3" s="70" t="s">
        <v>452</v>
      </c>
      <c r="AW3" s="70" t="s">
        <v>453</v>
      </c>
      <c r="AX3" s="70" t="s">
        <v>454</v>
      </c>
      <c r="AY3" s="70" t="s">
        <v>455</v>
      </c>
      <c r="AZ3" s="70" t="s">
        <v>456</v>
      </c>
      <c r="BA3" s="70" t="s">
        <v>457</v>
      </c>
    </row>
    <row r="4" ht="14.25" customHeight="1">
      <c r="A4" s="2" t="s">
        <v>509</v>
      </c>
    </row>
    <row r="5" ht="14.25" customHeight="1">
      <c r="A5" s="3" t="s">
        <v>510</v>
      </c>
      <c r="B5" s="78">
        <v>3.0</v>
      </c>
      <c r="C5" s="78">
        <v>3.0</v>
      </c>
      <c r="D5" s="78">
        <v>3.0</v>
      </c>
      <c r="E5" s="78">
        <v>3.0</v>
      </c>
      <c r="F5" s="78">
        <v>3.0</v>
      </c>
      <c r="G5" s="78">
        <v>3.0</v>
      </c>
      <c r="H5" s="78">
        <v>3.0</v>
      </c>
      <c r="I5" s="78">
        <v>3.0</v>
      </c>
      <c r="J5" s="78">
        <v>3.0</v>
      </c>
      <c r="K5" s="78">
        <v>3.0</v>
      </c>
      <c r="L5" s="78">
        <v>3.0</v>
      </c>
      <c r="M5" s="78">
        <v>3.0</v>
      </c>
      <c r="N5" s="78">
        <v>3.0</v>
      </c>
      <c r="O5" s="78">
        <v>3.0</v>
      </c>
      <c r="P5" s="78">
        <v>3.0</v>
      </c>
      <c r="Q5" s="78">
        <v>3.0</v>
      </c>
      <c r="R5" s="78">
        <v>3.0</v>
      </c>
      <c r="S5" s="78">
        <v>3.0</v>
      </c>
      <c r="T5" s="78">
        <v>3.0</v>
      </c>
      <c r="U5" s="78">
        <v>3.0</v>
      </c>
      <c r="V5" s="78">
        <v>3.0</v>
      </c>
      <c r="W5" s="78">
        <v>3.0</v>
      </c>
      <c r="X5" s="78">
        <v>3.0</v>
      </c>
      <c r="Y5" s="78">
        <v>3.0</v>
      </c>
      <c r="Z5" s="78">
        <v>3.0</v>
      </c>
      <c r="AA5" s="78">
        <v>3.0</v>
      </c>
      <c r="AB5" s="78">
        <v>3.0</v>
      </c>
      <c r="AC5" s="78">
        <v>3.0</v>
      </c>
      <c r="AD5" s="78">
        <v>3.0</v>
      </c>
      <c r="AE5" s="78">
        <v>3.0</v>
      </c>
      <c r="AF5" s="78">
        <v>3.0</v>
      </c>
      <c r="AG5" s="78">
        <v>3.0</v>
      </c>
      <c r="AH5" s="78">
        <v>3.0</v>
      </c>
      <c r="AI5" s="78">
        <v>3.0</v>
      </c>
      <c r="AJ5" s="78">
        <v>3.0</v>
      </c>
      <c r="AK5" s="78">
        <v>3.0</v>
      </c>
      <c r="AL5" s="78">
        <v>3.0</v>
      </c>
      <c r="AM5" s="78">
        <v>3.0</v>
      </c>
      <c r="AN5" s="78">
        <v>3.0</v>
      </c>
      <c r="AO5" s="78">
        <v>3.0</v>
      </c>
      <c r="AP5" s="78">
        <v>3.0</v>
      </c>
      <c r="AQ5" s="78">
        <v>3.0</v>
      </c>
      <c r="AR5" s="78">
        <v>3.0</v>
      </c>
      <c r="AS5" s="78">
        <v>3.0</v>
      </c>
      <c r="AT5" s="78">
        <v>3.0</v>
      </c>
      <c r="AU5" s="78">
        <v>3.0</v>
      </c>
      <c r="AV5" s="78">
        <v>3.0</v>
      </c>
      <c r="AW5" s="78">
        <v>3.0</v>
      </c>
      <c r="AX5" s="78">
        <v>3.0</v>
      </c>
      <c r="AY5" s="78">
        <v>3.0</v>
      </c>
      <c r="AZ5" s="78">
        <v>3.0</v>
      </c>
      <c r="BA5" s="78">
        <v>3.0</v>
      </c>
    </row>
    <row r="6" ht="14.25" customHeight="1">
      <c r="A6" s="3" t="s">
        <v>163</v>
      </c>
      <c r="B6" s="79">
        <f>IF(COLUMNS($B$6:B6) &gt;= Inputs!$F$48, 1, 0)</f>
        <v>0</v>
      </c>
      <c r="C6" s="79">
        <f>IF(COLUMNS($B$6:C6) &gt;= Inputs!$F$48, 1, 0)</f>
        <v>0</v>
      </c>
      <c r="D6" s="79">
        <f>IF(COLUMNS($B$6:D6) &gt;= Inputs!$F$48, 1, 0)</f>
        <v>0</v>
      </c>
      <c r="E6" s="79">
        <f>IF(COLUMNS($B$6:E6) &gt;= Inputs!$F$48, 1, 0)</f>
        <v>0</v>
      </c>
      <c r="F6" s="79">
        <f>IF(COLUMNS($B$6:F6) &gt;= Inputs!$F$48, 1, 0)</f>
        <v>0</v>
      </c>
      <c r="G6" s="79">
        <f>IF(COLUMNS($B$6:G6) &gt;= Inputs!$F$48, 1, 0)</f>
        <v>0</v>
      </c>
      <c r="H6" s="79">
        <f>IF(COLUMNS($B$6:H6) &gt;= Inputs!$F$48, 1, 0)</f>
        <v>1</v>
      </c>
      <c r="I6" s="79">
        <f>IF(COLUMNS($B$6:I6) &gt;= Inputs!$F$48, 1, 0)</f>
        <v>1</v>
      </c>
      <c r="J6" s="79">
        <f>IF(COLUMNS($B$6:J6) &gt;= Inputs!$F$48, 1, 0)</f>
        <v>1</v>
      </c>
      <c r="K6" s="79">
        <f>IF(COLUMNS($B$6:K6) &gt;= Inputs!$F$48, 1, 0)</f>
        <v>1</v>
      </c>
      <c r="L6" s="79">
        <f>IF(COLUMNS($B$6:L6) &gt;= Inputs!$F$48, 1, 0)</f>
        <v>1</v>
      </c>
      <c r="M6" s="79">
        <f>IF(COLUMNS($B$6:M6) &gt;= Inputs!$F$48, 1, 0)</f>
        <v>1</v>
      </c>
      <c r="N6" s="79">
        <f>IF(COLUMNS($B$6:N6) &gt;= Inputs!$F$48, 1, 0)</f>
        <v>1</v>
      </c>
      <c r="O6" s="79">
        <f>IF(COLUMNS($B$6:O6) &gt;= Inputs!$F$48, 1, 0)</f>
        <v>1</v>
      </c>
      <c r="P6" s="79">
        <f>IF(COLUMNS($B$6:P6) &gt;= Inputs!$F$48, 1, 0)</f>
        <v>1</v>
      </c>
      <c r="Q6" s="79">
        <f>IF(COLUMNS($B$6:Q6) &gt;= Inputs!$F$48, 1, 0)</f>
        <v>1</v>
      </c>
      <c r="R6" s="79">
        <f>IF(COLUMNS($B$6:R6) &gt;= Inputs!$F$48, 1, 0)</f>
        <v>1</v>
      </c>
      <c r="S6" s="79">
        <f>IF(COLUMNS($B$6:S6) &gt;= Inputs!$F$48, 1, 0)</f>
        <v>1</v>
      </c>
      <c r="T6" s="79">
        <f>IF(COLUMNS($B$6:T6) &gt;= Inputs!$F$48, 1, 0)</f>
        <v>1</v>
      </c>
      <c r="U6" s="79">
        <f>IF(COLUMNS($B$6:U6) &gt;= Inputs!$F$48, 1, 0)</f>
        <v>1</v>
      </c>
      <c r="V6" s="79">
        <f>IF(COLUMNS($B$6:V6) &gt;= Inputs!$F$48, 1, 0)</f>
        <v>1</v>
      </c>
      <c r="W6" s="79">
        <f>IF(COLUMNS($B$6:W6) &gt;= Inputs!$F$48, 1, 0)</f>
        <v>1</v>
      </c>
      <c r="X6" s="79">
        <f>IF(COLUMNS($B$6:X6) &gt;= Inputs!$F$48, 1, 0)</f>
        <v>1</v>
      </c>
      <c r="Y6" s="79">
        <f>IF(COLUMNS($B$6:Y6) &gt;= Inputs!$F$48, 1, 0)</f>
        <v>1</v>
      </c>
      <c r="Z6" s="79">
        <f>IF(COLUMNS($B$6:Z6) &gt;= Inputs!$F$48, 1, 0)</f>
        <v>1</v>
      </c>
      <c r="AA6" s="79">
        <f>IF(COLUMNS($B$6:AA6) &gt;= Inputs!$F$48, 1, 0)</f>
        <v>1</v>
      </c>
      <c r="AB6" s="79">
        <f>IF(COLUMNS($B$6:AB6) &gt;= Inputs!$F$48, 1, 0)</f>
        <v>1</v>
      </c>
      <c r="AC6" s="79">
        <f>IF(COLUMNS($B$6:AC6) &gt;= Inputs!$F$48, 1, 0)</f>
        <v>1</v>
      </c>
      <c r="AD6" s="79">
        <f>IF(COLUMNS($B$6:AD6) &gt;= Inputs!$F$48, 1, 0)</f>
        <v>1</v>
      </c>
      <c r="AE6" s="79">
        <f>IF(COLUMNS($B$6:AE6) &gt;= Inputs!$F$48, 1, 0)</f>
        <v>1</v>
      </c>
      <c r="AF6" s="79">
        <f>IF(COLUMNS($B$6:AF6) &gt;= Inputs!$F$48, 1, 0)</f>
        <v>1</v>
      </c>
      <c r="AG6" s="79">
        <f>IF(COLUMNS($B$6:AG6) &gt;= Inputs!$F$48, 1, 0)</f>
        <v>1</v>
      </c>
      <c r="AH6" s="79">
        <f>IF(COLUMNS($B$6:AH6) &gt;= Inputs!$F$48, 1, 0)</f>
        <v>1</v>
      </c>
      <c r="AI6" s="79">
        <f>IF(COLUMNS($B$6:AI6) &gt;= Inputs!$F$48, 1, 0)</f>
        <v>1</v>
      </c>
      <c r="AJ6" s="79">
        <f>IF(COLUMNS($B$6:AJ6) &gt;= Inputs!$F$48, 1, 0)</f>
        <v>1</v>
      </c>
      <c r="AK6" s="79">
        <f>IF(COLUMNS($B$6:AK6) &gt;= Inputs!$F$48, 1, 0)</f>
        <v>1</v>
      </c>
      <c r="AL6" s="79">
        <f>IF(COLUMNS($B$6:AL6) &gt;= Inputs!$F$48, 1, 0)</f>
        <v>1</v>
      </c>
      <c r="AM6" s="79">
        <f>IF(COLUMNS($B$6:AM6) &gt;= Inputs!$F$48, 1, 0)</f>
        <v>1</v>
      </c>
      <c r="AN6" s="79">
        <f>IF(COLUMNS($B$6:AN6) &gt;= Inputs!$F$48, 1, 0)</f>
        <v>1</v>
      </c>
      <c r="AO6" s="79">
        <f>IF(COLUMNS($B$6:AO6) &gt;= Inputs!$F$48, 1, 0)</f>
        <v>1</v>
      </c>
      <c r="AP6" s="79">
        <f>IF(COLUMNS($B$6:AP6) &gt;= Inputs!$F$48, 1, 0)</f>
        <v>1</v>
      </c>
      <c r="AQ6" s="79">
        <f>IF(COLUMNS($B$6:AQ6) &gt;= Inputs!$F$48, 1, 0)</f>
        <v>1</v>
      </c>
      <c r="AR6" s="79">
        <f>IF(COLUMNS($B$6:AR6) &gt;= Inputs!$F$48, 1, 0)</f>
        <v>1</v>
      </c>
      <c r="AS6" s="79">
        <f>IF(COLUMNS($B$6:AS6) &gt;= Inputs!$F$48, 1, 0)</f>
        <v>1</v>
      </c>
      <c r="AT6" s="79">
        <f>IF(COLUMNS($B$6:AT6) &gt;= Inputs!$F$48, 1, 0)</f>
        <v>1</v>
      </c>
      <c r="AU6" s="79">
        <f>IF(COLUMNS($B$6:AU6) &gt;= Inputs!$F$48, 1, 0)</f>
        <v>1</v>
      </c>
      <c r="AV6" s="79">
        <f>IF(COLUMNS($B$6:AV6) &gt;= Inputs!$F$48, 1, 0)</f>
        <v>1</v>
      </c>
      <c r="AW6" s="79">
        <f>IF(COLUMNS($B$6:AW6) &gt;= Inputs!$F$48, 1, 0)</f>
        <v>1</v>
      </c>
      <c r="AX6" s="79">
        <f>IF(COLUMNS($B$6:AX6) &gt;= Inputs!$F$48, 1, 0)</f>
        <v>1</v>
      </c>
      <c r="AY6" s="79">
        <f>IF(COLUMNS($B$6:AY6) &gt;= Inputs!$F$48, 1, 0)</f>
        <v>1</v>
      </c>
      <c r="AZ6" s="79">
        <f>IF(COLUMNS($B$6:AZ6) &gt;= Inputs!$F$48, 1, 0)</f>
        <v>1</v>
      </c>
      <c r="BA6" s="79">
        <f>IF(COLUMNS($B$6:BA6) &gt;= Inputs!$F$48, 1, 0)</f>
        <v>1</v>
      </c>
    </row>
    <row r="7" ht="14.25" customHeight="1">
      <c r="A7" s="3" t="s">
        <v>167</v>
      </c>
      <c r="B7" s="79">
        <f>IF(COLUMNS($B$7:B7) &gt;= Inputs!$F49, 1, 0)</f>
        <v>0</v>
      </c>
      <c r="C7" s="79">
        <f>IF(COLUMNS($B$7:C7) &gt;= Inputs!$F49, 1, 0)</f>
        <v>0</v>
      </c>
      <c r="D7" s="79">
        <f>IF(COLUMNS($B$7:D7) &gt;= Inputs!$F49, 1, 0)</f>
        <v>0</v>
      </c>
      <c r="E7" s="79">
        <f>IF(COLUMNS($B$7:E7) &gt;= Inputs!$F49, 1, 0)</f>
        <v>0</v>
      </c>
      <c r="F7" s="79">
        <f>IF(COLUMNS($B$7:F7) &gt;= Inputs!$F49, 1, 0)</f>
        <v>0</v>
      </c>
      <c r="G7" s="79">
        <f>IF(COLUMNS($B$7:G7) &gt;= Inputs!$F49, 1, 0)</f>
        <v>0</v>
      </c>
      <c r="H7" s="79">
        <f>IF(COLUMNS($B$7:H7) &gt;= Inputs!$F49, 1, 0)</f>
        <v>0</v>
      </c>
      <c r="I7" s="79">
        <f>IF(COLUMNS($B$7:I7) &gt;= Inputs!$F49, 1, 0)</f>
        <v>0</v>
      </c>
      <c r="J7" s="79">
        <f>IF(COLUMNS($B$7:J7) &gt;= Inputs!$F49, 1, 0)</f>
        <v>0</v>
      </c>
      <c r="K7" s="79">
        <f>IF(COLUMNS($B$7:K7) &gt;= Inputs!$F49, 1, 0)</f>
        <v>1</v>
      </c>
      <c r="L7" s="79">
        <f>IF(COLUMNS($B$7:L7) &gt;= Inputs!$F49, 1, 0)</f>
        <v>1</v>
      </c>
      <c r="M7" s="79">
        <f>IF(COLUMNS($B$7:M7) &gt;= Inputs!$F49, 1, 0)</f>
        <v>1</v>
      </c>
      <c r="N7" s="79">
        <f>IF(COLUMNS($B$7:N7) &gt;= Inputs!$F49, 1, 0)</f>
        <v>1</v>
      </c>
      <c r="O7" s="79">
        <f>IF(COLUMNS($B$7:O7) &gt;= Inputs!$F49, 1, 0)</f>
        <v>1</v>
      </c>
      <c r="P7" s="79">
        <f>IF(COLUMNS($B$7:P7) &gt;= Inputs!$F49, 1, 0)</f>
        <v>1</v>
      </c>
      <c r="Q7" s="79">
        <f>IF(COLUMNS($B$7:Q7) &gt;= Inputs!$F49, 1, 0)</f>
        <v>1</v>
      </c>
      <c r="R7" s="79">
        <f>IF(COLUMNS($B$7:R7) &gt;= Inputs!$F49, 1, 0)</f>
        <v>1</v>
      </c>
      <c r="S7" s="79">
        <f>IF(COLUMNS($B$7:S7) &gt;= Inputs!$F49, 1, 0)</f>
        <v>1</v>
      </c>
      <c r="T7" s="79">
        <f>IF(COLUMNS($B$7:T7) &gt;= Inputs!$F49, 1, 0)</f>
        <v>1</v>
      </c>
      <c r="U7" s="79">
        <f>IF(COLUMNS($B$7:U7) &gt;= Inputs!$F49, 1, 0)</f>
        <v>1</v>
      </c>
      <c r="V7" s="79">
        <f>IF(COLUMNS($B$7:V7) &gt;= Inputs!$F49, 1, 0)</f>
        <v>1</v>
      </c>
      <c r="W7" s="79">
        <f>IF(COLUMNS($B$7:W7) &gt;= Inputs!$F49, 1, 0)</f>
        <v>1</v>
      </c>
      <c r="X7" s="79">
        <f>IF(COLUMNS($B$7:X7) &gt;= Inputs!$F49, 1, 0)</f>
        <v>1</v>
      </c>
      <c r="Y7" s="79">
        <f>IF(COLUMNS($B$7:Y7) &gt;= Inputs!$F49, 1, 0)</f>
        <v>1</v>
      </c>
      <c r="Z7" s="79">
        <f>IF(COLUMNS($B$7:Z7) &gt;= Inputs!$F49, 1, 0)</f>
        <v>1</v>
      </c>
      <c r="AA7" s="79">
        <f>IF(COLUMNS($B$7:AA7) &gt;= Inputs!$F49, 1, 0)</f>
        <v>1</v>
      </c>
      <c r="AB7" s="79">
        <f>IF(COLUMNS($B$7:AB7) &gt;= Inputs!$F49, 1, 0)</f>
        <v>1</v>
      </c>
      <c r="AC7" s="79">
        <f>IF(COLUMNS($B$7:AC7) &gt;= Inputs!$F49, 1, 0)</f>
        <v>1</v>
      </c>
      <c r="AD7" s="79">
        <f>IF(COLUMNS($B$7:AD7) &gt;= Inputs!$F49, 1, 0)</f>
        <v>1</v>
      </c>
      <c r="AE7" s="79">
        <f>IF(COLUMNS($B$7:AE7) &gt;= Inputs!$F49, 1, 0)</f>
        <v>1</v>
      </c>
      <c r="AF7" s="79">
        <f>IF(COLUMNS($B$7:AF7) &gt;= Inputs!$F49, 1, 0)</f>
        <v>1</v>
      </c>
      <c r="AG7" s="79">
        <f>IF(COLUMNS($B$7:AG7) &gt;= Inputs!$F49, 1, 0)</f>
        <v>1</v>
      </c>
      <c r="AH7" s="79">
        <f>IF(COLUMNS($B$7:AH7) &gt;= Inputs!$F49, 1, 0)</f>
        <v>1</v>
      </c>
      <c r="AI7" s="79">
        <f>IF(COLUMNS($B$7:AI7) &gt;= Inputs!$F49, 1, 0)</f>
        <v>1</v>
      </c>
      <c r="AJ7" s="79">
        <f>IF(COLUMNS($B$7:AJ7) &gt;= Inputs!$F49, 1, 0)</f>
        <v>1</v>
      </c>
      <c r="AK7" s="79">
        <f>IF(COLUMNS($B$7:AK7) &gt;= Inputs!$F49, 1, 0)</f>
        <v>1</v>
      </c>
      <c r="AL7" s="79">
        <f>IF(COLUMNS($B$7:AL7) &gt;= Inputs!$F49, 1, 0)</f>
        <v>1</v>
      </c>
      <c r="AM7" s="79">
        <f>IF(COLUMNS($B$7:AM7) &gt;= Inputs!$F49, 1, 0)</f>
        <v>1</v>
      </c>
      <c r="AN7" s="79">
        <f>IF(COLUMNS($B$7:AN7) &gt;= Inputs!$F49, 1, 0)</f>
        <v>1</v>
      </c>
      <c r="AO7" s="79">
        <f>IF(COLUMNS($B$7:AO7) &gt;= Inputs!$F49, 1, 0)</f>
        <v>1</v>
      </c>
      <c r="AP7" s="79">
        <f>IF(COLUMNS($B$7:AP7) &gt;= Inputs!$F49, 1, 0)</f>
        <v>1</v>
      </c>
      <c r="AQ7" s="79">
        <f>IF(COLUMNS($B$7:AQ7) &gt;= Inputs!$F49, 1, 0)</f>
        <v>1</v>
      </c>
      <c r="AR7" s="79">
        <f>IF(COLUMNS($B$7:AR7) &gt;= Inputs!$F49, 1, 0)</f>
        <v>1</v>
      </c>
      <c r="AS7" s="79">
        <f>IF(COLUMNS($B$7:AS7) &gt;= Inputs!$F49, 1, 0)</f>
        <v>1</v>
      </c>
      <c r="AT7" s="79">
        <f>IF(COLUMNS($B$7:AT7) &gt;= Inputs!$F49, 1, 0)</f>
        <v>1</v>
      </c>
      <c r="AU7" s="79">
        <f>IF(COLUMNS($B$7:AU7) &gt;= Inputs!$F49, 1, 0)</f>
        <v>1</v>
      </c>
      <c r="AV7" s="79">
        <f>IF(COLUMNS($B$7:AV7) &gt;= Inputs!$F49, 1, 0)</f>
        <v>1</v>
      </c>
      <c r="AW7" s="79">
        <f>IF(COLUMNS($B$7:AW7) &gt;= Inputs!$F49, 1, 0)</f>
        <v>1</v>
      </c>
      <c r="AX7" s="79">
        <f>IF(COLUMNS($B$7:AX7) &gt;= Inputs!$F49, 1, 0)</f>
        <v>1</v>
      </c>
      <c r="AY7" s="79">
        <f>IF(COLUMNS($B$7:AY7) &gt;= Inputs!$F49, 1, 0)</f>
        <v>1</v>
      </c>
      <c r="AZ7" s="79">
        <f>IF(COLUMNS($B$7:AZ7) &gt;= Inputs!$F49, 1, 0)</f>
        <v>1</v>
      </c>
      <c r="BA7" s="79">
        <f>IF(COLUMNS($B$7:BA7) &gt;= Inputs!$F49, 1, 0)</f>
        <v>1</v>
      </c>
    </row>
    <row r="8" ht="14.25" customHeight="1">
      <c r="A8" s="3" t="s">
        <v>171</v>
      </c>
      <c r="B8" s="79">
        <f>IF(COLUMNS($B$8:B8) &gt;= Inputs!$F$50, 1, 0)</f>
        <v>0</v>
      </c>
      <c r="C8" s="79">
        <f>IF(COLUMNS($B$8:C8) &gt;= Inputs!$F$50, 1, 0)</f>
        <v>0</v>
      </c>
      <c r="D8" s="79">
        <f>IF(COLUMNS($B$8:D8) &gt;= Inputs!$F$50, 1, 0)</f>
        <v>0</v>
      </c>
      <c r="E8" s="79">
        <f>IF(COLUMNS($B$8:E8) &gt;= Inputs!$F$50, 1, 0)</f>
        <v>0</v>
      </c>
      <c r="F8" s="79">
        <f>IF(COLUMNS($B$8:F8) &gt;= Inputs!$F$50, 1, 0)</f>
        <v>0</v>
      </c>
      <c r="G8" s="79">
        <f>IF(COLUMNS($B$8:G8) &gt;= Inputs!$F$50, 1, 0)</f>
        <v>0</v>
      </c>
      <c r="H8" s="79">
        <f>IF(COLUMNS($B$8:H8) &gt;= Inputs!$F$50, 1, 0)</f>
        <v>0</v>
      </c>
      <c r="I8" s="79">
        <f>IF(COLUMNS($B$8:I8) &gt;= Inputs!$F$50, 1, 0)</f>
        <v>0</v>
      </c>
      <c r="J8" s="79">
        <f>IF(COLUMNS($B$8:J8) &gt;= Inputs!$F$50, 1, 0)</f>
        <v>1</v>
      </c>
      <c r="K8" s="79">
        <f>IF(COLUMNS($B$8:K8) &gt;= Inputs!$F$50, 1, 0)</f>
        <v>1</v>
      </c>
      <c r="L8" s="79">
        <f>IF(COLUMNS($B$8:L8) &gt;= Inputs!$F$50, 1, 0)</f>
        <v>1</v>
      </c>
      <c r="M8" s="79">
        <f>IF(COLUMNS($B$8:M8) &gt;= Inputs!$F$50, 1, 0)</f>
        <v>1</v>
      </c>
      <c r="N8" s="79">
        <f>IF(COLUMNS($B$8:N8) &gt;= Inputs!$F$50, 1, 0)</f>
        <v>1</v>
      </c>
      <c r="O8" s="79">
        <f>IF(COLUMNS($B$8:O8) &gt;= Inputs!$F$50, 1, 0)</f>
        <v>1</v>
      </c>
      <c r="P8" s="79">
        <f>IF(COLUMNS($B$8:P8) &gt;= Inputs!$F$50, 1, 0)</f>
        <v>1</v>
      </c>
      <c r="Q8" s="79">
        <f>IF(COLUMNS($B$8:Q8) &gt;= Inputs!$F$50, 1, 0)</f>
        <v>1</v>
      </c>
      <c r="R8" s="79">
        <f>IF(COLUMNS($B$8:R8) &gt;= Inputs!$F$50, 1, 0)</f>
        <v>1</v>
      </c>
      <c r="S8" s="79">
        <f>IF(COLUMNS($B$8:S8) &gt;= Inputs!$F$50, 1, 0)</f>
        <v>1</v>
      </c>
      <c r="T8" s="79">
        <f>IF(COLUMNS($B$8:T8) &gt;= Inputs!$F$50, 1, 0)</f>
        <v>1</v>
      </c>
      <c r="U8" s="79">
        <f>IF(COLUMNS($B$8:U8) &gt;= Inputs!$F$50, 1, 0)</f>
        <v>1</v>
      </c>
      <c r="V8" s="79">
        <f>IF(COLUMNS($B$8:V8) &gt;= Inputs!$F$50, 1, 0)</f>
        <v>1</v>
      </c>
      <c r="W8" s="79">
        <f>IF(COLUMNS($B$8:W8) &gt;= Inputs!$F$50, 1, 0)</f>
        <v>1</v>
      </c>
      <c r="X8" s="79">
        <f>IF(COLUMNS($B$8:X8) &gt;= Inputs!$F$50, 1, 0)</f>
        <v>1</v>
      </c>
      <c r="Y8" s="79">
        <f>IF(COLUMNS($B$8:Y8) &gt;= Inputs!$F$50, 1, 0)</f>
        <v>1</v>
      </c>
      <c r="Z8" s="79">
        <f>IF(COLUMNS($B$8:Z8) &gt;= Inputs!$F$50, 1, 0)</f>
        <v>1</v>
      </c>
      <c r="AA8" s="79">
        <f>IF(COLUMNS($B$8:AA8) &gt;= Inputs!$F$50, 1, 0)</f>
        <v>1</v>
      </c>
      <c r="AB8" s="79">
        <f>IF(COLUMNS($B$8:AB8) &gt;= Inputs!$F$50, 1, 0)</f>
        <v>1</v>
      </c>
      <c r="AC8" s="79">
        <f>IF(COLUMNS($B$8:AC8) &gt;= Inputs!$F$50, 1, 0)</f>
        <v>1</v>
      </c>
      <c r="AD8" s="79">
        <f>IF(COLUMNS($B$8:AD8) &gt;= Inputs!$F$50, 1, 0)</f>
        <v>1</v>
      </c>
      <c r="AE8" s="79">
        <f>IF(COLUMNS($B$8:AE8) &gt;= Inputs!$F$50, 1, 0)</f>
        <v>1</v>
      </c>
      <c r="AF8" s="79">
        <f>IF(COLUMNS($B$8:AF8) &gt;= Inputs!$F$50, 1, 0)</f>
        <v>1</v>
      </c>
      <c r="AG8" s="79">
        <f>IF(COLUMNS($B$8:AG8) &gt;= Inputs!$F$50, 1, 0)</f>
        <v>1</v>
      </c>
      <c r="AH8" s="79">
        <f>IF(COLUMNS($B$8:AH8) &gt;= Inputs!$F$50, 1, 0)</f>
        <v>1</v>
      </c>
      <c r="AI8" s="79">
        <f>IF(COLUMNS($B$8:AI8) &gt;= Inputs!$F$50, 1, 0)</f>
        <v>1</v>
      </c>
      <c r="AJ8" s="79">
        <f>IF(COLUMNS($B$8:AJ8) &gt;= Inputs!$F$50, 1, 0)</f>
        <v>1</v>
      </c>
      <c r="AK8" s="79">
        <f>IF(COLUMNS($B$8:AK8) &gt;= Inputs!$F$50, 1, 0)</f>
        <v>1</v>
      </c>
      <c r="AL8" s="79">
        <f>IF(COLUMNS($B$8:AL8) &gt;= Inputs!$F$50, 1, 0)</f>
        <v>1</v>
      </c>
      <c r="AM8" s="79">
        <f>IF(COLUMNS($B$8:AM8) &gt;= Inputs!$F$50, 1, 0)</f>
        <v>1</v>
      </c>
      <c r="AN8" s="79">
        <f>IF(COLUMNS($B$8:AN8) &gt;= Inputs!$F$50, 1, 0)</f>
        <v>1</v>
      </c>
      <c r="AO8" s="79">
        <f>IF(COLUMNS($B$8:AO8) &gt;= Inputs!$F$50, 1, 0)</f>
        <v>1</v>
      </c>
      <c r="AP8" s="79">
        <f>IF(COLUMNS($B$8:AP8) &gt;= Inputs!$F$50, 1, 0)</f>
        <v>1</v>
      </c>
      <c r="AQ8" s="79">
        <f>IF(COLUMNS($B$8:AQ8) &gt;= Inputs!$F$50, 1, 0)</f>
        <v>1</v>
      </c>
      <c r="AR8" s="79">
        <f>IF(COLUMNS($B$8:AR8) &gt;= Inputs!$F$50, 1, 0)</f>
        <v>1</v>
      </c>
      <c r="AS8" s="79">
        <f>IF(COLUMNS($B$8:AS8) &gt;= Inputs!$F$50, 1, 0)</f>
        <v>1</v>
      </c>
      <c r="AT8" s="79">
        <f>IF(COLUMNS($B$8:AT8) &gt;= Inputs!$F$50, 1, 0)</f>
        <v>1</v>
      </c>
      <c r="AU8" s="79">
        <f>IF(COLUMNS($B$8:AU8) &gt;= Inputs!$F$50, 1, 0)</f>
        <v>1</v>
      </c>
      <c r="AV8" s="79">
        <f>IF(COLUMNS($B$8:AV8) &gt;= Inputs!$F$50, 1, 0)</f>
        <v>1</v>
      </c>
      <c r="AW8" s="79">
        <f>IF(COLUMNS($B$8:AW8) &gt;= Inputs!$F$50, 1, 0)</f>
        <v>1</v>
      </c>
      <c r="AX8" s="79">
        <f>IF(COLUMNS($B$8:AX8) &gt;= Inputs!$F$50, 1, 0)</f>
        <v>1</v>
      </c>
      <c r="AY8" s="79">
        <f>IF(COLUMNS($B$8:AY8) &gt;= Inputs!$F$50, 1, 0)</f>
        <v>1</v>
      </c>
      <c r="AZ8" s="79">
        <f>IF(COLUMNS($B$8:AZ8) &gt;= Inputs!$F$50, 1, 0)</f>
        <v>1</v>
      </c>
      <c r="BA8" s="79">
        <f>IF(COLUMNS($B$8:BA8) &gt;= Inputs!$F$50, 1, 0)</f>
        <v>1</v>
      </c>
    </row>
    <row r="9" ht="14.25" customHeight="1">
      <c r="A9" s="3" t="s">
        <v>174</v>
      </c>
      <c r="B9" s="79">
        <f>IF(COLUMNS($B$9:B9) &gt;= Inputs!$F$51, 1, 0)</f>
        <v>0</v>
      </c>
      <c r="C9" s="79">
        <f>IF(COLUMNS($B$9:C9) &gt;= Inputs!$F$51, 1, 0)</f>
        <v>0</v>
      </c>
      <c r="D9" s="79">
        <f>IF(COLUMNS($B$9:D9) &gt;= Inputs!$F$51, 1, 0)</f>
        <v>0</v>
      </c>
      <c r="E9" s="79">
        <f>IF(COLUMNS($B$9:E9) &gt;= Inputs!$F$51, 1, 0)</f>
        <v>0</v>
      </c>
      <c r="F9" s="79">
        <f>IF(COLUMNS($B$9:F9) &gt;= Inputs!$F$51, 1, 0)</f>
        <v>0</v>
      </c>
      <c r="G9" s="79">
        <f>IF(COLUMNS($B$9:G9) &gt;= Inputs!$F$51, 1, 0)</f>
        <v>0</v>
      </c>
      <c r="H9" s="79">
        <f>IF(COLUMNS($B$9:H9) &gt;= Inputs!$F$51, 1, 0)</f>
        <v>0</v>
      </c>
      <c r="I9" s="79">
        <f>IF(COLUMNS($B$9:I9) &gt;= Inputs!$F$51, 1, 0)</f>
        <v>1</v>
      </c>
      <c r="J9" s="79">
        <f>IF(COLUMNS($B$9:J9) &gt;= Inputs!$F$51, 1, 0)</f>
        <v>1</v>
      </c>
      <c r="K9" s="79">
        <f>IF(COLUMNS($B$9:K9) &gt;= Inputs!$F$51, 1, 0)</f>
        <v>1</v>
      </c>
      <c r="L9" s="79">
        <f>IF(COLUMNS($B$9:L9) &gt;= Inputs!$F$51, 1, 0)</f>
        <v>1</v>
      </c>
      <c r="M9" s="79">
        <f>IF(COLUMNS($B$9:M9) &gt;= Inputs!$F$51, 1, 0)</f>
        <v>1</v>
      </c>
      <c r="N9" s="79">
        <f>IF(COLUMNS($B$9:N9) &gt;= Inputs!$F$51, 1, 0)</f>
        <v>1</v>
      </c>
      <c r="O9" s="79">
        <f>IF(COLUMNS($B$9:O9) &gt;= Inputs!$F$51, 1, 0)</f>
        <v>1</v>
      </c>
      <c r="P9" s="79">
        <f>IF(COLUMNS($B$9:P9) &gt;= Inputs!$F$51, 1, 0)</f>
        <v>1</v>
      </c>
      <c r="Q9" s="79">
        <f>IF(COLUMNS($B$9:Q9) &gt;= Inputs!$F$51, 1, 0)</f>
        <v>1</v>
      </c>
      <c r="R9" s="79">
        <f>IF(COLUMNS($B$9:R9) &gt;= Inputs!$F$51, 1, 0)</f>
        <v>1</v>
      </c>
      <c r="S9" s="79">
        <f>IF(COLUMNS($B$9:S9) &gt;= Inputs!$F$51, 1, 0)</f>
        <v>1</v>
      </c>
      <c r="T9" s="79">
        <f>IF(COLUMNS($B$9:T9) &gt;= Inputs!$F$51, 1, 0)</f>
        <v>1</v>
      </c>
      <c r="U9" s="79">
        <f>IF(COLUMNS($B$9:U9) &gt;= Inputs!$F$51, 1, 0)</f>
        <v>1</v>
      </c>
      <c r="V9" s="79">
        <f>IF(COLUMNS($B$9:V9) &gt;= Inputs!$F$51, 1, 0)</f>
        <v>1</v>
      </c>
      <c r="W9" s="79">
        <f>IF(COLUMNS($B$9:W9) &gt;= Inputs!$F$51, 1, 0)</f>
        <v>1</v>
      </c>
      <c r="X9" s="79">
        <f>IF(COLUMNS($B$9:X9) &gt;= Inputs!$F$51, 1, 0)</f>
        <v>1</v>
      </c>
      <c r="Y9" s="79">
        <f>IF(COLUMNS($B$9:Y9) &gt;= Inputs!$F$51, 1, 0)</f>
        <v>1</v>
      </c>
      <c r="Z9" s="79">
        <f>IF(COLUMNS($B$9:Z9) &gt;= Inputs!$F$51, 1, 0)</f>
        <v>1</v>
      </c>
      <c r="AA9" s="79">
        <f>IF(COLUMNS($B$9:AA9) &gt;= Inputs!$F$51, 1, 0)</f>
        <v>1</v>
      </c>
      <c r="AB9" s="79">
        <f>IF(COLUMNS($B$9:AB9) &gt;= Inputs!$F$51, 1, 0)</f>
        <v>1</v>
      </c>
      <c r="AC9" s="79">
        <f>IF(COLUMNS($B$9:AC9) &gt;= Inputs!$F$51, 1, 0)</f>
        <v>1</v>
      </c>
      <c r="AD9" s="79">
        <f>IF(COLUMNS($B$9:AD9) &gt;= Inputs!$F$51, 1, 0)</f>
        <v>1</v>
      </c>
      <c r="AE9" s="79">
        <f>IF(COLUMNS($B$9:AE9) &gt;= Inputs!$F$51, 1, 0)</f>
        <v>1</v>
      </c>
      <c r="AF9" s="79">
        <f>IF(COLUMNS($B$9:AF9) &gt;= Inputs!$F$51, 1, 0)</f>
        <v>1</v>
      </c>
      <c r="AG9" s="79">
        <f>IF(COLUMNS($B$9:AG9) &gt;= Inputs!$F$51, 1, 0)</f>
        <v>1</v>
      </c>
      <c r="AH9" s="79">
        <f>IF(COLUMNS($B$9:AH9) &gt;= Inputs!$F$51, 1, 0)</f>
        <v>1</v>
      </c>
      <c r="AI9" s="79">
        <f>IF(COLUMNS($B$9:AI9) &gt;= Inputs!$F$51, 1, 0)</f>
        <v>1</v>
      </c>
      <c r="AJ9" s="79">
        <f>IF(COLUMNS($B$9:AJ9) &gt;= Inputs!$F$51, 1, 0)</f>
        <v>1</v>
      </c>
      <c r="AK9" s="79">
        <f>IF(COLUMNS($B$9:AK9) &gt;= Inputs!$F$51, 1, 0)</f>
        <v>1</v>
      </c>
      <c r="AL9" s="79">
        <f>IF(COLUMNS($B$9:AL9) &gt;= Inputs!$F$51, 1, 0)</f>
        <v>1</v>
      </c>
      <c r="AM9" s="79">
        <f>IF(COLUMNS($B$9:AM9) &gt;= Inputs!$F$51, 1, 0)</f>
        <v>1</v>
      </c>
      <c r="AN9" s="79">
        <f>IF(COLUMNS($B$9:AN9) &gt;= Inputs!$F$51, 1, 0)</f>
        <v>1</v>
      </c>
      <c r="AO9" s="79">
        <f>IF(COLUMNS($B$9:AO9) &gt;= Inputs!$F$51, 1, 0)</f>
        <v>1</v>
      </c>
      <c r="AP9" s="79">
        <f>IF(COLUMNS($B$9:AP9) &gt;= Inputs!$F$51, 1, 0)</f>
        <v>1</v>
      </c>
      <c r="AQ9" s="79">
        <f>IF(COLUMNS($B$9:AQ9) &gt;= Inputs!$F$51, 1, 0)</f>
        <v>1</v>
      </c>
      <c r="AR9" s="79">
        <f>IF(COLUMNS($B$9:AR9) &gt;= Inputs!$F$51, 1, 0)</f>
        <v>1</v>
      </c>
      <c r="AS9" s="79">
        <f>IF(COLUMNS($B$9:AS9) &gt;= Inputs!$F$51, 1, 0)</f>
        <v>1</v>
      </c>
      <c r="AT9" s="79">
        <f>IF(COLUMNS($B$9:AT9) &gt;= Inputs!$F$51, 1, 0)</f>
        <v>1</v>
      </c>
      <c r="AU9" s="79">
        <f>IF(COLUMNS($B$9:AU9) &gt;= Inputs!$F$51, 1, 0)</f>
        <v>1</v>
      </c>
      <c r="AV9" s="79">
        <f>IF(COLUMNS($B$9:AV9) &gt;= Inputs!$F$51, 1, 0)</f>
        <v>1</v>
      </c>
      <c r="AW9" s="79">
        <f>IF(COLUMNS($B$9:AW9) &gt;= Inputs!$F$51, 1, 0)</f>
        <v>1</v>
      </c>
      <c r="AX9" s="79">
        <f>IF(COLUMNS($B$9:AX9) &gt;= Inputs!$F$51, 1, 0)</f>
        <v>1</v>
      </c>
      <c r="AY9" s="79">
        <f>IF(COLUMNS($B$9:AY9) &gt;= Inputs!$F$51, 1, 0)</f>
        <v>1</v>
      </c>
      <c r="AZ9" s="79">
        <f>IF(COLUMNS($B$9:AZ9) &gt;= Inputs!$F$51, 1, 0)</f>
        <v>1</v>
      </c>
      <c r="BA9" s="79">
        <f>IF(COLUMNS($B$9:BA9) &gt;= Inputs!$F$51, 1, 0)</f>
        <v>1</v>
      </c>
    </row>
    <row r="10" ht="14.25" customHeight="1">
      <c r="A10" s="3" t="s">
        <v>177</v>
      </c>
      <c r="B10" s="79">
        <f>IF(COLUMNS($B$9:B10) &gt;= Inputs!$F$52, 1, 0)</f>
        <v>0</v>
      </c>
      <c r="C10" s="79">
        <f>IF(COLUMNS($B$9:C10) &gt;= Inputs!$F$52, 1, 0)</f>
        <v>0</v>
      </c>
      <c r="D10" s="79">
        <f>IF(COLUMNS($B$9:D10) &gt;= Inputs!$F$52, 1, 0)</f>
        <v>0</v>
      </c>
      <c r="E10" s="79">
        <f>IF(COLUMNS($B$9:E10) &gt;= Inputs!$F$52, 1, 0)</f>
        <v>0</v>
      </c>
      <c r="F10" s="79">
        <f>IF(COLUMNS($B$9:F10) &gt;= Inputs!$F$52, 1, 0)</f>
        <v>0</v>
      </c>
      <c r="G10" s="79">
        <f>IF(COLUMNS($B$9:G10) &gt;= Inputs!$F$52, 1, 0)</f>
        <v>0</v>
      </c>
      <c r="H10" s="79">
        <f>IF(COLUMNS($B$9:H10) &gt;= Inputs!$F$52, 1, 0)</f>
        <v>0</v>
      </c>
      <c r="I10" s="79">
        <f>IF(COLUMNS($B$9:I10) &gt;= Inputs!$F$52, 1, 0)</f>
        <v>0</v>
      </c>
      <c r="J10" s="79">
        <f>IF(COLUMNS($B$9:J10) &gt;= Inputs!$F$52, 1, 0)</f>
        <v>0</v>
      </c>
      <c r="K10" s="79">
        <f>IF(COLUMNS($B$9:K10) &gt;= Inputs!$F$52, 1, 0)</f>
        <v>0</v>
      </c>
      <c r="L10" s="79">
        <f>IF(COLUMNS($B$9:L10) &gt;= Inputs!$F$52, 1, 0)</f>
        <v>0</v>
      </c>
      <c r="M10" s="79">
        <f>IF(COLUMNS($B$9:M10) &gt;= Inputs!$F$52, 1, 0)</f>
        <v>0</v>
      </c>
      <c r="N10" s="79">
        <f>IF(COLUMNS($B$9:N10) &gt;= Inputs!$F$52, 1, 0)</f>
        <v>0</v>
      </c>
      <c r="O10" s="79">
        <f>IF(COLUMNS($B$9:O10) &gt;= Inputs!$F$52, 1, 0)</f>
        <v>1</v>
      </c>
      <c r="P10" s="79">
        <f>IF(COLUMNS($B$9:P10) &gt;= Inputs!$F$52, 1, 0)</f>
        <v>1</v>
      </c>
      <c r="Q10" s="79">
        <f>IF(COLUMNS($B$9:Q10) &gt;= Inputs!$F$52, 1, 0)</f>
        <v>1</v>
      </c>
      <c r="R10" s="79">
        <f>IF(COLUMNS($B$9:R10) &gt;= Inputs!$F$52, 1, 0)</f>
        <v>1</v>
      </c>
      <c r="S10" s="79">
        <f>IF(COLUMNS($B$9:S10) &gt;= Inputs!$F$52, 1, 0)</f>
        <v>1</v>
      </c>
      <c r="T10" s="79">
        <f>IF(COLUMNS($B$9:T10) &gt;= Inputs!$F$52, 1, 0)</f>
        <v>1</v>
      </c>
      <c r="U10" s="79">
        <f>IF(COLUMNS($B$9:U10) &gt;= Inputs!$F$52, 1, 0)</f>
        <v>1</v>
      </c>
      <c r="V10" s="79">
        <f>IF(COLUMNS($B$9:V10) &gt;= Inputs!$F$52, 1, 0)</f>
        <v>1</v>
      </c>
      <c r="W10" s="79">
        <f>IF(COLUMNS($B$9:W10) &gt;= Inputs!$F$52, 1, 0)</f>
        <v>1</v>
      </c>
      <c r="X10" s="79">
        <f>IF(COLUMNS($B$9:X10) &gt;= Inputs!$F$52, 1, 0)</f>
        <v>1</v>
      </c>
      <c r="Y10" s="79">
        <f>IF(COLUMNS($B$9:Y10) &gt;= Inputs!$F$52, 1, 0)</f>
        <v>1</v>
      </c>
      <c r="Z10" s="79">
        <f>IF(COLUMNS($B$9:Z10) &gt;= Inputs!$F$52, 1, 0)</f>
        <v>1</v>
      </c>
      <c r="AA10" s="79">
        <f>IF(COLUMNS($B$9:AA10) &gt;= Inputs!$F$52, 1, 0)</f>
        <v>1</v>
      </c>
      <c r="AB10" s="79">
        <f>IF(COLUMNS($B$9:AB10) &gt;= Inputs!$F$52, 1, 0)</f>
        <v>1</v>
      </c>
      <c r="AC10" s="79">
        <f>IF(COLUMNS($B$9:AC10) &gt;= Inputs!$F$52, 1, 0)</f>
        <v>1</v>
      </c>
      <c r="AD10" s="79">
        <f>IF(COLUMNS($B$9:AD10) &gt;= Inputs!$F$52, 1, 0)</f>
        <v>1</v>
      </c>
      <c r="AE10" s="79">
        <f>IF(COLUMNS($B$9:AE10) &gt;= Inputs!$F$52, 1, 0)</f>
        <v>1</v>
      </c>
      <c r="AF10" s="79">
        <f>IF(COLUMNS($B$9:AF10) &gt;= Inputs!$F$52, 1, 0)</f>
        <v>1</v>
      </c>
      <c r="AG10" s="79">
        <f>IF(COLUMNS($B$9:AG10) &gt;= Inputs!$F$52, 1, 0)</f>
        <v>1</v>
      </c>
      <c r="AH10" s="79">
        <f>IF(COLUMNS($B$9:AH10) &gt;= Inputs!$F$52, 1, 0)</f>
        <v>1</v>
      </c>
      <c r="AI10" s="79">
        <f>IF(COLUMNS($B$9:AI10) &gt;= Inputs!$F$52, 1, 0)</f>
        <v>1</v>
      </c>
      <c r="AJ10" s="79">
        <f>IF(COLUMNS($B$9:AJ10) &gt;= Inputs!$F$52, 1, 0)</f>
        <v>1</v>
      </c>
      <c r="AK10" s="79">
        <f>IF(COLUMNS($B$9:AK10) &gt;= Inputs!$F$52, 1, 0)</f>
        <v>1</v>
      </c>
      <c r="AL10" s="79">
        <f>IF(COLUMNS($B$9:AL10) &gt;= Inputs!$F$52, 1, 0)</f>
        <v>1</v>
      </c>
      <c r="AM10" s="79">
        <f>IF(COLUMNS($B$9:AM10) &gt;= Inputs!$F$52, 1, 0)</f>
        <v>1</v>
      </c>
      <c r="AN10" s="79">
        <f>IF(COLUMNS($B$9:AN10) &gt;= Inputs!$F$52, 1, 0)</f>
        <v>1</v>
      </c>
      <c r="AO10" s="79">
        <f>IF(COLUMNS($B$9:AO10) &gt;= Inputs!$F$52, 1, 0)</f>
        <v>1</v>
      </c>
      <c r="AP10" s="79">
        <f>IF(COLUMNS($B$9:AP10) &gt;= Inputs!$F$52, 1, 0)</f>
        <v>1</v>
      </c>
      <c r="AQ10" s="79">
        <f>IF(COLUMNS($B$9:AQ10) &gt;= Inputs!$F$52, 1, 0)</f>
        <v>1</v>
      </c>
      <c r="AR10" s="79">
        <f>IF(COLUMNS($B$9:AR10) &gt;= Inputs!$F$52, 1, 0)</f>
        <v>1</v>
      </c>
      <c r="AS10" s="79">
        <f>IF(COLUMNS($B$9:AS10) &gt;= Inputs!$F$52, 1, 0)</f>
        <v>1</v>
      </c>
      <c r="AT10" s="79">
        <f>IF(COLUMNS($B$9:AT10) &gt;= Inputs!$F$52, 1, 0)</f>
        <v>1</v>
      </c>
      <c r="AU10" s="79">
        <f>IF(COLUMNS($B$9:AU10) &gt;= Inputs!$F$52, 1, 0)</f>
        <v>1</v>
      </c>
      <c r="AV10" s="79">
        <f>IF(COLUMNS($B$9:AV10) &gt;= Inputs!$F$52, 1, 0)</f>
        <v>1</v>
      </c>
      <c r="AW10" s="79">
        <f>IF(COLUMNS($B$9:AW10) &gt;= Inputs!$F$52, 1, 0)</f>
        <v>1</v>
      </c>
      <c r="AX10" s="79">
        <f>IF(COLUMNS($B$9:AX10) &gt;= Inputs!$F$52, 1, 0)</f>
        <v>1</v>
      </c>
      <c r="AY10" s="79">
        <f>IF(COLUMNS($B$9:AY10) &gt;= Inputs!$F$52, 1, 0)</f>
        <v>1</v>
      </c>
      <c r="AZ10" s="79">
        <f>IF(COLUMNS($B$9:AZ10) &gt;= Inputs!$F$52, 1, 0)</f>
        <v>1</v>
      </c>
      <c r="BA10" s="79">
        <f>IF(COLUMNS($B$9:BA10) &gt;= Inputs!$F$52, 1, 0)</f>
        <v>1</v>
      </c>
    </row>
    <row r="11" ht="14.25" customHeight="1">
      <c r="A11" s="3" t="s">
        <v>180</v>
      </c>
      <c r="B11" s="79">
        <f>IF(COLUMNS($B$11:B11) &gt;= Inputs!$F$53, 1, 0)</f>
        <v>0</v>
      </c>
      <c r="C11" s="79">
        <f>IF(COLUMNS($B$11:C11) &gt;= Inputs!$F$53, 1, 0)</f>
        <v>0</v>
      </c>
      <c r="D11" s="79">
        <f>IF(COLUMNS($B$11:D11) &gt;= Inputs!$F$53, 1, 0)</f>
        <v>0</v>
      </c>
      <c r="E11" s="79">
        <f>IF(COLUMNS($B$11:E11) &gt;= Inputs!$F$53, 1, 0)</f>
        <v>0</v>
      </c>
      <c r="F11" s="79">
        <f>IF(COLUMNS($B$11:F11) &gt;= Inputs!$F$53, 1, 0)</f>
        <v>0</v>
      </c>
      <c r="G11" s="79">
        <f>IF(COLUMNS($B$11:G11) &gt;= Inputs!$F$53, 1, 0)</f>
        <v>0</v>
      </c>
      <c r="H11" s="79">
        <f>IF(COLUMNS($B$11:H11) &gt;= Inputs!$F$53, 1, 0)</f>
        <v>0</v>
      </c>
      <c r="I11" s="79">
        <f>IF(COLUMNS($B$11:I11) &gt;= Inputs!$F$53, 1, 0)</f>
        <v>0</v>
      </c>
      <c r="J11" s="79">
        <f>IF(COLUMNS($B$11:J11) &gt;= Inputs!$F$53, 1, 0)</f>
        <v>0</v>
      </c>
      <c r="K11" s="79">
        <f>IF(COLUMNS($B$11:K11) &gt;= Inputs!$F$53, 1, 0)</f>
        <v>0</v>
      </c>
      <c r="L11" s="79">
        <f>IF(COLUMNS($B$11:L11) &gt;= Inputs!$F$53, 1, 0)</f>
        <v>0</v>
      </c>
      <c r="M11" s="79">
        <f>IF(COLUMNS($B$11:M11) &gt;= Inputs!$F$53, 1, 0)</f>
        <v>0</v>
      </c>
      <c r="N11" s="79">
        <f>IF(COLUMNS($B$11:N11) &gt;= Inputs!$F$53, 1, 0)</f>
        <v>0</v>
      </c>
      <c r="O11" s="79">
        <f>IF(COLUMNS($B$11:O11) &gt;= Inputs!$F$53, 1, 0)</f>
        <v>0</v>
      </c>
      <c r="P11" s="79">
        <f>IF(COLUMNS($B$11:P11) &gt;= Inputs!$F$53, 1, 0)</f>
        <v>0</v>
      </c>
      <c r="Q11" s="79">
        <f>IF(COLUMNS($B$11:Q11) &gt;= Inputs!$F$53, 1, 0)</f>
        <v>0</v>
      </c>
      <c r="R11" s="79">
        <f>IF(COLUMNS($B$11:R11) &gt;= Inputs!$F$53, 1, 0)</f>
        <v>0</v>
      </c>
      <c r="S11" s="79">
        <f>IF(COLUMNS($B$11:S11) &gt;= Inputs!$F$53, 1, 0)</f>
        <v>0</v>
      </c>
      <c r="T11" s="79">
        <f>IF(COLUMNS($B$11:T11) &gt;= Inputs!$F$53, 1, 0)</f>
        <v>0</v>
      </c>
      <c r="U11" s="79">
        <f>IF(COLUMNS($B$11:U11) &gt;= Inputs!$F$53, 1, 0)</f>
        <v>0</v>
      </c>
      <c r="V11" s="79">
        <f>IF(COLUMNS($B$11:V11) &gt;= Inputs!$F$53, 1, 0)</f>
        <v>0</v>
      </c>
      <c r="W11" s="79">
        <f>IF(COLUMNS($B$11:W11) &gt;= Inputs!$F$53, 1, 0)</f>
        <v>0</v>
      </c>
      <c r="X11" s="79">
        <f>IF(COLUMNS($B$11:X11) &gt;= Inputs!$F$53, 1, 0)</f>
        <v>0</v>
      </c>
      <c r="Y11" s="79">
        <f>IF(COLUMNS($B$11:Y11) &gt;= Inputs!$F$53, 1, 0)</f>
        <v>0</v>
      </c>
      <c r="Z11" s="79">
        <f>IF(COLUMNS($B$11:Z11) &gt;= Inputs!$F$53, 1, 0)</f>
        <v>0</v>
      </c>
      <c r="AA11" s="79">
        <f>IF(COLUMNS($B$11:AA11) &gt;= Inputs!$F$53, 1, 0)</f>
        <v>0</v>
      </c>
      <c r="AB11" s="79">
        <f>IF(COLUMNS($B$11:AB11) &gt;= Inputs!$F$53, 1, 0)</f>
        <v>0</v>
      </c>
      <c r="AC11" s="79">
        <f>IF(COLUMNS($B$11:AC11) &gt;= Inputs!$F$53, 1, 0)</f>
        <v>0</v>
      </c>
      <c r="AD11" s="79">
        <f>IF(COLUMNS($B$11:AD11) &gt;= Inputs!$F$53, 1, 0)</f>
        <v>0</v>
      </c>
      <c r="AE11" s="79">
        <f>IF(COLUMNS($B$11:AE11) &gt;= Inputs!$F$53, 1, 0)</f>
        <v>0</v>
      </c>
      <c r="AF11" s="79">
        <f>IF(COLUMNS($B$11:AF11) &gt;= Inputs!$F$53, 1, 0)</f>
        <v>0</v>
      </c>
      <c r="AG11" s="79">
        <f>IF(COLUMNS($B$11:AG11) &gt;= Inputs!$F$53, 1, 0)</f>
        <v>0</v>
      </c>
      <c r="AH11" s="79">
        <f>IF(COLUMNS($B$11:AH11) &gt;= Inputs!$F$53, 1, 0)</f>
        <v>0</v>
      </c>
      <c r="AI11" s="79">
        <f>IF(COLUMNS($B$11:AI11) &gt;= Inputs!$F$53, 1, 0)</f>
        <v>0</v>
      </c>
      <c r="AJ11" s="79">
        <f>IF(COLUMNS($B$11:AJ11) &gt;= Inputs!$F$53, 1, 0)</f>
        <v>0</v>
      </c>
      <c r="AK11" s="79">
        <f>IF(COLUMNS($B$11:AK11) &gt;= Inputs!$F$53, 1, 0)</f>
        <v>0</v>
      </c>
      <c r="AL11" s="79">
        <f>IF(COLUMNS($B$11:AL11) &gt;= Inputs!$F$53, 1, 0)</f>
        <v>0</v>
      </c>
      <c r="AM11" s="79">
        <f>IF(COLUMNS($B$11:AM11) &gt;= Inputs!$F$53, 1, 0)</f>
        <v>0</v>
      </c>
      <c r="AN11" s="79">
        <f>IF(COLUMNS($B$11:AN11) &gt;= Inputs!$F$53, 1, 0)</f>
        <v>0</v>
      </c>
      <c r="AO11" s="79">
        <f>IF(COLUMNS($B$11:AO11) &gt;= Inputs!$F$53, 1, 0)</f>
        <v>0</v>
      </c>
      <c r="AP11" s="79">
        <f>IF(COLUMNS($B$11:AP11) &gt;= Inputs!$F$53, 1, 0)</f>
        <v>0</v>
      </c>
      <c r="AQ11" s="79">
        <f>IF(COLUMNS($B$11:AQ11) &gt;= Inputs!$F$53, 1, 0)</f>
        <v>0</v>
      </c>
      <c r="AR11" s="79">
        <f>IF(COLUMNS($B$11:AR11) &gt;= Inputs!$F$53, 1, 0)</f>
        <v>0</v>
      </c>
      <c r="AS11" s="79">
        <f>IF(COLUMNS($B$11:AS11) &gt;= Inputs!$F$53, 1, 0)</f>
        <v>0</v>
      </c>
      <c r="AT11" s="79">
        <f>IF(COLUMNS($B$11:AT11) &gt;= Inputs!$F$53, 1, 0)</f>
        <v>0</v>
      </c>
      <c r="AU11" s="79">
        <f>IF(COLUMNS($B$11:AU11) &gt;= Inputs!$F$53, 1, 0)</f>
        <v>0</v>
      </c>
      <c r="AV11" s="79">
        <f>IF(COLUMNS($B$11:AV11) &gt;= Inputs!$F$53, 1, 0)</f>
        <v>0</v>
      </c>
      <c r="AW11" s="79">
        <f>IF(COLUMNS($B$11:AW11) &gt;= Inputs!$F$53, 1, 0)</f>
        <v>0</v>
      </c>
      <c r="AX11" s="79">
        <f>IF(COLUMNS($B$11:AX11) &gt;= Inputs!$F$53, 1, 0)</f>
        <v>0</v>
      </c>
      <c r="AY11" s="79">
        <f>IF(COLUMNS($B$11:AY11) &gt;= Inputs!$F$53, 1, 0)</f>
        <v>0</v>
      </c>
      <c r="AZ11" s="79">
        <f>IF(COLUMNS($B$11:AZ11) &gt;= Inputs!$F$53, 1, 0)</f>
        <v>0</v>
      </c>
      <c r="BA11" s="79">
        <f>IF(COLUMNS($B$11:BA11) &gt;= Inputs!$F$53, 1, 0)</f>
        <v>0</v>
      </c>
    </row>
    <row r="12" ht="14.25" customHeight="1">
      <c r="A12" s="3" t="s">
        <v>185</v>
      </c>
      <c r="B12" s="79">
        <f>IF(COLUMNS($B$12:B12) &gt;= Inputs!$F$54, 1, 0)</f>
        <v>0</v>
      </c>
      <c r="C12" s="79">
        <f>IF(COLUMNS($B$12:C12) &gt;= Inputs!$F$54, 1, 0)</f>
        <v>0</v>
      </c>
      <c r="D12" s="79">
        <f>IF(COLUMNS($B$12:D12) &gt;= Inputs!$F$54, 1, 0)</f>
        <v>0</v>
      </c>
      <c r="E12" s="79">
        <f>IF(COLUMNS($B$12:E12) &gt;= Inputs!$F$54, 1, 0)</f>
        <v>0</v>
      </c>
      <c r="F12" s="79">
        <f>IF(COLUMNS($B$12:F12) &gt;= Inputs!$F$54, 1, 0)</f>
        <v>0</v>
      </c>
      <c r="G12" s="79">
        <f>IF(COLUMNS($B$12:G12) &gt;= Inputs!$F$54, 1, 0)</f>
        <v>0</v>
      </c>
      <c r="H12" s="79">
        <f>IF(COLUMNS($B$12:H12) &gt;= Inputs!$F$54, 1, 0)</f>
        <v>0</v>
      </c>
      <c r="I12" s="79">
        <f>IF(COLUMNS($B$12:I12) &gt;= Inputs!$F$54, 1, 0)</f>
        <v>0</v>
      </c>
      <c r="J12" s="79">
        <f>IF(COLUMNS($B$12:J12) &gt;= Inputs!$F$54, 1, 0)</f>
        <v>0</v>
      </c>
      <c r="K12" s="79">
        <f>IF(COLUMNS($B$12:K12) &gt;= Inputs!$F$54, 1, 0)</f>
        <v>0</v>
      </c>
      <c r="L12" s="79">
        <f>IF(COLUMNS($B$12:L12) &gt;= Inputs!$F$54, 1, 0)</f>
        <v>0</v>
      </c>
      <c r="M12" s="79">
        <f>IF(COLUMNS($B$12:M12) &gt;= Inputs!$F$54, 1, 0)</f>
        <v>0</v>
      </c>
      <c r="N12" s="79">
        <f>IF(COLUMNS($B$12:N12) &gt;= Inputs!$F$54, 1, 0)</f>
        <v>0</v>
      </c>
      <c r="O12" s="79">
        <f>IF(COLUMNS($B$12:O12) &gt;= Inputs!$F$54, 1, 0)</f>
        <v>0</v>
      </c>
      <c r="P12" s="79">
        <f>IF(COLUMNS($B$12:P12) &gt;= Inputs!$F$54, 1, 0)</f>
        <v>0</v>
      </c>
      <c r="Q12" s="79">
        <f>IF(COLUMNS($B$12:Q12) &gt;= Inputs!$F$54, 1, 0)</f>
        <v>0</v>
      </c>
      <c r="R12" s="79">
        <f>IF(COLUMNS($B$12:R12) &gt;= Inputs!$F$54, 1, 0)</f>
        <v>0</v>
      </c>
      <c r="S12" s="79">
        <f>IF(COLUMNS($B$12:S12) &gt;= Inputs!$F$54, 1, 0)</f>
        <v>1</v>
      </c>
      <c r="T12" s="79">
        <f>IF(COLUMNS($B$12:T12) &gt;= Inputs!$F$54, 1, 0)</f>
        <v>1</v>
      </c>
      <c r="U12" s="79">
        <f>IF(COLUMNS($B$12:U12) &gt;= Inputs!$F$54, 1, 0)</f>
        <v>1</v>
      </c>
      <c r="V12" s="79">
        <f>IF(COLUMNS($B$12:V12) &gt;= Inputs!$F$54, 1, 0)</f>
        <v>1</v>
      </c>
      <c r="W12" s="79">
        <f>IF(COLUMNS($B$12:W12) &gt;= Inputs!$F$54, 1, 0)</f>
        <v>1</v>
      </c>
      <c r="X12" s="79">
        <f>IF(COLUMNS($B$12:X12) &gt;= Inputs!$F$54, 1, 0)</f>
        <v>1</v>
      </c>
      <c r="Y12" s="79">
        <f>IF(COLUMNS($B$12:Y12) &gt;= Inputs!$F$54, 1, 0)</f>
        <v>1</v>
      </c>
      <c r="Z12" s="79">
        <f>IF(COLUMNS($B$12:Z12) &gt;= Inputs!$F$54, 1, 0)</f>
        <v>1</v>
      </c>
      <c r="AA12" s="79">
        <f>IF(COLUMNS($B$12:AA12) &gt;= Inputs!$F$54, 1, 0)</f>
        <v>1</v>
      </c>
      <c r="AB12" s="79">
        <f>IF(COLUMNS($B$12:AB12) &gt;= Inputs!$F$54, 1, 0)</f>
        <v>1</v>
      </c>
      <c r="AC12" s="79">
        <f>IF(COLUMNS($B$12:AC12) &gt;= Inputs!$F$54, 1, 0)</f>
        <v>1</v>
      </c>
      <c r="AD12" s="79">
        <f>IF(COLUMNS($B$12:AD12) &gt;= Inputs!$F$54, 1, 0)</f>
        <v>1</v>
      </c>
      <c r="AE12" s="79">
        <f>IF(COLUMNS($B$12:AE12) &gt;= Inputs!$F$54, 1, 0)</f>
        <v>1</v>
      </c>
      <c r="AF12" s="79">
        <f>IF(COLUMNS($B$12:AF12) &gt;= Inputs!$F$54, 1, 0)</f>
        <v>1</v>
      </c>
      <c r="AG12" s="79">
        <f>IF(COLUMNS($B$12:AG12) &gt;= Inputs!$F$54, 1, 0)</f>
        <v>1</v>
      </c>
      <c r="AH12" s="79">
        <f>IF(COLUMNS($B$12:AH12) &gt;= Inputs!$F$54, 1, 0)</f>
        <v>1</v>
      </c>
      <c r="AI12" s="79">
        <f>IF(COLUMNS($B$12:AI12) &gt;= Inputs!$F$54, 1, 0)</f>
        <v>1</v>
      </c>
      <c r="AJ12" s="79">
        <f>IF(COLUMNS($B$12:AJ12) &gt;= Inputs!$F$54, 1, 0)</f>
        <v>1</v>
      </c>
      <c r="AK12" s="79">
        <f>IF(COLUMNS($B$12:AK12) &gt;= Inputs!$F$54, 1, 0)</f>
        <v>1</v>
      </c>
      <c r="AL12" s="79">
        <f>IF(COLUMNS($B$12:AL12) &gt;= Inputs!$F$54, 1, 0)</f>
        <v>1</v>
      </c>
      <c r="AM12" s="79">
        <f>IF(COLUMNS($B$12:AM12) &gt;= Inputs!$F$54, 1, 0)</f>
        <v>1</v>
      </c>
      <c r="AN12" s="79">
        <f>IF(COLUMNS($B$12:AN12) &gt;= Inputs!$F$54, 1, 0)</f>
        <v>1</v>
      </c>
      <c r="AO12" s="79">
        <f>IF(COLUMNS($B$12:AO12) &gt;= Inputs!$F$54, 1, 0)</f>
        <v>1</v>
      </c>
      <c r="AP12" s="79">
        <f>IF(COLUMNS($B$12:AP12) &gt;= Inputs!$F$54, 1, 0)</f>
        <v>1</v>
      </c>
      <c r="AQ12" s="79">
        <f>IF(COLUMNS($B$12:AQ12) &gt;= Inputs!$F$54, 1, 0)</f>
        <v>1</v>
      </c>
      <c r="AR12" s="79">
        <f>IF(COLUMNS($B$12:AR12) &gt;= Inputs!$F$54, 1, 0)</f>
        <v>1</v>
      </c>
      <c r="AS12" s="79">
        <f>IF(COLUMNS($B$12:AS12) &gt;= Inputs!$F$54, 1, 0)</f>
        <v>1</v>
      </c>
      <c r="AT12" s="79">
        <f>IF(COLUMNS($B$12:AT12) &gt;= Inputs!$F$54, 1, 0)</f>
        <v>1</v>
      </c>
      <c r="AU12" s="79">
        <f>IF(COLUMNS($B$12:AU12) &gt;= Inputs!$F$54, 1, 0)</f>
        <v>1</v>
      </c>
      <c r="AV12" s="79">
        <f>IF(COLUMNS($B$12:AV12) &gt;= Inputs!$F$54, 1, 0)</f>
        <v>1</v>
      </c>
      <c r="AW12" s="79">
        <f>IF(COLUMNS($B$12:AW12) &gt;= Inputs!$F$54, 1, 0)</f>
        <v>1</v>
      </c>
      <c r="AX12" s="79">
        <f>IF(COLUMNS($B$12:AX12) &gt;= Inputs!$F$54, 1, 0)</f>
        <v>1</v>
      </c>
      <c r="AY12" s="79">
        <f>IF(COLUMNS($B$12:AY12) &gt;= Inputs!$F$54, 1, 0)</f>
        <v>1</v>
      </c>
      <c r="AZ12" s="79">
        <f>IF(COLUMNS($B$12:AZ12) &gt;= Inputs!$F$54, 1, 0)</f>
        <v>1</v>
      </c>
      <c r="BA12" s="79">
        <f>IF(COLUMNS($B$12:BA12) &gt;= Inputs!$F$54, 1, 0)</f>
        <v>1</v>
      </c>
    </row>
    <row r="13" ht="14.25" customHeight="1">
      <c r="A13" s="3" t="s">
        <v>188</v>
      </c>
      <c r="B13" s="79">
        <f>IF(COLUMNS($B$13:B13) &gt;= Inputs!$F$55, 1, 0)</f>
        <v>0</v>
      </c>
      <c r="C13" s="79">
        <f>IF(COLUMNS($B$13:C13) &gt;= Inputs!$F$55, 1, 0)</f>
        <v>0</v>
      </c>
      <c r="D13" s="79">
        <f>IF(COLUMNS($B$13:D13) &gt;= Inputs!$F$55, 1, 0)</f>
        <v>0</v>
      </c>
      <c r="E13" s="79">
        <f>IF(COLUMNS($B$13:E13) &gt;= Inputs!$F$55, 1, 0)</f>
        <v>0</v>
      </c>
      <c r="F13" s="79">
        <f>IF(COLUMNS($B$13:F13) &gt;= Inputs!$F$55, 1, 0)</f>
        <v>0</v>
      </c>
      <c r="G13" s="79">
        <f>IF(COLUMNS($B$13:G13) &gt;= Inputs!$F$55, 1, 0)</f>
        <v>0</v>
      </c>
      <c r="H13" s="79">
        <f>IF(COLUMNS($B$13:H13) &gt;= Inputs!$F$55, 1, 0)</f>
        <v>0</v>
      </c>
      <c r="I13" s="79">
        <f>IF(COLUMNS($B$13:I13) &gt;= Inputs!$F$55, 1, 0)</f>
        <v>0</v>
      </c>
      <c r="J13" s="79">
        <f>IF(COLUMNS($B$13:J13) &gt;= Inputs!$F$55, 1, 0)</f>
        <v>0</v>
      </c>
      <c r="K13" s="79">
        <f>IF(COLUMNS($B$13:K13) &gt;= Inputs!$F$55, 1, 0)</f>
        <v>0</v>
      </c>
      <c r="L13" s="79">
        <f>IF(COLUMNS($B$13:L13) &gt;= Inputs!$F$55, 1, 0)</f>
        <v>0</v>
      </c>
      <c r="M13" s="79">
        <f>IF(COLUMNS($B$13:M13) &gt;= Inputs!$F$55, 1, 0)</f>
        <v>1</v>
      </c>
      <c r="N13" s="79">
        <f>IF(COLUMNS($B$13:N13) &gt;= Inputs!$F$55, 1, 0)</f>
        <v>1</v>
      </c>
      <c r="O13" s="79">
        <f>IF(COLUMNS($B$13:O13) &gt;= Inputs!$F$55, 1, 0)</f>
        <v>1</v>
      </c>
      <c r="P13" s="79">
        <f>IF(COLUMNS($B$13:P13) &gt;= Inputs!$F$55, 1, 0)</f>
        <v>1</v>
      </c>
      <c r="Q13" s="79">
        <f>IF(COLUMNS($B$13:Q13) &gt;= Inputs!$F$55, 1, 0)</f>
        <v>1</v>
      </c>
      <c r="R13" s="79">
        <f>IF(COLUMNS($B$13:R13) &gt;= Inputs!$F$55, 1, 0)</f>
        <v>1</v>
      </c>
      <c r="S13" s="79">
        <f>IF(COLUMNS($B$13:S13) &gt;= Inputs!$F$55, 1, 0)</f>
        <v>1</v>
      </c>
      <c r="T13" s="79">
        <f>IF(COLUMNS($B$13:T13) &gt;= Inputs!$F$55, 1, 0)</f>
        <v>1</v>
      </c>
      <c r="U13" s="79">
        <f>IF(COLUMNS($B$13:U13) &gt;= Inputs!$F$55, 1, 0)</f>
        <v>1</v>
      </c>
      <c r="V13" s="79">
        <f>IF(COLUMNS($B$13:V13) &gt;= Inputs!$F$55, 1, 0)</f>
        <v>1</v>
      </c>
      <c r="W13" s="79">
        <f>IF(COLUMNS($B$13:W13) &gt;= Inputs!$F$55, 1, 0)</f>
        <v>1</v>
      </c>
      <c r="X13" s="79">
        <f>IF(COLUMNS($B$13:X13) &gt;= Inputs!$F$55, 1, 0)</f>
        <v>1</v>
      </c>
      <c r="Y13" s="79">
        <f>IF(COLUMNS($B$13:Y13) &gt;= Inputs!$F$55, 1, 0)</f>
        <v>1</v>
      </c>
      <c r="Z13" s="79">
        <f>IF(COLUMNS($B$13:Z13) &gt;= Inputs!$F$55, 1, 0)</f>
        <v>1</v>
      </c>
      <c r="AA13" s="79">
        <f>IF(COLUMNS($B$13:AA13) &gt;= Inputs!$F$55, 1, 0)</f>
        <v>1</v>
      </c>
      <c r="AB13" s="79">
        <f>IF(COLUMNS($B$13:AB13) &gt;= Inputs!$F$55, 1, 0)</f>
        <v>1</v>
      </c>
      <c r="AC13" s="79">
        <f>IF(COLUMNS($B$13:AC13) &gt;= Inputs!$F$55, 1, 0)</f>
        <v>1</v>
      </c>
      <c r="AD13" s="79">
        <f>IF(COLUMNS($B$13:AD13) &gt;= Inputs!$F$55, 1, 0)</f>
        <v>1</v>
      </c>
      <c r="AE13" s="79">
        <f>IF(COLUMNS($B$13:AE13) &gt;= Inputs!$F$55, 1, 0)</f>
        <v>1</v>
      </c>
      <c r="AF13" s="79">
        <f>IF(COLUMNS($B$13:AF13) &gt;= Inputs!$F$55, 1, 0)</f>
        <v>1</v>
      </c>
      <c r="AG13" s="79">
        <f>IF(COLUMNS($B$13:AG13) &gt;= Inputs!$F$55, 1, 0)</f>
        <v>1</v>
      </c>
      <c r="AH13" s="79">
        <f>IF(COLUMNS($B$13:AH13) &gt;= Inputs!$F$55, 1, 0)</f>
        <v>1</v>
      </c>
      <c r="AI13" s="79">
        <f>IF(COLUMNS($B$13:AI13) &gt;= Inputs!$F$55, 1, 0)</f>
        <v>1</v>
      </c>
      <c r="AJ13" s="79">
        <f>IF(COLUMNS($B$13:AJ13) &gt;= Inputs!$F$55, 1, 0)</f>
        <v>1</v>
      </c>
      <c r="AK13" s="79">
        <f>IF(COLUMNS($B$13:AK13) &gt;= Inputs!$F$55, 1, 0)</f>
        <v>1</v>
      </c>
      <c r="AL13" s="79">
        <f>IF(COLUMNS($B$13:AL13) &gt;= Inputs!$F$55, 1, 0)</f>
        <v>1</v>
      </c>
      <c r="AM13" s="79">
        <f>IF(COLUMNS($B$13:AM13) &gt;= Inputs!$F$55, 1, 0)</f>
        <v>1</v>
      </c>
      <c r="AN13" s="79">
        <f>IF(COLUMNS($B$13:AN13) &gt;= Inputs!$F$55, 1, 0)</f>
        <v>1</v>
      </c>
      <c r="AO13" s="79">
        <f>IF(COLUMNS($B$13:AO13) &gt;= Inputs!$F$55, 1, 0)</f>
        <v>1</v>
      </c>
      <c r="AP13" s="79">
        <f>IF(COLUMNS($B$13:AP13) &gt;= Inputs!$F$55, 1, 0)</f>
        <v>1</v>
      </c>
      <c r="AQ13" s="79">
        <f>IF(COLUMNS($B$13:AQ13) &gt;= Inputs!$F$55, 1, 0)</f>
        <v>1</v>
      </c>
      <c r="AR13" s="79">
        <f>IF(COLUMNS($B$13:AR13) &gt;= Inputs!$F$55, 1, 0)</f>
        <v>1</v>
      </c>
      <c r="AS13" s="79">
        <f>IF(COLUMNS($B$13:AS13) &gt;= Inputs!$F$55, 1, 0)</f>
        <v>1</v>
      </c>
      <c r="AT13" s="79">
        <f>IF(COLUMNS($B$13:AT13) &gt;= Inputs!$F$55, 1, 0)</f>
        <v>1</v>
      </c>
      <c r="AU13" s="79">
        <f>IF(COLUMNS($B$13:AU13) &gt;= Inputs!$F$55, 1, 0)</f>
        <v>1</v>
      </c>
      <c r="AV13" s="79">
        <f>IF(COLUMNS($B$13:AV13) &gt;= Inputs!$F$55, 1, 0)</f>
        <v>1</v>
      </c>
      <c r="AW13" s="79">
        <f>IF(COLUMNS($B$13:AW13) &gt;= Inputs!$F$55, 1, 0)</f>
        <v>1</v>
      </c>
      <c r="AX13" s="79">
        <f>IF(COLUMNS($B$13:AX13) &gt;= Inputs!$F$55, 1, 0)</f>
        <v>1</v>
      </c>
      <c r="AY13" s="79">
        <f>IF(COLUMNS($B$13:AY13) &gt;= Inputs!$F$55, 1, 0)</f>
        <v>1</v>
      </c>
      <c r="AZ13" s="79">
        <f>IF(COLUMNS($B$13:AZ13) &gt;= Inputs!$F$55, 1, 0)</f>
        <v>1</v>
      </c>
      <c r="BA13" s="79">
        <f>IF(COLUMNS($B$13:BA13) &gt;= Inputs!$F$55, 1, 0)</f>
        <v>1</v>
      </c>
    </row>
    <row r="14" ht="14.25" customHeight="1">
      <c r="A14" s="3" t="s">
        <v>191</v>
      </c>
      <c r="B14" s="79">
        <f>IF(COLUMNS($B$14:B14) &gt;= Inputs!$F$56, 1, 0)</f>
        <v>0</v>
      </c>
      <c r="C14" s="79">
        <f>IF(COLUMNS($B$14:C14) &gt;= Inputs!$F$56, 1, 0)</f>
        <v>0</v>
      </c>
      <c r="D14" s="79">
        <f>IF(COLUMNS($B$14:D14) &gt;= Inputs!$F$56, 1, 0)</f>
        <v>0</v>
      </c>
      <c r="E14" s="79">
        <f>IF(COLUMNS($B$14:E14) &gt;= Inputs!$F$56, 1, 0)</f>
        <v>0</v>
      </c>
      <c r="F14" s="79">
        <f>IF(COLUMNS($B$14:F14) &gt;= Inputs!$F$56, 1, 0)</f>
        <v>0</v>
      </c>
      <c r="G14" s="79">
        <f>IF(COLUMNS($B$14:G14) &gt;= Inputs!$F$56, 1, 0)</f>
        <v>0</v>
      </c>
      <c r="H14" s="79">
        <f>IF(COLUMNS($B$14:H14) &gt;= Inputs!$F$56, 1, 0)</f>
        <v>0</v>
      </c>
      <c r="I14" s="79">
        <f>IF(COLUMNS($B$14:I14) &gt;= Inputs!$F$56, 1, 0)</f>
        <v>0</v>
      </c>
      <c r="J14" s="79">
        <f>IF(COLUMNS($B$14:J14) &gt;= Inputs!$F$56, 1, 0)</f>
        <v>0</v>
      </c>
      <c r="K14" s="79">
        <f>IF(COLUMNS($B$14:K14) &gt;= Inputs!$F$56, 1, 0)</f>
        <v>0</v>
      </c>
      <c r="L14" s="79">
        <f>IF(COLUMNS($B$14:L14) &gt;= Inputs!$F$56, 1, 0)</f>
        <v>1</v>
      </c>
      <c r="M14" s="79">
        <f>IF(COLUMNS($B$14:M14) &gt;= Inputs!$F$56, 1, 0)</f>
        <v>1</v>
      </c>
      <c r="N14" s="79">
        <f>IF(COLUMNS($B$14:N14) &gt;= Inputs!$F$56, 1, 0)</f>
        <v>1</v>
      </c>
      <c r="O14" s="79">
        <f>IF(COLUMNS($B$14:O14) &gt;= Inputs!$F$56, 1, 0)</f>
        <v>1</v>
      </c>
      <c r="P14" s="79">
        <f>IF(COLUMNS($B$14:P14) &gt;= Inputs!$F$56, 1, 0)</f>
        <v>1</v>
      </c>
      <c r="Q14" s="79">
        <f>IF(COLUMNS($B$14:Q14) &gt;= Inputs!$F$56, 1, 0)</f>
        <v>1</v>
      </c>
      <c r="R14" s="79">
        <f>IF(COLUMNS($B$14:R14) &gt;= Inputs!$F$56, 1, 0)</f>
        <v>1</v>
      </c>
      <c r="S14" s="79">
        <f>IF(COLUMNS($B$14:S14) &gt;= Inputs!$F$56, 1, 0)</f>
        <v>1</v>
      </c>
      <c r="T14" s="79">
        <f>IF(COLUMNS($B$14:T14) &gt;= Inputs!$F$56, 1, 0)</f>
        <v>1</v>
      </c>
      <c r="U14" s="79">
        <f>IF(COLUMNS($B$14:U14) &gt;= Inputs!$F$56, 1, 0)</f>
        <v>1</v>
      </c>
      <c r="V14" s="79">
        <f>IF(COLUMNS($B$14:V14) &gt;= Inputs!$F$56, 1, 0)</f>
        <v>1</v>
      </c>
      <c r="W14" s="79">
        <f>IF(COLUMNS($B$14:W14) &gt;= Inputs!$F$56, 1, 0)</f>
        <v>1</v>
      </c>
      <c r="X14" s="79">
        <f>IF(COLUMNS($B$14:X14) &gt;= Inputs!$F$56, 1, 0)</f>
        <v>1</v>
      </c>
      <c r="Y14" s="79">
        <f>IF(COLUMNS($B$14:Y14) &gt;= Inputs!$F$56, 1, 0)</f>
        <v>1</v>
      </c>
      <c r="Z14" s="79">
        <f>IF(COLUMNS($B$14:Z14) &gt;= Inputs!$F$56, 1, 0)</f>
        <v>1</v>
      </c>
      <c r="AA14" s="79">
        <f>IF(COLUMNS($B$14:AA14) &gt;= Inputs!$F$56, 1, 0)</f>
        <v>1</v>
      </c>
      <c r="AB14" s="79">
        <f>IF(COLUMNS($B$14:AB14) &gt;= Inputs!$F$56, 1, 0)</f>
        <v>1</v>
      </c>
      <c r="AC14" s="79">
        <f>IF(COLUMNS($B$14:AC14) &gt;= Inputs!$F$56, 1, 0)</f>
        <v>1</v>
      </c>
      <c r="AD14" s="79">
        <f>IF(COLUMNS($B$14:AD14) &gt;= Inputs!$F$56, 1, 0)</f>
        <v>1</v>
      </c>
      <c r="AE14" s="79">
        <f>IF(COLUMNS($B$14:AE14) &gt;= Inputs!$F$56, 1, 0)</f>
        <v>1</v>
      </c>
      <c r="AF14" s="79">
        <f>IF(COLUMNS($B$14:AF14) &gt;= Inputs!$F$56, 1, 0)</f>
        <v>1</v>
      </c>
      <c r="AG14" s="79">
        <f>IF(COLUMNS($B$14:AG14) &gt;= Inputs!$F$56, 1, 0)</f>
        <v>1</v>
      </c>
      <c r="AH14" s="79">
        <f>IF(COLUMNS($B$14:AH14) &gt;= Inputs!$F$56, 1, 0)</f>
        <v>1</v>
      </c>
      <c r="AI14" s="79">
        <f>IF(COLUMNS($B$14:AI14) &gt;= Inputs!$F$56, 1, 0)</f>
        <v>1</v>
      </c>
      <c r="AJ14" s="79">
        <f>IF(COLUMNS($B$14:AJ14) &gt;= Inputs!$F$56, 1, 0)</f>
        <v>1</v>
      </c>
      <c r="AK14" s="79">
        <f>IF(COLUMNS($B$14:AK14) &gt;= Inputs!$F$56, 1, 0)</f>
        <v>1</v>
      </c>
      <c r="AL14" s="79">
        <f>IF(COLUMNS($B$14:AL14) &gt;= Inputs!$F$56, 1, 0)</f>
        <v>1</v>
      </c>
      <c r="AM14" s="79">
        <f>IF(COLUMNS($B$14:AM14) &gt;= Inputs!$F$56, 1, 0)</f>
        <v>1</v>
      </c>
      <c r="AN14" s="79">
        <f>IF(COLUMNS($B$14:AN14) &gt;= Inputs!$F$56, 1, 0)</f>
        <v>1</v>
      </c>
      <c r="AO14" s="79">
        <f>IF(COLUMNS($B$14:AO14) &gt;= Inputs!$F$56, 1, 0)</f>
        <v>1</v>
      </c>
      <c r="AP14" s="79">
        <f>IF(COLUMNS($B$14:AP14) &gt;= Inputs!$F$56, 1, 0)</f>
        <v>1</v>
      </c>
      <c r="AQ14" s="79">
        <f>IF(COLUMNS($B$14:AQ14) &gt;= Inputs!$F$56, 1, 0)</f>
        <v>1</v>
      </c>
      <c r="AR14" s="79">
        <f>IF(COLUMNS($B$14:AR14) &gt;= Inputs!$F$56, 1, 0)</f>
        <v>1</v>
      </c>
      <c r="AS14" s="79">
        <f>IF(COLUMNS($B$14:AS14) &gt;= Inputs!$F$56, 1, 0)</f>
        <v>1</v>
      </c>
      <c r="AT14" s="79">
        <f>IF(COLUMNS($B$14:AT14) &gt;= Inputs!$F$56, 1, 0)</f>
        <v>1</v>
      </c>
      <c r="AU14" s="79">
        <f>IF(COLUMNS($B$14:AU14) &gt;= Inputs!$F$56, 1, 0)</f>
        <v>1</v>
      </c>
      <c r="AV14" s="79">
        <f>IF(COLUMNS($B$14:AV14) &gt;= Inputs!$F$56, 1, 0)</f>
        <v>1</v>
      </c>
      <c r="AW14" s="79">
        <f>IF(COLUMNS($B$14:AW14) &gt;= Inputs!$F$56, 1, 0)</f>
        <v>1</v>
      </c>
      <c r="AX14" s="79">
        <f>IF(COLUMNS($B$14:AX14) &gt;= Inputs!$F$56, 1, 0)</f>
        <v>1</v>
      </c>
      <c r="AY14" s="79">
        <f>IF(COLUMNS($B$14:AY14) &gt;= Inputs!$F$56, 1, 0)</f>
        <v>1</v>
      </c>
      <c r="AZ14" s="79">
        <f>IF(COLUMNS($B$14:AZ14) &gt;= Inputs!$F$56, 1, 0)</f>
        <v>1</v>
      </c>
      <c r="BA14" s="79">
        <f>IF(COLUMNS($B$14:BA14) &gt;= Inputs!$F$56, 1, 0)</f>
        <v>1</v>
      </c>
    </row>
    <row r="15" ht="14.25" customHeight="1">
      <c r="A15" s="3" t="s">
        <v>194</v>
      </c>
      <c r="B15" s="79">
        <f>IF(COLUMNS($B$15:B15) &gt;= Inputs!$F$57, 1, 0)</f>
        <v>0</v>
      </c>
      <c r="C15" s="79">
        <f>IF(COLUMNS($B$15:C15) &gt;= Inputs!$F$57, 1, 0)</f>
        <v>0</v>
      </c>
      <c r="D15" s="79">
        <f>IF(COLUMNS($B$15:D15) &gt;= Inputs!$F$57, 1, 0)</f>
        <v>0</v>
      </c>
      <c r="E15" s="79">
        <f>IF(COLUMNS($B$15:E15) &gt;= Inputs!$F$57, 1, 0)</f>
        <v>0</v>
      </c>
      <c r="F15" s="79">
        <f>IF(COLUMNS($B$15:F15) &gt;= Inputs!$F$57, 1, 0)</f>
        <v>0</v>
      </c>
      <c r="G15" s="79">
        <f>IF(COLUMNS($B$15:G15) &gt;= Inputs!$F$57, 1, 0)</f>
        <v>0</v>
      </c>
      <c r="H15" s="79">
        <f>IF(COLUMNS($B$15:H15) &gt;= Inputs!$F$57, 1, 0)</f>
        <v>0</v>
      </c>
      <c r="I15" s="79">
        <f>IF(COLUMNS($B$15:I15) &gt;= Inputs!$F$57, 1, 0)</f>
        <v>0</v>
      </c>
      <c r="J15" s="79">
        <f>IF(COLUMNS($B$15:J15) &gt;= Inputs!$F$57, 1, 0)</f>
        <v>0</v>
      </c>
      <c r="K15" s="79">
        <f>IF(COLUMNS($B$15:K15) &gt;= Inputs!$F$57, 1, 0)</f>
        <v>0</v>
      </c>
      <c r="L15" s="79">
        <f>IF(COLUMNS($B$15:L15) &gt;= Inputs!$F$57, 1, 0)</f>
        <v>0</v>
      </c>
      <c r="M15" s="79">
        <f>IF(COLUMNS($B$15:M15) &gt;= Inputs!$F$57, 1, 0)</f>
        <v>0</v>
      </c>
      <c r="N15" s="79">
        <f>IF(COLUMNS($B$15:N15) &gt;= Inputs!$F$57, 1, 0)</f>
        <v>1</v>
      </c>
      <c r="O15" s="79">
        <f>IF(COLUMNS($B$15:O15) &gt;= Inputs!$F$57, 1, 0)</f>
        <v>1</v>
      </c>
      <c r="P15" s="79">
        <f>IF(COLUMNS($B$15:P15) &gt;= Inputs!$F$57, 1, 0)</f>
        <v>1</v>
      </c>
      <c r="Q15" s="79">
        <f>IF(COLUMNS($B$15:Q15) &gt;= Inputs!$F$57, 1, 0)</f>
        <v>1</v>
      </c>
      <c r="R15" s="79">
        <f>IF(COLUMNS($B$15:R15) &gt;= Inputs!$F$57, 1, 0)</f>
        <v>1</v>
      </c>
      <c r="S15" s="79">
        <f>IF(COLUMNS($B$15:S15) &gt;= Inputs!$F$57, 1, 0)</f>
        <v>1</v>
      </c>
      <c r="T15" s="79">
        <f>IF(COLUMNS($B$15:T15) &gt;= Inputs!$F$57, 1, 0)</f>
        <v>1</v>
      </c>
      <c r="U15" s="79">
        <f>IF(COLUMNS($B$15:U15) &gt;= Inputs!$F$57, 1, 0)</f>
        <v>1</v>
      </c>
      <c r="V15" s="79">
        <f>IF(COLUMNS($B$15:V15) &gt;= Inputs!$F$57, 1, 0)</f>
        <v>1</v>
      </c>
      <c r="W15" s="79">
        <f>IF(COLUMNS($B$15:W15) &gt;= Inputs!$F$57, 1, 0)</f>
        <v>1</v>
      </c>
      <c r="X15" s="79">
        <f>IF(COLUMNS($B$15:X15) &gt;= Inputs!$F$57, 1, 0)</f>
        <v>1</v>
      </c>
      <c r="Y15" s="79">
        <f>IF(COLUMNS($B$15:Y15) &gt;= Inputs!$F$57, 1, 0)</f>
        <v>1</v>
      </c>
      <c r="Z15" s="79">
        <f>IF(COLUMNS($B$15:Z15) &gt;= Inputs!$F$57, 1, 0)</f>
        <v>1</v>
      </c>
      <c r="AA15" s="79">
        <f>IF(COLUMNS($B$15:AA15) &gt;= Inputs!$F$57, 1, 0)</f>
        <v>1</v>
      </c>
      <c r="AB15" s="79">
        <f>IF(COLUMNS($B$15:AB15) &gt;= Inputs!$F$57, 1, 0)</f>
        <v>1</v>
      </c>
      <c r="AC15" s="79">
        <f>IF(COLUMNS($B$15:AC15) &gt;= Inputs!$F$57, 1, 0)</f>
        <v>1</v>
      </c>
      <c r="AD15" s="79">
        <f>IF(COLUMNS($B$15:AD15) &gt;= Inputs!$F$57, 1, 0)</f>
        <v>1</v>
      </c>
      <c r="AE15" s="79">
        <f>IF(COLUMNS($B$15:AE15) &gt;= Inputs!$F$57, 1, 0)</f>
        <v>1</v>
      </c>
      <c r="AF15" s="79">
        <f>IF(COLUMNS($B$15:AF15) &gt;= Inputs!$F$57, 1, 0)</f>
        <v>1</v>
      </c>
      <c r="AG15" s="79">
        <f>IF(COLUMNS($B$15:AG15) &gt;= Inputs!$F$57, 1, 0)</f>
        <v>1</v>
      </c>
      <c r="AH15" s="79">
        <f>IF(COLUMNS($B$15:AH15) &gt;= Inputs!$F$57, 1, 0)</f>
        <v>1</v>
      </c>
      <c r="AI15" s="79">
        <f>IF(COLUMNS($B$15:AI15) &gt;= Inputs!$F$57, 1, 0)</f>
        <v>1</v>
      </c>
      <c r="AJ15" s="79">
        <f>IF(COLUMNS($B$15:AJ15) &gt;= Inputs!$F$57, 1, 0)</f>
        <v>1</v>
      </c>
      <c r="AK15" s="79">
        <f>IF(COLUMNS($B$15:AK15) &gt;= Inputs!$F$57, 1, 0)</f>
        <v>1</v>
      </c>
      <c r="AL15" s="79">
        <f>IF(COLUMNS($B$15:AL15) &gt;= Inputs!$F$57, 1, 0)</f>
        <v>1</v>
      </c>
      <c r="AM15" s="79">
        <f>IF(COLUMNS($B$15:AM15) &gt;= Inputs!$F$57, 1, 0)</f>
        <v>1</v>
      </c>
      <c r="AN15" s="79">
        <f>IF(COLUMNS($B$15:AN15) &gt;= Inputs!$F$57, 1, 0)</f>
        <v>1</v>
      </c>
      <c r="AO15" s="79">
        <f>IF(COLUMNS($B$15:AO15) &gt;= Inputs!$F$57, 1, 0)</f>
        <v>1</v>
      </c>
      <c r="AP15" s="79">
        <f>IF(COLUMNS($B$15:AP15) &gt;= Inputs!$F$57, 1, 0)</f>
        <v>1</v>
      </c>
      <c r="AQ15" s="79">
        <f>IF(COLUMNS($B$15:AQ15) &gt;= Inputs!$F$57, 1, 0)</f>
        <v>1</v>
      </c>
      <c r="AR15" s="79">
        <f>IF(COLUMNS($B$15:AR15) &gt;= Inputs!$F$57, 1, 0)</f>
        <v>1</v>
      </c>
      <c r="AS15" s="79">
        <f>IF(COLUMNS($B$15:AS15) &gt;= Inputs!$F$57, 1, 0)</f>
        <v>1</v>
      </c>
      <c r="AT15" s="79">
        <f>IF(COLUMNS($B$15:AT15) &gt;= Inputs!$F$57, 1, 0)</f>
        <v>1</v>
      </c>
      <c r="AU15" s="79">
        <f>IF(COLUMNS($B$15:AU15) &gt;= Inputs!$F$57, 1, 0)</f>
        <v>1</v>
      </c>
      <c r="AV15" s="79">
        <f>IF(COLUMNS($B$15:AV15) &gt;= Inputs!$F$57, 1, 0)</f>
        <v>1</v>
      </c>
      <c r="AW15" s="79">
        <f>IF(COLUMNS($B$15:AW15) &gt;= Inputs!$F$57, 1, 0)</f>
        <v>1</v>
      </c>
      <c r="AX15" s="79">
        <f>IF(COLUMNS($B$15:AX15) &gt;= Inputs!$F$57, 1, 0)</f>
        <v>1</v>
      </c>
      <c r="AY15" s="79">
        <f>IF(COLUMNS($B$15:AY15) &gt;= Inputs!$F$57, 1, 0)</f>
        <v>1</v>
      </c>
      <c r="AZ15" s="79">
        <f>IF(COLUMNS($B$15:AZ15) &gt;= Inputs!$F$57, 1, 0)</f>
        <v>1</v>
      </c>
      <c r="BA15" s="79">
        <f>IF(COLUMNS($B$15:BA15) &gt;= Inputs!$F$57, 1, 0)</f>
        <v>1</v>
      </c>
    </row>
    <row r="16" ht="14.25" customHeight="1">
      <c r="A16" s="3" t="s">
        <v>197</v>
      </c>
      <c r="B16" s="79">
        <f>IF(COLUMNS($B$16:B16) &gt;= Inputs!$F$58, 1, 0)</f>
        <v>0</v>
      </c>
      <c r="C16" s="79">
        <f>IF(COLUMNS($B$16:C16) &gt;= Inputs!$F$58, 1, 0)</f>
        <v>0</v>
      </c>
      <c r="D16" s="79">
        <f>IF(COLUMNS($B$16:D16) &gt;= Inputs!$F$58, 1, 0)</f>
        <v>0</v>
      </c>
      <c r="E16" s="79">
        <f>IF(COLUMNS($B$16:E16) &gt;= Inputs!$F$58, 1, 0)</f>
        <v>0</v>
      </c>
      <c r="F16" s="79">
        <f>IF(COLUMNS($B$16:F16) &gt;= Inputs!$F$58, 1, 0)</f>
        <v>0</v>
      </c>
      <c r="G16" s="79">
        <f>IF(COLUMNS($B$16:G16) &gt;= Inputs!$F$58, 1, 0)</f>
        <v>0</v>
      </c>
      <c r="H16" s="79">
        <f>IF(COLUMNS($B$16:H16) &gt;= Inputs!$F$58, 1, 0)</f>
        <v>0</v>
      </c>
      <c r="I16" s="79">
        <f>IF(COLUMNS($B$16:I16) &gt;= Inputs!$F$58, 1, 0)</f>
        <v>0</v>
      </c>
      <c r="J16" s="79">
        <f>IF(COLUMNS($B$16:J16) &gt;= Inputs!$F$58, 1, 0)</f>
        <v>0</v>
      </c>
      <c r="K16" s="79">
        <f>IF(COLUMNS($B$16:K16) &gt;= Inputs!$F$58, 1, 0)</f>
        <v>0</v>
      </c>
      <c r="L16" s="79">
        <f>IF(COLUMNS($B$16:L16) &gt;= Inputs!$F$58, 1, 0)</f>
        <v>0</v>
      </c>
      <c r="M16" s="79">
        <f>IF(COLUMNS($B$16:M16) &gt;= Inputs!$F$58, 1, 0)</f>
        <v>0</v>
      </c>
      <c r="N16" s="79">
        <f>IF(COLUMNS($B$16:N16) &gt;= Inputs!$F$58, 1, 0)</f>
        <v>0</v>
      </c>
      <c r="O16" s="79">
        <f>IF(COLUMNS($B$16:O16) &gt;= Inputs!$F$58, 1, 0)</f>
        <v>1</v>
      </c>
      <c r="P16" s="79">
        <f>IF(COLUMNS($B$16:P16) &gt;= Inputs!$F$58, 1, 0)</f>
        <v>1</v>
      </c>
      <c r="Q16" s="79">
        <f>IF(COLUMNS($B$16:Q16) &gt;= Inputs!$F$58, 1, 0)</f>
        <v>1</v>
      </c>
      <c r="R16" s="79">
        <f>IF(COLUMNS($B$16:R16) &gt;= Inputs!$F$58, 1, 0)</f>
        <v>1</v>
      </c>
      <c r="S16" s="79">
        <f>IF(COLUMNS($B$16:S16) &gt;= Inputs!$F$58, 1, 0)</f>
        <v>1</v>
      </c>
      <c r="T16" s="79">
        <f>IF(COLUMNS($B$16:T16) &gt;= Inputs!$F$58, 1, 0)</f>
        <v>1</v>
      </c>
      <c r="U16" s="79">
        <f>IF(COLUMNS($B$16:U16) &gt;= Inputs!$F$58, 1, 0)</f>
        <v>1</v>
      </c>
      <c r="V16" s="79">
        <f>IF(COLUMNS($B$16:V16) &gt;= Inputs!$F$58, 1, 0)</f>
        <v>1</v>
      </c>
      <c r="W16" s="79">
        <f>IF(COLUMNS($B$16:W16) &gt;= Inputs!$F$58, 1, 0)</f>
        <v>1</v>
      </c>
      <c r="X16" s="79">
        <f>IF(COLUMNS($B$16:X16) &gt;= Inputs!$F$58, 1, 0)</f>
        <v>1</v>
      </c>
      <c r="Y16" s="79">
        <f>IF(COLUMNS($B$16:Y16) &gt;= Inputs!$F$58, 1, 0)</f>
        <v>1</v>
      </c>
      <c r="Z16" s="79">
        <f>IF(COLUMNS($B$16:Z16) &gt;= Inputs!$F$58, 1, 0)</f>
        <v>1</v>
      </c>
      <c r="AA16" s="79">
        <f>IF(COLUMNS($B$16:AA16) &gt;= Inputs!$F$58, 1, 0)</f>
        <v>1</v>
      </c>
      <c r="AB16" s="79">
        <f>IF(COLUMNS($B$16:AB16) &gt;= Inputs!$F$58, 1, 0)</f>
        <v>1</v>
      </c>
      <c r="AC16" s="79">
        <f>IF(COLUMNS($B$16:AC16) &gt;= Inputs!$F$58, 1, 0)</f>
        <v>1</v>
      </c>
      <c r="AD16" s="79">
        <f>IF(COLUMNS($B$16:AD16) &gt;= Inputs!$F$58, 1, 0)</f>
        <v>1</v>
      </c>
      <c r="AE16" s="79">
        <f>IF(COLUMNS($B$16:AE16) &gt;= Inputs!$F$58, 1, 0)</f>
        <v>1</v>
      </c>
      <c r="AF16" s="79">
        <f>IF(COLUMNS($B$16:AF16) &gt;= Inputs!$F$58, 1, 0)</f>
        <v>1</v>
      </c>
      <c r="AG16" s="79">
        <f>IF(COLUMNS($B$16:AG16) &gt;= Inputs!$F$58, 1, 0)</f>
        <v>1</v>
      </c>
      <c r="AH16" s="79">
        <f>IF(COLUMNS($B$16:AH16) &gt;= Inputs!$F$58, 1, 0)</f>
        <v>1</v>
      </c>
      <c r="AI16" s="79">
        <f>IF(COLUMNS($B$16:AI16) &gt;= Inputs!$F$58, 1, 0)</f>
        <v>1</v>
      </c>
      <c r="AJ16" s="79">
        <f>IF(COLUMNS($B$16:AJ16) &gt;= Inputs!$F$58, 1, 0)</f>
        <v>1</v>
      </c>
      <c r="AK16" s="79">
        <f>IF(COLUMNS($B$16:AK16) &gt;= Inputs!$F$58, 1, 0)</f>
        <v>1</v>
      </c>
      <c r="AL16" s="79">
        <f>IF(COLUMNS($B$16:AL16) &gt;= Inputs!$F$58, 1, 0)</f>
        <v>1</v>
      </c>
      <c r="AM16" s="79">
        <f>IF(COLUMNS($B$16:AM16) &gt;= Inputs!$F$58, 1, 0)</f>
        <v>1</v>
      </c>
      <c r="AN16" s="79">
        <f>IF(COLUMNS($B$16:AN16) &gt;= Inputs!$F$58, 1, 0)</f>
        <v>1</v>
      </c>
      <c r="AO16" s="79">
        <f>IF(COLUMNS($B$16:AO16) &gt;= Inputs!$F$58, 1, 0)</f>
        <v>1</v>
      </c>
      <c r="AP16" s="79">
        <f>IF(COLUMNS($B$16:AP16) &gt;= Inputs!$F$58, 1, 0)</f>
        <v>1</v>
      </c>
      <c r="AQ16" s="79">
        <f>IF(COLUMNS($B$16:AQ16) &gt;= Inputs!$F$58, 1, 0)</f>
        <v>1</v>
      </c>
      <c r="AR16" s="79">
        <f>IF(COLUMNS($B$16:AR16) &gt;= Inputs!$F$58, 1, 0)</f>
        <v>1</v>
      </c>
      <c r="AS16" s="79">
        <f>IF(COLUMNS($B$16:AS16) &gt;= Inputs!$F$58, 1, 0)</f>
        <v>1</v>
      </c>
      <c r="AT16" s="79">
        <f>IF(COLUMNS($B$16:AT16) &gt;= Inputs!$F$58, 1, 0)</f>
        <v>1</v>
      </c>
      <c r="AU16" s="79">
        <f>IF(COLUMNS($B$16:AU16) &gt;= Inputs!$F$58, 1, 0)</f>
        <v>1</v>
      </c>
      <c r="AV16" s="79">
        <f>IF(COLUMNS($B$16:AV16) &gt;= Inputs!$F$58, 1, 0)</f>
        <v>1</v>
      </c>
      <c r="AW16" s="79">
        <f>IF(COLUMNS($B$16:AW16) &gt;= Inputs!$F$58, 1, 0)</f>
        <v>1</v>
      </c>
      <c r="AX16" s="79">
        <f>IF(COLUMNS($B$16:AX16) &gt;= Inputs!$F$58, 1, 0)</f>
        <v>1</v>
      </c>
      <c r="AY16" s="79">
        <f>IF(COLUMNS($B$16:AY16) &gt;= Inputs!$F$58, 1, 0)</f>
        <v>1</v>
      </c>
      <c r="AZ16" s="79">
        <f>IF(COLUMNS($B$16:AZ16) &gt;= Inputs!$F$58, 1, 0)</f>
        <v>1</v>
      </c>
      <c r="BA16" s="79">
        <f>IF(COLUMNS($B$16:BA16) &gt;= Inputs!$F$58, 1, 0)</f>
        <v>1</v>
      </c>
    </row>
    <row r="17" ht="14.25" customHeight="1">
      <c r="A17" s="3" t="s">
        <v>200</v>
      </c>
      <c r="B17" s="79">
        <f>IF(COLUMNS($B$17:B17) &gt;= Inputs!$F$59, 1, 0)</f>
        <v>0</v>
      </c>
      <c r="C17" s="79">
        <f>IF(COLUMNS($B$17:C17) &gt;= Inputs!$F$59, 1, 0)</f>
        <v>0</v>
      </c>
      <c r="D17" s="79">
        <f>IF(COLUMNS($B$17:D17) &gt;= Inputs!$F$59, 1, 0)</f>
        <v>0</v>
      </c>
      <c r="E17" s="79">
        <f>IF(COLUMNS($B$17:E17) &gt;= Inputs!$F$59, 1, 0)</f>
        <v>0</v>
      </c>
      <c r="F17" s="79">
        <f>IF(COLUMNS($B$17:F17) &gt;= Inputs!$F$59, 1, 0)</f>
        <v>0</v>
      </c>
      <c r="G17" s="79">
        <f>IF(COLUMNS($B$17:G17) &gt;= Inputs!$F$59, 1, 0)</f>
        <v>0</v>
      </c>
      <c r="H17" s="79">
        <f>IF(COLUMNS($B$17:H17) &gt;= Inputs!$F$59, 1, 0)</f>
        <v>0</v>
      </c>
      <c r="I17" s="79">
        <f>IF(COLUMNS($B$17:I17) &gt;= Inputs!$F$59, 1, 0)</f>
        <v>0</v>
      </c>
      <c r="J17" s="79">
        <f>IF(COLUMNS($B$17:J17) &gt;= Inputs!$F$59, 1, 0)</f>
        <v>0</v>
      </c>
      <c r="K17" s="79">
        <f>IF(COLUMNS($B$17:K17) &gt;= Inputs!$F$59, 1, 0)</f>
        <v>0</v>
      </c>
      <c r="L17" s="79">
        <f>IF(COLUMNS($B$17:L17) &gt;= Inputs!$F$59, 1, 0)</f>
        <v>0</v>
      </c>
      <c r="M17" s="79">
        <f>IF(COLUMNS($B$17:M17) &gt;= Inputs!$F$59, 1, 0)</f>
        <v>0</v>
      </c>
      <c r="N17" s="79">
        <f>IF(COLUMNS($B$17:N17) &gt;= Inputs!$F$59, 1, 0)</f>
        <v>0</v>
      </c>
      <c r="O17" s="79">
        <f>IF(COLUMNS($B$17:O17) &gt;= Inputs!$F$59, 1, 0)</f>
        <v>0</v>
      </c>
      <c r="P17" s="79">
        <f>IF(COLUMNS($B$17:P17) &gt;= Inputs!$F$59, 1, 0)</f>
        <v>0</v>
      </c>
      <c r="Q17" s="79">
        <f>IF(COLUMNS($B$17:Q17) &gt;= Inputs!$F$59, 1, 0)</f>
        <v>0</v>
      </c>
      <c r="R17" s="79">
        <f>IF(COLUMNS($B$17:R17) &gt;= Inputs!$F$59, 1, 0)</f>
        <v>0</v>
      </c>
      <c r="S17" s="79">
        <f>IF(COLUMNS($B$17:S17) &gt;= Inputs!$F$59, 1, 0)</f>
        <v>1</v>
      </c>
      <c r="T17" s="79">
        <f>IF(COLUMNS($B$17:T17) &gt;= Inputs!$F$59, 1, 0)</f>
        <v>1</v>
      </c>
      <c r="U17" s="79">
        <f>IF(COLUMNS($B$17:U17) &gt;= Inputs!$F$59, 1, 0)</f>
        <v>1</v>
      </c>
      <c r="V17" s="79">
        <f>IF(COLUMNS($B$17:V17) &gt;= Inputs!$F$59, 1, 0)</f>
        <v>1</v>
      </c>
      <c r="W17" s="79">
        <f>IF(COLUMNS($B$17:W17) &gt;= Inputs!$F$59, 1, 0)</f>
        <v>1</v>
      </c>
      <c r="X17" s="79">
        <f>IF(COLUMNS($B$17:X17) &gt;= Inputs!$F$59, 1, 0)</f>
        <v>1</v>
      </c>
      <c r="Y17" s="79">
        <f>IF(COLUMNS($B$17:Y17) &gt;= Inputs!$F$59, 1, 0)</f>
        <v>1</v>
      </c>
      <c r="Z17" s="79">
        <f>IF(COLUMNS($B$17:Z17) &gt;= Inputs!$F$59, 1, 0)</f>
        <v>1</v>
      </c>
      <c r="AA17" s="79">
        <f>IF(COLUMNS($B$17:AA17) &gt;= Inputs!$F$59, 1, 0)</f>
        <v>1</v>
      </c>
      <c r="AB17" s="79">
        <f>IF(COLUMNS($B$17:AB17) &gt;= Inputs!$F$59, 1, 0)</f>
        <v>1</v>
      </c>
      <c r="AC17" s="79">
        <f>IF(COLUMNS($B$17:AC17) &gt;= Inputs!$F$59, 1, 0)</f>
        <v>1</v>
      </c>
      <c r="AD17" s="79">
        <f>IF(COLUMNS($B$17:AD17) &gt;= Inputs!$F$59, 1, 0)</f>
        <v>1</v>
      </c>
      <c r="AE17" s="79">
        <f>IF(COLUMNS($B$17:AE17) &gt;= Inputs!$F$59, 1, 0)</f>
        <v>1</v>
      </c>
      <c r="AF17" s="79">
        <f>IF(COLUMNS($B$17:AF17) &gt;= Inputs!$F$59, 1, 0)</f>
        <v>1</v>
      </c>
      <c r="AG17" s="79">
        <f>IF(COLUMNS($B$17:AG17) &gt;= Inputs!$F$59, 1, 0)</f>
        <v>1</v>
      </c>
      <c r="AH17" s="79">
        <f>IF(COLUMNS($B$17:AH17) &gt;= Inputs!$F$59, 1, 0)</f>
        <v>1</v>
      </c>
      <c r="AI17" s="79">
        <f>IF(COLUMNS($B$17:AI17) &gt;= Inputs!$F$59, 1, 0)</f>
        <v>1</v>
      </c>
      <c r="AJ17" s="79">
        <f>IF(COLUMNS($B$17:AJ17) &gt;= Inputs!$F$59, 1, 0)</f>
        <v>1</v>
      </c>
      <c r="AK17" s="79">
        <f>IF(COLUMNS($B$17:AK17) &gt;= Inputs!$F$59, 1, 0)</f>
        <v>1</v>
      </c>
      <c r="AL17" s="79">
        <f>IF(COLUMNS($B$17:AL17) &gt;= Inputs!$F$59, 1, 0)</f>
        <v>1</v>
      </c>
      <c r="AM17" s="79">
        <f>IF(COLUMNS($B$17:AM17) &gt;= Inputs!$F$59, 1, 0)</f>
        <v>1</v>
      </c>
      <c r="AN17" s="79">
        <f>IF(COLUMNS($B$17:AN17) &gt;= Inputs!$F$59, 1, 0)</f>
        <v>1</v>
      </c>
      <c r="AO17" s="79">
        <f>IF(COLUMNS($B$17:AO17) &gt;= Inputs!$F$59, 1, 0)</f>
        <v>1</v>
      </c>
      <c r="AP17" s="79">
        <f>IF(COLUMNS($B$17:AP17) &gt;= Inputs!$F$59, 1, 0)</f>
        <v>1</v>
      </c>
      <c r="AQ17" s="79">
        <f>IF(COLUMNS($B$17:AQ17) &gt;= Inputs!$F$59, 1, 0)</f>
        <v>1</v>
      </c>
      <c r="AR17" s="79">
        <f>IF(COLUMNS($B$17:AR17) &gt;= Inputs!$F$59, 1, 0)</f>
        <v>1</v>
      </c>
      <c r="AS17" s="79">
        <f>IF(COLUMNS($B$17:AS17) &gt;= Inputs!$F$59, 1, 0)</f>
        <v>1</v>
      </c>
      <c r="AT17" s="79">
        <f>IF(COLUMNS($B$17:AT17) &gt;= Inputs!$F$59, 1, 0)</f>
        <v>1</v>
      </c>
      <c r="AU17" s="79">
        <f>IF(COLUMNS($B$17:AU17) &gt;= Inputs!$F$59, 1, 0)</f>
        <v>1</v>
      </c>
      <c r="AV17" s="79">
        <f>IF(COLUMNS($B$17:AV17) &gt;= Inputs!$F$59, 1, 0)</f>
        <v>1</v>
      </c>
      <c r="AW17" s="79">
        <f>IF(COLUMNS($B$17:AW17) &gt;= Inputs!$F$59, 1, 0)</f>
        <v>1</v>
      </c>
      <c r="AX17" s="79">
        <f>IF(COLUMNS($B$17:AX17) &gt;= Inputs!$F$59, 1, 0)</f>
        <v>1</v>
      </c>
      <c r="AY17" s="79">
        <f>IF(COLUMNS($B$17:AY17) &gt;= Inputs!$F$59, 1, 0)</f>
        <v>1</v>
      </c>
      <c r="AZ17" s="79">
        <f>IF(COLUMNS($B$17:AZ17) &gt;= Inputs!$F$59, 1, 0)</f>
        <v>1</v>
      </c>
      <c r="BA17" s="79">
        <f>IF(COLUMNS($B$17:BA17) &gt;= Inputs!$F$59, 1, 0)</f>
        <v>1</v>
      </c>
    </row>
    <row r="18" ht="14.25" customHeight="1">
      <c r="A18" s="3" t="s">
        <v>203</v>
      </c>
      <c r="B18" s="79">
        <f>IF(COLUMNS($B$18:B18) &gt;= Inputs!$F$60, 1, 0)</f>
        <v>0</v>
      </c>
      <c r="C18" s="79">
        <f>IF(COLUMNS($B$18:C18) &gt;= Inputs!$F$60, 1, 0)</f>
        <v>0</v>
      </c>
      <c r="D18" s="79">
        <f>IF(COLUMNS($B$18:D18) &gt;= Inputs!$F$60, 1, 0)</f>
        <v>0</v>
      </c>
      <c r="E18" s="79">
        <f>IF(COLUMNS($B$18:E18) &gt;= Inputs!$F$60, 1, 0)</f>
        <v>0</v>
      </c>
      <c r="F18" s="79">
        <f>IF(COLUMNS($B$18:F18) &gt;= Inputs!$F$60, 1, 0)</f>
        <v>0</v>
      </c>
      <c r="G18" s="79">
        <f>IF(COLUMNS($B$18:G18) &gt;= Inputs!$F$60, 1, 0)</f>
        <v>0</v>
      </c>
      <c r="H18" s="79">
        <f>IF(COLUMNS($B$18:H18) &gt;= Inputs!$F$60, 1, 0)</f>
        <v>0</v>
      </c>
      <c r="I18" s="79">
        <f>IF(COLUMNS($B$18:I18) &gt;= Inputs!$F$60, 1, 0)</f>
        <v>0</v>
      </c>
      <c r="J18" s="79">
        <f>IF(COLUMNS($B$18:J18) &gt;= Inputs!$F$60, 1, 0)</f>
        <v>0</v>
      </c>
      <c r="K18" s="79">
        <f>IF(COLUMNS($B$18:K18) &gt;= Inputs!$F$60, 1, 0)</f>
        <v>0</v>
      </c>
      <c r="L18" s="79">
        <f>IF(COLUMNS($B$18:L18) &gt;= Inputs!$F$60, 1, 0)</f>
        <v>0</v>
      </c>
      <c r="M18" s="79">
        <f>IF(COLUMNS($B$18:M18) &gt;= Inputs!$F$60, 1, 0)</f>
        <v>0</v>
      </c>
      <c r="N18" s="79">
        <f>IF(COLUMNS($B$18:N18) &gt;= Inputs!$F$60, 1, 0)</f>
        <v>0</v>
      </c>
      <c r="O18" s="79">
        <f>IF(COLUMNS($B$18:O18) &gt;= Inputs!$F$60, 1, 0)</f>
        <v>0</v>
      </c>
      <c r="P18" s="79">
        <f>IF(COLUMNS($B$18:P18) &gt;= Inputs!$F$60, 1, 0)</f>
        <v>0</v>
      </c>
      <c r="Q18" s="79">
        <f>IF(COLUMNS($B$18:Q18) &gt;= Inputs!$F$60, 1, 0)</f>
        <v>0</v>
      </c>
      <c r="R18" s="79">
        <f>IF(COLUMNS($B$18:R18) &gt;= Inputs!$F$60, 1, 0)</f>
        <v>0</v>
      </c>
      <c r="S18" s="79">
        <f>IF(COLUMNS($B$18:S18) &gt;= Inputs!$F$60, 1, 0)</f>
        <v>0</v>
      </c>
      <c r="T18" s="79">
        <f>IF(COLUMNS($B$18:T18) &gt;= Inputs!$F$60, 1, 0)</f>
        <v>0</v>
      </c>
      <c r="U18" s="79">
        <f>IF(COLUMNS($B$18:U18) &gt;= Inputs!$F$60, 1, 0)</f>
        <v>0</v>
      </c>
      <c r="V18" s="79">
        <f>IF(COLUMNS($B$18:V18) &gt;= Inputs!$F$60, 1, 0)</f>
        <v>0</v>
      </c>
      <c r="W18" s="79">
        <f>IF(COLUMNS($B$18:W18) &gt;= Inputs!$F$60, 1, 0)</f>
        <v>0</v>
      </c>
      <c r="X18" s="79">
        <f>IF(COLUMNS($B$18:X18) &gt;= Inputs!$F$60, 1, 0)</f>
        <v>0</v>
      </c>
      <c r="Y18" s="79">
        <f>IF(COLUMNS($B$18:Y18) &gt;= Inputs!$F$60, 1, 0)</f>
        <v>0</v>
      </c>
      <c r="Z18" s="79">
        <f>IF(COLUMNS($B$18:Z18) &gt;= Inputs!$F$60, 1, 0)</f>
        <v>0</v>
      </c>
      <c r="AA18" s="79">
        <f>IF(COLUMNS($B$18:AA18) &gt;= Inputs!$F$60, 1, 0)</f>
        <v>0</v>
      </c>
      <c r="AB18" s="79">
        <f>IF(COLUMNS($B$18:AB18) &gt;= Inputs!$F$60, 1, 0)</f>
        <v>0</v>
      </c>
      <c r="AC18" s="79">
        <f>IF(COLUMNS($B$18:AC18) &gt;= Inputs!$F$60, 1, 0)</f>
        <v>0</v>
      </c>
      <c r="AD18" s="79">
        <f>IF(COLUMNS($B$18:AD18) &gt;= Inputs!$F$60, 1, 0)</f>
        <v>0</v>
      </c>
      <c r="AE18" s="79">
        <f>IF(COLUMNS($B$18:AE18) &gt;= Inputs!$F$60, 1, 0)</f>
        <v>0</v>
      </c>
      <c r="AF18" s="79">
        <f>IF(COLUMNS($B$18:AF18) &gt;= Inputs!$F$60, 1, 0)</f>
        <v>0</v>
      </c>
      <c r="AG18" s="79">
        <f>IF(COLUMNS($B$18:AG18) &gt;= Inputs!$F$60, 1, 0)</f>
        <v>0</v>
      </c>
      <c r="AH18" s="79">
        <f>IF(COLUMNS($B$18:AH18) &gt;= Inputs!$F$60, 1, 0)</f>
        <v>0</v>
      </c>
      <c r="AI18" s="79">
        <f>IF(COLUMNS($B$18:AI18) &gt;= Inputs!$F$60, 1, 0)</f>
        <v>0</v>
      </c>
      <c r="AJ18" s="79">
        <f>IF(COLUMNS($B$18:AJ18) &gt;= Inputs!$F$60, 1, 0)</f>
        <v>0</v>
      </c>
      <c r="AK18" s="79">
        <f>IF(COLUMNS($B$18:AK18) &gt;= Inputs!$F$60, 1, 0)</f>
        <v>0</v>
      </c>
      <c r="AL18" s="79">
        <f>IF(COLUMNS($B$18:AL18) &gt;= Inputs!$F$60, 1, 0)</f>
        <v>0</v>
      </c>
      <c r="AM18" s="79">
        <f>IF(COLUMNS($B$18:AM18) &gt;= Inputs!$F$60, 1, 0)</f>
        <v>0</v>
      </c>
      <c r="AN18" s="79">
        <f>IF(COLUMNS($B$18:AN18) &gt;= Inputs!$F$60, 1, 0)</f>
        <v>0</v>
      </c>
      <c r="AO18" s="79">
        <f>IF(COLUMNS($B$18:AO18) &gt;= Inputs!$F$60, 1, 0)</f>
        <v>0</v>
      </c>
      <c r="AP18" s="79">
        <f>IF(COLUMNS($B$18:AP18) &gt;= Inputs!$F$60, 1, 0)</f>
        <v>0</v>
      </c>
      <c r="AQ18" s="79">
        <f>IF(COLUMNS($B$18:AQ18) &gt;= Inputs!$F$60, 1, 0)</f>
        <v>0</v>
      </c>
      <c r="AR18" s="79">
        <f>IF(COLUMNS($B$18:AR18) &gt;= Inputs!$F$60, 1, 0)</f>
        <v>0</v>
      </c>
      <c r="AS18" s="79">
        <f>IF(COLUMNS($B$18:AS18) &gt;= Inputs!$F$60, 1, 0)</f>
        <v>0</v>
      </c>
      <c r="AT18" s="79">
        <f>IF(COLUMNS($B$18:AT18) &gt;= Inputs!$F$60, 1, 0)</f>
        <v>0</v>
      </c>
      <c r="AU18" s="79">
        <f>IF(COLUMNS($B$18:AU18) &gt;= Inputs!$F$60, 1, 0)</f>
        <v>0</v>
      </c>
      <c r="AV18" s="79">
        <f>IF(COLUMNS($B$18:AV18) &gt;= Inputs!$F$60, 1, 0)</f>
        <v>0</v>
      </c>
      <c r="AW18" s="79">
        <f>IF(COLUMNS($B$18:AW18) &gt;= Inputs!$F$60, 1, 0)</f>
        <v>0</v>
      </c>
      <c r="AX18" s="79">
        <f>IF(COLUMNS($B$18:AX18) &gt;= Inputs!$F$60, 1, 0)</f>
        <v>0</v>
      </c>
      <c r="AY18" s="79">
        <f>IF(COLUMNS($B$18:AY18) &gt;= Inputs!$F$60, 1, 0)</f>
        <v>0</v>
      </c>
      <c r="AZ18" s="79">
        <f>IF(COLUMNS($B$18:AZ18) &gt;= Inputs!$F$60, 1, 0)</f>
        <v>0</v>
      </c>
      <c r="BA18" s="79">
        <f>IF(COLUMNS($B$18:BA18) &gt;= Inputs!$F$60, 1, 0)</f>
        <v>0</v>
      </c>
    </row>
    <row r="19" ht="14.25" customHeight="1">
      <c r="A19" s="3" t="s">
        <v>206</v>
      </c>
      <c r="B19" s="79">
        <f>IF(COLUMNS($B$19:B19) &gt;= Inputs!$F$61, 1, 0)</f>
        <v>0</v>
      </c>
      <c r="C19" s="79">
        <f>IF(COLUMNS($B$19:C19) &gt;= Inputs!$F$61, 1, 0)</f>
        <v>0</v>
      </c>
      <c r="D19" s="79">
        <f>IF(COLUMNS($B$19:D19) &gt;= Inputs!$F$61, 1, 0)</f>
        <v>0</v>
      </c>
      <c r="E19" s="79">
        <f>IF(COLUMNS($B$19:E19) &gt;= Inputs!$F$61, 1, 0)</f>
        <v>0</v>
      </c>
      <c r="F19" s="79">
        <f>IF(COLUMNS($B$19:F19) &gt;= Inputs!$F$61, 1, 0)</f>
        <v>0</v>
      </c>
      <c r="G19" s="79">
        <f>IF(COLUMNS($B$19:G19) &gt;= Inputs!$F$61, 1, 0)</f>
        <v>0</v>
      </c>
      <c r="H19" s="79">
        <f>IF(COLUMNS($B$19:H19) &gt;= Inputs!$F$61, 1, 0)</f>
        <v>0</v>
      </c>
      <c r="I19" s="79">
        <f>IF(COLUMNS($B$19:I19) &gt;= Inputs!$F$61, 1, 0)</f>
        <v>0</v>
      </c>
      <c r="J19" s="79">
        <f>IF(COLUMNS($B$19:J19) &gt;= Inputs!$F$61, 1, 0)</f>
        <v>0</v>
      </c>
      <c r="K19" s="79">
        <f>IF(COLUMNS($B$19:K19) &gt;= Inputs!$F$61, 1, 0)</f>
        <v>0</v>
      </c>
      <c r="L19" s="79">
        <f>IF(COLUMNS($B$19:L19) &gt;= Inputs!$F$61, 1, 0)</f>
        <v>0</v>
      </c>
      <c r="M19" s="79">
        <f>IF(COLUMNS($B$19:M19) &gt;= Inputs!$F$61, 1, 0)</f>
        <v>0</v>
      </c>
      <c r="N19" s="79">
        <f>IF(COLUMNS($B$19:N19) &gt;= Inputs!$F$61, 1, 0)</f>
        <v>0</v>
      </c>
      <c r="O19" s="79">
        <f>IF(COLUMNS($B$19:O19) &gt;= Inputs!$F$61, 1, 0)</f>
        <v>0</v>
      </c>
      <c r="P19" s="79">
        <f>IF(COLUMNS($B$19:P19) &gt;= Inputs!$F$61, 1, 0)</f>
        <v>0</v>
      </c>
      <c r="Q19" s="79">
        <f>IF(COLUMNS($B$19:Q19) &gt;= Inputs!$F$61, 1, 0)</f>
        <v>0</v>
      </c>
      <c r="R19" s="79">
        <f>IF(COLUMNS($B$19:R19) &gt;= Inputs!$F$61, 1, 0)</f>
        <v>0</v>
      </c>
      <c r="S19" s="79">
        <f>IF(COLUMNS($B$19:S19) &gt;= Inputs!$F$61, 1, 0)</f>
        <v>0</v>
      </c>
      <c r="T19" s="79">
        <f>IF(COLUMNS($B$19:T19) &gt;= Inputs!$F$61, 1, 0)</f>
        <v>0</v>
      </c>
      <c r="U19" s="79">
        <f>IF(COLUMNS($B$19:U19) &gt;= Inputs!$F$61, 1, 0)</f>
        <v>1</v>
      </c>
      <c r="V19" s="79">
        <f>IF(COLUMNS($B$19:V19) &gt;= Inputs!$F$61, 1, 0)</f>
        <v>1</v>
      </c>
      <c r="W19" s="79">
        <f>IF(COLUMNS($B$19:W19) &gt;= Inputs!$F$61, 1, 0)</f>
        <v>1</v>
      </c>
      <c r="X19" s="79">
        <f>IF(COLUMNS($B$19:X19) &gt;= Inputs!$F$61, 1, 0)</f>
        <v>1</v>
      </c>
      <c r="Y19" s="79">
        <f>IF(COLUMNS($B$19:Y19) &gt;= Inputs!$F$61, 1, 0)</f>
        <v>1</v>
      </c>
      <c r="Z19" s="79">
        <f>IF(COLUMNS($B$19:Z19) &gt;= Inputs!$F$61, 1, 0)</f>
        <v>1</v>
      </c>
      <c r="AA19" s="79">
        <f>IF(COLUMNS($B$19:AA19) &gt;= Inputs!$F$61, 1, 0)</f>
        <v>1</v>
      </c>
      <c r="AB19" s="79">
        <f>IF(COLUMNS($B$19:AB19) &gt;= Inputs!$F$61, 1, 0)</f>
        <v>1</v>
      </c>
      <c r="AC19" s="79">
        <f>IF(COLUMNS($B$19:AC19) &gt;= Inputs!$F$61, 1, 0)</f>
        <v>1</v>
      </c>
      <c r="AD19" s="79">
        <f>IF(COLUMNS($B$19:AD19) &gt;= Inputs!$F$61, 1, 0)</f>
        <v>1</v>
      </c>
      <c r="AE19" s="79">
        <f>IF(COLUMNS($B$19:AE19) &gt;= Inputs!$F$61, 1, 0)</f>
        <v>1</v>
      </c>
      <c r="AF19" s="79">
        <f>IF(COLUMNS($B$19:AF19) &gt;= Inputs!$F$61, 1, 0)</f>
        <v>1</v>
      </c>
      <c r="AG19" s="79">
        <f>IF(COLUMNS($B$19:AG19) &gt;= Inputs!$F$61, 1, 0)</f>
        <v>1</v>
      </c>
      <c r="AH19" s="79">
        <f>IF(COLUMNS($B$19:AH19) &gt;= Inputs!$F$61, 1, 0)</f>
        <v>1</v>
      </c>
      <c r="AI19" s="79">
        <f>IF(COLUMNS($B$19:AI19) &gt;= Inputs!$F$61, 1, 0)</f>
        <v>1</v>
      </c>
      <c r="AJ19" s="79">
        <f>IF(COLUMNS($B$19:AJ19) &gt;= Inputs!$F$61, 1, 0)</f>
        <v>1</v>
      </c>
      <c r="AK19" s="79">
        <f>IF(COLUMNS($B$19:AK19) &gt;= Inputs!$F$61, 1, 0)</f>
        <v>1</v>
      </c>
      <c r="AL19" s="79">
        <f>IF(COLUMNS($B$19:AL19) &gt;= Inputs!$F$61, 1, 0)</f>
        <v>1</v>
      </c>
      <c r="AM19" s="79">
        <f>IF(COLUMNS($B$19:AM19) &gt;= Inputs!$F$61, 1, 0)</f>
        <v>1</v>
      </c>
      <c r="AN19" s="79">
        <f>IF(COLUMNS($B$19:AN19) &gt;= Inputs!$F$61, 1, 0)</f>
        <v>1</v>
      </c>
      <c r="AO19" s="79">
        <f>IF(COLUMNS($B$19:AO19) &gt;= Inputs!$F$61, 1, 0)</f>
        <v>1</v>
      </c>
      <c r="AP19" s="79">
        <f>IF(COLUMNS($B$19:AP19) &gt;= Inputs!$F$61, 1, 0)</f>
        <v>1</v>
      </c>
      <c r="AQ19" s="79">
        <f>IF(COLUMNS($B$19:AQ19) &gt;= Inputs!$F$61, 1, 0)</f>
        <v>1</v>
      </c>
      <c r="AR19" s="79">
        <f>IF(COLUMNS($B$19:AR19) &gt;= Inputs!$F$61, 1, 0)</f>
        <v>1</v>
      </c>
      <c r="AS19" s="79">
        <f>IF(COLUMNS($B$19:AS19) &gt;= Inputs!$F$61, 1, 0)</f>
        <v>1</v>
      </c>
      <c r="AT19" s="79">
        <f>IF(COLUMNS($B$19:AT19) &gt;= Inputs!$F$61, 1, 0)</f>
        <v>1</v>
      </c>
      <c r="AU19" s="79">
        <f>IF(COLUMNS($B$19:AU19) &gt;= Inputs!$F$61, 1, 0)</f>
        <v>1</v>
      </c>
      <c r="AV19" s="79">
        <f>IF(COLUMNS($B$19:AV19) &gt;= Inputs!$F$61, 1, 0)</f>
        <v>1</v>
      </c>
      <c r="AW19" s="79">
        <f>IF(COLUMNS($B$19:AW19) &gt;= Inputs!$F$61, 1, 0)</f>
        <v>1</v>
      </c>
      <c r="AX19" s="79">
        <f>IF(COLUMNS($B$19:AX19) &gt;= Inputs!$F$61, 1, 0)</f>
        <v>1</v>
      </c>
      <c r="AY19" s="79">
        <f>IF(COLUMNS($B$19:AY19) &gt;= Inputs!$F$61, 1, 0)</f>
        <v>1</v>
      </c>
      <c r="AZ19" s="79">
        <f>IF(COLUMNS($B$19:AZ19) &gt;= Inputs!$F$61, 1, 0)</f>
        <v>1</v>
      </c>
      <c r="BA19" s="79">
        <f>IF(COLUMNS($B$19:BA19) &gt;= Inputs!$F$61, 1, 0)</f>
        <v>1</v>
      </c>
    </row>
    <row r="20" ht="14.25" customHeight="1">
      <c r="A20" s="3" t="s">
        <v>209</v>
      </c>
      <c r="B20" s="79">
        <f>IF(COLUMNS($B$20:B20) &gt;= Inputs!$F$62, 1, 0)</f>
        <v>0</v>
      </c>
      <c r="C20" s="79">
        <f>IF(COLUMNS($B$20:C20) &gt;= Inputs!$F$62, 1, 0)</f>
        <v>0</v>
      </c>
      <c r="D20" s="79">
        <f>IF(COLUMNS($B$20:D20) &gt;= Inputs!$F$62, 1, 0)</f>
        <v>0</v>
      </c>
      <c r="E20" s="79">
        <f>IF(COLUMNS($B$20:E20) &gt;= Inputs!$F$62, 1, 0)</f>
        <v>0</v>
      </c>
      <c r="F20" s="79">
        <f>IF(COLUMNS($B$20:F20) &gt;= Inputs!$F$62, 1, 0)</f>
        <v>0</v>
      </c>
      <c r="G20" s="79">
        <f>IF(COLUMNS($B$20:G20) &gt;= Inputs!$F$62, 1, 0)</f>
        <v>0</v>
      </c>
      <c r="H20" s="79">
        <f>IF(COLUMNS($B$20:H20) &gt;= Inputs!$F$62, 1, 0)</f>
        <v>0</v>
      </c>
      <c r="I20" s="79">
        <f>IF(COLUMNS($B$20:I20) &gt;= Inputs!$F$62, 1, 0)</f>
        <v>0</v>
      </c>
      <c r="J20" s="79">
        <f>IF(COLUMNS($B$20:J20) &gt;= Inputs!$F$62, 1, 0)</f>
        <v>0</v>
      </c>
      <c r="K20" s="79">
        <f>IF(COLUMNS($B$20:K20) &gt;= Inputs!$F$62, 1, 0)</f>
        <v>0</v>
      </c>
      <c r="L20" s="79">
        <f>IF(COLUMNS($B$20:L20) &gt;= Inputs!$F$62, 1, 0)</f>
        <v>0</v>
      </c>
      <c r="M20" s="79">
        <f>IF(COLUMNS($B$20:M20) &gt;= Inputs!$F$62, 1, 0)</f>
        <v>0</v>
      </c>
      <c r="N20" s="79">
        <f>IF(COLUMNS($B$20:N20) &gt;= Inputs!$F$62, 1, 0)</f>
        <v>0</v>
      </c>
      <c r="O20" s="79">
        <f>IF(COLUMNS($B$20:O20) &gt;= Inputs!$F$62, 1, 0)</f>
        <v>0</v>
      </c>
      <c r="P20" s="79">
        <f>IF(COLUMNS($B$20:P20) &gt;= Inputs!$F$62, 1, 0)</f>
        <v>0</v>
      </c>
      <c r="Q20" s="79">
        <f>IF(COLUMNS($B$20:Q20) &gt;= Inputs!$F$62, 1, 0)</f>
        <v>0</v>
      </c>
      <c r="R20" s="79">
        <f>IF(COLUMNS($B$20:R20) &gt;= Inputs!$F$62, 1, 0)</f>
        <v>0</v>
      </c>
      <c r="S20" s="79">
        <f>IF(COLUMNS($B$20:S20) &gt;= Inputs!$F$62, 1, 0)</f>
        <v>0</v>
      </c>
      <c r="T20" s="79">
        <f>IF(COLUMNS($B$20:T20) &gt;= Inputs!$F$62, 1, 0)</f>
        <v>0</v>
      </c>
      <c r="U20" s="79">
        <f>IF(COLUMNS($B$20:U20) &gt;= Inputs!$F$62, 1, 0)</f>
        <v>0</v>
      </c>
      <c r="V20" s="79">
        <f>IF(COLUMNS($B$20:V20) &gt;= Inputs!$F$62, 1, 0)</f>
        <v>0</v>
      </c>
      <c r="W20" s="79">
        <f>IF(COLUMNS($B$20:W20) &gt;= Inputs!$F$62, 1, 0)</f>
        <v>1</v>
      </c>
      <c r="X20" s="79">
        <f>IF(COLUMNS($B$20:X20) &gt;= Inputs!$F$62, 1, 0)</f>
        <v>1</v>
      </c>
      <c r="Y20" s="79">
        <f>IF(COLUMNS($B$20:Y20) &gt;= Inputs!$F$62, 1, 0)</f>
        <v>1</v>
      </c>
      <c r="Z20" s="79">
        <f>IF(COLUMNS($B$20:Z20) &gt;= Inputs!$F$62, 1, 0)</f>
        <v>1</v>
      </c>
      <c r="AA20" s="79">
        <f>IF(COLUMNS($B$20:AA20) &gt;= Inputs!$F$62, 1, 0)</f>
        <v>1</v>
      </c>
      <c r="AB20" s="79">
        <f>IF(COLUMNS($B$20:AB20) &gt;= Inputs!$F$62, 1, 0)</f>
        <v>1</v>
      </c>
      <c r="AC20" s="79">
        <f>IF(COLUMNS($B$20:AC20) &gt;= Inputs!$F$62, 1, 0)</f>
        <v>1</v>
      </c>
      <c r="AD20" s="79">
        <f>IF(COLUMNS($B$20:AD20) &gt;= Inputs!$F$62, 1, 0)</f>
        <v>1</v>
      </c>
      <c r="AE20" s="79">
        <f>IF(COLUMNS($B$20:AE20) &gt;= Inputs!$F$62, 1, 0)</f>
        <v>1</v>
      </c>
      <c r="AF20" s="79">
        <f>IF(COLUMNS($B$20:AF20) &gt;= Inputs!$F$62, 1, 0)</f>
        <v>1</v>
      </c>
      <c r="AG20" s="79">
        <f>IF(COLUMNS($B$20:AG20) &gt;= Inputs!$F$62, 1, 0)</f>
        <v>1</v>
      </c>
      <c r="AH20" s="79">
        <f>IF(COLUMNS($B$20:AH20) &gt;= Inputs!$F$62, 1, 0)</f>
        <v>1</v>
      </c>
      <c r="AI20" s="79">
        <f>IF(COLUMNS($B$20:AI20) &gt;= Inputs!$F$62, 1, 0)</f>
        <v>1</v>
      </c>
      <c r="AJ20" s="79">
        <f>IF(COLUMNS($B$20:AJ20) &gt;= Inputs!$F$62, 1, 0)</f>
        <v>1</v>
      </c>
      <c r="AK20" s="79">
        <f>IF(COLUMNS($B$20:AK20) &gt;= Inputs!$F$62, 1, 0)</f>
        <v>1</v>
      </c>
      <c r="AL20" s="79">
        <f>IF(COLUMNS($B$20:AL20) &gt;= Inputs!$F$62, 1, 0)</f>
        <v>1</v>
      </c>
      <c r="AM20" s="79">
        <f>IF(COLUMNS($B$20:AM20) &gt;= Inputs!$F$62, 1, 0)</f>
        <v>1</v>
      </c>
      <c r="AN20" s="79">
        <f>IF(COLUMNS($B$20:AN20) &gt;= Inputs!$F$62, 1, 0)</f>
        <v>1</v>
      </c>
      <c r="AO20" s="79">
        <f>IF(COLUMNS($B$20:AO20) &gt;= Inputs!$F$62, 1, 0)</f>
        <v>1</v>
      </c>
      <c r="AP20" s="79">
        <f>IF(COLUMNS($B$20:AP20) &gt;= Inputs!$F$62, 1, 0)</f>
        <v>1</v>
      </c>
      <c r="AQ20" s="79">
        <f>IF(COLUMNS($B$20:AQ20) &gt;= Inputs!$F$62, 1, 0)</f>
        <v>1</v>
      </c>
      <c r="AR20" s="79">
        <f>IF(COLUMNS($B$20:AR20) &gt;= Inputs!$F$62, 1, 0)</f>
        <v>1</v>
      </c>
      <c r="AS20" s="79">
        <f>IF(COLUMNS($B$20:AS20) &gt;= Inputs!$F$62, 1, 0)</f>
        <v>1</v>
      </c>
      <c r="AT20" s="79">
        <f>IF(COLUMNS($B$20:AT20) &gt;= Inputs!$F$62, 1, 0)</f>
        <v>1</v>
      </c>
      <c r="AU20" s="79">
        <f>IF(COLUMNS($B$20:AU20) &gt;= Inputs!$F$62, 1, 0)</f>
        <v>1</v>
      </c>
      <c r="AV20" s="79">
        <f>IF(COLUMNS($B$20:AV20) &gt;= Inputs!$F$62, 1, 0)</f>
        <v>1</v>
      </c>
      <c r="AW20" s="79">
        <f>IF(COLUMNS($B$20:AW20) &gt;= Inputs!$F$62, 1, 0)</f>
        <v>1</v>
      </c>
      <c r="AX20" s="79">
        <f>IF(COLUMNS($B$20:AX20) &gt;= Inputs!$F$62, 1, 0)</f>
        <v>1</v>
      </c>
      <c r="AY20" s="79">
        <f>IF(COLUMNS($B$20:AY20) &gt;= Inputs!$F$62, 1, 0)</f>
        <v>1</v>
      </c>
      <c r="AZ20" s="79">
        <f>IF(COLUMNS($B$20:AZ20) &gt;= Inputs!$F$62, 1, 0)</f>
        <v>1</v>
      </c>
      <c r="BA20" s="79">
        <f>IF(COLUMNS($B$20:BA20) &gt;= Inputs!$F$62, 1, 0)</f>
        <v>1</v>
      </c>
    </row>
    <row r="21" ht="14.25" customHeight="1">
      <c r="A21" s="3" t="s">
        <v>212</v>
      </c>
      <c r="B21" s="79">
        <f>IF(COLUMNS($B$21:B21) &gt;= Inputs!$F$63, 1, 0)</f>
        <v>0</v>
      </c>
      <c r="C21" s="79">
        <f>IF(COLUMNS($B$21:C21) &gt;= Inputs!$F$63, 1, 0)</f>
        <v>0</v>
      </c>
      <c r="D21" s="79">
        <f>IF(COLUMNS($B$21:D21) &gt;= Inputs!$F$63, 1, 0)</f>
        <v>0</v>
      </c>
      <c r="E21" s="79">
        <f>IF(COLUMNS($B$21:E21) &gt;= Inputs!$F$63, 1, 0)</f>
        <v>0</v>
      </c>
      <c r="F21" s="79">
        <f>IF(COLUMNS($B$21:F21) &gt;= Inputs!$F$63, 1, 0)</f>
        <v>0</v>
      </c>
      <c r="G21" s="79">
        <f>IF(COLUMNS($B$21:G21) &gt;= Inputs!$F$63, 1, 0)</f>
        <v>0</v>
      </c>
      <c r="H21" s="79">
        <f>IF(COLUMNS($B$21:H21) &gt;= Inputs!$F$63, 1, 0)</f>
        <v>0</v>
      </c>
      <c r="I21" s="79">
        <f>IF(COLUMNS($B$21:I21) &gt;= Inputs!$F$63, 1, 0)</f>
        <v>0</v>
      </c>
      <c r="J21" s="79">
        <f>IF(COLUMNS($B$21:J21) &gt;= Inputs!$F$63, 1, 0)</f>
        <v>0</v>
      </c>
      <c r="K21" s="79">
        <f>IF(COLUMNS($B$21:K21) &gt;= Inputs!$F$63, 1, 0)</f>
        <v>0</v>
      </c>
      <c r="L21" s="79">
        <f>IF(COLUMNS($B$21:L21) &gt;= Inputs!$F$63, 1, 0)</f>
        <v>0</v>
      </c>
      <c r="M21" s="79">
        <f>IF(COLUMNS($B$21:M21) &gt;= Inputs!$F$63, 1, 0)</f>
        <v>0</v>
      </c>
      <c r="N21" s="79">
        <f>IF(COLUMNS($B$21:N21) &gt;= Inputs!$F$63, 1, 0)</f>
        <v>0</v>
      </c>
      <c r="O21" s="79">
        <f>IF(COLUMNS($B$21:O21) &gt;= Inputs!$F$63, 1, 0)</f>
        <v>0</v>
      </c>
      <c r="P21" s="79">
        <f>IF(COLUMNS($B$21:P21) &gt;= Inputs!$F$63, 1, 0)</f>
        <v>0</v>
      </c>
      <c r="Q21" s="79">
        <f>IF(COLUMNS($B$21:Q21) &gt;= Inputs!$F$63, 1, 0)</f>
        <v>0</v>
      </c>
      <c r="R21" s="79">
        <f>IF(COLUMNS($B$21:R21) &gt;= Inputs!$F$63, 1, 0)</f>
        <v>0</v>
      </c>
      <c r="S21" s="79">
        <f>IF(COLUMNS($B$21:S21) &gt;= Inputs!$F$63, 1, 0)</f>
        <v>0</v>
      </c>
      <c r="T21" s="79">
        <f>IF(COLUMNS($B$21:T21) &gt;= Inputs!$F$63, 1, 0)</f>
        <v>0</v>
      </c>
      <c r="U21" s="79">
        <f>IF(COLUMNS($B$21:U21) &gt;= Inputs!$F$63, 1, 0)</f>
        <v>0</v>
      </c>
      <c r="V21" s="79">
        <f>IF(COLUMNS($B$21:V21) &gt;= Inputs!$F$63, 1, 0)</f>
        <v>0</v>
      </c>
      <c r="W21" s="79">
        <f>IF(COLUMNS($B$21:W21) &gt;= Inputs!$F$63, 1, 0)</f>
        <v>0</v>
      </c>
      <c r="X21" s="79">
        <f>IF(COLUMNS($B$21:X21) &gt;= Inputs!$F$63, 1, 0)</f>
        <v>0</v>
      </c>
      <c r="Y21" s="79">
        <f>IF(COLUMNS($B$21:Y21) &gt;= Inputs!$F$63, 1, 0)</f>
        <v>0</v>
      </c>
      <c r="Z21" s="79">
        <f>IF(COLUMNS($B$21:Z21) &gt;= Inputs!$F$63, 1, 0)</f>
        <v>0</v>
      </c>
      <c r="AA21" s="79">
        <f>IF(COLUMNS($B$21:AA21) &gt;= Inputs!$F$63, 1, 0)</f>
        <v>0</v>
      </c>
      <c r="AB21" s="79">
        <f>IF(COLUMNS($B$21:AB21) &gt;= Inputs!$F$63, 1, 0)</f>
        <v>0</v>
      </c>
      <c r="AC21" s="79">
        <f>IF(COLUMNS($B$21:AC21) &gt;= Inputs!$F$63, 1, 0)</f>
        <v>0</v>
      </c>
      <c r="AD21" s="79">
        <f>IF(COLUMNS($B$21:AD21) &gt;= Inputs!$F$63, 1, 0)</f>
        <v>0</v>
      </c>
      <c r="AE21" s="79">
        <f>IF(COLUMNS($B$21:AE21) &gt;= Inputs!$F$63, 1, 0)</f>
        <v>0</v>
      </c>
      <c r="AF21" s="79">
        <f>IF(COLUMNS($B$21:AF21) &gt;= Inputs!$F$63, 1, 0)</f>
        <v>0</v>
      </c>
      <c r="AG21" s="79">
        <f>IF(COLUMNS($B$21:AG21) &gt;= Inputs!$F$63, 1, 0)</f>
        <v>0</v>
      </c>
      <c r="AH21" s="79">
        <f>IF(COLUMNS($B$21:AH21) &gt;= Inputs!$F$63, 1, 0)</f>
        <v>0</v>
      </c>
      <c r="AI21" s="79">
        <f>IF(COLUMNS($B$21:AI21) &gt;= Inputs!$F$63, 1, 0)</f>
        <v>0</v>
      </c>
      <c r="AJ21" s="79">
        <f>IF(COLUMNS($B$21:AJ21) &gt;= Inputs!$F$63, 1, 0)</f>
        <v>0</v>
      </c>
      <c r="AK21" s="79">
        <f>IF(COLUMNS($B$21:AK21) &gt;= Inputs!$F$63, 1, 0)</f>
        <v>0</v>
      </c>
      <c r="AL21" s="79">
        <f>IF(COLUMNS($B$21:AL21) &gt;= Inputs!$F$63, 1, 0)</f>
        <v>0</v>
      </c>
      <c r="AM21" s="79">
        <f>IF(COLUMNS($B$21:AM21) &gt;= Inputs!$F$63, 1, 0)</f>
        <v>0</v>
      </c>
      <c r="AN21" s="79">
        <f>IF(COLUMNS($B$21:AN21) &gt;= Inputs!$F$63, 1, 0)</f>
        <v>0</v>
      </c>
      <c r="AO21" s="79">
        <f>IF(COLUMNS($B$21:AO21) &gt;= Inputs!$F$63, 1, 0)</f>
        <v>0</v>
      </c>
      <c r="AP21" s="79">
        <f>IF(COLUMNS($B$21:AP21) &gt;= Inputs!$F$63, 1, 0)</f>
        <v>0</v>
      </c>
      <c r="AQ21" s="79">
        <f>IF(COLUMNS($B$21:AQ21) &gt;= Inputs!$F$63, 1, 0)</f>
        <v>0</v>
      </c>
      <c r="AR21" s="79">
        <f>IF(COLUMNS($B$21:AR21) &gt;= Inputs!$F$63, 1, 0)</f>
        <v>0</v>
      </c>
      <c r="AS21" s="79">
        <f>IF(COLUMNS($B$21:AS21) &gt;= Inputs!$F$63, 1, 0)</f>
        <v>0</v>
      </c>
      <c r="AT21" s="79">
        <f>IF(COLUMNS($B$21:AT21) &gt;= Inputs!$F$63, 1, 0)</f>
        <v>0</v>
      </c>
      <c r="AU21" s="79">
        <f>IF(COLUMNS($B$21:AU21) &gt;= Inputs!$F$63, 1, 0)</f>
        <v>0</v>
      </c>
      <c r="AV21" s="79">
        <f>IF(COLUMNS($B$21:AV21) &gt;= Inputs!$F$63, 1, 0)</f>
        <v>0</v>
      </c>
      <c r="AW21" s="79">
        <f>IF(COLUMNS($B$21:AW21) &gt;= Inputs!$F$63, 1, 0)</f>
        <v>0</v>
      </c>
      <c r="AX21" s="79">
        <f>IF(COLUMNS($B$21:AX21) &gt;= Inputs!$F$63, 1, 0)</f>
        <v>0</v>
      </c>
      <c r="AY21" s="79">
        <f>IF(COLUMNS($B$21:AY21) &gt;= Inputs!$F$63, 1, 0)</f>
        <v>0</v>
      </c>
      <c r="AZ21" s="79">
        <f>IF(COLUMNS($B$21:AZ21) &gt;= Inputs!$F$63, 1, 0)</f>
        <v>0</v>
      </c>
      <c r="BA21" s="79">
        <f>IF(COLUMNS($B$21:BA21) &gt;= Inputs!$F$63, 1, 0)</f>
        <v>0</v>
      </c>
    </row>
    <row r="22" ht="14.25" customHeight="1">
      <c r="A22" s="3" t="s">
        <v>215</v>
      </c>
      <c r="B22" s="79">
        <f>IF(COLUMNS($B$22:B22) &gt;= Inputs!$F$64, 1, 0)</f>
        <v>0</v>
      </c>
      <c r="C22" s="79">
        <f>IF(COLUMNS($B$22:C22) &gt;= Inputs!$F$64, 1, 0)</f>
        <v>0</v>
      </c>
      <c r="D22" s="79">
        <f>IF(COLUMNS($B$22:D22) &gt;= Inputs!$F$64, 1, 0)</f>
        <v>0</v>
      </c>
      <c r="E22" s="79">
        <f>IF(COLUMNS($B$22:E22) &gt;= Inputs!$F$64, 1, 0)</f>
        <v>0</v>
      </c>
      <c r="F22" s="79">
        <f>IF(COLUMNS($B$22:F22) &gt;= Inputs!$F$64, 1, 0)</f>
        <v>0</v>
      </c>
      <c r="G22" s="79">
        <f>IF(COLUMNS($B$22:G22) &gt;= Inputs!$F$64, 1, 0)</f>
        <v>0</v>
      </c>
      <c r="H22" s="79">
        <f>IF(COLUMNS($B$22:H22) &gt;= Inputs!$F$64, 1, 0)</f>
        <v>0</v>
      </c>
      <c r="I22" s="79">
        <f>IF(COLUMNS($B$22:I22) &gt;= Inputs!$F$64, 1, 0)</f>
        <v>0</v>
      </c>
      <c r="J22" s="79">
        <f>IF(COLUMNS($B$22:J22) &gt;= Inputs!$F$64, 1, 0)</f>
        <v>0</v>
      </c>
      <c r="K22" s="79">
        <f>IF(COLUMNS($B$22:K22) &gt;= Inputs!$F$64, 1, 0)</f>
        <v>0</v>
      </c>
      <c r="L22" s="79">
        <f>IF(COLUMNS($B$22:L22) &gt;= Inputs!$F$64, 1, 0)</f>
        <v>0</v>
      </c>
      <c r="M22" s="79">
        <f>IF(COLUMNS($B$22:M22) &gt;= Inputs!$F$64, 1, 0)</f>
        <v>0</v>
      </c>
      <c r="N22" s="79">
        <f>IF(COLUMNS($B$22:N22) &gt;= Inputs!$F$64, 1, 0)</f>
        <v>0</v>
      </c>
      <c r="O22" s="79">
        <f>IF(COLUMNS($B$22:O22) &gt;= Inputs!$F$64, 1, 0)</f>
        <v>0</v>
      </c>
      <c r="P22" s="79">
        <f>IF(COLUMNS($B$22:P22) &gt;= Inputs!$F$64, 1, 0)</f>
        <v>0</v>
      </c>
      <c r="Q22" s="79">
        <f>IF(COLUMNS($B$22:Q22) &gt;= Inputs!$F$64, 1, 0)</f>
        <v>0</v>
      </c>
      <c r="R22" s="79">
        <f>IF(COLUMNS($B$22:R22) &gt;= Inputs!$F$64, 1, 0)</f>
        <v>0</v>
      </c>
      <c r="S22" s="79">
        <f>IF(COLUMNS($B$22:S22) &gt;= Inputs!$F$64, 1, 0)</f>
        <v>0</v>
      </c>
      <c r="T22" s="79">
        <f>IF(COLUMNS($B$22:T22) &gt;= Inputs!$F$64, 1, 0)</f>
        <v>0</v>
      </c>
      <c r="U22" s="79">
        <f>IF(COLUMNS($B$22:U22) &gt;= Inputs!$F$64, 1, 0)</f>
        <v>0</v>
      </c>
      <c r="V22" s="79">
        <f>IF(COLUMNS($B$22:V22) &gt;= Inputs!$F$64, 1, 0)</f>
        <v>0</v>
      </c>
      <c r="W22" s="79">
        <f>IF(COLUMNS($B$22:W22) &gt;= Inputs!$F$64, 1, 0)</f>
        <v>0</v>
      </c>
      <c r="X22" s="79">
        <f>IF(COLUMNS($B$22:X22) &gt;= Inputs!$F$64, 1, 0)</f>
        <v>0</v>
      </c>
      <c r="Y22" s="79">
        <f>IF(COLUMNS($B$22:Y22) &gt;= Inputs!$F$64, 1, 0)</f>
        <v>1</v>
      </c>
      <c r="Z22" s="79">
        <f>IF(COLUMNS($B$22:Z22) &gt;= Inputs!$F$64, 1, 0)</f>
        <v>1</v>
      </c>
      <c r="AA22" s="79">
        <f>IF(COLUMNS($B$22:AA22) &gt;= Inputs!$F$64, 1, 0)</f>
        <v>1</v>
      </c>
      <c r="AB22" s="79">
        <f>IF(COLUMNS($B$22:AB22) &gt;= Inputs!$F$64, 1, 0)</f>
        <v>1</v>
      </c>
      <c r="AC22" s="79">
        <f>IF(COLUMNS($B$22:AC22) &gt;= Inputs!$F$64, 1, 0)</f>
        <v>1</v>
      </c>
      <c r="AD22" s="79">
        <f>IF(COLUMNS($B$22:AD22) &gt;= Inputs!$F$64, 1, 0)</f>
        <v>1</v>
      </c>
      <c r="AE22" s="79">
        <f>IF(COLUMNS($B$22:AE22) &gt;= Inputs!$F$64, 1, 0)</f>
        <v>1</v>
      </c>
      <c r="AF22" s="79">
        <f>IF(COLUMNS($B$22:AF22) &gt;= Inputs!$F$64, 1, 0)</f>
        <v>1</v>
      </c>
      <c r="AG22" s="79">
        <f>IF(COLUMNS($B$22:AG22) &gt;= Inputs!$F$64, 1, 0)</f>
        <v>1</v>
      </c>
      <c r="AH22" s="79">
        <f>IF(COLUMNS($B$22:AH22) &gt;= Inputs!$F$64, 1, 0)</f>
        <v>1</v>
      </c>
      <c r="AI22" s="79">
        <f>IF(COLUMNS($B$22:AI22) &gt;= Inputs!$F$64, 1, 0)</f>
        <v>1</v>
      </c>
      <c r="AJ22" s="79">
        <f>IF(COLUMNS($B$22:AJ22) &gt;= Inputs!$F$64, 1, 0)</f>
        <v>1</v>
      </c>
      <c r="AK22" s="79">
        <f>IF(COLUMNS($B$22:AK22) &gt;= Inputs!$F$64, 1, 0)</f>
        <v>1</v>
      </c>
      <c r="AL22" s="79">
        <f>IF(COLUMNS($B$22:AL22) &gt;= Inputs!$F$64, 1, 0)</f>
        <v>1</v>
      </c>
      <c r="AM22" s="79">
        <f>IF(COLUMNS($B$22:AM22) &gt;= Inputs!$F$64, 1, 0)</f>
        <v>1</v>
      </c>
      <c r="AN22" s="79">
        <f>IF(COLUMNS($B$22:AN22) &gt;= Inputs!$F$64, 1, 0)</f>
        <v>1</v>
      </c>
      <c r="AO22" s="79">
        <f>IF(COLUMNS($B$22:AO22) &gt;= Inputs!$F$64, 1, 0)</f>
        <v>1</v>
      </c>
      <c r="AP22" s="79">
        <f>IF(COLUMNS($B$22:AP22) &gt;= Inputs!$F$64, 1, 0)</f>
        <v>1</v>
      </c>
      <c r="AQ22" s="79">
        <f>IF(COLUMNS($B$22:AQ22) &gt;= Inputs!$F$64, 1, 0)</f>
        <v>1</v>
      </c>
      <c r="AR22" s="79">
        <f>IF(COLUMNS($B$22:AR22) &gt;= Inputs!$F$64, 1, 0)</f>
        <v>1</v>
      </c>
      <c r="AS22" s="79">
        <f>IF(COLUMNS($B$22:AS22) &gt;= Inputs!$F$64, 1, 0)</f>
        <v>1</v>
      </c>
      <c r="AT22" s="79">
        <f>IF(COLUMNS($B$22:AT22) &gt;= Inputs!$F$64, 1, 0)</f>
        <v>1</v>
      </c>
      <c r="AU22" s="79">
        <f>IF(COLUMNS($B$22:AU22) &gt;= Inputs!$F$64, 1, 0)</f>
        <v>1</v>
      </c>
      <c r="AV22" s="79">
        <f>IF(COLUMNS($B$22:AV22) &gt;= Inputs!$F$64, 1, 0)</f>
        <v>1</v>
      </c>
      <c r="AW22" s="79">
        <f>IF(COLUMNS($B$22:AW22) &gt;= Inputs!$F$64, 1, 0)</f>
        <v>1</v>
      </c>
      <c r="AX22" s="79">
        <f>IF(COLUMNS($B$22:AX22) &gt;= Inputs!$F$64, 1, 0)</f>
        <v>1</v>
      </c>
      <c r="AY22" s="79">
        <f>IF(COLUMNS($B$22:AY22) &gt;= Inputs!$F$64, 1, 0)</f>
        <v>1</v>
      </c>
      <c r="AZ22" s="79">
        <f>IF(COLUMNS($B$22:AZ22) &gt;= Inputs!$F$64, 1, 0)</f>
        <v>1</v>
      </c>
      <c r="BA22" s="79">
        <f>IF(COLUMNS($B$22:BA22) &gt;= Inputs!$F$64, 1, 0)</f>
        <v>1</v>
      </c>
    </row>
    <row r="23" ht="14.25" customHeight="1">
      <c r="A23" s="3" t="s">
        <v>218</v>
      </c>
      <c r="B23" s="79">
        <f>IF(COLUMNS($B$23:B23) &gt;= Inputs!$F$65, 1, 0)</f>
        <v>0</v>
      </c>
      <c r="C23" s="79">
        <f>IF(COLUMNS($B$23:C23) &gt;= Inputs!$F$65, 1, 0)</f>
        <v>0</v>
      </c>
      <c r="D23" s="79">
        <f>IF(COLUMNS($B$23:D23) &gt;= Inputs!$F$65, 1, 0)</f>
        <v>0</v>
      </c>
      <c r="E23" s="79">
        <f>IF(COLUMNS($B$23:E23) &gt;= Inputs!$F$65, 1, 0)</f>
        <v>0</v>
      </c>
      <c r="F23" s="79">
        <f>IF(COLUMNS($B$23:F23) &gt;= Inputs!$F$65, 1, 0)</f>
        <v>0</v>
      </c>
      <c r="G23" s="79">
        <f>IF(COLUMNS($B$23:G23) &gt;= Inputs!$F$65, 1, 0)</f>
        <v>0</v>
      </c>
      <c r="H23" s="79">
        <f>IF(COLUMNS($B$23:H23) &gt;= Inputs!$F$65, 1, 0)</f>
        <v>0</v>
      </c>
      <c r="I23" s="79">
        <f>IF(COLUMNS($B$23:I23) &gt;= Inputs!$F$65, 1, 0)</f>
        <v>0</v>
      </c>
      <c r="J23" s="79">
        <f>IF(COLUMNS($B$23:J23) &gt;= Inputs!$F$65, 1, 0)</f>
        <v>0</v>
      </c>
      <c r="K23" s="79">
        <f>IF(COLUMNS($B$23:K23) &gt;= Inputs!$F$65, 1, 0)</f>
        <v>0</v>
      </c>
      <c r="L23" s="79">
        <f>IF(COLUMNS($B$23:L23) &gt;= Inputs!$F$65, 1, 0)</f>
        <v>0</v>
      </c>
      <c r="M23" s="79">
        <f>IF(COLUMNS($B$23:M23) &gt;= Inputs!$F$65, 1, 0)</f>
        <v>0</v>
      </c>
      <c r="N23" s="79">
        <f>IF(COLUMNS($B$23:N23) &gt;= Inputs!$F$65, 1, 0)</f>
        <v>0</v>
      </c>
      <c r="O23" s="79">
        <f>IF(COLUMNS($B$23:O23) &gt;= Inputs!$F$65, 1, 0)</f>
        <v>0</v>
      </c>
      <c r="P23" s="79">
        <f>IF(COLUMNS($B$23:P23) &gt;= Inputs!$F$65, 1, 0)</f>
        <v>0</v>
      </c>
      <c r="Q23" s="79">
        <f>IF(COLUMNS($B$23:Q23) &gt;= Inputs!$F$65, 1, 0)</f>
        <v>0</v>
      </c>
      <c r="R23" s="79">
        <f>IF(COLUMNS($B$23:R23) &gt;= Inputs!$F$65, 1, 0)</f>
        <v>0</v>
      </c>
      <c r="S23" s="79">
        <f>IF(COLUMNS($B$23:S23) &gt;= Inputs!$F$65, 1, 0)</f>
        <v>0</v>
      </c>
      <c r="T23" s="79">
        <f>IF(COLUMNS($B$23:T23) &gt;= Inputs!$F$65, 1, 0)</f>
        <v>0</v>
      </c>
      <c r="U23" s="79">
        <f>IF(COLUMNS($B$23:U23) &gt;= Inputs!$F$65, 1, 0)</f>
        <v>0</v>
      </c>
      <c r="V23" s="79">
        <f>IF(COLUMNS($B$23:V23) &gt;= Inputs!$F$65, 1, 0)</f>
        <v>0</v>
      </c>
      <c r="W23" s="79">
        <f>IF(COLUMNS($B$23:W23) &gt;= Inputs!$F$65, 1, 0)</f>
        <v>0</v>
      </c>
      <c r="X23" s="79">
        <f>IF(COLUMNS($B$23:X23) &gt;= Inputs!$F$65, 1, 0)</f>
        <v>0</v>
      </c>
      <c r="Y23" s="79">
        <f>IF(COLUMNS($B$23:Y23) &gt;= Inputs!$F$65, 1, 0)</f>
        <v>0</v>
      </c>
      <c r="Z23" s="79">
        <f>IF(COLUMNS($B$23:Z23) &gt;= Inputs!$F$65, 1, 0)</f>
        <v>0</v>
      </c>
      <c r="AA23" s="79">
        <f>IF(COLUMNS($B$23:AA23) &gt;= Inputs!$F$65, 1, 0)</f>
        <v>0</v>
      </c>
      <c r="AB23" s="79">
        <f>IF(COLUMNS($B$23:AB23) &gt;= Inputs!$F$65, 1, 0)</f>
        <v>0</v>
      </c>
      <c r="AC23" s="79">
        <f>IF(COLUMNS($B$23:AC23) &gt;= Inputs!$F$65, 1, 0)</f>
        <v>1</v>
      </c>
      <c r="AD23" s="79">
        <f>IF(COLUMNS($B$23:AD23) &gt;= Inputs!$F$65, 1, 0)</f>
        <v>1</v>
      </c>
      <c r="AE23" s="79">
        <f>IF(COLUMNS($B$23:AE23) &gt;= Inputs!$F$65, 1, 0)</f>
        <v>1</v>
      </c>
      <c r="AF23" s="79">
        <f>IF(COLUMNS($B$23:AF23) &gt;= Inputs!$F$65, 1, 0)</f>
        <v>1</v>
      </c>
      <c r="AG23" s="79">
        <f>IF(COLUMNS($B$23:AG23) &gt;= Inputs!$F$65, 1, 0)</f>
        <v>1</v>
      </c>
      <c r="AH23" s="79">
        <f>IF(COLUMNS($B$23:AH23) &gt;= Inputs!$F$65, 1, 0)</f>
        <v>1</v>
      </c>
      <c r="AI23" s="79">
        <f>IF(COLUMNS($B$23:AI23) &gt;= Inputs!$F$65, 1, 0)</f>
        <v>1</v>
      </c>
      <c r="AJ23" s="79">
        <f>IF(COLUMNS($B$23:AJ23) &gt;= Inputs!$F$65, 1, 0)</f>
        <v>1</v>
      </c>
      <c r="AK23" s="79">
        <f>IF(COLUMNS($B$23:AK23) &gt;= Inputs!$F$65, 1, 0)</f>
        <v>1</v>
      </c>
      <c r="AL23" s="79">
        <f>IF(COLUMNS($B$23:AL23) &gt;= Inputs!$F$65, 1, 0)</f>
        <v>1</v>
      </c>
      <c r="AM23" s="79">
        <f>IF(COLUMNS($B$23:AM23) &gt;= Inputs!$F$65, 1, 0)</f>
        <v>1</v>
      </c>
      <c r="AN23" s="79">
        <f>IF(COLUMNS($B$23:AN23) &gt;= Inputs!$F$65, 1, 0)</f>
        <v>1</v>
      </c>
      <c r="AO23" s="79">
        <f>IF(COLUMNS($B$23:AO23) &gt;= Inputs!$F$65, 1, 0)</f>
        <v>1</v>
      </c>
      <c r="AP23" s="79">
        <f>IF(COLUMNS($B$23:AP23) &gt;= Inputs!$F$65, 1, 0)</f>
        <v>1</v>
      </c>
      <c r="AQ23" s="79">
        <f>IF(COLUMNS($B$23:AQ23) &gt;= Inputs!$F$65, 1, 0)</f>
        <v>1</v>
      </c>
      <c r="AR23" s="79">
        <f>IF(COLUMNS($B$23:AR23) &gt;= Inputs!$F$65, 1, 0)</f>
        <v>1</v>
      </c>
      <c r="AS23" s="79">
        <f>IF(COLUMNS($B$23:AS23) &gt;= Inputs!$F$65, 1, 0)</f>
        <v>1</v>
      </c>
      <c r="AT23" s="79">
        <f>IF(COLUMNS($B$23:AT23) &gt;= Inputs!$F$65, 1, 0)</f>
        <v>1</v>
      </c>
      <c r="AU23" s="79">
        <f>IF(COLUMNS($B$23:AU23) &gt;= Inputs!$F$65, 1, 0)</f>
        <v>1</v>
      </c>
      <c r="AV23" s="79">
        <f>IF(COLUMNS($B$23:AV23) &gt;= Inputs!$F$65, 1, 0)</f>
        <v>1</v>
      </c>
      <c r="AW23" s="79">
        <f>IF(COLUMNS($B$23:AW23) &gt;= Inputs!$F$65, 1, 0)</f>
        <v>1</v>
      </c>
      <c r="AX23" s="79">
        <f>IF(COLUMNS($B$23:AX23) &gt;= Inputs!$F$65, 1, 0)</f>
        <v>1</v>
      </c>
      <c r="AY23" s="79">
        <f>IF(COLUMNS($B$23:AY23) &gt;= Inputs!$F$65, 1, 0)</f>
        <v>1</v>
      </c>
      <c r="AZ23" s="79">
        <f>IF(COLUMNS($B$23:AZ23) &gt;= Inputs!$F$65, 1, 0)</f>
        <v>1</v>
      </c>
      <c r="BA23" s="79">
        <f>IF(COLUMNS($B$23:BA23) &gt;= Inputs!$F$65, 1, 0)</f>
        <v>1</v>
      </c>
    </row>
    <row r="24" ht="14.25" customHeight="1">
      <c r="A24" s="3" t="s">
        <v>221</v>
      </c>
      <c r="B24" s="79">
        <f>IF(COLUMNS($B$24:B24) &gt;= Inputs!$F$66, 1, 0)</f>
        <v>0</v>
      </c>
      <c r="C24" s="79">
        <f>IF(COLUMNS($B$24:C24) &gt;= Inputs!$F$66, 1, 0)</f>
        <v>0</v>
      </c>
      <c r="D24" s="79">
        <f>IF(COLUMNS($B$24:D24) &gt;= Inputs!$F$66, 1, 0)</f>
        <v>0</v>
      </c>
      <c r="E24" s="79">
        <f>IF(COLUMNS($B$24:E24) &gt;= Inputs!$F$66, 1, 0)</f>
        <v>0</v>
      </c>
      <c r="F24" s="79">
        <f>IF(COLUMNS($B$24:F24) &gt;= Inputs!$F$66, 1, 0)</f>
        <v>0</v>
      </c>
      <c r="G24" s="79">
        <f>IF(COLUMNS($B$24:G24) &gt;= Inputs!$F$66, 1, 0)</f>
        <v>0</v>
      </c>
      <c r="H24" s="79">
        <f>IF(COLUMNS($B$24:H24) &gt;= Inputs!$F$66, 1, 0)</f>
        <v>0</v>
      </c>
      <c r="I24" s="79">
        <f>IF(COLUMNS($B$24:I24) &gt;= Inputs!$F$66, 1, 0)</f>
        <v>0</v>
      </c>
      <c r="J24" s="79">
        <f>IF(COLUMNS($B$24:J24) &gt;= Inputs!$F$66, 1, 0)</f>
        <v>0</v>
      </c>
      <c r="K24" s="79">
        <f>IF(COLUMNS($B$24:K24) &gt;= Inputs!$F$66, 1, 0)</f>
        <v>0</v>
      </c>
      <c r="L24" s="79">
        <f>IF(COLUMNS($B$24:L24) &gt;= Inputs!$F$66, 1, 0)</f>
        <v>0</v>
      </c>
      <c r="M24" s="79">
        <f>IF(COLUMNS($B$24:M24) &gt;= Inputs!$F$66, 1, 0)</f>
        <v>0</v>
      </c>
      <c r="N24" s="79">
        <f>IF(COLUMNS($B$24:N24) &gt;= Inputs!$F$66, 1, 0)</f>
        <v>0</v>
      </c>
      <c r="O24" s="79">
        <f>IF(COLUMNS($B$24:O24) &gt;= Inputs!$F$66, 1, 0)</f>
        <v>0</v>
      </c>
      <c r="P24" s="79">
        <f>IF(COLUMNS($B$24:P24) &gt;= Inputs!$F$66, 1, 0)</f>
        <v>0</v>
      </c>
      <c r="Q24" s="79">
        <f>IF(COLUMNS($B$24:Q24) &gt;= Inputs!$F$66, 1, 0)</f>
        <v>0</v>
      </c>
      <c r="R24" s="79">
        <f>IF(COLUMNS($B$24:R24) &gt;= Inputs!$F$66, 1, 0)</f>
        <v>0</v>
      </c>
      <c r="S24" s="79">
        <f>IF(COLUMNS($B$24:S24) &gt;= Inputs!$F$66, 1, 0)</f>
        <v>0</v>
      </c>
      <c r="T24" s="79">
        <f>IF(COLUMNS($B$24:T24) &gt;= Inputs!$F$66, 1, 0)</f>
        <v>0</v>
      </c>
      <c r="U24" s="79">
        <f>IF(COLUMNS($B$24:U24) &gt;= Inputs!$F$66, 1, 0)</f>
        <v>0</v>
      </c>
      <c r="V24" s="79">
        <f>IF(COLUMNS($B$24:V24) &gt;= Inputs!$F$66, 1, 0)</f>
        <v>0</v>
      </c>
      <c r="W24" s="79">
        <f>IF(COLUMNS($B$24:W24) &gt;= Inputs!$F$66, 1, 0)</f>
        <v>0</v>
      </c>
      <c r="X24" s="79">
        <f>IF(COLUMNS($B$24:X24) &gt;= Inputs!$F$66, 1, 0)</f>
        <v>0</v>
      </c>
      <c r="Y24" s="79">
        <f>IF(COLUMNS($B$24:Y24) &gt;= Inputs!$F$66, 1, 0)</f>
        <v>0</v>
      </c>
      <c r="Z24" s="79">
        <f>IF(COLUMNS($B$24:Z24) &gt;= Inputs!$F$66, 1, 0)</f>
        <v>0</v>
      </c>
      <c r="AA24" s="79">
        <f>IF(COLUMNS($B$24:AA24) &gt;= Inputs!$F$66, 1, 0)</f>
        <v>0</v>
      </c>
      <c r="AB24" s="79">
        <f>IF(COLUMNS($B$24:AB24) &gt;= Inputs!$F$66, 1, 0)</f>
        <v>0</v>
      </c>
      <c r="AC24" s="79">
        <f>IF(COLUMNS($B$24:AC24) &gt;= Inputs!$F$66, 1, 0)</f>
        <v>0</v>
      </c>
      <c r="AD24" s="79">
        <f>IF(COLUMNS($B$24:AD24) &gt;= Inputs!$F$66, 1, 0)</f>
        <v>0</v>
      </c>
      <c r="AE24" s="79">
        <f>IF(COLUMNS($B$24:AE24) &gt;= Inputs!$F$66, 1, 0)</f>
        <v>0</v>
      </c>
      <c r="AF24" s="79">
        <f>IF(COLUMNS($B$24:AF24) &gt;= Inputs!$F$66, 1, 0)</f>
        <v>0</v>
      </c>
      <c r="AG24" s="79">
        <f>IF(COLUMNS($B$24:AG24) &gt;= Inputs!$F$66, 1, 0)</f>
        <v>0</v>
      </c>
      <c r="AH24" s="79">
        <f>IF(COLUMNS($B$24:AH24) &gt;= Inputs!$F$66, 1, 0)</f>
        <v>0</v>
      </c>
      <c r="AI24" s="79">
        <f>IF(COLUMNS($B$24:AI24) &gt;= Inputs!$F$66, 1, 0)</f>
        <v>0</v>
      </c>
      <c r="AJ24" s="79">
        <f>IF(COLUMNS($B$24:AJ24) &gt;= Inputs!$F$66, 1, 0)</f>
        <v>0</v>
      </c>
      <c r="AK24" s="79">
        <f>IF(COLUMNS($B$24:AK24) &gt;= Inputs!$F$66, 1, 0)</f>
        <v>0</v>
      </c>
      <c r="AL24" s="79">
        <f>IF(COLUMNS($B$24:AL24) &gt;= Inputs!$F$66, 1, 0)</f>
        <v>0</v>
      </c>
      <c r="AM24" s="79">
        <f>IF(COLUMNS($B$24:AM24) &gt;= Inputs!$F$66, 1, 0)</f>
        <v>0</v>
      </c>
      <c r="AN24" s="79">
        <f>IF(COLUMNS($B$24:AN24) &gt;= Inputs!$F$66, 1, 0)</f>
        <v>0</v>
      </c>
      <c r="AO24" s="79">
        <f>IF(COLUMNS($B$24:AO24) &gt;= Inputs!$F$66, 1, 0)</f>
        <v>0</v>
      </c>
      <c r="AP24" s="79">
        <f>IF(COLUMNS($B$24:AP24) &gt;= Inputs!$F$66, 1, 0)</f>
        <v>0</v>
      </c>
      <c r="AQ24" s="79">
        <f>IF(COLUMNS($B$24:AQ24) &gt;= Inputs!$F$66, 1, 0)</f>
        <v>0</v>
      </c>
      <c r="AR24" s="79">
        <f>IF(COLUMNS($B$24:AR24) &gt;= Inputs!$F$66, 1, 0)</f>
        <v>0</v>
      </c>
      <c r="AS24" s="79">
        <f>IF(COLUMNS($B$24:AS24) &gt;= Inputs!$F$66, 1, 0)</f>
        <v>0</v>
      </c>
      <c r="AT24" s="79">
        <f>IF(COLUMNS($B$24:AT24) &gt;= Inputs!$F$66, 1, 0)</f>
        <v>0</v>
      </c>
      <c r="AU24" s="79">
        <f>IF(COLUMNS($B$24:AU24) &gt;= Inputs!$F$66, 1, 0)</f>
        <v>0</v>
      </c>
      <c r="AV24" s="79">
        <f>IF(COLUMNS($B$24:AV24) &gt;= Inputs!$F$66, 1, 0)</f>
        <v>0</v>
      </c>
      <c r="AW24" s="79">
        <f>IF(COLUMNS($B$24:AW24) &gt;= Inputs!$F$66, 1, 0)</f>
        <v>0</v>
      </c>
      <c r="AX24" s="79">
        <f>IF(COLUMNS($B$24:AX24) &gt;= Inputs!$F$66, 1, 0)</f>
        <v>0</v>
      </c>
      <c r="AY24" s="79">
        <f>IF(COLUMNS($B$24:AY24) &gt;= Inputs!$F$66, 1, 0)</f>
        <v>0</v>
      </c>
      <c r="AZ24" s="79">
        <f>IF(COLUMNS($B$24:AZ24) &gt;= Inputs!$F$66, 1, 0)</f>
        <v>0</v>
      </c>
      <c r="BA24" s="79">
        <f>IF(COLUMNS($B$24:BA24) &gt;= Inputs!$F$66, 1, 0)</f>
        <v>0</v>
      </c>
    </row>
    <row r="25" ht="14.25" customHeight="1">
      <c r="A25" s="3" t="s">
        <v>224</v>
      </c>
      <c r="B25" s="79">
        <f>IF(COLUMNS($B$25:B25) &gt;= Inputs!$F$67, 1, 0)</f>
        <v>0</v>
      </c>
      <c r="C25" s="79">
        <f>IF(COLUMNS($B$25:C25) &gt;= Inputs!$F$67, 1, 0)</f>
        <v>0</v>
      </c>
      <c r="D25" s="79">
        <f>IF(COLUMNS($B$25:D25) &gt;= Inputs!$F$67, 1, 0)</f>
        <v>0</v>
      </c>
      <c r="E25" s="79">
        <f>IF(COLUMNS($B$25:E25) &gt;= Inputs!$F$67, 1, 0)</f>
        <v>0</v>
      </c>
      <c r="F25" s="79">
        <f>IF(COLUMNS($B$25:F25) &gt;= Inputs!$F$67, 1, 0)</f>
        <v>0</v>
      </c>
      <c r="G25" s="79">
        <f>IF(COLUMNS($B$25:G25) &gt;= Inputs!$F$67, 1, 0)</f>
        <v>0</v>
      </c>
      <c r="H25" s="79">
        <f>IF(COLUMNS($B$25:H25) &gt;= Inputs!$F$67, 1, 0)</f>
        <v>0</v>
      </c>
      <c r="I25" s="79">
        <f>IF(COLUMNS($B$25:I25) &gt;= Inputs!$F$67, 1, 0)</f>
        <v>0</v>
      </c>
      <c r="J25" s="79">
        <f>IF(COLUMNS($B$25:J25) &gt;= Inputs!$F$67, 1, 0)</f>
        <v>0</v>
      </c>
      <c r="K25" s="79">
        <f>IF(COLUMNS($B$25:K25) &gt;= Inputs!$F$67, 1, 0)</f>
        <v>0</v>
      </c>
      <c r="L25" s="79">
        <f>IF(COLUMNS($B$25:L25) &gt;= Inputs!$F$67, 1, 0)</f>
        <v>0</v>
      </c>
      <c r="M25" s="79">
        <f>IF(COLUMNS($B$25:M25) &gt;= Inputs!$F$67, 1, 0)</f>
        <v>0</v>
      </c>
      <c r="N25" s="79">
        <f>IF(COLUMNS($B$25:N25) &gt;= Inputs!$F$67, 1, 0)</f>
        <v>0</v>
      </c>
      <c r="O25" s="79">
        <f>IF(COLUMNS($B$25:O25) &gt;= Inputs!$F$67, 1, 0)</f>
        <v>0</v>
      </c>
      <c r="P25" s="79">
        <f>IF(COLUMNS($B$25:P25) &gt;= Inputs!$F$67, 1, 0)</f>
        <v>0</v>
      </c>
      <c r="Q25" s="79">
        <f>IF(COLUMNS($B$25:Q25) &gt;= Inputs!$F$67, 1, 0)</f>
        <v>0</v>
      </c>
      <c r="R25" s="79">
        <f>IF(COLUMNS($B$25:R25) &gt;= Inputs!$F$67, 1, 0)</f>
        <v>0</v>
      </c>
      <c r="S25" s="79">
        <f>IF(COLUMNS($B$25:S25) &gt;= Inputs!$F$67, 1, 0)</f>
        <v>0</v>
      </c>
      <c r="T25" s="79">
        <f>IF(COLUMNS($B$25:T25) &gt;= Inputs!$F$67, 1, 0)</f>
        <v>0</v>
      </c>
      <c r="U25" s="79">
        <f>IF(COLUMNS($B$25:U25) &gt;= Inputs!$F$67, 1, 0)</f>
        <v>0</v>
      </c>
      <c r="V25" s="79">
        <f>IF(COLUMNS($B$25:V25) &gt;= Inputs!$F$67, 1, 0)</f>
        <v>0</v>
      </c>
      <c r="W25" s="79">
        <f>IF(COLUMNS($B$25:W25) &gt;= Inputs!$F$67, 1, 0)</f>
        <v>0</v>
      </c>
      <c r="X25" s="79">
        <f>IF(COLUMNS($B$25:X25) &gt;= Inputs!$F$67, 1, 0)</f>
        <v>0</v>
      </c>
      <c r="Y25" s="79">
        <f>IF(COLUMNS($B$25:Y25) &gt;= Inputs!$F$67, 1, 0)</f>
        <v>0</v>
      </c>
      <c r="Z25" s="79">
        <f>IF(COLUMNS($B$25:Z25) &gt;= Inputs!$F$67, 1, 0)</f>
        <v>0</v>
      </c>
      <c r="AA25" s="79">
        <f>IF(COLUMNS($B$25:AA25) &gt;= Inputs!$F$67, 1, 0)</f>
        <v>0</v>
      </c>
      <c r="AB25" s="79">
        <f>IF(COLUMNS($B$25:AB25) &gt;= Inputs!$F$67, 1, 0)</f>
        <v>0</v>
      </c>
      <c r="AC25" s="79">
        <f>IF(COLUMNS($B$25:AC25) &gt;= Inputs!$F$67, 1, 0)</f>
        <v>0</v>
      </c>
      <c r="AD25" s="79">
        <f>IF(COLUMNS($B$25:AD25) &gt;= Inputs!$F$67, 1, 0)</f>
        <v>0</v>
      </c>
      <c r="AE25" s="79">
        <f>IF(COLUMNS($B$25:AE25) &gt;= Inputs!$F$67, 1, 0)</f>
        <v>0</v>
      </c>
      <c r="AF25" s="79">
        <f>IF(COLUMNS($B$25:AF25) &gt;= Inputs!$F$67, 1, 0)</f>
        <v>0</v>
      </c>
      <c r="AG25" s="79">
        <f>IF(COLUMNS($B$25:AG25) &gt;= Inputs!$F$67, 1, 0)</f>
        <v>0</v>
      </c>
      <c r="AH25" s="79">
        <f>IF(COLUMNS($B$25:AH25) &gt;= Inputs!$F$67, 1, 0)</f>
        <v>0</v>
      </c>
      <c r="AI25" s="79">
        <f>IF(COLUMNS($B$25:AI25) &gt;= Inputs!$F$67, 1, 0)</f>
        <v>0</v>
      </c>
      <c r="AJ25" s="79">
        <f>IF(COLUMNS($B$25:AJ25) &gt;= Inputs!$F$67, 1, 0)</f>
        <v>0</v>
      </c>
      <c r="AK25" s="79">
        <f>IF(COLUMNS($B$25:AK25) &gt;= Inputs!$F$67, 1, 0)</f>
        <v>0</v>
      </c>
      <c r="AL25" s="79">
        <f>IF(COLUMNS($B$25:AL25) &gt;= Inputs!$F$67, 1, 0)</f>
        <v>0</v>
      </c>
      <c r="AM25" s="79">
        <f>IF(COLUMNS($B$25:AM25) &gt;= Inputs!$F$67, 1, 0)</f>
        <v>0</v>
      </c>
      <c r="AN25" s="79">
        <f>IF(COLUMNS($B$25:AN25) &gt;= Inputs!$F$67, 1, 0)</f>
        <v>0</v>
      </c>
      <c r="AO25" s="79">
        <f>IF(COLUMNS($B$25:AO25) &gt;= Inputs!$F$67, 1, 0)</f>
        <v>0</v>
      </c>
      <c r="AP25" s="79">
        <f>IF(COLUMNS($B$25:AP25) &gt;= Inputs!$F$67, 1, 0)</f>
        <v>0</v>
      </c>
      <c r="AQ25" s="79">
        <f>IF(COLUMNS($B$25:AQ25) &gt;= Inputs!$F$67, 1, 0)</f>
        <v>0</v>
      </c>
      <c r="AR25" s="79">
        <f>IF(COLUMNS($B$25:AR25) &gt;= Inputs!$F$67, 1, 0)</f>
        <v>0</v>
      </c>
      <c r="AS25" s="79">
        <f>IF(COLUMNS($B$25:AS25) &gt;= Inputs!$F$67, 1, 0)</f>
        <v>0</v>
      </c>
      <c r="AT25" s="79">
        <f>IF(COLUMNS($B$25:AT25) &gt;= Inputs!$F$67, 1, 0)</f>
        <v>0</v>
      </c>
      <c r="AU25" s="79">
        <f>IF(COLUMNS($B$25:AU25) &gt;= Inputs!$F$67, 1, 0)</f>
        <v>0</v>
      </c>
      <c r="AV25" s="79">
        <f>IF(COLUMNS($B$25:AV25) &gt;= Inputs!$F$67, 1, 0)</f>
        <v>0</v>
      </c>
      <c r="AW25" s="79">
        <f>IF(COLUMNS($B$25:AW25) &gt;= Inputs!$F$67, 1, 0)</f>
        <v>0</v>
      </c>
      <c r="AX25" s="79">
        <f>IF(COLUMNS($B$25:AX25) &gt;= Inputs!$F$67, 1, 0)</f>
        <v>0</v>
      </c>
      <c r="AY25" s="79">
        <f>IF(COLUMNS($B$25:AY25) &gt;= Inputs!$F$67, 1, 0)</f>
        <v>0</v>
      </c>
      <c r="AZ25" s="79">
        <f>IF(COLUMNS($B$25:AZ25) &gt;= Inputs!$F$67, 1, 0)</f>
        <v>0</v>
      </c>
      <c r="BA25" s="79">
        <f>IF(COLUMNS($B$25:BA25) &gt;= Inputs!$F$67, 1, 0)</f>
        <v>0</v>
      </c>
    </row>
    <row r="26" ht="14.25" customHeight="1">
      <c r="A26" s="3" t="s">
        <v>226</v>
      </c>
      <c r="B26" s="79">
        <f>IF(COLUMNS($B$26:B26) &gt;= Inputs!$F$68, 1, 0)</f>
        <v>0</v>
      </c>
      <c r="C26" s="79">
        <f>IF(COLUMNS($B$26:C26) &gt;= Inputs!$F$68, 1, 0)</f>
        <v>0</v>
      </c>
      <c r="D26" s="79">
        <f>IF(COLUMNS($B$26:D26) &gt;= Inputs!$F$68, 1, 0)</f>
        <v>0</v>
      </c>
      <c r="E26" s="79">
        <f>IF(COLUMNS($B$26:E26) &gt;= Inputs!$F$68, 1, 0)</f>
        <v>0</v>
      </c>
      <c r="F26" s="79">
        <f>IF(COLUMNS($B$26:F26) &gt;= Inputs!$F$68, 1, 0)</f>
        <v>0</v>
      </c>
      <c r="G26" s="79">
        <f>IF(COLUMNS($B$26:G26) &gt;= Inputs!$F$68, 1, 0)</f>
        <v>0</v>
      </c>
      <c r="H26" s="79">
        <f>IF(COLUMNS($B$26:H26) &gt;= Inputs!$F$68, 1, 0)</f>
        <v>0</v>
      </c>
      <c r="I26" s="79">
        <f>IF(COLUMNS($B$26:I26) &gt;= Inputs!$F$68, 1, 0)</f>
        <v>0</v>
      </c>
      <c r="J26" s="79">
        <f>IF(COLUMNS($B$26:J26) &gt;= Inputs!$F$68, 1, 0)</f>
        <v>0</v>
      </c>
      <c r="K26" s="79">
        <f>IF(COLUMNS($B$26:K26) &gt;= Inputs!$F$68, 1, 0)</f>
        <v>0</v>
      </c>
      <c r="L26" s="79">
        <f>IF(COLUMNS($B$26:L26) &gt;= Inputs!$F$68, 1, 0)</f>
        <v>0</v>
      </c>
      <c r="M26" s="79">
        <f>IF(COLUMNS($B$26:M26) &gt;= Inputs!$F$68, 1, 0)</f>
        <v>0</v>
      </c>
      <c r="N26" s="79">
        <f>IF(COLUMNS($B$26:N26) &gt;= Inputs!$F$68, 1, 0)</f>
        <v>0</v>
      </c>
      <c r="O26" s="79">
        <f>IF(COLUMNS($B$26:O26) &gt;= Inputs!$F$68, 1, 0)</f>
        <v>0</v>
      </c>
      <c r="P26" s="79">
        <f>IF(COLUMNS($B$26:P26) &gt;= Inputs!$F$68, 1, 0)</f>
        <v>0</v>
      </c>
      <c r="Q26" s="79">
        <f>IF(COLUMNS($B$26:Q26) &gt;= Inputs!$F$68, 1, 0)</f>
        <v>0</v>
      </c>
      <c r="R26" s="79">
        <f>IF(COLUMNS($B$26:R26) &gt;= Inputs!$F$68, 1, 0)</f>
        <v>0</v>
      </c>
      <c r="S26" s="79">
        <f>IF(COLUMNS($B$26:S26) &gt;= Inputs!$F$68, 1, 0)</f>
        <v>0</v>
      </c>
      <c r="T26" s="79">
        <f>IF(COLUMNS($B$26:T26) &gt;= Inputs!$F$68, 1, 0)</f>
        <v>0</v>
      </c>
      <c r="U26" s="79">
        <f>IF(COLUMNS($B$26:U26) &gt;= Inputs!$F$68, 1, 0)</f>
        <v>0</v>
      </c>
      <c r="V26" s="79">
        <f>IF(COLUMNS($B$26:V26) &gt;= Inputs!$F$68, 1, 0)</f>
        <v>0</v>
      </c>
      <c r="W26" s="79">
        <f>IF(COLUMNS($B$26:W26) &gt;= Inputs!$F$68, 1, 0)</f>
        <v>0</v>
      </c>
      <c r="X26" s="79">
        <f>IF(COLUMNS($B$26:X26) &gt;= Inputs!$F$68, 1, 0)</f>
        <v>0</v>
      </c>
      <c r="Y26" s="79">
        <f>IF(COLUMNS($B$26:Y26) &gt;= Inputs!$F$68, 1, 0)</f>
        <v>0</v>
      </c>
      <c r="Z26" s="79">
        <f>IF(COLUMNS($B$26:Z26) &gt;= Inputs!$F$68, 1, 0)</f>
        <v>0</v>
      </c>
      <c r="AA26" s="79">
        <f>IF(COLUMNS($B$26:AA26) &gt;= Inputs!$F$68, 1, 0)</f>
        <v>0</v>
      </c>
      <c r="AB26" s="79">
        <f>IF(COLUMNS($B$26:AB26) &gt;= Inputs!$F$68, 1, 0)</f>
        <v>0</v>
      </c>
      <c r="AC26" s="79">
        <f>IF(COLUMNS($B$26:AC26) &gt;= Inputs!$F$68, 1, 0)</f>
        <v>0</v>
      </c>
      <c r="AD26" s="79">
        <f>IF(COLUMNS($B$26:AD26) &gt;= Inputs!$F$68, 1, 0)</f>
        <v>0</v>
      </c>
      <c r="AE26" s="79">
        <f>IF(COLUMNS($B$26:AE26) &gt;= Inputs!$F$68, 1, 0)</f>
        <v>0</v>
      </c>
      <c r="AF26" s="79">
        <f>IF(COLUMNS($B$26:AF26) &gt;= Inputs!$F$68, 1, 0)</f>
        <v>0</v>
      </c>
      <c r="AG26" s="79">
        <f>IF(COLUMNS($B$26:AG26) &gt;= Inputs!$F$68, 1, 0)</f>
        <v>0</v>
      </c>
      <c r="AH26" s="79">
        <f>IF(COLUMNS($B$26:AH26) &gt;= Inputs!$F$68, 1, 0)</f>
        <v>0</v>
      </c>
      <c r="AI26" s="79">
        <f>IF(COLUMNS($B$26:AI26) &gt;= Inputs!$F$68, 1, 0)</f>
        <v>0</v>
      </c>
      <c r="AJ26" s="79">
        <f>IF(COLUMNS($B$26:AJ26) &gt;= Inputs!$F$68, 1, 0)</f>
        <v>0</v>
      </c>
      <c r="AK26" s="79">
        <f>IF(COLUMNS($B$26:AK26) &gt;= Inputs!$F$68, 1, 0)</f>
        <v>0</v>
      </c>
      <c r="AL26" s="79">
        <f>IF(COLUMNS($B$26:AL26) &gt;= Inputs!$F$68, 1, 0)</f>
        <v>0</v>
      </c>
      <c r="AM26" s="79">
        <f>IF(COLUMNS($B$26:AM26) &gt;= Inputs!$F$68, 1, 0)</f>
        <v>0</v>
      </c>
      <c r="AN26" s="79">
        <f>IF(COLUMNS($B$26:AN26) &gt;= Inputs!$F$68, 1, 0)</f>
        <v>0</v>
      </c>
      <c r="AO26" s="79">
        <f>IF(COLUMNS($B$26:AO26) &gt;= Inputs!$F$68, 1, 0)</f>
        <v>0</v>
      </c>
      <c r="AP26" s="79">
        <f>IF(COLUMNS($B$26:AP26) &gt;= Inputs!$F$68, 1, 0)</f>
        <v>0</v>
      </c>
      <c r="AQ26" s="79">
        <f>IF(COLUMNS($B$26:AQ26) &gt;= Inputs!$F$68, 1, 0)</f>
        <v>0</v>
      </c>
      <c r="AR26" s="79">
        <f>IF(COLUMNS($B$26:AR26) &gt;= Inputs!$F$68, 1, 0)</f>
        <v>0</v>
      </c>
      <c r="AS26" s="79">
        <f>IF(COLUMNS($B$26:AS26) &gt;= Inputs!$F$68, 1, 0)</f>
        <v>0</v>
      </c>
      <c r="AT26" s="79">
        <f>IF(COLUMNS($B$26:AT26) &gt;= Inputs!$F$68, 1, 0)</f>
        <v>0</v>
      </c>
      <c r="AU26" s="79">
        <f>IF(COLUMNS($B$26:AU26) &gt;= Inputs!$F$68, 1, 0)</f>
        <v>0</v>
      </c>
      <c r="AV26" s="79">
        <f>IF(COLUMNS($B$26:AV26) &gt;= Inputs!$F$68, 1, 0)</f>
        <v>0</v>
      </c>
      <c r="AW26" s="79">
        <f>IF(COLUMNS($B$26:AW26) &gt;= Inputs!$F$68, 1, 0)</f>
        <v>0</v>
      </c>
      <c r="AX26" s="79">
        <f>IF(COLUMNS($B$26:AX26) &gt;= Inputs!$F$68, 1, 0)</f>
        <v>0</v>
      </c>
      <c r="AY26" s="79">
        <f>IF(COLUMNS($B$26:AY26) &gt;= Inputs!$F$68, 1, 0)</f>
        <v>0</v>
      </c>
      <c r="AZ26" s="79">
        <f>IF(COLUMNS($B$26:AZ26) &gt;= Inputs!$F$68, 1, 0)</f>
        <v>0</v>
      </c>
      <c r="BA26" s="79">
        <f>IF(COLUMNS($B$26:BA26) &gt;= Inputs!$F$68, 1, 0)</f>
        <v>0</v>
      </c>
    </row>
    <row r="27" ht="14.25" customHeight="1">
      <c r="A27" s="3" t="s">
        <v>229</v>
      </c>
      <c r="B27" s="79">
        <f>IF(COLUMNS($B$27:B27) &gt;= Inputs!$F$69, 1, 0)</f>
        <v>0</v>
      </c>
      <c r="C27" s="79">
        <f>IF(COLUMNS($B$27:C27) &gt;= Inputs!$F$69, 1, 0)</f>
        <v>0</v>
      </c>
      <c r="D27" s="79">
        <f>IF(COLUMNS($B$27:D27) &gt;= Inputs!$F$69, 1, 0)</f>
        <v>0</v>
      </c>
      <c r="E27" s="79">
        <f>IF(COLUMNS($B$27:E27) &gt;= Inputs!$F$69, 1, 0)</f>
        <v>0</v>
      </c>
      <c r="F27" s="79">
        <f>IF(COLUMNS($B$27:F27) &gt;= Inputs!$F$69, 1, 0)</f>
        <v>0</v>
      </c>
      <c r="G27" s="79">
        <f>IF(COLUMNS($B$27:G27) &gt;= Inputs!$F$69, 1, 0)</f>
        <v>0</v>
      </c>
      <c r="H27" s="79">
        <f>IF(COLUMNS($B$27:H27) &gt;= Inputs!$F$69, 1, 0)</f>
        <v>0</v>
      </c>
      <c r="I27" s="79">
        <f>IF(COLUMNS($B$27:I27) &gt;= Inputs!$F$69, 1, 0)</f>
        <v>0</v>
      </c>
      <c r="J27" s="79">
        <f>IF(COLUMNS($B$27:J27) &gt;= Inputs!$F$69, 1, 0)</f>
        <v>0</v>
      </c>
      <c r="K27" s="79">
        <f>IF(COLUMNS($B$27:K27) &gt;= Inputs!$F$69, 1, 0)</f>
        <v>0</v>
      </c>
      <c r="L27" s="79">
        <f>IF(COLUMNS($B$27:L27) &gt;= Inputs!$F$69, 1, 0)</f>
        <v>0</v>
      </c>
      <c r="M27" s="79">
        <f>IF(COLUMNS($B$27:M27) &gt;= Inputs!$F$69, 1, 0)</f>
        <v>0</v>
      </c>
      <c r="N27" s="79">
        <f>IF(COLUMNS($B$27:N27) &gt;= Inputs!$F$69, 1, 0)</f>
        <v>0</v>
      </c>
      <c r="O27" s="79">
        <f>IF(COLUMNS($B$27:O27) &gt;= Inputs!$F$69, 1, 0)</f>
        <v>0</v>
      </c>
      <c r="P27" s="79">
        <f>IF(COLUMNS($B$27:P27) &gt;= Inputs!$F$69, 1, 0)</f>
        <v>0</v>
      </c>
      <c r="Q27" s="79">
        <f>IF(COLUMNS($B$27:Q27) &gt;= Inputs!$F$69, 1, 0)</f>
        <v>0</v>
      </c>
      <c r="R27" s="79">
        <f>IF(COLUMNS($B$27:R27) &gt;= Inputs!$F$69, 1, 0)</f>
        <v>0</v>
      </c>
      <c r="S27" s="79">
        <f>IF(COLUMNS($B$27:S27) &gt;= Inputs!$F$69, 1, 0)</f>
        <v>0</v>
      </c>
      <c r="T27" s="79">
        <f>IF(COLUMNS($B$27:T27) &gt;= Inputs!$F$69, 1, 0)</f>
        <v>0</v>
      </c>
      <c r="U27" s="79">
        <f>IF(COLUMNS($B$27:U27) &gt;= Inputs!$F$69, 1, 0)</f>
        <v>0</v>
      </c>
      <c r="V27" s="79">
        <f>IF(COLUMNS($B$27:V27) &gt;= Inputs!$F$69, 1, 0)</f>
        <v>0</v>
      </c>
      <c r="W27" s="79">
        <f>IF(COLUMNS($B$27:W27) &gt;= Inputs!$F$69, 1, 0)</f>
        <v>0</v>
      </c>
      <c r="X27" s="79">
        <f>IF(COLUMNS($B$27:X27) &gt;= Inputs!$F$69, 1, 0)</f>
        <v>0</v>
      </c>
      <c r="Y27" s="79">
        <f>IF(COLUMNS($B$27:Y27) &gt;= Inputs!$F$69, 1, 0)</f>
        <v>0</v>
      </c>
      <c r="Z27" s="79">
        <f>IF(COLUMNS($B$27:Z27) &gt;= Inputs!$F$69, 1, 0)</f>
        <v>0</v>
      </c>
      <c r="AA27" s="79">
        <f>IF(COLUMNS($B$27:AA27) &gt;= Inputs!$F$69, 1, 0)</f>
        <v>0</v>
      </c>
      <c r="AB27" s="79">
        <f>IF(COLUMNS($B$27:AB27) &gt;= Inputs!$F$69, 1, 0)</f>
        <v>0</v>
      </c>
      <c r="AC27" s="79">
        <f>IF(COLUMNS($B$27:AC27) &gt;= Inputs!$F$69, 1, 0)</f>
        <v>0</v>
      </c>
      <c r="AD27" s="79">
        <f>IF(COLUMNS($B$27:AD27) &gt;= Inputs!$F$69, 1, 0)</f>
        <v>0</v>
      </c>
      <c r="AE27" s="79">
        <f>IF(COLUMNS($B$27:AE27) &gt;= Inputs!$F$69, 1, 0)</f>
        <v>1</v>
      </c>
      <c r="AF27" s="79">
        <f>IF(COLUMNS($B$27:AF27) &gt;= Inputs!$F$69, 1, 0)</f>
        <v>1</v>
      </c>
      <c r="AG27" s="79">
        <f>IF(COLUMNS($B$27:AG27) &gt;= Inputs!$F$69, 1, 0)</f>
        <v>1</v>
      </c>
      <c r="AH27" s="79">
        <f>IF(COLUMNS($B$27:AH27) &gt;= Inputs!$F$69, 1, 0)</f>
        <v>1</v>
      </c>
      <c r="AI27" s="79">
        <f>IF(COLUMNS($B$27:AI27) &gt;= Inputs!$F$69, 1, 0)</f>
        <v>1</v>
      </c>
      <c r="AJ27" s="79">
        <f>IF(COLUMNS($B$27:AJ27) &gt;= Inputs!$F$69, 1, 0)</f>
        <v>1</v>
      </c>
      <c r="AK27" s="79">
        <f>IF(COLUMNS($B$27:AK27) &gt;= Inputs!$F$69, 1, 0)</f>
        <v>1</v>
      </c>
      <c r="AL27" s="79">
        <f>IF(COLUMNS($B$27:AL27) &gt;= Inputs!$F$69, 1, 0)</f>
        <v>1</v>
      </c>
      <c r="AM27" s="79">
        <f>IF(COLUMNS($B$27:AM27) &gt;= Inputs!$F$69, 1, 0)</f>
        <v>1</v>
      </c>
      <c r="AN27" s="79">
        <f>IF(COLUMNS($B$27:AN27) &gt;= Inputs!$F$69, 1, 0)</f>
        <v>1</v>
      </c>
      <c r="AO27" s="79">
        <f>IF(COLUMNS($B$27:AO27) &gt;= Inputs!$F$69, 1, 0)</f>
        <v>1</v>
      </c>
      <c r="AP27" s="79">
        <f>IF(COLUMNS($B$27:AP27) &gt;= Inputs!$F$69, 1, 0)</f>
        <v>1</v>
      </c>
      <c r="AQ27" s="79">
        <f>IF(COLUMNS($B$27:AQ27) &gt;= Inputs!$F$69, 1, 0)</f>
        <v>1</v>
      </c>
      <c r="AR27" s="79">
        <f>IF(COLUMNS($B$27:AR27) &gt;= Inputs!$F$69, 1, 0)</f>
        <v>1</v>
      </c>
      <c r="AS27" s="79">
        <f>IF(COLUMNS($B$27:AS27) &gt;= Inputs!$F$69, 1, 0)</f>
        <v>1</v>
      </c>
      <c r="AT27" s="79">
        <f>IF(COLUMNS($B$27:AT27) &gt;= Inputs!$F$69, 1, 0)</f>
        <v>1</v>
      </c>
      <c r="AU27" s="79">
        <f>IF(COLUMNS($B$27:AU27) &gt;= Inputs!$F$69, 1, 0)</f>
        <v>1</v>
      </c>
      <c r="AV27" s="79">
        <f>IF(COLUMNS($B$27:AV27) &gt;= Inputs!$F$69, 1, 0)</f>
        <v>1</v>
      </c>
      <c r="AW27" s="79">
        <f>IF(COLUMNS($B$27:AW27) &gt;= Inputs!$F$69, 1, 0)</f>
        <v>1</v>
      </c>
      <c r="AX27" s="79">
        <f>IF(COLUMNS($B$27:AX27) &gt;= Inputs!$F$69, 1, 0)</f>
        <v>1</v>
      </c>
      <c r="AY27" s="79">
        <f>IF(COLUMNS($B$27:AY27) &gt;= Inputs!$F$69, 1, 0)</f>
        <v>1</v>
      </c>
      <c r="AZ27" s="79">
        <f>IF(COLUMNS($B$27:AZ27) &gt;= Inputs!$F$69, 1, 0)</f>
        <v>1</v>
      </c>
      <c r="BA27" s="79">
        <f>IF(COLUMNS($B$27:BA27) &gt;= Inputs!$F$69, 1, 0)</f>
        <v>1</v>
      </c>
    </row>
    <row r="28" ht="14.25" customHeight="1">
      <c r="A28" s="3" t="s">
        <v>232</v>
      </c>
      <c r="B28" s="79">
        <f>IF(COLUMNS($B$28:B28) &gt;= Inputs!$F$70, 1, 0)</f>
        <v>0</v>
      </c>
      <c r="C28" s="79">
        <f>IF(COLUMNS($B$28:C28) &gt;= Inputs!$F$70, 1, 0)</f>
        <v>0</v>
      </c>
      <c r="D28" s="79">
        <f>IF(COLUMNS($B$28:D28) &gt;= Inputs!$F$70, 1, 0)</f>
        <v>0</v>
      </c>
      <c r="E28" s="79">
        <f>IF(COLUMNS($B$28:E28) &gt;= Inputs!$F$70, 1, 0)</f>
        <v>0</v>
      </c>
      <c r="F28" s="79">
        <f>IF(COLUMNS($B$28:F28) &gt;= Inputs!$F$70, 1, 0)</f>
        <v>0</v>
      </c>
      <c r="G28" s="79">
        <f>IF(COLUMNS($B$28:G28) &gt;= Inputs!$F$70, 1, 0)</f>
        <v>0</v>
      </c>
      <c r="H28" s="79">
        <f>IF(COLUMNS($B$28:H28) &gt;= Inputs!$F$70, 1, 0)</f>
        <v>0</v>
      </c>
      <c r="I28" s="79">
        <f>IF(COLUMNS($B$28:I28) &gt;= Inputs!$F$70, 1, 0)</f>
        <v>0</v>
      </c>
      <c r="J28" s="79">
        <f>IF(COLUMNS($B$28:J28) &gt;= Inputs!$F$70, 1, 0)</f>
        <v>0</v>
      </c>
      <c r="K28" s="79">
        <f>IF(COLUMNS($B$28:K28) &gt;= Inputs!$F$70, 1, 0)</f>
        <v>0</v>
      </c>
      <c r="L28" s="79">
        <f>IF(COLUMNS($B$28:L28) &gt;= Inputs!$F$70, 1, 0)</f>
        <v>0</v>
      </c>
      <c r="M28" s="79">
        <f>IF(COLUMNS($B$28:M28) &gt;= Inputs!$F$70, 1, 0)</f>
        <v>0</v>
      </c>
      <c r="N28" s="79">
        <f>IF(COLUMNS($B$28:N28) &gt;= Inputs!$F$70, 1, 0)</f>
        <v>0</v>
      </c>
      <c r="O28" s="79">
        <f>IF(COLUMNS($B$28:O28) &gt;= Inputs!$F$70, 1, 0)</f>
        <v>0</v>
      </c>
      <c r="P28" s="79">
        <f>IF(COLUMNS($B$28:P28) &gt;= Inputs!$F$70, 1, 0)</f>
        <v>0</v>
      </c>
      <c r="Q28" s="79">
        <f>IF(COLUMNS($B$28:Q28) &gt;= Inputs!$F$70, 1, 0)</f>
        <v>0</v>
      </c>
      <c r="R28" s="79">
        <f>IF(COLUMNS($B$28:R28) &gt;= Inputs!$F$70, 1, 0)</f>
        <v>0</v>
      </c>
      <c r="S28" s="79">
        <f>IF(COLUMNS($B$28:S28) &gt;= Inputs!$F$70, 1, 0)</f>
        <v>0</v>
      </c>
      <c r="T28" s="79">
        <f>IF(COLUMNS($B$28:T28) &gt;= Inputs!$F$70, 1, 0)</f>
        <v>0</v>
      </c>
      <c r="U28" s="79">
        <f>IF(COLUMNS($B$28:U28) &gt;= Inputs!$F$70, 1, 0)</f>
        <v>0</v>
      </c>
      <c r="V28" s="79">
        <f>IF(COLUMNS($B$28:V28) &gt;= Inputs!$F$70, 1, 0)</f>
        <v>0</v>
      </c>
      <c r="W28" s="79">
        <f>IF(COLUMNS($B$28:W28) &gt;= Inputs!$F$70, 1, 0)</f>
        <v>0</v>
      </c>
      <c r="X28" s="79">
        <f>IF(COLUMNS($B$28:X28) &gt;= Inputs!$F$70, 1, 0)</f>
        <v>0</v>
      </c>
      <c r="Y28" s="79">
        <f>IF(COLUMNS($B$28:Y28) &gt;= Inputs!$F$70, 1, 0)</f>
        <v>0</v>
      </c>
      <c r="Z28" s="79">
        <f>IF(COLUMNS($B$28:Z28) &gt;= Inputs!$F$70, 1, 0)</f>
        <v>0</v>
      </c>
      <c r="AA28" s="79">
        <f>IF(COLUMNS($B$28:AA28) &gt;= Inputs!$F$70, 1, 0)</f>
        <v>0</v>
      </c>
      <c r="AB28" s="79">
        <f>IF(COLUMNS($B$28:AB28) &gt;= Inputs!$F$70, 1, 0)</f>
        <v>0</v>
      </c>
      <c r="AC28" s="79">
        <f>IF(COLUMNS($B$28:AC28) &gt;= Inputs!$F$70, 1, 0)</f>
        <v>0</v>
      </c>
      <c r="AD28" s="79">
        <f>IF(COLUMNS($B$28:AD28) &gt;= Inputs!$F$70, 1, 0)</f>
        <v>0</v>
      </c>
      <c r="AE28" s="79">
        <f>IF(COLUMNS($B$28:AE28) &gt;= Inputs!$F$70, 1, 0)</f>
        <v>0</v>
      </c>
      <c r="AF28" s="79">
        <f>IF(COLUMNS($B$28:AF28) &gt;= Inputs!$F$70, 1, 0)</f>
        <v>0</v>
      </c>
      <c r="AG28" s="79">
        <f>IF(COLUMNS($B$28:AG28) &gt;= Inputs!$F$70, 1, 0)</f>
        <v>0</v>
      </c>
      <c r="AH28" s="79">
        <f>IF(COLUMNS($B$28:AH28) &gt;= Inputs!$F$70, 1, 0)</f>
        <v>0</v>
      </c>
      <c r="AI28" s="79">
        <f>IF(COLUMNS($B$28:AI28) &gt;= Inputs!$F$70, 1, 0)</f>
        <v>0</v>
      </c>
      <c r="AJ28" s="79">
        <f>IF(COLUMNS($B$28:AJ28) &gt;= Inputs!$F$70, 1, 0)</f>
        <v>0</v>
      </c>
      <c r="AK28" s="79">
        <f>IF(COLUMNS($B$28:AK28) &gt;= Inputs!$F$70, 1, 0)</f>
        <v>1</v>
      </c>
      <c r="AL28" s="79">
        <f>IF(COLUMNS($B$28:AL28) &gt;= Inputs!$F$70, 1, 0)</f>
        <v>1</v>
      </c>
      <c r="AM28" s="79">
        <f>IF(COLUMNS($B$28:AM28) &gt;= Inputs!$F$70, 1, 0)</f>
        <v>1</v>
      </c>
      <c r="AN28" s="79">
        <f>IF(COLUMNS($B$28:AN28) &gt;= Inputs!$F$70, 1, 0)</f>
        <v>1</v>
      </c>
      <c r="AO28" s="79">
        <f>IF(COLUMNS($B$28:AO28) &gt;= Inputs!$F$70, 1, 0)</f>
        <v>1</v>
      </c>
      <c r="AP28" s="79">
        <f>IF(COLUMNS($B$28:AP28) &gt;= Inputs!$F$70, 1, 0)</f>
        <v>1</v>
      </c>
      <c r="AQ28" s="79">
        <f>IF(COLUMNS($B$28:AQ28) &gt;= Inputs!$F$70, 1, 0)</f>
        <v>1</v>
      </c>
      <c r="AR28" s="79">
        <f>IF(COLUMNS($B$28:AR28) &gt;= Inputs!$F$70, 1, 0)</f>
        <v>1</v>
      </c>
      <c r="AS28" s="79">
        <f>IF(COLUMNS($B$28:AS28) &gt;= Inputs!$F$70, 1, 0)</f>
        <v>1</v>
      </c>
      <c r="AT28" s="79">
        <f>IF(COLUMNS($B$28:AT28) &gt;= Inputs!$F$70, 1, 0)</f>
        <v>1</v>
      </c>
      <c r="AU28" s="79">
        <f>IF(COLUMNS($B$28:AU28) &gt;= Inputs!$F$70, 1, 0)</f>
        <v>1</v>
      </c>
      <c r="AV28" s="79">
        <f>IF(COLUMNS($B$28:AV28) &gt;= Inputs!$F$70, 1, 0)</f>
        <v>1</v>
      </c>
      <c r="AW28" s="79">
        <f>IF(COLUMNS($B$28:AW28) &gt;= Inputs!$F$70, 1, 0)</f>
        <v>1</v>
      </c>
      <c r="AX28" s="79">
        <f>IF(COLUMNS($B$28:AX28) &gt;= Inputs!$F$70, 1, 0)</f>
        <v>1</v>
      </c>
      <c r="AY28" s="79">
        <f>IF(COLUMNS($B$28:AY28) &gt;= Inputs!$F$70, 1, 0)</f>
        <v>1</v>
      </c>
      <c r="AZ28" s="79">
        <f>IF(COLUMNS($B$28:AZ28) &gt;= Inputs!$F$70, 1, 0)</f>
        <v>1</v>
      </c>
      <c r="BA28" s="79">
        <f>IF(COLUMNS($B$28:BA28) &gt;= Inputs!$F$70, 1, 0)</f>
        <v>1</v>
      </c>
    </row>
    <row r="29" ht="14.25" customHeight="1">
      <c r="A29" s="3" t="s">
        <v>235</v>
      </c>
      <c r="B29" s="79">
        <f>IF(COLUMNS($B$29:B29) &gt;= Inputs!$F$71, 1, 0)</f>
        <v>0</v>
      </c>
      <c r="C29" s="79">
        <f>IF(COLUMNS($B$29:C29) &gt;= Inputs!$F$71, 1, 0)</f>
        <v>0</v>
      </c>
      <c r="D29" s="79">
        <f>IF(COLUMNS($B$29:D29) &gt;= Inputs!$F$71, 1, 0)</f>
        <v>0</v>
      </c>
      <c r="E29" s="79">
        <f>IF(COLUMNS($B$29:E29) &gt;= Inputs!$F$71, 1, 0)</f>
        <v>0</v>
      </c>
      <c r="F29" s="79">
        <f>IF(COLUMNS($B$29:F29) &gt;= Inputs!$F$71, 1, 0)</f>
        <v>0</v>
      </c>
      <c r="G29" s="79">
        <f>IF(COLUMNS($B$29:G29) &gt;= Inputs!$F$71, 1, 0)</f>
        <v>0</v>
      </c>
      <c r="H29" s="79">
        <f>IF(COLUMNS($B$29:H29) &gt;= Inputs!$F$71, 1, 0)</f>
        <v>0</v>
      </c>
      <c r="I29" s="79">
        <f>IF(COLUMNS($B$29:I29) &gt;= Inputs!$F$71, 1, 0)</f>
        <v>0</v>
      </c>
      <c r="J29" s="79">
        <f>IF(COLUMNS($B$29:J29) &gt;= Inputs!$F$71, 1, 0)</f>
        <v>0</v>
      </c>
      <c r="K29" s="79">
        <f>IF(COLUMNS($B$29:K29) &gt;= Inputs!$F$71, 1, 0)</f>
        <v>0</v>
      </c>
      <c r="L29" s="79">
        <f>IF(COLUMNS($B$29:L29) &gt;= Inputs!$F$71, 1, 0)</f>
        <v>0</v>
      </c>
      <c r="M29" s="79">
        <f>IF(COLUMNS($B$29:M29) &gt;= Inputs!$F$71, 1, 0)</f>
        <v>0</v>
      </c>
      <c r="N29" s="79">
        <f>IF(COLUMNS($B$29:N29) &gt;= Inputs!$F$71, 1, 0)</f>
        <v>0</v>
      </c>
      <c r="O29" s="79">
        <f>IF(COLUMNS($B$29:O29) &gt;= Inputs!$F$71, 1, 0)</f>
        <v>0</v>
      </c>
      <c r="P29" s="79">
        <f>IF(COLUMNS($B$29:P29) &gt;= Inputs!$F$71, 1, 0)</f>
        <v>0</v>
      </c>
      <c r="Q29" s="79">
        <f>IF(COLUMNS($B$29:Q29) &gt;= Inputs!$F$71, 1, 0)</f>
        <v>0</v>
      </c>
      <c r="R29" s="79">
        <f>IF(COLUMNS($B$29:R29) &gt;= Inputs!$F$71, 1, 0)</f>
        <v>0</v>
      </c>
      <c r="S29" s="79">
        <f>IF(COLUMNS($B$29:S29) &gt;= Inputs!$F$71, 1, 0)</f>
        <v>0</v>
      </c>
      <c r="T29" s="79">
        <f>IF(COLUMNS($B$29:T29) &gt;= Inputs!$F$71, 1, 0)</f>
        <v>0</v>
      </c>
      <c r="U29" s="79">
        <f>IF(COLUMNS($B$29:U29) &gt;= Inputs!$F$71, 1, 0)</f>
        <v>0</v>
      </c>
      <c r="V29" s="79">
        <f>IF(COLUMNS($B$29:V29) &gt;= Inputs!$F$71, 1, 0)</f>
        <v>0</v>
      </c>
      <c r="W29" s="79">
        <f>IF(COLUMNS($B$29:W29) &gt;= Inputs!$F$71, 1, 0)</f>
        <v>0</v>
      </c>
      <c r="X29" s="79">
        <f>IF(COLUMNS($B$29:X29) &gt;= Inputs!$F$71, 1, 0)</f>
        <v>0</v>
      </c>
      <c r="Y29" s="79">
        <f>IF(COLUMNS($B$29:Y29) &gt;= Inputs!$F$71, 1, 0)</f>
        <v>0</v>
      </c>
      <c r="Z29" s="79">
        <f>IF(COLUMNS($B$29:Z29) &gt;= Inputs!$F$71, 1, 0)</f>
        <v>0</v>
      </c>
      <c r="AA29" s="79">
        <f>IF(COLUMNS($B$29:AA29) &gt;= Inputs!$F$71, 1, 0)</f>
        <v>0</v>
      </c>
      <c r="AB29" s="79">
        <f>IF(COLUMNS($B$29:AB29) &gt;= Inputs!$F$71, 1, 0)</f>
        <v>0</v>
      </c>
      <c r="AC29" s="79">
        <f>IF(COLUMNS($B$29:AC29) &gt;= Inputs!$F$71, 1, 0)</f>
        <v>0</v>
      </c>
      <c r="AD29" s="79">
        <f>IF(COLUMNS($B$29:AD29) &gt;= Inputs!$F$71, 1, 0)</f>
        <v>0</v>
      </c>
      <c r="AE29" s="79">
        <f>IF(COLUMNS($B$29:AE29) &gt;= Inputs!$F$71, 1, 0)</f>
        <v>0</v>
      </c>
      <c r="AF29" s="79">
        <f>IF(COLUMNS($B$29:AF29) &gt;= Inputs!$F$71, 1, 0)</f>
        <v>0</v>
      </c>
      <c r="AG29" s="79">
        <f>IF(COLUMNS($B$29:AG29) &gt;= Inputs!$F$71, 1, 0)</f>
        <v>0</v>
      </c>
      <c r="AH29" s="79">
        <f>IF(COLUMNS($B$29:AH29) &gt;= Inputs!$F$71, 1, 0)</f>
        <v>0</v>
      </c>
      <c r="AI29" s="79">
        <f>IF(COLUMNS($B$29:AI29) &gt;= Inputs!$F$71, 1, 0)</f>
        <v>0</v>
      </c>
      <c r="AJ29" s="79">
        <f>IF(COLUMNS($B$29:AJ29) &gt;= Inputs!$F$71, 1, 0)</f>
        <v>0</v>
      </c>
      <c r="AK29" s="79">
        <f>IF(COLUMNS($B$29:AK29) &gt;= Inputs!$F$71, 1, 0)</f>
        <v>0</v>
      </c>
      <c r="AL29" s="79">
        <f>IF(COLUMNS($B$29:AL29) &gt;= Inputs!$F$71, 1, 0)</f>
        <v>0</v>
      </c>
      <c r="AM29" s="79">
        <f>IF(COLUMNS($B$29:AM29) &gt;= Inputs!$F$71, 1, 0)</f>
        <v>0</v>
      </c>
      <c r="AN29" s="79">
        <f>IF(COLUMNS($B$29:AN29) &gt;= Inputs!$F$71, 1, 0)</f>
        <v>0</v>
      </c>
      <c r="AO29" s="79">
        <f>IF(COLUMNS($B$29:AO29) &gt;= Inputs!$F$71, 1, 0)</f>
        <v>0</v>
      </c>
      <c r="AP29" s="79">
        <f>IF(COLUMNS($B$29:AP29) &gt;= Inputs!$F$71, 1, 0)</f>
        <v>0</v>
      </c>
      <c r="AQ29" s="79">
        <f>IF(COLUMNS($B$29:AQ29) &gt;= Inputs!$F$71, 1, 0)</f>
        <v>0</v>
      </c>
      <c r="AR29" s="79">
        <f>IF(COLUMNS($B$29:AR29) &gt;= Inputs!$F$71, 1, 0)</f>
        <v>0</v>
      </c>
      <c r="AS29" s="79">
        <f>IF(COLUMNS($B$29:AS29) &gt;= Inputs!$F$71, 1, 0)</f>
        <v>0</v>
      </c>
      <c r="AT29" s="79">
        <f>IF(COLUMNS($B$29:AT29) &gt;= Inputs!$F$71, 1, 0)</f>
        <v>0</v>
      </c>
      <c r="AU29" s="79">
        <f>IF(COLUMNS($B$29:AU29) &gt;= Inputs!$F$71, 1, 0)</f>
        <v>0</v>
      </c>
      <c r="AV29" s="79">
        <f>IF(COLUMNS($B$29:AV29) &gt;= Inputs!$F$71, 1, 0)</f>
        <v>0</v>
      </c>
      <c r="AW29" s="79">
        <f>IF(COLUMNS($B$29:AW29) &gt;= Inputs!$F$71, 1, 0)</f>
        <v>0</v>
      </c>
      <c r="AX29" s="79">
        <f>IF(COLUMNS($B$29:AX29) &gt;= Inputs!$F$71, 1, 0)</f>
        <v>0</v>
      </c>
      <c r="AY29" s="79">
        <f>IF(COLUMNS($B$29:AY29) &gt;= Inputs!$F$71, 1, 0)</f>
        <v>0</v>
      </c>
      <c r="AZ29" s="79">
        <f>IF(COLUMNS($B$29:AZ29) &gt;= Inputs!$F$71, 1, 0)</f>
        <v>0</v>
      </c>
      <c r="BA29" s="79">
        <f>IF(COLUMNS($B$29:BA29) &gt;= Inputs!$F$71, 1, 0)</f>
        <v>0</v>
      </c>
    </row>
    <row r="30" ht="14.25" customHeight="1">
      <c r="A30" s="3" t="s">
        <v>151</v>
      </c>
      <c r="B30" s="79">
        <f>IF(COLUMNS($B$30:B30) &gt;= Inputs!$F$72, 1, 0)</f>
        <v>0</v>
      </c>
      <c r="C30" s="79">
        <f>IF(COLUMNS($B$30:C30) &gt;= Inputs!$F$72, 1, 0)</f>
        <v>0</v>
      </c>
      <c r="D30" s="79">
        <f>IF(COLUMNS($B$30:D30) &gt;= Inputs!$F$72, 1, 0)</f>
        <v>0</v>
      </c>
      <c r="E30" s="79">
        <f>IF(COLUMNS($B$30:E30) &gt;= Inputs!$F$72, 1, 0)</f>
        <v>0</v>
      </c>
      <c r="F30" s="79">
        <f>IF(COLUMNS($B$30:F30) &gt;= Inputs!$F$72, 1, 0)</f>
        <v>0</v>
      </c>
      <c r="G30" s="79">
        <f>IF(COLUMNS($B$30:G30) &gt;= Inputs!$F$72, 1, 0)</f>
        <v>0</v>
      </c>
      <c r="H30" s="79">
        <f>IF(COLUMNS($B$30:H30) &gt;= Inputs!$F$72, 1, 0)</f>
        <v>0</v>
      </c>
      <c r="I30" s="79">
        <f>IF(COLUMNS($B$30:I30) &gt;= Inputs!$F$72, 1, 0)</f>
        <v>0</v>
      </c>
      <c r="J30" s="79">
        <f>IF(COLUMNS($B$30:J30) &gt;= Inputs!$F$72, 1, 0)</f>
        <v>0</v>
      </c>
      <c r="K30" s="79">
        <f>IF(COLUMNS($B$30:K30) &gt;= Inputs!$F$72, 1, 0)</f>
        <v>0</v>
      </c>
      <c r="L30" s="79">
        <f>IF(COLUMNS($B$30:L30) &gt;= Inputs!$F$72, 1, 0)</f>
        <v>0</v>
      </c>
      <c r="M30" s="79">
        <f>IF(COLUMNS($B$30:M30) &gt;= Inputs!$F$72, 1, 0)</f>
        <v>0</v>
      </c>
      <c r="N30" s="79">
        <f>IF(COLUMNS($B$30:N30) &gt;= Inputs!$F$72, 1, 0)</f>
        <v>0</v>
      </c>
      <c r="O30" s="79">
        <f>IF(COLUMNS($B$30:O30) &gt;= Inputs!$F$72, 1, 0)</f>
        <v>0</v>
      </c>
      <c r="P30" s="79">
        <f>IF(COLUMNS($B$30:P30) &gt;= Inputs!$F$72, 1, 0)</f>
        <v>0</v>
      </c>
      <c r="Q30" s="79">
        <f>IF(COLUMNS($B$30:Q30) &gt;= Inputs!$F$72, 1, 0)</f>
        <v>0</v>
      </c>
      <c r="R30" s="79">
        <f>IF(COLUMNS($B$30:R30) &gt;= Inputs!$F$72, 1, 0)</f>
        <v>0</v>
      </c>
      <c r="S30" s="79">
        <f>IF(COLUMNS($B$30:S30) &gt;= Inputs!$F$72, 1, 0)</f>
        <v>1</v>
      </c>
      <c r="T30" s="79">
        <f>IF(COLUMNS($B$30:T30) &gt;= Inputs!$F$72, 1, 0)</f>
        <v>1</v>
      </c>
      <c r="U30" s="79">
        <f>IF(COLUMNS($B$30:U30) &gt;= Inputs!$F$72, 1, 0)</f>
        <v>1</v>
      </c>
      <c r="V30" s="79">
        <f>IF(COLUMNS($B$30:V30) &gt;= Inputs!$F$72, 1, 0)</f>
        <v>1</v>
      </c>
      <c r="W30" s="79">
        <f>IF(COLUMNS($B$30:W30) &gt;= Inputs!$F$72, 1, 0)</f>
        <v>1</v>
      </c>
      <c r="X30" s="79">
        <f>IF(COLUMNS($B$30:X30) &gt;= Inputs!$F$72, 1, 0)</f>
        <v>1</v>
      </c>
      <c r="Y30" s="79">
        <f>IF(COLUMNS($B$30:Y30) &gt;= Inputs!$F$72, 1, 0)</f>
        <v>1</v>
      </c>
      <c r="Z30" s="79">
        <f>IF(COLUMNS($B$30:Z30) &gt;= Inputs!$F$72, 1, 0)</f>
        <v>1</v>
      </c>
      <c r="AA30" s="79">
        <f>IF(COLUMNS($B$30:AA30) &gt;= Inputs!$F$72, 1, 0)</f>
        <v>1</v>
      </c>
      <c r="AB30" s="79">
        <f>IF(COLUMNS($B$30:AB30) &gt;= Inputs!$F$72, 1, 0)</f>
        <v>1</v>
      </c>
      <c r="AC30" s="79">
        <f>IF(COLUMNS($B$30:AC30) &gt;= Inputs!$F$72, 1, 0)</f>
        <v>1</v>
      </c>
      <c r="AD30" s="79">
        <f>IF(COLUMNS($B$30:AD30) &gt;= Inputs!$F$72, 1, 0)</f>
        <v>1</v>
      </c>
      <c r="AE30" s="79">
        <f>IF(COLUMNS($B$30:AE30) &gt;= Inputs!$F$72, 1, 0)</f>
        <v>1</v>
      </c>
      <c r="AF30" s="79">
        <f>IF(COLUMNS($B$30:AF30) &gt;= Inputs!$F$72, 1, 0)</f>
        <v>1</v>
      </c>
      <c r="AG30" s="79">
        <f>IF(COLUMNS($B$30:AG30) &gt;= Inputs!$F$72, 1, 0)</f>
        <v>1</v>
      </c>
      <c r="AH30" s="79">
        <f>IF(COLUMNS($B$30:AH30) &gt;= Inputs!$F$72, 1, 0)</f>
        <v>1</v>
      </c>
      <c r="AI30" s="79">
        <f>IF(COLUMNS($B$30:AI30) &gt;= Inputs!$F$72, 1, 0)</f>
        <v>1</v>
      </c>
      <c r="AJ30" s="79">
        <f>IF(COLUMNS($B$30:AJ30) &gt;= Inputs!$F$72, 1, 0)</f>
        <v>1</v>
      </c>
      <c r="AK30" s="79">
        <f>IF(COLUMNS($B$30:AK30) &gt;= Inputs!$F$72, 1, 0)</f>
        <v>1</v>
      </c>
      <c r="AL30" s="79">
        <f>IF(COLUMNS($B$30:AL30) &gt;= Inputs!$F$72, 1, 0)</f>
        <v>1</v>
      </c>
      <c r="AM30" s="79">
        <f>IF(COLUMNS($B$30:AM30) &gt;= Inputs!$F$72, 1, 0)</f>
        <v>1</v>
      </c>
      <c r="AN30" s="79">
        <f>IF(COLUMNS($B$30:AN30) &gt;= Inputs!$F$72, 1, 0)</f>
        <v>1</v>
      </c>
      <c r="AO30" s="79">
        <f>IF(COLUMNS($B$30:AO30) &gt;= Inputs!$F$72, 1, 0)</f>
        <v>1</v>
      </c>
      <c r="AP30" s="79">
        <f>IF(COLUMNS($B$30:AP30) &gt;= Inputs!$F$72, 1, 0)</f>
        <v>1</v>
      </c>
      <c r="AQ30" s="79">
        <f>IF(COLUMNS($B$30:AQ30) &gt;= Inputs!$F$72, 1, 0)</f>
        <v>1</v>
      </c>
      <c r="AR30" s="79">
        <f>IF(COLUMNS($B$30:AR30) &gt;= Inputs!$F$72, 1, 0)</f>
        <v>1</v>
      </c>
      <c r="AS30" s="79">
        <f>IF(COLUMNS($B$30:AS30) &gt;= Inputs!$F$72, 1, 0)</f>
        <v>1</v>
      </c>
      <c r="AT30" s="79">
        <f>IF(COLUMNS($B$30:AT30) &gt;= Inputs!$F$72, 1, 0)</f>
        <v>1</v>
      </c>
      <c r="AU30" s="79">
        <f>IF(COLUMNS($B$30:AU30) &gt;= Inputs!$F$72, 1, 0)</f>
        <v>1</v>
      </c>
      <c r="AV30" s="79">
        <f>IF(COLUMNS($B$30:AV30) &gt;= Inputs!$F$72, 1, 0)</f>
        <v>1</v>
      </c>
      <c r="AW30" s="79">
        <f>IF(COLUMNS($B$30:AW30) &gt;= Inputs!$F$72, 1, 0)</f>
        <v>1</v>
      </c>
      <c r="AX30" s="79">
        <f>IF(COLUMNS($B$30:AX30) &gt;= Inputs!$F$72, 1, 0)</f>
        <v>1</v>
      </c>
      <c r="AY30" s="79">
        <f>IF(COLUMNS($B$30:AY30) &gt;= Inputs!$F$72, 1, 0)</f>
        <v>1</v>
      </c>
      <c r="AZ30" s="79">
        <f>IF(COLUMNS($B$30:AZ30) &gt;= Inputs!$F$72, 1, 0)</f>
        <v>1</v>
      </c>
      <c r="BA30" s="79">
        <f>IF(COLUMNS($B$30:BA30) &gt;= Inputs!$F$72, 1, 0)</f>
        <v>1</v>
      </c>
    </row>
    <row r="31" ht="14.25" customHeight="1">
      <c r="A31" s="3" t="s">
        <v>239</v>
      </c>
      <c r="B31" s="79">
        <f>IF(COLUMNS($B$31:B31) &gt;= Inputs!$F$73, 1, 0)</f>
        <v>0</v>
      </c>
      <c r="C31" s="79">
        <f>IF(COLUMNS($B$31:C31) &gt;= Inputs!$F$73, 1, 0)</f>
        <v>0</v>
      </c>
      <c r="D31" s="79">
        <f>IF(COLUMNS($B$31:D31) &gt;= Inputs!$F$73, 1, 0)</f>
        <v>0</v>
      </c>
      <c r="E31" s="79">
        <f>IF(COLUMNS($B$31:E31) &gt;= Inputs!$F$73, 1, 0)</f>
        <v>0</v>
      </c>
      <c r="F31" s="79">
        <f>IF(COLUMNS($B$31:F31) &gt;= Inputs!$F$73, 1, 0)</f>
        <v>0</v>
      </c>
      <c r="G31" s="79">
        <f>IF(COLUMNS($B$31:G31) &gt;= Inputs!$F$73, 1, 0)</f>
        <v>0</v>
      </c>
      <c r="H31" s="79">
        <f>IF(COLUMNS($B$31:H31) &gt;= Inputs!$F$73, 1, 0)</f>
        <v>0</v>
      </c>
      <c r="I31" s="79">
        <f>IF(COLUMNS($B$31:I31) &gt;= Inputs!$F$73, 1, 0)</f>
        <v>0</v>
      </c>
      <c r="J31" s="79">
        <f>IF(COLUMNS($B$31:J31) &gt;= Inputs!$F$73, 1, 0)</f>
        <v>0</v>
      </c>
      <c r="K31" s="79">
        <f>IF(COLUMNS($B$31:K31) &gt;= Inputs!$F$73, 1, 0)</f>
        <v>0</v>
      </c>
      <c r="L31" s="79">
        <f>IF(COLUMNS($B$31:L31) &gt;= Inputs!$F$73, 1, 0)</f>
        <v>0</v>
      </c>
      <c r="M31" s="79">
        <f>IF(COLUMNS($B$31:M31) &gt;= Inputs!$F$73, 1, 0)</f>
        <v>0</v>
      </c>
      <c r="N31" s="79">
        <f>IF(COLUMNS($B$31:N31) &gt;= Inputs!$F$73, 1, 0)</f>
        <v>0</v>
      </c>
      <c r="O31" s="79">
        <f>IF(COLUMNS($B$31:O31) &gt;= Inputs!$F$73, 1, 0)</f>
        <v>0</v>
      </c>
      <c r="P31" s="79">
        <f>IF(COLUMNS($B$31:P31) &gt;= Inputs!$F$73, 1, 0)</f>
        <v>0</v>
      </c>
      <c r="Q31" s="79">
        <f>IF(COLUMNS($B$31:Q31) &gt;= Inputs!$F$73, 1, 0)</f>
        <v>0</v>
      </c>
      <c r="R31" s="79">
        <f>IF(COLUMNS($B$31:R31) &gt;= Inputs!$F$73, 1, 0)</f>
        <v>0</v>
      </c>
      <c r="S31" s="79">
        <f>IF(COLUMNS($B$31:S31) &gt;= Inputs!$F$73, 1, 0)</f>
        <v>0</v>
      </c>
      <c r="T31" s="79">
        <f>IF(COLUMNS($B$31:T31) &gt;= Inputs!$F$73, 1, 0)</f>
        <v>0</v>
      </c>
      <c r="U31" s="79">
        <f>IF(COLUMNS($B$31:U31) &gt;= Inputs!$F$73, 1, 0)</f>
        <v>0</v>
      </c>
      <c r="V31" s="79">
        <f>IF(COLUMNS($B$31:V31) &gt;= Inputs!$F$73, 1, 0)</f>
        <v>0</v>
      </c>
      <c r="W31" s="79">
        <f>IF(COLUMNS($B$31:W31) &gt;= Inputs!$F$73, 1, 0)</f>
        <v>0</v>
      </c>
      <c r="X31" s="79">
        <f>IF(COLUMNS($B$31:X31) &gt;= Inputs!$F$73, 1, 0)</f>
        <v>0</v>
      </c>
      <c r="Y31" s="79">
        <f>IF(COLUMNS($B$31:Y31) &gt;= Inputs!$F$73, 1, 0)</f>
        <v>0</v>
      </c>
      <c r="Z31" s="79">
        <f>IF(COLUMNS($B$31:Z31) &gt;= Inputs!$F$73, 1, 0)</f>
        <v>0</v>
      </c>
      <c r="AA31" s="79">
        <f>IF(COLUMNS($B$31:AA31) &gt;= Inputs!$F$73, 1, 0)</f>
        <v>0</v>
      </c>
      <c r="AB31" s="79">
        <f>IF(COLUMNS($B$31:AB31) &gt;= Inputs!$F$73, 1, 0)</f>
        <v>0</v>
      </c>
      <c r="AC31" s="79">
        <f>IF(COLUMNS($B$31:AC31) &gt;= Inputs!$F$73, 1, 0)</f>
        <v>0</v>
      </c>
      <c r="AD31" s="79">
        <f>IF(COLUMNS($B$31:AD31) &gt;= Inputs!$F$73, 1, 0)</f>
        <v>0</v>
      </c>
      <c r="AE31" s="79">
        <f>IF(COLUMNS($B$31:AE31) &gt;= Inputs!$F$73, 1, 0)</f>
        <v>0</v>
      </c>
      <c r="AF31" s="79">
        <f>IF(COLUMNS($B$31:AF31) &gt;= Inputs!$F$73, 1, 0)</f>
        <v>0</v>
      </c>
      <c r="AG31" s="79">
        <f>IF(COLUMNS($B$31:AG31) &gt;= Inputs!$F$73, 1, 0)</f>
        <v>0</v>
      </c>
      <c r="AH31" s="79">
        <f>IF(COLUMNS($B$31:AH31) &gt;= Inputs!$F$73, 1, 0)</f>
        <v>0</v>
      </c>
      <c r="AI31" s="79">
        <f>IF(COLUMNS($B$31:AI31) &gt;= Inputs!$F$73, 1, 0)</f>
        <v>0</v>
      </c>
      <c r="AJ31" s="79">
        <f>IF(COLUMNS($B$31:AJ31) &gt;= Inputs!$F$73, 1, 0)</f>
        <v>0</v>
      </c>
      <c r="AK31" s="79">
        <f>IF(COLUMNS($B$31:AK31) &gt;= Inputs!$F$73, 1, 0)</f>
        <v>0</v>
      </c>
      <c r="AL31" s="79">
        <f>IF(COLUMNS($B$31:AL31) &gt;= Inputs!$F$73, 1, 0)</f>
        <v>0</v>
      </c>
      <c r="AM31" s="79">
        <f>IF(COLUMNS($B$31:AM31) &gt;= Inputs!$F$73, 1, 0)</f>
        <v>0</v>
      </c>
      <c r="AN31" s="79">
        <f>IF(COLUMNS($B$31:AN31) &gt;= Inputs!$F$73, 1, 0)</f>
        <v>0</v>
      </c>
      <c r="AO31" s="79">
        <f>IF(COLUMNS($B$31:AO31) &gt;= Inputs!$F$73, 1, 0)</f>
        <v>0</v>
      </c>
      <c r="AP31" s="79">
        <f>IF(COLUMNS($B$31:AP31) &gt;= Inputs!$F$73, 1, 0)</f>
        <v>0</v>
      </c>
      <c r="AQ31" s="79">
        <f>IF(COLUMNS($B$31:AQ31) &gt;= Inputs!$F$73, 1, 0)</f>
        <v>0</v>
      </c>
      <c r="AR31" s="79">
        <f>IF(COLUMNS($B$31:AR31) &gt;= Inputs!$F$73, 1, 0)</f>
        <v>0</v>
      </c>
      <c r="AS31" s="79">
        <f>IF(COLUMNS($B$31:AS31) &gt;= Inputs!$F$73, 1, 0)</f>
        <v>0</v>
      </c>
      <c r="AT31" s="79">
        <f>IF(COLUMNS($B$31:AT31) &gt;= Inputs!$F$73, 1, 0)</f>
        <v>0</v>
      </c>
      <c r="AU31" s="79">
        <f>IF(COLUMNS($B$31:AU31) &gt;= Inputs!$F$73, 1, 0)</f>
        <v>0</v>
      </c>
      <c r="AV31" s="79">
        <f>IF(COLUMNS($B$31:AV31) &gt;= Inputs!$F$73, 1, 0)</f>
        <v>0</v>
      </c>
      <c r="AW31" s="79">
        <f>IF(COLUMNS($B$31:AW31) &gt;= Inputs!$F$73, 1, 0)</f>
        <v>0</v>
      </c>
      <c r="AX31" s="79">
        <f>IF(COLUMNS($B$31:AX31) &gt;= Inputs!$F$73, 1, 0)</f>
        <v>0</v>
      </c>
      <c r="AY31" s="79">
        <f>IF(COLUMNS($B$31:AY31) &gt;= Inputs!$F$73, 1, 0)</f>
        <v>0</v>
      </c>
      <c r="AZ31" s="79">
        <f>IF(COLUMNS($B$31:AZ31) &gt;= Inputs!$F$73, 1, 0)</f>
        <v>0</v>
      </c>
      <c r="BA31" s="79">
        <f>IF(COLUMNS($B$31:BA31) &gt;= Inputs!$F$73, 1, 0)</f>
        <v>0</v>
      </c>
    </row>
    <row r="32" ht="14.25" customHeight="1">
      <c r="A32" s="3" t="s">
        <v>241</v>
      </c>
      <c r="B32" s="79">
        <f>IF(COLUMNS($B$32:B32) &gt;= Inputs!$F$74, 1, 0)</f>
        <v>0</v>
      </c>
      <c r="C32" s="79">
        <f>IF(COLUMNS($B$32:C32) &gt;= Inputs!$F$74, 1, 0)</f>
        <v>0</v>
      </c>
      <c r="D32" s="79">
        <f>IF(COLUMNS($B$32:D32) &gt;= Inputs!$F$74, 1, 0)</f>
        <v>0</v>
      </c>
      <c r="E32" s="79">
        <f>IF(COLUMNS($B$32:E32) &gt;= Inputs!$F$74, 1, 0)</f>
        <v>0</v>
      </c>
      <c r="F32" s="79">
        <f>IF(COLUMNS($B$32:F32) &gt;= Inputs!$F$74, 1, 0)</f>
        <v>0</v>
      </c>
      <c r="G32" s="79">
        <f>IF(COLUMNS($B$32:G32) &gt;= Inputs!$F$74, 1, 0)</f>
        <v>0</v>
      </c>
      <c r="H32" s="79">
        <f>IF(COLUMNS($B$32:H32) &gt;= Inputs!$F$74, 1, 0)</f>
        <v>0</v>
      </c>
      <c r="I32" s="79">
        <f>IF(COLUMNS($B$32:I32) &gt;= Inputs!$F$74, 1, 0)</f>
        <v>0</v>
      </c>
      <c r="J32" s="79">
        <f>IF(COLUMNS($B$32:J32) &gt;= Inputs!$F$74, 1, 0)</f>
        <v>0</v>
      </c>
      <c r="K32" s="79">
        <f>IF(COLUMNS($B$32:K32) &gt;= Inputs!$F$74, 1, 0)</f>
        <v>0</v>
      </c>
      <c r="L32" s="79">
        <f>IF(COLUMNS($B$32:L32) &gt;= Inputs!$F$74, 1, 0)</f>
        <v>0</v>
      </c>
      <c r="M32" s="79">
        <f>IF(COLUMNS($B$32:M32) &gt;= Inputs!$F$74, 1, 0)</f>
        <v>0</v>
      </c>
      <c r="N32" s="79">
        <f>IF(COLUMNS($B$32:N32) &gt;= Inputs!$F$74, 1, 0)</f>
        <v>0</v>
      </c>
      <c r="O32" s="79">
        <f>IF(COLUMNS($B$32:O32) &gt;= Inputs!$F$74, 1, 0)</f>
        <v>0</v>
      </c>
      <c r="P32" s="79">
        <f>IF(COLUMNS($B$32:P32) &gt;= Inputs!$F$74, 1, 0)</f>
        <v>0</v>
      </c>
      <c r="Q32" s="79">
        <f>IF(COLUMNS($B$32:Q32) &gt;= Inputs!$F$74, 1, 0)</f>
        <v>0</v>
      </c>
      <c r="R32" s="79">
        <f>IF(COLUMNS($B$32:R32) &gt;= Inputs!$F$74, 1, 0)</f>
        <v>0</v>
      </c>
      <c r="S32" s="79">
        <f>IF(COLUMNS($B$32:S32) &gt;= Inputs!$F$74, 1, 0)</f>
        <v>0</v>
      </c>
      <c r="T32" s="79">
        <f>IF(COLUMNS($B$32:T32) &gt;= Inputs!$F$74, 1, 0)</f>
        <v>0</v>
      </c>
      <c r="U32" s="79">
        <f>IF(COLUMNS($B$32:U32) &gt;= Inputs!$F$74, 1, 0)</f>
        <v>0</v>
      </c>
      <c r="V32" s="79">
        <f>IF(COLUMNS($B$32:V32) &gt;= Inputs!$F$74, 1, 0)</f>
        <v>0</v>
      </c>
      <c r="W32" s="79">
        <f>IF(COLUMNS($B$32:W32) &gt;= Inputs!$F$74, 1, 0)</f>
        <v>0</v>
      </c>
      <c r="X32" s="79">
        <f>IF(COLUMNS($B$32:X32) &gt;= Inputs!$F$74, 1, 0)</f>
        <v>0</v>
      </c>
      <c r="Y32" s="79">
        <f>IF(COLUMNS($B$32:Y32) &gt;= Inputs!$F$74, 1, 0)</f>
        <v>0</v>
      </c>
      <c r="Z32" s="79">
        <f>IF(COLUMNS($B$32:Z32) &gt;= Inputs!$F$74, 1, 0)</f>
        <v>0</v>
      </c>
      <c r="AA32" s="79">
        <f>IF(COLUMNS($B$32:AA32) &gt;= Inputs!$F$74, 1, 0)</f>
        <v>0</v>
      </c>
      <c r="AB32" s="79">
        <f>IF(COLUMNS($B$32:AB32) &gt;= Inputs!$F$74, 1, 0)</f>
        <v>0</v>
      </c>
      <c r="AC32" s="79">
        <f>IF(COLUMNS($B$32:AC32) &gt;= Inputs!$F$74, 1, 0)</f>
        <v>0</v>
      </c>
      <c r="AD32" s="79">
        <f>IF(COLUMNS($B$32:AD32) &gt;= Inputs!$F$74, 1, 0)</f>
        <v>0</v>
      </c>
      <c r="AE32" s="79">
        <f>IF(COLUMNS($B$32:AE32) &gt;= Inputs!$F$74, 1, 0)</f>
        <v>0</v>
      </c>
      <c r="AF32" s="79">
        <f>IF(COLUMNS($B$32:AF32) &gt;= Inputs!$F$74, 1, 0)</f>
        <v>0</v>
      </c>
      <c r="AG32" s="79">
        <f>IF(COLUMNS($B$32:AG32) &gt;= Inputs!$F$74, 1, 0)</f>
        <v>0</v>
      </c>
      <c r="AH32" s="79">
        <f>IF(COLUMNS($B$32:AH32) &gt;= Inputs!$F$74, 1, 0)</f>
        <v>0</v>
      </c>
      <c r="AI32" s="79">
        <f>IF(COLUMNS($B$32:AI32) &gt;= Inputs!$F$74, 1, 0)</f>
        <v>0</v>
      </c>
      <c r="AJ32" s="79">
        <f>IF(COLUMNS($B$32:AJ32) &gt;= Inputs!$F$74, 1, 0)</f>
        <v>0</v>
      </c>
      <c r="AK32" s="79">
        <f>IF(COLUMNS($B$32:AK32) &gt;= Inputs!$F$74, 1, 0)</f>
        <v>0</v>
      </c>
      <c r="AL32" s="79">
        <f>IF(COLUMNS($B$32:AL32) &gt;= Inputs!$F$74, 1, 0)</f>
        <v>0</v>
      </c>
      <c r="AM32" s="79">
        <f>IF(COLUMNS($B$32:AM32) &gt;= Inputs!$F$74, 1, 0)</f>
        <v>0</v>
      </c>
      <c r="AN32" s="79">
        <f>IF(COLUMNS($B$32:AN32) &gt;= Inputs!$F$74, 1, 0)</f>
        <v>0</v>
      </c>
      <c r="AO32" s="79">
        <f>IF(COLUMNS($B$32:AO32) &gt;= Inputs!$F$74, 1, 0)</f>
        <v>0</v>
      </c>
      <c r="AP32" s="79">
        <f>IF(COLUMNS($B$32:AP32) &gt;= Inputs!$F$74, 1, 0)</f>
        <v>0</v>
      </c>
      <c r="AQ32" s="79">
        <f>IF(COLUMNS($B$32:AQ32) &gt;= Inputs!$F$74, 1, 0)</f>
        <v>0</v>
      </c>
      <c r="AR32" s="79">
        <f>IF(COLUMNS($B$32:AR32) &gt;= Inputs!$F$74, 1, 0)</f>
        <v>0</v>
      </c>
      <c r="AS32" s="79">
        <f>IF(COLUMNS($B$32:AS32) &gt;= Inputs!$F$74, 1, 0)</f>
        <v>0</v>
      </c>
      <c r="AT32" s="79">
        <f>IF(COLUMNS($B$32:AT32) &gt;= Inputs!$F$74, 1, 0)</f>
        <v>0</v>
      </c>
      <c r="AU32" s="79">
        <f>IF(COLUMNS($B$32:AU32) &gt;= Inputs!$F$74, 1, 0)</f>
        <v>0</v>
      </c>
      <c r="AV32" s="79">
        <f>IF(COLUMNS($B$32:AV32) &gt;= Inputs!$F$74, 1, 0)</f>
        <v>0</v>
      </c>
      <c r="AW32" s="79">
        <f>IF(COLUMNS($B$32:AW32) &gt;= Inputs!$F$74, 1, 0)</f>
        <v>0</v>
      </c>
      <c r="AX32" s="79">
        <f>IF(COLUMNS($B$32:AX32) &gt;= Inputs!$F$74, 1, 0)</f>
        <v>0</v>
      </c>
      <c r="AY32" s="79">
        <f>IF(COLUMNS($B$32:AY32) &gt;= Inputs!$F$74, 1, 0)</f>
        <v>0</v>
      </c>
      <c r="AZ32" s="79">
        <f>IF(COLUMNS($B$32:AZ32) &gt;= Inputs!$F$74, 1, 0)</f>
        <v>0</v>
      </c>
      <c r="BA32" s="79">
        <f>IF(COLUMNS($B$32:BA32) &gt;= Inputs!$F$74, 1, 0)</f>
        <v>0</v>
      </c>
    </row>
    <row r="33" ht="14.25" customHeight="1">
      <c r="A33" s="3" t="s">
        <v>243</v>
      </c>
      <c r="B33" s="79">
        <f>IF(COLUMNS($B$33:B33) &gt;= Inputs!$F$75, 1, 0)</f>
        <v>0</v>
      </c>
      <c r="C33" s="79">
        <f>IF(COLUMNS($B$33:C33) &gt;= Inputs!$F$75, 1, 0)</f>
        <v>0</v>
      </c>
      <c r="D33" s="79">
        <f>IF(COLUMNS($B$33:D33) &gt;= Inputs!$F$75, 1, 0)</f>
        <v>0</v>
      </c>
      <c r="E33" s="79">
        <f>IF(COLUMNS($B$33:E33) &gt;= Inputs!$F$75, 1, 0)</f>
        <v>0</v>
      </c>
      <c r="F33" s="79">
        <f>IF(COLUMNS($B$33:F33) &gt;= Inputs!$F$75, 1, 0)</f>
        <v>0</v>
      </c>
      <c r="G33" s="79">
        <f>IF(COLUMNS($B$33:G33) &gt;= Inputs!$F$75, 1, 0)</f>
        <v>0</v>
      </c>
      <c r="H33" s="79">
        <f>IF(COLUMNS($B$33:H33) &gt;= Inputs!$F$75, 1, 0)</f>
        <v>0</v>
      </c>
      <c r="I33" s="79">
        <f>IF(COLUMNS($B$33:I33) &gt;= Inputs!$F$75, 1, 0)</f>
        <v>0</v>
      </c>
      <c r="J33" s="79">
        <f>IF(COLUMNS($B$33:J33) &gt;= Inputs!$F$75, 1, 0)</f>
        <v>0</v>
      </c>
      <c r="K33" s="79">
        <f>IF(COLUMNS($B$33:K33) &gt;= Inputs!$F$75, 1, 0)</f>
        <v>0</v>
      </c>
      <c r="L33" s="79">
        <f>IF(COLUMNS($B$33:L33) &gt;= Inputs!$F$75, 1, 0)</f>
        <v>0</v>
      </c>
      <c r="M33" s="79">
        <f>IF(COLUMNS($B$33:M33) &gt;= Inputs!$F$75, 1, 0)</f>
        <v>0</v>
      </c>
      <c r="N33" s="79">
        <f>IF(COLUMNS($B$33:N33) &gt;= Inputs!$F$75, 1, 0)</f>
        <v>0</v>
      </c>
      <c r="O33" s="79">
        <f>IF(COLUMNS($B$33:O33) &gt;= Inputs!$F$75, 1, 0)</f>
        <v>0</v>
      </c>
      <c r="P33" s="79">
        <f>IF(COLUMNS($B$33:P33) &gt;= Inputs!$F$75, 1, 0)</f>
        <v>0</v>
      </c>
      <c r="Q33" s="79">
        <f>IF(COLUMNS($B$33:Q33) &gt;= Inputs!$F$75, 1, 0)</f>
        <v>0</v>
      </c>
      <c r="R33" s="79">
        <f>IF(COLUMNS($B$33:R33) &gt;= Inputs!$F$75, 1, 0)</f>
        <v>0</v>
      </c>
      <c r="S33" s="79">
        <f>IF(COLUMNS($B$33:S33) &gt;= Inputs!$F$75, 1, 0)</f>
        <v>0</v>
      </c>
      <c r="T33" s="79">
        <f>IF(COLUMNS($B$33:T33) &gt;= Inputs!$F$75, 1, 0)</f>
        <v>0</v>
      </c>
      <c r="U33" s="79">
        <f>IF(COLUMNS($B$33:U33) &gt;= Inputs!$F$75, 1, 0)</f>
        <v>0</v>
      </c>
      <c r="V33" s="79">
        <f>IF(COLUMNS($B$33:V33) &gt;= Inputs!$F$75, 1, 0)</f>
        <v>0</v>
      </c>
      <c r="W33" s="79">
        <f>IF(COLUMNS($B$33:W33) &gt;= Inputs!$F$75, 1, 0)</f>
        <v>0</v>
      </c>
      <c r="X33" s="79">
        <f>IF(COLUMNS($B$33:X33) &gt;= Inputs!$F$75, 1, 0)</f>
        <v>0</v>
      </c>
      <c r="Y33" s="79">
        <f>IF(COLUMNS($B$33:Y33) &gt;= Inputs!$F$75, 1, 0)</f>
        <v>0</v>
      </c>
      <c r="Z33" s="79">
        <f>IF(COLUMNS($B$33:Z33) &gt;= Inputs!$F$75, 1, 0)</f>
        <v>0</v>
      </c>
      <c r="AA33" s="79">
        <f>IF(COLUMNS($B$33:AA33) &gt;= Inputs!$F$75, 1, 0)</f>
        <v>0</v>
      </c>
      <c r="AB33" s="79">
        <f>IF(COLUMNS($B$33:AB33) &gt;= Inputs!$F$75, 1, 0)</f>
        <v>0</v>
      </c>
      <c r="AC33" s="79">
        <f>IF(COLUMNS($B$33:AC33) &gt;= Inputs!$F$75, 1, 0)</f>
        <v>0</v>
      </c>
      <c r="AD33" s="79">
        <f>IF(COLUMNS($B$33:AD33) &gt;= Inputs!$F$75, 1, 0)</f>
        <v>0</v>
      </c>
      <c r="AE33" s="79">
        <f>IF(COLUMNS($B$33:AE33) &gt;= Inputs!$F$75, 1, 0)</f>
        <v>0</v>
      </c>
      <c r="AF33" s="79">
        <f>IF(COLUMNS($B$33:AF33) &gt;= Inputs!$F$75, 1, 0)</f>
        <v>0</v>
      </c>
      <c r="AG33" s="79">
        <f>IF(COLUMNS($B$33:AG33) &gt;= Inputs!$F$75, 1, 0)</f>
        <v>0</v>
      </c>
      <c r="AH33" s="79">
        <f>IF(COLUMNS($B$33:AH33) &gt;= Inputs!$F$75, 1, 0)</f>
        <v>0</v>
      </c>
      <c r="AI33" s="79">
        <f>IF(COLUMNS($B$33:AI33) &gt;= Inputs!$F$75, 1, 0)</f>
        <v>0</v>
      </c>
      <c r="AJ33" s="79">
        <f>IF(COLUMNS($B$33:AJ33) &gt;= Inputs!$F$75, 1, 0)</f>
        <v>0</v>
      </c>
      <c r="AK33" s="79">
        <f>IF(COLUMNS($B$33:AK33) &gt;= Inputs!$F$75, 1, 0)</f>
        <v>0</v>
      </c>
      <c r="AL33" s="79">
        <f>IF(COLUMNS($B$33:AL33) &gt;= Inputs!$F$75, 1, 0)</f>
        <v>0</v>
      </c>
      <c r="AM33" s="79">
        <f>IF(COLUMNS($B$33:AM33) &gt;= Inputs!$F$75, 1, 0)</f>
        <v>0</v>
      </c>
      <c r="AN33" s="79">
        <f>IF(COLUMNS($B$33:AN33) &gt;= Inputs!$F$75, 1, 0)</f>
        <v>0</v>
      </c>
      <c r="AO33" s="79">
        <f>IF(COLUMNS($B$33:AO33) &gt;= Inputs!$F$75, 1, 0)</f>
        <v>0</v>
      </c>
      <c r="AP33" s="79">
        <f>IF(COLUMNS($B$33:AP33) &gt;= Inputs!$F$75, 1, 0)</f>
        <v>0</v>
      </c>
      <c r="AQ33" s="79">
        <f>IF(COLUMNS($B$33:AQ33) &gt;= Inputs!$F$75, 1, 0)</f>
        <v>0</v>
      </c>
      <c r="AR33" s="79">
        <f>IF(COLUMNS($B$33:AR33) &gt;= Inputs!$F$75, 1, 0)</f>
        <v>0</v>
      </c>
      <c r="AS33" s="79">
        <f>IF(COLUMNS($B$33:AS33) &gt;= Inputs!$F$75, 1, 0)</f>
        <v>0</v>
      </c>
      <c r="AT33" s="79">
        <f>IF(COLUMNS($B$33:AT33) &gt;= Inputs!$F$75, 1, 0)</f>
        <v>0</v>
      </c>
      <c r="AU33" s="79">
        <f>IF(COLUMNS($B$33:AU33) &gt;= Inputs!$F$75, 1, 0)</f>
        <v>0</v>
      </c>
      <c r="AV33" s="79">
        <f>IF(COLUMNS($B$33:AV33) &gt;= Inputs!$F$75, 1, 0)</f>
        <v>0</v>
      </c>
      <c r="AW33" s="79">
        <f>IF(COLUMNS($B$33:AW33) &gt;= Inputs!$F$75, 1, 0)</f>
        <v>0</v>
      </c>
      <c r="AX33" s="79">
        <f>IF(COLUMNS($B$33:AX33) &gt;= Inputs!$F$75, 1, 0)</f>
        <v>0</v>
      </c>
      <c r="AY33" s="79">
        <f>IF(COLUMNS($B$33:AY33) &gt;= Inputs!$F$75, 1, 0)</f>
        <v>0</v>
      </c>
      <c r="AZ33" s="79">
        <f>IF(COLUMNS($B$33:AZ33) &gt;= Inputs!$F$75, 1, 0)</f>
        <v>0</v>
      </c>
      <c r="BA33" s="79">
        <f>IF(COLUMNS($B$33:BA33) &gt;= Inputs!$F$75, 1, 0)</f>
        <v>0</v>
      </c>
    </row>
    <row r="34" ht="14.25" customHeight="1">
      <c r="A34" s="3" t="s">
        <v>245</v>
      </c>
      <c r="B34" s="79">
        <f>IF(COLUMNS($B$34:B34) &gt;= Inputs!$F$76, 1, 0)</f>
        <v>0</v>
      </c>
      <c r="C34" s="79">
        <f>IF(COLUMNS($B$34:C34) &gt;= Inputs!$F$76, 1, 0)</f>
        <v>0</v>
      </c>
      <c r="D34" s="79">
        <f>IF(COLUMNS($B$34:D34) &gt;= Inputs!$F$76, 1, 0)</f>
        <v>0</v>
      </c>
      <c r="E34" s="79">
        <f>IF(COLUMNS($B$34:E34) &gt;= Inputs!$F$76, 1, 0)</f>
        <v>0</v>
      </c>
      <c r="F34" s="79">
        <f>IF(COLUMNS($B$34:F34) &gt;= Inputs!$F$76, 1, 0)</f>
        <v>0</v>
      </c>
      <c r="G34" s="79">
        <f>IF(COLUMNS($B$34:G34) &gt;= Inputs!$F$76, 1, 0)</f>
        <v>0</v>
      </c>
      <c r="H34" s="79">
        <f>IF(COLUMNS($B$34:H34) &gt;= Inputs!$F$76, 1, 0)</f>
        <v>0</v>
      </c>
      <c r="I34" s="79">
        <f>IF(COLUMNS($B$34:I34) &gt;= Inputs!$F$76, 1, 0)</f>
        <v>0</v>
      </c>
      <c r="J34" s="79">
        <f>IF(COLUMNS($B$34:J34) &gt;= Inputs!$F$76, 1, 0)</f>
        <v>0</v>
      </c>
      <c r="K34" s="79">
        <f>IF(COLUMNS($B$34:K34) &gt;= Inputs!$F$76, 1, 0)</f>
        <v>0</v>
      </c>
      <c r="L34" s="79">
        <f>IF(COLUMNS($B$34:L34) &gt;= Inputs!$F$76, 1, 0)</f>
        <v>0</v>
      </c>
      <c r="M34" s="79">
        <f>IF(COLUMNS($B$34:M34) &gt;= Inputs!$F$76, 1, 0)</f>
        <v>0</v>
      </c>
      <c r="N34" s="79">
        <f>IF(COLUMNS($B$34:N34) &gt;= Inputs!$F$76, 1, 0)</f>
        <v>0</v>
      </c>
      <c r="O34" s="79">
        <f>IF(COLUMNS($B$34:O34) &gt;= Inputs!$F$76, 1, 0)</f>
        <v>0</v>
      </c>
      <c r="P34" s="79">
        <f>IF(COLUMNS($B$34:P34) &gt;= Inputs!$F$76, 1, 0)</f>
        <v>0</v>
      </c>
      <c r="Q34" s="79">
        <f>IF(COLUMNS($B$34:Q34) &gt;= Inputs!$F$76, 1, 0)</f>
        <v>0</v>
      </c>
      <c r="R34" s="79">
        <f>IF(COLUMNS($B$34:R34) &gt;= Inputs!$F$76, 1, 0)</f>
        <v>0</v>
      </c>
      <c r="S34" s="79">
        <f>IF(COLUMNS($B$34:S34) &gt;= Inputs!$F$76, 1, 0)</f>
        <v>0</v>
      </c>
      <c r="T34" s="79">
        <f>IF(COLUMNS($B$34:T34) &gt;= Inputs!$F$76, 1, 0)</f>
        <v>0</v>
      </c>
      <c r="U34" s="79">
        <f>IF(COLUMNS($B$34:U34) &gt;= Inputs!$F$76, 1, 0)</f>
        <v>0</v>
      </c>
      <c r="V34" s="79">
        <f>IF(COLUMNS($B$34:V34) &gt;= Inputs!$F$76, 1, 0)</f>
        <v>0</v>
      </c>
      <c r="W34" s="79">
        <f>IF(COLUMNS($B$34:W34) &gt;= Inputs!$F$76, 1, 0)</f>
        <v>0</v>
      </c>
      <c r="X34" s="79">
        <f>IF(COLUMNS($B$34:X34) &gt;= Inputs!$F$76, 1, 0)</f>
        <v>0</v>
      </c>
      <c r="Y34" s="79">
        <f>IF(COLUMNS($B$34:Y34) &gt;= Inputs!$F$76, 1, 0)</f>
        <v>0</v>
      </c>
      <c r="Z34" s="79">
        <f>IF(COLUMNS($B$34:Z34) &gt;= Inputs!$F$76, 1, 0)</f>
        <v>0</v>
      </c>
      <c r="AA34" s="79">
        <f>IF(COLUMNS($B$34:AA34) &gt;= Inputs!$F$76, 1, 0)</f>
        <v>0</v>
      </c>
      <c r="AB34" s="79">
        <f>IF(COLUMNS($B$34:AB34) &gt;= Inputs!$F$76, 1, 0)</f>
        <v>0</v>
      </c>
      <c r="AC34" s="79">
        <f>IF(COLUMNS($B$34:AC34) &gt;= Inputs!$F$76, 1, 0)</f>
        <v>0</v>
      </c>
      <c r="AD34" s="79">
        <f>IF(COLUMNS($B$34:AD34) &gt;= Inputs!$F$76, 1, 0)</f>
        <v>0</v>
      </c>
      <c r="AE34" s="79">
        <f>IF(COLUMNS($B$34:AE34) &gt;= Inputs!$F$76, 1, 0)</f>
        <v>0</v>
      </c>
      <c r="AF34" s="79">
        <f>IF(COLUMNS($B$34:AF34) &gt;= Inputs!$F$76, 1, 0)</f>
        <v>0</v>
      </c>
      <c r="AG34" s="79">
        <f>IF(COLUMNS($B$34:AG34) &gt;= Inputs!$F$76, 1, 0)</f>
        <v>0</v>
      </c>
      <c r="AH34" s="79">
        <f>IF(COLUMNS($B$34:AH34) &gt;= Inputs!$F$76, 1, 0)</f>
        <v>0</v>
      </c>
      <c r="AI34" s="79">
        <f>IF(COLUMNS($B$34:AI34) &gt;= Inputs!$F$76, 1, 0)</f>
        <v>0</v>
      </c>
      <c r="AJ34" s="79">
        <f>IF(COLUMNS($B$34:AJ34) &gt;= Inputs!$F$76, 1, 0)</f>
        <v>0</v>
      </c>
      <c r="AK34" s="79">
        <f>IF(COLUMNS($B$34:AK34) &gt;= Inputs!$F$76, 1, 0)</f>
        <v>0</v>
      </c>
      <c r="AL34" s="79">
        <f>IF(COLUMNS($B$34:AL34) &gt;= Inputs!$F$76, 1, 0)</f>
        <v>0</v>
      </c>
      <c r="AM34" s="79">
        <f>IF(COLUMNS($B$34:AM34) &gt;= Inputs!$F$76, 1, 0)</f>
        <v>0</v>
      </c>
      <c r="AN34" s="79">
        <f>IF(COLUMNS($B$34:AN34) &gt;= Inputs!$F$76, 1, 0)</f>
        <v>0</v>
      </c>
      <c r="AO34" s="79">
        <f>IF(COLUMNS($B$34:AO34) &gt;= Inputs!$F$76, 1, 0)</f>
        <v>0</v>
      </c>
      <c r="AP34" s="79">
        <f>IF(COLUMNS($B$34:AP34) &gt;= Inputs!$F$76, 1, 0)</f>
        <v>0</v>
      </c>
      <c r="AQ34" s="79">
        <f>IF(COLUMNS($B$34:AQ34) &gt;= Inputs!$F$76, 1, 0)</f>
        <v>0</v>
      </c>
      <c r="AR34" s="79">
        <f>IF(COLUMNS($B$34:AR34) &gt;= Inputs!$F$76, 1, 0)</f>
        <v>0</v>
      </c>
      <c r="AS34" s="79">
        <f>IF(COLUMNS($B$34:AS34) &gt;= Inputs!$F$76, 1, 0)</f>
        <v>0</v>
      </c>
      <c r="AT34" s="79">
        <f>IF(COLUMNS($B$34:AT34) &gt;= Inputs!$F$76, 1, 0)</f>
        <v>0</v>
      </c>
      <c r="AU34" s="79">
        <f>IF(COLUMNS($B$34:AU34) &gt;= Inputs!$F$76, 1, 0)</f>
        <v>0</v>
      </c>
      <c r="AV34" s="79">
        <f>IF(COLUMNS($B$34:AV34) &gt;= Inputs!$F$76, 1, 0)</f>
        <v>0</v>
      </c>
      <c r="AW34" s="79">
        <f>IF(COLUMNS($B$34:AW34) &gt;= Inputs!$F$76, 1, 0)</f>
        <v>0</v>
      </c>
      <c r="AX34" s="79">
        <f>IF(COLUMNS($B$34:AX34) &gt;= Inputs!$F$76, 1, 0)</f>
        <v>0</v>
      </c>
      <c r="AY34" s="79">
        <f>IF(COLUMNS($B$34:AY34) &gt;= Inputs!$F$76, 1, 0)</f>
        <v>0</v>
      </c>
      <c r="AZ34" s="79">
        <f>IF(COLUMNS($B$34:AZ34) &gt;= Inputs!$F$76, 1, 0)</f>
        <v>0</v>
      </c>
      <c r="BA34" s="79">
        <f>IF(COLUMNS($B$34:BA34) &gt;= Inputs!$F$76, 1, 0)</f>
        <v>0</v>
      </c>
    </row>
    <row r="35" ht="14.25" customHeight="1">
      <c r="A35" s="3" t="s">
        <v>247</v>
      </c>
      <c r="B35" s="79">
        <f>IF(COLUMNS($B$35:B35) &gt;= Inputs!$F$77, 1, 0)</f>
        <v>0</v>
      </c>
      <c r="C35" s="79">
        <f>IF(COLUMNS($B$35:C35) &gt;= Inputs!$F$77, 1, 0)</f>
        <v>0</v>
      </c>
      <c r="D35" s="79">
        <f>IF(COLUMNS($B$35:D35) &gt;= Inputs!$F$77, 1, 0)</f>
        <v>0</v>
      </c>
      <c r="E35" s="79">
        <f>IF(COLUMNS($B$35:E35) &gt;= Inputs!$F$77, 1, 0)</f>
        <v>0</v>
      </c>
      <c r="F35" s="79">
        <f>IF(COLUMNS($B$35:F35) &gt;= Inputs!$F$77, 1, 0)</f>
        <v>0</v>
      </c>
      <c r="G35" s="79">
        <f>IF(COLUMNS($B$35:G35) &gt;= Inputs!$F$77, 1, 0)</f>
        <v>0</v>
      </c>
      <c r="H35" s="79">
        <f>IF(COLUMNS($B$35:H35) &gt;= Inputs!$F$77, 1, 0)</f>
        <v>0</v>
      </c>
      <c r="I35" s="79">
        <f>IF(COLUMNS($B$35:I35) &gt;= Inputs!$F$77, 1, 0)</f>
        <v>0</v>
      </c>
      <c r="J35" s="79">
        <f>IF(COLUMNS($B$35:J35) &gt;= Inputs!$F$77, 1, 0)</f>
        <v>0</v>
      </c>
      <c r="K35" s="79">
        <f>IF(COLUMNS($B$35:K35) &gt;= Inputs!$F$77, 1, 0)</f>
        <v>0</v>
      </c>
      <c r="L35" s="79">
        <f>IF(COLUMNS($B$35:L35) &gt;= Inputs!$F$77, 1, 0)</f>
        <v>0</v>
      </c>
      <c r="M35" s="79">
        <f>IF(COLUMNS($B$35:M35) &gt;= Inputs!$F$77, 1, 0)</f>
        <v>0</v>
      </c>
      <c r="N35" s="79">
        <f>IF(COLUMNS($B$35:N35) &gt;= Inputs!$F$77, 1, 0)</f>
        <v>0</v>
      </c>
      <c r="O35" s="79">
        <f>IF(COLUMNS($B$35:O35) &gt;= Inputs!$F$77, 1, 0)</f>
        <v>0</v>
      </c>
      <c r="P35" s="79">
        <f>IF(COLUMNS($B$35:P35) &gt;= Inputs!$F$77, 1, 0)</f>
        <v>0</v>
      </c>
      <c r="Q35" s="79">
        <f>IF(COLUMNS($B$35:Q35) &gt;= Inputs!$F$77, 1, 0)</f>
        <v>0</v>
      </c>
      <c r="R35" s="79">
        <f>IF(COLUMNS($B$35:R35) &gt;= Inputs!$F$77, 1, 0)</f>
        <v>0</v>
      </c>
      <c r="S35" s="79">
        <f>IF(COLUMNS($B$35:S35) &gt;= Inputs!$F$77, 1, 0)</f>
        <v>0</v>
      </c>
      <c r="T35" s="79">
        <f>IF(COLUMNS($B$35:T35) &gt;= Inputs!$F$77, 1, 0)</f>
        <v>0</v>
      </c>
      <c r="U35" s="79">
        <f>IF(COLUMNS($B$35:U35) &gt;= Inputs!$F$77, 1, 0)</f>
        <v>0</v>
      </c>
      <c r="V35" s="79">
        <f>IF(COLUMNS($B$35:V35) &gt;= Inputs!$F$77, 1, 0)</f>
        <v>0</v>
      </c>
      <c r="W35" s="79">
        <f>IF(COLUMNS($B$35:W35) &gt;= Inputs!$F$77, 1, 0)</f>
        <v>0</v>
      </c>
      <c r="X35" s="79">
        <f>IF(COLUMNS($B$35:X35) &gt;= Inputs!$F$77, 1, 0)</f>
        <v>0</v>
      </c>
      <c r="Y35" s="79">
        <f>IF(COLUMNS($B$35:Y35) &gt;= Inputs!$F$77, 1, 0)</f>
        <v>0</v>
      </c>
      <c r="Z35" s="79">
        <f>IF(COLUMNS($B$35:Z35) &gt;= Inputs!$F$77, 1, 0)</f>
        <v>0</v>
      </c>
      <c r="AA35" s="79">
        <f>IF(COLUMNS($B$35:AA35) &gt;= Inputs!$F$77, 1, 0)</f>
        <v>0</v>
      </c>
      <c r="AB35" s="79">
        <f>IF(COLUMNS($B$35:AB35) &gt;= Inputs!$F$77, 1, 0)</f>
        <v>0</v>
      </c>
      <c r="AC35" s="79">
        <f>IF(COLUMNS($B$35:AC35) &gt;= Inputs!$F$77, 1, 0)</f>
        <v>0</v>
      </c>
      <c r="AD35" s="79">
        <f>IF(COLUMNS($B$35:AD35) &gt;= Inputs!$F$77, 1, 0)</f>
        <v>0</v>
      </c>
      <c r="AE35" s="79">
        <f>IF(COLUMNS($B$35:AE35) &gt;= Inputs!$F$77, 1, 0)</f>
        <v>0</v>
      </c>
      <c r="AF35" s="79">
        <f>IF(COLUMNS($B$35:AF35) &gt;= Inputs!$F$77, 1, 0)</f>
        <v>0</v>
      </c>
      <c r="AG35" s="79">
        <f>IF(COLUMNS($B$35:AG35) &gt;= Inputs!$F$77, 1, 0)</f>
        <v>0</v>
      </c>
      <c r="AH35" s="79">
        <f>IF(COLUMNS($B$35:AH35) &gt;= Inputs!$F$77, 1, 0)</f>
        <v>0</v>
      </c>
      <c r="AI35" s="79">
        <f>IF(COLUMNS($B$35:AI35) &gt;= Inputs!$F$77, 1, 0)</f>
        <v>0</v>
      </c>
      <c r="AJ35" s="79">
        <f>IF(COLUMNS($B$35:AJ35) &gt;= Inputs!$F$77, 1, 0)</f>
        <v>0</v>
      </c>
      <c r="AK35" s="79">
        <f>IF(COLUMNS($B$35:AK35) &gt;= Inputs!$F$77, 1, 0)</f>
        <v>0</v>
      </c>
      <c r="AL35" s="79">
        <f>IF(COLUMNS($B$35:AL35) &gt;= Inputs!$F$77, 1, 0)</f>
        <v>0</v>
      </c>
      <c r="AM35" s="79">
        <f>IF(COLUMNS($B$35:AM35) &gt;= Inputs!$F$77, 1, 0)</f>
        <v>0</v>
      </c>
      <c r="AN35" s="79">
        <f>IF(COLUMNS($B$35:AN35) &gt;= Inputs!$F$77, 1, 0)</f>
        <v>0</v>
      </c>
      <c r="AO35" s="79">
        <f>IF(COLUMNS($B$35:AO35) &gt;= Inputs!$F$77, 1, 0)</f>
        <v>0</v>
      </c>
      <c r="AP35" s="79">
        <f>IF(COLUMNS($B$35:AP35) &gt;= Inputs!$F$77, 1, 0)</f>
        <v>0</v>
      </c>
      <c r="AQ35" s="79">
        <f>IF(COLUMNS($B$35:AQ35) &gt;= Inputs!$F$77, 1, 0)</f>
        <v>0</v>
      </c>
      <c r="AR35" s="79">
        <f>IF(COLUMNS($B$35:AR35) &gt;= Inputs!$F$77, 1, 0)</f>
        <v>0</v>
      </c>
      <c r="AS35" s="79">
        <f>IF(COLUMNS($B$35:AS35) &gt;= Inputs!$F$77, 1, 0)</f>
        <v>0</v>
      </c>
      <c r="AT35" s="79">
        <f>IF(COLUMNS($B$35:AT35) &gt;= Inputs!$F$77, 1, 0)</f>
        <v>0</v>
      </c>
      <c r="AU35" s="79">
        <f>IF(COLUMNS($B$35:AU35) &gt;= Inputs!$F$77, 1, 0)</f>
        <v>0</v>
      </c>
      <c r="AV35" s="79">
        <f>IF(COLUMNS($B$35:AV35) &gt;= Inputs!$F$77, 1, 0)</f>
        <v>0</v>
      </c>
      <c r="AW35" s="79">
        <f>IF(COLUMNS($B$35:AW35) &gt;= Inputs!$F$77, 1, 0)</f>
        <v>0</v>
      </c>
      <c r="AX35" s="79">
        <f>IF(COLUMNS($B$35:AX35) &gt;= Inputs!$F$77, 1, 0)</f>
        <v>0</v>
      </c>
      <c r="AY35" s="79">
        <f>IF(COLUMNS($B$35:AY35) &gt;= Inputs!$F$77, 1, 0)</f>
        <v>0</v>
      </c>
      <c r="AZ35" s="79">
        <f>IF(COLUMNS($B$35:AZ35) &gt;= Inputs!$F$77, 1, 0)</f>
        <v>0</v>
      </c>
      <c r="BA35" s="79">
        <f>IF(COLUMNS($B$35:BA35) &gt;= Inputs!$F$77, 1, 0)</f>
        <v>0</v>
      </c>
    </row>
    <row r="36" ht="14.25" customHeight="1">
      <c r="A36" s="3" t="s">
        <v>249</v>
      </c>
      <c r="B36" s="79">
        <f>IF(COLUMNS($B$36:B36) &gt;= Inputs!$F$78, 1, 0)</f>
        <v>0</v>
      </c>
      <c r="C36" s="79">
        <f>IF(COLUMNS($B$36:C36) &gt;= Inputs!$F$78, 1, 0)</f>
        <v>0</v>
      </c>
      <c r="D36" s="79">
        <f>IF(COLUMNS($B$36:D36) &gt;= Inputs!$F$78, 1, 0)</f>
        <v>0</v>
      </c>
      <c r="E36" s="79">
        <f>IF(COLUMNS($B$36:E36) &gt;= Inputs!$F$78, 1, 0)</f>
        <v>0</v>
      </c>
      <c r="F36" s="79">
        <f>IF(COLUMNS($B$36:F36) &gt;= Inputs!$F$78, 1, 0)</f>
        <v>0</v>
      </c>
      <c r="G36" s="79">
        <f>IF(COLUMNS($B$36:G36) &gt;= Inputs!$F$78, 1, 0)</f>
        <v>0</v>
      </c>
      <c r="H36" s="79">
        <f>IF(COLUMNS($B$36:H36) &gt;= Inputs!$F$78, 1, 0)</f>
        <v>0</v>
      </c>
      <c r="I36" s="79">
        <f>IF(COLUMNS($B$36:I36) &gt;= Inputs!$F$78, 1, 0)</f>
        <v>0</v>
      </c>
      <c r="J36" s="79">
        <f>IF(COLUMNS($B$36:J36) &gt;= Inputs!$F$78, 1, 0)</f>
        <v>0</v>
      </c>
      <c r="K36" s="79">
        <f>IF(COLUMNS($B$36:K36) &gt;= Inputs!$F$78, 1, 0)</f>
        <v>0</v>
      </c>
      <c r="L36" s="79">
        <f>IF(COLUMNS($B$36:L36) &gt;= Inputs!$F$78, 1, 0)</f>
        <v>0</v>
      </c>
      <c r="M36" s="79">
        <f>IF(COLUMNS($B$36:M36) &gt;= Inputs!$F$78, 1, 0)</f>
        <v>0</v>
      </c>
      <c r="N36" s="79">
        <f>IF(COLUMNS($B$36:N36) &gt;= Inputs!$F$78, 1, 0)</f>
        <v>0</v>
      </c>
      <c r="O36" s="79">
        <f>IF(COLUMNS($B$36:O36) &gt;= Inputs!$F$78, 1, 0)</f>
        <v>0</v>
      </c>
      <c r="P36" s="79">
        <f>IF(COLUMNS($B$36:P36) &gt;= Inputs!$F$78, 1, 0)</f>
        <v>0</v>
      </c>
      <c r="Q36" s="79">
        <f>IF(COLUMNS($B$36:Q36) &gt;= Inputs!$F$78, 1, 0)</f>
        <v>0</v>
      </c>
      <c r="R36" s="79">
        <f>IF(COLUMNS($B$36:R36) &gt;= Inputs!$F$78, 1, 0)</f>
        <v>0</v>
      </c>
      <c r="S36" s="79">
        <f>IF(COLUMNS($B$36:S36) &gt;= Inputs!$F$78, 1, 0)</f>
        <v>0</v>
      </c>
      <c r="T36" s="79">
        <f>IF(COLUMNS($B$36:T36) &gt;= Inputs!$F$78, 1, 0)</f>
        <v>0</v>
      </c>
      <c r="U36" s="79">
        <f>IF(COLUMNS($B$36:U36) &gt;= Inputs!$F$78, 1, 0)</f>
        <v>0</v>
      </c>
      <c r="V36" s="79">
        <f>IF(COLUMNS($B$36:V36) &gt;= Inputs!$F$78, 1, 0)</f>
        <v>0</v>
      </c>
      <c r="W36" s="79">
        <f>IF(COLUMNS($B$36:W36) &gt;= Inputs!$F$78, 1, 0)</f>
        <v>0</v>
      </c>
      <c r="X36" s="79">
        <f>IF(COLUMNS($B$36:X36) &gt;= Inputs!$F$78, 1, 0)</f>
        <v>0</v>
      </c>
      <c r="Y36" s="79">
        <f>IF(COLUMNS($B$36:Y36) &gt;= Inputs!$F$78, 1, 0)</f>
        <v>0</v>
      </c>
      <c r="Z36" s="79">
        <f>IF(COLUMNS($B$36:Z36) &gt;= Inputs!$F$78, 1, 0)</f>
        <v>0</v>
      </c>
      <c r="AA36" s="79">
        <f>IF(COLUMNS($B$36:AA36) &gt;= Inputs!$F$78, 1, 0)</f>
        <v>0</v>
      </c>
      <c r="AB36" s="79">
        <f>IF(COLUMNS($B$36:AB36) &gt;= Inputs!$F$78, 1, 0)</f>
        <v>0</v>
      </c>
      <c r="AC36" s="79">
        <f>IF(COLUMNS($B$36:AC36) &gt;= Inputs!$F$78, 1, 0)</f>
        <v>0</v>
      </c>
      <c r="AD36" s="79">
        <f>IF(COLUMNS($B$36:AD36) &gt;= Inputs!$F$78, 1, 0)</f>
        <v>0</v>
      </c>
      <c r="AE36" s="79">
        <f>IF(COLUMNS($B$36:AE36) &gt;= Inputs!$F$78, 1, 0)</f>
        <v>0</v>
      </c>
      <c r="AF36" s="79">
        <f>IF(COLUMNS($B$36:AF36) &gt;= Inputs!$F$78, 1, 0)</f>
        <v>0</v>
      </c>
      <c r="AG36" s="79">
        <f>IF(COLUMNS($B$36:AG36) &gt;= Inputs!$F$78, 1, 0)</f>
        <v>0</v>
      </c>
      <c r="AH36" s="79">
        <f>IF(COLUMNS($B$36:AH36) &gt;= Inputs!$F$78, 1, 0)</f>
        <v>0</v>
      </c>
      <c r="AI36" s="79">
        <f>IF(COLUMNS($B$36:AI36) &gt;= Inputs!$F$78, 1, 0)</f>
        <v>0</v>
      </c>
      <c r="AJ36" s="79">
        <f>IF(COLUMNS($B$36:AJ36) &gt;= Inputs!$F$78, 1, 0)</f>
        <v>0</v>
      </c>
      <c r="AK36" s="79">
        <f>IF(COLUMNS($B$36:AK36) &gt;= Inputs!$F$78, 1, 0)</f>
        <v>0</v>
      </c>
      <c r="AL36" s="79">
        <f>IF(COLUMNS($B$36:AL36) &gt;= Inputs!$F$78, 1, 0)</f>
        <v>0</v>
      </c>
      <c r="AM36" s="79">
        <f>IF(COLUMNS($B$36:AM36) &gt;= Inputs!$F$78, 1, 0)</f>
        <v>0</v>
      </c>
      <c r="AN36" s="79">
        <f>IF(COLUMNS($B$36:AN36) &gt;= Inputs!$F$78, 1, 0)</f>
        <v>0</v>
      </c>
      <c r="AO36" s="79">
        <f>IF(COLUMNS($B$36:AO36) &gt;= Inputs!$F$78, 1, 0)</f>
        <v>0</v>
      </c>
      <c r="AP36" s="79">
        <f>IF(COLUMNS($B$36:AP36) &gt;= Inputs!$F$78, 1, 0)</f>
        <v>0</v>
      </c>
      <c r="AQ36" s="79">
        <f>IF(COLUMNS($B$36:AQ36) &gt;= Inputs!$F$78, 1, 0)</f>
        <v>0</v>
      </c>
      <c r="AR36" s="79">
        <f>IF(COLUMNS($B$36:AR36) &gt;= Inputs!$F$78, 1, 0)</f>
        <v>0</v>
      </c>
      <c r="AS36" s="79">
        <f>IF(COLUMNS($B$36:AS36) &gt;= Inputs!$F$78, 1, 0)</f>
        <v>0</v>
      </c>
      <c r="AT36" s="79">
        <f>IF(COLUMNS($B$36:AT36) &gt;= Inputs!$F$78, 1, 0)</f>
        <v>0</v>
      </c>
      <c r="AU36" s="79">
        <f>IF(COLUMNS($B$36:AU36) &gt;= Inputs!$F$78, 1, 0)</f>
        <v>0</v>
      </c>
      <c r="AV36" s="79">
        <f>IF(COLUMNS($B$36:AV36) &gt;= Inputs!$F$78, 1, 0)</f>
        <v>0</v>
      </c>
      <c r="AW36" s="79">
        <f>IF(COLUMNS($B$36:AW36) &gt;= Inputs!$F$78, 1, 0)</f>
        <v>0</v>
      </c>
      <c r="AX36" s="79">
        <f>IF(COLUMNS($B$36:AX36) &gt;= Inputs!$F$78, 1, 0)</f>
        <v>0</v>
      </c>
      <c r="AY36" s="79">
        <f>IF(COLUMNS($B$36:AY36) &gt;= Inputs!$F$78, 1, 0)</f>
        <v>0</v>
      </c>
      <c r="AZ36" s="79">
        <f>IF(COLUMNS($B$36:AZ36) &gt;= Inputs!$F$78, 1, 0)</f>
        <v>0</v>
      </c>
      <c r="BA36" s="79">
        <f>IF(COLUMNS($B$36:BA36) &gt;= Inputs!$F$78, 1, 0)</f>
        <v>0</v>
      </c>
    </row>
    <row r="37" ht="14.25" customHeight="1">
      <c r="A37" s="3" t="s">
        <v>251</v>
      </c>
      <c r="B37" s="79">
        <f>IF(COLUMNS($B$37:B37) &gt;= Inputs!$F$79, 1, 0)</f>
        <v>0</v>
      </c>
      <c r="C37" s="79">
        <f>IF(COLUMNS($B$37:C37) &gt;= Inputs!$F$79, 1, 0)</f>
        <v>0</v>
      </c>
      <c r="D37" s="79">
        <f>IF(COLUMNS($B$37:D37) &gt;= Inputs!$F$79, 1, 0)</f>
        <v>0</v>
      </c>
      <c r="E37" s="79">
        <f>IF(COLUMNS($B$37:E37) &gt;= Inputs!$F$79, 1, 0)</f>
        <v>0</v>
      </c>
      <c r="F37" s="79">
        <f>IF(COLUMNS($B$37:F37) &gt;= Inputs!$F$79, 1, 0)</f>
        <v>0</v>
      </c>
      <c r="G37" s="79">
        <f>IF(COLUMNS($B$37:G37) &gt;= Inputs!$F$79, 1, 0)</f>
        <v>0</v>
      </c>
      <c r="H37" s="79">
        <f>IF(COLUMNS($B$37:H37) &gt;= Inputs!$F$79, 1, 0)</f>
        <v>0</v>
      </c>
      <c r="I37" s="79">
        <f>IF(COLUMNS($B$37:I37) &gt;= Inputs!$F$79, 1, 0)</f>
        <v>0</v>
      </c>
      <c r="J37" s="79">
        <f>IF(COLUMNS($B$37:J37) &gt;= Inputs!$F$79, 1, 0)</f>
        <v>0</v>
      </c>
      <c r="K37" s="79">
        <f>IF(COLUMNS($B$37:K37) &gt;= Inputs!$F$79, 1, 0)</f>
        <v>0</v>
      </c>
      <c r="L37" s="79">
        <f>IF(COLUMNS($B$37:L37) &gt;= Inputs!$F$79, 1, 0)</f>
        <v>0</v>
      </c>
      <c r="M37" s="79">
        <f>IF(COLUMNS($B$37:M37) &gt;= Inputs!$F$79, 1, 0)</f>
        <v>0</v>
      </c>
      <c r="N37" s="79">
        <f>IF(COLUMNS($B$37:N37) &gt;= Inputs!$F$79, 1, 0)</f>
        <v>0</v>
      </c>
      <c r="O37" s="79">
        <f>IF(COLUMNS($B$37:O37) &gt;= Inputs!$F$79, 1, 0)</f>
        <v>0</v>
      </c>
      <c r="P37" s="79">
        <f>IF(COLUMNS($B$37:P37) &gt;= Inputs!$F$79, 1, 0)</f>
        <v>0</v>
      </c>
      <c r="Q37" s="79">
        <f>IF(COLUMNS($B$37:Q37) &gt;= Inputs!$F$79, 1, 0)</f>
        <v>0</v>
      </c>
      <c r="R37" s="79">
        <f>IF(COLUMNS($B$37:R37) &gt;= Inputs!$F$79, 1, 0)</f>
        <v>0</v>
      </c>
      <c r="S37" s="79">
        <f>IF(COLUMNS($B$37:S37) &gt;= Inputs!$F$79, 1, 0)</f>
        <v>0</v>
      </c>
      <c r="T37" s="79">
        <f>IF(COLUMNS($B$37:T37) &gt;= Inputs!$F$79, 1, 0)</f>
        <v>0</v>
      </c>
      <c r="U37" s="79">
        <f>IF(COLUMNS($B$37:U37) &gt;= Inputs!$F$79, 1, 0)</f>
        <v>0</v>
      </c>
      <c r="V37" s="79">
        <f>IF(COLUMNS($B$37:V37) &gt;= Inputs!$F$79, 1, 0)</f>
        <v>0</v>
      </c>
      <c r="W37" s="79">
        <f>IF(COLUMNS($B$37:W37) &gt;= Inputs!$F$79, 1, 0)</f>
        <v>0</v>
      </c>
      <c r="X37" s="79">
        <f>IF(COLUMNS($B$37:X37) &gt;= Inputs!$F$79, 1, 0)</f>
        <v>0</v>
      </c>
      <c r="Y37" s="79">
        <f>IF(COLUMNS($B$37:Y37) &gt;= Inputs!$F$79, 1, 0)</f>
        <v>0</v>
      </c>
      <c r="Z37" s="79">
        <f>IF(COLUMNS($B$37:Z37) &gt;= Inputs!$F$79, 1, 0)</f>
        <v>0</v>
      </c>
      <c r="AA37" s="79">
        <f>IF(COLUMNS($B$37:AA37) &gt;= Inputs!$F$79, 1, 0)</f>
        <v>0</v>
      </c>
      <c r="AB37" s="79">
        <f>IF(COLUMNS($B$37:AB37) &gt;= Inputs!$F$79, 1, 0)</f>
        <v>0</v>
      </c>
      <c r="AC37" s="79">
        <f>IF(COLUMNS($B$37:AC37) &gt;= Inputs!$F$79, 1, 0)</f>
        <v>0</v>
      </c>
      <c r="AD37" s="79">
        <f>IF(COLUMNS($B$37:AD37) &gt;= Inputs!$F$79, 1, 0)</f>
        <v>0</v>
      </c>
      <c r="AE37" s="79">
        <f>IF(COLUMNS($B$37:AE37) &gt;= Inputs!$F$79, 1, 0)</f>
        <v>0</v>
      </c>
      <c r="AF37" s="79">
        <f>IF(COLUMNS($B$37:AF37) &gt;= Inputs!$F$79, 1, 0)</f>
        <v>0</v>
      </c>
      <c r="AG37" s="79">
        <f>IF(COLUMNS($B$37:AG37) &gt;= Inputs!$F$79, 1, 0)</f>
        <v>0</v>
      </c>
      <c r="AH37" s="79">
        <f>IF(COLUMNS($B$37:AH37) &gt;= Inputs!$F$79, 1, 0)</f>
        <v>0</v>
      </c>
      <c r="AI37" s="79">
        <f>IF(COLUMNS($B$37:AI37) &gt;= Inputs!$F$79, 1, 0)</f>
        <v>0</v>
      </c>
      <c r="AJ37" s="79">
        <f>IF(COLUMNS($B$37:AJ37) &gt;= Inputs!$F$79, 1, 0)</f>
        <v>0</v>
      </c>
      <c r="AK37" s="79">
        <f>IF(COLUMNS($B$37:AK37) &gt;= Inputs!$F$79, 1, 0)</f>
        <v>0</v>
      </c>
      <c r="AL37" s="79">
        <f>IF(COLUMNS($B$37:AL37) &gt;= Inputs!$F$79, 1, 0)</f>
        <v>0</v>
      </c>
      <c r="AM37" s="79">
        <f>IF(COLUMNS($B$37:AM37) &gt;= Inputs!$F$79, 1, 0)</f>
        <v>0</v>
      </c>
      <c r="AN37" s="79">
        <f>IF(COLUMNS($B$37:AN37) &gt;= Inputs!$F$79, 1, 0)</f>
        <v>0</v>
      </c>
      <c r="AO37" s="79">
        <f>IF(COLUMNS($B$37:AO37) &gt;= Inputs!$F$79, 1, 0)</f>
        <v>0</v>
      </c>
      <c r="AP37" s="79">
        <f>IF(COLUMNS($B$37:AP37) &gt;= Inputs!$F$79, 1, 0)</f>
        <v>0</v>
      </c>
      <c r="AQ37" s="79">
        <f>IF(COLUMNS($B$37:AQ37) &gt;= Inputs!$F$79, 1, 0)</f>
        <v>0</v>
      </c>
      <c r="AR37" s="79">
        <f>IF(COLUMNS($B$37:AR37) &gt;= Inputs!$F$79, 1, 0)</f>
        <v>0</v>
      </c>
      <c r="AS37" s="79">
        <f>IF(COLUMNS($B$37:AS37) &gt;= Inputs!$F$79, 1, 0)</f>
        <v>0</v>
      </c>
      <c r="AT37" s="79">
        <f>IF(COLUMNS($B$37:AT37) &gt;= Inputs!$F$79, 1, 0)</f>
        <v>0</v>
      </c>
      <c r="AU37" s="79">
        <f>IF(COLUMNS($B$37:AU37) &gt;= Inputs!$F$79, 1, 0)</f>
        <v>0</v>
      </c>
      <c r="AV37" s="79">
        <f>IF(COLUMNS($B$37:AV37) &gt;= Inputs!$F$79, 1, 0)</f>
        <v>0</v>
      </c>
      <c r="AW37" s="79">
        <f>IF(COLUMNS($B$37:AW37) &gt;= Inputs!$F$79, 1, 0)</f>
        <v>0</v>
      </c>
      <c r="AX37" s="79">
        <f>IF(COLUMNS($B$37:AX37) &gt;= Inputs!$F$79, 1, 0)</f>
        <v>0</v>
      </c>
      <c r="AY37" s="79">
        <f>IF(COLUMNS($B$37:AY37) &gt;= Inputs!$F$79, 1, 0)</f>
        <v>0</v>
      </c>
      <c r="AZ37" s="79">
        <f>IF(COLUMNS($B$37:AZ37) &gt;= Inputs!$F$79, 1, 0)</f>
        <v>0</v>
      </c>
      <c r="BA37" s="79">
        <f>IF(COLUMNS($B$37:BA37) &gt;= Inputs!$F$79, 1, 0)</f>
        <v>0</v>
      </c>
    </row>
    <row r="38" ht="14.25" customHeight="1">
      <c r="A38" s="2" t="s">
        <v>511</v>
      </c>
      <c r="B38" s="80">
        <f t="shared" ref="B38:BA38" si="1">SUM(B5:B37)</f>
        <v>3</v>
      </c>
      <c r="C38" s="80">
        <f t="shared" si="1"/>
        <v>3</v>
      </c>
      <c r="D38" s="80">
        <f t="shared" si="1"/>
        <v>3</v>
      </c>
      <c r="E38" s="80">
        <f t="shared" si="1"/>
        <v>3</v>
      </c>
      <c r="F38" s="80">
        <f t="shared" si="1"/>
        <v>3</v>
      </c>
      <c r="G38" s="80">
        <f t="shared" si="1"/>
        <v>3</v>
      </c>
      <c r="H38" s="80">
        <f t="shared" si="1"/>
        <v>4</v>
      </c>
      <c r="I38" s="80">
        <f t="shared" si="1"/>
        <v>5</v>
      </c>
      <c r="J38" s="80">
        <f t="shared" si="1"/>
        <v>6</v>
      </c>
      <c r="K38" s="80">
        <f t="shared" si="1"/>
        <v>7</v>
      </c>
      <c r="L38" s="80">
        <f t="shared" si="1"/>
        <v>8</v>
      </c>
      <c r="M38" s="80">
        <f t="shared" si="1"/>
        <v>9</v>
      </c>
      <c r="N38" s="80">
        <f t="shared" si="1"/>
        <v>10</v>
      </c>
      <c r="O38" s="80">
        <f t="shared" si="1"/>
        <v>12</v>
      </c>
      <c r="P38" s="80">
        <f t="shared" si="1"/>
        <v>12</v>
      </c>
      <c r="Q38" s="80">
        <f t="shared" si="1"/>
        <v>12</v>
      </c>
      <c r="R38" s="80">
        <f t="shared" si="1"/>
        <v>12</v>
      </c>
      <c r="S38" s="80">
        <f t="shared" si="1"/>
        <v>15</v>
      </c>
      <c r="T38" s="80">
        <f t="shared" si="1"/>
        <v>15</v>
      </c>
      <c r="U38" s="80">
        <f t="shared" si="1"/>
        <v>16</v>
      </c>
      <c r="V38" s="80">
        <f t="shared" si="1"/>
        <v>16</v>
      </c>
      <c r="W38" s="80">
        <f t="shared" si="1"/>
        <v>17</v>
      </c>
      <c r="X38" s="80">
        <f t="shared" si="1"/>
        <v>17</v>
      </c>
      <c r="Y38" s="80">
        <f t="shared" si="1"/>
        <v>18</v>
      </c>
      <c r="Z38" s="80">
        <f t="shared" si="1"/>
        <v>18</v>
      </c>
      <c r="AA38" s="80">
        <f t="shared" si="1"/>
        <v>18</v>
      </c>
      <c r="AB38" s="80">
        <f t="shared" si="1"/>
        <v>18</v>
      </c>
      <c r="AC38" s="80">
        <f t="shared" si="1"/>
        <v>19</v>
      </c>
      <c r="AD38" s="80">
        <f t="shared" si="1"/>
        <v>19</v>
      </c>
      <c r="AE38" s="80">
        <f t="shared" si="1"/>
        <v>20</v>
      </c>
      <c r="AF38" s="80">
        <f t="shared" si="1"/>
        <v>20</v>
      </c>
      <c r="AG38" s="80">
        <f t="shared" si="1"/>
        <v>20</v>
      </c>
      <c r="AH38" s="80">
        <f t="shared" si="1"/>
        <v>20</v>
      </c>
      <c r="AI38" s="80">
        <f t="shared" si="1"/>
        <v>20</v>
      </c>
      <c r="AJ38" s="80">
        <f t="shared" si="1"/>
        <v>20</v>
      </c>
      <c r="AK38" s="80">
        <f t="shared" si="1"/>
        <v>21</v>
      </c>
      <c r="AL38" s="80">
        <f t="shared" si="1"/>
        <v>21</v>
      </c>
      <c r="AM38" s="80">
        <f t="shared" si="1"/>
        <v>21</v>
      </c>
      <c r="AN38" s="80">
        <f t="shared" si="1"/>
        <v>21</v>
      </c>
      <c r="AO38" s="80">
        <f t="shared" si="1"/>
        <v>21</v>
      </c>
      <c r="AP38" s="80">
        <f t="shared" si="1"/>
        <v>21</v>
      </c>
      <c r="AQ38" s="80">
        <f t="shared" si="1"/>
        <v>21</v>
      </c>
      <c r="AR38" s="80">
        <f t="shared" si="1"/>
        <v>21</v>
      </c>
      <c r="AS38" s="80">
        <f t="shared" si="1"/>
        <v>21</v>
      </c>
      <c r="AT38" s="80">
        <f t="shared" si="1"/>
        <v>21</v>
      </c>
      <c r="AU38" s="80">
        <f t="shared" si="1"/>
        <v>21</v>
      </c>
      <c r="AV38" s="80">
        <f t="shared" si="1"/>
        <v>21</v>
      </c>
      <c r="AW38" s="80">
        <f t="shared" si="1"/>
        <v>21</v>
      </c>
      <c r="AX38" s="80">
        <f t="shared" si="1"/>
        <v>21</v>
      </c>
      <c r="AY38" s="80">
        <f t="shared" si="1"/>
        <v>21</v>
      </c>
      <c r="AZ38" s="80">
        <f t="shared" si="1"/>
        <v>21</v>
      </c>
      <c r="BA38" s="80">
        <f t="shared" si="1"/>
        <v>21</v>
      </c>
    </row>
    <row r="39" ht="14.25" customHeight="1"/>
    <row r="40" ht="14.25" customHeight="1">
      <c r="A40" s="2" t="s">
        <v>512</v>
      </c>
    </row>
    <row r="41" ht="14.25" customHeight="1">
      <c r="A41" s="3" t="s">
        <v>123</v>
      </c>
      <c r="B41" s="81">
        <f>B5/3 * (Inputs!$B$32 / 12) * (1 + Inputs!$B$44)^INT((COLUMNS($B$41:B41)-1) / 12)</f>
        <v>6000</v>
      </c>
      <c r="C41" s="81">
        <f>C5/3 * (Inputs!$B$32 / 12) * (1 + Inputs!$B$44)^INT((COLUMNS($B$41:C41)-1) / 12)</f>
        <v>6000</v>
      </c>
      <c r="D41" s="81">
        <f>D5/3 * (Inputs!$B$32 / 12) * (1 + Inputs!$B$44)^INT((COLUMNS($B$41:D41)-1) / 12)</f>
        <v>6000</v>
      </c>
      <c r="E41" s="81">
        <f>E5/3 * (Inputs!$B$32 / 12) * (1 + Inputs!$B$44)^INT((COLUMNS($B$41:E41)-1) / 12)</f>
        <v>6000</v>
      </c>
      <c r="F41" s="81">
        <f>F5/3 * (Inputs!$B$32 / 12) * (1 + Inputs!$B$44)^INT((COLUMNS($B$41:F41)-1) / 12)</f>
        <v>6000</v>
      </c>
      <c r="G41" s="81">
        <f>G5/3 * (Inputs!$B$32 / 12) * (1 + Inputs!$B$44)^INT((COLUMNS($B$41:G41)-1) / 12)</f>
        <v>6000</v>
      </c>
      <c r="H41" s="81">
        <f>H5/3 * (Inputs!$B$32 / 12) * (1 + Inputs!$B$44)^INT((COLUMNS($B$41:H41)-1) / 12)</f>
        <v>6000</v>
      </c>
      <c r="I41" s="81">
        <f>I5/3 * (Inputs!$B$32 / 12) * (1 + Inputs!$B$44)^INT((COLUMNS($B$41:I41)-1) / 12)</f>
        <v>6000</v>
      </c>
      <c r="J41" s="81">
        <f>J5/3 * (Inputs!$B$32 / 12) * (1 + Inputs!$B$44)^INT((COLUMNS($B$41:J41)-1) / 12)</f>
        <v>6000</v>
      </c>
      <c r="K41" s="81">
        <f>K5/3 * (Inputs!$B$32 / 12) * (1 + Inputs!$B$44)^INT((COLUMNS($B$41:K41)-1) / 12)</f>
        <v>6000</v>
      </c>
      <c r="L41" s="81">
        <f>L5/3 * (Inputs!$B$32 / 12) * (1 + Inputs!$B$44)^INT((COLUMNS($B$41:L41)-1) / 12)</f>
        <v>6000</v>
      </c>
      <c r="M41" s="81">
        <f>M5/3 * (Inputs!$B$32 / 12) * (1 + Inputs!$B$44)^INT((COLUMNS($B$41:M41)-1) / 12)</f>
        <v>6000</v>
      </c>
      <c r="N41" s="81">
        <f>N5/3 * (Inputs!$B$32 / 12) * (1 + Inputs!$B$44)^INT((COLUMNS($B$41:N41)-1) / 12)</f>
        <v>6300</v>
      </c>
      <c r="O41" s="81">
        <f>O5/3 * (Inputs!$B$32 / 12) * (1 + Inputs!$B$44)^INT((COLUMNS($B$41:O41)-1) / 12)</f>
        <v>6300</v>
      </c>
      <c r="P41" s="81">
        <f>P5/3 * (Inputs!$B$32 / 12) * (1 + Inputs!$B$44)^INT((COLUMNS($B$41:P41)-1) / 12)</f>
        <v>6300</v>
      </c>
      <c r="Q41" s="81">
        <f>Q5/3 * (Inputs!$B$32 / 12) * (1 + Inputs!$B$44)^INT((COLUMNS($B$41:Q41)-1) / 12)</f>
        <v>6300</v>
      </c>
      <c r="R41" s="81">
        <f>R5/3 * (Inputs!$B$32 / 12) * (1 + Inputs!$B$44)^INT((COLUMNS($B$41:R41)-1) / 12)</f>
        <v>6300</v>
      </c>
      <c r="S41" s="81">
        <f>S5/3 * (Inputs!$B$32 / 12) * (1 + Inputs!$B$44)^INT((COLUMNS($B$41:S41)-1) / 12)</f>
        <v>6300</v>
      </c>
      <c r="T41" s="81">
        <f>T5/3 * (Inputs!$B$32 / 12) * (1 + Inputs!$B$44)^INT((COLUMNS($B$41:T41)-1) / 12)</f>
        <v>6300</v>
      </c>
      <c r="U41" s="81">
        <f>U5/3 * (Inputs!$B$32 / 12) * (1 + Inputs!$B$44)^INT((COLUMNS($B$41:U41)-1) / 12)</f>
        <v>6300</v>
      </c>
      <c r="V41" s="81">
        <f>V5/3 * (Inputs!$B$32 / 12) * (1 + Inputs!$B$44)^INT((COLUMNS($B$41:V41)-1) / 12)</f>
        <v>6300</v>
      </c>
      <c r="W41" s="81">
        <f>W5/3 * (Inputs!$B$32 / 12) * (1 + Inputs!$B$44)^INT((COLUMNS($B$41:W41)-1) / 12)</f>
        <v>6300</v>
      </c>
      <c r="X41" s="81">
        <f>X5/3 * (Inputs!$B$32 / 12) * (1 + Inputs!$B$44)^INT((COLUMNS($B$41:X41)-1) / 12)</f>
        <v>6300</v>
      </c>
      <c r="Y41" s="81">
        <f>Y5/3 * (Inputs!$B$32 / 12) * (1 + Inputs!$B$44)^INT((COLUMNS($B$41:Y41)-1) / 12)</f>
        <v>6300</v>
      </c>
      <c r="Z41" s="81">
        <f>Z5/3 * (Inputs!$B$32 / 12) * (1 + Inputs!$B$44)^INT((COLUMNS($B$41:Z41)-1) / 12)</f>
        <v>6615</v>
      </c>
      <c r="AA41" s="81">
        <f>AA5/3 * (Inputs!$B$32 / 12) * (1 + Inputs!$B$44)^INT((COLUMNS($B$41:AA41)-1) / 12)</f>
        <v>6615</v>
      </c>
      <c r="AB41" s="81">
        <f>AB5/3 * (Inputs!$B$32 / 12) * (1 + Inputs!$B$44)^INT((COLUMNS($B$41:AB41)-1) / 12)</f>
        <v>6615</v>
      </c>
      <c r="AC41" s="81">
        <f>AC5/3 * (Inputs!$B$32 / 12) * (1 + Inputs!$B$44)^INT((COLUMNS($B$41:AC41)-1) / 12)</f>
        <v>6615</v>
      </c>
      <c r="AD41" s="81">
        <f>AD5/3 * (Inputs!$B$32 / 12) * (1 + Inputs!$B$44)^INT((COLUMNS($B$41:AD41)-1) / 12)</f>
        <v>6615</v>
      </c>
      <c r="AE41" s="81">
        <f>AE5/3 * (Inputs!$B$32 / 12) * (1 + Inputs!$B$44)^INT((COLUMNS($B$41:AE41)-1) / 12)</f>
        <v>6615</v>
      </c>
      <c r="AF41" s="81">
        <f>AF5/3 * (Inputs!$B$32 / 12) * (1 + Inputs!$B$44)^INT((COLUMNS($B$41:AF41)-1) / 12)</f>
        <v>6615</v>
      </c>
      <c r="AG41" s="81">
        <f>AG5/3 * (Inputs!$B$32 / 12) * (1 + Inputs!$B$44)^INT((COLUMNS($B$41:AG41)-1) / 12)</f>
        <v>6615</v>
      </c>
      <c r="AH41" s="81">
        <f>AH5/3 * (Inputs!$B$32 / 12) * (1 + Inputs!$B$44)^INT((COLUMNS($B$41:AH41)-1) / 12)</f>
        <v>6615</v>
      </c>
      <c r="AI41" s="81">
        <f>AI5/3 * (Inputs!$B$32 / 12) * (1 + Inputs!$B$44)^INT((COLUMNS($B$41:AI41)-1) / 12)</f>
        <v>6615</v>
      </c>
      <c r="AJ41" s="81">
        <f>AJ5/3 * (Inputs!$B$32 / 12) * (1 + Inputs!$B$44)^INT((COLUMNS($B$41:AJ41)-1) / 12)</f>
        <v>6615</v>
      </c>
      <c r="AK41" s="81">
        <f>AK5/3 * (Inputs!$B$32 / 12) * (1 + Inputs!$B$44)^INT((COLUMNS($B$41:AK41)-1) / 12)</f>
        <v>6615</v>
      </c>
      <c r="AL41" s="81">
        <f>AL5/3 * (Inputs!$B$32 / 12) * (1 + Inputs!$B$44)^INT((COLUMNS($B$41:AL41)-1) / 12)</f>
        <v>6945.75</v>
      </c>
      <c r="AM41" s="81">
        <f>AM5/3 * (Inputs!$B$32 / 12) * (1 + Inputs!$B$44)^INT((COLUMNS($B$41:AM41)-1) / 12)</f>
        <v>6945.75</v>
      </c>
      <c r="AN41" s="81">
        <f>AN5/3 * (Inputs!$B$32 / 12) * (1 + Inputs!$B$44)^INT((COLUMNS($B$41:AN41)-1) / 12)</f>
        <v>6945.75</v>
      </c>
      <c r="AO41" s="81">
        <f>AO5/3 * (Inputs!$B$32 / 12) * (1 + Inputs!$B$44)^INT((COLUMNS($B$41:AO41)-1) / 12)</f>
        <v>6945.75</v>
      </c>
      <c r="AP41" s="81">
        <f>AP5/3 * (Inputs!$B$32 / 12) * (1 + Inputs!$B$44)^INT((COLUMNS($B$41:AP41)-1) / 12)</f>
        <v>6945.75</v>
      </c>
      <c r="AQ41" s="81">
        <f>AQ5/3 * (Inputs!$B$32 / 12) * (1 + Inputs!$B$44)^INT((COLUMNS($B$41:AQ41)-1) / 12)</f>
        <v>6945.75</v>
      </c>
      <c r="AR41" s="81">
        <f>AR5/3 * (Inputs!$B$32 / 12) * (1 + Inputs!$B$44)^INT((COLUMNS($B$41:AR41)-1) / 12)</f>
        <v>6945.75</v>
      </c>
      <c r="AS41" s="81">
        <f>AS5/3 * (Inputs!$B$32 / 12) * (1 + Inputs!$B$44)^INT((COLUMNS($B$41:AS41)-1) / 12)</f>
        <v>6945.75</v>
      </c>
      <c r="AT41" s="81">
        <f>AT5/3 * (Inputs!$B$32 / 12) * (1 + Inputs!$B$44)^INT((COLUMNS($B$41:AT41)-1) / 12)</f>
        <v>6945.75</v>
      </c>
      <c r="AU41" s="81">
        <f>AU5/3 * (Inputs!$B$32 / 12) * (1 + Inputs!$B$44)^INT((COLUMNS($B$41:AU41)-1) / 12)</f>
        <v>6945.75</v>
      </c>
      <c r="AV41" s="81">
        <f>AV5/3 * (Inputs!$B$32 / 12) * (1 + Inputs!$B$44)^INT((COLUMNS($B$41:AV41)-1) / 12)</f>
        <v>6945.75</v>
      </c>
      <c r="AW41" s="81">
        <f>AW5/3 * (Inputs!$B$32 / 12) * (1 + Inputs!$B$44)^INT((COLUMNS($B$41:AW41)-1) / 12)</f>
        <v>6945.75</v>
      </c>
      <c r="AX41" s="81">
        <f>AX5/3 * (Inputs!$B$32 / 12) * (1 + Inputs!$B$44)^INT((COLUMNS($B$41:AX41)-1) / 12)</f>
        <v>7293.0375</v>
      </c>
      <c r="AY41" s="81">
        <f>AY5/3 * (Inputs!$B$32 / 12) * (1 + Inputs!$B$44)^INT((COLUMNS($B$41:AY41)-1) / 12)</f>
        <v>7293.0375</v>
      </c>
      <c r="AZ41" s="81">
        <f>AZ5/3 * (Inputs!$B$32 / 12) * (1 + Inputs!$B$44)^INT((COLUMNS($B$41:AZ41)-1) / 12)</f>
        <v>7293.0375</v>
      </c>
      <c r="BA41" s="81">
        <f>BA5/3 * (Inputs!$B$32 / 12) * (1 + Inputs!$B$44)^INT((COLUMNS($B$41:BA41)-1) / 12)</f>
        <v>7293.0375</v>
      </c>
    </row>
    <row r="42" ht="14.25" customHeight="1">
      <c r="A42" s="3" t="s">
        <v>126</v>
      </c>
      <c r="B42" s="81">
        <f>B5/3 * (Inputs!$B$33 / 12) * (1 + Inputs!$B$44)^INT((COLUMNS($B$42:B42)-1) / 12)</f>
        <v>6000</v>
      </c>
      <c r="C42" s="81">
        <f>C5/3 * (Inputs!$B$33 / 12) * (1 + Inputs!$B$44)^INT((COLUMNS($B$42:C42)-1) / 12)</f>
        <v>6000</v>
      </c>
      <c r="D42" s="81">
        <f>D5/3 * (Inputs!$B$33 / 12) * (1 + Inputs!$B$44)^INT((COLUMNS($B$42:D42)-1) / 12)</f>
        <v>6000</v>
      </c>
      <c r="E42" s="81">
        <f>E5/3 * (Inputs!$B$33 / 12) * (1 + Inputs!$B$44)^INT((COLUMNS($B$42:E42)-1) / 12)</f>
        <v>6000</v>
      </c>
      <c r="F42" s="81">
        <f>F5/3 * (Inputs!$B$33 / 12) * (1 + Inputs!$B$44)^INT((COLUMNS($B$42:F42)-1) / 12)</f>
        <v>6000</v>
      </c>
      <c r="G42" s="81">
        <f>G5/3 * (Inputs!$B$33 / 12) * (1 + Inputs!$B$44)^INT((COLUMNS($B$42:G42)-1) / 12)</f>
        <v>6000</v>
      </c>
      <c r="H42" s="81">
        <f>H5/3 * (Inputs!$B$33 / 12) * (1 + Inputs!$B$44)^INT((COLUMNS($B$42:H42)-1) / 12)</f>
        <v>6000</v>
      </c>
      <c r="I42" s="81">
        <f>I5/3 * (Inputs!$B$33 / 12) * (1 + Inputs!$B$44)^INT((COLUMNS($B$42:I42)-1) / 12)</f>
        <v>6000</v>
      </c>
      <c r="J42" s="81">
        <f>J5/3 * (Inputs!$B$33 / 12) * (1 + Inputs!$B$44)^INT((COLUMNS($B$42:J42)-1) / 12)</f>
        <v>6000</v>
      </c>
      <c r="K42" s="81">
        <f>K5/3 * (Inputs!$B$33 / 12) * (1 + Inputs!$B$44)^INT((COLUMNS($B$42:K42)-1) / 12)</f>
        <v>6000</v>
      </c>
      <c r="L42" s="81">
        <f>L5/3 * (Inputs!$B$33 / 12) * (1 + Inputs!$B$44)^INT((COLUMNS($B$42:L42)-1) / 12)</f>
        <v>6000</v>
      </c>
      <c r="M42" s="81">
        <f>M5/3 * (Inputs!$B$33 / 12) * (1 + Inputs!$B$44)^INT((COLUMNS($B$42:M42)-1) / 12)</f>
        <v>6000</v>
      </c>
      <c r="N42" s="81">
        <f>N5/3 * (Inputs!$B$33 / 12) * (1 + Inputs!$B$44)^INT((COLUMNS($B$42:N42)-1) / 12)</f>
        <v>6300</v>
      </c>
      <c r="O42" s="81">
        <f>O5/3 * (Inputs!$B$33 / 12) * (1 + Inputs!$B$44)^INT((COLUMNS($B$42:O42)-1) / 12)</f>
        <v>6300</v>
      </c>
      <c r="P42" s="81">
        <f>P5/3 * (Inputs!$B$33 / 12) * (1 + Inputs!$B$44)^INT((COLUMNS($B$42:P42)-1) / 12)</f>
        <v>6300</v>
      </c>
      <c r="Q42" s="81">
        <f>Q5/3 * (Inputs!$B$33 / 12) * (1 + Inputs!$B$44)^INT((COLUMNS($B$42:Q42)-1) / 12)</f>
        <v>6300</v>
      </c>
      <c r="R42" s="81">
        <f>R5/3 * (Inputs!$B$33 / 12) * (1 + Inputs!$B$44)^INT((COLUMNS($B$42:R42)-1) / 12)</f>
        <v>6300</v>
      </c>
      <c r="S42" s="81">
        <f>S5/3 * (Inputs!$B$33 / 12) * (1 + Inputs!$B$44)^INT((COLUMNS($B$42:S42)-1) / 12)</f>
        <v>6300</v>
      </c>
      <c r="T42" s="81">
        <f>T5/3 * (Inputs!$B$33 / 12) * (1 + Inputs!$B$44)^INT((COLUMNS($B$42:T42)-1) / 12)</f>
        <v>6300</v>
      </c>
      <c r="U42" s="81">
        <f>U5/3 * (Inputs!$B$33 / 12) * (1 + Inputs!$B$44)^INT((COLUMNS($B$42:U42)-1) / 12)</f>
        <v>6300</v>
      </c>
      <c r="V42" s="81">
        <f>V5/3 * (Inputs!$B$33 / 12) * (1 + Inputs!$B$44)^INT((COLUMNS($B$42:V42)-1) / 12)</f>
        <v>6300</v>
      </c>
      <c r="W42" s="81">
        <f>W5/3 * (Inputs!$B$33 / 12) * (1 + Inputs!$B$44)^INT((COLUMNS($B$42:W42)-1) / 12)</f>
        <v>6300</v>
      </c>
      <c r="X42" s="81">
        <f>X5/3 * (Inputs!$B$33 / 12) * (1 + Inputs!$B$44)^INT((COLUMNS($B$42:X42)-1) / 12)</f>
        <v>6300</v>
      </c>
      <c r="Y42" s="81">
        <f>Y5/3 * (Inputs!$B$33 / 12) * (1 + Inputs!$B$44)^INT((COLUMNS($B$42:Y42)-1) / 12)</f>
        <v>6300</v>
      </c>
      <c r="Z42" s="81">
        <f>Z5/3 * (Inputs!$B$33 / 12) * (1 + Inputs!$B$44)^INT((COLUMNS($B$42:Z42)-1) / 12)</f>
        <v>6615</v>
      </c>
      <c r="AA42" s="81">
        <f>AA5/3 * (Inputs!$B$33 / 12) * (1 + Inputs!$B$44)^INT((COLUMNS($B$42:AA42)-1) / 12)</f>
        <v>6615</v>
      </c>
      <c r="AB42" s="81">
        <f>AB5/3 * (Inputs!$B$33 / 12) * (1 + Inputs!$B$44)^INT((COLUMNS($B$42:AB42)-1) / 12)</f>
        <v>6615</v>
      </c>
      <c r="AC42" s="81">
        <f>AC5/3 * (Inputs!$B$33 / 12) * (1 + Inputs!$B$44)^INT((COLUMNS($B$42:AC42)-1) / 12)</f>
        <v>6615</v>
      </c>
      <c r="AD42" s="81">
        <f>AD5/3 * (Inputs!$B$33 / 12) * (1 + Inputs!$B$44)^INT((COLUMNS($B$42:AD42)-1) / 12)</f>
        <v>6615</v>
      </c>
      <c r="AE42" s="81">
        <f>AE5/3 * (Inputs!$B$33 / 12) * (1 + Inputs!$B$44)^INT((COLUMNS($B$42:AE42)-1) / 12)</f>
        <v>6615</v>
      </c>
      <c r="AF42" s="81">
        <f>AF5/3 * (Inputs!$B$33 / 12) * (1 + Inputs!$B$44)^INT((COLUMNS($B$42:AF42)-1) / 12)</f>
        <v>6615</v>
      </c>
      <c r="AG42" s="81">
        <f>AG5/3 * (Inputs!$B$33 / 12) * (1 + Inputs!$B$44)^INT((COLUMNS($B$42:AG42)-1) / 12)</f>
        <v>6615</v>
      </c>
      <c r="AH42" s="81">
        <f>AH5/3 * (Inputs!$B$33 / 12) * (1 + Inputs!$B$44)^INT((COLUMNS($B$42:AH42)-1) / 12)</f>
        <v>6615</v>
      </c>
      <c r="AI42" s="81">
        <f>AI5/3 * (Inputs!$B$33 / 12) * (1 + Inputs!$B$44)^INT((COLUMNS($B$42:AI42)-1) / 12)</f>
        <v>6615</v>
      </c>
      <c r="AJ42" s="81">
        <f>AJ5/3 * (Inputs!$B$33 / 12) * (1 + Inputs!$B$44)^INT((COLUMNS($B$42:AJ42)-1) / 12)</f>
        <v>6615</v>
      </c>
      <c r="AK42" s="81">
        <f>AK5/3 * (Inputs!$B$33 / 12) * (1 + Inputs!$B$44)^INT((COLUMNS($B$42:AK42)-1) / 12)</f>
        <v>6615</v>
      </c>
      <c r="AL42" s="81">
        <f>AL5/3 * (Inputs!$B$33 / 12) * (1 + Inputs!$B$44)^INT((COLUMNS($B$42:AL42)-1) / 12)</f>
        <v>6945.75</v>
      </c>
      <c r="AM42" s="81">
        <f>AM5/3 * (Inputs!$B$33 / 12) * (1 + Inputs!$B$44)^INT((COLUMNS($B$42:AM42)-1) / 12)</f>
        <v>6945.75</v>
      </c>
      <c r="AN42" s="81">
        <f>AN5/3 * (Inputs!$B$33 / 12) * (1 + Inputs!$B$44)^INT((COLUMNS($B$42:AN42)-1) / 12)</f>
        <v>6945.75</v>
      </c>
      <c r="AO42" s="81">
        <f>AO5/3 * (Inputs!$B$33 / 12) * (1 + Inputs!$B$44)^INT((COLUMNS($B$42:AO42)-1) / 12)</f>
        <v>6945.75</v>
      </c>
      <c r="AP42" s="81">
        <f>AP5/3 * (Inputs!$B$33 / 12) * (1 + Inputs!$B$44)^INT((COLUMNS($B$42:AP42)-1) / 12)</f>
        <v>6945.75</v>
      </c>
      <c r="AQ42" s="81">
        <f>AQ5/3 * (Inputs!$B$33 / 12) * (1 + Inputs!$B$44)^INT((COLUMNS($B$42:AQ42)-1) / 12)</f>
        <v>6945.75</v>
      </c>
      <c r="AR42" s="81">
        <f>AR5/3 * (Inputs!$B$33 / 12) * (1 + Inputs!$B$44)^INT((COLUMNS($B$42:AR42)-1) / 12)</f>
        <v>6945.75</v>
      </c>
      <c r="AS42" s="81">
        <f>AS5/3 * (Inputs!$B$33 / 12) * (1 + Inputs!$B$44)^INT((COLUMNS($B$42:AS42)-1) / 12)</f>
        <v>6945.75</v>
      </c>
      <c r="AT42" s="81">
        <f>AT5/3 * (Inputs!$B$33 / 12) * (1 + Inputs!$B$44)^INT((COLUMNS($B$42:AT42)-1) / 12)</f>
        <v>6945.75</v>
      </c>
      <c r="AU42" s="81">
        <f>AU5/3 * (Inputs!$B$33 / 12) * (1 + Inputs!$B$44)^INT((COLUMNS($B$42:AU42)-1) / 12)</f>
        <v>6945.75</v>
      </c>
      <c r="AV42" s="81">
        <f>AV5/3 * (Inputs!$B$33 / 12) * (1 + Inputs!$B$44)^INT((COLUMNS($B$42:AV42)-1) / 12)</f>
        <v>6945.75</v>
      </c>
      <c r="AW42" s="81">
        <f>AW5/3 * (Inputs!$B$33 / 12) * (1 + Inputs!$B$44)^INT((COLUMNS($B$42:AW42)-1) / 12)</f>
        <v>6945.75</v>
      </c>
      <c r="AX42" s="81">
        <f>AX5/3 * (Inputs!$B$33 / 12) * (1 + Inputs!$B$44)^INT((COLUMNS($B$42:AX42)-1) / 12)</f>
        <v>7293.0375</v>
      </c>
      <c r="AY42" s="81">
        <f>AY5/3 * (Inputs!$B$33 / 12) * (1 + Inputs!$B$44)^INT((COLUMNS($B$42:AY42)-1) / 12)</f>
        <v>7293.0375</v>
      </c>
      <c r="AZ42" s="81">
        <f>AZ5/3 * (Inputs!$B$33 / 12) * (1 + Inputs!$B$44)^INT((COLUMNS($B$42:AZ42)-1) / 12)</f>
        <v>7293.0375</v>
      </c>
      <c r="BA42" s="81">
        <f>BA5/3 * (Inputs!$B$33 / 12) * (1 + Inputs!$B$44)^INT((COLUMNS($B$42:BA42)-1) / 12)</f>
        <v>7293.0375</v>
      </c>
    </row>
    <row r="43" ht="14.25" customHeight="1">
      <c r="A43" s="3" t="s">
        <v>127</v>
      </c>
      <c r="B43" s="81">
        <f>B5/3 * (Inputs!$B$34 / 12) * (1 + Inputs!$B$44)^INT((COLUMNS($B$43:B43)-1) / 12)</f>
        <v>6000</v>
      </c>
      <c r="C43" s="81">
        <f>C5/3 * (Inputs!$B$34 / 12) * (1 + Inputs!$B$44)^INT((COLUMNS($B$43:C43)-1) / 12)</f>
        <v>6000</v>
      </c>
      <c r="D43" s="81">
        <f>D5/3 * (Inputs!$B$34 / 12) * (1 + Inputs!$B$44)^INT((COLUMNS($B$43:D43)-1) / 12)</f>
        <v>6000</v>
      </c>
      <c r="E43" s="81">
        <f>E5/3 * (Inputs!$B$34 / 12) * (1 + Inputs!$B$44)^INT((COLUMNS($B$43:E43)-1) / 12)</f>
        <v>6000</v>
      </c>
      <c r="F43" s="81">
        <f>F5/3 * (Inputs!$B$34 / 12) * (1 + Inputs!$B$44)^INT((COLUMNS($B$43:F43)-1) / 12)</f>
        <v>6000</v>
      </c>
      <c r="G43" s="81">
        <f>G5/3 * (Inputs!$B$34 / 12) * (1 + Inputs!$B$44)^INT((COLUMNS($B$43:G43)-1) / 12)</f>
        <v>6000</v>
      </c>
      <c r="H43" s="81">
        <f>H5/3 * (Inputs!$B$34 / 12) * (1 + Inputs!$B$44)^INT((COLUMNS($B$43:H43)-1) / 12)</f>
        <v>6000</v>
      </c>
      <c r="I43" s="81">
        <f>I5/3 * (Inputs!$B$34 / 12) * (1 + Inputs!$B$44)^INT((COLUMNS($B$43:I43)-1) / 12)</f>
        <v>6000</v>
      </c>
      <c r="J43" s="81">
        <f>J5/3 * (Inputs!$B$34 / 12) * (1 + Inputs!$B$44)^INT((COLUMNS($B$43:J43)-1) / 12)</f>
        <v>6000</v>
      </c>
      <c r="K43" s="81">
        <f>K5/3 * (Inputs!$B$34 / 12) * (1 + Inputs!$B$44)^INT((COLUMNS($B$43:K43)-1) / 12)</f>
        <v>6000</v>
      </c>
      <c r="L43" s="81">
        <f>L5/3 * (Inputs!$B$34 / 12) * (1 + Inputs!$B$44)^INT((COLUMNS($B$43:L43)-1) / 12)</f>
        <v>6000</v>
      </c>
      <c r="M43" s="81">
        <f>M5/3 * (Inputs!$B$34 / 12) * (1 + Inputs!$B$44)^INT((COLUMNS($B$43:M43)-1) / 12)</f>
        <v>6000</v>
      </c>
      <c r="N43" s="81">
        <f>N5/3 * (Inputs!$B$34 / 12) * (1 + Inputs!$B$44)^INT((COLUMNS($B$43:N43)-1) / 12)</f>
        <v>6300</v>
      </c>
      <c r="O43" s="81">
        <f>O5/3 * (Inputs!$B$34 / 12) * (1 + Inputs!$B$44)^INT((COLUMNS($B$43:O43)-1) / 12)</f>
        <v>6300</v>
      </c>
      <c r="P43" s="81">
        <f>P5/3 * (Inputs!$B$34 / 12) * (1 + Inputs!$B$44)^INT((COLUMNS($B$43:P43)-1) / 12)</f>
        <v>6300</v>
      </c>
      <c r="Q43" s="81">
        <f>Q5/3 * (Inputs!$B$34 / 12) * (1 + Inputs!$B$44)^INT((COLUMNS($B$43:Q43)-1) / 12)</f>
        <v>6300</v>
      </c>
      <c r="R43" s="81">
        <f>R5/3 * (Inputs!$B$34 / 12) * (1 + Inputs!$B$44)^INT((COLUMNS($B$43:R43)-1) / 12)</f>
        <v>6300</v>
      </c>
      <c r="S43" s="81">
        <f>S5/3 * (Inputs!$B$34 / 12) * (1 + Inputs!$B$44)^INT((COLUMNS($B$43:S43)-1) / 12)</f>
        <v>6300</v>
      </c>
      <c r="T43" s="81">
        <f>T5/3 * (Inputs!$B$34 / 12) * (1 + Inputs!$B$44)^INT((COLUMNS($B$43:T43)-1) / 12)</f>
        <v>6300</v>
      </c>
      <c r="U43" s="81">
        <f>U5/3 * (Inputs!$B$34 / 12) * (1 + Inputs!$B$44)^INT((COLUMNS($B$43:U43)-1) / 12)</f>
        <v>6300</v>
      </c>
      <c r="V43" s="81">
        <f>V5/3 * (Inputs!$B$34 / 12) * (1 + Inputs!$B$44)^INT((COLUMNS($B$43:V43)-1) / 12)</f>
        <v>6300</v>
      </c>
      <c r="W43" s="81">
        <f>W5/3 * (Inputs!$B$34 / 12) * (1 + Inputs!$B$44)^INT((COLUMNS($B$43:W43)-1) / 12)</f>
        <v>6300</v>
      </c>
      <c r="X43" s="81">
        <f>X5/3 * (Inputs!$B$34 / 12) * (1 + Inputs!$B$44)^INT((COLUMNS($B$43:X43)-1) / 12)</f>
        <v>6300</v>
      </c>
      <c r="Y43" s="81">
        <f>Y5/3 * (Inputs!$B$34 / 12) * (1 + Inputs!$B$44)^INT((COLUMNS($B$43:Y43)-1) / 12)</f>
        <v>6300</v>
      </c>
      <c r="Z43" s="81">
        <f>Z5/3 * (Inputs!$B$34 / 12) * (1 + Inputs!$B$44)^INT((COLUMNS($B$43:Z43)-1) / 12)</f>
        <v>6615</v>
      </c>
      <c r="AA43" s="81">
        <f>AA5/3 * (Inputs!$B$34 / 12) * (1 + Inputs!$B$44)^INT((COLUMNS($B$43:AA43)-1) / 12)</f>
        <v>6615</v>
      </c>
      <c r="AB43" s="81">
        <f>AB5/3 * (Inputs!$B$34 / 12) * (1 + Inputs!$B$44)^INT((COLUMNS($B$43:AB43)-1) / 12)</f>
        <v>6615</v>
      </c>
      <c r="AC43" s="81">
        <f>AC5/3 * (Inputs!$B$34 / 12) * (1 + Inputs!$B$44)^INT((COLUMNS($B$43:AC43)-1) / 12)</f>
        <v>6615</v>
      </c>
      <c r="AD43" s="81">
        <f>AD5/3 * (Inputs!$B$34 / 12) * (1 + Inputs!$B$44)^INT((COLUMNS($B$43:AD43)-1) / 12)</f>
        <v>6615</v>
      </c>
      <c r="AE43" s="81">
        <f>AE5/3 * (Inputs!$B$34 / 12) * (1 + Inputs!$B$44)^INT((COLUMNS($B$43:AE43)-1) / 12)</f>
        <v>6615</v>
      </c>
      <c r="AF43" s="81">
        <f>AF5/3 * (Inputs!$B$34 / 12) * (1 + Inputs!$B$44)^INT((COLUMNS($B$43:AF43)-1) / 12)</f>
        <v>6615</v>
      </c>
      <c r="AG43" s="81">
        <f>AG5/3 * (Inputs!$B$34 / 12) * (1 + Inputs!$B$44)^INT((COLUMNS($B$43:AG43)-1) / 12)</f>
        <v>6615</v>
      </c>
      <c r="AH43" s="81">
        <f>AH5/3 * (Inputs!$B$34 / 12) * (1 + Inputs!$B$44)^INT((COLUMNS($B$43:AH43)-1) / 12)</f>
        <v>6615</v>
      </c>
      <c r="AI43" s="81">
        <f>AI5/3 * (Inputs!$B$34 / 12) * (1 + Inputs!$B$44)^INT((COLUMNS($B$43:AI43)-1) / 12)</f>
        <v>6615</v>
      </c>
      <c r="AJ43" s="81">
        <f>AJ5/3 * (Inputs!$B$34 / 12) * (1 + Inputs!$B$44)^INT((COLUMNS($B$43:AJ43)-1) / 12)</f>
        <v>6615</v>
      </c>
      <c r="AK43" s="81">
        <f>AK5/3 * (Inputs!$B$34 / 12) * (1 + Inputs!$B$44)^INT((COLUMNS($B$43:AK43)-1) / 12)</f>
        <v>6615</v>
      </c>
      <c r="AL43" s="81">
        <f>AL5/3 * (Inputs!$B$34 / 12) * (1 + Inputs!$B$44)^INT((COLUMNS($B$43:AL43)-1) / 12)</f>
        <v>6945.75</v>
      </c>
      <c r="AM43" s="81">
        <f>AM5/3 * (Inputs!$B$34 / 12) * (1 + Inputs!$B$44)^INT((COLUMNS($B$43:AM43)-1) / 12)</f>
        <v>6945.75</v>
      </c>
      <c r="AN43" s="81">
        <f>AN5/3 * (Inputs!$B$34 / 12) * (1 + Inputs!$B$44)^INT((COLUMNS($B$43:AN43)-1) / 12)</f>
        <v>6945.75</v>
      </c>
      <c r="AO43" s="81">
        <f>AO5/3 * (Inputs!$B$34 / 12) * (1 + Inputs!$B$44)^INT((COLUMNS($B$43:AO43)-1) / 12)</f>
        <v>6945.75</v>
      </c>
      <c r="AP43" s="81">
        <f>AP5/3 * (Inputs!$B$34 / 12) * (1 + Inputs!$B$44)^INT((COLUMNS($B$43:AP43)-1) / 12)</f>
        <v>6945.75</v>
      </c>
      <c r="AQ43" s="81">
        <f>AQ5/3 * (Inputs!$B$34 / 12) * (1 + Inputs!$B$44)^INT((COLUMNS($B$43:AQ43)-1) / 12)</f>
        <v>6945.75</v>
      </c>
      <c r="AR43" s="81">
        <f>AR5/3 * (Inputs!$B$34 / 12) * (1 + Inputs!$B$44)^INT((COLUMNS($B$43:AR43)-1) / 12)</f>
        <v>6945.75</v>
      </c>
      <c r="AS43" s="81">
        <f>AS5/3 * (Inputs!$B$34 / 12) * (1 + Inputs!$B$44)^INT((COLUMNS($B$43:AS43)-1) / 12)</f>
        <v>6945.75</v>
      </c>
      <c r="AT43" s="81">
        <f>AT5/3 * (Inputs!$B$34 / 12) * (1 + Inputs!$B$44)^INT((COLUMNS($B$43:AT43)-1) / 12)</f>
        <v>6945.75</v>
      </c>
      <c r="AU43" s="81">
        <f>AU5/3 * (Inputs!$B$34 / 12) * (1 + Inputs!$B$44)^INT((COLUMNS($B$43:AU43)-1) / 12)</f>
        <v>6945.75</v>
      </c>
      <c r="AV43" s="81">
        <f>AV5/3 * (Inputs!$B$34 / 12) * (1 + Inputs!$B$44)^INT((COLUMNS($B$43:AV43)-1) / 12)</f>
        <v>6945.75</v>
      </c>
      <c r="AW43" s="81">
        <f>AW5/3 * (Inputs!$B$34 / 12) * (1 + Inputs!$B$44)^INT((COLUMNS($B$43:AW43)-1) / 12)</f>
        <v>6945.75</v>
      </c>
      <c r="AX43" s="81">
        <f>AX5/3 * (Inputs!$B$34 / 12) * (1 + Inputs!$B$44)^INT((COLUMNS($B$43:AX43)-1) / 12)</f>
        <v>7293.0375</v>
      </c>
      <c r="AY43" s="81">
        <f>AY5/3 * (Inputs!$B$34 / 12) * (1 + Inputs!$B$44)^INT((COLUMNS($B$43:AY43)-1) / 12)</f>
        <v>7293.0375</v>
      </c>
      <c r="AZ43" s="81">
        <f>AZ5/3 * (Inputs!$B$34 / 12) * (1 + Inputs!$B$44)^INT((COLUMNS($B$43:AZ43)-1) / 12)</f>
        <v>7293.0375</v>
      </c>
      <c r="BA43" s="81">
        <f>BA5/3 * (Inputs!$B$34 / 12) * (1 + Inputs!$B$44)^INT((COLUMNS($B$43:BA43)-1) / 12)</f>
        <v>7293.0375</v>
      </c>
    </row>
    <row r="44" ht="14.25" customHeight="1">
      <c r="A44" s="3" t="s">
        <v>513</v>
      </c>
      <c r="B44" s="81">
        <f>B6 * (Inputs!$B$35 / 12) * (1 + Inputs!$B$44)^INT((COLUMNS($B$44:B44)-1) / 12)</f>
        <v>0</v>
      </c>
      <c r="C44" s="81">
        <f>C6 * (Inputs!$B$35 / 12) * (1 + Inputs!$B$44)^INT((COLUMNS($B$44:C44)-1) / 12)</f>
        <v>0</v>
      </c>
      <c r="D44" s="81">
        <f>D6 * (Inputs!$B$35 / 12) * (1 + Inputs!$B$44)^INT((COLUMNS($B$44:D44)-1) / 12)</f>
        <v>0</v>
      </c>
      <c r="E44" s="81">
        <f>E6 * (Inputs!$B$35 / 12) * (1 + Inputs!$B$44)^INT((COLUMNS($B$44:E44)-1) / 12)</f>
        <v>0</v>
      </c>
      <c r="F44" s="81">
        <f>F6 * (Inputs!$B$35 / 12) * (1 + Inputs!$B$44)^INT((COLUMNS($B$44:F44)-1) / 12)</f>
        <v>0</v>
      </c>
      <c r="G44" s="81">
        <f>G6 * (Inputs!$B$35 / 12) * (1 + Inputs!$B$44)^INT((COLUMNS($B$44:G44)-1) / 12)</f>
        <v>0</v>
      </c>
      <c r="H44" s="81">
        <f>H6 * (Inputs!$B$35 / 12) * (1 + Inputs!$B$44)^INT((COLUMNS($B$44:H44)-1) / 12)</f>
        <v>7500</v>
      </c>
      <c r="I44" s="81">
        <f>I6 * (Inputs!$B$35 / 12) * (1 + Inputs!$B$44)^INT((COLUMNS($B$44:I44)-1) / 12)</f>
        <v>7500</v>
      </c>
      <c r="J44" s="81">
        <f>J6 * (Inputs!$B$35 / 12) * (1 + Inputs!$B$44)^INT((COLUMNS($B$44:J44)-1) / 12)</f>
        <v>7500</v>
      </c>
      <c r="K44" s="81">
        <f>K6 * (Inputs!$B$35 / 12) * (1 + Inputs!$B$44)^INT((COLUMNS($B$44:K44)-1) / 12)</f>
        <v>7500</v>
      </c>
      <c r="L44" s="81">
        <f>L6 * (Inputs!$B$35 / 12) * (1 + Inputs!$B$44)^INT((COLUMNS($B$44:L44)-1) / 12)</f>
        <v>7500</v>
      </c>
      <c r="M44" s="81">
        <f>M6 * (Inputs!$B$35 / 12) * (1 + Inputs!$B$44)^INT((COLUMNS($B$44:M44)-1) / 12)</f>
        <v>7500</v>
      </c>
      <c r="N44" s="81">
        <f>N6 * (Inputs!$B$35 / 12) * (1 + Inputs!$B$44)^INT((COLUMNS($B$44:N44)-1) / 12)</f>
        <v>7875</v>
      </c>
      <c r="O44" s="81">
        <f>O6 * (Inputs!$B$35 / 12) * (1 + Inputs!$B$44)^INT((COLUMNS($B$44:O44)-1) / 12)</f>
        <v>7875</v>
      </c>
      <c r="P44" s="81">
        <f>P6 * (Inputs!$B$35 / 12) * (1 + Inputs!$B$44)^INT((COLUMNS($B$44:P44)-1) / 12)</f>
        <v>7875</v>
      </c>
      <c r="Q44" s="81">
        <f>Q6 * (Inputs!$B$35 / 12) * (1 + Inputs!$B$44)^INT((COLUMNS($B$44:Q44)-1) / 12)</f>
        <v>7875</v>
      </c>
      <c r="R44" s="81">
        <f>R6 * (Inputs!$B$35 / 12) * (1 + Inputs!$B$44)^INT((COLUMNS($B$44:R44)-1) / 12)</f>
        <v>7875</v>
      </c>
      <c r="S44" s="81">
        <f>S6 * (Inputs!$B$35 / 12) * (1 + Inputs!$B$44)^INT((COLUMNS($B$44:S44)-1) / 12)</f>
        <v>7875</v>
      </c>
      <c r="T44" s="81">
        <f>T6 * (Inputs!$B$35 / 12) * (1 + Inputs!$B$44)^INT((COLUMNS($B$44:T44)-1) / 12)</f>
        <v>7875</v>
      </c>
      <c r="U44" s="81">
        <f>U6 * (Inputs!$B$35 / 12) * (1 + Inputs!$B$44)^INT((COLUMNS($B$44:U44)-1) / 12)</f>
        <v>7875</v>
      </c>
      <c r="V44" s="81">
        <f>V6 * (Inputs!$B$35 / 12) * (1 + Inputs!$B$44)^INT((COLUMNS($B$44:V44)-1) / 12)</f>
        <v>7875</v>
      </c>
      <c r="W44" s="81">
        <f>W6 * (Inputs!$B$35 / 12) * (1 + Inputs!$B$44)^INT((COLUMNS($B$44:W44)-1) / 12)</f>
        <v>7875</v>
      </c>
      <c r="X44" s="81">
        <f>X6 * (Inputs!$B$35 / 12) * (1 + Inputs!$B$44)^INT((COLUMNS($B$44:X44)-1) / 12)</f>
        <v>7875</v>
      </c>
      <c r="Y44" s="81">
        <f>Y6 * (Inputs!$B$35 / 12) * (1 + Inputs!$B$44)^INT((COLUMNS($B$44:Y44)-1) / 12)</f>
        <v>7875</v>
      </c>
      <c r="Z44" s="81">
        <f>Z6 * (Inputs!$B$35 / 12) * (1 + Inputs!$B$44)^INT((COLUMNS($B$44:Z44)-1) / 12)</f>
        <v>8268.75</v>
      </c>
      <c r="AA44" s="81">
        <f>AA6 * (Inputs!$B$35 / 12) * (1 + Inputs!$B$44)^INT((COLUMNS($B$44:AA44)-1) / 12)</f>
        <v>8268.75</v>
      </c>
      <c r="AB44" s="81">
        <f>AB6 * (Inputs!$B$35 / 12) * (1 + Inputs!$B$44)^INT((COLUMNS($B$44:AB44)-1) / 12)</f>
        <v>8268.75</v>
      </c>
      <c r="AC44" s="81">
        <f>AC6 * (Inputs!$B$35 / 12) * (1 + Inputs!$B$44)^INT((COLUMNS($B$44:AC44)-1) / 12)</f>
        <v>8268.75</v>
      </c>
      <c r="AD44" s="81">
        <f>AD6 * (Inputs!$B$35 / 12) * (1 + Inputs!$B$44)^INT((COLUMNS($B$44:AD44)-1) / 12)</f>
        <v>8268.75</v>
      </c>
      <c r="AE44" s="81">
        <f>AE6 * (Inputs!$B$35 / 12) * (1 + Inputs!$B$44)^INT((COLUMNS($B$44:AE44)-1) / 12)</f>
        <v>8268.75</v>
      </c>
      <c r="AF44" s="81">
        <f>AF6 * (Inputs!$B$35 / 12) * (1 + Inputs!$B$44)^INT((COLUMNS($B$44:AF44)-1) / 12)</f>
        <v>8268.75</v>
      </c>
      <c r="AG44" s="81">
        <f>AG6 * (Inputs!$B$35 / 12) * (1 + Inputs!$B$44)^INT((COLUMNS($B$44:AG44)-1) / 12)</f>
        <v>8268.75</v>
      </c>
      <c r="AH44" s="81">
        <f>AH6 * (Inputs!$B$35 / 12) * (1 + Inputs!$B$44)^INT((COLUMNS($B$44:AH44)-1) / 12)</f>
        <v>8268.75</v>
      </c>
      <c r="AI44" s="81">
        <f>AI6 * (Inputs!$B$35 / 12) * (1 + Inputs!$B$44)^INT((COLUMNS($B$44:AI44)-1) / 12)</f>
        <v>8268.75</v>
      </c>
      <c r="AJ44" s="81">
        <f>AJ6 * (Inputs!$B$35 / 12) * (1 + Inputs!$B$44)^INT((COLUMNS($B$44:AJ44)-1) / 12)</f>
        <v>8268.75</v>
      </c>
      <c r="AK44" s="81">
        <f>AK6 * (Inputs!$B$35 / 12) * (1 + Inputs!$B$44)^INT((COLUMNS($B$44:AK44)-1) / 12)</f>
        <v>8268.75</v>
      </c>
      <c r="AL44" s="81">
        <f>AL6 * (Inputs!$B$35 / 12) * (1 + Inputs!$B$44)^INT((COLUMNS($B$44:AL44)-1) / 12)</f>
        <v>8682.1875</v>
      </c>
      <c r="AM44" s="81">
        <f>AM6 * (Inputs!$B$35 / 12) * (1 + Inputs!$B$44)^INT((COLUMNS($B$44:AM44)-1) / 12)</f>
        <v>8682.1875</v>
      </c>
      <c r="AN44" s="81">
        <f>AN6 * (Inputs!$B$35 / 12) * (1 + Inputs!$B$44)^INT((COLUMNS($B$44:AN44)-1) / 12)</f>
        <v>8682.1875</v>
      </c>
      <c r="AO44" s="81">
        <f>AO6 * (Inputs!$B$35 / 12) * (1 + Inputs!$B$44)^INT((COLUMNS($B$44:AO44)-1) / 12)</f>
        <v>8682.1875</v>
      </c>
      <c r="AP44" s="81">
        <f>AP6 * (Inputs!$B$35 / 12) * (1 + Inputs!$B$44)^INT((COLUMNS($B$44:AP44)-1) / 12)</f>
        <v>8682.1875</v>
      </c>
      <c r="AQ44" s="81">
        <f>AQ6 * (Inputs!$B$35 / 12) * (1 + Inputs!$B$44)^INT((COLUMNS($B$44:AQ44)-1) / 12)</f>
        <v>8682.1875</v>
      </c>
      <c r="AR44" s="81">
        <f>AR6 * (Inputs!$B$35 / 12) * (1 + Inputs!$B$44)^INT((COLUMNS($B$44:AR44)-1) / 12)</f>
        <v>8682.1875</v>
      </c>
      <c r="AS44" s="81">
        <f>AS6 * (Inputs!$B$35 / 12) * (1 + Inputs!$B$44)^INT((COLUMNS($B$44:AS44)-1) / 12)</f>
        <v>8682.1875</v>
      </c>
      <c r="AT44" s="81">
        <f>AT6 * (Inputs!$B$35 / 12) * (1 + Inputs!$B$44)^INT((COLUMNS($B$44:AT44)-1) / 12)</f>
        <v>8682.1875</v>
      </c>
      <c r="AU44" s="81">
        <f>AU6 * (Inputs!$B$35 / 12) * (1 + Inputs!$B$44)^INT((COLUMNS($B$44:AU44)-1) / 12)</f>
        <v>8682.1875</v>
      </c>
      <c r="AV44" s="81">
        <f>AV6 * (Inputs!$B$35 / 12) * (1 + Inputs!$B$44)^INT((COLUMNS($B$44:AV44)-1) / 12)</f>
        <v>8682.1875</v>
      </c>
      <c r="AW44" s="81">
        <f>AW6 * (Inputs!$B$35 / 12) * (1 + Inputs!$B$44)^INT((COLUMNS($B$44:AW44)-1) / 12)</f>
        <v>8682.1875</v>
      </c>
      <c r="AX44" s="81">
        <f>AX6 * (Inputs!$B$35 / 12) * (1 + Inputs!$B$44)^INT((COLUMNS($B$44:AX44)-1) / 12)</f>
        <v>9116.296875</v>
      </c>
      <c r="AY44" s="81">
        <f>AY6 * (Inputs!$B$35 / 12) * (1 + Inputs!$B$44)^INT((COLUMNS($B$44:AY44)-1) / 12)</f>
        <v>9116.296875</v>
      </c>
      <c r="AZ44" s="81">
        <f>AZ6 * (Inputs!$B$35 / 12) * (1 + Inputs!$B$44)^INT((COLUMNS($B$44:AZ44)-1) / 12)</f>
        <v>9116.296875</v>
      </c>
      <c r="BA44" s="81">
        <f>BA6 * (Inputs!$B$35 / 12) * (1 + Inputs!$B$44)^INT((COLUMNS($B$44:BA44)-1) / 12)</f>
        <v>9116.296875</v>
      </c>
    </row>
    <row r="45" ht="14.25" customHeight="1">
      <c r="A45" s="3" t="s">
        <v>514</v>
      </c>
      <c r="B45" s="81">
        <f>B7 * (Inputs!$B$35 / 12) * (1 + Inputs!$B$44)^INT((COLUMNS($B$45:B45)-1) / 12)</f>
        <v>0</v>
      </c>
      <c r="C45" s="81">
        <f>C7 * (Inputs!$B$35 / 12) * (1 + Inputs!$B$44)^INT((COLUMNS($B$45:C45)-1) / 12)</f>
        <v>0</v>
      </c>
      <c r="D45" s="81">
        <f>D7 * (Inputs!$B$35 / 12) * (1 + Inputs!$B$44)^INT((COLUMNS($B$45:D45)-1) / 12)</f>
        <v>0</v>
      </c>
      <c r="E45" s="81">
        <f>E7 * (Inputs!$B$35 / 12) * (1 + Inputs!$B$44)^INT((COLUMNS($B$45:E45)-1) / 12)</f>
        <v>0</v>
      </c>
      <c r="F45" s="81">
        <f>F7 * (Inputs!$B$35 / 12) * (1 + Inputs!$B$44)^INT((COLUMNS($B$45:F45)-1) / 12)</f>
        <v>0</v>
      </c>
      <c r="G45" s="81">
        <f>G7 * (Inputs!$B$35 / 12) * (1 + Inputs!$B$44)^INT((COLUMNS($B$45:G45)-1) / 12)</f>
        <v>0</v>
      </c>
      <c r="H45" s="81">
        <f>H7 * (Inputs!$B$35 / 12) * (1 + Inputs!$B$44)^INT((COLUMNS($B$45:H45)-1) / 12)</f>
        <v>0</v>
      </c>
      <c r="I45" s="81">
        <f>I7 * (Inputs!$B$35 / 12) * (1 + Inputs!$B$44)^INT((COLUMNS($B$45:I45)-1) / 12)</f>
        <v>0</v>
      </c>
      <c r="J45" s="81">
        <f>J7 * (Inputs!$B$35 / 12) * (1 + Inputs!$B$44)^INT((COLUMNS($B$45:J45)-1) / 12)</f>
        <v>0</v>
      </c>
      <c r="K45" s="81">
        <f>K7 * (Inputs!$B$35 / 12) * (1 + Inputs!$B$44)^INT((COLUMNS($B$45:K45)-1) / 12)</f>
        <v>7500</v>
      </c>
      <c r="L45" s="81">
        <f>L7 * (Inputs!$B$35 / 12) * (1 + Inputs!$B$44)^INT((COLUMNS($B$45:L45)-1) / 12)</f>
        <v>7500</v>
      </c>
      <c r="M45" s="81">
        <f>M7 * (Inputs!$B$35 / 12) * (1 + Inputs!$B$44)^INT((COLUMNS($B$45:M45)-1) / 12)</f>
        <v>7500</v>
      </c>
      <c r="N45" s="81">
        <f>N7 * (Inputs!$B$35 / 12) * (1 + Inputs!$B$44)^INT((COLUMNS($B$45:N45)-1) / 12)</f>
        <v>7875</v>
      </c>
      <c r="O45" s="81">
        <f>O7 * (Inputs!$B$35 / 12) * (1 + Inputs!$B$44)^INT((COLUMNS($B$45:O45)-1) / 12)</f>
        <v>7875</v>
      </c>
      <c r="P45" s="81">
        <f>P7 * (Inputs!$B$35 / 12) * (1 + Inputs!$B$44)^INT((COLUMNS($B$45:P45)-1) / 12)</f>
        <v>7875</v>
      </c>
      <c r="Q45" s="81">
        <f>Q7 * (Inputs!$B$35 / 12) * (1 + Inputs!$B$44)^INT((COLUMNS($B$45:Q45)-1) / 12)</f>
        <v>7875</v>
      </c>
      <c r="R45" s="81">
        <f>R7 * (Inputs!$B$35 / 12) * (1 + Inputs!$B$44)^INT((COLUMNS($B$45:R45)-1) / 12)</f>
        <v>7875</v>
      </c>
      <c r="S45" s="81">
        <f>S7 * (Inputs!$B$35 / 12) * (1 + Inputs!$B$44)^INT((COLUMNS($B$45:S45)-1) / 12)</f>
        <v>7875</v>
      </c>
      <c r="T45" s="81">
        <f>T7 * (Inputs!$B$35 / 12) * (1 + Inputs!$B$44)^INT((COLUMNS($B$45:T45)-1) / 12)</f>
        <v>7875</v>
      </c>
      <c r="U45" s="81">
        <f>U7 * (Inputs!$B$35 / 12) * (1 + Inputs!$B$44)^INT((COLUMNS($B$45:U45)-1) / 12)</f>
        <v>7875</v>
      </c>
      <c r="V45" s="81">
        <f>V7 * (Inputs!$B$35 / 12) * (1 + Inputs!$B$44)^INT((COLUMNS($B$45:V45)-1) / 12)</f>
        <v>7875</v>
      </c>
      <c r="W45" s="81">
        <f>W7 * (Inputs!$B$35 / 12) * (1 + Inputs!$B$44)^INT((COLUMNS($B$45:W45)-1) / 12)</f>
        <v>7875</v>
      </c>
      <c r="X45" s="81">
        <f>X7 * (Inputs!$B$35 / 12) * (1 + Inputs!$B$44)^INT((COLUMNS($B$45:X45)-1) / 12)</f>
        <v>7875</v>
      </c>
      <c r="Y45" s="81">
        <f>Y7 * (Inputs!$B$35 / 12) * (1 + Inputs!$B$44)^INT((COLUMNS($B$45:Y45)-1) / 12)</f>
        <v>7875</v>
      </c>
      <c r="Z45" s="81">
        <f>Z7 * (Inputs!$B$35 / 12) * (1 + Inputs!$B$44)^INT((COLUMNS($B$45:Z45)-1) / 12)</f>
        <v>8268.75</v>
      </c>
      <c r="AA45" s="81">
        <f>AA7 * (Inputs!$B$35 / 12) * (1 + Inputs!$B$44)^INT((COLUMNS($B$45:AA45)-1) / 12)</f>
        <v>8268.75</v>
      </c>
      <c r="AB45" s="81">
        <f>AB7 * (Inputs!$B$35 / 12) * (1 + Inputs!$B$44)^INT((COLUMNS($B$45:AB45)-1) / 12)</f>
        <v>8268.75</v>
      </c>
      <c r="AC45" s="81">
        <f>AC7 * (Inputs!$B$35 / 12) * (1 + Inputs!$B$44)^INT((COLUMNS($B$45:AC45)-1) / 12)</f>
        <v>8268.75</v>
      </c>
      <c r="AD45" s="81">
        <f>AD7 * (Inputs!$B$35 / 12) * (1 + Inputs!$B$44)^INT((COLUMNS($B$45:AD45)-1) / 12)</f>
        <v>8268.75</v>
      </c>
      <c r="AE45" s="81">
        <f>AE7 * (Inputs!$B$35 / 12) * (1 + Inputs!$B$44)^INT((COLUMNS($B$45:AE45)-1) / 12)</f>
        <v>8268.75</v>
      </c>
      <c r="AF45" s="81">
        <f>AF7 * (Inputs!$B$35 / 12) * (1 + Inputs!$B$44)^INT((COLUMNS($B$45:AF45)-1) / 12)</f>
        <v>8268.75</v>
      </c>
      <c r="AG45" s="81">
        <f>AG7 * (Inputs!$B$35 / 12) * (1 + Inputs!$B$44)^INT((COLUMNS($B$45:AG45)-1) / 12)</f>
        <v>8268.75</v>
      </c>
      <c r="AH45" s="81">
        <f>AH7 * (Inputs!$B$35 / 12) * (1 + Inputs!$B$44)^INT((COLUMNS($B$45:AH45)-1) / 12)</f>
        <v>8268.75</v>
      </c>
      <c r="AI45" s="81">
        <f>AI7 * (Inputs!$B$35 / 12) * (1 + Inputs!$B$44)^INT((COLUMNS($B$45:AI45)-1) / 12)</f>
        <v>8268.75</v>
      </c>
      <c r="AJ45" s="81">
        <f>AJ7 * (Inputs!$B$35 / 12) * (1 + Inputs!$B$44)^INT((COLUMNS($B$45:AJ45)-1) / 12)</f>
        <v>8268.75</v>
      </c>
      <c r="AK45" s="81">
        <f>AK7 * (Inputs!$B$35 / 12) * (1 + Inputs!$B$44)^INT((COLUMNS($B$45:AK45)-1) / 12)</f>
        <v>8268.75</v>
      </c>
      <c r="AL45" s="81">
        <f>AL7 * (Inputs!$B$35 / 12) * (1 + Inputs!$B$44)^INT((COLUMNS($B$45:AL45)-1) / 12)</f>
        <v>8682.1875</v>
      </c>
      <c r="AM45" s="81">
        <f>AM7 * (Inputs!$B$35 / 12) * (1 + Inputs!$B$44)^INT((COLUMNS($B$45:AM45)-1) / 12)</f>
        <v>8682.1875</v>
      </c>
      <c r="AN45" s="81">
        <f>AN7 * (Inputs!$B$35 / 12) * (1 + Inputs!$B$44)^INT((COLUMNS($B$45:AN45)-1) / 12)</f>
        <v>8682.1875</v>
      </c>
      <c r="AO45" s="81">
        <f>AO7 * (Inputs!$B$35 / 12) * (1 + Inputs!$B$44)^INT((COLUMNS($B$45:AO45)-1) / 12)</f>
        <v>8682.1875</v>
      </c>
      <c r="AP45" s="81">
        <f>AP7 * (Inputs!$B$35 / 12) * (1 + Inputs!$B$44)^INT((COLUMNS($B$45:AP45)-1) / 12)</f>
        <v>8682.1875</v>
      </c>
      <c r="AQ45" s="81">
        <f>AQ7 * (Inputs!$B$35 / 12) * (1 + Inputs!$B$44)^INT((COLUMNS($B$45:AQ45)-1) / 12)</f>
        <v>8682.1875</v>
      </c>
      <c r="AR45" s="81">
        <f>AR7 * (Inputs!$B$35 / 12) * (1 + Inputs!$B$44)^INT((COLUMNS($B$45:AR45)-1) / 12)</f>
        <v>8682.1875</v>
      </c>
      <c r="AS45" s="81">
        <f>AS7 * (Inputs!$B$35 / 12) * (1 + Inputs!$B$44)^INT((COLUMNS($B$45:AS45)-1) / 12)</f>
        <v>8682.1875</v>
      </c>
      <c r="AT45" s="81">
        <f>AT7 * (Inputs!$B$35 / 12) * (1 + Inputs!$B$44)^INT((COLUMNS($B$45:AT45)-1) / 12)</f>
        <v>8682.1875</v>
      </c>
      <c r="AU45" s="81">
        <f>AU7 * (Inputs!$B$35 / 12) * (1 + Inputs!$B$44)^INT((COLUMNS($B$45:AU45)-1) / 12)</f>
        <v>8682.1875</v>
      </c>
      <c r="AV45" s="81">
        <f>AV7 * (Inputs!$B$35 / 12) * (1 + Inputs!$B$44)^INT((COLUMNS($B$45:AV45)-1) / 12)</f>
        <v>8682.1875</v>
      </c>
      <c r="AW45" s="81">
        <f>AW7 * (Inputs!$B$35 / 12) * (1 + Inputs!$B$44)^INT((COLUMNS($B$45:AW45)-1) / 12)</f>
        <v>8682.1875</v>
      </c>
      <c r="AX45" s="81">
        <f>AX7 * (Inputs!$B$35 / 12) * (1 + Inputs!$B$44)^INT((COLUMNS($B$45:AX45)-1) / 12)</f>
        <v>9116.296875</v>
      </c>
      <c r="AY45" s="81">
        <f>AY7 * (Inputs!$B$35 / 12) * (1 + Inputs!$B$44)^INT((COLUMNS($B$45:AY45)-1) / 12)</f>
        <v>9116.296875</v>
      </c>
      <c r="AZ45" s="81">
        <f>AZ7 * (Inputs!$B$35 / 12) * (1 + Inputs!$B$44)^INT((COLUMNS($B$45:AZ45)-1) / 12)</f>
        <v>9116.296875</v>
      </c>
      <c r="BA45" s="81">
        <f>BA7 * (Inputs!$B$35 / 12) * (1 + Inputs!$B$44)^INT((COLUMNS($B$45:BA45)-1) / 12)</f>
        <v>9116.296875</v>
      </c>
    </row>
    <row r="46" ht="14.25" customHeight="1">
      <c r="A46" s="3" t="s">
        <v>515</v>
      </c>
      <c r="B46" s="81">
        <f>B8 * (Inputs!$B$36 / 12) * (1 + Inputs!$B$44)^INT((COLUMNS($B$46:B46)-1) / 12)</f>
        <v>0</v>
      </c>
      <c r="C46" s="81">
        <f>C8 * (Inputs!$B$36 / 12) * (1 + Inputs!$B$44)^INT((COLUMNS($B$46:C46)-1) / 12)</f>
        <v>0</v>
      </c>
      <c r="D46" s="81">
        <f>D8 * (Inputs!$B$36 / 12) * (1 + Inputs!$B$44)^INT((COLUMNS($B$46:D46)-1) / 12)</f>
        <v>0</v>
      </c>
      <c r="E46" s="81">
        <f>E8 * (Inputs!$B$36 / 12) * (1 + Inputs!$B$44)^INT((COLUMNS($B$46:E46)-1) / 12)</f>
        <v>0</v>
      </c>
      <c r="F46" s="81">
        <f>F8 * (Inputs!$B$36 / 12) * (1 + Inputs!$B$44)^INT((COLUMNS($B$46:F46)-1) / 12)</f>
        <v>0</v>
      </c>
      <c r="G46" s="81">
        <f>G8 * (Inputs!$B$36 / 12) * (1 + Inputs!$B$44)^INT((COLUMNS($B$46:G46)-1) / 12)</f>
        <v>0</v>
      </c>
      <c r="H46" s="81">
        <f>H8 * (Inputs!$B$36 / 12) * (1 + Inputs!$B$44)^INT((COLUMNS($B$46:H46)-1) / 12)</f>
        <v>0</v>
      </c>
      <c r="I46" s="81">
        <f>I8 * (Inputs!$B$36 / 12) * (1 + Inputs!$B$44)^INT((COLUMNS($B$46:I46)-1) / 12)</f>
        <v>0</v>
      </c>
      <c r="J46" s="81">
        <f>J8 * (Inputs!$B$36 / 12) * (1 + Inputs!$B$44)^INT((COLUMNS($B$46:J46)-1) / 12)</f>
        <v>5000</v>
      </c>
      <c r="K46" s="81">
        <f>K8 * (Inputs!$B$36 / 12) * (1 + Inputs!$B$44)^INT((COLUMNS($B$46:K46)-1) / 12)</f>
        <v>5000</v>
      </c>
      <c r="L46" s="81">
        <f>L8 * (Inputs!$B$36 / 12) * (1 + Inputs!$B$44)^INT((COLUMNS($B$46:L46)-1) / 12)</f>
        <v>5000</v>
      </c>
      <c r="M46" s="81">
        <f>M8 * (Inputs!$B$36 / 12) * (1 + Inputs!$B$44)^INT((COLUMNS($B$46:M46)-1) / 12)</f>
        <v>5000</v>
      </c>
      <c r="N46" s="81">
        <f>N8 * (Inputs!$B$36 / 12) * (1 + Inputs!$B$44)^INT((COLUMNS($B$46:N46)-1) / 12)</f>
        <v>5250</v>
      </c>
      <c r="O46" s="81">
        <f>O8 * (Inputs!$B$36 / 12) * (1 + Inputs!$B$44)^INT((COLUMNS($B$46:O46)-1) / 12)</f>
        <v>5250</v>
      </c>
      <c r="P46" s="81">
        <f>P8 * (Inputs!$B$36 / 12) * (1 + Inputs!$B$44)^INT((COLUMNS($B$46:P46)-1) / 12)</f>
        <v>5250</v>
      </c>
      <c r="Q46" s="81">
        <f>Q8 * (Inputs!$B$36 / 12) * (1 + Inputs!$B$44)^INT((COLUMNS($B$46:Q46)-1) / 12)</f>
        <v>5250</v>
      </c>
      <c r="R46" s="81">
        <f>R8 * (Inputs!$B$36 / 12) * (1 + Inputs!$B$44)^INT((COLUMNS($B$46:R46)-1) / 12)</f>
        <v>5250</v>
      </c>
      <c r="S46" s="81">
        <f>S8 * (Inputs!$B$36 / 12) * (1 + Inputs!$B$44)^INT((COLUMNS($B$46:S46)-1) / 12)</f>
        <v>5250</v>
      </c>
      <c r="T46" s="81">
        <f>T8 * (Inputs!$B$36 / 12) * (1 + Inputs!$B$44)^INT((COLUMNS($B$46:T46)-1) / 12)</f>
        <v>5250</v>
      </c>
      <c r="U46" s="81">
        <f>U8 * (Inputs!$B$36 / 12) * (1 + Inputs!$B$44)^INT((COLUMNS($B$46:U46)-1) / 12)</f>
        <v>5250</v>
      </c>
      <c r="V46" s="81">
        <f>V8 * (Inputs!$B$36 / 12) * (1 + Inputs!$B$44)^INT((COLUMNS($B$46:V46)-1) / 12)</f>
        <v>5250</v>
      </c>
      <c r="W46" s="81">
        <f>W8 * (Inputs!$B$36 / 12) * (1 + Inputs!$B$44)^INT((COLUMNS($B$46:W46)-1) / 12)</f>
        <v>5250</v>
      </c>
      <c r="X46" s="81">
        <f>X8 * (Inputs!$B$36 / 12) * (1 + Inputs!$B$44)^INT((COLUMNS($B$46:X46)-1) / 12)</f>
        <v>5250</v>
      </c>
      <c r="Y46" s="81">
        <f>Y8 * (Inputs!$B$36 / 12) * (1 + Inputs!$B$44)^INT((COLUMNS($B$46:Y46)-1) / 12)</f>
        <v>5250</v>
      </c>
      <c r="Z46" s="81">
        <f>Z8 * (Inputs!$B$36 / 12) * (1 + Inputs!$B$44)^INT((COLUMNS($B$46:Z46)-1) / 12)</f>
        <v>5512.5</v>
      </c>
      <c r="AA46" s="81">
        <f>AA8 * (Inputs!$B$36 / 12) * (1 + Inputs!$B$44)^INT((COLUMNS($B$46:AA46)-1) / 12)</f>
        <v>5512.5</v>
      </c>
      <c r="AB46" s="81">
        <f>AB8 * (Inputs!$B$36 / 12) * (1 + Inputs!$B$44)^INT((COLUMNS($B$46:AB46)-1) / 12)</f>
        <v>5512.5</v>
      </c>
      <c r="AC46" s="81">
        <f>AC8 * (Inputs!$B$36 / 12) * (1 + Inputs!$B$44)^INT((COLUMNS($B$46:AC46)-1) / 12)</f>
        <v>5512.5</v>
      </c>
      <c r="AD46" s="81">
        <f>AD8 * (Inputs!$B$36 / 12) * (1 + Inputs!$B$44)^INT((COLUMNS($B$46:AD46)-1) / 12)</f>
        <v>5512.5</v>
      </c>
      <c r="AE46" s="81">
        <f>AE8 * (Inputs!$B$36 / 12) * (1 + Inputs!$B$44)^INT((COLUMNS($B$46:AE46)-1) / 12)</f>
        <v>5512.5</v>
      </c>
      <c r="AF46" s="81">
        <f>AF8 * (Inputs!$B$36 / 12) * (1 + Inputs!$B$44)^INT((COLUMNS($B$46:AF46)-1) / 12)</f>
        <v>5512.5</v>
      </c>
      <c r="AG46" s="81">
        <f>AG8 * (Inputs!$B$36 / 12) * (1 + Inputs!$B$44)^INT((COLUMNS($B$46:AG46)-1) / 12)</f>
        <v>5512.5</v>
      </c>
      <c r="AH46" s="81">
        <f>AH8 * (Inputs!$B$36 / 12) * (1 + Inputs!$B$44)^INT((COLUMNS($B$46:AH46)-1) / 12)</f>
        <v>5512.5</v>
      </c>
      <c r="AI46" s="81">
        <f>AI8 * (Inputs!$B$36 / 12) * (1 + Inputs!$B$44)^INT((COLUMNS($B$46:AI46)-1) / 12)</f>
        <v>5512.5</v>
      </c>
      <c r="AJ46" s="81">
        <f>AJ8 * (Inputs!$B$36 / 12) * (1 + Inputs!$B$44)^INT((COLUMNS($B$46:AJ46)-1) / 12)</f>
        <v>5512.5</v>
      </c>
      <c r="AK46" s="81">
        <f>AK8 * (Inputs!$B$36 / 12) * (1 + Inputs!$B$44)^INT((COLUMNS($B$46:AK46)-1) / 12)</f>
        <v>5512.5</v>
      </c>
      <c r="AL46" s="81">
        <f>AL8 * (Inputs!$B$36 / 12) * (1 + Inputs!$B$44)^INT((COLUMNS($B$46:AL46)-1) / 12)</f>
        <v>5788.125</v>
      </c>
      <c r="AM46" s="81">
        <f>AM8 * (Inputs!$B$36 / 12) * (1 + Inputs!$B$44)^INT((COLUMNS($B$46:AM46)-1) / 12)</f>
        <v>5788.125</v>
      </c>
      <c r="AN46" s="81">
        <f>AN8 * (Inputs!$B$36 / 12) * (1 + Inputs!$B$44)^INT((COLUMNS($B$46:AN46)-1) / 12)</f>
        <v>5788.125</v>
      </c>
      <c r="AO46" s="81">
        <f>AO8 * (Inputs!$B$36 / 12) * (1 + Inputs!$B$44)^INT((COLUMNS($B$46:AO46)-1) / 12)</f>
        <v>5788.125</v>
      </c>
      <c r="AP46" s="81">
        <f>AP8 * (Inputs!$B$36 / 12) * (1 + Inputs!$B$44)^INT((COLUMNS($B$46:AP46)-1) / 12)</f>
        <v>5788.125</v>
      </c>
      <c r="AQ46" s="81">
        <f>AQ8 * (Inputs!$B$36 / 12) * (1 + Inputs!$B$44)^INT((COLUMNS($B$46:AQ46)-1) / 12)</f>
        <v>5788.125</v>
      </c>
      <c r="AR46" s="81">
        <f>AR8 * (Inputs!$B$36 / 12) * (1 + Inputs!$B$44)^INT((COLUMNS($B$46:AR46)-1) / 12)</f>
        <v>5788.125</v>
      </c>
      <c r="AS46" s="81">
        <f>AS8 * (Inputs!$B$36 / 12) * (1 + Inputs!$B$44)^INT((COLUMNS($B$46:AS46)-1) / 12)</f>
        <v>5788.125</v>
      </c>
      <c r="AT46" s="81">
        <f>AT8 * (Inputs!$B$36 / 12) * (1 + Inputs!$B$44)^INT((COLUMNS($B$46:AT46)-1) / 12)</f>
        <v>5788.125</v>
      </c>
      <c r="AU46" s="81">
        <f>AU8 * (Inputs!$B$36 / 12) * (1 + Inputs!$B$44)^INT((COLUMNS($B$46:AU46)-1) / 12)</f>
        <v>5788.125</v>
      </c>
      <c r="AV46" s="81">
        <f>AV8 * (Inputs!$B$36 / 12) * (1 + Inputs!$B$44)^INT((COLUMNS($B$46:AV46)-1) / 12)</f>
        <v>5788.125</v>
      </c>
      <c r="AW46" s="81">
        <f>AW8 * (Inputs!$B$36 / 12) * (1 + Inputs!$B$44)^INT((COLUMNS($B$46:AW46)-1) / 12)</f>
        <v>5788.125</v>
      </c>
      <c r="AX46" s="81">
        <f>AX8 * (Inputs!$B$36 / 12) * (1 + Inputs!$B$44)^INT((COLUMNS($B$46:AX46)-1) / 12)</f>
        <v>6077.53125</v>
      </c>
      <c r="AY46" s="81">
        <f>AY8 * (Inputs!$B$36 / 12) * (1 + Inputs!$B$44)^INT((COLUMNS($B$46:AY46)-1) / 12)</f>
        <v>6077.53125</v>
      </c>
      <c r="AZ46" s="81">
        <f>AZ8 * (Inputs!$B$36 / 12) * (1 + Inputs!$B$44)^INT((COLUMNS($B$46:AZ46)-1) / 12)</f>
        <v>6077.53125</v>
      </c>
      <c r="BA46" s="81">
        <f>BA8 * (Inputs!$B$36 / 12) * (1 + Inputs!$B$44)^INT((COLUMNS($B$46:BA46)-1) / 12)</f>
        <v>6077.53125</v>
      </c>
    </row>
    <row r="47" ht="14.25" customHeight="1">
      <c r="A47" s="3" t="s">
        <v>516</v>
      </c>
      <c r="B47" s="81">
        <f>B9 * (Inputs!$B$37 / 12) * (1 + Inputs!$B$44)^INT((COLUMNS($B$47:B47)-1) / 12)</f>
        <v>0</v>
      </c>
      <c r="C47" s="81">
        <f>C9 * (Inputs!$B$37 / 12) * (1 + Inputs!$B$44)^INT((COLUMNS($B$47:C47)-1) / 12)</f>
        <v>0</v>
      </c>
      <c r="D47" s="81">
        <f>D9 * (Inputs!$B$37 / 12) * (1 + Inputs!$B$44)^INT((COLUMNS($B$47:D47)-1) / 12)</f>
        <v>0</v>
      </c>
      <c r="E47" s="81">
        <f>E9 * (Inputs!$B$37 / 12) * (1 + Inputs!$B$44)^INT((COLUMNS($B$47:E47)-1) / 12)</f>
        <v>0</v>
      </c>
      <c r="F47" s="81">
        <f>F9 * (Inputs!$B$37 / 12) * (1 + Inputs!$B$44)^INT((COLUMNS($B$47:F47)-1) / 12)</f>
        <v>0</v>
      </c>
      <c r="G47" s="81">
        <f>G9 * (Inputs!$B$37 / 12) * (1 + Inputs!$B$44)^INT((COLUMNS($B$47:G47)-1) / 12)</f>
        <v>0</v>
      </c>
      <c r="H47" s="81">
        <f>H9 * (Inputs!$B$37 / 12) * (1 + Inputs!$B$44)^INT((COLUMNS($B$47:H47)-1) / 12)</f>
        <v>0</v>
      </c>
      <c r="I47" s="81">
        <f>I9 * (Inputs!$B$37 / 12) * (1 + Inputs!$B$44)^INT((COLUMNS($B$47:I47)-1) / 12)</f>
        <v>9166.666667</v>
      </c>
      <c r="J47" s="81">
        <f>J9 * (Inputs!$B$37 / 12) * (1 + Inputs!$B$44)^INT((COLUMNS($B$47:J47)-1) / 12)</f>
        <v>9166.666667</v>
      </c>
      <c r="K47" s="81">
        <f>K9 * (Inputs!$B$37 / 12) * (1 + Inputs!$B$44)^INT((COLUMNS($B$47:K47)-1) / 12)</f>
        <v>9166.666667</v>
      </c>
      <c r="L47" s="81">
        <f>L9 * (Inputs!$B$37 / 12) * (1 + Inputs!$B$44)^INT((COLUMNS($B$47:L47)-1) / 12)</f>
        <v>9166.666667</v>
      </c>
      <c r="M47" s="81">
        <f>M9 * (Inputs!$B$37 / 12) * (1 + Inputs!$B$44)^INT((COLUMNS($B$47:M47)-1) / 12)</f>
        <v>9166.666667</v>
      </c>
      <c r="N47" s="81">
        <f>N9 * (Inputs!$B$37 / 12) * (1 + Inputs!$B$44)^INT((COLUMNS($B$47:N47)-1) / 12)</f>
        <v>9625</v>
      </c>
      <c r="O47" s="81">
        <f>O9 * (Inputs!$B$37 / 12) * (1 + Inputs!$B$44)^INT((COLUMNS($B$47:O47)-1) / 12)</f>
        <v>9625</v>
      </c>
      <c r="P47" s="81">
        <f>P9 * (Inputs!$B$37 / 12) * (1 + Inputs!$B$44)^INT((COLUMNS($B$47:P47)-1) / 12)</f>
        <v>9625</v>
      </c>
      <c r="Q47" s="81">
        <f>Q9 * (Inputs!$B$37 / 12) * (1 + Inputs!$B$44)^INT((COLUMNS($B$47:Q47)-1) / 12)</f>
        <v>9625</v>
      </c>
      <c r="R47" s="81">
        <f>R9 * (Inputs!$B$37 / 12) * (1 + Inputs!$B$44)^INT((COLUMNS($B$47:R47)-1) / 12)</f>
        <v>9625</v>
      </c>
      <c r="S47" s="81">
        <f>S9 * (Inputs!$B$37 / 12) * (1 + Inputs!$B$44)^INT((COLUMNS($B$47:S47)-1) / 12)</f>
        <v>9625</v>
      </c>
      <c r="T47" s="81">
        <f>T9 * (Inputs!$B$37 / 12) * (1 + Inputs!$B$44)^INT((COLUMNS($B$47:T47)-1) / 12)</f>
        <v>9625</v>
      </c>
      <c r="U47" s="81">
        <f>U9 * (Inputs!$B$37 / 12) * (1 + Inputs!$B$44)^INT((COLUMNS($B$47:U47)-1) / 12)</f>
        <v>9625</v>
      </c>
      <c r="V47" s="81">
        <f>V9 * (Inputs!$B$37 / 12) * (1 + Inputs!$B$44)^INT((COLUMNS($B$47:V47)-1) / 12)</f>
        <v>9625</v>
      </c>
      <c r="W47" s="81">
        <f>W9 * (Inputs!$B$37 / 12) * (1 + Inputs!$B$44)^INT((COLUMNS($B$47:W47)-1) / 12)</f>
        <v>9625</v>
      </c>
      <c r="X47" s="81">
        <f>X9 * (Inputs!$B$37 / 12) * (1 + Inputs!$B$44)^INT((COLUMNS($B$47:X47)-1) / 12)</f>
        <v>9625</v>
      </c>
      <c r="Y47" s="81">
        <f>Y9 * (Inputs!$B$37 / 12) * (1 + Inputs!$B$44)^INT((COLUMNS($B$47:Y47)-1) / 12)</f>
        <v>9625</v>
      </c>
      <c r="Z47" s="81">
        <f>Z9 * (Inputs!$B$37 / 12) * (1 + Inputs!$B$44)^INT((COLUMNS($B$47:Z47)-1) / 12)</f>
        <v>10106.25</v>
      </c>
      <c r="AA47" s="81">
        <f>AA9 * (Inputs!$B$37 / 12) * (1 + Inputs!$B$44)^INT((COLUMNS($B$47:AA47)-1) / 12)</f>
        <v>10106.25</v>
      </c>
      <c r="AB47" s="81">
        <f>AB9 * (Inputs!$B$37 / 12) * (1 + Inputs!$B$44)^INT((COLUMNS($B$47:AB47)-1) / 12)</f>
        <v>10106.25</v>
      </c>
      <c r="AC47" s="81">
        <f>AC9 * (Inputs!$B$37 / 12) * (1 + Inputs!$B$44)^INT((COLUMNS($B$47:AC47)-1) / 12)</f>
        <v>10106.25</v>
      </c>
      <c r="AD47" s="81">
        <f>AD9 * (Inputs!$B$37 / 12) * (1 + Inputs!$B$44)^INT((COLUMNS($B$47:AD47)-1) / 12)</f>
        <v>10106.25</v>
      </c>
      <c r="AE47" s="81">
        <f>AE9 * (Inputs!$B$37 / 12) * (1 + Inputs!$B$44)^INT((COLUMNS($B$47:AE47)-1) / 12)</f>
        <v>10106.25</v>
      </c>
      <c r="AF47" s="81">
        <f>AF9 * (Inputs!$B$37 / 12) * (1 + Inputs!$B$44)^INT((COLUMNS($B$47:AF47)-1) / 12)</f>
        <v>10106.25</v>
      </c>
      <c r="AG47" s="81">
        <f>AG9 * (Inputs!$B$37 / 12) * (1 + Inputs!$B$44)^INT((COLUMNS($B$47:AG47)-1) / 12)</f>
        <v>10106.25</v>
      </c>
      <c r="AH47" s="81">
        <f>AH9 * (Inputs!$B$37 / 12) * (1 + Inputs!$B$44)^INT((COLUMNS($B$47:AH47)-1) / 12)</f>
        <v>10106.25</v>
      </c>
      <c r="AI47" s="81">
        <f>AI9 * (Inputs!$B$37 / 12) * (1 + Inputs!$B$44)^INT((COLUMNS($B$47:AI47)-1) / 12)</f>
        <v>10106.25</v>
      </c>
      <c r="AJ47" s="81">
        <f>AJ9 * (Inputs!$B$37 / 12) * (1 + Inputs!$B$44)^INT((COLUMNS($B$47:AJ47)-1) / 12)</f>
        <v>10106.25</v>
      </c>
      <c r="AK47" s="81">
        <f>AK9 * (Inputs!$B$37 / 12) * (1 + Inputs!$B$44)^INT((COLUMNS($B$47:AK47)-1) / 12)</f>
        <v>10106.25</v>
      </c>
      <c r="AL47" s="81">
        <f>AL9 * (Inputs!$B$37 / 12) * (1 + Inputs!$B$44)^INT((COLUMNS($B$47:AL47)-1) / 12)</f>
        <v>10611.5625</v>
      </c>
      <c r="AM47" s="81">
        <f>AM9 * (Inputs!$B$37 / 12) * (1 + Inputs!$B$44)^INT((COLUMNS($B$47:AM47)-1) / 12)</f>
        <v>10611.5625</v>
      </c>
      <c r="AN47" s="81">
        <f>AN9 * (Inputs!$B$37 / 12) * (1 + Inputs!$B$44)^INT((COLUMNS($B$47:AN47)-1) / 12)</f>
        <v>10611.5625</v>
      </c>
      <c r="AO47" s="81">
        <f>AO9 * (Inputs!$B$37 / 12) * (1 + Inputs!$B$44)^INT((COLUMNS($B$47:AO47)-1) / 12)</f>
        <v>10611.5625</v>
      </c>
      <c r="AP47" s="81">
        <f>AP9 * (Inputs!$B$37 / 12) * (1 + Inputs!$B$44)^INT((COLUMNS($B$47:AP47)-1) / 12)</f>
        <v>10611.5625</v>
      </c>
      <c r="AQ47" s="81">
        <f>AQ9 * (Inputs!$B$37 / 12) * (1 + Inputs!$B$44)^INT((COLUMNS($B$47:AQ47)-1) / 12)</f>
        <v>10611.5625</v>
      </c>
      <c r="AR47" s="81">
        <f>AR9 * (Inputs!$B$37 / 12) * (1 + Inputs!$B$44)^INT((COLUMNS($B$47:AR47)-1) / 12)</f>
        <v>10611.5625</v>
      </c>
      <c r="AS47" s="81">
        <f>AS9 * (Inputs!$B$37 / 12) * (1 + Inputs!$B$44)^INT((COLUMNS($B$47:AS47)-1) / 12)</f>
        <v>10611.5625</v>
      </c>
      <c r="AT47" s="81">
        <f>AT9 * (Inputs!$B$37 / 12) * (1 + Inputs!$B$44)^INT((COLUMNS($B$47:AT47)-1) / 12)</f>
        <v>10611.5625</v>
      </c>
      <c r="AU47" s="81">
        <f>AU9 * (Inputs!$B$37 / 12) * (1 + Inputs!$B$44)^INT((COLUMNS($B$47:AU47)-1) / 12)</f>
        <v>10611.5625</v>
      </c>
      <c r="AV47" s="81">
        <f>AV9 * (Inputs!$B$37 / 12) * (1 + Inputs!$B$44)^INT((COLUMNS($B$47:AV47)-1) / 12)</f>
        <v>10611.5625</v>
      </c>
      <c r="AW47" s="81">
        <f>AW9 * (Inputs!$B$37 / 12) * (1 + Inputs!$B$44)^INT((COLUMNS($B$47:AW47)-1) / 12)</f>
        <v>10611.5625</v>
      </c>
      <c r="AX47" s="81">
        <f>AX9 * (Inputs!$B$37 / 12) * (1 + Inputs!$B$44)^INT((COLUMNS($B$47:AX47)-1) / 12)</f>
        <v>11142.14063</v>
      </c>
      <c r="AY47" s="81">
        <f>AY9 * (Inputs!$B$37 / 12) * (1 + Inputs!$B$44)^INT((COLUMNS($B$47:AY47)-1) / 12)</f>
        <v>11142.14063</v>
      </c>
      <c r="AZ47" s="81">
        <f>AZ9 * (Inputs!$B$37 / 12) * (1 + Inputs!$B$44)^INT((COLUMNS($B$47:AZ47)-1) / 12)</f>
        <v>11142.14063</v>
      </c>
      <c r="BA47" s="81">
        <f>BA9 * (Inputs!$B$37 / 12) * (1 + Inputs!$B$44)^INT((COLUMNS($B$47:BA47)-1) / 12)</f>
        <v>11142.14063</v>
      </c>
    </row>
    <row r="48" ht="14.25" customHeight="1">
      <c r="A48" s="3" t="s">
        <v>517</v>
      </c>
      <c r="B48" s="81">
        <f>B10 * (Inputs!$B$37 / 12) * (1 + Inputs!$B$44)^INT((COLUMNS($B$48:B48)-1) / 12)</f>
        <v>0</v>
      </c>
      <c r="C48" s="81">
        <f>C10 * (Inputs!$B$37 / 12) * (1 + Inputs!$B$44)^INT((COLUMNS($B$48:C48)-1) / 12)</f>
        <v>0</v>
      </c>
      <c r="D48" s="81">
        <f>D10 * (Inputs!$B$37 / 12) * (1 + Inputs!$B$44)^INT((COLUMNS($B$48:D48)-1) / 12)</f>
        <v>0</v>
      </c>
      <c r="E48" s="81">
        <f>E10 * (Inputs!$B$37 / 12) * (1 + Inputs!$B$44)^INT((COLUMNS($B$48:E48)-1) / 12)</f>
        <v>0</v>
      </c>
      <c r="F48" s="81">
        <f>F10 * (Inputs!$B$37 / 12) * (1 + Inputs!$B$44)^INT((COLUMNS($B$48:F48)-1) / 12)</f>
        <v>0</v>
      </c>
      <c r="G48" s="81">
        <f>G10 * (Inputs!$B$37 / 12) * (1 + Inputs!$B$44)^INT((COLUMNS($B$48:G48)-1) / 12)</f>
        <v>0</v>
      </c>
      <c r="H48" s="81">
        <f>H10 * (Inputs!$B$37 / 12) * (1 + Inputs!$B$44)^INT((COLUMNS($B$48:H48)-1) / 12)</f>
        <v>0</v>
      </c>
      <c r="I48" s="81">
        <f>I10 * (Inputs!$B$37 / 12) * (1 + Inputs!$B$44)^INT((COLUMNS($B$48:I48)-1) / 12)</f>
        <v>0</v>
      </c>
      <c r="J48" s="81">
        <f>J10 * (Inputs!$B$37 / 12) * (1 + Inputs!$B$44)^INT((COLUMNS($B$48:J48)-1) / 12)</f>
        <v>0</v>
      </c>
      <c r="K48" s="81">
        <f>K10 * (Inputs!$B$37 / 12) * (1 + Inputs!$B$44)^INT((COLUMNS($B$48:K48)-1) / 12)</f>
        <v>0</v>
      </c>
      <c r="L48" s="81">
        <f>L10 * (Inputs!$B$37 / 12) * (1 + Inputs!$B$44)^INT((COLUMNS($B$48:L48)-1) / 12)</f>
        <v>0</v>
      </c>
      <c r="M48" s="81">
        <f>M10 * (Inputs!$B$37 / 12) * (1 + Inputs!$B$44)^INT((COLUMNS($B$48:M48)-1) / 12)</f>
        <v>0</v>
      </c>
      <c r="N48" s="81">
        <f>N10 * (Inputs!$B$37 / 12) * (1 + Inputs!$B$44)^INT((COLUMNS($B$48:N48)-1) / 12)</f>
        <v>0</v>
      </c>
      <c r="O48" s="81">
        <f>O10 * (Inputs!$B$37 / 12) * (1 + Inputs!$B$44)^INT((COLUMNS($B$48:O48)-1) / 12)</f>
        <v>9625</v>
      </c>
      <c r="P48" s="81">
        <f>P10 * (Inputs!$B$37 / 12) * (1 + Inputs!$B$44)^INT((COLUMNS($B$48:P48)-1) / 12)</f>
        <v>9625</v>
      </c>
      <c r="Q48" s="81">
        <f>Q10 * (Inputs!$B$37 / 12) * (1 + Inputs!$B$44)^INT((COLUMNS($B$48:Q48)-1) / 12)</f>
        <v>9625</v>
      </c>
      <c r="R48" s="81">
        <f>R10 * (Inputs!$B$37 / 12) * (1 + Inputs!$B$44)^INT((COLUMNS($B$48:R48)-1) / 12)</f>
        <v>9625</v>
      </c>
      <c r="S48" s="81">
        <f>S10 * (Inputs!$B$37 / 12) * (1 + Inputs!$B$44)^INT((COLUMNS($B$48:S48)-1) / 12)</f>
        <v>9625</v>
      </c>
      <c r="T48" s="81">
        <f>T10 * (Inputs!$B$37 / 12) * (1 + Inputs!$B$44)^INT((COLUMNS($B$48:T48)-1) / 12)</f>
        <v>9625</v>
      </c>
      <c r="U48" s="81">
        <f>U10 * (Inputs!$B$37 / 12) * (1 + Inputs!$B$44)^INT((COLUMNS($B$48:U48)-1) / 12)</f>
        <v>9625</v>
      </c>
      <c r="V48" s="81">
        <f>V10 * (Inputs!$B$37 / 12) * (1 + Inputs!$B$44)^INT((COLUMNS($B$48:V48)-1) / 12)</f>
        <v>9625</v>
      </c>
      <c r="W48" s="81">
        <f>W10 * (Inputs!$B$37 / 12) * (1 + Inputs!$B$44)^INT((COLUMNS($B$48:W48)-1) / 12)</f>
        <v>9625</v>
      </c>
      <c r="X48" s="81">
        <f>X10 * (Inputs!$B$37 / 12) * (1 + Inputs!$B$44)^INT((COLUMNS($B$48:X48)-1) / 12)</f>
        <v>9625</v>
      </c>
      <c r="Y48" s="81">
        <f>Y10 * (Inputs!$B$37 / 12) * (1 + Inputs!$B$44)^INT((COLUMNS($B$48:Y48)-1) / 12)</f>
        <v>9625</v>
      </c>
      <c r="Z48" s="81">
        <f>Z10 * (Inputs!$B$37 / 12) * (1 + Inputs!$B$44)^INT((COLUMNS($B$48:Z48)-1) / 12)</f>
        <v>10106.25</v>
      </c>
      <c r="AA48" s="81">
        <f>AA10 * (Inputs!$B$37 / 12) * (1 + Inputs!$B$44)^INT((COLUMNS($B$48:AA48)-1) / 12)</f>
        <v>10106.25</v>
      </c>
      <c r="AB48" s="81">
        <f>AB10 * (Inputs!$B$37 / 12) * (1 + Inputs!$B$44)^INT((COLUMNS($B$48:AB48)-1) / 12)</f>
        <v>10106.25</v>
      </c>
      <c r="AC48" s="81">
        <f>AC10 * (Inputs!$B$37 / 12) * (1 + Inputs!$B$44)^INT((COLUMNS($B$48:AC48)-1) / 12)</f>
        <v>10106.25</v>
      </c>
      <c r="AD48" s="81">
        <f>AD10 * (Inputs!$B$37 / 12) * (1 + Inputs!$B$44)^INT((COLUMNS($B$48:AD48)-1) / 12)</f>
        <v>10106.25</v>
      </c>
      <c r="AE48" s="81">
        <f>AE10 * (Inputs!$B$37 / 12) * (1 + Inputs!$B$44)^INT((COLUMNS($B$48:AE48)-1) / 12)</f>
        <v>10106.25</v>
      </c>
      <c r="AF48" s="81">
        <f>AF10 * (Inputs!$B$37 / 12) * (1 + Inputs!$B$44)^INT((COLUMNS($B$48:AF48)-1) / 12)</f>
        <v>10106.25</v>
      </c>
      <c r="AG48" s="81">
        <f>AG10 * (Inputs!$B$37 / 12) * (1 + Inputs!$B$44)^INT((COLUMNS($B$48:AG48)-1) / 12)</f>
        <v>10106.25</v>
      </c>
      <c r="AH48" s="81">
        <f>AH10 * (Inputs!$B$37 / 12) * (1 + Inputs!$B$44)^INT((COLUMNS($B$48:AH48)-1) / 12)</f>
        <v>10106.25</v>
      </c>
      <c r="AI48" s="81">
        <f>AI10 * (Inputs!$B$37 / 12) * (1 + Inputs!$B$44)^INT((COLUMNS($B$48:AI48)-1) / 12)</f>
        <v>10106.25</v>
      </c>
      <c r="AJ48" s="81">
        <f>AJ10 * (Inputs!$B$37 / 12) * (1 + Inputs!$B$44)^INT((COLUMNS($B$48:AJ48)-1) / 12)</f>
        <v>10106.25</v>
      </c>
      <c r="AK48" s="81">
        <f>AK10 * (Inputs!$B$37 / 12) * (1 + Inputs!$B$44)^INT((COLUMNS($B$48:AK48)-1) / 12)</f>
        <v>10106.25</v>
      </c>
      <c r="AL48" s="81">
        <f>AL10 * (Inputs!$B$37 / 12) * (1 + Inputs!$B$44)^INT((COLUMNS($B$48:AL48)-1) / 12)</f>
        <v>10611.5625</v>
      </c>
      <c r="AM48" s="81">
        <f>AM10 * (Inputs!$B$37 / 12) * (1 + Inputs!$B$44)^INT((COLUMNS($B$48:AM48)-1) / 12)</f>
        <v>10611.5625</v>
      </c>
      <c r="AN48" s="81">
        <f>AN10 * (Inputs!$B$37 / 12) * (1 + Inputs!$B$44)^INT((COLUMNS($B$48:AN48)-1) / 12)</f>
        <v>10611.5625</v>
      </c>
      <c r="AO48" s="81">
        <f>AO10 * (Inputs!$B$37 / 12) * (1 + Inputs!$B$44)^INT((COLUMNS($B$48:AO48)-1) / 12)</f>
        <v>10611.5625</v>
      </c>
      <c r="AP48" s="81">
        <f>AP10 * (Inputs!$B$37 / 12) * (1 + Inputs!$B$44)^INT((COLUMNS($B$48:AP48)-1) / 12)</f>
        <v>10611.5625</v>
      </c>
      <c r="AQ48" s="81">
        <f>AQ10 * (Inputs!$B$37 / 12) * (1 + Inputs!$B$44)^INT((COLUMNS($B$48:AQ48)-1) / 12)</f>
        <v>10611.5625</v>
      </c>
      <c r="AR48" s="81">
        <f>AR10 * (Inputs!$B$37 / 12) * (1 + Inputs!$B$44)^INT((COLUMNS($B$48:AR48)-1) / 12)</f>
        <v>10611.5625</v>
      </c>
      <c r="AS48" s="81">
        <f>AS10 * (Inputs!$B$37 / 12) * (1 + Inputs!$B$44)^INT((COLUMNS($B$48:AS48)-1) / 12)</f>
        <v>10611.5625</v>
      </c>
      <c r="AT48" s="81">
        <f>AT10 * (Inputs!$B$37 / 12) * (1 + Inputs!$B$44)^INT((COLUMNS($B$48:AT48)-1) / 12)</f>
        <v>10611.5625</v>
      </c>
      <c r="AU48" s="81">
        <f>AU10 * (Inputs!$B$37 / 12) * (1 + Inputs!$B$44)^INT((COLUMNS($B$48:AU48)-1) / 12)</f>
        <v>10611.5625</v>
      </c>
      <c r="AV48" s="81">
        <f>AV10 * (Inputs!$B$37 / 12) * (1 + Inputs!$B$44)^INT((COLUMNS($B$48:AV48)-1) / 12)</f>
        <v>10611.5625</v>
      </c>
      <c r="AW48" s="81">
        <f>AW10 * (Inputs!$B$37 / 12) * (1 + Inputs!$B$44)^INT((COLUMNS($B$48:AW48)-1) / 12)</f>
        <v>10611.5625</v>
      </c>
      <c r="AX48" s="81">
        <f>AX10 * (Inputs!$B$37 / 12) * (1 + Inputs!$B$44)^INT((COLUMNS($B$48:AX48)-1) / 12)</f>
        <v>11142.14063</v>
      </c>
      <c r="AY48" s="81">
        <f>AY10 * (Inputs!$B$37 / 12) * (1 + Inputs!$B$44)^INT((COLUMNS($B$48:AY48)-1) / 12)</f>
        <v>11142.14063</v>
      </c>
      <c r="AZ48" s="81">
        <f>AZ10 * (Inputs!$B$37 / 12) * (1 + Inputs!$B$44)^INT((COLUMNS($B$48:AZ48)-1) / 12)</f>
        <v>11142.14063</v>
      </c>
      <c r="BA48" s="81">
        <f>BA10 * (Inputs!$B$37 / 12) * (1 + Inputs!$B$44)^INT((COLUMNS($B$48:BA48)-1) / 12)</f>
        <v>11142.14063</v>
      </c>
    </row>
    <row r="49" ht="14.25" customHeight="1">
      <c r="A49" s="3" t="s">
        <v>518</v>
      </c>
      <c r="B49" s="81">
        <f>B11 * (Inputs!$B$39 / 12) * (1 + Inputs!$B$44)^INT((COLUMNS($B$49:B49)-1) / 12)</f>
        <v>0</v>
      </c>
      <c r="C49" s="81">
        <f>C11 * (Inputs!$B$39 / 12) * (1 + Inputs!$B$44)^INT((COLUMNS($B$49:C49)-1) / 12)</f>
        <v>0</v>
      </c>
      <c r="D49" s="81">
        <f>D11 * (Inputs!$B$39 / 12) * (1 + Inputs!$B$44)^INT((COLUMNS($B$49:D49)-1) / 12)</f>
        <v>0</v>
      </c>
      <c r="E49" s="81">
        <f>E11 * (Inputs!$B$39 / 12) * (1 + Inputs!$B$44)^INT((COLUMNS($B$49:E49)-1) / 12)</f>
        <v>0</v>
      </c>
      <c r="F49" s="81">
        <f>F11 * (Inputs!$B$39 / 12) * (1 + Inputs!$B$44)^INT((COLUMNS($B$49:F49)-1) / 12)</f>
        <v>0</v>
      </c>
      <c r="G49" s="81">
        <f>G11 * (Inputs!$B$39 / 12) * (1 + Inputs!$B$44)^INT((COLUMNS($B$49:G49)-1) / 12)</f>
        <v>0</v>
      </c>
      <c r="H49" s="81">
        <f>H11 * (Inputs!$B$39 / 12) * (1 + Inputs!$B$44)^INT((COLUMNS($B$49:H49)-1) / 12)</f>
        <v>0</v>
      </c>
      <c r="I49" s="81">
        <f>I11 * (Inputs!$B$39 / 12) * (1 + Inputs!$B$44)^INT((COLUMNS($B$49:I49)-1) / 12)</f>
        <v>0</v>
      </c>
      <c r="J49" s="81">
        <f>J11 * (Inputs!$B$39 / 12) * (1 + Inputs!$B$44)^INT((COLUMNS($B$49:J49)-1) / 12)</f>
        <v>0</v>
      </c>
      <c r="K49" s="81">
        <f>K11 * (Inputs!$B$39 / 12) * (1 + Inputs!$B$44)^INT((COLUMNS($B$49:K49)-1) / 12)</f>
        <v>0</v>
      </c>
      <c r="L49" s="81">
        <f>L11 * (Inputs!$B$39 / 12) * (1 + Inputs!$B$44)^INT((COLUMNS($B$49:L49)-1) / 12)</f>
        <v>0</v>
      </c>
      <c r="M49" s="81">
        <f>M11 * (Inputs!$B$39 / 12) * (1 + Inputs!$B$44)^INT((COLUMNS($B$49:M49)-1) / 12)</f>
        <v>0</v>
      </c>
      <c r="N49" s="81">
        <f>N11 * (Inputs!$B$39 / 12) * (1 + Inputs!$B$44)^INT((COLUMNS($B$49:N49)-1) / 12)</f>
        <v>0</v>
      </c>
      <c r="O49" s="81">
        <f>O11 * (Inputs!$B$39 / 12) * (1 + Inputs!$B$44)^INT((COLUMNS($B$49:O49)-1) / 12)</f>
        <v>0</v>
      </c>
      <c r="P49" s="81">
        <f>P11 * (Inputs!$B$39 / 12) * (1 + Inputs!$B$44)^INT((COLUMNS($B$49:P49)-1) / 12)</f>
        <v>0</v>
      </c>
      <c r="Q49" s="81">
        <f>Q11 * (Inputs!$B$39 / 12) * (1 + Inputs!$B$44)^INT((COLUMNS($B$49:Q49)-1) / 12)</f>
        <v>0</v>
      </c>
      <c r="R49" s="81">
        <f>R11 * (Inputs!$B$39 / 12) * (1 + Inputs!$B$44)^INT((COLUMNS($B$49:R49)-1) / 12)</f>
        <v>0</v>
      </c>
      <c r="S49" s="81">
        <f>S11 * (Inputs!$B$39 / 12) * (1 + Inputs!$B$44)^INT((COLUMNS($B$49:S49)-1) / 12)</f>
        <v>0</v>
      </c>
      <c r="T49" s="81">
        <f>T11 * (Inputs!$B$39 / 12) * (1 + Inputs!$B$44)^INT((COLUMNS($B$49:T49)-1) / 12)</f>
        <v>0</v>
      </c>
      <c r="U49" s="81">
        <f>U11 * (Inputs!$B$39 / 12) * (1 + Inputs!$B$44)^INT((COLUMNS($B$49:U49)-1) / 12)</f>
        <v>0</v>
      </c>
      <c r="V49" s="81">
        <f>V11 * (Inputs!$B$39 / 12) * (1 + Inputs!$B$44)^INT((COLUMNS($B$49:V49)-1) / 12)</f>
        <v>0</v>
      </c>
      <c r="W49" s="81">
        <f>W11 * (Inputs!$B$39 / 12) * (1 + Inputs!$B$44)^INT((COLUMNS($B$49:W49)-1) / 12)</f>
        <v>0</v>
      </c>
      <c r="X49" s="81">
        <f>X11 * (Inputs!$B$39 / 12) * (1 + Inputs!$B$44)^INT((COLUMNS($B$49:X49)-1) / 12)</f>
        <v>0</v>
      </c>
      <c r="Y49" s="81">
        <f>Y11 * (Inputs!$B$39 / 12) * (1 + Inputs!$B$44)^INT((COLUMNS($B$49:Y49)-1) / 12)</f>
        <v>0</v>
      </c>
      <c r="Z49" s="81">
        <f>Z11 * (Inputs!$B$39 / 12) * (1 + Inputs!$B$44)^INT((COLUMNS($B$49:Z49)-1) / 12)</f>
        <v>0</v>
      </c>
      <c r="AA49" s="81">
        <f>AA11 * (Inputs!$B$39 / 12) * (1 + Inputs!$B$44)^INT((COLUMNS($B$49:AA49)-1) / 12)</f>
        <v>0</v>
      </c>
      <c r="AB49" s="81">
        <f>AB11 * (Inputs!$B$39 / 12) * (1 + Inputs!$B$44)^INT((COLUMNS($B$49:AB49)-1) / 12)</f>
        <v>0</v>
      </c>
      <c r="AC49" s="81">
        <f>AC11 * (Inputs!$B$39 / 12) * (1 + Inputs!$B$44)^INT((COLUMNS($B$49:AC49)-1) / 12)</f>
        <v>0</v>
      </c>
      <c r="AD49" s="81">
        <f>AD11 * (Inputs!$B$39 / 12) * (1 + Inputs!$B$44)^INT((COLUMNS($B$49:AD49)-1) / 12)</f>
        <v>0</v>
      </c>
      <c r="AE49" s="81">
        <f>AE11 * (Inputs!$B$39 / 12) * (1 + Inputs!$B$44)^INT((COLUMNS($B$49:AE49)-1) / 12)</f>
        <v>0</v>
      </c>
      <c r="AF49" s="81">
        <f>AF11 * (Inputs!$B$39 / 12) * (1 + Inputs!$B$44)^INT((COLUMNS($B$49:AF49)-1) / 12)</f>
        <v>0</v>
      </c>
      <c r="AG49" s="81">
        <f>AG11 * (Inputs!$B$39 / 12) * (1 + Inputs!$B$44)^INT((COLUMNS($B$49:AG49)-1) / 12)</f>
        <v>0</v>
      </c>
      <c r="AH49" s="81">
        <f>AH11 * (Inputs!$B$39 / 12) * (1 + Inputs!$B$44)^INT((COLUMNS($B$49:AH49)-1) / 12)</f>
        <v>0</v>
      </c>
      <c r="AI49" s="81">
        <f>AI11 * (Inputs!$B$39 / 12) * (1 + Inputs!$B$44)^INT((COLUMNS($B$49:AI49)-1) / 12)</f>
        <v>0</v>
      </c>
      <c r="AJ49" s="81">
        <f>AJ11 * (Inputs!$B$39 / 12) * (1 + Inputs!$B$44)^INT((COLUMNS($B$49:AJ49)-1) / 12)</f>
        <v>0</v>
      </c>
      <c r="AK49" s="81">
        <f>AK11 * (Inputs!$B$39 / 12) * (1 + Inputs!$B$44)^INT((COLUMNS($B$49:AK49)-1) / 12)</f>
        <v>0</v>
      </c>
      <c r="AL49" s="81">
        <f>AL11 * (Inputs!$B$39 / 12) * (1 + Inputs!$B$44)^INT((COLUMNS($B$49:AL49)-1) / 12)</f>
        <v>0</v>
      </c>
      <c r="AM49" s="81">
        <f>AM11 * (Inputs!$B$39 / 12) * (1 + Inputs!$B$44)^INT((COLUMNS($B$49:AM49)-1) / 12)</f>
        <v>0</v>
      </c>
      <c r="AN49" s="81">
        <f>AN11 * (Inputs!$B$39 / 12) * (1 + Inputs!$B$44)^INT((COLUMNS($B$49:AN49)-1) / 12)</f>
        <v>0</v>
      </c>
      <c r="AO49" s="81">
        <f>AO11 * (Inputs!$B$39 / 12) * (1 + Inputs!$B$44)^INT((COLUMNS($B$49:AO49)-1) / 12)</f>
        <v>0</v>
      </c>
      <c r="AP49" s="81">
        <f>AP11 * (Inputs!$B$39 / 12) * (1 + Inputs!$B$44)^INT((COLUMNS($B$49:AP49)-1) / 12)</f>
        <v>0</v>
      </c>
      <c r="AQ49" s="81">
        <f>AQ11 * (Inputs!$B$39 / 12) * (1 + Inputs!$B$44)^INT((COLUMNS($B$49:AQ49)-1) / 12)</f>
        <v>0</v>
      </c>
      <c r="AR49" s="81">
        <f>AR11 * (Inputs!$B$39 / 12) * (1 + Inputs!$B$44)^INT((COLUMNS($B$49:AR49)-1) / 12)</f>
        <v>0</v>
      </c>
      <c r="AS49" s="81">
        <f>AS11 * (Inputs!$B$39 / 12) * (1 + Inputs!$B$44)^INT((COLUMNS($B$49:AS49)-1) / 12)</f>
        <v>0</v>
      </c>
      <c r="AT49" s="81">
        <f>AT11 * (Inputs!$B$39 / 12) * (1 + Inputs!$B$44)^INT((COLUMNS($B$49:AT49)-1) / 12)</f>
        <v>0</v>
      </c>
      <c r="AU49" s="81">
        <f>AU11 * (Inputs!$B$39 / 12) * (1 + Inputs!$B$44)^INT((COLUMNS($B$49:AU49)-1) / 12)</f>
        <v>0</v>
      </c>
      <c r="AV49" s="81">
        <f>AV11 * (Inputs!$B$39 / 12) * (1 + Inputs!$B$44)^INT((COLUMNS($B$49:AV49)-1) / 12)</f>
        <v>0</v>
      </c>
      <c r="AW49" s="81">
        <f>AW11 * (Inputs!$B$39 / 12) * (1 + Inputs!$B$44)^INT((COLUMNS($B$49:AW49)-1) / 12)</f>
        <v>0</v>
      </c>
      <c r="AX49" s="81">
        <f>AX11 * (Inputs!$B$39 / 12) * (1 + Inputs!$B$44)^INT((COLUMNS($B$49:AX49)-1) / 12)</f>
        <v>0</v>
      </c>
      <c r="AY49" s="81">
        <f>AY11 * (Inputs!$B$39 / 12) * (1 + Inputs!$B$44)^INT((COLUMNS($B$49:AY49)-1) / 12)</f>
        <v>0</v>
      </c>
      <c r="AZ49" s="81">
        <f>AZ11 * (Inputs!$B$39 / 12) * (1 + Inputs!$B$44)^INT((COLUMNS($B$49:AZ49)-1) / 12)</f>
        <v>0</v>
      </c>
      <c r="BA49" s="81">
        <f>BA11 * (Inputs!$B$39 / 12) * (1 + Inputs!$B$44)^INT((COLUMNS($B$49:BA49)-1) / 12)</f>
        <v>0</v>
      </c>
    </row>
    <row r="50" ht="14.25" customHeight="1">
      <c r="A50" s="3" t="s">
        <v>519</v>
      </c>
      <c r="B50" s="81">
        <f>B12 * (Inputs!$B$39 / 12) * (1 + Inputs!$B$44)^INT((COLUMNS($B$50:B50)-1) / 12)</f>
        <v>0</v>
      </c>
      <c r="C50" s="81">
        <f>C12 * (Inputs!$B$39 / 12) * (1 + Inputs!$B$44)^INT((COLUMNS($B$50:C50)-1) / 12)</f>
        <v>0</v>
      </c>
      <c r="D50" s="81">
        <f>D12 * (Inputs!$B$39 / 12) * (1 + Inputs!$B$44)^INT((COLUMNS($B$50:D50)-1) / 12)</f>
        <v>0</v>
      </c>
      <c r="E50" s="81">
        <f>E12 * (Inputs!$B$39 / 12) * (1 + Inputs!$B$44)^INT((COLUMNS($B$50:E50)-1) / 12)</f>
        <v>0</v>
      </c>
      <c r="F50" s="81">
        <f>F12 * (Inputs!$B$39 / 12) * (1 + Inputs!$B$44)^INT((COLUMNS($B$50:F50)-1) / 12)</f>
        <v>0</v>
      </c>
      <c r="G50" s="81">
        <f>G12 * (Inputs!$B$39 / 12) * (1 + Inputs!$B$44)^INT((COLUMNS($B$50:G50)-1) / 12)</f>
        <v>0</v>
      </c>
      <c r="H50" s="81">
        <f>H12 * (Inputs!$B$39 / 12) * (1 + Inputs!$B$44)^INT((COLUMNS($B$50:H50)-1) / 12)</f>
        <v>0</v>
      </c>
      <c r="I50" s="81">
        <f>I12 * (Inputs!$B$39 / 12) * (1 + Inputs!$B$44)^INT((COLUMNS($B$50:I50)-1) / 12)</f>
        <v>0</v>
      </c>
      <c r="J50" s="81">
        <f>J12 * (Inputs!$B$39 / 12) * (1 + Inputs!$B$44)^INT((COLUMNS($B$50:J50)-1) / 12)</f>
        <v>0</v>
      </c>
      <c r="K50" s="81">
        <f>K12 * (Inputs!$B$39 / 12) * (1 + Inputs!$B$44)^INT((COLUMNS($B$50:K50)-1) / 12)</f>
        <v>0</v>
      </c>
      <c r="L50" s="81">
        <f>L12 * (Inputs!$B$39 / 12) * (1 + Inputs!$B$44)^INT((COLUMNS($B$50:L50)-1) / 12)</f>
        <v>0</v>
      </c>
      <c r="M50" s="81">
        <f>M12 * (Inputs!$B$39 / 12) * (1 + Inputs!$B$44)^INT((COLUMNS($B$50:M50)-1) / 12)</f>
        <v>0</v>
      </c>
      <c r="N50" s="81">
        <f>N12 * (Inputs!$B$39 / 12) * (1 + Inputs!$B$44)^INT((COLUMNS($B$50:N50)-1) / 12)</f>
        <v>0</v>
      </c>
      <c r="O50" s="81">
        <f>O12 * (Inputs!$B$39 / 12) * (1 + Inputs!$B$44)^INT((COLUMNS($B$50:O50)-1) / 12)</f>
        <v>0</v>
      </c>
      <c r="P50" s="81">
        <f>P12 * (Inputs!$B$39 / 12) * (1 + Inputs!$B$44)^INT((COLUMNS($B$50:P50)-1) / 12)</f>
        <v>0</v>
      </c>
      <c r="Q50" s="81">
        <f>Q12 * (Inputs!$B$39 / 12) * (1 + Inputs!$B$44)^INT((COLUMNS($B$50:Q50)-1) / 12)</f>
        <v>0</v>
      </c>
      <c r="R50" s="81">
        <f>R12 * (Inputs!$B$39 / 12) * (1 + Inputs!$B$44)^INT((COLUMNS($B$50:R50)-1) / 12)</f>
        <v>0</v>
      </c>
      <c r="S50" s="81">
        <f>S12 * (Inputs!$B$39 / 12) * (1 + Inputs!$B$44)^INT((COLUMNS($B$50:S50)-1) / 12)</f>
        <v>11375</v>
      </c>
      <c r="T50" s="81">
        <f>T12 * (Inputs!$B$39 / 12) * (1 + Inputs!$B$44)^INT((COLUMNS($B$50:T50)-1) / 12)</f>
        <v>11375</v>
      </c>
      <c r="U50" s="81">
        <f>U12 * (Inputs!$B$39 / 12) * (1 + Inputs!$B$44)^INT((COLUMNS($B$50:U50)-1) / 12)</f>
        <v>11375</v>
      </c>
      <c r="V50" s="81">
        <f>V12 * (Inputs!$B$39 / 12) * (1 + Inputs!$B$44)^INT((COLUMNS($B$50:V50)-1) / 12)</f>
        <v>11375</v>
      </c>
      <c r="W50" s="81">
        <f>W12 * (Inputs!$B$39 / 12) * (1 + Inputs!$B$44)^INT((COLUMNS($B$50:W50)-1) / 12)</f>
        <v>11375</v>
      </c>
      <c r="X50" s="81">
        <f>X12 * (Inputs!$B$39 / 12) * (1 + Inputs!$B$44)^INT((COLUMNS($B$50:X50)-1) / 12)</f>
        <v>11375</v>
      </c>
      <c r="Y50" s="81">
        <f>Y12 * (Inputs!$B$39 / 12) * (1 + Inputs!$B$44)^INT((COLUMNS($B$50:Y50)-1) / 12)</f>
        <v>11375</v>
      </c>
      <c r="Z50" s="81">
        <f>Z12 * (Inputs!$B$39 / 12) * (1 + Inputs!$B$44)^INT((COLUMNS($B$50:Z50)-1) / 12)</f>
        <v>11943.75</v>
      </c>
      <c r="AA50" s="81">
        <f>AA12 * (Inputs!$B$39 / 12) * (1 + Inputs!$B$44)^INT((COLUMNS($B$50:AA50)-1) / 12)</f>
        <v>11943.75</v>
      </c>
      <c r="AB50" s="81">
        <f>AB12 * (Inputs!$B$39 / 12) * (1 + Inputs!$B$44)^INT((COLUMNS($B$50:AB50)-1) / 12)</f>
        <v>11943.75</v>
      </c>
      <c r="AC50" s="81">
        <f>AC12 * (Inputs!$B$39 / 12) * (1 + Inputs!$B$44)^INT((COLUMNS($B$50:AC50)-1) / 12)</f>
        <v>11943.75</v>
      </c>
      <c r="AD50" s="81">
        <f>AD12 * (Inputs!$B$39 / 12) * (1 + Inputs!$B$44)^INT((COLUMNS($B$50:AD50)-1) / 12)</f>
        <v>11943.75</v>
      </c>
      <c r="AE50" s="81">
        <f>AE12 * (Inputs!$B$39 / 12) * (1 + Inputs!$B$44)^INT((COLUMNS($B$50:AE50)-1) / 12)</f>
        <v>11943.75</v>
      </c>
      <c r="AF50" s="81">
        <f>AF12 * (Inputs!$B$39 / 12) * (1 + Inputs!$B$44)^INT((COLUMNS($B$50:AF50)-1) / 12)</f>
        <v>11943.75</v>
      </c>
      <c r="AG50" s="81">
        <f>AG12 * (Inputs!$B$39 / 12) * (1 + Inputs!$B$44)^INT((COLUMNS($B$50:AG50)-1) / 12)</f>
        <v>11943.75</v>
      </c>
      <c r="AH50" s="81">
        <f>AH12 * (Inputs!$B$39 / 12) * (1 + Inputs!$B$44)^INT((COLUMNS($B$50:AH50)-1) / 12)</f>
        <v>11943.75</v>
      </c>
      <c r="AI50" s="81">
        <f>AI12 * (Inputs!$B$39 / 12) * (1 + Inputs!$B$44)^INT((COLUMNS($B$50:AI50)-1) / 12)</f>
        <v>11943.75</v>
      </c>
      <c r="AJ50" s="81">
        <f>AJ12 * (Inputs!$B$39 / 12) * (1 + Inputs!$B$44)^INT((COLUMNS($B$50:AJ50)-1) / 12)</f>
        <v>11943.75</v>
      </c>
      <c r="AK50" s="81">
        <f>AK12 * (Inputs!$B$39 / 12) * (1 + Inputs!$B$44)^INT((COLUMNS($B$50:AK50)-1) / 12)</f>
        <v>11943.75</v>
      </c>
      <c r="AL50" s="81">
        <f>AL12 * (Inputs!$B$39 / 12) * (1 + Inputs!$B$44)^INT((COLUMNS($B$50:AL50)-1) / 12)</f>
        <v>12540.9375</v>
      </c>
      <c r="AM50" s="81">
        <f>AM12 * (Inputs!$B$39 / 12) * (1 + Inputs!$B$44)^INT((COLUMNS($B$50:AM50)-1) / 12)</f>
        <v>12540.9375</v>
      </c>
      <c r="AN50" s="81">
        <f>AN12 * (Inputs!$B$39 / 12) * (1 + Inputs!$B$44)^INT((COLUMNS($B$50:AN50)-1) / 12)</f>
        <v>12540.9375</v>
      </c>
      <c r="AO50" s="81">
        <f>AO12 * (Inputs!$B$39 / 12) * (1 + Inputs!$B$44)^INT((COLUMNS($B$50:AO50)-1) / 12)</f>
        <v>12540.9375</v>
      </c>
      <c r="AP50" s="81">
        <f>AP12 * (Inputs!$B$39 / 12) * (1 + Inputs!$B$44)^INT((COLUMNS($B$50:AP50)-1) / 12)</f>
        <v>12540.9375</v>
      </c>
      <c r="AQ50" s="81">
        <f>AQ12 * (Inputs!$B$39 / 12) * (1 + Inputs!$B$44)^INT((COLUMNS($B$50:AQ50)-1) / 12)</f>
        <v>12540.9375</v>
      </c>
      <c r="AR50" s="81">
        <f>AR12 * (Inputs!$B$39 / 12) * (1 + Inputs!$B$44)^INT((COLUMNS($B$50:AR50)-1) / 12)</f>
        <v>12540.9375</v>
      </c>
      <c r="AS50" s="81">
        <f>AS12 * (Inputs!$B$39 / 12) * (1 + Inputs!$B$44)^INT((COLUMNS($B$50:AS50)-1) / 12)</f>
        <v>12540.9375</v>
      </c>
      <c r="AT50" s="81">
        <f>AT12 * (Inputs!$B$39 / 12) * (1 + Inputs!$B$44)^INT((COLUMNS($B$50:AT50)-1) / 12)</f>
        <v>12540.9375</v>
      </c>
      <c r="AU50" s="81">
        <f>AU12 * (Inputs!$B$39 / 12) * (1 + Inputs!$B$44)^INT((COLUMNS($B$50:AU50)-1) / 12)</f>
        <v>12540.9375</v>
      </c>
      <c r="AV50" s="81">
        <f>AV12 * (Inputs!$B$39 / 12) * (1 + Inputs!$B$44)^INT((COLUMNS($B$50:AV50)-1) / 12)</f>
        <v>12540.9375</v>
      </c>
      <c r="AW50" s="81">
        <f>AW12 * (Inputs!$B$39 / 12) * (1 + Inputs!$B$44)^INT((COLUMNS($B$50:AW50)-1) / 12)</f>
        <v>12540.9375</v>
      </c>
      <c r="AX50" s="81">
        <f>AX12 * (Inputs!$B$39 / 12) * (1 + Inputs!$B$44)^INT((COLUMNS($B$50:AX50)-1) / 12)</f>
        <v>13167.98438</v>
      </c>
      <c r="AY50" s="81">
        <f>AY12 * (Inputs!$B$39 / 12) * (1 + Inputs!$B$44)^INT((COLUMNS($B$50:AY50)-1) / 12)</f>
        <v>13167.98438</v>
      </c>
      <c r="AZ50" s="81">
        <f>AZ12 * (Inputs!$B$39 / 12) * (1 + Inputs!$B$44)^INT((COLUMNS($B$50:AZ50)-1) / 12)</f>
        <v>13167.98438</v>
      </c>
      <c r="BA50" s="81">
        <f>BA12 * (Inputs!$B$39 / 12) * (1 + Inputs!$B$44)^INT((COLUMNS($B$50:BA50)-1) / 12)</f>
        <v>13167.98438</v>
      </c>
    </row>
    <row r="51" ht="14.25" customHeight="1">
      <c r="A51" s="3" t="s">
        <v>520</v>
      </c>
      <c r="B51" s="81">
        <f>B13 * (Inputs!$B$41 / 12) * (1 + Inputs!$B$44)^INT((COLUMNS($B$51:B51)-1) / 12)</f>
        <v>0</v>
      </c>
      <c r="C51" s="81">
        <f>C13 * (Inputs!$B$41 / 12) * (1 + Inputs!$B$44)^INT((COLUMNS($B$51:C51)-1) / 12)</f>
        <v>0</v>
      </c>
      <c r="D51" s="81">
        <f>D13 * (Inputs!$B$41 / 12) * (1 + Inputs!$B$44)^INT((COLUMNS($B$51:D51)-1) / 12)</f>
        <v>0</v>
      </c>
      <c r="E51" s="81">
        <f>E13 * (Inputs!$B$41 / 12) * (1 + Inputs!$B$44)^INT((COLUMNS($B$51:E51)-1) / 12)</f>
        <v>0</v>
      </c>
      <c r="F51" s="81">
        <f>F13 * (Inputs!$B$41 / 12) * (1 + Inputs!$B$44)^INT((COLUMNS($B$51:F51)-1) / 12)</f>
        <v>0</v>
      </c>
      <c r="G51" s="81">
        <f>G13 * (Inputs!$B$41 / 12) * (1 + Inputs!$B$44)^INT((COLUMNS($B$51:G51)-1) / 12)</f>
        <v>0</v>
      </c>
      <c r="H51" s="81">
        <f>H13 * (Inputs!$B$41 / 12) * (1 + Inputs!$B$44)^INT((COLUMNS($B$51:H51)-1) / 12)</f>
        <v>0</v>
      </c>
      <c r="I51" s="81">
        <f>I13 * (Inputs!$B$41 / 12) * (1 + Inputs!$B$44)^INT((COLUMNS($B$51:I51)-1) / 12)</f>
        <v>0</v>
      </c>
      <c r="J51" s="81">
        <f>J13 * (Inputs!$B$41 / 12) * (1 + Inputs!$B$44)^INT((COLUMNS($B$51:J51)-1) / 12)</f>
        <v>0</v>
      </c>
      <c r="K51" s="81">
        <f>K13 * (Inputs!$B$41 / 12) * (1 + Inputs!$B$44)^INT((COLUMNS($B$51:K51)-1) / 12)</f>
        <v>0</v>
      </c>
      <c r="L51" s="81">
        <f>L13 * (Inputs!$B$41 / 12) * (1 + Inputs!$B$44)^INT((COLUMNS($B$51:L51)-1) / 12)</f>
        <v>0</v>
      </c>
      <c r="M51" s="81">
        <f>M13 * (Inputs!$B$41 / 12) * (1 + Inputs!$B$44)^INT((COLUMNS($B$51:M51)-1) / 12)</f>
        <v>5416.666667</v>
      </c>
      <c r="N51" s="81">
        <f>N13 * (Inputs!$B$41 / 12) * (1 + Inputs!$B$44)^INT((COLUMNS($B$51:N51)-1) / 12)</f>
        <v>5687.5</v>
      </c>
      <c r="O51" s="81">
        <f>O13 * (Inputs!$B$41 / 12) * (1 + Inputs!$B$44)^INT((COLUMNS($B$51:O51)-1) / 12)</f>
        <v>5687.5</v>
      </c>
      <c r="P51" s="81">
        <f>P13 * (Inputs!$B$41 / 12) * (1 + Inputs!$B$44)^INT((COLUMNS($B$51:P51)-1) / 12)</f>
        <v>5687.5</v>
      </c>
      <c r="Q51" s="81">
        <f>Q13 * (Inputs!$B$41 / 12) * (1 + Inputs!$B$44)^INT((COLUMNS($B$51:Q51)-1) / 12)</f>
        <v>5687.5</v>
      </c>
      <c r="R51" s="81">
        <f>R13 * (Inputs!$B$41 / 12) * (1 + Inputs!$B$44)^INT((COLUMNS($B$51:R51)-1) / 12)</f>
        <v>5687.5</v>
      </c>
      <c r="S51" s="81">
        <f>S13 * (Inputs!$B$41 / 12) * (1 + Inputs!$B$44)^INT((COLUMNS($B$51:S51)-1) / 12)</f>
        <v>5687.5</v>
      </c>
      <c r="T51" s="81">
        <f>T13 * (Inputs!$B$41 / 12) * (1 + Inputs!$B$44)^INT((COLUMNS($B$51:T51)-1) / 12)</f>
        <v>5687.5</v>
      </c>
      <c r="U51" s="81">
        <f>U13 * (Inputs!$B$41 / 12) * (1 + Inputs!$B$44)^INT((COLUMNS($B$51:U51)-1) / 12)</f>
        <v>5687.5</v>
      </c>
      <c r="V51" s="81">
        <f>V13 * (Inputs!$B$41 / 12) * (1 + Inputs!$B$44)^INT((COLUMNS($B$51:V51)-1) / 12)</f>
        <v>5687.5</v>
      </c>
      <c r="W51" s="81">
        <f>W13 * (Inputs!$B$41 / 12) * (1 + Inputs!$B$44)^INT((COLUMNS($B$51:W51)-1) / 12)</f>
        <v>5687.5</v>
      </c>
      <c r="X51" s="81">
        <f>X13 * (Inputs!$B$41 / 12) * (1 + Inputs!$B$44)^INT((COLUMNS($B$51:X51)-1) / 12)</f>
        <v>5687.5</v>
      </c>
      <c r="Y51" s="81">
        <f>Y13 * (Inputs!$B$41 / 12) * (1 + Inputs!$B$44)^INT((COLUMNS($B$51:Y51)-1) / 12)</f>
        <v>5687.5</v>
      </c>
      <c r="Z51" s="81">
        <f>Z13 * (Inputs!$B$41 / 12) * (1 + Inputs!$B$44)^INT((COLUMNS($B$51:Z51)-1) / 12)</f>
        <v>5971.875</v>
      </c>
      <c r="AA51" s="81">
        <f>AA13 * (Inputs!$B$41 / 12) * (1 + Inputs!$B$44)^INT((COLUMNS($B$51:AA51)-1) / 12)</f>
        <v>5971.875</v>
      </c>
      <c r="AB51" s="81">
        <f>AB13 * (Inputs!$B$41 / 12) * (1 + Inputs!$B$44)^INT((COLUMNS($B$51:AB51)-1) / 12)</f>
        <v>5971.875</v>
      </c>
      <c r="AC51" s="81">
        <f>AC13 * (Inputs!$B$41 / 12) * (1 + Inputs!$B$44)^INT((COLUMNS($B$51:AC51)-1) / 12)</f>
        <v>5971.875</v>
      </c>
      <c r="AD51" s="81">
        <f>AD13 * (Inputs!$B$41 / 12) * (1 + Inputs!$B$44)^INT((COLUMNS($B$51:AD51)-1) / 12)</f>
        <v>5971.875</v>
      </c>
      <c r="AE51" s="81">
        <f>AE13 * (Inputs!$B$41 / 12) * (1 + Inputs!$B$44)^INT((COLUMNS($B$51:AE51)-1) / 12)</f>
        <v>5971.875</v>
      </c>
      <c r="AF51" s="81">
        <f>AF13 * (Inputs!$B$41 / 12) * (1 + Inputs!$B$44)^INT((COLUMNS($B$51:AF51)-1) / 12)</f>
        <v>5971.875</v>
      </c>
      <c r="AG51" s="81">
        <f>AG13 * (Inputs!$B$41 / 12) * (1 + Inputs!$B$44)^INT((COLUMNS($B$51:AG51)-1) / 12)</f>
        <v>5971.875</v>
      </c>
      <c r="AH51" s="81">
        <f>AH13 * (Inputs!$B$41 / 12) * (1 + Inputs!$B$44)^INT((COLUMNS($B$51:AH51)-1) / 12)</f>
        <v>5971.875</v>
      </c>
      <c r="AI51" s="81">
        <f>AI13 * (Inputs!$B$41 / 12) * (1 + Inputs!$B$44)^INT((COLUMNS($B$51:AI51)-1) / 12)</f>
        <v>5971.875</v>
      </c>
      <c r="AJ51" s="81">
        <f>AJ13 * (Inputs!$B$41 / 12) * (1 + Inputs!$B$44)^INT((COLUMNS($B$51:AJ51)-1) / 12)</f>
        <v>5971.875</v>
      </c>
      <c r="AK51" s="81">
        <f>AK13 * (Inputs!$B$41 / 12) * (1 + Inputs!$B$44)^INT((COLUMNS($B$51:AK51)-1) / 12)</f>
        <v>5971.875</v>
      </c>
      <c r="AL51" s="81">
        <f>AL13 * (Inputs!$B$41 / 12) * (1 + Inputs!$B$44)^INT((COLUMNS($B$51:AL51)-1) / 12)</f>
        <v>6270.46875</v>
      </c>
      <c r="AM51" s="81">
        <f>AM13 * (Inputs!$B$41 / 12) * (1 + Inputs!$B$44)^INT((COLUMNS($B$51:AM51)-1) / 12)</f>
        <v>6270.46875</v>
      </c>
      <c r="AN51" s="81">
        <f>AN13 * (Inputs!$B$41 / 12) * (1 + Inputs!$B$44)^INT((COLUMNS($B$51:AN51)-1) / 12)</f>
        <v>6270.46875</v>
      </c>
      <c r="AO51" s="81">
        <f>AO13 * (Inputs!$B$41 / 12) * (1 + Inputs!$B$44)^INT((COLUMNS($B$51:AO51)-1) / 12)</f>
        <v>6270.46875</v>
      </c>
      <c r="AP51" s="81">
        <f>AP13 * (Inputs!$B$41 / 12) * (1 + Inputs!$B$44)^INT((COLUMNS($B$51:AP51)-1) / 12)</f>
        <v>6270.46875</v>
      </c>
      <c r="AQ51" s="81">
        <f>AQ13 * (Inputs!$B$41 / 12) * (1 + Inputs!$B$44)^INT((COLUMNS($B$51:AQ51)-1) / 12)</f>
        <v>6270.46875</v>
      </c>
      <c r="AR51" s="81">
        <f>AR13 * (Inputs!$B$41 / 12) * (1 + Inputs!$B$44)^INT((COLUMNS($B$51:AR51)-1) / 12)</f>
        <v>6270.46875</v>
      </c>
      <c r="AS51" s="81">
        <f>AS13 * (Inputs!$B$41 / 12) * (1 + Inputs!$B$44)^INT((COLUMNS($B$51:AS51)-1) / 12)</f>
        <v>6270.46875</v>
      </c>
      <c r="AT51" s="81">
        <f>AT13 * (Inputs!$B$41 / 12) * (1 + Inputs!$B$44)^INT((COLUMNS($B$51:AT51)-1) / 12)</f>
        <v>6270.46875</v>
      </c>
      <c r="AU51" s="81">
        <f>AU13 * (Inputs!$B$41 / 12) * (1 + Inputs!$B$44)^INT((COLUMNS($B$51:AU51)-1) / 12)</f>
        <v>6270.46875</v>
      </c>
      <c r="AV51" s="81">
        <f>AV13 * (Inputs!$B$41 / 12) * (1 + Inputs!$B$44)^INT((COLUMNS($B$51:AV51)-1) / 12)</f>
        <v>6270.46875</v>
      </c>
      <c r="AW51" s="81">
        <f>AW13 * (Inputs!$B$41 / 12) * (1 + Inputs!$B$44)^INT((COLUMNS($B$51:AW51)-1) / 12)</f>
        <v>6270.46875</v>
      </c>
      <c r="AX51" s="81">
        <f>AX13 * (Inputs!$B$41 / 12) * (1 + Inputs!$B$44)^INT((COLUMNS($B$51:AX51)-1) / 12)</f>
        <v>6583.992188</v>
      </c>
      <c r="AY51" s="81">
        <f>AY13 * (Inputs!$B$41 / 12) * (1 + Inputs!$B$44)^INT((COLUMNS($B$51:AY51)-1) / 12)</f>
        <v>6583.992188</v>
      </c>
      <c r="AZ51" s="81">
        <f>AZ13 * (Inputs!$B$41 / 12) * (1 + Inputs!$B$44)^INT((COLUMNS($B$51:AZ51)-1) / 12)</f>
        <v>6583.992188</v>
      </c>
      <c r="BA51" s="81">
        <f>BA13 * (Inputs!$B$41 / 12) * (1 + Inputs!$B$44)^INT((COLUMNS($B$51:BA51)-1) / 12)</f>
        <v>6583.992188</v>
      </c>
    </row>
    <row r="52" ht="14.25" customHeight="1">
      <c r="A52" s="3" t="s">
        <v>521</v>
      </c>
      <c r="B52" s="81">
        <f>B14 * (Inputs!$B$41 / 12) * (1 + Inputs!$B$44)^INT((COLUMNS($B$52:B52)-1) / 12)</f>
        <v>0</v>
      </c>
      <c r="C52" s="81">
        <f>C14 * (Inputs!$B$41 / 12) * (1 + Inputs!$B$44)^INT((COLUMNS($B$51:C52)-1) / 12)</f>
        <v>0</v>
      </c>
      <c r="D52" s="81">
        <f>D14 * (Inputs!$B$41 / 12) * (1 + Inputs!$B$44)^INT((COLUMNS($B$51:D52)-1) / 12)</f>
        <v>0</v>
      </c>
      <c r="E52" s="81">
        <f>E14 * (Inputs!$B$41 / 12) * (1 + Inputs!$B$44)^INT((COLUMNS($B$51:E52)-1) / 12)</f>
        <v>0</v>
      </c>
      <c r="F52" s="81">
        <f>F14 * (Inputs!$B$41 / 12) * (1 + Inputs!$B$44)^INT((COLUMNS($B$51:F52)-1) / 12)</f>
        <v>0</v>
      </c>
      <c r="G52" s="81">
        <f>G14 * (Inputs!$B$41 / 12) * (1 + Inputs!$B$44)^INT((COLUMNS($B$51:G52)-1) / 12)</f>
        <v>0</v>
      </c>
      <c r="H52" s="81">
        <f>H14 * (Inputs!$B$41 / 12) * (1 + Inputs!$B$44)^INT((COLUMNS($B$51:H52)-1) / 12)</f>
        <v>0</v>
      </c>
      <c r="I52" s="81">
        <f>I14 * (Inputs!$B$41 / 12) * (1 + Inputs!$B$44)^INT((COLUMNS($B$51:I52)-1) / 12)</f>
        <v>0</v>
      </c>
      <c r="J52" s="81">
        <f>J14 * (Inputs!$B$41 / 12) * (1 + Inputs!$B$44)^INT((COLUMNS($B$51:J52)-1) / 12)</f>
        <v>0</v>
      </c>
      <c r="K52" s="81">
        <f>K14 * (Inputs!$B$41 / 12) * (1 + Inputs!$B$44)^INT((COLUMNS($B$51:K52)-1) / 12)</f>
        <v>0</v>
      </c>
      <c r="L52" s="81">
        <f>L14 * (Inputs!$B$41 / 12) * (1 + Inputs!$B$44)^INT((COLUMNS($B$51:L52)-1) / 12)</f>
        <v>5416.666667</v>
      </c>
      <c r="M52" s="81">
        <f>M14 * (Inputs!$B$41 / 12) * (1 + Inputs!$B$44)^INT((COLUMNS($B$51:M52)-1) / 12)</f>
        <v>5416.666667</v>
      </c>
      <c r="N52" s="81">
        <f>N14 * (Inputs!$B$41 / 12) * (1 + Inputs!$B$44)^INT((COLUMNS($B$51:N52)-1) / 12)</f>
        <v>5687.5</v>
      </c>
      <c r="O52" s="81">
        <f>O14 * (Inputs!$B$41 / 12) * (1 + Inputs!$B$44)^INT((COLUMNS($B$51:O52)-1) / 12)</f>
        <v>5687.5</v>
      </c>
      <c r="P52" s="81">
        <f>P14 * (Inputs!$B$41 / 12) * (1 + Inputs!$B$44)^INT((COLUMNS($B$51:P52)-1) / 12)</f>
        <v>5687.5</v>
      </c>
      <c r="Q52" s="81">
        <f>Q14 * (Inputs!$B$41 / 12) * (1 + Inputs!$B$44)^INT((COLUMNS($B$51:Q52)-1) / 12)</f>
        <v>5687.5</v>
      </c>
      <c r="R52" s="81">
        <f>R14 * (Inputs!$B$41 / 12) * (1 + Inputs!$B$44)^INT((COLUMNS($B$51:R52)-1) / 12)</f>
        <v>5687.5</v>
      </c>
      <c r="S52" s="81">
        <f>S14 * (Inputs!$B$41 / 12) * (1 + Inputs!$B$44)^INT((COLUMNS($B$51:S52)-1) / 12)</f>
        <v>5687.5</v>
      </c>
      <c r="T52" s="81">
        <f>T14 * (Inputs!$B$41 / 12) * (1 + Inputs!$B$44)^INT((COLUMNS($B$51:T52)-1) / 12)</f>
        <v>5687.5</v>
      </c>
      <c r="U52" s="81">
        <f>U14 * (Inputs!$B$41 / 12) * (1 + Inputs!$B$44)^INT((COLUMNS($B$51:U52)-1) / 12)</f>
        <v>5687.5</v>
      </c>
      <c r="V52" s="81">
        <f>V14 * (Inputs!$B$41 / 12) * (1 + Inputs!$B$44)^INT((COLUMNS($B$51:V52)-1) / 12)</f>
        <v>5687.5</v>
      </c>
      <c r="W52" s="81">
        <f>W14 * (Inputs!$B$41 / 12) * (1 + Inputs!$B$44)^INT((COLUMNS($B$51:W52)-1) / 12)</f>
        <v>5687.5</v>
      </c>
      <c r="X52" s="81">
        <f>X14 * (Inputs!$B$41 / 12) * (1 + Inputs!$B$44)^INT((COLUMNS($B$51:X52)-1) / 12)</f>
        <v>5687.5</v>
      </c>
      <c r="Y52" s="81">
        <f>Y14 * (Inputs!$B$41 / 12) * (1 + Inputs!$B$44)^INT((COLUMNS($B$51:Y52)-1) / 12)</f>
        <v>5687.5</v>
      </c>
      <c r="Z52" s="81">
        <f>Z14 * (Inputs!$B$41 / 12) * (1 + Inputs!$B$44)^INT((COLUMNS($B$51:Z52)-1) / 12)</f>
        <v>5971.875</v>
      </c>
      <c r="AA52" s="81">
        <f>AA14 * (Inputs!$B$41 / 12) * (1 + Inputs!$B$44)^INT((COLUMNS($B$51:AA52)-1) / 12)</f>
        <v>5971.875</v>
      </c>
      <c r="AB52" s="81">
        <f>AB14 * (Inputs!$B$41 / 12) * (1 + Inputs!$B$44)^INT((COLUMNS($B$51:AB52)-1) / 12)</f>
        <v>5971.875</v>
      </c>
      <c r="AC52" s="81">
        <f>AC14 * (Inputs!$B$41 / 12) * (1 + Inputs!$B$44)^INT((COLUMNS($B$51:AC52)-1) / 12)</f>
        <v>5971.875</v>
      </c>
      <c r="AD52" s="81">
        <f>AD14 * (Inputs!$B$41 / 12) * (1 + Inputs!$B$44)^INT((COLUMNS($B$51:AD52)-1) / 12)</f>
        <v>5971.875</v>
      </c>
      <c r="AE52" s="81">
        <f>AE14 * (Inputs!$B$41 / 12) * (1 + Inputs!$B$44)^INT((COLUMNS($B$51:AE52)-1) / 12)</f>
        <v>5971.875</v>
      </c>
      <c r="AF52" s="81">
        <f>AF14 * (Inputs!$B$41 / 12) * (1 + Inputs!$B$44)^INT((COLUMNS($B$51:AF52)-1) / 12)</f>
        <v>5971.875</v>
      </c>
      <c r="AG52" s="81">
        <f>AG14 * (Inputs!$B$41 / 12) * (1 + Inputs!$B$44)^INT((COLUMNS($B$51:AG52)-1) / 12)</f>
        <v>5971.875</v>
      </c>
      <c r="AH52" s="81">
        <f>AH14 * (Inputs!$B$41 / 12) * (1 + Inputs!$B$44)^INT((COLUMNS($B$51:AH52)-1) / 12)</f>
        <v>5971.875</v>
      </c>
      <c r="AI52" s="81">
        <f>AI14 * (Inputs!$B$41 / 12) * (1 + Inputs!$B$44)^INT((COLUMNS($B$51:AI52)-1) / 12)</f>
        <v>5971.875</v>
      </c>
      <c r="AJ52" s="81">
        <f>AJ14 * (Inputs!$B$41 / 12) * (1 + Inputs!$B$44)^INT((COLUMNS($B$51:AJ52)-1) / 12)</f>
        <v>5971.875</v>
      </c>
      <c r="AK52" s="81">
        <f>AK14 * (Inputs!$B$41 / 12) * (1 + Inputs!$B$44)^INT((COLUMNS($B$51:AK52)-1) / 12)</f>
        <v>5971.875</v>
      </c>
      <c r="AL52" s="81">
        <f>AL14 * (Inputs!$B$41 / 12) * (1 + Inputs!$B$44)^INT((COLUMNS($B$51:AL52)-1) / 12)</f>
        <v>6270.46875</v>
      </c>
      <c r="AM52" s="81">
        <f>AM14 * (Inputs!$B$41 / 12) * (1 + Inputs!$B$44)^INT((COLUMNS($B$51:AM52)-1) / 12)</f>
        <v>6270.46875</v>
      </c>
      <c r="AN52" s="81">
        <f>AN14 * (Inputs!$B$41 / 12) * (1 + Inputs!$B$44)^INT((COLUMNS($B$51:AN52)-1) / 12)</f>
        <v>6270.46875</v>
      </c>
      <c r="AO52" s="81">
        <f>AO14 * (Inputs!$B$41 / 12) * (1 + Inputs!$B$44)^INT((COLUMNS($B$51:AO52)-1) / 12)</f>
        <v>6270.46875</v>
      </c>
      <c r="AP52" s="81">
        <f>AP14 * (Inputs!$B$41 / 12) * (1 + Inputs!$B$44)^INT((COLUMNS($B$51:AP52)-1) / 12)</f>
        <v>6270.46875</v>
      </c>
      <c r="AQ52" s="81">
        <f>AQ14 * (Inputs!$B$41 / 12) * (1 + Inputs!$B$44)^INT((COLUMNS($B$51:AQ52)-1) / 12)</f>
        <v>6270.46875</v>
      </c>
      <c r="AR52" s="81">
        <f>AR14 * (Inputs!$B$41 / 12) * (1 + Inputs!$B$44)^INT((COLUMNS($B$51:AR52)-1) / 12)</f>
        <v>6270.46875</v>
      </c>
      <c r="AS52" s="81">
        <f>AS14 * (Inputs!$B$41 / 12) * (1 + Inputs!$B$44)^INT((COLUMNS($B$51:AS52)-1) / 12)</f>
        <v>6270.46875</v>
      </c>
      <c r="AT52" s="81">
        <f>AT14 * (Inputs!$B$41 / 12) * (1 + Inputs!$B$44)^INT((COLUMNS($B$51:AT52)-1) / 12)</f>
        <v>6270.46875</v>
      </c>
      <c r="AU52" s="81">
        <f>AU14 * (Inputs!$B$41 / 12) * (1 + Inputs!$B$44)^INT((COLUMNS($B$51:AU52)-1) / 12)</f>
        <v>6270.46875</v>
      </c>
      <c r="AV52" s="81">
        <f>AV14 * (Inputs!$B$41 / 12) * (1 + Inputs!$B$44)^INT((COLUMNS($B$51:AV52)-1) / 12)</f>
        <v>6270.46875</v>
      </c>
      <c r="AW52" s="81">
        <f>AW14 * (Inputs!$B$41 / 12) * (1 + Inputs!$B$44)^INT((COLUMNS($B$51:AW52)-1) / 12)</f>
        <v>6270.46875</v>
      </c>
      <c r="AX52" s="81">
        <f>AX14 * (Inputs!$B$41 / 12) * (1 + Inputs!$B$44)^INT((COLUMNS($B$51:AX52)-1) / 12)</f>
        <v>6583.992188</v>
      </c>
      <c r="AY52" s="81">
        <f>AY14 * (Inputs!$B$41 / 12) * (1 + Inputs!$B$44)^INT((COLUMNS($B$51:AY52)-1) / 12)</f>
        <v>6583.992188</v>
      </c>
      <c r="AZ52" s="81">
        <f>AZ14 * (Inputs!$B$41 / 12) * (1 + Inputs!$B$44)^INT((COLUMNS($B$51:AZ52)-1) / 12)</f>
        <v>6583.992188</v>
      </c>
      <c r="BA52" s="81">
        <f>BA14 * (Inputs!$B$41 / 12) * (1 + Inputs!$B$44)^INT((COLUMNS($B$51:BA52)-1) / 12)</f>
        <v>6583.992188</v>
      </c>
    </row>
    <row r="53" ht="14.25" customHeight="1">
      <c r="A53" s="3" t="s">
        <v>522</v>
      </c>
      <c r="B53" s="81">
        <f>B15 * (Inputs!$B$38 / 12) * (1 + Inputs!$B$44)^INT((COLUMNS($B$53:B53)-1) / 12)</f>
        <v>0</v>
      </c>
      <c r="C53" s="81">
        <f>C15 * (Inputs!$B$38 / 12) * (1 + Inputs!$B$44)^INT((COLUMNS($B$53:C53)-1) / 12)</f>
        <v>0</v>
      </c>
      <c r="D53" s="81">
        <f>D15 * (Inputs!$B$38 / 12) * (1 + Inputs!$B$44)^INT((COLUMNS($B$53:D53)-1) / 12)</f>
        <v>0</v>
      </c>
      <c r="E53" s="81">
        <f>E15 * (Inputs!$B$38 / 12) * (1 + Inputs!$B$44)^INT((COLUMNS($B$53:E53)-1) / 12)</f>
        <v>0</v>
      </c>
      <c r="F53" s="81">
        <f>F15 * (Inputs!$B$38 / 12) * (1 + Inputs!$B$44)^INT((COLUMNS($B$53:F53)-1) / 12)</f>
        <v>0</v>
      </c>
      <c r="G53" s="81">
        <f>G15 * (Inputs!$B$38 / 12) * (1 + Inputs!$B$44)^INT((COLUMNS($B$53:G53)-1) / 12)</f>
        <v>0</v>
      </c>
      <c r="H53" s="81">
        <f>H15 * (Inputs!$B$38 / 12) * (1 + Inputs!$B$44)^INT((COLUMNS($B$53:H53)-1) / 12)</f>
        <v>0</v>
      </c>
      <c r="I53" s="81">
        <f>I15 * (Inputs!$B$38 / 12) * (1 + Inputs!$B$44)^INT((COLUMNS($B$53:I53)-1) / 12)</f>
        <v>0</v>
      </c>
      <c r="J53" s="81">
        <f>J15 * (Inputs!$B$38 / 12) * (1 + Inputs!$B$44)^INT((COLUMNS($B$53:J53)-1) / 12)</f>
        <v>0</v>
      </c>
      <c r="K53" s="81">
        <f>K15 * (Inputs!$B$38 / 12) * (1 + Inputs!$B$44)^INT((COLUMNS($B$53:K53)-1) / 12)</f>
        <v>0</v>
      </c>
      <c r="L53" s="81">
        <f>L15 * (Inputs!$B$38 / 12) * (1 + Inputs!$B$44)^INT((COLUMNS($B$53:L53)-1) / 12)</f>
        <v>0</v>
      </c>
      <c r="M53" s="81">
        <f>M15 * (Inputs!$B$38 / 12) * (1 + Inputs!$B$44)^INT((COLUMNS($B$53:M53)-1) / 12)</f>
        <v>0</v>
      </c>
      <c r="N53" s="81">
        <f>N15 * (Inputs!$B$38 / 12) * (1 + Inputs!$B$44)^INT((COLUMNS($B$53:N53)-1) / 12)</f>
        <v>7000</v>
      </c>
      <c r="O53" s="81">
        <f>O15 * (Inputs!$B$38 / 12) * (1 + Inputs!$B$44)^INT((COLUMNS($B$53:O53)-1) / 12)</f>
        <v>7000</v>
      </c>
      <c r="P53" s="81">
        <f>P15 * (Inputs!$B$38 / 12) * (1 + Inputs!$B$44)^INT((COLUMNS($B$53:P53)-1) / 12)</f>
        <v>7000</v>
      </c>
      <c r="Q53" s="81">
        <f>Q15 * (Inputs!$B$38 / 12) * (1 + Inputs!$B$44)^INT((COLUMNS($B$53:Q53)-1) / 12)</f>
        <v>7000</v>
      </c>
      <c r="R53" s="81">
        <f>R15 * (Inputs!$B$38 / 12) * (1 + Inputs!$B$44)^INT((COLUMNS($B$53:R53)-1) / 12)</f>
        <v>7000</v>
      </c>
      <c r="S53" s="81">
        <f>S15 * (Inputs!$B$38 / 12) * (1 + Inputs!$B$44)^INT((COLUMNS($B$53:S53)-1) / 12)</f>
        <v>7000</v>
      </c>
      <c r="T53" s="81">
        <f>T15 * (Inputs!$B$38 / 12) * (1 + Inputs!$B$44)^INT((COLUMNS($B$53:T53)-1) / 12)</f>
        <v>7000</v>
      </c>
      <c r="U53" s="81">
        <f>U15 * (Inputs!$B$38 / 12) * (1 + Inputs!$B$44)^INT((COLUMNS($B$53:U53)-1) / 12)</f>
        <v>7000</v>
      </c>
      <c r="V53" s="81">
        <f>V15 * (Inputs!$B$38 / 12) * (1 + Inputs!$B$44)^INT((COLUMNS($B$53:V53)-1) / 12)</f>
        <v>7000</v>
      </c>
      <c r="W53" s="81">
        <f>W15 * (Inputs!$B$38 / 12) * (1 + Inputs!$B$44)^INT((COLUMNS($B$53:W53)-1) / 12)</f>
        <v>7000</v>
      </c>
      <c r="X53" s="81">
        <f>X15 * (Inputs!$B$38 / 12) * (1 + Inputs!$B$44)^INT((COLUMNS($B$53:X53)-1) / 12)</f>
        <v>7000</v>
      </c>
      <c r="Y53" s="81">
        <f>Y15 * (Inputs!$B$38 / 12) * (1 + Inputs!$B$44)^INT((COLUMNS($B$53:Y53)-1) / 12)</f>
        <v>7000</v>
      </c>
      <c r="Z53" s="81">
        <f>Z15 * (Inputs!$B$38 / 12) * (1 + Inputs!$B$44)^INT((COLUMNS($B$53:Z53)-1) / 12)</f>
        <v>7350</v>
      </c>
      <c r="AA53" s="81">
        <f>AA15 * (Inputs!$B$38 / 12) * (1 + Inputs!$B$44)^INT((COLUMNS($B$53:AA53)-1) / 12)</f>
        <v>7350</v>
      </c>
      <c r="AB53" s="81">
        <f>AB15 * (Inputs!$B$38 / 12) * (1 + Inputs!$B$44)^INT((COLUMNS($B$53:AB53)-1) / 12)</f>
        <v>7350</v>
      </c>
      <c r="AC53" s="81">
        <f>AC15 * (Inputs!$B$38 / 12) * (1 + Inputs!$B$44)^INT((COLUMNS($B$53:AC53)-1) / 12)</f>
        <v>7350</v>
      </c>
      <c r="AD53" s="81">
        <f>AD15 * (Inputs!$B$38 / 12) * (1 + Inputs!$B$44)^INT((COLUMNS($B$53:AD53)-1) / 12)</f>
        <v>7350</v>
      </c>
      <c r="AE53" s="81">
        <f>AE15 * (Inputs!$B$38 / 12) * (1 + Inputs!$B$44)^INT((COLUMNS($B$53:AE53)-1) / 12)</f>
        <v>7350</v>
      </c>
      <c r="AF53" s="81">
        <f>AF15 * (Inputs!$B$38 / 12) * (1 + Inputs!$B$44)^INT((COLUMNS($B$53:AF53)-1) / 12)</f>
        <v>7350</v>
      </c>
      <c r="AG53" s="81">
        <f>AG15 * (Inputs!$B$38 / 12) * (1 + Inputs!$B$44)^INT((COLUMNS($B$53:AG53)-1) / 12)</f>
        <v>7350</v>
      </c>
      <c r="AH53" s="81">
        <f>AH15 * (Inputs!$B$38 / 12) * (1 + Inputs!$B$44)^INT((COLUMNS($B$53:AH53)-1) / 12)</f>
        <v>7350</v>
      </c>
      <c r="AI53" s="81">
        <f>AI15 * (Inputs!$B$38 / 12) * (1 + Inputs!$B$44)^INT((COLUMNS($B$53:AI53)-1) / 12)</f>
        <v>7350</v>
      </c>
      <c r="AJ53" s="81">
        <f>AJ15 * (Inputs!$B$38 / 12) * (1 + Inputs!$B$44)^INT((COLUMNS($B$53:AJ53)-1) / 12)</f>
        <v>7350</v>
      </c>
      <c r="AK53" s="81">
        <f>AK15 * (Inputs!$B$38 / 12) * (1 + Inputs!$B$44)^INT((COLUMNS($B$53:AK53)-1) / 12)</f>
        <v>7350</v>
      </c>
      <c r="AL53" s="81">
        <f>AL15 * (Inputs!$B$38 / 12) * (1 + Inputs!$B$44)^INT((COLUMNS($B$53:AL53)-1) / 12)</f>
        <v>7717.5</v>
      </c>
      <c r="AM53" s="81">
        <f>AM15 * (Inputs!$B$38 / 12) * (1 + Inputs!$B$44)^INT((COLUMNS($B$53:AM53)-1) / 12)</f>
        <v>7717.5</v>
      </c>
      <c r="AN53" s="81">
        <f>AN15 * (Inputs!$B$38 / 12) * (1 + Inputs!$B$44)^INT((COLUMNS($B$53:AN53)-1) / 12)</f>
        <v>7717.5</v>
      </c>
      <c r="AO53" s="81">
        <f>AO15 * (Inputs!$B$38 / 12) * (1 + Inputs!$B$44)^INT((COLUMNS($B$53:AO53)-1) / 12)</f>
        <v>7717.5</v>
      </c>
      <c r="AP53" s="81">
        <f>AP15 * (Inputs!$B$38 / 12) * (1 + Inputs!$B$44)^INT((COLUMNS($B$53:AP53)-1) / 12)</f>
        <v>7717.5</v>
      </c>
      <c r="AQ53" s="81">
        <f>AQ15 * (Inputs!$B$38 / 12) * (1 + Inputs!$B$44)^INT((COLUMNS($B$53:AQ53)-1) / 12)</f>
        <v>7717.5</v>
      </c>
      <c r="AR53" s="81">
        <f>AR15 * (Inputs!$B$38 / 12) * (1 + Inputs!$B$44)^INT((COLUMNS($B$53:AR53)-1) / 12)</f>
        <v>7717.5</v>
      </c>
      <c r="AS53" s="81">
        <f>AS15 * (Inputs!$B$38 / 12) * (1 + Inputs!$B$44)^INT((COLUMNS($B$53:AS53)-1) / 12)</f>
        <v>7717.5</v>
      </c>
      <c r="AT53" s="81">
        <f>AT15 * (Inputs!$B$38 / 12) * (1 + Inputs!$B$44)^INT((COLUMNS($B$53:AT53)-1) / 12)</f>
        <v>7717.5</v>
      </c>
      <c r="AU53" s="81">
        <f>AU15 * (Inputs!$B$38 / 12) * (1 + Inputs!$B$44)^INT((COLUMNS($B$53:AU53)-1) / 12)</f>
        <v>7717.5</v>
      </c>
      <c r="AV53" s="81">
        <f>AV15 * (Inputs!$B$38 / 12) * (1 + Inputs!$B$44)^INT((COLUMNS($B$53:AV53)-1) / 12)</f>
        <v>7717.5</v>
      </c>
      <c r="AW53" s="81">
        <f>AW15 * (Inputs!$B$38 / 12) * (1 + Inputs!$B$44)^INT((COLUMNS($B$53:AW53)-1) / 12)</f>
        <v>7717.5</v>
      </c>
      <c r="AX53" s="81">
        <f>AX15 * (Inputs!$B$38 / 12) * (1 + Inputs!$B$44)^INT((COLUMNS($B$53:AX53)-1) / 12)</f>
        <v>8103.375</v>
      </c>
      <c r="AY53" s="81">
        <f>AY15 * (Inputs!$B$38 / 12) * (1 + Inputs!$B$44)^INT((COLUMNS($B$53:AY53)-1) / 12)</f>
        <v>8103.375</v>
      </c>
      <c r="AZ53" s="81">
        <f>AZ15 * (Inputs!$B$38 / 12) * (1 + Inputs!$B$44)^INT((COLUMNS($B$53:AZ53)-1) / 12)</f>
        <v>8103.375</v>
      </c>
      <c r="BA53" s="81">
        <f>BA15 * (Inputs!$B$38 / 12) * (1 + Inputs!$B$44)^INT((COLUMNS($B$53:BA53)-1) / 12)</f>
        <v>8103.375</v>
      </c>
    </row>
    <row r="54" ht="14.25" customHeight="1">
      <c r="A54" s="3" t="s">
        <v>523</v>
      </c>
      <c r="B54" s="81">
        <f>B16 * (Inputs!$B$42 / 12) * (1 + Inputs!$B$44)^INT((COLUMNS($B$54:B54)-1) / 12)</f>
        <v>0</v>
      </c>
      <c r="C54" s="81">
        <f>C16 * (Inputs!$B$42 / 12) * (1 + Inputs!$B$44)^INT((COLUMNS($B$54:C54)-1) / 12)</f>
        <v>0</v>
      </c>
      <c r="D54" s="81">
        <f>D16 * (Inputs!$B$42 / 12) * (1 + Inputs!$B$44)^INT((COLUMNS($B$54:D54)-1) / 12)</f>
        <v>0</v>
      </c>
      <c r="E54" s="81">
        <f>E16 * (Inputs!$B$42 / 12) * (1 + Inputs!$B$44)^INT((COLUMNS($B$54:E54)-1) / 12)</f>
        <v>0</v>
      </c>
      <c r="F54" s="81">
        <f>F16 * (Inputs!$B$42 / 12) * (1 + Inputs!$B$44)^INT((COLUMNS($B$54:F54)-1) / 12)</f>
        <v>0</v>
      </c>
      <c r="G54" s="81">
        <f>G16 * (Inputs!$B$42 / 12) * (1 + Inputs!$B$44)^INT((COLUMNS($B$54:G54)-1) / 12)</f>
        <v>0</v>
      </c>
      <c r="H54" s="81">
        <f>H16 * (Inputs!$B$42 / 12) * (1 + Inputs!$B$44)^INT((COLUMNS($B$54:H54)-1) / 12)</f>
        <v>0</v>
      </c>
      <c r="I54" s="81">
        <f>I16 * (Inputs!$B$42 / 12) * (1 + Inputs!$B$44)^INT((COLUMNS($B$54:I54)-1) / 12)</f>
        <v>0</v>
      </c>
      <c r="J54" s="81">
        <f>J16 * (Inputs!$B$42 / 12) * (1 + Inputs!$B$44)^INT((COLUMNS($B$54:J54)-1) / 12)</f>
        <v>0</v>
      </c>
      <c r="K54" s="81">
        <f>K16 * (Inputs!$B$42 / 12) * (1 + Inputs!$B$44)^INT((COLUMNS($B$54:K54)-1) / 12)</f>
        <v>0</v>
      </c>
      <c r="L54" s="81">
        <f>L16 * (Inputs!$B$42 / 12) * (1 + Inputs!$B$44)^INT((COLUMNS($B$54:L54)-1) / 12)</f>
        <v>0</v>
      </c>
      <c r="M54" s="81">
        <f>M16 * (Inputs!$B$42 / 12) * (1 + Inputs!$B$44)^INT((COLUMNS($B$54:M54)-1) / 12)</f>
        <v>0</v>
      </c>
      <c r="N54" s="81">
        <f>N16 * (Inputs!$B$42 / 12) * (1 + Inputs!$B$44)^INT((COLUMNS($B$54:N54)-1) / 12)</f>
        <v>0</v>
      </c>
      <c r="O54" s="81">
        <f>O16 * (Inputs!$B$42 / 12) * (1 + Inputs!$B$44)^INT((COLUMNS($B$54:O54)-1) / 12)</f>
        <v>3937.5</v>
      </c>
      <c r="P54" s="81">
        <f>P16 * (Inputs!$B$42 / 12) * (1 + Inputs!$B$44)^INT((COLUMNS($B$54:P54)-1) / 12)</f>
        <v>3937.5</v>
      </c>
      <c r="Q54" s="81">
        <f>Q16 * (Inputs!$B$42 / 12) * (1 + Inputs!$B$44)^INT((COLUMNS($B$54:Q54)-1) / 12)</f>
        <v>3937.5</v>
      </c>
      <c r="R54" s="81">
        <f>R16 * (Inputs!$B$42 / 12) * (1 + Inputs!$B$44)^INT((COLUMNS($B$54:R54)-1) / 12)</f>
        <v>3937.5</v>
      </c>
      <c r="S54" s="81">
        <f>S16 * (Inputs!$B$42 / 12) * (1 + Inputs!$B$44)^INT((COLUMNS($B$54:S54)-1) / 12)</f>
        <v>3937.5</v>
      </c>
      <c r="T54" s="81">
        <f>T16 * (Inputs!$B$42 / 12) * (1 + Inputs!$B$44)^INT((COLUMNS($B$54:T54)-1) / 12)</f>
        <v>3937.5</v>
      </c>
      <c r="U54" s="81">
        <f>U16 * (Inputs!$B$42 / 12) * (1 + Inputs!$B$44)^INT((COLUMNS($B$54:U54)-1) / 12)</f>
        <v>3937.5</v>
      </c>
      <c r="V54" s="81">
        <f>V16 * (Inputs!$B$42 / 12) * (1 + Inputs!$B$44)^INT((COLUMNS($B$54:V54)-1) / 12)</f>
        <v>3937.5</v>
      </c>
      <c r="W54" s="81">
        <f>W16 * (Inputs!$B$42 / 12) * (1 + Inputs!$B$44)^INT((COLUMNS($B$54:W54)-1) / 12)</f>
        <v>3937.5</v>
      </c>
      <c r="X54" s="81">
        <f>X16 * (Inputs!$B$42 / 12) * (1 + Inputs!$B$44)^INT((COLUMNS($B$54:X54)-1) / 12)</f>
        <v>3937.5</v>
      </c>
      <c r="Y54" s="81">
        <f>Y16 * (Inputs!$B$42 / 12) * (1 + Inputs!$B$44)^INT((COLUMNS($B$54:Y54)-1) / 12)</f>
        <v>3937.5</v>
      </c>
      <c r="Z54" s="81">
        <f>Z16 * (Inputs!$B$42 / 12) * (1 + Inputs!$B$44)^INT((COLUMNS($B$54:Z54)-1) / 12)</f>
        <v>4134.375</v>
      </c>
      <c r="AA54" s="81">
        <f>AA16 * (Inputs!$B$42 / 12) * (1 + Inputs!$B$44)^INT((COLUMNS($B$54:AA54)-1) / 12)</f>
        <v>4134.375</v>
      </c>
      <c r="AB54" s="81">
        <f>AB16 * (Inputs!$B$42 / 12) * (1 + Inputs!$B$44)^INT((COLUMNS($B$54:AB54)-1) / 12)</f>
        <v>4134.375</v>
      </c>
      <c r="AC54" s="81">
        <f>AC16 * (Inputs!$B$42 / 12) * (1 + Inputs!$B$44)^INT((COLUMNS($B$54:AC54)-1) / 12)</f>
        <v>4134.375</v>
      </c>
      <c r="AD54" s="81">
        <f>AD16 * (Inputs!$B$42 / 12) * (1 + Inputs!$B$44)^INT((COLUMNS($B$54:AD54)-1) / 12)</f>
        <v>4134.375</v>
      </c>
      <c r="AE54" s="81">
        <f>AE16 * (Inputs!$B$42 / 12) * (1 + Inputs!$B$44)^INT((COLUMNS($B$54:AE54)-1) / 12)</f>
        <v>4134.375</v>
      </c>
      <c r="AF54" s="81">
        <f>AF16 * (Inputs!$B$42 / 12) * (1 + Inputs!$B$44)^INT((COLUMNS($B$54:AF54)-1) / 12)</f>
        <v>4134.375</v>
      </c>
      <c r="AG54" s="81">
        <f>AG16 * (Inputs!$B$42 / 12) * (1 + Inputs!$B$44)^INT((COLUMNS($B$54:AG54)-1) / 12)</f>
        <v>4134.375</v>
      </c>
      <c r="AH54" s="81">
        <f>AH16 * (Inputs!$B$42 / 12) * (1 + Inputs!$B$44)^INT((COLUMNS($B$54:AH54)-1) / 12)</f>
        <v>4134.375</v>
      </c>
      <c r="AI54" s="81">
        <f>AI16 * (Inputs!$B$42 / 12) * (1 + Inputs!$B$44)^INT((COLUMNS($B$54:AI54)-1) / 12)</f>
        <v>4134.375</v>
      </c>
      <c r="AJ54" s="81">
        <f>AJ16 * (Inputs!$B$42 / 12) * (1 + Inputs!$B$44)^INT((COLUMNS($B$54:AJ54)-1) / 12)</f>
        <v>4134.375</v>
      </c>
      <c r="AK54" s="81">
        <f>AK16 * (Inputs!$B$42 / 12) * (1 + Inputs!$B$44)^INT((COLUMNS($B$54:AK54)-1) / 12)</f>
        <v>4134.375</v>
      </c>
      <c r="AL54" s="81">
        <f>AL16 * (Inputs!$B$42 / 12) * (1 + Inputs!$B$44)^INT((COLUMNS($B$54:AL54)-1) / 12)</f>
        <v>4341.09375</v>
      </c>
      <c r="AM54" s="81">
        <f>AM16 * (Inputs!$B$42 / 12) * (1 + Inputs!$B$44)^INT((COLUMNS($B$54:AM54)-1) / 12)</f>
        <v>4341.09375</v>
      </c>
      <c r="AN54" s="81">
        <f>AN16 * (Inputs!$B$42 / 12) * (1 + Inputs!$B$44)^INT((COLUMNS($B$54:AN54)-1) / 12)</f>
        <v>4341.09375</v>
      </c>
      <c r="AO54" s="81">
        <f>AO16 * (Inputs!$B$42 / 12) * (1 + Inputs!$B$44)^INT((COLUMNS($B$54:AO54)-1) / 12)</f>
        <v>4341.09375</v>
      </c>
      <c r="AP54" s="81">
        <f>AP16 * (Inputs!$B$42 / 12) * (1 + Inputs!$B$44)^INT((COLUMNS($B$54:AP54)-1) / 12)</f>
        <v>4341.09375</v>
      </c>
      <c r="AQ54" s="81">
        <f>AQ16 * (Inputs!$B$42 / 12) * (1 + Inputs!$B$44)^INT((COLUMNS($B$54:AQ54)-1) / 12)</f>
        <v>4341.09375</v>
      </c>
      <c r="AR54" s="81">
        <f>AR16 * (Inputs!$B$42 / 12) * (1 + Inputs!$B$44)^INT((COLUMNS($B$54:AR54)-1) / 12)</f>
        <v>4341.09375</v>
      </c>
      <c r="AS54" s="81">
        <f>AS16 * (Inputs!$B$42 / 12) * (1 + Inputs!$B$44)^INT((COLUMNS($B$54:AS54)-1) / 12)</f>
        <v>4341.09375</v>
      </c>
      <c r="AT54" s="81">
        <f>AT16 * (Inputs!$B$42 / 12) * (1 + Inputs!$B$44)^INT((COLUMNS($B$54:AT54)-1) / 12)</f>
        <v>4341.09375</v>
      </c>
      <c r="AU54" s="81">
        <f>AU16 * (Inputs!$B$42 / 12) * (1 + Inputs!$B$44)^INT((COLUMNS($B$54:AU54)-1) / 12)</f>
        <v>4341.09375</v>
      </c>
      <c r="AV54" s="81">
        <f>AV16 * (Inputs!$B$42 / 12) * (1 + Inputs!$B$44)^INT((COLUMNS($B$54:AV54)-1) / 12)</f>
        <v>4341.09375</v>
      </c>
      <c r="AW54" s="81">
        <f>AW16 * (Inputs!$B$42 / 12) * (1 + Inputs!$B$44)^INT((COLUMNS($B$54:AW54)-1) / 12)</f>
        <v>4341.09375</v>
      </c>
      <c r="AX54" s="81">
        <f>AX16 * (Inputs!$B$42 / 12) * (1 + Inputs!$B$44)^INT((COLUMNS($B$54:AX54)-1) / 12)</f>
        <v>4558.148438</v>
      </c>
      <c r="AY54" s="81">
        <f>AY16 * (Inputs!$B$42 / 12) * (1 + Inputs!$B$44)^INT((COLUMNS($B$54:AY54)-1) / 12)</f>
        <v>4558.148438</v>
      </c>
      <c r="AZ54" s="81">
        <f>AZ16 * (Inputs!$B$42 / 12) * (1 + Inputs!$B$44)^INT((COLUMNS($B$54:AZ54)-1) / 12)</f>
        <v>4558.148438</v>
      </c>
      <c r="BA54" s="81">
        <f>BA16 * (Inputs!$B$42 / 12) * (1 + Inputs!$B$44)^INT((COLUMNS($B$54:BA54)-1) / 12)</f>
        <v>4558.148438</v>
      </c>
    </row>
    <row r="55" ht="14.25" customHeight="1">
      <c r="A55" s="3" t="s">
        <v>524</v>
      </c>
      <c r="B55" s="81">
        <f>B17 * (Inputs!$B$35 / 12) * (1 + Inputs!$B$44)^INT((COLUMNS($B$55:B55)-1) / 12)</f>
        <v>0</v>
      </c>
      <c r="C55" s="81">
        <f>C17 * (Inputs!$B$35 / 12) * (1 + Inputs!$B$44)^INT((COLUMNS($B$55:C55)-1) / 12)</f>
        <v>0</v>
      </c>
      <c r="D55" s="81">
        <f>D17 * (Inputs!$B$35 / 12) * (1 + Inputs!$B$44)^INT((COLUMNS($B$55:D55)-1) / 12)</f>
        <v>0</v>
      </c>
      <c r="E55" s="81">
        <f>E17 * (Inputs!$B$35 / 12) * (1 + Inputs!$B$44)^INT((COLUMNS($B$55:E55)-1) / 12)</f>
        <v>0</v>
      </c>
      <c r="F55" s="81">
        <f>F17 * (Inputs!$B$35 / 12) * (1 + Inputs!$B$44)^INT((COLUMNS($B$55:F55)-1) / 12)</f>
        <v>0</v>
      </c>
      <c r="G55" s="81">
        <f>G17 * (Inputs!$B$35 / 12) * (1 + Inputs!$B$44)^INT((COLUMNS($B$55:G55)-1) / 12)</f>
        <v>0</v>
      </c>
      <c r="H55" s="81">
        <f>H17 * (Inputs!$B$35 / 12) * (1 + Inputs!$B$44)^INT((COLUMNS($B$55:H55)-1) / 12)</f>
        <v>0</v>
      </c>
      <c r="I55" s="81">
        <f>I17 * (Inputs!$B$35 / 12) * (1 + Inputs!$B$44)^INT((COLUMNS($B$55:I55)-1) / 12)</f>
        <v>0</v>
      </c>
      <c r="J55" s="81">
        <f>J17 * (Inputs!$B$35 / 12) * (1 + Inputs!$B$44)^INT((COLUMNS($B$55:J55)-1) / 12)</f>
        <v>0</v>
      </c>
      <c r="K55" s="81">
        <f>K17 * (Inputs!$B$35 / 12) * (1 + Inputs!$B$44)^INT((COLUMNS($B$55:K55)-1) / 12)</f>
        <v>0</v>
      </c>
      <c r="L55" s="81">
        <f>L17 * (Inputs!$B$35 / 12) * (1 + Inputs!$B$44)^INT((COLUMNS($B$55:L55)-1) / 12)</f>
        <v>0</v>
      </c>
      <c r="M55" s="81">
        <f>M17 * (Inputs!$B$35 / 12) * (1 + Inputs!$B$44)^INT((COLUMNS($B$55:M55)-1) / 12)</f>
        <v>0</v>
      </c>
      <c r="N55" s="81">
        <f>N17 * (Inputs!$B$35 / 12) * (1 + Inputs!$B$44)^INT((COLUMNS($B$55:N55)-1) / 12)</f>
        <v>0</v>
      </c>
      <c r="O55" s="81">
        <f>O17 * (Inputs!$B$35 / 12) * (1 + Inputs!$B$44)^INT((COLUMNS($B$55:O55)-1) / 12)</f>
        <v>0</v>
      </c>
      <c r="P55" s="81">
        <f>P17 * (Inputs!$B$35 / 12) * (1 + Inputs!$B$44)^INT((COLUMNS($B$55:P55)-1) / 12)</f>
        <v>0</v>
      </c>
      <c r="Q55" s="81">
        <f>Q17 * (Inputs!$B$35 / 12) * (1 + Inputs!$B$44)^INT((COLUMNS($B$55:Q55)-1) / 12)</f>
        <v>0</v>
      </c>
      <c r="R55" s="81">
        <f>R17 * (Inputs!$B$35 / 12) * (1 + Inputs!$B$44)^INT((COLUMNS($B$55:R55)-1) / 12)</f>
        <v>0</v>
      </c>
      <c r="S55" s="81">
        <f>S17 * (Inputs!$B$35 / 12) * (1 + Inputs!$B$44)^INT((COLUMNS($B$55:S55)-1) / 12)</f>
        <v>7875</v>
      </c>
      <c r="T55" s="81">
        <f>T17 * (Inputs!$B$35 / 12) * (1 + Inputs!$B$44)^INT((COLUMNS($B$55:T55)-1) / 12)</f>
        <v>7875</v>
      </c>
      <c r="U55" s="81">
        <f>U17 * (Inputs!$B$35 / 12) * (1 + Inputs!$B$44)^INT((COLUMNS($B$55:U55)-1) / 12)</f>
        <v>7875</v>
      </c>
      <c r="V55" s="81">
        <f>V17 * (Inputs!$B$35 / 12) * (1 + Inputs!$B$44)^INT((COLUMNS($B$55:V55)-1) / 12)</f>
        <v>7875</v>
      </c>
      <c r="W55" s="81">
        <f>W17 * (Inputs!$B$35 / 12) * (1 + Inputs!$B$44)^INT((COLUMNS($B$55:W55)-1) / 12)</f>
        <v>7875</v>
      </c>
      <c r="X55" s="81">
        <f>X17 * (Inputs!$B$35 / 12) * (1 + Inputs!$B$44)^INT((COLUMNS($B$55:X55)-1) / 12)</f>
        <v>7875</v>
      </c>
      <c r="Y55" s="81">
        <f>Y17 * (Inputs!$B$35 / 12) * (1 + Inputs!$B$44)^INT((COLUMNS($B$55:Y55)-1) / 12)</f>
        <v>7875</v>
      </c>
      <c r="Z55" s="81">
        <f>Z17 * (Inputs!$B$35 / 12) * (1 + Inputs!$B$44)^INT((COLUMNS($B$55:Z55)-1) / 12)</f>
        <v>8268.75</v>
      </c>
      <c r="AA55" s="81">
        <f>AA17 * (Inputs!$B$35 / 12) * (1 + Inputs!$B$44)^INT((COLUMNS($B$55:AA55)-1) / 12)</f>
        <v>8268.75</v>
      </c>
      <c r="AB55" s="81">
        <f>AB17 * (Inputs!$B$35 / 12) * (1 + Inputs!$B$44)^INT((COLUMNS($B$55:AB55)-1) / 12)</f>
        <v>8268.75</v>
      </c>
      <c r="AC55" s="81">
        <f>AC17 * (Inputs!$B$35 / 12) * (1 + Inputs!$B$44)^INT((COLUMNS($B$55:AC55)-1) / 12)</f>
        <v>8268.75</v>
      </c>
      <c r="AD55" s="81">
        <f>AD17 * (Inputs!$B$35 / 12) * (1 + Inputs!$B$44)^INT((COLUMNS($B$55:AD55)-1) / 12)</f>
        <v>8268.75</v>
      </c>
      <c r="AE55" s="81">
        <f>AE17 * (Inputs!$B$35 / 12) * (1 + Inputs!$B$44)^INT((COLUMNS($B$55:AE55)-1) / 12)</f>
        <v>8268.75</v>
      </c>
      <c r="AF55" s="81">
        <f>AF17 * (Inputs!$B$35 / 12) * (1 + Inputs!$B$44)^INT((COLUMNS($B$55:AF55)-1) / 12)</f>
        <v>8268.75</v>
      </c>
      <c r="AG55" s="81">
        <f>AG17 * (Inputs!$B$35 / 12) * (1 + Inputs!$B$44)^INT((COLUMNS($B$55:AG55)-1) / 12)</f>
        <v>8268.75</v>
      </c>
      <c r="AH55" s="81">
        <f>AH17 * (Inputs!$B$35 / 12) * (1 + Inputs!$B$44)^INT((COLUMNS($B$55:AH55)-1) / 12)</f>
        <v>8268.75</v>
      </c>
      <c r="AI55" s="81">
        <f>AI17 * (Inputs!$B$35 / 12) * (1 + Inputs!$B$44)^INT((COLUMNS($B$55:AI55)-1) / 12)</f>
        <v>8268.75</v>
      </c>
      <c r="AJ55" s="81">
        <f>AJ17 * (Inputs!$B$35 / 12) * (1 + Inputs!$B$44)^INT((COLUMNS($B$55:AJ55)-1) / 12)</f>
        <v>8268.75</v>
      </c>
      <c r="AK55" s="81">
        <f>AK17 * (Inputs!$B$35 / 12) * (1 + Inputs!$B$44)^INT((COLUMNS($B$55:AK55)-1) / 12)</f>
        <v>8268.75</v>
      </c>
      <c r="AL55" s="81">
        <f>AL17 * (Inputs!$B$35 / 12) * (1 + Inputs!$B$44)^INT((COLUMNS($B$55:AL55)-1) / 12)</f>
        <v>8682.1875</v>
      </c>
      <c r="AM55" s="81">
        <f>AM17 * (Inputs!$B$35 / 12) * (1 + Inputs!$B$44)^INT((COLUMNS($B$55:AM55)-1) / 12)</f>
        <v>8682.1875</v>
      </c>
      <c r="AN55" s="81">
        <f>AN17 * (Inputs!$B$35 / 12) * (1 + Inputs!$B$44)^INT((COLUMNS($B$55:AN55)-1) / 12)</f>
        <v>8682.1875</v>
      </c>
      <c r="AO55" s="81">
        <f>AO17 * (Inputs!$B$35 / 12) * (1 + Inputs!$B$44)^INT((COLUMNS($B$55:AO55)-1) / 12)</f>
        <v>8682.1875</v>
      </c>
      <c r="AP55" s="81">
        <f>AP17 * (Inputs!$B$35 / 12) * (1 + Inputs!$B$44)^INT((COLUMNS($B$55:AP55)-1) / 12)</f>
        <v>8682.1875</v>
      </c>
      <c r="AQ55" s="81">
        <f>AQ17 * (Inputs!$B$35 / 12) * (1 + Inputs!$B$44)^INT((COLUMNS($B$55:AQ55)-1) / 12)</f>
        <v>8682.1875</v>
      </c>
      <c r="AR55" s="81">
        <f>AR17 * (Inputs!$B$35 / 12) * (1 + Inputs!$B$44)^INT((COLUMNS($B$55:AR55)-1) / 12)</f>
        <v>8682.1875</v>
      </c>
      <c r="AS55" s="81">
        <f>AS17 * (Inputs!$B$35 / 12) * (1 + Inputs!$B$44)^INT((COLUMNS($B$55:AS55)-1) / 12)</f>
        <v>8682.1875</v>
      </c>
      <c r="AT55" s="81">
        <f>AT17 * (Inputs!$B$35 / 12) * (1 + Inputs!$B$44)^INT((COLUMNS($B$55:AT55)-1) / 12)</f>
        <v>8682.1875</v>
      </c>
      <c r="AU55" s="81">
        <f>AU17 * (Inputs!$B$35 / 12) * (1 + Inputs!$B$44)^INT((COLUMNS($B$55:AU55)-1) / 12)</f>
        <v>8682.1875</v>
      </c>
      <c r="AV55" s="81">
        <f>AV17 * (Inputs!$B$35 / 12) * (1 + Inputs!$B$44)^INT((COLUMNS($B$55:AV55)-1) / 12)</f>
        <v>8682.1875</v>
      </c>
      <c r="AW55" s="81">
        <f>AW17 * (Inputs!$B$35 / 12) * (1 + Inputs!$B$44)^INT((COLUMNS($B$55:AW55)-1) / 12)</f>
        <v>8682.1875</v>
      </c>
      <c r="AX55" s="81">
        <f>AX17 * (Inputs!$B$35 / 12) * (1 + Inputs!$B$44)^INT((COLUMNS($B$55:AX55)-1) / 12)</f>
        <v>9116.296875</v>
      </c>
      <c r="AY55" s="81">
        <f>AY17 * (Inputs!$B$35 / 12) * (1 + Inputs!$B$44)^INT((COLUMNS($B$55:AY55)-1) / 12)</f>
        <v>9116.296875</v>
      </c>
      <c r="AZ55" s="81">
        <f>AZ17 * (Inputs!$B$35 / 12) * (1 + Inputs!$B$44)^INT((COLUMNS($B$55:AZ55)-1) / 12)</f>
        <v>9116.296875</v>
      </c>
      <c r="BA55" s="81">
        <f>BA17 * (Inputs!$B$35 / 12) * (1 + Inputs!$B$44)^INT((COLUMNS($B$55:BA55)-1) / 12)</f>
        <v>9116.296875</v>
      </c>
    </row>
    <row r="56" ht="14.25" customHeight="1">
      <c r="A56" s="3" t="s">
        <v>525</v>
      </c>
      <c r="B56" s="81">
        <f>B18 * (Inputs!$B$35 / 12) * (1 + Inputs!$B$44)^INT((COLUMNS($B$56:B56)-1) / 12)</f>
        <v>0</v>
      </c>
      <c r="C56" s="81">
        <f>C18 * (Inputs!$B$35 / 12) * (1 + Inputs!$B$44)^INT((COLUMNS($B$56:C56)-1) / 12)</f>
        <v>0</v>
      </c>
      <c r="D56" s="81">
        <f>D18 * (Inputs!$B$35 / 12) * (1 + Inputs!$B$44)^INT((COLUMNS($B$56:D56)-1) / 12)</f>
        <v>0</v>
      </c>
      <c r="E56" s="81">
        <f>E18 * (Inputs!$B$35 / 12) * (1 + Inputs!$B$44)^INT((COLUMNS($B$56:E56)-1) / 12)</f>
        <v>0</v>
      </c>
      <c r="F56" s="81">
        <f>F18 * (Inputs!$B$35 / 12) * (1 + Inputs!$B$44)^INT((COLUMNS($B$56:F56)-1) / 12)</f>
        <v>0</v>
      </c>
      <c r="G56" s="81">
        <f>G18 * (Inputs!$B$35 / 12) * (1 + Inputs!$B$44)^INT((COLUMNS($B$56:G56)-1) / 12)</f>
        <v>0</v>
      </c>
      <c r="H56" s="81">
        <f>H18 * (Inputs!$B$35 / 12) * (1 + Inputs!$B$44)^INT((COLUMNS($B$56:H56)-1) / 12)</f>
        <v>0</v>
      </c>
      <c r="I56" s="81">
        <f>I18 * (Inputs!$B$35 / 12) * (1 + Inputs!$B$44)^INT((COLUMNS($B$56:I56)-1) / 12)</f>
        <v>0</v>
      </c>
      <c r="J56" s="81">
        <f>J18 * (Inputs!$B$35 / 12) * (1 + Inputs!$B$44)^INT((COLUMNS($B$56:J56)-1) / 12)</f>
        <v>0</v>
      </c>
      <c r="K56" s="81">
        <f>K18 * (Inputs!$B$35 / 12) * (1 + Inputs!$B$44)^INT((COLUMNS($B$56:K56)-1) / 12)</f>
        <v>0</v>
      </c>
      <c r="L56" s="81">
        <f>L18 * (Inputs!$B$35 / 12) * (1 + Inputs!$B$44)^INT((COLUMNS($B$56:L56)-1) / 12)</f>
        <v>0</v>
      </c>
      <c r="M56" s="81">
        <f>M18 * (Inputs!$B$35 / 12) * (1 + Inputs!$B$44)^INT((COLUMNS($B$56:M56)-1) / 12)</f>
        <v>0</v>
      </c>
      <c r="N56" s="81">
        <f>N18 * (Inputs!$B$35 / 12) * (1 + Inputs!$B$44)^INT((COLUMNS($B$56:N56)-1) / 12)</f>
        <v>0</v>
      </c>
      <c r="O56" s="81">
        <f>O18 * (Inputs!$B$35 / 12) * (1 + Inputs!$B$44)^INT((COLUMNS($B$56:O56)-1) / 12)</f>
        <v>0</v>
      </c>
      <c r="P56" s="81">
        <f>P18 * (Inputs!$B$35 / 12) * (1 + Inputs!$B$44)^INT((COLUMNS($B$56:P56)-1) / 12)</f>
        <v>0</v>
      </c>
      <c r="Q56" s="81">
        <f>Q18 * (Inputs!$B$35 / 12) * (1 + Inputs!$B$44)^INT((COLUMNS($B$56:Q56)-1) / 12)</f>
        <v>0</v>
      </c>
      <c r="R56" s="81">
        <f>R18 * (Inputs!$B$35 / 12) * (1 + Inputs!$B$44)^INT((COLUMNS($B$56:R56)-1) / 12)</f>
        <v>0</v>
      </c>
      <c r="S56" s="81">
        <f>S18 * (Inputs!$B$35 / 12) * (1 + Inputs!$B$44)^INT((COLUMNS($B$56:S56)-1) / 12)</f>
        <v>0</v>
      </c>
      <c r="T56" s="81">
        <f>T18 * (Inputs!$B$35 / 12) * (1 + Inputs!$B$44)^INT((COLUMNS($B$56:T56)-1) / 12)</f>
        <v>0</v>
      </c>
      <c r="U56" s="81">
        <f>U18 * (Inputs!$B$35 / 12) * (1 + Inputs!$B$44)^INT((COLUMNS($B$56:U56)-1) / 12)</f>
        <v>0</v>
      </c>
      <c r="V56" s="81">
        <f>V18 * (Inputs!$B$35 / 12) * (1 + Inputs!$B$44)^INT((COLUMNS($B$56:V56)-1) / 12)</f>
        <v>0</v>
      </c>
      <c r="W56" s="81">
        <f>W18 * (Inputs!$B$35 / 12) * (1 + Inputs!$B$44)^INT((COLUMNS($B$56:W56)-1) / 12)</f>
        <v>0</v>
      </c>
      <c r="X56" s="81">
        <f>X18 * (Inputs!$B$35 / 12) * (1 + Inputs!$B$44)^INT((COLUMNS($B$56:X56)-1) / 12)</f>
        <v>0</v>
      </c>
      <c r="Y56" s="81">
        <f>Y18 * (Inputs!$B$35 / 12) * (1 + Inputs!$B$44)^INT((COLUMNS($B$56:Y56)-1) / 12)</f>
        <v>0</v>
      </c>
      <c r="Z56" s="81">
        <f>Z18 * (Inputs!$B$35 / 12) * (1 + Inputs!$B$44)^INT((COLUMNS($B$56:Z56)-1) / 12)</f>
        <v>0</v>
      </c>
      <c r="AA56" s="81">
        <f>AA18 * (Inputs!$B$35 / 12) * (1 + Inputs!$B$44)^INT((COLUMNS($B$56:AA56)-1) / 12)</f>
        <v>0</v>
      </c>
      <c r="AB56" s="81">
        <f>AB18 * (Inputs!$B$35 / 12) * (1 + Inputs!$B$44)^INT((COLUMNS($B$56:AB56)-1) / 12)</f>
        <v>0</v>
      </c>
      <c r="AC56" s="81">
        <f>AC18 * (Inputs!$B$35 / 12) * (1 + Inputs!$B$44)^INT((COLUMNS($B$56:AC56)-1) / 12)</f>
        <v>0</v>
      </c>
      <c r="AD56" s="81">
        <f>AD18 * (Inputs!$B$35 / 12) * (1 + Inputs!$B$44)^INT((COLUMNS($B$56:AD56)-1) / 12)</f>
        <v>0</v>
      </c>
      <c r="AE56" s="81">
        <f>AE18 * (Inputs!$B$35 / 12) * (1 + Inputs!$B$44)^INT((COLUMNS($B$56:AE56)-1) / 12)</f>
        <v>0</v>
      </c>
      <c r="AF56" s="81">
        <f>AF18 * (Inputs!$B$35 / 12) * (1 + Inputs!$B$44)^INT((COLUMNS($B$56:AF56)-1) / 12)</f>
        <v>0</v>
      </c>
      <c r="AG56" s="81">
        <f>AG18 * (Inputs!$B$35 / 12) * (1 + Inputs!$B$44)^INT((COLUMNS($B$56:AG56)-1) / 12)</f>
        <v>0</v>
      </c>
      <c r="AH56" s="81">
        <f>AH18 * (Inputs!$B$35 / 12) * (1 + Inputs!$B$44)^INT((COLUMNS($B$56:AH56)-1) / 12)</f>
        <v>0</v>
      </c>
      <c r="AI56" s="81">
        <f>AI18 * (Inputs!$B$35 / 12) * (1 + Inputs!$B$44)^INT((COLUMNS($B$56:AI56)-1) / 12)</f>
        <v>0</v>
      </c>
      <c r="AJ56" s="81">
        <f>AJ18 * (Inputs!$B$35 / 12) * (1 + Inputs!$B$44)^INT((COLUMNS($B$56:AJ56)-1) / 12)</f>
        <v>0</v>
      </c>
      <c r="AK56" s="81">
        <f>AK18 * (Inputs!$B$35 / 12) * (1 + Inputs!$B$44)^INT((COLUMNS($B$56:AK56)-1) / 12)</f>
        <v>0</v>
      </c>
      <c r="AL56" s="81">
        <f>AL18 * (Inputs!$B$35 / 12) * (1 + Inputs!$B$44)^INT((COLUMNS($B$56:AL56)-1) / 12)</f>
        <v>0</v>
      </c>
      <c r="AM56" s="81">
        <f>AM18 * (Inputs!$B$35 / 12) * (1 + Inputs!$B$44)^INT((COLUMNS($B$56:AM56)-1) / 12)</f>
        <v>0</v>
      </c>
      <c r="AN56" s="81">
        <f>AN18 * (Inputs!$B$35 / 12) * (1 + Inputs!$B$44)^INT((COLUMNS($B$56:AN56)-1) / 12)</f>
        <v>0</v>
      </c>
      <c r="AO56" s="81">
        <f>AO18 * (Inputs!$B$35 / 12) * (1 + Inputs!$B$44)^INT((COLUMNS($B$56:AO56)-1) / 12)</f>
        <v>0</v>
      </c>
      <c r="AP56" s="81">
        <f>AP18 * (Inputs!$B$35 / 12) * (1 + Inputs!$B$44)^INT((COLUMNS($B$56:AP56)-1) / 12)</f>
        <v>0</v>
      </c>
      <c r="AQ56" s="81">
        <f>AQ18 * (Inputs!$B$35 / 12) * (1 + Inputs!$B$44)^INT((COLUMNS($B$56:AQ56)-1) / 12)</f>
        <v>0</v>
      </c>
      <c r="AR56" s="81">
        <f>AR18 * (Inputs!$B$35 / 12) * (1 + Inputs!$B$44)^INT((COLUMNS($B$56:AR56)-1) / 12)</f>
        <v>0</v>
      </c>
      <c r="AS56" s="81">
        <f>AS18 * (Inputs!$B$35 / 12) * (1 + Inputs!$B$44)^INT((COLUMNS($B$56:AS56)-1) / 12)</f>
        <v>0</v>
      </c>
      <c r="AT56" s="81">
        <f>AT18 * (Inputs!$B$35 / 12) * (1 + Inputs!$B$44)^INT((COLUMNS($B$56:AT56)-1) / 12)</f>
        <v>0</v>
      </c>
      <c r="AU56" s="81">
        <f>AU18 * (Inputs!$B$35 / 12) * (1 + Inputs!$B$44)^INT((COLUMNS($B$56:AU56)-1) / 12)</f>
        <v>0</v>
      </c>
      <c r="AV56" s="81">
        <f>AV18 * (Inputs!$B$35 / 12) * (1 + Inputs!$B$44)^INT((COLUMNS($B$56:AV56)-1) / 12)</f>
        <v>0</v>
      </c>
      <c r="AW56" s="81">
        <f>AW18 * (Inputs!$B$35 / 12) * (1 + Inputs!$B$44)^INT((COLUMNS($B$56:AW56)-1) / 12)</f>
        <v>0</v>
      </c>
      <c r="AX56" s="81">
        <f>AX18 * (Inputs!$B$35 / 12) * (1 + Inputs!$B$44)^INT((COLUMNS($B$56:AX56)-1) / 12)</f>
        <v>0</v>
      </c>
      <c r="AY56" s="81">
        <f>AY18 * (Inputs!$B$35 / 12) * (1 + Inputs!$B$44)^INT((COLUMNS($B$56:AY56)-1) / 12)</f>
        <v>0</v>
      </c>
      <c r="AZ56" s="81">
        <f>AZ18 * (Inputs!$B$35 / 12) * (1 + Inputs!$B$44)^INT((COLUMNS($B$56:AZ56)-1) / 12)</f>
        <v>0</v>
      </c>
      <c r="BA56" s="81">
        <f>BA18 * (Inputs!$B$35 / 12) * (1 + Inputs!$B$44)^INT((COLUMNS($B$56:BA56)-1) / 12)</f>
        <v>0</v>
      </c>
    </row>
    <row r="57" ht="14.25" customHeight="1">
      <c r="A57" s="3" t="s">
        <v>526</v>
      </c>
      <c r="B57" s="81">
        <f>B19 * (Inputs!$B$36 / 12) * (1 + Inputs!$B$44)^INT((COLUMNS($B$57:B57)-1) / 12)</f>
        <v>0</v>
      </c>
      <c r="C57" s="81">
        <f>C19 * (Inputs!$B$36 / 12) * (1 + Inputs!$B$44)^INT((COLUMNS($B$57:C57)-1) / 12)</f>
        <v>0</v>
      </c>
      <c r="D57" s="81">
        <f>D19 * (Inputs!$B$36 / 12) * (1 + Inputs!$B$44)^INT((COLUMNS($B$57:D57)-1) / 12)</f>
        <v>0</v>
      </c>
      <c r="E57" s="81">
        <f>E19 * (Inputs!$B$36 / 12) * (1 + Inputs!$B$44)^INT((COLUMNS($B$57:E57)-1) / 12)</f>
        <v>0</v>
      </c>
      <c r="F57" s="81">
        <f>F19 * (Inputs!$B$36 / 12) * (1 + Inputs!$B$44)^INT((COLUMNS($B$57:F57)-1) / 12)</f>
        <v>0</v>
      </c>
      <c r="G57" s="81">
        <f>G19 * (Inputs!$B$36 / 12) * (1 + Inputs!$B$44)^INT((COLUMNS($B$57:G57)-1) / 12)</f>
        <v>0</v>
      </c>
      <c r="H57" s="81">
        <f>H19 * (Inputs!$B$36 / 12) * (1 + Inputs!$B$44)^INT((COLUMNS($B$57:H57)-1) / 12)</f>
        <v>0</v>
      </c>
      <c r="I57" s="81">
        <f>I19 * (Inputs!$B$36 / 12) * (1 + Inputs!$B$44)^INT((COLUMNS($B$57:I57)-1) / 12)</f>
        <v>0</v>
      </c>
      <c r="J57" s="81">
        <f>J19 * (Inputs!$B$36 / 12) * (1 + Inputs!$B$44)^INT((COLUMNS($B$57:J57)-1) / 12)</f>
        <v>0</v>
      </c>
      <c r="K57" s="81">
        <f>K19 * (Inputs!$B$36 / 12) * (1 + Inputs!$B$44)^INT((COLUMNS($B$57:K57)-1) / 12)</f>
        <v>0</v>
      </c>
      <c r="L57" s="81">
        <f>L19 * (Inputs!$B$36 / 12) * (1 + Inputs!$B$44)^INT((COLUMNS($B$57:L57)-1) / 12)</f>
        <v>0</v>
      </c>
      <c r="M57" s="81">
        <f>M19 * (Inputs!$B$36 / 12) * (1 + Inputs!$B$44)^INT((COLUMNS($B$57:M57)-1) / 12)</f>
        <v>0</v>
      </c>
      <c r="N57" s="81">
        <f>N19 * (Inputs!$B$36 / 12) * (1 + Inputs!$B$44)^INT((COLUMNS($B$57:N57)-1) / 12)</f>
        <v>0</v>
      </c>
      <c r="O57" s="81">
        <f>O19 * (Inputs!$B$36 / 12) * (1 + Inputs!$B$44)^INT((COLUMNS($B$57:O57)-1) / 12)</f>
        <v>0</v>
      </c>
      <c r="P57" s="81">
        <f>P19 * (Inputs!$B$36 / 12) * (1 + Inputs!$B$44)^INT((COLUMNS($B$57:P57)-1) / 12)</f>
        <v>0</v>
      </c>
      <c r="Q57" s="81">
        <f>Q19 * (Inputs!$B$36 / 12) * (1 + Inputs!$B$44)^INT((COLUMNS($B$57:Q57)-1) / 12)</f>
        <v>0</v>
      </c>
      <c r="R57" s="81">
        <f>R19 * (Inputs!$B$36 / 12) * (1 + Inputs!$B$44)^INT((COLUMNS($B$57:R57)-1) / 12)</f>
        <v>0</v>
      </c>
      <c r="S57" s="81">
        <f>S19 * (Inputs!$B$36 / 12) * (1 + Inputs!$B$44)^INT((COLUMNS($B$57:S57)-1) / 12)</f>
        <v>0</v>
      </c>
      <c r="T57" s="81">
        <f>T19 * (Inputs!$B$36 / 12) * (1 + Inputs!$B$44)^INT((COLUMNS($B$57:T57)-1) / 12)</f>
        <v>0</v>
      </c>
      <c r="U57" s="81">
        <f>U19 * (Inputs!$B$36 / 12) * (1 + Inputs!$B$44)^INT((COLUMNS($B$57:U57)-1) / 12)</f>
        <v>5250</v>
      </c>
      <c r="V57" s="81">
        <f>V19 * (Inputs!$B$36 / 12) * (1 + Inputs!$B$44)^INT((COLUMNS($B$57:V57)-1) / 12)</f>
        <v>5250</v>
      </c>
      <c r="W57" s="81">
        <f>W19 * (Inputs!$B$36 / 12) * (1 + Inputs!$B$44)^INT((COLUMNS($B$57:W57)-1) / 12)</f>
        <v>5250</v>
      </c>
      <c r="X57" s="81">
        <f>X19 * (Inputs!$B$36 / 12) * (1 + Inputs!$B$44)^INT((COLUMNS($B$57:X57)-1) / 12)</f>
        <v>5250</v>
      </c>
      <c r="Y57" s="81">
        <f>Y19 * (Inputs!$B$36 / 12) * (1 + Inputs!$B$44)^INT((COLUMNS($B$57:Y57)-1) / 12)</f>
        <v>5250</v>
      </c>
      <c r="Z57" s="81">
        <f>Z19 * (Inputs!$B$36 / 12) * (1 + Inputs!$B$44)^INT((COLUMNS($B$57:Z57)-1) / 12)</f>
        <v>5512.5</v>
      </c>
      <c r="AA57" s="81">
        <f>AA19 * (Inputs!$B$36 / 12) * (1 + Inputs!$B$44)^INT((COLUMNS($B$57:AA57)-1) / 12)</f>
        <v>5512.5</v>
      </c>
      <c r="AB57" s="81">
        <f>AB19 * (Inputs!$B$36 / 12) * (1 + Inputs!$B$44)^INT((COLUMNS($B$57:AB57)-1) / 12)</f>
        <v>5512.5</v>
      </c>
      <c r="AC57" s="81">
        <f>AC19 * (Inputs!$B$36 / 12) * (1 + Inputs!$B$44)^INT((COLUMNS($B$57:AC57)-1) / 12)</f>
        <v>5512.5</v>
      </c>
      <c r="AD57" s="81">
        <f>AD19 * (Inputs!$B$36 / 12) * (1 + Inputs!$B$44)^INT((COLUMNS($B$57:AD57)-1) / 12)</f>
        <v>5512.5</v>
      </c>
      <c r="AE57" s="81">
        <f>AE19 * (Inputs!$B$36 / 12) * (1 + Inputs!$B$44)^INT((COLUMNS($B$57:AE57)-1) / 12)</f>
        <v>5512.5</v>
      </c>
      <c r="AF57" s="81">
        <f>AF19 * (Inputs!$B$36 / 12) * (1 + Inputs!$B$44)^INT((COLUMNS($B$57:AF57)-1) / 12)</f>
        <v>5512.5</v>
      </c>
      <c r="AG57" s="81">
        <f>AG19 * (Inputs!$B$36 / 12) * (1 + Inputs!$B$44)^INT((COLUMNS($B$57:AG57)-1) / 12)</f>
        <v>5512.5</v>
      </c>
      <c r="AH57" s="81">
        <f>AH19 * (Inputs!$B$36 / 12) * (1 + Inputs!$B$44)^INT((COLUMNS($B$57:AH57)-1) / 12)</f>
        <v>5512.5</v>
      </c>
      <c r="AI57" s="81">
        <f>AI19 * (Inputs!$B$36 / 12) * (1 + Inputs!$B$44)^INT((COLUMNS($B$57:AI57)-1) / 12)</f>
        <v>5512.5</v>
      </c>
      <c r="AJ57" s="81">
        <f>AJ19 * (Inputs!$B$36 / 12) * (1 + Inputs!$B$44)^INT((COLUMNS($B$57:AJ57)-1) / 12)</f>
        <v>5512.5</v>
      </c>
      <c r="AK57" s="81">
        <f>AK19 * (Inputs!$B$36 / 12) * (1 + Inputs!$B$44)^INT((COLUMNS($B$57:AK57)-1) / 12)</f>
        <v>5512.5</v>
      </c>
      <c r="AL57" s="81">
        <f>AL19 * (Inputs!$B$36 / 12) * (1 + Inputs!$B$44)^INT((COLUMNS($B$57:AL57)-1) / 12)</f>
        <v>5788.125</v>
      </c>
      <c r="AM57" s="81">
        <f>AM19 * (Inputs!$B$36 / 12) * (1 + Inputs!$B$44)^INT((COLUMNS($B$57:AM57)-1) / 12)</f>
        <v>5788.125</v>
      </c>
      <c r="AN57" s="81">
        <f>AN19 * (Inputs!$B$36 / 12) * (1 + Inputs!$B$44)^INT((COLUMNS($B$57:AN57)-1) / 12)</f>
        <v>5788.125</v>
      </c>
      <c r="AO57" s="81">
        <f>AO19 * (Inputs!$B$36 / 12) * (1 + Inputs!$B$44)^INT((COLUMNS($B$57:AO57)-1) / 12)</f>
        <v>5788.125</v>
      </c>
      <c r="AP57" s="81">
        <f>AP19 * (Inputs!$B$36 / 12) * (1 + Inputs!$B$44)^INT((COLUMNS($B$57:AP57)-1) / 12)</f>
        <v>5788.125</v>
      </c>
      <c r="AQ57" s="81">
        <f>AQ19 * (Inputs!$B$36 / 12) * (1 + Inputs!$B$44)^INT((COLUMNS($B$57:AQ57)-1) / 12)</f>
        <v>5788.125</v>
      </c>
      <c r="AR57" s="81">
        <f>AR19 * (Inputs!$B$36 / 12) * (1 + Inputs!$B$44)^INT((COLUMNS($B$57:AR57)-1) / 12)</f>
        <v>5788.125</v>
      </c>
      <c r="AS57" s="81">
        <f>AS19 * (Inputs!$B$36 / 12) * (1 + Inputs!$B$44)^INT((COLUMNS($B$57:AS57)-1) / 12)</f>
        <v>5788.125</v>
      </c>
      <c r="AT57" s="81">
        <f>AT19 * (Inputs!$B$36 / 12) * (1 + Inputs!$B$44)^INT((COLUMNS($B$57:AT57)-1) / 12)</f>
        <v>5788.125</v>
      </c>
      <c r="AU57" s="81">
        <f>AU19 * (Inputs!$B$36 / 12) * (1 + Inputs!$B$44)^INT((COLUMNS($B$57:AU57)-1) / 12)</f>
        <v>5788.125</v>
      </c>
      <c r="AV57" s="81">
        <f>AV19 * (Inputs!$B$36 / 12) * (1 + Inputs!$B$44)^INT((COLUMNS($B$57:AV57)-1) / 12)</f>
        <v>5788.125</v>
      </c>
      <c r="AW57" s="81">
        <f>AW19 * (Inputs!$B$36 / 12) * (1 + Inputs!$B$44)^INT((COLUMNS($B$57:AW57)-1) / 12)</f>
        <v>5788.125</v>
      </c>
      <c r="AX57" s="81">
        <f>AX19 * (Inputs!$B$36 / 12) * (1 + Inputs!$B$44)^INT((COLUMNS($B$57:AX57)-1) / 12)</f>
        <v>6077.53125</v>
      </c>
      <c r="AY57" s="81">
        <f>AY19 * (Inputs!$B$36 / 12) * (1 + Inputs!$B$44)^INT((COLUMNS($B$57:AY57)-1) / 12)</f>
        <v>6077.53125</v>
      </c>
      <c r="AZ57" s="81">
        <f>AZ19 * (Inputs!$B$36 / 12) * (1 + Inputs!$B$44)^INT((COLUMNS($B$57:AZ57)-1) / 12)</f>
        <v>6077.53125</v>
      </c>
      <c r="BA57" s="81">
        <f>BA19 * (Inputs!$B$36 / 12) * (1 + Inputs!$B$44)^INT((COLUMNS($B$57:BA57)-1) / 12)</f>
        <v>6077.53125</v>
      </c>
    </row>
    <row r="58" ht="14.25" customHeight="1">
      <c r="A58" s="3" t="s">
        <v>527</v>
      </c>
      <c r="B58" s="81">
        <f>B20 * (Inputs!$B$37 / 12) * (1 + Inputs!$B$44)^INT((COLUMNS($B$58:B58)-1) / 12)</f>
        <v>0</v>
      </c>
      <c r="C58" s="81">
        <f>C20 * (Inputs!$B$37 / 12) * (1 + Inputs!$B$44)^INT((COLUMNS($B$58:C58)-1) / 12)</f>
        <v>0</v>
      </c>
      <c r="D58" s="81">
        <f>D20 * (Inputs!$B$37 / 12) * (1 + Inputs!$B$44)^INT((COLUMNS($B$58:D58)-1) / 12)</f>
        <v>0</v>
      </c>
      <c r="E58" s="81">
        <f>E20 * (Inputs!$B$37 / 12) * (1 + Inputs!$B$44)^INT((COLUMNS($B$58:E58)-1) / 12)</f>
        <v>0</v>
      </c>
      <c r="F58" s="81">
        <f>F20 * (Inputs!$B$37 / 12) * (1 + Inputs!$B$44)^INT((COLUMNS($B$58:F58)-1) / 12)</f>
        <v>0</v>
      </c>
      <c r="G58" s="81">
        <f>G20 * (Inputs!$B$37 / 12) * (1 + Inputs!$B$44)^INT((COLUMNS($B$58:G58)-1) / 12)</f>
        <v>0</v>
      </c>
      <c r="H58" s="81">
        <f>H20 * (Inputs!$B$37 / 12) * (1 + Inputs!$B$44)^INT((COLUMNS($B$58:H58)-1) / 12)</f>
        <v>0</v>
      </c>
      <c r="I58" s="81">
        <f>I20 * (Inputs!$B$37 / 12) * (1 + Inputs!$B$44)^INT((COLUMNS($B$58:I58)-1) / 12)</f>
        <v>0</v>
      </c>
      <c r="J58" s="81">
        <f>J20 * (Inputs!$B$37 / 12) * (1 + Inputs!$B$44)^INT((COLUMNS($B$58:J58)-1) / 12)</f>
        <v>0</v>
      </c>
      <c r="K58" s="81">
        <f>K20 * (Inputs!$B$37 / 12) * (1 + Inputs!$B$44)^INT((COLUMNS($B$58:K58)-1) / 12)</f>
        <v>0</v>
      </c>
      <c r="L58" s="81">
        <f>L20 * (Inputs!$B$37 / 12) * (1 + Inputs!$B$44)^INT((COLUMNS($B$58:L58)-1) / 12)</f>
        <v>0</v>
      </c>
      <c r="M58" s="81">
        <f>M20 * (Inputs!$B$37 / 12) * (1 + Inputs!$B$44)^INT((COLUMNS($B$58:M58)-1) / 12)</f>
        <v>0</v>
      </c>
      <c r="N58" s="81">
        <f>N20 * (Inputs!$B$37 / 12) * (1 + Inputs!$B$44)^INT((COLUMNS($B$58:N58)-1) / 12)</f>
        <v>0</v>
      </c>
      <c r="O58" s="81">
        <f>O20 * (Inputs!$B$37 / 12) * (1 + Inputs!$B$44)^INT((COLUMNS($B$58:O58)-1) / 12)</f>
        <v>0</v>
      </c>
      <c r="P58" s="81">
        <f>P20 * (Inputs!$B$37 / 12) * (1 + Inputs!$B$44)^INT((COLUMNS($B$58:P58)-1) / 12)</f>
        <v>0</v>
      </c>
      <c r="Q58" s="81">
        <f>Q20 * (Inputs!$B$37 / 12) * (1 + Inputs!$B$44)^INT((COLUMNS($B$58:Q58)-1) / 12)</f>
        <v>0</v>
      </c>
      <c r="R58" s="81">
        <f>R20 * (Inputs!$B$37 / 12) * (1 + Inputs!$B$44)^INT((COLUMNS($B$58:R58)-1) / 12)</f>
        <v>0</v>
      </c>
      <c r="S58" s="81">
        <f>S20 * (Inputs!$B$37 / 12) * (1 + Inputs!$B$44)^INT((COLUMNS($B$58:S58)-1) / 12)</f>
        <v>0</v>
      </c>
      <c r="T58" s="81">
        <f>T20 * (Inputs!$B$37 / 12) * (1 + Inputs!$B$44)^INT((COLUMNS($B$58:T58)-1) / 12)</f>
        <v>0</v>
      </c>
      <c r="U58" s="81">
        <f>U20 * (Inputs!$B$37 / 12) * (1 + Inputs!$B$44)^INT((COLUMNS($B$58:U58)-1) / 12)</f>
        <v>0</v>
      </c>
      <c r="V58" s="81">
        <f>V20 * (Inputs!$B$37 / 12) * (1 + Inputs!$B$44)^INT((COLUMNS($B$58:V58)-1) / 12)</f>
        <v>0</v>
      </c>
      <c r="W58" s="81">
        <f>W20 * (Inputs!$B$37 / 12) * (1 + Inputs!$B$44)^INT((COLUMNS($B$58:W58)-1) / 12)</f>
        <v>9625</v>
      </c>
      <c r="X58" s="81">
        <f>X20 * (Inputs!$B$37 / 12) * (1 + Inputs!$B$44)^INT((COLUMNS($B$58:X58)-1) / 12)</f>
        <v>9625</v>
      </c>
      <c r="Y58" s="81">
        <f>Y20 * (Inputs!$B$37 / 12) * (1 + Inputs!$B$44)^INT((COLUMNS($B$58:Y58)-1) / 12)</f>
        <v>9625</v>
      </c>
      <c r="Z58" s="81">
        <f>Z20 * (Inputs!$B$37 / 12) * (1 + Inputs!$B$44)^INT((COLUMNS($B$58:Z58)-1) / 12)</f>
        <v>10106.25</v>
      </c>
      <c r="AA58" s="81">
        <f>AA20 * (Inputs!$B$37 / 12) * (1 + Inputs!$B$44)^INT((COLUMNS($B$58:AA58)-1) / 12)</f>
        <v>10106.25</v>
      </c>
      <c r="AB58" s="81">
        <f>AB20 * (Inputs!$B$37 / 12) * (1 + Inputs!$B$44)^INT((COLUMNS($B$58:AB58)-1) / 12)</f>
        <v>10106.25</v>
      </c>
      <c r="AC58" s="81">
        <f>AC20 * (Inputs!$B$37 / 12) * (1 + Inputs!$B$44)^INT((COLUMNS($B$58:AC58)-1) / 12)</f>
        <v>10106.25</v>
      </c>
      <c r="AD58" s="81">
        <f>AD20 * (Inputs!$B$37 / 12) * (1 + Inputs!$B$44)^INT((COLUMNS($B$58:AD58)-1) / 12)</f>
        <v>10106.25</v>
      </c>
      <c r="AE58" s="81">
        <f>AE20 * (Inputs!$B$37 / 12) * (1 + Inputs!$B$44)^INT((COLUMNS($B$58:AE58)-1) / 12)</f>
        <v>10106.25</v>
      </c>
      <c r="AF58" s="81">
        <f>AF20 * (Inputs!$B$37 / 12) * (1 + Inputs!$B$44)^INT((COLUMNS($B$58:AF58)-1) / 12)</f>
        <v>10106.25</v>
      </c>
      <c r="AG58" s="81">
        <f>AG20 * (Inputs!$B$37 / 12) * (1 + Inputs!$B$44)^INT((COLUMNS($B$58:AG58)-1) / 12)</f>
        <v>10106.25</v>
      </c>
      <c r="AH58" s="81">
        <f>AH20 * (Inputs!$B$37 / 12) * (1 + Inputs!$B$44)^INT((COLUMNS($B$58:AH58)-1) / 12)</f>
        <v>10106.25</v>
      </c>
      <c r="AI58" s="81">
        <f>AI20 * (Inputs!$B$37 / 12) * (1 + Inputs!$B$44)^INT((COLUMNS($B$58:AI58)-1) / 12)</f>
        <v>10106.25</v>
      </c>
      <c r="AJ58" s="81">
        <f>AJ20 * (Inputs!$B$37 / 12) * (1 + Inputs!$B$44)^INT((COLUMNS($B$58:AJ58)-1) / 12)</f>
        <v>10106.25</v>
      </c>
      <c r="AK58" s="81">
        <f>AK20 * (Inputs!$B$37 / 12) * (1 + Inputs!$B$44)^INT((COLUMNS($B$58:AK58)-1) / 12)</f>
        <v>10106.25</v>
      </c>
      <c r="AL58" s="81">
        <f>AL20 * (Inputs!$B$37 / 12) * (1 + Inputs!$B$44)^INT((COLUMNS($B$58:AL58)-1) / 12)</f>
        <v>10611.5625</v>
      </c>
      <c r="AM58" s="81">
        <f>AM20 * (Inputs!$B$37 / 12) * (1 + Inputs!$B$44)^INT((COLUMNS($B$58:AM58)-1) / 12)</f>
        <v>10611.5625</v>
      </c>
      <c r="AN58" s="81">
        <f>AN20 * (Inputs!$B$37 / 12) * (1 + Inputs!$B$44)^INT((COLUMNS($B$58:AN58)-1) / 12)</f>
        <v>10611.5625</v>
      </c>
      <c r="AO58" s="81">
        <f>AO20 * (Inputs!$B$37 / 12) * (1 + Inputs!$B$44)^INT((COLUMNS($B$58:AO58)-1) / 12)</f>
        <v>10611.5625</v>
      </c>
      <c r="AP58" s="81">
        <f>AP20 * (Inputs!$B$37 / 12) * (1 + Inputs!$B$44)^INT((COLUMNS($B$58:AP58)-1) / 12)</f>
        <v>10611.5625</v>
      </c>
      <c r="AQ58" s="81">
        <f>AQ20 * (Inputs!$B$37 / 12) * (1 + Inputs!$B$44)^INT((COLUMNS($B$58:AQ58)-1) / 12)</f>
        <v>10611.5625</v>
      </c>
      <c r="AR58" s="81">
        <f>AR20 * (Inputs!$B$37 / 12) * (1 + Inputs!$B$44)^INT((COLUMNS($B$58:AR58)-1) / 12)</f>
        <v>10611.5625</v>
      </c>
      <c r="AS58" s="81">
        <f>AS20 * (Inputs!$B$37 / 12) * (1 + Inputs!$B$44)^INT((COLUMNS($B$58:AS58)-1) / 12)</f>
        <v>10611.5625</v>
      </c>
      <c r="AT58" s="81">
        <f>AT20 * (Inputs!$B$37 / 12) * (1 + Inputs!$B$44)^INT((COLUMNS($B$58:AT58)-1) / 12)</f>
        <v>10611.5625</v>
      </c>
      <c r="AU58" s="81">
        <f>AU20 * (Inputs!$B$37 / 12) * (1 + Inputs!$B$44)^INT((COLUMNS($B$58:AU58)-1) / 12)</f>
        <v>10611.5625</v>
      </c>
      <c r="AV58" s="81">
        <f>AV20 * (Inputs!$B$37 / 12) * (1 + Inputs!$B$44)^INT((COLUMNS($B$58:AV58)-1) / 12)</f>
        <v>10611.5625</v>
      </c>
      <c r="AW58" s="81">
        <f>AW20 * (Inputs!$B$37 / 12) * (1 + Inputs!$B$44)^INT((COLUMNS($B$58:AW58)-1) / 12)</f>
        <v>10611.5625</v>
      </c>
      <c r="AX58" s="81">
        <f>AX20 * (Inputs!$B$37 / 12) * (1 + Inputs!$B$44)^INT((COLUMNS($B$58:AX58)-1) / 12)</f>
        <v>11142.14063</v>
      </c>
      <c r="AY58" s="81">
        <f>AY20 * (Inputs!$B$37 / 12) * (1 + Inputs!$B$44)^INT((COLUMNS($B$58:AY58)-1) / 12)</f>
        <v>11142.14063</v>
      </c>
      <c r="AZ58" s="81">
        <f>AZ20 * (Inputs!$B$37 / 12) * (1 + Inputs!$B$44)^INT((COLUMNS($B$58:AZ58)-1) / 12)</f>
        <v>11142.14063</v>
      </c>
      <c r="BA58" s="81">
        <f>BA20 * (Inputs!$B$37 / 12) * (1 + Inputs!$B$44)^INT((COLUMNS($B$58:BA58)-1) / 12)</f>
        <v>11142.14063</v>
      </c>
    </row>
    <row r="59" ht="14.25" customHeight="1">
      <c r="A59" s="3" t="s">
        <v>528</v>
      </c>
      <c r="B59" s="81">
        <f>B21 * (Inputs!$B$39 / 12) * (1 + Inputs!$B$44)^INT((COLUMNS($B$59:B59)-1) / 12)</f>
        <v>0</v>
      </c>
      <c r="C59" s="81">
        <f>C21 * (Inputs!$B$39 / 12) * (1 + Inputs!$B$44)^INT((COLUMNS($B$59:C59)-1) / 12)</f>
        <v>0</v>
      </c>
      <c r="D59" s="81">
        <f>D21 * (Inputs!$B$39 / 12) * (1 + Inputs!$B$44)^INT((COLUMNS($B$59:D59)-1) / 12)</f>
        <v>0</v>
      </c>
      <c r="E59" s="81">
        <f>E21 * (Inputs!$B$39 / 12) * (1 + Inputs!$B$44)^INT((COLUMNS($B$59:E59)-1) / 12)</f>
        <v>0</v>
      </c>
      <c r="F59" s="81">
        <f>F21 * (Inputs!$B$39 / 12) * (1 + Inputs!$B$44)^INT((COLUMNS($B$59:F59)-1) / 12)</f>
        <v>0</v>
      </c>
      <c r="G59" s="81">
        <f>G21 * (Inputs!$B$39 / 12) * (1 + Inputs!$B$44)^INT((COLUMNS($B$59:G59)-1) / 12)</f>
        <v>0</v>
      </c>
      <c r="H59" s="81">
        <f>H21 * (Inputs!$B$39 / 12) * (1 + Inputs!$B$44)^INT((COLUMNS($B$59:H59)-1) / 12)</f>
        <v>0</v>
      </c>
      <c r="I59" s="81">
        <f>I21 * (Inputs!$B$39 / 12) * (1 + Inputs!$B$44)^INT((COLUMNS($B$59:I59)-1) / 12)</f>
        <v>0</v>
      </c>
      <c r="J59" s="81">
        <f>J21 * (Inputs!$B$39 / 12) * (1 + Inputs!$B$44)^INT((COLUMNS($B$59:J59)-1) / 12)</f>
        <v>0</v>
      </c>
      <c r="K59" s="81">
        <f>K21 * (Inputs!$B$39 / 12) * (1 + Inputs!$B$44)^INT((COLUMNS($B$59:K59)-1) / 12)</f>
        <v>0</v>
      </c>
      <c r="L59" s="81">
        <f>L21 * (Inputs!$B$39 / 12) * (1 + Inputs!$B$44)^INT((COLUMNS($B$59:L59)-1) / 12)</f>
        <v>0</v>
      </c>
      <c r="M59" s="81">
        <f>M21 * (Inputs!$B$39 / 12) * (1 + Inputs!$B$44)^INT((COLUMNS($B$59:M59)-1) / 12)</f>
        <v>0</v>
      </c>
      <c r="N59" s="81">
        <f>N21 * (Inputs!$B$39 / 12) * (1 + Inputs!$B$44)^INT((COLUMNS($B$59:N59)-1) / 12)</f>
        <v>0</v>
      </c>
      <c r="O59" s="81">
        <f>O21 * (Inputs!$B$39 / 12) * (1 + Inputs!$B$44)^INT((COLUMNS($B$59:O59)-1) / 12)</f>
        <v>0</v>
      </c>
      <c r="P59" s="81">
        <f>P21 * (Inputs!$B$39 / 12) * (1 + Inputs!$B$44)^INT((COLUMNS($B$59:P59)-1) / 12)</f>
        <v>0</v>
      </c>
      <c r="Q59" s="81">
        <f>Q21 * (Inputs!$B$39 / 12) * (1 + Inputs!$B$44)^INT((COLUMNS($B$59:Q59)-1) / 12)</f>
        <v>0</v>
      </c>
      <c r="R59" s="81">
        <f>R21 * (Inputs!$B$39 / 12) * (1 + Inputs!$B$44)^INT((COLUMNS($B$59:R59)-1) / 12)</f>
        <v>0</v>
      </c>
      <c r="S59" s="81">
        <f>S21 * (Inputs!$B$39 / 12) * (1 + Inputs!$B$44)^INT((COLUMNS($B$59:S59)-1) / 12)</f>
        <v>0</v>
      </c>
      <c r="T59" s="81">
        <f>T21 * (Inputs!$B$39 / 12) * (1 + Inputs!$B$44)^INT((COLUMNS($B$59:T59)-1) / 12)</f>
        <v>0</v>
      </c>
      <c r="U59" s="81">
        <f>U21 * (Inputs!$B$39 / 12) * (1 + Inputs!$B$44)^INT((COLUMNS($B$59:U59)-1) / 12)</f>
        <v>0</v>
      </c>
      <c r="V59" s="81">
        <f>V21 * (Inputs!$B$39 / 12) * (1 + Inputs!$B$44)^INT((COLUMNS($B$59:V59)-1) / 12)</f>
        <v>0</v>
      </c>
      <c r="W59" s="81">
        <f>W21 * (Inputs!$B$39 / 12) * (1 + Inputs!$B$44)^INT((COLUMNS($B$59:W59)-1) / 12)</f>
        <v>0</v>
      </c>
      <c r="X59" s="81">
        <f>X21 * (Inputs!$B$39 / 12) * (1 + Inputs!$B$44)^INT((COLUMNS($B$59:X59)-1) / 12)</f>
        <v>0</v>
      </c>
      <c r="Y59" s="81">
        <f>Y21 * (Inputs!$B$39 / 12) * (1 + Inputs!$B$44)^INT((COLUMNS($B$59:Y59)-1) / 12)</f>
        <v>0</v>
      </c>
      <c r="Z59" s="81">
        <f>Z21 * (Inputs!$B$39 / 12) * (1 + Inputs!$B$44)^INT((COLUMNS($B$59:Z59)-1) / 12)</f>
        <v>0</v>
      </c>
      <c r="AA59" s="81">
        <f>AA21 * (Inputs!$B$39 / 12) * (1 + Inputs!$B$44)^INT((COLUMNS($B$59:AA59)-1) / 12)</f>
        <v>0</v>
      </c>
      <c r="AB59" s="81">
        <f>AB21 * (Inputs!$B$39 / 12) * (1 + Inputs!$B$44)^INT((COLUMNS($B$59:AB59)-1) / 12)</f>
        <v>0</v>
      </c>
      <c r="AC59" s="81">
        <f>AC21 * (Inputs!$B$39 / 12) * (1 + Inputs!$B$44)^INT((COLUMNS($B$59:AC59)-1) / 12)</f>
        <v>0</v>
      </c>
      <c r="AD59" s="81">
        <f>AD21 * (Inputs!$B$39 / 12) * (1 + Inputs!$B$44)^INT((COLUMNS($B$59:AD59)-1) / 12)</f>
        <v>0</v>
      </c>
      <c r="AE59" s="81">
        <f>AE21 * (Inputs!$B$39 / 12) * (1 + Inputs!$B$44)^INT((COLUMNS($B$59:AE59)-1) / 12)</f>
        <v>0</v>
      </c>
      <c r="AF59" s="81">
        <f>AF21 * (Inputs!$B$39 / 12) * (1 + Inputs!$B$44)^INT((COLUMNS($B$59:AF59)-1) / 12)</f>
        <v>0</v>
      </c>
      <c r="AG59" s="81">
        <f>AG21 * (Inputs!$B$39 / 12) * (1 + Inputs!$B$44)^INT((COLUMNS($B$59:AG59)-1) / 12)</f>
        <v>0</v>
      </c>
      <c r="AH59" s="81">
        <f>AH21 * (Inputs!$B$39 / 12) * (1 + Inputs!$B$44)^INT((COLUMNS($B$59:AH59)-1) / 12)</f>
        <v>0</v>
      </c>
      <c r="AI59" s="81">
        <f>AI21 * (Inputs!$B$39 / 12) * (1 + Inputs!$B$44)^INT((COLUMNS($B$59:AI59)-1) / 12)</f>
        <v>0</v>
      </c>
      <c r="AJ59" s="81">
        <f>AJ21 * (Inputs!$B$39 / 12) * (1 + Inputs!$B$44)^INT((COLUMNS($B$59:AJ59)-1) / 12)</f>
        <v>0</v>
      </c>
      <c r="AK59" s="81">
        <f>AK21 * (Inputs!$B$39 / 12) * (1 + Inputs!$B$44)^INT((COLUMNS($B$59:AK59)-1) / 12)</f>
        <v>0</v>
      </c>
      <c r="AL59" s="81">
        <f>AL21 * (Inputs!$B$39 / 12) * (1 + Inputs!$B$44)^INT((COLUMNS($B$59:AL59)-1) / 12)</f>
        <v>0</v>
      </c>
      <c r="AM59" s="81">
        <f>AM21 * (Inputs!$B$39 / 12) * (1 + Inputs!$B$44)^INT((COLUMNS($B$59:AM59)-1) / 12)</f>
        <v>0</v>
      </c>
      <c r="AN59" s="81">
        <f>AN21 * (Inputs!$B$39 / 12) * (1 + Inputs!$B$44)^INT((COLUMNS($B$59:AN59)-1) / 12)</f>
        <v>0</v>
      </c>
      <c r="AO59" s="81">
        <f>AO21 * (Inputs!$B$39 / 12) * (1 + Inputs!$B$44)^INT((COLUMNS($B$59:AO59)-1) / 12)</f>
        <v>0</v>
      </c>
      <c r="AP59" s="81">
        <f>AP21 * (Inputs!$B$39 / 12) * (1 + Inputs!$B$44)^INT((COLUMNS($B$59:AP59)-1) / 12)</f>
        <v>0</v>
      </c>
      <c r="AQ59" s="81">
        <f>AQ21 * (Inputs!$B$39 / 12) * (1 + Inputs!$B$44)^INT((COLUMNS($B$59:AQ59)-1) / 12)</f>
        <v>0</v>
      </c>
      <c r="AR59" s="81">
        <f>AR21 * (Inputs!$B$39 / 12) * (1 + Inputs!$B$44)^INT((COLUMNS($B$59:AR59)-1) / 12)</f>
        <v>0</v>
      </c>
      <c r="AS59" s="81">
        <f>AS21 * (Inputs!$B$39 / 12) * (1 + Inputs!$B$44)^INT((COLUMNS($B$59:AS59)-1) / 12)</f>
        <v>0</v>
      </c>
      <c r="AT59" s="81">
        <f>AT21 * (Inputs!$B$39 / 12) * (1 + Inputs!$B$44)^INT((COLUMNS($B$59:AT59)-1) / 12)</f>
        <v>0</v>
      </c>
      <c r="AU59" s="81">
        <f>AU21 * (Inputs!$B$39 / 12) * (1 + Inputs!$B$44)^INT((COLUMNS($B$59:AU59)-1) / 12)</f>
        <v>0</v>
      </c>
      <c r="AV59" s="81">
        <f>AV21 * (Inputs!$B$39 / 12) * (1 + Inputs!$B$44)^INT((COLUMNS($B$59:AV59)-1) / 12)</f>
        <v>0</v>
      </c>
      <c r="AW59" s="81">
        <f>AW21 * (Inputs!$B$39 / 12) * (1 + Inputs!$B$44)^INT((COLUMNS($B$59:AW59)-1) / 12)</f>
        <v>0</v>
      </c>
      <c r="AX59" s="81">
        <f>AX21 * (Inputs!$B$39 / 12) * (1 + Inputs!$B$44)^INT((COLUMNS($B$59:AX59)-1) / 12)</f>
        <v>0</v>
      </c>
      <c r="AY59" s="81">
        <f>AY21 * (Inputs!$B$39 / 12) * (1 + Inputs!$B$44)^INT((COLUMNS($B$59:AY59)-1) / 12)</f>
        <v>0</v>
      </c>
      <c r="AZ59" s="81">
        <f>AZ21 * (Inputs!$B$39 / 12) * (1 + Inputs!$B$44)^INT((COLUMNS($B$59:AZ59)-1) / 12)</f>
        <v>0</v>
      </c>
      <c r="BA59" s="81">
        <f>BA21 * (Inputs!$B$39 / 12) * (1 + Inputs!$B$44)^INT((COLUMNS($B$59:BA59)-1) / 12)</f>
        <v>0</v>
      </c>
    </row>
    <row r="60" ht="14.25" customHeight="1">
      <c r="A60" s="3" t="s">
        <v>529</v>
      </c>
      <c r="B60" s="81">
        <f>B22 * (Inputs!$B$41 / 12) * (1 + Inputs!$B$44)^INT((COLUMNS($B$60:B60)-1) / 12)</f>
        <v>0</v>
      </c>
      <c r="C60" s="81">
        <f>C22 * (Inputs!$B$41 / 12) * (1 + Inputs!$B$44)^INT((COLUMNS($B$60:C60)-1) / 12)</f>
        <v>0</v>
      </c>
      <c r="D60" s="81">
        <f>D22 * (Inputs!$B$41 / 12) * (1 + Inputs!$B$44)^INT((COLUMNS($B$60:D60)-1) / 12)</f>
        <v>0</v>
      </c>
      <c r="E60" s="81">
        <f>E22 * (Inputs!$B$41 / 12) * (1 + Inputs!$B$44)^INT((COLUMNS($B$60:E60)-1) / 12)</f>
        <v>0</v>
      </c>
      <c r="F60" s="81">
        <f>F22 * (Inputs!$B$41 / 12) * (1 + Inputs!$B$44)^INT((COLUMNS($B$60:F60)-1) / 12)</f>
        <v>0</v>
      </c>
      <c r="G60" s="81">
        <f>G22 * (Inputs!$B$41 / 12) * (1 + Inputs!$B$44)^INT((COLUMNS($B$60:G60)-1) / 12)</f>
        <v>0</v>
      </c>
      <c r="H60" s="81">
        <f>H22 * (Inputs!$B$41 / 12) * (1 + Inputs!$B$44)^INT((COLUMNS($B$60:H60)-1) / 12)</f>
        <v>0</v>
      </c>
      <c r="I60" s="81">
        <f>I22 * (Inputs!$B$41 / 12) * (1 + Inputs!$B$44)^INT((COLUMNS($B$60:I60)-1) / 12)</f>
        <v>0</v>
      </c>
      <c r="J60" s="81">
        <f>J22 * (Inputs!$B$41 / 12) * (1 + Inputs!$B$44)^INT((COLUMNS($B$60:J60)-1) / 12)</f>
        <v>0</v>
      </c>
      <c r="K60" s="81">
        <f>K22 * (Inputs!$B$41 / 12) * (1 + Inputs!$B$44)^INT((COLUMNS($B$60:K60)-1) / 12)</f>
        <v>0</v>
      </c>
      <c r="L60" s="81">
        <f>L22 * (Inputs!$B$41 / 12) * (1 + Inputs!$B$44)^INT((COLUMNS($B$60:L60)-1) / 12)</f>
        <v>0</v>
      </c>
      <c r="M60" s="81">
        <f>M22 * (Inputs!$B$41 / 12) * (1 + Inputs!$B$44)^INT((COLUMNS($B$60:M60)-1) / 12)</f>
        <v>0</v>
      </c>
      <c r="N60" s="81">
        <f>N22 * (Inputs!$B$41 / 12) * (1 + Inputs!$B$44)^INT((COLUMNS($B$60:N60)-1) / 12)</f>
        <v>0</v>
      </c>
      <c r="O60" s="81">
        <f>O22 * (Inputs!$B$41 / 12) * (1 + Inputs!$B$44)^INT((COLUMNS($B$60:O60)-1) / 12)</f>
        <v>0</v>
      </c>
      <c r="P60" s="81">
        <f>P22 * (Inputs!$B$41 / 12) * (1 + Inputs!$B$44)^INT((COLUMNS($B$60:P60)-1) / 12)</f>
        <v>0</v>
      </c>
      <c r="Q60" s="81">
        <f>Q22 * (Inputs!$B$41 / 12) * (1 + Inputs!$B$44)^INT((COLUMNS($B$60:Q60)-1) / 12)</f>
        <v>0</v>
      </c>
      <c r="R60" s="81">
        <f>R22 * (Inputs!$B$41 / 12) * (1 + Inputs!$B$44)^INT((COLUMNS($B$60:R60)-1) / 12)</f>
        <v>0</v>
      </c>
      <c r="S60" s="81">
        <f>S22 * (Inputs!$B$41 / 12) * (1 + Inputs!$B$44)^INT((COLUMNS($B$60:S60)-1) / 12)</f>
        <v>0</v>
      </c>
      <c r="T60" s="81">
        <f>T22 * (Inputs!$B$41 / 12) * (1 + Inputs!$B$44)^INT((COLUMNS($B$60:T60)-1) / 12)</f>
        <v>0</v>
      </c>
      <c r="U60" s="81">
        <f>U22 * (Inputs!$B$41 / 12) * (1 + Inputs!$B$44)^INT((COLUMNS($B$60:U60)-1) / 12)</f>
        <v>0</v>
      </c>
      <c r="V60" s="81">
        <f>V22 * (Inputs!$B$41 / 12) * (1 + Inputs!$B$44)^INT((COLUMNS($B$60:V60)-1) / 12)</f>
        <v>0</v>
      </c>
      <c r="W60" s="81">
        <f>W22 * (Inputs!$B$41 / 12) * (1 + Inputs!$B$44)^INT((COLUMNS($B$60:W60)-1) / 12)</f>
        <v>0</v>
      </c>
      <c r="X60" s="81">
        <f>X22 * (Inputs!$B$41 / 12) * (1 + Inputs!$B$44)^INT((COLUMNS($B$60:X60)-1) / 12)</f>
        <v>0</v>
      </c>
      <c r="Y60" s="81">
        <f>Y22 * (Inputs!$B$41 / 12) * (1 + Inputs!$B$44)^INT((COLUMNS($B$60:Y60)-1) / 12)</f>
        <v>5687.5</v>
      </c>
      <c r="Z60" s="81">
        <f>Z22 * (Inputs!$B$41 / 12) * (1 + Inputs!$B$44)^INT((COLUMNS($B$60:Z60)-1) / 12)</f>
        <v>5971.875</v>
      </c>
      <c r="AA60" s="81">
        <f>AA22 * (Inputs!$B$41 / 12) * (1 + Inputs!$B$44)^INT((COLUMNS($B$60:AA60)-1) / 12)</f>
        <v>5971.875</v>
      </c>
      <c r="AB60" s="81">
        <f>AB22 * (Inputs!$B$41 / 12) * (1 + Inputs!$B$44)^INT((COLUMNS($B$60:AB60)-1) / 12)</f>
        <v>5971.875</v>
      </c>
      <c r="AC60" s="81">
        <f>AC22 * (Inputs!$B$41 / 12) * (1 + Inputs!$B$44)^INT((COLUMNS($B$60:AC60)-1) / 12)</f>
        <v>5971.875</v>
      </c>
      <c r="AD60" s="81">
        <f>AD22 * (Inputs!$B$41 / 12) * (1 + Inputs!$B$44)^INT((COLUMNS($B$60:AD60)-1) / 12)</f>
        <v>5971.875</v>
      </c>
      <c r="AE60" s="81">
        <f>AE22 * (Inputs!$B$41 / 12) * (1 + Inputs!$B$44)^INT((COLUMNS($B$60:AE60)-1) / 12)</f>
        <v>5971.875</v>
      </c>
      <c r="AF60" s="81">
        <f>AF22 * (Inputs!$B$41 / 12) * (1 + Inputs!$B$44)^INT((COLUMNS($B$60:AF60)-1) / 12)</f>
        <v>5971.875</v>
      </c>
      <c r="AG60" s="81">
        <f>AG22 * (Inputs!$B$41 / 12) * (1 + Inputs!$B$44)^INT((COLUMNS($B$60:AG60)-1) / 12)</f>
        <v>5971.875</v>
      </c>
      <c r="AH60" s="81">
        <f>AH22 * (Inputs!$B$41 / 12) * (1 + Inputs!$B$44)^INT((COLUMNS($B$60:AH60)-1) / 12)</f>
        <v>5971.875</v>
      </c>
      <c r="AI60" s="81">
        <f>AI22 * (Inputs!$B$41 / 12) * (1 + Inputs!$B$44)^INT((COLUMNS($B$60:AI60)-1) / 12)</f>
        <v>5971.875</v>
      </c>
      <c r="AJ60" s="81">
        <f>AJ22 * (Inputs!$B$41 / 12) * (1 + Inputs!$B$44)^INT((COLUMNS($B$60:AJ60)-1) / 12)</f>
        <v>5971.875</v>
      </c>
      <c r="AK60" s="81">
        <f>AK22 * (Inputs!$B$41 / 12) * (1 + Inputs!$B$44)^INT((COLUMNS($B$60:AK60)-1) / 12)</f>
        <v>5971.875</v>
      </c>
      <c r="AL60" s="81">
        <f>AL22 * (Inputs!$B$41 / 12) * (1 + Inputs!$B$44)^INT((COLUMNS($B$60:AL60)-1) / 12)</f>
        <v>6270.46875</v>
      </c>
      <c r="AM60" s="81">
        <f>AM22 * (Inputs!$B$41 / 12) * (1 + Inputs!$B$44)^INT((COLUMNS($B$60:AM60)-1) / 12)</f>
        <v>6270.46875</v>
      </c>
      <c r="AN60" s="81">
        <f>AN22 * (Inputs!$B$41 / 12) * (1 + Inputs!$B$44)^INT((COLUMNS($B$60:AN60)-1) / 12)</f>
        <v>6270.46875</v>
      </c>
      <c r="AO60" s="81">
        <f>AO22 * (Inputs!$B$41 / 12) * (1 + Inputs!$B$44)^INT((COLUMNS($B$60:AO60)-1) / 12)</f>
        <v>6270.46875</v>
      </c>
      <c r="AP60" s="81">
        <f>AP22 * (Inputs!$B$41 / 12) * (1 + Inputs!$B$44)^INT((COLUMNS($B$60:AP60)-1) / 12)</f>
        <v>6270.46875</v>
      </c>
      <c r="AQ60" s="81">
        <f>AQ22 * (Inputs!$B$41 / 12) * (1 + Inputs!$B$44)^INT((COLUMNS($B$60:AQ60)-1) / 12)</f>
        <v>6270.46875</v>
      </c>
      <c r="AR60" s="81">
        <f>AR22 * (Inputs!$B$41 / 12) * (1 + Inputs!$B$44)^INT((COLUMNS($B$60:AR60)-1) / 12)</f>
        <v>6270.46875</v>
      </c>
      <c r="AS60" s="81">
        <f>AS22 * (Inputs!$B$41 / 12) * (1 + Inputs!$B$44)^INT((COLUMNS($B$60:AS60)-1) / 12)</f>
        <v>6270.46875</v>
      </c>
      <c r="AT60" s="81">
        <f>AT22 * (Inputs!$B$41 / 12) * (1 + Inputs!$B$44)^INT((COLUMNS($B$60:AT60)-1) / 12)</f>
        <v>6270.46875</v>
      </c>
      <c r="AU60" s="81">
        <f>AU22 * (Inputs!$B$41 / 12) * (1 + Inputs!$B$44)^INT((COLUMNS($B$60:AU60)-1) / 12)</f>
        <v>6270.46875</v>
      </c>
      <c r="AV60" s="81">
        <f>AV22 * (Inputs!$B$41 / 12) * (1 + Inputs!$B$44)^INT((COLUMNS($B$60:AV60)-1) / 12)</f>
        <v>6270.46875</v>
      </c>
      <c r="AW60" s="81">
        <f>AW22 * (Inputs!$B$41 / 12) * (1 + Inputs!$B$44)^INT((COLUMNS($B$60:AW60)-1) / 12)</f>
        <v>6270.46875</v>
      </c>
      <c r="AX60" s="81">
        <f>AX22 * (Inputs!$B$41 / 12) * (1 + Inputs!$B$44)^INT((COLUMNS($B$60:AX60)-1) / 12)</f>
        <v>6583.992188</v>
      </c>
      <c r="AY60" s="81">
        <f>AY22 * (Inputs!$B$41 / 12) * (1 + Inputs!$B$44)^INT((COLUMNS($B$60:AY60)-1) / 12)</f>
        <v>6583.992188</v>
      </c>
      <c r="AZ60" s="81">
        <f>AZ22 * (Inputs!$B$41 / 12) * (1 + Inputs!$B$44)^INT((COLUMNS($B$60:AZ60)-1) / 12)</f>
        <v>6583.992188</v>
      </c>
      <c r="BA60" s="81">
        <f>BA22 * (Inputs!$B$41 / 12) * (1 + Inputs!$B$44)^INT((COLUMNS($B$60:BA60)-1) / 12)</f>
        <v>6583.992188</v>
      </c>
    </row>
    <row r="61" ht="14.25" customHeight="1">
      <c r="A61" s="3" t="s">
        <v>530</v>
      </c>
      <c r="B61" s="81">
        <f>B23 * (Inputs!$B$40 / 12) * (1 + Inputs!$B$44)^INT((COLUMNS($B$61:B61)-1) / 12)</f>
        <v>0</v>
      </c>
      <c r="C61" s="81">
        <f>C23 * (Inputs!$B$40 / 12) * (1 + Inputs!$B$44)^INT((COLUMNS($B$61:C61)-1) / 12)</f>
        <v>0</v>
      </c>
      <c r="D61" s="81">
        <f>D23 * (Inputs!$B$40 / 12) * (1 + Inputs!$B$44)^INT((COLUMNS($B$61:D61)-1) / 12)</f>
        <v>0</v>
      </c>
      <c r="E61" s="81">
        <f>E23 * (Inputs!$B$40 / 12) * (1 + Inputs!$B$44)^INT((COLUMNS($B$61:E61)-1) / 12)</f>
        <v>0</v>
      </c>
      <c r="F61" s="81">
        <f>F23 * (Inputs!$B$40 / 12) * (1 + Inputs!$B$44)^INT((COLUMNS($B$61:F61)-1) / 12)</f>
        <v>0</v>
      </c>
      <c r="G61" s="81">
        <f>G23 * (Inputs!$B$40 / 12) * (1 + Inputs!$B$44)^INT((COLUMNS($B$61:G61)-1) / 12)</f>
        <v>0</v>
      </c>
      <c r="H61" s="81">
        <f>H23 * (Inputs!$B$40 / 12) * (1 + Inputs!$B$44)^INT((COLUMNS($B$61:H61)-1) / 12)</f>
        <v>0</v>
      </c>
      <c r="I61" s="81">
        <f>I23 * (Inputs!$B$40 / 12) * (1 + Inputs!$B$44)^INT((COLUMNS($B$61:I61)-1) / 12)</f>
        <v>0</v>
      </c>
      <c r="J61" s="81">
        <f>J23 * (Inputs!$B$40 / 12) * (1 + Inputs!$B$44)^INT((COLUMNS($B$61:J61)-1) / 12)</f>
        <v>0</v>
      </c>
      <c r="K61" s="81">
        <f>K23 * (Inputs!$B$40 / 12) * (1 + Inputs!$B$44)^INT((COLUMNS($B$61:K61)-1) / 12)</f>
        <v>0</v>
      </c>
      <c r="L61" s="81">
        <f>L23 * (Inputs!$B$40 / 12) * (1 + Inputs!$B$44)^INT((COLUMNS($B$61:L61)-1) / 12)</f>
        <v>0</v>
      </c>
      <c r="M61" s="81">
        <f>M23 * (Inputs!$B$40 / 12) * (1 + Inputs!$B$44)^INT((COLUMNS($B$61:M61)-1) / 12)</f>
        <v>0</v>
      </c>
      <c r="N61" s="81">
        <f>N23 * (Inputs!$B$40 / 12) * (1 + Inputs!$B$44)^INT((COLUMNS($B$61:N61)-1) / 12)</f>
        <v>0</v>
      </c>
      <c r="O61" s="81">
        <f>O23 * (Inputs!$B$40 / 12) * (1 + Inputs!$B$44)^INT((COLUMNS($B$61:O61)-1) / 12)</f>
        <v>0</v>
      </c>
      <c r="P61" s="81">
        <f>P23 * (Inputs!$B$40 / 12) * (1 + Inputs!$B$44)^INT((COLUMNS($B$61:P61)-1) / 12)</f>
        <v>0</v>
      </c>
      <c r="Q61" s="81">
        <f>Q23 * (Inputs!$B$40 / 12) * (1 + Inputs!$B$44)^INT((COLUMNS($B$61:Q61)-1) / 12)</f>
        <v>0</v>
      </c>
      <c r="R61" s="81">
        <f>R23 * (Inputs!$B$40 / 12) * (1 + Inputs!$B$44)^INT((COLUMNS($B$61:R61)-1) / 12)</f>
        <v>0</v>
      </c>
      <c r="S61" s="81">
        <f>S23 * (Inputs!$B$40 / 12) * (1 + Inputs!$B$44)^INT((COLUMNS($B$61:S61)-1) / 12)</f>
        <v>0</v>
      </c>
      <c r="T61" s="81">
        <f>T23 * (Inputs!$B$40 / 12) * (1 + Inputs!$B$44)^INT((COLUMNS($B$61:T61)-1) / 12)</f>
        <v>0</v>
      </c>
      <c r="U61" s="81">
        <f>U23 * (Inputs!$B$40 / 12) * (1 + Inputs!$B$44)^INT((COLUMNS($B$61:U61)-1) / 12)</f>
        <v>0</v>
      </c>
      <c r="V61" s="81">
        <f>V23 * (Inputs!$B$40 / 12) * (1 + Inputs!$B$44)^INT((COLUMNS($B$61:V61)-1) / 12)</f>
        <v>0</v>
      </c>
      <c r="W61" s="81">
        <f>W23 * (Inputs!$B$40 / 12) * (1 + Inputs!$B$44)^INT((COLUMNS($B$61:W61)-1) / 12)</f>
        <v>0</v>
      </c>
      <c r="X61" s="81">
        <f>X23 * (Inputs!$B$40 / 12) * (1 + Inputs!$B$44)^INT((COLUMNS($B$61:X61)-1) / 12)</f>
        <v>0</v>
      </c>
      <c r="Y61" s="81">
        <f>Y23 * (Inputs!$B$40 / 12) * (1 + Inputs!$B$44)^INT((COLUMNS($B$61:Y61)-1) / 12)</f>
        <v>0</v>
      </c>
      <c r="Z61" s="81">
        <f>Z23 * (Inputs!$B$40 / 12) * (1 + Inputs!$B$44)^INT((COLUMNS($B$61:Z61)-1) / 12)</f>
        <v>0</v>
      </c>
      <c r="AA61" s="81">
        <f>AA23 * (Inputs!$B$40 / 12) * (1 + Inputs!$B$44)^INT((COLUMNS($B$61:AA61)-1) / 12)</f>
        <v>0</v>
      </c>
      <c r="AB61" s="81">
        <f>AB23 * (Inputs!$B$40 / 12) * (1 + Inputs!$B$44)^INT((COLUMNS($B$61:AB61)-1) / 12)</f>
        <v>0</v>
      </c>
      <c r="AC61" s="81">
        <f>AC23 * (Inputs!$B$40 / 12) * (1 + Inputs!$B$44)^INT((COLUMNS($B$61:AC61)-1) / 12)</f>
        <v>5971.875</v>
      </c>
      <c r="AD61" s="81">
        <f>AD23 * (Inputs!$B$40 / 12) * (1 + Inputs!$B$44)^INT((COLUMNS($B$61:AD61)-1) / 12)</f>
        <v>5971.875</v>
      </c>
      <c r="AE61" s="81">
        <f>AE23 * (Inputs!$B$40 / 12) * (1 + Inputs!$B$44)^INT((COLUMNS($B$61:AE61)-1) / 12)</f>
        <v>5971.875</v>
      </c>
      <c r="AF61" s="81">
        <f>AF23 * (Inputs!$B$40 / 12) * (1 + Inputs!$B$44)^INT((COLUMNS($B$61:AF61)-1) / 12)</f>
        <v>5971.875</v>
      </c>
      <c r="AG61" s="81">
        <f>AG23 * (Inputs!$B$40 / 12) * (1 + Inputs!$B$44)^INT((COLUMNS($B$61:AG61)-1) / 12)</f>
        <v>5971.875</v>
      </c>
      <c r="AH61" s="81">
        <f>AH23 * (Inputs!$B$40 / 12) * (1 + Inputs!$B$44)^INT((COLUMNS($B$61:AH61)-1) / 12)</f>
        <v>5971.875</v>
      </c>
      <c r="AI61" s="81">
        <f>AI23 * (Inputs!$B$40 / 12) * (1 + Inputs!$B$44)^INT((COLUMNS($B$61:AI61)-1) / 12)</f>
        <v>5971.875</v>
      </c>
      <c r="AJ61" s="81">
        <f>AJ23 * (Inputs!$B$40 / 12) * (1 + Inputs!$B$44)^INT((COLUMNS($B$61:AJ61)-1) / 12)</f>
        <v>5971.875</v>
      </c>
      <c r="AK61" s="81">
        <f>AK23 * (Inputs!$B$40 / 12) * (1 + Inputs!$B$44)^INT((COLUMNS($B$61:AK61)-1) / 12)</f>
        <v>5971.875</v>
      </c>
      <c r="AL61" s="81">
        <f>AL23 * (Inputs!$B$40 / 12) * (1 + Inputs!$B$44)^INT((COLUMNS($B$61:AL61)-1) / 12)</f>
        <v>6270.46875</v>
      </c>
      <c r="AM61" s="81">
        <f>AM23 * (Inputs!$B$40 / 12) * (1 + Inputs!$B$44)^INT((COLUMNS($B$61:AM61)-1) / 12)</f>
        <v>6270.46875</v>
      </c>
      <c r="AN61" s="81">
        <f>AN23 * (Inputs!$B$40 / 12) * (1 + Inputs!$B$44)^INT((COLUMNS($B$61:AN61)-1) / 12)</f>
        <v>6270.46875</v>
      </c>
      <c r="AO61" s="81">
        <f>AO23 * (Inputs!$B$40 / 12) * (1 + Inputs!$B$44)^INT((COLUMNS($B$61:AO61)-1) / 12)</f>
        <v>6270.46875</v>
      </c>
      <c r="AP61" s="81">
        <f>AP23 * (Inputs!$B$40 / 12) * (1 + Inputs!$B$44)^INT((COLUMNS($B$61:AP61)-1) / 12)</f>
        <v>6270.46875</v>
      </c>
      <c r="AQ61" s="81">
        <f>AQ23 * (Inputs!$B$40 / 12) * (1 + Inputs!$B$44)^INT((COLUMNS($B$61:AQ61)-1) / 12)</f>
        <v>6270.46875</v>
      </c>
      <c r="AR61" s="81">
        <f>AR23 * (Inputs!$B$40 / 12) * (1 + Inputs!$B$44)^INT((COLUMNS($B$61:AR61)-1) / 12)</f>
        <v>6270.46875</v>
      </c>
      <c r="AS61" s="81">
        <f>AS23 * (Inputs!$B$40 / 12) * (1 + Inputs!$B$44)^INT((COLUMNS($B$61:AS61)-1) / 12)</f>
        <v>6270.46875</v>
      </c>
      <c r="AT61" s="81">
        <f>AT23 * (Inputs!$B$40 / 12) * (1 + Inputs!$B$44)^INT((COLUMNS($B$61:AT61)-1) / 12)</f>
        <v>6270.46875</v>
      </c>
      <c r="AU61" s="81">
        <f>AU23 * (Inputs!$B$40 / 12) * (1 + Inputs!$B$44)^INT((COLUMNS($B$61:AU61)-1) / 12)</f>
        <v>6270.46875</v>
      </c>
      <c r="AV61" s="81">
        <f>AV23 * (Inputs!$B$40 / 12) * (1 + Inputs!$B$44)^INT((COLUMNS($B$61:AV61)-1) / 12)</f>
        <v>6270.46875</v>
      </c>
      <c r="AW61" s="81">
        <f>AW23 * (Inputs!$B$40 / 12) * (1 + Inputs!$B$44)^INT((COLUMNS($B$61:AW61)-1) / 12)</f>
        <v>6270.46875</v>
      </c>
      <c r="AX61" s="81">
        <f>AX23 * (Inputs!$B$40 / 12) * (1 + Inputs!$B$44)^INT((COLUMNS($B$61:AX61)-1) / 12)</f>
        <v>6583.992188</v>
      </c>
      <c r="AY61" s="81">
        <f>AY23 * (Inputs!$B$40 / 12) * (1 + Inputs!$B$44)^INT((COLUMNS($B$61:AY61)-1) / 12)</f>
        <v>6583.992188</v>
      </c>
      <c r="AZ61" s="81">
        <f>AZ23 * (Inputs!$B$40 / 12) * (1 + Inputs!$B$44)^INT((COLUMNS($B$61:AZ61)-1) / 12)</f>
        <v>6583.992188</v>
      </c>
      <c r="BA61" s="81">
        <f>BA23 * (Inputs!$B$40 / 12) * (1 + Inputs!$B$44)^INT((COLUMNS($B$61:BA61)-1) / 12)</f>
        <v>6583.992188</v>
      </c>
    </row>
    <row r="62" ht="14.25" customHeight="1">
      <c r="A62" s="3" t="s">
        <v>531</v>
      </c>
      <c r="B62" s="81">
        <f>B24 * (Inputs!$B$35 / 12) * (1 + Inputs!$B$44)^INT((COLUMNS($B$62:B62)-1) / 12)</f>
        <v>0</v>
      </c>
      <c r="C62" s="81">
        <f>C24 * (Inputs!$B$35 / 12) * (1 + Inputs!$B$44)^INT((COLUMNS($B$62:C62)-1) / 12)</f>
        <v>0</v>
      </c>
      <c r="D62" s="81">
        <f>D24 * (Inputs!$B$35 / 12) * (1 + Inputs!$B$44)^INT((COLUMNS($B$62:D62)-1) / 12)</f>
        <v>0</v>
      </c>
      <c r="E62" s="81">
        <f>E24 * (Inputs!$B$35 / 12) * (1 + Inputs!$B$44)^INT((COLUMNS($B$62:E62)-1) / 12)</f>
        <v>0</v>
      </c>
      <c r="F62" s="81">
        <f>F24 * (Inputs!$B$35 / 12) * (1 + Inputs!$B$44)^INT((COLUMNS($B$62:F62)-1) / 12)</f>
        <v>0</v>
      </c>
      <c r="G62" s="81">
        <f>G24 * (Inputs!$B$35 / 12) * (1 + Inputs!$B$44)^INT((COLUMNS($B$62:G62)-1) / 12)</f>
        <v>0</v>
      </c>
      <c r="H62" s="81">
        <f>H24 * (Inputs!$B$35 / 12) * (1 + Inputs!$B$44)^INT((COLUMNS($B$62:H62)-1) / 12)</f>
        <v>0</v>
      </c>
      <c r="I62" s="81">
        <f>I24 * (Inputs!$B$35 / 12) * (1 + Inputs!$B$44)^INT((COLUMNS($B$62:I62)-1) / 12)</f>
        <v>0</v>
      </c>
      <c r="J62" s="81">
        <f>J24 * (Inputs!$B$35 / 12) * (1 + Inputs!$B$44)^INT((COLUMNS($B$62:J62)-1) / 12)</f>
        <v>0</v>
      </c>
      <c r="K62" s="81">
        <f>K24 * (Inputs!$B$35 / 12) * (1 + Inputs!$B$44)^INT((COLUMNS($B$62:K62)-1) / 12)</f>
        <v>0</v>
      </c>
      <c r="L62" s="81">
        <f>L24 * (Inputs!$B$35 / 12) * (1 + Inputs!$B$44)^INT((COLUMNS($B$62:L62)-1) / 12)</f>
        <v>0</v>
      </c>
      <c r="M62" s="81">
        <f>M24 * (Inputs!$B$35 / 12) * (1 + Inputs!$B$44)^INT((COLUMNS($B$62:M62)-1) / 12)</f>
        <v>0</v>
      </c>
      <c r="N62" s="81">
        <f>N24 * (Inputs!$B$35 / 12) * (1 + Inputs!$B$44)^INT((COLUMNS($B$62:N62)-1) / 12)</f>
        <v>0</v>
      </c>
      <c r="O62" s="81">
        <f>O24 * (Inputs!$B$35 / 12) * (1 + Inputs!$B$44)^INT((COLUMNS($B$62:O62)-1) / 12)</f>
        <v>0</v>
      </c>
      <c r="P62" s="81">
        <f>P24 * (Inputs!$B$35 / 12) * (1 + Inputs!$B$44)^INT((COLUMNS($B$62:P62)-1) / 12)</f>
        <v>0</v>
      </c>
      <c r="Q62" s="81">
        <f>Q24 * (Inputs!$B$35 / 12) * (1 + Inputs!$B$44)^INT((COLUMNS($B$62:Q62)-1) / 12)</f>
        <v>0</v>
      </c>
      <c r="R62" s="81">
        <f>R24 * (Inputs!$B$35 / 12) * (1 + Inputs!$B$44)^INT((COLUMNS($B$62:R62)-1) / 12)</f>
        <v>0</v>
      </c>
      <c r="S62" s="81">
        <f>S24 * (Inputs!$B$35 / 12) * (1 + Inputs!$B$44)^INT((COLUMNS($B$62:S62)-1) / 12)</f>
        <v>0</v>
      </c>
      <c r="T62" s="81">
        <f>T24 * (Inputs!$B$35 / 12) * (1 + Inputs!$B$44)^INT((COLUMNS($B$62:T62)-1) / 12)</f>
        <v>0</v>
      </c>
      <c r="U62" s="81">
        <f>U24 * (Inputs!$B$35 / 12) * (1 + Inputs!$B$44)^INT((COLUMNS($B$62:U62)-1) / 12)</f>
        <v>0</v>
      </c>
      <c r="V62" s="81">
        <f>V24 * (Inputs!$B$35 / 12) * (1 + Inputs!$B$44)^INT((COLUMNS($B$62:V62)-1) / 12)</f>
        <v>0</v>
      </c>
      <c r="W62" s="81">
        <f>W24 * (Inputs!$B$35 / 12) * (1 + Inputs!$B$44)^INT((COLUMNS($B$62:W62)-1) / 12)</f>
        <v>0</v>
      </c>
      <c r="X62" s="81">
        <f>X24 * (Inputs!$B$35 / 12) * (1 + Inputs!$B$44)^INT((COLUMNS($B$62:X62)-1) / 12)</f>
        <v>0</v>
      </c>
      <c r="Y62" s="81">
        <f>Y24 * (Inputs!$B$35 / 12) * (1 + Inputs!$B$44)^INT((COLUMNS($B$62:Y62)-1) / 12)</f>
        <v>0</v>
      </c>
      <c r="Z62" s="81">
        <f>Z24 * (Inputs!$B$35 / 12) * (1 + Inputs!$B$44)^INT((COLUMNS($B$62:Z62)-1) / 12)</f>
        <v>0</v>
      </c>
      <c r="AA62" s="81">
        <f>AA24 * (Inputs!$B$35 / 12) * (1 + Inputs!$B$44)^INT((COLUMNS($B$62:AA62)-1) / 12)</f>
        <v>0</v>
      </c>
      <c r="AB62" s="81">
        <f>AB24 * (Inputs!$B$35 / 12) * (1 + Inputs!$B$44)^INT((COLUMNS($B$62:AB62)-1) / 12)</f>
        <v>0</v>
      </c>
      <c r="AC62" s="81">
        <f>AC24 * (Inputs!$B$35 / 12) * (1 + Inputs!$B$44)^INT((COLUMNS($B$62:AC62)-1) / 12)</f>
        <v>0</v>
      </c>
      <c r="AD62" s="81">
        <f>AD24 * (Inputs!$B$35 / 12) * (1 + Inputs!$B$44)^INT((COLUMNS($B$62:AD62)-1) / 12)</f>
        <v>0</v>
      </c>
      <c r="AE62" s="81">
        <f>AE24 * (Inputs!$B$35 / 12) * (1 + Inputs!$B$44)^INT((COLUMNS($B$62:AE62)-1) / 12)</f>
        <v>0</v>
      </c>
      <c r="AF62" s="81">
        <f>AF24 * (Inputs!$B$35 / 12) * (1 + Inputs!$B$44)^INT((COLUMNS($B$62:AF62)-1) / 12)</f>
        <v>0</v>
      </c>
      <c r="AG62" s="81">
        <f>AG24 * (Inputs!$B$35 / 12) * (1 + Inputs!$B$44)^INT((COLUMNS($B$62:AG62)-1) / 12)</f>
        <v>0</v>
      </c>
      <c r="AH62" s="81">
        <f>AH24 * (Inputs!$B$35 / 12) * (1 + Inputs!$B$44)^INT((COLUMNS($B$62:AH62)-1) / 12)</f>
        <v>0</v>
      </c>
      <c r="AI62" s="81">
        <f>AI24 * (Inputs!$B$35 / 12) * (1 + Inputs!$B$44)^INT((COLUMNS($B$62:AI62)-1) / 12)</f>
        <v>0</v>
      </c>
      <c r="AJ62" s="81">
        <f>AJ24 * (Inputs!$B$35 / 12) * (1 + Inputs!$B$44)^INT((COLUMNS($B$62:AJ62)-1) / 12)</f>
        <v>0</v>
      </c>
      <c r="AK62" s="81">
        <f>AK24 * (Inputs!$B$35 / 12) * (1 + Inputs!$B$44)^INT((COLUMNS($B$62:AK62)-1) / 12)</f>
        <v>0</v>
      </c>
      <c r="AL62" s="81">
        <f>AL24 * (Inputs!$B$35 / 12) * (1 + Inputs!$B$44)^INT((COLUMNS($B$62:AL62)-1) / 12)</f>
        <v>0</v>
      </c>
      <c r="AM62" s="81">
        <f>AM24 * (Inputs!$B$35 / 12) * (1 + Inputs!$B$44)^INT((COLUMNS($B$62:AM62)-1) / 12)</f>
        <v>0</v>
      </c>
      <c r="AN62" s="81">
        <f>AN24 * (Inputs!$B$35 / 12) * (1 + Inputs!$B$44)^INT((COLUMNS($B$62:AN62)-1) / 12)</f>
        <v>0</v>
      </c>
      <c r="AO62" s="81">
        <f>AO24 * (Inputs!$B$35 / 12) * (1 + Inputs!$B$44)^INT((COLUMNS($B$62:AO62)-1) / 12)</f>
        <v>0</v>
      </c>
      <c r="AP62" s="81">
        <f>AP24 * (Inputs!$B$35 / 12) * (1 + Inputs!$B$44)^INT((COLUMNS($B$62:AP62)-1) / 12)</f>
        <v>0</v>
      </c>
      <c r="AQ62" s="81">
        <f>AQ24 * (Inputs!$B$35 / 12) * (1 + Inputs!$B$44)^INT((COLUMNS($B$62:AQ62)-1) / 12)</f>
        <v>0</v>
      </c>
      <c r="AR62" s="81">
        <f>AR24 * (Inputs!$B$35 / 12) * (1 + Inputs!$B$44)^INT((COLUMNS($B$62:AR62)-1) / 12)</f>
        <v>0</v>
      </c>
      <c r="AS62" s="81">
        <f>AS24 * (Inputs!$B$35 / 12) * (1 + Inputs!$B$44)^INT((COLUMNS($B$62:AS62)-1) / 12)</f>
        <v>0</v>
      </c>
      <c r="AT62" s="81">
        <f>AT24 * (Inputs!$B$35 / 12) * (1 + Inputs!$B$44)^INT((COLUMNS($B$62:AT62)-1) / 12)</f>
        <v>0</v>
      </c>
      <c r="AU62" s="81">
        <f>AU24 * (Inputs!$B$35 / 12) * (1 + Inputs!$B$44)^INT((COLUMNS($B$62:AU62)-1) / 12)</f>
        <v>0</v>
      </c>
      <c r="AV62" s="81">
        <f>AV24 * (Inputs!$B$35 / 12) * (1 + Inputs!$B$44)^INT((COLUMNS($B$62:AV62)-1) / 12)</f>
        <v>0</v>
      </c>
      <c r="AW62" s="81">
        <f>AW24 * (Inputs!$B$35 / 12) * (1 + Inputs!$B$44)^INT((COLUMNS($B$62:AW62)-1) / 12)</f>
        <v>0</v>
      </c>
      <c r="AX62" s="81">
        <f>AX24 * (Inputs!$B$35 / 12) * (1 + Inputs!$B$44)^INT((COLUMNS($B$62:AX62)-1) / 12)</f>
        <v>0</v>
      </c>
      <c r="AY62" s="81">
        <f>AY24 * (Inputs!$B$35 / 12) * (1 + Inputs!$B$44)^INT((COLUMNS($B$62:AY62)-1) / 12)</f>
        <v>0</v>
      </c>
      <c r="AZ62" s="81">
        <f>AZ24 * (Inputs!$B$35 / 12) * (1 + Inputs!$B$44)^INT((COLUMNS($B$62:AZ62)-1) / 12)</f>
        <v>0</v>
      </c>
      <c r="BA62" s="81">
        <f>BA24 * (Inputs!$B$35 / 12) * (1 + Inputs!$B$44)^INT((COLUMNS($B$62:BA62)-1) / 12)</f>
        <v>0</v>
      </c>
    </row>
    <row r="63" ht="14.25" customHeight="1">
      <c r="A63" s="3" t="s">
        <v>532</v>
      </c>
      <c r="B63" s="81">
        <f>B25 * (Inputs!$B$36 / 12) * (1 + Inputs!$B$44)^INT((COLUMNS($B$63:B63)-1) / 12)</f>
        <v>0</v>
      </c>
      <c r="C63" s="81">
        <f>C25 * (Inputs!$B$36 / 12) * (1 + Inputs!$B$44)^INT((COLUMNS($B$63:C63)-1) / 12)</f>
        <v>0</v>
      </c>
      <c r="D63" s="81">
        <f>D25 * (Inputs!$B$36 / 12) * (1 + Inputs!$B$44)^INT((COLUMNS($B$63:D63)-1) / 12)</f>
        <v>0</v>
      </c>
      <c r="E63" s="81">
        <f>E25 * (Inputs!$B$36 / 12) * (1 + Inputs!$B$44)^INT((COLUMNS($B$63:E63)-1) / 12)</f>
        <v>0</v>
      </c>
      <c r="F63" s="81">
        <f>F25 * (Inputs!$B$36 / 12) * (1 + Inputs!$B$44)^INT((COLUMNS($B$63:F63)-1) / 12)</f>
        <v>0</v>
      </c>
      <c r="G63" s="81">
        <f>G25 * (Inputs!$B$36 / 12) * (1 + Inputs!$B$44)^INT((COLUMNS($B$63:G63)-1) / 12)</f>
        <v>0</v>
      </c>
      <c r="H63" s="81">
        <f>H25 * (Inputs!$B$36 / 12) * (1 + Inputs!$B$44)^INT((COLUMNS($B$63:H63)-1) / 12)</f>
        <v>0</v>
      </c>
      <c r="I63" s="81">
        <f>I25 * (Inputs!$B$36 / 12) * (1 + Inputs!$B$44)^INT((COLUMNS($B$63:I63)-1) / 12)</f>
        <v>0</v>
      </c>
      <c r="J63" s="81">
        <f>J25 * (Inputs!$B$36 / 12) * (1 + Inputs!$B$44)^INT((COLUMNS($B$63:J63)-1) / 12)</f>
        <v>0</v>
      </c>
      <c r="K63" s="81">
        <f>K25 * (Inputs!$B$36 / 12) * (1 + Inputs!$B$44)^INT((COLUMNS($B$63:K63)-1) / 12)</f>
        <v>0</v>
      </c>
      <c r="L63" s="81">
        <f>L25 * (Inputs!$B$36 / 12) * (1 + Inputs!$B$44)^INT((COLUMNS($B$63:L63)-1) / 12)</f>
        <v>0</v>
      </c>
      <c r="M63" s="81">
        <f>M25 * (Inputs!$B$36 / 12) * (1 + Inputs!$B$44)^INT((COLUMNS($B$63:M63)-1) / 12)</f>
        <v>0</v>
      </c>
      <c r="N63" s="81">
        <f>N25 * (Inputs!$B$36 / 12) * (1 + Inputs!$B$44)^INT((COLUMNS($B$63:N63)-1) / 12)</f>
        <v>0</v>
      </c>
      <c r="O63" s="81">
        <f>O25 * (Inputs!$B$36 / 12) * (1 + Inputs!$B$44)^INT((COLUMNS($B$63:O63)-1) / 12)</f>
        <v>0</v>
      </c>
      <c r="P63" s="81">
        <f>P25 * (Inputs!$B$36 / 12) * (1 + Inputs!$B$44)^INT((COLUMNS($B$63:P63)-1) / 12)</f>
        <v>0</v>
      </c>
      <c r="Q63" s="81">
        <f>Q25 * (Inputs!$B$36 / 12) * (1 + Inputs!$B$44)^INT((COLUMNS($B$63:Q63)-1) / 12)</f>
        <v>0</v>
      </c>
      <c r="R63" s="81">
        <f>R25 * (Inputs!$B$36 / 12) * (1 + Inputs!$B$44)^INT((COLUMNS($B$63:R63)-1) / 12)</f>
        <v>0</v>
      </c>
      <c r="S63" s="81">
        <f>S25 * (Inputs!$B$36 / 12) * (1 + Inputs!$B$44)^INT((COLUMNS($B$63:S63)-1) / 12)</f>
        <v>0</v>
      </c>
      <c r="T63" s="81">
        <f>T25 * (Inputs!$B$36 / 12) * (1 + Inputs!$B$44)^INT((COLUMNS($B$63:T63)-1) / 12)</f>
        <v>0</v>
      </c>
      <c r="U63" s="81">
        <f>U25 * (Inputs!$B$36 / 12) * (1 + Inputs!$B$44)^INT((COLUMNS($B$63:U63)-1) / 12)</f>
        <v>0</v>
      </c>
      <c r="V63" s="81">
        <f>V25 * (Inputs!$B$36 / 12) * (1 + Inputs!$B$44)^INT((COLUMNS($B$63:V63)-1) / 12)</f>
        <v>0</v>
      </c>
      <c r="W63" s="81">
        <f>W25 * (Inputs!$B$36 / 12) * (1 + Inputs!$B$44)^INT((COLUMNS($B$63:W63)-1) / 12)</f>
        <v>0</v>
      </c>
      <c r="X63" s="81">
        <f>X25 * (Inputs!$B$36 / 12) * (1 + Inputs!$B$44)^INT((COLUMNS($B$63:X63)-1) / 12)</f>
        <v>0</v>
      </c>
      <c r="Y63" s="81">
        <f>Y25 * (Inputs!$B$36 / 12) * (1 + Inputs!$B$44)^INT((COLUMNS($B$63:Y63)-1) / 12)</f>
        <v>0</v>
      </c>
      <c r="Z63" s="81">
        <f>Z25 * (Inputs!$B$36 / 12) * (1 + Inputs!$B$44)^INT((COLUMNS($B$63:Z63)-1) / 12)</f>
        <v>0</v>
      </c>
      <c r="AA63" s="81">
        <f>AA25 * (Inputs!$B$36 / 12) * (1 + Inputs!$B$44)^INT((COLUMNS($B$63:AA63)-1) / 12)</f>
        <v>0</v>
      </c>
      <c r="AB63" s="81">
        <f>AB25 * (Inputs!$B$36 / 12) * (1 + Inputs!$B$44)^INT((COLUMNS($B$63:AB63)-1) / 12)</f>
        <v>0</v>
      </c>
      <c r="AC63" s="81">
        <f>AC25 * (Inputs!$B$36 / 12) * (1 + Inputs!$B$44)^INT((COLUMNS($B$63:AC63)-1) / 12)</f>
        <v>0</v>
      </c>
      <c r="AD63" s="81">
        <f>AD25 * (Inputs!$B$36 / 12) * (1 + Inputs!$B$44)^INT((COLUMNS($B$63:AD63)-1) / 12)</f>
        <v>0</v>
      </c>
      <c r="AE63" s="81">
        <f>AE25 * (Inputs!$B$36 / 12) * (1 + Inputs!$B$44)^INT((COLUMNS($B$63:AE63)-1) / 12)</f>
        <v>0</v>
      </c>
      <c r="AF63" s="81">
        <f>AF25 * (Inputs!$B$36 / 12) * (1 + Inputs!$B$44)^INT((COLUMNS($B$63:AF63)-1) / 12)</f>
        <v>0</v>
      </c>
      <c r="AG63" s="81">
        <f>AG25 * (Inputs!$B$36 / 12) * (1 + Inputs!$B$44)^INT((COLUMNS($B$63:AG63)-1) / 12)</f>
        <v>0</v>
      </c>
      <c r="AH63" s="81">
        <f>AH25 * (Inputs!$B$36 / 12) * (1 + Inputs!$B$44)^INT((COLUMNS($B$63:AH63)-1) / 12)</f>
        <v>0</v>
      </c>
      <c r="AI63" s="81">
        <f>AI25 * (Inputs!$B$36 / 12) * (1 + Inputs!$B$44)^INT((COLUMNS($B$63:AI63)-1) / 12)</f>
        <v>0</v>
      </c>
      <c r="AJ63" s="81">
        <f>AJ25 * (Inputs!$B$36 / 12) * (1 + Inputs!$B$44)^INT((COLUMNS($B$63:AJ63)-1) / 12)</f>
        <v>0</v>
      </c>
      <c r="AK63" s="81">
        <f>AK25 * (Inputs!$B$36 / 12) * (1 + Inputs!$B$44)^INT((COLUMNS($B$63:AK63)-1) / 12)</f>
        <v>0</v>
      </c>
      <c r="AL63" s="81">
        <f>AL25 * (Inputs!$B$36 / 12) * (1 + Inputs!$B$44)^INT((COLUMNS($B$63:AL63)-1) / 12)</f>
        <v>0</v>
      </c>
      <c r="AM63" s="81">
        <f>AM25 * (Inputs!$B$36 / 12) * (1 + Inputs!$B$44)^INT((COLUMNS($B$63:AM63)-1) / 12)</f>
        <v>0</v>
      </c>
      <c r="AN63" s="81">
        <f>AN25 * (Inputs!$B$36 / 12) * (1 + Inputs!$B$44)^INT((COLUMNS($B$63:AN63)-1) / 12)</f>
        <v>0</v>
      </c>
      <c r="AO63" s="81">
        <f>AO25 * (Inputs!$B$36 / 12) * (1 + Inputs!$B$44)^INT((COLUMNS($B$63:AO63)-1) / 12)</f>
        <v>0</v>
      </c>
      <c r="AP63" s="81">
        <f>AP25 * (Inputs!$B$36 / 12) * (1 + Inputs!$B$44)^INT((COLUMNS($B$63:AP63)-1) / 12)</f>
        <v>0</v>
      </c>
      <c r="AQ63" s="81">
        <f>AQ25 * (Inputs!$B$36 / 12) * (1 + Inputs!$B$44)^INT((COLUMNS($B$63:AQ63)-1) / 12)</f>
        <v>0</v>
      </c>
      <c r="AR63" s="81">
        <f>AR25 * (Inputs!$B$36 / 12) * (1 + Inputs!$B$44)^INT((COLUMNS($B$63:AR63)-1) / 12)</f>
        <v>0</v>
      </c>
      <c r="AS63" s="81">
        <f>AS25 * (Inputs!$B$36 / 12) * (1 + Inputs!$B$44)^INT((COLUMNS($B$63:AS63)-1) / 12)</f>
        <v>0</v>
      </c>
      <c r="AT63" s="81">
        <f>AT25 * (Inputs!$B$36 / 12) * (1 + Inputs!$B$44)^INT((COLUMNS($B$63:AT63)-1) / 12)</f>
        <v>0</v>
      </c>
      <c r="AU63" s="81">
        <f>AU25 * (Inputs!$B$36 / 12) * (1 + Inputs!$B$44)^INT((COLUMNS($B$63:AU63)-1) / 12)</f>
        <v>0</v>
      </c>
      <c r="AV63" s="81">
        <f>AV25 * (Inputs!$B$36 / 12) * (1 + Inputs!$B$44)^INT((COLUMNS($B$63:AV63)-1) / 12)</f>
        <v>0</v>
      </c>
      <c r="AW63" s="81">
        <f>AW25 * (Inputs!$B$36 / 12) * (1 + Inputs!$B$44)^INT((COLUMNS($B$63:AW63)-1) / 12)</f>
        <v>0</v>
      </c>
      <c r="AX63" s="81">
        <f>AX25 * (Inputs!$B$36 / 12) * (1 + Inputs!$B$44)^INT((COLUMNS($B$63:AX63)-1) / 12)</f>
        <v>0</v>
      </c>
      <c r="AY63" s="81">
        <f>AY25 * (Inputs!$B$36 / 12) * (1 + Inputs!$B$44)^INT((COLUMNS($B$63:AY63)-1) / 12)</f>
        <v>0</v>
      </c>
      <c r="AZ63" s="81">
        <f>AZ25 * (Inputs!$B$36 / 12) * (1 + Inputs!$B$44)^INT((COLUMNS($B$63:AZ63)-1) / 12)</f>
        <v>0</v>
      </c>
      <c r="BA63" s="81">
        <f>BA25 * (Inputs!$B$36 / 12) * (1 + Inputs!$B$44)^INT((COLUMNS($B$63:BA63)-1) / 12)</f>
        <v>0</v>
      </c>
    </row>
    <row r="64" ht="14.25" customHeight="1">
      <c r="A64" s="3" t="s">
        <v>533</v>
      </c>
      <c r="B64" s="81">
        <f>B26 * (Inputs!$B$37 / 12) * (1 + Inputs!$B$44)^INT((COLUMNS($B$64:B64)-1) / 12)</f>
        <v>0</v>
      </c>
      <c r="C64" s="81">
        <f>C26 * (Inputs!$B$37 / 12) * (1 + Inputs!$B$44)^INT((COLUMNS($B$64:C64)-1) / 12)</f>
        <v>0</v>
      </c>
      <c r="D64" s="81">
        <f>D26 * (Inputs!$B$37 / 12) * (1 + Inputs!$B$44)^INT((COLUMNS($B$64:D64)-1) / 12)</f>
        <v>0</v>
      </c>
      <c r="E64" s="81">
        <f>E26 * (Inputs!$B$37 / 12) * (1 + Inputs!$B$44)^INT((COLUMNS($B$64:E64)-1) / 12)</f>
        <v>0</v>
      </c>
      <c r="F64" s="81">
        <f>F26 * (Inputs!$B$37 / 12) * (1 + Inputs!$B$44)^INT((COLUMNS($B$64:F64)-1) / 12)</f>
        <v>0</v>
      </c>
      <c r="G64" s="81">
        <f>G26 * (Inputs!$B$37 / 12) * (1 + Inputs!$B$44)^INT((COLUMNS($B$64:G64)-1) / 12)</f>
        <v>0</v>
      </c>
      <c r="H64" s="81">
        <f>H26 * (Inputs!$B$37 / 12) * (1 + Inputs!$B$44)^INT((COLUMNS($B$64:H64)-1) / 12)</f>
        <v>0</v>
      </c>
      <c r="I64" s="81">
        <f>I26 * (Inputs!$B$37 / 12) * (1 + Inputs!$B$44)^INT((COLUMNS($B$64:I64)-1) / 12)</f>
        <v>0</v>
      </c>
      <c r="J64" s="81">
        <f>J26 * (Inputs!$B$37 / 12) * (1 + Inputs!$B$44)^INT((COLUMNS($B$64:J64)-1) / 12)</f>
        <v>0</v>
      </c>
      <c r="K64" s="81">
        <f>K26 * (Inputs!$B$37 / 12) * (1 + Inputs!$B$44)^INT((COLUMNS($B$64:K64)-1) / 12)</f>
        <v>0</v>
      </c>
      <c r="L64" s="81">
        <f>L26 * (Inputs!$B$37 / 12) * (1 + Inputs!$B$44)^INT((COLUMNS($B$64:L64)-1) / 12)</f>
        <v>0</v>
      </c>
      <c r="M64" s="81">
        <f>M26 * (Inputs!$B$37 / 12) * (1 + Inputs!$B$44)^INT((COLUMNS($B$64:M64)-1) / 12)</f>
        <v>0</v>
      </c>
      <c r="N64" s="81">
        <f>N26 * (Inputs!$B$37 / 12) * (1 + Inputs!$B$44)^INT((COLUMNS($B$64:N64)-1) / 12)</f>
        <v>0</v>
      </c>
      <c r="O64" s="81">
        <f>O26 * (Inputs!$B$37 / 12) * (1 + Inputs!$B$44)^INT((COLUMNS($B$64:O64)-1) / 12)</f>
        <v>0</v>
      </c>
      <c r="P64" s="81">
        <f>P26 * (Inputs!$B$37 / 12) * (1 + Inputs!$B$44)^INT((COLUMNS($B$64:P64)-1) / 12)</f>
        <v>0</v>
      </c>
      <c r="Q64" s="81">
        <f>Q26 * (Inputs!$B$37 / 12) * (1 + Inputs!$B$44)^INT((COLUMNS($B$64:Q64)-1) / 12)</f>
        <v>0</v>
      </c>
      <c r="R64" s="81">
        <f>R26 * (Inputs!$B$37 / 12) * (1 + Inputs!$B$44)^INT((COLUMNS($B$64:R64)-1) / 12)</f>
        <v>0</v>
      </c>
      <c r="S64" s="81">
        <f>S26 * (Inputs!$B$37 / 12) * (1 + Inputs!$B$44)^INT((COLUMNS($B$64:S64)-1) / 12)</f>
        <v>0</v>
      </c>
      <c r="T64" s="81">
        <f>T26 * (Inputs!$B$37 / 12) * (1 + Inputs!$B$44)^INT((COLUMNS($B$64:T64)-1) / 12)</f>
        <v>0</v>
      </c>
      <c r="U64" s="81">
        <f>U26 * (Inputs!$B$37 / 12) * (1 + Inputs!$B$44)^INT((COLUMNS($B$64:U64)-1) / 12)</f>
        <v>0</v>
      </c>
      <c r="V64" s="81">
        <f>V26 * (Inputs!$B$37 / 12) * (1 + Inputs!$B$44)^INT((COLUMNS($B$64:V64)-1) / 12)</f>
        <v>0</v>
      </c>
      <c r="W64" s="81">
        <f>W26 * (Inputs!$B$37 / 12) * (1 + Inputs!$B$44)^INT((COLUMNS($B$64:W64)-1) / 12)</f>
        <v>0</v>
      </c>
      <c r="X64" s="81">
        <f>X26 * (Inputs!$B$37 / 12) * (1 + Inputs!$B$44)^INT((COLUMNS($B$64:X64)-1) / 12)</f>
        <v>0</v>
      </c>
      <c r="Y64" s="81">
        <f>Y26 * (Inputs!$B$37 / 12) * (1 + Inputs!$B$44)^INT((COLUMNS($B$64:Y64)-1) / 12)</f>
        <v>0</v>
      </c>
      <c r="Z64" s="81">
        <f>Z26 * (Inputs!$B$37 / 12) * (1 + Inputs!$B$44)^INT((COLUMNS($B$64:Z64)-1) / 12)</f>
        <v>0</v>
      </c>
      <c r="AA64" s="81">
        <f>AA26 * (Inputs!$B$37 / 12) * (1 + Inputs!$B$44)^INT((COLUMNS($B$64:AA64)-1) / 12)</f>
        <v>0</v>
      </c>
      <c r="AB64" s="81">
        <f>AB26 * (Inputs!$B$37 / 12) * (1 + Inputs!$B$44)^INT((COLUMNS($B$64:AB64)-1) / 12)</f>
        <v>0</v>
      </c>
      <c r="AC64" s="81">
        <f>AC26 * (Inputs!$B$37 / 12) * (1 + Inputs!$B$44)^INT((COLUMNS($B$64:AC64)-1) / 12)</f>
        <v>0</v>
      </c>
      <c r="AD64" s="81">
        <f>AD26 * (Inputs!$B$37 / 12) * (1 + Inputs!$B$44)^INT((COLUMNS($B$64:AD64)-1) / 12)</f>
        <v>0</v>
      </c>
      <c r="AE64" s="81">
        <f>AE26 * (Inputs!$B$37 / 12) * (1 + Inputs!$B$44)^INT((COLUMNS($B$64:AE64)-1) / 12)</f>
        <v>0</v>
      </c>
      <c r="AF64" s="81">
        <f>AF26 * (Inputs!$B$37 / 12) * (1 + Inputs!$B$44)^INT((COLUMNS($B$64:AF64)-1) / 12)</f>
        <v>0</v>
      </c>
      <c r="AG64" s="81">
        <f>AG26 * (Inputs!$B$37 / 12) * (1 + Inputs!$B$44)^INT((COLUMNS($B$64:AG64)-1) / 12)</f>
        <v>0</v>
      </c>
      <c r="AH64" s="81">
        <f>AH26 * (Inputs!$B$37 / 12) * (1 + Inputs!$B$44)^INT((COLUMNS($B$64:AH64)-1) / 12)</f>
        <v>0</v>
      </c>
      <c r="AI64" s="81">
        <f>AI26 * (Inputs!$B$37 / 12) * (1 + Inputs!$B$44)^INT((COLUMNS($B$64:AI64)-1) / 12)</f>
        <v>0</v>
      </c>
      <c r="AJ64" s="81">
        <f>AJ26 * (Inputs!$B$37 / 12) * (1 + Inputs!$B$44)^INT((COLUMNS($B$64:AJ64)-1) / 12)</f>
        <v>0</v>
      </c>
      <c r="AK64" s="81">
        <f>AK26 * (Inputs!$B$37 / 12) * (1 + Inputs!$B$44)^INT((COLUMNS($B$64:AK64)-1) / 12)</f>
        <v>0</v>
      </c>
      <c r="AL64" s="81">
        <f>AL26 * (Inputs!$B$37 / 12) * (1 + Inputs!$B$44)^INT((COLUMNS($B$64:AL64)-1) / 12)</f>
        <v>0</v>
      </c>
      <c r="AM64" s="81">
        <f>AM26 * (Inputs!$B$37 / 12) * (1 + Inputs!$B$44)^INT((COLUMNS($B$64:AM64)-1) / 12)</f>
        <v>0</v>
      </c>
      <c r="AN64" s="81">
        <f>AN26 * (Inputs!$B$37 / 12) * (1 + Inputs!$B$44)^INT((COLUMNS($B$64:AN64)-1) / 12)</f>
        <v>0</v>
      </c>
      <c r="AO64" s="81">
        <f>AO26 * (Inputs!$B$37 / 12) * (1 + Inputs!$B$44)^INT((COLUMNS($B$64:AO64)-1) / 12)</f>
        <v>0</v>
      </c>
      <c r="AP64" s="81">
        <f>AP26 * (Inputs!$B$37 / 12) * (1 + Inputs!$B$44)^INT((COLUMNS($B$64:AP64)-1) / 12)</f>
        <v>0</v>
      </c>
      <c r="AQ64" s="81">
        <f>AQ26 * (Inputs!$B$37 / 12) * (1 + Inputs!$B$44)^INT((COLUMNS($B$64:AQ64)-1) / 12)</f>
        <v>0</v>
      </c>
      <c r="AR64" s="81">
        <f>AR26 * (Inputs!$B$37 / 12) * (1 + Inputs!$B$44)^INT((COLUMNS($B$64:AR64)-1) / 12)</f>
        <v>0</v>
      </c>
      <c r="AS64" s="81">
        <f>AS26 * (Inputs!$B$37 / 12) * (1 + Inputs!$B$44)^INT((COLUMNS($B$64:AS64)-1) / 12)</f>
        <v>0</v>
      </c>
      <c r="AT64" s="81">
        <f>AT26 * (Inputs!$B$37 / 12) * (1 + Inputs!$B$44)^INT((COLUMNS($B$64:AT64)-1) / 12)</f>
        <v>0</v>
      </c>
      <c r="AU64" s="81">
        <f>AU26 * (Inputs!$B$37 / 12) * (1 + Inputs!$B$44)^INT((COLUMNS($B$64:AU64)-1) / 12)</f>
        <v>0</v>
      </c>
      <c r="AV64" s="81">
        <f>AV26 * (Inputs!$B$37 / 12) * (1 + Inputs!$B$44)^INT((COLUMNS($B$64:AV64)-1) / 12)</f>
        <v>0</v>
      </c>
      <c r="AW64" s="81">
        <f>AW26 * (Inputs!$B$37 / 12) * (1 + Inputs!$B$44)^INT((COLUMNS($B$64:AW64)-1) / 12)</f>
        <v>0</v>
      </c>
      <c r="AX64" s="81">
        <f>AX26 * (Inputs!$B$37 / 12) * (1 + Inputs!$B$44)^INT((COLUMNS($B$64:AX64)-1) / 12)</f>
        <v>0</v>
      </c>
      <c r="AY64" s="81">
        <f>AY26 * (Inputs!$B$37 / 12) * (1 + Inputs!$B$44)^INT((COLUMNS($B$64:AY64)-1) / 12)</f>
        <v>0</v>
      </c>
      <c r="AZ64" s="81">
        <f>AZ26 * (Inputs!$B$37 / 12) * (1 + Inputs!$B$44)^INT((COLUMNS($B$64:AZ64)-1) / 12)</f>
        <v>0</v>
      </c>
      <c r="BA64" s="81">
        <f>BA26 * (Inputs!$B$37 / 12) * (1 + Inputs!$B$44)^INT((COLUMNS($B$64:BA64)-1) / 12)</f>
        <v>0</v>
      </c>
    </row>
    <row r="65" ht="14.25" customHeight="1">
      <c r="A65" s="3" t="s">
        <v>534</v>
      </c>
      <c r="B65" s="81">
        <f>B27 * (Inputs!$B$38 / 12) * (1 + Inputs!$B$44)^INT((COLUMNS($B$65:B65)-1) / 12)</f>
        <v>0</v>
      </c>
      <c r="C65" s="81">
        <f>C27 * (Inputs!$B$38 / 12) * (1 + Inputs!$B$44)^INT((COLUMNS($B$65:C65)-1) / 12)</f>
        <v>0</v>
      </c>
      <c r="D65" s="81">
        <f>D27 * (Inputs!$B$38 / 12) * (1 + Inputs!$B$44)^INT((COLUMNS($B$65:D65)-1) / 12)</f>
        <v>0</v>
      </c>
      <c r="E65" s="81">
        <f>E27 * (Inputs!$B$38 / 12) * (1 + Inputs!$B$44)^INT((COLUMNS($B$65:E65)-1) / 12)</f>
        <v>0</v>
      </c>
      <c r="F65" s="81">
        <f>F27 * (Inputs!$B$38 / 12) * (1 + Inputs!$B$44)^INT((COLUMNS($B$65:F65)-1) / 12)</f>
        <v>0</v>
      </c>
      <c r="G65" s="81">
        <f>G27 * (Inputs!$B$38 / 12) * (1 + Inputs!$B$44)^INT((COLUMNS($B$65:G65)-1) / 12)</f>
        <v>0</v>
      </c>
      <c r="H65" s="81">
        <f>H27 * (Inputs!$B$38 / 12) * (1 + Inputs!$B$44)^INT((COLUMNS($B$65:H65)-1) / 12)</f>
        <v>0</v>
      </c>
      <c r="I65" s="81">
        <f>I27 * (Inputs!$B$38 / 12) * (1 + Inputs!$B$44)^INT((COLUMNS($B$65:I65)-1) / 12)</f>
        <v>0</v>
      </c>
      <c r="J65" s="81">
        <f>J27 * (Inputs!$B$38 / 12) * (1 + Inputs!$B$44)^INT((COLUMNS($B$65:J65)-1) / 12)</f>
        <v>0</v>
      </c>
      <c r="K65" s="81">
        <f>K27 * (Inputs!$B$38 / 12) * (1 + Inputs!$B$44)^INT((COLUMNS($B$65:K65)-1) / 12)</f>
        <v>0</v>
      </c>
      <c r="L65" s="81">
        <f>L27 * (Inputs!$B$38 / 12) * (1 + Inputs!$B$44)^INT((COLUMNS($B$65:L65)-1) / 12)</f>
        <v>0</v>
      </c>
      <c r="M65" s="81">
        <f>M27 * (Inputs!$B$38 / 12) * (1 + Inputs!$B$44)^INT((COLUMNS($B$65:M65)-1) / 12)</f>
        <v>0</v>
      </c>
      <c r="N65" s="81">
        <f>N27 * (Inputs!$B$38 / 12) * (1 + Inputs!$B$44)^INT((COLUMNS($B$65:N65)-1) / 12)</f>
        <v>0</v>
      </c>
      <c r="O65" s="81">
        <f>O27 * (Inputs!$B$38 / 12) * (1 + Inputs!$B$44)^INT((COLUMNS($B$65:O65)-1) / 12)</f>
        <v>0</v>
      </c>
      <c r="P65" s="81">
        <f>P27 * (Inputs!$B$38 / 12) * (1 + Inputs!$B$44)^INT((COLUMNS($B$65:P65)-1) / 12)</f>
        <v>0</v>
      </c>
      <c r="Q65" s="81">
        <f>Q27 * (Inputs!$B$38 / 12) * (1 + Inputs!$B$44)^INT((COLUMNS($B$65:Q65)-1) / 12)</f>
        <v>0</v>
      </c>
      <c r="R65" s="81">
        <f>R27 * (Inputs!$B$38 / 12) * (1 + Inputs!$B$44)^INT((COLUMNS($B$65:R65)-1) / 12)</f>
        <v>0</v>
      </c>
      <c r="S65" s="81">
        <f>S27 * (Inputs!$B$38 / 12) * (1 + Inputs!$B$44)^INT((COLUMNS($B$65:S65)-1) / 12)</f>
        <v>0</v>
      </c>
      <c r="T65" s="81">
        <f>T27 * (Inputs!$B$38 / 12) * (1 + Inputs!$B$44)^INT((COLUMNS($B$65:T65)-1) / 12)</f>
        <v>0</v>
      </c>
      <c r="U65" s="81">
        <f>U27 * (Inputs!$B$38 / 12) * (1 + Inputs!$B$44)^INT((COLUMNS($B$65:U65)-1) / 12)</f>
        <v>0</v>
      </c>
      <c r="V65" s="81">
        <f>V27 * (Inputs!$B$38 / 12) * (1 + Inputs!$B$44)^INT((COLUMNS($B$65:V65)-1) / 12)</f>
        <v>0</v>
      </c>
      <c r="W65" s="81">
        <f>W27 * (Inputs!$B$38 / 12) * (1 + Inputs!$B$44)^INT((COLUMNS($B$65:W65)-1) / 12)</f>
        <v>0</v>
      </c>
      <c r="X65" s="81">
        <f>X27 * (Inputs!$B$38 / 12) * (1 + Inputs!$B$44)^INT((COLUMNS($B$65:X65)-1) / 12)</f>
        <v>0</v>
      </c>
      <c r="Y65" s="81">
        <f>Y27 * (Inputs!$B$38 / 12) * (1 + Inputs!$B$44)^INT((COLUMNS($B$65:Y65)-1) / 12)</f>
        <v>0</v>
      </c>
      <c r="Z65" s="81">
        <f>Z27 * (Inputs!$B$38 / 12) * (1 + Inputs!$B$44)^INT((COLUMNS($B$65:Z65)-1) / 12)</f>
        <v>0</v>
      </c>
      <c r="AA65" s="81">
        <f>AA27 * (Inputs!$B$38 / 12) * (1 + Inputs!$B$44)^INT((COLUMNS($B$65:AA65)-1) / 12)</f>
        <v>0</v>
      </c>
      <c r="AB65" s="81">
        <f>AB27 * (Inputs!$B$38 / 12) * (1 + Inputs!$B$44)^INT((COLUMNS($B$65:AB65)-1) / 12)</f>
        <v>0</v>
      </c>
      <c r="AC65" s="81">
        <f>AC27 * (Inputs!$B$38 / 12) * (1 + Inputs!$B$44)^INT((COLUMNS($B$65:AC65)-1) / 12)</f>
        <v>0</v>
      </c>
      <c r="AD65" s="81">
        <f>AD27 * (Inputs!$B$38 / 12) * (1 + Inputs!$B$44)^INT((COLUMNS($B$65:AD65)-1) / 12)</f>
        <v>0</v>
      </c>
      <c r="AE65" s="81">
        <f>AE27 * (Inputs!$B$38 / 12) * (1 + Inputs!$B$44)^INT((COLUMNS($B$65:AE65)-1) / 12)</f>
        <v>7350</v>
      </c>
      <c r="AF65" s="81">
        <f>AF27 * (Inputs!$B$38 / 12) * (1 + Inputs!$B$44)^INT((COLUMNS($B$65:AF65)-1) / 12)</f>
        <v>7350</v>
      </c>
      <c r="AG65" s="81">
        <f>AG27 * (Inputs!$B$38 / 12) * (1 + Inputs!$B$44)^INT((COLUMNS($B$65:AG65)-1) / 12)</f>
        <v>7350</v>
      </c>
      <c r="AH65" s="81">
        <f>AH27 * (Inputs!$B$38 / 12) * (1 + Inputs!$B$44)^INT((COLUMNS($B$65:AH65)-1) / 12)</f>
        <v>7350</v>
      </c>
      <c r="AI65" s="81">
        <f>AI27 * (Inputs!$B$38 / 12) * (1 + Inputs!$B$44)^INT((COLUMNS($B$65:AI65)-1) / 12)</f>
        <v>7350</v>
      </c>
      <c r="AJ65" s="81">
        <f>AJ27 * (Inputs!$B$38 / 12) * (1 + Inputs!$B$44)^INT((COLUMNS($B$65:AJ65)-1) / 12)</f>
        <v>7350</v>
      </c>
      <c r="AK65" s="81">
        <f>AK27 * (Inputs!$B$38 / 12) * (1 + Inputs!$B$44)^INT((COLUMNS($B$65:AK65)-1) / 12)</f>
        <v>7350</v>
      </c>
      <c r="AL65" s="81">
        <f>AL27 * (Inputs!$B$38 / 12) * (1 + Inputs!$B$44)^INT((COLUMNS($B$65:AL65)-1) / 12)</f>
        <v>7717.5</v>
      </c>
      <c r="AM65" s="81">
        <f>AM27 * (Inputs!$B$38 / 12) * (1 + Inputs!$B$44)^INT((COLUMNS($B$65:AM65)-1) / 12)</f>
        <v>7717.5</v>
      </c>
      <c r="AN65" s="81">
        <f>AN27 * (Inputs!$B$38 / 12) * (1 + Inputs!$B$44)^INT((COLUMNS($B$65:AN65)-1) / 12)</f>
        <v>7717.5</v>
      </c>
      <c r="AO65" s="81">
        <f>AO27 * (Inputs!$B$38 / 12) * (1 + Inputs!$B$44)^INT((COLUMNS($B$65:AO65)-1) / 12)</f>
        <v>7717.5</v>
      </c>
      <c r="AP65" s="81">
        <f>AP27 * (Inputs!$B$38 / 12) * (1 + Inputs!$B$44)^INT((COLUMNS($B$65:AP65)-1) / 12)</f>
        <v>7717.5</v>
      </c>
      <c r="AQ65" s="81">
        <f>AQ27 * (Inputs!$B$38 / 12) * (1 + Inputs!$B$44)^INT((COLUMNS($B$65:AQ65)-1) / 12)</f>
        <v>7717.5</v>
      </c>
      <c r="AR65" s="81">
        <f>AR27 * (Inputs!$B$38 / 12) * (1 + Inputs!$B$44)^INT((COLUMNS($B$65:AR65)-1) / 12)</f>
        <v>7717.5</v>
      </c>
      <c r="AS65" s="81">
        <f>AS27 * (Inputs!$B$38 / 12) * (1 + Inputs!$B$44)^INT((COLUMNS($B$65:AS65)-1) / 12)</f>
        <v>7717.5</v>
      </c>
      <c r="AT65" s="81">
        <f>AT27 * (Inputs!$B$38 / 12) * (1 + Inputs!$B$44)^INT((COLUMNS($B$65:AT65)-1) / 12)</f>
        <v>7717.5</v>
      </c>
      <c r="AU65" s="81">
        <f>AU27 * (Inputs!$B$38 / 12) * (1 + Inputs!$B$44)^INT((COLUMNS($B$65:AU65)-1) / 12)</f>
        <v>7717.5</v>
      </c>
      <c r="AV65" s="74">
        <f>AV27*Inputs!$B$38/12*(1+Inputs!$B$44)^INT((47-1)/12)</f>
        <v>7717.5</v>
      </c>
      <c r="AW65" s="74">
        <f>AW27*Inputs!$B$38/12*(1+Inputs!$B$44)^INT((48-1)/12)</f>
        <v>7717.5</v>
      </c>
      <c r="AX65" s="74">
        <f>AX27*Inputs!$B$38/12*(1+Inputs!$B$44)^INT((49-1)/12)</f>
        <v>8103.375</v>
      </c>
      <c r="AY65" s="74">
        <f>AY27*Inputs!$B$38/12*(1+Inputs!$B$44)^INT((50-1)/12)</f>
        <v>8103.375</v>
      </c>
      <c r="AZ65" s="74">
        <f>AZ27*Inputs!$B$38/12*(1+Inputs!$B$44)^INT((51-1)/12)</f>
        <v>8103.375</v>
      </c>
      <c r="BA65" s="74">
        <f>BA27*Inputs!$B$38/12*(1+Inputs!$B$44)^INT((52-1)/12)</f>
        <v>8103.375</v>
      </c>
    </row>
    <row r="66" ht="14.25" customHeight="1">
      <c r="A66" s="3" t="s">
        <v>535</v>
      </c>
      <c r="B66" s="81">
        <f>B28 * (Inputs!$B$39 / 12) * (1 + Inputs!$B$44)^INT((COLUMNS($B$66:B66)-1) / 12)</f>
        <v>0</v>
      </c>
      <c r="C66" s="81">
        <f>C28 * (Inputs!$B$39 / 12) * (1 + Inputs!$B$44)^INT((COLUMNS($B$66:C66)-1) / 12)</f>
        <v>0</v>
      </c>
      <c r="D66" s="81">
        <f>D28 * (Inputs!$B$39 / 12) * (1 + Inputs!$B$44)^INT((COLUMNS($B$66:D66)-1) / 12)</f>
        <v>0</v>
      </c>
      <c r="E66" s="81">
        <f>E28 * (Inputs!$B$39 / 12) * (1 + Inputs!$B$44)^INT((COLUMNS($B$66:E66)-1) / 12)</f>
        <v>0</v>
      </c>
      <c r="F66" s="81">
        <f>F28 * (Inputs!$B$39 / 12) * (1 + Inputs!$B$44)^INT((COLUMNS($B$66:F66)-1) / 12)</f>
        <v>0</v>
      </c>
      <c r="G66" s="81">
        <f>G28 * (Inputs!$B$39 / 12) * (1 + Inputs!$B$44)^INT((COLUMNS($B$66:G66)-1) / 12)</f>
        <v>0</v>
      </c>
      <c r="H66" s="81">
        <f>H28 * (Inputs!$B$39 / 12) * (1 + Inputs!$B$44)^INT((COLUMNS($B$66:H66)-1) / 12)</f>
        <v>0</v>
      </c>
      <c r="I66" s="81">
        <f>I28 * (Inputs!$B$39 / 12) * (1 + Inputs!$B$44)^INT((COLUMNS($B$66:I66)-1) / 12)</f>
        <v>0</v>
      </c>
      <c r="J66" s="81">
        <f>J28 * (Inputs!$B$39 / 12) * (1 + Inputs!$B$44)^INT((COLUMNS($B$66:J66)-1) / 12)</f>
        <v>0</v>
      </c>
      <c r="K66" s="81">
        <f>K28 * (Inputs!$B$39 / 12) * (1 + Inputs!$B$44)^INT((COLUMNS($B$66:K66)-1) / 12)</f>
        <v>0</v>
      </c>
      <c r="L66" s="81">
        <f>L28 * (Inputs!$B$39 / 12) * (1 + Inputs!$B$44)^INT((COLUMNS($B$66:L66)-1) / 12)</f>
        <v>0</v>
      </c>
      <c r="M66" s="81">
        <f>M28 * (Inputs!$B$39 / 12) * (1 + Inputs!$B$44)^INT((COLUMNS($B$66:M66)-1) / 12)</f>
        <v>0</v>
      </c>
      <c r="N66" s="81">
        <f>N28 * (Inputs!$B$39 / 12) * (1 + Inputs!$B$44)^INT((COLUMNS($B$66:N66)-1) / 12)</f>
        <v>0</v>
      </c>
      <c r="O66" s="81">
        <f>O28 * (Inputs!$B$39 / 12) * (1 + Inputs!$B$44)^INT((COLUMNS($B$66:O66)-1) / 12)</f>
        <v>0</v>
      </c>
      <c r="P66" s="81">
        <f>P28 * (Inputs!$B$39 / 12) * (1 + Inputs!$B$44)^INT((COLUMNS($B$66:P66)-1) / 12)</f>
        <v>0</v>
      </c>
      <c r="Q66" s="81">
        <f>Q28 * (Inputs!$B$39 / 12) * (1 + Inputs!$B$44)^INT((COLUMNS($B$66:Q66)-1) / 12)</f>
        <v>0</v>
      </c>
      <c r="R66" s="81">
        <f>R28 * (Inputs!$B$39 / 12) * (1 + Inputs!$B$44)^INT((COLUMNS($B$66:R66)-1) / 12)</f>
        <v>0</v>
      </c>
      <c r="S66" s="81">
        <f>S28 * (Inputs!$B$39 / 12) * (1 + Inputs!$B$44)^INT((COLUMNS($B$66:S66)-1) / 12)</f>
        <v>0</v>
      </c>
      <c r="T66" s="81">
        <f>T28 * (Inputs!$B$39 / 12) * (1 + Inputs!$B$44)^INT((COLUMNS($B$66:T66)-1) / 12)</f>
        <v>0</v>
      </c>
      <c r="U66" s="81">
        <f>U28 * (Inputs!$B$39 / 12) * (1 + Inputs!$B$44)^INT((COLUMNS($B$66:U66)-1) / 12)</f>
        <v>0</v>
      </c>
      <c r="V66" s="81">
        <f>V28 * (Inputs!$B$39 / 12) * (1 + Inputs!$B$44)^INT((COLUMNS($B$66:V66)-1) / 12)</f>
        <v>0</v>
      </c>
      <c r="W66" s="81">
        <f>W28 * (Inputs!$B$39 / 12) * (1 + Inputs!$B$44)^INT((COLUMNS($B$66:W66)-1) / 12)</f>
        <v>0</v>
      </c>
      <c r="X66" s="81">
        <f>X28 * (Inputs!$B$39 / 12) * (1 + Inputs!$B$44)^INT((COLUMNS($B$66:X66)-1) / 12)</f>
        <v>0</v>
      </c>
      <c r="Y66" s="81">
        <f>Y28 * (Inputs!$B$39 / 12) * (1 + Inputs!$B$44)^INT((COLUMNS($B$66:Y66)-1) / 12)</f>
        <v>0</v>
      </c>
      <c r="Z66" s="81">
        <f>Z28 * (Inputs!$B$39 / 12) * (1 + Inputs!$B$44)^INT((COLUMNS($B$66:Z66)-1) / 12)</f>
        <v>0</v>
      </c>
      <c r="AA66" s="81">
        <f>AA28 * (Inputs!$B$39 / 12) * (1 + Inputs!$B$44)^INT((COLUMNS($B$66:AA66)-1) / 12)</f>
        <v>0</v>
      </c>
      <c r="AB66" s="81">
        <f>AB28 * (Inputs!$B$39 / 12) * (1 + Inputs!$B$44)^INT((COLUMNS($B$66:AB66)-1) / 12)</f>
        <v>0</v>
      </c>
      <c r="AC66" s="81">
        <f>AC28 * (Inputs!$B$39 / 12) * (1 + Inputs!$B$44)^INT((COLUMNS($B$66:AC66)-1) / 12)</f>
        <v>0</v>
      </c>
      <c r="AD66" s="81">
        <f>AD28 * (Inputs!$B$39 / 12) * (1 + Inputs!$B$44)^INT((COLUMNS($B$66:AD66)-1) / 12)</f>
        <v>0</v>
      </c>
      <c r="AE66" s="81">
        <f>AE28 * (Inputs!$B$39 / 12) * (1 + Inputs!$B$44)^INT((COLUMNS($B$66:AE66)-1) / 12)</f>
        <v>0</v>
      </c>
      <c r="AF66" s="81">
        <f>AF28 * (Inputs!$B$39 / 12) * (1 + Inputs!$B$44)^INT((COLUMNS($B$66:AF66)-1) / 12)</f>
        <v>0</v>
      </c>
      <c r="AG66" s="81">
        <f>AG28 * (Inputs!$B$39 / 12) * (1 + Inputs!$B$44)^INT((COLUMNS($B$66:AG66)-1) / 12)</f>
        <v>0</v>
      </c>
      <c r="AH66" s="81">
        <f>AH28 * (Inputs!$B$39 / 12) * (1 + Inputs!$B$44)^INT((COLUMNS($B$66:AH66)-1) / 12)</f>
        <v>0</v>
      </c>
      <c r="AI66" s="81">
        <f>AI28 * (Inputs!$B$39 / 12) * (1 + Inputs!$B$44)^INT((COLUMNS($B$66:AI66)-1) / 12)</f>
        <v>0</v>
      </c>
      <c r="AJ66" s="81">
        <f>AJ28 * (Inputs!$B$39 / 12) * (1 + Inputs!$B$44)^INT((COLUMNS($B$66:AJ66)-1) / 12)</f>
        <v>0</v>
      </c>
      <c r="AK66" s="81">
        <f>AK28 * (Inputs!$B$39 / 12) * (1 + Inputs!$B$44)^INT((COLUMNS($B$66:AK66)-1) / 12)</f>
        <v>11943.75</v>
      </c>
      <c r="AL66" s="81">
        <f>AL28 * (Inputs!$B$39 / 12) * (1 + Inputs!$B$44)^INT((COLUMNS($B$66:AL66)-1) / 12)</f>
        <v>12540.9375</v>
      </c>
      <c r="AM66" s="81">
        <f>AM28 * (Inputs!$B$39 / 12) * (1 + Inputs!$B$44)^INT((COLUMNS($B$66:AM66)-1) / 12)</f>
        <v>12540.9375</v>
      </c>
      <c r="AN66" s="81">
        <f>AN28 * (Inputs!$B$39 / 12) * (1 + Inputs!$B$44)^INT((COLUMNS($B$66:AN66)-1) / 12)</f>
        <v>12540.9375</v>
      </c>
      <c r="AO66" s="81">
        <f>AO28 * (Inputs!$B$39 / 12) * (1 + Inputs!$B$44)^INT((COLUMNS($B$66:AO66)-1) / 12)</f>
        <v>12540.9375</v>
      </c>
      <c r="AP66" s="81">
        <f>AP28 * (Inputs!$B$39 / 12) * (1 + Inputs!$B$44)^INT((COLUMNS($B$66:AP66)-1) / 12)</f>
        <v>12540.9375</v>
      </c>
      <c r="AQ66" s="81">
        <f>AQ28 * (Inputs!$B$39 / 12) * (1 + Inputs!$B$44)^INT((COLUMNS($B$66:AQ66)-1) / 12)</f>
        <v>12540.9375</v>
      </c>
      <c r="AR66" s="81">
        <f>AR28 * (Inputs!$B$39 / 12) * (1 + Inputs!$B$44)^INT((COLUMNS($B$66:AR66)-1) / 12)</f>
        <v>12540.9375</v>
      </c>
      <c r="AS66" s="81">
        <f>AS28 * (Inputs!$B$39 / 12) * (1 + Inputs!$B$44)^INT((COLUMNS($B$66:AS66)-1) / 12)</f>
        <v>12540.9375</v>
      </c>
      <c r="AT66" s="81">
        <f>AT28 * (Inputs!$B$39 / 12) * (1 + Inputs!$B$44)^INT((COLUMNS($B$66:AT66)-1) / 12)</f>
        <v>12540.9375</v>
      </c>
      <c r="AU66" s="81">
        <f>AU28 * (Inputs!$B$39 / 12) * (1 + Inputs!$B$44)^INT((COLUMNS($B$66:AU66)-1) / 12)</f>
        <v>12540.9375</v>
      </c>
      <c r="AV66" s="81">
        <f>AV28 * (Inputs!$B$39 / 12) * (1 + Inputs!$B$44)^INT((COLUMNS($B$66:AV66)-1) / 12)</f>
        <v>12540.9375</v>
      </c>
      <c r="AW66" s="81">
        <f>AW28 * (Inputs!$B$39 / 12) * (1 + Inputs!$B$44)^INT((COLUMNS($B$66:AW66)-1) / 12)</f>
        <v>12540.9375</v>
      </c>
      <c r="AX66" s="81">
        <f>AX28 * (Inputs!$B$39 / 12) * (1 + Inputs!$B$44)^INT((COLUMNS($B$66:AX66)-1) / 12)</f>
        <v>13167.98438</v>
      </c>
      <c r="AY66" s="81">
        <f>AY28 * (Inputs!$B$39 / 12) * (1 + Inputs!$B$44)^INT((COLUMNS($B$66:AY66)-1) / 12)</f>
        <v>13167.98438</v>
      </c>
      <c r="AZ66" s="81">
        <f>AZ28 * (Inputs!$B$39 / 12) * (1 + Inputs!$B$44)^INT((COLUMNS($B$66:AZ66)-1) / 12)</f>
        <v>13167.98438</v>
      </c>
      <c r="BA66" s="81">
        <f>BA28 * (Inputs!$B$39 / 12) * (1 + Inputs!$B$44)^INT((COLUMNS($B$66:BA66)-1) / 12)</f>
        <v>13167.98438</v>
      </c>
    </row>
    <row r="67" ht="14.25" customHeight="1">
      <c r="A67" s="3" t="s">
        <v>536</v>
      </c>
      <c r="B67" s="81">
        <f>B29 * (Inputs!$B$41 / 12) * (1 + Inputs!$B$44)^INT((COLUMNS($B$67:B67)-1) / 12)</f>
        <v>0</v>
      </c>
      <c r="C67" s="81">
        <f>C29 * (Inputs!$B$41 / 12) * (1 + Inputs!$B$44)^INT((COLUMNS($B$67:C67)-1) / 12)</f>
        <v>0</v>
      </c>
      <c r="D67" s="81">
        <f>D29 * (Inputs!$B$41 / 12) * (1 + Inputs!$B$44)^INT((COLUMNS($B$67:D67)-1) / 12)</f>
        <v>0</v>
      </c>
      <c r="E67" s="81">
        <f>E29 * (Inputs!$B$41 / 12) * (1 + Inputs!$B$44)^INT((COLUMNS($B$67:E67)-1) / 12)</f>
        <v>0</v>
      </c>
      <c r="F67" s="81">
        <f>F29 * (Inputs!$B$41 / 12) * (1 + Inputs!$B$44)^INT((COLUMNS($B$67:F67)-1) / 12)</f>
        <v>0</v>
      </c>
      <c r="G67" s="81">
        <f>G29 * (Inputs!$B$41 / 12) * (1 + Inputs!$B$44)^INT((COLUMNS($B$67:G67)-1) / 12)</f>
        <v>0</v>
      </c>
      <c r="H67" s="81">
        <f>H29 * (Inputs!$B$41 / 12) * (1 + Inputs!$B$44)^INT((COLUMNS($B$67:H67)-1) / 12)</f>
        <v>0</v>
      </c>
      <c r="I67" s="81">
        <f>I29 * (Inputs!$B$41 / 12) * (1 + Inputs!$B$44)^INT((COLUMNS($B$67:I67)-1) / 12)</f>
        <v>0</v>
      </c>
      <c r="J67" s="81">
        <f>J29 * (Inputs!$B$41 / 12) * (1 + Inputs!$B$44)^INT((COLUMNS($B$67:J67)-1) / 12)</f>
        <v>0</v>
      </c>
      <c r="K67" s="81">
        <f>K29 * (Inputs!$B$41 / 12) * (1 + Inputs!$B$44)^INT((COLUMNS($B$67:K67)-1) / 12)</f>
        <v>0</v>
      </c>
      <c r="L67" s="81">
        <f>L29 * (Inputs!$B$41 / 12) * (1 + Inputs!$B$44)^INT((COLUMNS($B$67:L67)-1) / 12)</f>
        <v>0</v>
      </c>
      <c r="M67" s="81">
        <f>M29 * (Inputs!$B$41 / 12) * (1 + Inputs!$B$44)^INT((COLUMNS($B$67:M67)-1) / 12)</f>
        <v>0</v>
      </c>
      <c r="N67" s="81">
        <f>N29 * (Inputs!$B$41 / 12) * (1 + Inputs!$B$44)^INT((COLUMNS($B$67:N67)-1) / 12)</f>
        <v>0</v>
      </c>
      <c r="O67" s="81">
        <f>O29 * (Inputs!$B$41 / 12) * (1 + Inputs!$B$44)^INT((COLUMNS($B$67:O67)-1) / 12)</f>
        <v>0</v>
      </c>
      <c r="P67" s="81">
        <f>P29 * (Inputs!$B$41 / 12) * (1 + Inputs!$B$44)^INT((COLUMNS($B$67:P67)-1) / 12)</f>
        <v>0</v>
      </c>
      <c r="Q67" s="81">
        <f>Q29 * (Inputs!$B$41 / 12) * (1 + Inputs!$B$44)^INT((COLUMNS($B$67:Q67)-1) / 12)</f>
        <v>0</v>
      </c>
      <c r="R67" s="81">
        <f>R29 * (Inputs!$B$41 / 12) * (1 + Inputs!$B$44)^INT((COLUMNS($B$67:R67)-1) / 12)</f>
        <v>0</v>
      </c>
      <c r="S67" s="81">
        <f>S29 * (Inputs!$B$41 / 12) * (1 + Inputs!$B$44)^INT((COLUMNS($B$67:S67)-1) / 12)</f>
        <v>0</v>
      </c>
      <c r="T67" s="81">
        <f>T29 * (Inputs!$B$41 / 12) * (1 + Inputs!$B$44)^INT((COLUMNS($B$67:T67)-1) / 12)</f>
        <v>0</v>
      </c>
      <c r="U67" s="81">
        <f>U29 * (Inputs!$B$41 / 12) * (1 + Inputs!$B$44)^INT((COLUMNS($B$67:U67)-1) / 12)</f>
        <v>0</v>
      </c>
      <c r="V67" s="81">
        <f>V29 * (Inputs!$B$41 / 12) * (1 + Inputs!$B$44)^INT((COLUMNS($B$67:V67)-1) / 12)</f>
        <v>0</v>
      </c>
      <c r="W67" s="81">
        <f>W29 * (Inputs!$B$41 / 12) * (1 + Inputs!$B$44)^INT((COLUMNS($B$67:W67)-1) / 12)</f>
        <v>0</v>
      </c>
      <c r="X67" s="81">
        <f>X29 * (Inputs!$B$41 / 12) * (1 + Inputs!$B$44)^INT((COLUMNS($B$67:X67)-1) / 12)</f>
        <v>0</v>
      </c>
      <c r="Y67" s="81">
        <f>Y29 * (Inputs!$B$41 / 12) * (1 + Inputs!$B$44)^INT((COLUMNS($B$67:Y67)-1) / 12)</f>
        <v>0</v>
      </c>
      <c r="Z67" s="81">
        <f>Z29 * (Inputs!$B$41 / 12) * (1 + Inputs!$B$44)^INT((COLUMNS($B$67:Z67)-1) / 12)</f>
        <v>0</v>
      </c>
      <c r="AA67" s="81">
        <f>AA29 * (Inputs!$B$41 / 12) * (1 + Inputs!$B$44)^INT((COLUMNS($B$67:AA67)-1) / 12)</f>
        <v>0</v>
      </c>
      <c r="AB67" s="81">
        <f>AB29 * (Inputs!$B$41 / 12) * (1 + Inputs!$B$44)^INT((COLUMNS($B$67:AB67)-1) / 12)</f>
        <v>0</v>
      </c>
      <c r="AC67" s="81">
        <f>AC29 * (Inputs!$B$41 / 12) * (1 + Inputs!$B$44)^INT((COLUMNS($B$67:AC67)-1) / 12)</f>
        <v>0</v>
      </c>
      <c r="AD67" s="81">
        <f>AD29 * (Inputs!$B$41 / 12) * (1 + Inputs!$B$44)^INT((COLUMNS($B$67:AD67)-1) / 12)</f>
        <v>0</v>
      </c>
      <c r="AE67" s="81">
        <f>AE29 * (Inputs!$B$41 / 12) * (1 + Inputs!$B$44)^INT((COLUMNS($B$67:AE67)-1) / 12)</f>
        <v>0</v>
      </c>
      <c r="AF67" s="81">
        <f>AF29 * (Inputs!$B$41 / 12) * (1 + Inputs!$B$44)^INT((COLUMNS($B$67:AF67)-1) / 12)</f>
        <v>0</v>
      </c>
      <c r="AG67" s="81">
        <f>AG29 * (Inputs!$B$41 / 12) * (1 + Inputs!$B$44)^INT((COLUMNS($B$67:AG67)-1) / 12)</f>
        <v>0</v>
      </c>
      <c r="AH67" s="81">
        <f>AH29 * (Inputs!$B$41 / 12) * (1 + Inputs!$B$44)^INT((COLUMNS($B$67:AH67)-1) / 12)</f>
        <v>0</v>
      </c>
      <c r="AI67" s="81">
        <f>AI29 * (Inputs!$B$41 / 12) * (1 + Inputs!$B$44)^INT((COLUMNS($B$67:AI67)-1) / 12)</f>
        <v>0</v>
      </c>
      <c r="AJ67" s="81">
        <f>AJ29 * (Inputs!$B$41 / 12) * (1 + Inputs!$B$44)^INT((COLUMNS($B$67:AJ67)-1) / 12)</f>
        <v>0</v>
      </c>
      <c r="AK67" s="81">
        <f>AK29 * (Inputs!$B$41 / 12) * (1 + Inputs!$B$44)^INT((COLUMNS($B$67:AK67)-1) / 12)</f>
        <v>0</v>
      </c>
      <c r="AL67" s="81">
        <f>AL29 * (Inputs!$B$41 / 12) * (1 + Inputs!$B$44)^INT((COLUMNS($B$67:AL67)-1) / 12)</f>
        <v>0</v>
      </c>
      <c r="AM67" s="81">
        <f>AM29 * (Inputs!$B$41 / 12) * (1 + Inputs!$B$44)^INT((COLUMNS($B$67:AM67)-1) / 12)</f>
        <v>0</v>
      </c>
      <c r="AN67" s="81">
        <f>AN29 * (Inputs!$B$41 / 12) * (1 + Inputs!$B$44)^INT((COLUMNS($B$67:AN67)-1) / 12)</f>
        <v>0</v>
      </c>
      <c r="AO67" s="81">
        <f>AO29 * (Inputs!$B$41 / 12) * (1 + Inputs!$B$44)^INT((COLUMNS($B$67:AO67)-1) / 12)</f>
        <v>0</v>
      </c>
      <c r="AP67" s="81">
        <f>AP29 * (Inputs!$B$41 / 12) * (1 + Inputs!$B$44)^INT((COLUMNS($B$67:AP67)-1) / 12)</f>
        <v>0</v>
      </c>
      <c r="AQ67" s="81">
        <f>AQ29 * (Inputs!$B$41 / 12) * (1 + Inputs!$B$44)^INT((COLUMNS($B$67:AQ67)-1) / 12)</f>
        <v>0</v>
      </c>
      <c r="AR67" s="81">
        <f>AR29 * (Inputs!$B$41 / 12) * (1 + Inputs!$B$44)^INT((COLUMNS($B$67:AR67)-1) / 12)</f>
        <v>0</v>
      </c>
      <c r="AS67" s="81">
        <f>AS29 * (Inputs!$B$41 / 12) * (1 + Inputs!$B$44)^INT((COLUMNS($B$67:AS67)-1) / 12)</f>
        <v>0</v>
      </c>
      <c r="AT67" s="81">
        <f>AT29 * (Inputs!$B$41 / 12) * (1 + Inputs!$B$44)^INT((COLUMNS($B$67:AT67)-1) / 12)</f>
        <v>0</v>
      </c>
      <c r="AU67" s="81">
        <f>AU29 * (Inputs!$B$41 / 12) * (1 + Inputs!$B$44)^INT((COLUMNS($B$67:AU67)-1) / 12)</f>
        <v>0</v>
      </c>
      <c r="AV67" s="81">
        <f>AV29 * (Inputs!$B$41 / 12) * (1 + Inputs!$B$44)^INT((COLUMNS($B$67:AV67)-1) / 12)</f>
        <v>0</v>
      </c>
      <c r="AW67" s="81">
        <f>AW29 * (Inputs!$B$41 / 12) * (1 + Inputs!$B$44)^INT((COLUMNS($B$67:AW67)-1) / 12)</f>
        <v>0</v>
      </c>
      <c r="AX67" s="81">
        <f>AX29 * (Inputs!$B$41 / 12) * (1 + Inputs!$B$44)^INT((COLUMNS($B$67:AX67)-1) / 12)</f>
        <v>0</v>
      </c>
      <c r="AY67" s="81">
        <f>AY29 * (Inputs!$B$41 / 12) * (1 + Inputs!$B$44)^INT((COLUMNS($B$67:AY67)-1) / 12)</f>
        <v>0</v>
      </c>
      <c r="AZ67" s="81">
        <f>AZ29 * (Inputs!$B$41 / 12) * (1 + Inputs!$B$44)^INT((COLUMNS($B$67:AZ67)-1) / 12)</f>
        <v>0</v>
      </c>
      <c r="BA67" s="81">
        <f>BA29 * (Inputs!$B$41 / 12) * (1 + Inputs!$B$44)^INT((COLUMNS($B$67:BA67)-1) / 12)</f>
        <v>0</v>
      </c>
    </row>
    <row r="68" ht="14.25" customHeight="1">
      <c r="A68" s="3" t="s">
        <v>537</v>
      </c>
      <c r="B68" s="81">
        <f>B30 * (Inputs!$B$43 / 12) * (1 + Inputs!$B$44)^INT((COLUMNS($B$68:B68)-1) / 12)</f>
        <v>0</v>
      </c>
      <c r="C68" s="81">
        <f>C30 * (Inputs!$B$43 / 12) * (1 + Inputs!$B$44)^INT((COLUMNS($B$68:C68)-1) / 12)</f>
        <v>0</v>
      </c>
      <c r="D68" s="81">
        <f>D30 * (Inputs!$B$43 / 12) * (1 + Inputs!$B$44)^INT((COLUMNS($B$68:D68)-1) / 12)</f>
        <v>0</v>
      </c>
      <c r="E68" s="81">
        <f>E30 * (Inputs!$B$43 / 12) * (1 + Inputs!$B$44)^INT((COLUMNS($B$68:E68)-1) / 12)</f>
        <v>0</v>
      </c>
      <c r="F68" s="81">
        <f>F30 * (Inputs!$B$43 / 12) * (1 + Inputs!$B$44)^INT((COLUMNS($B$68:F68)-1) / 12)</f>
        <v>0</v>
      </c>
      <c r="G68" s="81">
        <f>G30 * (Inputs!$B$43 / 12) * (1 + Inputs!$B$44)^INT((COLUMNS($B$68:G68)-1) / 12)</f>
        <v>0</v>
      </c>
      <c r="H68" s="81">
        <f>H30 * (Inputs!$B$43 / 12) * (1 + Inputs!$B$44)^INT((COLUMNS($B$68:H68)-1) / 12)</f>
        <v>0</v>
      </c>
      <c r="I68" s="81">
        <f>I30 * (Inputs!$B$43 / 12) * (1 + Inputs!$B$44)^INT((COLUMNS($B$68:I68)-1) / 12)</f>
        <v>0</v>
      </c>
      <c r="J68" s="81">
        <f>J30 * (Inputs!$B$43 / 12) * (1 + Inputs!$B$44)^INT((COLUMNS($B$68:J68)-1) / 12)</f>
        <v>0</v>
      </c>
      <c r="K68" s="81">
        <f>K30 * (Inputs!$B$43 / 12) * (1 + Inputs!$B$44)^INT((COLUMNS($B$68:K68)-1) / 12)</f>
        <v>0</v>
      </c>
      <c r="L68" s="81">
        <f>L30 * (Inputs!$B$43 / 12) * (1 + Inputs!$B$44)^INT((COLUMNS($B$68:L68)-1) / 12)</f>
        <v>0</v>
      </c>
      <c r="M68" s="81">
        <f>M30 * (Inputs!$B$43 / 12) * (1 + Inputs!$B$44)^INT((COLUMNS($B$68:M68)-1) / 12)</f>
        <v>0</v>
      </c>
      <c r="N68" s="81">
        <f>N30 * (Inputs!$B$43 / 12) * (1 + Inputs!$B$44)^INT((COLUMNS($B$68:N68)-1) / 12)</f>
        <v>0</v>
      </c>
      <c r="O68" s="81">
        <f>O30 * (Inputs!$B$43 / 12) * (1 + Inputs!$B$44)^INT((COLUMNS($B$68:O68)-1) / 12)</f>
        <v>0</v>
      </c>
      <c r="P68" s="81">
        <f>P30 * (Inputs!$B$43 / 12) * (1 + Inputs!$B$44)^INT((COLUMNS($B$68:P68)-1) / 12)</f>
        <v>0</v>
      </c>
      <c r="Q68" s="81">
        <f>Q30 * (Inputs!$B$43 / 12) * (1 + Inputs!$B$44)^INT((COLUMNS($B$68:Q68)-1) / 12)</f>
        <v>0</v>
      </c>
      <c r="R68" s="81">
        <f>R30 * (Inputs!$B$43 / 12) * (1 + Inputs!$B$44)^INT((COLUMNS($B$68:R68)-1) / 12)</f>
        <v>0</v>
      </c>
      <c r="S68" s="81">
        <f>S30 * (Inputs!$B$43 / 12) * (1 + Inputs!$B$44)^INT((COLUMNS($B$68:S68)-1) / 12)</f>
        <v>7000</v>
      </c>
      <c r="T68" s="81">
        <f>T30 * (Inputs!$B$43 / 12) * (1 + Inputs!$B$44)^INT((COLUMNS($B$68:T68)-1) / 12)</f>
        <v>7000</v>
      </c>
      <c r="U68" s="81">
        <f>U30 * (Inputs!$B$43 / 12) * (1 + Inputs!$B$44)^INT((COLUMNS($B$68:U68)-1) / 12)</f>
        <v>7000</v>
      </c>
      <c r="V68" s="81">
        <f>V30 * (Inputs!$B$43 / 12) * (1 + Inputs!$B$44)^INT((COLUMNS($B$68:V68)-1) / 12)</f>
        <v>7000</v>
      </c>
      <c r="W68" s="81">
        <f>W30 * (Inputs!$B$43 / 12) * (1 + Inputs!$B$44)^INT((COLUMNS($B$68:W68)-1) / 12)</f>
        <v>7000</v>
      </c>
      <c r="X68" s="81">
        <f>X30 * (Inputs!$B$43 / 12) * (1 + Inputs!$B$44)^INT((COLUMNS($B$68:X68)-1) / 12)</f>
        <v>7000</v>
      </c>
      <c r="Y68" s="81">
        <f>Y30 * (Inputs!$B$43 / 12) * (1 + Inputs!$B$44)^INT((COLUMNS($B$68:Y68)-1) / 12)</f>
        <v>7000</v>
      </c>
      <c r="Z68" s="81">
        <f>Z30 * (Inputs!$B$43 / 12) * (1 + Inputs!$B$44)^INT((COLUMNS($B$68:Z68)-1) / 12)</f>
        <v>7350</v>
      </c>
      <c r="AA68" s="81">
        <f>AA30 * (Inputs!$B$43 / 12) * (1 + Inputs!$B$44)^INT((COLUMNS($B$68:AA68)-1) / 12)</f>
        <v>7350</v>
      </c>
      <c r="AB68" s="81">
        <f>AB30 * (Inputs!$B$43 / 12) * (1 + Inputs!$B$44)^INT((COLUMNS($B$68:AB68)-1) / 12)</f>
        <v>7350</v>
      </c>
      <c r="AC68" s="81">
        <f>AC30 * (Inputs!$B$43 / 12) * (1 + Inputs!$B$44)^INT((COLUMNS($B$68:AC68)-1) / 12)</f>
        <v>7350</v>
      </c>
      <c r="AD68" s="81">
        <f>AD30 * (Inputs!$B$43 / 12) * (1 + Inputs!$B$44)^INT((COLUMNS($B$68:AD68)-1) / 12)</f>
        <v>7350</v>
      </c>
      <c r="AE68" s="81">
        <f>AE30 * (Inputs!$B$43 / 12) * (1 + Inputs!$B$44)^INT((COLUMNS($B$68:AE68)-1) / 12)</f>
        <v>7350</v>
      </c>
      <c r="AF68" s="81">
        <f>AF30 * (Inputs!$B$43 / 12) * (1 + Inputs!$B$44)^INT((COLUMNS($B$68:AF68)-1) / 12)</f>
        <v>7350</v>
      </c>
      <c r="AG68" s="81">
        <f>AG30 * (Inputs!$B$43 / 12) * (1 + Inputs!$B$44)^INT((COLUMNS($B$68:AG68)-1) / 12)</f>
        <v>7350</v>
      </c>
      <c r="AH68" s="81">
        <f>AH30 * (Inputs!$B$43 / 12) * (1 + Inputs!$B$44)^INT((COLUMNS($B$68:AH68)-1) / 12)</f>
        <v>7350</v>
      </c>
      <c r="AI68" s="81">
        <f>AI30 * (Inputs!$B$43 / 12) * (1 + Inputs!$B$44)^INT((COLUMNS($B$68:AI68)-1) / 12)</f>
        <v>7350</v>
      </c>
      <c r="AJ68" s="81">
        <f>AJ30 * (Inputs!$B$43 / 12) * (1 + Inputs!$B$44)^INT((COLUMNS($B$68:AJ68)-1) / 12)</f>
        <v>7350</v>
      </c>
      <c r="AK68" s="81">
        <f>AK30 * (Inputs!$B$43 / 12) * (1 + Inputs!$B$44)^INT((COLUMNS($B$68:AK68)-1) / 12)</f>
        <v>7350</v>
      </c>
      <c r="AL68" s="81">
        <f>AL30 * (Inputs!$B$43 / 12) * (1 + Inputs!$B$44)^INT((COLUMNS($B$68:AL68)-1) / 12)</f>
        <v>7717.5</v>
      </c>
      <c r="AM68" s="81">
        <f>AM30 * (Inputs!$B$43 / 12) * (1 + Inputs!$B$44)^INT((COLUMNS($B$68:AM68)-1) / 12)</f>
        <v>7717.5</v>
      </c>
      <c r="AN68" s="81">
        <f>AN30 * (Inputs!$B$43 / 12) * (1 + Inputs!$B$44)^INT((COLUMNS($B$68:AN68)-1) / 12)</f>
        <v>7717.5</v>
      </c>
      <c r="AO68" s="81">
        <f>AO30 * (Inputs!$B$43 / 12) * (1 + Inputs!$B$44)^INT((COLUMNS($B$68:AO68)-1) / 12)</f>
        <v>7717.5</v>
      </c>
      <c r="AP68" s="81">
        <f>AP30 * (Inputs!$B$43 / 12) * (1 + Inputs!$B$44)^INT((COLUMNS($B$68:AP68)-1) / 12)</f>
        <v>7717.5</v>
      </c>
      <c r="AQ68" s="81">
        <f>AQ30 * (Inputs!$B$43 / 12) * (1 + Inputs!$B$44)^INT((COLUMNS($B$68:AQ68)-1) / 12)</f>
        <v>7717.5</v>
      </c>
      <c r="AR68" s="81">
        <f>AR30 * (Inputs!$B$43 / 12) * (1 + Inputs!$B$44)^INT((COLUMNS($B$68:AR68)-1) / 12)</f>
        <v>7717.5</v>
      </c>
      <c r="AS68" s="81">
        <f>AS30 * (Inputs!$B$43 / 12) * (1 + Inputs!$B$44)^INT((COLUMNS($B$68:AS68)-1) / 12)</f>
        <v>7717.5</v>
      </c>
      <c r="AT68" s="81">
        <f>AT30 * (Inputs!$B$43 / 12) * (1 + Inputs!$B$44)^INT((COLUMNS($B$68:AT68)-1) / 12)</f>
        <v>7717.5</v>
      </c>
      <c r="AU68" s="81">
        <f>AU30 * (Inputs!$B$43 / 12) * (1 + Inputs!$B$44)^INT((COLUMNS($B$68:AU68)-1) / 12)</f>
        <v>7717.5</v>
      </c>
      <c r="AV68" s="81">
        <f>AV30 * (Inputs!$B$43 / 12) * (1 + Inputs!$B$44)^INT((COLUMNS($B$68:AV68)-1) / 12)</f>
        <v>7717.5</v>
      </c>
      <c r="AW68" s="81">
        <f>AW30 * (Inputs!$B$43 / 12) * (1 + Inputs!$B$44)^INT((COLUMNS($B$68:AW68)-1) / 12)</f>
        <v>7717.5</v>
      </c>
      <c r="AX68" s="81">
        <f>AX30 * (Inputs!$B$43 / 12) * (1 + Inputs!$B$44)^INT((COLUMNS($B$68:AX68)-1) / 12)</f>
        <v>8103.375</v>
      </c>
      <c r="AY68" s="81">
        <f>AY30 * (Inputs!$B$43 / 12) * (1 + Inputs!$B$44)^INT((COLUMNS($B$68:AY68)-1) / 12)</f>
        <v>8103.375</v>
      </c>
      <c r="AZ68" s="81">
        <f>AZ30 * (Inputs!$B$43 / 12) * (1 + Inputs!$B$44)^INT((COLUMNS($B$68:AZ68)-1) / 12)</f>
        <v>8103.375</v>
      </c>
      <c r="BA68" s="81">
        <f>BA30 * (Inputs!$B$43 / 12) * (1 + Inputs!$B$44)^INT((COLUMNS($B$68:BA68)-1) / 12)</f>
        <v>8103.375</v>
      </c>
    </row>
    <row r="69" ht="14.25" customHeight="1">
      <c r="A69" s="3" t="s">
        <v>538</v>
      </c>
      <c r="B69" s="81">
        <f>B31 * (Inputs!$B$35 / 12) * (1 + Inputs!$B$44)^INT((COLUMNS($B$69:B69)-1) / 12)</f>
        <v>0</v>
      </c>
      <c r="C69" s="81">
        <f>C31 * (Inputs!$B$35 / 12) * (1 + Inputs!$B$44)^INT((COLUMNS($B$69:C69)-1) / 12)</f>
        <v>0</v>
      </c>
      <c r="D69" s="81">
        <f>D31 * (Inputs!$B$35 / 12) * (1 + Inputs!$B$44)^INT((COLUMNS($B$69:D69)-1) / 12)</f>
        <v>0</v>
      </c>
      <c r="E69" s="81">
        <f>E31 * (Inputs!$B$35 / 12) * (1 + Inputs!$B$44)^INT((COLUMNS($B$69:E69)-1) / 12)</f>
        <v>0</v>
      </c>
      <c r="F69" s="81">
        <f>F31 * (Inputs!$B$35 / 12) * (1 + Inputs!$B$44)^INT((COLUMNS($B$69:F69)-1) / 12)</f>
        <v>0</v>
      </c>
      <c r="G69" s="81">
        <f>G31 * (Inputs!$B$35 / 12) * (1 + Inputs!$B$44)^INT((COLUMNS($B$69:G69)-1) / 12)</f>
        <v>0</v>
      </c>
      <c r="H69" s="81">
        <f>H31 * (Inputs!$B$35 / 12) * (1 + Inputs!$B$44)^INT((COLUMNS($B$69:H69)-1) / 12)</f>
        <v>0</v>
      </c>
      <c r="I69" s="81">
        <f>I31 * (Inputs!$B$35 / 12) * (1 + Inputs!$B$44)^INT((COLUMNS($B$69:I69)-1) / 12)</f>
        <v>0</v>
      </c>
      <c r="J69" s="81">
        <f>J31 * (Inputs!$B$35 / 12) * (1 + Inputs!$B$44)^INT((COLUMNS($B$69:J69)-1) / 12)</f>
        <v>0</v>
      </c>
      <c r="K69" s="81">
        <f>K31 * (Inputs!$B$35 / 12) * (1 + Inputs!$B$44)^INT((COLUMNS($B$69:K69)-1) / 12)</f>
        <v>0</v>
      </c>
      <c r="L69" s="81">
        <f>L31 * (Inputs!$B$35 / 12) * (1 + Inputs!$B$44)^INT((COLUMNS($B$69:L69)-1) / 12)</f>
        <v>0</v>
      </c>
      <c r="M69" s="81">
        <f>M31 * (Inputs!$B$35 / 12) * (1 + Inputs!$B$44)^INT((COLUMNS($B$69:M69)-1) / 12)</f>
        <v>0</v>
      </c>
      <c r="N69" s="81">
        <f>N31 * (Inputs!$B$35 / 12) * (1 + Inputs!$B$44)^INT((COLUMNS($B$69:N69)-1) / 12)</f>
        <v>0</v>
      </c>
      <c r="O69" s="81">
        <f>O31 * (Inputs!$B$35 / 12) * (1 + Inputs!$B$44)^INT((COLUMNS($B$69:O69)-1) / 12)</f>
        <v>0</v>
      </c>
      <c r="P69" s="81">
        <f>P31 * (Inputs!$B$35 / 12) * (1 + Inputs!$B$44)^INT((COLUMNS($B$69:P69)-1) / 12)</f>
        <v>0</v>
      </c>
      <c r="Q69" s="81">
        <f>Q31 * (Inputs!$B$35 / 12) * (1 + Inputs!$B$44)^INT((COLUMNS($B$69:Q69)-1) / 12)</f>
        <v>0</v>
      </c>
      <c r="R69" s="81">
        <f>R31 * (Inputs!$B$35 / 12) * (1 + Inputs!$B$44)^INT((COLUMNS($B$69:R69)-1) / 12)</f>
        <v>0</v>
      </c>
      <c r="S69" s="81">
        <f>S31 * (Inputs!$B$35 / 12) * (1 + Inputs!$B$44)^INT((COLUMNS($B$69:S69)-1) / 12)</f>
        <v>0</v>
      </c>
      <c r="T69" s="81">
        <f>T31 * (Inputs!$B$35 / 12) * (1 + Inputs!$B$44)^INT((COLUMNS($B$69:T69)-1) / 12)</f>
        <v>0</v>
      </c>
      <c r="U69" s="81">
        <f>U31 * (Inputs!$B$35 / 12) * (1 + Inputs!$B$44)^INT((COLUMNS($B$69:U69)-1) / 12)</f>
        <v>0</v>
      </c>
      <c r="V69" s="81">
        <f>V31 * (Inputs!$B$35 / 12) * (1 + Inputs!$B$44)^INT((COLUMNS($B$69:V69)-1) / 12)</f>
        <v>0</v>
      </c>
      <c r="W69" s="81">
        <f>W31 * (Inputs!$B$35 / 12) * (1 + Inputs!$B$44)^INT((COLUMNS($B$69:W69)-1) / 12)</f>
        <v>0</v>
      </c>
      <c r="X69" s="81">
        <f>X31 * (Inputs!$B$35 / 12) * (1 + Inputs!$B$44)^INT((COLUMNS($B$69:X69)-1) / 12)</f>
        <v>0</v>
      </c>
      <c r="Y69" s="81">
        <f>Y31 * (Inputs!$B$35 / 12) * (1 + Inputs!$B$44)^INT((COLUMNS($B$69:Y69)-1) / 12)</f>
        <v>0</v>
      </c>
      <c r="Z69" s="81">
        <f>Z31 * (Inputs!$B$35 / 12) * (1 + Inputs!$B$44)^INT((COLUMNS($B$69:Z69)-1) / 12)</f>
        <v>0</v>
      </c>
      <c r="AA69" s="81">
        <f>AA31 * (Inputs!$B$35 / 12) * (1 + Inputs!$B$44)^INT((COLUMNS($B$69:AA69)-1) / 12)</f>
        <v>0</v>
      </c>
      <c r="AB69" s="81">
        <f>AB31 * (Inputs!$B$35 / 12) * (1 + Inputs!$B$44)^INT((COLUMNS($B$69:AB69)-1) / 12)</f>
        <v>0</v>
      </c>
      <c r="AC69" s="81">
        <f>AC31 * (Inputs!$B$35 / 12) * (1 + Inputs!$B$44)^INT((COLUMNS($B$69:AC69)-1) / 12)</f>
        <v>0</v>
      </c>
      <c r="AD69" s="81">
        <f>AD31 * (Inputs!$B$35 / 12) * (1 + Inputs!$B$44)^INT((COLUMNS($B$69:AD69)-1) / 12)</f>
        <v>0</v>
      </c>
      <c r="AE69" s="81">
        <f>AE31 * (Inputs!$B$35 / 12) * (1 + Inputs!$B$44)^INT((COLUMNS($B$69:AE69)-1) / 12)</f>
        <v>0</v>
      </c>
      <c r="AF69" s="81">
        <f>AF31 * (Inputs!$B$35 / 12) * (1 + Inputs!$B$44)^INT((COLUMNS($B$69:AF69)-1) / 12)</f>
        <v>0</v>
      </c>
      <c r="AG69" s="81">
        <f>AG31 * (Inputs!$B$35 / 12) * (1 + Inputs!$B$44)^INT((COLUMNS($B$69:AG69)-1) / 12)</f>
        <v>0</v>
      </c>
      <c r="AH69" s="81">
        <f>AH31 * (Inputs!$B$35 / 12) * (1 + Inputs!$B$44)^INT((COLUMNS($B$69:AH69)-1) / 12)</f>
        <v>0</v>
      </c>
      <c r="AI69" s="81">
        <f>AI31 * (Inputs!$B$35 / 12) * (1 + Inputs!$B$44)^INT((COLUMNS($B$69:AI69)-1) / 12)</f>
        <v>0</v>
      </c>
      <c r="AJ69" s="81">
        <f>AJ31 * (Inputs!$B$35 / 12) * (1 + Inputs!$B$44)^INT((COLUMNS($B$69:AJ69)-1) / 12)</f>
        <v>0</v>
      </c>
      <c r="AK69" s="81">
        <f>AK31 * (Inputs!$B$35 / 12) * (1 + Inputs!$B$44)^INT((COLUMNS($B$69:AK69)-1) / 12)</f>
        <v>0</v>
      </c>
      <c r="AL69" s="81">
        <f>AL31 * (Inputs!$B$35 / 12) * (1 + Inputs!$B$44)^INT((COLUMNS($B$69:AL69)-1) / 12)</f>
        <v>0</v>
      </c>
      <c r="AM69" s="81">
        <f>AM31 * (Inputs!$B$35 / 12) * (1 + Inputs!$B$44)^INT((COLUMNS($B$69:AM69)-1) / 12)</f>
        <v>0</v>
      </c>
      <c r="AN69" s="81">
        <f>AN31 * (Inputs!$B$35 / 12) * (1 + Inputs!$B$44)^INT((COLUMNS($B$69:AN69)-1) / 12)</f>
        <v>0</v>
      </c>
      <c r="AO69" s="81">
        <f>AO31 * (Inputs!$B$35 / 12) * (1 + Inputs!$B$44)^INT((COLUMNS($B$69:AO69)-1) / 12)</f>
        <v>0</v>
      </c>
      <c r="AP69" s="81">
        <f>AP31 * (Inputs!$B$35 / 12) * (1 + Inputs!$B$44)^INT((COLUMNS($B$69:AP69)-1) / 12)</f>
        <v>0</v>
      </c>
      <c r="AQ69" s="81">
        <f>AQ31 * (Inputs!$B$35 / 12) * (1 + Inputs!$B$44)^INT((COLUMNS($B$69:AQ69)-1) / 12)</f>
        <v>0</v>
      </c>
      <c r="AR69" s="81">
        <f>AR31 * (Inputs!$B$35 / 12) * (1 + Inputs!$B$44)^INT((COLUMNS($B$69:AR69)-1) / 12)</f>
        <v>0</v>
      </c>
      <c r="AS69" s="81">
        <f>AS31 * (Inputs!$B$35 / 12) * (1 + Inputs!$B$44)^INT((COLUMNS($B$69:AS69)-1) / 12)</f>
        <v>0</v>
      </c>
      <c r="AT69" s="81">
        <f>AT31 * (Inputs!$B$35 / 12) * (1 + Inputs!$B$44)^INT((COLUMNS($B$69:AT69)-1) / 12)</f>
        <v>0</v>
      </c>
      <c r="AU69" s="81">
        <f>AU31 * (Inputs!$B$35 / 12) * (1 + Inputs!$B$44)^INT((COLUMNS($B$69:AU69)-1) / 12)</f>
        <v>0</v>
      </c>
      <c r="AV69" s="81">
        <f>AV31 * (Inputs!$B$35 / 12) * (1 + Inputs!$B$44)^INT((COLUMNS($B$69:AV69)-1) / 12)</f>
        <v>0</v>
      </c>
      <c r="AW69" s="81">
        <f>AW31 * (Inputs!$B$35 / 12) * (1 + Inputs!$B$44)^INT((COLUMNS($B$69:AW69)-1) / 12)</f>
        <v>0</v>
      </c>
      <c r="AX69" s="81">
        <f>AX31 * (Inputs!$B$35 / 12) * (1 + Inputs!$B$44)^INT((COLUMNS($B$69:AX69)-1) / 12)</f>
        <v>0</v>
      </c>
      <c r="AY69" s="81">
        <f>AY31 * (Inputs!$B$35 / 12) * (1 + Inputs!$B$44)^INT((COLUMNS($B$69:AY69)-1) / 12)</f>
        <v>0</v>
      </c>
      <c r="AZ69" s="81">
        <f>AZ31 * (Inputs!$B$35 / 12) * (1 + Inputs!$B$44)^INT((COLUMNS($B$69:AZ69)-1) / 12)</f>
        <v>0</v>
      </c>
      <c r="BA69" s="81">
        <f>BA31 * (Inputs!$B$35 / 12) * (1 + Inputs!$B$44)^INT((COLUMNS($B$69:BA69)-1) / 12)</f>
        <v>0</v>
      </c>
    </row>
    <row r="70" ht="14.25" customHeight="1">
      <c r="A70" s="3" t="s">
        <v>539</v>
      </c>
      <c r="B70" s="81">
        <f>B32 * (Inputs!$B$35 / 12) * (1 + Inputs!$B$44)^INT((COLUMNS($B$70:B70)-1) / 12)</f>
        <v>0</v>
      </c>
      <c r="C70" s="81">
        <f>C32 * (Inputs!$B$35 / 12) * (1 + Inputs!$B$44)^INT((COLUMNS($B$70:C70)-1) / 12)</f>
        <v>0</v>
      </c>
      <c r="D70" s="81">
        <f>D32 * (Inputs!$B$35 / 12) * (1 + Inputs!$B$44)^INT((COLUMNS($B$70:D70)-1) / 12)</f>
        <v>0</v>
      </c>
      <c r="E70" s="81">
        <f>E32 * (Inputs!$B$35 / 12) * (1 + Inputs!$B$44)^INT((COLUMNS($B$70:E70)-1) / 12)</f>
        <v>0</v>
      </c>
      <c r="F70" s="81">
        <f>F32 * (Inputs!$B$35 / 12) * (1 + Inputs!$B$44)^INT((COLUMNS($B$70:F70)-1) / 12)</f>
        <v>0</v>
      </c>
      <c r="G70" s="81">
        <f>G32 * (Inputs!$B$35 / 12) * (1 + Inputs!$B$44)^INT((COLUMNS($B$70:G70)-1) / 12)</f>
        <v>0</v>
      </c>
      <c r="H70" s="81">
        <f>H32 * (Inputs!$B$35 / 12) * (1 + Inputs!$B$44)^INT((COLUMNS($B$70:H70)-1) / 12)</f>
        <v>0</v>
      </c>
      <c r="I70" s="81">
        <f>I32 * (Inputs!$B$35 / 12) * (1 + Inputs!$B$44)^INT((COLUMNS($B$70:I70)-1) / 12)</f>
        <v>0</v>
      </c>
      <c r="J70" s="81">
        <f>J32 * (Inputs!$B$35 / 12) * (1 + Inputs!$B$44)^INT((COLUMNS($B$70:J70)-1) / 12)</f>
        <v>0</v>
      </c>
      <c r="K70" s="81">
        <f>K32 * (Inputs!$B$35 / 12) * (1 + Inputs!$B$44)^INT((COLUMNS($B$70:K70)-1) / 12)</f>
        <v>0</v>
      </c>
      <c r="L70" s="81">
        <f>L32 * (Inputs!$B$35 / 12) * (1 + Inputs!$B$44)^INT((COLUMNS($B$70:L70)-1) / 12)</f>
        <v>0</v>
      </c>
      <c r="M70" s="81">
        <f>M32 * (Inputs!$B$35 / 12) * (1 + Inputs!$B$44)^INT((COLUMNS($B$70:M70)-1) / 12)</f>
        <v>0</v>
      </c>
      <c r="N70" s="81">
        <f>N32 * (Inputs!$B$35 / 12) * (1 + Inputs!$B$44)^INT((COLUMNS($B$70:N70)-1) / 12)</f>
        <v>0</v>
      </c>
      <c r="O70" s="81">
        <f>O32 * (Inputs!$B$35 / 12) * (1 + Inputs!$B$44)^INT((COLUMNS($B$70:O70)-1) / 12)</f>
        <v>0</v>
      </c>
      <c r="P70" s="81">
        <f>P32 * (Inputs!$B$35 / 12) * (1 + Inputs!$B$44)^INT((COLUMNS($B$70:P70)-1) / 12)</f>
        <v>0</v>
      </c>
      <c r="Q70" s="81">
        <f>Q32 * (Inputs!$B$35 / 12) * (1 + Inputs!$B$44)^INT((COLUMNS($B$70:Q70)-1) / 12)</f>
        <v>0</v>
      </c>
      <c r="R70" s="81">
        <f>R32 * (Inputs!$B$35 / 12) * (1 + Inputs!$B$44)^INT((COLUMNS($B$70:R70)-1) / 12)</f>
        <v>0</v>
      </c>
      <c r="S70" s="81">
        <f>S32 * (Inputs!$B$35 / 12) * (1 + Inputs!$B$44)^INT((COLUMNS($B$70:S70)-1) / 12)</f>
        <v>0</v>
      </c>
      <c r="T70" s="81">
        <f>T32 * (Inputs!$B$35 / 12) * (1 + Inputs!$B$44)^INT((COLUMNS($B$70:T70)-1) / 12)</f>
        <v>0</v>
      </c>
      <c r="U70" s="81">
        <f>U32 * (Inputs!$B$35 / 12) * (1 + Inputs!$B$44)^INT((COLUMNS($B$70:U70)-1) / 12)</f>
        <v>0</v>
      </c>
      <c r="V70" s="81">
        <f>V32 * (Inputs!$B$35 / 12) * (1 + Inputs!$B$44)^INT((COLUMNS($B$70:V70)-1) / 12)</f>
        <v>0</v>
      </c>
      <c r="W70" s="81">
        <f>W32 * (Inputs!$B$35 / 12) * (1 + Inputs!$B$44)^INT((COLUMNS($B$70:W70)-1) / 12)</f>
        <v>0</v>
      </c>
      <c r="X70" s="81">
        <f>X32 * (Inputs!$B$35 / 12) * (1 + Inputs!$B$44)^INT((COLUMNS($B$70:X70)-1) / 12)</f>
        <v>0</v>
      </c>
      <c r="Y70" s="81">
        <f>Y32 * (Inputs!$B$35 / 12) * (1 + Inputs!$B$44)^INT((COLUMNS($B$70:Y70)-1) / 12)</f>
        <v>0</v>
      </c>
      <c r="Z70" s="81">
        <f>Z32 * (Inputs!$B$35 / 12) * (1 + Inputs!$B$44)^INT((COLUMNS($B$70:Z70)-1) / 12)</f>
        <v>0</v>
      </c>
      <c r="AA70" s="81">
        <f>AA32 * (Inputs!$B$35 / 12) * (1 + Inputs!$B$44)^INT((COLUMNS($B$70:AA70)-1) / 12)</f>
        <v>0</v>
      </c>
      <c r="AB70" s="81">
        <f>AB32 * (Inputs!$B$35 / 12) * (1 + Inputs!$B$44)^INT((COLUMNS($B$70:AB70)-1) / 12)</f>
        <v>0</v>
      </c>
      <c r="AC70" s="81">
        <f>AC32 * (Inputs!$B$35 / 12) * (1 + Inputs!$B$44)^INT((COLUMNS($B$70:AC70)-1) / 12)</f>
        <v>0</v>
      </c>
      <c r="AD70" s="81">
        <f>AD32 * (Inputs!$B$35 / 12) * (1 + Inputs!$B$44)^INT((COLUMNS($B$70:AD70)-1) / 12)</f>
        <v>0</v>
      </c>
      <c r="AE70" s="81">
        <f>AE32 * (Inputs!$B$35 / 12) * (1 + Inputs!$B$44)^INT((COLUMNS($B$70:AE70)-1) / 12)</f>
        <v>0</v>
      </c>
      <c r="AF70" s="81">
        <f>AF32 * (Inputs!$B$35 / 12) * (1 + Inputs!$B$44)^INT((COLUMNS($B$70:AF70)-1) / 12)</f>
        <v>0</v>
      </c>
      <c r="AG70" s="81">
        <f>AG32 * (Inputs!$B$35 / 12) * (1 + Inputs!$B$44)^INT((COLUMNS($B$70:AG70)-1) / 12)</f>
        <v>0</v>
      </c>
      <c r="AH70" s="81">
        <f>AH32 * (Inputs!$B$35 / 12) * (1 + Inputs!$B$44)^INT((COLUMNS($B$70:AH70)-1) / 12)</f>
        <v>0</v>
      </c>
      <c r="AI70" s="81">
        <f>AI32 * (Inputs!$B$35 / 12) * (1 + Inputs!$B$44)^INT((COLUMNS($B$70:AI70)-1) / 12)</f>
        <v>0</v>
      </c>
      <c r="AJ70" s="81">
        <f>AJ32 * (Inputs!$B$35 / 12) * (1 + Inputs!$B$44)^INT((COLUMNS($B$70:AJ70)-1) / 12)</f>
        <v>0</v>
      </c>
      <c r="AK70" s="81">
        <f>AK32 * (Inputs!$B$35 / 12) * (1 + Inputs!$B$44)^INT((COLUMNS($B$70:AK70)-1) / 12)</f>
        <v>0</v>
      </c>
      <c r="AL70" s="81">
        <f>AL32 * (Inputs!$B$35 / 12) * (1 + Inputs!$B$44)^INT((COLUMNS($B$70:AL70)-1) / 12)</f>
        <v>0</v>
      </c>
      <c r="AM70" s="81">
        <f>AM32 * (Inputs!$B$35 / 12) * (1 + Inputs!$B$44)^INT((COLUMNS($B$70:AM70)-1) / 12)</f>
        <v>0</v>
      </c>
      <c r="AN70" s="81">
        <f>AN32 * (Inputs!$B$35 / 12) * (1 + Inputs!$B$44)^INT((COLUMNS($B$70:AN70)-1) / 12)</f>
        <v>0</v>
      </c>
      <c r="AO70" s="81">
        <f>AO32 * (Inputs!$B$35 / 12) * (1 + Inputs!$B$44)^INT((COLUMNS($B$70:AO70)-1) / 12)</f>
        <v>0</v>
      </c>
      <c r="AP70" s="81">
        <f>AP32 * (Inputs!$B$35 / 12) * (1 + Inputs!$B$44)^INT((COLUMNS($B$70:AP70)-1) / 12)</f>
        <v>0</v>
      </c>
      <c r="AQ70" s="81">
        <f>AQ32 * (Inputs!$B$35 / 12) * (1 + Inputs!$B$44)^INT((COLUMNS($B$70:AQ70)-1) / 12)</f>
        <v>0</v>
      </c>
      <c r="AR70" s="81">
        <f>AR32 * (Inputs!$B$35 / 12) * (1 + Inputs!$B$44)^INT((COLUMNS($B$70:AR70)-1) / 12)</f>
        <v>0</v>
      </c>
      <c r="AS70" s="81">
        <f>AS32 * (Inputs!$B$35 / 12) * (1 + Inputs!$B$44)^INT((COLUMNS($B$70:AS70)-1) / 12)</f>
        <v>0</v>
      </c>
      <c r="AT70" s="81">
        <f>AT32 * (Inputs!$B$35 / 12) * (1 + Inputs!$B$44)^INT((COLUMNS($B$70:AT70)-1) / 12)</f>
        <v>0</v>
      </c>
      <c r="AU70" s="81">
        <f>AU32 * (Inputs!$B$35 / 12) * (1 + Inputs!$B$44)^INT((COLUMNS($B$70:AU70)-1) / 12)</f>
        <v>0</v>
      </c>
      <c r="AV70" s="81">
        <f>AV32 * (Inputs!$B$35 / 12) * (1 + Inputs!$B$44)^INT((COLUMNS($B$70:AV70)-1) / 12)</f>
        <v>0</v>
      </c>
      <c r="AW70" s="81">
        <f>AW32 * (Inputs!$B$35 / 12) * (1 + Inputs!$B$44)^INT((COLUMNS($B$70:AW70)-1) / 12)</f>
        <v>0</v>
      </c>
      <c r="AX70" s="81">
        <f>AX32 * (Inputs!$B$35 / 12) * (1 + Inputs!$B$44)^INT((COLUMNS($B$70:AX70)-1) / 12)</f>
        <v>0</v>
      </c>
      <c r="AY70" s="81">
        <f>AY32 * (Inputs!$B$35 / 12) * (1 + Inputs!$B$44)^INT((COLUMNS($B$70:AY70)-1) / 12)</f>
        <v>0</v>
      </c>
      <c r="AZ70" s="81">
        <f>AZ32 * (Inputs!$B$35 / 12) * (1 + Inputs!$B$44)^INT((COLUMNS($B$70:AZ70)-1) / 12)</f>
        <v>0</v>
      </c>
      <c r="BA70" s="81">
        <f>BA32 * (Inputs!$B$35 / 12) * (1 + Inputs!$B$44)^INT((COLUMNS($B$70:BA70)-1) / 12)</f>
        <v>0</v>
      </c>
    </row>
    <row r="71" ht="14.25" customHeight="1">
      <c r="A71" s="3" t="s">
        <v>540</v>
      </c>
      <c r="B71" s="81">
        <f>B33 * (Inputs!$B$36 / 12) * (1 + Inputs!$B$44)^INT((COLUMNS($B$71:B71)-1) / 12)</f>
        <v>0</v>
      </c>
      <c r="C71" s="81">
        <f>C33 * (Inputs!$B$36 / 12) * (1 + Inputs!$B$44)^INT((COLUMNS($B$71:C71)-1) / 12)</f>
        <v>0</v>
      </c>
      <c r="D71" s="81">
        <f>D33 * (Inputs!$B$36 / 12) * (1 + Inputs!$B$44)^INT((COLUMNS($B$71:D71)-1) / 12)</f>
        <v>0</v>
      </c>
      <c r="E71" s="81">
        <f>E33 * (Inputs!$B$36 / 12) * (1 + Inputs!$B$44)^INT((COLUMNS($B$71:E71)-1) / 12)</f>
        <v>0</v>
      </c>
      <c r="F71" s="81">
        <f>F33 * (Inputs!$B$36 / 12) * (1 + Inputs!$B$44)^INT((COLUMNS($B$71:F71)-1) / 12)</f>
        <v>0</v>
      </c>
      <c r="G71" s="81">
        <f>G33 * (Inputs!$B$36 / 12) * (1 + Inputs!$B$44)^INT((COLUMNS($B$71:G71)-1) / 12)</f>
        <v>0</v>
      </c>
      <c r="H71" s="81">
        <f>H33 * (Inputs!$B$36 / 12) * (1 + Inputs!$B$44)^INT((COLUMNS($B$71:H71)-1) / 12)</f>
        <v>0</v>
      </c>
      <c r="I71" s="81">
        <f>I33 * (Inputs!$B$36 / 12) * (1 + Inputs!$B$44)^INT((COLUMNS($B$71:I71)-1) / 12)</f>
        <v>0</v>
      </c>
      <c r="J71" s="81">
        <f>J33 * (Inputs!$B$36 / 12) * (1 + Inputs!$B$44)^INT((COLUMNS($B$71:J71)-1) / 12)</f>
        <v>0</v>
      </c>
      <c r="K71" s="81">
        <f>K33 * (Inputs!$B$36 / 12) * (1 + Inputs!$B$44)^INT((COLUMNS($B$71:K71)-1) / 12)</f>
        <v>0</v>
      </c>
      <c r="L71" s="81">
        <f>L33 * (Inputs!$B$36 / 12) * (1 + Inputs!$B$44)^INT((COLUMNS($B$71:L71)-1) / 12)</f>
        <v>0</v>
      </c>
      <c r="M71" s="81">
        <f>M33 * (Inputs!$B$36 / 12) * (1 + Inputs!$B$44)^INT((COLUMNS($B$71:M71)-1) / 12)</f>
        <v>0</v>
      </c>
      <c r="N71" s="81">
        <f>N33 * (Inputs!$B$36 / 12) * (1 + Inputs!$B$44)^INT((COLUMNS($B$71:N71)-1) / 12)</f>
        <v>0</v>
      </c>
      <c r="O71" s="81">
        <f>O33 * (Inputs!$B$36 / 12) * (1 + Inputs!$B$44)^INT((COLUMNS($B$71:O71)-1) / 12)</f>
        <v>0</v>
      </c>
      <c r="P71" s="81">
        <f>P33 * (Inputs!$B$36 / 12) * (1 + Inputs!$B$44)^INT((COLUMNS($B$71:P71)-1) / 12)</f>
        <v>0</v>
      </c>
      <c r="Q71" s="81">
        <f>Q33 * (Inputs!$B$36 / 12) * (1 + Inputs!$B$44)^INT((COLUMNS($B$71:Q71)-1) / 12)</f>
        <v>0</v>
      </c>
      <c r="R71" s="81">
        <f>R33 * (Inputs!$B$36 / 12) * (1 + Inputs!$B$44)^INT((COLUMNS($B$71:R71)-1) / 12)</f>
        <v>0</v>
      </c>
      <c r="S71" s="81">
        <f>S33 * (Inputs!$B$36 / 12) * (1 + Inputs!$B$44)^INT((COLUMNS($B$71:S71)-1) / 12)</f>
        <v>0</v>
      </c>
      <c r="T71" s="81">
        <f>T33 * (Inputs!$B$36 / 12) * (1 + Inputs!$B$44)^INT((COLUMNS($B$71:T71)-1) / 12)</f>
        <v>0</v>
      </c>
      <c r="U71" s="81">
        <f>U33 * (Inputs!$B$36 / 12) * (1 + Inputs!$B$44)^INT((COLUMNS($B$71:U71)-1) / 12)</f>
        <v>0</v>
      </c>
      <c r="V71" s="81">
        <f>V33 * (Inputs!$B$36 / 12) * (1 + Inputs!$B$44)^INT((COLUMNS($B$71:V71)-1) / 12)</f>
        <v>0</v>
      </c>
      <c r="W71" s="81">
        <f>W33 * (Inputs!$B$36 / 12) * (1 + Inputs!$B$44)^INT((COLUMNS($B$71:W71)-1) / 12)</f>
        <v>0</v>
      </c>
      <c r="X71" s="81">
        <f>X33 * (Inputs!$B$36 / 12) * (1 + Inputs!$B$44)^INT((COLUMNS($B$71:X71)-1) / 12)</f>
        <v>0</v>
      </c>
      <c r="Y71" s="81">
        <f>Y33 * (Inputs!$B$36 / 12) * (1 + Inputs!$B$44)^INT((COLUMNS($B$71:Y71)-1) / 12)</f>
        <v>0</v>
      </c>
      <c r="Z71" s="81">
        <f>Z33 * (Inputs!$B$36 / 12) * (1 + Inputs!$B$44)^INT((COLUMNS($B$71:Z71)-1) / 12)</f>
        <v>0</v>
      </c>
      <c r="AA71" s="81">
        <f>AA33 * (Inputs!$B$36 / 12) * (1 + Inputs!$B$44)^INT((COLUMNS($B$71:AA71)-1) / 12)</f>
        <v>0</v>
      </c>
      <c r="AB71" s="81">
        <f>AB33 * (Inputs!$B$36 / 12) * (1 + Inputs!$B$44)^INT((COLUMNS($B$71:AB71)-1) / 12)</f>
        <v>0</v>
      </c>
      <c r="AC71" s="81">
        <f>AC33 * (Inputs!$B$36 / 12) * (1 + Inputs!$B$44)^INT((COLUMNS($B$71:AC71)-1) / 12)</f>
        <v>0</v>
      </c>
      <c r="AD71" s="81">
        <f>AD33 * (Inputs!$B$36 / 12) * (1 + Inputs!$B$44)^INT((COLUMNS($B$71:AD71)-1) / 12)</f>
        <v>0</v>
      </c>
      <c r="AE71" s="81">
        <f>AE33 * (Inputs!$B$36 / 12) * (1 + Inputs!$B$44)^INT((COLUMNS($B$71:AE71)-1) / 12)</f>
        <v>0</v>
      </c>
      <c r="AF71" s="81">
        <f>AF33 * (Inputs!$B$36 / 12) * (1 + Inputs!$B$44)^INT((COLUMNS($B$71:AF71)-1) / 12)</f>
        <v>0</v>
      </c>
      <c r="AG71" s="81">
        <f>AG33 * (Inputs!$B$36 / 12) * (1 + Inputs!$B$44)^INT((COLUMNS($B$71:AG71)-1) / 12)</f>
        <v>0</v>
      </c>
      <c r="AH71" s="81">
        <f>AH33 * (Inputs!$B$36 / 12) * (1 + Inputs!$B$44)^INT((COLUMNS($B$71:AH71)-1) / 12)</f>
        <v>0</v>
      </c>
      <c r="AI71" s="81">
        <f>AI33 * (Inputs!$B$36 / 12) * (1 + Inputs!$B$44)^INT((COLUMNS($B$71:AI71)-1) / 12)</f>
        <v>0</v>
      </c>
      <c r="AJ71" s="81">
        <f>AJ33 * (Inputs!$B$36 / 12) * (1 + Inputs!$B$44)^INT((COLUMNS($B$71:AJ71)-1) / 12)</f>
        <v>0</v>
      </c>
      <c r="AK71" s="81">
        <f>AK33 * (Inputs!$B$36 / 12) * (1 + Inputs!$B$44)^INT((COLUMNS($B$71:AK71)-1) / 12)</f>
        <v>0</v>
      </c>
      <c r="AL71" s="81">
        <f>AL33 * (Inputs!$B$36 / 12) * (1 + Inputs!$B$44)^INT((COLUMNS($B$71:AL71)-1) / 12)</f>
        <v>0</v>
      </c>
      <c r="AM71" s="81">
        <f>AM33 * (Inputs!$B$36 / 12) * (1 + Inputs!$B$44)^INT((COLUMNS($B$71:AM71)-1) / 12)</f>
        <v>0</v>
      </c>
      <c r="AN71" s="81">
        <f>AN33 * (Inputs!$B$36 / 12) * (1 + Inputs!$B$44)^INT((COLUMNS($B$71:AN71)-1) / 12)</f>
        <v>0</v>
      </c>
      <c r="AO71" s="81">
        <f>AO33 * (Inputs!$B$36 / 12) * (1 + Inputs!$B$44)^INT((COLUMNS($B$71:AO71)-1) / 12)</f>
        <v>0</v>
      </c>
      <c r="AP71" s="81">
        <f>AP33 * (Inputs!$B$36 / 12) * (1 + Inputs!$B$44)^INT((COLUMNS($B$71:AP71)-1) / 12)</f>
        <v>0</v>
      </c>
      <c r="AQ71" s="81">
        <f>AQ33 * (Inputs!$B$36 / 12) * (1 + Inputs!$B$44)^INT((COLUMNS($B$71:AQ71)-1) / 12)</f>
        <v>0</v>
      </c>
      <c r="AR71" s="81">
        <f>AR33 * (Inputs!$B$36 / 12) * (1 + Inputs!$B$44)^INT((COLUMNS($B$71:AR71)-1) / 12)</f>
        <v>0</v>
      </c>
      <c r="AS71" s="81">
        <f>AS33 * (Inputs!$B$36 / 12) * (1 + Inputs!$B$44)^INT((COLUMNS($B$71:AS71)-1) / 12)</f>
        <v>0</v>
      </c>
      <c r="AT71" s="81">
        <f>AT33 * (Inputs!$B$36 / 12) * (1 + Inputs!$B$44)^INT((COLUMNS($B$71:AT71)-1) / 12)</f>
        <v>0</v>
      </c>
      <c r="AU71" s="81">
        <f>AU33 * (Inputs!$B$36 / 12) * (1 + Inputs!$B$44)^INT((COLUMNS($B$71:AU71)-1) / 12)</f>
        <v>0</v>
      </c>
      <c r="AV71" s="81">
        <f>AV33 * (Inputs!$B$36 / 12) * (1 + Inputs!$B$44)^INT((COLUMNS($B$71:AV71)-1) / 12)</f>
        <v>0</v>
      </c>
      <c r="AW71" s="81">
        <f>AW33 * (Inputs!$B$36 / 12) * (1 + Inputs!$B$44)^INT((COLUMNS($B$71:AW71)-1) / 12)</f>
        <v>0</v>
      </c>
      <c r="AX71" s="81">
        <f>AX33 * (Inputs!$B$36 / 12) * (1 + Inputs!$B$44)^INT((COLUMNS($B$71:AX71)-1) / 12)</f>
        <v>0</v>
      </c>
      <c r="AY71" s="81">
        <f>AY33 * (Inputs!$B$36 / 12) * (1 + Inputs!$B$44)^INT((COLUMNS($B$71:AY71)-1) / 12)</f>
        <v>0</v>
      </c>
      <c r="AZ71" s="81">
        <f>AZ33 * (Inputs!$B$36 / 12) * (1 + Inputs!$B$44)^INT((COLUMNS($B$71:AZ71)-1) / 12)</f>
        <v>0</v>
      </c>
      <c r="BA71" s="81">
        <f>BA33 * (Inputs!$B$36 / 12) * (1 + Inputs!$B$44)^INT((COLUMNS($B$71:BA71)-1) / 12)</f>
        <v>0</v>
      </c>
    </row>
    <row r="72" ht="14.25" customHeight="1">
      <c r="A72" s="3" t="s">
        <v>541</v>
      </c>
      <c r="B72" s="81">
        <f>B34 * (Inputs!$B$37 / 12) * (1 + Inputs!$B$44)^INT((COLUMNS($B$72:B72)-1) / 12)</f>
        <v>0</v>
      </c>
      <c r="C72" s="81">
        <f>C34 * (Inputs!$B$37 / 12) * (1 + Inputs!$B$44)^INT((COLUMNS($B$72:C72)-1) / 12)</f>
        <v>0</v>
      </c>
      <c r="D72" s="81">
        <f>D34 * (Inputs!$B$37 / 12) * (1 + Inputs!$B$44)^INT((COLUMNS($B$72:D72)-1) / 12)</f>
        <v>0</v>
      </c>
      <c r="E72" s="81">
        <f>E34 * (Inputs!$B$37 / 12) * (1 + Inputs!$B$44)^INT((COLUMNS($B$72:E72)-1) / 12)</f>
        <v>0</v>
      </c>
      <c r="F72" s="81">
        <f>F34 * (Inputs!$B$37 / 12) * (1 + Inputs!$B$44)^INT((COLUMNS($B$72:F72)-1) / 12)</f>
        <v>0</v>
      </c>
      <c r="G72" s="81">
        <f>G34 * (Inputs!$B$37 / 12) * (1 + Inputs!$B$44)^INT((COLUMNS($B$72:G72)-1) / 12)</f>
        <v>0</v>
      </c>
      <c r="H72" s="81">
        <f>H34 * (Inputs!$B$37 / 12) * (1 + Inputs!$B$44)^INT((COLUMNS($B$72:H72)-1) / 12)</f>
        <v>0</v>
      </c>
      <c r="I72" s="81">
        <f>I34 * (Inputs!$B$37 / 12) * (1 + Inputs!$B$44)^INT((COLUMNS($B$72:I72)-1) / 12)</f>
        <v>0</v>
      </c>
      <c r="J72" s="81">
        <f>J34 * (Inputs!$B$37 / 12) * (1 + Inputs!$B$44)^INT((COLUMNS($B$72:J72)-1) / 12)</f>
        <v>0</v>
      </c>
      <c r="K72" s="81">
        <f>K34 * (Inputs!$B$37 / 12) * (1 + Inputs!$B$44)^INT((COLUMNS($B$72:K72)-1) / 12)</f>
        <v>0</v>
      </c>
      <c r="L72" s="81">
        <f>L34 * (Inputs!$B$37 / 12) * (1 + Inputs!$B$44)^INT((COLUMNS($B$72:L72)-1) / 12)</f>
        <v>0</v>
      </c>
      <c r="M72" s="81">
        <f>M34 * (Inputs!$B$37 / 12) * (1 + Inputs!$B$44)^INT((COLUMNS($B$72:M72)-1) / 12)</f>
        <v>0</v>
      </c>
      <c r="N72" s="81">
        <f>N34 * (Inputs!$B$37 / 12) * (1 + Inputs!$B$44)^INT((COLUMNS($B$72:N72)-1) / 12)</f>
        <v>0</v>
      </c>
      <c r="O72" s="81">
        <f>O34 * (Inputs!$B$37 / 12) * (1 + Inputs!$B$44)^INT((COLUMNS($B$72:O72)-1) / 12)</f>
        <v>0</v>
      </c>
      <c r="P72" s="81">
        <f>P34 * (Inputs!$B$37 / 12) * (1 + Inputs!$B$44)^INT((COLUMNS($B$72:P72)-1) / 12)</f>
        <v>0</v>
      </c>
      <c r="Q72" s="81">
        <f>Q34 * (Inputs!$B$37 / 12) * (1 + Inputs!$B$44)^INT((COLUMNS($B$72:Q72)-1) / 12)</f>
        <v>0</v>
      </c>
      <c r="R72" s="81">
        <f>R34 * (Inputs!$B$37 / 12) * (1 + Inputs!$B$44)^INT((COLUMNS($B$72:R72)-1) / 12)</f>
        <v>0</v>
      </c>
      <c r="S72" s="81">
        <f>S34 * (Inputs!$B$37 / 12) * (1 + Inputs!$B$44)^INT((COLUMNS($B$72:S72)-1) / 12)</f>
        <v>0</v>
      </c>
      <c r="T72" s="81">
        <f>T34 * (Inputs!$B$37 / 12) * (1 + Inputs!$B$44)^INT((COLUMNS($B$72:T72)-1) / 12)</f>
        <v>0</v>
      </c>
      <c r="U72" s="81">
        <f>U34 * (Inputs!$B$37 / 12) * (1 + Inputs!$B$44)^INT((COLUMNS($B$72:U72)-1) / 12)</f>
        <v>0</v>
      </c>
      <c r="V72" s="81">
        <f>V34 * (Inputs!$B$37 / 12) * (1 + Inputs!$B$44)^INT((COLUMNS($B$72:V72)-1) / 12)</f>
        <v>0</v>
      </c>
      <c r="W72" s="81">
        <f>W34 * (Inputs!$B$37 / 12) * (1 + Inputs!$B$44)^INT((COLUMNS($B$72:W72)-1) / 12)</f>
        <v>0</v>
      </c>
      <c r="X72" s="81">
        <f>X34 * (Inputs!$B$37 / 12) * (1 + Inputs!$B$44)^INT((COLUMNS($B$72:X72)-1) / 12)</f>
        <v>0</v>
      </c>
      <c r="Y72" s="81">
        <f>Y34 * (Inputs!$B$37 / 12) * (1 + Inputs!$B$44)^INT((COLUMNS($B$72:Y72)-1) / 12)</f>
        <v>0</v>
      </c>
      <c r="Z72" s="81">
        <f>Z34 * (Inputs!$B$37 / 12) * (1 + Inputs!$B$44)^INT((COLUMNS($B$72:Z72)-1) / 12)</f>
        <v>0</v>
      </c>
      <c r="AA72" s="81">
        <f>AA34 * (Inputs!$B$37 / 12) * (1 + Inputs!$B$44)^INT((COLUMNS($B$72:AA72)-1) / 12)</f>
        <v>0</v>
      </c>
      <c r="AB72" s="81">
        <f>AB34 * (Inputs!$B$37 / 12) * (1 + Inputs!$B$44)^INT((COLUMNS($B$72:AB72)-1) / 12)</f>
        <v>0</v>
      </c>
      <c r="AC72" s="81">
        <f>AC34 * (Inputs!$B$37 / 12) * (1 + Inputs!$B$44)^INT((COLUMNS($B$72:AC72)-1) / 12)</f>
        <v>0</v>
      </c>
      <c r="AD72" s="81">
        <f>AD34 * (Inputs!$B$37 / 12) * (1 + Inputs!$B$44)^INT((COLUMNS($B$72:AD72)-1) / 12)</f>
        <v>0</v>
      </c>
      <c r="AE72" s="81">
        <f>AE34 * (Inputs!$B$37 / 12) * (1 + Inputs!$B$44)^INT((COLUMNS($B$72:AE72)-1) / 12)</f>
        <v>0</v>
      </c>
      <c r="AF72" s="81">
        <f>AF34 * (Inputs!$B$37 / 12) * (1 + Inputs!$B$44)^INT((COLUMNS($B$72:AF72)-1) / 12)</f>
        <v>0</v>
      </c>
      <c r="AG72" s="81">
        <f>AG34 * (Inputs!$B$37 / 12) * (1 + Inputs!$B$44)^INT((COLUMNS($B$72:AG72)-1) / 12)</f>
        <v>0</v>
      </c>
      <c r="AH72" s="81">
        <f>AH34 * (Inputs!$B$37 / 12) * (1 + Inputs!$B$44)^INT((COLUMNS($B$72:AH72)-1) / 12)</f>
        <v>0</v>
      </c>
      <c r="AI72" s="81">
        <f>AI34 * (Inputs!$B$37 / 12) * (1 + Inputs!$B$44)^INT((COLUMNS($B$72:AI72)-1) / 12)</f>
        <v>0</v>
      </c>
      <c r="AJ72" s="81">
        <f>AJ34 * (Inputs!$B$37 / 12) * (1 + Inputs!$B$44)^INT((COLUMNS($B$72:AJ72)-1) / 12)</f>
        <v>0</v>
      </c>
      <c r="AK72" s="81">
        <f>AK34 * (Inputs!$B$37 / 12) * (1 + Inputs!$B$44)^INT((COLUMNS($B$72:AK72)-1) / 12)</f>
        <v>0</v>
      </c>
      <c r="AL72" s="81">
        <f>AL34 * (Inputs!$B$37 / 12) * (1 + Inputs!$B$44)^INT((COLUMNS($B$72:AL72)-1) / 12)</f>
        <v>0</v>
      </c>
      <c r="AM72" s="81">
        <f>AM34 * (Inputs!$B$37 / 12) * (1 + Inputs!$B$44)^INT((COLUMNS($B$72:AM72)-1) / 12)</f>
        <v>0</v>
      </c>
      <c r="AN72" s="81">
        <f>AN34 * (Inputs!$B$37 / 12) * (1 + Inputs!$B$44)^INT((COLUMNS($B$72:AN72)-1) / 12)</f>
        <v>0</v>
      </c>
      <c r="AO72" s="81">
        <f>AO34 * (Inputs!$B$37 / 12) * (1 + Inputs!$B$44)^INT((COLUMNS($B$72:AO72)-1) / 12)</f>
        <v>0</v>
      </c>
      <c r="AP72" s="81">
        <f>AP34 * (Inputs!$B$37 / 12) * (1 + Inputs!$B$44)^INT((COLUMNS($B$72:AP72)-1) / 12)</f>
        <v>0</v>
      </c>
      <c r="AQ72" s="81">
        <f>AQ34 * (Inputs!$B$37 / 12) * (1 + Inputs!$B$44)^INT((COLUMNS($B$72:AQ72)-1) / 12)</f>
        <v>0</v>
      </c>
      <c r="AR72" s="81">
        <f>AR34 * (Inputs!$B$37 / 12) * (1 + Inputs!$B$44)^INT((COLUMNS($B$72:AR72)-1) / 12)</f>
        <v>0</v>
      </c>
      <c r="AS72" s="81">
        <f>AS34 * (Inputs!$B$37 / 12) * (1 + Inputs!$B$44)^INT((COLUMNS($B$72:AS72)-1) / 12)</f>
        <v>0</v>
      </c>
      <c r="AT72" s="81">
        <f>AT34 * (Inputs!$B$37 / 12) * (1 + Inputs!$B$44)^INT((COLUMNS($B$72:AT72)-1) / 12)</f>
        <v>0</v>
      </c>
      <c r="AU72" s="81">
        <f>AU34 * (Inputs!$B$37 / 12) * (1 + Inputs!$B$44)^INT((COLUMNS($B$72:AU72)-1) / 12)</f>
        <v>0</v>
      </c>
      <c r="AV72" s="81">
        <f>AV34 * (Inputs!$B$37 / 12) * (1 + Inputs!$B$44)^INT((COLUMNS($B$72:AV72)-1) / 12)</f>
        <v>0</v>
      </c>
      <c r="AW72" s="81">
        <f>AW34 * (Inputs!$B$37 / 12) * (1 + Inputs!$B$44)^INT((COLUMNS($B$72:AW72)-1) / 12)</f>
        <v>0</v>
      </c>
      <c r="AX72" s="81">
        <f>AX34 * (Inputs!$B$37 / 12) * (1 + Inputs!$B$44)^INT((COLUMNS($B$72:AX72)-1) / 12)</f>
        <v>0</v>
      </c>
      <c r="AY72" s="81">
        <f>AY34 * (Inputs!$B$37 / 12) * (1 + Inputs!$B$44)^INT((COLUMNS($B$72:AY72)-1) / 12)</f>
        <v>0</v>
      </c>
      <c r="AZ72" s="81">
        <f>AZ34 * (Inputs!$B$37 / 12) * (1 + Inputs!$B$44)^INT((COLUMNS($B$72:AZ72)-1) / 12)</f>
        <v>0</v>
      </c>
      <c r="BA72" s="81">
        <f>BA34 * (Inputs!$B$37 / 12) * (1 + Inputs!$B$44)^INT((COLUMNS($B$72:BA72)-1) / 12)</f>
        <v>0</v>
      </c>
    </row>
    <row r="73" ht="14.25" customHeight="1">
      <c r="A73" s="3" t="s">
        <v>542</v>
      </c>
      <c r="B73" s="81">
        <f>B35 * (Inputs!$B$39 / 12) * (1 + Inputs!$B$44)^INT((COLUMNS($B$73:B73)-1) / 12)</f>
        <v>0</v>
      </c>
      <c r="C73" s="81">
        <f>C35 * (Inputs!$B$39 / 12) * (1 + Inputs!$B$44)^INT((COLUMNS($B$73:C73)-1) / 12)</f>
        <v>0</v>
      </c>
      <c r="D73" s="81">
        <f>D35 * (Inputs!$B$39 / 12) * (1 + Inputs!$B$44)^INT((COLUMNS($B$73:D73)-1) / 12)</f>
        <v>0</v>
      </c>
      <c r="E73" s="81">
        <f>E35 * (Inputs!$B$39 / 12) * (1 + Inputs!$B$44)^INT((COLUMNS($B$73:E73)-1) / 12)</f>
        <v>0</v>
      </c>
      <c r="F73" s="81">
        <f>F35 * (Inputs!$B$39 / 12) * (1 + Inputs!$B$44)^INT((COLUMNS($B$73:F73)-1) / 12)</f>
        <v>0</v>
      </c>
      <c r="G73" s="81">
        <f>G35 * (Inputs!$B$39 / 12) * (1 + Inputs!$B$44)^INT((COLUMNS($B$73:G73)-1) / 12)</f>
        <v>0</v>
      </c>
      <c r="H73" s="81">
        <f>H35 * (Inputs!$B$39 / 12) * (1 + Inputs!$B$44)^INT((COLUMNS($B$73:H73)-1) / 12)</f>
        <v>0</v>
      </c>
      <c r="I73" s="81">
        <f>I35 * (Inputs!$B$39 / 12) * (1 + Inputs!$B$44)^INT((COLUMNS($B$73:I73)-1) / 12)</f>
        <v>0</v>
      </c>
      <c r="J73" s="81">
        <f>J35 * (Inputs!$B$39 / 12) * (1 + Inputs!$B$44)^INT((COLUMNS($B$73:J73)-1) / 12)</f>
        <v>0</v>
      </c>
      <c r="K73" s="81">
        <f>K35 * (Inputs!$B$39 / 12) * (1 + Inputs!$B$44)^INT((COLUMNS($B$73:K73)-1) / 12)</f>
        <v>0</v>
      </c>
      <c r="L73" s="81">
        <f>L35 * (Inputs!$B$39 / 12) * (1 + Inputs!$B$44)^INT((COLUMNS($B$73:L73)-1) / 12)</f>
        <v>0</v>
      </c>
      <c r="M73" s="81">
        <f>M35 * (Inputs!$B$39 / 12) * (1 + Inputs!$B$44)^INT((COLUMNS($B$73:M73)-1) / 12)</f>
        <v>0</v>
      </c>
      <c r="N73" s="81">
        <f>N35 * (Inputs!$B$39 / 12) * (1 + Inputs!$B$44)^INT((COLUMNS($B$73:N73)-1) / 12)</f>
        <v>0</v>
      </c>
      <c r="O73" s="81">
        <f>O35 * (Inputs!$B$39 / 12) * (1 + Inputs!$B$44)^INT((COLUMNS($B$73:O73)-1) / 12)</f>
        <v>0</v>
      </c>
      <c r="P73" s="81">
        <f>P35 * (Inputs!$B$39 / 12) * (1 + Inputs!$B$44)^INT((COLUMNS($B$73:P73)-1) / 12)</f>
        <v>0</v>
      </c>
      <c r="Q73" s="81">
        <f>Q35 * (Inputs!$B$39 / 12) * (1 + Inputs!$B$44)^INT((COLUMNS($B$73:Q73)-1) / 12)</f>
        <v>0</v>
      </c>
      <c r="R73" s="81">
        <f>R35 * (Inputs!$B$39 / 12) * (1 + Inputs!$B$44)^INT((COLUMNS($B$73:R73)-1) / 12)</f>
        <v>0</v>
      </c>
      <c r="S73" s="81">
        <f>S35 * (Inputs!$B$39 / 12) * (1 + Inputs!$B$44)^INT((COLUMNS($B$73:S73)-1) / 12)</f>
        <v>0</v>
      </c>
      <c r="T73" s="81">
        <f>T35 * (Inputs!$B$39 / 12) * (1 + Inputs!$B$44)^INT((COLUMNS($B$73:T73)-1) / 12)</f>
        <v>0</v>
      </c>
      <c r="U73" s="81">
        <f>U35 * (Inputs!$B$39 / 12) * (1 + Inputs!$B$44)^INT((COLUMNS($B$73:U73)-1) / 12)</f>
        <v>0</v>
      </c>
      <c r="V73" s="81">
        <f>V35 * (Inputs!$B$39 / 12) * (1 + Inputs!$B$44)^INT((COLUMNS($B$73:V73)-1) / 12)</f>
        <v>0</v>
      </c>
      <c r="W73" s="81">
        <f>W35 * (Inputs!$B$39 / 12) * (1 + Inputs!$B$44)^INT((COLUMNS($B$73:W73)-1) / 12)</f>
        <v>0</v>
      </c>
      <c r="X73" s="81">
        <f>X35 * (Inputs!$B$39 / 12) * (1 + Inputs!$B$44)^INT((COLUMNS($B$73:X73)-1) / 12)</f>
        <v>0</v>
      </c>
      <c r="Y73" s="81">
        <f>Y35 * (Inputs!$B$39 / 12) * (1 + Inputs!$B$44)^INT((COLUMNS($B$73:Y73)-1) / 12)</f>
        <v>0</v>
      </c>
      <c r="Z73" s="81">
        <f>Z35 * (Inputs!$B$39 / 12) * (1 + Inputs!$B$44)^INT((COLUMNS($B$73:Z73)-1) / 12)</f>
        <v>0</v>
      </c>
      <c r="AA73" s="81">
        <f>AA35 * (Inputs!$B$39 / 12) * (1 + Inputs!$B$44)^INT((COLUMNS($B$73:AA73)-1) / 12)</f>
        <v>0</v>
      </c>
      <c r="AB73" s="81">
        <f>AB35 * (Inputs!$B$39 / 12) * (1 + Inputs!$B$44)^INT((COLUMNS($B$73:AB73)-1) / 12)</f>
        <v>0</v>
      </c>
      <c r="AC73" s="81">
        <f>AC35 * (Inputs!$B$39 / 12) * (1 + Inputs!$B$44)^INT((COLUMNS($B$73:AC73)-1) / 12)</f>
        <v>0</v>
      </c>
      <c r="AD73" s="81">
        <f>AD35 * (Inputs!$B$39 / 12) * (1 + Inputs!$B$44)^INT((COLUMNS($B$73:AD73)-1) / 12)</f>
        <v>0</v>
      </c>
      <c r="AE73" s="81">
        <f>AE35 * (Inputs!$B$39 / 12) * (1 + Inputs!$B$44)^INT((COLUMNS($B$73:AE73)-1) / 12)</f>
        <v>0</v>
      </c>
      <c r="AF73" s="81">
        <f>AF35 * (Inputs!$B$39 / 12) * (1 + Inputs!$B$44)^INT((COLUMNS($B$73:AF73)-1) / 12)</f>
        <v>0</v>
      </c>
      <c r="AG73" s="81">
        <f>AG35 * (Inputs!$B$39 / 12) * (1 + Inputs!$B$44)^INT((COLUMNS($B$73:AG73)-1) / 12)</f>
        <v>0</v>
      </c>
      <c r="AH73" s="81">
        <f>AH35 * (Inputs!$B$39 / 12) * (1 + Inputs!$B$44)^INT((COLUMNS($B$73:AH73)-1) / 12)</f>
        <v>0</v>
      </c>
      <c r="AI73" s="81">
        <f>AI35 * (Inputs!$B$39 / 12) * (1 + Inputs!$B$44)^INT((COLUMNS($B$73:AI73)-1) / 12)</f>
        <v>0</v>
      </c>
      <c r="AJ73" s="81">
        <f>AJ35 * (Inputs!$B$39 / 12) * (1 + Inputs!$B$44)^INT((COLUMNS($B$73:AJ73)-1) / 12)</f>
        <v>0</v>
      </c>
      <c r="AK73" s="81">
        <f>AK35 * (Inputs!$B$39 / 12) * (1 + Inputs!$B$44)^INT((COLUMNS($B$73:AK73)-1) / 12)</f>
        <v>0</v>
      </c>
      <c r="AL73" s="81">
        <f>AL35 * (Inputs!$B$39 / 12) * (1 + Inputs!$B$44)^INT((COLUMNS($B$73:AL73)-1) / 12)</f>
        <v>0</v>
      </c>
      <c r="AM73" s="81">
        <f>AM35 * (Inputs!$B$39 / 12) * (1 + Inputs!$B$44)^INT((COLUMNS($B$73:AM73)-1) / 12)</f>
        <v>0</v>
      </c>
      <c r="AN73" s="81">
        <f>AN35 * (Inputs!$B$39 / 12) * (1 + Inputs!$B$44)^INT((COLUMNS($B$73:AN73)-1) / 12)</f>
        <v>0</v>
      </c>
      <c r="AO73" s="81">
        <f>AO35 * (Inputs!$B$39 / 12) * (1 + Inputs!$B$44)^INT((COLUMNS($B$73:AO73)-1) / 12)</f>
        <v>0</v>
      </c>
      <c r="AP73" s="81">
        <f>AP35 * (Inputs!$B$39 / 12) * (1 + Inputs!$B$44)^INT((COLUMNS($B$73:AP73)-1) / 12)</f>
        <v>0</v>
      </c>
      <c r="AQ73" s="81">
        <f>AQ35 * (Inputs!$B$39 / 12) * (1 + Inputs!$B$44)^INT((COLUMNS($B$73:AQ73)-1) / 12)</f>
        <v>0</v>
      </c>
      <c r="AR73" s="81">
        <f>AR35 * (Inputs!$B$39 / 12) * (1 + Inputs!$B$44)^INT((COLUMNS($B$73:AR73)-1) / 12)</f>
        <v>0</v>
      </c>
      <c r="AS73" s="81">
        <f>AS35 * (Inputs!$B$39 / 12) * (1 + Inputs!$B$44)^INT((COLUMNS($B$73:AS73)-1) / 12)</f>
        <v>0</v>
      </c>
      <c r="AT73" s="81">
        <f>AT35 * (Inputs!$B$39 / 12) * (1 + Inputs!$B$44)^INT((COLUMNS($B$73:AT73)-1) / 12)</f>
        <v>0</v>
      </c>
      <c r="AU73" s="81">
        <f>AU35 * (Inputs!$B$39 / 12) * (1 + Inputs!$B$44)^INT((COLUMNS($B$73:AU73)-1) / 12)</f>
        <v>0</v>
      </c>
      <c r="AV73" s="81">
        <f>AV35 * (Inputs!$B$39 / 12) * (1 + Inputs!$B$44)^INT((COLUMNS($B$73:AV73)-1) / 12)</f>
        <v>0</v>
      </c>
      <c r="AW73" s="81">
        <f>AW35 * (Inputs!$B$39 / 12) * (1 + Inputs!$B$44)^INT((COLUMNS($B$73:AW73)-1) / 12)</f>
        <v>0</v>
      </c>
      <c r="AX73" s="81">
        <f>AX35 * (Inputs!$B$39 / 12) * (1 + Inputs!$B$44)^INT((COLUMNS($B$73:AX73)-1) / 12)</f>
        <v>0</v>
      </c>
      <c r="AY73" s="81">
        <f>AY35 * (Inputs!$B$39 / 12) * (1 + Inputs!$B$44)^INT((COLUMNS($B$73:AY73)-1) / 12)</f>
        <v>0</v>
      </c>
      <c r="AZ73" s="81">
        <f>AZ35 * (Inputs!$B$39 / 12) * (1 + Inputs!$B$44)^INT((COLUMNS($B$73:AZ73)-1) / 12)</f>
        <v>0</v>
      </c>
      <c r="BA73" s="81">
        <f>BA35 * (Inputs!$B$39 / 12) * (1 + Inputs!$B$44)^INT((COLUMNS($B$73:BA73)-1) / 12)</f>
        <v>0</v>
      </c>
    </row>
    <row r="74" ht="14.25" customHeight="1">
      <c r="A74" s="3" t="s">
        <v>543</v>
      </c>
      <c r="B74" s="81">
        <f>B36 * (Inputs!$B$41 / 12) * (1 + Inputs!$B$44)^INT((COLUMNS($B$74:B74)-1) / 12)</f>
        <v>0</v>
      </c>
      <c r="C74" s="81">
        <f>C36 * (Inputs!$B$41 / 12) * (1 + Inputs!$B$44)^INT((COLUMNS($B$74:C74)-1) / 12)</f>
        <v>0</v>
      </c>
      <c r="D74" s="81">
        <f>D36 * (Inputs!$B$41 / 12) * (1 + Inputs!$B$44)^INT((COLUMNS($B$74:D74)-1) / 12)</f>
        <v>0</v>
      </c>
      <c r="E74" s="81">
        <f>E36 * (Inputs!$B$41 / 12) * (1 + Inputs!$B$44)^INT((COLUMNS($B$74:E74)-1) / 12)</f>
        <v>0</v>
      </c>
      <c r="F74" s="81">
        <f>F36 * (Inputs!$B$41 / 12) * (1 + Inputs!$B$44)^INT((COLUMNS($B$74:F74)-1) / 12)</f>
        <v>0</v>
      </c>
      <c r="G74" s="81">
        <f>G36 * (Inputs!$B$41 / 12) * (1 + Inputs!$B$44)^INT((COLUMNS($B$74:G74)-1) / 12)</f>
        <v>0</v>
      </c>
      <c r="H74" s="81">
        <f>H36 * (Inputs!$B$41 / 12) * (1 + Inputs!$B$44)^INT((COLUMNS($B$74:H74)-1) / 12)</f>
        <v>0</v>
      </c>
      <c r="I74" s="81">
        <f>I36 * (Inputs!$B$41 / 12) * (1 + Inputs!$B$44)^INT((COLUMNS($B$74:I74)-1) / 12)</f>
        <v>0</v>
      </c>
      <c r="J74" s="81">
        <f>J36 * (Inputs!$B$41 / 12) * (1 + Inputs!$B$44)^INT((COLUMNS($B$74:J74)-1) / 12)</f>
        <v>0</v>
      </c>
      <c r="K74" s="81">
        <f>K36 * (Inputs!$B$41 / 12) * (1 + Inputs!$B$44)^INT((COLUMNS($B$74:K74)-1) / 12)</f>
        <v>0</v>
      </c>
      <c r="L74" s="81">
        <f>L36 * (Inputs!$B$41 / 12) * (1 + Inputs!$B$44)^INT((COLUMNS($B$74:L74)-1) / 12)</f>
        <v>0</v>
      </c>
      <c r="M74" s="81">
        <f>M36 * (Inputs!$B$41 / 12) * (1 + Inputs!$B$44)^INT((COLUMNS($B$74:M74)-1) / 12)</f>
        <v>0</v>
      </c>
      <c r="N74" s="81">
        <f>N36 * (Inputs!$B$41 / 12) * (1 + Inputs!$B$44)^INT((COLUMNS($B$74:N74)-1) / 12)</f>
        <v>0</v>
      </c>
      <c r="O74" s="81">
        <f>O36 * (Inputs!$B$41 / 12) * (1 + Inputs!$B$44)^INT((COLUMNS($B$74:O74)-1) / 12)</f>
        <v>0</v>
      </c>
      <c r="P74" s="81">
        <f>P36 * (Inputs!$B$41 / 12) * (1 + Inputs!$B$44)^INT((COLUMNS($B$74:P74)-1) / 12)</f>
        <v>0</v>
      </c>
      <c r="Q74" s="81">
        <f>Q36 * (Inputs!$B$41 / 12) * (1 + Inputs!$B$44)^INT((COLUMNS($B$74:Q74)-1) / 12)</f>
        <v>0</v>
      </c>
      <c r="R74" s="81">
        <f>R36 * (Inputs!$B$41 / 12) * (1 + Inputs!$B$44)^INT((COLUMNS($B$74:R74)-1) / 12)</f>
        <v>0</v>
      </c>
      <c r="S74" s="81">
        <f>S36 * (Inputs!$B$41 / 12) * (1 + Inputs!$B$44)^INT((COLUMNS($B$74:S74)-1) / 12)</f>
        <v>0</v>
      </c>
      <c r="T74" s="81">
        <f>T36 * (Inputs!$B$41 / 12) * (1 + Inputs!$B$44)^INT((COLUMNS($B$74:T74)-1) / 12)</f>
        <v>0</v>
      </c>
      <c r="U74" s="81">
        <f>U36 * (Inputs!$B$41 / 12) * (1 + Inputs!$B$44)^INT((COLUMNS($B$74:U74)-1) / 12)</f>
        <v>0</v>
      </c>
      <c r="V74" s="81">
        <f>V36 * (Inputs!$B$41 / 12) * (1 + Inputs!$B$44)^INT((COLUMNS($B$74:V74)-1) / 12)</f>
        <v>0</v>
      </c>
      <c r="W74" s="81">
        <f>W36 * (Inputs!$B$41 / 12) * (1 + Inputs!$B$44)^INT((COLUMNS($B$74:W74)-1) / 12)</f>
        <v>0</v>
      </c>
      <c r="X74" s="81">
        <f>X36 * (Inputs!$B$41 / 12) * (1 + Inputs!$B$44)^INT((COLUMNS($B$74:X74)-1) / 12)</f>
        <v>0</v>
      </c>
      <c r="Y74" s="81">
        <f>Y36 * (Inputs!$B$41 / 12) * (1 + Inputs!$B$44)^INT((COLUMNS($B$74:Y74)-1) / 12)</f>
        <v>0</v>
      </c>
      <c r="Z74" s="81">
        <f>Z36 * (Inputs!$B$41 / 12) * (1 + Inputs!$B$44)^INT((COLUMNS($B$74:Z74)-1) / 12)</f>
        <v>0</v>
      </c>
      <c r="AA74" s="81">
        <f>AA36 * (Inputs!$B$41 / 12) * (1 + Inputs!$B$44)^INT((COLUMNS($B$74:AA74)-1) / 12)</f>
        <v>0</v>
      </c>
      <c r="AB74" s="81">
        <f>AB36 * (Inputs!$B$41 / 12) * (1 + Inputs!$B$44)^INT((COLUMNS($B$74:AB74)-1) / 12)</f>
        <v>0</v>
      </c>
      <c r="AC74" s="81">
        <f>AC36 * (Inputs!$B$41 / 12) * (1 + Inputs!$B$44)^INT((COLUMNS($B$74:AC74)-1) / 12)</f>
        <v>0</v>
      </c>
      <c r="AD74" s="81">
        <f>AD36 * (Inputs!$B$41 / 12) * (1 + Inputs!$B$44)^INT((COLUMNS($B$74:AD74)-1) / 12)</f>
        <v>0</v>
      </c>
      <c r="AE74" s="81">
        <f>AE36 * (Inputs!$B$41 / 12) * (1 + Inputs!$B$44)^INT((COLUMNS($B$74:AE74)-1) / 12)</f>
        <v>0</v>
      </c>
      <c r="AF74" s="81">
        <f>AF36 * (Inputs!$B$41 / 12) * (1 + Inputs!$B$44)^INT((COLUMNS($B$74:AF74)-1) / 12)</f>
        <v>0</v>
      </c>
      <c r="AG74" s="81">
        <f>AG36 * (Inputs!$B$41 / 12) * (1 + Inputs!$B$44)^INT((COLUMNS($B$74:AG74)-1) / 12)</f>
        <v>0</v>
      </c>
      <c r="AH74" s="81">
        <f>AH36 * (Inputs!$B$41 / 12) * (1 + Inputs!$B$44)^INT((COLUMNS($B$74:AH74)-1) / 12)</f>
        <v>0</v>
      </c>
      <c r="AI74" s="81">
        <f>AI36 * (Inputs!$B$41 / 12) * (1 + Inputs!$B$44)^INT((COLUMNS($B$74:AI74)-1) / 12)</f>
        <v>0</v>
      </c>
      <c r="AJ74" s="81">
        <f>AJ36 * (Inputs!$B$41 / 12) * (1 + Inputs!$B$44)^INT((COLUMNS($B$74:AJ74)-1) / 12)</f>
        <v>0</v>
      </c>
      <c r="AK74" s="81">
        <f>AK36 * (Inputs!$B$41 / 12) * (1 + Inputs!$B$44)^INT((COLUMNS($B$74:AK74)-1) / 12)</f>
        <v>0</v>
      </c>
      <c r="AL74" s="81">
        <f>AL36 * (Inputs!$B$41 / 12) * (1 + Inputs!$B$44)^INT((COLUMNS($B$74:AL74)-1) / 12)</f>
        <v>0</v>
      </c>
      <c r="AM74" s="81">
        <f>AM36 * (Inputs!$B$41 / 12) * (1 + Inputs!$B$44)^INT((COLUMNS($B$74:AM74)-1) / 12)</f>
        <v>0</v>
      </c>
      <c r="AN74" s="81">
        <f>AN36 * (Inputs!$B$41 / 12) * (1 + Inputs!$B$44)^INT((COLUMNS($B$74:AN74)-1) / 12)</f>
        <v>0</v>
      </c>
      <c r="AO74" s="81">
        <f>AO36 * (Inputs!$B$41 / 12) * (1 + Inputs!$B$44)^INT((COLUMNS($B$74:AO74)-1) / 12)</f>
        <v>0</v>
      </c>
      <c r="AP74" s="81">
        <f>AP36 * (Inputs!$B$41 / 12) * (1 + Inputs!$B$44)^INT((COLUMNS($B$74:AP74)-1) / 12)</f>
        <v>0</v>
      </c>
      <c r="AQ74" s="81">
        <f>AQ36 * (Inputs!$B$41 / 12) * (1 + Inputs!$B$44)^INT((COLUMNS($B$74:AQ74)-1) / 12)</f>
        <v>0</v>
      </c>
      <c r="AR74" s="81">
        <f>AR36 * (Inputs!$B$41 / 12) * (1 + Inputs!$B$44)^INT((COLUMNS($B$74:AR74)-1) / 12)</f>
        <v>0</v>
      </c>
      <c r="AS74" s="81">
        <f>AS36 * (Inputs!$B$41 / 12) * (1 + Inputs!$B$44)^INT((COLUMNS($B$74:AS74)-1) / 12)</f>
        <v>0</v>
      </c>
      <c r="AT74" s="81">
        <f>AT36 * (Inputs!$B$41 / 12) * (1 + Inputs!$B$44)^INT((COLUMNS($B$74:AT74)-1) / 12)</f>
        <v>0</v>
      </c>
      <c r="AU74" s="81">
        <f>AU36 * (Inputs!$B$41 / 12) * (1 + Inputs!$B$44)^INT((COLUMNS($B$74:AU74)-1) / 12)</f>
        <v>0</v>
      </c>
      <c r="AV74" s="81">
        <f>AV36 * (Inputs!$B$41 / 12) * (1 + Inputs!$B$44)^INT((COLUMNS($B$74:AV74)-1) / 12)</f>
        <v>0</v>
      </c>
      <c r="AW74" s="81">
        <f>AW36 * (Inputs!$B$41 / 12) * (1 + Inputs!$B$44)^INT((COLUMNS($B$74:AW74)-1) / 12)</f>
        <v>0</v>
      </c>
      <c r="AX74" s="81">
        <f>AX36 * (Inputs!$B$41 / 12) * (1 + Inputs!$B$44)^INT((COLUMNS($B$74:AX74)-1) / 12)</f>
        <v>0</v>
      </c>
      <c r="AY74" s="81">
        <f>AY36 * (Inputs!$B$41 / 12) * (1 + Inputs!$B$44)^INT((COLUMNS($B$74:AY74)-1) / 12)</f>
        <v>0</v>
      </c>
      <c r="AZ74" s="81">
        <f>AZ36 * (Inputs!$B$41 / 12) * (1 + Inputs!$B$44)^INT((COLUMNS($B$74:AZ74)-1) / 12)</f>
        <v>0</v>
      </c>
      <c r="BA74" s="81">
        <f>BA36 * (Inputs!$B$41 / 12) * (1 + Inputs!$B$44)^INT((COLUMNS($B$74:BA74)-1) / 12)</f>
        <v>0</v>
      </c>
    </row>
    <row r="75" ht="14.25" customHeight="1">
      <c r="A75" s="3" t="s">
        <v>544</v>
      </c>
      <c r="B75" s="81">
        <f>B37 * (Inputs!$B$40 / 12) * (1 + Inputs!$B$44)^INT((COLUMNS($B$75:B75)-1) / 12)</f>
        <v>0</v>
      </c>
      <c r="C75" s="81">
        <f>C37 * (Inputs!$B$40 / 12) * (1 + Inputs!$B$44)^INT((COLUMNS($B$75:C75)-1) / 12)</f>
        <v>0</v>
      </c>
      <c r="D75" s="81">
        <f>D37 * (Inputs!$B$40 / 12) * (1 + Inputs!$B$44)^INT((COLUMNS($B$75:D75)-1) / 12)</f>
        <v>0</v>
      </c>
      <c r="E75" s="81">
        <f>E37 * (Inputs!$B$40 / 12) * (1 + Inputs!$B$44)^INT((COLUMNS($B$75:E75)-1) / 12)</f>
        <v>0</v>
      </c>
      <c r="F75" s="81">
        <f>F37 * (Inputs!$B$40 / 12) * (1 + Inputs!$B$44)^INT((COLUMNS($B$75:F75)-1) / 12)</f>
        <v>0</v>
      </c>
      <c r="G75" s="81">
        <f>G37 * (Inputs!$B$40 / 12) * (1 + Inputs!$B$44)^INT((COLUMNS($B$75:G75)-1) / 12)</f>
        <v>0</v>
      </c>
      <c r="H75" s="81">
        <f>H37 * (Inputs!$B$40 / 12) * (1 + Inputs!$B$44)^INT((COLUMNS($B$75:H75)-1) / 12)</f>
        <v>0</v>
      </c>
      <c r="I75" s="81">
        <f>I37 * (Inputs!$B$40 / 12) * (1 + Inputs!$B$44)^INT((COLUMNS($B$75:I75)-1) / 12)</f>
        <v>0</v>
      </c>
      <c r="J75" s="81">
        <f>J37 * (Inputs!$B$40 / 12) * (1 + Inputs!$B$44)^INT((COLUMNS($B$75:J75)-1) / 12)</f>
        <v>0</v>
      </c>
      <c r="K75" s="81">
        <f>K37 * (Inputs!$B$40 / 12) * (1 + Inputs!$B$44)^INT((COLUMNS($B$75:K75)-1) / 12)</f>
        <v>0</v>
      </c>
      <c r="L75" s="81">
        <f>L37 * (Inputs!$B$40 / 12) * (1 + Inputs!$B$44)^INT((COLUMNS($B$75:L75)-1) / 12)</f>
        <v>0</v>
      </c>
      <c r="M75" s="81">
        <f>M37 * (Inputs!$B$40 / 12) * (1 + Inputs!$B$44)^INT((COLUMNS($B$75:M75)-1) / 12)</f>
        <v>0</v>
      </c>
      <c r="N75" s="81">
        <f>N37 * (Inputs!$B$40 / 12) * (1 + Inputs!$B$44)^INT((COLUMNS($B$75:N75)-1) / 12)</f>
        <v>0</v>
      </c>
      <c r="O75" s="81">
        <f>O37 * (Inputs!$B$40 / 12) * (1 + Inputs!$B$44)^INT((COLUMNS($B$75:O75)-1) / 12)</f>
        <v>0</v>
      </c>
      <c r="P75" s="81">
        <f>P37 * (Inputs!$B$40 / 12) * (1 + Inputs!$B$44)^INT((COLUMNS($B$75:P75)-1) / 12)</f>
        <v>0</v>
      </c>
      <c r="Q75" s="81">
        <f>Q37 * (Inputs!$B$40 / 12) * (1 + Inputs!$B$44)^INT((COLUMNS($B$75:Q75)-1) / 12)</f>
        <v>0</v>
      </c>
      <c r="R75" s="81">
        <f>R37 * (Inputs!$B$40 / 12) * (1 + Inputs!$B$44)^INT((COLUMNS($B$75:R75)-1) / 12)</f>
        <v>0</v>
      </c>
      <c r="S75" s="81">
        <f>S37 * (Inputs!$B$40 / 12) * (1 + Inputs!$B$44)^INT((COLUMNS($B$75:S75)-1) / 12)</f>
        <v>0</v>
      </c>
      <c r="T75" s="81">
        <f>T37 * (Inputs!$B$40 / 12) * (1 + Inputs!$B$44)^INT((COLUMNS($B$75:T75)-1) / 12)</f>
        <v>0</v>
      </c>
      <c r="U75" s="81">
        <f>U37 * (Inputs!$B$40 / 12) * (1 + Inputs!$B$44)^INT((COLUMNS($B$75:U75)-1) / 12)</f>
        <v>0</v>
      </c>
      <c r="V75" s="81">
        <f>V37 * (Inputs!$B$40 / 12) * (1 + Inputs!$B$44)^INT((COLUMNS($B$75:V75)-1) / 12)</f>
        <v>0</v>
      </c>
      <c r="W75" s="81">
        <f>W37 * (Inputs!$B$40 / 12) * (1 + Inputs!$B$44)^INT((COLUMNS($B$75:W75)-1) / 12)</f>
        <v>0</v>
      </c>
      <c r="X75" s="81">
        <f>X37 * (Inputs!$B$40 / 12) * (1 + Inputs!$B$44)^INT((COLUMNS($B$75:X75)-1) / 12)</f>
        <v>0</v>
      </c>
      <c r="Y75" s="81">
        <f>Y37 * (Inputs!$B$40 / 12) * (1 + Inputs!$B$44)^INT((COLUMNS($B$75:Y75)-1) / 12)</f>
        <v>0</v>
      </c>
      <c r="Z75" s="81">
        <f>Z37 * (Inputs!$B$40 / 12) * (1 + Inputs!$B$44)^INT((COLUMNS($B$75:Z75)-1) / 12)</f>
        <v>0</v>
      </c>
      <c r="AA75" s="81">
        <f>AA37 * (Inputs!$B$40 / 12) * (1 + Inputs!$B$44)^INT((COLUMNS($B$75:AA75)-1) / 12)</f>
        <v>0</v>
      </c>
      <c r="AB75" s="81">
        <f>AB37 * (Inputs!$B$40 / 12) * (1 + Inputs!$B$44)^INT((COLUMNS($B$75:AB75)-1) / 12)</f>
        <v>0</v>
      </c>
      <c r="AC75" s="81">
        <f>AC37 * (Inputs!$B$40 / 12) * (1 + Inputs!$B$44)^INT((COLUMNS($B$75:AC75)-1) / 12)</f>
        <v>0</v>
      </c>
      <c r="AD75" s="81">
        <f>AD37 * (Inputs!$B$40 / 12) * (1 + Inputs!$B$44)^INT((COLUMNS($B$75:AD75)-1) / 12)</f>
        <v>0</v>
      </c>
      <c r="AE75" s="81">
        <f>AE37 * (Inputs!$B$40 / 12) * (1 + Inputs!$B$44)^INT((COLUMNS($B$75:AE75)-1) / 12)</f>
        <v>0</v>
      </c>
      <c r="AF75" s="81">
        <f>AF37 * (Inputs!$B$40 / 12) * (1 + Inputs!$B$44)^INT((COLUMNS($B$75:AF75)-1) / 12)</f>
        <v>0</v>
      </c>
      <c r="AG75" s="81">
        <f>AG37 * (Inputs!$B$40 / 12) * (1 + Inputs!$B$44)^INT((COLUMNS($B$75:AG75)-1) / 12)</f>
        <v>0</v>
      </c>
      <c r="AH75" s="81">
        <f>AH37 * (Inputs!$B$40 / 12) * (1 + Inputs!$B$44)^INT((COLUMNS($B$75:AH75)-1) / 12)</f>
        <v>0</v>
      </c>
      <c r="AI75" s="81">
        <f>AI37 * (Inputs!$B$40 / 12) * (1 + Inputs!$B$44)^INT((COLUMNS($B$75:AI75)-1) / 12)</f>
        <v>0</v>
      </c>
      <c r="AJ75" s="81">
        <f>AJ37 * (Inputs!$B$40 / 12) * (1 + Inputs!$B$44)^INT((COLUMNS($B$75:AJ75)-1) / 12)</f>
        <v>0</v>
      </c>
      <c r="AK75" s="81">
        <f>AK37 * (Inputs!$B$40 / 12) * (1 + Inputs!$B$44)^INT((COLUMNS($B$75:AK75)-1) / 12)</f>
        <v>0</v>
      </c>
      <c r="AL75" s="81">
        <f>AL37 * (Inputs!$B$40 / 12) * (1 + Inputs!$B$44)^INT((COLUMNS($B$75:AL75)-1) / 12)</f>
        <v>0</v>
      </c>
      <c r="AM75" s="81">
        <f>AM37 * (Inputs!$B$40 / 12) * (1 + Inputs!$B$44)^INT((COLUMNS($B$75:AM75)-1) / 12)</f>
        <v>0</v>
      </c>
      <c r="AN75" s="81">
        <f>AN37 * (Inputs!$B$40 / 12) * (1 + Inputs!$B$44)^INT((COLUMNS($B$75:AN75)-1) / 12)</f>
        <v>0</v>
      </c>
      <c r="AO75" s="81">
        <f>AO37 * (Inputs!$B$40 / 12) * (1 + Inputs!$B$44)^INT((COLUMNS($B$75:AO75)-1) / 12)</f>
        <v>0</v>
      </c>
      <c r="AP75" s="81">
        <f>AP37 * (Inputs!$B$40 / 12) * (1 + Inputs!$B$44)^INT((COLUMNS($B$75:AP75)-1) / 12)</f>
        <v>0</v>
      </c>
      <c r="AQ75" s="81">
        <f>AQ37 * (Inputs!$B$40 / 12) * (1 + Inputs!$B$44)^INT((COLUMNS($B$75:AQ75)-1) / 12)</f>
        <v>0</v>
      </c>
      <c r="AR75" s="81">
        <f>AR37 * (Inputs!$B$40 / 12) * (1 + Inputs!$B$44)^INT((COLUMNS($B$75:AR75)-1) / 12)</f>
        <v>0</v>
      </c>
      <c r="AS75" s="81">
        <f>AS37 * (Inputs!$B$40 / 12) * (1 + Inputs!$B$44)^INT((COLUMNS($B$75:AS75)-1) / 12)</f>
        <v>0</v>
      </c>
      <c r="AT75" s="81">
        <f>AT37 * (Inputs!$B$40 / 12) * (1 + Inputs!$B$44)^INT((COLUMNS($B$75:AT75)-1) / 12)</f>
        <v>0</v>
      </c>
      <c r="AU75" s="81">
        <f>AU37 * (Inputs!$B$40 / 12) * (1 + Inputs!$B$44)^INT((COLUMNS($B$75:AU75)-1) / 12)</f>
        <v>0</v>
      </c>
      <c r="AV75" s="81">
        <f>AV37 * (Inputs!$B$40 / 12) * (1 + Inputs!$B$44)^INT((COLUMNS($B$75:AV75)-1) / 12)</f>
        <v>0</v>
      </c>
      <c r="AW75" s="81">
        <f>AW37 * (Inputs!$B$40 / 12) * (1 + Inputs!$B$44)^INT((COLUMNS($B$75:AW75)-1) / 12)</f>
        <v>0</v>
      </c>
      <c r="AX75" s="81">
        <f>AX37 * (Inputs!$B$40 / 12) * (1 + Inputs!$B$44)^INT((COLUMNS($B$75:AX75)-1) / 12)</f>
        <v>0</v>
      </c>
      <c r="AY75" s="81">
        <f>AY37 * (Inputs!$B$40 / 12) * (1 + Inputs!$B$44)^INT((COLUMNS($B$75:AY75)-1) / 12)</f>
        <v>0</v>
      </c>
      <c r="AZ75" s="81">
        <f>AZ37 * (Inputs!$B$40 / 12) * (1 + Inputs!$B$44)^INT((COLUMNS($B$75:AZ75)-1) / 12)</f>
        <v>0</v>
      </c>
      <c r="BA75" s="81">
        <f>BA37 * (Inputs!$B$40 / 12) * (1 + Inputs!$B$44)^INT((COLUMNS($B$75:BA75)-1) / 12)</f>
        <v>0</v>
      </c>
    </row>
    <row r="76" ht="14.25" customHeight="1">
      <c r="A76" s="2" t="s">
        <v>545</v>
      </c>
      <c r="B76" s="74">
        <f t="shared" ref="B76:BA76" si="2">SUM(B41:B75)</f>
        <v>18000</v>
      </c>
      <c r="C76" s="74">
        <f t="shared" si="2"/>
        <v>18000</v>
      </c>
      <c r="D76" s="74">
        <f t="shared" si="2"/>
        <v>18000</v>
      </c>
      <c r="E76" s="74">
        <f t="shared" si="2"/>
        <v>18000</v>
      </c>
      <c r="F76" s="74">
        <f t="shared" si="2"/>
        <v>18000</v>
      </c>
      <c r="G76" s="74">
        <f t="shared" si="2"/>
        <v>18000</v>
      </c>
      <c r="H76" s="74">
        <f t="shared" si="2"/>
        <v>25500</v>
      </c>
      <c r="I76" s="74">
        <f t="shared" si="2"/>
        <v>34666.66667</v>
      </c>
      <c r="J76" s="74">
        <f t="shared" si="2"/>
        <v>39666.66667</v>
      </c>
      <c r="K76" s="74">
        <f t="shared" si="2"/>
        <v>47166.66667</v>
      </c>
      <c r="L76" s="74">
        <f t="shared" si="2"/>
        <v>52583.33333</v>
      </c>
      <c r="M76" s="74">
        <f t="shared" si="2"/>
        <v>58000</v>
      </c>
      <c r="N76" s="74">
        <f t="shared" si="2"/>
        <v>67900</v>
      </c>
      <c r="O76" s="74">
        <f t="shared" si="2"/>
        <v>81462.5</v>
      </c>
      <c r="P76" s="74">
        <f t="shared" si="2"/>
        <v>81462.5</v>
      </c>
      <c r="Q76" s="74">
        <f t="shared" si="2"/>
        <v>81462.5</v>
      </c>
      <c r="R76" s="74">
        <f t="shared" si="2"/>
        <v>81462.5</v>
      </c>
      <c r="S76" s="74">
        <f t="shared" si="2"/>
        <v>107712.5</v>
      </c>
      <c r="T76" s="74">
        <f t="shared" si="2"/>
        <v>107712.5</v>
      </c>
      <c r="U76" s="74">
        <f t="shared" si="2"/>
        <v>112962.5</v>
      </c>
      <c r="V76" s="74">
        <f t="shared" si="2"/>
        <v>112962.5</v>
      </c>
      <c r="W76" s="74">
        <f t="shared" si="2"/>
        <v>122587.5</v>
      </c>
      <c r="X76" s="74">
        <f t="shared" si="2"/>
        <v>122587.5</v>
      </c>
      <c r="Y76" s="74">
        <f t="shared" si="2"/>
        <v>128275</v>
      </c>
      <c r="Z76" s="74">
        <f t="shared" si="2"/>
        <v>134688.75</v>
      </c>
      <c r="AA76" s="74">
        <f t="shared" si="2"/>
        <v>134688.75</v>
      </c>
      <c r="AB76" s="74">
        <f t="shared" si="2"/>
        <v>134688.75</v>
      </c>
      <c r="AC76" s="74">
        <f t="shared" si="2"/>
        <v>140660.625</v>
      </c>
      <c r="AD76" s="74">
        <f t="shared" si="2"/>
        <v>140660.625</v>
      </c>
      <c r="AE76" s="74">
        <f t="shared" si="2"/>
        <v>148010.625</v>
      </c>
      <c r="AF76" s="74">
        <f t="shared" si="2"/>
        <v>148010.625</v>
      </c>
      <c r="AG76" s="74">
        <f t="shared" si="2"/>
        <v>148010.625</v>
      </c>
      <c r="AH76" s="74">
        <f t="shared" si="2"/>
        <v>148010.625</v>
      </c>
      <c r="AI76" s="74">
        <f t="shared" si="2"/>
        <v>148010.625</v>
      </c>
      <c r="AJ76" s="74">
        <f t="shared" si="2"/>
        <v>148010.625</v>
      </c>
      <c r="AK76" s="74">
        <f t="shared" si="2"/>
        <v>159954.375</v>
      </c>
      <c r="AL76" s="74">
        <f t="shared" si="2"/>
        <v>167952.0938</v>
      </c>
      <c r="AM76" s="74">
        <f t="shared" si="2"/>
        <v>167952.0938</v>
      </c>
      <c r="AN76" s="74">
        <f t="shared" si="2"/>
        <v>167952.0938</v>
      </c>
      <c r="AO76" s="74">
        <f t="shared" si="2"/>
        <v>167952.0938</v>
      </c>
      <c r="AP76" s="74">
        <f t="shared" si="2"/>
        <v>167952.0938</v>
      </c>
      <c r="AQ76" s="74">
        <f t="shared" si="2"/>
        <v>167952.0938</v>
      </c>
      <c r="AR76" s="74">
        <f t="shared" si="2"/>
        <v>167952.0938</v>
      </c>
      <c r="AS76" s="74">
        <f t="shared" si="2"/>
        <v>167952.0938</v>
      </c>
      <c r="AT76" s="74">
        <f t="shared" si="2"/>
        <v>167952.0938</v>
      </c>
      <c r="AU76" s="74">
        <f t="shared" si="2"/>
        <v>167952.0938</v>
      </c>
      <c r="AV76" s="74">
        <f t="shared" si="2"/>
        <v>167952.0938</v>
      </c>
      <c r="AW76" s="74">
        <f t="shared" si="2"/>
        <v>167952.0938</v>
      </c>
      <c r="AX76" s="74">
        <f t="shared" si="2"/>
        <v>176349.6984</v>
      </c>
      <c r="AY76" s="74">
        <f t="shared" si="2"/>
        <v>176349.6984</v>
      </c>
      <c r="AZ76" s="74">
        <f t="shared" si="2"/>
        <v>176349.6984</v>
      </c>
      <c r="BA76" s="74">
        <f t="shared" si="2"/>
        <v>176349.6984</v>
      </c>
    </row>
    <row r="77" ht="14.25" customHeight="1">
      <c r="A77" s="3" t="s">
        <v>546</v>
      </c>
      <c r="B77" s="74">
        <f>B76*Inputs!$B$45</f>
        <v>3780</v>
      </c>
      <c r="C77" s="74">
        <f>C76*Inputs!$B$45</f>
        <v>3780</v>
      </c>
      <c r="D77" s="74">
        <f>D76*Inputs!$B$45</f>
        <v>3780</v>
      </c>
      <c r="E77" s="74">
        <f>E76*Inputs!$B$45</f>
        <v>3780</v>
      </c>
      <c r="F77" s="74">
        <f>F76*Inputs!$B$45</f>
        <v>3780</v>
      </c>
      <c r="G77" s="74">
        <f>G76*Inputs!$B$45</f>
        <v>3780</v>
      </c>
      <c r="H77" s="74">
        <f>H76*Inputs!$B$45</f>
        <v>5355</v>
      </c>
      <c r="I77" s="74">
        <f>I76*Inputs!$B$45</f>
        <v>7280</v>
      </c>
      <c r="J77" s="74">
        <f>J76*Inputs!$B$45</f>
        <v>8330</v>
      </c>
      <c r="K77" s="74">
        <f>K76*Inputs!$B$45</f>
        <v>9905</v>
      </c>
      <c r="L77" s="74">
        <f>L76*Inputs!$B$45</f>
        <v>11042.5</v>
      </c>
      <c r="M77" s="74">
        <f>M76*Inputs!$B$45</f>
        <v>12180</v>
      </c>
      <c r="N77" s="74">
        <f>N76*Inputs!$B$45</f>
        <v>14259</v>
      </c>
      <c r="O77" s="74">
        <f>O76*Inputs!$B$45</f>
        <v>17107.125</v>
      </c>
      <c r="P77" s="74">
        <f>P76*Inputs!$B$45</f>
        <v>17107.125</v>
      </c>
      <c r="Q77" s="74">
        <f>Q76*Inputs!$B$45</f>
        <v>17107.125</v>
      </c>
      <c r="R77" s="74">
        <f>R76*Inputs!$B$45</f>
        <v>17107.125</v>
      </c>
      <c r="S77" s="74">
        <f>S76*Inputs!$B$45</f>
        <v>22619.625</v>
      </c>
      <c r="T77" s="74">
        <f>T76*Inputs!$B$45</f>
        <v>22619.625</v>
      </c>
      <c r="U77" s="74">
        <f>U76*Inputs!$B$45</f>
        <v>23722.125</v>
      </c>
      <c r="V77" s="74">
        <f>V76*Inputs!$B$45</f>
        <v>23722.125</v>
      </c>
      <c r="W77" s="74">
        <f>W76*Inputs!$B$45</f>
        <v>25743.375</v>
      </c>
      <c r="X77" s="74">
        <f>X76*Inputs!$B$45</f>
        <v>25743.375</v>
      </c>
      <c r="Y77" s="74">
        <f>Y76*Inputs!$B$45</f>
        <v>26937.75</v>
      </c>
      <c r="Z77" s="74">
        <f>Z76*Inputs!$B$45</f>
        <v>28284.6375</v>
      </c>
      <c r="AA77" s="74">
        <f>AA76*Inputs!$B$45</f>
        <v>28284.6375</v>
      </c>
      <c r="AB77" s="74">
        <f>AB76*Inputs!$B$45</f>
        <v>28284.6375</v>
      </c>
      <c r="AC77" s="74">
        <f>AC76*Inputs!$B$45</f>
        <v>29538.73125</v>
      </c>
      <c r="AD77" s="74">
        <f>AD76*Inputs!$B$45</f>
        <v>29538.73125</v>
      </c>
      <c r="AE77" s="74">
        <f>AE76*Inputs!$B$45</f>
        <v>31082.23125</v>
      </c>
      <c r="AF77" s="74">
        <f>AF76*Inputs!$B$45</f>
        <v>31082.23125</v>
      </c>
      <c r="AG77" s="74">
        <f>AG76*Inputs!$B$45</f>
        <v>31082.23125</v>
      </c>
      <c r="AH77" s="74">
        <f>AH76*Inputs!$B$45</f>
        <v>31082.23125</v>
      </c>
      <c r="AI77" s="74">
        <f>AI76*Inputs!$B$45</f>
        <v>31082.23125</v>
      </c>
      <c r="AJ77" s="74">
        <f>AJ76*Inputs!$B$45</f>
        <v>31082.23125</v>
      </c>
      <c r="AK77" s="74">
        <f>AK76*Inputs!$B$45</f>
        <v>33590.41875</v>
      </c>
      <c r="AL77" s="74">
        <f>AL76*Inputs!$B$45</f>
        <v>35269.93969</v>
      </c>
      <c r="AM77" s="74">
        <f>AM76*Inputs!$B$45</f>
        <v>35269.93969</v>
      </c>
      <c r="AN77" s="74">
        <f>AN76*Inputs!$B$45</f>
        <v>35269.93969</v>
      </c>
      <c r="AO77" s="74">
        <f>AO76*Inputs!$B$45</f>
        <v>35269.93969</v>
      </c>
      <c r="AP77" s="74">
        <f>AP76*Inputs!$B$45</f>
        <v>35269.93969</v>
      </c>
      <c r="AQ77" s="74">
        <f>AQ76*Inputs!$B$45</f>
        <v>35269.93969</v>
      </c>
      <c r="AR77" s="74">
        <f>AR76*Inputs!$B$45</f>
        <v>35269.93969</v>
      </c>
      <c r="AS77" s="74">
        <f>AS76*Inputs!$B$45</f>
        <v>35269.93969</v>
      </c>
      <c r="AT77" s="74">
        <f>AT76*Inputs!$B$45</f>
        <v>35269.93969</v>
      </c>
      <c r="AU77" s="74">
        <f>AU76*Inputs!$B$45</f>
        <v>35269.93969</v>
      </c>
      <c r="AV77" s="74">
        <f>AV76*Inputs!$B$45</f>
        <v>35269.93969</v>
      </c>
      <c r="AW77" s="74">
        <f>AW76*Inputs!$B$45</f>
        <v>35269.93969</v>
      </c>
      <c r="AX77" s="74">
        <f>AX76*Inputs!$B$45</f>
        <v>37033.43667</v>
      </c>
      <c r="AY77" s="74">
        <f>AY76*Inputs!$B$45</f>
        <v>37033.43667</v>
      </c>
      <c r="AZ77" s="74">
        <f>AZ76*Inputs!$B$45</f>
        <v>37033.43667</v>
      </c>
      <c r="BA77" s="74">
        <f>BA76*Inputs!$B$45</f>
        <v>37033.43667</v>
      </c>
    </row>
    <row r="78" ht="14.25" customHeight="1">
      <c r="A78" s="2" t="s">
        <v>547</v>
      </c>
      <c r="B78" s="72">
        <f t="shared" ref="B78:BA78" si="3">B76+B77</f>
        <v>21780</v>
      </c>
      <c r="C78" s="72">
        <f t="shared" si="3"/>
        <v>21780</v>
      </c>
      <c r="D78" s="72">
        <f t="shared" si="3"/>
        <v>21780</v>
      </c>
      <c r="E78" s="72">
        <f t="shared" si="3"/>
        <v>21780</v>
      </c>
      <c r="F78" s="72">
        <f t="shared" si="3"/>
        <v>21780</v>
      </c>
      <c r="G78" s="72">
        <f t="shared" si="3"/>
        <v>21780</v>
      </c>
      <c r="H78" s="72">
        <f t="shared" si="3"/>
        <v>30855</v>
      </c>
      <c r="I78" s="72">
        <f t="shared" si="3"/>
        <v>41946.66667</v>
      </c>
      <c r="J78" s="72">
        <f t="shared" si="3"/>
        <v>47996.66667</v>
      </c>
      <c r="K78" s="72">
        <f t="shared" si="3"/>
        <v>57071.66667</v>
      </c>
      <c r="L78" s="72">
        <f t="shared" si="3"/>
        <v>63625.83333</v>
      </c>
      <c r="M78" s="72">
        <f t="shared" si="3"/>
        <v>70180</v>
      </c>
      <c r="N78" s="72">
        <f t="shared" si="3"/>
        <v>82159</v>
      </c>
      <c r="O78" s="72">
        <f t="shared" si="3"/>
        <v>98569.625</v>
      </c>
      <c r="P78" s="72">
        <f t="shared" si="3"/>
        <v>98569.625</v>
      </c>
      <c r="Q78" s="72">
        <f t="shared" si="3"/>
        <v>98569.625</v>
      </c>
      <c r="R78" s="72">
        <f t="shared" si="3"/>
        <v>98569.625</v>
      </c>
      <c r="S78" s="72">
        <f t="shared" si="3"/>
        <v>130332.125</v>
      </c>
      <c r="T78" s="72">
        <f t="shared" si="3"/>
        <v>130332.125</v>
      </c>
      <c r="U78" s="72">
        <f t="shared" si="3"/>
        <v>136684.625</v>
      </c>
      <c r="V78" s="72">
        <f t="shared" si="3"/>
        <v>136684.625</v>
      </c>
      <c r="W78" s="72">
        <f t="shared" si="3"/>
        <v>148330.875</v>
      </c>
      <c r="X78" s="72">
        <f t="shared" si="3"/>
        <v>148330.875</v>
      </c>
      <c r="Y78" s="72">
        <f t="shared" si="3"/>
        <v>155212.75</v>
      </c>
      <c r="Z78" s="72">
        <f t="shared" si="3"/>
        <v>162973.3875</v>
      </c>
      <c r="AA78" s="72">
        <f t="shared" si="3"/>
        <v>162973.3875</v>
      </c>
      <c r="AB78" s="72">
        <f t="shared" si="3"/>
        <v>162973.3875</v>
      </c>
      <c r="AC78" s="72">
        <f t="shared" si="3"/>
        <v>170199.3563</v>
      </c>
      <c r="AD78" s="72">
        <f t="shared" si="3"/>
        <v>170199.3563</v>
      </c>
      <c r="AE78" s="72">
        <f t="shared" si="3"/>
        <v>179092.8563</v>
      </c>
      <c r="AF78" s="72">
        <f t="shared" si="3"/>
        <v>179092.8563</v>
      </c>
      <c r="AG78" s="72">
        <f t="shared" si="3"/>
        <v>179092.8563</v>
      </c>
      <c r="AH78" s="72">
        <f t="shared" si="3"/>
        <v>179092.8563</v>
      </c>
      <c r="AI78" s="72">
        <f t="shared" si="3"/>
        <v>179092.8563</v>
      </c>
      <c r="AJ78" s="72">
        <f t="shared" si="3"/>
        <v>179092.8563</v>
      </c>
      <c r="AK78" s="72">
        <f t="shared" si="3"/>
        <v>193544.7938</v>
      </c>
      <c r="AL78" s="72">
        <f t="shared" si="3"/>
        <v>203222.0334</v>
      </c>
      <c r="AM78" s="72">
        <f t="shared" si="3"/>
        <v>203222.0334</v>
      </c>
      <c r="AN78" s="72">
        <f t="shared" si="3"/>
        <v>203222.0334</v>
      </c>
      <c r="AO78" s="72">
        <f t="shared" si="3"/>
        <v>203222.0334</v>
      </c>
      <c r="AP78" s="72">
        <f t="shared" si="3"/>
        <v>203222.0334</v>
      </c>
      <c r="AQ78" s="72">
        <f t="shared" si="3"/>
        <v>203222.0334</v>
      </c>
      <c r="AR78" s="72">
        <f t="shared" si="3"/>
        <v>203222.0334</v>
      </c>
      <c r="AS78" s="72">
        <f t="shared" si="3"/>
        <v>203222.0334</v>
      </c>
      <c r="AT78" s="72">
        <f t="shared" si="3"/>
        <v>203222.0334</v>
      </c>
      <c r="AU78" s="72">
        <f t="shared" si="3"/>
        <v>203222.0334</v>
      </c>
      <c r="AV78" s="72">
        <f t="shared" si="3"/>
        <v>203222.0334</v>
      </c>
      <c r="AW78" s="72">
        <f t="shared" si="3"/>
        <v>203222.0334</v>
      </c>
      <c r="AX78" s="72">
        <f t="shared" si="3"/>
        <v>213383.1351</v>
      </c>
      <c r="AY78" s="72">
        <f t="shared" si="3"/>
        <v>213383.1351</v>
      </c>
      <c r="AZ78" s="72">
        <f t="shared" si="3"/>
        <v>213383.1351</v>
      </c>
      <c r="BA78" s="72">
        <f t="shared" si="3"/>
        <v>213383.1351</v>
      </c>
    </row>
    <row r="79" ht="14.25" customHeight="1"/>
    <row r="80" ht="14.25" customHeight="1">
      <c r="A80" s="2" t="s">
        <v>548</v>
      </c>
    </row>
    <row r="81" ht="14.25" customHeight="1">
      <c r="A81" s="3" t="s">
        <v>549</v>
      </c>
      <c r="B81" s="74">
        <f>Inputs!$B$82</f>
        <v>1200</v>
      </c>
      <c r="C81" s="74">
        <f>Inputs!$B$82</f>
        <v>1200</v>
      </c>
      <c r="D81" s="74">
        <f>Inputs!$B$82</f>
        <v>1200</v>
      </c>
      <c r="E81" s="74">
        <f>Inputs!$B$82</f>
        <v>1200</v>
      </c>
      <c r="F81" s="74">
        <f>Inputs!$B$82</f>
        <v>1200</v>
      </c>
      <c r="G81" s="74">
        <f>Inputs!$B$82</f>
        <v>1200</v>
      </c>
      <c r="H81" s="74">
        <f>Inputs!$B$82</f>
        <v>1200</v>
      </c>
      <c r="I81" s="74">
        <f>Inputs!$B$82</f>
        <v>1200</v>
      </c>
      <c r="J81" s="74">
        <f>Inputs!$B$82</f>
        <v>1200</v>
      </c>
      <c r="K81" s="74">
        <f>Inputs!$B$82</f>
        <v>1200</v>
      </c>
      <c r="L81" s="74">
        <f>Inputs!$B$82</f>
        <v>1200</v>
      </c>
      <c r="M81" s="74">
        <f>Inputs!$B$82</f>
        <v>1200</v>
      </c>
      <c r="N81" s="74">
        <f>Inputs!$B$82</f>
        <v>1200</v>
      </c>
      <c r="O81" s="74">
        <f>Inputs!$B$82</f>
        <v>1200</v>
      </c>
      <c r="P81" s="74">
        <f>Inputs!$B$82</f>
        <v>1200</v>
      </c>
      <c r="Q81" s="74">
        <f>Inputs!$B$82</f>
        <v>1200</v>
      </c>
      <c r="R81" s="74">
        <f>Inputs!$B$82</f>
        <v>1200</v>
      </c>
      <c r="S81" s="74">
        <f>Inputs!$B$82</f>
        <v>1200</v>
      </c>
      <c r="T81" s="74">
        <f>Inputs!$B$82</f>
        <v>1200</v>
      </c>
      <c r="U81" s="74">
        <f>Inputs!$B$82</f>
        <v>1200</v>
      </c>
      <c r="V81" s="74">
        <f>Inputs!$B$82</f>
        <v>1200</v>
      </c>
      <c r="W81" s="74">
        <f>Inputs!$B$82</f>
        <v>1200</v>
      </c>
      <c r="X81" s="74">
        <f>Inputs!$B$82</f>
        <v>1200</v>
      </c>
      <c r="Y81" s="74">
        <f>Inputs!$B$82</f>
        <v>1200</v>
      </c>
      <c r="Z81" s="74">
        <f>Inputs!$B$82</f>
        <v>1200</v>
      </c>
      <c r="AA81" s="74">
        <f>Inputs!$B$82</f>
        <v>1200</v>
      </c>
      <c r="AB81" s="74">
        <f>Inputs!$B$82</f>
        <v>1200</v>
      </c>
      <c r="AC81" s="74">
        <f>Inputs!$B$82</f>
        <v>1200</v>
      </c>
      <c r="AD81" s="74">
        <f>Inputs!$B$82</f>
        <v>1200</v>
      </c>
      <c r="AE81" s="74">
        <f>Inputs!$B$82</f>
        <v>1200</v>
      </c>
      <c r="AF81" s="74">
        <f>Inputs!$B$82</f>
        <v>1200</v>
      </c>
      <c r="AG81" s="74">
        <f>Inputs!$B$82</f>
        <v>1200</v>
      </c>
      <c r="AH81" s="74">
        <f>Inputs!$B$82</f>
        <v>1200</v>
      </c>
      <c r="AI81" s="74">
        <f>Inputs!$B$82</f>
        <v>1200</v>
      </c>
      <c r="AJ81" s="74">
        <f>Inputs!$B$82</f>
        <v>1200</v>
      </c>
      <c r="AK81" s="74">
        <f>Inputs!$B$82</f>
        <v>1200</v>
      </c>
      <c r="AL81" s="74">
        <f>Inputs!$B$82</f>
        <v>1200</v>
      </c>
      <c r="AM81" s="74">
        <f>Inputs!$B$82</f>
        <v>1200</v>
      </c>
      <c r="AN81" s="74">
        <f>Inputs!$B$82</f>
        <v>1200</v>
      </c>
      <c r="AO81" s="74">
        <f>Inputs!$B$82</f>
        <v>1200</v>
      </c>
      <c r="AP81" s="74">
        <f>Inputs!$B$82</f>
        <v>1200</v>
      </c>
      <c r="AQ81" s="74">
        <f>Inputs!$B$82</f>
        <v>1200</v>
      </c>
      <c r="AR81" s="74">
        <f>Inputs!$B$82</f>
        <v>1200</v>
      </c>
      <c r="AS81" s="74">
        <f>Inputs!$B$82</f>
        <v>1200</v>
      </c>
      <c r="AT81" s="74">
        <f>Inputs!$B$82</f>
        <v>1200</v>
      </c>
      <c r="AU81" s="74">
        <f>Inputs!$B$82</f>
        <v>1200</v>
      </c>
      <c r="AV81" s="74">
        <f>Inputs!$B$82</f>
        <v>1200</v>
      </c>
      <c r="AW81" s="74">
        <f>Inputs!$B$82</f>
        <v>1200</v>
      </c>
      <c r="AX81" s="74">
        <f>Inputs!$B$82</f>
        <v>1200</v>
      </c>
      <c r="AY81" s="74">
        <f>Inputs!$B$82</f>
        <v>1200</v>
      </c>
      <c r="AZ81" s="74">
        <f>Inputs!$B$82</f>
        <v>1200</v>
      </c>
      <c r="BA81" s="74">
        <f>Inputs!$B$82</f>
        <v>1200</v>
      </c>
    </row>
    <row r="82" ht="14.25" customHeight="1">
      <c r="A82" s="3" t="s">
        <v>550</v>
      </c>
      <c r="B82" s="71">
        <f>Revenue!B8*Inputs!$B$83</f>
        <v>0</v>
      </c>
      <c r="C82" s="71">
        <f>Revenue!C8*Inputs!$B$83</f>
        <v>0</v>
      </c>
      <c r="D82" s="71">
        <f>Revenue!D8*Inputs!$B$83</f>
        <v>0</v>
      </c>
      <c r="E82" s="71">
        <f>Revenue!E8*Inputs!$B$83</f>
        <v>0</v>
      </c>
      <c r="F82" s="71">
        <f>Revenue!F8*Inputs!$B$83</f>
        <v>0</v>
      </c>
      <c r="G82" s="71">
        <f>Revenue!G8*Inputs!$B$83</f>
        <v>0</v>
      </c>
      <c r="H82" s="71">
        <f>Revenue!H8*Inputs!$B$83</f>
        <v>0</v>
      </c>
      <c r="I82" s="71">
        <f>Revenue!I8*Inputs!$B$83</f>
        <v>0</v>
      </c>
      <c r="J82" s="71">
        <f>Revenue!J8*Inputs!$B$83</f>
        <v>0</v>
      </c>
      <c r="K82" s="71">
        <f>Revenue!K8*Inputs!$B$83</f>
        <v>0</v>
      </c>
      <c r="L82" s="71">
        <f>Revenue!L8*Inputs!$B$83</f>
        <v>0</v>
      </c>
      <c r="M82" s="71">
        <f>Revenue!M8*Inputs!$B$83</f>
        <v>0</v>
      </c>
      <c r="N82" s="71">
        <f>Revenue!N8*Inputs!$B$83</f>
        <v>0</v>
      </c>
      <c r="O82" s="71">
        <f>Revenue!O8*Inputs!$B$83</f>
        <v>250</v>
      </c>
      <c r="P82" s="71">
        <f>Revenue!P8*Inputs!$B$83</f>
        <v>250</v>
      </c>
      <c r="Q82" s="71">
        <f>Revenue!Q8*Inputs!$B$83</f>
        <v>250</v>
      </c>
      <c r="R82" s="71">
        <f>Revenue!R8*Inputs!$B$83</f>
        <v>250</v>
      </c>
      <c r="S82" s="71">
        <f>Revenue!S8*Inputs!$B$83</f>
        <v>250</v>
      </c>
      <c r="T82" s="71">
        <f>Revenue!T8*Inputs!$B$83</f>
        <v>250</v>
      </c>
      <c r="U82" s="71">
        <f>Revenue!U8*Inputs!$B$83</f>
        <v>250</v>
      </c>
      <c r="V82" s="71">
        <f>Revenue!V8*Inputs!$B$83</f>
        <v>250</v>
      </c>
      <c r="W82" s="71">
        <f>Revenue!W8*Inputs!$B$83</f>
        <v>250</v>
      </c>
      <c r="X82" s="71">
        <f>Revenue!X8*Inputs!$B$83</f>
        <v>250</v>
      </c>
      <c r="Y82" s="71">
        <f>Revenue!Y8*Inputs!$B$83</f>
        <v>250</v>
      </c>
      <c r="Z82" s="71">
        <f>Revenue!Z8*Inputs!$B$83</f>
        <v>250</v>
      </c>
      <c r="AA82" s="71">
        <f>Revenue!AA8*Inputs!$B$83</f>
        <v>250</v>
      </c>
      <c r="AB82" s="71">
        <f>Revenue!AB8*Inputs!$B$83</f>
        <v>250</v>
      </c>
      <c r="AC82" s="71">
        <f>Revenue!AC8*Inputs!$B$83</f>
        <v>250</v>
      </c>
      <c r="AD82" s="71">
        <f>Revenue!AD8*Inputs!$B$83</f>
        <v>250</v>
      </c>
      <c r="AE82" s="71">
        <f>Revenue!AE8*Inputs!$B$83</f>
        <v>250</v>
      </c>
      <c r="AF82" s="71">
        <f>Revenue!AF8*Inputs!$B$83</f>
        <v>250</v>
      </c>
      <c r="AG82" s="71">
        <f>Revenue!AG8*Inputs!$B$83</f>
        <v>250</v>
      </c>
      <c r="AH82" s="71">
        <f>Revenue!AH8*Inputs!$B$83</f>
        <v>250</v>
      </c>
      <c r="AI82" s="71">
        <f>Revenue!AI8*Inputs!$B$83</f>
        <v>250</v>
      </c>
      <c r="AJ82" s="71">
        <f>Revenue!AJ8*Inputs!$B$83</f>
        <v>250</v>
      </c>
      <c r="AK82" s="71">
        <f>Revenue!AK8*Inputs!$B$83</f>
        <v>250</v>
      </c>
      <c r="AL82" s="71">
        <f>Revenue!AL8*Inputs!$B$83</f>
        <v>250</v>
      </c>
      <c r="AM82" s="71">
        <f>Revenue!AM8*Inputs!$B$83</f>
        <v>250</v>
      </c>
      <c r="AN82" s="71">
        <f>Revenue!AN8*Inputs!$B$83</f>
        <v>250</v>
      </c>
      <c r="AO82" s="71">
        <f>Revenue!AO8*Inputs!$B$83</f>
        <v>250</v>
      </c>
      <c r="AP82" s="71">
        <f>Revenue!AP8*Inputs!$B$83</f>
        <v>250</v>
      </c>
      <c r="AQ82" s="71">
        <f>Revenue!AQ8*Inputs!$B$83</f>
        <v>250</v>
      </c>
      <c r="AR82" s="71">
        <f>Revenue!AR8*Inputs!$B$83</f>
        <v>250</v>
      </c>
      <c r="AS82" s="71">
        <f>Revenue!AS8*Inputs!$B$83</f>
        <v>250</v>
      </c>
      <c r="AT82" s="71">
        <f>Revenue!AT8*Inputs!$B$83</f>
        <v>250</v>
      </c>
      <c r="AU82" s="71">
        <f>Revenue!AU8*Inputs!$B$83</f>
        <v>250</v>
      </c>
      <c r="AV82" s="71">
        <f>Revenue!AV8*Inputs!$B$83</f>
        <v>250</v>
      </c>
      <c r="AW82" s="71">
        <f>Revenue!AW8*Inputs!$B$83</f>
        <v>250</v>
      </c>
      <c r="AX82" s="71">
        <f>Revenue!AX8*Inputs!$B$83</f>
        <v>250</v>
      </c>
      <c r="AY82" s="71">
        <f>Revenue!AY8*Inputs!$B$83</f>
        <v>250</v>
      </c>
      <c r="AZ82" s="71">
        <f>Revenue!AZ8*Inputs!$B$83</f>
        <v>250</v>
      </c>
      <c r="BA82" s="71">
        <f>Revenue!BA8*Inputs!$B$83</f>
        <v>250</v>
      </c>
    </row>
    <row r="83" ht="14.25" customHeight="1">
      <c r="A83" s="3" t="s">
        <v>464</v>
      </c>
      <c r="B83" s="74">
        <f>Inputs!$B$84*(1+Inputs!$B$85)^(1-1)</f>
        <v>1000</v>
      </c>
      <c r="C83" s="74">
        <f>Inputs!$B$84*(1+Inputs!$B$85)^(2-1)</f>
        <v>1050</v>
      </c>
      <c r="D83" s="74">
        <f>Inputs!$B$84*(1+Inputs!$B$85)^(3-1)</f>
        <v>1102.5</v>
      </c>
      <c r="E83" s="74">
        <f>Inputs!$B$84*(1+Inputs!$B$85)^(4-1)</f>
        <v>1157.625</v>
      </c>
      <c r="F83" s="74">
        <f>Inputs!$B$84*(1+Inputs!$B$85)^(5-1)</f>
        <v>1215.50625</v>
      </c>
      <c r="G83" s="74">
        <f>Inputs!$B$84*(1+Inputs!$B$85)^(6-1)</f>
        <v>1276.281563</v>
      </c>
      <c r="H83" s="74">
        <f>Inputs!$B$84*(1+Inputs!$B$85)^(7-1)</f>
        <v>1340.095641</v>
      </c>
      <c r="I83" s="74">
        <f>Inputs!$B$84*(1+Inputs!$B$85)^(8-1)</f>
        <v>1407.100423</v>
      </c>
      <c r="J83" s="74">
        <f>Inputs!$B$84*(1+Inputs!$B$85)^(9-1)</f>
        <v>1477.455444</v>
      </c>
      <c r="K83" s="74">
        <f>Inputs!$B$84*(1+Inputs!$B$85)^(10-1)</f>
        <v>1551.328216</v>
      </c>
      <c r="L83" s="74">
        <f>Inputs!$B$84*(1+Inputs!$B$85)^(11-1)</f>
        <v>1628.894627</v>
      </c>
      <c r="M83" s="74">
        <f>Inputs!$B$84*(1+Inputs!$B$85)^(12-1)</f>
        <v>1710.339358</v>
      </c>
      <c r="N83" s="74">
        <f>Inputs!$B$84*(1+Inputs!$B$85)^(13-1)</f>
        <v>1795.856326</v>
      </c>
      <c r="O83" s="74">
        <f>Inputs!$B$84*(1+Inputs!$B$85)^(14-1)</f>
        <v>1885.649142</v>
      </c>
      <c r="P83" s="74">
        <f>Inputs!$B$84*(1+Inputs!$B$85)^(15-1)</f>
        <v>1979.931599</v>
      </c>
      <c r="Q83" s="74">
        <f>Inputs!$B$84*(1+Inputs!$B$85)^(16-1)</f>
        <v>2078.928179</v>
      </c>
      <c r="R83" s="74">
        <f>Inputs!$B$84*(1+Inputs!$B$85)^(17-1)</f>
        <v>2182.874588</v>
      </c>
      <c r="S83" s="74">
        <f>Inputs!$B$84*(1+Inputs!$B$85)^(18-1)</f>
        <v>2292.018318</v>
      </c>
      <c r="T83" s="74">
        <f>Inputs!$B$84*(1+Inputs!$B$85)^(19-1)</f>
        <v>2406.619234</v>
      </c>
      <c r="U83" s="74">
        <f>Inputs!$B$84*(1+Inputs!$B$85)^(20-1)</f>
        <v>2526.950195</v>
      </c>
      <c r="V83" s="74">
        <f>Inputs!$B$84*(1+Inputs!$B$85)^(21-1)</f>
        <v>2653.297705</v>
      </c>
      <c r="W83" s="74">
        <f>Inputs!$B$84*(1+Inputs!$B$85)^(22-1)</f>
        <v>2785.96259</v>
      </c>
      <c r="X83" s="74">
        <f>Inputs!$B$84*(1+Inputs!$B$85)^(23-1)</f>
        <v>2925.26072</v>
      </c>
      <c r="Y83" s="74">
        <f>Inputs!$B$84*(1+Inputs!$B$85)^(24-1)</f>
        <v>3071.523756</v>
      </c>
      <c r="Z83" s="74">
        <f>Inputs!$B$84*(1+Inputs!$B$85)^(25-1)</f>
        <v>3225.099944</v>
      </c>
      <c r="AA83" s="74">
        <f>Inputs!$B$84*(1+Inputs!$B$85)^(26-1)</f>
        <v>3386.354941</v>
      </c>
      <c r="AB83" s="74">
        <f>Inputs!$B$84*(1+Inputs!$B$85)^(27-1)</f>
        <v>3555.672688</v>
      </c>
      <c r="AC83" s="74">
        <f>Inputs!$B$84*(1+Inputs!$B$85)^(28-1)</f>
        <v>3733.456322</v>
      </c>
      <c r="AD83" s="74">
        <f>Inputs!$B$84*(1+Inputs!$B$85)^(29-1)</f>
        <v>3920.129138</v>
      </c>
      <c r="AE83" s="74">
        <f>Inputs!$B$84*(1+Inputs!$B$85)^(30-1)</f>
        <v>4116.135595</v>
      </c>
      <c r="AF83" s="74">
        <f>Inputs!$B$84*(1+Inputs!$B$85)^(31-1)</f>
        <v>4321.942375</v>
      </c>
      <c r="AG83" s="74">
        <f>Inputs!$B$84*(1+Inputs!$B$85)^(32-1)</f>
        <v>4538.039494</v>
      </c>
      <c r="AH83" s="74">
        <f>Inputs!$B$84*(1+Inputs!$B$85)^(33-1)</f>
        <v>4764.941469</v>
      </c>
      <c r="AI83" s="74">
        <f>Inputs!$B$84*(1+Inputs!$B$85)^(34-1)</f>
        <v>5003.188542</v>
      </c>
      <c r="AJ83" s="74">
        <f>Inputs!$B$84*(1+Inputs!$B$85)^(35-1)</f>
        <v>5253.347969</v>
      </c>
      <c r="AK83" s="74">
        <f>Inputs!$B$84*(1+Inputs!$B$85)^(36-1)</f>
        <v>5516.015368</v>
      </c>
      <c r="AL83" s="74">
        <f>Inputs!$B$84*(1+Inputs!$B$85)^(37-1)</f>
        <v>5791.816136</v>
      </c>
      <c r="AM83" s="74">
        <f>Inputs!$B$84*(1+Inputs!$B$85)^(38-1)</f>
        <v>6081.406943</v>
      </c>
      <c r="AN83" s="74">
        <f>Inputs!$B$84*(1+Inputs!$B$85)^(39-1)</f>
        <v>6385.47729</v>
      </c>
      <c r="AO83" s="74">
        <f>Inputs!$B$84*(1+Inputs!$B$85)^(40-1)</f>
        <v>6704.751154</v>
      </c>
      <c r="AP83" s="74">
        <f>Inputs!$B$84*(1+Inputs!$B$85)^(41-1)</f>
        <v>7039.988712</v>
      </c>
      <c r="AQ83" s="74">
        <f>Inputs!$B$84*(1+Inputs!$B$85)^(42-1)</f>
        <v>7391.988148</v>
      </c>
      <c r="AR83" s="74">
        <f>Inputs!$B$84*(1+Inputs!$B$85)^(43-1)</f>
        <v>7761.587555</v>
      </c>
      <c r="AS83" s="74">
        <f>Inputs!$B$84*(1+Inputs!$B$85)^(44-1)</f>
        <v>8149.666933</v>
      </c>
      <c r="AT83" s="74">
        <f>Inputs!$B$84*(1+Inputs!$B$85)^(45-1)</f>
        <v>8557.15028</v>
      </c>
      <c r="AU83" s="74">
        <f>Inputs!$B$84*(1+Inputs!$B$85)^(46-1)</f>
        <v>8985.007793</v>
      </c>
      <c r="AV83" s="74">
        <f>Inputs!$B$84*(1+Inputs!$B$85)^(47-1)</f>
        <v>9434.258183</v>
      </c>
      <c r="AW83" s="74">
        <f>Inputs!$B$84*(1+Inputs!$B$85)^(48-1)</f>
        <v>9905.971092</v>
      </c>
      <c r="AX83" s="74">
        <f>Inputs!$B$84*(1+Inputs!$B$85)^(49-1)</f>
        <v>10401.26965</v>
      </c>
      <c r="AY83" s="74">
        <f>Inputs!$B$84*(1+Inputs!$B$85)^(50-1)</f>
        <v>10921.33313</v>
      </c>
      <c r="AZ83" s="74">
        <f>Inputs!$B$84*(1+Inputs!$B$85)^(51-1)</f>
        <v>11467.39979</v>
      </c>
      <c r="BA83" s="74">
        <f>Inputs!$B$84*(1+Inputs!$B$85)^(52-1)</f>
        <v>12040.76978</v>
      </c>
    </row>
    <row r="84" ht="14.25" customHeight="1">
      <c r="A84" s="3" t="s">
        <v>551</v>
      </c>
      <c r="B84" s="74">
        <f>Inputs!$B$86+B38*Inputs!$B$87</f>
        <v>700</v>
      </c>
      <c r="C84" s="74">
        <f>Inputs!$B$86+C38*Inputs!$B$87</f>
        <v>700</v>
      </c>
      <c r="D84" s="74">
        <f>Inputs!$B$86+D38*Inputs!$B$87</f>
        <v>700</v>
      </c>
      <c r="E84" s="74">
        <f>Inputs!$B$86+E38*Inputs!$B$87</f>
        <v>700</v>
      </c>
      <c r="F84" s="74">
        <f>Inputs!$B$86+F38*Inputs!$B$87</f>
        <v>700</v>
      </c>
      <c r="G84" s="74">
        <f>Inputs!$B$86+G38*Inputs!$B$87</f>
        <v>700</v>
      </c>
      <c r="H84" s="74">
        <f>Inputs!$B$86+H38*Inputs!$B$87</f>
        <v>800</v>
      </c>
      <c r="I84" s="74">
        <f>Inputs!$B$86+I38*Inputs!$B$87</f>
        <v>900</v>
      </c>
      <c r="J84" s="74">
        <f>Inputs!$B$86+J38*Inputs!$B$87</f>
        <v>1000</v>
      </c>
      <c r="K84" s="74">
        <f>Inputs!$B$86+K38*Inputs!$B$87</f>
        <v>1100</v>
      </c>
      <c r="L84" s="74">
        <f>Inputs!$B$86+L38*Inputs!$B$87</f>
        <v>1200</v>
      </c>
      <c r="M84" s="74">
        <f>Inputs!$B$86+M38*Inputs!$B$87</f>
        <v>1300</v>
      </c>
      <c r="N84" s="74">
        <f>Inputs!$B$86+N38*Inputs!$B$87</f>
        <v>1400</v>
      </c>
      <c r="O84" s="74">
        <f>Inputs!$B$86+O38*Inputs!$B$87</f>
        <v>1600</v>
      </c>
      <c r="P84" s="74">
        <f>Inputs!$B$86+P38*Inputs!$B$87</f>
        <v>1600</v>
      </c>
      <c r="Q84" s="74">
        <f>Inputs!$B$86+Q38*Inputs!$B$87</f>
        <v>1600</v>
      </c>
      <c r="R84" s="74">
        <f>Inputs!$B$86+R38*Inputs!$B$87</f>
        <v>1600</v>
      </c>
      <c r="S84" s="74">
        <f>Inputs!$B$86+S38*Inputs!$B$87</f>
        <v>1900</v>
      </c>
      <c r="T84" s="74">
        <f>Inputs!$B$86+T38*Inputs!$B$87</f>
        <v>1900</v>
      </c>
      <c r="U84" s="74">
        <f>Inputs!$B$86+U38*Inputs!$B$87</f>
        <v>2000</v>
      </c>
      <c r="V84" s="74">
        <f>Inputs!$B$86+V38*Inputs!$B$87</f>
        <v>2000</v>
      </c>
      <c r="W84" s="74">
        <f>Inputs!$B$86+W38*Inputs!$B$87</f>
        <v>2100</v>
      </c>
      <c r="X84" s="74">
        <f>Inputs!$B$86+X38*Inputs!$B$87</f>
        <v>2100</v>
      </c>
      <c r="Y84" s="74">
        <f>Inputs!$B$86+Y38*Inputs!$B$87</f>
        <v>2200</v>
      </c>
      <c r="Z84" s="74">
        <f>Inputs!$B$86+Z38*Inputs!$B$87</f>
        <v>2200</v>
      </c>
      <c r="AA84" s="74">
        <f>Inputs!$B$86+AA38*Inputs!$B$87</f>
        <v>2200</v>
      </c>
      <c r="AB84" s="74">
        <f>Inputs!$B$86+AB38*Inputs!$B$87</f>
        <v>2200</v>
      </c>
      <c r="AC84" s="74">
        <f>Inputs!$B$86+AC38*Inputs!$B$87</f>
        <v>2300</v>
      </c>
      <c r="AD84" s="74">
        <f>Inputs!$B$86+AD38*Inputs!$B$87</f>
        <v>2300</v>
      </c>
      <c r="AE84" s="74">
        <f>Inputs!$B$86+AE38*Inputs!$B$87</f>
        <v>2400</v>
      </c>
      <c r="AF84" s="74">
        <f>Inputs!$B$86+AF38*Inputs!$B$87</f>
        <v>2400</v>
      </c>
      <c r="AG84" s="74">
        <f>Inputs!$B$86+AG38*Inputs!$B$87</f>
        <v>2400</v>
      </c>
      <c r="AH84" s="74">
        <f>Inputs!$B$86+AH38*Inputs!$B$87</f>
        <v>2400</v>
      </c>
      <c r="AI84" s="74">
        <f>Inputs!$B$86+AI38*Inputs!$B$87</f>
        <v>2400</v>
      </c>
      <c r="AJ84" s="74">
        <f>Inputs!$B$86+AJ38*Inputs!$B$87</f>
        <v>2400</v>
      </c>
      <c r="AK84" s="74">
        <f>Inputs!$B$86+AK38*Inputs!$B$87</f>
        <v>2500</v>
      </c>
      <c r="AL84" s="74">
        <f>Inputs!$B$86+AL38*Inputs!$B$87</f>
        <v>2500</v>
      </c>
      <c r="AM84" s="74">
        <f>Inputs!$B$86+AM38*Inputs!$B$87</f>
        <v>2500</v>
      </c>
      <c r="AN84" s="74">
        <f>Inputs!$B$86+AN38*Inputs!$B$87</f>
        <v>2500</v>
      </c>
      <c r="AO84" s="74">
        <f>Inputs!$B$86+AO38*Inputs!$B$87</f>
        <v>2500</v>
      </c>
      <c r="AP84" s="74">
        <f>Inputs!$B$86+AP38*Inputs!$B$87</f>
        <v>2500</v>
      </c>
      <c r="AQ84" s="74">
        <f>Inputs!$B$86+AQ38*Inputs!$B$87</f>
        <v>2500</v>
      </c>
      <c r="AR84" s="74">
        <f>Inputs!$B$86+AR38*Inputs!$B$87</f>
        <v>2500</v>
      </c>
      <c r="AS84" s="74">
        <f>Inputs!$B$86+AS38*Inputs!$B$87</f>
        <v>2500</v>
      </c>
      <c r="AT84" s="74">
        <f>Inputs!$B$86+AT38*Inputs!$B$87</f>
        <v>2500</v>
      </c>
      <c r="AU84" s="74">
        <f>Inputs!$B$86+AU38*Inputs!$B$87</f>
        <v>2500</v>
      </c>
      <c r="AV84" s="74">
        <f>Inputs!$B$86+AV38*Inputs!$B$87</f>
        <v>2500</v>
      </c>
      <c r="AW84" s="74">
        <f>Inputs!$B$86+AW38*Inputs!$B$87</f>
        <v>2500</v>
      </c>
      <c r="AX84" s="74">
        <f>Inputs!$B$86+AX38*Inputs!$B$87</f>
        <v>2500</v>
      </c>
      <c r="AY84" s="74">
        <f>Inputs!$B$86+AY38*Inputs!$B$87</f>
        <v>2500</v>
      </c>
      <c r="AZ84" s="74">
        <f>Inputs!$B$86+AZ38*Inputs!$B$87</f>
        <v>2500</v>
      </c>
      <c r="BA84" s="74">
        <f>Inputs!$B$86+BA38*Inputs!$B$87</f>
        <v>2500</v>
      </c>
    </row>
    <row r="85" ht="14.25" customHeight="1">
      <c r="A85" s="3" t="s">
        <v>272</v>
      </c>
      <c r="B85" s="74">
        <f>Inputs!$B$88/12</f>
        <v>416.6666667</v>
      </c>
      <c r="C85" s="74">
        <f>Inputs!$B$88/12</f>
        <v>416.6666667</v>
      </c>
      <c r="D85" s="74">
        <f>Inputs!$B$88/12</f>
        <v>416.6666667</v>
      </c>
      <c r="E85" s="74">
        <f>Inputs!$B$88/12</f>
        <v>416.6666667</v>
      </c>
      <c r="F85" s="74">
        <f>Inputs!$B$88/12</f>
        <v>416.6666667</v>
      </c>
      <c r="G85" s="74">
        <f>Inputs!$B$88/12</f>
        <v>416.6666667</v>
      </c>
      <c r="H85" s="74">
        <f>Inputs!$B$88/12</f>
        <v>416.6666667</v>
      </c>
      <c r="I85" s="74">
        <f>Inputs!$B$88/12</f>
        <v>416.6666667</v>
      </c>
      <c r="J85" s="74">
        <f>Inputs!$B$88/12</f>
        <v>416.6666667</v>
      </c>
      <c r="K85" s="74">
        <f>Inputs!$B$88/12</f>
        <v>416.6666667</v>
      </c>
      <c r="L85" s="74">
        <f>Inputs!$B$88/12</f>
        <v>416.6666667</v>
      </c>
      <c r="M85" s="74">
        <f>Inputs!$B$88/12</f>
        <v>416.6666667</v>
      </c>
      <c r="N85" s="74">
        <f>Inputs!$B$88/12</f>
        <v>416.6666667</v>
      </c>
      <c r="O85" s="74">
        <f>Inputs!$B$88/12</f>
        <v>416.6666667</v>
      </c>
      <c r="P85" s="74">
        <f>Inputs!$B$88/12</f>
        <v>416.6666667</v>
      </c>
      <c r="Q85" s="74">
        <f>Inputs!$B$88/12</f>
        <v>416.6666667</v>
      </c>
      <c r="R85" s="74">
        <f>Inputs!$B$88/12</f>
        <v>416.6666667</v>
      </c>
      <c r="S85" s="74">
        <f>Inputs!$B$88/12</f>
        <v>416.6666667</v>
      </c>
      <c r="T85" s="74">
        <f>Inputs!$B$88/12</f>
        <v>416.6666667</v>
      </c>
      <c r="U85" s="74">
        <f>Inputs!$B$88/12</f>
        <v>416.6666667</v>
      </c>
      <c r="V85" s="74">
        <f>Inputs!$B$88/12</f>
        <v>416.6666667</v>
      </c>
      <c r="W85" s="74">
        <f>Inputs!$B$88/12</f>
        <v>416.6666667</v>
      </c>
      <c r="X85" s="74">
        <f>Inputs!$B$88/12</f>
        <v>416.6666667</v>
      </c>
      <c r="Y85" s="74">
        <f>Inputs!$B$88/12</f>
        <v>416.6666667</v>
      </c>
      <c r="Z85" s="74">
        <f>Inputs!$B$88/12</f>
        <v>416.6666667</v>
      </c>
      <c r="AA85" s="74">
        <f>Inputs!$B$88/12</f>
        <v>416.6666667</v>
      </c>
      <c r="AB85" s="74">
        <f>Inputs!$B$88/12</f>
        <v>416.6666667</v>
      </c>
      <c r="AC85" s="74">
        <f>Inputs!$B$88/12</f>
        <v>416.6666667</v>
      </c>
      <c r="AD85" s="74">
        <f>Inputs!$B$88/12</f>
        <v>416.6666667</v>
      </c>
      <c r="AE85" s="74">
        <f>Inputs!$B$88/12</f>
        <v>416.6666667</v>
      </c>
      <c r="AF85" s="74">
        <f>Inputs!$B$88/12</f>
        <v>416.6666667</v>
      </c>
      <c r="AG85" s="74">
        <f>Inputs!$B$88/12</f>
        <v>416.6666667</v>
      </c>
      <c r="AH85" s="74">
        <f>Inputs!$B$88/12</f>
        <v>416.6666667</v>
      </c>
      <c r="AI85" s="74">
        <f>Inputs!$B$88/12</f>
        <v>416.6666667</v>
      </c>
      <c r="AJ85" s="74">
        <f>Inputs!$B$88/12</f>
        <v>416.6666667</v>
      </c>
      <c r="AK85" s="74">
        <f>Inputs!$B$88/12</f>
        <v>416.6666667</v>
      </c>
      <c r="AL85" s="74">
        <f>Inputs!$B$88/12</f>
        <v>416.6666667</v>
      </c>
      <c r="AM85" s="74">
        <f>Inputs!$B$88/12</f>
        <v>416.6666667</v>
      </c>
      <c r="AN85" s="74">
        <f>Inputs!$B$88/12</f>
        <v>416.6666667</v>
      </c>
      <c r="AO85" s="74">
        <f>Inputs!$B$88/12</f>
        <v>416.6666667</v>
      </c>
      <c r="AP85" s="74">
        <f>Inputs!$B$88/12</f>
        <v>416.6666667</v>
      </c>
      <c r="AQ85" s="74">
        <f>Inputs!$B$88/12</f>
        <v>416.6666667</v>
      </c>
      <c r="AR85" s="74">
        <f>Inputs!$B$88/12</f>
        <v>416.6666667</v>
      </c>
      <c r="AS85" s="74">
        <f>Inputs!$B$88/12</f>
        <v>416.6666667</v>
      </c>
      <c r="AT85" s="74">
        <f>Inputs!$B$88/12</f>
        <v>416.6666667</v>
      </c>
      <c r="AU85" s="74">
        <f>Inputs!$B$88/12</f>
        <v>416.6666667</v>
      </c>
      <c r="AV85" s="74">
        <f>Inputs!$B$88/12</f>
        <v>416.6666667</v>
      </c>
      <c r="AW85" s="74">
        <f>Inputs!$B$88/12</f>
        <v>416.6666667</v>
      </c>
      <c r="AX85" s="74">
        <f>Inputs!$B$88/12</f>
        <v>416.6666667</v>
      </c>
      <c r="AY85" s="74">
        <f>Inputs!$B$88/12</f>
        <v>416.6666667</v>
      </c>
      <c r="AZ85" s="74">
        <f>Inputs!$B$88/12</f>
        <v>416.6666667</v>
      </c>
      <c r="BA85" s="74">
        <f>Inputs!$B$88/12</f>
        <v>416.6666667</v>
      </c>
    </row>
    <row r="86" ht="14.25" customHeight="1">
      <c r="A86" s="3" t="s">
        <v>275</v>
      </c>
      <c r="B86" s="74">
        <f>Inputs!$B$89</f>
        <v>3500</v>
      </c>
      <c r="C86" s="74">
        <f>Inputs!$B$89</f>
        <v>3500</v>
      </c>
      <c r="D86" s="74">
        <f>Inputs!$B$89</f>
        <v>3500</v>
      </c>
      <c r="E86" s="74">
        <f>Inputs!$B$89</f>
        <v>3500</v>
      </c>
      <c r="F86" s="74">
        <f>Inputs!$B$89</f>
        <v>3500</v>
      </c>
      <c r="G86" s="74">
        <f>Inputs!$B$89</f>
        <v>3500</v>
      </c>
      <c r="H86" s="74">
        <f>Inputs!$B$89</f>
        <v>3500</v>
      </c>
      <c r="I86" s="74">
        <f>Inputs!$B$89</f>
        <v>3500</v>
      </c>
      <c r="J86" s="74">
        <f>Inputs!$B$89</f>
        <v>3500</v>
      </c>
      <c r="K86" s="74">
        <f>Inputs!$B$89</f>
        <v>3500</v>
      </c>
      <c r="L86" s="74">
        <f>Inputs!$B$89</f>
        <v>3500</v>
      </c>
      <c r="M86" s="74">
        <f>Inputs!$B$89</f>
        <v>3500</v>
      </c>
      <c r="N86" s="74">
        <f>Inputs!$B$89</f>
        <v>3500</v>
      </c>
      <c r="O86" s="74">
        <f>Inputs!$B$89</f>
        <v>3500</v>
      </c>
      <c r="P86" s="74">
        <f>Inputs!$B$89</f>
        <v>3500</v>
      </c>
      <c r="Q86" s="74">
        <f>Inputs!$B$89</f>
        <v>3500</v>
      </c>
      <c r="R86" s="74">
        <f>Inputs!$B$89</f>
        <v>3500</v>
      </c>
      <c r="S86" s="74">
        <f>Inputs!$B$89</f>
        <v>3500</v>
      </c>
      <c r="T86" s="74">
        <f>Inputs!$B$89</f>
        <v>3500</v>
      </c>
      <c r="U86" s="74">
        <f>Inputs!$B$89</f>
        <v>3500</v>
      </c>
      <c r="V86" s="74">
        <f>Inputs!$B$89</f>
        <v>3500</v>
      </c>
      <c r="W86" s="74">
        <f>Inputs!$B$89</f>
        <v>3500</v>
      </c>
      <c r="X86" s="74">
        <f>Inputs!$B$89</f>
        <v>3500</v>
      </c>
      <c r="Y86" s="74">
        <f>Inputs!$B$89</f>
        <v>3500</v>
      </c>
      <c r="Z86" s="74">
        <f>Inputs!$B$89</f>
        <v>3500</v>
      </c>
      <c r="AA86" s="74">
        <f>Inputs!$B$89</f>
        <v>3500</v>
      </c>
      <c r="AB86" s="74">
        <f>Inputs!$B$89</f>
        <v>3500</v>
      </c>
      <c r="AC86" s="74">
        <f>Inputs!$B$89</f>
        <v>3500</v>
      </c>
      <c r="AD86" s="74">
        <f>Inputs!$B$89</f>
        <v>3500</v>
      </c>
      <c r="AE86" s="74">
        <f>Inputs!$B$89</f>
        <v>3500</v>
      </c>
      <c r="AF86" s="74">
        <f>Inputs!$B$89</f>
        <v>3500</v>
      </c>
      <c r="AG86" s="74">
        <f>Inputs!$B$89</f>
        <v>3500</v>
      </c>
      <c r="AH86" s="74">
        <f>Inputs!$B$89</f>
        <v>3500</v>
      </c>
      <c r="AI86" s="74">
        <f>Inputs!$B$89</f>
        <v>3500</v>
      </c>
      <c r="AJ86" s="74">
        <f>Inputs!$B$89</f>
        <v>3500</v>
      </c>
      <c r="AK86" s="74">
        <f>Inputs!$B$89</f>
        <v>3500</v>
      </c>
      <c r="AL86" s="74">
        <f>Inputs!$B$89</f>
        <v>3500</v>
      </c>
      <c r="AM86" s="74">
        <f>Inputs!$B$89</f>
        <v>3500</v>
      </c>
      <c r="AN86" s="74">
        <f>Inputs!$B$89</f>
        <v>3500</v>
      </c>
      <c r="AO86" s="74">
        <f>Inputs!$B$89</f>
        <v>3500</v>
      </c>
      <c r="AP86" s="74">
        <f>Inputs!$B$89</f>
        <v>3500</v>
      </c>
      <c r="AQ86" s="74">
        <f>Inputs!$B$89</f>
        <v>3500</v>
      </c>
      <c r="AR86" s="74">
        <f>Inputs!$B$89</f>
        <v>3500</v>
      </c>
      <c r="AS86" s="74">
        <f>Inputs!$B$89</f>
        <v>3500</v>
      </c>
      <c r="AT86" s="74">
        <f>Inputs!$B$89</f>
        <v>3500</v>
      </c>
      <c r="AU86" s="74">
        <f>Inputs!$B$89</f>
        <v>3500</v>
      </c>
      <c r="AV86" s="74">
        <f>Inputs!$B$89</f>
        <v>3500</v>
      </c>
      <c r="AW86" s="74">
        <f>Inputs!$B$89</f>
        <v>3500</v>
      </c>
      <c r="AX86" s="74">
        <f>Inputs!$B$89</f>
        <v>3500</v>
      </c>
      <c r="AY86" s="74">
        <f>Inputs!$B$89</f>
        <v>3500</v>
      </c>
      <c r="AZ86" s="74">
        <f>Inputs!$B$89</f>
        <v>3500</v>
      </c>
      <c r="BA86" s="74">
        <f>Inputs!$B$89</f>
        <v>3500</v>
      </c>
    </row>
    <row r="87" ht="14.25" customHeight="1">
      <c r="A87" s="2" t="s">
        <v>552</v>
      </c>
      <c r="B87" s="72">
        <f t="shared" ref="B87:BA87" si="4">SUM(B81:B86)</f>
        <v>6816.666667</v>
      </c>
      <c r="C87" s="72">
        <f t="shared" si="4"/>
        <v>6866.666667</v>
      </c>
      <c r="D87" s="72">
        <f t="shared" si="4"/>
        <v>6919.166667</v>
      </c>
      <c r="E87" s="72">
        <f t="shared" si="4"/>
        <v>6974.291667</v>
      </c>
      <c r="F87" s="72">
        <f t="shared" si="4"/>
        <v>7032.172917</v>
      </c>
      <c r="G87" s="72">
        <f t="shared" si="4"/>
        <v>7092.948229</v>
      </c>
      <c r="H87" s="72">
        <f t="shared" si="4"/>
        <v>7256.762307</v>
      </c>
      <c r="I87" s="72">
        <f t="shared" si="4"/>
        <v>7423.767089</v>
      </c>
      <c r="J87" s="72">
        <f t="shared" si="4"/>
        <v>7594.12211</v>
      </c>
      <c r="K87" s="72">
        <f t="shared" si="4"/>
        <v>7767.994883</v>
      </c>
      <c r="L87" s="72">
        <f t="shared" si="4"/>
        <v>7945.561293</v>
      </c>
      <c r="M87" s="72">
        <f t="shared" si="4"/>
        <v>8127.006025</v>
      </c>
      <c r="N87" s="72">
        <f t="shared" si="4"/>
        <v>8312.522993</v>
      </c>
      <c r="O87" s="72">
        <f t="shared" si="4"/>
        <v>8852.315809</v>
      </c>
      <c r="P87" s="72">
        <f t="shared" si="4"/>
        <v>8946.598266</v>
      </c>
      <c r="Q87" s="72">
        <f t="shared" si="4"/>
        <v>9045.594846</v>
      </c>
      <c r="R87" s="72">
        <f t="shared" si="4"/>
        <v>9149.541255</v>
      </c>
      <c r="S87" s="72">
        <f t="shared" si="4"/>
        <v>9558.684984</v>
      </c>
      <c r="T87" s="72">
        <f t="shared" si="4"/>
        <v>9673.2859</v>
      </c>
      <c r="U87" s="72">
        <f t="shared" si="4"/>
        <v>9893.616862</v>
      </c>
      <c r="V87" s="72">
        <f t="shared" si="4"/>
        <v>10019.96437</v>
      </c>
      <c r="W87" s="72">
        <f t="shared" si="4"/>
        <v>10252.62926</v>
      </c>
      <c r="X87" s="72">
        <f t="shared" si="4"/>
        <v>10391.92739</v>
      </c>
      <c r="Y87" s="72">
        <f t="shared" si="4"/>
        <v>10638.19042</v>
      </c>
      <c r="Z87" s="72">
        <f t="shared" si="4"/>
        <v>10791.76661</v>
      </c>
      <c r="AA87" s="72">
        <f t="shared" si="4"/>
        <v>10953.02161</v>
      </c>
      <c r="AB87" s="72">
        <f t="shared" si="4"/>
        <v>11122.33935</v>
      </c>
      <c r="AC87" s="72">
        <f t="shared" si="4"/>
        <v>11400.12299</v>
      </c>
      <c r="AD87" s="72">
        <f t="shared" si="4"/>
        <v>11586.79581</v>
      </c>
      <c r="AE87" s="72">
        <f t="shared" si="4"/>
        <v>11882.80226</v>
      </c>
      <c r="AF87" s="72">
        <f t="shared" si="4"/>
        <v>12088.60904</v>
      </c>
      <c r="AG87" s="72">
        <f t="shared" si="4"/>
        <v>12304.70616</v>
      </c>
      <c r="AH87" s="72">
        <f t="shared" si="4"/>
        <v>12531.60814</v>
      </c>
      <c r="AI87" s="72">
        <f t="shared" si="4"/>
        <v>12769.85521</v>
      </c>
      <c r="AJ87" s="72">
        <f t="shared" si="4"/>
        <v>13020.01464</v>
      </c>
      <c r="AK87" s="72">
        <f t="shared" si="4"/>
        <v>13382.68203</v>
      </c>
      <c r="AL87" s="72">
        <f t="shared" si="4"/>
        <v>13658.4828</v>
      </c>
      <c r="AM87" s="72">
        <f t="shared" si="4"/>
        <v>13948.07361</v>
      </c>
      <c r="AN87" s="72">
        <f t="shared" si="4"/>
        <v>14252.14396</v>
      </c>
      <c r="AO87" s="72">
        <f t="shared" si="4"/>
        <v>14571.41782</v>
      </c>
      <c r="AP87" s="72">
        <f t="shared" si="4"/>
        <v>14906.65538</v>
      </c>
      <c r="AQ87" s="72">
        <f t="shared" si="4"/>
        <v>15258.65481</v>
      </c>
      <c r="AR87" s="72">
        <f t="shared" si="4"/>
        <v>15628.25422</v>
      </c>
      <c r="AS87" s="72">
        <f t="shared" si="4"/>
        <v>16016.3336</v>
      </c>
      <c r="AT87" s="72">
        <f t="shared" si="4"/>
        <v>16423.81695</v>
      </c>
      <c r="AU87" s="72">
        <f t="shared" si="4"/>
        <v>16851.67446</v>
      </c>
      <c r="AV87" s="72">
        <f t="shared" si="4"/>
        <v>17300.92485</v>
      </c>
      <c r="AW87" s="72">
        <f t="shared" si="4"/>
        <v>17772.63776</v>
      </c>
      <c r="AX87" s="72">
        <f t="shared" si="4"/>
        <v>18267.93631</v>
      </c>
      <c r="AY87" s="72">
        <f t="shared" si="4"/>
        <v>18787.9998</v>
      </c>
      <c r="AZ87" s="72">
        <f t="shared" si="4"/>
        <v>19334.06645</v>
      </c>
      <c r="BA87" s="72">
        <f t="shared" si="4"/>
        <v>19907.43644</v>
      </c>
    </row>
    <row r="88" ht="14.25" customHeight="1"/>
    <row r="89" ht="14.25" customHeight="1">
      <c r="A89" s="2" t="s">
        <v>553</v>
      </c>
    </row>
    <row r="90" ht="14.25" customHeight="1">
      <c r="A90" s="3" t="s">
        <v>292</v>
      </c>
      <c r="B90" s="74">
        <f>IF(1&gt;=Inputs!$B$99,Inputs!$B$100,Inputs!$B$98)</f>
        <v>1500</v>
      </c>
      <c r="C90" s="74">
        <f>IF(2&gt;=Inputs!$B$99,Inputs!$B$100,Inputs!$B$98)</f>
        <v>1500</v>
      </c>
      <c r="D90" s="74">
        <f>IF(3&gt;=Inputs!$B$99,Inputs!$B$100,Inputs!$B$98)</f>
        <v>1500</v>
      </c>
      <c r="E90" s="74">
        <f>IF(4&gt;=Inputs!$B$99,Inputs!$B$100,Inputs!$B$98)</f>
        <v>1500</v>
      </c>
      <c r="F90" s="74">
        <f>IF(5&gt;=Inputs!$B$99,Inputs!$B$100,Inputs!$B$98)</f>
        <v>1500</v>
      </c>
      <c r="G90" s="74">
        <f>IF(6&gt;=Inputs!$B$99,Inputs!$B$100,Inputs!$B$98)</f>
        <v>1500</v>
      </c>
      <c r="H90" s="74">
        <f>IF(7&gt;=Inputs!$B$99,Inputs!$B$100,Inputs!$B$98)</f>
        <v>1500</v>
      </c>
      <c r="I90" s="74">
        <f>IF(8&gt;=Inputs!$B$99,Inputs!$B$100,Inputs!$B$98)</f>
        <v>1500</v>
      </c>
      <c r="J90" s="74">
        <f>IF(9&gt;=Inputs!$B$99,Inputs!$B$100,Inputs!$B$98)</f>
        <v>1500</v>
      </c>
      <c r="K90" s="74">
        <f>IF(10&gt;=Inputs!$B$99,Inputs!$B$100,Inputs!$B$98)</f>
        <v>1500</v>
      </c>
      <c r="L90" s="74">
        <f>IF(11&gt;=Inputs!$B$99,Inputs!$B$100,Inputs!$B$98)</f>
        <v>1500</v>
      </c>
      <c r="M90" s="74">
        <f>IF(12&gt;=Inputs!$B$99,Inputs!$B$100,Inputs!$B$98)</f>
        <v>1500</v>
      </c>
      <c r="N90" s="74">
        <f>IF(13&gt;=Inputs!$B$99,Inputs!$B$100,Inputs!$B$98)</f>
        <v>1500</v>
      </c>
      <c r="O90" s="74">
        <f>IF(14&gt;=Inputs!$B$99,Inputs!$B$100,Inputs!$B$98)</f>
        <v>1500</v>
      </c>
      <c r="P90" s="74">
        <f>IF(15&gt;=Inputs!$B$99,Inputs!$B$100,Inputs!$B$98)</f>
        <v>1500</v>
      </c>
      <c r="Q90" s="74">
        <f>IF(16&gt;=Inputs!$B$99,Inputs!$B$100,Inputs!$B$98)</f>
        <v>1500</v>
      </c>
      <c r="R90" s="74">
        <f>IF(17&gt;=Inputs!$B$99,Inputs!$B$100,Inputs!$B$98)</f>
        <v>1500</v>
      </c>
      <c r="S90" s="74">
        <f>IF(18&gt;=Inputs!$B$99,Inputs!$B$100,Inputs!$B$98)</f>
        <v>4500</v>
      </c>
      <c r="T90" s="74">
        <f>IF(19&gt;=Inputs!$B$99,Inputs!$B$100,Inputs!$B$98)</f>
        <v>4500</v>
      </c>
      <c r="U90" s="74">
        <f>IF(20&gt;=Inputs!$B$99,Inputs!$B$100,Inputs!$B$98)</f>
        <v>4500</v>
      </c>
      <c r="V90" s="74">
        <f>IF(21&gt;=Inputs!$B$99,Inputs!$B$100,Inputs!$B$98)</f>
        <v>4500</v>
      </c>
      <c r="W90" s="74">
        <f>IF(22&gt;=Inputs!$B$99,Inputs!$B$100,Inputs!$B$98)</f>
        <v>4500</v>
      </c>
      <c r="X90" s="74">
        <f>IF(23&gt;=Inputs!$B$99,Inputs!$B$100,Inputs!$B$98)</f>
        <v>4500</v>
      </c>
      <c r="Y90" s="74">
        <f>IF(24&gt;=Inputs!$B$99,Inputs!$B$100,Inputs!$B$98)</f>
        <v>4500</v>
      </c>
      <c r="Z90" s="74">
        <f>IF(25&gt;=Inputs!$B$99,Inputs!$B$100,Inputs!$B$98)</f>
        <v>4500</v>
      </c>
      <c r="AA90" s="74">
        <f>IF(26&gt;=Inputs!$B$99,Inputs!$B$100,Inputs!$B$98)</f>
        <v>4500</v>
      </c>
      <c r="AB90" s="74">
        <f>IF(27&gt;=Inputs!$B$99,Inputs!$B$100,Inputs!$B$98)</f>
        <v>4500</v>
      </c>
      <c r="AC90" s="74">
        <f>IF(28&gt;=Inputs!$B$99,Inputs!$B$100,Inputs!$B$98)</f>
        <v>4500</v>
      </c>
      <c r="AD90" s="74">
        <f>IF(29&gt;=Inputs!$B$99,Inputs!$B$100,Inputs!$B$98)</f>
        <v>4500</v>
      </c>
      <c r="AE90" s="74">
        <f>IF(30&gt;=Inputs!$B$99,Inputs!$B$100,Inputs!$B$98)</f>
        <v>4500</v>
      </c>
      <c r="AF90" s="74">
        <f>IF(31&gt;=Inputs!$B$99,Inputs!$B$100,Inputs!$B$98)</f>
        <v>4500</v>
      </c>
      <c r="AG90" s="74">
        <f>IF(32&gt;=Inputs!$B$99,Inputs!$B$100,Inputs!$B$98)</f>
        <v>4500</v>
      </c>
      <c r="AH90" s="74">
        <f>IF(33&gt;=Inputs!$B$99,Inputs!$B$100,Inputs!$B$98)</f>
        <v>4500</v>
      </c>
      <c r="AI90" s="74">
        <f>IF(34&gt;=Inputs!$B$99,Inputs!$B$100,Inputs!$B$98)</f>
        <v>4500</v>
      </c>
      <c r="AJ90" s="74">
        <f>IF(35&gt;=Inputs!$B$99,Inputs!$B$100,Inputs!$B$98)</f>
        <v>4500</v>
      </c>
      <c r="AK90" s="74">
        <f>IF(36&gt;=Inputs!$B$99,Inputs!$B$100,Inputs!$B$98)</f>
        <v>4500</v>
      </c>
      <c r="AL90" s="74">
        <f>IF(37&gt;=Inputs!$B$99,Inputs!$B$100,Inputs!$B$98)</f>
        <v>4500</v>
      </c>
      <c r="AM90" s="74">
        <f>IF(38&gt;=Inputs!$B$99,Inputs!$B$100,Inputs!$B$98)</f>
        <v>4500</v>
      </c>
      <c r="AN90" s="74">
        <f>IF(39&gt;=Inputs!$B$99,Inputs!$B$100,Inputs!$B$98)</f>
        <v>4500</v>
      </c>
      <c r="AO90" s="74">
        <f>IF(40&gt;=Inputs!$B$99,Inputs!$B$100,Inputs!$B$98)</f>
        <v>4500</v>
      </c>
      <c r="AP90" s="74">
        <f>IF(41&gt;=Inputs!$B$99,Inputs!$B$100,Inputs!$B$98)</f>
        <v>4500</v>
      </c>
      <c r="AQ90" s="74">
        <f>IF(42&gt;=Inputs!$B$99,Inputs!$B$100,Inputs!$B$98)</f>
        <v>4500</v>
      </c>
      <c r="AR90" s="74">
        <f>IF(43&gt;=Inputs!$B$99,Inputs!$B$100,Inputs!$B$98)</f>
        <v>4500</v>
      </c>
      <c r="AS90" s="74">
        <f>IF(44&gt;=Inputs!$B$99,Inputs!$B$100,Inputs!$B$98)</f>
        <v>4500</v>
      </c>
      <c r="AT90" s="74">
        <f>IF(45&gt;=Inputs!$B$99,Inputs!$B$100,Inputs!$B$98)</f>
        <v>4500</v>
      </c>
      <c r="AU90" s="74">
        <f>IF(46&gt;=Inputs!$B$99,Inputs!$B$100,Inputs!$B$98)</f>
        <v>4500</v>
      </c>
      <c r="AV90" s="74">
        <f>IF(47&gt;=Inputs!$B$99,Inputs!$B$100,Inputs!$B$98)</f>
        <v>4500</v>
      </c>
      <c r="AW90" s="74">
        <f>IF(48&gt;=Inputs!$B$99,Inputs!$B$100,Inputs!$B$98)</f>
        <v>4500</v>
      </c>
      <c r="AX90" s="74">
        <f>IF(49&gt;=Inputs!$B$99,Inputs!$B$100,Inputs!$B$98)</f>
        <v>4500</v>
      </c>
      <c r="AY90" s="74">
        <f>IF(50&gt;=Inputs!$B$99,Inputs!$B$100,Inputs!$B$98)</f>
        <v>4500</v>
      </c>
      <c r="AZ90" s="74">
        <f>IF(51&gt;=Inputs!$B$99,Inputs!$B$100,Inputs!$B$98)</f>
        <v>4500</v>
      </c>
      <c r="BA90" s="74">
        <f>IF(52&gt;=Inputs!$B$99,Inputs!$B$100,Inputs!$B$98)</f>
        <v>4500</v>
      </c>
    </row>
    <row r="91" ht="14.25" customHeight="1">
      <c r="A91" s="3" t="s">
        <v>301</v>
      </c>
      <c r="B91" s="74">
        <f>Inputs!$B$101</f>
        <v>300</v>
      </c>
      <c r="C91" s="74">
        <f>Inputs!$B$101</f>
        <v>300</v>
      </c>
      <c r="D91" s="74">
        <f>Inputs!$B$101</f>
        <v>300</v>
      </c>
      <c r="E91" s="74">
        <f>Inputs!$B$101</f>
        <v>300</v>
      </c>
      <c r="F91" s="74">
        <f>Inputs!$B$101</f>
        <v>300</v>
      </c>
      <c r="G91" s="74">
        <f>Inputs!$B$101</f>
        <v>300</v>
      </c>
      <c r="H91" s="74">
        <f>Inputs!$B$101</f>
        <v>300</v>
      </c>
      <c r="I91" s="74">
        <f>Inputs!$B$101</f>
        <v>300</v>
      </c>
      <c r="J91" s="74">
        <f>Inputs!$B$101</f>
        <v>300</v>
      </c>
      <c r="K91" s="74">
        <f>Inputs!$B$101</f>
        <v>300</v>
      </c>
      <c r="L91" s="74">
        <f>Inputs!$B$101</f>
        <v>300</v>
      </c>
      <c r="M91" s="74">
        <f>Inputs!$B$101</f>
        <v>300</v>
      </c>
      <c r="N91" s="74">
        <f>Inputs!$B$101</f>
        <v>300</v>
      </c>
      <c r="O91" s="74">
        <f>Inputs!$B$101</f>
        <v>300</v>
      </c>
      <c r="P91" s="74">
        <f>Inputs!$B$101</f>
        <v>300</v>
      </c>
      <c r="Q91" s="74">
        <f>Inputs!$B$101</f>
        <v>300</v>
      </c>
      <c r="R91" s="74">
        <f>Inputs!$B$101</f>
        <v>300</v>
      </c>
      <c r="S91" s="74">
        <f>Inputs!$B$101</f>
        <v>300</v>
      </c>
      <c r="T91" s="74">
        <f>Inputs!$B$101</f>
        <v>300</v>
      </c>
      <c r="U91" s="74">
        <f>Inputs!$B$101</f>
        <v>300</v>
      </c>
      <c r="V91" s="74">
        <f>Inputs!$B$101</f>
        <v>300</v>
      </c>
      <c r="W91" s="74">
        <f>Inputs!$B$101</f>
        <v>300</v>
      </c>
      <c r="X91" s="74">
        <f>Inputs!$B$101</f>
        <v>300</v>
      </c>
      <c r="Y91" s="74">
        <f>Inputs!$B$101</f>
        <v>300</v>
      </c>
      <c r="Z91" s="74">
        <f>Inputs!$B$101</f>
        <v>300</v>
      </c>
      <c r="AA91" s="74">
        <f>Inputs!$B$101</f>
        <v>300</v>
      </c>
      <c r="AB91" s="74">
        <f>Inputs!$B$101</f>
        <v>300</v>
      </c>
      <c r="AC91" s="74">
        <f>Inputs!$B$101</f>
        <v>300</v>
      </c>
      <c r="AD91" s="74">
        <f>Inputs!$B$101</f>
        <v>300</v>
      </c>
      <c r="AE91" s="74">
        <f>Inputs!$B$101</f>
        <v>300</v>
      </c>
      <c r="AF91" s="74">
        <f>Inputs!$B$101</f>
        <v>300</v>
      </c>
      <c r="AG91" s="74">
        <f>Inputs!$B$101</f>
        <v>300</v>
      </c>
      <c r="AH91" s="74">
        <f>Inputs!$B$101</f>
        <v>300</v>
      </c>
      <c r="AI91" s="74">
        <f>Inputs!$B$101</f>
        <v>300</v>
      </c>
      <c r="AJ91" s="74">
        <f>Inputs!$B$101</f>
        <v>300</v>
      </c>
      <c r="AK91" s="74">
        <f>Inputs!$B$101</f>
        <v>300</v>
      </c>
      <c r="AL91" s="74">
        <f>Inputs!$B$101</f>
        <v>300</v>
      </c>
      <c r="AM91" s="74">
        <f>Inputs!$B$101</f>
        <v>300</v>
      </c>
      <c r="AN91" s="74">
        <f>Inputs!$B$101</f>
        <v>300</v>
      </c>
      <c r="AO91" s="74">
        <f>Inputs!$B$101</f>
        <v>300</v>
      </c>
      <c r="AP91" s="74">
        <f>Inputs!$B$101</f>
        <v>300</v>
      </c>
      <c r="AQ91" s="74">
        <f>Inputs!$B$101</f>
        <v>300</v>
      </c>
      <c r="AR91" s="74">
        <f>Inputs!$B$101</f>
        <v>300</v>
      </c>
      <c r="AS91" s="74">
        <f>Inputs!$B$101</f>
        <v>300</v>
      </c>
      <c r="AT91" s="74">
        <f>Inputs!$B$101</f>
        <v>300</v>
      </c>
      <c r="AU91" s="74">
        <f>Inputs!$B$101</f>
        <v>300</v>
      </c>
      <c r="AV91" s="74">
        <f>Inputs!$B$101</f>
        <v>300</v>
      </c>
      <c r="AW91" s="74">
        <f>Inputs!$B$101</f>
        <v>300</v>
      </c>
      <c r="AX91" s="74">
        <f>Inputs!$B$101</f>
        <v>300</v>
      </c>
      <c r="AY91" s="74">
        <f>Inputs!$B$101</f>
        <v>300</v>
      </c>
      <c r="AZ91" s="74">
        <f>Inputs!$B$101</f>
        <v>300</v>
      </c>
      <c r="BA91" s="74">
        <f>Inputs!$B$101</f>
        <v>300</v>
      </c>
    </row>
    <row r="92" ht="14.25" customHeight="1">
      <c r="A92" s="3" t="s">
        <v>303</v>
      </c>
      <c r="B92" s="74">
        <f>Inputs!$B$102</f>
        <v>150</v>
      </c>
      <c r="C92" s="74">
        <f>Inputs!$B$102</f>
        <v>150</v>
      </c>
      <c r="D92" s="74">
        <f>Inputs!$B$102</f>
        <v>150</v>
      </c>
      <c r="E92" s="74">
        <f>Inputs!$B$102</f>
        <v>150</v>
      </c>
      <c r="F92" s="74">
        <f>Inputs!$B$102</f>
        <v>150</v>
      </c>
      <c r="G92" s="74">
        <f>Inputs!$B$102</f>
        <v>150</v>
      </c>
      <c r="H92" s="74">
        <f>Inputs!$B$102</f>
        <v>150</v>
      </c>
      <c r="I92" s="74">
        <f>Inputs!$B$102</f>
        <v>150</v>
      </c>
      <c r="J92" s="74">
        <f>Inputs!$B$102</f>
        <v>150</v>
      </c>
      <c r="K92" s="74">
        <f>Inputs!$B$102</f>
        <v>150</v>
      </c>
      <c r="L92" s="74">
        <f>Inputs!$B$102</f>
        <v>150</v>
      </c>
      <c r="M92" s="74">
        <f>Inputs!$B$102</f>
        <v>150</v>
      </c>
      <c r="N92" s="74">
        <f>Inputs!$B$102</f>
        <v>150</v>
      </c>
      <c r="O92" s="74">
        <f>Inputs!$B$102</f>
        <v>150</v>
      </c>
      <c r="P92" s="74">
        <f>Inputs!$B$102</f>
        <v>150</v>
      </c>
      <c r="Q92" s="74">
        <f>Inputs!$B$102</f>
        <v>150</v>
      </c>
      <c r="R92" s="74">
        <f>Inputs!$B$102</f>
        <v>150</v>
      </c>
      <c r="S92" s="74">
        <f>Inputs!$B$102</f>
        <v>150</v>
      </c>
      <c r="T92" s="74">
        <f>Inputs!$B$102</f>
        <v>150</v>
      </c>
      <c r="U92" s="74">
        <f>Inputs!$B$102</f>
        <v>150</v>
      </c>
      <c r="V92" s="74">
        <f>Inputs!$B$102</f>
        <v>150</v>
      </c>
      <c r="W92" s="74">
        <f>Inputs!$B$102</f>
        <v>150</v>
      </c>
      <c r="X92" s="74">
        <f>Inputs!$B$102</f>
        <v>150</v>
      </c>
      <c r="Y92" s="74">
        <f>Inputs!$B$102</f>
        <v>150</v>
      </c>
      <c r="Z92" s="74">
        <f>Inputs!$B$102</f>
        <v>150</v>
      </c>
      <c r="AA92" s="74">
        <f>Inputs!$B$102</f>
        <v>150</v>
      </c>
      <c r="AB92" s="74">
        <f>Inputs!$B$102</f>
        <v>150</v>
      </c>
      <c r="AC92" s="74">
        <f>Inputs!$B$102</f>
        <v>150</v>
      </c>
      <c r="AD92" s="74">
        <f>Inputs!$B$102</f>
        <v>150</v>
      </c>
      <c r="AE92" s="74">
        <f>Inputs!$B$102</f>
        <v>150</v>
      </c>
      <c r="AF92" s="74">
        <f>Inputs!$B$102</f>
        <v>150</v>
      </c>
      <c r="AG92" s="74">
        <f>Inputs!$B$102</f>
        <v>150</v>
      </c>
      <c r="AH92" s="74">
        <f>Inputs!$B$102</f>
        <v>150</v>
      </c>
      <c r="AI92" s="74">
        <f>Inputs!$B$102</f>
        <v>150</v>
      </c>
      <c r="AJ92" s="74">
        <f>Inputs!$B$102</f>
        <v>150</v>
      </c>
      <c r="AK92" s="74">
        <f>Inputs!$B$102</f>
        <v>150</v>
      </c>
      <c r="AL92" s="74">
        <f>Inputs!$B$102</f>
        <v>150</v>
      </c>
      <c r="AM92" s="74">
        <f>Inputs!$B$102</f>
        <v>150</v>
      </c>
      <c r="AN92" s="74">
        <f>Inputs!$B$102</f>
        <v>150</v>
      </c>
      <c r="AO92" s="74">
        <f>Inputs!$B$102</f>
        <v>150</v>
      </c>
      <c r="AP92" s="74">
        <f>Inputs!$B$102</f>
        <v>150</v>
      </c>
      <c r="AQ92" s="74">
        <f>Inputs!$B$102</f>
        <v>150</v>
      </c>
      <c r="AR92" s="74">
        <f>Inputs!$B$102</f>
        <v>150</v>
      </c>
      <c r="AS92" s="74">
        <f>Inputs!$B$102</f>
        <v>150</v>
      </c>
      <c r="AT92" s="74">
        <f>Inputs!$B$102</f>
        <v>150</v>
      </c>
      <c r="AU92" s="74">
        <f>Inputs!$B$102</f>
        <v>150</v>
      </c>
      <c r="AV92" s="74">
        <f>Inputs!$B$102</f>
        <v>150</v>
      </c>
      <c r="AW92" s="74">
        <f>Inputs!$B$102</f>
        <v>150</v>
      </c>
      <c r="AX92" s="74">
        <f>Inputs!$B$102</f>
        <v>150</v>
      </c>
      <c r="AY92" s="74">
        <f>Inputs!$B$102</f>
        <v>150</v>
      </c>
      <c r="AZ92" s="74">
        <f>Inputs!$B$102</f>
        <v>150</v>
      </c>
      <c r="BA92" s="74">
        <f>Inputs!$B$102</f>
        <v>150</v>
      </c>
    </row>
    <row r="93" ht="14.25" customHeight="1">
      <c r="A93" s="3" t="s">
        <v>554</v>
      </c>
      <c r="B93" s="74">
        <f>B38*Inputs!$B$104</f>
        <v>90</v>
      </c>
      <c r="C93" s="74">
        <f>C38*Inputs!$B$104</f>
        <v>90</v>
      </c>
      <c r="D93" s="74">
        <f>D38*Inputs!$B$104</f>
        <v>90</v>
      </c>
      <c r="E93" s="74">
        <f>E38*Inputs!$B$104</f>
        <v>90</v>
      </c>
      <c r="F93" s="74">
        <f>F38*Inputs!$B$104</f>
        <v>90</v>
      </c>
      <c r="G93" s="74">
        <f>G38*Inputs!$B$104</f>
        <v>90</v>
      </c>
      <c r="H93" s="74">
        <f>H38*Inputs!$B$104</f>
        <v>120</v>
      </c>
      <c r="I93" s="74">
        <f>I38*Inputs!$B$104</f>
        <v>150</v>
      </c>
      <c r="J93" s="74">
        <f>J38*Inputs!$B$104</f>
        <v>180</v>
      </c>
      <c r="K93" s="74">
        <f>K38*Inputs!$B$104</f>
        <v>210</v>
      </c>
      <c r="L93" s="74">
        <f>L38*Inputs!$B$104</f>
        <v>240</v>
      </c>
      <c r="M93" s="74">
        <f>M38*Inputs!$B$104</f>
        <v>270</v>
      </c>
      <c r="N93" s="74">
        <f>N38*Inputs!$B$104</f>
        <v>300</v>
      </c>
      <c r="O93" s="74">
        <f>O38*Inputs!$B$104</f>
        <v>360</v>
      </c>
      <c r="P93" s="74">
        <f>P38*Inputs!$B$104</f>
        <v>360</v>
      </c>
      <c r="Q93" s="74">
        <f>Q38*Inputs!$B$104</f>
        <v>360</v>
      </c>
      <c r="R93" s="74">
        <f>R38*Inputs!$B$104</f>
        <v>360</v>
      </c>
      <c r="S93" s="74">
        <f>S38*Inputs!$B$104</f>
        <v>450</v>
      </c>
      <c r="T93" s="74">
        <f>T38*Inputs!$B$104</f>
        <v>450</v>
      </c>
      <c r="U93" s="74">
        <f>U38*Inputs!$B$104</f>
        <v>480</v>
      </c>
      <c r="V93" s="74">
        <f>V38*Inputs!$B$104</f>
        <v>480</v>
      </c>
      <c r="W93" s="74">
        <f>W38*Inputs!$B$104</f>
        <v>510</v>
      </c>
      <c r="X93" s="74">
        <f>X38*Inputs!$B$104</f>
        <v>510</v>
      </c>
      <c r="Y93" s="74">
        <f>Y38*Inputs!$B$104</f>
        <v>540</v>
      </c>
      <c r="Z93" s="74">
        <f>Z38*Inputs!$B$104</f>
        <v>540</v>
      </c>
      <c r="AA93" s="74">
        <f>AA38*Inputs!$B$104</f>
        <v>540</v>
      </c>
      <c r="AB93" s="74">
        <f>AB38*Inputs!$B$104</f>
        <v>540</v>
      </c>
      <c r="AC93" s="74">
        <f>AC38*Inputs!$B$104</f>
        <v>570</v>
      </c>
      <c r="AD93" s="74">
        <f>AD38*Inputs!$B$104</f>
        <v>570</v>
      </c>
      <c r="AE93" s="74">
        <f>AE38*Inputs!$B$104</f>
        <v>600</v>
      </c>
      <c r="AF93" s="74">
        <f>AF38*Inputs!$B$104</f>
        <v>600</v>
      </c>
      <c r="AG93" s="74">
        <f>AG38*Inputs!$B$104</f>
        <v>600</v>
      </c>
      <c r="AH93" s="74">
        <f>AH38*Inputs!$B$104</f>
        <v>600</v>
      </c>
      <c r="AI93" s="74">
        <f>AI38*Inputs!$B$104</f>
        <v>600</v>
      </c>
      <c r="AJ93" s="74">
        <f>AJ38*Inputs!$B$104</f>
        <v>600</v>
      </c>
      <c r="AK93" s="74">
        <f>AK38*Inputs!$B$104</f>
        <v>630</v>
      </c>
      <c r="AL93" s="74">
        <f>AL38*Inputs!$B$104</f>
        <v>630</v>
      </c>
      <c r="AM93" s="74">
        <f>AM38*Inputs!$B$104</f>
        <v>630</v>
      </c>
      <c r="AN93" s="74">
        <f>AN38*Inputs!$B$104</f>
        <v>630</v>
      </c>
      <c r="AO93" s="74">
        <f>AO38*Inputs!$B$104</f>
        <v>630</v>
      </c>
      <c r="AP93" s="74">
        <f>AP38*Inputs!$B$104</f>
        <v>630</v>
      </c>
      <c r="AQ93" s="74">
        <f>AQ38*Inputs!$B$104</f>
        <v>630</v>
      </c>
      <c r="AR93" s="74">
        <f>AR38*Inputs!$B$104</f>
        <v>630</v>
      </c>
      <c r="AS93" s="74">
        <f>AS38*Inputs!$B$104</f>
        <v>630</v>
      </c>
      <c r="AT93" s="74">
        <f>AT38*Inputs!$B$104</f>
        <v>630</v>
      </c>
      <c r="AU93" s="74">
        <f>AU38*Inputs!$B$104</f>
        <v>630</v>
      </c>
      <c r="AV93" s="74">
        <f>AV38*Inputs!$B$104</f>
        <v>630</v>
      </c>
      <c r="AW93" s="74">
        <f>AW38*Inputs!$B$104</f>
        <v>630</v>
      </c>
      <c r="AX93" s="74">
        <f>AX38*Inputs!$B$104</f>
        <v>630</v>
      </c>
      <c r="AY93" s="74">
        <f>AY38*Inputs!$B$104</f>
        <v>630</v>
      </c>
      <c r="AZ93" s="74">
        <f>AZ38*Inputs!$B$104</f>
        <v>630</v>
      </c>
      <c r="BA93" s="74">
        <f>BA38*Inputs!$B$104</f>
        <v>630</v>
      </c>
    </row>
    <row r="94" ht="14.25" customHeight="1">
      <c r="A94" s="2" t="s">
        <v>555</v>
      </c>
      <c r="B94" s="72">
        <f t="shared" ref="B94:BA94" si="5">SUM(B90:B93)</f>
        <v>2040</v>
      </c>
      <c r="C94" s="72">
        <f t="shared" si="5"/>
        <v>2040</v>
      </c>
      <c r="D94" s="72">
        <f t="shared" si="5"/>
        <v>2040</v>
      </c>
      <c r="E94" s="72">
        <f t="shared" si="5"/>
        <v>2040</v>
      </c>
      <c r="F94" s="72">
        <f t="shared" si="5"/>
        <v>2040</v>
      </c>
      <c r="G94" s="72">
        <f t="shared" si="5"/>
        <v>2040</v>
      </c>
      <c r="H94" s="72">
        <f t="shared" si="5"/>
        <v>2070</v>
      </c>
      <c r="I94" s="72">
        <f t="shared" si="5"/>
        <v>2100</v>
      </c>
      <c r="J94" s="72">
        <f t="shared" si="5"/>
        <v>2130</v>
      </c>
      <c r="K94" s="72">
        <f t="shared" si="5"/>
        <v>2160</v>
      </c>
      <c r="L94" s="72">
        <f t="shared" si="5"/>
        <v>2190</v>
      </c>
      <c r="M94" s="72">
        <f t="shared" si="5"/>
        <v>2220</v>
      </c>
      <c r="N94" s="72">
        <f t="shared" si="5"/>
        <v>2250</v>
      </c>
      <c r="O94" s="72">
        <f t="shared" si="5"/>
        <v>2310</v>
      </c>
      <c r="P94" s="72">
        <f t="shared" si="5"/>
        <v>2310</v>
      </c>
      <c r="Q94" s="72">
        <f t="shared" si="5"/>
        <v>2310</v>
      </c>
      <c r="R94" s="72">
        <f t="shared" si="5"/>
        <v>2310</v>
      </c>
      <c r="S94" s="72">
        <f t="shared" si="5"/>
        <v>5400</v>
      </c>
      <c r="T94" s="72">
        <f t="shared" si="5"/>
        <v>5400</v>
      </c>
      <c r="U94" s="72">
        <f t="shared" si="5"/>
        <v>5430</v>
      </c>
      <c r="V94" s="72">
        <f t="shared" si="5"/>
        <v>5430</v>
      </c>
      <c r="W94" s="72">
        <f t="shared" si="5"/>
        <v>5460</v>
      </c>
      <c r="X94" s="72">
        <f t="shared" si="5"/>
        <v>5460</v>
      </c>
      <c r="Y94" s="72">
        <f t="shared" si="5"/>
        <v>5490</v>
      </c>
      <c r="Z94" s="72">
        <f t="shared" si="5"/>
        <v>5490</v>
      </c>
      <c r="AA94" s="72">
        <f t="shared" si="5"/>
        <v>5490</v>
      </c>
      <c r="AB94" s="72">
        <f t="shared" si="5"/>
        <v>5490</v>
      </c>
      <c r="AC94" s="72">
        <f t="shared" si="5"/>
        <v>5520</v>
      </c>
      <c r="AD94" s="72">
        <f t="shared" si="5"/>
        <v>5520</v>
      </c>
      <c r="AE94" s="72">
        <f t="shared" si="5"/>
        <v>5550</v>
      </c>
      <c r="AF94" s="72">
        <f t="shared" si="5"/>
        <v>5550</v>
      </c>
      <c r="AG94" s="72">
        <f t="shared" si="5"/>
        <v>5550</v>
      </c>
      <c r="AH94" s="72">
        <f t="shared" si="5"/>
        <v>5550</v>
      </c>
      <c r="AI94" s="72">
        <f t="shared" si="5"/>
        <v>5550</v>
      </c>
      <c r="AJ94" s="72">
        <f t="shared" si="5"/>
        <v>5550</v>
      </c>
      <c r="AK94" s="72">
        <f t="shared" si="5"/>
        <v>5580</v>
      </c>
      <c r="AL94" s="72">
        <f t="shared" si="5"/>
        <v>5580</v>
      </c>
      <c r="AM94" s="72">
        <f t="shared" si="5"/>
        <v>5580</v>
      </c>
      <c r="AN94" s="72">
        <f t="shared" si="5"/>
        <v>5580</v>
      </c>
      <c r="AO94" s="72">
        <f t="shared" si="5"/>
        <v>5580</v>
      </c>
      <c r="AP94" s="72">
        <f t="shared" si="5"/>
        <v>5580</v>
      </c>
      <c r="AQ94" s="72">
        <f t="shared" si="5"/>
        <v>5580</v>
      </c>
      <c r="AR94" s="72">
        <f t="shared" si="5"/>
        <v>5580</v>
      </c>
      <c r="AS94" s="72">
        <f t="shared" si="5"/>
        <v>5580</v>
      </c>
      <c r="AT94" s="72">
        <f t="shared" si="5"/>
        <v>5580</v>
      </c>
      <c r="AU94" s="72">
        <f t="shared" si="5"/>
        <v>5580</v>
      </c>
      <c r="AV94" s="72">
        <f t="shared" si="5"/>
        <v>5580</v>
      </c>
      <c r="AW94" s="72">
        <f t="shared" si="5"/>
        <v>5580</v>
      </c>
      <c r="AX94" s="72">
        <f t="shared" si="5"/>
        <v>5580</v>
      </c>
      <c r="AY94" s="72">
        <f t="shared" si="5"/>
        <v>5580</v>
      </c>
      <c r="AZ94" s="72">
        <f t="shared" si="5"/>
        <v>5580</v>
      </c>
      <c r="BA94" s="72">
        <f t="shared" si="5"/>
        <v>5580</v>
      </c>
    </row>
    <row r="95" ht="14.25" customHeight="1"/>
    <row r="96" ht="14.25" customHeight="1">
      <c r="A96" s="2" t="s">
        <v>311</v>
      </c>
    </row>
    <row r="97" ht="14.25" customHeight="1">
      <c r="A97" s="3" t="s">
        <v>556</v>
      </c>
      <c r="B97" s="74">
        <f>Inputs!$B$107/12+IF(OR(1=Inputs!$B$11,1=Inputs!$B$13,1=Inputs!$B$15,1=Inputs!$B$17),Inputs!$B$108,0)</f>
        <v>15666.66667</v>
      </c>
      <c r="C97" s="74">
        <f>Inputs!$B$107/12+IF(OR(2=Inputs!$B$11,2=Inputs!$B$13,2=Inputs!$B$15,2=Inputs!$B$17),Inputs!$B$108,0)</f>
        <v>666.6666667</v>
      </c>
      <c r="D97" s="74">
        <f>Inputs!$B$107/12+IF(OR(3=Inputs!$B$11,3=Inputs!$B$13,3=Inputs!$B$15,3=Inputs!$B$17),Inputs!$B$108,0)</f>
        <v>666.6666667</v>
      </c>
      <c r="E97" s="74">
        <f>Inputs!$B$107/12+IF(OR(4=Inputs!$B$11,4=Inputs!$B$13,4=Inputs!$B$15,4=Inputs!$B$17),Inputs!$B$108,0)</f>
        <v>666.6666667</v>
      </c>
      <c r="F97" s="74">
        <f>Inputs!$B$107/12+IF(OR(5=Inputs!$B$11,5=Inputs!$B$13,5=Inputs!$B$15,5=Inputs!$B$17),Inputs!$B$108,0)</f>
        <v>15666.66667</v>
      </c>
      <c r="G97" s="74">
        <f>Inputs!$B$107/12+IF(OR(6=Inputs!$B$11,6=Inputs!$B$13,6=Inputs!$B$15,6=Inputs!$B$17),Inputs!$B$108,0)</f>
        <v>666.6666667</v>
      </c>
      <c r="H97" s="74">
        <f>Inputs!$B$107/12+IF(OR(7=Inputs!$B$11,7=Inputs!$B$13,7=Inputs!$B$15,7=Inputs!$B$17),Inputs!$B$108,0)</f>
        <v>666.6666667</v>
      </c>
      <c r="I97" s="74">
        <f>Inputs!$B$107/12+IF(OR(8=Inputs!$B$11,8=Inputs!$B$13,8=Inputs!$B$15,8=Inputs!$B$17),Inputs!$B$108,0)</f>
        <v>666.6666667</v>
      </c>
      <c r="J97" s="74">
        <f>Inputs!$B$107/12+IF(OR(9=Inputs!$B$11,9=Inputs!$B$13,9=Inputs!$B$15,9=Inputs!$B$17),Inputs!$B$108,0)</f>
        <v>666.6666667</v>
      </c>
      <c r="K97" s="74">
        <f>Inputs!$B$107/12+IF(OR(10=Inputs!$B$11,10=Inputs!$B$13,10=Inputs!$B$15,10=Inputs!$B$17),Inputs!$B$108,0)</f>
        <v>666.6666667</v>
      </c>
      <c r="L97" s="74">
        <f>Inputs!$B$107/12+IF(OR(11=Inputs!$B$11,11=Inputs!$B$13,11=Inputs!$B$15,11=Inputs!$B$17),Inputs!$B$108,0)</f>
        <v>666.6666667</v>
      </c>
      <c r="M97" s="74">
        <f>Inputs!$B$107/12+IF(OR(12=Inputs!$B$11,12=Inputs!$B$13,12=Inputs!$B$15,12=Inputs!$B$17),Inputs!$B$108,0)</f>
        <v>666.6666667</v>
      </c>
      <c r="N97" s="74">
        <f>Inputs!$B$107/12+IF(OR(13=Inputs!$B$11,13=Inputs!$B$13,13=Inputs!$B$15,13=Inputs!$B$17),Inputs!$B$108,0)</f>
        <v>666.6666667</v>
      </c>
      <c r="O97" s="74">
        <f>Inputs!$B$107/12+IF(OR(14=Inputs!$B$11,14=Inputs!$B$13,14=Inputs!$B$15,14=Inputs!$B$17),Inputs!$B$108,0)</f>
        <v>666.6666667</v>
      </c>
      <c r="P97" s="74">
        <f>Inputs!$B$107/12+IF(OR(15=Inputs!$B$11,15=Inputs!$B$13,15=Inputs!$B$15,15=Inputs!$B$17),Inputs!$B$108,0)</f>
        <v>666.6666667</v>
      </c>
      <c r="Q97" s="74">
        <f>Inputs!$B$107/12+IF(OR(16=Inputs!$B$11,16=Inputs!$B$13,16=Inputs!$B$15,16=Inputs!$B$17),Inputs!$B$108,0)</f>
        <v>666.6666667</v>
      </c>
      <c r="R97" s="74">
        <f>Inputs!$B$107/12+IF(OR(17=Inputs!$B$11,17=Inputs!$B$13,17=Inputs!$B$15,17=Inputs!$B$17),Inputs!$B$108,0)</f>
        <v>15666.66667</v>
      </c>
      <c r="S97" s="74">
        <f>Inputs!$B$107/12+IF(OR(18=Inputs!$B$11,18=Inputs!$B$13,18=Inputs!$B$15,18=Inputs!$B$17),Inputs!$B$108,0)</f>
        <v>666.6666667</v>
      </c>
      <c r="T97" s="74">
        <f>Inputs!$B$107/12+IF(OR(19=Inputs!$B$11,19=Inputs!$B$13,19=Inputs!$B$15,19=Inputs!$B$17),Inputs!$B$108,0)</f>
        <v>666.6666667</v>
      </c>
      <c r="U97" s="74">
        <f>Inputs!$B$107/12+IF(OR(20=Inputs!$B$11,20=Inputs!$B$13,20=Inputs!$B$15,20=Inputs!$B$17),Inputs!$B$108,0)</f>
        <v>666.6666667</v>
      </c>
      <c r="V97" s="74">
        <f>Inputs!$B$107/12+IF(OR(21=Inputs!$B$11,21=Inputs!$B$13,21=Inputs!$B$15,21=Inputs!$B$17),Inputs!$B$108,0)</f>
        <v>666.6666667</v>
      </c>
      <c r="W97" s="74">
        <f>Inputs!$B$107/12+IF(OR(22=Inputs!$B$11,22=Inputs!$B$13,22=Inputs!$B$15,22=Inputs!$B$17),Inputs!$B$108,0)</f>
        <v>666.6666667</v>
      </c>
      <c r="X97" s="74">
        <f>Inputs!$B$107/12+IF(OR(23=Inputs!$B$11,23=Inputs!$B$13,23=Inputs!$B$15,23=Inputs!$B$17),Inputs!$B$108,0)</f>
        <v>666.6666667</v>
      </c>
      <c r="Y97" s="74">
        <f>Inputs!$B$107/12+IF(OR(24=Inputs!$B$11,24=Inputs!$B$13,24=Inputs!$B$15,24=Inputs!$B$17),Inputs!$B$108,0)</f>
        <v>666.6666667</v>
      </c>
      <c r="Z97" s="74">
        <f>Inputs!$B$107/12+IF(OR(25=Inputs!$B$11,25=Inputs!$B$13,25=Inputs!$B$15,25=Inputs!$B$17),Inputs!$B$108,0)</f>
        <v>666.6666667</v>
      </c>
      <c r="AA97" s="74">
        <f>Inputs!$B$107/12+IF(OR(26=Inputs!$B$11,26=Inputs!$B$13,26=Inputs!$B$15,26=Inputs!$B$17),Inputs!$B$108,0)</f>
        <v>666.6666667</v>
      </c>
      <c r="AB97" s="74">
        <f>Inputs!$B$107/12+IF(OR(27=Inputs!$B$11,27=Inputs!$B$13,27=Inputs!$B$15,27=Inputs!$B$17),Inputs!$B$108,0)</f>
        <v>666.6666667</v>
      </c>
      <c r="AC97" s="74">
        <f>Inputs!$B$107/12+IF(OR(28=Inputs!$B$11,28=Inputs!$B$13,28=Inputs!$B$15,28=Inputs!$B$17),Inputs!$B$108,0)</f>
        <v>666.6666667</v>
      </c>
      <c r="AD97" s="74">
        <f>Inputs!$B$107/12+IF(OR(29=Inputs!$B$11,29=Inputs!$B$13,29=Inputs!$B$15,29=Inputs!$B$17),Inputs!$B$108,0)</f>
        <v>666.6666667</v>
      </c>
      <c r="AE97" s="74">
        <f>Inputs!$B$107/12+IF(OR(30=Inputs!$B$11,30=Inputs!$B$13,30=Inputs!$B$15,30=Inputs!$B$17),Inputs!$B$108,0)</f>
        <v>666.6666667</v>
      </c>
      <c r="AF97" s="74">
        <f>Inputs!$B$107/12+IF(OR(31=Inputs!$B$11,31=Inputs!$B$13,31=Inputs!$B$15,31=Inputs!$B$17),Inputs!$B$108,0)</f>
        <v>666.6666667</v>
      </c>
      <c r="AG97" s="74">
        <f>Inputs!$B$107/12+IF(OR(32=Inputs!$B$11,32=Inputs!$B$13,32=Inputs!$B$15,32=Inputs!$B$17),Inputs!$B$108,0)</f>
        <v>666.6666667</v>
      </c>
      <c r="AH97" s="74">
        <f>Inputs!$B$107/12+IF(OR(33=Inputs!$B$11,33=Inputs!$B$13,33=Inputs!$B$15,33=Inputs!$B$17),Inputs!$B$108,0)</f>
        <v>666.6666667</v>
      </c>
      <c r="AI97" s="74">
        <f>Inputs!$B$107/12+IF(OR(34=Inputs!$B$11,34=Inputs!$B$13,34=Inputs!$B$15,34=Inputs!$B$17),Inputs!$B$108,0)</f>
        <v>666.6666667</v>
      </c>
      <c r="AJ97" s="74">
        <f>Inputs!$B$107/12+IF(OR(35=Inputs!$B$11,35=Inputs!$B$13,35=Inputs!$B$15,35=Inputs!$B$17),Inputs!$B$108,0)</f>
        <v>15666.66667</v>
      </c>
      <c r="AK97" s="74">
        <f>Inputs!$B$107/12+IF(OR(36=Inputs!$B$11,36=Inputs!$B$13,36=Inputs!$B$15,36=Inputs!$B$17),Inputs!$B$108,0)</f>
        <v>666.6666667</v>
      </c>
      <c r="AL97" s="74">
        <f>Inputs!$B$107/12+IF(OR(37=Inputs!$B$11,37=Inputs!$B$13,37=Inputs!$B$15,37=Inputs!$B$17),Inputs!$B$108,0)</f>
        <v>666.6666667</v>
      </c>
      <c r="AM97" s="74">
        <f>Inputs!$B$107/12+IF(OR(38=Inputs!$B$11,38=Inputs!$B$13,38=Inputs!$B$15,38=Inputs!$B$17),Inputs!$B$108,0)</f>
        <v>666.6666667</v>
      </c>
      <c r="AN97" s="74">
        <f>Inputs!$B$107/12+IF(OR(39=Inputs!$B$11,39=Inputs!$B$13,39=Inputs!$B$15,39=Inputs!$B$17),Inputs!$B$108,0)</f>
        <v>666.6666667</v>
      </c>
      <c r="AO97" s="74">
        <f>Inputs!$B$107/12+IF(OR(40=Inputs!$B$11,40=Inputs!$B$13,40=Inputs!$B$15,40=Inputs!$B$17),Inputs!$B$108,0)</f>
        <v>666.6666667</v>
      </c>
      <c r="AP97" s="74">
        <f>Inputs!$B$107/12+IF(OR(41=Inputs!$B$11,41=Inputs!$B$13,41=Inputs!$B$15,41=Inputs!$B$17),Inputs!$B$108,0)</f>
        <v>666.6666667</v>
      </c>
      <c r="AQ97" s="74">
        <f>Inputs!$B$107/12+IF(OR(42=Inputs!$B$11,42=Inputs!$B$13,42=Inputs!$B$15,42=Inputs!$B$17),Inputs!$B$108,0)</f>
        <v>666.6666667</v>
      </c>
      <c r="AR97" s="74">
        <f>Inputs!$B$107/12+IF(OR(43=Inputs!$B$11,43=Inputs!$B$13,43=Inputs!$B$15,43=Inputs!$B$17),Inputs!$B$108,0)</f>
        <v>666.6666667</v>
      </c>
      <c r="AS97" s="74">
        <f>Inputs!$B$107/12+IF(OR(44=Inputs!$B$11,44=Inputs!$B$13,44=Inputs!$B$15,44=Inputs!$B$17),Inputs!$B$108,0)</f>
        <v>666.6666667</v>
      </c>
      <c r="AT97" s="74">
        <f>Inputs!$B$107/12+IF(OR(45=Inputs!$B$11,45=Inputs!$B$13,45=Inputs!$B$15,45=Inputs!$B$17),Inputs!$B$108,0)</f>
        <v>666.6666667</v>
      </c>
      <c r="AU97" s="74">
        <f>Inputs!$B$107/12+IF(OR(46=Inputs!$B$11,46=Inputs!$B$13,46=Inputs!$B$15,46=Inputs!$B$17),Inputs!$B$108,0)</f>
        <v>666.6666667</v>
      </c>
      <c r="AV97" s="74">
        <f>Inputs!$B$107/12+IF(OR(47=Inputs!$B$11,47=Inputs!$B$13,47=Inputs!$B$15,47=Inputs!$B$17),Inputs!$B$108,0)</f>
        <v>666.6666667</v>
      </c>
      <c r="AW97" s="74">
        <f>Inputs!$B$107/12+IF(OR(48=Inputs!$B$11,48=Inputs!$B$13,48=Inputs!$B$15,48=Inputs!$B$17),Inputs!$B$108,0)</f>
        <v>666.6666667</v>
      </c>
      <c r="AX97" s="74">
        <f>Inputs!$B$107/12+IF(OR(49=Inputs!$B$11,49=Inputs!$B$13,49=Inputs!$B$15,49=Inputs!$B$17),Inputs!$B$108,0)</f>
        <v>666.6666667</v>
      </c>
      <c r="AY97" s="74">
        <f>Inputs!$B$107/12+IF(OR(50=Inputs!$B$11,50=Inputs!$B$13,50=Inputs!$B$15,50=Inputs!$B$17),Inputs!$B$108,0)</f>
        <v>666.6666667</v>
      </c>
      <c r="AZ97" s="74">
        <f>Inputs!$B$107/12+IF(OR(51=Inputs!$B$11,51=Inputs!$B$13,51=Inputs!$B$15,51=Inputs!$B$17),Inputs!$B$108,0)</f>
        <v>666.6666667</v>
      </c>
      <c r="BA97" s="74">
        <f>Inputs!$B$107/12+IF(OR(52=Inputs!$B$11,52=Inputs!$B$13,52=Inputs!$B$15,52=Inputs!$B$17),Inputs!$B$108,0)</f>
        <v>666.6666667</v>
      </c>
    </row>
    <row r="98" ht="14.25" customHeight="1">
      <c r="A98" s="3" t="s">
        <v>316</v>
      </c>
      <c r="B98" s="74">
        <f>Inputs!$B$109</f>
        <v>800</v>
      </c>
      <c r="C98" s="74">
        <f>Inputs!$B$109</f>
        <v>800</v>
      </c>
      <c r="D98" s="74">
        <f>Inputs!$B$109</f>
        <v>800</v>
      </c>
      <c r="E98" s="74">
        <f>Inputs!$B$109</f>
        <v>800</v>
      </c>
      <c r="F98" s="74">
        <f>Inputs!$B$109</f>
        <v>800</v>
      </c>
      <c r="G98" s="74">
        <f>Inputs!$B$109</f>
        <v>800</v>
      </c>
      <c r="H98" s="74">
        <f>Inputs!$B$109</f>
        <v>800</v>
      </c>
      <c r="I98" s="74">
        <f>Inputs!$B$109</f>
        <v>800</v>
      </c>
      <c r="J98" s="74">
        <f>Inputs!$B$109</f>
        <v>800</v>
      </c>
      <c r="K98" s="74">
        <f>Inputs!$B$109</f>
        <v>800</v>
      </c>
      <c r="L98" s="74">
        <f>Inputs!$B$109</f>
        <v>800</v>
      </c>
      <c r="M98" s="74">
        <f>Inputs!$B$109</f>
        <v>800</v>
      </c>
      <c r="N98" s="74">
        <f>Inputs!$B$109</f>
        <v>800</v>
      </c>
      <c r="O98" s="74">
        <f>Inputs!$B$109</f>
        <v>800</v>
      </c>
      <c r="P98" s="74">
        <f>Inputs!$B$109</f>
        <v>800</v>
      </c>
      <c r="Q98" s="74">
        <f>Inputs!$B$109</f>
        <v>800</v>
      </c>
      <c r="R98" s="74">
        <f>Inputs!$B$109</f>
        <v>800</v>
      </c>
      <c r="S98" s="74">
        <f>Inputs!$B$109</f>
        <v>800</v>
      </c>
      <c r="T98" s="74">
        <f>Inputs!$B$109</f>
        <v>800</v>
      </c>
      <c r="U98" s="74">
        <f>Inputs!$B$109</f>
        <v>800</v>
      </c>
      <c r="V98" s="74">
        <f>Inputs!$B$109</f>
        <v>800</v>
      </c>
      <c r="W98" s="74">
        <f>Inputs!$B$109</f>
        <v>800</v>
      </c>
      <c r="X98" s="74">
        <f>Inputs!$B$109</f>
        <v>800</v>
      </c>
      <c r="Y98" s="74">
        <f>Inputs!$B$109</f>
        <v>800</v>
      </c>
      <c r="Z98" s="74">
        <f>Inputs!$B$109</f>
        <v>800</v>
      </c>
      <c r="AA98" s="74">
        <f>Inputs!$B$109</f>
        <v>800</v>
      </c>
      <c r="AB98" s="74">
        <f>Inputs!$B$109</f>
        <v>800</v>
      </c>
      <c r="AC98" s="74">
        <f>Inputs!$B$109</f>
        <v>800</v>
      </c>
      <c r="AD98" s="74">
        <f>Inputs!$B$109</f>
        <v>800</v>
      </c>
      <c r="AE98" s="74">
        <f>Inputs!$B$109</f>
        <v>800</v>
      </c>
      <c r="AF98" s="74">
        <f>Inputs!$B$109</f>
        <v>800</v>
      </c>
      <c r="AG98" s="74">
        <f>Inputs!$B$109</f>
        <v>800</v>
      </c>
      <c r="AH98" s="74">
        <f>Inputs!$B$109</f>
        <v>800</v>
      </c>
      <c r="AI98" s="74">
        <f>Inputs!$B$109</f>
        <v>800</v>
      </c>
      <c r="AJ98" s="74">
        <f>Inputs!$B$109</f>
        <v>800</v>
      </c>
      <c r="AK98" s="74">
        <f>Inputs!$B$109</f>
        <v>800</v>
      </c>
      <c r="AL98" s="74">
        <f>Inputs!$B$109</f>
        <v>800</v>
      </c>
      <c r="AM98" s="74">
        <f>Inputs!$B$109</f>
        <v>800</v>
      </c>
      <c r="AN98" s="74">
        <f>Inputs!$B$109</f>
        <v>800</v>
      </c>
      <c r="AO98" s="74">
        <f>Inputs!$B$109</f>
        <v>800</v>
      </c>
      <c r="AP98" s="74">
        <f>Inputs!$B$109</f>
        <v>800</v>
      </c>
      <c r="AQ98" s="74">
        <f>Inputs!$B$109</f>
        <v>800</v>
      </c>
      <c r="AR98" s="74">
        <f>Inputs!$B$109</f>
        <v>800</v>
      </c>
      <c r="AS98" s="74">
        <f>Inputs!$B$109</f>
        <v>800</v>
      </c>
      <c r="AT98" s="74">
        <f>Inputs!$B$109</f>
        <v>800</v>
      </c>
      <c r="AU98" s="74">
        <f>Inputs!$B$109</f>
        <v>800</v>
      </c>
      <c r="AV98" s="74">
        <f>Inputs!$B$109</f>
        <v>800</v>
      </c>
      <c r="AW98" s="74">
        <f>Inputs!$B$109</f>
        <v>800</v>
      </c>
      <c r="AX98" s="74">
        <f>Inputs!$B$109</f>
        <v>800</v>
      </c>
      <c r="AY98" s="74">
        <f>Inputs!$B$109</f>
        <v>800</v>
      </c>
      <c r="AZ98" s="74">
        <f>Inputs!$B$109</f>
        <v>800</v>
      </c>
      <c r="BA98" s="74">
        <f>Inputs!$B$109</f>
        <v>800</v>
      </c>
    </row>
    <row r="99" ht="14.25" customHeight="1">
      <c r="A99" s="3" t="s">
        <v>557</v>
      </c>
      <c r="B99" s="74">
        <f>IF(1&gt;=Inputs!$B$111,Inputs!$B$110/12,0)</f>
        <v>0</v>
      </c>
      <c r="C99" s="74">
        <f>IF(2&gt;=Inputs!$B$111,Inputs!$B$110/12,0)</f>
        <v>0</v>
      </c>
      <c r="D99" s="74">
        <f>IF(3&gt;=Inputs!$B$111,Inputs!$B$110/12,0)</f>
        <v>0</v>
      </c>
      <c r="E99" s="74">
        <f>IF(4&gt;=Inputs!$B$111,Inputs!$B$110/12,0)</f>
        <v>0</v>
      </c>
      <c r="F99" s="74">
        <f>IF(5&gt;=Inputs!$B$111,Inputs!$B$110/12,0)</f>
        <v>0</v>
      </c>
      <c r="G99" s="74">
        <f>IF(6&gt;=Inputs!$B$111,Inputs!$B$110/12,0)</f>
        <v>0</v>
      </c>
      <c r="H99" s="74">
        <f>IF(7&gt;=Inputs!$B$111,Inputs!$B$110/12,0)</f>
        <v>0</v>
      </c>
      <c r="I99" s="74">
        <f>IF(8&gt;=Inputs!$B$111,Inputs!$B$110/12,0)</f>
        <v>0</v>
      </c>
      <c r="J99" s="74">
        <f>IF(9&gt;=Inputs!$B$111,Inputs!$B$110/12,0)</f>
        <v>0</v>
      </c>
      <c r="K99" s="74">
        <f>IF(10&gt;=Inputs!$B$111,Inputs!$B$110/12,0)</f>
        <v>0</v>
      </c>
      <c r="L99" s="74">
        <f>IF(11&gt;=Inputs!$B$111,Inputs!$B$110/12,0)</f>
        <v>0</v>
      </c>
      <c r="M99" s="74">
        <f>IF(12&gt;=Inputs!$B$111,Inputs!$B$110/12,0)</f>
        <v>0</v>
      </c>
      <c r="N99" s="74">
        <f>IF(13&gt;=Inputs!$B$111,Inputs!$B$110/12,0)</f>
        <v>0</v>
      </c>
      <c r="O99" s="74">
        <f>IF(14&gt;=Inputs!$B$111,Inputs!$B$110/12,0)</f>
        <v>0</v>
      </c>
      <c r="P99" s="74">
        <f>IF(15&gt;=Inputs!$B$111,Inputs!$B$110/12,0)</f>
        <v>0</v>
      </c>
      <c r="Q99" s="74">
        <f>IF(16&gt;=Inputs!$B$111,Inputs!$B$110/12,0)</f>
        <v>0</v>
      </c>
      <c r="R99" s="74">
        <f>IF(17&gt;=Inputs!$B$111,Inputs!$B$110/12,0)</f>
        <v>1000</v>
      </c>
      <c r="S99" s="74">
        <f>IF(18&gt;=Inputs!$B$111,Inputs!$B$110/12,0)</f>
        <v>1000</v>
      </c>
      <c r="T99" s="74">
        <f>IF(19&gt;=Inputs!$B$111,Inputs!$B$110/12,0)</f>
        <v>1000</v>
      </c>
      <c r="U99" s="74">
        <f>IF(20&gt;=Inputs!$B$111,Inputs!$B$110/12,0)</f>
        <v>1000</v>
      </c>
      <c r="V99" s="74">
        <f>IF(21&gt;=Inputs!$B$111,Inputs!$B$110/12,0)</f>
        <v>1000</v>
      </c>
      <c r="W99" s="74">
        <f>IF(22&gt;=Inputs!$B$111,Inputs!$B$110/12,0)</f>
        <v>1000</v>
      </c>
      <c r="X99" s="74">
        <f>IF(23&gt;=Inputs!$B$111,Inputs!$B$110/12,0)</f>
        <v>1000</v>
      </c>
      <c r="Y99" s="74">
        <f>IF(24&gt;=Inputs!$B$111,Inputs!$B$110/12,0)</f>
        <v>1000</v>
      </c>
      <c r="Z99" s="74">
        <f>IF(25&gt;=Inputs!$B$111,Inputs!$B$110/12,0)</f>
        <v>1000</v>
      </c>
      <c r="AA99" s="74">
        <f>IF(26&gt;=Inputs!$B$111,Inputs!$B$110/12,0)</f>
        <v>1000</v>
      </c>
      <c r="AB99" s="74">
        <f>IF(27&gt;=Inputs!$B$111,Inputs!$B$110/12,0)</f>
        <v>1000</v>
      </c>
      <c r="AC99" s="74">
        <f>IF(28&gt;=Inputs!$B$111,Inputs!$B$110/12,0)</f>
        <v>1000</v>
      </c>
      <c r="AD99" s="74">
        <f>IF(29&gt;=Inputs!$B$111,Inputs!$B$110/12,0)</f>
        <v>1000</v>
      </c>
      <c r="AE99" s="74">
        <f>IF(30&gt;=Inputs!$B$111,Inputs!$B$110/12,0)</f>
        <v>1000</v>
      </c>
      <c r="AF99" s="74">
        <f>IF(31&gt;=Inputs!$B$111,Inputs!$B$110/12,0)</f>
        <v>1000</v>
      </c>
      <c r="AG99" s="74">
        <f>IF(32&gt;=Inputs!$B$111,Inputs!$B$110/12,0)</f>
        <v>1000</v>
      </c>
      <c r="AH99" s="74">
        <f>IF(33&gt;=Inputs!$B$111,Inputs!$B$110/12,0)</f>
        <v>1000</v>
      </c>
      <c r="AI99" s="74">
        <f>IF(34&gt;=Inputs!$B$111,Inputs!$B$110/12,0)</f>
        <v>1000</v>
      </c>
      <c r="AJ99" s="74">
        <f>IF(35&gt;=Inputs!$B$111,Inputs!$B$110/12,0)</f>
        <v>1000</v>
      </c>
      <c r="AK99" s="74">
        <f>IF(36&gt;=Inputs!$B$111,Inputs!$B$110/12,0)</f>
        <v>1000</v>
      </c>
      <c r="AL99" s="74">
        <f>IF(37&gt;=Inputs!$B$111,Inputs!$B$110/12,0)</f>
        <v>1000</v>
      </c>
      <c r="AM99" s="74">
        <f>IF(38&gt;=Inputs!$B$111,Inputs!$B$110/12,0)</f>
        <v>1000</v>
      </c>
      <c r="AN99" s="74">
        <f>IF(39&gt;=Inputs!$B$111,Inputs!$B$110/12,0)</f>
        <v>1000</v>
      </c>
      <c r="AO99" s="74">
        <f>IF(40&gt;=Inputs!$B$111,Inputs!$B$110/12,0)</f>
        <v>1000</v>
      </c>
      <c r="AP99" s="74">
        <f>IF(41&gt;=Inputs!$B$111,Inputs!$B$110/12,0)</f>
        <v>1000</v>
      </c>
      <c r="AQ99" s="74">
        <f>IF(42&gt;=Inputs!$B$111,Inputs!$B$110/12,0)</f>
        <v>1000</v>
      </c>
      <c r="AR99" s="74">
        <f>IF(43&gt;=Inputs!$B$111,Inputs!$B$110/12,0)</f>
        <v>1000</v>
      </c>
      <c r="AS99" s="74">
        <f>IF(44&gt;=Inputs!$B$111,Inputs!$B$110/12,0)</f>
        <v>1000</v>
      </c>
      <c r="AT99" s="74">
        <f>IF(45&gt;=Inputs!$B$111,Inputs!$B$110/12,0)</f>
        <v>1000</v>
      </c>
      <c r="AU99" s="74">
        <f>IF(46&gt;=Inputs!$B$111,Inputs!$B$110/12,0)</f>
        <v>1000</v>
      </c>
      <c r="AV99" s="74">
        <f>IF(47&gt;=Inputs!$B$111,Inputs!$B$110/12,0)</f>
        <v>1000</v>
      </c>
      <c r="AW99" s="74">
        <f>IF(48&gt;=Inputs!$B$111,Inputs!$B$110/12,0)</f>
        <v>1000</v>
      </c>
      <c r="AX99" s="74">
        <f>IF(49&gt;=Inputs!$B$111,Inputs!$B$110/12,0)</f>
        <v>1000</v>
      </c>
      <c r="AY99" s="74">
        <f>IF(50&gt;=Inputs!$B$111,Inputs!$B$110/12,0)</f>
        <v>1000</v>
      </c>
      <c r="AZ99" s="74">
        <f>IF(51&gt;=Inputs!$B$111,Inputs!$B$110/12,0)</f>
        <v>1000</v>
      </c>
      <c r="BA99" s="74">
        <f>IF(52&gt;=Inputs!$B$111,Inputs!$B$110/12,0)</f>
        <v>1000</v>
      </c>
    </row>
    <row r="100" ht="14.25" customHeight="1">
      <c r="A100" s="3" t="s">
        <v>558</v>
      </c>
      <c r="B100" s="74">
        <f>Inputs!$B$112/12</f>
        <v>416.6666667</v>
      </c>
      <c r="C100" s="74">
        <f>Inputs!$B$112/12</f>
        <v>416.6666667</v>
      </c>
      <c r="D100" s="74">
        <f>Inputs!$B$112/12</f>
        <v>416.6666667</v>
      </c>
      <c r="E100" s="74">
        <f>Inputs!$B$112/12</f>
        <v>416.6666667</v>
      </c>
      <c r="F100" s="74">
        <f>Inputs!$B$112/12</f>
        <v>416.6666667</v>
      </c>
      <c r="G100" s="74">
        <f>Inputs!$B$112/12</f>
        <v>416.6666667</v>
      </c>
      <c r="H100" s="74">
        <f>Inputs!$B$112/12</f>
        <v>416.6666667</v>
      </c>
      <c r="I100" s="74">
        <f>Inputs!$B$112/12</f>
        <v>416.6666667</v>
      </c>
      <c r="J100" s="74">
        <f>Inputs!$B$112/12</f>
        <v>416.6666667</v>
      </c>
      <c r="K100" s="74">
        <f>Inputs!$B$112/12</f>
        <v>416.6666667</v>
      </c>
      <c r="L100" s="74">
        <f>Inputs!$B$112/12</f>
        <v>416.6666667</v>
      </c>
      <c r="M100" s="74">
        <f>Inputs!$B$112/12</f>
        <v>416.6666667</v>
      </c>
      <c r="N100" s="74">
        <f>Inputs!$B$112/12</f>
        <v>416.6666667</v>
      </c>
      <c r="O100" s="74">
        <f>Inputs!$B$112/12</f>
        <v>416.6666667</v>
      </c>
      <c r="P100" s="74">
        <f>Inputs!$B$112/12</f>
        <v>416.6666667</v>
      </c>
      <c r="Q100" s="74">
        <f>Inputs!$B$112/12</f>
        <v>416.6666667</v>
      </c>
      <c r="R100" s="74">
        <f>Inputs!$B$112/12</f>
        <v>416.6666667</v>
      </c>
      <c r="S100" s="74">
        <f>Inputs!$B$112/12</f>
        <v>416.6666667</v>
      </c>
      <c r="T100" s="74">
        <f>Inputs!$B$112/12</f>
        <v>416.6666667</v>
      </c>
      <c r="U100" s="74">
        <f>Inputs!$B$112/12</f>
        <v>416.6666667</v>
      </c>
      <c r="V100" s="74">
        <f>Inputs!$B$112/12</f>
        <v>416.6666667</v>
      </c>
      <c r="W100" s="74">
        <f>Inputs!$B$112/12</f>
        <v>416.6666667</v>
      </c>
      <c r="X100" s="74">
        <f>Inputs!$B$112/12</f>
        <v>416.6666667</v>
      </c>
      <c r="Y100" s="74">
        <f>Inputs!$B$112/12</f>
        <v>416.6666667</v>
      </c>
      <c r="Z100" s="74">
        <f>Inputs!$B$112/12</f>
        <v>416.6666667</v>
      </c>
      <c r="AA100" s="74">
        <f>Inputs!$B$112/12</f>
        <v>416.6666667</v>
      </c>
      <c r="AB100" s="74">
        <f>Inputs!$B$112/12</f>
        <v>416.6666667</v>
      </c>
      <c r="AC100" s="74">
        <f>Inputs!$B$112/12</f>
        <v>416.6666667</v>
      </c>
      <c r="AD100" s="74">
        <f>Inputs!$B$112/12</f>
        <v>416.6666667</v>
      </c>
      <c r="AE100" s="74">
        <f>Inputs!$B$112/12</f>
        <v>416.6666667</v>
      </c>
      <c r="AF100" s="74">
        <f>Inputs!$B$112/12</f>
        <v>416.6666667</v>
      </c>
      <c r="AG100" s="74">
        <f>Inputs!$B$112/12</f>
        <v>416.6666667</v>
      </c>
      <c r="AH100" s="74">
        <f>Inputs!$B$112/12</f>
        <v>416.6666667</v>
      </c>
      <c r="AI100" s="74">
        <f>Inputs!$B$112/12</f>
        <v>416.6666667</v>
      </c>
      <c r="AJ100" s="74">
        <f>Inputs!$B$112/12</f>
        <v>416.6666667</v>
      </c>
      <c r="AK100" s="74">
        <f>Inputs!$B$112/12</f>
        <v>416.6666667</v>
      </c>
      <c r="AL100" s="74">
        <f>Inputs!$B$112/12</f>
        <v>416.6666667</v>
      </c>
      <c r="AM100" s="74">
        <f>Inputs!$B$112/12</f>
        <v>416.6666667</v>
      </c>
      <c r="AN100" s="74">
        <f>Inputs!$B$112/12</f>
        <v>416.6666667</v>
      </c>
      <c r="AO100" s="74">
        <f>Inputs!$B$112/12</f>
        <v>416.6666667</v>
      </c>
      <c r="AP100" s="74">
        <f>Inputs!$B$112/12</f>
        <v>416.6666667</v>
      </c>
      <c r="AQ100" s="74">
        <f>Inputs!$B$112/12</f>
        <v>416.6666667</v>
      </c>
      <c r="AR100" s="74">
        <f>Inputs!$B$112/12</f>
        <v>416.6666667</v>
      </c>
      <c r="AS100" s="74">
        <f>Inputs!$B$112/12</f>
        <v>416.6666667</v>
      </c>
      <c r="AT100" s="74">
        <f>Inputs!$B$112/12</f>
        <v>416.6666667</v>
      </c>
      <c r="AU100" s="74">
        <f>Inputs!$B$112/12</f>
        <v>416.6666667</v>
      </c>
      <c r="AV100" s="74">
        <f>Inputs!$B$112/12</f>
        <v>416.6666667</v>
      </c>
      <c r="AW100" s="74">
        <f>Inputs!$B$112/12</f>
        <v>416.6666667</v>
      </c>
      <c r="AX100" s="74">
        <f>Inputs!$B$112/12</f>
        <v>416.6666667</v>
      </c>
      <c r="AY100" s="74">
        <f>Inputs!$B$112/12</f>
        <v>416.6666667</v>
      </c>
      <c r="AZ100" s="74">
        <f>Inputs!$B$112/12</f>
        <v>416.6666667</v>
      </c>
      <c r="BA100" s="74">
        <f>Inputs!$B$112/12</f>
        <v>416.6666667</v>
      </c>
    </row>
    <row r="101" ht="14.25" customHeight="1">
      <c r="A101" s="2" t="s">
        <v>559</v>
      </c>
      <c r="B101" s="72">
        <f t="shared" ref="B101:BA101" si="6">SUM(B97:B100)</f>
        <v>16883.33333</v>
      </c>
      <c r="C101" s="72">
        <f t="shared" si="6"/>
        <v>1883.333333</v>
      </c>
      <c r="D101" s="72">
        <f t="shared" si="6"/>
        <v>1883.333333</v>
      </c>
      <c r="E101" s="72">
        <f t="shared" si="6"/>
        <v>1883.333333</v>
      </c>
      <c r="F101" s="72">
        <f t="shared" si="6"/>
        <v>16883.33333</v>
      </c>
      <c r="G101" s="72">
        <f t="shared" si="6"/>
        <v>1883.333333</v>
      </c>
      <c r="H101" s="72">
        <f t="shared" si="6"/>
        <v>1883.333333</v>
      </c>
      <c r="I101" s="72">
        <f t="shared" si="6"/>
        <v>1883.333333</v>
      </c>
      <c r="J101" s="72">
        <f t="shared" si="6"/>
        <v>1883.333333</v>
      </c>
      <c r="K101" s="72">
        <f t="shared" si="6"/>
        <v>1883.333333</v>
      </c>
      <c r="L101" s="72">
        <f t="shared" si="6"/>
        <v>1883.333333</v>
      </c>
      <c r="M101" s="72">
        <f t="shared" si="6"/>
        <v>1883.333333</v>
      </c>
      <c r="N101" s="72">
        <f t="shared" si="6"/>
        <v>1883.333333</v>
      </c>
      <c r="O101" s="72">
        <f t="shared" si="6"/>
        <v>1883.333333</v>
      </c>
      <c r="P101" s="72">
        <f t="shared" si="6"/>
        <v>1883.333333</v>
      </c>
      <c r="Q101" s="72">
        <f t="shared" si="6"/>
        <v>1883.333333</v>
      </c>
      <c r="R101" s="72">
        <f t="shared" si="6"/>
        <v>17883.33333</v>
      </c>
      <c r="S101" s="72">
        <f t="shared" si="6"/>
        <v>2883.333333</v>
      </c>
      <c r="T101" s="72">
        <f t="shared" si="6"/>
        <v>2883.333333</v>
      </c>
      <c r="U101" s="72">
        <f t="shared" si="6"/>
        <v>2883.333333</v>
      </c>
      <c r="V101" s="72">
        <f t="shared" si="6"/>
        <v>2883.333333</v>
      </c>
      <c r="W101" s="72">
        <f t="shared" si="6"/>
        <v>2883.333333</v>
      </c>
      <c r="X101" s="72">
        <f t="shared" si="6"/>
        <v>2883.333333</v>
      </c>
      <c r="Y101" s="72">
        <f t="shared" si="6"/>
        <v>2883.333333</v>
      </c>
      <c r="Z101" s="72">
        <f t="shared" si="6"/>
        <v>2883.333333</v>
      </c>
      <c r="AA101" s="72">
        <f t="shared" si="6"/>
        <v>2883.333333</v>
      </c>
      <c r="AB101" s="72">
        <f t="shared" si="6"/>
        <v>2883.333333</v>
      </c>
      <c r="AC101" s="72">
        <f t="shared" si="6"/>
        <v>2883.333333</v>
      </c>
      <c r="AD101" s="72">
        <f t="shared" si="6"/>
        <v>2883.333333</v>
      </c>
      <c r="AE101" s="72">
        <f t="shared" si="6"/>
        <v>2883.333333</v>
      </c>
      <c r="AF101" s="72">
        <f t="shared" si="6"/>
        <v>2883.333333</v>
      </c>
      <c r="AG101" s="72">
        <f t="shared" si="6"/>
        <v>2883.333333</v>
      </c>
      <c r="AH101" s="72">
        <f t="shared" si="6"/>
        <v>2883.333333</v>
      </c>
      <c r="AI101" s="72">
        <f t="shared" si="6"/>
        <v>2883.333333</v>
      </c>
      <c r="AJ101" s="72">
        <f t="shared" si="6"/>
        <v>17883.33333</v>
      </c>
      <c r="AK101" s="72">
        <f t="shared" si="6"/>
        <v>2883.333333</v>
      </c>
      <c r="AL101" s="72">
        <f t="shared" si="6"/>
        <v>2883.333333</v>
      </c>
      <c r="AM101" s="72">
        <f t="shared" si="6"/>
        <v>2883.333333</v>
      </c>
      <c r="AN101" s="72">
        <f t="shared" si="6"/>
        <v>2883.333333</v>
      </c>
      <c r="AO101" s="72">
        <f t="shared" si="6"/>
        <v>2883.333333</v>
      </c>
      <c r="AP101" s="72">
        <f t="shared" si="6"/>
        <v>2883.333333</v>
      </c>
      <c r="AQ101" s="72">
        <f t="shared" si="6"/>
        <v>2883.333333</v>
      </c>
      <c r="AR101" s="72">
        <f t="shared" si="6"/>
        <v>2883.333333</v>
      </c>
      <c r="AS101" s="72">
        <f t="shared" si="6"/>
        <v>2883.333333</v>
      </c>
      <c r="AT101" s="72">
        <f t="shared" si="6"/>
        <v>2883.333333</v>
      </c>
      <c r="AU101" s="72">
        <f t="shared" si="6"/>
        <v>2883.333333</v>
      </c>
      <c r="AV101" s="72">
        <f t="shared" si="6"/>
        <v>2883.333333</v>
      </c>
      <c r="AW101" s="72">
        <f t="shared" si="6"/>
        <v>2883.333333</v>
      </c>
      <c r="AX101" s="72">
        <f t="shared" si="6"/>
        <v>2883.333333</v>
      </c>
      <c r="AY101" s="72">
        <f t="shared" si="6"/>
        <v>2883.333333</v>
      </c>
      <c r="AZ101" s="72">
        <f t="shared" si="6"/>
        <v>2883.333333</v>
      </c>
      <c r="BA101" s="72">
        <f t="shared" si="6"/>
        <v>2883.333333</v>
      </c>
    </row>
    <row r="102" ht="14.25" customHeight="1"/>
    <row r="103" ht="14.25" customHeight="1">
      <c r="A103" s="2" t="s">
        <v>324</v>
      </c>
    </row>
    <row r="104" ht="14.25" customHeight="1">
      <c r="A104" s="3" t="s">
        <v>560</v>
      </c>
      <c r="B104" s="74">
        <f>Inputs!$B$115/12</f>
        <v>250</v>
      </c>
      <c r="C104" s="74">
        <f>Inputs!$B$115/12</f>
        <v>250</v>
      </c>
      <c r="D104" s="74">
        <f>Inputs!$B$115/12</f>
        <v>250</v>
      </c>
      <c r="E104" s="74">
        <f>Inputs!$B$115/12</f>
        <v>250</v>
      </c>
      <c r="F104" s="74">
        <f>Inputs!$B$115/12</f>
        <v>250</v>
      </c>
      <c r="G104" s="74">
        <f>Inputs!$B$115/12</f>
        <v>250</v>
      </c>
      <c r="H104" s="74">
        <f>Inputs!$B$115/12</f>
        <v>250</v>
      </c>
      <c r="I104" s="74">
        <f>Inputs!$B$115/12</f>
        <v>250</v>
      </c>
      <c r="J104" s="74">
        <f>Inputs!$B$115/12</f>
        <v>250</v>
      </c>
      <c r="K104" s="74">
        <f>Inputs!$B$115/12</f>
        <v>250</v>
      </c>
      <c r="L104" s="74">
        <f>Inputs!$B$115/12</f>
        <v>250</v>
      </c>
      <c r="M104" s="74">
        <f>Inputs!$B$115/12</f>
        <v>250</v>
      </c>
      <c r="N104" s="74">
        <f>Inputs!$B$115/12</f>
        <v>250</v>
      </c>
      <c r="O104" s="74">
        <f>Inputs!$B$115/12</f>
        <v>250</v>
      </c>
      <c r="P104" s="74">
        <f>Inputs!$B$115/12</f>
        <v>250</v>
      </c>
      <c r="Q104" s="74">
        <f>Inputs!$B$115/12</f>
        <v>250</v>
      </c>
      <c r="R104" s="74">
        <f>Inputs!$B$115/12</f>
        <v>250</v>
      </c>
      <c r="S104" s="74">
        <f>Inputs!$B$115/12</f>
        <v>250</v>
      </c>
      <c r="T104" s="74">
        <f>Inputs!$B$115/12</f>
        <v>250</v>
      </c>
      <c r="U104" s="74">
        <f>Inputs!$B$115/12</f>
        <v>250</v>
      </c>
      <c r="V104" s="74">
        <f>Inputs!$B$115/12</f>
        <v>250</v>
      </c>
      <c r="W104" s="74">
        <f>Inputs!$B$115/12</f>
        <v>250</v>
      </c>
      <c r="X104" s="74">
        <f>Inputs!$B$115/12</f>
        <v>250</v>
      </c>
      <c r="Y104" s="74">
        <f>Inputs!$B$115/12</f>
        <v>250</v>
      </c>
      <c r="Z104" s="74">
        <f>Inputs!$B$115/12</f>
        <v>250</v>
      </c>
      <c r="AA104" s="74">
        <f>Inputs!$B$115/12</f>
        <v>250</v>
      </c>
      <c r="AB104" s="74">
        <f>Inputs!$B$115/12</f>
        <v>250</v>
      </c>
      <c r="AC104" s="74">
        <f>Inputs!$B$115/12</f>
        <v>250</v>
      </c>
      <c r="AD104" s="74">
        <f>Inputs!$B$115/12</f>
        <v>250</v>
      </c>
      <c r="AE104" s="74">
        <f>Inputs!$B$115/12</f>
        <v>250</v>
      </c>
      <c r="AF104" s="74">
        <f>Inputs!$B$115/12</f>
        <v>250</v>
      </c>
      <c r="AG104" s="74">
        <f>Inputs!$B$115/12</f>
        <v>250</v>
      </c>
      <c r="AH104" s="74">
        <f>Inputs!$B$115/12</f>
        <v>250</v>
      </c>
      <c r="AI104" s="74">
        <f>Inputs!$B$115/12</f>
        <v>250</v>
      </c>
      <c r="AJ104" s="74">
        <f>Inputs!$B$115/12</f>
        <v>250</v>
      </c>
      <c r="AK104" s="74">
        <f>Inputs!$B$115/12</f>
        <v>250</v>
      </c>
      <c r="AL104" s="74">
        <f>Inputs!$B$115/12</f>
        <v>250</v>
      </c>
      <c r="AM104" s="74">
        <f>Inputs!$B$115/12</f>
        <v>250</v>
      </c>
      <c r="AN104" s="74">
        <f>Inputs!$B$115/12</f>
        <v>250</v>
      </c>
      <c r="AO104" s="74">
        <f>Inputs!$B$115/12</f>
        <v>250</v>
      </c>
      <c r="AP104" s="74">
        <f>Inputs!$B$115/12</f>
        <v>250</v>
      </c>
      <c r="AQ104" s="74">
        <f>Inputs!$B$115/12</f>
        <v>250</v>
      </c>
      <c r="AR104" s="74">
        <f>Inputs!$B$115/12</f>
        <v>250</v>
      </c>
      <c r="AS104" s="74">
        <f>Inputs!$B$115/12</f>
        <v>250</v>
      </c>
      <c r="AT104" s="74">
        <f>Inputs!$B$115/12</f>
        <v>250</v>
      </c>
      <c r="AU104" s="74">
        <f>Inputs!$B$115/12</f>
        <v>250</v>
      </c>
      <c r="AV104" s="74">
        <f>Inputs!$B$115/12</f>
        <v>250</v>
      </c>
      <c r="AW104" s="74">
        <f>Inputs!$B$115/12</f>
        <v>250</v>
      </c>
      <c r="AX104" s="74">
        <f>Inputs!$B$115/12</f>
        <v>250</v>
      </c>
      <c r="AY104" s="74">
        <f>Inputs!$B$115/12</f>
        <v>250</v>
      </c>
      <c r="AZ104" s="74">
        <f>Inputs!$B$115/12</f>
        <v>250</v>
      </c>
      <c r="BA104" s="74">
        <f>Inputs!$B$115/12</f>
        <v>250</v>
      </c>
    </row>
    <row r="105" ht="14.25" customHeight="1">
      <c r="A105" s="3" t="s">
        <v>561</v>
      </c>
      <c r="B105" s="74">
        <f>Inputs!$B$116/12</f>
        <v>125</v>
      </c>
      <c r="C105" s="74">
        <f>Inputs!$B$116/12</f>
        <v>125</v>
      </c>
      <c r="D105" s="74">
        <f>Inputs!$B$116/12</f>
        <v>125</v>
      </c>
      <c r="E105" s="74">
        <f>Inputs!$B$116/12</f>
        <v>125</v>
      </c>
      <c r="F105" s="74">
        <f>Inputs!$B$116/12</f>
        <v>125</v>
      </c>
      <c r="G105" s="74">
        <f>Inputs!$B$116/12</f>
        <v>125</v>
      </c>
      <c r="H105" s="74">
        <f>Inputs!$B$116/12</f>
        <v>125</v>
      </c>
      <c r="I105" s="74">
        <f>Inputs!$B$116/12</f>
        <v>125</v>
      </c>
      <c r="J105" s="74">
        <f>Inputs!$B$116/12</f>
        <v>125</v>
      </c>
      <c r="K105" s="74">
        <f>Inputs!$B$116/12</f>
        <v>125</v>
      </c>
      <c r="L105" s="74">
        <f>Inputs!$B$116/12</f>
        <v>125</v>
      </c>
      <c r="M105" s="74">
        <f>Inputs!$B$116/12</f>
        <v>125</v>
      </c>
      <c r="N105" s="74">
        <f>Inputs!$B$116/12</f>
        <v>125</v>
      </c>
      <c r="O105" s="74">
        <f>Inputs!$B$116/12</f>
        <v>125</v>
      </c>
      <c r="P105" s="74">
        <f>Inputs!$B$116/12</f>
        <v>125</v>
      </c>
      <c r="Q105" s="74">
        <f>Inputs!$B$116/12</f>
        <v>125</v>
      </c>
      <c r="R105" s="74">
        <f>Inputs!$B$116/12</f>
        <v>125</v>
      </c>
      <c r="S105" s="74">
        <f>Inputs!$B$116/12</f>
        <v>125</v>
      </c>
      <c r="T105" s="74">
        <f>Inputs!$B$116/12</f>
        <v>125</v>
      </c>
      <c r="U105" s="74">
        <f>Inputs!$B$116/12</f>
        <v>125</v>
      </c>
      <c r="V105" s="74">
        <f>Inputs!$B$116/12</f>
        <v>125</v>
      </c>
      <c r="W105" s="74">
        <f>Inputs!$B$116/12</f>
        <v>125</v>
      </c>
      <c r="X105" s="74">
        <f>Inputs!$B$116/12</f>
        <v>125</v>
      </c>
      <c r="Y105" s="74">
        <f>Inputs!$B$116/12</f>
        <v>125</v>
      </c>
      <c r="Z105" s="74">
        <f>Inputs!$B$116/12</f>
        <v>125</v>
      </c>
      <c r="AA105" s="74">
        <f>Inputs!$B$116/12</f>
        <v>125</v>
      </c>
      <c r="AB105" s="74">
        <f>Inputs!$B$116/12</f>
        <v>125</v>
      </c>
      <c r="AC105" s="74">
        <f>Inputs!$B$116/12</f>
        <v>125</v>
      </c>
      <c r="AD105" s="74">
        <f>Inputs!$B$116/12</f>
        <v>125</v>
      </c>
      <c r="AE105" s="74">
        <f>Inputs!$B$116/12</f>
        <v>125</v>
      </c>
      <c r="AF105" s="74">
        <f>Inputs!$B$116/12</f>
        <v>125</v>
      </c>
      <c r="AG105" s="74">
        <f>Inputs!$B$116/12</f>
        <v>125</v>
      </c>
      <c r="AH105" s="74">
        <f>Inputs!$B$116/12</f>
        <v>125</v>
      </c>
      <c r="AI105" s="74">
        <f>Inputs!$B$116/12</f>
        <v>125</v>
      </c>
      <c r="AJ105" s="74">
        <f>Inputs!$B$116/12</f>
        <v>125</v>
      </c>
      <c r="AK105" s="74">
        <f>Inputs!$B$116/12</f>
        <v>125</v>
      </c>
      <c r="AL105" s="74">
        <f>Inputs!$B$116/12</f>
        <v>125</v>
      </c>
      <c r="AM105" s="74">
        <f>Inputs!$B$116/12</f>
        <v>125</v>
      </c>
      <c r="AN105" s="74">
        <f>Inputs!$B$116/12</f>
        <v>125</v>
      </c>
      <c r="AO105" s="74">
        <f>Inputs!$B$116/12</f>
        <v>125</v>
      </c>
      <c r="AP105" s="74">
        <f>Inputs!$B$116/12</f>
        <v>125</v>
      </c>
      <c r="AQ105" s="74">
        <f>Inputs!$B$116/12</f>
        <v>125</v>
      </c>
      <c r="AR105" s="74">
        <f>Inputs!$B$116/12</f>
        <v>125</v>
      </c>
      <c r="AS105" s="74">
        <f>Inputs!$B$116/12</f>
        <v>125</v>
      </c>
      <c r="AT105" s="74">
        <f>Inputs!$B$116/12</f>
        <v>125</v>
      </c>
      <c r="AU105" s="74">
        <f>Inputs!$B$116/12</f>
        <v>125</v>
      </c>
      <c r="AV105" s="74">
        <f>Inputs!$B$116/12</f>
        <v>125</v>
      </c>
      <c r="AW105" s="74">
        <f>Inputs!$B$116/12</f>
        <v>125</v>
      </c>
      <c r="AX105" s="74">
        <f>Inputs!$B$116/12</f>
        <v>125</v>
      </c>
      <c r="AY105" s="74">
        <f>Inputs!$B$116/12</f>
        <v>125</v>
      </c>
      <c r="AZ105" s="74">
        <f>Inputs!$B$116/12</f>
        <v>125</v>
      </c>
      <c r="BA105" s="74">
        <f>Inputs!$B$116/12</f>
        <v>125</v>
      </c>
    </row>
    <row r="106" ht="14.25" customHeight="1">
      <c r="A106" s="3" t="s">
        <v>562</v>
      </c>
      <c r="B106" s="74">
        <f>Inputs!$B$117/12</f>
        <v>166.6666667</v>
      </c>
      <c r="C106" s="74">
        <f>Inputs!$B$117/12</f>
        <v>166.6666667</v>
      </c>
      <c r="D106" s="74">
        <f>Inputs!$B$117/12</f>
        <v>166.6666667</v>
      </c>
      <c r="E106" s="74">
        <f>Inputs!$B$117/12</f>
        <v>166.6666667</v>
      </c>
      <c r="F106" s="74">
        <f>Inputs!$B$117/12</f>
        <v>166.6666667</v>
      </c>
      <c r="G106" s="74">
        <f>Inputs!$B$117/12</f>
        <v>166.6666667</v>
      </c>
      <c r="H106" s="74">
        <f>Inputs!$B$117/12</f>
        <v>166.6666667</v>
      </c>
      <c r="I106" s="74">
        <f>Inputs!$B$117/12</f>
        <v>166.6666667</v>
      </c>
      <c r="J106" s="74">
        <f>Inputs!$B$117/12</f>
        <v>166.6666667</v>
      </c>
      <c r="K106" s="74">
        <f>Inputs!$B$117/12</f>
        <v>166.6666667</v>
      </c>
      <c r="L106" s="74">
        <f>Inputs!$B$117/12</f>
        <v>166.6666667</v>
      </c>
      <c r="M106" s="74">
        <f>Inputs!$B$117/12</f>
        <v>166.6666667</v>
      </c>
      <c r="N106" s="74">
        <f>Inputs!$B$117/12</f>
        <v>166.6666667</v>
      </c>
      <c r="O106" s="74">
        <f>Inputs!$B$117/12</f>
        <v>166.6666667</v>
      </c>
      <c r="P106" s="74">
        <f>Inputs!$B$117/12</f>
        <v>166.6666667</v>
      </c>
      <c r="Q106" s="74">
        <f>Inputs!$B$117/12</f>
        <v>166.6666667</v>
      </c>
      <c r="R106" s="74">
        <f>Inputs!$B$117/12</f>
        <v>166.6666667</v>
      </c>
      <c r="S106" s="74">
        <f>Inputs!$B$117/12</f>
        <v>166.6666667</v>
      </c>
      <c r="T106" s="74">
        <f>Inputs!$B$117/12</f>
        <v>166.6666667</v>
      </c>
      <c r="U106" s="74">
        <f>Inputs!$B$117/12</f>
        <v>166.6666667</v>
      </c>
      <c r="V106" s="74">
        <f>Inputs!$B$117/12</f>
        <v>166.6666667</v>
      </c>
      <c r="W106" s="74">
        <f>Inputs!$B$117/12</f>
        <v>166.6666667</v>
      </c>
      <c r="X106" s="74">
        <f>Inputs!$B$117/12</f>
        <v>166.6666667</v>
      </c>
      <c r="Y106" s="74">
        <f>Inputs!$B$117/12</f>
        <v>166.6666667</v>
      </c>
      <c r="Z106" s="74">
        <f>Inputs!$B$117/12</f>
        <v>166.6666667</v>
      </c>
      <c r="AA106" s="74">
        <f>Inputs!$B$117/12</f>
        <v>166.6666667</v>
      </c>
      <c r="AB106" s="74">
        <f>Inputs!$B$117/12</f>
        <v>166.6666667</v>
      </c>
      <c r="AC106" s="74">
        <f>Inputs!$B$117/12</f>
        <v>166.6666667</v>
      </c>
      <c r="AD106" s="74">
        <f>Inputs!$B$117/12</f>
        <v>166.6666667</v>
      </c>
      <c r="AE106" s="74">
        <f>Inputs!$B$117/12</f>
        <v>166.6666667</v>
      </c>
      <c r="AF106" s="74">
        <f>Inputs!$B$117/12</f>
        <v>166.6666667</v>
      </c>
      <c r="AG106" s="74">
        <f>Inputs!$B$117/12</f>
        <v>166.6666667</v>
      </c>
      <c r="AH106" s="74">
        <f>Inputs!$B$117/12</f>
        <v>166.6666667</v>
      </c>
      <c r="AI106" s="74">
        <f>Inputs!$B$117/12</f>
        <v>166.6666667</v>
      </c>
      <c r="AJ106" s="74">
        <f>Inputs!$B$117/12</f>
        <v>166.6666667</v>
      </c>
      <c r="AK106" s="74">
        <f>Inputs!$B$117/12</f>
        <v>166.6666667</v>
      </c>
      <c r="AL106" s="74">
        <f>Inputs!$B$117/12</f>
        <v>166.6666667</v>
      </c>
      <c r="AM106" s="74">
        <f>Inputs!$B$117/12</f>
        <v>166.6666667</v>
      </c>
      <c r="AN106" s="74">
        <f>Inputs!$B$117/12</f>
        <v>166.6666667</v>
      </c>
      <c r="AO106" s="74">
        <f>Inputs!$B$117/12</f>
        <v>166.6666667</v>
      </c>
      <c r="AP106" s="74">
        <f>Inputs!$B$117/12</f>
        <v>166.6666667</v>
      </c>
      <c r="AQ106" s="74">
        <f>Inputs!$B$117/12</f>
        <v>166.6666667</v>
      </c>
      <c r="AR106" s="74">
        <f>Inputs!$B$117/12</f>
        <v>166.6666667</v>
      </c>
      <c r="AS106" s="74">
        <f>Inputs!$B$117/12</f>
        <v>166.6666667</v>
      </c>
      <c r="AT106" s="74">
        <f>Inputs!$B$117/12</f>
        <v>166.6666667</v>
      </c>
      <c r="AU106" s="74">
        <f>Inputs!$B$117/12</f>
        <v>166.6666667</v>
      </c>
      <c r="AV106" s="74">
        <f>Inputs!$B$117/12</f>
        <v>166.6666667</v>
      </c>
      <c r="AW106" s="74">
        <f>Inputs!$B$117/12</f>
        <v>166.6666667</v>
      </c>
      <c r="AX106" s="74">
        <f>Inputs!$B$117/12</f>
        <v>166.6666667</v>
      </c>
      <c r="AY106" s="74">
        <f>Inputs!$B$117/12</f>
        <v>166.6666667</v>
      </c>
      <c r="AZ106" s="74">
        <f>Inputs!$B$117/12</f>
        <v>166.6666667</v>
      </c>
      <c r="BA106" s="74">
        <f>Inputs!$B$117/12</f>
        <v>166.6666667</v>
      </c>
    </row>
    <row r="107" ht="14.25" customHeight="1">
      <c r="A107" s="3" t="s">
        <v>331</v>
      </c>
      <c r="B107" s="74">
        <f>Inputs!$B$118</f>
        <v>50</v>
      </c>
      <c r="C107" s="74">
        <f>Inputs!$B$118</f>
        <v>50</v>
      </c>
      <c r="D107" s="74">
        <f>Inputs!$B$118</f>
        <v>50</v>
      </c>
      <c r="E107" s="74">
        <f>Inputs!$B$118</f>
        <v>50</v>
      </c>
      <c r="F107" s="74">
        <f>Inputs!$B$118</f>
        <v>50</v>
      </c>
      <c r="G107" s="74">
        <f>Inputs!$B$118</f>
        <v>50</v>
      </c>
      <c r="H107" s="74">
        <f>Inputs!$B$118</f>
        <v>50</v>
      </c>
      <c r="I107" s="74">
        <f>Inputs!$B$118</f>
        <v>50</v>
      </c>
      <c r="J107" s="74">
        <f>Inputs!$B$118</f>
        <v>50</v>
      </c>
      <c r="K107" s="74">
        <f>Inputs!$B$118</f>
        <v>50</v>
      </c>
      <c r="L107" s="74">
        <f>Inputs!$B$118</f>
        <v>50</v>
      </c>
      <c r="M107" s="74">
        <f>Inputs!$B$118</f>
        <v>50</v>
      </c>
      <c r="N107" s="74">
        <f>Inputs!$B$118</f>
        <v>50</v>
      </c>
      <c r="O107" s="74">
        <f>Inputs!$B$118</f>
        <v>50</v>
      </c>
      <c r="P107" s="74">
        <f>Inputs!$B$118</f>
        <v>50</v>
      </c>
      <c r="Q107" s="74">
        <f>Inputs!$B$118</f>
        <v>50</v>
      </c>
      <c r="R107" s="74">
        <f>Inputs!$B$118</f>
        <v>50</v>
      </c>
      <c r="S107" s="74">
        <f>Inputs!$B$118</f>
        <v>50</v>
      </c>
      <c r="T107" s="74">
        <f>Inputs!$B$118</f>
        <v>50</v>
      </c>
      <c r="U107" s="74">
        <f>Inputs!$B$118</f>
        <v>50</v>
      </c>
      <c r="V107" s="74">
        <f>Inputs!$B$118</f>
        <v>50</v>
      </c>
      <c r="W107" s="74">
        <f>Inputs!$B$118</f>
        <v>50</v>
      </c>
      <c r="X107" s="74">
        <f>Inputs!$B$118</f>
        <v>50</v>
      </c>
      <c r="Y107" s="74">
        <f>Inputs!$B$118</f>
        <v>50</v>
      </c>
      <c r="Z107" s="74">
        <f>Inputs!$B$118</f>
        <v>50</v>
      </c>
      <c r="AA107" s="74">
        <f>Inputs!$B$118</f>
        <v>50</v>
      </c>
      <c r="AB107" s="74">
        <f>Inputs!$B$118</f>
        <v>50</v>
      </c>
      <c r="AC107" s="74">
        <f>Inputs!$B$118</f>
        <v>50</v>
      </c>
      <c r="AD107" s="74">
        <f>Inputs!$B$118</f>
        <v>50</v>
      </c>
      <c r="AE107" s="74">
        <f>Inputs!$B$118</f>
        <v>50</v>
      </c>
      <c r="AF107" s="74">
        <f>Inputs!$B$118</f>
        <v>50</v>
      </c>
      <c r="AG107" s="74">
        <f>Inputs!$B$118</f>
        <v>50</v>
      </c>
      <c r="AH107" s="74">
        <f>Inputs!$B$118</f>
        <v>50</v>
      </c>
      <c r="AI107" s="74">
        <f>Inputs!$B$118</f>
        <v>50</v>
      </c>
      <c r="AJ107" s="74">
        <f>Inputs!$B$118</f>
        <v>50</v>
      </c>
      <c r="AK107" s="74">
        <f>Inputs!$B$118</f>
        <v>50</v>
      </c>
      <c r="AL107" s="74">
        <f>Inputs!$B$118</f>
        <v>50</v>
      </c>
      <c r="AM107" s="74">
        <f>Inputs!$B$118</f>
        <v>50</v>
      </c>
      <c r="AN107" s="74">
        <f>Inputs!$B$118</f>
        <v>50</v>
      </c>
      <c r="AO107" s="74">
        <f>Inputs!$B$118</f>
        <v>50</v>
      </c>
      <c r="AP107" s="74">
        <f>Inputs!$B$118</f>
        <v>50</v>
      </c>
      <c r="AQ107" s="74">
        <f>Inputs!$B$118</f>
        <v>50</v>
      </c>
      <c r="AR107" s="74">
        <f>Inputs!$B$118</f>
        <v>50</v>
      </c>
      <c r="AS107" s="74">
        <f>Inputs!$B$118</f>
        <v>50</v>
      </c>
      <c r="AT107" s="74">
        <f>Inputs!$B$118</f>
        <v>50</v>
      </c>
      <c r="AU107" s="74">
        <f>Inputs!$B$118</f>
        <v>50</v>
      </c>
      <c r="AV107" s="74">
        <f>Inputs!$B$118</f>
        <v>50</v>
      </c>
      <c r="AW107" s="74">
        <f>Inputs!$B$118</f>
        <v>50</v>
      </c>
      <c r="AX107" s="74">
        <f>Inputs!$B$118</f>
        <v>50</v>
      </c>
      <c r="AY107" s="74">
        <f>Inputs!$B$118</f>
        <v>50</v>
      </c>
      <c r="AZ107" s="74">
        <f>Inputs!$B$118</f>
        <v>50</v>
      </c>
      <c r="BA107" s="74">
        <f>Inputs!$B$118</f>
        <v>50</v>
      </c>
    </row>
    <row r="108" ht="14.25" customHeight="1">
      <c r="A108" s="2" t="s">
        <v>563</v>
      </c>
      <c r="B108" s="72">
        <f t="shared" ref="B108:BA108" si="7">SUM(B104:B107)</f>
        <v>591.6666667</v>
      </c>
      <c r="C108" s="72">
        <f t="shared" si="7"/>
        <v>591.6666667</v>
      </c>
      <c r="D108" s="72">
        <f t="shared" si="7"/>
        <v>591.6666667</v>
      </c>
      <c r="E108" s="72">
        <f t="shared" si="7"/>
        <v>591.6666667</v>
      </c>
      <c r="F108" s="72">
        <f t="shared" si="7"/>
        <v>591.6666667</v>
      </c>
      <c r="G108" s="72">
        <f t="shared" si="7"/>
        <v>591.6666667</v>
      </c>
      <c r="H108" s="72">
        <f t="shared" si="7"/>
        <v>591.6666667</v>
      </c>
      <c r="I108" s="72">
        <f t="shared" si="7"/>
        <v>591.6666667</v>
      </c>
      <c r="J108" s="72">
        <f t="shared" si="7"/>
        <v>591.6666667</v>
      </c>
      <c r="K108" s="72">
        <f t="shared" si="7"/>
        <v>591.6666667</v>
      </c>
      <c r="L108" s="72">
        <f t="shared" si="7"/>
        <v>591.6666667</v>
      </c>
      <c r="M108" s="72">
        <f t="shared" si="7"/>
        <v>591.6666667</v>
      </c>
      <c r="N108" s="72">
        <f t="shared" si="7"/>
        <v>591.6666667</v>
      </c>
      <c r="O108" s="72">
        <f t="shared" si="7"/>
        <v>591.6666667</v>
      </c>
      <c r="P108" s="72">
        <f t="shared" si="7"/>
        <v>591.6666667</v>
      </c>
      <c r="Q108" s="72">
        <f t="shared" si="7"/>
        <v>591.6666667</v>
      </c>
      <c r="R108" s="72">
        <f t="shared" si="7"/>
        <v>591.6666667</v>
      </c>
      <c r="S108" s="72">
        <f t="shared" si="7"/>
        <v>591.6666667</v>
      </c>
      <c r="T108" s="72">
        <f t="shared" si="7"/>
        <v>591.6666667</v>
      </c>
      <c r="U108" s="72">
        <f t="shared" si="7"/>
        <v>591.6666667</v>
      </c>
      <c r="V108" s="72">
        <f t="shared" si="7"/>
        <v>591.6666667</v>
      </c>
      <c r="W108" s="72">
        <f t="shared" si="7"/>
        <v>591.6666667</v>
      </c>
      <c r="X108" s="72">
        <f t="shared" si="7"/>
        <v>591.6666667</v>
      </c>
      <c r="Y108" s="72">
        <f t="shared" si="7"/>
        <v>591.6666667</v>
      </c>
      <c r="Z108" s="72">
        <f t="shared" si="7"/>
        <v>591.6666667</v>
      </c>
      <c r="AA108" s="72">
        <f t="shared" si="7"/>
        <v>591.6666667</v>
      </c>
      <c r="AB108" s="72">
        <f t="shared" si="7"/>
        <v>591.6666667</v>
      </c>
      <c r="AC108" s="72">
        <f t="shared" si="7"/>
        <v>591.6666667</v>
      </c>
      <c r="AD108" s="72">
        <f t="shared" si="7"/>
        <v>591.6666667</v>
      </c>
      <c r="AE108" s="72">
        <f t="shared" si="7"/>
        <v>591.6666667</v>
      </c>
      <c r="AF108" s="72">
        <f t="shared" si="7"/>
        <v>591.6666667</v>
      </c>
      <c r="AG108" s="72">
        <f t="shared" si="7"/>
        <v>591.6666667</v>
      </c>
      <c r="AH108" s="72">
        <f t="shared" si="7"/>
        <v>591.6666667</v>
      </c>
      <c r="AI108" s="72">
        <f t="shared" si="7"/>
        <v>591.6666667</v>
      </c>
      <c r="AJ108" s="72">
        <f t="shared" si="7"/>
        <v>591.6666667</v>
      </c>
      <c r="AK108" s="72">
        <f t="shared" si="7"/>
        <v>591.6666667</v>
      </c>
      <c r="AL108" s="72">
        <f t="shared" si="7"/>
        <v>591.6666667</v>
      </c>
      <c r="AM108" s="72">
        <f t="shared" si="7"/>
        <v>591.6666667</v>
      </c>
      <c r="AN108" s="72">
        <f t="shared" si="7"/>
        <v>591.6666667</v>
      </c>
      <c r="AO108" s="72">
        <f t="shared" si="7"/>
        <v>591.6666667</v>
      </c>
      <c r="AP108" s="72">
        <f t="shared" si="7"/>
        <v>591.6666667</v>
      </c>
      <c r="AQ108" s="72">
        <f t="shared" si="7"/>
        <v>591.6666667</v>
      </c>
      <c r="AR108" s="72">
        <f t="shared" si="7"/>
        <v>591.6666667</v>
      </c>
      <c r="AS108" s="72">
        <f t="shared" si="7"/>
        <v>591.6666667</v>
      </c>
      <c r="AT108" s="72">
        <f t="shared" si="7"/>
        <v>591.6666667</v>
      </c>
      <c r="AU108" s="72">
        <f t="shared" si="7"/>
        <v>591.6666667</v>
      </c>
      <c r="AV108" s="72">
        <f t="shared" si="7"/>
        <v>591.6666667</v>
      </c>
      <c r="AW108" s="72">
        <f t="shared" si="7"/>
        <v>591.6666667</v>
      </c>
      <c r="AX108" s="72">
        <f t="shared" si="7"/>
        <v>591.6666667</v>
      </c>
      <c r="AY108" s="72">
        <f t="shared" si="7"/>
        <v>591.6666667</v>
      </c>
      <c r="AZ108" s="72">
        <f t="shared" si="7"/>
        <v>591.6666667</v>
      </c>
      <c r="BA108" s="72">
        <f t="shared" si="7"/>
        <v>591.6666667</v>
      </c>
    </row>
    <row r="109" ht="14.25" customHeight="1"/>
    <row r="110" ht="14.25" customHeight="1">
      <c r="A110" s="2" t="s">
        <v>564</v>
      </c>
    </row>
    <row r="111" ht="14.25" customHeight="1">
      <c r="A111" s="3" t="s">
        <v>565</v>
      </c>
      <c r="B111" s="74">
        <f>Inputs!$B$122*(1+Inputs!$B$123)^(1-1)</f>
        <v>500</v>
      </c>
      <c r="C111" s="74">
        <f>Inputs!$B$122*(1+Inputs!$B$123)^(2-1)</f>
        <v>525</v>
      </c>
      <c r="D111" s="74">
        <f>Inputs!$B$122*(1+Inputs!$B$123)^(3-1)</f>
        <v>551.25</v>
      </c>
      <c r="E111" s="74">
        <f>Inputs!$B$122*(1+Inputs!$B$123)^(4-1)</f>
        <v>578.8125</v>
      </c>
      <c r="F111" s="74">
        <f>Inputs!$B$122*(1+Inputs!$B$123)^(5-1)</f>
        <v>607.753125</v>
      </c>
      <c r="G111" s="74">
        <f>Inputs!$B$122*(1+Inputs!$B$123)^(6-1)</f>
        <v>638.1407813</v>
      </c>
      <c r="H111" s="74">
        <f>Inputs!$B$122*(1+Inputs!$B$123)^(7-1)</f>
        <v>670.0478203</v>
      </c>
      <c r="I111" s="74">
        <f>Inputs!$B$122*(1+Inputs!$B$123)^(8-1)</f>
        <v>703.5502113</v>
      </c>
      <c r="J111" s="74">
        <f>Inputs!$B$122*(1+Inputs!$B$123)^(9-1)</f>
        <v>738.7277219</v>
      </c>
      <c r="K111" s="74">
        <f>Inputs!$B$122*(1+Inputs!$B$123)^(10-1)</f>
        <v>775.664108</v>
      </c>
      <c r="L111" s="74">
        <f>Inputs!$B$122*(1+Inputs!$B$123)^(11-1)</f>
        <v>814.4473134</v>
      </c>
      <c r="M111" s="74">
        <f>Inputs!$B$122*(1+Inputs!$B$123)^(12-1)</f>
        <v>855.1696791</v>
      </c>
      <c r="N111" s="74">
        <f>Inputs!$B$122*(1+Inputs!$B$123)^(13-1)</f>
        <v>897.928163</v>
      </c>
      <c r="O111" s="74">
        <f>Inputs!$B$122*(1+Inputs!$B$123)^(14-1)</f>
        <v>942.8245712</v>
      </c>
      <c r="P111" s="74">
        <f>Inputs!$B$122*(1+Inputs!$B$123)^(15-1)</f>
        <v>989.9657997</v>
      </c>
      <c r="Q111" s="74">
        <f>Inputs!$B$122*(1+Inputs!$B$123)^(16-1)</f>
        <v>1039.46409</v>
      </c>
      <c r="R111" s="74">
        <f>Inputs!$B$122*(1+Inputs!$B$123)^(17-1)</f>
        <v>1091.437294</v>
      </c>
      <c r="S111" s="74">
        <f>Inputs!$B$122*(1+Inputs!$B$123)^(18-1)</f>
        <v>1146.009159</v>
      </c>
      <c r="T111" s="74">
        <f>Inputs!$B$122*(1+Inputs!$B$123)^(19-1)</f>
        <v>1203.309617</v>
      </c>
      <c r="U111" s="74">
        <f>Inputs!$B$122*(1+Inputs!$B$123)^(20-1)</f>
        <v>1263.475098</v>
      </c>
      <c r="V111" s="74">
        <f>Inputs!$B$122*(1+Inputs!$B$123)^(21-1)</f>
        <v>1326.648853</v>
      </c>
      <c r="W111" s="74">
        <f>Inputs!$B$122*(1+Inputs!$B$123)^(22-1)</f>
        <v>1392.981295</v>
      </c>
      <c r="X111" s="74">
        <f>Inputs!$B$122*(1+Inputs!$B$123)^(23-1)</f>
        <v>1462.63036</v>
      </c>
      <c r="Y111" s="74">
        <f>Inputs!$B$122*(1+Inputs!$B$123)^(24-1)</f>
        <v>1535.761878</v>
      </c>
      <c r="Z111" s="74">
        <f>Inputs!$B$122*(1+Inputs!$B$123)^(25-1)</f>
        <v>1612.549972</v>
      </c>
      <c r="AA111" s="74">
        <f>Inputs!$B$122*(1+Inputs!$B$123)^(26-1)</f>
        <v>1693.17747</v>
      </c>
      <c r="AB111" s="74">
        <f>Inputs!$B$122*(1+Inputs!$B$123)^(27-1)</f>
        <v>1777.836344</v>
      </c>
      <c r="AC111" s="74">
        <f>Inputs!$B$122*(1+Inputs!$B$123)^(28-1)</f>
        <v>1866.728161</v>
      </c>
      <c r="AD111" s="74">
        <f>Inputs!$B$122*(1+Inputs!$B$123)^(29-1)</f>
        <v>1960.064569</v>
      </c>
      <c r="AE111" s="74">
        <f>Inputs!$B$122*(1+Inputs!$B$123)^(30-1)</f>
        <v>2058.067798</v>
      </c>
      <c r="AF111" s="74">
        <f>Inputs!$B$122*(1+Inputs!$B$123)^(31-1)</f>
        <v>2160.971188</v>
      </c>
      <c r="AG111" s="74">
        <f>Inputs!$B$122*(1+Inputs!$B$123)^(32-1)</f>
        <v>2269.019747</v>
      </c>
      <c r="AH111" s="74">
        <f>Inputs!$B$122*(1+Inputs!$B$123)^(33-1)</f>
        <v>2382.470734</v>
      </c>
      <c r="AI111" s="74">
        <f>Inputs!$B$122*(1+Inputs!$B$123)^(34-1)</f>
        <v>2501.594271</v>
      </c>
      <c r="AJ111" s="74">
        <f>Inputs!$B$122*(1+Inputs!$B$123)^(35-1)</f>
        <v>2626.673985</v>
      </c>
      <c r="AK111" s="74">
        <f>Inputs!$B$122*(1+Inputs!$B$123)^(36-1)</f>
        <v>2758.007684</v>
      </c>
      <c r="AL111" s="74">
        <f>Inputs!$B$122*(1+Inputs!$B$123)^(37-1)</f>
        <v>2895.908068</v>
      </c>
      <c r="AM111" s="74">
        <f>Inputs!$B$122*(1+Inputs!$B$123)^(38-1)</f>
        <v>3040.703471</v>
      </c>
      <c r="AN111" s="74">
        <f>Inputs!$B$122*(1+Inputs!$B$123)^(39-1)</f>
        <v>3192.738645</v>
      </c>
      <c r="AO111" s="74">
        <f>Inputs!$B$122*(1+Inputs!$B$123)^(40-1)</f>
        <v>3352.375577</v>
      </c>
      <c r="AP111" s="74">
        <f>Inputs!$B$122*(1+Inputs!$B$123)^(41-1)</f>
        <v>3519.994356</v>
      </c>
      <c r="AQ111" s="74">
        <f>Inputs!$B$122*(1+Inputs!$B$123)^(42-1)</f>
        <v>3695.994074</v>
      </c>
      <c r="AR111" s="74">
        <f>Inputs!$B$122*(1+Inputs!$B$123)^(43-1)</f>
        <v>3880.793778</v>
      </c>
      <c r="AS111" s="74">
        <f>Inputs!$B$122*(1+Inputs!$B$123)^(44-1)</f>
        <v>4074.833466</v>
      </c>
      <c r="AT111" s="74">
        <f>Inputs!$B$122*(1+Inputs!$B$123)^(45-1)</f>
        <v>4278.57514</v>
      </c>
      <c r="AU111" s="74">
        <f>Inputs!$B$122*(1+Inputs!$B$123)^(46-1)</f>
        <v>4492.503897</v>
      </c>
      <c r="AV111" s="74">
        <f>Inputs!$B$122*(1+Inputs!$B$123)^(47-1)</f>
        <v>4717.129092</v>
      </c>
      <c r="AW111" s="74">
        <f>Inputs!$B$122*(1+Inputs!$B$123)^(48-1)</f>
        <v>4952.985546</v>
      </c>
      <c r="AX111" s="74">
        <f>Inputs!$B$122*(1+Inputs!$B$123)^(49-1)</f>
        <v>5200.634823</v>
      </c>
      <c r="AY111" s="74">
        <f>Inputs!$B$122*(1+Inputs!$B$123)^(50-1)</f>
        <v>5460.666565</v>
      </c>
      <c r="AZ111" s="74">
        <f>Inputs!$B$122*(1+Inputs!$B$123)^(51-1)</f>
        <v>5733.699893</v>
      </c>
      <c r="BA111" s="74">
        <f>Inputs!$B$122*(1+Inputs!$B$123)^(52-1)</f>
        <v>6020.384888</v>
      </c>
    </row>
    <row r="112" ht="14.25" customHeight="1">
      <c r="A112" s="3" t="s">
        <v>340</v>
      </c>
      <c r="B112" s="74">
        <f>Inputs!$B$124</f>
        <v>1500</v>
      </c>
      <c r="C112" s="74">
        <f>Inputs!$B$124</f>
        <v>1500</v>
      </c>
      <c r="D112" s="74">
        <f>Inputs!$B$124</f>
        <v>1500</v>
      </c>
      <c r="E112" s="74">
        <f>Inputs!$B$124</f>
        <v>1500</v>
      </c>
      <c r="F112" s="74">
        <f>Inputs!$B$124</f>
        <v>1500</v>
      </c>
      <c r="G112" s="74">
        <f>Inputs!$B$124</f>
        <v>1500</v>
      </c>
      <c r="H112" s="74">
        <f>Inputs!$B$124</f>
        <v>1500</v>
      </c>
      <c r="I112" s="74">
        <f>Inputs!$B$124</f>
        <v>1500</v>
      </c>
      <c r="J112" s="74">
        <f>Inputs!$B$124</f>
        <v>1500</v>
      </c>
      <c r="K112" s="74">
        <f>Inputs!$B$124</f>
        <v>1500</v>
      </c>
      <c r="L112" s="74">
        <f>Inputs!$B$124</f>
        <v>1500</v>
      </c>
      <c r="M112" s="74">
        <f>Inputs!$B$124</f>
        <v>1500</v>
      </c>
      <c r="N112" s="74">
        <f>Inputs!$B$124</f>
        <v>1500</v>
      </c>
      <c r="O112" s="74">
        <f>Inputs!$B$124</f>
        <v>1500</v>
      </c>
      <c r="P112" s="74">
        <f>Inputs!$B$124</f>
        <v>1500</v>
      </c>
      <c r="Q112" s="74">
        <f>Inputs!$B$124</f>
        <v>1500</v>
      </c>
      <c r="R112" s="74">
        <f>Inputs!$B$124</f>
        <v>1500</v>
      </c>
      <c r="S112" s="74">
        <f>Inputs!$B$124</f>
        <v>1500</v>
      </c>
      <c r="T112" s="74">
        <f>Inputs!$B$124</f>
        <v>1500</v>
      </c>
      <c r="U112" s="74">
        <f>Inputs!$B$124</f>
        <v>1500</v>
      </c>
      <c r="V112" s="74">
        <f>Inputs!$B$124</f>
        <v>1500</v>
      </c>
      <c r="W112" s="74">
        <f>Inputs!$B$124</f>
        <v>1500</v>
      </c>
      <c r="X112" s="74">
        <f>Inputs!$B$124</f>
        <v>1500</v>
      </c>
      <c r="Y112" s="74">
        <f>Inputs!$B$124</f>
        <v>1500</v>
      </c>
      <c r="Z112" s="74">
        <f>Inputs!$B$124</f>
        <v>1500</v>
      </c>
      <c r="AA112" s="74">
        <f>Inputs!$B$124</f>
        <v>1500</v>
      </c>
      <c r="AB112" s="74">
        <f>Inputs!$B$124</f>
        <v>1500</v>
      </c>
      <c r="AC112" s="74">
        <f>Inputs!$B$124</f>
        <v>1500</v>
      </c>
      <c r="AD112" s="74">
        <f>Inputs!$B$124</f>
        <v>1500</v>
      </c>
      <c r="AE112" s="74">
        <f>Inputs!$B$124</f>
        <v>1500</v>
      </c>
      <c r="AF112" s="74">
        <f>Inputs!$B$124</f>
        <v>1500</v>
      </c>
      <c r="AG112" s="74">
        <f>Inputs!$B$124</f>
        <v>1500</v>
      </c>
      <c r="AH112" s="74">
        <f>Inputs!$B$124</f>
        <v>1500</v>
      </c>
      <c r="AI112" s="74">
        <f>Inputs!$B$124</f>
        <v>1500</v>
      </c>
      <c r="AJ112" s="74">
        <f>Inputs!$B$124</f>
        <v>1500</v>
      </c>
      <c r="AK112" s="74">
        <f>Inputs!$B$124</f>
        <v>1500</v>
      </c>
      <c r="AL112" s="74">
        <f>Inputs!$B$124</f>
        <v>1500</v>
      </c>
      <c r="AM112" s="74">
        <f>Inputs!$B$124</f>
        <v>1500</v>
      </c>
      <c r="AN112" s="74">
        <f>Inputs!$B$124</f>
        <v>1500</v>
      </c>
      <c r="AO112" s="74">
        <f>Inputs!$B$124</f>
        <v>1500</v>
      </c>
      <c r="AP112" s="74">
        <f>Inputs!$B$124</f>
        <v>1500</v>
      </c>
      <c r="AQ112" s="74">
        <f>Inputs!$B$124</f>
        <v>1500</v>
      </c>
      <c r="AR112" s="74">
        <f>Inputs!$B$124</f>
        <v>1500</v>
      </c>
      <c r="AS112" s="74">
        <f>Inputs!$B$124</f>
        <v>1500</v>
      </c>
      <c r="AT112" s="74">
        <f>Inputs!$B$124</f>
        <v>1500</v>
      </c>
      <c r="AU112" s="74">
        <f>Inputs!$B$124</f>
        <v>1500</v>
      </c>
      <c r="AV112" s="74">
        <f>Inputs!$B$124</f>
        <v>1500</v>
      </c>
      <c r="AW112" s="74">
        <f>Inputs!$B$124</f>
        <v>1500</v>
      </c>
      <c r="AX112" s="74">
        <f>Inputs!$B$124</f>
        <v>1500</v>
      </c>
      <c r="AY112" s="74">
        <f>Inputs!$B$124</f>
        <v>1500</v>
      </c>
      <c r="AZ112" s="74">
        <f>Inputs!$B$124</f>
        <v>1500</v>
      </c>
      <c r="BA112" s="74">
        <f>Inputs!$B$124</f>
        <v>1500</v>
      </c>
    </row>
    <row r="113" ht="14.25" customHeight="1">
      <c r="A113" s="3" t="s">
        <v>566</v>
      </c>
      <c r="B113" s="74">
        <f>Inputs!$B$125/12</f>
        <v>2083.333333</v>
      </c>
      <c r="C113" s="74">
        <f>Inputs!$B$125/12</f>
        <v>2083.333333</v>
      </c>
      <c r="D113" s="74">
        <f>Inputs!$B$125/12</f>
        <v>2083.333333</v>
      </c>
      <c r="E113" s="74">
        <f>Inputs!$B$125/12</f>
        <v>2083.333333</v>
      </c>
      <c r="F113" s="74">
        <f>Inputs!$B$125/12</f>
        <v>2083.333333</v>
      </c>
      <c r="G113" s="74">
        <f>Inputs!$B$125/12</f>
        <v>2083.333333</v>
      </c>
      <c r="H113" s="74">
        <f>Inputs!$B$125/12</f>
        <v>2083.333333</v>
      </c>
      <c r="I113" s="74">
        <f>Inputs!$B$125/12</f>
        <v>2083.333333</v>
      </c>
      <c r="J113" s="74">
        <f>Inputs!$B$125/12</f>
        <v>2083.333333</v>
      </c>
      <c r="K113" s="74">
        <f>Inputs!$B$125/12</f>
        <v>2083.333333</v>
      </c>
      <c r="L113" s="74">
        <f>Inputs!$B$125/12</f>
        <v>2083.333333</v>
      </c>
      <c r="M113" s="74">
        <f>Inputs!$B$125/12</f>
        <v>2083.333333</v>
      </c>
      <c r="N113" s="74">
        <f>Inputs!$B$125/12</f>
        <v>2083.333333</v>
      </c>
      <c r="O113" s="74">
        <f>Inputs!$B$125/12</f>
        <v>2083.333333</v>
      </c>
      <c r="P113" s="74">
        <f>Inputs!$B$125/12</f>
        <v>2083.333333</v>
      </c>
      <c r="Q113" s="74">
        <f>Inputs!$B$125/12</f>
        <v>2083.333333</v>
      </c>
      <c r="R113" s="74">
        <f>Inputs!$B$125/12</f>
        <v>2083.333333</v>
      </c>
      <c r="S113" s="74">
        <f>Inputs!$B$125/12</f>
        <v>2083.333333</v>
      </c>
      <c r="T113" s="74">
        <f>Inputs!$B$125/12</f>
        <v>2083.333333</v>
      </c>
      <c r="U113" s="74">
        <f>Inputs!$B$125/12</f>
        <v>2083.333333</v>
      </c>
      <c r="V113" s="74">
        <f>Inputs!$B$125/12</f>
        <v>2083.333333</v>
      </c>
      <c r="W113" s="74">
        <f>Inputs!$B$125/12</f>
        <v>2083.333333</v>
      </c>
      <c r="X113" s="74">
        <f>Inputs!$B$125/12</f>
        <v>2083.333333</v>
      </c>
      <c r="Y113" s="74">
        <f>Inputs!$B$125/12</f>
        <v>2083.333333</v>
      </c>
      <c r="Z113" s="74">
        <f>Inputs!$B$125/12</f>
        <v>2083.333333</v>
      </c>
      <c r="AA113" s="74">
        <f>Inputs!$B$125/12</f>
        <v>2083.333333</v>
      </c>
      <c r="AB113" s="74">
        <f>Inputs!$B$125/12</f>
        <v>2083.333333</v>
      </c>
      <c r="AC113" s="74">
        <f>Inputs!$B$125/12</f>
        <v>2083.333333</v>
      </c>
      <c r="AD113" s="74">
        <f>Inputs!$B$125/12</f>
        <v>2083.333333</v>
      </c>
      <c r="AE113" s="74">
        <f>Inputs!$B$125/12</f>
        <v>2083.333333</v>
      </c>
      <c r="AF113" s="74">
        <f>Inputs!$B$125/12</f>
        <v>2083.333333</v>
      </c>
      <c r="AG113" s="74">
        <f>Inputs!$B$125/12</f>
        <v>2083.333333</v>
      </c>
      <c r="AH113" s="74">
        <f>Inputs!$B$125/12</f>
        <v>2083.333333</v>
      </c>
      <c r="AI113" s="74">
        <f>Inputs!$B$125/12</f>
        <v>2083.333333</v>
      </c>
      <c r="AJ113" s="74">
        <f>Inputs!$B$125/12</f>
        <v>2083.333333</v>
      </c>
      <c r="AK113" s="74">
        <f>Inputs!$B$125/12</f>
        <v>2083.333333</v>
      </c>
      <c r="AL113" s="74">
        <f>Inputs!$B$125/12</f>
        <v>2083.333333</v>
      </c>
      <c r="AM113" s="74">
        <f>Inputs!$B$125/12</f>
        <v>2083.333333</v>
      </c>
      <c r="AN113" s="74">
        <f>Inputs!$B$125/12</f>
        <v>2083.333333</v>
      </c>
      <c r="AO113" s="74">
        <f>Inputs!$B$125/12</f>
        <v>2083.333333</v>
      </c>
      <c r="AP113" s="74">
        <f>Inputs!$B$125/12</f>
        <v>2083.333333</v>
      </c>
      <c r="AQ113" s="74">
        <f>Inputs!$B$125/12</f>
        <v>2083.333333</v>
      </c>
      <c r="AR113" s="74">
        <f>Inputs!$B$125/12</f>
        <v>2083.333333</v>
      </c>
      <c r="AS113" s="74">
        <f>Inputs!$B$125/12</f>
        <v>2083.333333</v>
      </c>
      <c r="AT113" s="74">
        <f>Inputs!$B$125/12</f>
        <v>2083.333333</v>
      </c>
      <c r="AU113" s="74">
        <f>Inputs!$B$125/12</f>
        <v>2083.333333</v>
      </c>
      <c r="AV113" s="74">
        <f>Inputs!$B$125/12</f>
        <v>2083.333333</v>
      </c>
      <c r="AW113" s="74">
        <f>Inputs!$B$125/12</f>
        <v>2083.333333</v>
      </c>
      <c r="AX113" s="74">
        <f>Inputs!$B$125/12</f>
        <v>2083.333333</v>
      </c>
      <c r="AY113" s="74">
        <f>Inputs!$B$125/12</f>
        <v>2083.333333</v>
      </c>
      <c r="AZ113" s="74">
        <f>Inputs!$B$125/12</f>
        <v>2083.333333</v>
      </c>
      <c r="BA113" s="74">
        <f>Inputs!$B$125/12</f>
        <v>2083.333333</v>
      </c>
    </row>
    <row r="114" ht="14.25" customHeight="1">
      <c r="A114" s="3" t="s">
        <v>344</v>
      </c>
      <c r="B114" s="74">
        <f>Inputs!$B$126</f>
        <v>300</v>
      </c>
      <c r="C114" s="74">
        <f>Inputs!$B$126</f>
        <v>300</v>
      </c>
      <c r="D114" s="74">
        <f>Inputs!$B$126</f>
        <v>300</v>
      </c>
      <c r="E114" s="74">
        <f>Inputs!$B$126</f>
        <v>300</v>
      </c>
      <c r="F114" s="74">
        <f>Inputs!$B$126</f>
        <v>300</v>
      </c>
      <c r="G114" s="74">
        <f>Inputs!$B$126</f>
        <v>300</v>
      </c>
      <c r="H114" s="74">
        <f>Inputs!$B$126</f>
        <v>300</v>
      </c>
      <c r="I114" s="74">
        <f>Inputs!$B$126</f>
        <v>300</v>
      </c>
      <c r="J114" s="74">
        <f>Inputs!$B$126</f>
        <v>300</v>
      </c>
      <c r="K114" s="74">
        <f>Inputs!$B$126</f>
        <v>300</v>
      </c>
      <c r="L114" s="74">
        <f>Inputs!$B$126</f>
        <v>300</v>
      </c>
      <c r="M114" s="74">
        <f>Inputs!$B$126</f>
        <v>300</v>
      </c>
      <c r="N114" s="74">
        <f>Inputs!$B$126</f>
        <v>300</v>
      </c>
      <c r="O114" s="74">
        <f>Inputs!$B$126</f>
        <v>300</v>
      </c>
      <c r="P114" s="74">
        <f>Inputs!$B$126</f>
        <v>300</v>
      </c>
      <c r="Q114" s="74">
        <f>Inputs!$B$126</f>
        <v>300</v>
      </c>
      <c r="R114" s="74">
        <f>Inputs!$B$126</f>
        <v>300</v>
      </c>
      <c r="S114" s="74">
        <f>Inputs!$B$126</f>
        <v>300</v>
      </c>
      <c r="T114" s="74">
        <f>Inputs!$B$126</f>
        <v>300</v>
      </c>
      <c r="U114" s="74">
        <f>Inputs!$B$126</f>
        <v>300</v>
      </c>
      <c r="V114" s="74">
        <f>Inputs!$B$126</f>
        <v>300</v>
      </c>
      <c r="W114" s="74">
        <f>Inputs!$B$126</f>
        <v>300</v>
      </c>
      <c r="X114" s="74">
        <f>Inputs!$B$126</f>
        <v>300</v>
      </c>
      <c r="Y114" s="74">
        <f>Inputs!$B$126</f>
        <v>300</v>
      </c>
      <c r="Z114" s="74">
        <f>Inputs!$B$126</f>
        <v>300</v>
      </c>
      <c r="AA114" s="74">
        <f>Inputs!$B$126</f>
        <v>300</v>
      </c>
      <c r="AB114" s="74">
        <f>Inputs!$B$126</f>
        <v>300</v>
      </c>
      <c r="AC114" s="74">
        <f>Inputs!$B$126</f>
        <v>300</v>
      </c>
      <c r="AD114" s="74">
        <f>Inputs!$B$126</f>
        <v>300</v>
      </c>
      <c r="AE114" s="74">
        <f>Inputs!$B$126</f>
        <v>300</v>
      </c>
      <c r="AF114" s="74">
        <f>Inputs!$B$126</f>
        <v>300</v>
      </c>
      <c r="AG114" s="74">
        <f>Inputs!$B$126</f>
        <v>300</v>
      </c>
      <c r="AH114" s="74">
        <f>Inputs!$B$126</f>
        <v>300</v>
      </c>
      <c r="AI114" s="74">
        <f>Inputs!$B$126</f>
        <v>300</v>
      </c>
      <c r="AJ114" s="74">
        <f>Inputs!$B$126</f>
        <v>300</v>
      </c>
      <c r="AK114" s="74">
        <f>Inputs!$B$126</f>
        <v>300</v>
      </c>
      <c r="AL114" s="74">
        <f>Inputs!$B$126</f>
        <v>300</v>
      </c>
      <c r="AM114" s="74">
        <f>Inputs!$B$126</f>
        <v>300</v>
      </c>
      <c r="AN114" s="74">
        <f>Inputs!$B$126</f>
        <v>300</v>
      </c>
      <c r="AO114" s="74">
        <f>Inputs!$B$126</f>
        <v>300</v>
      </c>
      <c r="AP114" s="74">
        <f>Inputs!$B$126</f>
        <v>300</v>
      </c>
      <c r="AQ114" s="74">
        <f>Inputs!$B$126</f>
        <v>300</v>
      </c>
      <c r="AR114" s="74">
        <f>Inputs!$B$126</f>
        <v>300</v>
      </c>
      <c r="AS114" s="74">
        <f>Inputs!$B$126</f>
        <v>300</v>
      </c>
      <c r="AT114" s="74">
        <f>Inputs!$B$126</f>
        <v>300</v>
      </c>
      <c r="AU114" s="74">
        <f>Inputs!$B$126</f>
        <v>300</v>
      </c>
      <c r="AV114" s="74">
        <f>Inputs!$B$126</f>
        <v>300</v>
      </c>
      <c r="AW114" s="74">
        <f>Inputs!$B$126</f>
        <v>300</v>
      </c>
      <c r="AX114" s="74">
        <f>Inputs!$B$126</f>
        <v>300</v>
      </c>
      <c r="AY114" s="74">
        <f>Inputs!$B$126</f>
        <v>300</v>
      </c>
      <c r="AZ114" s="74">
        <f>Inputs!$B$126</f>
        <v>300</v>
      </c>
      <c r="BA114" s="74">
        <f>Inputs!$B$126</f>
        <v>300</v>
      </c>
    </row>
    <row r="115" ht="14.25" customHeight="1">
      <c r="A115" s="3" t="s">
        <v>567</v>
      </c>
      <c r="B115" s="71">
        <f>Revenue!B23/12*Inputs!$B$127</f>
        <v>0</v>
      </c>
      <c r="C115" s="71">
        <f>Revenue!C23/12*Inputs!$B$127</f>
        <v>0</v>
      </c>
      <c r="D115" s="71">
        <f>Revenue!D23/12*Inputs!$B$127</f>
        <v>0</v>
      </c>
      <c r="E115" s="71">
        <f>Revenue!E23/12*Inputs!$B$127</f>
        <v>0</v>
      </c>
      <c r="F115" s="71">
        <f>Revenue!F23/12*Inputs!$B$127</f>
        <v>0</v>
      </c>
      <c r="G115" s="71">
        <f>Revenue!G23/12*Inputs!$B$127</f>
        <v>0</v>
      </c>
      <c r="H115" s="71">
        <f>Revenue!H23/12*Inputs!$B$127</f>
        <v>0</v>
      </c>
      <c r="I115" s="71">
        <f>Revenue!I23/12*Inputs!$B$127</f>
        <v>0</v>
      </c>
      <c r="J115" s="71">
        <f>Revenue!J23/12*Inputs!$B$127</f>
        <v>0</v>
      </c>
      <c r="K115" s="71">
        <f>Revenue!K23/12*Inputs!$B$127</f>
        <v>0</v>
      </c>
      <c r="L115" s="71">
        <f>Revenue!L23/12*Inputs!$B$127</f>
        <v>0</v>
      </c>
      <c r="M115" s="71">
        <f>Revenue!M23/12*Inputs!$B$127</f>
        <v>0</v>
      </c>
      <c r="N115" s="71">
        <f>Revenue!N23/12*Inputs!$B$127</f>
        <v>0</v>
      </c>
      <c r="O115" s="71">
        <f>Revenue!O23/12*Inputs!$B$127</f>
        <v>432</v>
      </c>
      <c r="P115" s="71">
        <f>Revenue!P23/12*Inputs!$B$127</f>
        <v>0</v>
      </c>
      <c r="Q115" s="71">
        <f>Revenue!Q23/12*Inputs!$B$127</f>
        <v>0</v>
      </c>
      <c r="R115" s="71">
        <f>Revenue!R23/12*Inputs!$B$127</f>
        <v>0</v>
      </c>
      <c r="S115" s="71">
        <f>Revenue!S23/12*Inputs!$B$127</f>
        <v>0</v>
      </c>
      <c r="T115" s="71">
        <f>Revenue!T23/12*Inputs!$B$127</f>
        <v>0</v>
      </c>
      <c r="U115" s="71">
        <f>Revenue!U23/12*Inputs!$B$127</f>
        <v>0</v>
      </c>
      <c r="V115" s="71">
        <f>Revenue!V23/12*Inputs!$B$127</f>
        <v>0</v>
      </c>
      <c r="W115" s="71">
        <f>Revenue!W23/12*Inputs!$B$127</f>
        <v>0</v>
      </c>
      <c r="X115" s="71">
        <f>Revenue!X23/12*Inputs!$B$127</f>
        <v>0</v>
      </c>
      <c r="Y115" s="71">
        <f>Revenue!Y23/12*Inputs!$B$127</f>
        <v>1350</v>
      </c>
      <c r="Z115" s="71">
        <f>Revenue!Z23/12*Inputs!$B$127</f>
        <v>0</v>
      </c>
      <c r="AA115" s="71">
        <f>Revenue!AA23/12*Inputs!$B$127</f>
        <v>0</v>
      </c>
      <c r="AB115" s="71">
        <f>Revenue!AB23/12*Inputs!$B$127</f>
        <v>1458</v>
      </c>
      <c r="AC115" s="71">
        <f>Revenue!AC23/12*Inputs!$B$127</f>
        <v>0</v>
      </c>
      <c r="AD115" s="71">
        <f>Revenue!AD23/12*Inputs!$B$127</f>
        <v>0</v>
      </c>
      <c r="AE115" s="71">
        <f>Revenue!AE23/12*Inputs!$B$127</f>
        <v>1458</v>
      </c>
      <c r="AF115" s="71">
        <f>Revenue!AF23/12*Inputs!$B$127</f>
        <v>0</v>
      </c>
      <c r="AG115" s="71">
        <f>Revenue!AG23/12*Inputs!$B$127</f>
        <v>0</v>
      </c>
      <c r="AH115" s="71">
        <f>Revenue!AH23/12*Inputs!$B$127</f>
        <v>1458</v>
      </c>
      <c r="AI115" s="71">
        <f>Revenue!AI23/12*Inputs!$B$127</f>
        <v>0</v>
      </c>
      <c r="AJ115" s="71">
        <f>Revenue!AJ23/12*Inputs!$B$127</f>
        <v>0</v>
      </c>
      <c r="AK115" s="71">
        <f>Revenue!AK23/12*Inputs!$B$127</f>
        <v>1458</v>
      </c>
      <c r="AL115" s="71">
        <f>Revenue!AL23/12*Inputs!$B$127</f>
        <v>0</v>
      </c>
      <c r="AM115" s="71">
        <f>Revenue!AM23/12*Inputs!$B$127</f>
        <v>0</v>
      </c>
      <c r="AN115" s="71">
        <f>Revenue!AN23/12*Inputs!$B$127</f>
        <v>1574.64</v>
      </c>
      <c r="AO115" s="71">
        <f>Revenue!AO23/12*Inputs!$B$127</f>
        <v>0</v>
      </c>
      <c r="AP115" s="71">
        <f>Revenue!AP23/12*Inputs!$B$127</f>
        <v>0</v>
      </c>
      <c r="AQ115" s="71">
        <f>Revenue!AQ23/12*Inputs!$B$127</f>
        <v>1574.64</v>
      </c>
      <c r="AR115" s="71">
        <f>Revenue!AR23/12*Inputs!$B$127</f>
        <v>0</v>
      </c>
      <c r="AS115" s="71">
        <f>Revenue!AS23/12*Inputs!$B$127</f>
        <v>0</v>
      </c>
      <c r="AT115" s="71">
        <f>Revenue!AT23/12*Inputs!$B$127</f>
        <v>1574.64</v>
      </c>
      <c r="AU115" s="71">
        <f>Revenue!AU23/12*Inputs!$B$127</f>
        <v>0</v>
      </c>
      <c r="AV115" s="71">
        <f>Revenue!AV23/12*Inputs!$B$127</f>
        <v>0</v>
      </c>
      <c r="AW115" s="71">
        <f>Revenue!AW23/12*Inputs!$B$127</f>
        <v>1574.64</v>
      </c>
      <c r="AX115" s="71">
        <f>Revenue!AX23/12*Inputs!$B$127</f>
        <v>0</v>
      </c>
      <c r="AY115" s="71">
        <f>Revenue!AY23/12*Inputs!$B$127</f>
        <v>0</v>
      </c>
      <c r="AZ115" s="71">
        <f>Revenue!AZ23/12*Inputs!$B$127</f>
        <v>1700.6112</v>
      </c>
      <c r="BA115" s="71">
        <f>Revenue!BA23/12*Inputs!$B$127</f>
        <v>0</v>
      </c>
    </row>
    <row r="116" ht="14.25" customHeight="1">
      <c r="A116" s="3" t="s">
        <v>568</v>
      </c>
      <c r="B116" s="74">
        <f>(B11+B12+B21+B28+B35)*Inputs!$B$128</f>
        <v>0</v>
      </c>
      <c r="C116" s="74">
        <f>(C11+C12+C21+C28+C35)*Inputs!$B$128</f>
        <v>0</v>
      </c>
      <c r="D116" s="74">
        <f>(D11+D12+D21+D28+D35)*Inputs!$B$128</f>
        <v>0</v>
      </c>
      <c r="E116" s="74">
        <f>(E11+E12+E21+E28+E35)*Inputs!$B$128</f>
        <v>0</v>
      </c>
      <c r="F116" s="74">
        <f>(F11+F12+F21+F28+F35)*Inputs!$B$128</f>
        <v>0</v>
      </c>
      <c r="G116" s="74">
        <f>(G11+G12+G21+G28+G35)*Inputs!$B$128</f>
        <v>0</v>
      </c>
      <c r="H116" s="74">
        <f>(H11+H12+H21+H28+H35)*Inputs!$B$128</f>
        <v>0</v>
      </c>
      <c r="I116" s="74">
        <f>(I11+I12+I21+I28+I35)*Inputs!$B$128</f>
        <v>0</v>
      </c>
      <c r="J116" s="74">
        <f>(J11+J12+J21+J28+J35)*Inputs!$B$128</f>
        <v>0</v>
      </c>
      <c r="K116" s="74">
        <f>(K11+K12+K21+K28+K35)*Inputs!$B$128</f>
        <v>0</v>
      </c>
      <c r="L116" s="74">
        <f>(L11+L12+L21+L28+L35)*Inputs!$B$128</f>
        <v>0</v>
      </c>
      <c r="M116" s="74">
        <f>(M11+M12+M21+M28+M35)*Inputs!$B$128</f>
        <v>0</v>
      </c>
      <c r="N116" s="74">
        <f>(N11+N12+N21+N28+N35)*Inputs!$B$128</f>
        <v>0</v>
      </c>
      <c r="O116" s="74">
        <f>(O11+O12+O21+O28+O35)*Inputs!$B$128</f>
        <v>0</v>
      </c>
      <c r="P116" s="74">
        <f>(P11+P12+P21+P28+P35)*Inputs!$B$128</f>
        <v>0</v>
      </c>
      <c r="Q116" s="74">
        <f>(Q11+Q12+Q21+Q28+Q35)*Inputs!$B$128</f>
        <v>0</v>
      </c>
      <c r="R116" s="74">
        <f>(R11+R12+R21+R28+R35)*Inputs!$B$128</f>
        <v>0</v>
      </c>
      <c r="S116" s="74">
        <f>(S11+S12+S21+S28+S35)*Inputs!$B$128</f>
        <v>500</v>
      </c>
      <c r="T116" s="74">
        <f>(T11+T12+T21+T28+T35)*Inputs!$B$128</f>
        <v>500</v>
      </c>
      <c r="U116" s="74">
        <f>(U11+U12+U21+U28+U35)*Inputs!$B$128</f>
        <v>500</v>
      </c>
      <c r="V116" s="74">
        <f>(V11+V12+V21+V28+V35)*Inputs!$B$128</f>
        <v>500</v>
      </c>
      <c r="W116" s="74">
        <f>(W11+W12+W21+W28+W35)*Inputs!$B$128</f>
        <v>500</v>
      </c>
      <c r="X116" s="74">
        <f>(X11+X12+X21+X28+X35)*Inputs!$B$128</f>
        <v>500</v>
      </c>
      <c r="Y116" s="74">
        <f>(Y11+Y12+Y21+Y28+Y35)*Inputs!$B$128</f>
        <v>500</v>
      </c>
      <c r="Z116" s="74">
        <f>(Z11+Z12+Z21+Z28+Z35)*Inputs!$B$128</f>
        <v>500</v>
      </c>
      <c r="AA116" s="74">
        <f>(AA11+AA12+AA21+AA28+AA35)*Inputs!$B$128</f>
        <v>500</v>
      </c>
      <c r="AB116" s="74">
        <f>(AB11+AB12+AB21+AB28+AB35)*Inputs!$B$128</f>
        <v>500</v>
      </c>
      <c r="AC116" s="74">
        <f>(AC11+AC12+AC21+AC28+AC35)*Inputs!$B$128</f>
        <v>500</v>
      </c>
      <c r="AD116" s="74">
        <f>(AD11+AD12+AD21+AD28+AD35)*Inputs!$B$128</f>
        <v>500</v>
      </c>
      <c r="AE116" s="74">
        <f>(AE11+AE12+AE21+AE28+AE35)*Inputs!$B$128</f>
        <v>500</v>
      </c>
      <c r="AF116" s="74">
        <f>(AF11+AF12+AF21+AF28+AF35)*Inputs!$B$128</f>
        <v>500</v>
      </c>
      <c r="AG116" s="74">
        <f>(AG11+AG12+AG21+AG28+AG35)*Inputs!$B$128</f>
        <v>500</v>
      </c>
      <c r="AH116" s="74">
        <f>(AH11+AH12+AH21+AH28+AH35)*Inputs!$B$128</f>
        <v>500</v>
      </c>
      <c r="AI116" s="74">
        <f>(AI11+AI12+AI21+AI28+AI35)*Inputs!$B$128</f>
        <v>500</v>
      </c>
      <c r="AJ116" s="74">
        <f>(AJ11+AJ12+AJ21+AJ28+AJ35)*Inputs!$B$128</f>
        <v>500</v>
      </c>
      <c r="AK116" s="74">
        <f>(AK11+AK12+AK21+AK28+AK35)*Inputs!$B$128</f>
        <v>1000</v>
      </c>
      <c r="AL116" s="74">
        <f>(AL11+AL12+AL21+AL28+AL35)*Inputs!$B$128</f>
        <v>1000</v>
      </c>
      <c r="AM116" s="74">
        <f>(AM11+AM12+AM21+AM28+AM35)*Inputs!$B$128</f>
        <v>1000</v>
      </c>
      <c r="AN116" s="74">
        <f>(AN11+AN12+AN21+AN28+AN35)*Inputs!$B$128</f>
        <v>1000</v>
      </c>
      <c r="AO116" s="74">
        <f>(AO11+AO12+AO21+AO28+AO35)*Inputs!$B$128</f>
        <v>1000</v>
      </c>
      <c r="AP116" s="74">
        <f>(AP11+AP12+AP21+AP28+AP35)*Inputs!$B$128</f>
        <v>1000</v>
      </c>
      <c r="AQ116" s="74">
        <f>(AQ11+AQ12+AQ21+AQ28+AQ35)*Inputs!$B$128</f>
        <v>1000</v>
      </c>
      <c r="AR116" s="74">
        <f>(AR11+AR12+AR21+AR28+AR35)*Inputs!$B$128</f>
        <v>1000</v>
      </c>
      <c r="AS116" s="74">
        <f>(AS11+AS12+AS21+AS28+AS35)*Inputs!$B$128</f>
        <v>1000</v>
      </c>
      <c r="AT116" s="74">
        <f>(AT11+AT12+AT21+AT28+AT35)*Inputs!$B$128</f>
        <v>1000</v>
      </c>
      <c r="AU116" s="74">
        <f>(AU11+AU12+AU21+AU28+AU35)*Inputs!$B$128</f>
        <v>1000</v>
      </c>
      <c r="AV116" s="74">
        <f>(AV11+AV12+AV21+AV28+AV35)*Inputs!$B$128</f>
        <v>1000</v>
      </c>
      <c r="AW116" s="74">
        <f>(AW11+AW12+AW21+AW28+AW35)*Inputs!$B$128</f>
        <v>1000</v>
      </c>
      <c r="AX116" s="74">
        <f>(AX11+AX12+AX21+AX28+AX35)*Inputs!$B$128</f>
        <v>1000</v>
      </c>
      <c r="AY116" s="74">
        <f>(AY11+AY12+AY21+AY28+AY35)*Inputs!$B$128</f>
        <v>1000</v>
      </c>
      <c r="AZ116" s="74">
        <f>(AZ11+AZ12+AZ21+AZ28+AZ35)*Inputs!$B$128</f>
        <v>1000</v>
      </c>
      <c r="BA116" s="74">
        <f>(BA11+BA12+BA21+BA28+BA35)*Inputs!$B$128</f>
        <v>1000</v>
      </c>
    </row>
    <row r="117" ht="14.25" customHeight="1">
      <c r="A117" s="2" t="s">
        <v>569</v>
      </c>
      <c r="B117" s="72">
        <f t="shared" ref="B117:BA117" si="8">SUM(B111:B116)</f>
        <v>4383.333333</v>
      </c>
      <c r="C117" s="72">
        <f t="shared" si="8"/>
        <v>4408.333333</v>
      </c>
      <c r="D117" s="72">
        <f t="shared" si="8"/>
        <v>4434.583333</v>
      </c>
      <c r="E117" s="72">
        <f t="shared" si="8"/>
        <v>4462.145833</v>
      </c>
      <c r="F117" s="72">
        <f t="shared" si="8"/>
        <v>4491.086458</v>
      </c>
      <c r="G117" s="72">
        <f t="shared" si="8"/>
        <v>4521.474115</v>
      </c>
      <c r="H117" s="72">
        <f t="shared" si="8"/>
        <v>4553.381154</v>
      </c>
      <c r="I117" s="72">
        <f t="shared" si="8"/>
        <v>4586.883545</v>
      </c>
      <c r="J117" s="72">
        <f t="shared" si="8"/>
        <v>4622.061055</v>
      </c>
      <c r="K117" s="72">
        <f t="shared" si="8"/>
        <v>4658.997441</v>
      </c>
      <c r="L117" s="72">
        <f t="shared" si="8"/>
        <v>4697.780647</v>
      </c>
      <c r="M117" s="72">
        <f t="shared" si="8"/>
        <v>4738.503012</v>
      </c>
      <c r="N117" s="72">
        <f t="shared" si="8"/>
        <v>4781.261496</v>
      </c>
      <c r="O117" s="72">
        <f t="shared" si="8"/>
        <v>5258.157904</v>
      </c>
      <c r="P117" s="72">
        <f t="shared" si="8"/>
        <v>4873.299133</v>
      </c>
      <c r="Q117" s="72">
        <f t="shared" si="8"/>
        <v>4922.797423</v>
      </c>
      <c r="R117" s="72">
        <f t="shared" si="8"/>
        <v>4974.770628</v>
      </c>
      <c r="S117" s="72">
        <f t="shared" si="8"/>
        <v>5529.342492</v>
      </c>
      <c r="T117" s="72">
        <f t="shared" si="8"/>
        <v>5586.64295</v>
      </c>
      <c r="U117" s="72">
        <f t="shared" si="8"/>
        <v>5646.808431</v>
      </c>
      <c r="V117" s="72">
        <f t="shared" si="8"/>
        <v>5709.982186</v>
      </c>
      <c r="W117" s="72">
        <f t="shared" si="8"/>
        <v>5776.314629</v>
      </c>
      <c r="X117" s="72">
        <f t="shared" si="8"/>
        <v>5845.963693</v>
      </c>
      <c r="Y117" s="72">
        <f t="shared" si="8"/>
        <v>7269.095211</v>
      </c>
      <c r="Z117" s="72">
        <f t="shared" si="8"/>
        <v>5995.883305</v>
      </c>
      <c r="AA117" s="72">
        <f t="shared" si="8"/>
        <v>6076.510804</v>
      </c>
      <c r="AB117" s="72">
        <f t="shared" si="8"/>
        <v>7619.169677</v>
      </c>
      <c r="AC117" s="72">
        <f t="shared" si="8"/>
        <v>6250.061495</v>
      </c>
      <c r="AD117" s="72">
        <f t="shared" si="8"/>
        <v>6343.397903</v>
      </c>
      <c r="AE117" s="72">
        <f t="shared" si="8"/>
        <v>7899.401131</v>
      </c>
      <c r="AF117" s="72">
        <f t="shared" si="8"/>
        <v>6544.304521</v>
      </c>
      <c r="AG117" s="72">
        <f t="shared" si="8"/>
        <v>6652.35308</v>
      </c>
      <c r="AH117" s="72">
        <f t="shared" si="8"/>
        <v>8223.804068</v>
      </c>
      <c r="AI117" s="72">
        <f t="shared" si="8"/>
        <v>6884.927604</v>
      </c>
      <c r="AJ117" s="72">
        <f t="shared" si="8"/>
        <v>7010.007318</v>
      </c>
      <c r="AK117" s="72">
        <f t="shared" si="8"/>
        <v>9099.341017</v>
      </c>
      <c r="AL117" s="72">
        <f t="shared" si="8"/>
        <v>7779.241401</v>
      </c>
      <c r="AM117" s="72">
        <f t="shared" si="8"/>
        <v>7924.036805</v>
      </c>
      <c r="AN117" s="72">
        <f t="shared" si="8"/>
        <v>9650.711978</v>
      </c>
      <c r="AO117" s="72">
        <f t="shared" si="8"/>
        <v>8235.708911</v>
      </c>
      <c r="AP117" s="72">
        <f t="shared" si="8"/>
        <v>8403.327689</v>
      </c>
      <c r="AQ117" s="72">
        <f t="shared" si="8"/>
        <v>10153.96741</v>
      </c>
      <c r="AR117" s="72">
        <f t="shared" si="8"/>
        <v>8764.127111</v>
      </c>
      <c r="AS117" s="72">
        <f t="shared" si="8"/>
        <v>8958.1668</v>
      </c>
      <c r="AT117" s="72">
        <f t="shared" si="8"/>
        <v>10736.54847</v>
      </c>
      <c r="AU117" s="72">
        <f t="shared" si="8"/>
        <v>9375.83723</v>
      </c>
      <c r="AV117" s="72">
        <f t="shared" si="8"/>
        <v>9600.462425</v>
      </c>
      <c r="AW117" s="72">
        <f t="shared" si="8"/>
        <v>11410.95888</v>
      </c>
      <c r="AX117" s="72">
        <f t="shared" si="8"/>
        <v>10083.96816</v>
      </c>
      <c r="AY117" s="72">
        <f t="shared" si="8"/>
        <v>10343.9999</v>
      </c>
      <c r="AZ117" s="72">
        <f t="shared" si="8"/>
        <v>12317.64443</v>
      </c>
      <c r="BA117" s="72">
        <f t="shared" si="8"/>
        <v>10903.71822</v>
      </c>
    </row>
    <row r="118" ht="14.25" customHeight="1"/>
    <row r="119" ht="14.25" customHeight="1">
      <c r="A119" s="2" t="s">
        <v>350</v>
      </c>
    </row>
    <row r="120" ht="14.25" customHeight="1">
      <c r="A120" s="3" t="s">
        <v>570</v>
      </c>
      <c r="B120" s="74">
        <f>B38*Inputs!$B$131/12</f>
        <v>500</v>
      </c>
      <c r="C120" s="74">
        <f>C38*Inputs!$B$131/12</f>
        <v>500</v>
      </c>
      <c r="D120" s="74">
        <f>D38*Inputs!$B$131/12</f>
        <v>500</v>
      </c>
      <c r="E120" s="74">
        <f>E38*Inputs!$B$131/12</f>
        <v>500</v>
      </c>
      <c r="F120" s="74">
        <f>F38*Inputs!$B$131/12</f>
        <v>500</v>
      </c>
      <c r="G120" s="74">
        <f>G38*Inputs!$B$131/12</f>
        <v>500</v>
      </c>
      <c r="H120" s="74">
        <f>H38*Inputs!$B$131/12</f>
        <v>666.6666667</v>
      </c>
      <c r="I120" s="74">
        <f>I38*Inputs!$B$131/12</f>
        <v>833.3333333</v>
      </c>
      <c r="J120" s="74">
        <f>J38*Inputs!$B$131/12</f>
        <v>1000</v>
      </c>
      <c r="K120" s="74">
        <f>K38*Inputs!$B$131/12</f>
        <v>1166.666667</v>
      </c>
      <c r="L120" s="74">
        <f>L38*Inputs!$B$131/12</f>
        <v>1333.333333</v>
      </c>
      <c r="M120" s="74">
        <f>M38*Inputs!$B$131/12</f>
        <v>1500</v>
      </c>
      <c r="N120" s="74">
        <f>N38*Inputs!$B$131/12</f>
        <v>1666.666667</v>
      </c>
      <c r="O120" s="74">
        <f>O38*Inputs!$B$131/12</f>
        <v>2000</v>
      </c>
      <c r="P120" s="74">
        <f>P38*Inputs!$B$131/12</f>
        <v>2000</v>
      </c>
      <c r="Q120" s="74">
        <f>Q38*Inputs!$B$131/12</f>
        <v>2000</v>
      </c>
      <c r="R120" s="74">
        <f>R38*Inputs!$B$131/12</f>
        <v>2000</v>
      </c>
      <c r="S120" s="74">
        <f>S38*Inputs!$B$131/12</f>
        <v>2500</v>
      </c>
      <c r="T120" s="74">
        <f>T38*Inputs!$B$131/12</f>
        <v>2500</v>
      </c>
      <c r="U120" s="74">
        <f>U38*Inputs!$B$131/12</f>
        <v>2666.666667</v>
      </c>
      <c r="V120" s="74">
        <f>V38*Inputs!$B$131/12</f>
        <v>2666.666667</v>
      </c>
      <c r="W120" s="74">
        <f>W38*Inputs!$B$131/12</f>
        <v>2833.333333</v>
      </c>
      <c r="X120" s="74">
        <f>X38*Inputs!$B$131/12</f>
        <v>2833.333333</v>
      </c>
      <c r="Y120" s="74">
        <f>Y38*Inputs!$B$131/12</f>
        <v>3000</v>
      </c>
      <c r="Z120" s="74">
        <f>Z38*Inputs!$B$131/12</f>
        <v>3000</v>
      </c>
      <c r="AA120" s="74">
        <f>AA38*Inputs!$B$131/12</f>
        <v>3000</v>
      </c>
      <c r="AB120" s="74">
        <f>AB38*Inputs!$B$131/12</f>
        <v>3000</v>
      </c>
      <c r="AC120" s="74">
        <f>AC38*Inputs!$B$131/12</f>
        <v>3166.666667</v>
      </c>
      <c r="AD120" s="74">
        <f>AD38*Inputs!$B$131/12</f>
        <v>3166.666667</v>
      </c>
      <c r="AE120" s="74">
        <f>AE38*Inputs!$B$131/12</f>
        <v>3333.333333</v>
      </c>
      <c r="AF120" s="74">
        <f>AF38*Inputs!$B$131/12</f>
        <v>3333.333333</v>
      </c>
      <c r="AG120" s="74">
        <f>AG38*Inputs!$B$131/12</f>
        <v>3333.333333</v>
      </c>
      <c r="AH120" s="74">
        <f>AH38*Inputs!$B$131/12</f>
        <v>3333.333333</v>
      </c>
      <c r="AI120" s="74">
        <f>AI38*Inputs!$B$131/12</f>
        <v>3333.333333</v>
      </c>
      <c r="AJ120" s="74">
        <f>AJ38*Inputs!$B$131/12</f>
        <v>3333.333333</v>
      </c>
      <c r="AK120" s="74">
        <f>AK38*Inputs!$B$131/12</f>
        <v>3500</v>
      </c>
      <c r="AL120" s="74">
        <f>AL38*Inputs!$B$131/12</f>
        <v>3500</v>
      </c>
      <c r="AM120" s="74">
        <f>AM38*Inputs!$B$131/12</f>
        <v>3500</v>
      </c>
      <c r="AN120" s="74">
        <f>AN38*Inputs!$B$131/12</f>
        <v>3500</v>
      </c>
      <c r="AO120" s="74">
        <f>AO38*Inputs!$B$131/12</f>
        <v>3500</v>
      </c>
      <c r="AP120" s="74">
        <f>AP38*Inputs!$B$131/12</f>
        <v>3500</v>
      </c>
      <c r="AQ120" s="74">
        <f>AQ38*Inputs!$B$131/12</f>
        <v>3500</v>
      </c>
      <c r="AR120" s="74">
        <f>AR38*Inputs!$B$131/12</f>
        <v>3500</v>
      </c>
      <c r="AS120" s="74">
        <f>AS38*Inputs!$B$131/12</f>
        <v>3500</v>
      </c>
      <c r="AT120" s="74">
        <f>AT38*Inputs!$B$131/12</f>
        <v>3500</v>
      </c>
      <c r="AU120" s="74">
        <f>AU38*Inputs!$B$131/12</f>
        <v>3500</v>
      </c>
      <c r="AV120" s="74">
        <f>AV38*Inputs!$B$131/12</f>
        <v>3500</v>
      </c>
      <c r="AW120" s="74">
        <f>AW38*Inputs!$B$131/12</f>
        <v>3500</v>
      </c>
      <c r="AX120" s="74">
        <f>AX38*Inputs!$B$131/12</f>
        <v>3500</v>
      </c>
      <c r="AY120" s="74">
        <f>AY38*Inputs!$B$131/12</f>
        <v>3500</v>
      </c>
      <c r="AZ120" s="74">
        <f>AZ38*Inputs!$B$131/12</f>
        <v>3500</v>
      </c>
      <c r="BA120" s="74">
        <f>BA38*Inputs!$B$131/12</f>
        <v>3500</v>
      </c>
    </row>
    <row r="121" ht="14.25" customHeight="1">
      <c r="A121" s="3" t="s">
        <v>571</v>
      </c>
      <c r="B121" s="74">
        <f>B38*Inputs!$B$132/12</f>
        <v>375</v>
      </c>
      <c r="C121" s="74">
        <f>C38*Inputs!$B$132/12</f>
        <v>375</v>
      </c>
      <c r="D121" s="74">
        <f>D38*Inputs!$B$132/12</f>
        <v>375</v>
      </c>
      <c r="E121" s="74">
        <f>E38*Inputs!$B$132/12</f>
        <v>375</v>
      </c>
      <c r="F121" s="74">
        <f>F38*Inputs!$B$132/12</f>
        <v>375</v>
      </c>
      <c r="G121" s="74">
        <f>G38*Inputs!$B$132/12</f>
        <v>375</v>
      </c>
      <c r="H121" s="74">
        <f>H38*Inputs!$B$132/12</f>
        <v>500</v>
      </c>
      <c r="I121" s="74">
        <f>I38*Inputs!$B$132/12</f>
        <v>625</v>
      </c>
      <c r="J121" s="74">
        <f>J38*Inputs!$B$132/12</f>
        <v>750</v>
      </c>
      <c r="K121" s="74">
        <f>K38*Inputs!$B$132/12</f>
        <v>875</v>
      </c>
      <c r="L121" s="74">
        <f>L38*Inputs!$B$132/12</f>
        <v>1000</v>
      </c>
      <c r="M121" s="74">
        <f>M38*Inputs!$B$132/12</f>
        <v>1125</v>
      </c>
      <c r="N121" s="74">
        <f>N38*Inputs!$B$132/12</f>
        <v>1250</v>
      </c>
      <c r="O121" s="74">
        <f>O38*Inputs!$B$132/12</f>
        <v>1500</v>
      </c>
      <c r="P121" s="74">
        <f>P38*Inputs!$B$132/12</f>
        <v>1500</v>
      </c>
      <c r="Q121" s="74">
        <f>Q38*Inputs!$B$132/12</f>
        <v>1500</v>
      </c>
      <c r="R121" s="74">
        <f>R38*Inputs!$B$132/12</f>
        <v>1500</v>
      </c>
      <c r="S121" s="74">
        <f>S38*Inputs!$B$132/12</f>
        <v>1875</v>
      </c>
      <c r="T121" s="74">
        <f>T38*Inputs!$B$132/12</f>
        <v>1875</v>
      </c>
      <c r="U121" s="74">
        <f>U38*Inputs!$B$132/12</f>
        <v>2000</v>
      </c>
      <c r="V121" s="74">
        <f>V38*Inputs!$B$132/12</f>
        <v>2000</v>
      </c>
      <c r="W121" s="74">
        <f>W38*Inputs!$B$132/12</f>
        <v>2125</v>
      </c>
      <c r="X121" s="74">
        <f>X38*Inputs!$B$132/12</f>
        <v>2125</v>
      </c>
      <c r="Y121" s="74">
        <f>Y38*Inputs!$B$132/12</f>
        <v>2250</v>
      </c>
      <c r="Z121" s="74">
        <f>Z38*Inputs!$B$132/12</f>
        <v>2250</v>
      </c>
      <c r="AA121" s="74">
        <f>AA38*Inputs!$B$132/12</f>
        <v>2250</v>
      </c>
      <c r="AB121" s="74">
        <f>AB38*Inputs!$B$132/12</f>
        <v>2250</v>
      </c>
      <c r="AC121" s="74">
        <f>AC38*Inputs!$B$132/12</f>
        <v>2375</v>
      </c>
      <c r="AD121" s="74">
        <f>AD38*Inputs!$B$132/12</f>
        <v>2375</v>
      </c>
      <c r="AE121" s="74">
        <f>AE38*Inputs!$B$132/12</f>
        <v>2500</v>
      </c>
      <c r="AF121" s="74">
        <f>AF38*Inputs!$B$132/12</f>
        <v>2500</v>
      </c>
      <c r="AG121" s="74">
        <f>AG38*Inputs!$B$132/12</f>
        <v>2500</v>
      </c>
      <c r="AH121" s="74">
        <f>AH38*Inputs!$B$132/12</f>
        <v>2500</v>
      </c>
      <c r="AI121" s="74">
        <f>AI38*Inputs!$B$132/12</f>
        <v>2500</v>
      </c>
      <c r="AJ121" s="74">
        <f>AJ38*Inputs!$B$132/12</f>
        <v>2500</v>
      </c>
      <c r="AK121" s="74">
        <f>AK38*Inputs!$B$132/12</f>
        <v>2625</v>
      </c>
      <c r="AL121" s="74">
        <f>AL38*Inputs!$B$132/12</f>
        <v>2625</v>
      </c>
      <c r="AM121" s="74">
        <f>AM38*Inputs!$B$132/12</f>
        <v>2625</v>
      </c>
      <c r="AN121" s="74">
        <f>AN38*Inputs!$B$132/12</f>
        <v>2625</v>
      </c>
      <c r="AO121" s="74">
        <f>AO38*Inputs!$B$132/12</f>
        <v>2625</v>
      </c>
      <c r="AP121" s="74">
        <f>AP38*Inputs!$B$132/12</f>
        <v>2625</v>
      </c>
      <c r="AQ121" s="74">
        <f>AQ38*Inputs!$B$132/12</f>
        <v>2625</v>
      </c>
      <c r="AR121" s="74">
        <f>AR38*Inputs!$B$132/12</f>
        <v>2625</v>
      </c>
      <c r="AS121" s="74">
        <f>AS38*Inputs!$B$132/12</f>
        <v>2625</v>
      </c>
      <c r="AT121" s="74">
        <f>AT38*Inputs!$B$132/12</f>
        <v>2625</v>
      </c>
      <c r="AU121" s="74">
        <f>AU38*Inputs!$B$132/12</f>
        <v>2625</v>
      </c>
      <c r="AV121" s="74">
        <f>AV38*Inputs!$B$132/12</f>
        <v>2625</v>
      </c>
      <c r="AW121" s="74">
        <f>AW38*Inputs!$B$132/12</f>
        <v>2625</v>
      </c>
      <c r="AX121" s="74">
        <f>AX38*Inputs!$B$132/12</f>
        <v>2625</v>
      </c>
      <c r="AY121" s="74">
        <f>AY38*Inputs!$B$132/12</f>
        <v>2625</v>
      </c>
      <c r="AZ121" s="74">
        <f>AZ38*Inputs!$B$132/12</f>
        <v>2625</v>
      </c>
      <c r="BA121" s="74">
        <f>BA38*Inputs!$B$132/12</f>
        <v>2625</v>
      </c>
    </row>
    <row r="122" ht="14.25" customHeight="1">
      <c r="A122" s="3" t="s">
        <v>572</v>
      </c>
      <c r="B122" s="74">
        <f>B38*Inputs!$B$133/12</f>
        <v>250</v>
      </c>
      <c r="C122" s="74">
        <f>C38*Inputs!$B$133/12</f>
        <v>250</v>
      </c>
      <c r="D122" s="74">
        <f>D38*Inputs!$B$133/12</f>
        <v>250</v>
      </c>
      <c r="E122" s="74">
        <f>E38*Inputs!$B$133/12</f>
        <v>250</v>
      </c>
      <c r="F122" s="74">
        <f>F38*Inputs!$B$133/12</f>
        <v>250</v>
      </c>
      <c r="G122" s="74">
        <f>G38*Inputs!$B$133/12</f>
        <v>250</v>
      </c>
      <c r="H122" s="74">
        <f>H38*Inputs!$B$133/12</f>
        <v>333.3333333</v>
      </c>
      <c r="I122" s="74">
        <f>I38*Inputs!$B$133/12</f>
        <v>416.6666667</v>
      </c>
      <c r="J122" s="74">
        <f>J38*Inputs!$B$133/12</f>
        <v>500</v>
      </c>
      <c r="K122" s="74">
        <f>K38*Inputs!$B$133/12</f>
        <v>583.3333333</v>
      </c>
      <c r="L122" s="74">
        <f>L38*Inputs!$B$133/12</f>
        <v>666.6666667</v>
      </c>
      <c r="M122" s="74">
        <f>M38*Inputs!$B$133/12</f>
        <v>750</v>
      </c>
      <c r="N122" s="74">
        <f>N38*Inputs!$B$133/12</f>
        <v>833.3333333</v>
      </c>
      <c r="O122" s="74">
        <f>O38*Inputs!$B$133/12</f>
        <v>1000</v>
      </c>
      <c r="P122" s="74">
        <f>P38*Inputs!$B$133/12</f>
        <v>1000</v>
      </c>
      <c r="Q122" s="74">
        <f>Q38*Inputs!$B$133/12</f>
        <v>1000</v>
      </c>
      <c r="R122" s="74">
        <f>R38*Inputs!$B$133/12</f>
        <v>1000</v>
      </c>
      <c r="S122" s="74">
        <f>S38*Inputs!$B$133/12</f>
        <v>1250</v>
      </c>
      <c r="T122" s="74">
        <f>T38*Inputs!$B$133/12</f>
        <v>1250</v>
      </c>
      <c r="U122" s="74">
        <f>U38*Inputs!$B$133/12</f>
        <v>1333.333333</v>
      </c>
      <c r="V122" s="74">
        <f>V38*Inputs!$B$133/12</f>
        <v>1333.333333</v>
      </c>
      <c r="W122" s="74">
        <f>W38*Inputs!$B$133/12</f>
        <v>1416.666667</v>
      </c>
      <c r="X122" s="74">
        <f>X38*Inputs!$B$133/12</f>
        <v>1416.666667</v>
      </c>
      <c r="Y122" s="74">
        <f>Y38*Inputs!$B$133/12</f>
        <v>1500</v>
      </c>
      <c r="Z122" s="74">
        <f>Z38*Inputs!$B$133/12</f>
        <v>1500</v>
      </c>
      <c r="AA122" s="74">
        <f>AA38*Inputs!$B$133/12</f>
        <v>1500</v>
      </c>
      <c r="AB122" s="74">
        <f>AB38*Inputs!$B$133/12</f>
        <v>1500</v>
      </c>
      <c r="AC122" s="74">
        <f>AC38*Inputs!$B$133/12</f>
        <v>1583.333333</v>
      </c>
      <c r="AD122" s="74">
        <f>AD38*Inputs!$B$133/12</f>
        <v>1583.333333</v>
      </c>
      <c r="AE122" s="74">
        <f>AE38*Inputs!$B$133/12</f>
        <v>1666.666667</v>
      </c>
      <c r="AF122" s="74">
        <f>AF38*Inputs!$B$133/12</f>
        <v>1666.666667</v>
      </c>
      <c r="AG122" s="74">
        <f>AG38*Inputs!$B$133/12</f>
        <v>1666.666667</v>
      </c>
      <c r="AH122" s="74">
        <f>AH38*Inputs!$B$133/12</f>
        <v>1666.666667</v>
      </c>
      <c r="AI122" s="74">
        <f>AI38*Inputs!$B$133/12</f>
        <v>1666.666667</v>
      </c>
      <c r="AJ122" s="74">
        <f>AJ38*Inputs!$B$133/12</f>
        <v>1666.666667</v>
      </c>
      <c r="AK122" s="74">
        <f>AK38*Inputs!$B$133/12</f>
        <v>1750</v>
      </c>
      <c r="AL122" s="74">
        <f>AL38*Inputs!$B$133/12</f>
        <v>1750</v>
      </c>
      <c r="AM122" s="74">
        <f>AM38*Inputs!$B$133/12</f>
        <v>1750</v>
      </c>
      <c r="AN122" s="74">
        <f>AN38*Inputs!$B$133/12</f>
        <v>1750</v>
      </c>
      <c r="AO122" s="74">
        <f>AO38*Inputs!$B$133/12</f>
        <v>1750</v>
      </c>
      <c r="AP122" s="74">
        <f>AP38*Inputs!$B$133/12</f>
        <v>1750</v>
      </c>
      <c r="AQ122" s="74">
        <f>AQ38*Inputs!$B$133/12</f>
        <v>1750</v>
      </c>
      <c r="AR122" s="74">
        <f>AR38*Inputs!$B$133/12</f>
        <v>1750</v>
      </c>
      <c r="AS122" s="74">
        <f>AS38*Inputs!$B$133/12</f>
        <v>1750</v>
      </c>
      <c r="AT122" s="74">
        <f>AT38*Inputs!$B$133/12</f>
        <v>1750</v>
      </c>
      <c r="AU122" s="74">
        <f>AU38*Inputs!$B$133/12</f>
        <v>1750</v>
      </c>
      <c r="AV122" s="74">
        <f>AV38*Inputs!$B$133/12</f>
        <v>1750</v>
      </c>
      <c r="AW122" s="74">
        <f>AW38*Inputs!$B$133/12</f>
        <v>1750</v>
      </c>
      <c r="AX122" s="74">
        <f>AX38*Inputs!$B$133/12</f>
        <v>1750</v>
      </c>
      <c r="AY122" s="74">
        <f>AY38*Inputs!$B$133/12</f>
        <v>1750</v>
      </c>
      <c r="AZ122" s="74">
        <f>AZ38*Inputs!$B$133/12</f>
        <v>1750</v>
      </c>
      <c r="BA122" s="74">
        <f>BA38*Inputs!$B$133/12</f>
        <v>1750</v>
      </c>
    </row>
    <row r="123" ht="14.25" customHeight="1">
      <c r="A123" s="3" t="s">
        <v>573</v>
      </c>
      <c r="B123" s="74">
        <f>B38*(Inputs!$B$92+Inputs!$B$93)</f>
        <v>9900</v>
      </c>
      <c r="C123" s="74">
        <f>MAX(0,C38-B38)*(Inputs!$B$92+Inputs!$B$93)</f>
        <v>0</v>
      </c>
      <c r="D123" s="74">
        <f>MAX(0,D38-C38)*(Inputs!$B$92+Inputs!$B$93)</f>
        <v>0</v>
      </c>
      <c r="E123" s="74">
        <f>MAX(0,E38-D38)*(Inputs!$B$92+Inputs!$B$93)</f>
        <v>0</v>
      </c>
      <c r="F123" s="74">
        <f>MAX(0,F38-E38)*(Inputs!$B$92+Inputs!$B$93)</f>
        <v>0</v>
      </c>
      <c r="G123" s="74">
        <f>MAX(0,G38-F38)*(Inputs!$B$92+Inputs!$B$93)</f>
        <v>0</v>
      </c>
      <c r="H123" s="74">
        <f>MAX(0,H38-G38)*(Inputs!$B$92+Inputs!$B$93)</f>
        <v>3300</v>
      </c>
      <c r="I123" s="74">
        <f>MAX(0,I38-H38)*(Inputs!$B$92+Inputs!$B$93)</f>
        <v>3300</v>
      </c>
      <c r="J123" s="74">
        <f>MAX(0,J38-I38)*(Inputs!$B$92+Inputs!$B$93)</f>
        <v>3300</v>
      </c>
      <c r="K123" s="74">
        <f>MAX(0,K38-J38)*(Inputs!$B$92+Inputs!$B$93)</f>
        <v>3300</v>
      </c>
      <c r="L123" s="74">
        <f>MAX(0,L38-K38)*(Inputs!$B$92+Inputs!$B$93)</f>
        <v>3300</v>
      </c>
      <c r="M123" s="74">
        <f>MAX(0,M38-L38)*(Inputs!$B$92+Inputs!$B$93)</f>
        <v>3300</v>
      </c>
      <c r="N123" s="74">
        <f>MAX(0,N38-M38)*(Inputs!$B$92+Inputs!$B$93)</f>
        <v>3300</v>
      </c>
      <c r="O123" s="74">
        <f>MAX(0,O38-N38)*(Inputs!$B$92+Inputs!$B$93)</f>
        <v>6600</v>
      </c>
      <c r="P123" s="74">
        <f>MAX(0,P38-O38)*(Inputs!$B$92+Inputs!$B$93)</f>
        <v>0</v>
      </c>
      <c r="Q123" s="74">
        <f>MAX(0,Q38-P38)*(Inputs!$B$92+Inputs!$B$93)</f>
        <v>0</v>
      </c>
      <c r="R123" s="74">
        <f>MAX(0,R38-Q38)*(Inputs!$B$92+Inputs!$B$93)</f>
        <v>0</v>
      </c>
      <c r="S123" s="74">
        <f>MAX(0,S38-R38)*(Inputs!$B$92+Inputs!$B$93)</f>
        <v>9900</v>
      </c>
      <c r="T123" s="74">
        <f>MAX(0,T38-S38)*(Inputs!$B$92+Inputs!$B$93)</f>
        <v>0</v>
      </c>
      <c r="U123" s="74">
        <f>MAX(0,U38-T38)*(Inputs!$B$92+Inputs!$B$93)</f>
        <v>3300</v>
      </c>
      <c r="V123" s="74">
        <f>MAX(0,V38-U38)*(Inputs!$B$92+Inputs!$B$93)</f>
        <v>0</v>
      </c>
      <c r="W123" s="74">
        <f>MAX(0,W38-V38)*(Inputs!$B$92+Inputs!$B$93)</f>
        <v>3300</v>
      </c>
      <c r="X123" s="74">
        <f>MAX(0,X38-W38)*(Inputs!$B$92+Inputs!$B$93)</f>
        <v>0</v>
      </c>
      <c r="Y123" s="74">
        <f>MAX(0,Y38-X38)*(Inputs!$B$92+Inputs!$B$93)</f>
        <v>3300</v>
      </c>
      <c r="Z123" s="74">
        <f>MAX(0,Z38-Y38)*(Inputs!$B$92+Inputs!$B$93)</f>
        <v>0</v>
      </c>
      <c r="AA123" s="74">
        <f>MAX(0,AA38-Z38)*(Inputs!$B$92+Inputs!$B$93)</f>
        <v>0</v>
      </c>
      <c r="AB123" s="74">
        <f>MAX(0,AB38-AA38)*(Inputs!$B$92+Inputs!$B$93)</f>
        <v>0</v>
      </c>
      <c r="AC123" s="74">
        <f>MAX(0,AC38-AB38)*(Inputs!$B$92+Inputs!$B$93)</f>
        <v>3300</v>
      </c>
      <c r="AD123" s="74">
        <f>MAX(0,AD38-AC38)*(Inputs!$B$92+Inputs!$B$93)</f>
        <v>0</v>
      </c>
      <c r="AE123" s="74">
        <f>MAX(0,AE38-AD38)*(Inputs!$B$92+Inputs!$B$93)</f>
        <v>3300</v>
      </c>
      <c r="AF123" s="74">
        <f>MAX(0,AF38-AE38)*(Inputs!$B$92+Inputs!$B$93)</f>
        <v>0</v>
      </c>
      <c r="AG123" s="74">
        <f>MAX(0,AG38-AF38)*(Inputs!$B$92+Inputs!$B$93)</f>
        <v>0</v>
      </c>
      <c r="AH123" s="74">
        <f>MAX(0,AH38-AG38)*(Inputs!$B$92+Inputs!$B$93)</f>
        <v>0</v>
      </c>
      <c r="AI123" s="74">
        <f>MAX(0,AI38-AH38)*(Inputs!$B$92+Inputs!$B$93)</f>
        <v>0</v>
      </c>
      <c r="AJ123" s="74">
        <f>MAX(0,AJ38-AI38)*(Inputs!$B$92+Inputs!$B$93)</f>
        <v>0</v>
      </c>
      <c r="AK123" s="74">
        <f>MAX(0,AK38-AJ38)*(Inputs!$B$92+Inputs!$B$93)</f>
        <v>3300</v>
      </c>
      <c r="AL123" s="74">
        <f>MAX(0,AL38-AK38)*(Inputs!$B$92+Inputs!$B$93)</f>
        <v>0</v>
      </c>
      <c r="AM123" s="74">
        <f>MAX(0,AM38-AL38)*(Inputs!$B$92+Inputs!$B$93)</f>
        <v>0</v>
      </c>
      <c r="AN123" s="74">
        <f>MAX(0,AN38-AM38)*(Inputs!$B$92+Inputs!$B$93)</f>
        <v>0</v>
      </c>
      <c r="AO123" s="74">
        <f>MAX(0,AO38-AN38)*(Inputs!$B$92+Inputs!$B$93)</f>
        <v>0</v>
      </c>
      <c r="AP123" s="74">
        <f>MAX(0,AP38-AO38)*(Inputs!$B$92+Inputs!$B$93)</f>
        <v>0</v>
      </c>
      <c r="AQ123" s="74">
        <f>MAX(0,AQ38-AP38)*(Inputs!$B$92+Inputs!$B$93)</f>
        <v>0</v>
      </c>
      <c r="AR123" s="74">
        <f>MAX(0,AR38-AQ38)*(Inputs!$B$92+Inputs!$B$93)</f>
        <v>0</v>
      </c>
      <c r="AS123" s="74">
        <f>MAX(0,AS38-AR38)*(Inputs!$B$92+Inputs!$B$93)</f>
        <v>0</v>
      </c>
      <c r="AT123" s="74">
        <f>MAX(0,AT38-AS38)*(Inputs!$B$92+Inputs!$B$93)</f>
        <v>0</v>
      </c>
      <c r="AU123" s="74">
        <f>MAX(0,AU38-AT38)*(Inputs!$B$92+Inputs!$B$93)</f>
        <v>0</v>
      </c>
      <c r="AV123" s="74">
        <f>MAX(0,AV38-AU38)*(Inputs!$B$92+Inputs!$B$93)</f>
        <v>0</v>
      </c>
      <c r="AW123" s="74">
        <f>MAX(0,AW38-AV38)*(Inputs!$B$92+Inputs!$B$93)</f>
        <v>0</v>
      </c>
      <c r="AX123" s="74">
        <f>MAX(0,AX38-AW38)*(Inputs!$B$92+Inputs!$B$93)</f>
        <v>0</v>
      </c>
      <c r="AY123" s="74">
        <f>MAX(0,AY38-AX38)*(Inputs!$B$92+Inputs!$B$93)</f>
        <v>0</v>
      </c>
      <c r="AZ123" s="74">
        <f>MAX(0,AZ38-AY38)*(Inputs!$B$92+Inputs!$B$93)</f>
        <v>0</v>
      </c>
      <c r="BA123" s="74">
        <f>MAX(0,BA38-AZ38)*(Inputs!$B$92+Inputs!$B$93)</f>
        <v>0</v>
      </c>
    </row>
    <row r="124" ht="14.25" customHeight="1">
      <c r="A124" s="3" t="s">
        <v>574</v>
      </c>
      <c r="B124" s="74">
        <f>Inputs!$B$95/12</f>
        <v>166.6666667</v>
      </c>
      <c r="C124" s="74">
        <f>Inputs!$B$95/12</f>
        <v>166.6666667</v>
      </c>
      <c r="D124" s="74">
        <f>Inputs!$B$95/12</f>
        <v>166.6666667</v>
      </c>
      <c r="E124" s="74">
        <f>Inputs!$B$95/12</f>
        <v>166.6666667</v>
      </c>
      <c r="F124" s="74">
        <f>Inputs!$B$95/12</f>
        <v>166.6666667</v>
      </c>
      <c r="G124" s="74">
        <f>Inputs!$B$95/12</f>
        <v>166.6666667</v>
      </c>
      <c r="H124" s="74">
        <f>Inputs!$B$95/12</f>
        <v>166.6666667</v>
      </c>
      <c r="I124" s="74">
        <f>Inputs!$B$95/12</f>
        <v>166.6666667</v>
      </c>
      <c r="J124" s="74">
        <f>Inputs!$B$95/12</f>
        <v>166.6666667</v>
      </c>
      <c r="K124" s="74">
        <f>Inputs!$B$95/12</f>
        <v>166.6666667</v>
      </c>
      <c r="L124" s="74">
        <f>Inputs!$B$95/12</f>
        <v>166.6666667</v>
      </c>
      <c r="M124" s="74">
        <f>Inputs!$B$95/12</f>
        <v>166.6666667</v>
      </c>
      <c r="N124" s="74">
        <f>Inputs!$B$95/12</f>
        <v>166.6666667</v>
      </c>
      <c r="O124" s="74">
        <f>Inputs!$B$95/12</f>
        <v>166.6666667</v>
      </c>
      <c r="P124" s="74">
        <f>Inputs!$B$95/12</f>
        <v>166.6666667</v>
      </c>
      <c r="Q124" s="74">
        <f>Inputs!$B$95/12</f>
        <v>166.6666667</v>
      </c>
      <c r="R124" s="74">
        <f>Inputs!$B$95/12</f>
        <v>166.6666667</v>
      </c>
      <c r="S124" s="74">
        <f>Inputs!$B$95/12</f>
        <v>166.6666667</v>
      </c>
      <c r="T124" s="74">
        <f>Inputs!$B$95/12</f>
        <v>166.6666667</v>
      </c>
      <c r="U124" s="74">
        <f>Inputs!$B$95/12</f>
        <v>166.6666667</v>
      </c>
      <c r="V124" s="74">
        <f>Inputs!$B$95/12</f>
        <v>166.6666667</v>
      </c>
      <c r="W124" s="74">
        <f>Inputs!$B$95/12</f>
        <v>166.6666667</v>
      </c>
      <c r="X124" s="74">
        <f>Inputs!$B$95/12</f>
        <v>166.6666667</v>
      </c>
      <c r="Y124" s="74">
        <f>Inputs!$B$95/12</f>
        <v>166.6666667</v>
      </c>
      <c r="Z124" s="74">
        <f>Inputs!$B$95/12</f>
        <v>166.6666667</v>
      </c>
      <c r="AA124" s="74">
        <f>Inputs!$B$95/12</f>
        <v>166.6666667</v>
      </c>
      <c r="AB124" s="74">
        <f>Inputs!$B$95/12</f>
        <v>166.6666667</v>
      </c>
      <c r="AC124" s="74">
        <f>Inputs!$B$95/12</f>
        <v>166.6666667</v>
      </c>
      <c r="AD124" s="74">
        <f>Inputs!$B$95/12</f>
        <v>166.6666667</v>
      </c>
      <c r="AE124" s="74">
        <f>Inputs!$B$95/12</f>
        <v>166.6666667</v>
      </c>
      <c r="AF124" s="74">
        <f>Inputs!$B$95/12</f>
        <v>166.6666667</v>
      </c>
      <c r="AG124" s="74">
        <f>Inputs!$B$95/12</f>
        <v>166.6666667</v>
      </c>
      <c r="AH124" s="74">
        <f>Inputs!$B$95/12</f>
        <v>166.6666667</v>
      </c>
      <c r="AI124" s="74">
        <f>Inputs!$B$95/12</f>
        <v>166.6666667</v>
      </c>
      <c r="AJ124" s="74">
        <f>Inputs!$B$95/12</f>
        <v>166.6666667</v>
      </c>
      <c r="AK124" s="74">
        <f>Inputs!$B$95/12</f>
        <v>166.6666667</v>
      </c>
      <c r="AL124" s="74">
        <f>Inputs!$B$95/12</f>
        <v>166.6666667</v>
      </c>
      <c r="AM124" s="74">
        <f>Inputs!$B$95/12</f>
        <v>166.6666667</v>
      </c>
      <c r="AN124" s="74">
        <f>Inputs!$B$95/12</f>
        <v>166.6666667</v>
      </c>
      <c r="AO124" s="74">
        <f>Inputs!$B$95/12</f>
        <v>166.6666667</v>
      </c>
      <c r="AP124" s="74">
        <f>Inputs!$B$95/12</f>
        <v>166.6666667</v>
      </c>
      <c r="AQ124" s="74">
        <f>Inputs!$B$95/12</f>
        <v>166.6666667</v>
      </c>
      <c r="AR124" s="74">
        <f>Inputs!$B$95/12</f>
        <v>166.6666667</v>
      </c>
      <c r="AS124" s="74">
        <f>Inputs!$B$95/12</f>
        <v>166.6666667</v>
      </c>
      <c r="AT124" s="74">
        <f>Inputs!$B$95/12</f>
        <v>166.6666667</v>
      </c>
      <c r="AU124" s="74">
        <f>Inputs!$B$95/12</f>
        <v>166.6666667</v>
      </c>
      <c r="AV124" s="74">
        <f>Inputs!$B$95/12</f>
        <v>166.6666667</v>
      </c>
      <c r="AW124" s="74">
        <f>Inputs!$B$95/12</f>
        <v>166.6666667</v>
      </c>
      <c r="AX124" s="74">
        <f>Inputs!$B$95/12</f>
        <v>166.6666667</v>
      </c>
      <c r="AY124" s="74">
        <f>Inputs!$B$95/12</f>
        <v>166.6666667</v>
      </c>
      <c r="AZ124" s="74">
        <f>Inputs!$B$95/12</f>
        <v>166.6666667</v>
      </c>
      <c r="BA124" s="74">
        <f>Inputs!$B$95/12</f>
        <v>166.6666667</v>
      </c>
    </row>
    <row r="125" ht="14.25" customHeight="1">
      <c r="A125" s="2" t="s">
        <v>575</v>
      </c>
      <c r="B125" s="72">
        <f t="shared" ref="B125:BA125" si="9">SUM(B120:B124)</f>
        <v>11191.66667</v>
      </c>
      <c r="C125" s="72">
        <f t="shared" si="9"/>
        <v>1291.666667</v>
      </c>
      <c r="D125" s="72">
        <f t="shared" si="9"/>
        <v>1291.666667</v>
      </c>
      <c r="E125" s="72">
        <f t="shared" si="9"/>
        <v>1291.666667</v>
      </c>
      <c r="F125" s="72">
        <f t="shared" si="9"/>
        <v>1291.666667</v>
      </c>
      <c r="G125" s="72">
        <f t="shared" si="9"/>
        <v>1291.666667</v>
      </c>
      <c r="H125" s="72">
        <f t="shared" si="9"/>
        <v>4966.666667</v>
      </c>
      <c r="I125" s="72">
        <f t="shared" si="9"/>
        <v>5341.666667</v>
      </c>
      <c r="J125" s="72">
        <f t="shared" si="9"/>
        <v>5716.666667</v>
      </c>
      <c r="K125" s="72">
        <f t="shared" si="9"/>
        <v>6091.666667</v>
      </c>
      <c r="L125" s="72">
        <f t="shared" si="9"/>
        <v>6466.666667</v>
      </c>
      <c r="M125" s="72">
        <f t="shared" si="9"/>
        <v>6841.666667</v>
      </c>
      <c r="N125" s="72">
        <f t="shared" si="9"/>
        <v>7216.666667</v>
      </c>
      <c r="O125" s="72">
        <f t="shared" si="9"/>
        <v>11266.66667</v>
      </c>
      <c r="P125" s="72">
        <f t="shared" si="9"/>
        <v>4666.666667</v>
      </c>
      <c r="Q125" s="72">
        <f t="shared" si="9"/>
        <v>4666.666667</v>
      </c>
      <c r="R125" s="72">
        <f t="shared" si="9"/>
        <v>4666.666667</v>
      </c>
      <c r="S125" s="72">
        <f t="shared" si="9"/>
        <v>15691.66667</v>
      </c>
      <c r="T125" s="72">
        <f t="shared" si="9"/>
        <v>5791.666667</v>
      </c>
      <c r="U125" s="72">
        <f t="shared" si="9"/>
        <v>9466.666667</v>
      </c>
      <c r="V125" s="72">
        <f t="shared" si="9"/>
        <v>6166.666667</v>
      </c>
      <c r="W125" s="72">
        <f t="shared" si="9"/>
        <v>9841.666667</v>
      </c>
      <c r="X125" s="72">
        <f t="shared" si="9"/>
        <v>6541.666667</v>
      </c>
      <c r="Y125" s="72">
        <f t="shared" si="9"/>
        <v>10216.66667</v>
      </c>
      <c r="Z125" s="72">
        <f t="shared" si="9"/>
        <v>6916.666667</v>
      </c>
      <c r="AA125" s="72">
        <f t="shared" si="9"/>
        <v>6916.666667</v>
      </c>
      <c r="AB125" s="72">
        <f t="shared" si="9"/>
        <v>6916.666667</v>
      </c>
      <c r="AC125" s="72">
        <f t="shared" si="9"/>
        <v>10591.66667</v>
      </c>
      <c r="AD125" s="72">
        <f t="shared" si="9"/>
        <v>7291.666667</v>
      </c>
      <c r="AE125" s="72">
        <f t="shared" si="9"/>
        <v>10966.66667</v>
      </c>
      <c r="AF125" s="72">
        <f t="shared" si="9"/>
        <v>7666.666667</v>
      </c>
      <c r="AG125" s="72">
        <f t="shared" si="9"/>
        <v>7666.666667</v>
      </c>
      <c r="AH125" s="72">
        <f t="shared" si="9"/>
        <v>7666.666667</v>
      </c>
      <c r="AI125" s="72">
        <f t="shared" si="9"/>
        <v>7666.666667</v>
      </c>
      <c r="AJ125" s="72">
        <f t="shared" si="9"/>
        <v>7666.666667</v>
      </c>
      <c r="AK125" s="72">
        <f t="shared" si="9"/>
        <v>11341.66667</v>
      </c>
      <c r="AL125" s="72">
        <f t="shared" si="9"/>
        <v>8041.666667</v>
      </c>
      <c r="AM125" s="72">
        <f t="shared" si="9"/>
        <v>8041.666667</v>
      </c>
      <c r="AN125" s="72">
        <f t="shared" si="9"/>
        <v>8041.666667</v>
      </c>
      <c r="AO125" s="72">
        <f t="shared" si="9"/>
        <v>8041.666667</v>
      </c>
      <c r="AP125" s="72">
        <f t="shared" si="9"/>
        <v>8041.666667</v>
      </c>
      <c r="AQ125" s="72">
        <f t="shared" si="9"/>
        <v>8041.666667</v>
      </c>
      <c r="AR125" s="72">
        <f t="shared" si="9"/>
        <v>8041.666667</v>
      </c>
      <c r="AS125" s="72">
        <f t="shared" si="9"/>
        <v>8041.666667</v>
      </c>
      <c r="AT125" s="72">
        <f t="shared" si="9"/>
        <v>8041.666667</v>
      </c>
      <c r="AU125" s="72">
        <f t="shared" si="9"/>
        <v>8041.666667</v>
      </c>
      <c r="AV125" s="72">
        <f t="shared" si="9"/>
        <v>8041.666667</v>
      </c>
      <c r="AW125" s="72">
        <f t="shared" si="9"/>
        <v>8041.666667</v>
      </c>
      <c r="AX125" s="72">
        <f t="shared" si="9"/>
        <v>8041.666667</v>
      </c>
      <c r="AY125" s="72">
        <f t="shared" si="9"/>
        <v>8041.666667</v>
      </c>
      <c r="AZ125" s="72">
        <f t="shared" si="9"/>
        <v>8041.666667</v>
      </c>
      <c r="BA125" s="72">
        <f t="shared" si="9"/>
        <v>8041.666667</v>
      </c>
    </row>
    <row r="126" ht="14.25" customHeight="1"/>
    <row r="127" ht="14.25" customHeight="1">
      <c r="A127" s="2" t="s">
        <v>576</v>
      </c>
    </row>
    <row r="128" ht="14.25" customHeight="1">
      <c r="A128" s="3" t="s">
        <v>577</v>
      </c>
      <c r="B128" s="71">
        <f>Revenue!B20*Inputs!$B$119</f>
        <v>0</v>
      </c>
      <c r="C128" s="71">
        <f>Revenue!C20*Inputs!$B$119</f>
        <v>0</v>
      </c>
      <c r="D128" s="71">
        <f>Revenue!D20*Inputs!$B$119</f>
        <v>0</v>
      </c>
      <c r="E128" s="71">
        <f>Revenue!E20*Inputs!$B$119</f>
        <v>0</v>
      </c>
      <c r="F128" s="71">
        <f>Revenue!F20*Inputs!$B$119</f>
        <v>0</v>
      </c>
      <c r="G128" s="71">
        <f>Revenue!G20*Inputs!$B$119</f>
        <v>0</v>
      </c>
      <c r="H128" s="71">
        <f>Revenue!H20*Inputs!$B$119</f>
        <v>0</v>
      </c>
      <c r="I128" s="71">
        <f>Revenue!I20*Inputs!$B$119</f>
        <v>0</v>
      </c>
      <c r="J128" s="71">
        <f>Revenue!J20*Inputs!$B$119</f>
        <v>0</v>
      </c>
      <c r="K128" s="71">
        <f>Revenue!K20*Inputs!$B$119</f>
        <v>0</v>
      </c>
      <c r="L128" s="71">
        <f>Revenue!L20*Inputs!$B$119</f>
        <v>0</v>
      </c>
      <c r="M128" s="71">
        <f>Revenue!M20*Inputs!$B$119</f>
        <v>0</v>
      </c>
      <c r="N128" s="71">
        <f>Revenue!N20*Inputs!$B$119</f>
        <v>0</v>
      </c>
      <c r="O128" s="71">
        <f>Revenue!O20*Inputs!$B$119</f>
        <v>108</v>
      </c>
      <c r="P128" s="71">
        <f>Revenue!P20*Inputs!$B$119</f>
        <v>108</v>
      </c>
      <c r="Q128" s="71">
        <f>Revenue!Q20*Inputs!$B$119</f>
        <v>108</v>
      </c>
      <c r="R128" s="71">
        <f>Revenue!R20*Inputs!$B$119</f>
        <v>108</v>
      </c>
      <c r="S128" s="71">
        <f>Revenue!S20*Inputs!$B$119</f>
        <v>108</v>
      </c>
      <c r="T128" s="71">
        <f>Revenue!T20*Inputs!$B$119</f>
        <v>108</v>
      </c>
      <c r="U128" s="71">
        <f>Revenue!U20*Inputs!$B$119</f>
        <v>108</v>
      </c>
      <c r="V128" s="71">
        <f>Revenue!V20*Inputs!$B$119</f>
        <v>108</v>
      </c>
      <c r="W128" s="71">
        <f>Revenue!W20*Inputs!$B$119</f>
        <v>108</v>
      </c>
      <c r="X128" s="71">
        <f>Revenue!X20*Inputs!$B$119</f>
        <v>108</v>
      </c>
      <c r="Y128" s="71">
        <f>Revenue!Y20*Inputs!$B$119</f>
        <v>445.5</v>
      </c>
      <c r="Z128" s="71">
        <f>Revenue!Z20*Inputs!$B$119</f>
        <v>481.14</v>
      </c>
      <c r="AA128" s="71">
        <f>Revenue!AA20*Inputs!$B$119</f>
        <v>481.14</v>
      </c>
      <c r="AB128" s="71">
        <f>Revenue!AB20*Inputs!$B$119</f>
        <v>845.64</v>
      </c>
      <c r="AC128" s="71">
        <f>Revenue!AC20*Inputs!$B$119</f>
        <v>845.64</v>
      </c>
      <c r="AD128" s="71">
        <f>Revenue!AD20*Inputs!$B$119</f>
        <v>845.64</v>
      </c>
      <c r="AE128" s="71">
        <f>Revenue!AE20*Inputs!$B$119</f>
        <v>1210.14</v>
      </c>
      <c r="AF128" s="71">
        <f>Revenue!AF20*Inputs!$B$119</f>
        <v>1210.14</v>
      </c>
      <c r="AG128" s="71">
        <f>Revenue!AG20*Inputs!$B$119</f>
        <v>1210.14</v>
      </c>
      <c r="AH128" s="71">
        <f>Revenue!AH20*Inputs!$B$119</f>
        <v>1574.64</v>
      </c>
      <c r="AI128" s="71">
        <f>Revenue!AI20*Inputs!$B$119</f>
        <v>1574.64</v>
      </c>
      <c r="AJ128" s="71">
        <f>Revenue!AJ20*Inputs!$B$119</f>
        <v>1574.64</v>
      </c>
      <c r="AK128" s="71">
        <f>Revenue!AK20*Inputs!$B$119</f>
        <v>1939.14</v>
      </c>
      <c r="AL128" s="71">
        <f>Revenue!AL20*Inputs!$B$119</f>
        <v>2094.2712</v>
      </c>
      <c r="AM128" s="71">
        <f>Revenue!AM20*Inputs!$B$119</f>
        <v>2094.2712</v>
      </c>
      <c r="AN128" s="71">
        <f>Revenue!AN20*Inputs!$B$119</f>
        <v>2487.9312</v>
      </c>
      <c r="AO128" s="71">
        <f>Revenue!AO20*Inputs!$B$119</f>
        <v>2487.9312</v>
      </c>
      <c r="AP128" s="71">
        <f>Revenue!AP20*Inputs!$B$119</f>
        <v>2487.9312</v>
      </c>
      <c r="AQ128" s="71">
        <f>Revenue!AQ20*Inputs!$B$119</f>
        <v>2881.5912</v>
      </c>
      <c r="AR128" s="71">
        <f>Revenue!AR20*Inputs!$B$119</f>
        <v>2881.5912</v>
      </c>
      <c r="AS128" s="71">
        <f>Revenue!AS20*Inputs!$B$119</f>
        <v>2881.5912</v>
      </c>
      <c r="AT128" s="71">
        <f>Revenue!AT20*Inputs!$B$119</f>
        <v>3275.2512</v>
      </c>
      <c r="AU128" s="71">
        <f>Revenue!AU20*Inputs!$B$119</f>
        <v>3275.2512</v>
      </c>
      <c r="AV128" s="71">
        <f>Revenue!AV20*Inputs!$B$119</f>
        <v>3275.2512</v>
      </c>
      <c r="AW128" s="71">
        <f>Revenue!AW20*Inputs!$B$119</f>
        <v>3275.2512</v>
      </c>
      <c r="AX128" s="71">
        <f>Revenue!AX20*Inputs!$B$119</f>
        <v>3537.271296</v>
      </c>
      <c r="AY128" s="71">
        <f>Revenue!AY20*Inputs!$B$119</f>
        <v>3537.271296</v>
      </c>
      <c r="AZ128" s="71">
        <f>Revenue!AZ20*Inputs!$B$119</f>
        <v>3962.424096</v>
      </c>
      <c r="BA128" s="71">
        <f>Revenue!BA20*Inputs!$B$119</f>
        <v>3962.424096</v>
      </c>
    </row>
    <row r="129" ht="14.25" customHeight="1"/>
    <row r="130" ht="14.25" customHeight="1">
      <c r="A130" s="3" t="s">
        <v>578</v>
      </c>
      <c r="B130" s="74">
        <f>(B78+B87+B94+B101+B108+B117+B125)*Inputs!$B$134</f>
        <v>3184.333333</v>
      </c>
      <c r="C130" s="74">
        <f>(C78+C87+C94+C101+C108+C117+C125)*Inputs!$B$134</f>
        <v>1943.083333</v>
      </c>
      <c r="D130" s="74">
        <f>(D78+D87+D94+D101+D108+D117+D125)*Inputs!$B$134</f>
        <v>1947.020833</v>
      </c>
      <c r="E130" s="74">
        <f>(E78+E87+E94+E101+E108+E117+E125)*Inputs!$B$134</f>
        <v>1951.155208</v>
      </c>
      <c r="F130" s="74">
        <f>(F78+F87+F94+F101+F108+F117+F125)*Inputs!$B$134</f>
        <v>2705.496302</v>
      </c>
      <c r="G130" s="74">
        <f>(G78+G87+G94+G101+G108+G117+G125)*Inputs!$B$134</f>
        <v>1960.054451</v>
      </c>
      <c r="H130" s="74">
        <f>(H78+H87+H94+H101+H108+H117+H125)*Inputs!$B$134</f>
        <v>2608.840506</v>
      </c>
      <c r="I130" s="74">
        <f>(I78+I87+I94+I101+I108+I117+I125)*Inputs!$B$134</f>
        <v>3193.699198</v>
      </c>
      <c r="J130" s="74">
        <f>(J78+J87+J94+J101+J108+J117+J125)*Inputs!$B$134</f>
        <v>3526.725825</v>
      </c>
      <c r="K130" s="74">
        <f>(K78+K87+K94+K101+K108+K117+K125)*Inputs!$B$134</f>
        <v>4011.266283</v>
      </c>
      <c r="L130" s="74">
        <f>(L78+L87+L94+L101+L108+L117+L125)*Inputs!$B$134</f>
        <v>4370.042097</v>
      </c>
      <c r="M130" s="74">
        <f>(M78+M87+M94+M101+M108+M117+M125)*Inputs!$B$134</f>
        <v>4729.108785</v>
      </c>
      <c r="N130" s="74">
        <f>(N78+N87+N94+N101+N108+N117+N125)*Inputs!$B$134</f>
        <v>5359.722558</v>
      </c>
      <c r="O130" s="74">
        <f>(O78+O87+O94+O101+O108+O117+O125)*Inputs!$B$134</f>
        <v>6436.588269</v>
      </c>
      <c r="P130" s="74">
        <f>(P78+P87+P94+P101+P108+P117+P125)*Inputs!$B$134</f>
        <v>6092.059453</v>
      </c>
      <c r="Q130" s="74">
        <f>(Q78+Q87+Q94+Q101+Q108+Q117+Q125)*Inputs!$B$134</f>
        <v>6099.484197</v>
      </c>
      <c r="R130" s="74">
        <f>(R78+R87+R94+R101+R108+R117+R125)*Inputs!$B$134</f>
        <v>6907.280177</v>
      </c>
      <c r="S130" s="74">
        <f>(S78+S87+S94+S101+S108+S117+S125)*Inputs!$B$134</f>
        <v>8499.340957</v>
      </c>
      <c r="T130" s="74">
        <f>(T78+T87+T94+T101+T108+T117+T125)*Inputs!$B$134</f>
        <v>8012.936026</v>
      </c>
      <c r="U130" s="74">
        <f>(U78+U87+U94+U101+U108+U117+U125)*Inputs!$B$134</f>
        <v>8529.835848</v>
      </c>
      <c r="V130" s="74">
        <f>(V78+V87+V94+V101+V108+V117+V125)*Inputs!$B$134</f>
        <v>8374.311911</v>
      </c>
      <c r="W130" s="74">
        <f>(W78+W87+W94+W101+W108+W117+W125)*Inputs!$B$134</f>
        <v>9156.824278</v>
      </c>
      <c r="X130" s="74">
        <f>(X78+X87+X94+X101+X108+X117+X125)*Inputs!$B$134</f>
        <v>9002.271637</v>
      </c>
      <c r="Y130" s="74">
        <f>(Y78+Y87+Y94+Y101+Y108+Y117+Y125)*Inputs!$B$134</f>
        <v>9615.085115</v>
      </c>
      <c r="Z130" s="74">
        <f>(Z78+Z87+Z94+Z101+Z108+Z117+Z125)*Inputs!$B$134</f>
        <v>9782.135204</v>
      </c>
      <c r="AA130" s="74">
        <f>(AA78+AA87+AA94+AA101+AA108+AA117+AA125)*Inputs!$B$134</f>
        <v>9794.229329</v>
      </c>
      <c r="AB130" s="74">
        <f>(AB78+AB87+AB94+AB101+AB108+AB117+AB125)*Inputs!$B$134</f>
        <v>9879.82816</v>
      </c>
      <c r="AC130" s="74">
        <f>(AC78+AC87+AC94+AC101+AC108+AC117+AC125)*Inputs!$B$134</f>
        <v>10371.81037</v>
      </c>
      <c r="AD130" s="74">
        <f>(AD78+AD87+AD94+AD101+AD108+AD117+AD125)*Inputs!$B$134</f>
        <v>10220.81083</v>
      </c>
      <c r="AE130" s="74">
        <f>(AE78+AE87+AE94+AE101+AE108+AE117+AE125)*Inputs!$B$134</f>
        <v>10943.33632</v>
      </c>
      <c r="AF130" s="74">
        <f>(AF78+AF87+AF94+AF101+AF108+AF117+AF125)*Inputs!$B$134</f>
        <v>10720.87182</v>
      </c>
      <c r="AG130" s="74">
        <f>(AG78+AG87+AG94+AG101+AG108+AG117+AG125)*Inputs!$B$134</f>
        <v>10737.07911</v>
      </c>
      <c r="AH130" s="74">
        <f>(AH78+AH87+AH94+AH101+AH108+AH117+AH125)*Inputs!$B$134</f>
        <v>10826.99676</v>
      </c>
      <c r="AI130" s="74">
        <f>(AI78+AI87+AI94+AI101+AI108+AI117+AI125)*Inputs!$B$134</f>
        <v>10771.96529</v>
      </c>
      <c r="AJ130" s="74">
        <f>(AJ78+AJ87+AJ94+AJ101+AJ108+AJ117+AJ125)*Inputs!$B$134</f>
        <v>11540.72724</v>
      </c>
      <c r="AK130" s="74">
        <f>(AK78+AK87+AK94+AK101+AK108+AK117+AK125)*Inputs!$B$134</f>
        <v>11821.17417</v>
      </c>
      <c r="AL130" s="74">
        <f>(AL78+AL87+AL94+AL101+AL108+AL117+AL125)*Inputs!$B$134</f>
        <v>12087.82122</v>
      </c>
      <c r="AM130" s="74">
        <f>(AM78+AM87+AM94+AM101+AM108+AM117+AM125)*Inputs!$B$134</f>
        <v>12109.54053</v>
      </c>
      <c r="AN130" s="74">
        <f>(AN78+AN87+AN94+AN101+AN108+AN117+AN125)*Inputs!$B$134</f>
        <v>12211.0778</v>
      </c>
      <c r="AO130" s="74">
        <f>(AO78+AO87+AO94+AO101+AO108+AO117+AO125)*Inputs!$B$134</f>
        <v>12156.29134</v>
      </c>
      <c r="AP130" s="74">
        <f>(AP78+AP87+AP94+AP101+AP108+AP117+AP125)*Inputs!$B$134</f>
        <v>12181.43416</v>
      </c>
      <c r="AQ130" s="74">
        <f>(AQ78+AQ87+AQ94+AQ101+AQ108+AQ117+AQ125)*Inputs!$B$134</f>
        <v>12286.56612</v>
      </c>
      <c r="AR130" s="74">
        <f>(AR78+AR87+AR94+AR101+AR108+AR117+AR125)*Inputs!$B$134</f>
        <v>12235.55407</v>
      </c>
      <c r="AS130" s="74">
        <f>(AS78+AS87+AS94+AS101+AS108+AS117+AS125)*Inputs!$B$134</f>
        <v>12264.66003</v>
      </c>
      <c r="AT130" s="74">
        <f>(AT78+AT87+AT94+AT101+AT108+AT117+AT125)*Inputs!$B$134</f>
        <v>12373.95328</v>
      </c>
      <c r="AU130" s="74">
        <f>(AU78+AU87+AU94+AU101+AU108+AU117+AU125)*Inputs!$B$134</f>
        <v>12327.31059</v>
      </c>
      <c r="AV130" s="74">
        <f>(AV78+AV87+AV94+AV101+AV108+AV117+AV125)*Inputs!$B$134</f>
        <v>12361.00437</v>
      </c>
      <c r="AW130" s="74">
        <f>(AW78+AW87+AW94+AW101+AW108+AW117+AW125)*Inputs!$B$134</f>
        <v>12475.11484</v>
      </c>
      <c r="AX130" s="74">
        <f>(AX78+AX87+AX94+AX101+AX108+AX117+AX125)*Inputs!$B$134</f>
        <v>12941.58531</v>
      </c>
      <c r="AY130" s="74">
        <f>(AY78+AY87+AY94+AY101+AY108+AY117+AY125)*Inputs!$B$134</f>
        <v>12980.59007</v>
      </c>
      <c r="AZ130" s="74">
        <f>(AZ78+AZ87+AZ94+AZ101+AZ108+AZ117+AZ125)*Inputs!$B$134</f>
        <v>13106.57563</v>
      </c>
      <c r="BA130" s="74">
        <f>(BA78+BA87+BA94+BA101+BA108+BA117+BA125)*Inputs!$B$134</f>
        <v>13064.54782</v>
      </c>
    </row>
    <row r="131" ht="14.25" customHeight="1"/>
    <row r="132" ht="14.25" customHeight="1">
      <c r="A132" s="2" t="s">
        <v>579</v>
      </c>
      <c r="B132" s="72">
        <f t="shared" ref="B132:BA132" si="10">B78+B87+B94+B101+B108+B117+B125+B130</f>
        <v>66871</v>
      </c>
      <c r="C132" s="72">
        <f t="shared" si="10"/>
        <v>40804.75</v>
      </c>
      <c r="D132" s="72">
        <f t="shared" si="10"/>
        <v>40887.4375</v>
      </c>
      <c r="E132" s="72">
        <f t="shared" si="10"/>
        <v>40974.25938</v>
      </c>
      <c r="F132" s="72">
        <f t="shared" si="10"/>
        <v>56815.42234</v>
      </c>
      <c r="G132" s="72">
        <f t="shared" si="10"/>
        <v>41161.14346</v>
      </c>
      <c r="H132" s="72">
        <f t="shared" si="10"/>
        <v>54785.65063</v>
      </c>
      <c r="I132" s="72">
        <f t="shared" si="10"/>
        <v>67067.68317</v>
      </c>
      <c r="J132" s="72">
        <f t="shared" si="10"/>
        <v>74061.24232</v>
      </c>
      <c r="K132" s="72">
        <f t="shared" si="10"/>
        <v>84236.59194</v>
      </c>
      <c r="L132" s="72">
        <f t="shared" si="10"/>
        <v>91770.88404</v>
      </c>
      <c r="M132" s="72">
        <f t="shared" si="10"/>
        <v>99311.28449</v>
      </c>
      <c r="N132" s="72">
        <f t="shared" si="10"/>
        <v>112554.1737</v>
      </c>
      <c r="O132" s="72">
        <f t="shared" si="10"/>
        <v>135168.3536</v>
      </c>
      <c r="P132" s="72">
        <f t="shared" si="10"/>
        <v>127933.2485</v>
      </c>
      <c r="Q132" s="72">
        <f t="shared" si="10"/>
        <v>128089.1681</v>
      </c>
      <c r="R132" s="72">
        <f t="shared" si="10"/>
        <v>145052.8837</v>
      </c>
      <c r="S132" s="72">
        <f t="shared" si="10"/>
        <v>178486.1601</v>
      </c>
      <c r="T132" s="72">
        <f t="shared" si="10"/>
        <v>168271.6565</v>
      </c>
      <c r="U132" s="72">
        <f t="shared" si="10"/>
        <v>179126.5528</v>
      </c>
      <c r="V132" s="72">
        <f t="shared" si="10"/>
        <v>175860.5501</v>
      </c>
      <c r="W132" s="72">
        <f t="shared" si="10"/>
        <v>192293.3098</v>
      </c>
      <c r="X132" s="72">
        <f t="shared" si="10"/>
        <v>189047.7044</v>
      </c>
      <c r="Y132" s="72">
        <f t="shared" si="10"/>
        <v>201916.7874</v>
      </c>
      <c r="Z132" s="72">
        <f t="shared" si="10"/>
        <v>205424.8393</v>
      </c>
      <c r="AA132" s="72">
        <f t="shared" si="10"/>
        <v>205678.8159</v>
      </c>
      <c r="AB132" s="72">
        <f t="shared" si="10"/>
        <v>207476.3914</v>
      </c>
      <c r="AC132" s="72">
        <f t="shared" si="10"/>
        <v>217808.0178</v>
      </c>
      <c r="AD132" s="72">
        <f t="shared" si="10"/>
        <v>214637.0275</v>
      </c>
      <c r="AE132" s="72">
        <f t="shared" si="10"/>
        <v>229810.0626</v>
      </c>
      <c r="AF132" s="72">
        <f t="shared" si="10"/>
        <v>225138.3083</v>
      </c>
      <c r="AG132" s="72">
        <f t="shared" si="10"/>
        <v>225478.6613</v>
      </c>
      <c r="AH132" s="72">
        <f t="shared" si="10"/>
        <v>227366.9319</v>
      </c>
      <c r="AI132" s="72">
        <f t="shared" si="10"/>
        <v>226211.271</v>
      </c>
      <c r="AJ132" s="72">
        <f t="shared" si="10"/>
        <v>242355.2721</v>
      </c>
      <c r="AK132" s="72">
        <f t="shared" si="10"/>
        <v>248244.6576</v>
      </c>
      <c r="AL132" s="72">
        <f t="shared" si="10"/>
        <v>253844.2455</v>
      </c>
      <c r="AM132" s="72">
        <f t="shared" si="10"/>
        <v>254300.351</v>
      </c>
      <c r="AN132" s="72">
        <f t="shared" si="10"/>
        <v>256432.6338</v>
      </c>
      <c r="AO132" s="72">
        <f t="shared" si="10"/>
        <v>255282.1182</v>
      </c>
      <c r="AP132" s="72">
        <f t="shared" si="10"/>
        <v>255810.1173</v>
      </c>
      <c r="AQ132" s="72">
        <f t="shared" si="10"/>
        <v>258017.8884</v>
      </c>
      <c r="AR132" s="72">
        <f t="shared" si="10"/>
        <v>256946.6355</v>
      </c>
      <c r="AS132" s="72">
        <f t="shared" si="10"/>
        <v>257557.8605</v>
      </c>
      <c r="AT132" s="72">
        <f t="shared" si="10"/>
        <v>259853.0188</v>
      </c>
      <c r="AU132" s="72">
        <f t="shared" si="10"/>
        <v>258873.5224</v>
      </c>
      <c r="AV132" s="72">
        <f t="shared" si="10"/>
        <v>259581.0917</v>
      </c>
      <c r="AW132" s="72">
        <f t="shared" si="10"/>
        <v>261977.4116</v>
      </c>
      <c r="AX132" s="72">
        <f t="shared" si="10"/>
        <v>271773.2916</v>
      </c>
      <c r="AY132" s="72">
        <f t="shared" si="10"/>
        <v>272592.3915</v>
      </c>
      <c r="AZ132" s="72">
        <f t="shared" si="10"/>
        <v>275238.0883</v>
      </c>
      <c r="BA132" s="72">
        <f t="shared" si="10"/>
        <v>274355.5043</v>
      </c>
    </row>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5.0"/>
    <col customWidth="1" min="2" max="53" width="12.0"/>
  </cols>
  <sheetData>
    <row r="1" ht="14.25" customHeight="1">
      <c r="A1" s="1" t="s">
        <v>580</v>
      </c>
    </row>
    <row r="2" ht="14.25" customHeight="1">
      <c r="B2" s="75">
        <v>46113.0</v>
      </c>
      <c r="C2" s="75">
        <v>46143.0</v>
      </c>
      <c r="D2" s="75">
        <v>46174.0</v>
      </c>
      <c r="E2" s="75">
        <v>46204.0</v>
      </c>
      <c r="F2" s="75">
        <v>46235.0</v>
      </c>
      <c r="G2" s="75">
        <v>46266.0</v>
      </c>
      <c r="H2" s="75">
        <v>46296.0</v>
      </c>
      <c r="I2" s="75">
        <v>46327.0</v>
      </c>
      <c r="J2" s="75">
        <v>46357.0</v>
      </c>
      <c r="K2" s="75">
        <v>46388.0</v>
      </c>
      <c r="L2" s="75">
        <v>46419.0</v>
      </c>
      <c r="M2" s="75">
        <v>46447.0</v>
      </c>
      <c r="N2" s="75">
        <v>46478.0</v>
      </c>
      <c r="O2" s="75">
        <v>46508.0</v>
      </c>
      <c r="P2" s="75">
        <v>46539.0</v>
      </c>
      <c r="Q2" s="75">
        <v>46569.0</v>
      </c>
      <c r="R2" s="75">
        <v>46600.0</v>
      </c>
      <c r="S2" s="75">
        <v>46631.0</v>
      </c>
      <c r="T2" s="75">
        <v>46661.0</v>
      </c>
      <c r="U2" s="75">
        <v>46692.0</v>
      </c>
      <c r="V2" s="75">
        <v>46722.0</v>
      </c>
      <c r="W2" s="75">
        <v>46753.0</v>
      </c>
      <c r="X2" s="75">
        <v>46784.0</v>
      </c>
      <c r="Y2" s="75">
        <v>46813.0</v>
      </c>
      <c r="Z2" s="75">
        <v>46844.0</v>
      </c>
      <c r="AA2" s="75">
        <v>46874.0</v>
      </c>
      <c r="AB2" s="75">
        <v>46905.0</v>
      </c>
      <c r="AC2" s="75">
        <v>46935.0</v>
      </c>
      <c r="AD2" s="75">
        <v>46966.0</v>
      </c>
      <c r="AE2" s="75">
        <v>46997.0</v>
      </c>
      <c r="AF2" s="75">
        <v>47027.0</v>
      </c>
      <c r="AG2" s="75">
        <v>47058.0</v>
      </c>
      <c r="AH2" s="75">
        <v>47088.0</v>
      </c>
      <c r="AI2" s="75">
        <v>47119.0</v>
      </c>
      <c r="AJ2" s="75">
        <v>47150.0</v>
      </c>
      <c r="AK2" s="75">
        <v>47178.0</v>
      </c>
      <c r="AL2" s="75">
        <v>47209.0</v>
      </c>
      <c r="AM2" s="75">
        <v>47239.0</v>
      </c>
      <c r="AN2" s="75">
        <v>47270.0</v>
      </c>
      <c r="AO2" s="75">
        <v>47300.0</v>
      </c>
      <c r="AP2" s="75">
        <v>47331.0</v>
      </c>
      <c r="AQ2" s="75">
        <v>47362.0</v>
      </c>
      <c r="AR2" s="75">
        <v>47392.0</v>
      </c>
      <c r="AS2" s="75">
        <v>47423.0</v>
      </c>
      <c r="AT2" s="75">
        <v>47453.0</v>
      </c>
      <c r="AU2" s="75">
        <v>47484.0</v>
      </c>
      <c r="AV2" s="75">
        <v>47515.0</v>
      </c>
      <c r="AW2" s="75">
        <v>47543.0</v>
      </c>
      <c r="AX2" s="75">
        <v>47574.0</v>
      </c>
      <c r="AY2" s="75">
        <v>47604.0</v>
      </c>
      <c r="AZ2" s="75">
        <v>47635.0</v>
      </c>
      <c r="BA2" s="75">
        <v>47665.0</v>
      </c>
    </row>
    <row r="3" ht="14.25" customHeight="1">
      <c r="A3" s="70" t="s">
        <v>405</v>
      </c>
      <c r="B3" s="70" t="s">
        <v>406</v>
      </c>
      <c r="C3" s="70" t="s">
        <v>407</v>
      </c>
      <c r="D3" s="70" t="s">
        <v>408</v>
      </c>
      <c r="E3" s="70" t="s">
        <v>409</v>
      </c>
      <c r="F3" s="70" t="s">
        <v>410</v>
      </c>
      <c r="G3" s="70" t="s">
        <v>411</v>
      </c>
      <c r="H3" s="70" t="s">
        <v>412</v>
      </c>
      <c r="I3" s="70" t="s">
        <v>413</v>
      </c>
      <c r="J3" s="70" t="s">
        <v>414</v>
      </c>
      <c r="K3" s="70" t="s">
        <v>415</v>
      </c>
      <c r="L3" s="70" t="s">
        <v>416</v>
      </c>
      <c r="M3" s="70" t="s">
        <v>417</v>
      </c>
      <c r="N3" s="70" t="s">
        <v>418</v>
      </c>
      <c r="O3" s="70" t="s">
        <v>419</v>
      </c>
      <c r="P3" s="70" t="s">
        <v>420</v>
      </c>
      <c r="Q3" s="70" t="s">
        <v>421</v>
      </c>
      <c r="R3" s="70" t="s">
        <v>422</v>
      </c>
      <c r="S3" s="70" t="s">
        <v>423</v>
      </c>
      <c r="T3" s="70" t="s">
        <v>424</v>
      </c>
      <c r="U3" s="70" t="s">
        <v>425</v>
      </c>
      <c r="V3" s="70" t="s">
        <v>426</v>
      </c>
      <c r="W3" s="70" t="s">
        <v>427</v>
      </c>
      <c r="X3" s="70" t="s">
        <v>428</v>
      </c>
      <c r="Y3" s="70" t="s">
        <v>429</v>
      </c>
      <c r="Z3" s="70" t="s">
        <v>430</v>
      </c>
      <c r="AA3" s="70" t="s">
        <v>431</v>
      </c>
      <c r="AB3" s="70" t="s">
        <v>432</v>
      </c>
      <c r="AC3" s="70" t="s">
        <v>433</v>
      </c>
      <c r="AD3" s="70" t="s">
        <v>434</v>
      </c>
      <c r="AE3" s="70" t="s">
        <v>435</v>
      </c>
      <c r="AF3" s="70" t="s">
        <v>436</v>
      </c>
      <c r="AG3" s="70" t="s">
        <v>437</v>
      </c>
      <c r="AH3" s="70" t="s">
        <v>438</v>
      </c>
      <c r="AI3" s="70" t="s">
        <v>439</v>
      </c>
      <c r="AJ3" s="70" t="s">
        <v>440</v>
      </c>
      <c r="AK3" s="70" t="s">
        <v>441</v>
      </c>
      <c r="AL3" s="70" t="s">
        <v>442</v>
      </c>
      <c r="AM3" s="70" t="s">
        <v>443</v>
      </c>
      <c r="AN3" s="70" t="s">
        <v>444</v>
      </c>
      <c r="AO3" s="70" t="s">
        <v>445</v>
      </c>
      <c r="AP3" s="70" t="s">
        <v>446</v>
      </c>
      <c r="AQ3" s="70" t="s">
        <v>447</v>
      </c>
      <c r="AR3" s="70" t="s">
        <v>448</v>
      </c>
      <c r="AS3" s="70" t="s">
        <v>449</v>
      </c>
      <c r="AT3" s="70" t="s">
        <v>450</v>
      </c>
      <c r="AU3" s="70" t="s">
        <v>451</v>
      </c>
      <c r="AV3" s="70" t="s">
        <v>452</v>
      </c>
      <c r="AW3" s="70" t="s">
        <v>453</v>
      </c>
      <c r="AX3" s="70" t="s">
        <v>454</v>
      </c>
      <c r="AY3" s="70" t="s">
        <v>455</v>
      </c>
      <c r="AZ3" s="70" t="s">
        <v>456</v>
      </c>
      <c r="BA3" s="70" t="s">
        <v>457</v>
      </c>
    </row>
    <row r="4" ht="14.25" customHeight="1">
      <c r="A4" s="2" t="s">
        <v>581</v>
      </c>
    </row>
    <row r="5" ht="14.25" customHeight="1">
      <c r="A5" s="3" t="s">
        <v>582</v>
      </c>
      <c r="B5" s="71">
        <f>'Cash Flow'!B22</f>
        <v>15658.5</v>
      </c>
      <c r="C5" s="71">
        <f>'Cash Flow'!C22</f>
        <v>-28802.875</v>
      </c>
      <c r="D5" s="71">
        <f>'Cash Flow'!D22</f>
        <v>-70784.54375</v>
      </c>
      <c r="E5" s="71">
        <f>'Cash Flow'!E22</f>
        <v>-112907.7459</v>
      </c>
      <c r="F5" s="71">
        <f>'Cash Flow'!F22</f>
        <v>1330645.442</v>
      </c>
      <c r="G5" s="71">
        <f>'Cash Flow'!G22</f>
        <v>1286642.589</v>
      </c>
      <c r="H5" s="71">
        <f>'Cash Flow'!H22</f>
        <v>1229305.293</v>
      </c>
      <c r="I5" s="71">
        <f>'Cash Flow'!I22</f>
        <v>1159646.046</v>
      </c>
      <c r="J5" s="71">
        <f>'Cash Flow'!J22</f>
        <v>1081990.704</v>
      </c>
      <c r="K5" s="71">
        <f>'Cash Flow'!K22</f>
        <v>994646.3192</v>
      </c>
      <c r="L5" s="71">
        <f>'Cash Flow'!L22</f>
        <v>899224.3031</v>
      </c>
      <c r="M5" s="71">
        <f>'Cash Flow'!M22</f>
        <v>796181.0527</v>
      </c>
      <c r="N5" s="71">
        <f>'Cash Flow'!N22</f>
        <v>680813.6315</v>
      </c>
      <c r="O5" s="71">
        <f>'Cash Flow'!O22</f>
        <v>544695.8967</v>
      </c>
      <c r="P5" s="71">
        <f>'Cash Flow'!P22</f>
        <v>418021.2061</v>
      </c>
      <c r="Q5" s="71">
        <f>'Cash Flow'!Q22</f>
        <v>291830.7018</v>
      </c>
      <c r="R5" s="71">
        <f>'Cash Flow'!R22</f>
        <v>6150253.315</v>
      </c>
      <c r="S5" s="71">
        <f>'Cash Flow'!S22</f>
        <v>5969421.464</v>
      </c>
      <c r="T5" s="71">
        <f>'Cash Flow'!T22</f>
        <v>5801683.738</v>
      </c>
      <c r="U5" s="71">
        <f>'Cash Flow'!U22</f>
        <v>5622285.925</v>
      </c>
      <c r="V5" s="71">
        <f>'Cash Flow'!V22</f>
        <v>5447407.477</v>
      </c>
      <c r="W5" s="71">
        <f>'Cash Flow'!W22</f>
        <v>5255565.18</v>
      </c>
      <c r="X5" s="71">
        <f>'Cash Flow'!X22</f>
        <v>5067229.655</v>
      </c>
      <c r="Y5" s="71">
        <f>'Cash Flow'!Y22</f>
        <v>4864403.302</v>
      </c>
      <c r="Z5" s="71">
        <f>'Cash Flow'!Z22</f>
        <v>4674159.479</v>
      </c>
      <c r="AA5" s="71">
        <f>'Cash Flow'!AA22</f>
        <v>4483634.165</v>
      </c>
      <c r="AB5" s="71">
        <f>'Cash Flow'!AB22</f>
        <v>4290931.819</v>
      </c>
      <c r="AC5" s="71">
        <f>'Cash Flow'!AC22</f>
        <v>4100431.545</v>
      </c>
      <c r="AD5" s="71">
        <f>'Cash Flow'!AD22</f>
        <v>3914287.249</v>
      </c>
      <c r="AE5" s="71">
        <f>'Cash Flow'!AE22</f>
        <v>3711655.295</v>
      </c>
      <c r="AF5" s="71">
        <f>'Cash Flow'!AF22</f>
        <v>3528673.329</v>
      </c>
      <c r="AG5" s="71">
        <f>'Cash Flow'!AG22</f>
        <v>3345636.123</v>
      </c>
      <c r="AH5" s="71">
        <f>'Cash Flow'!AH22</f>
        <v>3160274.037</v>
      </c>
      <c r="AI5" s="71">
        <f>'Cash Flow'!AI22</f>
        <v>2990104.971</v>
      </c>
      <c r="AJ5" s="71">
        <f>'Cash Flow'!AJ22</f>
        <v>17805271.71</v>
      </c>
      <c r="AK5" s="71">
        <f>'Cash Flow'!AK22</f>
        <v>17610752.59</v>
      </c>
      <c r="AL5" s="71">
        <f>'Cash Flow'!AL22</f>
        <v>17428045.24</v>
      </c>
      <c r="AM5" s="71">
        <f>'Cash Flow'!AM22</f>
        <v>17249135.67</v>
      </c>
      <c r="AN5" s="71">
        <f>'Cash Flow'!AN22</f>
        <v>17067563.71</v>
      </c>
      <c r="AO5" s="71">
        <f>'Cash Flow'!AO22</f>
        <v>16902241.1</v>
      </c>
      <c r="AP5" s="71">
        <f>'Cash Flow'!AP22</f>
        <v>16736223.11</v>
      </c>
      <c r="AQ5" s="71">
        <f>'Cash Flow'!AQ22</f>
        <v>16567419.67</v>
      </c>
      <c r="AR5" s="71">
        <f>'Cash Flow'!AR22</f>
        <v>16414736.38</v>
      </c>
      <c r="AS5" s="71">
        <f>'Cash Flow'!AS22</f>
        <v>16261222.03</v>
      </c>
      <c r="AT5" s="71">
        <f>'Cash Flow'!AT22</f>
        <v>16104779.78</v>
      </c>
      <c r="AU5" s="71">
        <f>'Cash Flow'!AU22</f>
        <v>15964308.09</v>
      </c>
      <c r="AV5" s="71">
        <f>'Cash Flow'!AV22</f>
        <v>15822848.3</v>
      </c>
      <c r="AW5" s="71">
        <f>'Cash Flow'!AW22</f>
        <v>15678689.34</v>
      </c>
      <c r="AX5" s="71">
        <f>'Cash Flow'!AX22</f>
        <v>15525933.14</v>
      </c>
      <c r="AY5" s="71">
        <f>'Cash Flow'!AY22</f>
        <v>15380204.91</v>
      </c>
      <c r="AZ5" s="71">
        <f>'Cash Flow'!AZ22</f>
        <v>15231042.42</v>
      </c>
      <c r="BA5" s="71">
        <f>'Cash Flow'!BA22</f>
        <v>15098842.42</v>
      </c>
    </row>
    <row r="6" ht="14.25" customHeight="1">
      <c r="A6" s="3" t="s">
        <v>583</v>
      </c>
      <c r="B6" s="71">
        <f>'P&amp;L'!B7</f>
        <v>0</v>
      </c>
      <c r="C6" s="71">
        <f>'P&amp;L'!C7</f>
        <v>0</v>
      </c>
      <c r="D6" s="71">
        <f>'P&amp;L'!D7</f>
        <v>0</v>
      </c>
      <c r="E6" s="71">
        <f>'P&amp;L'!E7</f>
        <v>0</v>
      </c>
      <c r="F6" s="71">
        <f>'P&amp;L'!F7</f>
        <v>0</v>
      </c>
      <c r="G6" s="71">
        <f>'P&amp;L'!G7</f>
        <v>0</v>
      </c>
      <c r="H6" s="71">
        <f>'P&amp;L'!H7</f>
        <v>0</v>
      </c>
      <c r="I6" s="71">
        <f>'P&amp;L'!I7</f>
        <v>0</v>
      </c>
      <c r="J6" s="71">
        <f>'P&amp;L'!J7</f>
        <v>0</v>
      </c>
      <c r="K6" s="71">
        <f>'P&amp;L'!K7</f>
        <v>0</v>
      </c>
      <c r="L6" s="71">
        <f>'P&amp;L'!L7</f>
        <v>0</v>
      </c>
      <c r="M6" s="71">
        <f>'P&amp;L'!M7</f>
        <v>0</v>
      </c>
      <c r="N6" s="71">
        <f>'P&amp;L'!N7</f>
        <v>0</v>
      </c>
      <c r="O6" s="71">
        <f>'P&amp;L'!O7</f>
        <v>4320</v>
      </c>
      <c r="P6" s="71">
        <f>'P&amp;L'!P7</f>
        <v>4320</v>
      </c>
      <c r="Q6" s="71">
        <f>'P&amp;L'!Q7</f>
        <v>4320</v>
      </c>
      <c r="R6" s="71">
        <f>'P&amp;L'!R7</f>
        <v>4320</v>
      </c>
      <c r="S6" s="71">
        <f>'P&amp;L'!S7</f>
        <v>4320</v>
      </c>
      <c r="T6" s="71">
        <f>'P&amp;L'!T7</f>
        <v>4320</v>
      </c>
      <c r="U6" s="71">
        <f>'P&amp;L'!U7</f>
        <v>4320</v>
      </c>
      <c r="V6" s="71">
        <f>'P&amp;L'!V7</f>
        <v>4320</v>
      </c>
      <c r="W6" s="71">
        <f>'P&amp;L'!W7</f>
        <v>4320</v>
      </c>
      <c r="X6" s="71">
        <f>'P&amp;L'!X7</f>
        <v>4320</v>
      </c>
      <c r="Y6" s="71">
        <f>'P&amp;L'!Y7</f>
        <v>17820</v>
      </c>
      <c r="Z6" s="71">
        <f>'P&amp;L'!Z7</f>
        <v>19245.6</v>
      </c>
      <c r="AA6" s="71">
        <f>'P&amp;L'!AA7</f>
        <v>19245.6</v>
      </c>
      <c r="AB6" s="71">
        <f>'P&amp;L'!AB7</f>
        <v>33825.6</v>
      </c>
      <c r="AC6" s="71">
        <f>'P&amp;L'!AC7</f>
        <v>33825.6</v>
      </c>
      <c r="AD6" s="71">
        <f>'P&amp;L'!AD7</f>
        <v>33825.6</v>
      </c>
      <c r="AE6" s="71">
        <f>'P&amp;L'!AE7</f>
        <v>48405.6</v>
      </c>
      <c r="AF6" s="71">
        <f>'P&amp;L'!AF7</f>
        <v>48405.6</v>
      </c>
      <c r="AG6" s="71">
        <f>'P&amp;L'!AG7</f>
        <v>48405.6</v>
      </c>
      <c r="AH6" s="71">
        <f>'P&amp;L'!AH7</f>
        <v>62985.6</v>
      </c>
      <c r="AI6" s="71">
        <f>'P&amp;L'!AI7</f>
        <v>62985.6</v>
      </c>
      <c r="AJ6" s="71">
        <f>'P&amp;L'!AJ7</f>
        <v>62985.6</v>
      </c>
      <c r="AK6" s="71">
        <f>'P&amp;L'!AK7</f>
        <v>77565.6</v>
      </c>
      <c r="AL6" s="71">
        <f>'P&amp;L'!AL7</f>
        <v>83770.848</v>
      </c>
      <c r="AM6" s="71">
        <f>'P&amp;L'!AM7</f>
        <v>83770.848</v>
      </c>
      <c r="AN6" s="71">
        <f>'P&amp;L'!AN7</f>
        <v>99517.248</v>
      </c>
      <c r="AO6" s="71">
        <f>'P&amp;L'!AO7</f>
        <v>99517.248</v>
      </c>
      <c r="AP6" s="71">
        <f>'P&amp;L'!AP7</f>
        <v>99517.248</v>
      </c>
      <c r="AQ6" s="71">
        <f>'P&amp;L'!AQ7</f>
        <v>115263.648</v>
      </c>
      <c r="AR6" s="71">
        <f>'P&amp;L'!AR7</f>
        <v>115263.648</v>
      </c>
      <c r="AS6" s="71">
        <f>'P&amp;L'!AS7</f>
        <v>115263.648</v>
      </c>
      <c r="AT6" s="71">
        <f>'P&amp;L'!AT7</f>
        <v>131010.048</v>
      </c>
      <c r="AU6" s="71">
        <f>'P&amp;L'!AU7</f>
        <v>131010.048</v>
      </c>
      <c r="AV6" s="71">
        <f>'P&amp;L'!AV7</f>
        <v>131010.048</v>
      </c>
      <c r="AW6" s="71">
        <f>'P&amp;L'!AW7</f>
        <v>131010.048</v>
      </c>
      <c r="AX6" s="71">
        <f>'P&amp;L'!AX7</f>
        <v>141490.8518</v>
      </c>
      <c r="AY6" s="71">
        <f>'P&amp;L'!AY7</f>
        <v>141490.8518</v>
      </c>
      <c r="AZ6" s="71">
        <f>'P&amp;L'!AZ7</f>
        <v>158496.9638</v>
      </c>
      <c r="BA6" s="71">
        <f>'P&amp;L'!BA7</f>
        <v>158496.9638</v>
      </c>
    </row>
    <row r="7" ht="14.25" customHeight="1">
      <c r="A7" s="3" t="s">
        <v>584</v>
      </c>
      <c r="B7" s="74">
        <v>0.0</v>
      </c>
      <c r="C7" s="74">
        <v>0.0</v>
      </c>
      <c r="D7" s="74">
        <v>0.0</v>
      </c>
      <c r="E7" s="74">
        <v>0.0</v>
      </c>
      <c r="F7" s="74">
        <v>0.0</v>
      </c>
      <c r="G7" s="74">
        <v>0.0</v>
      </c>
      <c r="H7" s="74">
        <v>0.0</v>
      </c>
      <c r="I7" s="74">
        <v>0.0</v>
      </c>
      <c r="J7" s="74">
        <v>0.0</v>
      </c>
      <c r="K7" s="74">
        <v>0.0</v>
      </c>
      <c r="L7" s="74">
        <v>0.0</v>
      </c>
      <c r="M7" s="74">
        <v>0.0</v>
      </c>
      <c r="N7" s="74">
        <v>0.0</v>
      </c>
      <c r="O7" s="74">
        <v>0.0</v>
      </c>
      <c r="P7" s="74">
        <v>0.0</v>
      </c>
      <c r="Q7" s="74">
        <v>0.0</v>
      </c>
      <c r="R7" s="74">
        <v>0.0</v>
      </c>
      <c r="S7" s="74">
        <v>0.0</v>
      </c>
      <c r="T7" s="74">
        <v>0.0</v>
      </c>
      <c r="U7" s="74">
        <v>0.0</v>
      </c>
      <c r="V7" s="74">
        <v>0.0</v>
      </c>
      <c r="W7" s="74">
        <v>0.0</v>
      </c>
      <c r="X7" s="74">
        <v>0.0</v>
      </c>
      <c r="Y7" s="74">
        <v>0.0</v>
      </c>
      <c r="Z7" s="74">
        <v>0.0</v>
      </c>
      <c r="AA7" s="74">
        <v>0.0</v>
      </c>
      <c r="AB7" s="74">
        <v>0.0</v>
      </c>
      <c r="AC7" s="74">
        <v>0.0</v>
      </c>
      <c r="AD7" s="74">
        <v>0.0</v>
      </c>
      <c r="AE7" s="74">
        <v>0.0</v>
      </c>
      <c r="AF7" s="74">
        <v>0.0</v>
      </c>
      <c r="AG7" s="74">
        <v>0.0</v>
      </c>
      <c r="AH7" s="74">
        <v>0.0</v>
      </c>
      <c r="AI7" s="74">
        <v>0.0</v>
      </c>
      <c r="AJ7" s="74">
        <v>0.0</v>
      </c>
      <c r="AK7" s="74">
        <v>0.0</v>
      </c>
      <c r="AL7" s="74">
        <v>0.0</v>
      </c>
      <c r="AM7" s="74">
        <v>0.0</v>
      </c>
      <c r="AN7" s="74">
        <v>0.0</v>
      </c>
      <c r="AO7" s="74">
        <v>0.0</v>
      </c>
      <c r="AP7" s="74">
        <v>0.0</v>
      </c>
      <c r="AQ7" s="74">
        <v>0.0</v>
      </c>
      <c r="AR7" s="74">
        <v>0.0</v>
      </c>
      <c r="AS7" s="74">
        <v>0.0</v>
      </c>
      <c r="AT7" s="74">
        <v>0.0</v>
      </c>
      <c r="AU7" s="74">
        <v>0.0</v>
      </c>
      <c r="AV7" s="74">
        <v>0.0</v>
      </c>
      <c r="AW7" s="74">
        <v>0.0</v>
      </c>
      <c r="AX7" s="74">
        <v>0.0</v>
      </c>
      <c r="AY7" s="74">
        <v>0.0</v>
      </c>
      <c r="AZ7" s="74">
        <v>0.0</v>
      </c>
      <c r="BA7" s="74">
        <v>0.0</v>
      </c>
    </row>
    <row r="8" ht="14.25" customHeight="1">
      <c r="A8" s="3" t="s">
        <v>585</v>
      </c>
      <c r="B8" s="74">
        <f>Costs!B123+Inputs!$B$103</f>
        <v>14900</v>
      </c>
      <c r="C8" s="74">
        <f>B8+Costs!C123-'P&amp;L'!C32</f>
        <v>14900</v>
      </c>
      <c r="D8" s="74">
        <f>C8+Costs!D123-'P&amp;L'!D32</f>
        <v>14900</v>
      </c>
      <c r="E8" s="74">
        <f>D8+Costs!E123-'P&amp;L'!E32</f>
        <v>14900</v>
      </c>
      <c r="F8" s="74">
        <f>E8+Costs!F123-'P&amp;L'!F32</f>
        <v>14900</v>
      </c>
      <c r="G8" s="74">
        <f>F8+Costs!G123-'P&amp;L'!G32</f>
        <v>14900</v>
      </c>
      <c r="H8" s="74">
        <f>G8+Costs!H123-'P&amp;L'!H32</f>
        <v>18108.33333</v>
      </c>
      <c r="I8" s="74">
        <f>H8+Costs!I123-'P&amp;L'!I32</f>
        <v>21316.66667</v>
      </c>
      <c r="J8" s="74">
        <f>I8+Costs!J123-'P&amp;L'!J32</f>
        <v>24525</v>
      </c>
      <c r="K8" s="74">
        <f>J8+Costs!K123-'P&amp;L'!K32</f>
        <v>27733.33333</v>
      </c>
      <c r="L8" s="74">
        <f>K8+Costs!L123-'P&amp;L'!L32</f>
        <v>30941.66667</v>
      </c>
      <c r="M8" s="74">
        <f>L8+Costs!M123-'P&amp;L'!M32</f>
        <v>34150</v>
      </c>
      <c r="N8" s="74">
        <f>M8+Costs!N123-'P&amp;L'!N32</f>
        <v>37358.33333</v>
      </c>
      <c r="O8" s="74">
        <f>N8+Costs!O123-'P&amp;L'!O32</f>
        <v>43775</v>
      </c>
      <c r="P8" s="74">
        <f>O8+Costs!P123-'P&amp;L'!P32</f>
        <v>43775</v>
      </c>
      <c r="Q8" s="74">
        <f>P8+Costs!Q123-'P&amp;L'!Q32</f>
        <v>43775</v>
      </c>
      <c r="R8" s="74">
        <f>Q8+Costs!R123-'P&amp;L'!R32</f>
        <v>43775</v>
      </c>
      <c r="S8" s="74">
        <f>R8+Costs!S123-'P&amp;L'!S32</f>
        <v>53400</v>
      </c>
      <c r="T8" s="74">
        <f>S8+Costs!T123-'P&amp;L'!T32</f>
        <v>53400</v>
      </c>
      <c r="U8" s="74">
        <f>T8+Costs!U123-'P&amp;L'!U32</f>
        <v>56608.33333</v>
      </c>
      <c r="V8" s="74">
        <f>U8+Costs!V123-'P&amp;L'!V32</f>
        <v>56608.33333</v>
      </c>
      <c r="W8" s="74">
        <f>V8+Costs!W123-'P&amp;L'!W32</f>
        <v>59816.66667</v>
      </c>
      <c r="X8" s="74">
        <f>W8+Costs!X123-'P&amp;L'!X32</f>
        <v>59816.66667</v>
      </c>
      <c r="Y8" s="74">
        <f>X8+Costs!Y123-'P&amp;L'!Y32</f>
        <v>63025</v>
      </c>
      <c r="Z8" s="74">
        <f>Y8+Costs!Z123-'P&amp;L'!Z32</f>
        <v>63025</v>
      </c>
      <c r="AA8" s="74">
        <f>Z8+Costs!AA123-'P&amp;L'!AA32</f>
        <v>63025</v>
      </c>
      <c r="AB8" s="74">
        <f>AA8+Costs!AB123-'P&amp;L'!AB32</f>
        <v>63025</v>
      </c>
      <c r="AC8" s="74">
        <f>AB8+Costs!AC123-'P&amp;L'!AC32</f>
        <v>66233.33333</v>
      </c>
      <c r="AD8" s="74">
        <f>AC8+Costs!AD123-'P&amp;L'!AD32</f>
        <v>66233.33333</v>
      </c>
      <c r="AE8" s="74">
        <f>AD8+Costs!AE123-'P&amp;L'!AE32</f>
        <v>69441.66667</v>
      </c>
      <c r="AF8" s="74">
        <f>AE8+Costs!AF123-'P&amp;L'!AF32</f>
        <v>69441.66667</v>
      </c>
      <c r="AG8" s="74">
        <f>AF8+Costs!AG123-'P&amp;L'!AG32</f>
        <v>69441.66667</v>
      </c>
      <c r="AH8" s="74">
        <f>AG8+Costs!AH123-'P&amp;L'!AH32</f>
        <v>69441.66667</v>
      </c>
      <c r="AI8" s="74">
        <f>AH8+Costs!AI123-'P&amp;L'!AI32</f>
        <v>69441.66667</v>
      </c>
      <c r="AJ8" s="74">
        <f>AI8+Costs!AJ123-'P&amp;L'!AJ32</f>
        <v>69441.66667</v>
      </c>
      <c r="AK8" s="74">
        <f>AJ8+Costs!AK123-'P&amp;L'!AK32</f>
        <v>72650</v>
      </c>
      <c r="AL8" s="74">
        <f>AK8+Costs!AL123-'P&amp;L'!AL32</f>
        <v>72650</v>
      </c>
      <c r="AM8" s="74">
        <f>AL8+Costs!AM123-'P&amp;L'!AM32</f>
        <v>72650</v>
      </c>
      <c r="AN8" s="74">
        <f>AM8+Costs!AN123-'P&amp;L'!AN32</f>
        <v>72650</v>
      </c>
      <c r="AO8" s="74">
        <f>AN8+Costs!AO123-'P&amp;L'!AO32</f>
        <v>72650</v>
      </c>
      <c r="AP8" s="74">
        <f>AO8+Costs!AP123-'P&amp;L'!AP32</f>
        <v>72650</v>
      </c>
      <c r="AQ8" s="74">
        <f>AP8+Costs!AQ123-'P&amp;L'!AQ32</f>
        <v>72650</v>
      </c>
      <c r="AR8" s="74">
        <f>AQ8+Costs!AR123-'P&amp;L'!AR32</f>
        <v>72650</v>
      </c>
      <c r="AS8" s="74">
        <f>AR8+Costs!AS123-'P&amp;L'!AS32</f>
        <v>72650</v>
      </c>
      <c r="AT8" s="74">
        <f>AS8+Costs!AT123-'P&amp;L'!AT32</f>
        <v>72650</v>
      </c>
      <c r="AU8" s="74">
        <f>AT8+Costs!AU123-'P&amp;L'!AU32</f>
        <v>72650</v>
      </c>
      <c r="AV8" s="74">
        <f>AU8+Costs!AV123-'P&amp;L'!AV32</f>
        <v>72650</v>
      </c>
      <c r="AW8" s="74">
        <f>AV8+Costs!AW123-'P&amp;L'!AW32</f>
        <v>72650</v>
      </c>
      <c r="AX8" s="74">
        <f>AW8+Costs!AX123-'P&amp;L'!AX32</f>
        <v>72650</v>
      </c>
      <c r="AY8" s="74">
        <f>AX8+Costs!AY123-'P&amp;L'!AY32</f>
        <v>72650</v>
      </c>
      <c r="AZ8" s="74">
        <f>AY8+Costs!AZ123-'P&amp;L'!AZ32</f>
        <v>72650</v>
      </c>
      <c r="BA8" s="74">
        <f>AZ8+Costs!BA123-'P&amp;L'!BA32</f>
        <v>72650</v>
      </c>
    </row>
    <row r="9" ht="14.25" customHeight="1">
      <c r="A9" s="2" t="s">
        <v>586</v>
      </c>
      <c r="B9" s="72">
        <f t="shared" ref="B9:BA9" si="1">SUM(B5:B8)</f>
        <v>30558.5</v>
      </c>
      <c r="C9" s="72">
        <f t="shared" si="1"/>
        <v>-13902.875</v>
      </c>
      <c r="D9" s="72">
        <f t="shared" si="1"/>
        <v>-55884.54375</v>
      </c>
      <c r="E9" s="72">
        <f t="shared" si="1"/>
        <v>-98007.74594</v>
      </c>
      <c r="F9" s="72">
        <f t="shared" si="1"/>
        <v>1345545.442</v>
      </c>
      <c r="G9" s="72">
        <f t="shared" si="1"/>
        <v>1301542.589</v>
      </c>
      <c r="H9" s="72">
        <f t="shared" si="1"/>
        <v>1247413.627</v>
      </c>
      <c r="I9" s="72">
        <f t="shared" si="1"/>
        <v>1180962.713</v>
      </c>
      <c r="J9" s="72">
        <f t="shared" si="1"/>
        <v>1106515.704</v>
      </c>
      <c r="K9" s="72">
        <f t="shared" si="1"/>
        <v>1022379.653</v>
      </c>
      <c r="L9" s="72">
        <f t="shared" si="1"/>
        <v>930165.9698</v>
      </c>
      <c r="M9" s="72">
        <f t="shared" si="1"/>
        <v>830331.0527</v>
      </c>
      <c r="N9" s="72">
        <f t="shared" si="1"/>
        <v>718171.9649</v>
      </c>
      <c r="O9" s="72">
        <f t="shared" si="1"/>
        <v>592790.8967</v>
      </c>
      <c r="P9" s="72">
        <f t="shared" si="1"/>
        <v>466116.2061</v>
      </c>
      <c r="Q9" s="72">
        <f t="shared" si="1"/>
        <v>339925.7018</v>
      </c>
      <c r="R9" s="72">
        <f t="shared" si="1"/>
        <v>6198348.315</v>
      </c>
      <c r="S9" s="72">
        <f t="shared" si="1"/>
        <v>6027141.464</v>
      </c>
      <c r="T9" s="72">
        <f t="shared" si="1"/>
        <v>5859403.738</v>
      </c>
      <c r="U9" s="72">
        <f t="shared" si="1"/>
        <v>5683214.258</v>
      </c>
      <c r="V9" s="72">
        <f t="shared" si="1"/>
        <v>5508335.81</v>
      </c>
      <c r="W9" s="72">
        <f t="shared" si="1"/>
        <v>5319701.847</v>
      </c>
      <c r="X9" s="72">
        <f t="shared" si="1"/>
        <v>5131366.321</v>
      </c>
      <c r="Y9" s="72">
        <f t="shared" si="1"/>
        <v>4945248.302</v>
      </c>
      <c r="Z9" s="72">
        <f t="shared" si="1"/>
        <v>4756430.079</v>
      </c>
      <c r="AA9" s="72">
        <f t="shared" si="1"/>
        <v>4565904.765</v>
      </c>
      <c r="AB9" s="72">
        <f t="shared" si="1"/>
        <v>4387782.419</v>
      </c>
      <c r="AC9" s="72">
        <f t="shared" si="1"/>
        <v>4200490.478</v>
      </c>
      <c r="AD9" s="72">
        <f t="shared" si="1"/>
        <v>4014346.183</v>
      </c>
      <c r="AE9" s="72">
        <f t="shared" si="1"/>
        <v>3829502.561</v>
      </c>
      <c r="AF9" s="72">
        <f t="shared" si="1"/>
        <v>3646520.595</v>
      </c>
      <c r="AG9" s="72">
        <f t="shared" si="1"/>
        <v>3463483.39</v>
      </c>
      <c r="AH9" s="72">
        <f t="shared" si="1"/>
        <v>3292701.303</v>
      </c>
      <c r="AI9" s="72">
        <f t="shared" si="1"/>
        <v>3122532.238</v>
      </c>
      <c r="AJ9" s="72">
        <f t="shared" si="1"/>
        <v>17937698.98</v>
      </c>
      <c r="AK9" s="72">
        <f t="shared" si="1"/>
        <v>17760968.19</v>
      </c>
      <c r="AL9" s="72">
        <f t="shared" si="1"/>
        <v>17584466.09</v>
      </c>
      <c r="AM9" s="72">
        <f t="shared" si="1"/>
        <v>17405556.52</v>
      </c>
      <c r="AN9" s="72">
        <f t="shared" si="1"/>
        <v>17239730.96</v>
      </c>
      <c r="AO9" s="72">
        <f t="shared" si="1"/>
        <v>17074408.35</v>
      </c>
      <c r="AP9" s="72">
        <f t="shared" si="1"/>
        <v>16908390.36</v>
      </c>
      <c r="AQ9" s="72">
        <f t="shared" si="1"/>
        <v>16755333.32</v>
      </c>
      <c r="AR9" s="72">
        <f t="shared" si="1"/>
        <v>16602650.03</v>
      </c>
      <c r="AS9" s="72">
        <f t="shared" si="1"/>
        <v>16449135.68</v>
      </c>
      <c r="AT9" s="72">
        <f t="shared" si="1"/>
        <v>16308439.82</v>
      </c>
      <c r="AU9" s="72">
        <f t="shared" si="1"/>
        <v>16167968.14</v>
      </c>
      <c r="AV9" s="72">
        <f t="shared" si="1"/>
        <v>16026508.34</v>
      </c>
      <c r="AW9" s="72">
        <f t="shared" si="1"/>
        <v>15882349.39</v>
      </c>
      <c r="AX9" s="72">
        <f t="shared" si="1"/>
        <v>15740073.99</v>
      </c>
      <c r="AY9" s="72">
        <f t="shared" si="1"/>
        <v>15594345.76</v>
      </c>
      <c r="AZ9" s="72">
        <f t="shared" si="1"/>
        <v>15462189.38</v>
      </c>
      <c r="BA9" s="72">
        <f t="shared" si="1"/>
        <v>15329989.39</v>
      </c>
    </row>
    <row r="10" ht="14.25" customHeight="1"/>
    <row r="11" ht="14.25" customHeight="1">
      <c r="A11" s="2" t="s">
        <v>587</v>
      </c>
    </row>
    <row r="12" ht="14.25" customHeight="1">
      <c r="A12" s="3" t="s">
        <v>588</v>
      </c>
      <c r="B12" s="74">
        <f>Costs!B132*0.1</f>
        <v>6687.1</v>
      </c>
      <c r="C12" s="74">
        <f>Costs!C132*0.1</f>
        <v>4080.475</v>
      </c>
      <c r="D12" s="74">
        <f>Costs!D132*0.1</f>
        <v>4088.74375</v>
      </c>
      <c r="E12" s="74">
        <f>Costs!E132*0.1</f>
        <v>4097.425938</v>
      </c>
      <c r="F12" s="74">
        <f>Costs!F132*0.1</f>
        <v>5681.542234</v>
      </c>
      <c r="G12" s="74">
        <f>Costs!G132*0.1</f>
        <v>4116.114346</v>
      </c>
      <c r="H12" s="74">
        <f>Costs!H132*0.1</f>
        <v>5478.565063</v>
      </c>
      <c r="I12" s="74">
        <f>Costs!I132*0.1</f>
        <v>6706.768317</v>
      </c>
      <c r="J12" s="74">
        <f>Costs!J132*0.1</f>
        <v>7406.124232</v>
      </c>
      <c r="K12" s="74">
        <f>Costs!K132*0.1</f>
        <v>8423.659194</v>
      </c>
      <c r="L12" s="74">
        <f>Costs!L132*0.1</f>
        <v>9177.088404</v>
      </c>
      <c r="M12" s="74">
        <f>Costs!M132*0.1</f>
        <v>9931.128449</v>
      </c>
      <c r="N12" s="74">
        <f>Costs!N132*0.1</f>
        <v>11255.41737</v>
      </c>
      <c r="O12" s="74">
        <f>Costs!O132*0.1</f>
        <v>13516.83536</v>
      </c>
      <c r="P12" s="74">
        <f>Costs!P132*0.1</f>
        <v>12793.32485</v>
      </c>
      <c r="Q12" s="74">
        <f>Costs!Q132*0.1</f>
        <v>12808.91681</v>
      </c>
      <c r="R12" s="74">
        <f>Costs!R132*0.1</f>
        <v>14505.28837</v>
      </c>
      <c r="S12" s="74">
        <f>Costs!S132*0.1</f>
        <v>17848.61601</v>
      </c>
      <c r="T12" s="74">
        <f>Costs!T132*0.1</f>
        <v>16827.16565</v>
      </c>
      <c r="U12" s="74">
        <f>Costs!U132*0.1</f>
        <v>17912.65528</v>
      </c>
      <c r="V12" s="74">
        <f>Costs!V132*0.1</f>
        <v>17586.05501</v>
      </c>
      <c r="W12" s="74">
        <f>Costs!W132*0.1</f>
        <v>19229.33098</v>
      </c>
      <c r="X12" s="74">
        <f>Costs!X132*0.1</f>
        <v>18904.77044</v>
      </c>
      <c r="Y12" s="74">
        <f>Costs!Y132*0.1</f>
        <v>20191.67874</v>
      </c>
      <c r="Z12" s="74">
        <f>Costs!Z132*0.1</f>
        <v>20542.48393</v>
      </c>
      <c r="AA12" s="74">
        <f>Costs!AA132*0.1</f>
        <v>20567.88159</v>
      </c>
      <c r="AB12" s="74">
        <f>Costs!AB132*0.1</f>
        <v>20747.63914</v>
      </c>
      <c r="AC12" s="74">
        <f>Costs!AC132*0.1</f>
        <v>21780.80178</v>
      </c>
      <c r="AD12" s="74">
        <f>Costs!AD132*0.1</f>
        <v>21463.70275</v>
      </c>
      <c r="AE12" s="74">
        <f>Costs!AE132*0.1</f>
        <v>22981.00626</v>
      </c>
      <c r="AF12" s="74">
        <f>Costs!AF132*0.1</f>
        <v>22513.83083</v>
      </c>
      <c r="AG12" s="74">
        <f>Costs!AG132*0.1</f>
        <v>22547.86613</v>
      </c>
      <c r="AH12" s="74">
        <f>Costs!AH132*0.1</f>
        <v>22736.69319</v>
      </c>
      <c r="AI12" s="74">
        <f>Costs!AI132*0.1</f>
        <v>22621.1271</v>
      </c>
      <c r="AJ12" s="74">
        <f>Costs!AJ132*0.1</f>
        <v>24235.52721</v>
      </c>
      <c r="AK12" s="74">
        <f>Costs!AK132*0.1</f>
        <v>24824.46576</v>
      </c>
      <c r="AL12" s="74">
        <f>Costs!AL132*0.1</f>
        <v>25384.42455</v>
      </c>
      <c r="AM12" s="74">
        <f>Costs!AM132*0.1</f>
        <v>25430.0351</v>
      </c>
      <c r="AN12" s="74">
        <f>Costs!AN132*0.1</f>
        <v>25643.26338</v>
      </c>
      <c r="AO12" s="74">
        <f>Costs!AO132*0.1</f>
        <v>25528.21182</v>
      </c>
      <c r="AP12" s="74">
        <f>Costs!AP132*0.1</f>
        <v>25581.01173</v>
      </c>
      <c r="AQ12" s="74">
        <f>Costs!AQ132*0.1</f>
        <v>25801.78884</v>
      </c>
      <c r="AR12" s="74">
        <f>Costs!AR132*0.1</f>
        <v>25694.66355</v>
      </c>
      <c r="AS12" s="74">
        <f>Costs!AS132*0.1</f>
        <v>25755.78605</v>
      </c>
      <c r="AT12" s="74">
        <f>Costs!AT132*0.1</f>
        <v>25985.30188</v>
      </c>
      <c r="AU12" s="74">
        <f>Costs!AU132*0.1</f>
        <v>25887.35224</v>
      </c>
      <c r="AV12" s="74">
        <f>Costs!AV132*0.1</f>
        <v>25958.10917</v>
      </c>
      <c r="AW12" s="74">
        <f>Costs!AW132*0.1</f>
        <v>26197.74116</v>
      </c>
      <c r="AX12" s="74">
        <f>Costs!AX132*0.1</f>
        <v>27177.32916</v>
      </c>
      <c r="AY12" s="74">
        <f>Costs!AY132*0.1</f>
        <v>27259.23915</v>
      </c>
      <c r="AZ12" s="74">
        <f>Costs!AZ132*0.1</f>
        <v>27523.80883</v>
      </c>
      <c r="BA12" s="74">
        <f>Costs!BA132*0.1</f>
        <v>27435.55043</v>
      </c>
    </row>
    <row r="13" ht="14.25" customHeight="1">
      <c r="A13" s="3" t="s">
        <v>589</v>
      </c>
      <c r="B13" s="74">
        <f>Costs!B78*0.08</f>
        <v>1742.4</v>
      </c>
      <c r="C13" s="74">
        <f>Costs!C78*0.08</f>
        <v>1742.4</v>
      </c>
      <c r="D13" s="74">
        <f>Costs!D78*0.08</f>
        <v>1742.4</v>
      </c>
      <c r="E13" s="74">
        <f>Costs!E78*0.08</f>
        <v>1742.4</v>
      </c>
      <c r="F13" s="74">
        <f>Costs!F78*0.08</f>
        <v>1742.4</v>
      </c>
      <c r="G13" s="74">
        <f>Costs!G78*0.08</f>
        <v>1742.4</v>
      </c>
      <c r="H13" s="74">
        <f>Costs!H78*0.08</f>
        <v>2468.4</v>
      </c>
      <c r="I13" s="74">
        <f>Costs!I78*0.08</f>
        <v>3355.733333</v>
      </c>
      <c r="J13" s="74">
        <f>Costs!J78*0.08</f>
        <v>3839.733333</v>
      </c>
      <c r="K13" s="74">
        <f>Costs!K78*0.08</f>
        <v>4565.733333</v>
      </c>
      <c r="L13" s="74">
        <f>Costs!L78*0.08</f>
        <v>5090.066667</v>
      </c>
      <c r="M13" s="74">
        <f>Costs!M78*0.08</f>
        <v>5614.4</v>
      </c>
      <c r="N13" s="74">
        <f>Costs!N78*0.08</f>
        <v>6572.72</v>
      </c>
      <c r="O13" s="74">
        <f>Costs!O78*0.08</f>
        <v>7885.57</v>
      </c>
      <c r="P13" s="74">
        <f>Costs!P78*0.08</f>
        <v>7885.57</v>
      </c>
      <c r="Q13" s="74">
        <f>Costs!Q78*0.08</f>
        <v>7885.57</v>
      </c>
      <c r="R13" s="74">
        <f>Costs!R78*0.08</f>
        <v>7885.57</v>
      </c>
      <c r="S13" s="74">
        <f>Costs!S78*0.08</f>
        <v>10426.57</v>
      </c>
      <c r="T13" s="74">
        <f>Costs!T78*0.08</f>
        <v>10426.57</v>
      </c>
      <c r="U13" s="74">
        <f>Costs!U78*0.08</f>
        <v>10934.77</v>
      </c>
      <c r="V13" s="74">
        <f>Costs!V78*0.08</f>
        <v>10934.77</v>
      </c>
      <c r="W13" s="74">
        <f>Costs!W78*0.08</f>
        <v>11866.47</v>
      </c>
      <c r="X13" s="74">
        <f>Costs!X78*0.08</f>
        <v>11866.47</v>
      </c>
      <c r="Y13" s="74">
        <f>Costs!Y78*0.08</f>
        <v>12417.02</v>
      </c>
      <c r="Z13" s="74">
        <f>Costs!Z78*0.08</f>
        <v>13037.871</v>
      </c>
      <c r="AA13" s="74">
        <f>Costs!AA78*0.08</f>
        <v>13037.871</v>
      </c>
      <c r="AB13" s="74">
        <f>Costs!AB78*0.08</f>
        <v>13037.871</v>
      </c>
      <c r="AC13" s="74">
        <f>Costs!AC78*0.08</f>
        <v>13615.9485</v>
      </c>
      <c r="AD13" s="74">
        <f>Costs!AD78*0.08</f>
        <v>13615.9485</v>
      </c>
      <c r="AE13" s="74">
        <f>Costs!AE78*0.08</f>
        <v>14327.4285</v>
      </c>
      <c r="AF13" s="74">
        <f>Costs!AF78*0.08</f>
        <v>14327.4285</v>
      </c>
      <c r="AG13" s="74">
        <f>Costs!AG78*0.08</f>
        <v>14327.4285</v>
      </c>
      <c r="AH13" s="74">
        <f>Costs!AH78*0.08</f>
        <v>14327.4285</v>
      </c>
      <c r="AI13" s="74">
        <f>Costs!AI78*0.08</f>
        <v>14327.4285</v>
      </c>
      <c r="AJ13" s="74">
        <f>Costs!AJ78*0.08</f>
        <v>14327.4285</v>
      </c>
      <c r="AK13" s="74">
        <f>Costs!AK78*0.08</f>
        <v>15483.5835</v>
      </c>
      <c r="AL13" s="74">
        <f>Costs!AL78*0.08</f>
        <v>16257.76268</v>
      </c>
      <c r="AM13" s="74">
        <f>Costs!AM78*0.08</f>
        <v>16257.76268</v>
      </c>
      <c r="AN13" s="74">
        <f>Costs!AN78*0.08</f>
        <v>16257.76268</v>
      </c>
      <c r="AO13" s="74">
        <f>Costs!AO78*0.08</f>
        <v>16257.76268</v>
      </c>
      <c r="AP13" s="74">
        <f>Costs!AP78*0.08</f>
        <v>16257.76268</v>
      </c>
      <c r="AQ13" s="74">
        <f>Costs!AQ78*0.08</f>
        <v>16257.76268</v>
      </c>
      <c r="AR13" s="74">
        <f>Costs!AR78*0.08</f>
        <v>16257.76268</v>
      </c>
      <c r="AS13" s="74">
        <f>Costs!AS78*0.08</f>
        <v>16257.76268</v>
      </c>
      <c r="AT13" s="74">
        <f>Costs!AT78*0.08</f>
        <v>16257.76268</v>
      </c>
      <c r="AU13" s="74">
        <f>Costs!AU78*0.08</f>
        <v>16257.76268</v>
      </c>
      <c r="AV13" s="74">
        <f>Costs!AV78*0.08</f>
        <v>16257.76268</v>
      </c>
      <c r="AW13" s="74">
        <f>Costs!AW78*0.08</f>
        <v>16257.76268</v>
      </c>
      <c r="AX13" s="74">
        <f>Costs!AX78*0.08</f>
        <v>17070.65081</v>
      </c>
      <c r="AY13" s="74">
        <f>Costs!AY78*0.08</f>
        <v>17070.65081</v>
      </c>
      <c r="AZ13" s="74">
        <f>Costs!AZ78*0.08</f>
        <v>17070.65081</v>
      </c>
      <c r="BA13" s="74">
        <f>Costs!BA78*0.08</f>
        <v>17070.65081</v>
      </c>
    </row>
    <row r="14" ht="14.25" customHeight="1">
      <c r="A14" s="3" t="s">
        <v>590</v>
      </c>
      <c r="B14" s="74">
        <f>'P&amp;L'!B5</f>
        <v>0</v>
      </c>
      <c r="C14" s="74">
        <f>'P&amp;L'!C5</f>
        <v>0</v>
      </c>
      <c r="D14" s="74">
        <f>'P&amp;L'!D5</f>
        <v>0</v>
      </c>
      <c r="E14" s="74">
        <f>'P&amp;L'!E5</f>
        <v>0</v>
      </c>
      <c r="F14" s="74">
        <f>'P&amp;L'!F5</f>
        <v>0</v>
      </c>
      <c r="G14" s="74">
        <f>'P&amp;L'!G5</f>
        <v>0</v>
      </c>
      <c r="H14" s="74">
        <f>'P&amp;L'!H5</f>
        <v>0</v>
      </c>
      <c r="I14" s="74">
        <f>'P&amp;L'!I5</f>
        <v>0</v>
      </c>
      <c r="J14" s="74">
        <f>'P&amp;L'!J5</f>
        <v>0</v>
      </c>
      <c r="K14" s="74">
        <f>'P&amp;L'!K5</f>
        <v>0</v>
      </c>
      <c r="L14" s="74">
        <f>'P&amp;L'!L5</f>
        <v>0</v>
      </c>
      <c r="M14" s="74">
        <f>'P&amp;L'!M5</f>
        <v>0</v>
      </c>
      <c r="N14" s="74">
        <f>'P&amp;L'!N5</f>
        <v>0</v>
      </c>
      <c r="O14" s="74">
        <f>'P&amp;L'!O5</f>
        <v>4320</v>
      </c>
      <c r="P14" s="74">
        <f>'P&amp;L'!P5</f>
        <v>4320</v>
      </c>
      <c r="Q14" s="74">
        <f>'P&amp;L'!Q5</f>
        <v>4320</v>
      </c>
      <c r="R14" s="74">
        <f>'P&amp;L'!R5</f>
        <v>4320</v>
      </c>
      <c r="S14" s="74">
        <f>'P&amp;L'!S5</f>
        <v>4320</v>
      </c>
      <c r="T14" s="74">
        <f>'P&amp;L'!T5</f>
        <v>4320</v>
      </c>
      <c r="U14" s="74">
        <f>'P&amp;L'!U5</f>
        <v>4320</v>
      </c>
      <c r="V14" s="74">
        <f>'P&amp;L'!V5</f>
        <v>4320</v>
      </c>
      <c r="W14" s="74">
        <f>'P&amp;L'!W5</f>
        <v>4320</v>
      </c>
      <c r="X14" s="74">
        <f>'P&amp;L'!X5</f>
        <v>4320</v>
      </c>
      <c r="Y14" s="74">
        <f>'P&amp;L'!Y5</f>
        <v>4320</v>
      </c>
      <c r="Z14" s="74">
        <f>'P&amp;L'!Z5</f>
        <v>4665.6</v>
      </c>
      <c r="AA14" s="74">
        <f>'P&amp;L'!AA5</f>
        <v>4665.6</v>
      </c>
      <c r="AB14" s="74">
        <f>'P&amp;L'!AB5</f>
        <v>4665.6</v>
      </c>
      <c r="AC14" s="74">
        <f>'P&amp;L'!AC5</f>
        <v>4665.6</v>
      </c>
      <c r="AD14" s="74">
        <f>'P&amp;L'!AD5</f>
        <v>4665.6</v>
      </c>
      <c r="AE14" s="74">
        <f>'P&amp;L'!AE5</f>
        <v>4665.6</v>
      </c>
      <c r="AF14" s="74">
        <f>'P&amp;L'!AF5</f>
        <v>4665.6</v>
      </c>
      <c r="AG14" s="74">
        <f>'P&amp;L'!AG5</f>
        <v>4665.6</v>
      </c>
      <c r="AH14" s="74">
        <f>'P&amp;L'!AH5</f>
        <v>4665.6</v>
      </c>
      <c r="AI14" s="74">
        <f>'P&amp;L'!AI5</f>
        <v>4665.6</v>
      </c>
      <c r="AJ14" s="74">
        <f>'P&amp;L'!AJ5</f>
        <v>4665.6</v>
      </c>
      <c r="AK14" s="74">
        <f>'P&amp;L'!AK5</f>
        <v>4665.6</v>
      </c>
      <c r="AL14" s="74">
        <f>'P&amp;L'!AL5</f>
        <v>5038.848</v>
      </c>
      <c r="AM14" s="74">
        <f>'P&amp;L'!AM5</f>
        <v>5038.848</v>
      </c>
      <c r="AN14" s="74">
        <f>'P&amp;L'!AN5</f>
        <v>5038.848</v>
      </c>
      <c r="AO14" s="74">
        <f>'P&amp;L'!AO5</f>
        <v>5038.848</v>
      </c>
      <c r="AP14" s="74">
        <f>'P&amp;L'!AP5</f>
        <v>5038.848</v>
      </c>
      <c r="AQ14" s="74">
        <f>'P&amp;L'!AQ5</f>
        <v>5038.848</v>
      </c>
      <c r="AR14" s="74">
        <f>'P&amp;L'!AR5</f>
        <v>5038.848</v>
      </c>
      <c r="AS14" s="74">
        <f>'P&amp;L'!AS5</f>
        <v>5038.848</v>
      </c>
      <c r="AT14" s="74">
        <f>'P&amp;L'!AT5</f>
        <v>5038.848</v>
      </c>
      <c r="AU14" s="74">
        <f>'P&amp;L'!AU5</f>
        <v>5038.848</v>
      </c>
      <c r="AV14" s="74">
        <f>'P&amp;L'!AV5</f>
        <v>5038.848</v>
      </c>
      <c r="AW14" s="74">
        <f>'P&amp;L'!AW5</f>
        <v>5038.848</v>
      </c>
      <c r="AX14" s="74">
        <f>'P&amp;L'!AX5</f>
        <v>5441.95584</v>
      </c>
      <c r="AY14" s="74">
        <f>'P&amp;L'!AY5</f>
        <v>5441.95584</v>
      </c>
      <c r="AZ14" s="74">
        <f>'P&amp;L'!AZ5</f>
        <v>5441.95584</v>
      </c>
      <c r="BA14" s="74">
        <f>'P&amp;L'!BA5</f>
        <v>5441.95584</v>
      </c>
    </row>
    <row r="15" ht="14.25" customHeight="1">
      <c r="A15" s="2" t="s">
        <v>591</v>
      </c>
      <c r="B15" s="72">
        <f t="shared" ref="B15:BA15" si="2">SUM(B12:B14)</f>
        <v>8429.5</v>
      </c>
      <c r="C15" s="72">
        <f t="shared" si="2"/>
        <v>5822.875</v>
      </c>
      <c r="D15" s="72">
        <f t="shared" si="2"/>
        <v>5831.14375</v>
      </c>
      <c r="E15" s="72">
        <f t="shared" si="2"/>
        <v>5839.825938</v>
      </c>
      <c r="F15" s="72">
        <f t="shared" si="2"/>
        <v>7423.942234</v>
      </c>
      <c r="G15" s="72">
        <f t="shared" si="2"/>
        <v>5858.514346</v>
      </c>
      <c r="H15" s="72">
        <f t="shared" si="2"/>
        <v>7946.965063</v>
      </c>
      <c r="I15" s="72">
        <f t="shared" si="2"/>
        <v>10062.50165</v>
      </c>
      <c r="J15" s="72">
        <f t="shared" si="2"/>
        <v>11245.85757</v>
      </c>
      <c r="K15" s="72">
        <f t="shared" si="2"/>
        <v>12989.39253</v>
      </c>
      <c r="L15" s="72">
        <f t="shared" si="2"/>
        <v>14267.15507</v>
      </c>
      <c r="M15" s="72">
        <f t="shared" si="2"/>
        <v>15545.52845</v>
      </c>
      <c r="N15" s="72">
        <f t="shared" si="2"/>
        <v>17828.13737</v>
      </c>
      <c r="O15" s="72">
        <f t="shared" si="2"/>
        <v>25722.40536</v>
      </c>
      <c r="P15" s="72">
        <f t="shared" si="2"/>
        <v>24998.89485</v>
      </c>
      <c r="Q15" s="72">
        <f t="shared" si="2"/>
        <v>25014.48681</v>
      </c>
      <c r="R15" s="72">
        <f t="shared" si="2"/>
        <v>26710.85837</v>
      </c>
      <c r="S15" s="72">
        <f t="shared" si="2"/>
        <v>32595.18601</v>
      </c>
      <c r="T15" s="72">
        <f t="shared" si="2"/>
        <v>31573.73565</v>
      </c>
      <c r="U15" s="72">
        <f t="shared" si="2"/>
        <v>33167.42528</v>
      </c>
      <c r="V15" s="72">
        <f t="shared" si="2"/>
        <v>32840.82501</v>
      </c>
      <c r="W15" s="72">
        <f t="shared" si="2"/>
        <v>35415.80098</v>
      </c>
      <c r="X15" s="72">
        <f t="shared" si="2"/>
        <v>35091.24044</v>
      </c>
      <c r="Y15" s="72">
        <f t="shared" si="2"/>
        <v>36928.69874</v>
      </c>
      <c r="Z15" s="72">
        <f t="shared" si="2"/>
        <v>38245.95493</v>
      </c>
      <c r="AA15" s="72">
        <f t="shared" si="2"/>
        <v>38271.35259</v>
      </c>
      <c r="AB15" s="72">
        <f t="shared" si="2"/>
        <v>38451.11014</v>
      </c>
      <c r="AC15" s="72">
        <f t="shared" si="2"/>
        <v>40062.35028</v>
      </c>
      <c r="AD15" s="72">
        <f t="shared" si="2"/>
        <v>39745.25125</v>
      </c>
      <c r="AE15" s="72">
        <f t="shared" si="2"/>
        <v>41974.03476</v>
      </c>
      <c r="AF15" s="72">
        <f t="shared" si="2"/>
        <v>41506.85933</v>
      </c>
      <c r="AG15" s="72">
        <f t="shared" si="2"/>
        <v>41540.89463</v>
      </c>
      <c r="AH15" s="72">
        <f t="shared" si="2"/>
        <v>41729.72169</v>
      </c>
      <c r="AI15" s="72">
        <f t="shared" si="2"/>
        <v>41614.1556</v>
      </c>
      <c r="AJ15" s="72">
        <f t="shared" si="2"/>
        <v>43228.55571</v>
      </c>
      <c r="AK15" s="72">
        <f t="shared" si="2"/>
        <v>44973.64926</v>
      </c>
      <c r="AL15" s="72">
        <f t="shared" si="2"/>
        <v>46681.03523</v>
      </c>
      <c r="AM15" s="72">
        <f t="shared" si="2"/>
        <v>46726.64578</v>
      </c>
      <c r="AN15" s="72">
        <f t="shared" si="2"/>
        <v>46939.87406</v>
      </c>
      <c r="AO15" s="72">
        <f t="shared" si="2"/>
        <v>46824.82249</v>
      </c>
      <c r="AP15" s="72">
        <f t="shared" si="2"/>
        <v>46877.62241</v>
      </c>
      <c r="AQ15" s="72">
        <f t="shared" si="2"/>
        <v>47098.39952</v>
      </c>
      <c r="AR15" s="72">
        <f t="shared" si="2"/>
        <v>46991.27423</v>
      </c>
      <c r="AS15" s="72">
        <f t="shared" si="2"/>
        <v>47052.39673</v>
      </c>
      <c r="AT15" s="72">
        <f t="shared" si="2"/>
        <v>47281.91255</v>
      </c>
      <c r="AU15" s="72">
        <f t="shared" si="2"/>
        <v>47183.96291</v>
      </c>
      <c r="AV15" s="72">
        <f t="shared" si="2"/>
        <v>47254.71985</v>
      </c>
      <c r="AW15" s="72">
        <f t="shared" si="2"/>
        <v>47494.35183</v>
      </c>
      <c r="AX15" s="72">
        <f t="shared" si="2"/>
        <v>49689.9358</v>
      </c>
      <c r="AY15" s="72">
        <f t="shared" si="2"/>
        <v>49771.8458</v>
      </c>
      <c r="AZ15" s="72">
        <f t="shared" si="2"/>
        <v>50036.41548</v>
      </c>
      <c r="BA15" s="72">
        <f t="shared" si="2"/>
        <v>49948.15707</v>
      </c>
    </row>
    <row r="16" ht="14.25" customHeight="1"/>
    <row r="17" ht="14.25" customHeight="1">
      <c r="A17" s="2" t="s">
        <v>592</v>
      </c>
    </row>
    <row r="18" ht="14.25" customHeight="1">
      <c r="A18" s="3" t="s">
        <v>593</v>
      </c>
      <c r="B18" s="74">
        <v>25000.0</v>
      </c>
      <c r="C18" s="74">
        <v>25000.0</v>
      </c>
      <c r="D18" s="74">
        <v>25000.0</v>
      </c>
      <c r="E18" s="74">
        <v>25000.0</v>
      </c>
      <c r="F18" s="74">
        <v>25000.0</v>
      </c>
      <c r="G18" s="74">
        <v>25000.0</v>
      </c>
      <c r="H18" s="74">
        <v>25000.0</v>
      </c>
      <c r="I18" s="74">
        <v>25000.0</v>
      </c>
      <c r="J18" s="74">
        <v>25000.0</v>
      </c>
      <c r="K18" s="74">
        <v>25000.0</v>
      </c>
      <c r="L18" s="74">
        <v>25000.0</v>
      </c>
      <c r="M18" s="74">
        <v>25000.0</v>
      </c>
      <c r="N18" s="74">
        <v>25000.0</v>
      </c>
      <c r="O18" s="74">
        <v>25000.0</v>
      </c>
      <c r="P18" s="74">
        <v>25000.0</v>
      </c>
      <c r="Q18" s="74">
        <v>25000.0</v>
      </c>
      <c r="R18" s="74">
        <v>25000.0</v>
      </c>
      <c r="S18" s="74">
        <v>25000.0</v>
      </c>
      <c r="T18" s="74">
        <v>25000.0</v>
      </c>
      <c r="U18" s="74">
        <v>25000.0</v>
      </c>
      <c r="V18" s="74">
        <v>25000.0</v>
      </c>
      <c r="W18" s="74">
        <v>25000.0</v>
      </c>
      <c r="X18" s="74">
        <v>25000.0</v>
      </c>
      <c r="Y18" s="74">
        <v>25000.0</v>
      </c>
      <c r="Z18" s="74">
        <v>25000.0</v>
      </c>
      <c r="AA18" s="74">
        <v>25000.0</v>
      </c>
      <c r="AB18" s="74">
        <v>25000.0</v>
      </c>
      <c r="AC18" s="74">
        <v>25000.0</v>
      </c>
      <c r="AD18" s="74">
        <v>25000.0</v>
      </c>
      <c r="AE18" s="74">
        <v>25000.0</v>
      </c>
      <c r="AF18" s="74">
        <v>25000.0</v>
      </c>
      <c r="AG18" s="74">
        <v>25000.0</v>
      </c>
      <c r="AH18" s="74">
        <v>25000.0</v>
      </c>
      <c r="AI18" s="74">
        <v>25000.0</v>
      </c>
      <c r="AJ18" s="74">
        <v>25000.0</v>
      </c>
      <c r="AK18" s="74">
        <v>25000.0</v>
      </c>
      <c r="AL18" s="74">
        <v>25000.0</v>
      </c>
      <c r="AM18" s="74">
        <v>25000.0</v>
      </c>
      <c r="AN18" s="74">
        <v>25000.0</v>
      </c>
      <c r="AO18" s="74">
        <v>25000.0</v>
      </c>
      <c r="AP18" s="74">
        <v>25000.0</v>
      </c>
      <c r="AQ18" s="74">
        <v>25000.0</v>
      </c>
      <c r="AR18" s="74">
        <v>25000.0</v>
      </c>
      <c r="AS18" s="74">
        <v>25000.0</v>
      </c>
      <c r="AT18" s="74">
        <v>25000.0</v>
      </c>
      <c r="AU18" s="74">
        <v>25000.0</v>
      </c>
      <c r="AV18" s="74">
        <v>25000.0</v>
      </c>
      <c r="AW18" s="74">
        <v>25000.0</v>
      </c>
      <c r="AX18" s="74">
        <v>25000.0</v>
      </c>
      <c r="AY18" s="74">
        <v>25000.0</v>
      </c>
      <c r="AZ18" s="74">
        <v>25000.0</v>
      </c>
      <c r="BA18" s="74">
        <v>25000.0</v>
      </c>
    </row>
    <row r="19" ht="14.25" customHeight="1">
      <c r="A19" s="3" t="s">
        <v>594</v>
      </c>
      <c r="B19" s="74">
        <f>IF(1=Inputs!$B$11,Inputs!$B$10,0)+IF(1=Inputs!$B$13,Inputs!$B$12,0)+IF(1=Inputs!$B$15,Inputs!$B$14,0)+IF(1=Inputs!$B$17,Inputs!$B$16,0)</f>
        <v>90000</v>
      </c>
      <c r="C19" s="74">
        <f>B19+IF(2=Inputs!$B$11,Inputs!$B$10,0)+IF(2=Inputs!$B$13,Inputs!$B$12,0)+IF(2=Inputs!$B$15,Inputs!$B$14,0)+IF(2=Inputs!$B$17,Inputs!$B$16,0)</f>
        <v>90000</v>
      </c>
      <c r="D19" s="74">
        <f>C19+IF(3=Inputs!$B$11,Inputs!$B$10,0)+IF(3=Inputs!$B$13,Inputs!$B$12,0)+IF(3=Inputs!$B$15,Inputs!$B$14,0)+IF(3=Inputs!$B$17,Inputs!$B$16,0)</f>
        <v>90000</v>
      </c>
      <c r="E19" s="74">
        <f>D19+IF(4=Inputs!$B$11,Inputs!$B$10,0)+IF(4=Inputs!$B$13,Inputs!$B$12,0)+IF(4=Inputs!$B$15,Inputs!$B$14,0)+IF(4=Inputs!$B$17,Inputs!$B$16,0)</f>
        <v>90000</v>
      </c>
      <c r="F19" s="74">
        <f>E19+IF(5=Inputs!$B$11,Inputs!$B$10,0)+IF(5=Inputs!$B$13,Inputs!$B$12,0)+IF(5=Inputs!$B$15,Inputs!$B$14,0)+IF(5=Inputs!$B$17,Inputs!$B$16,0)</f>
        <v>1590000</v>
      </c>
      <c r="G19" s="74">
        <f>F19+IF(6=Inputs!$B$11,Inputs!$B$10,0)+IF(6=Inputs!$B$13,Inputs!$B$12,0)+IF(6=Inputs!$B$15,Inputs!$B$14,0)+IF(6=Inputs!$B$17,Inputs!$B$16,0)</f>
        <v>1590000</v>
      </c>
      <c r="H19" s="74">
        <f>G19+IF(7=Inputs!$B$11,Inputs!$B$10,0)+IF(7=Inputs!$B$13,Inputs!$B$12,0)+IF(7=Inputs!$B$15,Inputs!$B$14,0)+IF(7=Inputs!$B$17,Inputs!$B$16,0)</f>
        <v>1590000</v>
      </c>
      <c r="I19" s="74">
        <f>H19+IF(8=Inputs!$B$11,Inputs!$B$10,0)+IF(8=Inputs!$B$13,Inputs!$B$12,0)+IF(8=Inputs!$B$15,Inputs!$B$14,0)+IF(8=Inputs!$B$17,Inputs!$B$16,0)</f>
        <v>1590000</v>
      </c>
      <c r="J19" s="74">
        <f>I19+IF(9=Inputs!$B$11,Inputs!$B$10,0)+IF(9=Inputs!$B$13,Inputs!$B$12,0)+IF(9=Inputs!$B$15,Inputs!$B$14,0)+IF(9=Inputs!$B$17,Inputs!$B$16,0)</f>
        <v>1590000</v>
      </c>
      <c r="K19" s="74">
        <f>J19+IF(10=Inputs!$B$11,Inputs!$B$10,0)+IF(10=Inputs!$B$13,Inputs!$B$12,0)+IF(10=Inputs!$B$15,Inputs!$B$14,0)+IF(10=Inputs!$B$17,Inputs!$B$16,0)</f>
        <v>1590000</v>
      </c>
      <c r="L19" s="74">
        <f>K19+IF(11=Inputs!$B$11,Inputs!$B$10,0)+IF(11=Inputs!$B$13,Inputs!$B$12,0)+IF(11=Inputs!$B$15,Inputs!$B$14,0)+IF(11=Inputs!$B$17,Inputs!$B$16,0)</f>
        <v>1590000</v>
      </c>
      <c r="M19" s="74">
        <f>L19+IF(12=Inputs!$B$11,Inputs!$B$10,0)+IF(12=Inputs!$B$13,Inputs!$B$12,0)+IF(12=Inputs!$B$15,Inputs!$B$14,0)+IF(12=Inputs!$B$17,Inputs!$B$16,0)</f>
        <v>1590000</v>
      </c>
      <c r="N19" s="74">
        <f>M19+IF(13=Inputs!$B$11,Inputs!$B$10,0)+IF(13=Inputs!$B$13,Inputs!$B$12,0)+IF(13=Inputs!$B$15,Inputs!$B$14,0)+IF(13=Inputs!$B$17,Inputs!$B$16,0)</f>
        <v>1590000</v>
      </c>
      <c r="O19" s="74">
        <f>N19+IF(14=Inputs!$B$11,Inputs!$B$10,0)+IF(14=Inputs!$B$13,Inputs!$B$12,0)+IF(14=Inputs!$B$15,Inputs!$B$14,0)+IF(14=Inputs!$B$17,Inputs!$B$16,0)</f>
        <v>1590000</v>
      </c>
      <c r="P19" s="74">
        <f>O19+IF(15=Inputs!$B$11,Inputs!$B$10,0)+IF(15=Inputs!$B$13,Inputs!$B$12,0)+IF(15=Inputs!$B$15,Inputs!$B$14,0)+IF(15=Inputs!$B$17,Inputs!$B$16,0)</f>
        <v>1590000</v>
      </c>
      <c r="Q19" s="74">
        <f>P19+IF(16=Inputs!$B$11,Inputs!$B$10,0)+IF(16=Inputs!$B$13,Inputs!$B$12,0)+IF(16=Inputs!$B$15,Inputs!$B$14,0)+IF(16=Inputs!$B$17,Inputs!$B$16,0)</f>
        <v>1590000</v>
      </c>
      <c r="R19" s="74">
        <f>Q19+IF(17=Inputs!$B$11,Inputs!$B$10,0)+IF(17=Inputs!$B$13,Inputs!$B$12,0)+IF(17=Inputs!$B$15,Inputs!$B$14,0)+IF(17=Inputs!$B$17,Inputs!$B$16,0)</f>
        <v>7590000</v>
      </c>
      <c r="S19" s="74">
        <f>R19+IF(18=Inputs!$B$11,Inputs!$B$10,0)+IF(18=Inputs!$B$13,Inputs!$B$12,0)+IF(18=Inputs!$B$15,Inputs!$B$14,0)+IF(18=Inputs!$B$17,Inputs!$B$16,0)</f>
        <v>7590000</v>
      </c>
      <c r="T19" s="74">
        <f>S19+IF(19=Inputs!$B$11,Inputs!$B$10,0)+IF(19=Inputs!$B$13,Inputs!$B$12,0)+IF(19=Inputs!$B$15,Inputs!$B$14,0)+IF(19=Inputs!$B$17,Inputs!$B$16,0)</f>
        <v>7590000</v>
      </c>
      <c r="U19" s="74">
        <f>T19+IF(20=Inputs!$B$11,Inputs!$B$10,0)+IF(20=Inputs!$B$13,Inputs!$B$12,0)+IF(20=Inputs!$B$15,Inputs!$B$14,0)+IF(20=Inputs!$B$17,Inputs!$B$16,0)</f>
        <v>7590000</v>
      </c>
      <c r="V19" s="74">
        <f>U19+IF(21=Inputs!$B$11,Inputs!$B$10,0)+IF(21=Inputs!$B$13,Inputs!$B$12,0)+IF(21=Inputs!$B$15,Inputs!$B$14,0)+IF(21=Inputs!$B$17,Inputs!$B$16,0)</f>
        <v>7590000</v>
      </c>
      <c r="W19" s="74">
        <f>V19+IF(22=Inputs!$B$11,Inputs!$B$10,0)+IF(22=Inputs!$B$13,Inputs!$B$12,0)+IF(22=Inputs!$B$15,Inputs!$B$14,0)+IF(22=Inputs!$B$17,Inputs!$B$16,0)</f>
        <v>7590000</v>
      </c>
      <c r="X19" s="74">
        <f>W19+IF(23=Inputs!$B$11,Inputs!$B$10,0)+IF(23=Inputs!$B$13,Inputs!$B$12,0)+IF(23=Inputs!$B$15,Inputs!$B$14,0)+IF(23=Inputs!$B$17,Inputs!$B$16,0)</f>
        <v>7590000</v>
      </c>
      <c r="Y19" s="74">
        <f>X19+IF(24=Inputs!$B$11,Inputs!$B$10,0)+IF(24=Inputs!$B$13,Inputs!$B$12,0)+IF(24=Inputs!$B$15,Inputs!$B$14,0)+IF(24=Inputs!$B$17,Inputs!$B$16,0)</f>
        <v>7590000</v>
      </c>
      <c r="Z19" s="74">
        <f>Y19+IF(25=Inputs!$B$11,Inputs!$B$10,0)+IF(25=Inputs!$B$13,Inputs!$B$12,0)+IF(25=Inputs!$B$15,Inputs!$B$14,0)+IF(25=Inputs!$B$17,Inputs!$B$16,0)</f>
        <v>7590000</v>
      </c>
      <c r="AA19" s="74">
        <f>Z19+IF(26=Inputs!$B$11,Inputs!$B$10,0)+IF(26=Inputs!$B$13,Inputs!$B$12,0)+IF(26=Inputs!$B$15,Inputs!$B$14,0)+IF(26=Inputs!$B$17,Inputs!$B$16,0)</f>
        <v>7590000</v>
      </c>
      <c r="AB19" s="74">
        <f>AA19+IF(27=Inputs!$B$11,Inputs!$B$10,0)+IF(27=Inputs!$B$13,Inputs!$B$12,0)+IF(27=Inputs!$B$15,Inputs!$B$14,0)+IF(27=Inputs!$B$17,Inputs!$B$16,0)</f>
        <v>7590000</v>
      </c>
      <c r="AC19" s="74">
        <f>AB19+IF(28=Inputs!$B$11,Inputs!$B$10,0)+IF(28=Inputs!$B$13,Inputs!$B$12,0)+IF(28=Inputs!$B$15,Inputs!$B$14,0)+IF(28=Inputs!$B$17,Inputs!$B$16,0)</f>
        <v>7590000</v>
      </c>
      <c r="AD19" s="74">
        <f>AC19+IF(29=Inputs!$B$11,Inputs!$B$10,0)+IF(29=Inputs!$B$13,Inputs!$B$12,0)+IF(29=Inputs!$B$15,Inputs!$B$14,0)+IF(29=Inputs!$B$17,Inputs!$B$16,0)</f>
        <v>7590000</v>
      </c>
      <c r="AE19" s="74">
        <f>AD19+IF(30=Inputs!$B$11,Inputs!$B$10,0)+IF(30=Inputs!$B$13,Inputs!$B$12,0)+IF(30=Inputs!$B$15,Inputs!$B$14,0)+IF(30=Inputs!$B$17,Inputs!$B$16,0)</f>
        <v>7590000</v>
      </c>
      <c r="AF19" s="74">
        <f>AE19+IF(31=Inputs!$B$11,Inputs!$B$10,0)+IF(31=Inputs!$B$13,Inputs!$B$12,0)+IF(31=Inputs!$B$15,Inputs!$B$14,0)+IF(31=Inputs!$B$17,Inputs!$B$16,0)</f>
        <v>7590000</v>
      </c>
      <c r="AG19" s="74">
        <f>AF19+IF(32=Inputs!$B$11,Inputs!$B$10,0)+IF(32=Inputs!$B$13,Inputs!$B$12,0)+IF(32=Inputs!$B$15,Inputs!$B$14,0)+IF(32=Inputs!$B$17,Inputs!$B$16,0)</f>
        <v>7590000</v>
      </c>
      <c r="AH19" s="74">
        <f>AG19+IF(33=Inputs!$B$11,Inputs!$B$10,0)+IF(33=Inputs!$B$13,Inputs!$B$12,0)+IF(33=Inputs!$B$15,Inputs!$B$14,0)+IF(33=Inputs!$B$17,Inputs!$B$16,0)</f>
        <v>7590000</v>
      </c>
      <c r="AI19" s="74">
        <f>AH19+IF(34=Inputs!$B$11,Inputs!$B$10,0)+IF(34=Inputs!$B$13,Inputs!$B$12,0)+IF(34=Inputs!$B$15,Inputs!$B$14,0)+IF(34=Inputs!$B$17,Inputs!$B$16,0)</f>
        <v>7590000</v>
      </c>
      <c r="AJ19" s="74">
        <f>AI19+IF(35=Inputs!$B$11,Inputs!$B$10,0)+IF(35=Inputs!$B$13,Inputs!$B$12,0)+IF(35=Inputs!$B$15,Inputs!$B$14,0)+IF(35=Inputs!$B$17,Inputs!$B$16,0)</f>
        <v>22590000</v>
      </c>
      <c r="AK19" s="74">
        <f>AJ19+IF(36=Inputs!$B$11,Inputs!$B$10,0)+IF(36=Inputs!$B$13,Inputs!$B$12,0)+IF(36=Inputs!$B$15,Inputs!$B$14,0)+IF(36=Inputs!$B$17,Inputs!$B$16,0)</f>
        <v>22590000</v>
      </c>
      <c r="AL19" s="74">
        <f>AK19+IF(37=Inputs!$B$11,Inputs!$B$10,0)+IF(37=Inputs!$B$13,Inputs!$B$12,0)+IF(37=Inputs!$B$15,Inputs!$B$14,0)+IF(37=Inputs!$B$17,Inputs!$B$16,0)</f>
        <v>22590000</v>
      </c>
      <c r="AM19" s="74">
        <f>AL19+IF(38=Inputs!$B$11,Inputs!$B$10,0)+IF(38=Inputs!$B$13,Inputs!$B$12,0)+IF(38=Inputs!$B$15,Inputs!$B$14,0)+IF(38=Inputs!$B$17,Inputs!$B$16,0)</f>
        <v>22590000</v>
      </c>
      <c r="AN19" s="74">
        <f>AM19+IF(39=Inputs!$B$11,Inputs!$B$10,0)+IF(39=Inputs!$B$13,Inputs!$B$12,0)+IF(39=Inputs!$B$15,Inputs!$B$14,0)+IF(39=Inputs!$B$17,Inputs!$B$16,0)</f>
        <v>22590000</v>
      </c>
      <c r="AO19" s="74">
        <f>AN19+IF(40=Inputs!$B$11,Inputs!$B$10,0)+IF(40=Inputs!$B$13,Inputs!$B$12,0)+IF(40=Inputs!$B$15,Inputs!$B$14,0)+IF(40=Inputs!$B$17,Inputs!$B$16,0)</f>
        <v>22590000</v>
      </c>
      <c r="AP19" s="74">
        <f>AO19+IF(41=Inputs!$B$11,Inputs!$B$10,0)+IF(41=Inputs!$B$13,Inputs!$B$12,0)+IF(41=Inputs!$B$15,Inputs!$B$14,0)+IF(41=Inputs!$B$17,Inputs!$B$16,0)</f>
        <v>22590000</v>
      </c>
      <c r="AQ19" s="74">
        <f>AP19+IF(42=Inputs!$B$11,Inputs!$B$10,0)+IF(42=Inputs!$B$13,Inputs!$B$12,0)+IF(42=Inputs!$B$15,Inputs!$B$14,0)+IF(42=Inputs!$B$17,Inputs!$B$16,0)</f>
        <v>22590000</v>
      </c>
      <c r="AR19" s="74">
        <f>AQ19+IF(43=Inputs!$B$11,Inputs!$B$10,0)+IF(43=Inputs!$B$13,Inputs!$B$12,0)+IF(43=Inputs!$B$15,Inputs!$B$14,0)+IF(43=Inputs!$B$17,Inputs!$B$16,0)</f>
        <v>22590000</v>
      </c>
      <c r="AS19" s="74">
        <f>AR19+IF(44=Inputs!$B$11,Inputs!$B$10,0)+IF(44=Inputs!$B$13,Inputs!$B$12,0)+IF(44=Inputs!$B$15,Inputs!$B$14,0)+IF(44=Inputs!$B$17,Inputs!$B$16,0)</f>
        <v>22590000</v>
      </c>
      <c r="AT19" s="74">
        <f>AS19+IF(45=Inputs!$B$11,Inputs!$B$10,0)+IF(45=Inputs!$B$13,Inputs!$B$12,0)+IF(45=Inputs!$B$15,Inputs!$B$14,0)+IF(45=Inputs!$B$17,Inputs!$B$16,0)</f>
        <v>22590000</v>
      </c>
      <c r="AU19" s="74">
        <f>AT19+IF(46=Inputs!$B$11,Inputs!$B$10,0)+IF(46=Inputs!$B$13,Inputs!$B$12,0)+IF(46=Inputs!$B$15,Inputs!$B$14,0)+IF(46=Inputs!$B$17,Inputs!$B$16,0)</f>
        <v>22590000</v>
      </c>
      <c r="AV19" s="74">
        <f>AU19+IF(47=Inputs!$B$11,Inputs!$B$10,0)+IF(47=Inputs!$B$13,Inputs!$B$12,0)+IF(47=Inputs!$B$15,Inputs!$B$14,0)+IF(47=Inputs!$B$17,Inputs!$B$16,0)</f>
        <v>22590000</v>
      </c>
      <c r="AW19" s="74">
        <f>AV19+IF(48=Inputs!$B$11,Inputs!$B$10,0)+IF(48=Inputs!$B$13,Inputs!$B$12,0)+IF(48=Inputs!$B$15,Inputs!$B$14,0)+IF(48=Inputs!$B$17,Inputs!$B$16,0)</f>
        <v>22590000</v>
      </c>
      <c r="AX19" s="74">
        <f>AW19+IF(49=Inputs!$B$11,Inputs!$B$10,0)+IF(49=Inputs!$B$13,Inputs!$B$12,0)+IF(49=Inputs!$B$15,Inputs!$B$14,0)+IF(49=Inputs!$B$17,Inputs!$B$16,0)</f>
        <v>22590000</v>
      </c>
      <c r="AY19" s="74">
        <f>AX19+IF(50=Inputs!$B$11,Inputs!$B$10,0)+IF(50=Inputs!$B$13,Inputs!$B$12,0)+IF(50=Inputs!$B$15,Inputs!$B$14,0)+IF(50=Inputs!$B$17,Inputs!$B$16,0)</f>
        <v>22590000</v>
      </c>
      <c r="AZ19" s="74">
        <f>AY19+IF(51=Inputs!$B$11,Inputs!$B$10,0)+IF(51=Inputs!$B$13,Inputs!$B$12,0)+IF(51=Inputs!$B$15,Inputs!$B$14,0)+IF(51=Inputs!$B$17,Inputs!$B$16,0)</f>
        <v>22590000</v>
      </c>
      <c r="BA19" s="74">
        <f>AZ19+IF(52=Inputs!$B$11,Inputs!$B$10,0)+IF(52=Inputs!$B$13,Inputs!$B$12,0)+IF(52=Inputs!$B$15,Inputs!$B$14,0)+IF(52=Inputs!$B$17,Inputs!$B$16,0)</f>
        <v>22590000</v>
      </c>
    </row>
    <row r="20" ht="14.25" customHeight="1">
      <c r="A20" s="3" t="s">
        <v>595</v>
      </c>
      <c r="B20" s="74">
        <f>'P&amp;L'!B39</f>
        <v>-68146</v>
      </c>
      <c r="C20" s="74">
        <f>B20+'P&amp;L'!C39</f>
        <v>-110000.75</v>
      </c>
      <c r="D20" s="74">
        <f>C20+'P&amp;L'!D39</f>
        <v>-151990.6875</v>
      </c>
      <c r="E20" s="74">
        <f>D20+'P&amp;L'!E39</f>
        <v>-194122.5719</v>
      </c>
      <c r="F20" s="74">
        <f>E20+'P&amp;L'!F39</f>
        <v>-252153.5005</v>
      </c>
      <c r="G20" s="74">
        <f>F20+'P&amp;L'!G39</f>
        <v>-294590.9255</v>
      </c>
      <c r="H20" s="74">
        <f>G20+'P&amp;L'!H39</f>
        <v>-350808.3384</v>
      </c>
      <c r="I20" s="74">
        <f>H20+'P&amp;L'!I39</f>
        <v>-419374.7887</v>
      </c>
      <c r="J20" s="74">
        <f>I20+'P&amp;L'!J39</f>
        <v>-495005.1531</v>
      </c>
      <c r="K20" s="74">
        <f>J20+'P&amp;L'!K39</f>
        <v>-580884.7399</v>
      </c>
      <c r="L20" s="74">
        <f>K20+'P&amp;L'!L39</f>
        <v>-674376.1853</v>
      </c>
      <c r="M20" s="74">
        <f>L20+'P&amp;L'!M39</f>
        <v>-775489.4758</v>
      </c>
      <c r="N20" s="74">
        <f>M20+'P&amp;L'!N39</f>
        <v>-889931.1725</v>
      </c>
      <c r="O20" s="74">
        <f>N20+'P&amp;L'!O39</f>
        <v>-1023206.509</v>
      </c>
      <c r="P20" s="74">
        <f>O20+'P&amp;L'!P39</f>
        <v>-1149157.689</v>
      </c>
      <c r="Q20" s="74">
        <f>P20+'P&amp;L'!Q39</f>
        <v>-1275363.785</v>
      </c>
      <c r="R20" s="74">
        <f>Q20+'P&amp;L'!R39</f>
        <v>-1418637.543</v>
      </c>
      <c r="S20" s="74">
        <f>R20+'P&amp;L'!S39</f>
        <v>-1595728.722</v>
      </c>
      <c r="T20" s="74">
        <f>S20+'P&amp;L'!T39</f>
        <v>-1762444.998</v>
      </c>
      <c r="U20" s="74">
        <f>T20+'P&amp;L'!U39</f>
        <v>-1940228.167</v>
      </c>
      <c r="V20" s="74">
        <f>U20+'P&amp;L'!V39</f>
        <v>-2114780.015</v>
      </c>
      <c r="W20" s="74">
        <f>V20+'P&amp;L'!W39</f>
        <v>-2305988.954</v>
      </c>
      <c r="X20" s="74">
        <f>W20+'P&amp;L'!X39</f>
        <v>-2493999.919</v>
      </c>
      <c r="Y20" s="74">
        <f>X20+'P&amp;L'!Y39</f>
        <v>-2681955.397</v>
      </c>
      <c r="Z20" s="74">
        <f>Y20+'P&amp;L'!Z39</f>
        <v>-2872090.876</v>
      </c>
      <c r="AA20" s="74">
        <f>Z20+'P&amp;L'!AA39</f>
        <v>-3062641.587</v>
      </c>
      <c r="AB20" s="74">
        <f>AA20+'P&amp;L'!AB39</f>
        <v>-3240943.691</v>
      </c>
      <c r="AC20" s="74">
        <f>AB20+'P&amp;L'!AC39</f>
        <v>-3429846.872</v>
      </c>
      <c r="AD20" s="74">
        <f>AC20+'P&amp;L'!AD39</f>
        <v>-3615674.069</v>
      </c>
      <c r="AE20" s="74">
        <f>AD20+'P&amp;L'!AE39</f>
        <v>-3802746.473</v>
      </c>
      <c r="AF20" s="74">
        <f>AE20+'P&amp;L'!AF39</f>
        <v>-3985261.264</v>
      </c>
      <c r="AG20" s="74">
        <f>AF20+'P&amp;L'!AG39</f>
        <v>-4168332.505</v>
      </c>
      <c r="AH20" s="74">
        <f>AG20+'P&amp;L'!AH39</f>
        <v>-4339303.418</v>
      </c>
      <c r="AI20" s="74">
        <f>AH20+'P&amp;L'!AI39</f>
        <v>-4509356.918</v>
      </c>
      <c r="AJ20" s="74">
        <f>AI20+'P&amp;L'!AJ39</f>
        <v>-4695804.578</v>
      </c>
      <c r="AK20" s="74">
        <f>AJ20+'P&amp;L'!AK39</f>
        <v>-4874280.458</v>
      </c>
      <c r="AL20" s="74">
        <f>AK20+'P&amp;L'!AL39</f>
        <v>-5052489.942</v>
      </c>
      <c r="AM20" s="74">
        <f>AL20+'P&amp;L'!AM39</f>
        <v>-5231445.124</v>
      </c>
      <c r="AN20" s="74">
        <f>AM20+'P&amp;L'!AN39</f>
        <v>-5397483.918</v>
      </c>
      <c r="AO20" s="74">
        <f>AN20+'P&amp;L'!AO39</f>
        <v>-5562691.47</v>
      </c>
      <c r="AP20" s="74">
        <f>AO20+'P&amp;L'!AP39</f>
        <v>-5728762.26</v>
      </c>
      <c r="AQ20" s="74">
        <f>AP20+'P&amp;L'!AQ39</f>
        <v>-5882040.08</v>
      </c>
      <c r="AR20" s="74">
        <f>AQ20+'P&amp;L'!AR39</f>
        <v>-6034616.246</v>
      </c>
      <c r="AS20" s="74">
        <f>AR20+'P&amp;L'!AS39</f>
        <v>-6188191.716</v>
      </c>
      <c r="AT20" s="74">
        <f>AS20+'P&amp;L'!AT39</f>
        <v>-6329117.089</v>
      </c>
      <c r="AU20" s="74">
        <f>AT20+'P&amp;L'!AU39</f>
        <v>-6469490.822</v>
      </c>
      <c r="AV20" s="74">
        <f>AU20+'P&amp;L'!AV39</f>
        <v>-6611021.375</v>
      </c>
      <c r="AW20" s="74">
        <f>AV20+'P&amp;L'!AW39</f>
        <v>-6755419.961</v>
      </c>
      <c r="AX20" s="74">
        <f>AW20+'P&amp;L'!AX39</f>
        <v>-6899890.942</v>
      </c>
      <c r="AY20" s="74">
        <f>AX20+'P&amp;L'!AY39</f>
        <v>-7045701.086</v>
      </c>
      <c r="AZ20" s="74">
        <f>AY20+'P&amp;L'!AZ39</f>
        <v>-7178122.034</v>
      </c>
      <c r="BA20" s="74">
        <f>AZ20+'P&amp;L'!BA39</f>
        <v>-7310233.769</v>
      </c>
    </row>
    <row r="21" ht="14.25" customHeight="1">
      <c r="A21" s="2" t="s">
        <v>596</v>
      </c>
      <c r="B21" s="72">
        <f t="shared" ref="B21:BA21" si="3">B18+B19+B20</f>
        <v>46854</v>
      </c>
      <c r="C21" s="72">
        <f t="shared" si="3"/>
        <v>4999.25</v>
      </c>
      <c r="D21" s="72">
        <f t="shared" si="3"/>
        <v>-36990.6875</v>
      </c>
      <c r="E21" s="72">
        <f t="shared" si="3"/>
        <v>-79122.57188</v>
      </c>
      <c r="F21" s="72">
        <f t="shared" si="3"/>
        <v>1362846.5</v>
      </c>
      <c r="G21" s="72">
        <f t="shared" si="3"/>
        <v>1320409.075</v>
      </c>
      <c r="H21" s="72">
        <f t="shared" si="3"/>
        <v>1264191.662</v>
      </c>
      <c r="I21" s="72">
        <f t="shared" si="3"/>
        <v>1195625.211</v>
      </c>
      <c r="J21" s="72">
        <f t="shared" si="3"/>
        <v>1119994.847</v>
      </c>
      <c r="K21" s="72">
        <f t="shared" si="3"/>
        <v>1034115.26</v>
      </c>
      <c r="L21" s="72">
        <f t="shared" si="3"/>
        <v>940623.8147</v>
      </c>
      <c r="M21" s="72">
        <f t="shared" si="3"/>
        <v>839510.5242</v>
      </c>
      <c r="N21" s="72">
        <f t="shared" si="3"/>
        <v>725068.8275</v>
      </c>
      <c r="O21" s="72">
        <f t="shared" si="3"/>
        <v>591793.4914</v>
      </c>
      <c r="P21" s="72">
        <f t="shared" si="3"/>
        <v>465842.3113</v>
      </c>
      <c r="Q21" s="72">
        <f t="shared" si="3"/>
        <v>339636.2149</v>
      </c>
      <c r="R21" s="72">
        <f t="shared" si="3"/>
        <v>6196362.457</v>
      </c>
      <c r="S21" s="72">
        <f t="shared" si="3"/>
        <v>6019271.278</v>
      </c>
      <c r="T21" s="72">
        <f t="shared" si="3"/>
        <v>5852555.002</v>
      </c>
      <c r="U21" s="72">
        <f t="shared" si="3"/>
        <v>5674771.833</v>
      </c>
      <c r="V21" s="72">
        <f t="shared" si="3"/>
        <v>5500219.985</v>
      </c>
      <c r="W21" s="72">
        <f t="shared" si="3"/>
        <v>5309011.046</v>
      </c>
      <c r="X21" s="72">
        <f t="shared" si="3"/>
        <v>5121000.081</v>
      </c>
      <c r="Y21" s="72">
        <f t="shared" si="3"/>
        <v>4933044.603</v>
      </c>
      <c r="Z21" s="72">
        <f t="shared" si="3"/>
        <v>4742909.124</v>
      </c>
      <c r="AA21" s="72">
        <f t="shared" si="3"/>
        <v>4552358.413</v>
      </c>
      <c r="AB21" s="72">
        <f t="shared" si="3"/>
        <v>4374056.309</v>
      </c>
      <c r="AC21" s="72">
        <f t="shared" si="3"/>
        <v>4185153.128</v>
      </c>
      <c r="AD21" s="72">
        <f t="shared" si="3"/>
        <v>3999325.931</v>
      </c>
      <c r="AE21" s="72">
        <f t="shared" si="3"/>
        <v>3812253.527</v>
      </c>
      <c r="AF21" s="72">
        <f t="shared" si="3"/>
        <v>3629738.736</v>
      </c>
      <c r="AG21" s="72">
        <f t="shared" si="3"/>
        <v>3446667.495</v>
      </c>
      <c r="AH21" s="72">
        <f t="shared" si="3"/>
        <v>3275696.582</v>
      </c>
      <c r="AI21" s="72">
        <f t="shared" si="3"/>
        <v>3105643.082</v>
      </c>
      <c r="AJ21" s="72">
        <f t="shared" si="3"/>
        <v>17919195.42</v>
      </c>
      <c r="AK21" s="72">
        <f t="shared" si="3"/>
        <v>17740719.54</v>
      </c>
      <c r="AL21" s="72">
        <f t="shared" si="3"/>
        <v>17562510.06</v>
      </c>
      <c r="AM21" s="72">
        <f t="shared" si="3"/>
        <v>17383554.88</v>
      </c>
      <c r="AN21" s="72">
        <f t="shared" si="3"/>
        <v>17217516.08</v>
      </c>
      <c r="AO21" s="72">
        <f t="shared" si="3"/>
        <v>17052308.53</v>
      </c>
      <c r="AP21" s="72">
        <f t="shared" si="3"/>
        <v>16886237.74</v>
      </c>
      <c r="AQ21" s="72">
        <f t="shared" si="3"/>
        <v>16732959.92</v>
      </c>
      <c r="AR21" s="72">
        <f t="shared" si="3"/>
        <v>16580383.75</v>
      </c>
      <c r="AS21" s="72">
        <f t="shared" si="3"/>
        <v>16426808.28</v>
      </c>
      <c r="AT21" s="72">
        <f t="shared" si="3"/>
        <v>16285882.91</v>
      </c>
      <c r="AU21" s="72">
        <f t="shared" si="3"/>
        <v>16145509.18</v>
      </c>
      <c r="AV21" s="72">
        <f t="shared" si="3"/>
        <v>16003978.62</v>
      </c>
      <c r="AW21" s="72">
        <f t="shared" si="3"/>
        <v>15859580.04</v>
      </c>
      <c r="AX21" s="72">
        <f t="shared" si="3"/>
        <v>15715109.06</v>
      </c>
      <c r="AY21" s="72">
        <f t="shared" si="3"/>
        <v>15569298.91</v>
      </c>
      <c r="AZ21" s="72">
        <f t="shared" si="3"/>
        <v>15436877.97</v>
      </c>
      <c r="BA21" s="72">
        <f t="shared" si="3"/>
        <v>15304766.23</v>
      </c>
    </row>
    <row r="22" ht="14.25" customHeight="1"/>
    <row r="23" ht="14.25" customHeight="1">
      <c r="A23" s="2" t="s">
        <v>597</v>
      </c>
      <c r="B23" s="72">
        <f t="shared" ref="B23:BA23" si="4">B15+B21</f>
        <v>55283.5</v>
      </c>
      <c r="C23" s="72">
        <f t="shared" si="4"/>
        <v>10822.125</v>
      </c>
      <c r="D23" s="72">
        <f t="shared" si="4"/>
        <v>-31159.54375</v>
      </c>
      <c r="E23" s="72">
        <f t="shared" si="4"/>
        <v>-73282.74594</v>
      </c>
      <c r="F23" s="72">
        <f t="shared" si="4"/>
        <v>1370270.442</v>
      </c>
      <c r="G23" s="72">
        <f t="shared" si="4"/>
        <v>1326267.589</v>
      </c>
      <c r="H23" s="72">
        <f t="shared" si="4"/>
        <v>1272138.627</v>
      </c>
      <c r="I23" s="72">
        <f t="shared" si="4"/>
        <v>1205687.713</v>
      </c>
      <c r="J23" s="72">
        <f t="shared" si="4"/>
        <v>1131240.704</v>
      </c>
      <c r="K23" s="72">
        <f t="shared" si="4"/>
        <v>1047104.653</v>
      </c>
      <c r="L23" s="72">
        <f t="shared" si="4"/>
        <v>954890.9698</v>
      </c>
      <c r="M23" s="72">
        <f t="shared" si="4"/>
        <v>855056.0527</v>
      </c>
      <c r="N23" s="72">
        <f t="shared" si="4"/>
        <v>742896.9649</v>
      </c>
      <c r="O23" s="72">
        <f t="shared" si="4"/>
        <v>617515.8967</v>
      </c>
      <c r="P23" s="72">
        <f t="shared" si="4"/>
        <v>490841.2061</v>
      </c>
      <c r="Q23" s="72">
        <f t="shared" si="4"/>
        <v>364650.7018</v>
      </c>
      <c r="R23" s="72">
        <f t="shared" si="4"/>
        <v>6223073.315</v>
      </c>
      <c r="S23" s="72">
        <f t="shared" si="4"/>
        <v>6051866.464</v>
      </c>
      <c r="T23" s="72">
        <f t="shared" si="4"/>
        <v>5884128.738</v>
      </c>
      <c r="U23" s="72">
        <f t="shared" si="4"/>
        <v>5707939.258</v>
      </c>
      <c r="V23" s="72">
        <f t="shared" si="4"/>
        <v>5533060.81</v>
      </c>
      <c r="W23" s="72">
        <f t="shared" si="4"/>
        <v>5344426.847</v>
      </c>
      <c r="X23" s="72">
        <f t="shared" si="4"/>
        <v>5156091.321</v>
      </c>
      <c r="Y23" s="72">
        <f t="shared" si="4"/>
        <v>4969973.302</v>
      </c>
      <c r="Z23" s="72">
        <f t="shared" si="4"/>
        <v>4781155.079</v>
      </c>
      <c r="AA23" s="72">
        <f t="shared" si="4"/>
        <v>4590629.765</v>
      </c>
      <c r="AB23" s="72">
        <f t="shared" si="4"/>
        <v>4412507.419</v>
      </c>
      <c r="AC23" s="72">
        <f t="shared" si="4"/>
        <v>4225215.478</v>
      </c>
      <c r="AD23" s="72">
        <f t="shared" si="4"/>
        <v>4039071.183</v>
      </c>
      <c r="AE23" s="72">
        <f t="shared" si="4"/>
        <v>3854227.561</v>
      </c>
      <c r="AF23" s="72">
        <f t="shared" si="4"/>
        <v>3671245.595</v>
      </c>
      <c r="AG23" s="72">
        <f t="shared" si="4"/>
        <v>3488208.39</v>
      </c>
      <c r="AH23" s="72">
        <f t="shared" si="4"/>
        <v>3317426.303</v>
      </c>
      <c r="AI23" s="72">
        <f t="shared" si="4"/>
        <v>3147257.238</v>
      </c>
      <c r="AJ23" s="72">
        <f t="shared" si="4"/>
        <v>17962423.98</v>
      </c>
      <c r="AK23" s="72">
        <f t="shared" si="4"/>
        <v>17785693.19</v>
      </c>
      <c r="AL23" s="72">
        <f t="shared" si="4"/>
        <v>17609191.09</v>
      </c>
      <c r="AM23" s="72">
        <f t="shared" si="4"/>
        <v>17430281.52</v>
      </c>
      <c r="AN23" s="72">
        <f t="shared" si="4"/>
        <v>17264455.96</v>
      </c>
      <c r="AO23" s="72">
        <f t="shared" si="4"/>
        <v>17099133.35</v>
      </c>
      <c r="AP23" s="72">
        <f t="shared" si="4"/>
        <v>16933115.36</v>
      </c>
      <c r="AQ23" s="72">
        <f t="shared" si="4"/>
        <v>16780058.32</v>
      </c>
      <c r="AR23" s="72">
        <f t="shared" si="4"/>
        <v>16627375.03</v>
      </c>
      <c r="AS23" s="72">
        <f t="shared" si="4"/>
        <v>16473860.68</v>
      </c>
      <c r="AT23" s="72">
        <f t="shared" si="4"/>
        <v>16333164.82</v>
      </c>
      <c r="AU23" s="72">
        <f t="shared" si="4"/>
        <v>16192693.14</v>
      </c>
      <c r="AV23" s="72">
        <f t="shared" si="4"/>
        <v>16051233.34</v>
      </c>
      <c r="AW23" s="72">
        <f t="shared" si="4"/>
        <v>15907074.39</v>
      </c>
      <c r="AX23" s="72">
        <f t="shared" si="4"/>
        <v>15764798.99</v>
      </c>
      <c r="AY23" s="72">
        <f t="shared" si="4"/>
        <v>15619070.76</v>
      </c>
      <c r="AZ23" s="72">
        <f t="shared" si="4"/>
        <v>15486914.38</v>
      </c>
      <c r="BA23" s="72">
        <f t="shared" si="4"/>
        <v>15354714.39</v>
      </c>
    </row>
    <row r="24" ht="14.25" customHeight="1">
      <c r="A24" s="3" t="s">
        <v>598</v>
      </c>
      <c r="B24" s="74">
        <f t="shared" ref="B24:BA24" si="5">B9-B23</f>
        <v>-24725</v>
      </c>
      <c r="C24" s="74">
        <f t="shared" si="5"/>
        <v>-24725</v>
      </c>
      <c r="D24" s="74">
        <f t="shared" si="5"/>
        <v>-24725</v>
      </c>
      <c r="E24" s="74">
        <f t="shared" si="5"/>
        <v>-24725</v>
      </c>
      <c r="F24" s="74">
        <f t="shared" si="5"/>
        <v>-24725</v>
      </c>
      <c r="G24" s="74">
        <f t="shared" si="5"/>
        <v>-24725</v>
      </c>
      <c r="H24" s="74">
        <f t="shared" si="5"/>
        <v>-24725</v>
      </c>
      <c r="I24" s="74">
        <f t="shared" si="5"/>
        <v>-24725</v>
      </c>
      <c r="J24" s="74">
        <f t="shared" si="5"/>
        <v>-24725</v>
      </c>
      <c r="K24" s="74">
        <f t="shared" si="5"/>
        <v>-24725</v>
      </c>
      <c r="L24" s="74">
        <f t="shared" si="5"/>
        <v>-24725</v>
      </c>
      <c r="M24" s="74">
        <f t="shared" si="5"/>
        <v>-24725</v>
      </c>
      <c r="N24" s="74">
        <f t="shared" si="5"/>
        <v>-24725</v>
      </c>
      <c r="O24" s="74">
        <f t="shared" si="5"/>
        <v>-24725</v>
      </c>
      <c r="P24" s="74">
        <f t="shared" si="5"/>
        <v>-24725</v>
      </c>
      <c r="Q24" s="74">
        <f t="shared" si="5"/>
        <v>-24725</v>
      </c>
      <c r="R24" s="74">
        <f t="shared" si="5"/>
        <v>-24725</v>
      </c>
      <c r="S24" s="74">
        <f t="shared" si="5"/>
        <v>-24725</v>
      </c>
      <c r="T24" s="74">
        <f t="shared" si="5"/>
        <v>-24725</v>
      </c>
      <c r="U24" s="74">
        <f t="shared" si="5"/>
        <v>-24725</v>
      </c>
      <c r="V24" s="74">
        <f t="shared" si="5"/>
        <v>-24725</v>
      </c>
      <c r="W24" s="74">
        <f t="shared" si="5"/>
        <v>-24725</v>
      </c>
      <c r="X24" s="74">
        <f t="shared" si="5"/>
        <v>-24725</v>
      </c>
      <c r="Y24" s="74">
        <f t="shared" si="5"/>
        <v>-24725</v>
      </c>
      <c r="Z24" s="74">
        <f t="shared" si="5"/>
        <v>-24725</v>
      </c>
      <c r="AA24" s="74">
        <f t="shared" si="5"/>
        <v>-24725</v>
      </c>
      <c r="AB24" s="74">
        <f t="shared" si="5"/>
        <v>-24725</v>
      </c>
      <c r="AC24" s="74">
        <f t="shared" si="5"/>
        <v>-24725</v>
      </c>
      <c r="AD24" s="74">
        <f t="shared" si="5"/>
        <v>-24725</v>
      </c>
      <c r="AE24" s="74">
        <f t="shared" si="5"/>
        <v>-24725</v>
      </c>
      <c r="AF24" s="74">
        <f t="shared" si="5"/>
        <v>-24725</v>
      </c>
      <c r="AG24" s="74">
        <f t="shared" si="5"/>
        <v>-24725</v>
      </c>
      <c r="AH24" s="74">
        <f t="shared" si="5"/>
        <v>-24725</v>
      </c>
      <c r="AI24" s="74">
        <f t="shared" si="5"/>
        <v>-24725</v>
      </c>
      <c r="AJ24" s="74">
        <f t="shared" si="5"/>
        <v>-24725</v>
      </c>
      <c r="AK24" s="74">
        <f t="shared" si="5"/>
        <v>-24725</v>
      </c>
      <c r="AL24" s="74">
        <f t="shared" si="5"/>
        <v>-24725</v>
      </c>
      <c r="AM24" s="74">
        <f t="shared" si="5"/>
        <v>-24725</v>
      </c>
      <c r="AN24" s="74">
        <f t="shared" si="5"/>
        <v>-24725</v>
      </c>
      <c r="AO24" s="74">
        <f t="shared" si="5"/>
        <v>-24725</v>
      </c>
      <c r="AP24" s="74">
        <f t="shared" si="5"/>
        <v>-24725</v>
      </c>
      <c r="AQ24" s="74">
        <f t="shared" si="5"/>
        <v>-24725</v>
      </c>
      <c r="AR24" s="74">
        <f t="shared" si="5"/>
        <v>-24725</v>
      </c>
      <c r="AS24" s="74">
        <f t="shared" si="5"/>
        <v>-24725</v>
      </c>
      <c r="AT24" s="74">
        <f t="shared" si="5"/>
        <v>-24725</v>
      </c>
      <c r="AU24" s="74">
        <f t="shared" si="5"/>
        <v>-24725</v>
      </c>
      <c r="AV24" s="74">
        <f t="shared" si="5"/>
        <v>-24725</v>
      </c>
      <c r="AW24" s="74">
        <f t="shared" si="5"/>
        <v>-24725</v>
      </c>
      <c r="AX24" s="74">
        <f t="shared" si="5"/>
        <v>-24725</v>
      </c>
      <c r="AY24" s="74">
        <f t="shared" si="5"/>
        <v>-24725</v>
      </c>
      <c r="AZ24" s="74">
        <f t="shared" si="5"/>
        <v>-24725</v>
      </c>
      <c r="BA24" s="74">
        <f t="shared" si="5"/>
        <v>-24725</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5.0"/>
    <col customWidth="1" min="2" max="53" width="12.0"/>
  </cols>
  <sheetData>
    <row r="1" ht="14.25" customHeight="1">
      <c r="A1" s="1" t="s">
        <v>599</v>
      </c>
    </row>
    <row r="2" ht="14.25" customHeight="1">
      <c r="B2" s="75">
        <v>46113.0</v>
      </c>
      <c r="C2" s="75">
        <v>46143.0</v>
      </c>
      <c r="D2" s="75">
        <v>46174.0</v>
      </c>
      <c r="E2" s="75">
        <v>46204.0</v>
      </c>
      <c r="F2" s="75">
        <v>46235.0</v>
      </c>
      <c r="G2" s="75">
        <v>46266.0</v>
      </c>
      <c r="H2" s="75">
        <v>46296.0</v>
      </c>
      <c r="I2" s="75">
        <v>46327.0</v>
      </c>
      <c r="J2" s="75">
        <v>46357.0</v>
      </c>
      <c r="K2" s="75">
        <v>46388.0</v>
      </c>
      <c r="L2" s="75">
        <v>46419.0</v>
      </c>
      <c r="M2" s="75">
        <v>46447.0</v>
      </c>
      <c r="N2" s="75">
        <v>46478.0</v>
      </c>
      <c r="O2" s="75">
        <v>46508.0</v>
      </c>
      <c r="P2" s="75">
        <v>46539.0</v>
      </c>
      <c r="Q2" s="75">
        <v>46569.0</v>
      </c>
      <c r="R2" s="75">
        <v>46600.0</v>
      </c>
      <c r="S2" s="75">
        <v>46631.0</v>
      </c>
      <c r="T2" s="75">
        <v>46661.0</v>
      </c>
      <c r="U2" s="75">
        <v>46692.0</v>
      </c>
      <c r="V2" s="75">
        <v>46722.0</v>
      </c>
      <c r="W2" s="75">
        <v>46753.0</v>
      </c>
      <c r="X2" s="75">
        <v>46784.0</v>
      </c>
      <c r="Y2" s="75">
        <v>46813.0</v>
      </c>
      <c r="Z2" s="75">
        <v>46844.0</v>
      </c>
      <c r="AA2" s="75">
        <v>46874.0</v>
      </c>
      <c r="AB2" s="75">
        <v>46905.0</v>
      </c>
      <c r="AC2" s="75">
        <v>46935.0</v>
      </c>
      <c r="AD2" s="75">
        <v>46966.0</v>
      </c>
      <c r="AE2" s="75">
        <v>46997.0</v>
      </c>
      <c r="AF2" s="75">
        <v>47027.0</v>
      </c>
      <c r="AG2" s="75">
        <v>47058.0</v>
      </c>
      <c r="AH2" s="75">
        <v>47088.0</v>
      </c>
      <c r="AI2" s="75">
        <v>47119.0</v>
      </c>
      <c r="AJ2" s="75">
        <v>47150.0</v>
      </c>
      <c r="AK2" s="75">
        <v>47178.0</v>
      </c>
      <c r="AL2" s="75">
        <v>47209.0</v>
      </c>
      <c r="AM2" s="75">
        <v>47239.0</v>
      </c>
      <c r="AN2" s="75">
        <v>47270.0</v>
      </c>
      <c r="AO2" s="75">
        <v>47300.0</v>
      </c>
      <c r="AP2" s="75">
        <v>47331.0</v>
      </c>
      <c r="AQ2" s="75">
        <v>47362.0</v>
      </c>
      <c r="AR2" s="75">
        <v>47392.0</v>
      </c>
      <c r="AS2" s="75">
        <v>47423.0</v>
      </c>
      <c r="AT2" s="75">
        <v>47453.0</v>
      </c>
      <c r="AU2" s="75">
        <v>47484.0</v>
      </c>
      <c r="AV2" s="75">
        <v>47515.0</v>
      </c>
      <c r="AW2" s="75">
        <v>47543.0</v>
      </c>
      <c r="AX2" s="75">
        <v>47574.0</v>
      </c>
      <c r="AY2" s="75">
        <v>47604.0</v>
      </c>
      <c r="AZ2" s="75">
        <v>47635.0</v>
      </c>
      <c r="BA2" s="75">
        <v>47665.0</v>
      </c>
    </row>
    <row r="3" ht="14.25" customHeight="1">
      <c r="A3" s="70" t="s">
        <v>405</v>
      </c>
      <c r="B3" s="70" t="s">
        <v>406</v>
      </c>
      <c r="C3" s="70" t="s">
        <v>407</v>
      </c>
      <c r="D3" s="70" t="s">
        <v>408</v>
      </c>
      <c r="E3" s="70" t="s">
        <v>409</v>
      </c>
      <c r="F3" s="70" t="s">
        <v>410</v>
      </c>
      <c r="G3" s="70" t="s">
        <v>411</v>
      </c>
      <c r="H3" s="70" t="s">
        <v>412</v>
      </c>
      <c r="I3" s="70" t="s">
        <v>413</v>
      </c>
      <c r="J3" s="70" t="s">
        <v>414</v>
      </c>
      <c r="K3" s="70" t="s">
        <v>415</v>
      </c>
      <c r="L3" s="70" t="s">
        <v>416</v>
      </c>
      <c r="M3" s="70" t="s">
        <v>417</v>
      </c>
      <c r="N3" s="70" t="s">
        <v>418</v>
      </c>
      <c r="O3" s="70" t="s">
        <v>419</v>
      </c>
      <c r="P3" s="70" t="s">
        <v>420</v>
      </c>
      <c r="Q3" s="70" t="s">
        <v>421</v>
      </c>
      <c r="R3" s="70" t="s">
        <v>422</v>
      </c>
      <c r="S3" s="70" t="s">
        <v>423</v>
      </c>
      <c r="T3" s="70" t="s">
        <v>424</v>
      </c>
      <c r="U3" s="70" t="s">
        <v>425</v>
      </c>
      <c r="V3" s="70" t="s">
        <v>426</v>
      </c>
      <c r="W3" s="70" t="s">
        <v>427</v>
      </c>
      <c r="X3" s="70" t="s">
        <v>428</v>
      </c>
      <c r="Y3" s="70" t="s">
        <v>429</v>
      </c>
      <c r="Z3" s="70" t="s">
        <v>430</v>
      </c>
      <c r="AA3" s="70" t="s">
        <v>431</v>
      </c>
      <c r="AB3" s="70" t="s">
        <v>432</v>
      </c>
      <c r="AC3" s="70" t="s">
        <v>433</v>
      </c>
      <c r="AD3" s="70" t="s">
        <v>434</v>
      </c>
      <c r="AE3" s="70" t="s">
        <v>435</v>
      </c>
      <c r="AF3" s="70" t="s">
        <v>436</v>
      </c>
      <c r="AG3" s="70" t="s">
        <v>437</v>
      </c>
      <c r="AH3" s="70" t="s">
        <v>438</v>
      </c>
      <c r="AI3" s="70" t="s">
        <v>439</v>
      </c>
      <c r="AJ3" s="70" t="s">
        <v>440</v>
      </c>
      <c r="AK3" s="70" t="s">
        <v>441</v>
      </c>
      <c r="AL3" s="70" t="s">
        <v>442</v>
      </c>
      <c r="AM3" s="70" t="s">
        <v>443</v>
      </c>
      <c r="AN3" s="70" t="s">
        <v>444</v>
      </c>
      <c r="AO3" s="70" t="s">
        <v>445</v>
      </c>
      <c r="AP3" s="70" t="s">
        <v>446</v>
      </c>
      <c r="AQ3" s="70" t="s">
        <v>447</v>
      </c>
      <c r="AR3" s="70" t="s">
        <v>448</v>
      </c>
      <c r="AS3" s="70" t="s">
        <v>449</v>
      </c>
      <c r="AT3" s="70" t="s">
        <v>450</v>
      </c>
      <c r="AU3" s="70" t="s">
        <v>451</v>
      </c>
      <c r="AV3" s="70" t="s">
        <v>452</v>
      </c>
      <c r="AW3" s="70" t="s">
        <v>453</v>
      </c>
      <c r="AX3" s="70" t="s">
        <v>454</v>
      </c>
      <c r="AY3" s="70" t="s">
        <v>455</v>
      </c>
      <c r="AZ3" s="70" t="s">
        <v>456</v>
      </c>
      <c r="BA3" s="70" t="s">
        <v>457</v>
      </c>
    </row>
    <row r="4" ht="14.25" customHeight="1">
      <c r="A4" s="2" t="s">
        <v>600</v>
      </c>
    </row>
    <row r="5" ht="14.25" customHeight="1">
      <c r="A5" s="3" t="s">
        <v>601</v>
      </c>
      <c r="B5" s="71">
        <f>'P&amp;L'!B39</f>
        <v>-68146</v>
      </c>
      <c r="C5" s="71">
        <f>'P&amp;L'!C39</f>
        <v>-41854.75</v>
      </c>
      <c r="D5" s="71">
        <f>'P&amp;L'!D39</f>
        <v>-41989.9375</v>
      </c>
      <c r="E5" s="71">
        <f>'P&amp;L'!E39</f>
        <v>-42131.88438</v>
      </c>
      <c r="F5" s="71">
        <f>'P&amp;L'!F39</f>
        <v>-58030.92859</v>
      </c>
      <c r="G5" s="71">
        <f>'P&amp;L'!G39</f>
        <v>-42437.42502</v>
      </c>
      <c r="H5" s="71">
        <f>'P&amp;L'!H39</f>
        <v>-56217.41294</v>
      </c>
      <c r="I5" s="71">
        <f>'P&amp;L'!I39</f>
        <v>-68566.45026</v>
      </c>
      <c r="J5" s="71">
        <f>'P&amp;L'!J39</f>
        <v>-75630.36443</v>
      </c>
      <c r="K5" s="71">
        <f>'P&amp;L'!K39</f>
        <v>-85879.58682</v>
      </c>
      <c r="L5" s="71">
        <f>'P&amp;L'!L39</f>
        <v>-93491.44533</v>
      </c>
      <c r="M5" s="71">
        <f>'P&amp;L'!M39</f>
        <v>-101113.2905</v>
      </c>
      <c r="N5" s="71">
        <f>'P&amp;L'!N39</f>
        <v>-114441.6967</v>
      </c>
      <c r="O5" s="71">
        <f>'P&amp;L'!O39</f>
        <v>-133275.3361</v>
      </c>
      <c r="P5" s="71">
        <f>'P&amp;L'!P39</f>
        <v>-125951.1801</v>
      </c>
      <c r="Q5" s="71">
        <f>'P&amp;L'!Q39</f>
        <v>-126206.0963</v>
      </c>
      <c r="R5" s="71">
        <f>'P&amp;L'!R39</f>
        <v>-143273.7583</v>
      </c>
      <c r="S5" s="71">
        <f>'P&amp;L'!S39</f>
        <v>-177091.1784</v>
      </c>
      <c r="T5" s="71">
        <f>'P&amp;L'!T39</f>
        <v>-166716.2758</v>
      </c>
      <c r="U5" s="71">
        <f>'P&amp;L'!U39</f>
        <v>-177783.1697</v>
      </c>
      <c r="V5" s="71">
        <f>'P&amp;L'!V39</f>
        <v>-174551.8478</v>
      </c>
      <c r="W5" s="71">
        <f>'P&amp;L'!W39</f>
        <v>-191208.9391</v>
      </c>
      <c r="X5" s="71">
        <f>'P&amp;L'!X39</f>
        <v>-188010.9651</v>
      </c>
      <c r="Y5" s="71">
        <f>'P&amp;L'!Y39</f>
        <v>-187955.4778</v>
      </c>
      <c r="Z5" s="71">
        <f>'P&amp;L'!Z39</f>
        <v>-190135.4792</v>
      </c>
      <c r="AA5" s="71">
        <f>'P&amp;L'!AA39</f>
        <v>-190550.7108</v>
      </c>
      <c r="AB5" s="71">
        <f>'P&amp;L'!AB39</f>
        <v>-178302.104</v>
      </c>
      <c r="AC5" s="71">
        <f>'P&amp;L'!AC39</f>
        <v>-188903.1808</v>
      </c>
      <c r="AD5" s="71">
        <f>'P&amp;L'!AD39</f>
        <v>-185827.1966</v>
      </c>
      <c r="AE5" s="71">
        <f>'P&amp;L'!AE39</f>
        <v>-187072.4049</v>
      </c>
      <c r="AF5" s="71">
        <f>'P&amp;L'!AF39</f>
        <v>-182514.7907</v>
      </c>
      <c r="AG5" s="71">
        <f>'P&amp;L'!AG39</f>
        <v>-183071.2408</v>
      </c>
      <c r="AH5" s="71">
        <f>'P&amp;L'!AH39</f>
        <v>-170970.9133</v>
      </c>
      <c r="AI5" s="71">
        <f>'P&amp;L'!AI39</f>
        <v>-170053.4996</v>
      </c>
      <c r="AJ5" s="71">
        <f>'P&amp;L'!AJ39</f>
        <v>-186447.6601</v>
      </c>
      <c r="AK5" s="71">
        <f>'P&amp;L'!AK39</f>
        <v>-178475.8797</v>
      </c>
      <c r="AL5" s="71">
        <f>'P&amp;L'!AL39</f>
        <v>-178209.4849</v>
      </c>
      <c r="AM5" s="71">
        <f>'P&amp;L'!AM39</f>
        <v>-178955.1812</v>
      </c>
      <c r="AN5" s="71">
        <f>'P&amp;L'!AN39</f>
        <v>-166038.7943</v>
      </c>
      <c r="AO5" s="71">
        <f>'P&amp;L'!AO39</f>
        <v>-165207.5525</v>
      </c>
      <c r="AP5" s="71">
        <f>'P&amp;L'!AP39</f>
        <v>-166070.7892</v>
      </c>
      <c r="AQ5" s="71">
        <f>'P&amp;L'!AQ39</f>
        <v>-153277.8198</v>
      </c>
      <c r="AR5" s="71">
        <f>'P&amp;L'!AR39</f>
        <v>-152576.1663</v>
      </c>
      <c r="AS5" s="71">
        <f>'P&amp;L'!AS39</f>
        <v>-153575.4707</v>
      </c>
      <c r="AT5" s="71">
        <f>'P&amp;L'!AT39</f>
        <v>-140925.3723</v>
      </c>
      <c r="AU5" s="71">
        <f>'P&amp;L'!AU39</f>
        <v>-140373.7334</v>
      </c>
      <c r="AV5" s="71">
        <f>'P&amp;L'!AV39</f>
        <v>-141530.5531</v>
      </c>
      <c r="AW5" s="71">
        <f>'P&amp;L'!AW39</f>
        <v>-144398.5859</v>
      </c>
      <c r="AX5" s="71">
        <f>'P&amp;L'!AX39</f>
        <v>-144470.9807</v>
      </c>
      <c r="AY5" s="71">
        <f>'P&amp;L'!AY39</f>
        <v>-145810.1441</v>
      </c>
      <c r="AZ5" s="71">
        <f>'P&amp;L'!AZ39</f>
        <v>-132420.9483</v>
      </c>
      <c r="BA5" s="71">
        <f>'P&amp;L'!BA39</f>
        <v>-132111.7343</v>
      </c>
    </row>
    <row r="6" ht="14.25" customHeight="1">
      <c r="A6" s="3" t="s">
        <v>602</v>
      </c>
      <c r="B6" s="71">
        <f>'P&amp;L'!B32</f>
        <v>275</v>
      </c>
      <c r="C6" s="71">
        <f>'P&amp;L'!C32</f>
        <v>0</v>
      </c>
      <c r="D6" s="71">
        <f>'P&amp;L'!D32</f>
        <v>0</v>
      </c>
      <c r="E6" s="71">
        <f>'P&amp;L'!E32</f>
        <v>0</v>
      </c>
      <c r="F6" s="71">
        <f>'P&amp;L'!F32</f>
        <v>0</v>
      </c>
      <c r="G6" s="71">
        <f>'P&amp;L'!G32</f>
        <v>0</v>
      </c>
      <c r="H6" s="71">
        <f>'P&amp;L'!H32</f>
        <v>91.66666667</v>
      </c>
      <c r="I6" s="71">
        <f>'P&amp;L'!I32</f>
        <v>91.66666667</v>
      </c>
      <c r="J6" s="71">
        <f>'P&amp;L'!J32</f>
        <v>91.66666667</v>
      </c>
      <c r="K6" s="71">
        <f>'P&amp;L'!K32</f>
        <v>91.66666667</v>
      </c>
      <c r="L6" s="71">
        <f>'P&amp;L'!L32</f>
        <v>91.66666667</v>
      </c>
      <c r="M6" s="71">
        <f>'P&amp;L'!M32</f>
        <v>91.66666667</v>
      </c>
      <c r="N6" s="71">
        <f>'P&amp;L'!N32</f>
        <v>91.66666667</v>
      </c>
      <c r="O6" s="71">
        <f>'P&amp;L'!O32</f>
        <v>183.3333333</v>
      </c>
      <c r="P6" s="71">
        <f>'P&amp;L'!P32</f>
        <v>0</v>
      </c>
      <c r="Q6" s="71">
        <f>'P&amp;L'!Q32</f>
        <v>0</v>
      </c>
      <c r="R6" s="71">
        <f>'P&amp;L'!R32</f>
        <v>0</v>
      </c>
      <c r="S6" s="71">
        <f>'P&amp;L'!S32</f>
        <v>275</v>
      </c>
      <c r="T6" s="71">
        <f>'P&amp;L'!T32</f>
        <v>0</v>
      </c>
      <c r="U6" s="71">
        <f>'P&amp;L'!U32</f>
        <v>91.66666667</v>
      </c>
      <c r="V6" s="71">
        <f>'P&amp;L'!V32</f>
        <v>0</v>
      </c>
      <c r="W6" s="71">
        <f>'P&amp;L'!W32</f>
        <v>91.66666667</v>
      </c>
      <c r="X6" s="71">
        <f>'P&amp;L'!X32</f>
        <v>0</v>
      </c>
      <c r="Y6" s="71">
        <f>'P&amp;L'!Y32</f>
        <v>91.66666667</v>
      </c>
      <c r="Z6" s="71">
        <f>'P&amp;L'!Z32</f>
        <v>0</v>
      </c>
      <c r="AA6" s="71">
        <f>'P&amp;L'!AA32</f>
        <v>0</v>
      </c>
      <c r="AB6" s="71">
        <f>'P&amp;L'!AB32</f>
        <v>0</v>
      </c>
      <c r="AC6" s="71">
        <f>'P&amp;L'!AC32</f>
        <v>91.66666667</v>
      </c>
      <c r="AD6" s="71">
        <f>'P&amp;L'!AD32</f>
        <v>0</v>
      </c>
      <c r="AE6" s="71">
        <f>'P&amp;L'!AE32</f>
        <v>91.66666667</v>
      </c>
      <c r="AF6" s="71">
        <f>'P&amp;L'!AF32</f>
        <v>0</v>
      </c>
      <c r="AG6" s="71">
        <f>'P&amp;L'!AG32</f>
        <v>0</v>
      </c>
      <c r="AH6" s="71">
        <f>'P&amp;L'!AH32</f>
        <v>0</v>
      </c>
      <c r="AI6" s="71">
        <f>'P&amp;L'!AI32</f>
        <v>0</v>
      </c>
      <c r="AJ6" s="71">
        <f>'P&amp;L'!AJ32</f>
        <v>0</v>
      </c>
      <c r="AK6" s="71">
        <f>'P&amp;L'!AK32</f>
        <v>91.66666667</v>
      </c>
      <c r="AL6" s="71">
        <f>'P&amp;L'!AL32</f>
        <v>0</v>
      </c>
      <c r="AM6" s="71">
        <f>'P&amp;L'!AM32</f>
        <v>0</v>
      </c>
      <c r="AN6" s="71">
        <f>'P&amp;L'!AN32</f>
        <v>0</v>
      </c>
      <c r="AO6" s="71">
        <f>'P&amp;L'!AO32</f>
        <v>0</v>
      </c>
      <c r="AP6" s="71">
        <f>'P&amp;L'!AP32</f>
        <v>0</v>
      </c>
      <c r="AQ6" s="71">
        <f>'P&amp;L'!AQ32</f>
        <v>0</v>
      </c>
      <c r="AR6" s="71">
        <f>'P&amp;L'!AR32</f>
        <v>0</v>
      </c>
      <c r="AS6" s="71">
        <f>'P&amp;L'!AS32</f>
        <v>0</v>
      </c>
      <c r="AT6" s="71">
        <f>'P&amp;L'!AT32</f>
        <v>0</v>
      </c>
      <c r="AU6" s="71">
        <f>'P&amp;L'!AU32</f>
        <v>0</v>
      </c>
      <c r="AV6" s="71">
        <f>'P&amp;L'!AV32</f>
        <v>0</v>
      </c>
      <c r="AW6" s="71">
        <f>'P&amp;L'!AW32</f>
        <v>0</v>
      </c>
      <c r="AX6" s="71">
        <f>'P&amp;L'!AX32</f>
        <v>0</v>
      </c>
      <c r="AY6" s="71">
        <f>'P&amp;L'!AY32</f>
        <v>0</v>
      </c>
      <c r="AZ6" s="71">
        <f>'P&amp;L'!AZ32</f>
        <v>0</v>
      </c>
      <c r="BA6" s="71">
        <f>'P&amp;L'!BA32</f>
        <v>0</v>
      </c>
    </row>
    <row r="7" ht="14.25" customHeight="1">
      <c r="A7" s="3" t="s">
        <v>603</v>
      </c>
      <c r="B7" s="74">
        <f>-'Balance Sheet'!B6-'Balance Sheet'!B7+'Balance Sheet'!B12+'Balance Sheet'!B13+'Balance Sheet'!B14</f>
        <v>8429.5</v>
      </c>
      <c r="C7" s="74">
        <f>-('Balance Sheet'!C6-'Balance Sheet'!B6)-('Balance Sheet'!C7-'Balance Sheet'!B7)+('Balance Sheet'!C12-'Balance Sheet'!B12)+('Balance Sheet'!C13-'Balance Sheet'!B13)+('Balance Sheet'!C14-'Balance Sheet'!B14)</f>
        <v>-2606.625</v>
      </c>
      <c r="D7" s="74">
        <f>-('Balance Sheet'!D6-'Balance Sheet'!C6)-('Balance Sheet'!D7-'Balance Sheet'!C7)+('Balance Sheet'!D12-'Balance Sheet'!C12)+('Balance Sheet'!D13-'Balance Sheet'!C13)+('Balance Sheet'!D14-'Balance Sheet'!C14)</f>
        <v>8.26875</v>
      </c>
      <c r="E7" s="74">
        <f>-('Balance Sheet'!E6-'Balance Sheet'!D6)-('Balance Sheet'!E7-'Balance Sheet'!D7)+('Balance Sheet'!E12-'Balance Sheet'!D12)+('Balance Sheet'!E13-'Balance Sheet'!D13)+('Balance Sheet'!E14-'Balance Sheet'!D14)</f>
        <v>8.6821875</v>
      </c>
      <c r="F7" s="74">
        <f>-('Balance Sheet'!F6-'Balance Sheet'!E6)-('Balance Sheet'!F7-'Balance Sheet'!E7)+('Balance Sheet'!F12-'Balance Sheet'!E12)+('Balance Sheet'!F13-'Balance Sheet'!E13)+('Balance Sheet'!F14-'Balance Sheet'!E14)</f>
        <v>1584.116297</v>
      </c>
      <c r="G7" s="74">
        <f>-('Balance Sheet'!G6-'Balance Sheet'!F6)-('Balance Sheet'!G7-'Balance Sheet'!F7)+('Balance Sheet'!G12-'Balance Sheet'!F12)+('Balance Sheet'!G13-'Balance Sheet'!F13)+('Balance Sheet'!G14-'Balance Sheet'!F14)</f>
        <v>-1565.427888</v>
      </c>
      <c r="H7" s="74">
        <f>-('Balance Sheet'!H6-'Balance Sheet'!G6)-('Balance Sheet'!H7-'Balance Sheet'!G7)+('Balance Sheet'!H12-'Balance Sheet'!G12)+('Balance Sheet'!H13-'Balance Sheet'!G13)+('Balance Sheet'!H14-'Balance Sheet'!G14)</f>
        <v>2088.450717</v>
      </c>
      <c r="I7" s="74">
        <f>-('Balance Sheet'!I6-'Balance Sheet'!H6)-('Balance Sheet'!I7-'Balance Sheet'!H7)+('Balance Sheet'!I12-'Balance Sheet'!H12)+('Balance Sheet'!I13-'Balance Sheet'!H13)+('Balance Sheet'!I14-'Balance Sheet'!H14)</f>
        <v>2115.536587</v>
      </c>
      <c r="J7" s="74">
        <f>-('Balance Sheet'!J6-'Balance Sheet'!I6)-('Balance Sheet'!J7-'Balance Sheet'!I7)+('Balance Sheet'!J12-'Balance Sheet'!I12)+('Balance Sheet'!J13-'Balance Sheet'!I13)+('Balance Sheet'!J14-'Balance Sheet'!I14)</f>
        <v>1183.355916</v>
      </c>
      <c r="K7" s="74">
        <f>-('Balance Sheet'!K6-'Balance Sheet'!J6)-('Balance Sheet'!K7-'Balance Sheet'!J7)+('Balance Sheet'!K12-'Balance Sheet'!J12)+('Balance Sheet'!K13-'Balance Sheet'!J13)+('Balance Sheet'!K14-'Balance Sheet'!J14)</f>
        <v>1743.534962</v>
      </c>
      <c r="L7" s="74">
        <f>-('Balance Sheet'!L6-'Balance Sheet'!K6)-('Balance Sheet'!L7-'Balance Sheet'!K7)+('Balance Sheet'!L12-'Balance Sheet'!K12)+('Balance Sheet'!L13-'Balance Sheet'!K13)+('Balance Sheet'!L14-'Balance Sheet'!K14)</f>
        <v>1277.762543</v>
      </c>
      <c r="M7" s="74">
        <f>-('Balance Sheet'!M6-'Balance Sheet'!L6)-('Balance Sheet'!M7-'Balance Sheet'!L7)+('Balance Sheet'!M12-'Balance Sheet'!L12)+('Balance Sheet'!M13-'Balance Sheet'!L13)+('Balance Sheet'!M14-'Balance Sheet'!L14)</f>
        <v>1278.373379</v>
      </c>
      <c r="N7" s="74">
        <f>-('Balance Sheet'!N6-'Balance Sheet'!M6)-('Balance Sheet'!N7-'Balance Sheet'!M7)+('Balance Sheet'!N12-'Balance Sheet'!M12)+('Balance Sheet'!N13-'Balance Sheet'!M13)+('Balance Sheet'!N14-'Balance Sheet'!M14)</f>
        <v>2282.608922</v>
      </c>
      <c r="O7" s="74">
        <f>-('Balance Sheet'!O6-'Balance Sheet'!N6)-('Balance Sheet'!O7-'Balance Sheet'!N7)+('Balance Sheet'!O12-'Balance Sheet'!N12)+('Balance Sheet'!O13-'Balance Sheet'!N13)+('Balance Sheet'!O14-'Balance Sheet'!N14)</f>
        <v>3574.267994</v>
      </c>
      <c r="P7" s="74">
        <f>-('Balance Sheet'!P6-'Balance Sheet'!O6)-('Balance Sheet'!P7-'Balance Sheet'!O7)+('Balance Sheet'!P12-'Balance Sheet'!O12)+('Balance Sheet'!P13-'Balance Sheet'!O13)+('Balance Sheet'!P14-'Balance Sheet'!O14)</f>
        <v>-723.510513</v>
      </c>
      <c r="Q7" s="74">
        <f>-('Balance Sheet'!Q6-'Balance Sheet'!P6)-('Balance Sheet'!Q7-'Balance Sheet'!P7)+('Balance Sheet'!Q12-'Balance Sheet'!P12)+('Balance Sheet'!Q13-'Balance Sheet'!P13)+('Balance Sheet'!Q14-'Balance Sheet'!P14)</f>
        <v>15.59196135</v>
      </c>
      <c r="R7" s="74">
        <f>-('Balance Sheet'!R6-'Balance Sheet'!Q6)-('Balance Sheet'!R7-'Balance Sheet'!Q7)+('Balance Sheet'!R12-'Balance Sheet'!Q12)+('Balance Sheet'!R13-'Balance Sheet'!Q13)+('Balance Sheet'!R14-'Balance Sheet'!Q14)</f>
        <v>1696.371559</v>
      </c>
      <c r="S7" s="74">
        <f>-('Balance Sheet'!S6-'Balance Sheet'!R6)-('Balance Sheet'!S7-'Balance Sheet'!R7)+('Balance Sheet'!S12-'Balance Sheet'!R12)+('Balance Sheet'!S13-'Balance Sheet'!R13)+('Balance Sheet'!S14-'Balance Sheet'!R14)</f>
        <v>5884.327637</v>
      </c>
      <c r="T7" s="74">
        <f>-('Balance Sheet'!T6-'Balance Sheet'!S6)-('Balance Sheet'!T7-'Balance Sheet'!S7)+('Balance Sheet'!T12-'Balance Sheet'!S12)+('Balance Sheet'!T13-'Balance Sheet'!S13)+('Balance Sheet'!T14-'Balance Sheet'!S14)</f>
        <v>-1021.450356</v>
      </c>
      <c r="U7" s="74">
        <f>-('Balance Sheet'!U6-'Balance Sheet'!T6)-('Balance Sheet'!U7-'Balance Sheet'!T7)+('Balance Sheet'!U12-'Balance Sheet'!T12)+('Balance Sheet'!U13-'Balance Sheet'!T13)+('Balance Sheet'!U14-'Balance Sheet'!T14)</f>
        <v>1593.689626</v>
      </c>
      <c r="V7" s="74">
        <f>-('Balance Sheet'!V6-'Balance Sheet'!U6)-('Balance Sheet'!V7-'Balance Sheet'!U7)+('Balance Sheet'!V12-'Balance Sheet'!U12)+('Balance Sheet'!V13-'Balance Sheet'!U13)+('Balance Sheet'!V14-'Balance Sheet'!U14)</f>
        <v>-326.6002672</v>
      </c>
      <c r="W7" s="74">
        <f>-('Balance Sheet'!W6-'Balance Sheet'!V6)-('Balance Sheet'!W7-'Balance Sheet'!V7)+('Balance Sheet'!W12-'Balance Sheet'!V12)+('Balance Sheet'!W13-'Balance Sheet'!V13)+('Balance Sheet'!W14-'Balance Sheet'!V14)</f>
        <v>2574.975969</v>
      </c>
      <c r="X7" s="74">
        <f>-('Balance Sheet'!X6-'Balance Sheet'!W6)-('Balance Sheet'!X7-'Balance Sheet'!W7)+('Balance Sheet'!X12-'Balance Sheet'!W12)+('Balance Sheet'!X13-'Balance Sheet'!W13)+('Balance Sheet'!X14-'Balance Sheet'!W14)</f>
        <v>-324.5605446</v>
      </c>
      <c r="Y7" s="74">
        <f>-('Balance Sheet'!Y6-'Balance Sheet'!X6)-('Balance Sheet'!Y7-'Balance Sheet'!X7)+('Balance Sheet'!Y12-'Balance Sheet'!X12)+('Balance Sheet'!Y13-'Balance Sheet'!X13)+('Balance Sheet'!Y14-'Balance Sheet'!X14)</f>
        <v>-11662.5417</v>
      </c>
      <c r="Z7" s="74">
        <f>-('Balance Sheet'!Z6-'Balance Sheet'!Y6)-('Balance Sheet'!Z7-'Balance Sheet'!Y7)+('Balance Sheet'!Z12-'Balance Sheet'!Y12)+('Balance Sheet'!Z13-'Balance Sheet'!Y13)+('Balance Sheet'!Z14-'Balance Sheet'!Y14)</f>
        <v>-108.3438129</v>
      </c>
      <c r="AA7" s="74">
        <f>-('Balance Sheet'!AA6-'Balance Sheet'!Z6)-('Balance Sheet'!AA7-'Balance Sheet'!Z7)+('Balance Sheet'!AA12-'Balance Sheet'!Z12)+('Balance Sheet'!AA13-'Balance Sheet'!Z13)+('Balance Sheet'!AA14-'Balance Sheet'!Z14)</f>
        <v>25.39766206</v>
      </c>
      <c r="AB7" s="74">
        <f>-('Balance Sheet'!AB6-'Balance Sheet'!AA6)-('Balance Sheet'!AB7-'Balance Sheet'!AA7)+('Balance Sheet'!AB12-'Balance Sheet'!AA12)+('Balance Sheet'!AB13-'Balance Sheet'!AA13)+('Balance Sheet'!AB14-'Balance Sheet'!AA14)</f>
        <v>-14400.24245</v>
      </c>
      <c r="AC7" s="74">
        <f>-('Balance Sheet'!AC6-'Balance Sheet'!AB6)-('Balance Sheet'!AC7-'Balance Sheet'!AB7)+('Balance Sheet'!AC12-'Balance Sheet'!AB12)+('Balance Sheet'!AC13-'Balance Sheet'!AB13)+('Balance Sheet'!AC14-'Balance Sheet'!AB14)</f>
        <v>1611.240141</v>
      </c>
      <c r="AD7" s="74">
        <f>-('Balance Sheet'!AD6-'Balance Sheet'!AC6)-('Balance Sheet'!AD7-'Balance Sheet'!AC7)+('Balance Sheet'!AD12-'Balance Sheet'!AC12)+('Balance Sheet'!AD13-'Balance Sheet'!AC13)+('Balance Sheet'!AD14-'Balance Sheet'!AC14)</f>
        <v>-317.0990315</v>
      </c>
      <c r="AE7" s="74">
        <f>-('Balance Sheet'!AE6-'Balance Sheet'!AD6)-('Balance Sheet'!AE7-'Balance Sheet'!AD7)+('Balance Sheet'!AE12-'Balance Sheet'!AD12)+('Balance Sheet'!AE13-'Balance Sheet'!AD13)+('Balance Sheet'!AE14-'Balance Sheet'!AD14)</f>
        <v>-12351.21648</v>
      </c>
      <c r="AF7" s="74">
        <f>-('Balance Sheet'!AF6-'Balance Sheet'!AE6)-('Balance Sheet'!AF7-'Balance Sheet'!AE7)+('Balance Sheet'!AF12-'Balance Sheet'!AE12)+('Balance Sheet'!AF13-'Balance Sheet'!AE13)+('Balance Sheet'!AF14-'Balance Sheet'!AE14)</f>
        <v>-467.1754322</v>
      </c>
      <c r="AG7" s="74">
        <f>-('Balance Sheet'!AG6-'Balance Sheet'!AF6)-('Balance Sheet'!AG7-'Balance Sheet'!AF7)+('Balance Sheet'!AG12-'Balance Sheet'!AF12)+('Balance Sheet'!AG13-'Balance Sheet'!AF13)+('Balance Sheet'!AG14-'Balance Sheet'!AF14)</f>
        <v>34.0352962</v>
      </c>
      <c r="AH7" s="74">
        <f>-('Balance Sheet'!AH6-'Balance Sheet'!AG6)-('Balance Sheet'!AH7-'Balance Sheet'!AG7)+('Balance Sheet'!AH12-'Balance Sheet'!AG12)+('Balance Sheet'!AH13-'Balance Sheet'!AG13)+('Balance Sheet'!AH14-'Balance Sheet'!AG14)</f>
        <v>-14391.17294</v>
      </c>
      <c r="AI7" s="74">
        <f>-('Balance Sheet'!AI6-'Balance Sheet'!AH6)-('Balance Sheet'!AI7-'Balance Sheet'!AH7)+('Balance Sheet'!AI12-'Balance Sheet'!AH12)+('Balance Sheet'!AI13-'Balance Sheet'!AH13)+('Balance Sheet'!AI14-'Balance Sheet'!AH14)</f>
        <v>-115.5660859</v>
      </c>
      <c r="AJ7" s="74">
        <f>-('Balance Sheet'!AJ6-'Balance Sheet'!AI6)-('Balance Sheet'!AJ7-'Balance Sheet'!AI7)+('Balance Sheet'!AJ12-'Balance Sheet'!AI12)+('Balance Sheet'!AJ13-'Balance Sheet'!AI13)+('Balance Sheet'!AJ14-'Balance Sheet'!AI14)</f>
        <v>1614.40011</v>
      </c>
      <c r="AK7" s="74">
        <f>-('Balance Sheet'!AK6-'Balance Sheet'!AJ6)-('Balance Sheet'!AK7-'Balance Sheet'!AJ7)+('Balance Sheet'!AK12-'Balance Sheet'!AJ12)+('Balance Sheet'!AK13-'Balance Sheet'!AJ13)+('Balance Sheet'!AK14-'Balance Sheet'!AJ14)</f>
        <v>-12834.90645</v>
      </c>
      <c r="AL7" s="74">
        <f>-('Balance Sheet'!AL6-'Balance Sheet'!AK6)-('Balance Sheet'!AL7-'Balance Sheet'!AK7)+('Balance Sheet'!AL12-'Balance Sheet'!AK12)+('Balance Sheet'!AL13-'Balance Sheet'!AK13)+('Balance Sheet'!AL14-'Balance Sheet'!AK14)</f>
        <v>-4497.862037</v>
      </c>
      <c r="AM7" s="74">
        <f>-('Balance Sheet'!AM6-'Balance Sheet'!AL6)-('Balance Sheet'!AM7-'Balance Sheet'!AL7)+('Balance Sheet'!AM12-'Balance Sheet'!AL12)+('Balance Sheet'!AM13-'Balance Sheet'!AL13)+('Balance Sheet'!AM14-'Balance Sheet'!AL14)</f>
        <v>45.61055207</v>
      </c>
      <c r="AN7" s="74">
        <f>-('Balance Sheet'!AN6-'Balance Sheet'!AM6)-('Balance Sheet'!AN7-'Balance Sheet'!AM7)+('Balance Sheet'!AN12-'Balance Sheet'!AM12)+('Balance Sheet'!AN13-'Balance Sheet'!AM13)+('Balance Sheet'!AN14-'Balance Sheet'!AM14)</f>
        <v>-15533.17172</v>
      </c>
      <c r="AO7" s="74">
        <f>-('Balance Sheet'!AO6-'Balance Sheet'!AN6)-('Balance Sheet'!AO7-'Balance Sheet'!AN7)+('Balance Sheet'!AO12-'Balance Sheet'!AN12)+('Balance Sheet'!AO13-'Balance Sheet'!AN13)+('Balance Sheet'!AO14-'Balance Sheet'!AN14)</f>
        <v>-115.0515663</v>
      </c>
      <c r="AP7" s="74">
        <f>-('Balance Sheet'!AP6-'Balance Sheet'!AO6)-('Balance Sheet'!AP7-'Balance Sheet'!AO7)+('Balance Sheet'!AP12-'Balance Sheet'!AO12)+('Balance Sheet'!AP13-'Balance Sheet'!AO13)+('Balance Sheet'!AP14-'Balance Sheet'!AO14)</f>
        <v>52.79991534</v>
      </c>
      <c r="AQ7" s="74">
        <f>-('Balance Sheet'!AQ6-'Balance Sheet'!AP6)-('Balance Sheet'!AQ7-'Balance Sheet'!AP7)+('Balance Sheet'!AQ12-'Balance Sheet'!AP12)+('Balance Sheet'!AQ13-'Balance Sheet'!AP13)+('Balance Sheet'!AQ14-'Balance Sheet'!AP14)</f>
        <v>-15525.62289</v>
      </c>
      <c r="AR7" s="74">
        <f>-('Balance Sheet'!AR6-'Balance Sheet'!AQ6)-('Balance Sheet'!AR7-'Balance Sheet'!AQ7)+('Balance Sheet'!AR12-'Balance Sheet'!AQ12)+('Balance Sheet'!AR13-'Balance Sheet'!AQ13)+('Balance Sheet'!AR14-'Balance Sheet'!AQ14)</f>
        <v>-107.1252933</v>
      </c>
      <c r="AS7" s="74">
        <f>-('Balance Sheet'!AS6-'Balance Sheet'!AR6)-('Balance Sheet'!AS7-'Balance Sheet'!AR7)+('Balance Sheet'!AS12-'Balance Sheet'!AR12)+('Balance Sheet'!AS13-'Balance Sheet'!AR13)+('Balance Sheet'!AS14-'Balance Sheet'!AR14)</f>
        <v>61.122502</v>
      </c>
      <c r="AT7" s="74">
        <f>-('Balance Sheet'!AT6-'Balance Sheet'!AS6)-('Balance Sheet'!AT7-'Balance Sheet'!AS7)+('Balance Sheet'!AT12-'Balance Sheet'!AS12)+('Balance Sheet'!AT13-'Balance Sheet'!AS13)+('Balance Sheet'!AT14-'Balance Sheet'!AS14)</f>
        <v>-15516.88417</v>
      </c>
      <c r="AU7" s="74">
        <f>-('Balance Sheet'!AU6-'Balance Sheet'!AT6)-('Balance Sheet'!AU7-'Balance Sheet'!AT7)+('Balance Sheet'!AU12-'Balance Sheet'!AT12)+('Balance Sheet'!AU13-'Balance Sheet'!AT13)+('Balance Sheet'!AU14-'Balance Sheet'!AT14)</f>
        <v>-97.94964155</v>
      </c>
      <c r="AV7" s="74">
        <f>-('Balance Sheet'!AV6-'Balance Sheet'!AU6)-('Balance Sheet'!AV7-'Balance Sheet'!AU7)+('Balance Sheet'!AV12-'Balance Sheet'!AU12)+('Balance Sheet'!AV13-'Balance Sheet'!AU13)+('Balance Sheet'!AV14-'Balance Sheet'!AU14)</f>
        <v>70.75693637</v>
      </c>
      <c r="AW7" s="74">
        <f>-('Balance Sheet'!AW6-'Balance Sheet'!AV6)-('Balance Sheet'!AW7-'Balance Sheet'!AV7)+('Balance Sheet'!AW12-'Balance Sheet'!AV12)+('Balance Sheet'!AW13-'Balance Sheet'!AV13)+('Balance Sheet'!AW14-'Balance Sheet'!AV14)</f>
        <v>239.6319832</v>
      </c>
      <c r="AX7" s="74">
        <f>-('Balance Sheet'!AX6-'Balance Sheet'!AW6)-('Balance Sheet'!AX7-'Balance Sheet'!AW7)+('Balance Sheet'!AX12-'Balance Sheet'!AW12)+('Balance Sheet'!AX13-'Balance Sheet'!AW13)+('Balance Sheet'!AX14-'Balance Sheet'!AW14)</f>
        <v>-8285.219868</v>
      </c>
      <c r="AY7" s="74">
        <f>-('Balance Sheet'!AY6-'Balance Sheet'!AX6)-('Balance Sheet'!AY7-'Balance Sheet'!AX7)+('Balance Sheet'!AY12-'Balance Sheet'!AX12)+('Balance Sheet'!AY13-'Balance Sheet'!AX13)+('Balance Sheet'!AY14-'Balance Sheet'!AX14)</f>
        <v>81.90999847</v>
      </c>
      <c r="AZ7" s="74">
        <f>-('Balance Sheet'!AZ6-'Balance Sheet'!AY6)-('Balance Sheet'!AZ7-'Balance Sheet'!AY7)+('Balance Sheet'!AZ12-'Balance Sheet'!AY12)+('Balance Sheet'!AZ13-'Balance Sheet'!AY13)+('Balance Sheet'!AZ14-'Balance Sheet'!AY14)</f>
        <v>-16741.54233</v>
      </c>
      <c r="BA7" s="74">
        <f>-('Balance Sheet'!BA6-'Balance Sheet'!AZ6)-('Balance Sheet'!BA7-'Balance Sheet'!AZ7)+('Balance Sheet'!BA12-'Balance Sheet'!AZ12)+('Balance Sheet'!BA13-'Balance Sheet'!AZ13)+('Balance Sheet'!BA14-'Balance Sheet'!AZ14)</f>
        <v>-88.25840269</v>
      </c>
    </row>
    <row r="8" ht="14.25" customHeight="1">
      <c r="A8" s="2" t="s">
        <v>604</v>
      </c>
      <c r="B8" s="72">
        <f t="shared" ref="B8:BA8" si="1">B5+B6+B7</f>
        <v>-59441.5</v>
      </c>
      <c r="C8" s="72">
        <f t="shared" si="1"/>
        <v>-44461.375</v>
      </c>
      <c r="D8" s="72">
        <f t="shared" si="1"/>
        <v>-41981.66875</v>
      </c>
      <c r="E8" s="72">
        <f t="shared" si="1"/>
        <v>-42123.20219</v>
      </c>
      <c r="F8" s="72">
        <f t="shared" si="1"/>
        <v>-56446.8123</v>
      </c>
      <c r="G8" s="72">
        <f t="shared" si="1"/>
        <v>-44002.85291</v>
      </c>
      <c r="H8" s="72">
        <f t="shared" si="1"/>
        <v>-54037.29556</v>
      </c>
      <c r="I8" s="72">
        <f t="shared" si="1"/>
        <v>-66359.247</v>
      </c>
      <c r="J8" s="72">
        <f t="shared" si="1"/>
        <v>-74355.34185</v>
      </c>
      <c r="K8" s="72">
        <f t="shared" si="1"/>
        <v>-84044.38519</v>
      </c>
      <c r="L8" s="72">
        <f t="shared" si="1"/>
        <v>-92122.01612</v>
      </c>
      <c r="M8" s="72">
        <f t="shared" si="1"/>
        <v>-99743.25047</v>
      </c>
      <c r="N8" s="72">
        <f t="shared" si="1"/>
        <v>-112067.4211</v>
      </c>
      <c r="O8" s="72">
        <f t="shared" si="1"/>
        <v>-129517.7348</v>
      </c>
      <c r="P8" s="72">
        <f t="shared" si="1"/>
        <v>-126674.6906</v>
      </c>
      <c r="Q8" s="72">
        <f t="shared" si="1"/>
        <v>-126190.5044</v>
      </c>
      <c r="R8" s="72">
        <f t="shared" si="1"/>
        <v>-141577.3868</v>
      </c>
      <c r="S8" s="72">
        <f t="shared" si="1"/>
        <v>-170931.8508</v>
      </c>
      <c r="T8" s="72">
        <f t="shared" si="1"/>
        <v>-167737.7261</v>
      </c>
      <c r="U8" s="72">
        <f t="shared" si="1"/>
        <v>-176097.8134</v>
      </c>
      <c r="V8" s="72">
        <f t="shared" si="1"/>
        <v>-174878.4481</v>
      </c>
      <c r="W8" s="72">
        <f t="shared" si="1"/>
        <v>-188542.2965</v>
      </c>
      <c r="X8" s="72">
        <f t="shared" si="1"/>
        <v>-188335.5256</v>
      </c>
      <c r="Y8" s="72">
        <f t="shared" si="1"/>
        <v>-199526.3529</v>
      </c>
      <c r="Z8" s="72">
        <f t="shared" si="1"/>
        <v>-190243.823</v>
      </c>
      <c r="AA8" s="72">
        <f t="shared" si="1"/>
        <v>-190525.3132</v>
      </c>
      <c r="AB8" s="72">
        <f t="shared" si="1"/>
        <v>-192702.3465</v>
      </c>
      <c r="AC8" s="72">
        <f t="shared" si="1"/>
        <v>-187200.274</v>
      </c>
      <c r="AD8" s="72">
        <f t="shared" si="1"/>
        <v>-186144.2956</v>
      </c>
      <c r="AE8" s="72">
        <f t="shared" si="1"/>
        <v>-199331.9547</v>
      </c>
      <c r="AF8" s="72">
        <f t="shared" si="1"/>
        <v>-182981.9661</v>
      </c>
      <c r="AG8" s="72">
        <f t="shared" si="1"/>
        <v>-183037.2055</v>
      </c>
      <c r="AH8" s="72">
        <f t="shared" si="1"/>
        <v>-185362.0863</v>
      </c>
      <c r="AI8" s="72">
        <f t="shared" si="1"/>
        <v>-170169.0656</v>
      </c>
      <c r="AJ8" s="72">
        <f t="shared" si="1"/>
        <v>-184833.26</v>
      </c>
      <c r="AK8" s="72">
        <f t="shared" si="1"/>
        <v>-191219.1195</v>
      </c>
      <c r="AL8" s="72">
        <f t="shared" si="1"/>
        <v>-182707.3469</v>
      </c>
      <c r="AM8" s="72">
        <f t="shared" si="1"/>
        <v>-178909.5706</v>
      </c>
      <c r="AN8" s="72">
        <f t="shared" si="1"/>
        <v>-181571.9661</v>
      </c>
      <c r="AO8" s="72">
        <f t="shared" si="1"/>
        <v>-165322.6041</v>
      </c>
      <c r="AP8" s="72">
        <f t="shared" si="1"/>
        <v>-166017.9893</v>
      </c>
      <c r="AQ8" s="72">
        <f t="shared" si="1"/>
        <v>-168803.4427</v>
      </c>
      <c r="AR8" s="72">
        <f t="shared" si="1"/>
        <v>-152683.2916</v>
      </c>
      <c r="AS8" s="72">
        <f t="shared" si="1"/>
        <v>-153514.3482</v>
      </c>
      <c r="AT8" s="72">
        <f t="shared" si="1"/>
        <v>-156442.2565</v>
      </c>
      <c r="AU8" s="72">
        <f t="shared" si="1"/>
        <v>-140471.683</v>
      </c>
      <c r="AV8" s="72">
        <f t="shared" si="1"/>
        <v>-141459.7962</v>
      </c>
      <c r="AW8" s="72">
        <f t="shared" si="1"/>
        <v>-144158.9539</v>
      </c>
      <c r="AX8" s="72">
        <f t="shared" si="1"/>
        <v>-152756.2005</v>
      </c>
      <c r="AY8" s="72">
        <f t="shared" si="1"/>
        <v>-145728.2341</v>
      </c>
      <c r="AZ8" s="72">
        <f t="shared" si="1"/>
        <v>-149162.4907</v>
      </c>
      <c r="BA8" s="72">
        <f t="shared" si="1"/>
        <v>-132199.9927</v>
      </c>
    </row>
    <row r="9" ht="14.25" customHeight="1"/>
    <row r="10" ht="14.25" customHeight="1">
      <c r="A10" s="2" t="s">
        <v>605</v>
      </c>
    </row>
    <row r="11" ht="14.25" customHeight="1">
      <c r="A11" s="3" t="s">
        <v>606</v>
      </c>
      <c r="B11" s="74">
        <f>-(Costs!B123+Inputs!$B$103)</f>
        <v>-14900</v>
      </c>
      <c r="C11" s="74">
        <f>-Costs!C123</f>
        <v>0</v>
      </c>
      <c r="D11" s="74">
        <f>-Costs!D123</f>
        <v>0</v>
      </c>
      <c r="E11" s="74">
        <f>-Costs!E123</f>
        <v>0</v>
      </c>
      <c r="F11" s="74">
        <f>-Costs!F123</f>
        <v>0</v>
      </c>
      <c r="G11" s="74">
        <f>-Costs!G123</f>
        <v>0</v>
      </c>
      <c r="H11" s="74">
        <f>-Costs!H123</f>
        <v>-3300</v>
      </c>
      <c r="I11" s="74">
        <f>-Costs!I123</f>
        <v>-3300</v>
      </c>
      <c r="J11" s="74">
        <f>-Costs!J123</f>
        <v>-3300</v>
      </c>
      <c r="K11" s="74">
        <f>-Costs!K123</f>
        <v>-3300</v>
      </c>
      <c r="L11" s="74">
        <f>-Costs!L123</f>
        <v>-3300</v>
      </c>
      <c r="M11" s="74">
        <f>-Costs!M123</f>
        <v>-3300</v>
      </c>
      <c r="N11" s="74">
        <f>-Costs!N123</f>
        <v>-3300</v>
      </c>
      <c r="O11" s="74">
        <f>-Costs!O123</f>
        <v>-6600</v>
      </c>
      <c r="P11" s="74">
        <f>-Costs!P123</f>
        <v>0</v>
      </c>
      <c r="Q11" s="74">
        <f>-Costs!Q123</f>
        <v>0</v>
      </c>
      <c r="R11" s="74">
        <f>-Costs!R123</f>
        <v>0</v>
      </c>
      <c r="S11" s="74">
        <f>-Costs!S123</f>
        <v>-9900</v>
      </c>
      <c r="T11" s="74">
        <f>-Costs!T123</f>
        <v>0</v>
      </c>
      <c r="U11" s="74">
        <f>-Costs!U123</f>
        <v>-3300</v>
      </c>
      <c r="V11" s="74">
        <f>-Costs!V123</f>
        <v>0</v>
      </c>
      <c r="W11" s="74">
        <f>-Costs!W123</f>
        <v>-3300</v>
      </c>
      <c r="X11" s="74">
        <f>-Costs!X123</f>
        <v>0</v>
      </c>
      <c r="Y11" s="74">
        <f>-Costs!Y123</f>
        <v>-3300</v>
      </c>
      <c r="Z11" s="74">
        <f>-Costs!Z123</f>
        <v>0</v>
      </c>
      <c r="AA11" s="74">
        <f>-Costs!AA123</f>
        <v>0</v>
      </c>
      <c r="AB11" s="74">
        <f>-Costs!AB123</f>
        <v>0</v>
      </c>
      <c r="AC11" s="74">
        <f>-Costs!AC123</f>
        <v>-3300</v>
      </c>
      <c r="AD11" s="74">
        <f>-Costs!AD123</f>
        <v>0</v>
      </c>
      <c r="AE11" s="74">
        <f>-Costs!AE123</f>
        <v>-3300</v>
      </c>
      <c r="AF11" s="74">
        <f>-Costs!AF123</f>
        <v>0</v>
      </c>
      <c r="AG11" s="74">
        <f>-Costs!AG123</f>
        <v>0</v>
      </c>
      <c r="AH11" s="74">
        <f>-Costs!AH123</f>
        <v>0</v>
      </c>
      <c r="AI11" s="74">
        <f>-Costs!AI123</f>
        <v>0</v>
      </c>
      <c r="AJ11" s="74">
        <f>-Costs!AJ123</f>
        <v>0</v>
      </c>
      <c r="AK11" s="74">
        <f>-Costs!AK123</f>
        <v>-3300</v>
      </c>
      <c r="AL11" s="74">
        <f>-Costs!AL123</f>
        <v>0</v>
      </c>
      <c r="AM11" s="74">
        <f>-Costs!AM123</f>
        <v>0</v>
      </c>
      <c r="AN11" s="74">
        <f>-Costs!AN123</f>
        <v>0</v>
      </c>
      <c r="AO11" s="74">
        <f>-Costs!AO123</f>
        <v>0</v>
      </c>
      <c r="AP11" s="74">
        <f>-Costs!AP123</f>
        <v>0</v>
      </c>
      <c r="AQ11" s="74">
        <f>-Costs!AQ123</f>
        <v>0</v>
      </c>
      <c r="AR11" s="74">
        <f>-Costs!AR123</f>
        <v>0</v>
      </c>
      <c r="AS11" s="74">
        <f>-Costs!AS123</f>
        <v>0</v>
      </c>
      <c r="AT11" s="74">
        <f>-Costs!AT123</f>
        <v>0</v>
      </c>
      <c r="AU11" s="74">
        <f>-Costs!AU123</f>
        <v>0</v>
      </c>
      <c r="AV11" s="74">
        <f>-Costs!AV123</f>
        <v>0</v>
      </c>
      <c r="AW11" s="74">
        <f>-Costs!AW123</f>
        <v>0</v>
      </c>
      <c r="AX11" s="74">
        <f>-Costs!AX123</f>
        <v>0</v>
      </c>
      <c r="AY11" s="74">
        <f>-Costs!AY123</f>
        <v>0</v>
      </c>
      <c r="AZ11" s="74">
        <f>-Costs!AZ123</f>
        <v>0</v>
      </c>
      <c r="BA11" s="74">
        <f>-Costs!BA123</f>
        <v>0</v>
      </c>
    </row>
    <row r="12" ht="14.25" customHeight="1">
      <c r="A12" s="2" t="s">
        <v>607</v>
      </c>
      <c r="B12" s="72">
        <f t="shared" ref="B12:BA12" si="2">B11</f>
        <v>-14900</v>
      </c>
      <c r="C12" s="72">
        <f t="shared" si="2"/>
        <v>0</v>
      </c>
      <c r="D12" s="72">
        <f t="shared" si="2"/>
        <v>0</v>
      </c>
      <c r="E12" s="72">
        <f t="shared" si="2"/>
        <v>0</v>
      </c>
      <c r="F12" s="72">
        <f t="shared" si="2"/>
        <v>0</v>
      </c>
      <c r="G12" s="72">
        <f t="shared" si="2"/>
        <v>0</v>
      </c>
      <c r="H12" s="72">
        <f t="shared" si="2"/>
        <v>-3300</v>
      </c>
      <c r="I12" s="72">
        <f t="shared" si="2"/>
        <v>-3300</v>
      </c>
      <c r="J12" s="72">
        <f t="shared" si="2"/>
        <v>-3300</v>
      </c>
      <c r="K12" s="72">
        <f t="shared" si="2"/>
        <v>-3300</v>
      </c>
      <c r="L12" s="72">
        <f t="shared" si="2"/>
        <v>-3300</v>
      </c>
      <c r="M12" s="72">
        <f t="shared" si="2"/>
        <v>-3300</v>
      </c>
      <c r="N12" s="72">
        <f t="shared" si="2"/>
        <v>-3300</v>
      </c>
      <c r="O12" s="72">
        <f t="shared" si="2"/>
        <v>-6600</v>
      </c>
      <c r="P12" s="72">
        <f t="shared" si="2"/>
        <v>0</v>
      </c>
      <c r="Q12" s="72">
        <f t="shared" si="2"/>
        <v>0</v>
      </c>
      <c r="R12" s="72">
        <f t="shared" si="2"/>
        <v>0</v>
      </c>
      <c r="S12" s="72">
        <f t="shared" si="2"/>
        <v>-9900</v>
      </c>
      <c r="T12" s="72">
        <f t="shared" si="2"/>
        <v>0</v>
      </c>
      <c r="U12" s="72">
        <f t="shared" si="2"/>
        <v>-3300</v>
      </c>
      <c r="V12" s="72">
        <f t="shared" si="2"/>
        <v>0</v>
      </c>
      <c r="W12" s="72">
        <f t="shared" si="2"/>
        <v>-3300</v>
      </c>
      <c r="X12" s="72">
        <f t="shared" si="2"/>
        <v>0</v>
      </c>
      <c r="Y12" s="72">
        <f t="shared" si="2"/>
        <v>-3300</v>
      </c>
      <c r="Z12" s="72">
        <f t="shared" si="2"/>
        <v>0</v>
      </c>
      <c r="AA12" s="72">
        <f t="shared" si="2"/>
        <v>0</v>
      </c>
      <c r="AB12" s="72">
        <f t="shared" si="2"/>
        <v>0</v>
      </c>
      <c r="AC12" s="72">
        <f t="shared" si="2"/>
        <v>-3300</v>
      </c>
      <c r="AD12" s="72">
        <f t="shared" si="2"/>
        <v>0</v>
      </c>
      <c r="AE12" s="72">
        <f t="shared" si="2"/>
        <v>-3300</v>
      </c>
      <c r="AF12" s="72">
        <f t="shared" si="2"/>
        <v>0</v>
      </c>
      <c r="AG12" s="72">
        <f t="shared" si="2"/>
        <v>0</v>
      </c>
      <c r="AH12" s="72">
        <f t="shared" si="2"/>
        <v>0</v>
      </c>
      <c r="AI12" s="72">
        <f t="shared" si="2"/>
        <v>0</v>
      </c>
      <c r="AJ12" s="72">
        <f t="shared" si="2"/>
        <v>0</v>
      </c>
      <c r="AK12" s="72">
        <f t="shared" si="2"/>
        <v>-3300</v>
      </c>
      <c r="AL12" s="72">
        <f t="shared" si="2"/>
        <v>0</v>
      </c>
      <c r="AM12" s="72">
        <f t="shared" si="2"/>
        <v>0</v>
      </c>
      <c r="AN12" s="72">
        <f t="shared" si="2"/>
        <v>0</v>
      </c>
      <c r="AO12" s="72">
        <f t="shared" si="2"/>
        <v>0</v>
      </c>
      <c r="AP12" s="72">
        <f t="shared" si="2"/>
        <v>0</v>
      </c>
      <c r="AQ12" s="72">
        <f t="shared" si="2"/>
        <v>0</v>
      </c>
      <c r="AR12" s="72">
        <f t="shared" si="2"/>
        <v>0</v>
      </c>
      <c r="AS12" s="72">
        <f t="shared" si="2"/>
        <v>0</v>
      </c>
      <c r="AT12" s="72">
        <f t="shared" si="2"/>
        <v>0</v>
      </c>
      <c r="AU12" s="72">
        <f t="shared" si="2"/>
        <v>0</v>
      </c>
      <c r="AV12" s="72">
        <f t="shared" si="2"/>
        <v>0</v>
      </c>
      <c r="AW12" s="72">
        <f t="shared" si="2"/>
        <v>0</v>
      </c>
      <c r="AX12" s="72">
        <f t="shared" si="2"/>
        <v>0</v>
      </c>
      <c r="AY12" s="72">
        <f t="shared" si="2"/>
        <v>0</v>
      </c>
      <c r="AZ12" s="72">
        <f t="shared" si="2"/>
        <v>0</v>
      </c>
      <c r="BA12" s="72">
        <f t="shared" si="2"/>
        <v>0</v>
      </c>
    </row>
    <row r="13" ht="14.25" customHeight="1"/>
    <row r="14" ht="14.25" customHeight="1">
      <c r="A14" s="2" t="s">
        <v>608</v>
      </c>
    </row>
    <row r="15" ht="14.25" customHeight="1">
      <c r="A15" s="3" t="s">
        <v>609</v>
      </c>
      <c r="B15" s="74">
        <f>IF(1=Inputs!$B$11,Inputs!$B$10,0)+IF(1=Inputs!$B$13,Inputs!$B$12,0)+IF(1=Inputs!$B$15,Inputs!$B$14,0)+IF(1=Inputs!$B$17,Inputs!$B$16,0)</f>
        <v>90000</v>
      </c>
      <c r="C15" s="74">
        <f>IF(2=Inputs!$B$11,Inputs!$B$10,0)+IF(2=Inputs!$B$13,Inputs!$B$12,0)+IF(2=Inputs!$B$15,Inputs!$B$14,0)+IF(2=Inputs!$B$17,Inputs!$B$16,0)</f>
        <v>0</v>
      </c>
      <c r="D15" s="74">
        <f>IF(3=Inputs!$B$11,Inputs!$B$10,0)+IF(3=Inputs!$B$13,Inputs!$B$12,0)+IF(3=Inputs!$B$15,Inputs!$B$14,0)+IF(3=Inputs!$B$17,Inputs!$B$16,0)</f>
        <v>0</v>
      </c>
      <c r="E15" s="74">
        <f>IF(4=Inputs!$B$11,Inputs!$B$10,0)+IF(4=Inputs!$B$13,Inputs!$B$12,0)+IF(4=Inputs!$B$15,Inputs!$B$14,0)+IF(4=Inputs!$B$17,Inputs!$B$16,0)</f>
        <v>0</v>
      </c>
      <c r="F15" s="74">
        <f>IF(5=Inputs!$B$11,Inputs!$B$10,0)+IF(5=Inputs!$B$13,Inputs!$B$12,0)+IF(5=Inputs!$B$15,Inputs!$B$14,0)+IF(5=Inputs!$B$17,Inputs!$B$16,0)</f>
        <v>1500000</v>
      </c>
      <c r="G15" s="74">
        <f>IF(6=Inputs!$B$11,Inputs!$B$10,0)+IF(6=Inputs!$B$13,Inputs!$B$12,0)+IF(6=Inputs!$B$15,Inputs!$B$14,0)+IF(6=Inputs!$B$17,Inputs!$B$16,0)</f>
        <v>0</v>
      </c>
      <c r="H15" s="74">
        <f>IF(7=Inputs!$B$11,Inputs!$B$10,0)+IF(7=Inputs!$B$13,Inputs!$B$12,0)+IF(7=Inputs!$B$15,Inputs!$B$14,0)+IF(7=Inputs!$B$17,Inputs!$B$16,0)</f>
        <v>0</v>
      </c>
      <c r="I15" s="74">
        <f>IF(8=Inputs!$B$11,Inputs!$B$10,0)+IF(8=Inputs!$B$13,Inputs!$B$12,0)+IF(8=Inputs!$B$15,Inputs!$B$14,0)+IF(8=Inputs!$B$17,Inputs!$B$16,0)</f>
        <v>0</v>
      </c>
      <c r="J15" s="74">
        <f>IF(9=Inputs!$B$11,Inputs!$B$10,0)+IF(9=Inputs!$B$13,Inputs!$B$12,0)+IF(9=Inputs!$B$15,Inputs!$B$14,0)+IF(9=Inputs!$B$17,Inputs!$B$16,0)</f>
        <v>0</v>
      </c>
      <c r="K15" s="74">
        <f>IF(10=Inputs!$B$11,Inputs!$B$10,0)+IF(10=Inputs!$B$13,Inputs!$B$12,0)+IF(10=Inputs!$B$15,Inputs!$B$14,0)+IF(10=Inputs!$B$17,Inputs!$B$16,0)</f>
        <v>0</v>
      </c>
      <c r="L15" s="74">
        <f>IF(11=Inputs!$B$11,Inputs!$B$10,0)+IF(11=Inputs!$B$13,Inputs!$B$12,0)+IF(11=Inputs!$B$15,Inputs!$B$14,0)+IF(11=Inputs!$B$17,Inputs!$B$16,0)</f>
        <v>0</v>
      </c>
      <c r="M15" s="74">
        <f>IF(12=Inputs!$B$11,Inputs!$B$10,0)+IF(12=Inputs!$B$13,Inputs!$B$12,0)+IF(12=Inputs!$B$15,Inputs!$B$14,0)+IF(12=Inputs!$B$17,Inputs!$B$16,0)</f>
        <v>0</v>
      </c>
      <c r="N15" s="74">
        <f>IF(13=Inputs!$B$11,Inputs!$B$10,0)+IF(13=Inputs!$B$13,Inputs!$B$12,0)+IF(13=Inputs!$B$15,Inputs!$B$14,0)+IF(13=Inputs!$B$17,Inputs!$B$16,0)</f>
        <v>0</v>
      </c>
      <c r="O15" s="74">
        <f>IF(14=Inputs!$B$11,Inputs!$B$10,0)+IF(14=Inputs!$B$13,Inputs!$B$12,0)+IF(14=Inputs!$B$15,Inputs!$B$14,0)+IF(14=Inputs!$B$17,Inputs!$B$16,0)</f>
        <v>0</v>
      </c>
      <c r="P15" s="74">
        <f>IF(15=Inputs!$B$11,Inputs!$B$10,0)+IF(15=Inputs!$B$13,Inputs!$B$12,0)+IF(15=Inputs!$B$15,Inputs!$B$14,0)+IF(15=Inputs!$B$17,Inputs!$B$16,0)</f>
        <v>0</v>
      </c>
      <c r="Q15" s="74">
        <f>IF(16=Inputs!$B$11,Inputs!$B$10,0)+IF(16=Inputs!$B$13,Inputs!$B$12,0)+IF(16=Inputs!$B$15,Inputs!$B$14,0)+IF(16=Inputs!$B$17,Inputs!$B$16,0)</f>
        <v>0</v>
      </c>
      <c r="R15" s="74">
        <f>IF(17=Inputs!$B$11,Inputs!$B$10,0)+IF(17=Inputs!$B$13,Inputs!$B$12,0)+IF(17=Inputs!$B$15,Inputs!$B$14,0)+IF(17=Inputs!$B$17,Inputs!$B$16,0)</f>
        <v>6000000</v>
      </c>
      <c r="S15" s="74">
        <f>IF(18=Inputs!$B$11,Inputs!$B$10,0)+IF(18=Inputs!$B$13,Inputs!$B$12,0)+IF(18=Inputs!$B$15,Inputs!$B$14,0)+IF(18=Inputs!$B$17,Inputs!$B$16,0)</f>
        <v>0</v>
      </c>
      <c r="T15" s="74">
        <f>IF(19=Inputs!$B$11,Inputs!$B$10,0)+IF(19=Inputs!$B$13,Inputs!$B$12,0)+IF(19=Inputs!$B$15,Inputs!$B$14,0)+IF(19=Inputs!$B$17,Inputs!$B$16,0)</f>
        <v>0</v>
      </c>
      <c r="U15" s="74">
        <f>IF(20=Inputs!$B$11,Inputs!$B$10,0)+IF(20=Inputs!$B$13,Inputs!$B$12,0)+IF(20=Inputs!$B$15,Inputs!$B$14,0)+IF(20=Inputs!$B$17,Inputs!$B$16,0)</f>
        <v>0</v>
      </c>
      <c r="V15" s="74">
        <f>IF(21=Inputs!$B$11,Inputs!$B$10,0)+IF(21=Inputs!$B$13,Inputs!$B$12,0)+IF(21=Inputs!$B$15,Inputs!$B$14,0)+IF(21=Inputs!$B$17,Inputs!$B$16,0)</f>
        <v>0</v>
      </c>
      <c r="W15" s="74">
        <f>IF(22=Inputs!$B$11,Inputs!$B$10,0)+IF(22=Inputs!$B$13,Inputs!$B$12,0)+IF(22=Inputs!$B$15,Inputs!$B$14,0)+IF(22=Inputs!$B$17,Inputs!$B$16,0)</f>
        <v>0</v>
      </c>
      <c r="X15" s="74">
        <f>IF(23=Inputs!$B$11,Inputs!$B$10,0)+IF(23=Inputs!$B$13,Inputs!$B$12,0)+IF(23=Inputs!$B$15,Inputs!$B$14,0)+IF(23=Inputs!$B$17,Inputs!$B$16,0)</f>
        <v>0</v>
      </c>
      <c r="Y15" s="74">
        <f>IF(24=Inputs!$B$11,Inputs!$B$10,0)+IF(24=Inputs!$B$13,Inputs!$B$12,0)+IF(24=Inputs!$B$15,Inputs!$B$14,0)+IF(24=Inputs!$B$17,Inputs!$B$16,0)</f>
        <v>0</v>
      </c>
      <c r="Z15" s="74">
        <f>IF(25=Inputs!$B$11,Inputs!$B$10,0)+IF(25=Inputs!$B$13,Inputs!$B$12,0)+IF(25=Inputs!$B$15,Inputs!$B$14,0)+IF(25=Inputs!$B$17,Inputs!$B$16,0)</f>
        <v>0</v>
      </c>
      <c r="AA15" s="74">
        <f>IF(26=Inputs!$B$11,Inputs!$B$10,0)+IF(26=Inputs!$B$13,Inputs!$B$12,0)+IF(26=Inputs!$B$15,Inputs!$B$14,0)+IF(26=Inputs!$B$17,Inputs!$B$16,0)</f>
        <v>0</v>
      </c>
      <c r="AB15" s="74">
        <f>IF(27=Inputs!$B$11,Inputs!$B$10,0)+IF(27=Inputs!$B$13,Inputs!$B$12,0)+IF(27=Inputs!$B$15,Inputs!$B$14,0)+IF(27=Inputs!$B$17,Inputs!$B$16,0)</f>
        <v>0</v>
      </c>
      <c r="AC15" s="74">
        <f>IF(28=Inputs!$B$11,Inputs!$B$10,0)+IF(28=Inputs!$B$13,Inputs!$B$12,0)+IF(28=Inputs!$B$15,Inputs!$B$14,0)+IF(28=Inputs!$B$17,Inputs!$B$16,0)</f>
        <v>0</v>
      </c>
      <c r="AD15" s="74">
        <f>IF(29=Inputs!$B$11,Inputs!$B$10,0)+IF(29=Inputs!$B$13,Inputs!$B$12,0)+IF(29=Inputs!$B$15,Inputs!$B$14,0)+IF(29=Inputs!$B$17,Inputs!$B$16,0)</f>
        <v>0</v>
      </c>
      <c r="AE15" s="74">
        <f>IF(30=Inputs!$B$11,Inputs!$B$10,0)+IF(30=Inputs!$B$13,Inputs!$B$12,0)+IF(30=Inputs!$B$15,Inputs!$B$14,0)+IF(30=Inputs!$B$17,Inputs!$B$16,0)</f>
        <v>0</v>
      </c>
      <c r="AF15" s="74">
        <f>IF(31=Inputs!$B$11,Inputs!$B$10,0)+IF(31=Inputs!$B$13,Inputs!$B$12,0)+IF(31=Inputs!$B$15,Inputs!$B$14,0)+IF(31=Inputs!$B$17,Inputs!$B$16,0)</f>
        <v>0</v>
      </c>
      <c r="AG15" s="74">
        <f>IF(32=Inputs!$B$11,Inputs!$B$10,0)+IF(32=Inputs!$B$13,Inputs!$B$12,0)+IF(32=Inputs!$B$15,Inputs!$B$14,0)+IF(32=Inputs!$B$17,Inputs!$B$16,0)</f>
        <v>0</v>
      </c>
      <c r="AH15" s="74">
        <f>IF(33=Inputs!$B$11,Inputs!$B$10,0)+IF(33=Inputs!$B$13,Inputs!$B$12,0)+IF(33=Inputs!$B$15,Inputs!$B$14,0)+IF(33=Inputs!$B$17,Inputs!$B$16,0)</f>
        <v>0</v>
      </c>
      <c r="AI15" s="74">
        <f>IF(34=Inputs!$B$11,Inputs!$B$10,0)+IF(34=Inputs!$B$13,Inputs!$B$12,0)+IF(34=Inputs!$B$15,Inputs!$B$14,0)+IF(34=Inputs!$B$17,Inputs!$B$16,0)</f>
        <v>0</v>
      </c>
      <c r="AJ15" s="74">
        <f>IF(35=Inputs!$B$11,Inputs!$B$10,0)+IF(35=Inputs!$B$13,Inputs!$B$12,0)+IF(35=Inputs!$B$15,Inputs!$B$14,0)+IF(35=Inputs!$B$17,Inputs!$B$16,0)</f>
        <v>15000000</v>
      </c>
      <c r="AK15" s="74">
        <f>IF(36=Inputs!$B$11,Inputs!$B$10,0)+IF(36=Inputs!$B$13,Inputs!$B$12,0)+IF(36=Inputs!$B$15,Inputs!$B$14,0)+IF(36=Inputs!$B$17,Inputs!$B$16,0)</f>
        <v>0</v>
      </c>
      <c r="AL15" s="74">
        <f>IF(37=Inputs!$B$11,Inputs!$B$10,0)+IF(37=Inputs!$B$13,Inputs!$B$12,0)+IF(37=Inputs!$B$15,Inputs!$B$14,0)+IF(37=Inputs!$B$17,Inputs!$B$16,0)</f>
        <v>0</v>
      </c>
      <c r="AM15" s="74">
        <f>IF(38=Inputs!$B$11,Inputs!$B$10,0)+IF(38=Inputs!$B$13,Inputs!$B$12,0)+IF(38=Inputs!$B$15,Inputs!$B$14,0)+IF(38=Inputs!$B$17,Inputs!$B$16,0)</f>
        <v>0</v>
      </c>
      <c r="AN15" s="74">
        <f>IF(39=Inputs!$B$11,Inputs!$B$10,0)+IF(39=Inputs!$B$13,Inputs!$B$12,0)+IF(39=Inputs!$B$15,Inputs!$B$14,0)+IF(39=Inputs!$B$17,Inputs!$B$16,0)</f>
        <v>0</v>
      </c>
      <c r="AO15" s="74">
        <f>IF(40=Inputs!$B$11,Inputs!$B$10,0)+IF(40=Inputs!$B$13,Inputs!$B$12,0)+IF(40=Inputs!$B$15,Inputs!$B$14,0)+IF(40=Inputs!$B$17,Inputs!$B$16,0)</f>
        <v>0</v>
      </c>
      <c r="AP15" s="74">
        <f>IF(41=Inputs!$B$11,Inputs!$B$10,0)+IF(41=Inputs!$B$13,Inputs!$B$12,0)+IF(41=Inputs!$B$15,Inputs!$B$14,0)+IF(41=Inputs!$B$17,Inputs!$B$16,0)</f>
        <v>0</v>
      </c>
      <c r="AQ15" s="74">
        <f>IF(42=Inputs!$B$11,Inputs!$B$10,0)+IF(42=Inputs!$B$13,Inputs!$B$12,0)+IF(42=Inputs!$B$15,Inputs!$B$14,0)+IF(42=Inputs!$B$17,Inputs!$B$16,0)</f>
        <v>0</v>
      </c>
      <c r="AR15" s="74">
        <f>IF(43=Inputs!$B$11,Inputs!$B$10,0)+IF(43=Inputs!$B$13,Inputs!$B$12,0)+IF(43=Inputs!$B$15,Inputs!$B$14,0)+IF(43=Inputs!$B$17,Inputs!$B$16,0)</f>
        <v>0</v>
      </c>
      <c r="AS15" s="74">
        <f>IF(44=Inputs!$B$11,Inputs!$B$10,0)+IF(44=Inputs!$B$13,Inputs!$B$12,0)+IF(44=Inputs!$B$15,Inputs!$B$14,0)+IF(44=Inputs!$B$17,Inputs!$B$16,0)</f>
        <v>0</v>
      </c>
      <c r="AT15" s="74">
        <f>IF(45=Inputs!$B$11,Inputs!$B$10,0)+IF(45=Inputs!$B$13,Inputs!$B$12,0)+IF(45=Inputs!$B$15,Inputs!$B$14,0)+IF(45=Inputs!$B$17,Inputs!$B$16,0)</f>
        <v>0</v>
      </c>
      <c r="AU15" s="74">
        <f>IF(46=Inputs!$B$11,Inputs!$B$10,0)+IF(46=Inputs!$B$13,Inputs!$B$12,0)+IF(46=Inputs!$B$15,Inputs!$B$14,0)+IF(46=Inputs!$B$17,Inputs!$B$16,0)</f>
        <v>0</v>
      </c>
      <c r="AV15" s="74">
        <f>IF(47=Inputs!$B$11,Inputs!$B$10,0)+IF(47=Inputs!$B$13,Inputs!$B$12,0)+IF(47=Inputs!$B$15,Inputs!$B$14,0)+IF(47=Inputs!$B$17,Inputs!$B$16,0)</f>
        <v>0</v>
      </c>
      <c r="AW15" s="74">
        <f>IF(48=Inputs!$B$11,Inputs!$B$10,0)+IF(48=Inputs!$B$13,Inputs!$B$12,0)+IF(48=Inputs!$B$15,Inputs!$B$14,0)+IF(48=Inputs!$B$17,Inputs!$B$16,0)</f>
        <v>0</v>
      </c>
      <c r="AX15" s="74">
        <f>IF(49=Inputs!$B$11,Inputs!$B$10,0)+IF(49=Inputs!$B$13,Inputs!$B$12,0)+IF(49=Inputs!$B$15,Inputs!$B$14,0)+IF(49=Inputs!$B$17,Inputs!$B$16,0)</f>
        <v>0</v>
      </c>
      <c r="AY15" s="74">
        <f>IF(50=Inputs!$B$11,Inputs!$B$10,0)+IF(50=Inputs!$B$13,Inputs!$B$12,0)+IF(50=Inputs!$B$15,Inputs!$B$14,0)+IF(50=Inputs!$B$17,Inputs!$B$16,0)</f>
        <v>0</v>
      </c>
      <c r="AZ15" s="74">
        <f>IF(51=Inputs!$B$11,Inputs!$B$10,0)+IF(51=Inputs!$B$13,Inputs!$B$12,0)+IF(51=Inputs!$B$15,Inputs!$B$14,0)+IF(51=Inputs!$B$17,Inputs!$B$16,0)</f>
        <v>0</v>
      </c>
      <c r="BA15" s="74">
        <f>IF(52=Inputs!$B$11,Inputs!$B$10,0)+IF(52=Inputs!$B$13,Inputs!$B$12,0)+IF(52=Inputs!$B$15,Inputs!$B$14,0)+IF(52=Inputs!$B$17,Inputs!$B$16,0)</f>
        <v>0</v>
      </c>
    </row>
    <row r="16" ht="14.25" customHeight="1">
      <c r="A16" s="2" t="s">
        <v>610</v>
      </c>
      <c r="B16" s="72">
        <f t="shared" ref="B16:BA16" si="3">B15</f>
        <v>90000</v>
      </c>
      <c r="C16" s="72">
        <f t="shared" si="3"/>
        <v>0</v>
      </c>
      <c r="D16" s="72">
        <f t="shared" si="3"/>
        <v>0</v>
      </c>
      <c r="E16" s="72">
        <f t="shared" si="3"/>
        <v>0</v>
      </c>
      <c r="F16" s="72">
        <f t="shared" si="3"/>
        <v>1500000</v>
      </c>
      <c r="G16" s="72">
        <f t="shared" si="3"/>
        <v>0</v>
      </c>
      <c r="H16" s="72">
        <f t="shared" si="3"/>
        <v>0</v>
      </c>
      <c r="I16" s="72">
        <f t="shared" si="3"/>
        <v>0</v>
      </c>
      <c r="J16" s="72">
        <f t="shared" si="3"/>
        <v>0</v>
      </c>
      <c r="K16" s="72">
        <f t="shared" si="3"/>
        <v>0</v>
      </c>
      <c r="L16" s="72">
        <f t="shared" si="3"/>
        <v>0</v>
      </c>
      <c r="M16" s="72">
        <f t="shared" si="3"/>
        <v>0</v>
      </c>
      <c r="N16" s="72">
        <f t="shared" si="3"/>
        <v>0</v>
      </c>
      <c r="O16" s="72">
        <f t="shared" si="3"/>
        <v>0</v>
      </c>
      <c r="P16" s="72">
        <f t="shared" si="3"/>
        <v>0</v>
      </c>
      <c r="Q16" s="72">
        <f t="shared" si="3"/>
        <v>0</v>
      </c>
      <c r="R16" s="72">
        <f t="shared" si="3"/>
        <v>6000000</v>
      </c>
      <c r="S16" s="72">
        <f t="shared" si="3"/>
        <v>0</v>
      </c>
      <c r="T16" s="72">
        <f t="shared" si="3"/>
        <v>0</v>
      </c>
      <c r="U16" s="72">
        <f t="shared" si="3"/>
        <v>0</v>
      </c>
      <c r="V16" s="72">
        <f t="shared" si="3"/>
        <v>0</v>
      </c>
      <c r="W16" s="72">
        <f t="shared" si="3"/>
        <v>0</v>
      </c>
      <c r="X16" s="72">
        <f t="shared" si="3"/>
        <v>0</v>
      </c>
      <c r="Y16" s="72">
        <f t="shared" si="3"/>
        <v>0</v>
      </c>
      <c r="Z16" s="72">
        <f t="shared" si="3"/>
        <v>0</v>
      </c>
      <c r="AA16" s="72">
        <f t="shared" si="3"/>
        <v>0</v>
      </c>
      <c r="AB16" s="72">
        <f t="shared" si="3"/>
        <v>0</v>
      </c>
      <c r="AC16" s="72">
        <f t="shared" si="3"/>
        <v>0</v>
      </c>
      <c r="AD16" s="72">
        <f t="shared" si="3"/>
        <v>0</v>
      </c>
      <c r="AE16" s="72">
        <f t="shared" si="3"/>
        <v>0</v>
      </c>
      <c r="AF16" s="72">
        <f t="shared" si="3"/>
        <v>0</v>
      </c>
      <c r="AG16" s="72">
        <f t="shared" si="3"/>
        <v>0</v>
      </c>
      <c r="AH16" s="72">
        <f t="shared" si="3"/>
        <v>0</v>
      </c>
      <c r="AI16" s="72">
        <f t="shared" si="3"/>
        <v>0</v>
      </c>
      <c r="AJ16" s="72">
        <f t="shared" si="3"/>
        <v>15000000</v>
      </c>
      <c r="AK16" s="72">
        <f t="shared" si="3"/>
        <v>0</v>
      </c>
      <c r="AL16" s="72">
        <f t="shared" si="3"/>
        <v>0</v>
      </c>
      <c r="AM16" s="72">
        <f t="shared" si="3"/>
        <v>0</v>
      </c>
      <c r="AN16" s="72">
        <f t="shared" si="3"/>
        <v>0</v>
      </c>
      <c r="AO16" s="72">
        <f t="shared" si="3"/>
        <v>0</v>
      </c>
      <c r="AP16" s="72">
        <f t="shared" si="3"/>
        <v>0</v>
      </c>
      <c r="AQ16" s="72">
        <f t="shared" si="3"/>
        <v>0</v>
      </c>
      <c r="AR16" s="72">
        <f t="shared" si="3"/>
        <v>0</v>
      </c>
      <c r="AS16" s="72">
        <f t="shared" si="3"/>
        <v>0</v>
      </c>
      <c r="AT16" s="72">
        <f t="shared" si="3"/>
        <v>0</v>
      </c>
      <c r="AU16" s="72">
        <f t="shared" si="3"/>
        <v>0</v>
      </c>
      <c r="AV16" s="72">
        <f t="shared" si="3"/>
        <v>0</v>
      </c>
      <c r="AW16" s="72">
        <f t="shared" si="3"/>
        <v>0</v>
      </c>
      <c r="AX16" s="72">
        <f t="shared" si="3"/>
        <v>0</v>
      </c>
      <c r="AY16" s="72">
        <f t="shared" si="3"/>
        <v>0</v>
      </c>
      <c r="AZ16" s="72">
        <f t="shared" si="3"/>
        <v>0</v>
      </c>
      <c r="BA16" s="72">
        <f t="shared" si="3"/>
        <v>0</v>
      </c>
    </row>
    <row r="17" ht="14.25" customHeight="1"/>
    <row r="18" ht="14.25" customHeight="1">
      <c r="A18" s="2" t="s">
        <v>611</v>
      </c>
      <c r="B18" s="72">
        <f t="shared" ref="B18:BA18" si="4">B8+B12+B16</f>
        <v>15658.5</v>
      </c>
      <c r="C18" s="72">
        <f t="shared" si="4"/>
        <v>-44461.375</v>
      </c>
      <c r="D18" s="72">
        <f t="shared" si="4"/>
        <v>-41981.66875</v>
      </c>
      <c r="E18" s="72">
        <f t="shared" si="4"/>
        <v>-42123.20219</v>
      </c>
      <c r="F18" s="72">
        <f t="shared" si="4"/>
        <v>1443553.188</v>
      </c>
      <c r="G18" s="72">
        <f t="shared" si="4"/>
        <v>-44002.85291</v>
      </c>
      <c r="H18" s="72">
        <f t="shared" si="4"/>
        <v>-57337.29556</v>
      </c>
      <c r="I18" s="72">
        <f t="shared" si="4"/>
        <v>-69659.247</v>
      </c>
      <c r="J18" s="72">
        <f t="shared" si="4"/>
        <v>-77655.34185</v>
      </c>
      <c r="K18" s="72">
        <f t="shared" si="4"/>
        <v>-87344.38519</v>
      </c>
      <c r="L18" s="72">
        <f t="shared" si="4"/>
        <v>-95422.01612</v>
      </c>
      <c r="M18" s="72">
        <f t="shared" si="4"/>
        <v>-103043.2505</v>
      </c>
      <c r="N18" s="72">
        <f t="shared" si="4"/>
        <v>-115367.4211</v>
      </c>
      <c r="O18" s="72">
        <f t="shared" si="4"/>
        <v>-136117.7348</v>
      </c>
      <c r="P18" s="72">
        <f t="shared" si="4"/>
        <v>-126674.6906</v>
      </c>
      <c r="Q18" s="72">
        <f t="shared" si="4"/>
        <v>-126190.5044</v>
      </c>
      <c r="R18" s="72">
        <f t="shared" si="4"/>
        <v>5858422.613</v>
      </c>
      <c r="S18" s="72">
        <f t="shared" si="4"/>
        <v>-180831.8508</v>
      </c>
      <c r="T18" s="72">
        <f t="shared" si="4"/>
        <v>-167737.7261</v>
      </c>
      <c r="U18" s="72">
        <f t="shared" si="4"/>
        <v>-179397.8134</v>
      </c>
      <c r="V18" s="72">
        <f t="shared" si="4"/>
        <v>-174878.4481</v>
      </c>
      <c r="W18" s="72">
        <f t="shared" si="4"/>
        <v>-191842.2965</v>
      </c>
      <c r="X18" s="72">
        <f t="shared" si="4"/>
        <v>-188335.5256</v>
      </c>
      <c r="Y18" s="72">
        <f t="shared" si="4"/>
        <v>-202826.3529</v>
      </c>
      <c r="Z18" s="72">
        <f t="shared" si="4"/>
        <v>-190243.823</v>
      </c>
      <c r="AA18" s="72">
        <f t="shared" si="4"/>
        <v>-190525.3132</v>
      </c>
      <c r="AB18" s="72">
        <f t="shared" si="4"/>
        <v>-192702.3465</v>
      </c>
      <c r="AC18" s="72">
        <f t="shared" si="4"/>
        <v>-190500.274</v>
      </c>
      <c r="AD18" s="72">
        <f t="shared" si="4"/>
        <v>-186144.2956</v>
      </c>
      <c r="AE18" s="72">
        <f t="shared" si="4"/>
        <v>-202631.9547</v>
      </c>
      <c r="AF18" s="72">
        <f t="shared" si="4"/>
        <v>-182981.9661</v>
      </c>
      <c r="AG18" s="72">
        <f t="shared" si="4"/>
        <v>-183037.2055</v>
      </c>
      <c r="AH18" s="72">
        <f t="shared" si="4"/>
        <v>-185362.0863</v>
      </c>
      <c r="AI18" s="72">
        <f t="shared" si="4"/>
        <v>-170169.0656</v>
      </c>
      <c r="AJ18" s="72">
        <f t="shared" si="4"/>
        <v>14815166.74</v>
      </c>
      <c r="AK18" s="72">
        <f t="shared" si="4"/>
        <v>-194519.1195</v>
      </c>
      <c r="AL18" s="72">
        <f t="shared" si="4"/>
        <v>-182707.3469</v>
      </c>
      <c r="AM18" s="72">
        <f t="shared" si="4"/>
        <v>-178909.5706</v>
      </c>
      <c r="AN18" s="72">
        <f t="shared" si="4"/>
        <v>-181571.9661</v>
      </c>
      <c r="AO18" s="72">
        <f t="shared" si="4"/>
        <v>-165322.6041</v>
      </c>
      <c r="AP18" s="72">
        <f t="shared" si="4"/>
        <v>-166017.9893</v>
      </c>
      <c r="AQ18" s="72">
        <f t="shared" si="4"/>
        <v>-168803.4427</v>
      </c>
      <c r="AR18" s="72">
        <f t="shared" si="4"/>
        <v>-152683.2916</v>
      </c>
      <c r="AS18" s="72">
        <f t="shared" si="4"/>
        <v>-153514.3482</v>
      </c>
      <c r="AT18" s="72">
        <f t="shared" si="4"/>
        <v>-156442.2565</v>
      </c>
      <c r="AU18" s="72">
        <f t="shared" si="4"/>
        <v>-140471.683</v>
      </c>
      <c r="AV18" s="72">
        <f t="shared" si="4"/>
        <v>-141459.7962</v>
      </c>
      <c r="AW18" s="72">
        <f t="shared" si="4"/>
        <v>-144158.9539</v>
      </c>
      <c r="AX18" s="72">
        <f t="shared" si="4"/>
        <v>-152756.2005</v>
      </c>
      <c r="AY18" s="72">
        <f t="shared" si="4"/>
        <v>-145728.2341</v>
      </c>
      <c r="AZ18" s="72">
        <f t="shared" si="4"/>
        <v>-149162.4907</v>
      </c>
      <c r="BA18" s="72">
        <f t="shared" si="4"/>
        <v>-132199.9927</v>
      </c>
    </row>
    <row r="19" ht="14.25" customHeight="1"/>
    <row r="20" ht="14.25" customHeight="1">
      <c r="A20" s="3" t="s">
        <v>612</v>
      </c>
      <c r="B20" s="74">
        <v>0.0</v>
      </c>
      <c r="C20" s="74">
        <f t="shared" ref="C20:BA20" si="5">B22</f>
        <v>15658.5</v>
      </c>
      <c r="D20" s="74">
        <f t="shared" si="5"/>
        <v>-28802.875</v>
      </c>
      <c r="E20" s="74">
        <f t="shared" si="5"/>
        <v>-70784.54375</v>
      </c>
      <c r="F20" s="74">
        <f t="shared" si="5"/>
        <v>-112907.7459</v>
      </c>
      <c r="G20" s="74">
        <f t="shared" si="5"/>
        <v>1330645.442</v>
      </c>
      <c r="H20" s="74">
        <f t="shared" si="5"/>
        <v>1286642.589</v>
      </c>
      <c r="I20" s="74">
        <f t="shared" si="5"/>
        <v>1229305.293</v>
      </c>
      <c r="J20" s="74">
        <f t="shared" si="5"/>
        <v>1159646.046</v>
      </c>
      <c r="K20" s="74">
        <f t="shared" si="5"/>
        <v>1081990.704</v>
      </c>
      <c r="L20" s="74">
        <f t="shared" si="5"/>
        <v>994646.3192</v>
      </c>
      <c r="M20" s="74">
        <f t="shared" si="5"/>
        <v>899224.3031</v>
      </c>
      <c r="N20" s="74">
        <f t="shared" si="5"/>
        <v>796181.0527</v>
      </c>
      <c r="O20" s="74">
        <f t="shared" si="5"/>
        <v>680813.6315</v>
      </c>
      <c r="P20" s="74">
        <f t="shared" si="5"/>
        <v>544695.8967</v>
      </c>
      <c r="Q20" s="74">
        <f t="shared" si="5"/>
        <v>418021.2061</v>
      </c>
      <c r="R20" s="74">
        <f t="shared" si="5"/>
        <v>291830.7018</v>
      </c>
      <c r="S20" s="74">
        <f t="shared" si="5"/>
        <v>6150253.315</v>
      </c>
      <c r="T20" s="74">
        <f t="shared" si="5"/>
        <v>5969421.464</v>
      </c>
      <c r="U20" s="74">
        <f t="shared" si="5"/>
        <v>5801683.738</v>
      </c>
      <c r="V20" s="74">
        <f t="shared" si="5"/>
        <v>5622285.925</v>
      </c>
      <c r="W20" s="74">
        <f t="shared" si="5"/>
        <v>5447407.477</v>
      </c>
      <c r="X20" s="74">
        <f t="shared" si="5"/>
        <v>5255565.18</v>
      </c>
      <c r="Y20" s="74">
        <f t="shared" si="5"/>
        <v>5067229.655</v>
      </c>
      <c r="Z20" s="74">
        <f t="shared" si="5"/>
        <v>4864403.302</v>
      </c>
      <c r="AA20" s="74">
        <f t="shared" si="5"/>
        <v>4674159.479</v>
      </c>
      <c r="AB20" s="74">
        <f t="shared" si="5"/>
        <v>4483634.165</v>
      </c>
      <c r="AC20" s="74">
        <f t="shared" si="5"/>
        <v>4290931.819</v>
      </c>
      <c r="AD20" s="74">
        <f t="shared" si="5"/>
        <v>4100431.545</v>
      </c>
      <c r="AE20" s="74">
        <f t="shared" si="5"/>
        <v>3914287.249</v>
      </c>
      <c r="AF20" s="74">
        <f t="shared" si="5"/>
        <v>3711655.295</v>
      </c>
      <c r="AG20" s="74">
        <f t="shared" si="5"/>
        <v>3528673.329</v>
      </c>
      <c r="AH20" s="74">
        <f t="shared" si="5"/>
        <v>3345636.123</v>
      </c>
      <c r="AI20" s="74">
        <f t="shared" si="5"/>
        <v>3160274.037</v>
      </c>
      <c r="AJ20" s="74">
        <f t="shared" si="5"/>
        <v>2990104.971</v>
      </c>
      <c r="AK20" s="74">
        <f t="shared" si="5"/>
        <v>17805271.71</v>
      </c>
      <c r="AL20" s="74">
        <f t="shared" si="5"/>
        <v>17610752.59</v>
      </c>
      <c r="AM20" s="74">
        <f t="shared" si="5"/>
        <v>17428045.24</v>
      </c>
      <c r="AN20" s="74">
        <f t="shared" si="5"/>
        <v>17249135.67</v>
      </c>
      <c r="AO20" s="74">
        <f t="shared" si="5"/>
        <v>17067563.71</v>
      </c>
      <c r="AP20" s="74">
        <f t="shared" si="5"/>
        <v>16902241.1</v>
      </c>
      <c r="AQ20" s="74">
        <f t="shared" si="5"/>
        <v>16736223.11</v>
      </c>
      <c r="AR20" s="74">
        <f t="shared" si="5"/>
        <v>16567419.67</v>
      </c>
      <c r="AS20" s="74">
        <f t="shared" si="5"/>
        <v>16414736.38</v>
      </c>
      <c r="AT20" s="74">
        <f t="shared" si="5"/>
        <v>16261222.03</v>
      </c>
      <c r="AU20" s="74">
        <f t="shared" si="5"/>
        <v>16104779.78</v>
      </c>
      <c r="AV20" s="74">
        <f t="shared" si="5"/>
        <v>15964308.09</v>
      </c>
      <c r="AW20" s="74">
        <f t="shared" si="5"/>
        <v>15822848.3</v>
      </c>
      <c r="AX20" s="74">
        <f t="shared" si="5"/>
        <v>15678689.34</v>
      </c>
      <c r="AY20" s="74">
        <f t="shared" si="5"/>
        <v>15525933.14</v>
      </c>
      <c r="AZ20" s="74">
        <f t="shared" si="5"/>
        <v>15380204.91</v>
      </c>
      <c r="BA20" s="74">
        <f t="shared" si="5"/>
        <v>15231042.42</v>
      </c>
    </row>
    <row r="21" ht="14.25" customHeight="1">
      <c r="A21" s="3" t="s">
        <v>613</v>
      </c>
      <c r="B21" s="74">
        <f t="shared" ref="B21:BA21" si="6">B18</f>
        <v>15658.5</v>
      </c>
      <c r="C21" s="74">
        <f t="shared" si="6"/>
        <v>-44461.375</v>
      </c>
      <c r="D21" s="74">
        <f t="shared" si="6"/>
        <v>-41981.66875</v>
      </c>
      <c r="E21" s="74">
        <f t="shared" si="6"/>
        <v>-42123.20219</v>
      </c>
      <c r="F21" s="74">
        <f t="shared" si="6"/>
        <v>1443553.188</v>
      </c>
      <c r="G21" s="74">
        <f t="shared" si="6"/>
        <v>-44002.85291</v>
      </c>
      <c r="H21" s="74">
        <f t="shared" si="6"/>
        <v>-57337.29556</v>
      </c>
      <c r="I21" s="74">
        <f t="shared" si="6"/>
        <v>-69659.247</v>
      </c>
      <c r="J21" s="74">
        <f t="shared" si="6"/>
        <v>-77655.34185</v>
      </c>
      <c r="K21" s="74">
        <f t="shared" si="6"/>
        <v>-87344.38519</v>
      </c>
      <c r="L21" s="74">
        <f t="shared" si="6"/>
        <v>-95422.01612</v>
      </c>
      <c r="M21" s="74">
        <f t="shared" si="6"/>
        <v>-103043.2505</v>
      </c>
      <c r="N21" s="74">
        <f t="shared" si="6"/>
        <v>-115367.4211</v>
      </c>
      <c r="O21" s="74">
        <f t="shared" si="6"/>
        <v>-136117.7348</v>
      </c>
      <c r="P21" s="74">
        <f t="shared" si="6"/>
        <v>-126674.6906</v>
      </c>
      <c r="Q21" s="74">
        <f t="shared" si="6"/>
        <v>-126190.5044</v>
      </c>
      <c r="R21" s="74">
        <f t="shared" si="6"/>
        <v>5858422.613</v>
      </c>
      <c r="S21" s="74">
        <f t="shared" si="6"/>
        <v>-180831.8508</v>
      </c>
      <c r="T21" s="74">
        <f t="shared" si="6"/>
        <v>-167737.7261</v>
      </c>
      <c r="U21" s="74">
        <f t="shared" si="6"/>
        <v>-179397.8134</v>
      </c>
      <c r="V21" s="74">
        <f t="shared" si="6"/>
        <v>-174878.4481</v>
      </c>
      <c r="W21" s="74">
        <f t="shared" si="6"/>
        <v>-191842.2965</v>
      </c>
      <c r="X21" s="74">
        <f t="shared" si="6"/>
        <v>-188335.5256</v>
      </c>
      <c r="Y21" s="74">
        <f t="shared" si="6"/>
        <v>-202826.3529</v>
      </c>
      <c r="Z21" s="74">
        <f t="shared" si="6"/>
        <v>-190243.823</v>
      </c>
      <c r="AA21" s="74">
        <f t="shared" si="6"/>
        <v>-190525.3132</v>
      </c>
      <c r="AB21" s="74">
        <f t="shared" si="6"/>
        <v>-192702.3465</v>
      </c>
      <c r="AC21" s="74">
        <f t="shared" si="6"/>
        <v>-190500.274</v>
      </c>
      <c r="AD21" s="74">
        <f t="shared" si="6"/>
        <v>-186144.2956</v>
      </c>
      <c r="AE21" s="74">
        <f t="shared" si="6"/>
        <v>-202631.9547</v>
      </c>
      <c r="AF21" s="74">
        <f t="shared" si="6"/>
        <v>-182981.9661</v>
      </c>
      <c r="AG21" s="74">
        <f t="shared" si="6"/>
        <v>-183037.2055</v>
      </c>
      <c r="AH21" s="74">
        <f t="shared" si="6"/>
        <v>-185362.0863</v>
      </c>
      <c r="AI21" s="74">
        <f t="shared" si="6"/>
        <v>-170169.0656</v>
      </c>
      <c r="AJ21" s="74">
        <f t="shared" si="6"/>
        <v>14815166.74</v>
      </c>
      <c r="AK21" s="74">
        <f t="shared" si="6"/>
        <v>-194519.1195</v>
      </c>
      <c r="AL21" s="74">
        <f t="shared" si="6"/>
        <v>-182707.3469</v>
      </c>
      <c r="AM21" s="74">
        <f t="shared" si="6"/>
        <v>-178909.5706</v>
      </c>
      <c r="AN21" s="74">
        <f t="shared" si="6"/>
        <v>-181571.9661</v>
      </c>
      <c r="AO21" s="74">
        <f t="shared" si="6"/>
        <v>-165322.6041</v>
      </c>
      <c r="AP21" s="74">
        <f t="shared" si="6"/>
        <v>-166017.9893</v>
      </c>
      <c r="AQ21" s="74">
        <f t="shared" si="6"/>
        <v>-168803.4427</v>
      </c>
      <c r="AR21" s="74">
        <f t="shared" si="6"/>
        <v>-152683.2916</v>
      </c>
      <c r="AS21" s="74">
        <f t="shared" si="6"/>
        <v>-153514.3482</v>
      </c>
      <c r="AT21" s="74">
        <f t="shared" si="6"/>
        <v>-156442.2565</v>
      </c>
      <c r="AU21" s="74">
        <f t="shared" si="6"/>
        <v>-140471.683</v>
      </c>
      <c r="AV21" s="74">
        <f t="shared" si="6"/>
        <v>-141459.7962</v>
      </c>
      <c r="AW21" s="74">
        <f t="shared" si="6"/>
        <v>-144158.9539</v>
      </c>
      <c r="AX21" s="74">
        <f t="shared" si="6"/>
        <v>-152756.2005</v>
      </c>
      <c r="AY21" s="74">
        <f t="shared" si="6"/>
        <v>-145728.2341</v>
      </c>
      <c r="AZ21" s="74">
        <f t="shared" si="6"/>
        <v>-149162.4907</v>
      </c>
      <c r="BA21" s="74">
        <f t="shared" si="6"/>
        <v>-132199.9927</v>
      </c>
    </row>
    <row r="22" ht="14.25" customHeight="1">
      <c r="A22" s="2" t="s">
        <v>614</v>
      </c>
      <c r="B22" s="72">
        <f t="shared" ref="B22:BA22" si="7">B20+B21</f>
        <v>15658.5</v>
      </c>
      <c r="C22" s="72">
        <f t="shared" si="7"/>
        <v>-28802.875</v>
      </c>
      <c r="D22" s="72">
        <f t="shared" si="7"/>
        <v>-70784.54375</v>
      </c>
      <c r="E22" s="72">
        <f t="shared" si="7"/>
        <v>-112907.7459</v>
      </c>
      <c r="F22" s="72">
        <f t="shared" si="7"/>
        <v>1330645.442</v>
      </c>
      <c r="G22" s="72">
        <f t="shared" si="7"/>
        <v>1286642.589</v>
      </c>
      <c r="H22" s="72">
        <f t="shared" si="7"/>
        <v>1229305.293</v>
      </c>
      <c r="I22" s="72">
        <f t="shared" si="7"/>
        <v>1159646.046</v>
      </c>
      <c r="J22" s="72">
        <f t="shared" si="7"/>
        <v>1081990.704</v>
      </c>
      <c r="K22" s="72">
        <f t="shared" si="7"/>
        <v>994646.3192</v>
      </c>
      <c r="L22" s="72">
        <f t="shared" si="7"/>
        <v>899224.3031</v>
      </c>
      <c r="M22" s="72">
        <f t="shared" si="7"/>
        <v>796181.0527</v>
      </c>
      <c r="N22" s="72">
        <f t="shared" si="7"/>
        <v>680813.6315</v>
      </c>
      <c r="O22" s="72">
        <f t="shared" si="7"/>
        <v>544695.8967</v>
      </c>
      <c r="P22" s="72">
        <f t="shared" si="7"/>
        <v>418021.2061</v>
      </c>
      <c r="Q22" s="72">
        <f t="shared" si="7"/>
        <v>291830.7018</v>
      </c>
      <c r="R22" s="72">
        <f t="shared" si="7"/>
        <v>6150253.315</v>
      </c>
      <c r="S22" s="72">
        <f t="shared" si="7"/>
        <v>5969421.464</v>
      </c>
      <c r="T22" s="72">
        <f t="shared" si="7"/>
        <v>5801683.738</v>
      </c>
      <c r="U22" s="72">
        <f t="shared" si="7"/>
        <v>5622285.925</v>
      </c>
      <c r="V22" s="72">
        <f t="shared" si="7"/>
        <v>5447407.477</v>
      </c>
      <c r="W22" s="72">
        <f t="shared" si="7"/>
        <v>5255565.18</v>
      </c>
      <c r="X22" s="72">
        <f t="shared" si="7"/>
        <v>5067229.655</v>
      </c>
      <c r="Y22" s="72">
        <f t="shared" si="7"/>
        <v>4864403.302</v>
      </c>
      <c r="Z22" s="72">
        <f t="shared" si="7"/>
        <v>4674159.479</v>
      </c>
      <c r="AA22" s="72">
        <f t="shared" si="7"/>
        <v>4483634.165</v>
      </c>
      <c r="AB22" s="72">
        <f t="shared" si="7"/>
        <v>4290931.819</v>
      </c>
      <c r="AC22" s="72">
        <f t="shared" si="7"/>
        <v>4100431.545</v>
      </c>
      <c r="AD22" s="72">
        <f t="shared" si="7"/>
        <v>3914287.249</v>
      </c>
      <c r="AE22" s="72">
        <f t="shared" si="7"/>
        <v>3711655.295</v>
      </c>
      <c r="AF22" s="72">
        <f t="shared" si="7"/>
        <v>3528673.329</v>
      </c>
      <c r="AG22" s="72">
        <f t="shared" si="7"/>
        <v>3345636.123</v>
      </c>
      <c r="AH22" s="72">
        <f t="shared" si="7"/>
        <v>3160274.037</v>
      </c>
      <c r="AI22" s="72">
        <f t="shared" si="7"/>
        <v>2990104.971</v>
      </c>
      <c r="AJ22" s="72">
        <f t="shared" si="7"/>
        <v>17805271.71</v>
      </c>
      <c r="AK22" s="72">
        <f t="shared" si="7"/>
        <v>17610752.59</v>
      </c>
      <c r="AL22" s="72">
        <f t="shared" si="7"/>
        <v>17428045.24</v>
      </c>
      <c r="AM22" s="72">
        <f t="shared" si="7"/>
        <v>17249135.67</v>
      </c>
      <c r="AN22" s="72">
        <f t="shared" si="7"/>
        <v>17067563.71</v>
      </c>
      <c r="AO22" s="72">
        <f t="shared" si="7"/>
        <v>16902241.1</v>
      </c>
      <c r="AP22" s="72">
        <f t="shared" si="7"/>
        <v>16736223.11</v>
      </c>
      <c r="AQ22" s="72">
        <f t="shared" si="7"/>
        <v>16567419.67</v>
      </c>
      <c r="AR22" s="72">
        <f t="shared" si="7"/>
        <v>16414736.38</v>
      </c>
      <c r="AS22" s="72">
        <f t="shared" si="7"/>
        <v>16261222.03</v>
      </c>
      <c r="AT22" s="72">
        <f t="shared" si="7"/>
        <v>16104779.78</v>
      </c>
      <c r="AU22" s="72">
        <f t="shared" si="7"/>
        <v>15964308.09</v>
      </c>
      <c r="AV22" s="72">
        <f t="shared" si="7"/>
        <v>15822848.3</v>
      </c>
      <c r="AW22" s="72">
        <f t="shared" si="7"/>
        <v>15678689.34</v>
      </c>
      <c r="AX22" s="72">
        <f t="shared" si="7"/>
        <v>15525933.14</v>
      </c>
      <c r="AY22" s="72">
        <f t="shared" si="7"/>
        <v>15380204.91</v>
      </c>
      <c r="AZ22" s="72">
        <f t="shared" si="7"/>
        <v>15231042.42</v>
      </c>
      <c r="BA22" s="72">
        <f t="shared" si="7"/>
        <v>15098842.42</v>
      </c>
    </row>
    <row r="23" ht="14.25" customHeight="1"/>
    <row r="24" ht="14.25" customHeight="1">
      <c r="A24" s="2" t="s">
        <v>615</v>
      </c>
    </row>
    <row r="25" ht="14.25" customHeight="1">
      <c r="A25" s="3" t="s">
        <v>616</v>
      </c>
      <c r="B25" s="74">
        <f t="shared" ref="B25:BA25" si="8">IF(B18&lt;0,-B18,0)</f>
        <v>0</v>
      </c>
      <c r="C25" s="74">
        <f t="shared" si="8"/>
        <v>44461.375</v>
      </c>
      <c r="D25" s="74">
        <f t="shared" si="8"/>
        <v>41981.66875</v>
      </c>
      <c r="E25" s="74">
        <f t="shared" si="8"/>
        <v>42123.20219</v>
      </c>
      <c r="F25" s="74">
        <f t="shared" si="8"/>
        <v>0</v>
      </c>
      <c r="G25" s="74">
        <f t="shared" si="8"/>
        <v>44002.85291</v>
      </c>
      <c r="H25" s="74">
        <f t="shared" si="8"/>
        <v>57337.29556</v>
      </c>
      <c r="I25" s="74">
        <f t="shared" si="8"/>
        <v>69659.247</v>
      </c>
      <c r="J25" s="74">
        <f t="shared" si="8"/>
        <v>77655.34185</v>
      </c>
      <c r="K25" s="74">
        <f t="shared" si="8"/>
        <v>87344.38519</v>
      </c>
      <c r="L25" s="74">
        <f t="shared" si="8"/>
        <v>95422.01612</v>
      </c>
      <c r="M25" s="74">
        <f t="shared" si="8"/>
        <v>103043.2505</v>
      </c>
      <c r="N25" s="74">
        <f t="shared" si="8"/>
        <v>115367.4211</v>
      </c>
      <c r="O25" s="74">
        <f t="shared" si="8"/>
        <v>136117.7348</v>
      </c>
      <c r="P25" s="74">
        <f t="shared" si="8"/>
        <v>126674.6906</v>
      </c>
      <c r="Q25" s="74">
        <f t="shared" si="8"/>
        <v>126190.5044</v>
      </c>
      <c r="R25" s="74">
        <f t="shared" si="8"/>
        <v>0</v>
      </c>
      <c r="S25" s="74">
        <f t="shared" si="8"/>
        <v>180831.8508</v>
      </c>
      <c r="T25" s="74">
        <f t="shared" si="8"/>
        <v>167737.7261</v>
      </c>
      <c r="U25" s="74">
        <f t="shared" si="8"/>
        <v>179397.8134</v>
      </c>
      <c r="V25" s="74">
        <f t="shared" si="8"/>
        <v>174878.4481</v>
      </c>
      <c r="W25" s="74">
        <f t="shared" si="8"/>
        <v>191842.2965</v>
      </c>
      <c r="X25" s="74">
        <f t="shared" si="8"/>
        <v>188335.5256</v>
      </c>
      <c r="Y25" s="74">
        <f t="shared" si="8"/>
        <v>202826.3529</v>
      </c>
      <c r="Z25" s="74">
        <f t="shared" si="8"/>
        <v>190243.823</v>
      </c>
      <c r="AA25" s="74">
        <f t="shared" si="8"/>
        <v>190525.3132</v>
      </c>
      <c r="AB25" s="74">
        <f t="shared" si="8"/>
        <v>192702.3465</v>
      </c>
      <c r="AC25" s="74">
        <f t="shared" si="8"/>
        <v>190500.274</v>
      </c>
      <c r="AD25" s="74">
        <f t="shared" si="8"/>
        <v>186144.2956</v>
      </c>
      <c r="AE25" s="74">
        <f t="shared" si="8"/>
        <v>202631.9547</v>
      </c>
      <c r="AF25" s="74">
        <f t="shared" si="8"/>
        <v>182981.9661</v>
      </c>
      <c r="AG25" s="74">
        <f t="shared" si="8"/>
        <v>183037.2055</v>
      </c>
      <c r="AH25" s="74">
        <f t="shared" si="8"/>
        <v>185362.0863</v>
      </c>
      <c r="AI25" s="74">
        <f t="shared" si="8"/>
        <v>170169.0656</v>
      </c>
      <c r="AJ25" s="74">
        <f t="shared" si="8"/>
        <v>0</v>
      </c>
      <c r="AK25" s="74">
        <f t="shared" si="8"/>
        <v>194519.1195</v>
      </c>
      <c r="AL25" s="74">
        <f t="shared" si="8"/>
        <v>182707.3469</v>
      </c>
      <c r="AM25" s="74">
        <f t="shared" si="8"/>
        <v>178909.5706</v>
      </c>
      <c r="AN25" s="74">
        <f t="shared" si="8"/>
        <v>181571.9661</v>
      </c>
      <c r="AO25" s="74">
        <f t="shared" si="8"/>
        <v>165322.6041</v>
      </c>
      <c r="AP25" s="74">
        <f t="shared" si="8"/>
        <v>166017.9893</v>
      </c>
      <c r="AQ25" s="74">
        <f t="shared" si="8"/>
        <v>168803.4427</v>
      </c>
      <c r="AR25" s="74">
        <f t="shared" si="8"/>
        <v>152683.2916</v>
      </c>
      <c r="AS25" s="74">
        <f t="shared" si="8"/>
        <v>153514.3482</v>
      </c>
      <c r="AT25" s="74">
        <f t="shared" si="8"/>
        <v>156442.2565</v>
      </c>
      <c r="AU25" s="74">
        <f t="shared" si="8"/>
        <v>140471.683</v>
      </c>
      <c r="AV25" s="74">
        <f t="shared" si="8"/>
        <v>141459.7962</v>
      </c>
      <c r="AW25" s="74">
        <f t="shared" si="8"/>
        <v>144158.9539</v>
      </c>
      <c r="AX25" s="74">
        <f t="shared" si="8"/>
        <v>152756.2005</v>
      </c>
      <c r="AY25" s="74">
        <f t="shared" si="8"/>
        <v>145728.2341</v>
      </c>
      <c r="AZ25" s="74">
        <f t="shared" si="8"/>
        <v>149162.4907</v>
      </c>
      <c r="BA25" s="74">
        <f t="shared" si="8"/>
        <v>132199.9927</v>
      </c>
    </row>
    <row r="26" ht="14.25" customHeight="1">
      <c r="A26" s="3" t="s">
        <v>617</v>
      </c>
      <c r="B26" s="82" t="str">
        <f t="shared" ref="B26:BA26" si="9">IFERROR(IF(B25&gt;0,B22/B25,"∞"),"∞")</f>
        <v>∞</v>
      </c>
      <c r="C26" s="82">
        <f t="shared" si="9"/>
        <v>-0.6478179094</v>
      </c>
      <c r="D26" s="82">
        <f t="shared" si="9"/>
        <v>-1.686082184</v>
      </c>
      <c r="E26" s="82">
        <f t="shared" si="9"/>
        <v>-2.680416969</v>
      </c>
      <c r="F26" s="82" t="str">
        <f t="shared" si="9"/>
        <v>∞</v>
      </c>
      <c r="G26" s="82">
        <f t="shared" si="9"/>
        <v>29.23998113</v>
      </c>
      <c r="H26" s="82">
        <f t="shared" si="9"/>
        <v>21.43988971</v>
      </c>
      <c r="I26" s="82">
        <f t="shared" si="9"/>
        <v>16.64741002</v>
      </c>
      <c r="J26" s="82">
        <f t="shared" si="9"/>
        <v>13.93324244</v>
      </c>
      <c r="K26" s="82">
        <f t="shared" si="9"/>
        <v>11.38763891</v>
      </c>
      <c r="L26" s="82">
        <f t="shared" si="9"/>
        <v>9.423656507</v>
      </c>
      <c r="M26" s="82">
        <f t="shared" si="9"/>
        <v>7.726668647</v>
      </c>
      <c r="N26" s="82">
        <f t="shared" si="9"/>
        <v>5.901264195</v>
      </c>
      <c r="O26" s="82">
        <f t="shared" si="9"/>
        <v>4.001652669</v>
      </c>
      <c r="P26" s="82">
        <f t="shared" si="9"/>
        <v>3.299958374</v>
      </c>
      <c r="Q26" s="82">
        <f t="shared" si="9"/>
        <v>2.312620139</v>
      </c>
      <c r="R26" s="82" t="str">
        <f t="shared" si="9"/>
        <v>∞</v>
      </c>
      <c r="S26" s="82">
        <f t="shared" si="9"/>
        <v>33.01089625</v>
      </c>
      <c r="T26" s="82">
        <f t="shared" si="9"/>
        <v>34.5878287</v>
      </c>
      <c r="U26" s="82">
        <f t="shared" si="9"/>
        <v>31.33976841</v>
      </c>
      <c r="V26" s="82">
        <f t="shared" si="9"/>
        <v>31.14967874</v>
      </c>
      <c r="W26" s="82">
        <f t="shared" si="9"/>
        <v>27.39523701</v>
      </c>
      <c r="X26" s="82">
        <f t="shared" si="9"/>
        <v>26.90533099</v>
      </c>
      <c r="Y26" s="82">
        <f t="shared" si="9"/>
        <v>23.98309309</v>
      </c>
      <c r="Z26" s="82">
        <f t="shared" si="9"/>
        <v>24.56931008</v>
      </c>
      <c r="AA26" s="82">
        <f t="shared" si="9"/>
        <v>23.53301034</v>
      </c>
      <c r="AB26" s="82">
        <f t="shared" si="9"/>
        <v>22.26714878</v>
      </c>
      <c r="AC26" s="82">
        <f t="shared" si="9"/>
        <v>21.52454409</v>
      </c>
      <c r="AD26" s="82">
        <f t="shared" si="9"/>
        <v>21.02824175</v>
      </c>
      <c r="AE26" s="82">
        <f t="shared" si="9"/>
        <v>18.31722593</v>
      </c>
      <c r="AF26" s="82">
        <f t="shared" si="9"/>
        <v>19.2842683</v>
      </c>
      <c r="AG26" s="82">
        <f t="shared" si="9"/>
        <v>18.27844844</v>
      </c>
      <c r="AH26" s="82">
        <f t="shared" si="9"/>
        <v>17.04919329</v>
      </c>
      <c r="AI26" s="82">
        <f t="shared" si="9"/>
        <v>17.57137797</v>
      </c>
      <c r="AJ26" s="82" t="str">
        <f t="shared" si="9"/>
        <v>∞</v>
      </c>
      <c r="AK26" s="82">
        <f t="shared" si="9"/>
        <v>90.5348155</v>
      </c>
      <c r="AL26" s="82">
        <f t="shared" si="9"/>
        <v>95.38776377</v>
      </c>
      <c r="AM26" s="82">
        <f t="shared" si="9"/>
        <v>96.41259332</v>
      </c>
      <c r="AN26" s="82">
        <f t="shared" si="9"/>
        <v>93.99889245</v>
      </c>
      <c r="AO26" s="82">
        <f t="shared" si="9"/>
        <v>102.2379317</v>
      </c>
      <c r="AP26" s="82">
        <f t="shared" si="9"/>
        <v>100.8096965</v>
      </c>
      <c r="AQ26" s="82">
        <f t="shared" si="9"/>
        <v>98.14621911</v>
      </c>
      <c r="AR26" s="82">
        <f t="shared" si="9"/>
        <v>107.5084</v>
      </c>
      <c r="AS26" s="82">
        <f t="shared" si="9"/>
        <v>105.9263986</v>
      </c>
      <c r="AT26" s="82">
        <f t="shared" si="9"/>
        <v>102.9439241</v>
      </c>
      <c r="AU26" s="82">
        <f t="shared" si="9"/>
        <v>113.6478737</v>
      </c>
      <c r="AV26" s="82">
        <f t="shared" si="9"/>
        <v>111.8540301</v>
      </c>
      <c r="AW26" s="82">
        <f t="shared" si="9"/>
        <v>108.7597331</v>
      </c>
      <c r="AX26" s="82">
        <f t="shared" si="9"/>
        <v>101.6386444</v>
      </c>
      <c r="AY26" s="82">
        <f t="shared" si="9"/>
        <v>105.5403231</v>
      </c>
      <c r="AZ26" s="82">
        <f t="shared" si="9"/>
        <v>102.1104056</v>
      </c>
      <c r="BA26" s="82">
        <f t="shared" si="9"/>
        <v>114.2121275</v>
      </c>
    </row>
    <row r="27" ht="14.25" customHeight="1">
      <c r="A27" s="3" t="s">
        <v>618</v>
      </c>
      <c r="B27" s="74">
        <f t="shared" ref="B27:BA27" si="10">B22</f>
        <v>15658.5</v>
      </c>
      <c r="C27" s="74">
        <f t="shared" si="10"/>
        <v>-28802.875</v>
      </c>
      <c r="D27" s="74">
        <f t="shared" si="10"/>
        <v>-70784.54375</v>
      </c>
      <c r="E27" s="74">
        <f t="shared" si="10"/>
        <v>-112907.7459</v>
      </c>
      <c r="F27" s="74">
        <f t="shared" si="10"/>
        <v>1330645.442</v>
      </c>
      <c r="G27" s="74">
        <f t="shared" si="10"/>
        <v>1286642.589</v>
      </c>
      <c r="H27" s="74">
        <f t="shared" si="10"/>
        <v>1229305.293</v>
      </c>
      <c r="I27" s="74">
        <f t="shared" si="10"/>
        <v>1159646.046</v>
      </c>
      <c r="J27" s="74">
        <f t="shared" si="10"/>
        <v>1081990.704</v>
      </c>
      <c r="K27" s="74">
        <f t="shared" si="10"/>
        <v>994646.3192</v>
      </c>
      <c r="L27" s="74">
        <f t="shared" si="10"/>
        <v>899224.3031</v>
      </c>
      <c r="M27" s="74">
        <f t="shared" si="10"/>
        <v>796181.0527</v>
      </c>
      <c r="N27" s="74">
        <f t="shared" si="10"/>
        <v>680813.6315</v>
      </c>
      <c r="O27" s="74">
        <f t="shared" si="10"/>
        <v>544695.8967</v>
      </c>
      <c r="P27" s="74">
        <f t="shared" si="10"/>
        <v>418021.2061</v>
      </c>
      <c r="Q27" s="74">
        <f t="shared" si="10"/>
        <v>291830.7018</v>
      </c>
      <c r="R27" s="74">
        <f t="shared" si="10"/>
        <v>6150253.315</v>
      </c>
      <c r="S27" s="74">
        <f t="shared" si="10"/>
        <v>5969421.464</v>
      </c>
      <c r="T27" s="74">
        <f t="shared" si="10"/>
        <v>5801683.738</v>
      </c>
      <c r="U27" s="74">
        <f t="shared" si="10"/>
        <v>5622285.925</v>
      </c>
      <c r="V27" s="74">
        <f t="shared" si="10"/>
        <v>5447407.477</v>
      </c>
      <c r="W27" s="74">
        <f t="shared" si="10"/>
        <v>5255565.18</v>
      </c>
      <c r="X27" s="74">
        <f t="shared" si="10"/>
        <v>5067229.655</v>
      </c>
      <c r="Y27" s="74">
        <f t="shared" si="10"/>
        <v>4864403.302</v>
      </c>
      <c r="Z27" s="74">
        <f t="shared" si="10"/>
        <v>4674159.479</v>
      </c>
      <c r="AA27" s="74">
        <f t="shared" si="10"/>
        <v>4483634.165</v>
      </c>
      <c r="AB27" s="74">
        <f t="shared" si="10"/>
        <v>4290931.819</v>
      </c>
      <c r="AC27" s="74">
        <f t="shared" si="10"/>
        <v>4100431.545</v>
      </c>
      <c r="AD27" s="74">
        <f t="shared" si="10"/>
        <v>3914287.249</v>
      </c>
      <c r="AE27" s="74">
        <f t="shared" si="10"/>
        <v>3711655.295</v>
      </c>
      <c r="AF27" s="74">
        <f t="shared" si="10"/>
        <v>3528673.329</v>
      </c>
      <c r="AG27" s="74">
        <f t="shared" si="10"/>
        <v>3345636.123</v>
      </c>
      <c r="AH27" s="74">
        <f t="shared" si="10"/>
        <v>3160274.037</v>
      </c>
      <c r="AI27" s="74">
        <f t="shared" si="10"/>
        <v>2990104.971</v>
      </c>
      <c r="AJ27" s="74">
        <f t="shared" si="10"/>
        <v>17805271.71</v>
      </c>
      <c r="AK27" s="74">
        <f t="shared" si="10"/>
        <v>17610752.59</v>
      </c>
      <c r="AL27" s="74">
        <f t="shared" si="10"/>
        <v>17428045.24</v>
      </c>
      <c r="AM27" s="74">
        <f t="shared" si="10"/>
        <v>17249135.67</v>
      </c>
      <c r="AN27" s="74">
        <f t="shared" si="10"/>
        <v>17067563.71</v>
      </c>
      <c r="AO27" s="74">
        <f t="shared" si="10"/>
        <v>16902241.1</v>
      </c>
      <c r="AP27" s="74">
        <f t="shared" si="10"/>
        <v>16736223.11</v>
      </c>
      <c r="AQ27" s="74">
        <f t="shared" si="10"/>
        <v>16567419.67</v>
      </c>
      <c r="AR27" s="74">
        <f t="shared" si="10"/>
        <v>16414736.38</v>
      </c>
      <c r="AS27" s="74">
        <f t="shared" si="10"/>
        <v>16261222.03</v>
      </c>
      <c r="AT27" s="74">
        <f t="shared" si="10"/>
        <v>16104779.78</v>
      </c>
      <c r="AU27" s="74">
        <f t="shared" si="10"/>
        <v>15964308.09</v>
      </c>
      <c r="AV27" s="74">
        <f t="shared" si="10"/>
        <v>15822848.3</v>
      </c>
      <c r="AW27" s="74">
        <f t="shared" si="10"/>
        <v>15678689.34</v>
      </c>
      <c r="AX27" s="74">
        <f t="shared" si="10"/>
        <v>15525933.14</v>
      </c>
      <c r="AY27" s="74">
        <f t="shared" si="10"/>
        <v>15380204.91</v>
      </c>
      <c r="AZ27" s="74">
        <f t="shared" si="10"/>
        <v>15231042.42</v>
      </c>
      <c r="BA27" s="74">
        <f t="shared" si="10"/>
        <v>15098842.42</v>
      </c>
    </row>
    <row r="28" ht="14.25" customHeight="1">
      <c r="A28" s="2" t="s">
        <v>619</v>
      </c>
      <c r="B28" s="20" t="str">
        <f t="shared" ref="B28:BA28" si="11">IF(ISNUMBER(B26),IF(B26&lt;6,"WARNUNG: &lt;6 Monate!","OK"),"OK")</f>
        <v>OK</v>
      </c>
      <c r="C28" s="20" t="str">
        <f t="shared" si="11"/>
        <v>WARNUNG: &lt;6 Monate!</v>
      </c>
      <c r="D28" s="20" t="str">
        <f t="shared" si="11"/>
        <v>WARNUNG: &lt;6 Monate!</v>
      </c>
      <c r="E28" s="20" t="str">
        <f t="shared" si="11"/>
        <v>WARNUNG: &lt;6 Monate!</v>
      </c>
      <c r="F28" s="20" t="str">
        <f t="shared" si="11"/>
        <v>OK</v>
      </c>
      <c r="G28" s="20" t="str">
        <f t="shared" si="11"/>
        <v>OK</v>
      </c>
      <c r="H28" s="20" t="str">
        <f t="shared" si="11"/>
        <v>OK</v>
      </c>
      <c r="I28" s="20" t="str">
        <f t="shared" si="11"/>
        <v>OK</v>
      </c>
      <c r="J28" s="20" t="str">
        <f t="shared" si="11"/>
        <v>OK</v>
      </c>
      <c r="K28" s="20" t="str">
        <f t="shared" si="11"/>
        <v>OK</v>
      </c>
      <c r="L28" s="20" t="str">
        <f t="shared" si="11"/>
        <v>OK</v>
      </c>
      <c r="M28" s="20" t="str">
        <f t="shared" si="11"/>
        <v>OK</v>
      </c>
      <c r="N28" s="20" t="str">
        <f t="shared" si="11"/>
        <v>WARNUNG: &lt;6 Monate!</v>
      </c>
      <c r="O28" s="20" t="str">
        <f t="shared" si="11"/>
        <v>WARNUNG: &lt;6 Monate!</v>
      </c>
      <c r="P28" s="20" t="str">
        <f t="shared" si="11"/>
        <v>WARNUNG: &lt;6 Monate!</v>
      </c>
      <c r="Q28" s="20" t="str">
        <f t="shared" si="11"/>
        <v>WARNUNG: &lt;6 Monate!</v>
      </c>
      <c r="R28" s="20" t="str">
        <f t="shared" si="11"/>
        <v>OK</v>
      </c>
      <c r="S28" s="20" t="str">
        <f t="shared" si="11"/>
        <v>OK</v>
      </c>
      <c r="T28" s="20" t="str">
        <f t="shared" si="11"/>
        <v>OK</v>
      </c>
      <c r="U28" s="20" t="str">
        <f t="shared" si="11"/>
        <v>OK</v>
      </c>
      <c r="V28" s="20" t="str">
        <f t="shared" si="11"/>
        <v>OK</v>
      </c>
      <c r="W28" s="20" t="str">
        <f t="shared" si="11"/>
        <v>OK</v>
      </c>
      <c r="X28" s="20" t="str">
        <f t="shared" si="11"/>
        <v>OK</v>
      </c>
      <c r="Y28" s="20" t="str">
        <f t="shared" si="11"/>
        <v>OK</v>
      </c>
      <c r="Z28" s="20" t="str">
        <f t="shared" si="11"/>
        <v>OK</v>
      </c>
      <c r="AA28" s="20" t="str">
        <f t="shared" si="11"/>
        <v>OK</v>
      </c>
      <c r="AB28" s="20" t="str">
        <f t="shared" si="11"/>
        <v>OK</v>
      </c>
      <c r="AC28" s="20" t="str">
        <f t="shared" si="11"/>
        <v>OK</v>
      </c>
      <c r="AD28" s="20" t="str">
        <f t="shared" si="11"/>
        <v>OK</v>
      </c>
      <c r="AE28" s="20" t="str">
        <f t="shared" si="11"/>
        <v>OK</v>
      </c>
      <c r="AF28" s="20" t="str">
        <f t="shared" si="11"/>
        <v>OK</v>
      </c>
      <c r="AG28" s="20" t="str">
        <f t="shared" si="11"/>
        <v>OK</v>
      </c>
      <c r="AH28" s="20" t="str">
        <f t="shared" si="11"/>
        <v>OK</v>
      </c>
      <c r="AI28" s="20" t="str">
        <f t="shared" si="11"/>
        <v>OK</v>
      </c>
      <c r="AJ28" s="20" t="str">
        <f t="shared" si="11"/>
        <v>OK</v>
      </c>
      <c r="AK28" s="20" t="str">
        <f t="shared" si="11"/>
        <v>OK</v>
      </c>
      <c r="AL28" s="20" t="str">
        <f t="shared" si="11"/>
        <v>OK</v>
      </c>
      <c r="AM28" s="20" t="str">
        <f t="shared" si="11"/>
        <v>OK</v>
      </c>
      <c r="AN28" s="20" t="str">
        <f t="shared" si="11"/>
        <v>OK</v>
      </c>
      <c r="AO28" s="20" t="str">
        <f t="shared" si="11"/>
        <v>OK</v>
      </c>
      <c r="AP28" s="20" t="str">
        <f t="shared" si="11"/>
        <v>OK</v>
      </c>
      <c r="AQ28" s="20" t="str">
        <f t="shared" si="11"/>
        <v>OK</v>
      </c>
      <c r="AR28" s="20" t="str">
        <f t="shared" si="11"/>
        <v>OK</v>
      </c>
      <c r="AS28" s="20" t="str">
        <f t="shared" si="11"/>
        <v>OK</v>
      </c>
      <c r="AT28" s="20" t="str">
        <f t="shared" si="11"/>
        <v>OK</v>
      </c>
      <c r="AU28" s="20" t="str">
        <f t="shared" si="11"/>
        <v>OK</v>
      </c>
      <c r="AV28" s="20" t="str">
        <f t="shared" si="11"/>
        <v>OK</v>
      </c>
      <c r="AW28" s="20" t="str">
        <f t="shared" si="11"/>
        <v>OK</v>
      </c>
      <c r="AX28" s="20" t="str">
        <f t="shared" si="11"/>
        <v>OK</v>
      </c>
      <c r="AY28" s="20" t="str">
        <f t="shared" si="11"/>
        <v>OK</v>
      </c>
      <c r="AZ28" s="20" t="str">
        <f t="shared" si="11"/>
        <v>OK</v>
      </c>
      <c r="BA28" s="20" t="str">
        <f t="shared" si="11"/>
        <v>OK</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