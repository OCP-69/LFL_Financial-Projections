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1" activeTab="7" autoFilterDateGrouping="1"/>
  </bookViews>
  <sheets>
    <sheet name="Anleitung" sheetId="1" state="visible" r:id="rId1"/>
    <sheet name="Treiber_Matrix" sheetId="2" state="visible" r:id="rId2"/>
    <sheet name="Szenarien_Analyse" sheetId="3" state="visible" r:id="rId3"/>
    <sheet name="00_Input_Sandbox" sheetId="4" state="visible" r:id="rId4"/>
    <sheet name="Inputs" sheetId="5" state="visible" r:id="rId5"/>
    <sheet name="P&amp;L" sheetId="6" state="visible" r:id="rId6"/>
    <sheet name="Tabelle1" sheetId="7" state="visible" r:id="rId7"/>
    <sheet name="Revenue" sheetId="8" state="visible" r:id="rId8"/>
    <sheet name="Costs" sheetId="9" state="visible" r:id="rId9"/>
    <sheet name="Balance Sheet" sheetId="10" state="visible" r:id="rId10"/>
    <sheet name="Cash Flow" sheetId="11" state="visible" r:id="rId11"/>
    <sheet name="LFL_Szenario_Erklaerung" sheetId="12" state="visible" r:id="rId12"/>
    <sheet name="Entwicklungs_Roadmap" sheetId="13" state="visible" r:id="rId13"/>
    <sheet name="Notizen &amp; ToDos" sheetId="14" state="visible" r:id="rId14"/>
    <sheet name="Weiterentwicklung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d/m/yyyy"/>
    <numFmt numFmtId="165" formatCode="0.0%"/>
    <numFmt numFmtId="166" formatCode="#,##0;\(#,##0\)"/>
    <numFmt numFmtId="167" formatCode="0.0"/>
    <numFmt numFmtId="168" formatCode="#,##0\ &quot;€&quot;;[Red]\-#,##0\ &quot;€&quot;"/>
    <numFmt numFmtId="169" formatCode="#,##0\ &quot;€&quot;"/>
    <numFmt numFmtId="170" formatCode="#,##0;\(#,##0\);\-"/>
    <numFmt numFmtId="171" formatCode="_-* #,##0\ &quot;€&quot;_-;\-* #,##0\ &quot;€&quot;_-;_-* &quot;-&quot;\ &quot;€&quot;_-;_-@_-"/>
  </numFmts>
  <fonts count="65">
    <font>
      <name val="Calibri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color rgb="FF008000"/>
      <sz val="10"/>
    </font>
    <font>
      <name val="&quot;Google Sans Text&quot;"/>
      <b val="1"/>
      <color rgb="FF1F1F1F"/>
      <sz val="11"/>
    </font>
    <font>
      <name val="Calibri"/>
      <family val="2"/>
      <color theme="1"/>
      <sz val="11"/>
      <scheme val="minor"/>
    </font>
    <font>
      <name val="&quot;Google Sans Text&quot;"/>
      <color rgb="FF1F1F1F"/>
      <sz val="11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rgb="FF666666"/>
      <sz val="9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6"/>
    </font>
    <font>
      <name val="Calibri"/>
      <family val="2"/>
      <i val="1"/>
      <color rgb="FFCCCCCC"/>
      <sz val="10"/>
    </font>
    <font>
      <name val="Calibri"/>
      <family val="2"/>
      <b val="1"/>
      <color rgb="FFFFFFFF"/>
      <sz val="12"/>
    </font>
    <font>
      <name val="Calibri"/>
      <family val="2"/>
      <i val="1"/>
      <color rgb="FF000000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i val="1"/>
      <color rgb="FF000000"/>
      <sz val="9"/>
    </font>
    <font>
      <name val="Calibri"/>
      <family val="2"/>
      <b val="1"/>
      <color rgb="FF000000"/>
      <sz val="10"/>
    </font>
    <font>
      <name val="Calibri"/>
      <family val="2"/>
      <b val="1"/>
      <i val="1"/>
      <color rgb="FF000000"/>
      <sz val="9"/>
    </font>
    <font>
      <name val="Courier New"/>
      <family val="3"/>
      <sz val="8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color rgb="FF595959"/>
      <sz val="9"/>
    </font>
    <font>
      <name val="Calibri"/>
      <family val="2"/>
      <b val="1"/>
      <sz val="11"/>
    </font>
    <font>
      <name val="Calibri"/>
      <family val="2"/>
      <b val="1"/>
      <color rgb="FFC55A11"/>
      <sz val="9"/>
    </font>
    <font>
      <name val="Calibri"/>
      <family val="2"/>
      <i val="1"/>
      <color rgb="FF1F3864"/>
      <sz val="10"/>
    </font>
    <font>
      <name val="Calibri"/>
      <family val="2"/>
      <i val="1"/>
      <color rgb="FF1F6B75"/>
      <sz val="9"/>
    </font>
    <font>
      <name val="Calibri"/>
      <family val="2"/>
      <b val="1"/>
      <color rgb="FF1F6B75"/>
      <sz val="10"/>
    </font>
    <font>
      <name val="Calibri"/>
      <family val="2"/>
      <i val="1"/>
      <color rgb="FF1F6B75"/>
      <sz val="8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3"/>
    </font>
    <font>
      <name val="Calibri"/>
      <family val="2"/>
      <color rgb="FF7030A0"/>
      <sz val="9"/>
    </font>
    <font>
      <name val="Calibri"/>
      <family val="2"/>
      <i val="1"/>
      <color rgb="FF595959"/>
      <sz val="8"/>
    </font>
    <font>
      <name val="Calibri"/>
      <family val="2"/>
      <i val="1"/>
      <color rgb="FF1F6B75"/>
      <sz val="8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1F1F1F"/>
      <sz val="11"/>
      <scheme val="minor"/>
    </font>
    <font>
      <name val="Calibri"/>
      <family val="2"/>
      <color rgb="FF1F1F1F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1F6B75"/>
      <sz val="10"/>
    </font>
    <font>
      <name val="Calibri"/>
      <family val="2"/>
      <b val="1"/>
      <color rgb="FF1F1F1F"/>
      <sz val="11"/>
    </font>
    <font>
      <name val="Calibri"/>
      <family val="2"/>
      <color rgb="FF1F1F1F"/>
      <sz val="11"/>
    </font>
    <font>
      <name val="Calibri"/>
      <family val="2"/>
      <i val="1"/>
      <color rgb="FF1F1F1F"/>
      <sz val="11"/>
    </font>
    <font>
      <name val="Calibri"/>
      <family val="2"/>
      <b val="1"/>
      <i val="1"/>
      <color rgb="FF1F1F1F"/>
      <sz val="11"/>
    </font>
    <font>
      <name val="Calibri"/>
      <family val="2"/>
      <sz val="10"/>
    </font>
    <font>
      <name val="Calibri"/>
      <family val="2"/>
      <i val="1"/>
      <color rgb="FF1F3864"/>
      <sz val="10"/>
    </font>
    <font>
      <name val="Arial"/>
      <family val="2"/>
      <b val="1"/>
      <sz val="9"/>
    </font>
    <font>
      <name val="Arial"/>
      <family val="2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00"/>
      <sz val="10"/>
    </font>
    <font>
      <name val="Calibri"/>
      <family val="2"/>
      <sz val="11"/>
      <scheme val="minor"/>
    </font>
    <font>
      <name val="Arial"/>
      <family val="2"/>
      <b val="1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</font>
    <font>
      <name val="Segoe UI"/>
      <family val="2"/>
      <color theme="1"/>
      <sz val="9"/>
    </font>
    <font>
      <name val="Calibri"/>
      <family val="2"/>
      <sz val="11"/>
    </font>
  </fonts>
  <fills count="5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1F6B75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9F7F8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FFF3E0"/>
      </patternFill>
    </fill>
    <fill>
      <patternFill patternType="solid">
        <fgColor rgb="FFF5F5DC"/>
      </patternFill>
    </fill>
    <fill>
      <patternFill patternType="solid">
        <fgColor rgb="FFE8D5F5"/>
      </patternFill>
    </fill>
    <fill>
      <patternFill patternType="solid">
        <fgColor rgb="FF7030A0"/>
      </patternFill>
    </fill>
    <fill>
      <patternFill patternType="solid">
        <fgColor rgb="FFFF6B6B"/>
      </patternFill>
    </fill>
    <fill>
      <patternFill patternType="solid">
        <fgColor rgb="FFF0EAF8"/>
      </patternFill>
    </fill>
    <fill>
      <patternFill patternType="solid">
        <fgColor rgb="FFC6EFCE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theme="0" tint="-0.1499984740745262"/>
        <bgColor rgb="FFFFD96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rgb="FFFFD966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1"/>
  </cellStyleXfs>
  <cellXfs count="2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9" fontId="8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5" borderId="2" applyAlignment="1" pivotButton="0" quotePrefix="0" xfId="0">
      <alignment wrapText="1"/>
    </xf>
    <xf numFmtId="0" fontId="9" fillId="6" borderId="1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7" fillId="0" borderId="0" pivotButton="0" quotePrefix="0" xfId="0"/>
    <xf numFmtId="0" fontId="2" fillId="5" borderId="1" applyAlignment="1" pivotButton="0" quotePrefix="0" xfId="0">
      <alignment wrapText="1"/>
    </xf>
    <xf numFmtId="0" fontId="11" fillId="5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165" fontId="4" fillId="2" borderId="1" applyAlignment="1" pivotButton="0" quotePrefix="0" xfId="0">
      <alignment wrapText="1"/>
    </xf>
    <xf numFmtId="0" fontId="11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165" fontId="4" fillId="0" borderId="0" applyAlignment="1" pivotButton="0" quotePrefix="0" xfId="0">
      <alignment wrapText="1"/>
    </xf>
    <xf numFmtId="0" fontId="12" fillId="0" borderId="0" applyAlignment="1" pivotButton="0" quotePrefix="1" xfId="0">
      <alignment wrapText="1"/>
    </xf>
    <xf numFmtId="3" fontId="11" fillId="0" borderId="0" applyAlignment="1" pivotButton="0" quotePrefix="0" xfId="0">
      <alignment horizontal="left" vertical="top" wrapText="1"/>
    </xf>
    <xf numFmtId="0" fontId="13" fillId="5" borderId="1" applyAlignment="1" pivotButton="0" quotePrefix="0" xfId="0">
      <alignment wrapText="1"/>
    </xf>
    <xf numFmtId="0" fontId="13" fillId="8" borderId="1" applyAlignment="1" pivotButton="0" quotePrefix="0" xfId="0">
      <alignment wrapText="1"/>
    </xf>
    <xf numFmtId="0" fontId="9" fillId="5" borderId="2" pivotButton="0" quotePrefix="0" xfId="0"/>
    <xf numFmtId="166" fontId="5" fillId="0" borderId="0" pivotButton="0" quotePrefix="0" xfId="0"/>
    <xf numFmtId="166" fontId="2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7" fontId="11" fillId="0" borderId="0" pivotButton="0" quotePrefix="0" xfId="0"/>
    <xf numFmtId="1" fontId="7" fillId="0" borderId="0" pivotButton="0" quotePrefix="0" xfId="0"/>
    <xf numFmtId="1" fontId="2" fillId="0" borderId="0" pivotButton="0" quotePrefix="0" xfId="0"/>
    <xf numFmtId="166" fontId="7" fillId="0" borderId="0" pivotButton="0" quotePrefix="0" xfId="0"/>
    <xf numFmtId="167" fontId="11" fillId="0" borderId="0" pivotButton="0" quotePrefix="0" xfId="0"/>
    <xf numFmtId="0" fontId="18" fillId="12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horizontal="left" vertical="center" wrapText="1"/>
    </xf>
    <xf numFmtId="0" fontId="21" fillId="14" borderId="12" applyAlignment="1" pivotButton="0" quotePrefix="0" xfId="0">
      <alignment horizontal="left" vertical="center" wrapText="1"/>
    </xf>
    <xf numFmtId="0" fontId="22" fillId="14" borderId="12" applyAlignment="1" pivotButton="0" quotePrefix="0" xfId="0">
      <alignment horizontal="left" vertical="center" wrapText="1"/>
    </xf>
    <xf numFmtId="0" fontId="23" fillId="15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vertical="top" wrapText="1"/>
    </xf>
    <xf numFmtId="0" fontId="20" fillId="16" borderId="12" applyAlignment="1" pivotButton="0" quotePrefix="0" xfId="0">
      <alignment horizontal="left" vertical="center" wrapText="1"/>
    </xf>
    <xf numFmtId="0" fontId="21" fillId="16" borderId="12" applyAlignment="1" pivotButton="0" quotePrefix="0" xfId="0">
      <alignment horizontal="left" vertical="center" wrapText="1"/>
    </xf>
    <xf numFmtId="0" fontId="22" fillId="16" borderId="12" applyAlignment="1" pivotButton="0" quotePrefix="0" xfId="0">
      <alignment horizontal="left" vertical="center" wrapText="1"/>
    </xf>
    <xf numFmtId="0" fontId="20" fillId="16" borderId="12" applyAlignment="1" pivotButton="0" quotePrefix="0" xfId="0">
      <alignment vertical="top" wrapText="1"/>
    </xf>
    <xf numFmtId="0" fontId="18" fillId="20" borderId="13" applyAlignment="1" pivotButton="0" quotePrefix="0" xfId="0">
      <alignment horizontal="left" vertical="center"/>
    </xf>
    <xf numFmtId="0" fontId="7" fillId="20" borderId="13" applyAlignment="1" pivotButton="0" quotePrefix="0" xfId="0">
      <alignment wrapText="1"/>
    </xf>
    <xf numFmtId="0" fontId="11" fillId="20" borderId="13" applyAlignment="1" pivotButton="0" quotePrefix="0" xfId="0">
      <alignment wrapText="1"/>
    </xf>
    <xf numFmtId="0" fontId="27" fillId="0" borderId="13" applyAlignment="1" pivotButton="0" quotePrefix="0" xfId="0">
      <alignment horizontal="left" vertical="center" wrapText="1"/>
    </xf>
    <xf numFmtId="0" fontId="7" fillId="21" borderId="13" applyAlignment="1" pivotButton="0" quotePrefix="0" xfId="0">
      <alignment horizontal="right" vertical="center"/>
    </xf>
    <xf numFmtId="0" fontId="26" fillId="0" borderId="13" applyAlignment="1" pivotButton="0" quotePrefix="0" xfId="0">
      <alignment horizontal="left" vertical="center" wrapText="1"/>
    </xf>
    <xf numFmtId="0" fontId="28" fillId="0" borderId="13" applyAlignment="1" pivotButton="0" quotePrefix="0" xfId="0">
      <alignment vertical="top" wrapText="1"/>
    </xf>
    <xf numFmtId="0" fontId="27" fillId="19" borderId="13" applyAlignment="1" pivotButton="0" quotePrefix="0" xfId="0">
      <alignment horizontal="left" vertical="center"/>
    </xf>
    <xf numFmtId="3" fontId="0" fillId="19" borderId="13" applyAlignment="1" pivotButton="0" quotePrefix="0" xfId="0">
      <alignment horizontal="right" vertical="center"/>
    </xf>
    <xf numFmtId="0" fontId="0" fillId="20" borderId="13" pivotButton="0" quotePrefix="0" xfId="0"/>
    <xf numFmtId="0" fontId="23" fillId="17" borderId="13" applyAlignment="1" pivotButton="0" quotePrefix="0" xfId="0">
      <alignment horizontal="left" vertical="center"/>
    </xf>
    <xf numFmtId="0" fontId="0" fillId="17" borderId="13" applyAlignment="1" pivotButton="0" quotePrefix="0" xfId="0">
      <alignment horizontal="right" vertical="center"/>
    </xf>
    <xf numFmtId="0" fontId="23" fillId="19" borderId="13" applyAlignment="1" pivotButton="0" quotePrefix="0" xfId="0">
      <alignment horizontal="left" vertical="center"/>
    </xf>
    <xf numFmtId="0" fontId="30" fillId="22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left" vertical="center"/>
    </xf>
    <xf numFmtId="0" fontId="26" fillId="0" borderId="13" applyAlignment="1" pivotButton="0" quotePrefix="0" xfId="0">
      <alignment horizontal="left" vertical="top" wrapText="1"/>
    </xf>
    <xf numFmtId="0" fontId="29" fillId="17" borderId="13" applyAlignment="1" pivotButton="0" quotePrefix="0" xfId="0">
      <alignment horizontal="center" vertical="center"/>
    </xf>
    <xf numFmtId="9" fontId="31" fillId="21" borderId="13" applyAlignment="1" pivotButton="0" quotePrefix="0" xfId="0">
      <alignment horizontal="right" vertical="center"/>
    </xf>
    <xf numFmtId="0" fontId="33" fillId="24" borderId="13" applyAlignment="1" pivotButton="0" quotePrefix="0" xfId="0">
      <alignment vertical="top" wrapText="1"/>
    </xf>
    <xf numFmtId="9" fontId="29" fillId="17" borderId="13" applyAlignment="1" pivotButton="0" quotePrefix="0" xfId="0">
      <alignment horizontal="center" vertical="center"/>
    </xf>
    <xf numFmtId="0" fontId="2" fillId="16" borderId="0" pivotButton="0" quotePrefix="0" xfId="0"/>
    <xf numFmtId="0" fontId="23" fillId="21" borderId="13" applyAlignment="1" pivotButton="0" quotePrefix="0" xfId="0">
      <alignment horizontal="left" vertical="center" wrapText="1"/>
    </xf>
    <xf numFmtId="0" fontId="35" fillId="20" borderId="13" applyAlignment="1" pivotButton="0" quotePrefix="0" xfId="0">
      <alignment horizontal="left" vertical="center"/>
    </xf>
    <xf numFmtId="0" fontId="18" fillId="25" borderId="13" applyAlignment="1" pivotButton="0" quotePrefix="0" xfId="0">
      <alignment horizontal="left" vertical="center" wrapText="1"/>
    </xf>
    <xf numFmtId="3" fontId="11" fillId="19" borderId="13" applyAlignment="1" pivotButton="0" quotePrefix="0" xfId="0">
      <alignment horizontal="right" vertical="center"/>
    </xf>
    <xf numFmtId="0" fontId="35" fillId="26" borderId="13" applyAlignment="1" pivotButton="0" quotePrefix="0" xfId="0">
      <alignment horizontal="center" vertical="center" wrapText="1"/>
    </xf>
    <xf numFmtId="0" fontId="20" fillId="27" borderId="13" applyAlignment="1" pivotButton="0" quotePrefix="0" xfId="0">
      <alignment horizontal="left" vertical="center" wrapText="1"/>
    </xf>
    <xf numFmtId="0" fontId="20" fillId="21" borderId="13" applyAlignment="1" pivotButton="0" quotePrefix="0" xfId="0">
      <alignment horizontal="center" vertical="center" wrapText="1"/>
    </xf>
    <xf numFmtId="0" fontId="21" fillId="19" borderId="13" applyAlignment="1" pivotButton="0" quotePrefix="0" xfId="0">
      <alignment horizontal="center" vertical="center"/>
    </xf>
    <xf numFmtId="0" fontId="20" fillId="17" borderId="13" applyAlignment="1" pivotButton="0" quotePrefix="0" xfId="0">
      <alignment horizontal="left" vertical="center" wrapText="1"/>
    </xf>
    <xf numFmtId="0" fontId="20" fillId="23" borderId="13" applyAlignment="1" pivotButton="0" quotePrefix="0" xfId="0">
      <alignment horizontal="center" vertical="center" wrapText="1"/>
    </xf>
    <xf numFmtId="0" fontId="20" fillId="24" borderId="13" applyAlignment="1" pivotButton="0" quotePrefix="0" xfId="0">
      <alignment horizontal="center" vertical="center" wrapText="1"/>
    </xf>
    <xf numFmtId="0" fontId="21" fillId="22" borderId="13" applyAlignment="1" pivotButton="0" quotePrefix="0" xfId="0">
      <alignment horizontal="center" vertical="center" wrapText="1"/>
    </xf>
    <xf numFmtId="0" fontId="20" fillId="28" borderId="13" applyAlignment="1" pivotButton="0" quotePrefix="0" xfId="0">
      <alignment horizontal="left" vertical="center" wrapText="1"/>
    </xf>
    <xf numFmtId="0" fontId="20" fillId="19" borderId="13" applyAlignment="1" pivotButton="0" quotePrefix="0" xfId="0">
      <alignment horizontal="center" vertical="center" wrapText="1"/>
    </xf>
    <xf numFmtId="0" fontId="20" fillId="30" borderId="13" applyAlignment="1" pivotButton="0" quotePrefix="0" xfId="0">
      <alignment horizontal="left" vertical="center" wrapText="1"/>
    </xf>
    <xf numFmtId="0" fontId="21" fillId="32" borderId="13" applyAlignment="1" pivotButton="0" quotePrefix="0" xfId="0">
      <alignment horizontal="left" vertical="center" wrapText="1"/>
    </xf>
    <xf numFmtId="0" fontId="20" fillId="32" borderId="13" applyAlignment="1" pivotButton="0" quotePrefix="0" xfId="0">
      <alignment horizontal="left" vertical="center" wrapText="1"/>
    </xf>
    <xf numFmtId="0" fontId="37" fillId="32" borderId="13" applyAlignment="1" pivotButton="0" quotePrefix="0" xfId="0">
      <alignment horizontal="center" vertical="center" wrapText="1"/>
    </xf>
    <xf numFmtId="0" fontId="21" fillId="17" borderId="13" applyAlignment="1" pivotButton="0" quotePrefix="0" xfId="0">
      <alignment horizontal="center" vertical="center"/>
    </xf>
    <xf numFmtId="0" fontId="20" fillId="16" borderId="13" applyAlignment="1" pivotButton="0" quotePrefix="0" xfId="0">
      <alignment horizontal="left" vertical="center" wrapText="1"/>
    </xf>
    <xf numFmtId="0" fontId="20" fillId="16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9" fontId="4" fillId="2" borderId="1" applyAlignment="1" pivotButton="0" quotePrefix="0" xfId="0">
      <alignment wrapText="1"/>
    </xf>
    <xf numFmtId="9" fontId="4" fillId="0" borderId="0" applyAlignment="1" pivotButton="0" quotePrefix="0" xfId="0">
      <alignment wrapText="1"/>
    </xf>
    <xf numFmtId="0" fontId="27" fillId="0" borderId="13" applyAlignment="1" pivotButton="0" quotePrefix="0" xfId="0">
      <alignment wrapText="1"/>
    </xf>
    <xf numFmtId="0" fontId="35" fillId="34" borderId="13" applyAlignment="1" pivotButton="0" quotePrefix="0" xfId="0">
      <alignment horizontal="center" vertical="center" wrapText="1"/>
    </xf>
    <xf numFmtId="0" fontId="20" fillId="35" borderId="13" applyAlignment="1" pivotButton="0" quotePrefix="0" xfId="0">
      <alignment horizontal="left" vertical="center" wrapText="1"/>
    </xf>
    <xf numFmtId="0" fontId="21" fillId="36" borderId="13" applyAlignment="1" pivotButton="0" quotePrefix="0" xfId="0">
      <alignment horizontal="center" vertical="center" wrapText="1"/>
    </xf>
    <xf numFmtId="0" fontId="35" fillId="37" borderId="13" applyAlignment="1" pivotButton="0" quotePrefix="0" xfId="0">
      <alignment horizontal="center" vertical="center" wrapText="1"/>
    </xf>
    <xf numFmtId="0" fontId="35" fillId="38" borderId="13" applyAlignment="1" pivotButton="0" quotePrefix="0" xfId="0">
      <alignment horizontal="center" vertical="center" wrapText="1"/>
    </xf>
    <xf numFmtId="0" fontId="23" fillId="31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41" fillId="0" borderId="13" applyAlignment="1" pivotButton="0" quotePrefix="0" xfId="0">
      <alignment horizontal="left" vertical="center" wrapText="1"/>
    </xf>
    <xf numFmtId="0" fontId="44" fillId="14" borderId="12" applyAlignment="1" pivotButton="0" quotePrefix="0" xfId="0">
      <alignment vertical="top" wrapText="1"/>
    </xf>
    <xf numFmtId="9" fontId="20" fillId="27" borderId="13" applyAlignment="1" pivotButton="0" quotePrefix="0" xfId="0">
      <alignment horizontal="left" vertical="center" wrapText="1"/>
    </xf>
    <xf numFmtId="168" fontId="20" fillId="27" borderId="13" applyAlignment="1" pivotButton="0" quotePrefix="0" xfId="0">
      <alignment horizontal="left" vertical="center" wrapText="1"/>
    </xf>
    <xf numFmtId="168" fontId="21" fillId="19" borderId="13" applyAlignment="1" pivotButton="0" quotePrefix="0" xfId="0">
      <alignment horizontal="center" vertical="center"/>
    </xf>
    <xf numFmtId="9" fontId="21" fillId="19" borderId="13" applyAlignment="1" pivotButton="0" quotePrefix="0" xfId="0">
      <alignment horizontal="center" vertical="center"/>
    </xf>
    <xf numFmtId="0" fontId="6" fillId="3" borderId="16" applyAlignment="1" pivotButton="0" quotePrefix="0" xfId="0">
      <alignment wrapText="1"/>
    </xf>
    <xf numFmtId="0" fontId="6" fillId="4" borderId="16" applyAlignment="1" pivotButton="0" quotePrefix="0" xfId="0">
      <alignment wrapText="1"/>
    </xf>
    <xf numFmtId="0" fontId="45" fillId="3" borderId="16" applyAlignment="1" pivotButton="0" quotePrefix="0" xfId="0">
      <alignment wrapText="1"/>
    </xf>
    <xf numFmtId="0" fontId="46" fillId="0" borderId="0" applyAlignment="1" pivotButton="0" quotePrefix="0" xfId="0">
      <alignment wrapText="1"/>
    </xf>
    <xf numFmtId="0" fontId="47" fillId="0" borderId="13" applyAlignment="1" pivotButton="0" quotePrefix="0" xfId="0">
      <alignment horizontal="left" vertical="top" wrapText="1"/>
    </xf>
    <xf numFmtId="0" fontId="42" fillId="0" borderId="13" applyAlignment="1" pivotButton="0" quotePrefix="0" xfId="0">
      <alignment wrapText="1"/>
    </xf>
    <xf numFmtId="0" fontId="42" fillId="0" borderId="0" applyAlignment="1" pivotButton="0" quotePrefix="0" xfId="0">
      <alignment wrapText="1"/>
    </xf>
    <xf numFmtId="0" fontId="42" fillId="0" borderId="0" pivotButton="0" quotePrefix="0" xfId="0"/>
    <xf numFmtId="0" fontId="48" fillId="24" borderId="13" applyAlignment="1" pivotButton="0" quotePrefix="0" xfId="0">
      <alignment vertical="top" wrapText="1"/>
    </xf>
    <xf numFmtId="9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9" fontId="7" fillId="0" borderId="13" applyAlignment="1" pivotButton="0" quotePrefix="0" xfId="0">
      <alignment horizontal="center" vertical="center" wrapText="1"/>
    </xf>
    <xf numFmtId="0" fontId="6" fillId="39" borderId="16" applyAlignment="1" pivotButton="0" quotePrefix="0" xfId="0">
      <alignment wrapText="1"/>
    </xf>
    <xf numFmtId="0" fontId="49" fillId="3" borderId="0" applyAlignment="1" pivotButton="0" quotePrefix="0" xfId="0">
      <alignment wrapText="1"/>
    </xf>
    <xf numFmtId="0" fontId="49" fillId="9" borderId="0" applyAlignment="1" pivotButton="0" quotePrefix="0" xfId="0">
      <alignment wrapText="1"/>
    </xf>
    <xf numFmtId="0" fontId="49" fillId="10" borderId="0" applyAlignment="1" pivotButton="0" quotePrefix="0" xfId="0">
      <alignment wrapText="1"/>
    </xf>
    <xf numFmtId="0" fontId="49" fillId="11" borderId="3" applyAlignment="1" pivotButton="0" quotePrefix="0" xfId="0">
      <alignment wrapText="1"/>
    </xf>
    <xf numFmtId="0" fontId="49" fillId="11" borderId="4" applyAlignment="1" pivotButton="0" quotePrefix="0" xfId="0">
      <alignment wrapText="1"/>
    </xf>
    <xf numFmtId="0" fontId="52" fillId="11" borderId="5" applyAlignment="1" pivotButton="0" quotePrefix="0" xfId="0">
      <alignment wrapText="1"/>
    </xf>
    <xf numFmtId="0" fontId="49" fillId="0" borderId="6" applyAlignment="1" pivotButton="0" quotePrefix="0" xfId="0">
      <alignment wrapText="1"/>
    </xf>
    <xf numFmtId="0" fontId="50" fillId="0" borderId="7" applyAlignment="1" pivotButton="0" quotePrefix="0" xfId="0">
      <alignment wrapText="1"/>
    </xf>
    <xf numFmtId="9" fontId="50" fillId="0" borderId="7" applyAlignment="1" pivotButton="0" quotePrefix="0" xfId="0">
      <alignment wrapText="1"/>
    </xf>
    <xf numFmtId="0" fontId="51" fillId="0" borderId="8" applyAlignment="1" pivotButton="0" quotePrefix="0" xfId="0">
      <alignment wrapText="1"/>
    </xf>
    <xf numFmtId="0" fontId="49" fillId="0" borderId="9" applyAlignment="1" pivotButton="0" quotePrefix="0" xfId="0">
      <alignment wrapText="1"/>
    </xf>
    <xf numFmtId="0" fontId="50" fillId="0" borderId="10" applyAlignment="1" pivotButton="0" quotePrefix="0" xfId="0">
      <alignment wrapText="1"/>
    </xf>
    <xf numFmtId="0" fontId="51" fillId="0" borderId="11" applyAlignment="1" pivotButton="0" quotePrefix="0" xfId="0">
      <alignment wrapText="1"/>
    </xf>
    <xf numFmtId="0" fontId="53" fillId="0" borderId="13" applyAlignment="1" pivotButton="0" quotePrefix="0" xfId="0">
      <alignment horizontal="left" vertical="center" wrapText="1"/>
    </xf>
    <xf numFmtId="0" fontId="54" fillId="21" borderId="13" applyAlignment="1" pivotButton="0" quotePrefix="0" xfId="0">
      <alignment horizontal="right" vertical="center"/>
    </xf>
    <xf numFmtId="0" fontId="53" fillId="0" borderId="13" applyAlignment="1" pivotButton="0" quotePrefix="0" xfId="0">
      <alignment horizontal="center"/>
    </xf>
    <xf numFmtId="9" fontId="54" fillId="21" borderId="13" applyAlignment="1" pivotButton="0" quotePrefix="0" xfId="0">
      <alignment horizontal="right" vertical="center"/>
    </xf>
    <xf numFmtId="0" fontId="49" fillId="40" borderId="1" applyAlignment="1" pivotButton="0" quotePrefix="0" xfId="0">
      <alignment wrapText="1"/>
    </xf>
    <xf numFmtId="0" fontId="40" fillId="40" borderId="1" applyAlignment="1" pivotButton="0" quotePrefix="0" xfId="0">
      <alignment wrapText="1"/>
    </xf>
    <xf numFmtId="3" fontId="4" fillId="41" borderId="0" applyAlignment="1" pivotButton="0" quotePrefix="0" xfId="0">
      <alignment wrapText="1"/>
    </xf>
    <xf numFmtId="0" fontId="0" fillId="0" borderId="1" pivotButton="0" quotePrefix="0" xfId="0"/>
    <xf numFmtId="0" fontId="55" fillId="42" borderId="0" applyAlignment="1" pivotButton="0" quotePrefix="0" xfId="0">
      <alignment wrapText="1"/>
    </xf>
    <xf numFmtId="166" fontId="13" fillId="42" borderId="0" pivotButton="0" quotePrefix="0" xfId="0"/>
    <xf numFmtId="3" fontId="4" fillId="44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3" fontId="4" fillId="4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42" borderId="0" applyAlignment="1" pivotButton="0" quotePrefix="0" xfId="0">
      <alignment horizontal="left" vertical="top" wrapText="1"/>
    </xf>
    <xf numFmtId="0" fontId="7" fillId="0" borderId="1" pivotButton="0" quotePrefix="0" xfId="0"/>
    <xf numFmtId="0" fontId="7" fillId="0" borderId="1" applyAlignment="1" pivotButton="0" quotePrefix="1" xfId="0">
      <alignment vertical="top" wrapText="1"/>
    </xf>
    <xf numFmtId="0" fontId="7" fillId="0" borderId="0" applyAlignment="1" pivotButton="0" quotePrefix="1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9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0" fontId="56" fillId="45" borderId="1" applyAlignment="1" pivotButton="0" quotePrefix="0" xfId="0">
      <alignment horizontal="left" vertical="center"/>
    </xf>
    <xf numFmtId="0" fontId="58" fillId="45" borderId="1" applyAlignment="1" pivotButton="0" quotePrefix="0" xfId="0">
      <alignment horizontal="left" vertical="center"/>
    </xf>
    <xf numFmtId="0" fontId="56" fillId="45" borderId="17" applyAlignment="1" pivotButton="0" quotePrefix="0" xfId="0">
      <alignment horizontal="left" vertical="center"/>
    </xf>
    <xf numFmtId="0" fontId="56" fillId="46" borderId="17" applyAlignment="1" pivotButton="0" quotePrefix="0" xfId="0">
      <alignment horizontal="left" vertical="center"/>
    </xf>
    <xf numFmtId="0" fontId="0" fillId="0" borderId="16" applyAlignment="1" pivotButton="0" quotePrefix="0" xfId="0">
      <alignment vertical="top" wrapText="1"/>
    </xf>
    <xf numFmtId="0" fontId="7" fillId="0" borderId="16" applyAlignment="1" pivotButton="0" quotePrefix="0" xfId="0">
      <alignment vertical="top" wrapText="1"/>
    </xf>
    <xf numFmtId="170" fontId="57" fillId="45" borderId="16" applyAlignment="1" pivotButton="0" quotePrefix="0" xfId="0">
      <alignment horizontal="right" vertical="center"/>
    </xf>
    <xf numFmtId="0" fontId="59" fillId="0" borderId="16" applyAlignment="1" pivotButton="0" quotePrefix="0" xfId="0">
      <alignment vertical="top" wrapText="1"/>
    </xf>
    <xf numFmtId="170" fontId="60" fillId="0" borderId="16" applyAlignment="1" pivotButton="0" quotePrefix="0" xfId="0">
      <alignment horizontal="right" vertical="center"/>
    </xf>
    <xf numFmtId="0" fontId="61" fillId="0" borderId="16" applyAlignment="1" pivotButton="0" quotePrefix="0" xfId="0">
      <alignment vertical="top" wrapText="1"/>
    </xf>
    <xf numFmtId="0" fontId="7" fillId="4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70" fontId="60" fillId="0" borderId="18" applyAlignment="1" pivotButton="0" quotePrefix="0" xfId="0">
      <alignment horizontal="right" vertical="center"/>
    </xf>
    <xf numFmtId="0" fontId="0" fillId="0" borderId="18" applyAlignment="1" pivotButton="0" quotePrefix="0" xfId="0">
      <alignment vertical="top" wrapText="1"/>
    </xf>
    <xf numFmtId="0" fontId="10" fillId="0" borderId="16" applyAlignment="1" pivotButton="0" quotePrefix="0" xfId="0">
      <alignment vertical="top" wrapText="1"/>
    </xf>
    <xf numFmtId="0" fontId="7" fillId="47" borderId="16" applyAlignment="1" pivotButton="0" quotePrefix="0" xfId="0">
      <alignment vertical="top" wrapText="1"/>
    </xf>
    <xf numFmtId="0" fontId="7" fillId="48" borderId="16" applyAlignment="1" pivotButton="0" quotePrefix="0" xfId="0">
      <alignment vertical="top" wrapText="1"/>
    </xf>
    <xf numFmtId="0" fontId="7" fillId="49" borderId="16" applyAlignment="1" pivotButton="0" quotePrefix="0" xfId="0">
      <alignment vertical="top" wrapText="1"/>
    </xf>
    <xf numFmtId="0" fontId="7" fillId="0" borderId="16" applyAlignment="1" pivotButton="0" quotePrefix="1" xfId="0">
      <alignment vertical="top" wrapText="1"/>
    </xf>
    <xf numFmtId="0" fontId="10" fillId="41" borderId="0" applyAlignment="1" pivotButton="0" quotePrefix="0" xfId="0">
      <alignment vertical="top" wrapText="1"/>
    </xf>
    <xf numFmtId="17" fontId="13" fillId="51" borderId="1" pivotButton="0" quotePrefix="0" xfId="0"/>
    <xf numFmtId="17" fontId="62" fillId="52" borderId="1" pivotButton="0" quotePrefix="0" xfId="0"/>
    <xf numFmtId="17" fontId="13" fillId="48" borderId="1" pivotButton="0" quotePrefix="0" xfId="0"/>
    <xf numFmtId="17" fontId="62" fillId="53" borderId="1" pivotButton="0" quotePrefix="0" xfId="0"/>
    <xf numFmtId="17" fontId="13" fillId="50" borderId="1" pivotButton="0" quotePrefix="0" xfId="0"/>
    <xf numFmtId="0" fontId="10" fillId="0" borderId="1" pivotButton="0" quotePrefix="0" xfId="0"/>
    <xf numFmtId="0" fontId="3" fillId="0" borderId="1" applyAlignment="1" pivotButton="0" quotePrefix="0" xfId="0">
      <alignment wrapText="1"/>
    </xf>
    <xf numFmtId="3" fontId="4" fillId="0" borderId="1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wrapText="1"/>
    </xf>
    <xf numFmtId="0" fontId="3" fillId="54" borderId="0" applyAlignment="1" pivotButton="0" quotePrefix="0" xfId="0">
      <alignment wrapText="1"/>
    </xf>
    <xf numFmtId="0" fontId="3" fillId="54" borderId="1" applyAlignment="1" pivotButton="0" quotePrefix="0" xfId="0">
      <alignment wrapText="1"/>
    </xf>
    <xf numFmtId="0" fontId="63" fillId="42" borderId="0" pivotButton="0" quotePrefix="0" xfId="0"/>
    <xf numFmtId="0" fontId="4" fillId="0" borderId="1" applyAlignment="1" pivotButton="0" quotePrefix="0" xfId="0">
      <alignment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0" fontId="10" fillId="7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3" fillId="2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1" fillId="42" borderId="1" applyAlignment="1" pivotButton="0" quotePrefix="0" xfId="0">
      <alignment horizontal="left" vertical="top" wrapText="1"/>
    </xf>
    <xf numFmtId="0" fontId="7" fillId="43" borderId="1" applyAlignment="1" pivotButton="0" quotePrefix="0" xfId="0">
      <alignment wrapText="1"/>
    </xf>
    <xf numFmtId="0" fontId="0" fillId="0" borderId="0" pivotButton="0" quotePrefix="0" xfId="0"/>
    <xf numFmtId="0" fontId="23" fillId="22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3" fillId="21" borderId="13" applyAlignment="1" pivotButton="0" quotePrefix="0" xfId="0">
      <alignment horizontal="left" vertical="center"/>
    </xf>
    <xf numFmtId="0" fontId="36" fillId="26" borderId="13" applyAlignment="1" pivotButton="0" quotePrefix="0" xfId="0">
      <alignment horizontal="center" vertical="center"/>
    </xf>
    <xf numFmtId="0" fontId="23" fillId="17" borderId="13" applyAlignment="1" pivotButton="0" quotePrefix="0" xfId="0">
      <alignment horizontal="left" vertical="center"/>
    </xf>
    <xf numFmtId="0" fontId="23" fillId="23" borderId="13" applyAlignment="1" pivotButton="0" quotePrefix="0" xfId="0">
      <alignment horizontal="left" vertical="center"/>
    </xf>
    <xf numFmtId="0" fontId="23" fillId="19" borderId="13" applyAlignment="1" pivotButton="0" quotePrefix="0" xfId="0">
      <alignment horizontal="left" vertical="center"/>
    </xf>
    <xf numFmtId="0" fontId="23" fillId="32" borderId="13" applyAlignment="1" pivotButton="0" quotePrefix="0" xfId="0">
      <alignment horizontal="left" vertical="center"/>
    </xf>
    <xf numFmtId="0" fontId="23" fillId="29" borderId="13" applyAlignment="1" pivotButton="0" quotePrefix="0" xfId="0">
      <alignment horizontal="left" vertical="center"/>
    </xf>
    <xf numFmtId="0" fontId="23" fillId="24" borderId="13" applyAlignment="1" pivotButton="0" quotePrefix="0" xfId="0">
      <alignment horizontal="left" vertical="center"/>
    </xf>
    <xf numFmtId="0" fontId="23" fillId="31" borderId="13" applyAlignment="1" pivotButton="0" quotePrefix="0" xfId="0">
      <alignment horizontal="left" vertical="center"/>
    </xf>
    <xf numFmtId="0" fontId="38" fillId="23" borderId="13" applyAlignment="1" pivotButton="0" quotePrefix="0" xfId="0">
      <alignment horizontal="left" vertical="center" wrapText="1"/>
    </xf>
    <xf numFmtId="0" fontId="28" fillId="24" borderId="13" applyAlignment="1" pivotButton="0" quotePrefix="0" xfId="0">
      <alignment horizontal="left" vertical="center" wrapText="1"/>
    </xf>
    <xf numFmtId="0" fontId="32" fillId="24" borderId="13" applyAlignment="1" pivotButton="0" quotePrefix="0" xfId="0">
      <alignment vertical="center"/>
    </xf>
    <xf numFmtId="0" fontId="24" fillId="17" borderId="1" applyAlignment="1" pivotButton="0" quotePrefix="0" xfId="0">
      <alignment horizontal="left" vertical="center" wrapText="1"/>
    </xf>
    <xf numFmtId="0" fontId="22" fillId="17" borderId="1" applyAlignment="1" pivotButton="0" quotePrefix="0" xfId="0">
      <alignment vertical="top" wrapText="1"/>
    </xf>
    <xf numFmtId="0" fontId="14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43" fillId="17" borderId="1" applyAlignment="1" pivotButton="0" quotePrefix="0" xfId="0">
      <alignment vertical="top" wrapText="1"/>
    </xf>
    <xf numFmtId="0" fontId="16" fillId="13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vertical="top" wrapText="1"/>
    </xf>
    <xf numFmtId="0" fontId="16" fillId="33" borderId="13" applyAlignment="1" pivotButton="0" quotePrefix="0" xfId="0">
      <alignment horizontal="center" vertical="center"/>
    </xf>
    <xf numFmtId="0" fontId="49" fillId="55" borderId="0" applyAlignment="1" pivotButton="0" quotePrefix="0" xfId="0">
      <alignment wrapText="1"/>
    </xf>
    <xf numFmtId="166" fontId="11" fillId="0" borderId="1" pivotButton="0" quotePrefix="0" xfId="0"/>
    <xf numFmtId="0" fontId="0" fillId="0" borderId="1" pivotButton="0" quotePrefix="0" xfId="0"/>
    <xf numFmtId="0" fontId="3" fillId="44" borderId="1" applyAlignment="1" pivotButton="0" quotePrefix="0" xfId="0">
      <alignment wrapText="1"/>
    </xf>
    <xf numFmtId="168" fontId="21" fillId="19" borderId="13" applyAlignment="1" pivotButton="0" quotePrefix="0" xfId="0">
      <alignment horizontal="center" vertical="center"/>
    </xf>
    <xf numFmtId="168" fontId="20" fillId="27" borderId="13" applyAlignment="1" pivotButton="0" quotePrefix="0" xfId="0">
      <alignment horizontal="left" vertical="center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170" fontId="60" fillId="0" borderId="16" applyAlignment="1" pivotButton="0" quotePrefix="0" xfId="0">
      <alignment horizontal="right" vertical="center"/>
    </xf>
    <xf numFmtId="170" fontId="60" fillId="0" borderId="18" applyAlignment="1" pivotButton="0" quotePrefix="0" xfId="0">
      <alignment horizontal="right" vertical="center"/>
    </xf>
    <xf numFmtId="170" fontId="57" fillId="45" borderId="16" applyAlignment="1" pivotButton="0" quotePrefix="0" xfId="0">
      <alignment horizontal="right" vertical="center"/>
    </xf>
  </cellXfs>
  <cellStyles count="1">
    <cellStyle name="Standard" xfId="0" builtinId="0"/>
  </cellStyles>
  <dxfs count="3">
    <dxf>
      <font>
        <b val="1"/>
        <color theme="0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B28"/>
  <sheetViews>
    <sheetView workbookViewId="0">
      <selection activeCell="A1" sqref="A1"/>
    </sheetView>
  </sheetViews>
  <sheetFormatPr baseColWidth="10" defaultColWidth="14.453125" defaultRowHeight="15" customHeight="1"/>
  <cols>
    <col width="60" customWidth="1" style="214" min="1" max="1"/>
    <col width="40" customWidth="1" style="214" min="2" max="2"/>
    <col width="8.7265625" customWidth="1" style="214" min="3" max="26"/>
  </cols>
  <sheetData>
    <row r="1" ht="14.25" customHeight="1" s="214">
      <c r="A1" s="1" t="inlineStr">
        <is>
          <t>LoopforgeLab GmbH – Financial Projection Model</t>
        </is>
      </c>
    </row>
    <row r="2" ht="14.25" customHeight="1" s="214">
      <c r="A2" s="1" t="n"/>
    </row>
    <row r="3" ht="14.25" customHeight="1" s="214">
      <c r="A3" s="2" t="inlineStr">
        <is>
          <t>Projektionszeitraum: 52 Monate (ca. 4,3 Jahre)</t>
        </is>
      </c>
    </row>
    <row r="4" ht="14.25" customHeight="1" s="214"/>
    <row r="5" ht="14.25" customHeight="1" s="214">
      <c r="A5" s="2" t="inlineStr">
        <is>
          <t>INHALTSVERZEICHNIS</t>
        </is>
      </c>
    </row>
    <row r="6" ht="14.25" customHeight="1" s="214">
      <c r="A6" s="3" t="inlineStr">
        <is>
          <t>Sheet 1: Anleitung – Diese Seite mit Übersicht und Legende</t>
        </is>
      </c>
    </row>
    <row r="7" ht="14.25" customHeight="1" s="214">
      <c r="A7" s="3" t="inlineStr">
        <is>
          <t>Sheet 2: Inputs – Zentrale Eingabewerte (HIER STARTEN)</t>
        </is>
      </c>
    </row>
    <row r="8" ht="14.25" customHeight="1" s="214">
      <c r="A8" s="3" t="inlineStr">
        <is>
          <t>Sheet 3: P&amp;L – Gewinn- und Verlustrechnung (monatlich + jährlich)</t>
        </is>
      </c>
    </row>
    <row r="9" ht="14.25" customHeight="1" s="214">
      <c r="A9" s="3" t="inlineStr">
        <is>
          <t>Sheet 4: Revenue – Detaillierte Umsatzmodellierung</t>
        </is>
      </c>
    </row>
    <row r="10" ht="14.25" customHeight="1" s="214">
      <c r="A10" s="3" t="inlineStr">
        <is>
          <t>Sheet 5: Costs – Detaillierte Kostenaufschlüsselung</t>
        </is>
      </c>
    </row>
    <row r="11" ht="14.25" customHeight="1" s="214">
      <c r="A11" s="3" t="inlineStr">
        <is>
          <t>Sheet 6: Balance Sheet – Vereinfachte Bilanz</t>
        </is>
      </c>
    </row>
    <row r="12" ht="14.25" customHeight="1" s="214">
      <c r="A12" s="3" t="inlineStr">
        <is>
          <t>Sheet 7: Cash Flow – Kapitalflussrechnung mit Runway</t>
        </is>
      </c>
    </row>
    <row r="13" ht="14.25" customHeight="1" s="214"/>
    <row r="14" ht="14.25" customHeight="1" s="214">
      <c r="A14" s="2" t="inlineStr">
        <is>
          <t>FARBCODIERUNG</t>
        </is>
      </c>
    </row>
    <row r="15" ht="14.25" customHeight="1" s="214">
      <c r="A15" s="4" t="inlineStr">
        <is>
          <t>Blau</t>
        </is>
      </c>
      <c r="B15" s="3" t="inlineStr">
        <is>
          <t>Editierbare Eingabefelder</t>
        </is>
      </c>
    </row>
    <row r="16" ht="14.25" customHeight="1" s="214">
      <c r="A16" s="3" t="inlineStr">
        <is>
          <t>Schwarz</t>
        </is>
      </c>
      <c r="B16" s="3" t="inlineStr">
        <is>
          <t>Formeln – nicht manuell ändern</t>
        </is>
      </c>
    </row>
    <row r="17" ht="14.25" customHeight="1" s="214">
      <c r="A17" s="5" t="inlineStr">
        <is>
          <t>Grün</t>
        </is>
      </c>
      <c r="B17" s="3" t="inlineStr">
        <is>
          <t>Verweise auf andere Sheets</t>
        </is>
      </c>
    </row>
    <row r="18" ht="14.25" customHeight="1" s="214">
      <c r="A18" s="6" t="inlineStr">
        <is>
          <t>Gelb hinterlegt</t>
        </is>
      </c>
      <c r="B18" s="3" t="inlineStr">
        <is>
          <t>Kritische Annahmen</t>
        </is>
      </c>
    </row>
    <row r="19" ht="14.25" customHeight="1" s="214"/>
    <row r="20" ht="14.25" customHeight="1" s="214">
      <c r="A20" s="2" t="inlineStr">
        <is>
          <t>KURZANLEITUNG</t>
        </is>
      </c>
    </row>
    <row r="21" ht="14.25" customHeight="1" s="214">
      <c r="A21" s="3" t="inlineStr">
        <is>
          <t>1. Gehen Sie zum Sheet 'Inputs' und passen Sie alle blau markierten Werte an.</t>
        </is>
      </c>
    </row>
    <row r="22" ht="14.25" customHeight="1" s="214">
      <c r="A22" s="3" t="inlineStr">
        <is>
          <t>2. Alle anderen Sheets berechnen sich automatisch aus den Inputs.</t>
        </is>
      </c>
    </row>
    <row r="23" ht="14.25" customHeight="1" s="214">
      <c r="A23" s="3" t="inlineStr">
        <is>
          <t>3. Prüfen Sie die P&amp;L, Revenue und Cash Flow Sheets auf Plausibilität.</t>
        </is>
      </c>
    </row>
    <row r="24" ht="14.25" customHeight="1" s="214">
      <c r="A24" s="3" t="inlineStr">
        <is>
          <t>4. Achten Sie auf rot markierte Warnungen (z.B. Runway &lt; 6 Monate).</t>
        </is>
      </c>
    </row>
    <row r="25" ht="14.25" customHeight="1" s="214">
      <c r="A25" s="3" t="inlineStr">
        <is>
          <t>5. Exportieren Sie relevante Sheets als PDF für Investoren-Präsentationen.</t>
        </is>
      </c>
    </row>
    <row r="26" ht="14.25" customHeight="1" s="214">
      <c r="A26" s="3" t="n"/>
    </row>
    <row r="27" ht="14.25" customHeight="1" s="214">
      <c r="A27" s="3" t="inlineStr">
        <is>
          <t>DISCLAIMER: Diese Projektion dient ausschließlich der Planung.</t>
        </is>
      </c>
    </row>
    <row r="28" ht="14.25" customHeight="1" s="214">
      <c r="A28" s="3" t="inlineStr">
        <is>
          <t>Tatsächliche Ergebnisse können erheblich abweichen. Keine Garantie.</t>
        </is>
      </c>
    </row>
    <row r="29" ht="14.25" customHeight="1" s="214"/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G7" sqref="G7"/>
    </sheetView>
  </sheetViews>
  <sheetFormatPr baseColWidth="10" defaultColWidth="8.7265625" defaultRowHeight="14.5"/>
  <cols>
    <col width="14" customWidth="1" style="214" min="1" max="1"/>
    <col width="20" customWidth="1" style="214" min="2" max="2"/>
    <col width="30" customWidth="1" style="214" min="3" max="3"/>
    <col width="18" customWidth="1" style="214" min="4" max="4"/>
    <col width="14" customWidth="1" style="214" min="5" max="5"/>
    <col width="16" customWidth="1" style="214" min="6" max="6"/>
    <col width="14" customWidth="1" style="214" min="7" max="9"/>
    <col width="35" customWidth="1" style="214" min="10" max="11"/>
    <col width="22" customWidth="1" style="214" min="12" max="13"/>
  </cols>
  <sheetData>
    <row r="1" ht="30" customHeight="1" s="214">
      <c r="A1" s="219" t="inlineStr">
        <is>
          <t>LoopForgeLab – Treiber- &amp; Annahmen-Matrix (importiert aus 260305_LFL_Treiber_Matrix_v1.xlsx)</t>
        </is>
      </c>
      <c r="B1" s="216" t="n"/>
      <c r="C1" s="216" t="n"/>
      <c r="D1" s="216" t="n"/>
      <c r="E1" s="216" t="n"/>
      <c r="F1" s="216" t="n"/>
      <c r="G1" s="216" t="n"/>
      <c r="H1" s="216" t="n"/>
      <c r="I1" s="216" t="n"/>
      <c r="J1" s="216" t="n"/>
      <c r="K1" s="216" t="n"/>
      <c r="L1" s="216" t="n"/>
      <c r="M1" s="217" t="n"/>
    </row>
    <row r="2" ht="20" customHeight="1" s="214">
      <c r="A2" s="228" t="inlineStr">
        <is>
          <t>Alle Umsatz- und Kostentreiber | Szenarien: Gering · Normal · Stark | Spalten L &amp; M: Eigene Bewertungen und Alternativwerte | NEU-markierte Zeilen: noch nicht im Modell — Entwicklungspotenzial</t>
        </is>
      </c>
      <c r="B2" s="216" t="n"/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216" t="n"/>
      <c r="M2" s="217" t="n"/>
    </row>
    <row r="3" ht="30" customHeight="1" s="214">
      <c r="A3" s="76" t="inlineStr">
        <is>
          <t>Kategorie</t>
        </is>
      </c>
      <c r="B3" s="76" t="inlineStr">
        <is>
          <t>Unterkategorie</t>
        </is>
      </c>
      <c r="C3" s="76" t="inlineStr">
        <is>
          <t>Parameter / Treiber</t>
        </is>
      </c>
      <c r="D3" s="76" t="inlineStr">
        <is>
          <t>Aktueller Wert</t>
        </is>
      </c>
      <c r="E3" s="76" t="inlineStr">
        <is>
          <t>Einheit</t>
        </is>
      </c>
      <c r="F3" s="76" t="inlineStr">
        <is>
          <t>Szenario-Abhängigkeit</t>
        </is>
      </c>
      <c r="G3" s="76" t="inlineStr">
        <is>
          <t>Gering</t>
        </is>
      </c>
      <c r="H3" s="76" t="inlineStr">
        <is>
          <t>Normal</t>
        </is>
      </c>
      <c r="I3" s="76" t="inlineStr">
        <is>
          <t>Stark</t>
        </is>
      </c>
      <c r="J3" s="76" t="inlineStr">
        <is>
          <t>Einflussfaktor &amp; Wirkungslogik</t>
        </is>
      </c>
      <c r="K3" s="76" t="inlineStr">
        <is>
          <t>Annahmen &amp; Begründung</t>
        </is>
      </c>
      <c r="L3" s="76" t="inlineStr">
        <is>
          <t>► Ihre Bewertung</t>
        </is>
      </c>
      <c r="M3" s="76" t="inlineStr">
        <is>
          <t>► Neue Annahme</t>
        </is>
      </c>
    </row>
    <row r="4" ht="45" customHeight="1" s="214"/>
    <row r="5" ht="18" customHeight="1" s="214">
      <c r="A5" s="218" t="inlineStr">
        <is>
          <t>Revenue 1: SaaS / Lizenzen</t>
        </is>
      </c>
      <c r="B5" s="216" t="n"/>
      <c r="C5" s="216" t="n"/>
      <c r="D5" s="216" t="n"/>
      <c r="E5" s="216" t="n"/>
      <c r="F5" s="216" t="n"/>
      <c r="G5" s="216" t="n"/>
      <c r="H5" s="216" t="n"/>
      <c r="I5" s="216" t="n"/>
      <c r="J5" s="216" t="n"/>
      <c r="K5" s="216" t="n"/>
      <c r="L5" s="216" t="n"/>
      <c r="M5" s="217" t="n"/>
    </row>
    <row r="6" ht="45" customHeight="1" s="214">
      <c r="A6" s="77" t="inlineStr">
        <is>
          <t>UMSATZ</t>
        </is>
      </c>
      <c r="B6" s="77" t="inlineStr">
        <is>
          <t>SaaS / Lizenzen</t>
        </is>
      </c>
      <c r="C6" s="77" t="inlineStr">
        <is>
          <t>Startpreis pro Seat/Jahr</t>
        </is>
      </c>
      <c r="D6" s="77" t="inlineStr">
        <is>
          <t>9.600 – 12.000 €</t>
        </is>
      </c>
      <c r="E6" s="77" t="inlineStr">
        <is>
          <t>€/Jahr</t>
        </is>
      </c>
      <c r="F6" s="78" t="inlineStr">
        <is>
          <t>Szenario</t>
        </is>
      </c>
      <c r="G6" s="247" t="n">
        <v>2400</v>
      </c>
      <c r="H6" s="247" t="n">
        <v>4200</v>
      </c>
      <c r="I6" s="247" t="n">
        <v>5400</v>
      </c>
      <c r="J6" s="77" t="inlineStr">
        <is>
          <t>Bestimmt den initialen Lizenzpreis je Nutzer-Seat. Direkter Multiplikator auf alle Lizenzerlöse.</t>
        </is>
      </c>
      <c r="K6" s="77" t="inlineStr">
        <is>
          <t>Automotive: höherer Preis durch Compliance-Wert (TISAX). Packaging: niedrigerer Einstiegspreis, Wachstum über Volumen &amp; NRR. Value-based Pricing orientiert sich am TCO-Einsparpotenzial.</t>
        </is>
      </c>
      <c r="L6" s="80" t="n"/>
      <c r="M6" s="80" t="n"/>
    </row>
    <row r="7" ht="45" customHeight="1" s="214">
      <c r="A7" s="77" t="inlineStr">
        <is>
          <t>UMSATZ</t>
        </is>
      </c>
      <c r="B7" s="77" t="inlineStr">
        <is>
          <t>SaaS / Lizenzen</t>
        </is>
      </c>
      <c r="C7" s="77" t="inlineStr">
        <is>
          <t>Jährliche Preiserhöhung</t>
        </is>
      </c>
      <c r="D7" s="108" t="n">
        <v>0.1</v>
      </c>
      <c r="E7" s="77" t="inlineStr">
        <is>
          <t>% p.a.</t>
        </is>
      </c>
      <c r="F7" s="81" t="inlineStr">
        <is>
          <t>Fest</t>
        </is>
      </c>
      <c r="G7" s="111" t="n">
        <v>0.1</v>
      </c>
      <c r="H7" s="111" t="n">
        <v>0.1</v>
      </c>
      <c r="I7" s="111" t="n">
        <v>0.1</v>
      </c>
      <c r="J7" s="77" t="inlineStr">
        <is>
          <t>Erhöht den Seat-Preis jährlich. Kompensiert Inflations- und Innovationskosten (Inferenz, neue Features).</t>
        </is>
      </c>
      <c r="K7" s="77" t="inlineStr">
        <is>
          <t>Standard für AI-SaaS 2026. Typisch: 3–10% p.a. Höherer Wert möglich bei starker Produktdifferenzierung.</t>
        </is>
      </c>
      <c r="L7" s="80" t="n"/>
      <c r="M7" s="80" t="n"/>
    </row>
    <row r="8" ht="45" customHeight="1" s="214">
      <c r="A8" s="77" t="inlineStr">
        <is>
          <t>UMSATZ</t>
        </is>
      </c>
      <c r="B8" s="77" t="inlineStr">
        <is>
          <t>SaaS / Lizenzen</t>
        </is>
      </c>
      <c r="C8" s="77" t="inlineStr">
        <is>
          <t>Erster Umsatzmonat (Kunden)</t>
        </is>
      </c>
      <c r="D8" s="77" t="inlineStr">
        <is>
          <t>Monat 8–14</t>
        </is>
      </c>
      <c r="E8" s="77" t="inlineStr">
        <is>
          <t>Monat</t>
        </is>
      </c>
      <c r="F8" s="78" t="inlineStr">
        <is>
          <t>Szenario</t>
        </is>
      </c>
      <c r="G8" s="79" t="inlineStr">
        <is>
          <t>Monat 14</t>
        </is>
      </c>
      <c r="H8" s="79" t="inlineStr">
        <is>
          <t>Monat 8</t>
        </is>
      </c>
      <c r="I8" s="79" t="inlineStr">
        <is>
          <t>Monat 9</t>
        </is>
      </c>
      <c r="J8" s="77" t="inlineStr">
        <is>
          <t>Verschiebt den gesamten SaaS-Umsatz-Stream. Jeder Monat Verzögerung = direkte Liquiditätslücke.</t>
        </is>
      </c>
      <c r="K8" s="77" t="inlineStr">
        <is>
          <t>Automotive (Gering): lange Sales-Zyklen (9–12 Mon.) + TISAX-Prüfung. Packaging (Stark): kürzere IT-Entscheidungswege, frühere Piloten möglich.</t>
        </is>
      </c>
      <c r="L8" s="80" t="n"/>
      <c r="M8" s="80" t="n"/>
    </row>
    <row r="9" ht="45" customHeight="1" s="214">
      <c r="A9" s="77" t="inlineStr">
        <is>
          <t>UMSATZ</t>
        </is>
      </c>
      <c r="B9" s="77" t="inlineStr">
        <is>
          <t>SaaS / Lizenzen</t>
        </is>
      </c>
      <c r="C9" s="77" t="inlineStr">
        <is>
          <t>Initiale Seats (1. Kunde)</t>
        </is>
      </c>
      <c r="D9" s="77" t="n">
        <v>5</v>
      </c>
      <c r="E9" s="77" t="inlineStr">
        <is>
          <t>Seats</t>
        </is>
      </c>
      <c r="F9" s="81" t="inlineStr">
        <is>
          <t>Fest</t>
        </is>
      </c>
      <c r="G9" s="79" t="n">
        <v>5</v>
      </c>
      <c r="H9" s="79" t="n">
        <v>5</v>
      </c>
      <c r="I9" s="79" t="n">
        <v>5</v>
      </c>
      <c r="J9" s="77" t="inlineStr">
        <is>
          <t>Anzahl der Seats beim ersten Kunden. Beeinflusst den initialen ARR-Wert und das Wachstums-Baseline.</t>
        </is>
      </c>
      <c r="K9" s="77" t="inlineStr">
        <is>
          <t>Konservative Annahme: 1–2 Pilotprojekte pro Werk. Land &amp; Expand-Strategie: erst 1 Werk, dann Roll-out.</t>
        </is>
      </c>
      <c r="L9" s="80" t="n"/>
      <c r="M9" s="80" t="n"/>
    </row>
    <row r="10" ht="45" customHeight="1" s="214">
      <c r="A10" s="77" t="inlineStr">
        <is>
          <t>UMSATZ</t>
        </is>
      </c>
      <c r="B10" s="77" t="inlineStr">
        <is>
          <t>SaaS / Lizenzen</t>
        </is>
      </c>
      <c r="C10" s="77" t="inlineStr">
        <is>
          <t>Monatliche Seat-Wachstumsrate</t>
        </is>
      </c>
      <c r="D10" s="108" t="n">
        <v>0.08</v>
      </c>
      <c r="E10" s="77" t="inlineStr">
        <is>
          <t>% / Monat</t>
        </is>
      </c>
      <c r="F10" s="81" t="inlineStr">
        <is>
          <t>Fest</t>
        </is>
      </c>
      <c r="G10" s="111" t="n">
        <v>0.08</v>
      </c>
      <c r="H10" s="111" t="n">
        <v>0.08</v>
      </c>
      <c r="I10" s="111" t="n">
        <v>0.08</v>
      </c>
      <c r="J10" s="77" t="inlineStr">
        <is>
          <t>Bestimmt, wie schnell neue Seats hinzukommen. Treiber für den kumulativen ARR-Aufbau.</t>
        </is>
      </c>
      <c r="K10" s="77" t="inlineStr">
        <is>
          <t>Alternative: Account-basierte Planung mit Stufenfunktion (Roll-out pro Werk statt linearer Rate). Realistischer Wert abhängig von Vertriebskapazität.</t>
        </is>
      </c>
      <c r="L10" s="80" t="n"/>
      <c r="M10" s="80" t="n"/>
    </row>
    <row r="11" ht="45" customHeight="1" s="214">
      <c r="A11" s="77" t="inlineStr">
        <is>
          <t>UMSATZ</t>
        </is>
      </c>
      <c r="B11" s="77" t="inlineStr">
        <is>
          <t>SaaS / Lizenzen</t>
        </is>
      </c>
      <c r="C11" s="77" t="inlineStr">
        <is>
          <t>Enterprise-Deals ab Monat</t>
        </is>
      </c>
      <c r="D11" s="77" t="inlineStr">
        <is>
          <t>Monat 18</t>
        </is>
      </c>
      <c r="E11" s="77" t="inlineStr">
        <is>
          <t>Monat</t>
        </is>
      </c>
      <c r="F11" s="81" t="inlineStr">
        <is>
          <t>Fest</t>
        </is>
      </c>
      <c r="G11" s="79" t="inlineStr">
        <is>
          <t>Monat 18</t>
        </is>
      </c>
      <c r="H11" s="79" t="inlineStr">
        <is>
          <t>Monat 18</t>
        </is>
      </c>
      <c r="I11" s="79" t="inlineStr">
        <is>
          <t>Monat 18</t>
        </is>
      </c>
      <c r="J11" s="77" t="inlineStr">
        <is>
          <t>Ab diesem Monat werden größere Enterprise-Verträge abgeschlossen. Erhöht den durchschnittlichen ARR pro Kunde sprunghaft.</t>
        </is>
      </c>
      <c r="K11" s="77" t="inlineStr">
        <is>
          <t>Automotive: Verschiebung durch Technical Validation + Compliance. Typisch: 50.000–200.000 €/Jahr pro Enterprise-Kunde.</t>
        </is>
      </c>
      <c r="L11" s="80" t="n"/>
      <c r="M11" s="80" t="n"/>
    </row>
    <row r="12" ht="45" customHeight="1" s="214">
      <c r="A12" s="77" t="inlineStr">
        <is>
          <t>UMSATZ</t>
        </is>
      </c>
      <c r="B12" s="77" t="inlineStr">
        <is>
          <t>SaaS / Lizenzen</t>
        </is>
      </c>
      <c r="C12" s="77" t="inlineStr">
        <is>
          <t>Durchschnittlicher Enterprise ARR</t>
        </is>
      </c>
      <c r="D12" s="248" t="n">
        <v>50000</v>
      </c>
      <c r="E12" s="77" t="inlineStr">
        <is>
          <t>€/Jahr</t>
        </is>
      </c>
      <c r="F12" s="81" t="inlineStr">
        <is>
          <t>Fest</t>
        </is>
      </c>
      <c r="G12" s="247" t="n">
        <v>50000</v>
      </c>
      <c r="H12" s="247" t="n">
        <v>50000</v>
      </c>
      <c r="I12" s="247" t="n">
        <v>50000</v>
      </c>
      <c r="J12" s="77" t="inlineStr">
        <is>
          <t>Erlös pro Enterprise-Vertrag. Beeinflusst den ARR-Sprung ab Monat 18 erheblich.</t>
        </is>
      </c>
      <c r="K12" s="77" t="inlineStr">
        <is>
          <t>Höheres Volumen durch tiefe Integration (DPP, Sustainability). Realistisch: 50.000–200.000 € je nach Kundentyp.</t>
        </is>
      </c>
      <c r="L12" s="80" t="n"/>
      <c r="M12" s="80" t="n"/>
    </row>
    <row r="13" ht="45" customHeight="1" s="214">
      <c r="A13" s="77" t="inlineStr">
        <is>
          <t>UMSATZ</t>
        </is>
      </c>
      <c r="B13" s="77" t="inlineStr">
        <is>
          <t>SaaS / Lizenzen</t>
        </is>
      </c>
      <c r="C13" s="77" t="inlineStr">
        <is>
          <t>Enterprise Deals pro Quartal</t>
        </is>
      </c>
      <c r="D13" s="77" t="n">
        <v>2</v>
      </c>
      <c r="E13" s="77" t="inlineStr">
        <is>
          <t>Deals/Quartal</t>
        </is>
      </c>
      <c r="F13" s="81" t="inlineStr">
        <is>
          <t>Fest</t>
        </is>
      </c>
      <c r="G13" s="79" t="n">
        <v>2</v>
      </c>
      <c r="H13" s="79" t="n">
        <v>2</v>
      </c>
      <c r="I13" s="79" t="n">
        <v>2</v>
      </c>
      <c r="J13" s="77" t="inlineStr">
        <is>
          <t>Anzahl neuer Enterprise-Verträge pro Quartal. Direkter Treiber für den ARR-Aufbau nach Monat 18.</t>
        </is>
      </c>
      <c r="K13" s="77" t="inlineStr">
        <is>
          <t>Abhängig von Vertriebskapazität und Sales-Zyklus-Länge. Sollte mit Einstellungsplan abgestimmt sein.</t>
        </is>
      </c>
      <c r="L13" s="80" t="n"/>
      <c r="M13" s="80" t="n"/>
    </row>
    <row r="14" ht="45" customHeight="1" s="214">
      <c r="A14" s="77" t="inlineStr">
        <is>
          <t>UMSATZ</t>
        </is>
      </c>
      <c r="B14" s="77" t="inlineStr">
        <is>
          <t>SaaS / Lizenzen</t>
        </is>
      </c>
      <c r="C14" s="77" t="inlineStr">
        <is>
          <t>Jährliche Churn Rate</t>
        </is>
      </c>
      <c r="D14" s="108" t="n">
        <v>0.06</v>
      </c>
      <c r="E14" s="77" t="inlineStr">
        <is>
          <t>% p.a.</t>
        </is>
      </c>
      <c r="F14" s="81" t="inlineStr">
        <is>
          <t>Fest</t>
        </is>
      </c>
      <c r="G14" s="111" t="n">
        <v>0.06</v>
      </c>
      <c r="H14" s="111" t="n">
        <v>0.06</v>
      </c>
      <c r="I14" s="111" t="n">
        <v>0.06</v>
      </c>
      <c r="J14" s="77" t="inlineStr">
        <is>
          <t>Anteil der Kunden, die jährlich abwandern. Reduziert den kumulativen ARR direkt.</t>
        </is>
      </c>
      <c r="K14" s="77" t="inlineStr">
        <is>
          <t>Konservative Planung für komplexe industrielle Buying Center. Typisch SaaS: 5–10%. Im Pilot-Jahr höher, ab Jahr 3 niedriger.</t>
        </is>
      </c>
      <c r="L14" s="80" t="n"/>
      <c r="M14" s="80" t="n"/>
    </row>
    <row r="15" ht="45" customHeight="1" s="214">
      <c r="A15" s="77" t="inlineStr">
        <is>
          <t>UMSATZ</t>
        </is>
      </c>
      <c r="B15" s="77" t="inlineStr">
        <is>
          <t>SaaS / Lizenzen</t>
        </is>
      </c>
      <c r="C15" s="77" t="inlineStr">
        <is>
          <t>Net Revenue Retention (NRR)</t>
        </is>
      </c>
      <c r="D15" s="108" t="n">
        <v>1.25</v>
      </c>
      <c r="E15" s="77" t="inlineStr">
        <is>
          <t>%</t>
        </is>
      </c>
      <c r="F15" s="81" t="inlineStr">
        <is>
          <t>Fest</t>
        </is>
      </c>
      <c r="G15" s="111" t="n">
        <v>1.25</v>
      </c>
      <c r="H15" s="111" t="n">
        <v>1.25</v>
      </c>
      <c r="I15" s="111" t="n">
        <v>1.25</v>
      </c>
      <c r="J15" s="77" t="inlineStr">
        <is>
          <t>Expansion-Umsatz minus Churn. NRR &gt; 100% bedeutet: Bestandskunden wachsen schneller als sie abwandern.</t>
        </is>
      </c>
      <c r="K15" s="77" t="inlineStr">
        <is>
          <t>Realisierbar durch DPP-Zusatzmodule und Material-Analytics-Upgrades. Typisch: 100–120%. 125% ist ambitioniert, aber bei starkem Upselling möglich.</t>
        </is>
      </c>
      <c r="L15" s="80" t="n"/>
      <c r="M15" s="80" t="n"/>
    </row>
    <row r="16" ht="18" customHeight="1" s="214">
      <c r="A16" s="222" t="inlineStr">
        <is>
          <t>Revenue 2: Implementation-Support</t>
        </is>
      </c>
      <c r="B16" s="216" t="n"/>
      <c r="C16" s="216" t="n"/>
      <c r="D16" s="216" t="n"/>
      <c r="E16" s="216" t="n"/>
      <c r="F16" s="216" t="n"/>
      <c r="G16" s="216" t="n"/>
      <c r="H16" s="216" t="n"/>
      <c r="I16" s="216" t="n"/>
      <c r="J16" s="216" t="n"/>
      <c r="K16" s="216" t="n"/>
      <c r="L16" s="216" t="n"/>
      <c r="M16" s="217" t="n"/>
    </row>
    <row r="17" ht="45" customHeight="1" s="214">
      <c r="A17" s="77" t="inlineStr">
        <is>
          <t>UMSATZ</t>
        </is>
      </c>
      <c r="B17" s="77" t="inlineStr">
        <is>
          <t>Implementation-Support</t>
        </is>
      </c>
      <c r="C17" s="77" t="inlineStr">
        <is>
          <t>Implementation-Support-Tagessatz</t>
        </is>
      </c>
      <c r="D17" s="77" t="inlineStr">
        <is>
          <t>1.000 – 1.500 €</t>
        </is>
      </c>
      <c r="E17" s="77" t="inlineStr">
        <is>
          <t>€/Tag</t>
        </is>
      </c>
      <c r="F17" s="78" t="inlineStr">
        <is>
          <t>Szenario</t>
        </is>
      </c>
      <c r="G17" s="247" t="n">
        <v>1000</v>
      </c>
      <c r="H17" s="247" t="n">
        <v>1200</v>
      </c>
      <c r="I17" s="247" t="n">
        <v>1500</v>
      </c>
      <c r="J17" s="77" t="inlineStr">
        <is>
          <t>Verrechnungssatz für Beratungsleistungen. Multipliziert mit Tagen/Kunde ergibt den Erlös je Projekt.</t>
        </is>
      </c>
      <c r="K17" s="77" t="inlineStr">
        <is>
          <t>Automotive: niedrigerer Satz durch Preisdruck im Mittelstand. Packaging: höherer Satz durch Expertenstatus und Integrationskomplexität. Quelle: Marktanalyse Lothar.bm / Candemir.</t>
        </is>
      </c>
      <c r="L17" s="80" t="n"/>
      <c r="M17" s="80" t="n"/>
    </row>
    <row r="18" ht="45" customHeight="1" s="214">
      <c r="A18" s="77" t="inlineStr">
        <is>
          <t>UMSATZ</t>
        </is>
      </c>
      <c r="B18" s="77" t="inlineStr">
        <is>
          <t>Implementation-Support</t>
        </is>
      </c>
      <c r="C18" s="77" t="inlineStr">
        <is>
          <t>Implementation-Support-Tage/Kunde</t>
        </is>
      </c>
      <c r="D18" s="77" t="inlineStr">
        <is>
          <t>4 – 20 Tage</t>
        </is>
      </c>
      <c r="E18" s="77" t="inlineStr">
        <is>
          <t>Tage/Kunde</t>
        </is>
      </c>
      <c r="F18" s="78" t="inlineStr">
        <is>
          <t>Szenario</t>
        </is>
      </c>
      <c r="G18" s="79" t="inlineStr">
        <is>
          <t>4 Tage</t>
        </is>
      </c>
      <c r="H18" s="79" t="inlineStr">
        <is>
          <t>10 Tage</t>
        </is>
      </c>
      <c r="I18" s="79" t="inlineStr">
        <is>
          <t>20 Tage</t>
        </is>
      </c>
      <c r="J18" s="77" t="inlineStr">
        <is>
          <t>Abrechnungsfähige Beratungstage je Kundenprojekt. Bestimmt zusammen mit dem Tagessatz den Erlös pro Implementation-Support-Kunde.</t>
        </is>
      </c>
      <c r="K18" s="77" t="inlineStr">
        <is>
          <t>Gering: standardisierter Onboarding-Prozess (4 Tage). Stark: tiefe Prozessintegration im Packaging (20 Tage). Formel: Implementation-Support-Umsatz/Kunde = Tagessatz × Tage/Kunde.</t>
        </is>
      </c>
      <c r="L18" s="80" t="n"/>
      <c r="M18" s="80" t="n"/>
    </row>
    <row r="19" ht="45" customHeight="1" s="214">
      <c r="A19" s="77" t="inlineStr">
        <is>
          <t>UMSATZ</t>
        </is>
      </c>
      <c r="B19" s="77" t="inlineStr">
        <is>
          <t>Implementation-Support</t>
        </is>
      </c>
      <c r="C19" s="77" t="inlineStr">
        <is>
          <t>Implementation-Support-Umsatz/Kunde</t>
        </is>
      </c>
      <c r="D19" s="77" t="inlineStr">
        <is>
          <t>4.000 – 30.000 €</t>
        </is>
      </c>
      <c r="E19" s="77" t="inlineStr">
        <is>
          <t>€/Kunde</t>
        </is>
      </c>
      <c r="F19" s="82" t="inlineStr">
        <is>
          <t>Berechnet</t>
        </is>
      </c>
      <c r="G19" s="247" t="n">
        <v>4000</v>
      </c>
      <c r="H19" s="247" t="n">
        <v>12000</v>
      </c>
      <c r="I19" s="247" t="n">
        <v>30000</v>
      </c>
      <c r="J19" s="77" t="inlineStr">
        <is>
          <t>Erlös pro beauftragendem Kunden. Berechnung: Tagessatz × Tage/Kunde. Beeinflusst den gesamten Implementation-Support-Umsatz-Stream.</t>
        </is>
      </c>
      <c r="K19" s="77" t="inlineStr">
        <is>
          <t>Gering: 1.000€ × 4 Tage = 4.000€/Kunde. Normal: 1.200€ × 10 Tage = 12.000€/Kunde. Stark: 1.500€ × 20 Tage = 30.000€/Kunde.</t>
        </is>
      </c>
      <c r="L19" s="80" t="n"/>
      <c r="M19" s="80" t="n"/>
    </row>
    <row r="20" ht="45" customHeight="1" s="214">
      <c r="A20" s="77" t="inlineStr">
        <is>
          <t>UMSATZ</t>
        </is>
      </c>
      <c r="B20" s="77" t="inlineStr">
        <is>
          <t>Implementation-Support</t>
        </is>
      </c>
      <c r="C20" s="77" t="inlineStr">
        <is>
          <t>Implementation-Support-Quote (% Kunden)</t>
        </is>
      </c>
      <c r="D20" s="77" t="inlineStr">
        <is>
          <t>20 – 100 %</t>
        </is>
      </c>
      <c r="E20" s="77" t="inlineStr">
        <is>
          <t>% Kunden</t>
        </is>
      </c>
      <c r="F20" s="83" t="inlineStr">
        <is>
          <t>Unabhängig</t>
        </is>
      </c>
      <c r="G20" s="79" t="inlineStr">
        <is>
          <t>20 % (Niedrig)</t>
        </is>
      </c>
      <c r="H20" s="79" t="inlineStr">
        <is>
          <t>50 % (Mittel)</t>
        </is>
      </c>
      <c r="I20" s="79" t="inlineStr">
        <is>
          <t>100 % (Hoch)</t>
        </is>
      </c>
      <c r="J20" s="77" t="inlineStr">
        <is>
          <t>Anteil der Neukunden, die Implementation-Support beauftragen. UNABHÄNGIG vom strategischen Szenario einstellbar. Kombinierbar mit jedem der drei Szenarien (3×3-Matrix).</t>
        </is>
      </c>
      <c r="K20" s="77" t="inlineStr">
        <is>
          <t>Niedrig (20%): Self-Service-Kunden, minimaler Beratungsbedarf. Mittel (50%): Standardannahme, jeder zweite Kunde bucht Implementation-Support. Hoch (100%): Alle Kunden benötigen Onboarding-Unterstützung.</t>
        </is>
      </c>
      <c r="L20" s="80" t="n"/>
      <c r="M20" s="80" t="n"/>
    </row>
    <row r="21" ht="45" customHeight="1" s="214">
      <c r="A21" s="77" t="inlineStr">
        <is>
          <t>UMSATZ</t>
        </is>
      </c>
      <c r="B21" s="77" t="inlineStr">
        <is>
          <t>Implementation-Support</t>
        </is>
      </c>
      <c r="C21" s="77" t="inlineStr">
        <is>
          <t>Implementation-Support-Startmonat</t>
        </is>
      </c>
      <c r="D21" s="77" t="inlineStr">
        <is>
          <t>Monat 3–6</t>
        </is>
      </c>
      <c r="E21" s="77" t="inlineStr">
        <is>
          <t>Monat</t>
        </is>
      </c>
      <c r="F21" s="78" t="inlineStr">
        <is>
          <t>Szenario</t>
        </is>
      </c>
      <c r="G21" s="79" t="inlineStr">
        <is>
          <t>Monat 3</t>
        </is>
      </c>
      <c r="H21" s="79" t="inlineStr">
        <is>
          <t>Monat 4</t>
        </is>
      </c>
      <c r="I21" s="79" t="inlineStr">
        <is>
          <t>Monat 6</t>
        </is>
      </c>
      <c r="J21" s="77" t="inlineStr">
        <is>
          <t>Monat des ersten Implementation-Support-Umsatzes. Implementation-Support startet als Enabler vor dem SaaS-Produkt.</t>
        </is>
      </c>
      <c r="K21" s="77" t="inlineStr">
        <is>
          <t>Gering: früher Start (Monat 3), da Automotive-Kunden sofort IT-Begleitung benötigen. Stark: späterer Start (Monat 6), da Packaging-Kunden länger Self-Service nutzen können.</t>
        </is>
      </c>
      <c r="L21" s="80" t="n"/>
      <c r="M21" s="80" t="n"/>
    </row>
    <row r="22" ht="18" customHeight="1" s="214">
      <c r="A22" s="221" t="inlineStr">
        <is>
          <t>KOSTEN (OpEx)</t>
        </is>
      </c>
      <c r="B22" s="216" t="n"/>
      <c r="C22" s="216" t="n"/>
      <c r="D22" s="216" t="n"/>
      <c r="E22" s="216" t="n"/>
      <c r="F22" s="216" t="n"/>
      <c r="G22" s="216" t="n"/>
      <c r="H22" s="216" t="n"/>
      <c r="I22" s="216" t="n"/>
      <c r="J22" s="216" t="n"/>
      <c r="K22" s="216" t="n"/>
      <c r="L22" s="216" t="n"/>
      <c r="M22" s="217" t="n"/>
    </row>
    <row r="23" ht="18" customHeight="1" s="214">
      <c r="A23" s="220" t="inlineStr">
        <is>
          <t>Personal &amp; Gehälter</t>
        </is>
      </c>
      <c r="B23" s="216" t="n"/>
      <c r="C23" s="216" t="n"/>
      <c r="D23" s="216" t="n"/>
      <c r="E23" s="216" t="n"/>
      <c r="F23" s="216" t="n"/>
      <c r="G23" s="216" t="n"/>
      <c r="H23" s="216" t="n"/>
      <c r="I23" s="216" t="n"/>
      <c r="J23" s="216" t="n"/>
      <c r="K23" s="216" t="n"/>
      <c r="L23" s="216" t="n"/>
      <c r="M23" s="217" t="n"/>
    </row>
    <row r="24" ht="45" customHeight="1" s="214">
      <c r="A24" s="84" t="inlineStr">
        <is>
          <t>KOSTEN</t>
        </is>
      </c>
      <c r="B24" s="84" t="inlineStr">
        <is>
          <t>Personal</t>
        </is>
      </c>
      <c r="C24" s="84" t="inlineStr">
        <is>
          <t>CEO Gehalt (Brutto/Jahr)</t>
        </is>
      </c>
      <c r="D24" s="249" t="n">
        <v>100000</v>
      </c>
      <c r="E24" s="84" t="inlineStr">
        <is>
          <t>€/Jahr</t>
        </is>
      </c>
      <c r="F24" s="81" t="inlineStr">
        <is>
          <t>Fest</t>
        </is>
      </c>
      <c r="G24" s="247" t="n">
        <v>100000</v>
      </c>
      <c r="H24" s="247" t="n">
        <v>100000</v>
      </c>
      <c r="I24" s="247" t="n">
        <v>100000</v>
      </c>
      <c r="J24" s="84" t="inlineStr">
        <is>
          <t>Gründer-Gehalt in der Pre-Seed-Phase. Beeinflusst die monatliche Burn Rate direkt.</t>
        </is>
      </c>
      <c r="K24" s="84" t="inlineStr">
        <is>
          <t>Gründer-Satz Pre-Seed. Anpassung ab Seed-Runde auf Marktgehalt. Typisch Startup: 60.000–90.000 €/Jahr.</t>
        </is>
      </c>
      <c r="L24" s="80" t="n"/>
      <c r="M24" s="80" t="n"/>
    </row>
    <row r="25" ht="45" customHeight="1" s="214">
      <c r="A25" s="84" t="inlineStr">
        <is>
          <t>KOSTEN</t>
        </is>
      </c>
      <c r="B25" s="84" t="inlineStr">
        <is>
          <t>Personal</t>
        </is>
      </c>
      <c r="C25" s="84" t="inlineStr">
        <is>
          <t>CTO Gehalt (Brutto/Jahr)</t>
        </is>
      </c>
      <c r="D25" s="249" t="n">
        <v>100000</v>
      </c>
      <c r="E25" s="84" t="inlineStr">
        <is>
          <t>€/Jahr</t>
        </is>
      </c>
      <c r="F25" s="81" t="inlineStr">
        <is>
          <t>Fest</t>
        </is>
      </c>
      <c r="G25" s="247" t="n">
        <v>100000</v>
      </c>
      <c r="H25" s="247" t="n">
        <v>100000</v>
      </c>
      <c r="I25" s="247" t="n">
        <v>100000</v>
      </c>
      <c r="J25" s="84" t="inlineStr">
        <is>
          <t>Gründer-Gehalt in der Pre-Seed-Phase. Beeinflusst die monatliche Burn Rate direkt.</t>
        </is>
      </c>
      <c r="K25" s="84" t="inlineStr">
        <is>
          <t>Gründer-Satz Pre-Seed. Anpassung ab Seed-Runde auf Marktgehalt. Typisch Startup: 60.000–90.000 €/Jahr.</t>
        </is>
      </c>
      <c r="L25" s="80" t="n"/>
      <c r="M25" s="80" t="n"/>
    </row>
    <row r="26" ht="45" customHeight="1" s="214">
      <c r="A26" s="84" t="inlineStr">
        <is>
          <t>KOSTEN</t>
        </is>
      </c>
      <c r="B26" s="84" t="inlineStr">
        <is>
          <t>Personal</t>
        </is>
      </c>
      <c r="C26" s="84" t="inlineStr">
        <is>
          <t>CCO Gehalt (Brutto/Jahr)</t>
        </is>
      </c>
      <c r="D26" s="249" t="n">
        <v>100000</v>
      </c>
      <c r="E26" s="84" t="inlineStr">
        <is>
          <t>€/Jahr</t>
        </is>
      </c>
      <c r="F26" s="81" t="inlineStr">
        <is>
          <t>Fest</t>
        </is>
      </c>
      <c r="G26" s="247" t="n">
        <v>100000</v>
      </c>
      <c r="H26" s="247" t="n">
        <v>100000</v>
      </c>
      <c r="I26" s="247" t="n">
        <v>100000</v>
      </c>
      <c r="J26" s="84" t="inlineStr">
        <is>
          <t>Gründer-Gehalt in der Pre-Seed-Phase. Beeinflusst die monatliche Burn Rate direkt.</t>
        </is>
      </c>
      <c r="K26" s="84" t="inlineStr">
        <is>
          <t>Gründer-Satz Pre-Seed. Anpassung ab Seed-Runde auf Marktgehalt. Typisch Startup: 60.000–90.000 €/Jahr.</t>
        </is>
      </c>
      <c r="L26" s="80" t="n"/>
      <c r="M26" s="80" t="n"/>
    </row>
    <row r="27" ht="45" customHeight="1" s="214">
      <c r="A27" s="84" t="inlineStr">
        <is>
          <t>KOSTEN</t>
        </is>
      </c>
      <c r="B27" s="84" t="inlineStr">
        <is>
          <t>Personal</t>
        </is>
      </c>
      <c r="C27" s="84" t="inlineStr">
        <is>
          <t>Software Developer Gehalt</t>
        </is>
      </c>
      <c r="D27" s="250" t="n">
        <v>75000</v>
      </c>
      <c r="E27" s="84" t="inlineStr">
        <is>
          <t>€/Jahr</t>
        </is>
      </c>
      <c r="F27" s="81" t="inlineStr">
        <is>
          <t>Fest</t>
        </is>
      </c>
      <c r="G27" s="247" t="n">
        <v>75000</v>
      </c>
      <c r="H27" s="247" t="n">
        <v>75000</v>
      </c>
      <c r="I27" s="247" t="n">
        <v>75000</v>
      </c>
      <c r="J27" s="84" t="inlineStr">
        <is>
          <t>Erste strategische Einstellung. Fix-Position, nicht durch AI-Personal-Hebel verzögerbar.</t>
        </is>
      </c>
      <c r="K27" s="84" t="n"/>
      <c r="L27" s="80" t="n"/>
      <c r="M27" s="80" t="n"/>
    </row>
    <row r="28" ht="45" customHeight="1" s="214">
      <c r="A28" s="84" t="inlineStr">
        <is>
          <t>KOSTEN</t>
        </is>
      </c>
      <c r="B28" s="84" t="inlineStr">
        <is>
          <t>Personal</t>
        </is>
      </c>
      <c r="C28" s="84" t="inlineStr">
        <is>
          <t>Arbeitgeber-Nebenkosten</t>
        </is>
      </c>
      <c r="D28" s="165" t="n">
        <v>0.2</v>
      </c>
      <c r="E28" s="84" t="inlineStr">
        <is>
          <t>% auf Bruttogehalt</t>
        </is>
      </c>
      <c r="F28" s="81" t="inlineStr">
        <is>
          <t>Fest</t>
        </is>
      </c>
      <c r="G28" s="111" t="n">
        <v>0.2</v>
      </c>
      <c r="H28" s="111" t="n">
        <v>0.2</v>
      </c>
      <c r="I28" s="111" t="n">
        <v>0.2</v>
      </c>
      <c r="J28" s="84" t="inlineStr">
        <is>
          <t>Sozialversicherungsbeiträge des Arbeitgebers. Erhöht die effektiven Personalkosten um 20%.</t>
        </is>
      </c>
      <c r="K28" s="84" t="inlineStr">
        <is>
          <t>Standardsatz Deutschland 2026. Gesamtkosten pro MA = Bruttogehalt × 1,20.</t>
        </is>
      </c>
      <c r="L28" s="80" t="n"/>
      <c r="M28" s="80" t="n"/>
    </row>
    <row r="29" ht="45" customHeight="1" s="214">
      <c r="A29" s="84" t="inlineStr">
        <is>
          <t>KOSTEN</t>
        </is>
      </c>
      <c r="B29" s="84" t="inlineStr">
        <is>
          <t>Personal</t>
        </is>
      </c>
      <c r="C29" s="84" t="inlineStr">
        <is>
          <t>Onboarding-Aufwand</t>
        </is>
      </c>
      <c r="D29" s="84" t="inlineStr">
        <is>
          <t>30–120 Stunden</t>
        </is>
      </c>
      <c r="E29" s="84" t="inlineStr">
        <is>
          <t>Stunden/Kunde</t>
        </is>
      </c>
      <c r="F29" s="78" t="inlineStr">
        <is>
          <t>Szenario</t>
        </is>
      </c>
      <c r="G29" s="79" t="inlineStr">
        <is>
          <t>120 Stunden</t>
        </is>
      </c>
      <c r="H29" s="79" t="inlineStr">
        <is>
          <t>60 Stunden</t>
        </is>
      </c>
      <c r="I29" s="79" t="inlineStr">
        <is>
          <t>30 Stunden</t>
        </is>
      </c>
      <c r="J29" s="84" t="inlineStr">
        <is>
          <t>Interner Aufwand für das Kunden-Onboarding. Bindet Entwickler- und Support-Kapazität.</t>
        </is>
      </c>
      <c r="K29" s="84" t="inlineStr">
        <is>
          <t>Gering: hoher Aufwand bei alten IT-Systemen (Automotive). Stark: standardisierter Self-Service-Prozess (Packaging). Quelle: Lothar.bm-Transkripte.</t>
        </is>
      </c>
      <c r="L29" s="80" t="n"/>
      <c r="M29" s="80" t="n"/>
    </row>
    <row r="30" ht="18" customHeight="1" s="214">
      <c r="A30" s="225" t="inlineStr">
        <is>
          <t>Technologie &amp; Cloud</t>
        </is>
      </c>
      <c r="B30" s="216" t="n"/>
      <c r="C30" s="216" t="n"/>
      <c r="D30" s="216" t="n"/>
      <c r="E30" s="216" t="n"/>
      <c r="F30" s="216" t="n"/>
      <c r="G30" s="216" t="n"/>
      <c r="H30" s="216" t="n"/>
      <c r="I30" s="216" t="n"/>
      <c r="J30" s="216" t="n"/>
      <c r="K30" s="216" t="n"/>
      <c r="L30" s="216" t="n"/>
      <c r="M30" s="217" t="n"/>
    </row>
    <row r="31" ht="45" customHeight="1" s="214">
      <c r="A31" s="84" t="inlineStr">
        <is>
          <t>KOSTEN</t>
        </is>
      </c>
      <c r="B31" s="84" t="inlineStr">
        <is>
          <t>Technologie</t>
        </is>
      </c>
      <c r="C31" s="84" t="inlineStr">
        <is>
          <t>Cloud/Hosting Basis</t>
        </is>
      </c>
      <c r="D31" s="250" t="n">
        <v>2000</v>
      </c>
      <c r="E31" s="84" t="inlineStr">
        <is>
          <t>€/Monat</t>
        </is>
      </c>
      <c r="F31" s="81" t="inlineStr">
        <is>
          <t>Fest</t>
        </is>
      </c>
      <c r="G31" s="247" t="n">
        <v>2000</v>
      </c>
      <c r="H31" s="247" t="n">
        <v>2000</v>
      </c>
      <c r="I31" s="247" t="n">
        <v>2000</v>
      </c>
      <c r="J31" s="84" t="inlineStr">
        <is>
          <t>Fixe monatliche Grundkosten für Cloud-Infrastruktur. Unabhängig von der Kundenzahl.</t>
        </is>
      </c>
      <c r="K31" s="84" t="inlineStr">
        <is>
          <t>AWS/Azure/GCP Grundkonfiguration. Steigt mit Kundenzahl über den Skalierungsfaktor.</t>
        </is>
      </c>
      <c r="L31" s="80" t="n"/>
      <c r="M31" s="80" t="n"/>
    </row>
    <row r="32" ht="45" customHeight="1" s="214">
      <c r="A32" s="84" t="inlineStr">
        <is>
          <t>KOSTEN</t>
        </is>
      </c>
      <c r="B32" s="84" t="inlineStr">
        <is>
          <t>Technologie</t>
        </is>
      </c>
      <c r="C32" s="84" t="inlineStr">
        <is>
          <t>Cloud-Skalierung pro Seat</t>
        </is>
      </c>
      <c r="D32" s="250" t="n">
        <v>80</v>
      </c>
      <c r="E32" s="84" t="inlineStr">
        <is>
          <t>€/Seat/Monat</t>
        </is>
      </c>
      <c r="F32" s="85" t="inlineStr">
        <is>
          <t>Skalierend</t>
        </is>
      </c>
      <c r="G32" s="247" t="n">
        <v>80</v>
      </c>
      <c r="H32" s="247" t="n">
        <v>80</v>
      </c>
      <c r="I32" s="247" t="n">
        <v>80</v>
      </c>
      <c r="J32" s="84" t="inlineStr">
        <is>
          <t>Variable Cloud-Kosten pro aktivem Seat. Wächst proportional zur Kundenbasis (szenarioabhängig).</t>
        </is>
      </c>
      <c r="K32" s="84" t="inlineStr">
        <is>
          <t>Gesamte Cloud-Kosten = Basis + (Seats × 80€). Im Stark-Szenario entstehen durch mehr Seats höhere Gesamtkosten.</t>
        </is>
      </c>
      <c r="L32" s="80" t="n"/>
      <c r="M32" s="80" t="n"/>
    </row>
    <row r="33" ht="45" customHeight="1" s="214">
      <c r="A33" s="84" t="inlineStr">
        <is>
          <t>KOSTEN</t>
        </is>
      </c>
      <c r="B33" s="84" t="inlineStr">
        <is>
          <t>Technologie</t>
        </is>
      </c>
      <c r="C33" s="84" t="inlineStr">
        <is>
          <t>AI/ML APIs Basis</t>
        </is>
      </c>
      <c r="D33" s="250" t="n">
        <v>2000</v>
      </c>
      <c r="E33" s="84" t="inlineStr">
        <is>
          <t>€/Monat</t>
        </is>
      </c>
      <c r="F33" s="81" t="inlineStr">
        <is>
          <t>Fest</t>
        </is>
      </c>
      <c r="G33" s="247" t="n">
        <v>2000</v>
      </c>
      <c r="H33" s="247" t="n">
        <v>2000</v>
      </c>
      <c r="I33" s="247" t="n">
        <v>2000</v>
      </c>
      <c r="J33" s="84" t="inlineStr">
        <is>
          <t>Monatliche Grundkosten für KI-API-Nutzung (OpenAI/Anthropic/Frontier Models).</t>
        </is>
      </c>
      <c r="K33" s="84" t="inlineStr">
        <is>
          <t>Nutzung von GPT-5/Claude für Design-Logic. Wächst mit 8%/Monat proportional zur Nutzungsintensität.</t>
        </is>
      </c>
      <c r="L33" s="80" t="n"/>
      <c r="M33" s="80" t="n"/>
    </row>
    <row r="34" ht="45" customHeight="1" s="214">
      <c r="A34" s="84" t="inlineStr">
        <is>
          <t>KOSTEN</t>
        </is>
      </c>
      <c r="B34" s="84" t="inlineStr">
        <is>
          <t>Technologie</t>
        </is>
      </c>
      <c r="C34" s="84" t="inlineStr">
        <is>
          <t>AI-Kosten Wachstum/Monat</t>
        </is>
      </c>
      <c r="D34" s="165" t="n">
        <v>0.08</v>
      </c>
      <c r="E34" s="84" t="inlineStr">
        <is>
          <t>% / Monat</t>
        </is>
      </c>
      <c r="F34" s="81" t="inlineStr">
        <is>
          <t>Fest</t>
        </is>
      </c>
      <c r="G34" s="111" t="n">
        <v>0.08</v>
      </c>
      <c r="H34" s="111" t="n">
        <v>0.08</v>
      </c>
      <c r="I34" s="111" t="n">
        <v>0.08</v>
      </c>
      <c r="J34" s="84" t="inlineStr">
        <is>
          <t>Monatliche Steigerungsrate der AI/ML-API-Kosten. Skaliert proportional zur Nutzung und Datentiefe.</t>
        </is>
      </c>
      <c r="K34" s="84" t="inlineStr">
        <is>
          <t>Skalierung proportional zur Nutzung und Datentiefe. Kann durch Open-Source-Modelle reduziert werden.</t>
        </is>
      </c>
      <c r="L34" s="80" t="n"/>
      <c r="M34" s="80" t="n"/>
    </row>
    <row r="35" ht="45" customHeight="1" s="214">
      <c r="A35" s="84" t="inlineStr">
        <is>
          <t>KOSTEN</t>
        </is>
      </c>
      <c r="B35" s="84" t="inlineStr">
        <is>
          <t>Technologie</t>
        </is>
      </c>
      <c r="C35" s="84" t="inlineStr">
        <is>
          <t>SaaS Tools intern (Basis)</t>
        </is>
      </c>
      <c r="D35" s="250" t="n">
        <v>400</v>
      </c>
      <c r="E35" s="84" t="inlineStr">
        <is>
          <t>€/Monat</t>
        </is>
      </c>
      <c r="F35" s="81" t="inlineStr">
        <is>
          <t>Fest</t>
        </is>
      </c>
      <c r="G35" s="247" t="n">
        <v>400</v>
      </c>
      <c r="H35" s="247" t="n">
        <v>400</v>
      </c>
      <c r="I35" s="247" t="n">
        <v>400</v>
      </c>
      <c r="J35" s="84" t="inlineStr">
        <is>
          <t>Fixe monatliche Kosten für interne Tools (Slack, Notion, GitHub etc.).</t>
        </is>
      </c>
      <c r="K35" s="84" t="inlineStr">
        <is>
          <t>Standardpaket für Tech-Startups. Wächst mit Mitarbeiterzahl über den Pro-MA-Satz.</t>
        </is>
      </c>
      <c r="L35" s="80" t="n"/>
      <c r="M35" s="80" t="n"/>
    </row>
    <row r="36" ht="45" customHeight="1" s="214">
      <c r="A36" s="84" t="inlineStr">
        <is>
          <t>KOSTEN</t>
        </is>
      </c>
      <c r="B36" s="84" t="inlineStr">
        <is>
          <t>Technologie</t>
        </is>
      </c>
      <c r="C36" s="84" t="inlineStr">
        <is>
          <t>SaaS Tools pro Mitarbeiter</t>
        </is>
      </c>
      <c r="D36" s="250" t="n">
        <v>100</v>
      </c>
      <c r="E36" s="84" t="inlineStr">
        <is>
          <t>€/MA/Monat</t>
        </is>
      </c>
      <c r="F36" s="85" t="inlineStr">
        <is>
          <t>Skalierend</t>
        </is>
      </c>
      <c r="G36" s="247" t="n">
        <v>100</v>
      </c>
      <c r="H36" s="247" t="n">
        <v>100</v>
      </c>
      <c r="I36" s="247" t="n">
        <v>100</v>
      </c>
      <c r="J36" s="84" t="inlineStr">
        <is>
          <t>Variable Tool-Kosten pro Mitarbeiter. Inkl. KI-Coding-Tools (Copilot/Cursor).</t>
        </is>
      </c>
      <c r="K36" s="84" t="inlineStr">
        <is>
          <t>Gesamte Tool-Kosten = Basis + (MAs × 100€). Im Gering-Szenario (mehr MAs) entstehen höhere Gesamtkosten.</t>
        </is>
      </c>
      <c r="L36" s="80" t="n"/>
      <c r="M36" s="80" t="n"/>
    </row>
    <row r="37" ht="45" customHeight="1" s="214">
      <c r="A37" s="84" t="inlineStr">
        <is>
          <t>KOSTEN</t>
        </is>
      </c>
      <c r="B37" s="84" t="inlineStr">
        <is>
          <t>Technologie</t>
        </is>
      </c>
      <c r="C37" s="84" t="inlineStr">
        <is>
          <t>Sicherheit &amp; Compliance</t>
        </is>
      </c>
      <c r="D37" s="250" t="n">
        <v>3500</v>
      </c>
      <c r="E37" s="84" t="inlineStr">
        <is>
          <t>€/Monat</t>
        </is>
      </c>
      <c r="F37" s="81" t="inlineStr">
        <is>
          <t>Fest</t>
        </is>
      </c>
      <c r="G37" s="247" t="n">
        <v>3500</v>
      </c>
      <c r="H37" s="247" t="n">
        <v>3500</v>
      </c>
      <c r="I37" s="247" t="n">
        <v>3500</v>
      </c>
      <c r="J37" s="84" t="inlineStr">
        <is>
          <t>Monatliche Kosten für Security-Tools und Compliance-Monitoring. Kritisch für TISAX-Zertifizierung im Automotive-Bereich.</t>
        </is>
      </c>
      <c r="K37" s="84" t="inlineStr">
        <is>
          <t>Puffer für TISAX-Audits und laufendes Compliance-Monitoring. Besonders relevant im Gering-Szenario (Automotive-Fokus).</t>
        </is>
      </c>
      <c r="L37" s="80" t="n"/>
      <c r="M37" s="80" t="n"/>
    </row>
    <row r="38" ht="18" customHeight="1" s="214">
      <c r="A38" s="215" t="inlineStr">
        <is>
          <t>Marketing &amp; Vertrieb</t>
        </is>
      </c>
      <c r="B38" s="216" t="n"/>
      <c r="C38" s="216" t="n"/>
      <c r="D38" s="216" t="n"/>
      <c r="E38" s="216" t="n"/>
      <c r="F38" s="216" t="n"/>
      <c r="G38" s="216" t="n"/>
      <c r="H38" s="216" t="n"/>
      <c r="I38" s="216" t="n"/>
      <c r="J38" s="216" t="n"/>
      <c r="K38" s="216" t="n"/>
      <c r="L38" s="216" t="n"/>
      <c r="M38" s="217" t="n"/>
    </row>
    <row r="39" ht="45" customHeight="1" s="214">
      <c r="A39" s="84" t="inlineStr">
        <is>
          <t>KOSTEN</t>
        </is>
      </c>
      <c r="B39" s="84" t="inlineStr">
        <is>
          <t>Marketing &amp; Vertrieb</t>
        </is>
      </c>
      <c r="C39" s="84" t="inlineStr">
        <is>
          <t>Paid Ads Budget (Initial)</t>
        </is>
      </c>
      <c r="D39" s="250" t="n">
        <v>1000</v>
      </c>
      <c r="E39" s="84" t="inlineStr">
        <is>
          <t>€/Monat</t>
        </is>
      </c>
      <c r="F39" s="81" t="inlineStr">
        <is>
          <t>Fest</t>
        </is>
      </c>
      <c r="G39" s="247" t="n">
        <v>1000</v>
      </c>
      <c r="H39" s="247" t="n">
        <v>1000</v>
      </c>
      <c r="I39" s="247" t="n">
        <v>1000</v>
      </c>
      <c r="J39" s="84" t="inlineStr">
        <is>
          <t>Monatliches Startbudget für bezahlte Werbung (Google, LinkedIn). Wächst mit 8%/Monat.</t>
        </is>
      </c>
      <c r="K39" s="84" t="inlineStr">
        <is>
          <t>Fokus eher auf Content/SEO im Industrie-Vertrieb. Skalierung mit Marktbekanntheit.</t>
        </is>
      </c>
      <c r="L39" s="80" t="n"/>
      <c r="M39" s="80" t="n"/>
    </row>
    <row r="40" ht="45" customHeight="1" s="214">
      <c r="A40" s="84" t="inlineStr">
        <is>
          <t>KOSTEN</t>
        </is>
      </c>
      <c r="B40" s="84" t="inlineStr">
        <is>
          <t>Marketing &amp; Vertrieb</t>
        </is>
      </c>
      <c r="C40" s="84" t="inlineStr">
        <is>
          <t>Content &amp; SEO</t>
        </is>
      </c>
      <c r="D40" s="250" t="n">
        <v>2500</v>
      </c>
      <c r="E40" s="84" t="inlineStr">
        <is>
          <t>€/Monat</t>
        </is>
      </c>
      <c r="F40" s="81" t="inlineStr">
        <is>
          <t>Fest</t>
        </is>
      </c>
      <c r="G40" s="247" t="n">
        <v>2500</v>
      </c>
      <c r="H40" s="247" t="n">
        <v>2500</v>
      </c>
      <c r="I40" s="247" t="n">
        <v>2500</v>
      </c>
      <c r="J40" s="84" t="inlineStr">
        <is>
          <t>Monatliche Kosten für Content-Marketing und SEO. Fokus auf Whitepaper zu ROI, TCO und DPP-Compliance.</t>
        </is>
      </c>
      <c r="K40" s="84" t="inlineStr">
        <is>
          <t>Wichtiger Kanal für B2B-SaaS im Industriebereich. Langfristiger Aufbau von organischem Traffic.</t>
        </is>
      </c>
      <c r="L40" s="80" t="n"/>
      <c r="M40" s="80" t="n"/>
    </row>
    <row r="41" ht="45" customHeight="1" s="214">
      <c r="A41" s="84" t="inlineStr">
        <is>
          <t>KOSTEN</t>
        </is>
      </c>
      <c r="B41" s="84" t="inlineStr">
        <is>
          <t>Marketing &amp; Vertrieb</t>
        </is>
      </c>
      <c r="C41" s="84" t="inlineStr">
        <is>
          <t>Events &amp; Messen/Ideation</t>
        </is>
      </c>
      <c r="D41" s="250" t="n">
        <v>3000</v>
      </c>
      <c r="E41" s="84" t="inlineStr">
        <is>
          <t>€/Jahr</t>
        </is>
      </c>
      <c r="F41" s="81" t="inlineStr">
        <is>
          <t>Fest</t>
        </is>
      </c>
      <c r="G41" s="247" t="n">
        <v>3000</v>
      </c>
      <c r="H41" s="247" t="n">
        <v>3000</v>
      </c>
      <c r="I41" s="247" t="n">
        <v>3000</v>
      </c>
      <c r="J41" s="84" t="inlineStr">
        <is>
          <t>Jährliche Kosten für Messeauftritte und Events. Wichtiger Kanal für Enterprise-Kundenkontakte.</t>
        </is>
      </c>
      <c r="K41" s="84" t="inlineStr">
        <is>
          <t>Erste Messeteilnahme/ Fachmessen</t>
        </is>
      </c>
      <c r="L41" s="80" t="n"/>
      <c r="M41" s="80" t="n"/>
    </row>
    <row r="42" ht="45" customFormat="1" customHeight="1" s="245">
      <c r="A42" s="84" t="inlineStr">
        <is>
          <t>KOSTEN</t>
        </is>
      </c>
      <c r="B42" s="84" t="inlineStr">
        <is>
          <t>Marketing &amp; Vertrieb</t>
        </is>
      </c>
      <c r="C42" s="84" t="inlineStr">
        <is>
          <t>Events &amp; Messen/Pre-Seed</t>
        </is>
      </c>
      <c r="D42" s="250" t="n">
        <v>10000</v>
      </c>
      <c r="E42" s="84" t="inlineStr">
        <is>
          <t>€/Jahr</t>
        </is>
      </c>
      <c r="F42" s="81" t="inlineStr">
        <is>
          <t>Fest</t>
        </is>
      </c>
      <c r="G42" s="247" t="n">
        <v>10000</v>
      </c>
      <c r="H42" s="247" t="n">
        <v>10000</v>
      </c>
      <c r="I42" s="247" t="n">
        <v>10000</v>
      </c>
      <c r="J42" s="84" t="inlineStr">
        <is>
          <t>Jährliche Kosten für Messeauftritte und Events. Wichtiger Kanal für Enterprise-Kundenkontakte.</t>
        </is>
      </c>
      <c r="K42" s="84" t="inlineStr">
        <is>
          <t>Messeteilnahme/ Fachmessen (nur die Gründer)</t>
        </is>
      </c>
      <c r="L42" s="80" t="n"/>
      <c r="M42" s="80" t="n"/>
    </row>
    <row r="43" ht="45" customFormat="1" customHeight="1" s="245">
      <c r="A43" s="84" t="inlineStr">
        <is>
          <t>KOSTEN</t>
        </is>
      </c>
      <c r="B43" s="84" t="inlineStr">
        <is>
          <t>Marketing &amp; Vertrieb</t>
        </is>
      </c>
      <c r="C43" s="84" t="inlineStr">
        <is>
          <t>Events &amp; Messen/Seed</t>
        </is>
      </c>
      <c r="D43" s="250" t="n">
        <v>15000</v>
      </c>
      <c r="E43" s="84" t="inlineStr">
        <is>
          <t>€/Jahr</t>
        </is>
      </c>
      <c r="F43" s="81" t="inlineStr">
        <is>
          <t>Fest</t>
        </is>
      </c>
      <c r="G43" s="247" t="n">
        <v>15000</v>
      </c>
      <c r="H43" s="247" t="n">
        <v>15000</v>
      </c>
      <c r="I43" s="247" t="n">
        <v>15000</v>
      </c>
      <c r="J43" s="84" t="inlineStr">
        <is>
          <t>Jährliche Kosten für Messeauftritte und Events. Wichtiger Kanal für Enterprise-Kundenkontakte.</t>
        </is>
      </c>
      <c r="K43" s="84" t="inlineStr">
        <is>
          <t xml:space="preserve">Präsenz auf Leitmessen (Hannover Messe, SPS). Hoher Posten – Überprüfung der Priorität empfohlen.
Zusätzlich Sales-/Marketing MA auch auf Messebesuche
</t>
        </is>
      </c>
      <c r="L43" s="80" t="n"/>
      <c r="M43" s="80" t="n"/>
    </row>
    <row r="44" ht="45" customFormat="1" customHeight="1" s="245">
      <c r="A44" s="84" t="inlineStr">
        <is>
          <t>KOSTEN</t>
        </is>
      </c>
      <c r="B44" s="84" t="inlineStr">
        <is>
          <t>Marketing &amp; Vertrieb</t>
        </is>
      </c>
      <c r="C44" s="84" t="inlineStr">
        <is>
          <t>Events &amp; Messen/Series A</t>
        </is>
      </c>
      <c r="D44" s="250" t="n">
        <v>25000</v>
      </c>
      <c r="E44" s="84" t="inlineStr">
        <is>
          <t>€/Jahr</t>
        </is>
      </c>
      <c r="F44" s="81" t="inlineStr">
        <is>
          <t>Fest</t>
        </is>
      </c>
      <c r="G44" s="247" t="n">
        <v>25000</v>
      </c>
      <c r="H44" s="247" t="n">
        <v>25000</v>
      </c>
      <c r="I44" s="247" t="n">
        <v>40000</v>
      </c>
      <c r="J44" s="84" t="inlineStr">
        <is>
          <t>Jährliche Kosten für Messeauftritte und Events. Wichtiger Kanal für Enterprise-Kundenkontakte.</t>
        </is>
      </c>
      <c r="K44" s="84" t="inlineStr">
        <is>
          <t>Präsenz auf Leitmessen (Hannover Messe, SPS). Hoher Posten – Überprüfung der Priorität empfohlen.</t>
        </is>
      </c>
      <c r="L44" s="80" t="n"/>
      <c r="M44" s="80" t="n"/>
    </row>
    <row r="45" ht="45" customFormat="1" customHeight="1" s="245">
      <c r="A45" s="84" t="inlineStr">
        <is>
          <t>KOSTEN</t>
        </is>
      </c>
      <c r="B45" s="84" t="inlineStr">
        <is>
          <t>Marketing &amp; Vertrieb</t>
        </is>
      </c>
      <c r="C45" s="84" t="inlineStr">
        <is>
          <t>Events &amp; Messen/Series B</t>
        </is>
      </c>
      <c r="D45" s="250" t="n">
        <v>25000</v>
      </c>
      <c r="E45" s="84" t="inlineStr">
        <is>
          <t>€/Jahr</t>
        </is>
      </c>
      <c r="F45" s="81" t="inlineStr">
        <is>
          <t>Fest</t>
        </is>
      </c>
      <c r="G45" s="247" t="n">
        <v>25000</v>
      </c>
      <c r="H45" s="247" t="n">
        <v>25000</v>
      </c>
      <c r="I45" s="247" t="n">
        <v>60000</v>
      </c>
      <c r="J45" s="84" t="inlineStr">
        <is>
          <t>Jährliche Kosten für Messeauftritte und Events. Wichtiger Kanal für Enterprise-Kundenkontakte.</t>
        </is>
      </c>
      <c r="K45" s="84" t="inlineStr">
        <is>
          <t>Zusätzlich Sales-/Marketing MA auch auf Messebesuche</t>
        </is>
      </c>
      <c r="L45" s="80" t="n"/>
      <c r="M45" s="80" t="n"/>
    </row>
    <row r="46" ht="45" customHeight="1" s="214">
      <c r="A46" s="84" t="inlineStr">
        <is>
          <t>KOSTEN</t>
        </is>
      </c>
      <c r="B46" s="84" t="inlineStr">
        <is>
          <t>Marketing &amp; Vertrieb</t>
        </is>
      </c>
      <c r="C46" s="84" t="inlineStr">
        <is>
          <t>Sales Provision</t>
        </is>
      </c>
      <c r="D46" s="84" t="inlineStr">
        <is>
          <t>12 %</t>
        </is>
      </c>
      <c r="E46" s="84" t="inlineStr">
        <is>
          <t>% vom neuen ARR</t>
        </is>
      </c>
      <c r="F46" s="85" t="inlineStr">
        <is>
          <t>Skalierend</t>
        </is>
      </c>
      <c r="G46" s="111" t="n">
        <v>0.12</v>
      </c>
      <c r="H46" s="111" t="n">
        <v>0.12</v>
      </c>
      <c r="I46" s="111" t="n">
        <v>0.12</v>
      </c>
      <c r="J46" s="84" t="inlineStr">
        <is>
          <t>Vertriebsprovision als Anteil am neu gewonnenen ARR. Skaliert direkt mit dem Umsatzwachstum.</t>
        </is>
      </c>
      <c r="K46" s="84" t="inlineStr">
        <is>
          <t>Anreiz für Verkäufer. Im Stark-Szenario (höherer ARR) entstehen höhere absolute Provisionskosten.</t>
        </is>
      </c>
      <c r="L46" s="80" t="n"/>
      <c r="M46" s="80" t="n"/>
    </row>
    <row r="47" ht="45" customHeight="1" s="214">
      <c r="A47" s="84" t="inlineStr">
        <is>
          <t>KOSTEN</t>
        </is>
      </c>
      <c r="B47" s="84" t="inlineStr">
        <is>
          <t>Marketing &amp; Vertrieb</t>
        </is>
      </c>
      <c r="C47" s="84" t="inlineStr">
        <is>
          <t>Reisekosten Sales/MA/Monat</t>
        </is>
      </c>
      <c r="D47" s="250" t="n">
        <v>700</v>
      </c>
      <c r="E47" s="84" t="inlineStr">
        <is>
          <t>€/MA/Monat</t>
        </is>
      </c>
      <c r="F47" s="85" t="inlineStr">
        <is>
          <t>Skalierend</t>
        </is>
      </c>
      <c r="G47" s="247" t="n">
        <v>700</v>
      </c>
      <c r="H47" s="247" t="n">
        <v>700</v>
      </c>
      <c r="I47" s="247" t="n">
        <v>700</v>
      </c>
      <c r="J47" s="84" t="inlineStr">
        <is>
          <t>Monatliche Reisekosten pro Sales-Mitarbeiter. Notwendig für Werksbegehungen und Kundenbesuche.</t>
        </is>
      </c>
      <c r="K47" s="84" t="inlineStr">
        <is>
          <t>Besonders relevant im Automotive-Szenario (Gering) mit physischen Vor-Ort-Terminen bei Tier-1-Zulieferern.</t>
        </is>
      </c>
      <c r="L47" s="80" t="n"/>
      <c r="M47" s="80" t="n"/>
    </row>
    <row r="48" ht="18" customHeight="1" s="214">
      <c r="A48" s="221" t="inlineStr">
        <is>
          <t>Professional Services &amp; Sonstiges</t>
        </is>
      </c>
      <c r="B48" s="216" t="n"/>
      <c r="C48" s="216" t="n"/>
      <c r="D48" s="216" t="n"/>
      <c r="E48" s="216" t="n"/>
      <c r="F48" s="216" t="n"/>
      <c r="G48" s="216" t="n"/>
      <c r="H48" s="216" t="n"/>
      <c r="I48" s="216" t="n"/>
      <c r="J48" s="216" t="n"/>
      <c r="K48" s="216" t="n"/>
      <c r="L48" s="216" t="n"/>
      <c r="M48" s="217" t="n"/>
    </row>
    <row r="49" ht="45" customHeight="1" s="214">
      <c r="A49" s="84" t="inlineStr">
        <is>
          <t>KOSTEN</t>
        </is>
      </c>
      <c r="B49" s="84" t="inlineStr">
        <is>
          <t>Professional Services</t>
        </is>
      </c>
      <c r="C49" s="84" t="inlineStr">
        <is>
          <t>Rechtsanwalt (Basis/Jahr)</t>
        </is>
      </c>
      <c r="D49" s="250" t="n">
        <v>8000</v>
      </c>
      <c r="E49" s="84" t="inlineStr">
        <is>
          <t>€/Jahr</t>
        </is>
      </c>
      <c r="F49" s="81" t="inlineStr">
        <is>
          <t>Fest</t>
        </is>
      </c>
      <c r="G49" s="247" t="n">
        <v>8000</v>
      </c>
      <c r="H49" s="247" t="n">
        <v>8000</v>
      </c>
      <c r="I49" s="247" t="n">
        <v>8000</v>
      </c>
      <c r="J49" s="84" t="inlineStr">
        <is>
          <t>Laufende Rechtsberatung (Verträge, IP, Arbeitsrecht). Basiskosten unabhängig von Finanzierungsrunden.</t>
        </is>
      </c>
      <c r="K49" s="84" t="inlineStr">
        <is>
          <t>Standard für Tech-Startups in Deutschland. Zusätzlich: 15.000€ pro Finanzierungsrunde.</t>
        </is>
      </c>
      <c r="L49" s="80" t="n"/>
      <c r="M49" s="80" t="n"/>
    </row>
    <row r="50" ht="45" customFormat="1" customHeight="1" s="18">
      <c r="A50" s="84" t="inlineStr">
        <is>
          <t>Kosten</t>
        </is>
      </c>
      <c r="B50" s="84" t="inlineStr">
        <is>
          <t>Professional Services</t>
        </is>
      </c>
      <c r="C50" s="84" t="inlineStr">
        <is>
          <t>Rechtsanwalt (pro Finanzierung)</t>
        </is>
      </c>
      <c r="D50" s="250" t="n">
        <v>15000</v>
      </c>
      <c r="E50" s="84" t="inlineStr">
        <is>
          <t>€/Jahr</t>
        </is>
      </c>
      <c r="F50" s="81" t="inlineStr">
        <is>
          <t>Fest</t>
        </is>
      </c>
      <c r="G50" s="247" t="n">
        <v>12000</v>
      </c>
      <c r="H50" s="247" t="n">
        <v>15000</v>
      </c>
      <c r="I50" s="247" t="n">
        <v>20000</v>
      </c>
      <c r="J50" s="84" t="inlineStr">
        <is>
          <t>Für jede Finanzierungsrunde ab Pre-Seed Anwalt erforderlich für Shareholder-Angelegenheiten</t>
        </is>
      </c>
      <c r="K50" s="84" t="inlineStr">
        <is>
          <t>Honoarhöhe abhängig von Geschwindigkeit und Anfall an Komplexität</t>
        </is>
      </c>
      <c r="L50" s="80" t="n"/>
      <c r="M50" s="80" t="n"/>
    </row>
    <row r="51" ht="45" customHeight="1" s="214">
      <c r="A51" s="84" t="inlineStr">
        <is>
          <t>KOSTEN</t>
        </is>
      </c>
      <c r="B51" s="84" t="inlineStr">
        <is>
          <t>Professional Services</t>
        </is>
      </c>
      <c r="C51" s="84" t="inlineStr">
        <is>
          <t>Steuerberater</t>
        </is>
      </c>
      <c r="D51" s="250" t="n">
        <v>800</v>
      </c>
      <c r="E51" s="84" t="inlineStr">
        <is>
          <t>€/Monat</t>
        </is>
      </c>
      <c r="F51" s="81" t="inlineStr">
        <is>
          <t>Fest</t>
        </is>
      </c>
      <c r="G51" s="247" t="n">
        <v>800</v>
      </c>
      <c r="H51" s="247" t="n">
        <v>800</v>
      </c>
      <c r="I51" s="247" t="n">
        <v>800</v>
      </c>
      <c r="J51" s="84" t="inlineStr">
        <is>
          <t>Monatliche Kosten für laufende Buchhaltung und Steuerberatung.</t>
        </is>
      </c>
      <c r="K51" s="84" t="inlineStr">
        <is>
          <t>Standard für GmbH in Deutschland. Steigt mit Komplexität der Finanzstruktur.</t>
        </is>
      </c>
      <c r="L51" s="80" t="n"/>
      <c r="M51" s="80" t="n"/>
    </row>
    <row r="52" ht="45" customHeight="1" s="214">
      <c r="A52" s="84" t="inlineStr">
        <is>
          <t>KOSTEN</t>
        </is>
      </c>
      <c r="B52" s="84" t="inlineStr">
        <is>
          <t>Professional Services</t>
        </is>
      </c>
      <c r="C52" s="84" t="inlineStr">
        <is>
          <t>Wirtschaftsprüfer (ab Monat 17)</t>
        </is>
      </c>
      <c r="D52" s="250" t="n">
        <v>12000</v>
      </c>
      <c r="E52" s="84" t="inlineStr">
        <is>
          <t>€/Jahr</t>
        </is>
      </c>
      <c r="F52" s="81" t="inlineStr">
        <is>
          <t>Fest</t>
        </is>
      </c>
      <c r="G52" s="79" t="inlineStr">
        <is>
          <t>–</t>
        </is>
      </c>
      <c r="H52" s="247" t="n">
        <v>12000</v>
      </c>
      <c r="I52" s="247" t="n">
        <v>12000</v>
      </c>
      <c r="J52" s="84" t="inlineStr">
        <is>
          <t>Jährliche Kosten für Wirtschaftsprüfung. Pflicht ab Series A für institutionelle Investoren.</t>
        </is>
      </c>
      <c r="K52" s="84" t="inlineStr">
        <is>
          <t>Start mit tatsächlicher Seed-Phase (Mitte 2027). Erst ab Monat 17 relevant.</t>
        </is>
      </c>
      <c r="L52" s="80" t="n"/>
      <c r="M52" s="80" t="n"/>
    </row>
    <row r="53" ht="45" customHeight="1" s="214">
      <c r="A53" s="84" t="inlineStr">
        <is>
          <t>KOSTEN</t>
        </is>
      </c>
      <c r="B53" s="84" t="inlineStr">
        <is>
          <t>Sonstiges</t>
        </is>
      </c>
      <c r="C53" s="84" t="inlineStr">
        <is>
          <t>Weiterbildung/MA/Jahr</t>
        </is>
      </c>
      <c r="D53" s="250" t="n">
        <v>1000</v>
      </c>
      <c r="E53" s="84" t="inlineStr">
        <is>
          <t>€/MA/Jahr</t>
        </is>
      </c>
      <c r="F53" s="85" t="inlineStr">
        <is>
          <t>Skalierend</t>
        </is>
      </c>
      <c r="G53" s="247" t="n">
        <v>1000</v>
      </c>
      <c r="H53" s="247" t="n">
        <v>1000</v>
      </c>
      <c r="I53" s="247" t="n">
        <v>1000</v>
      </c>
      <c r="J53" s="84" t="inlineStr">
        <is>
          <t>Jährliche Weiterbildungskosten pro Mitarbeiter. Besonders wichtig im ML/KI-Bereich.</t>
        </is>
      </c>
      <c r="K53" s="84" t="inlineStr">
        <is>
          <t>Konferenzen, Online-Kurse, Zertifizierungen. Gesamtkosten skalieren mit Mitarbeiterzahl.</t>
        </is>
      </c>
      <c r="L53" s="80" t="n"/>
      <c r="M53" s="80" t="n"/>
    </row>
    <row r="54" ht="45" customHeight="1" s="214">
      <c r="A54" s="84" t="inlineStr">
        <is>
          <t>KOSTEN</t>
        </is>
      </c>
      <c r="B54" s="84" t="inlineStr">
        <is>
          <t>Sonstiges</t>
        </is>
      </c>
      <c r="C54" s="84" t="inlineStr">
        <is>
          <t>Sonstiges / Puffer</t>
        </is>
      </c>
      <c r="D54" s="84" t="inlineStr">
        <is>
          <t>5 %</t>
        </is>
      </c>
      <c r="E54" s="84" t="inlineStr">
        <is>
          <t>% der OpEx</t>
        </is>
      </c>
      <c r="F54" s="81" t="inlineStr">
        <is>
          <t>Fest</t>
        </is>
      </c>
      <c r="G54" s="111" t="n">
        <v>0.05</v>
      </c>
      <c r="H54" s="111" t="n">
        <v>0.05</v>
      </c>
      <c r="I54" s="111" t="n">
        <v>0.05</v>
      </c>
      <c r="J54" s="84" t="inlineStr">
        <is>
          <t>Puffer für ungeplante Ausgaben. Vorsichtsprinzip für unvorhergesehene Kosten.</t>
        </is>
      </c>
      <c r="K54" s="84" t="inlineStr">
        <is>
          <t>Standard-Puffer für Startup-Finanzplanung. Empfehlung: mindestens 5% der gesamten OpEx.</t>
        </is>
      </c>
      <c r="L54" s="80" t="n"/>
      <c r="M54" s="80" t="n"/>
    </row>
    <row r="55" ht="18" customHeight="1" s="214">
      <c r="A55" s="221" t="inlineStr">
        <is>
          <t>INVESTITIONEN (CapEx)</t>
        </is>
      </c>
      <c r="B55" s="216" t="n"/>
      <c r="C55" s="216" t="n"/>
      <c r="D55" s="216" t="n"/>
      <c r="E55" s="216" t="n"/>
      <c r="F55" s="216" t="n"/>
      <c r="G55" s="216" t="n"/>
      <c r="H55" s="216" t="n"/>
      <c r="I55" s="216" t="n"/>
      <c r="J55" s="216" t="n"/>
      <c r="K55" s="216" t="n"/>
      <c r="L55" s="216" t="n"/>
      <c r="M55" s="217" t="n"/>
    </row>
    <row r="56" ht="18" customHeight="1" s="214">
      <c r="A56" s="224" t="inlineStr">
        <is>
          <t>Hardware &amp; Ausstattung</t>
        </is>
      </c>
      <c r="B56" s="216" t="n"/>
      <c r="C56" s="216" t="n"/>
      <c r="D56" s="216" t="n"/>
      <c r="E56" s="216" t="n"/>
      <c r="F56" s="216" t="n"/>
      <c r="G56" s="216" t="n"/>
      <c r="H56" s="216" t="n"/>
      <c r="I56" s="216" t="n"/>
      <c r="J56" s="216" t="n"/>
      <c r="K56" s="216" t="n"/>
      <c r="L56" s="216" t="n"/>
      <c r="M56" s="217" t="n"/>
    </row>
    <row r="57" ht="45" customHeight="1" s="214">
      <c r="A57" s="86" t="inlineStr">
        <is>
          <t>OPEX</t>
        </is>
      </c>
      <c r="B57" s="86" t="inlineStr">
        <is>
          <t>Hardware</t>
        </is>
      </c>
      <c r="C57" s="86" t="inlineStr">
        <is>
          <t>Laptop pro Mitarbeiter</t>
        </is>
      </c>
      <c r="D57" s="251" t="n">
        <v>80</v>
      </c>
      <c r="E57" s="86" t="inlineStr">
        <is>
          <t xml:space="preserve">€/Monat/MA </t>
        </is>
      </c>
      <c r="F57" s="85" t="inlineStr">
        <is>
          <t>Skalierend</t>
        </is>
      </c>
      <c r="G57" s="247" t="n">
        <v>80</v>
      </c>
      <c r="H57" s="247" t="n">
        <v>80</v>
      </c>
      <c r="I57" s="247" t="n">
        <v>100</v>
      </c>
      <c r="J57" s="86" t="inlineStr">
        <is>
          <t>MA bekommen keine eigenen Geräte sondern Leihgeräte von Grover</t>
        </is>
      </c>
      <c r="K57" s="86" t="inlineStr">
        <is>
          <t>Grundsätzlich Reduzierung von CAPEX durch Mietmodell. Kann im Einzelfall verändert werden, wenn es besondere Bedarfe gibt</t>
        </is>
      </c>
      <c r="L57" s="80" t="n"/>
      <c r="M57" s="80" t="n"/>
    </row>
    <row r="58" ht="45" customHeight="1" s="214">
      <c r="A58" s="86" t="inlineStr">
        <is>
          <t>OPEX</t>
        </is>
      </c>
      <c r="B58" s="86" t="inlineStr">
        <is>
          <t>Hardware</t>
        </is>
      </c>
      <c r="C58" s="86" t="inlineStr">
        <is>
          <t>Monitor &amp; Peripherie pro MA</t>
        </is>
      </c>
      <c r="D58" s="251" t="n">
        <v>40</v>
      </c>
      <c r="E58" s="86" t="inlineStr">
        <is>
          <t xml:space="preserve">€/Monat/MA </t>
        </is>
      </c>
      <c r="F58" s="85" t="inlineStr">
        <is>
          <t>Skalierend</t>
        </is>
      </c>
      <c r="G58" s="247" t="n">
        <v>40</v>
      </c>
      <c r="H58" s="247" t="n">
        <v>40</v>
      </c>
      <c r="I58" s="247" t="n">
        <v>60</v>
      </c>
      <c r="J58" s="86" t="inlineStr">
        <is>
          <t>MA bekommen keine eigenen Geräte sondern Leihgeräte von Grover</t>
        </is>
      </c>
      <c r="K58" s="86" t="inlineStr">
        <is>
          <t>Grundsätzlich Reduzierung von CAPEX durch Mietmodell. Kann im Einzelfall verändert werden, wenn es besondere Bedarfe gibt</t>
        </is>
      </c>
      <c r="L58" s="80" t="n"/>
      <c r="M58" s="80" t="n"/>
    </row>
    <row r="59" ht="18" customHeight="1" s="214">
      <c r="A59" s="226" t="inlineStr">
        <is>
          <t>Büro &amp; Facilities</t>
        </is>
      </c>
      <c r="B59" s="216" t="n"/>
      <c r="C59" s="216" t="n"/>
      <c r="D59" s="216" t="n"/>
      <c r="E59" s="216" t="n"/>
      <c r="F59" s="216" t="n"/>
      <c r="G59" s="216" t="n"/>
      <c r="H59" s="216" t="n"/>
      <c r="I59" s="216" t="n"/>
      <c r="J59" s="216" t="n"/>
      <c r="K59" s="216" t="n"/>
      <c r="L59" s="216" t="n"/>
      <c r="M59" s="217" t="n"/>
    </row>
    <row r="60" ht="18" customFormat="1" customHeight="1" s="245">
      <c r="A60" s="226" t="inlineStr">
        <is>
          <t>Kosten</t>
        </is>
      </c>
      <c r="B60" s="86" t="inlineStr">
        <is>
          <t>Büro</t>
        </is>
      </c>
      <c r="C60" s="86" t="inlineStr">
        <is>
          <t>Coworking/Shared Desk</t>
        </is>
      </c>
      <c r="D60" s="251" t="n">
        <v>400</v>
      </c>
      <c r="E60" s="86" t="inlineStr">
        <is>
          <t xml:space="preserve">€/Monat/MA </t>
        </is>
      </c>
      <c r="F60" s="85" t="inlineStr">
        <is>
          <t>Skalierend</t>
        </is>
      </c>
      <c r="G60" s="247" t="n">
        <v>350</v>
      </c>
      <c r="H60" s="247" t="n">
        <v>400</v>
      </c>
      <c r="I60" s="247" t="n">
        <v>400</v>
      </c>
      <c r="J60" s="86" t="inlineStr">
        <is>
          <t>Zu Beginn nur Shared Desks im Coworking Space</t>
        </is>
      </c>
      <c r="K60" s="86" t="inlineStr">
        <is>
          <t>In der Ideation Phase geringer Bedarf, In der Pre-Seed Phase erste MA eingestellt. Bedarf an festen Desks im Coworking Space</t>
        </is>
      </c>
      <c r="L60" s="216" t="n"/>
      <c r="M60" s="217" t="n"/>
    </row>
    <row r="61" ht="45" customHeight="1" s="214">
      <c r="A61" s="86" t="inlineStr">
        <is>
          <t>CAPEX</t>
        </is>
      </c>
      <c r="B61" s="86" t="inlineStr">
        <is>
          <t>Büro</t>
        </is>
      </c>
      <c r="C61" s="86" t="inlineStr">
        <is>
          <t>Büromiete (Initial): keine, da zunächst Coworking Space/ Shared Desks</t>
        </is>
      </c>
      <c r="D61" s="251" t="n">
        <v>0</v>
      </c>
      <c r="E61" s="86" t="inlineStr">
        <is>
          <t>€/Monat</t>
        </is>
      </c>
      <c r="F61" s="81" t="inlineStr">
        <is>
          <t>Fest</t>
        </is>
      </c>
      <c r="G61" s="247" t="n">
        <v>0</v>
      </c>
      <c r="H61" s="247" t="n">
        <v>0</v>
      </c>
      <c r="I61" s="247" t="n">
        <v>0</v>
      </c>
      <c r="J61" s="86" t="inlineStr">
        <is>
          <t>Monatliche Miete für Coworking-Space in der Anfangsphase. Wechselt ab Monat 18 auf größeres Büro.</t>
        </is>
      </c>
      <c r="K61" s="86" t="inlineStr">
        <is>
          <t>Coworking-Fokus in der ersten Phase (Berlin Mitte/Kreuzberg). Shift analog zur Einstellung von Solution Architects.</t>
        </is>
      </c>
      <c r="L61" s="80" t="n"/>
      <c r="M61" s="80" t="n"/>
    </row>
    <row r="62" ht="45" customHeight="1" s="214">
      <c r="A62" s="86" t="inlineStr">
        <is>
          <t>CAPEX</t>
        </is>
      </c>
      <c r="B62" s="86" t="inlineStr">
        <is>
          <t>Büro</t>
        </is>
      </c>
      <c r="C62" s="86" t="inlineStr">
        <is>
          <t>Büromiete (ab Seed/M18)</t>
        </is>
      </c>
      <c r="D62" s="251" t="n">
        <v>4500</v>
      </c>
      <c r="E62" s="86" t="inlineStr">
        <is>
          <t>€/Monat</t>
        </is>
      </c>
      <c r="F62" s="81" t="inlineStr">
        <is>
          <t>Fest</t>
        </is>
      </c>
      <c r="G62" s="247" t="n">
        <v>3500</v>
      </c>
      <c r="H62" s="247" t="n">
        <v>4000</v>
      </c>
      <c r="I62" s="247" t="n">
        <v>4500</v>
      </c>
      <c r="J62" s="86" t="inlineStr">
        <is>
          <t>Monatliche Miete nach dem Seedfinanzierung ab Monat 18. Für ca. 10–20 Personen ausgelegt.</t>
        </is>
      </c>
      <c r="K62" s="86" t="inlineStr">
        <is>
          <t>Berliner Marktpreise für Bürofläche. Upgrade-Zeitpunkt kann szenariospezifisch angepasst werden.</t>
        </is>
      </c>
      <c r="L62" s="80" t="n"/>
      <c r="M62" s="80" t="n"/>
    </row>
    <row r="63" ht="45" customHeight="1" s="214">
      <c r="A63" s="86" t="inlineStr">
        <is>
          <t>CAPEX</t>
        </is>
      </c>
      <c r="B63" s="86" t="inlineStr">
        <is>
          <t>Büro</t>
        </is>
      </c>
      <c r="C63" s="86" t="inlineStr">
        <is>
          <t>Büroausstattung (Initial)</t>
        </is>
      </c>
      <c r="D63" s="251" t="n">
        <v>5000</v>
      </c>
      <c r="E63" s="86" t="inlineStr">
        <is>
          <t>€ (einmalig)</t>
        </is>
      </c>
      <c r="F63" s="81" t="inlineStr">
        <is>
          <t>Fest</t>
        </is>
      </c>
      <c r="G63" s="247" t="n">
        <v>5000</v>
      </c>
      <c r="H63" s="247" t="n">
        <v>5000</v>
      </c>
      <c r="I63" s="247" t="n">
        <v>5000</v>
      </c>
      <c r="J63" s="86" t="inlineStr">
        <is>
          <t>Einmalige Investition für Möbel und IT-Grundausstattung. Fällt beim Start an.</t>
        </is>
      </c>
      <c r="K63" s="86" t="inlineStr">
        <is>
          <t>Standard-Erstausstattung für kleines Tech-Team. Kein szenarioabhängiger Einfluss.</t>
        </is>
      </c>
      <c r="L63" s="80" t="n"/>
      <c r="M63" s="80" t="n"/>
    </row>
    <row r="64" ht="18" customHeight="1" s="214">
      <c r="A64" s="223" t="inlineStr">
        <is>
          <t>NEUE / POTENZIELLE SZENARIEN</t>
        </is>
      </c>
      <c r="B64" s="216" t="n"/>
      <c r="C64" s="216" t="n"/>
      <c r="D64" s="216" t="n"/>
      <c r="E64" s="216" t="n"/>
      <c r="F64" s="216" t="n"/>
      <c r="G64" s="216" t="n"/>
      <c r="H64" s="216" t="n"/>
      <c r="I64" s="216" t="n"/>
      <c r="J64" s="216" t="n"/>
      <c r="K64" s="216" t="n"/>
      <c r="L64" s="216" t="n"/>
      <c r="M64" s="217" t="n"/>
    </row>
    <row r="65" ht="18" customHeight="1" s="214">
      <c r="A65" s="223" t="inlineStr">
        <is>
          <t>Umsatz – Neue Treiber</t>
        </is>
      </c>
      <c r="B65" s="216" t="n"/>
      <c r="C65" s="216" t="n"/>
      <c r="D65" s="216" t="n"/>
      <c r="E65" s="216" t="n"/>
      <c r="F65" s="216" t="n"/>
      <c r="G65" s="216" t="n"/>
      <c r="H65" s="216" t="n"/>
      <c r="I65" s="216" t="n"/>
      <c r="J65" s="216" t="n"/>
      <c r="K65" s="216" t="n"/>
      <c r="L65" s="216" t="n"/>
      <c r="M65" s="217" t="n"/>
    </row>
    <row r="66" ht="45" customHeight="1" s="214">
      <c r="A66" s="87" t="inlineStr">
        <is>
          <t>NEU</t>
        </is>
      </c>
      <c r="B66" s="88" t="inlineStr">
        <is>
          <t>SaaS-Pricing</t>
        </is>
      </c>
      <c r="C66" s="88" t="inlineStr">
        <is>
          <t>Produkt-Tiers (Basic/Pro/Enterprise)</t>
        </is>
      </c>
      <c r="D66" s="88" t="inlineStr">
        <is>
          <t>Noch nicht modelliert</t>
        </is>
      </c>
      <c r="E66" s="88" t="inlineStr">
        <is>
          <t>–</t>
        </is>
      </c>
      <c r="F66" s="89" t="inlineStr">
        <is>
          <t>Zu definieren</t>
        </is>
      </c>
      <c r="G66" s="90" t="inlineStr">
        <is>
          <t>Basic: ~5.000 €/J</t>
        </is>
      </c>
      <c r="H66" s="90" t="inlineStr">
        <is>
          <t>Pro: ~12.000 €/J</t>
        </is>
      </c>
      <c r="I66" s="90" t="inlineStr">
        <is>
          <t>Enterprise: ~25.000 €/J</t>
        </is>
      </c>
      <c r="J66" s="88" t="inlineStr">
        <is>
          <t>Gestaffelte Pakete mit unterschiedlichen Features und Preisen. Erhöht die Preisflexibilität und Marktabdeckung.</t>
        </is>
      </c>
      <c r="K66" s="88" t="inlineStr">
        <is>
          <t>Noch nicht im Modell. Würde den Startpreis-Parameter durch eine Tier-Verteilung ersetzen.</t>
        </is>
      </c>
      <c r="L66" s="80" t="n"/>
      <c r="M66" s="80" t="n"/>
    </row>
    <row r="67" ht="45" customHeight="1" s="214">
      <c r="A67" s="87" t="inlineStr">
        <is>
          <t>NEU</t>
        </is>
      </c>
      <c r="B67" s="88" t="inlineStr">
        <is>
          <t>SaaS-Umsatz</t>
        </is>
      </c>
      <c r="C67" s="88" t="inlineStr">
        <is>
          <t>Upselling-Effizienz (NRR-Varianten)</t>
        </is>
      </c>
      <c r="D67" s="88" t="inlineStr">
        <is>
          <t>NRR: 125 % (fest)</t>
        </is>
      </c>
      <c r="E67" s="88" t="inlineStr">
        <is>
          <t>%</t>
        </is>
      </c>
      <c r="F67" s="89" t="inlineStr">
        <is>
          <t>Zu definieren</t>
        </is>
      </c>
      <c r="G67" s="90" t="inlineStr">
        <is>
          <t>NRR: 105 %</t>
        </is>
      </c>
      <c r="H67" s="90" t="inlineStr">
        <is>
          <t>NRR: 115 %</t>
        </is>
      </c>
      <c r="I67" s="90" t="inlineStr">
        <is>
          <t>NRR: 130 %</t>
        </is>
      </c>
      <c r="J67" s="88" t="inlineStr">
        <is>
          <t>Unterschiedliche NRR-Szenarien je nach Upselling-Erfolg. Direkter Einfluss auf den langfristigen ARR.</t>
        </is>
      </c>
      <c r="K67" s="88" t="inlineStr">
        <is>
          <t>Aktuell als fester Wert (125%) modelliert. Szenariofähig machen würde die Sensitivitätsanalyse verbessern.</t>
        </is>
      </c>
      <c r="L67" s="80" t="n"/>
      <c r="M67" s="80" t="n"/>
    </row>
    <row r="68" ht="45" customHeight="1" s="214">
      <c r="A68" s="87" t="inlineStr">
        <is>
          <t>NEU</t>
        </is>
      </c>
      <c r="B68" s="88" t="inlineStr">
        <is>
          <t>SaaS-Umsatz</t>
        </is>
      </c>
      <c r="C68" s="88" t="inlineStr">
        <is>
          <t>Churn-Varianten</t>
        </is>
      </c>
      <c r="D68" s="88" t="inlineStr">
        <is>
          <t>Churn: 6 % (fest)</t>
        </is>
      </c>
      <c r="E68" s="88" t="inlineStr">
        <is>
          <t>% p.a.</t>
        </is>
      </c>
      <c r="F68" s="89" t="inlineStr">
        <is>
          <t>Zu definieren</t>
        </is>
      </c>
      <c r="G68" s="90" t="inlineStr">
        <is>
          <t>Hoher Churn: 10 %</t>
        </is>
      </c>
      <c r="H68" s="90" t="inlineStr">
        <is>
          <t>Normal: 6 %</t>
        </is>
      </c>
      <c r="I68" s="90" t="inlineStr">
        <is>
          <t>Niedriger Churn: 3 %</t>
        </is>
      </c>
      <c r="J68" s="88" t="inlineStr">
        <is>
          <t>Unterschiedliche Churn-Szenarien je nach Kundenbindung. Direkter Einfluss auf den kumulativen ARR.</t>
        </is>
      </c>
      <c r="K68" s="88" t="inlineStr">
        <is>
          <t>Aktuell als fester Wert (6%) modelliert. Besonders relevant für Langfristprojektionen (Jahr 3–5).</t>
        </is>
      </c>
      <c r="L68" s="80" t="n"/>
      <c r="M68" s="80" t="n"/>
    </row>
    <row r="69" ht="45" customHeight="1" s="214">
      <c r="A69" s="87" t="inlineStr">
        <is>
          <t>NEU</t>
        </is>
      </c>
      <c r="B69" s="88" t="inlineStr">
        <is>
          <t>Marktexpansion</t>
        </is>
      </c>
      <c r="C69" s="88" t="inlineStr">
        <is>
          <t>Internationalisierung</t>
        </is>
      </c>
      <c r="D69" s="88" t="inlineStr">
        <is>
          <t>Noch nicht modelliert</t>
        </is>
      </c>
      <c r="E69" s="88" t="inlineStr">
        <is>
          <t>–</t>
        </is>
      </c>
      <c r="F69" s="89" t="inlineStr">
        <is>
          <t>Zu definieren</t>
        </is>
      </c>
      <c r="G69" s="90" t="inlineStr">
        <is>
          <t>Keine Expansion</t>
        </is>
      </c>
      <c r="H69" s="90" t="inlineStr">
        <is>
          <t>EU-Expansion (Y2)</t>
        </is>
      </c>
      <c r="I69" s="90" t="inlineStr">
        <is>
          <t>US-Expansion (Y3)</t>
        </is>
      </c>
      <c r="J69" s="88" t="inlineStr">
        <is>
          <t>Multiplikator auf das Kundenwachstum ab einem definierten Monat. Erheblicher Einfluss auf ARR und Personalplanung.</t>
        </is>
      </c>
      <c r="K69" s="88" t="inlineStr">
        <is>
          <t>Noch nicht im Modell. Würde zusätzliche Kosten (Lokalisierung, Compliance, Personal) erfordern.</t>
        </is>
      </c>
      <c r="L69" s="80" t="n"/>
      <c r="M69" s="80" t="n"/>
    </row>
    <row r="70" ht="18" customHeight="1" s="214">
      <c r="A70" s="223" t="inlineStr">
        <is>
          <t>Kosten – Neue Treiber</t>
        </is>
      </c>
      <c r="B70" s="216" t="n"/>
      <c r="C70" s="216" t="n"/>
      <c r="D70" s="216" t="n"/>
      <c r="E70" s="216" t="n"/>
      <c r="F70" s="216" t="n"/>
      <c r="G70" s="216" t="n"/>
      <c r="H70" s="216" t="n"/>
      <c r="I70" s="216" t="n"/>
      <c r="J70" s="216" t="n"/>
      <c r="K70" s="216" t="n"/>
      <c r="L70" s="216" t="n"/>
      <c r="M70" s="217" t="n"/>
    </row>
    <row r="71" ht="45" customHeight="1" s="214">
      <c r="A71" s="87" t="inlineStr">
        <is>
          <t>NEU</t>
        </is>
      </c>
      <c r="B71" s="88" t="inlineStr">
        <is>
          <t>Personal</t>
        </is>
      </c>
      <c r="C71" s="88" t="inlineStr">
        <is>
          <t>Gehaltsniveau-Faktor</t>
        </is>
      </c>
      <c r="D71" s="88" t="inlineStr">
        <is>
          <t>Noch nicht modelliert</t>
        </is>
      </c>
      <c r="E71" s="88" t="inlineStr">
        <is>
          <t>Faktor</t>
        </is>
      </c>
      <c r="F71" s="89" t="inlineStr">
        <is>
          <t>Zu definieren</t>
        </is>
      </c>
      <c r="G71" s="90" t="inlineStr">
        <is>
          <t>85 % des Markts</t>
        </is>
      </c>
      <c r="H71" s="90" t="inlineStr">
        <is>
          <t>100 % des Markts</t>
        </is>
      </c>
      <c r="I71" s="90" t="inlineStr">
        <is>
          <t>115 % des Markts</t>
        </is>
      </c>
      <c r="J71" s="88" t="inlineStr">
        <is>
          <t>Prozentualer Faktor auf alle Gehälter im Einstellungsplan. Direkter Einfluss auf die gesamte Personalkostenbasis.</t>
        </is>
      </c>
      <c r="K71" s="88" t="inlineStr">
        <is>
          <t>Noch nicht im Modell. Besonders relevant für Talent-Wettbewerb im Berliner KI-Markt.</t>
        </is>
      </c>
      <c r="L71" s="80" t="n"/>
      <c r="M71" s="80" t="n"/>
    </row>
    <row r="73" ht="18" customHeight="1" s="214">
      <c r="A73" s="221" t="inlineStr">
        <is>
          <t>LEGENDE – Szenario-Abhängigkeit</t>
        </is>
      </c>
      <c r="B73" s="216" t="n"/>
      <c r="C73" s="216" t="n"/>
      <c r="D73" s="216" t="n"/>
      <c r="E73" s="216" t="n"/>
      <c r="F73" s="216" t="n"/>
      <c r="G73" s="216" t="n"/>
      <c r="H73" s="216" t="n"/>
      <c r="I73" s="216" t="n"/>
      <c r="J73" s="216" t="n"/>
      <c r="K73" s="216" t="n"/>
      <c r="L73" s="216" t="n"/>
      <c r="M73" s="217" t="n"/>
    </row>
    <row r="74" ht="45" customHeight="1" s="214">
      <c r="A74" s="91" t="inlineStr">
        <is>
          <t>Szenario</t>
        </is>
      </c>
      <c r="B74" s="91" t="inlineStr">
        <is>
          <t>Wert ändert sich je nach aktivem Szenario (Gering/Normal/Stark) in der 00_Input_Sandbox</t>
        </is>
      </c>
      <c r="C74" s="91" t="n"/>
      <c r="D74" s="91" t="n"/>
      <c r="E74" s="91" t="n"/>
      <c r="F74" s="92" t="n"/>
      <c r="G74" s="79" t="n"/>
      <c r="H74" s="79" t="n"/>
      <c r="I74" s="79" t="n"/>
      <c r="J74" s="91" t="n"/>
      <c r="K74" s="91" t="n"/>
      <c r="L74" s="80" t="n"/>
      <c r="M74" s="80" t="n"/>
    </row>
    <row r="75" ht="45" customHeight="1" s="214">
      <c r="A75" s="91" t="inlineStr">
        <is>
          <t>Unabhängig</t>
        </is>
      </c>
      <c r="B75" s="91" t="inlineStr">
        <is>
          <t>Eigenständiger Schalter – unabhängig vom Szenario einstellbar (z.B. Implementation-Support-Quote: 20%/50%/100%)</t>
        </is>
      </c>
      <c r="C75" s="91" t="n"/>
      <c r="D75" s="91" t="n"/>
      <c r="E75" s="91" t="n"/>
      <c r="F75" s="92" t="n"/>
      <c r="G75" s="79" t="n"/>
      <c r="H75" s="79" t="n"/>
      <c r="I75" s="79" t="n"/>
      <c r="J75" s="91" t="n"/>
      <c r="K75" s="91" t="n"/>
      <c r="L75" s="80" t="n"/>
      <c r="M75" s="80" t="n"/>
    </row>
    <row r="76" ht="45" customHeight="1" s="214">
      <c r="A76" s="91" t="inlineStr">
        <is>
          <t>Berechnet</t>
        </is>
      </c>
      <c r="B76" s="91" t="inlineStr">
        <is>
          <t>Abgeleiteter Wert – wird automatisch aus anderen Parametern berechnet (kein direkter Eingabewert)</t>
        </is>
      </c>
      <c r="C76" s="91" t="n"/>
      <c r="D76" s="91" t="n"/>
      <c r="E76" s="91" t="n"/>
      <c r="F76" s="92" t="n"/>
      <c r="G76" s="79" t="n"/>
      <c r="H76" s="79" t="n"/>
      <c r="I76" s="79" t="n"/>
      <c r="J76" s="91" t="n"/>
      <c r="K76" s="91" t="n"/>
      <c r="L76" s="80" t="n"/>
      <c r="M76" s="80" t="n"/>
    </row>
    <row r="77" ht="45" customHeight="1" s="214">
      <c r="A77" s="91" t="inlineStr">
        <is>
          <t>Skalierend</t>
        </is>
      </c>
      <c r="B77" s="91" t="inlineStr">
        <is>
          <t>Fester Satz, aber Gesamtbetrag skaliert mit Mitarbeiterzahl oder Kundenzahl</t>
        </is>
      </c>
      <c r="C77" s="91" t="n"/>
      <c r="D77" s="91" t="n"/>
      <c r="E77" s="91" t="n"/>
      <c r="F77" s="92" t="n"/>
      <c r="G77" s="79" t="n"/>
      <c r="H77" s="79" t="n"/>
      <c r="I77" s="79" t="n"/>
      <c r="J77" s="91" t="n"/>
      <c r="K77" s="91" t="n"/>
      <c r="L77" s="80" t="n"/>
      <c r="M77" s="80" t="n"/>
    </row>
    <row r="78" ht="45" customHeight="1" s="214">
      <c r="A78" s="91" t="inlineStr">
        <is>
          <t>Fest</t>
        </is>
      </c>
      <c r="B78" s="91" t="inlineStr">
        <is>
          <t>Fester Wert – unabhängig von Szenario und Unternehmensgröße</t>
        </is>
      </c>
      <c r="C78" s="91" t="n"/>
      <c r="D78" s="91" t="n"/>
      <c r="E78" s="91" t="n"/>
      <c r="F78" s="92" t="n"/>
      <c r="G78" s="79" t="n"/>
      <c r="H78" s="79" t="n"/>
      <c r="I78" s="79" t="n"/>
      <c r="J78" s="91" t="n"/>
      <c r="K78" s="91" t="n"/>
      <c r="L78" s="80" t="n"/>
      <c r="M78" s="80" t="n"/>
    </row>
    <row r="79" ht="45" customHeight="1" s="214">
      <c r="A79" s="91" t="inlineStr">
        <is>
          <t>Zu definieren</t>
        </is>
      </c>
      <c r="B79" s="91" t="inlineStr">
        <is>
          <t>Noch nicht im Modell – neuer Einflussfaktor, der entwickelt werden kann</t>
        </is>
      </c>
      <c r="C79" s="91" t="n"/>
      <c r="D79" s="91" t="n"/>
      <c r="E79" s="91" t="n"/>
      <c r="F79" s="92" t="n"/>
      <c r="G79" s="79" t="n"/>
      <c r="H79" s="79" t="n"/>
      <c r="I79" s="79" t="n"/>
      <c r="J79" s="91" t="n"/>
      <c r="K79" s="91" t="n"/>
      <c r="L79" s="80" t="n"/>
      <c r="M79" s="80" t="n"/>
    </row>
    <row r="81">
      <c r="A81" s="227" t="inlineStr">
        <is>
          <t>LEGENDE: Szenario=szenarioabhängig (Sandbox)  |  Unabhängig=eigenständiger Schalter (z.B. Implementation-Support-Quote)  |  Berechnet=abgeleiteter Wert  |  Skalierend=fixer Satz, skaliert mit MA/Kunden  |  NEU (lila)=noch nicht im Modell</t>
        </is>
      </c>
      <c r="B81" s="216" t="n"/>
      <c r="C81" s="216" t="n"/>
      <c r="D81" s="216" t="n"/>
      <c r="E81" s="216" t="n"/>
      <c r="F81" s="216" t="n"/>
      <c r="G81" s="216" t="n"/>
      <c r="H81" s="216" t="n"/>
      <c r="I81" s="216" t="n"/>
      <c r="J81" s="216" t="n"/>
      <c r="K81" s="216" t="n"/>
      <c r="L81" s="216" t="n"/>
      <c r="M81" s="217" t="n"/>
    </row>
  </sheetData>
  <mergeCells count="17">
    <mergeCell ref="A73:M73"/>
    <mergeCell ref="A5:M5"/>
    <mergeCell ref="A1:M1"/>
    <mergeCell ref="A23:M23"/>
    <mergeCell ref="A22:M22"/>
    <mergeCell ref="A56:M56"/>
    <mergeCell ref="A70:M70"/>
    <mergeCell ref="A48:M48"/>
    <mergeCell ref="A2:M2"/>
    <mergeCell ref="A30:M30"/>
    <mergeCell ref="A55:M55"/>
    <mergeCell ref="A64:M64"/>
    <mergeCell ref="A59:M59"/>
    <mergeCell ref="A65:M65"/>
    <mergeCell ref="A81:M81"/>
    <mergeCell ref="A38:M38"/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topLeftCell="A8" workbookViewId="0">
      <selection activeCell="C8" sqref="C8"/>
    </sheetView>
  </sheetViews>
  <sheetFormatPr baseColWidth="10" defaultColWidth="14.453125" defaultRowHeight="15" customHeight="1"/>
  <cols>
    <col width="31.6328125" customWidth="1" style="214" min="1" max="1"/>
    <col width="56.90625" customWidth="1" style="119" min="7" max="7"/>
    <col width="20" customWidth="1" style="214" min="8" max="8"/>
    <col width="45" customWidth="1" style="214" min="9" max="9"/>
  </cols>
  <sheetData>
    <row r="1" ht="60" customHeight="1" s="214">
      <c r="A1" s="112" t="inlineStr">
        <is>
          <t>Faktor</t>
        </is>
      </c>
      <c r="B1" s="126" t="inlineStr">
        <is>
          <t>Referenz (Basis)</t>
        </is>
      </c>
      <c r="C1" s="112" t="inlineStr">
        <is>
          <t>Szenario: Gering</t>
        </is>
      </c>
      <c r="D1" s="112" t="inlineStr">
        <is>
          <t>Szenario: Normal</t>
        </is>
      </c>
      <c r="E1" s="112" t="inlineStr">
        <is>
          <t>Szenario: Stark</t>
        </is>
      </c>
      <c r="F1" s="113" t="inlineStr">
        <is>
          <t>DELTA: (Stark vs Normal)</t>
        </is>
      </c>
      <c r="G1" s="114" t="inlineStr">
        <is>
          <t>Argumentation (Interviews &amp; Transkripte)</t>
        </is>
      </c>
      <c r="H1" s="7" t="n"/>
      <c r="I1" s="64" t="inlineStr">
        <is>
          <t>⚑ HINWEIS:
Werte in den Spalten C/D/E (Gering/Normal/Stark) sind direkt bearbeitbar.
Änderungen in DIESEM Blatt fließen automatisch über Sandbox → Inputs → Revenue/P&amp;L.</t>
        </is>
      </c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14.5" customHeight="1" s="214">
      <c r="A2" s="8" t="inlineStr">
        <is>
          <t>Fokus: Packaging</t>
        </is>
      </c>
      <c r="B2" s="121" t="n">
        <v>0.3</v>
      </c>
      <c r="C2" s="9" t="n">
        <v>0.1</v>
      </c>
      <c r="D2" s="10" t="n">
        <v>0.6</v>
      </c>
      <c r="E2" s="9" t="n">
        <v>0.8</v>
      </c>
      <c r="F2" s="9">
        <f>E2-D2</f>
        <v/>
      </c>
      <c r="G2" s="115" t="inlineStr">
        <is>
          <t>Höhere Margen, schnellere Zyklen als Auto.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5" customHeight="1" s="214">
      <c r="A3" s="8" t="inlineStr">
        <is>
          <t>Fokus: Automotive</t>
        </is>
      </c>
      <c r="B3" s="121" t="n">
        <v>0.7</v>
      </c>
      <c r="C3" s="9" t="n">
        <v>0.9</v>
      </c>
      <c r="D3" s="10" t="n">
        <v>0.4</v>
      </c>
      <c r="E3" s="9" t="n">
        <v>0.2</v>
      </c>
      <c r="F3" s="9">
        <f>E3-D3</f>
        <v/>
      </c>
      <c r="G3" s="115" t="inlineStr">
        <is>
          <t>Hohe IT-Hürden und Margendruck (Lothar).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5" customHeight="1" s="214">
      <c r="A4" s="8" t="inlineStr">
        <is>
          <t>Erste zahlende Kunden Monat</t>
        </is>
      </c>
      <c r="B4" s="122" t="n">
        <v>6</v>
      </c>
      <c r="C4" s="11" t="n">
        <v>14</v>
      </c>
      <c r="D4" s="8" t="n">
        <v>8</v>
      </c>
      <c r="E4" s="11" t="n">
        <v>4</v>
      </c>
      <c r="F4" s="11">
        <f>E4-D4</f>
        <v/>
      </c>
      <c r="G4" s="115" t="inlineStr">
        <is>
          <t>IT-Integration ist der Flaschenhals.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70" customHeight="1" s="214">
      <c r="A5" s="69" t="inlineStr">
        <is>
          <t>Buchungs-Wahrscheinlichkeit Implementation-Support je Kunde</t>
        </is>
      </c>
      <c r="B5" s="121" t="n">
        <v>0.5</v>
      </c>
      <c r="C5" s="70" t="n">
        <v>0.2</v>
      </c>
      <c r="D5" s="70" t="n">
        <v>0.5</v>
      </c>
      <c r="E5" s="70" t="n">
        <v>1</v>
      </c>
      <c r="F5" s="9">
        <f>E5-D5</f>
        <v/>
      </c>
      <c r="G5" s="115" t="inlineStr">
        <is>
          <t>Wahrscheinlichkeit, dass ein gewonnener Kunde Implementation-Support bucht:
a) 20 % (gering) = jeder 5. Kunde – Automotive, wenig Beratungsbedarf
b) 50 % (normal) = jeder 2. Kunde – Hybrid-Markt
c) 100 % (stark) = jeder Kunde – Packaging, hohe Implementierungstiefe
→ Fließt über Sandbox Z.12 → Inputs Z.139 → Revenue Z.28</t>
        </is>
      </c>
      <c r="H5" s="65" t="inlineStr">
        <is>
          <t>→ Sandbox → Inputs</t>
        </is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5" customHeight="1" s="214">
      <c r="A6" s="8" t="inlineStr">
        <is>
          <t>Startpreis pro Seat/Jahr</t>
        </is>
      </c>
      <c r="B6" s="121" t="n">
        <v>1</v>
      </c>
      <c r="C6" s="9" t="n">
        <v>0.8</v>
      </c>
      <c r="D6" s="10" t="n">
        <v>1</v>
      </c>
      <c r="E6" s="9" t="n">
        <v>1.2</v>
      </c>
      <c r="F6" s="9">
        <f>E6-D6</f>
        <v/>
      </c>
      <c r="G6" s="115" t="inlineStr">
        <is>
          <t>Value-Pricing eher in Packaging möglich.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5" customHeight="1" s="214">
      <c r="A7" s="8" t="inlineStr">
        <is>
          <t>Personal (Experten) in FTE</t>
        </is>
      </c>
      <c r="B7" s="122" t="n">
        <v>5</v>
      </c>
      <c r="C7" s="11" t="n">
        <v>3</v>
      </c>
      <c r="D7" s="8" t="n">
        <v>7</v>
      </c>
      <c r="E7" s="11" t="n">
        <v>12</v>
      </c>
      <c r="F7" s="11">
        <f>E7-D7</f>
        <v/>
      </c>
      <c r="G7" s="115" t="inlineStr">
        <is>
          <t>Bedarf an "Übersetzern" für IT-Landschaft.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98.5" customHeight="1" s="214">
      <c r="A8" s="69" t="inlineStr">
        <is>
          <t>Implementation-Support-Tage/Einsatz</t>
        </is>
      </c>
      <c r="B8" s="123" t="n">
        <v>10</v>
      </c>
      <c r="C8" s="67" t="n">
        <v>5</v>
      </c>
      <c r="D8" s="67" t="n">
        <v>10</v>
      </c>
      <c r="E8" s="67" t="n">
        <v>20</v>
      </c>
      <c r="F8" s="66">
        <f>E8-D8</f>
        <v/>
      </c>
      <c r="G8" s="116" t="inlineStr">
        <is>
          <t>Implementation-Support-Tage pro Kunde je Einsatz:
gering=5  (Basisschulung + Systemcheck)
normal=10 (Implementierungsbegleitung + Anwenderschulung)
stark=20  (Spez. Anforderungen, Datenbereinigung, Stammdaten-Harmonisierung)
→ Fließt über Sandbox Z.11 → Inputs Z.140 → Revenue Z.28</t>
        </is>
      </c>
      <c r="H8" s="65" t="inlineStr">
        <is>
          <t>→ Sandbox → Inputs</t>
        </is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17" customHeight="1" s="214">
      <c r="A9" s="120" t="inlineStr">
        <is>
          <t>Net Revenue Retention (NRR)
Umsatz von bestehenden Kunden im Vergleich zum Vorjahr – inklusive Upgrades, Downgrades und Kündigungen. Ein NRR von 110% bedeutet z.B., dass Bestandskunden dieses Jahr 10% mehr zahlen als letztes Jahr, selbst ohne einen einzigen Neukunden. Für SaaS-Startups gilt ein NRR über 100% als starkes Signal für Product-Market-Fit, weil es zeigt, dass Kunden bleiben und mehr ausgeben. Benchmark im B2B-SaaS: &gt;120% ist exzellent, &gt;100% ist solide.</t>
        </is>
      </c>
      <c r="B9" s="124" t="n">
        <v>1.15</v>
      </c>
      <c r="C9" s="70" t="n">
        <v>1.05</v>
      </c>
      <c r="D9" s="70" t="n">
        <v>1.15</v>
      </c>
      <c r="E9" s="70" t="n">
        <v>1.3</v>
      </c>
      <c r="F9" s="93">
        <f>E9-D9</f>
        <v/>
      </c>
      <c r="G9" s="117" t="inlineStr">
        <is>
          <t>Treiber-Matrix: NRR szenarioabhängig machen (bisher fest 125%).
Gering=105%: Automotive, wenig Upselling-Potenzial.
Normal=115%: Hybrid, DPP-Module.
Stark=130%: Packaging, Analytics-Premium + Multi-Werk-Rollouts.</t>
        </is>
      </c>
      <c r="H9" s="94" t="inlineStr">
        <is>
          <t>→ Sandbox → Inputs</t>
        </is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83" customHeight="1" s="214">
      <c r="A10" s="69" t="inlineStr">
        <is>
          <t>Jährliche Churn Rate</t>
        </is>
      </c>
      <c r="B10" s="125" t="n">
        <v>0.06</v>
      </c>
      <c r="C10" s="70" t="n">
        <v>0.1</v>
      </c>
      <c r="D10" s="70" t="n">
        <v>0.06</v>
      </c>
      <c r="E10" s="70" t="n">
        <v>0.03</v>
      </c>
      <c r="F10" s="93">
        <f>E10-D10</f>
        <v/>
      </c>
      <c r="G10" s="117" t="inlineStr">
        <is>
          <t>Treiber-Matrix: Churn szenarioabhängig (bisher fest 6%).
Gering=10%: Automotive-Budgetzyklen, höheres Abwanderungsrisiko.
Normal=6%: Standardwert (SaaS-Industrie).
Stark=3%: Packaging, tiefe API-Integration → hoher Switching-Cost.</t>
        </is>
      </c>
      <c r="H10" s="94" t="inlineStr">
        <is>
          <t>→ Sandbox → Inputs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90.5" customHeight="1" s="214">
      <c r="A11" s="69" t="inlineStr">
        <is>
          <t>Implementation-Support-Startmonat</t>
        </is>
      </c>
      <c r="B11" s="124" t="n">
        <v>4</v>
      </c>
      <c r="C11" s="67" t="n">
        <v>3</v>
      </c>
      <c r="D11" s="67" t="n">
        <v>4</v>
      </c>
      <c r="E11" s="67" t="n">
        <v>6</v>
      </c>
      <c r="F11" s="93">
        <f>E11-D11</f>
        <v/>
      </c>
      <c r="G11" s="117" t="inlineStr">
        <is>
          <t>Treiber-Matrix Z.21: Implementation-Support startet als Enabler vor dem SaaS-Produkt.
Gering=Monat 3: Automotive benötigt sofort IT-Begleitung.
Stark=Monat 6: Packaging-Kunden länger Self-Service-fähig.</t>
        </is>
      </c>
      <c r="H11" s="94" t="inlineStr">
        <is>
          <t>→ Sandbox → Inputs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5" customHeight="1" s="214">
      <c r="A12" s="7" t="n"/>
      <c r="B12" s="7" t="n"/>
      <c r="C12" s="7" t="n"/>
      <c r="D12" s="7" t="n"/>
      <c r="E12" s="7" t="n"/>
      <c r="F12" s="7" t="n"/>
      <c r="G12" s="118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5" customHeight="1" s="214">
      <c r="A13" s="7" t="n"/>
      <c r="B13" s="7" t="n"/>
      <c r="C13" s="7" t="n"/>
      <c r="D13" s="7" t="n"/>
      <c r="E13" s="7" t="n"/>
      <c r="F13" s="7" t="n"/>
      <c r="G13" s="118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5" customHeight="1" s="214">
      <c r="A14" s="7" t="n"/>
      <c r="B14" s="7" t="n"/>
      <c r="C14" s="7" t="n"/>
      <c r="D14" s="7" t="n"/>
      <c r="E14" s="7" t="n"/>
      <c r="F14" s="7" t="n"/>
      <c r="G14" s="118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5" customHeight="1" s="214">
      <c r="A15" s="7" t="n"/>
      <c r="B15" s="7" t="n"/>
      <c r="C15" s="7" t="n"/>
      <c r="D15" s="7" t="n"/>
      <c r="E15" s="7" t="n"/>
      <c r="F15" s="7" t="n"/>
      <c r="G15" s="118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5" customHeight="1" s="214">
      <c r="A16" s="7" t="n"/>
      <c r="B16" s="7" t="n"/>
      <c r="C16" s="7" t="n"/>
      <c r="D16" s="7" t="n"/>
      <c r="E16" s="7" t="n"/>
      <c r="F16" s="7" t="n"/>
      <c r="G16" s="118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5" customHeight="1" s="214">
      <c r="A17" s="7" t="n"/>
      <c r="B17" s="7" t="n"/>
      <c r="C17" s="7" t="n"/>
      <c r="D17" s="7" t="n"/>
      <c r="E17" s="7" t="n"/>
      <c r="F17" s="7" t="n"/>
      <c r="G17" s="118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5" customHeight="1" s="214">
      <c r="A18" s="7" t="n"/>
      <c r="B18" s="7" t="n"/>
      <c r="C18" s="7" t="n"/>
      <c r="D18" s="7" t="n"/>
      <c r="E18" s="7" t="n"/>
      <c r="F18" s="7" t="n"/>
      <c r="G18" s="118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5" customHeight="1" s="214">
      <c r="A19" s="7" t="n"/>
      <c r="B19" s="7" t="n"/>
      <c r="C19" s="7" t="n"/>
      <c r="D19" s="7" t="n"/>
      <c r="E19" s="7" t="n"/>
      <c r="F19" s="7" t="n"/>
      <c r="G19" s="118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5" customHeight="1" s="214">
      <c r="A20" s="7" t="n"/>
      <c r="B20" s="7" t="n"/>
      <c r="C20" s="7" t="n"/>
      <c r="D20" s="7" t="n"/>
      <c r="E20" s="7" t="n"/>
      <c r="F20" s="7" t="n"/>
      <c r="G20" s="118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5" customHeight="1" s="214">
      <c r="A21" s="7" t="n"/>
      <c r="B21" s="7" t="n"/>
      <c r="C21" s="7" t="n"/>
      <c r="D21" s="7" t="n"/>
      <c r="E21" s="7" t="n"/>
      <c r="F21" s="7" t="n"/>
      <c r="G21" s="118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5" customHeight="1" s="214">
      <c r="A22" s="7" t="n"/>
      <c r="B22" s="7" t="n"/>
      <c r="C22" s="7" t="n"/>
      <c r="D22" s="7" t="n"/>
      <c r="E22" s="7" t="n"/>
      <c r="F22" s="7" t="n"/>
      <c r="G22" s="118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14.5" customHeight="1" s="214">
      <c r="A23" s="7" t="n"/>
      <c r="B23" s="7" t="n"/>
      <c r="C23" s="7" t="n"/>
      <c r="D23" s="7" t="n"/>
      <c r="E23" s="7" t="n"/>
      <c r="F23" s="7" t="n"/>
      <c r="G23" s="118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5" customHeight="1" s="214">
      <c r="A24" s="7" t="n"/>
      <c r="B24" s="7" t="n"/>
      <c r="C24" s="7" t="n"/>
      <c r="D24" s="7" t="n"/>
      <c r="E24" s="7" t="n"/>
      <c r="F24" s="7" t="n"/>
      <c r="G24" s="118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 ht="14.5" customHeight="1" s="214">
      <c r="A25" s="7" t="n"/>
      <c r="B25" s="7" t="n"/>
      <c r="C25" s="7" t="n"/>
      <c r="D25" s="7" t="n"/>
      <c r="E25" s="7" t="n"/>
      <c r="F25" s="7" t="n"/>
      <c r="G25" s="118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5" customHeight="1" s="214">
      <c r="A26" s="7" t="n"/>
      <c r="B26" s="7" t="n"/>
      <c r="C26" s="7" t="n"/>
      <c r="D26" s="7" t="n"/>
      <c r="E26" s="7" t="n"/>
      <c r="F26" s="7" t="n"/>
      <c r="G26" s="118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5" customHeight="1" s="214">
      <c r="A27" s="7" t="n"/>
      <c r="B27" s="7" t="n"/>
      <c r="C27" s="7" t="n"/>
      <c r="D27" s="7" t="n"/>
      <c r="E27" s="7" t="n"/>
      <c r="F27" s="7" t="n"/>
      <c r="G27" s="118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5" customHeight="1" s="214">
      <c r="A28" s="7" t="n"/>
      <c r="B28" s="7" t="n"/>
      <c r="C28" s="7" t="n"/>
      <c r="D28" s="7" t="n"/>
      <c r="E28" s="7" t="n"/>
      <c r="F28" s="7" t="n"/>
      <c r="G28" s="118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5" customHeight="1" s="214">
      <c r="A29" s="7" t="n"/>
      <c r="B29" s="7" t="n"/>
      <c r="C29" s="7" t="n"/>
      <c r="D29" s="7" t="n"/>
      <c r="E29" s="7" t="n"/>
      <c r="F29" s="7" t="n"/>
      <c r="G29" s="118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5" customHeight="1" s="214">
      <c r="A30" s="7" t="n"/>
      <c r="B30" s="7" t="n"/>
      <c r="C30" s="7" t="n"/>
      <c r="D30" s="7" t="n"/>
      <c r="E30" s="7" t="n"/>
      <c r="F30" s="7" t="n"/>
      <c r="G30" s="118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5" customHeight="1" s="214">
      <c r="A31" s="7" t="n"/>
      <c r="B31" s="7" t="n"/>
      <c r="C31" s="7" t="n"/>
      <c r="D31" s="7" t="n"/>
      <c r="E31" s="7" t="n"/>
      <c r="F31" s="7" t="n"/>
      <c r="G31" s="118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5" customHeight="1" s="214">
      <c r="A32" s="7" t="n"/>
      <c r="B32" s="7" t="n"/>
      <c r="C32" s="7" t="n"/>
      <c r="D32" s="7" t="n"/>
      <c r="E32" s="7" t="n"/>
      <c r="F32" s="7" t="n"/>
      <c r="G32" s="118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5" customHeight="1" s="214">
      <c r="A33" s="7" t="n"/>
      <c r="B33" s="7" t="n"/>
      <c r="C33" s="7" t="n"/>
      <c r="D33" s="7" t="n"/>
      <c r="E33" s="7" t="n"/>
      <c r="F33" s="7" t="n"/>
      <c r="G33" s="118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5" customHeight="1" s="214">
      <c r="A34" s="7" t="n"/>
      <c r="B34" s="7" t="n"/>
      <c r="C34" s="7" t="n"/>
      <c r="D34" s="7" t="n"/>
      <c r="E34" s="7" t="n"/>
      <c r="F34" s="7" t="n"/>
      <c r="G34" s="118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5" customHeight="1" s="214">
      <c r="A35" s="7" t="n"/>
      <c r="B35" s="7" t="n"/>
      <c r="C35" s="7" t="n"/>
      <c r="D35" s="7" t="n"/>
      <c r="E35" s="7" t="n"/>
      <c r="F35" s="7" t="n"/>
      <c r="G35" s="118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5" customHeight="1" s="214">
      <c r="A36" s="7" t="n"/>
      <c r="B36" s="7" t="n"/>
      <c r="C36" s="7" t="n"/>
      <c r="D36" s="7" t="n"/>
      <c r="E36" s="7" t="n"/>
      <c r="F36" s="7" t="n"/>
      <c r="G36" s="118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5" customHeight="1" s="214">
      <c r="A37" s="7" t="n"/>
      <c r="B37" s="7" t="n"/>
      <c r="C37" s="7" t="n"/>
      <c r="D37" s="7" t="n"/>
      <c r="E37" s="7" t="n"/>
      <c r="F37" s="7" t="n"/>
      <c r="G37" s="118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5" customHeight="1" s="214">
      <c r="A38" s="7" t="n"/>
      <c r="B38" s="7" t="n"/>
      <c r="C38" s="7" t="n"/>
      <c r="D38" s="7" t="n"/>
      <c r="E38" s="7" t="n"/>
      <c r="F38" s="7" t="n"/>
      <c r="G38" s="118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5" customHeight="1" s="214">
      <c r="A39" s="7" t="n"/>
      <c r="B39" s="7" t="n"/>
      <c r="C39" s="7" t="n"/>
      <c r="D39" s="7" t="n"/>
      <c r="E39" s="7" t="n"/>
      <c r="F39" s="7" t="n"/>
      <c r="G39" s="118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14.5" customHeight="1" s="214">
      <c r="A40" s="7" t="n"/>
      <c r="B40" s="7" t="n"/>
      <c r="C40" s="7" t="n"/>
      <c r="D40" s="7" t="n"/>
      <c r="E40" s="7" t="n"/>
      <c r="F40" s="7" t="n"/>
      <c r="G40" s="118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</row>
    <row r="41" ht="14.5" customHeight="1" s="214">
      <c r="A41" s="7" t="n"/>
      <c r="B41" s="7" t="n"/>
      <c r="C41" s="7" t="n"/>
      <c r="D41" s="7" t="n"/>
      <c r="E41" s="7" t="n"/>
      <c r="F41" s="7" t="n"/>
      <c r="G41" s="118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</row>
    <row r="42" ht="14.5" customHeight="1" s="214">
      <c r="A42" s="7" t="n"/>
      <c r="B42" s="7" t="n"/>
      <c r="C42" s="7" t="n"/>
      <c r="D42" s="7" t="n"/>
      <c r="E42" s="7" t="n"/>
      <c r="F42" s="7" t="n"/>
      <c r="G42" s="118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5" customHeight="1" s="214">
      <c r="A43" s="7" t="n"/>
      <c r="B43" s="7" t="n"/>
      <c r="C43" s="7" t="n"/>
      <c r="D43" s="7" t="n"/>
      <c r="E43" s="7" t="n"/>
      <c r="F43" s="7" t="n"/>
      <c r="G43" s="118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5" customHeight="1" s="214">
      <c r="A44" s="7" t="n"/>
      <c r="B44" s="7" t="n"/>
      <c r="C44" s="7" t="n"/>
      <c r="D44" s="7" t="n"/>
      <c r="E44" s="7" t="n"/>
      <c r="F44" s="7" t="n"/>
      <c r="G44" s="118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 ht="14.5" customHeight="1" s="214">
      <c r="A45" s="7" t="n"/>
      <c r="B45" s="7" t="n"/>
      <c r="C45" s="7" t="n"/>
      <c r="D45" s="7" t="n"/>
      <c r="E45" s="7" t="n"/>
      <c r="F45" s="7" t="n"/>
      <c r="G45" s="118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5" customHeight="1" s="214">
      <c r="A46" s="7" t="n"/>
      <c r="B46" s="7" t="n"/>
      <c r="C46" s="7" t="n"/>
      <c r="D46" s="7" t="n"/>
      <c r="E46" s="7" t="n"/>
      <c r="F46" s="7" t="n"/>
      <c r="G46" s="118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5" customHeight="1" s="214">
      <c r="A47" s="7" t="n"/>
      <c r="B47" s="7" t="n"/>
      <c r="C47" s="7" t="n"/>
      <c r="D47" s="7" t="n"/>
      <c r="E47" s="7" t="n"/>
      <c r="F47" s="7" t="n"/>
      <c r="G47" s="118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5" customHeight="1" s="214">
      <c r="A48" s="7" t="n"/>
      <c r="B48" s="7" t="n"/>
      <c r="C48" s="7" t="n"/>
      <c r="D48" s="7" t="n"/>
      <c r="E48" s="7" t="n"/>
      <c r="F48" s="7" t="n"/>
      <c r="G48" s="118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5" customHeight="1" s="214">
      <c r="A49" s="7" t="n"/>
      <c r="B49" s="7" t="n"/>
      <c r="C49" s="7" t="n"/>
      <c r="D49" s="7" t="n"/>
      <c r="E49" s="7" t="n"/>
      <c r="F49" s="7" t="n"/>
      <c r="G49" s="118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5" customHeight="1" s="214">
      <c r="A50" s="7" t="n"/>
      <c r="B50" s="7" t="n"/>
      <c r="C50" s="7" t="n"/>
      <c r="D50" s="7" t="n"/>
      <c r="E50" s="7" t="n"/>
      <c r="F50" s="7" t="n"/>
      <c r="G50" s="118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5" customHeight="1" s="214">
      <c r="A51" s="7" t="n"/>
      <c r="B51" s="7" t="n"/>
      <c r="C51" s="7" t="n"/>
      <c r="D51" s="7" t="n"/>
      <c r="E51" s="7" t="n"/>
      <c r="F51" s="7" t="n"/>
      <c r="G51" s="118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5" customHeight="1" s="214">
      <c r="A52" s="7" t="n"/>
      <c r="B52" s="7" t="n"/>
      <c r="C52" s="7" t="n"/>
      <c r="D52" s="7" t="n"/>
      <c r="E52" s="7" t="n"/>
      <c r="F52" s="7" t="n"/>
      <c r="G52" s="118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5" customHeight="1" s="214">
      <c r="A53" s="7" t="n"/>
      <c r="B53" s="7" t="n"/>
      <c r="C53" s="7" t="n"/>
      <c r="D53" s="7" t="n"/>
      <c r="E53" s="7" t="n"/>
      <c r="F53" s="7" t="n"/>
      <c r="G53" s="118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5" customHeight="1" s="214">
      <c r="A54" s="7" t="n"/>
      <c r="B54" s="7" t="n"/>
      <c r="C54" s="7" t="n"/>
      <c r="D54" s="7" t="n"/>
      <c r="E54" s="7" t="n"/>
      <c r="F54" s="7" t="n"/>
      <c r="G54" s="118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5" customHeight="1" s="214">
      <c r="A55" s="7" t="n"/>
      <c r="B55" s="7" t="n"/>
      <c r="C55" s="7" t="n"/>
      <c r="D55" s="7" t="n"/>
      <c r="E55" s="7" t="n"/>
      <c r="F55" s="7" t="n"/>
      <c r="G55" s="118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5" customHeight="1" s="214">
      <c r="A56" s="7" t="n"/>
      <c r="B56" s="7" t="n"/>
      <c r="C56" s="7" t="n"/>
      <c r="D56" s="7" t="n"/>
      <c r="E56" s="7" t="n"/>
      <c r="F56" s="7" t="n"/>
      <c r="G56" s="118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5" customHeight="1" s="214">
      <c r="A57" s="7" t="n"/>
      <c r="B57" s="7" t="n"/>
      <c r="C57" s="7" t="n"/>
      <c r="D57" s="7" t="n"/>
      <c r="E57" s="7" t="n"/>
      <c r="F57" s="7" t="n"/>
      <c r="G57" s="118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</row>
    <row r="58" ht="14.5" customHeight="1" s="214">
      <c r="A58" s="7" t="n"/>
      <c r="B58" s="7" t="n"/>
      <c r="C58" s="7" t="n"/>
      <c r="D58" s="7" t="n"/>
      <c r="E58" s="7" t="n"/>
      <c r="F58" s="7" t="n"/>
      <c r="G58" s="118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5" customHeight="1" s="214">
      <c r="A59" s="7" t="n"/>
      <c r="B59" s="7" t="n"/>
      <c r="C59" s="7" t="n"/>
      <c r="D59" s="7" t="n"/>
      <c r="E59" s="7" t="n"/>
      <c r="F59" s="7" t="n"/>
      <c r="G59" s="118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5" customHeight="1" s="214">
      <c r="A60" s="7" t="n"/>
      <c r="B60" s="7" t="n"/>
      <c r="C60" s="7" t="n"/>
      <c r="D60" s="7" t="n"/>
      <c r="E60" s="7" t="n"/>
      <c r="F60" s="7" t="n"/>
      <c r="G60" s="118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</row>
    <row r="61" ht="14.5" customHeight="1" s="214">
      <c r="A61" s="7" t="n"/>
      <c r="B61" s="7" t="n"/>
      <c r="C61" s="7" t="n"/>
      <c r="D61" s="7" t="n"/>
      <c r="E61" s="7" t="n"/>
      <c r="F61" s="7" t="n"/>
      <c r="G61" s="118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</row>
    <row r="62" ht="14.5" customHeight="1" s="214">
      <c r="A62" s="7" t="n"/>
      <c r="B62" s="7" t="n"/>
      <c r="C62" s="7" t="n"/>
      <c r="D62" s="7" t="n"/>
      <c r="E62" s="7" t="n"/>
      <c r="F62" s="7" t="n"/>
      <c r="G62" s="118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5" customHeight="1" s="214">
      <c r="A63" s="7" t="n"/>
      <c r="B63" s="7" t="n"/>
      <c r="C63" s="7" t="n"/>
      <c r="D63" s="7" t="n"/>
      <c r="E63" s="7" t="n"/>
      <c r="F63" s="7" t="n"/>
      <c r="G63" s="118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</row>
    <row r="64" ht="14.5" customHeight="1" s="214">
      <c r="A64" s="7" t="n"/>
      <c r="B64" s="7" t="n"/>
      <c r="C64" s="7" t="n"/>
      <c r="D64" s="7" t="n"/>
      <c r="E64" s="7" t="n"/>
      <c r="F64" s="7" t="n"/>
      <c r="G64" s="118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5" customHeight="1" s="214">
      <c r="A65" s="7" t="n"/>
      <c r="B65" s="7" t="n"/>
      <c r="C65" s="7" t="n"/>
      <c r="D65" s="7" t="n"/>
      <c r="E65" s="7" t="n"/>
      <c r="F65" s="7" t="n"/>
      <c r="G65" s="118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5" customHeight="1" s="214">
      <c r="A66" s="7" t="n"/>
      <c r="B66" s="7" t="n"/>
      <c r="C66" s="7" t="n"/>
      <c r="D66" s="7" t="n"/>
      <c r="E66" s="7" t="n"/>
      <c r="F66" s="7" t="n"/>
      <c r="G66" s="118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5" customHeight="1" s="214">
      <c r="A67" s="7" t="n"/>
      <c r="B67" s="7" t="n"/>
      <c r="C67" s="7" t="n"/>
      <c r="D67" s="7" t="n"/>
      <c r="E67" s="7" t="n"/>
      <c r="F67" s="7" t="n"/>
      <c r="G67" s="118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5" customHeight="1" s="214">
      <c r="A68" s="7" t="n"/>
      <c r="B68" s="7" t="n"/>
      <c r="C68" s="7" t="n"/>
      <c r="D68" s="7" t="n"/>
      <c r="E68" s="7" t="n"/>
      <c r="F68" s="7" t="n"/>
      <c r="G68" s="118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5" customHeight="1" s="214">
      <c r="A69" s="7" t="n"/>
      <c r="B69" s="7" t="n"/>
      <c r="C69" s="7" t="n"/>
      <c r="D69" s="7" t="n"/>
      <c r="E69" s="7" t="n"/>
      <c r="F69" s="7" t="n"/>
      <c r="G69" s="118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5" customHeight="1" s="214">
      <c r="A70" s="7" t="n"/>
      <c r="B70" s="7" t="n"/>
      <c r="C70" s="7" t="n"/>
      <c r="D70" s="7" t="n"/>
      <c r="E70" s="7" t="n"/>
      <c r="F70" s="7" t="n"/>
      <c r="G70" s="118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5" customHeight="1" s="214">
      <c r="A71" s="7" t="n"/>
      <c r="B71" s="7" t="n"/>
      <c r="C71" s="7" t="n"/>
      <c r="D71" s="7" t="n"/>
      <c r="E71" s="7" t="n"/>
      <c r="F71" s="7" t="n"/>
      <c r="G71" s="118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5" customHeight="1" s="214">
      <c r="A72" s="7" t="n"/>
      <c r="B72" s="7" t="n"/>
      <c r="C72" s="7" t="n"/>
      <c r="D72" s="7" t="n"/>
      <c r="E72" s="7" t="n"/>
      <c r="F72" s="7" t="n"/>
      <c r="G72" s="118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5" customHeight="1" s="214">
      <c r="A73" s="7" t="n"/>
      <c r="B73" s="7" t="n"/>
      <c r="C73" s="7" t="n"/>
      <c r="D73" s="7" t="n"/>
      <c r="E73" s="7" t="n"/>
      <c r="F73" s="7" t="n"/>
      <c r="G73" s="118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5" customHeight="1" s="214">
      <c r="A74" s="7" t="n"/>
      <c r="B74" s="7" t="n"/>
      <c r="C74" s="7" t="n"/>
      <c r="D74" s="7" t="n"/>
      <c r="E74" s="7" t="n"/>
      <c r="F74" s="7" t="n"/>
      <c r="G74" s="118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5" customHeight="1" s="214">
      <c r="A75" s="7" t="n"/>
      <c r="B75" s="7" t="n"/>
      <c r="C75" s="7" t="n"/>
      <c r="D75" s="7" t="n"/>
      <c r="E75" s="7" t="n"/>
      <c r="F75" s="7" t="n"/>
      <c r="G75" s="118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5" customHeight="1" s="214">
      <c r="A76" s="7" t="n"/>
      <c r="B76" s="7" t="n"/>
      <c r="C76" s="7" t="n"/>
      <c r="D76" s="7" t="n"/>
      <c r="E76" s="7" t="n"/>
      <c r="F76" s="7" t="n"/>
      <c r="G76" s="118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5" customHeight="1" s="214">
      <c r="A77" s="7" t="n"/>
      <c r="B77" s="7" t="n"/>
      <c r="C77" s="7" t="n"/>
      <c r="D77" s="7" t="n"/>
      <c r="E77" s="7" t="n"/>
      <c r="F77" s="7" t="n"/>
      <c r="G77" s="118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5" customHeight="1" s="214">
      <c r="A78" s="7" t="n"/>
      <c r="B78" s="7" t="n"/>
      <c r="C78" s="7" t="n"/>
      <c r="D78" s="7" t="n"/>
      <c r="E78" s="7" t="n"/>
      <c r="F78" s="7" t="n"/>
      <c r="G78" s="118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14.5" customHeight="1" s="214">
      <c r="A79" s="7" t="n"/>
      <c r="B79" s="7" t="n"/>
      <c r="C79" s="7" t="n"/>
      <c r="D79" s="7" t="n"/>
      <c r="E79" s="7" t="n"/>
      <c r="F79" s="7" t="n"/>
      <c r="G79" s="118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14.5" customHeight="1" s="214">
      <c r="A80" s="7" t="n"/>
      <c r="B80" s="7" t="n"/>
      <c r="C80" s="7" t="n"/>
      <c r="D80" s="7" t="n"/>
      <c r="E80" s="7" t="n"/>
      <c r="F80" s="7" t="n"/>
      <c r="G80" s="118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14.5" customHeight="1" s="214">
      <c r="A81" s="7" t="n"/>
      <c r="B81" s="7" t="n"/>
      <c r="C81" s="7" t="n"/>
      <c r="D81" s="7" t="n"/>
      <c r="E81" s="7" t="n"/>
      <c r="F81" s="7" t="n"/>
      <c r="G81" s="118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14.5" customHeight="1" s="214">
      <c r="A82" s="7" t="n"/>
      <c r="B82" s="7" t="n"/>
      <c r="C82" s="7" t="n"/>
      <c r="D82" s="7" t="n"/>
      <c r="E82" s="7" t="n"/>
      <c r="F82" s="7" t="n"/>
      <c r="G82" s="118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5" customHeight="1" s="214">
      <c r="A83" s="7" t="n"/>
      <c r="B83" s="7" t="n"/>
      <c r="C83" s="7" t="n"/>
      <c r="D83" s="7" t="n"/>
      <c r="E83" s="7" t="n"/>
      <c r="F83" s="7" t="n"/>
      <c r="G83" s="118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5" customHeight="1" s="214">
      <c r="A84" s="7" t="n"/>
      <c r="B84" s="7" t="n"/>
      <c r="C84" s="7" t="n"/>
      <c r="D84" s="7" t="n"/>
      <c r="E84" s="7" t="n"/>
      <c r="F84" s="7" t="n"/>
      <c r="G84" s="118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5" customHeight="1" s="214">
      <c r="A85" s="7" t="n"/>
      <c r="B85" s="7" t="n"/>
      <c r="C85" s="7" t="n"/>
      <c r="D85" s="7" t="n"/>
      <c r="E85" s="7" t="n"/>
      <c r="F85" s="7" t="n"/>
      <c r="G85" s="118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5" customHeight="1" s="214">
      <c r="A86" s="7" t="n"/>
      <c r="B86" s="7" t="n"/>
      <c r="C86" s="7" t="n"/>
      <c r="D86" s="7" t="n"/>
      <c r="E86" s="7" t="n"/>
      <c r="F86" s="7" t="n"/>
      <c r="G86" s="118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5" customHeight="1" s="214">
      <c r="A87" s="7" t="n"/>
      <c r="B87" s="7" t="n"/>
      <c r="C87" s="7" t="n"/>
      <c r="D87" s="7" t="n"/>
      <c r="E87" s="7" t="n"/>
      <c r="F87" s="7" t="n"/>
      <c r="G87" s="118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5" customHeight="1" s="214">
      <c r="A88" s="7" t="n"/>
      <c r="B88" s="7" t="n"/>
      <c r="C88" s="7" t="n"/>
      <c r="D88" s="7" t="n"/>
      <c r="E88" s="7" t="n"/>
      <c r="F88" s="7" t="n"/>
      <c r="G88" s="118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5" customHeight="1" s="214">
      <c r="A89" s="7" t="n"/>
      <c r="B89" s="7" t="n"/>
      <c r="C89" s="7" t="n"/>
      <c r="D89" s="7" t="n"/>
      <c r="E89" s="7" t="n"/>
      <c r="F89" s="7" t="n"/>
      <c r="G89" s="118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5" customHeight="1" s="214">
      <c r="A90" s="7" t="n"/>
      <c r="B90" s="7" t="n"/>
      <c r="C90" s="7" t="n"/>
      <c r="D90" s="7" t="n"/>
      <c r="E90" s="7" t="n"/>
      <c r="F90" s="7" t="n"/>
      <c r="G90" s="118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5" customHeight="1" s="214">
      <c r="A91" s="7" t="n"/>
      <c r="B91" s="7" t="n"/>
      <c r="C91" s="7" t="n"/>
      <c r="D91" s="7" t="n"/>
      <c r="E91" s="7" t="n"/>
      <c r="F91" s="7" t="n"/>
      <c r="G91" s="118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5" customHeight="1" s="214">
      <c r="A92" s="7" t="n"/>
      <c r="B92" s="7" t="n"/>
      <c r="C92" s="7" t="n"/>
      <c r="D92" s="7" t="n"/>
      <c r="E92" s="7" t="n"/>
      <c r="F92" s="7" t="n"/>
      <c r="G92" s="118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5" customHeight="1" s="214">
      <c r="A93" s="7" t="n"/>
      <c r="B93" s="7" t="n"/>
      <c r="C93" s="7" t="n"/>
      <c r="D93" s="7" t="n"/>
      <c r="E93" s="7" t="n"/>
      <c r="F93" s="7" t="n"/>
      <c r="G93" s="118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5" customHeight="1" s="214">
      <c r="A94" s="7" t="n"/>
      <c r="B94" s="7" t="n"/>
      <c r="C94" s="7" t="n"/>
      <c r="D94" s="7" t="n"/>
      <c r="E94" s="7" t="n"/>
      <c r="F94" s="7" t="n"/>
      <c r="G94" s="118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14.5" customHeight="1" s="214">
      <c r="A95" s="7" t="n"/>
      <c r="B95" s="7" t="n"/>
      <c r="C95" s="7" t="n"/>
      <c r="D95" s="7" t="n"/>
      <c r="E95" s="7" t="n"/>
      <c r="F95" s="7" t="n"/>
      <c r="G95" s="118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5" customHeight="1" s="214">
      <c r="A96" s="7" t="n"/>
      <c r="B96" s="7" t="n"/>
      <c r="C96" s="7" t="n"/>
      <c r="D96" s="7" t="n"/>
      <c r="E96" s="7" t="n"/>
      <c r="F96" s="7" t="n"/>
      <c r="G96" s="118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5" customHeight="1" s="214">
      <c r="A97" s="7" t="n"/>
      <c r="B97" s="7" t="n"/>
      <c r="C97" s="7" t="n"/>
      <c r="D97" s="7" t="n"/>
      <c r="E97" s="7" t="n"/>
      <c r="F97" s="7" t="n"/>
      <c r="G97" s="118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5" customHeight="1" s="214">
      <c r="A98" s="7" t="n"/>
      <c r="B98" s="7" t="n"/>
      <c r="C98" s="7" t="n"/>
      <c r="D98" s="7" t="n"/>
      <c r="E98" s="7" t="n"/>
      <c r="F98" s="7" t="n"/>
      <c r="G98" s="118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5" customHeight="1" s="214">
      <c r="A99" s="7" t="n"/>
      <c r="B99" s="7" t="n"/>
      <c r="C99" s="7" t="n"/>
      <c r="D99" s="7" t="n"/>
      <c r="E99" s="7" t="n"/>
      <c r="F99" s="7" t="n"/>
      <c r="G99" s="118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5" customHeight="1" s="214">
      <c r="A100" s="7" t="n"/>
      <c r="B100" s="7" t="n"/>
      <c r="C100" s="7" t="n"/>
      <c r="D100" s="7" t="n"/>
      <c r="E100" s="7" t="n"/>
      <c r="F100" s="7" t="n"/>
      <c r="G100" s="118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5" customHeight="1" s="214">
      <c r="A101" s="7" t="n"/>
      <c r="B101" s="7" t="n"/>
      <c r="C101" s="7" t="n"/>
      <c r="D101" s="7" t="n"/>
      <c r="E101" s="7" t="n"/>
      <c r="F101" s="7" t="n"/>
      <c r="G101" s="118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5" customHeight="1" s="214">
      <c r="A102" s="7" t="n"/>
      <c r="B102" s="7" t="n"/>
      <c r="C102" s="7" t="n"/>
      <c r="D102" s="7" t="n"/>
      <c r="E102" s="7" t="n"/>
      <c r="F102" s="7" t="n"/>
      <c r="G102" s="118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5" customHeight="1" s="214">
      <c r="A103" s="7" t="n"/>
      <c r="B103" s="7" t="n"/>
      <c r="C103" s="7" t="n"/>
      <c r="D103" s="7" t="n"/>
      <c r="E103" s="7" t="n"/>
      <c r="F103" s="7" t="n"/>
      <c r="G103" s="118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5" customHeight="1" s="214">
      <c r="A104" s="7" t="n"/>
      <c r="B104" s="7" t="n"/>
      <c r="C104" s="7" t="n"/>
      <c r="D104" s="7" t="n"/>
      <c r="E104" s="7" t="n"/>
      <c r="F104" s="7" t="n"/>
      <c r="G104" s="118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5" customHeight="1" s="214">
      <c r="A105" s="7" t="n"/>
      <c r="B105" s="7" t="n"/>
      <c r="C105" s="7" t="n"/>
      <c r="D105" s="7" t="n"/>
      <c r="E105" s="7" t="n"/>
      <c r="F105" s="7" t="n"/>
      <c r="G105" s="118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5" customHeight="1" s="214">
      <c r="A106" s="7" t="n"/>
      <c r="B106" s="7" t="n"/>
      <c r="C106" s="7" t="n"/>
      <c r="D106" s="7" t="n"/>
      <c r="E106" s="7" t="n"/>
      <c r="F106" s="7" t="n"/>
      <c r="G106" s="118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5" customHeight="1" s="214">
      <c r="A107" s="7" t="n"/>
      <c r="B107" s="7" t="n"/>
      <c r="C107" s="7" t="n"/>
      <c r="D107" s="7" t="n"/>
      <c r="E107" s="7" t="n"/>
      <c r="F107" s="7" t="n"/>
      <c r="G107" s="118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5" customHeight="1" s="214">
      <c r="A108" s="7" t="n"/>
      <c r="B108" s="7" t="n"/>
      <c r="C108" s="7" t="n"/>
      <c r="D108" s="7" t="n"/>
      <c r="E108" s="7" t="n"/>
      <c r="F108" s="7" t="n"/>
      <c r="G108" s="118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5" customHeight="1" s="214">
      <c r="A109" s="7" t="n"/>
      <c r="B109" s="7" t="n"/>
      <c r="C109" s="7" t="n"/>
      <c r="D109" s="7" t="n"/>
      <c r="E109" s="7" t="n"/>
      <c r="F109" s="7" t="n"/>
      <c r="G109" s="118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5" customHeight="1" s="214">
      <c r="A110" s="7" t="n"/>
      <c r="B110" s="7" t="n"/>
      <c r="C110" s="7" t="n"/>
      <c r="D110" s="7" t="n"/>
      <c r="E110" s="7" t="n"/>
      <c r="F110" s="7" t="n"/>
      <c r="G110" s="118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5" customHeight="1" s="214">
      <c r="A111" s="7" t="n"/>
      <c r="B111" s="7" t="n"/>
      <c r="C111" s="7" t="n"/>
      <c r="D111" s="7" t="n"/>
      <c r="E111" s="7" t="n"/>
      <c r="F111" s="7" t="n"/>
      <c r="G111" s="118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5" customHeight="1" s="214">
      <c r="A112" s="7" t="n"/>
      <c r="B112" s="7" t="n"/>
      <c r="C112" s="7" t="n"/>
      <c r="D112" s="7" t="n"/>
      <c r="E112" s="7" t="n"/>
      <c r="F112" s="7" t="n"/>
      <c r="G112" s="118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5" customHeight="1" s="214">
      <c r="A113" s="7" t="n"/>
      <c r="B113" s="7" t="n"/>
      <c r="C113" s="7" t="n"/>
      <c r="D113" s="7" t="n"/>
      <c r="E113" s="7" t="n"/>
      <c r="F113" s="7" t="n"/>
      <c r="G113" s="118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 ht="14.5" customHeight="1" s="214">
      <c r="A114" s="7" t="n"/>
      <c r="B114" s="7" t="n"/>
      <c r="C114" s="7" t="n"/>
      <c r="D114" s="7" t="n"/>
      <c r="E114" s="7" t="n"/>
      <c r="F114" s="7" t="n"/>
      <c r="G114" s="118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 ht="14.5" customHeight="1" s="214">
      <c r="A115" s="7" t="n"/>
      <c r="B115" s="7" t="n"/>
      <c r="C115" s="7" t="n"/>
      <c r="D115" s="7" t="n"/>
      <c r="E115" s="7" t="n"/>
      <c r="F115" s="7" t="n"/>
      <c r="G115" s="118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</row>
    <row r="116" ht="14.5" customHeight="1" s="214">
      <c r="A116" s="7" t="n"/>
      <c r="B116" s="7" t="n"/>
      <c r="C116" s="7" t="n"/>
      <c r="D116" s="7" t="n"/>
      <c r="E116" s="7" t="n"/>
      <c r="F116" s="7" t="n"/>
      <c r="G116" s="118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 ht="14.5" customHeight="1" s="214">
      <c r="A117" s="7" t="n"/>
      <c r="B117" s="7" t="n"/>
      <c r="C117" s="7" t="n"/>
      <c r="D117" s="7" t="n"/>
      <c r="E117" s="7" t="n"/>
      <c r="F117" s="7" t="n"/>
      <c r="G117" s="118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5" customHeight="1" s="214">
      <c r="A118" s="7" t="n"/>
      <c r="B118" s="7" t="n"/>
      <c r="C118" s="7" t="n"/>
      <c r="D118" s="7" t="n"/>
      <c r="E118" s="7" t="n"/>
      <c r="F118" s="7" t="n"/>
      <c r="G118" s="118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5" customHeight="1" s="214">
      <c r="A119" s="7" t="n"/>
      <c r="B119" s="7" t="n"/>
      <c r="C119" s="7" t="n"/>
      <c r="D119" s="7" t="n"/>
      <c r="E119" s="7" t="n"/>
      <c r="F119" s="7" t="n"/>
      <c r="G119" s="118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5" customHeight="1" s="214">
      <c r="A120" s="7" t="n"/>
      <c r="B120" s="7" t="n"/>
      <c r="C120" s="7" t="n"/>
      <c r="D120" s="7" t="n"/>
      <c r="E120" s="7" t="n"/>
      <c r="F120" s="7" t="n"/>
      <c r="G120" s="118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5" customHeight="1" s="214">
      <c r="A121" s="7" t="n"/>
      <c r="B121" s="7" t="n"/>
      <c r="C121" s="7" t="n"/>
      <c r="D121" s="7" t="n"/>
      <c r="E121" s="7" t="n"/>
      <c r="F121" s="7" t="n"/>
      <c r="G121" s="118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5" customHeight="1" s="214">
      <c r="A122" s="7" t="n"/>
      <c r="B122" s="7" t="n"/>
      <c r="C122" s="7" t="n"/>
      <c r="D122" s="7" t="n"/>
      <c r="E122" s="7" t="n"/>
      <c r="F122" s="7" t="n"/>
      <c r="G122" s="118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5" customHeight="1" s="214">
      <c r="A123" s="7" t="n"/>
      <c r="B123" s="7" t="n"/>
      <c r="C123" s="7" t="n"/>
      <c r="D123" s="7" t="n"/>
      <c r="E123" s="7" t="n"/>
      <c r="F123" s="7" t="n"/>
      <c r="G123" s="118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5" customHeight="1" s="214">
      <c r="A124" s="7" t="n"/>
      <c r="B124" s="7" t="n"/>
      <c r="C124" s="7" t="n"/>
      <c r="D124" s="7" t="n"/>
      <c r="E124" s="7" t="n"/>
      <c r="F124" s="7" t="n"/>
      <c r="G124" s="118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5" customHeight="1" s="214">
      <c r="A125" s="7" t="n"/>
      <c r="B125" s="7" t="n"/>
      <c r="C125" s="7" t="n"/>
      <c r="D125" s="7" t="n"/>
      <c r="E125" s="7" t="n"/>
      <c r="F125" s="7" t="n"/>
      <c r="G125" s="118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5" customHeight="1" s="214">
      <c r="A126" s="7" t="n"/>
      <c r="B126" s="7" t="n"/>
      <c r="C126" s="7" t="n"/>
      <c r="D126" s="7" t="n"/>
      <c r="E126" s="7" t="n"/>
      <c r="F126" s="7" t="n"/>
      <c r="G126" s="118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14.5" customHeight="1" s="214">
      <c r="A127" s="7" t="n"/>
      <c r="B127" s="7" t="n"/>
      <c r="C127" s="7" t="n"/>
      <c r="D127" s="7" t="n"/>
      <c r="E127" s="7" t="n"/>
      <c r="F127" s="7" t="n"/>
      <c r="G127" s="118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5" customHeight="1" s="214">
      <c r="A128" s="7" t="n"/>
      <c r="B128" s="7" t="n"/>
      <c r="C128" s="7" t="n"/>
      <c r="D128" s="7" t="n"/>
      <c r="E128" s="7" t="n"/>
      <c r="F128" s="7" t="n"/>
      <c r="G128" s="118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14.5" customHeight="1" s="214">
      <c r="A129" s="7" t="n"/>
      <c r="B129" s="7" t="n"/>
      <c r="C129" s="7" t="n"/>
      <c r="D129" s="7" t="n"/>
      <c r="E129" s="7" t="n"/>
      <c r="F129" s="7" t="n"/>
      <c r="G129" s="118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14.5" customHeight="1" s="214">
      <c r="A130" s="7" t="n"/>
      <c r="B130" s="7" t="n"/>
      <c r="C130" s="7" t="n"/>
      <c r="D130" s="7" t="n"/>
      <c r="E130" s="7" t="n"/>
      <c r="F130" s="7" t="n"/>
      <c r="G130" s="118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14.5" customHeight="1" s="214">
      <c r="A131" s="7" t="n"/>
      <c r="B131" s="7" t="n"/>
      <c r="C131" s="7" t="n"/>
      <c r="D131" s="7" t="n"/>
      <c r="E131" s="7" t="n"/>
      <c r="F131" s="7" t="n"/>
      <c r="G131" s="118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14.5" customHeight="1" s="214">
      <c r="A132" s="7" t="n"/>
      <c r="B132" s="7" t="n"/>
      <c r="C132" s="7" t="n"/>
      <c r="D132" s="7" t="n"/>
      <c r="E132" s="7" t="n"/>
      <c r="F132" s="7" t="n"/>
      <c r="G132" s="118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5" customHeight="1" s="214">
      <c r="A133" s="7" t="n"/>
      <c r="B133" s="7" t="n"/>
      <c r="C133" s="7" t="n"/>
      <c r="D133" s="7" t="n"/>
      <c r="E133" s="7" t="n"/>
      <c r="F133" s="7" t="n"/>
      <c r="G133" s="118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5" customHeight="1" s="214">
      <c r="A134" s="7" t="n"/>
      <c r="B134" s="7" t="n"/>
      <c r="C134" s="7" t="n"/>
      <c r="D134" s="7" t="n"/>
      <c r="E134" s="7" t="n"/>
      <c r="F134" s="7" t="n"/>
      <c r="G134" s="118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5" customHeight="1" s="214">
      <c r="A135" s="7" t="n"/>
      <c r="B135" s="7" t="n"/>
      <c r="C135" s="7" t="n"/>
      <c r="D135" s="7" t="n"/>
      <c r="E135" s="7" t="n"/>
      <c r="F135" s="7" t="n"/>
      <c r="G135" s="118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5" customHeight="1" s="214">
      <c r="A136" s="7" t="n"/>
      <c r="B136" s="7" t="n"/>
      <c r="C136" s="7" t="n"/>
      <c r="D136" s="7" t="n"/>
      <c r="E136" s="7" t="n"/>
      <c r="F136" s="7" t="n"/>
      <c r="G136" s="118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5" customHeight="1" s="214">
      <c r="A137" s="7" t="n"/>
      <c r="B137" s="7" t="n"/>
      <c r="C137" s="7" t="n"/>
      <c r="D137" s="7" t="n"/>
      <c r="E137" s="7" t="n"/>
      <c r="F137" s="7" t="n"/>
      <c r="G137" s="118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5" customHeight="1" s="214">
      <c r="A138" s="7" t="n"/>
      <c r="B138" s="7" t="n"/>
      <c r="C138" s="7" t="n"/>
      <c r="D138" s="7" t="n"/>
      <c r="E138" s="7" t="n"/>
      <c r="F138" s="7" t="n"/>
      <c r="G138" s="118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5" customHeight="1" s="214">
      <c r="A139" s="7" t="n"/>
      <c r="B139" s="7" t="n"/>
      <c r="C139" s="7" t="n"/>
      <c r="D139" s="7" t="n"/>
      <c r="E139" s="7" t="n"/>
      <c r="F139" s="7" t="n"/>
      <c r="G139" s="118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5" customHeight="1" s="214">
      <c r="A140" s="7" t="n"/>
      <c r="B140" s="7" t="n"/>
      <c r="C140" s="7" t="n"/>
      <c r="D140" s="7" t="n"/>
      <c r="E140" s="7" t="n"/>
      <c r="F140" s="7" t="n"/>
      <c r="G140" s="118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5" customHeight="1" s="214">
      <c r="A141" s="7" t="n"/>
      <c r="B141" s="7" t="n"/>
      <c r="C141" s="7" t="n"/>
      <c r="D141" s="7" t="n"/>
      <c r="E141" s="7" t="n"/>
      <c r="F141" s="7" t="n"/>
      <c r="G141" s="118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5" customHeight="1" s="214">
      <c r="A142" s="7" t="n"/>
      <c r="B142" s="7" t="n"/>
      <c r="C142" s="7" t="n"/>
      <c r="D142" s="7" t="n"/>
      <c r="E142" s="7" t="n"/>
      <c r="F142" s="7" t="n"/>
      <c r="G142" s="118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5" customHeight="1" s="214">
      <c r="A143" s="7" t="n"/>
      <c r="B143" s="7" t="n"/>
      <c r="C143" s="7" t="n"/>
      <c r="D143" s="7" t="n"/>
      <c r="E143" s="7" t="n"/>
      <c r="F143" s="7" t="n"/>
      <c r="G143" s="118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5" customHeight="1" s="214">
      <c r="A144" s="7" t="n"/>
      <c r="B144" s="7" t="n"/>
      <c r="C144" s="7" t="n"/>
      <c r="D144" s="7" t="n"/>
      <c r="E144" s="7" t="n"/>
      <c r="F144" s="7" t="n"/>
      <c r="G144" s="118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5" customHeight="1" s="214">
      <c r="A145" s="7" t="n"/>
      <c r="B145" s="7" t="n"/>
      <c r="C145" s="7" t="n"/>
      <c r="D145" s="7" t="n"/>
      <c r="E145" s="7" t="n"/>
      <c r="F145" s="7" t="n"/>
      <c r="G145" s="118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5" customHeight="1" s="214">
      <c r="A146" s="7" t="n"/>
      <c r="B146" s="7" t="n"/>
      <c r="C146" s="7" t="n"/>
      <c r="D146" s="7" t="n"/>
      <c r="E146" s="7" t="n"/>
      <c r="F146" s="7" t="n"/>
      <c r="G146" s="118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5" customHeight="1" s="214">
      <c r="A147" s="7" t="n"/>
      <c r="B147" s="7" t="n"/>
      <c r="C147" s="7" t="n"/>
      <c r="D147" s="7" t="n"/>
      <c r="E147" s="7" t="n"/>
      <c r="F147" s="7" t="n"/>
      <c r="G147" s="118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5" customHeight="1" s="214">
      <c r="A148" s="7" t="n"/>
      <c r="B148" s="7" t="n"/>
      <c r="C148" s="7" t="n"/>
      <c r="D148" s="7" t="n"/>
      <c r="E148" s="7" t="n"/>
      <c r="F148" s="7" t="n"/>
      <c r="G148" s="118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5" customHeight="1" s="214">
      <c r="A149" s="7" t="n"/>
      <c r="B149" s="7" t="n"/>
      <c r="C149" s="7" t="n"/>
      <c r="D149" s="7" t="n"/>
      <c r="E149" s="7" t="n"/>
      <c r="F149" s="7" t="n"/>
      <c r="G149" s="118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5" customHeight="1" s="214">
      <c r="A150" s="7" t="n"/>
      <c r="B150" s="7" t="n"/>
      <c r="C150" s="7" t="n"/>
      <c r="D150" s="7" t="n"/>
      <c r="E150" s="7" t="n"/>
      <c r="F150" s="7" t="n"/>
      <c r="G150" s="118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5" customHeight="1" s="214">
      <c r="A151" s="7" t="n"/>
      <c r="B151" s="7" t="n"/>
      <c r="C151" s="7" t="n"/>
      <c r="D151" s="7" t="n"/>
      <c r="E151" s="7" t="n"/>
      <c r="F151" s="7" t="n"/>
      <c r="G151" s="118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5" customHeight="1" s="214">
      <c r="A152" s="7" t="n"/>
      <c r="B152" s="7" t="n"/>
      <c r="C152" s="7" t="n"/>
      <c r="D152" s="7" t="n"/>
      <c r="E152" s="7" t="n"/>
      <c r="F152" s="7" t="n"/>
      <c r="G152" s="118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5" customHeight="1" s="214">
      <c r="A153" s="7" t="n"/>
      <c r="B153" s="7" t="n"/>
      <c r="C153" s="7" t="n"/>
      <c r="D153" s="7" t="n"/>
      <c r="E153" s="7" t="n"/>
      <c r="F153" s="7" t="n"/>
      <c r="G153" s="118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5" customHeight="1" s="214">
      <c r="A154" s="7" t="n"/>
      <c r="B154" s="7" t="n"/>
      <c r="C154" s="7" t="n"/>
      <c r="D154" s="7" t="n"/>
      <c r="E154" s="7" t="n"/>
      <c r="F154" s="7" t="n"/>
      <c r="G154" s="118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5" customHeight="1" s="214">
      <c r="A155" s="7" t="n"/>
      <c r="B155" s="7" t="n"/>
      <c r="C155" s="7" t="n"/>
      <c r="D155" s="7" t="n"/>
      <c r="E155" s="7" t="n"/>
      <c r="F155" s="7" t="n"/>
      <c r="G155" s="118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5" customHeight="1" s="214">
      <c r="A156" s="7" t="n"/>
      <c r="B156" s="7" t="n"/>
      <c r="C156" s="7" t="n"/>
      <c r="D156" s="7" t="n"/>
      <c r="E156" s="7" t="n"/>
      <c r="F156" s="7" t="n"/>
      <c r="G156" s="118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5" customHeight="1" s="214">
      <c r="A157" s="7" t="n"/>
      <c r="B157" s="7" t="n"/>
      <c r="C157" s="7" t="n"/>
      <c r="D157" s="7" t="n"/>
      <c r="E157" s="7" t="n"/>
      <c r="F157" s="7" t="n"/>
      <c r="G157" s="118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5" customHeight="1" s="214">
      <c r="A158" s="7" t="n"/>
      <c r="B158" s="7" t="n"/>
      <c r="C158" s="7" t="n"/>
      <c r="D158" s="7" t="n"/>
      <c r="E158" s="7" t="n"/>
      <c r="F158" s="7" t="n"/>
      <c r="G158" s="118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5" customHeight="1" s="214">
      <c r="A159" s="7" t="n"/>
      <c r="B159" s="7" t="n"/>
      <c r="C159" s="7" t="n"/>
      <c r="D159" s="7" t="n"/>
      <c r="E159" s="7" t="n"/>
      <c r="F159" s="7" t="n"/>
      <c r="G159" s="118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5" customHeight="1" s="214">
      <c r="A160" s="7" t="n"/>
      <c r="B160" s="7" t="n"/>
      <c r="C160" s="7" t="n"/>
      <c r="D160" s="7" t="n"/>
      <c r="E160" s="7" t="n"/>
      <c r="F160" s="7" t="n"/>
      <c r="G160" s="118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5" customHeight="1" s="214">
      <c r="A161" s="7" t="n"/>
      <c r="B161" s="7" t="n"/>
      <c r="C161" s="7" t="n"/>
      <c r="D161" s="7" t="n"/>
      <c r="E161" s="7" t="n"/>
      <c r="F161" s="7" t="n"/>
      <c r="G161" s="118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5" customHeight="1" s="214">
      <c r="A162" s="7" t="n"/>
      <c r="B162" s="7" t="n"/>
      <c r="C162" s="7" t="n"/>
      <c r="D162" s="7" t="n"/>
      <c r="E162" s="7" t="n"/>
      <c r="F162" s="7" t="n"/>
      <c r="G162" s="118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5" customHeight="1" s="214">
      <c r="A163" s="7" t="n"/>
      <c r="B163" s="7" t="n"/>
      <c r="C163" s="7" t="n"/>
      <c r="D163" s="7" t="n"/>
      <c r="E163" s="7" t="n"/>
      <c r="F163" s="7" t="n"/>
      <c r="G163" s="118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5" customHeight="1" s="214">
      <c r="A164" s="7" t="n"/>
      <c r="B164" s="7" t="n"/>
      <c r="C164" s="7" t="n"/>
      <c r="D164" s="7" t="n"/>
      <c r="E164" s="7" t="n"/>
      <c r="F164" s="7" t="n"/>
      <c r="G164" s="118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5" customHeight="1" s="214">
      <c r="A165" s="7" t="n"/>
      <c r="B165" s="7" t="n"/>
      <c r="C165" s="7" t="n"/>
      <c r="D165" s="7" t="n"/>
      <c r="E165" s="7" t="n"/>
      <c r="F165" s="7" t="n"/>
      <c r="G165" s="118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5" customHeight="1" s="214">
      <c r="A166" s="7" t="n"/>
      <c r="B166" s="7" t="n"/>
      <c r="C166" s="7" t="n"/>
      <c r="D166" s="7" t="n"/>
      <c r="E166" s="7" t="n"/>
      <c r="F166" s="7" t="n"/>
      <c r="G166" s="118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5" customHeight="1" s="214">
      <c r="A167" s="7" t="n"/>
      <c r="B167" s="7" t="n"/>
      <c r="C167" s="7" t="n"/>
      <c r="D167" s="7" t="n"/>
      <c r="E167" s="7" t="n"/>
      <c r="F167" s="7" t="n"/>
      <c r="G167" s="118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5" customHeight="1" s="214">
      <c r="A168" s="7" t="n"/>
      <c r="B168" s="7" t="n"/>
      <c r="C168" s="7" t="n"/>
      <c r="D168" s="7" t="n"/>
      <c r="E168" s="7" t="n"/>
      <c r="F168" s="7" t="n"/>
      <c r="G168" s="118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5" customHeight="1" s="214">
      <c r="A169" s="7" t="n"/>
      <c r="B169" s="7" t="n"/>
      <c r="C169" s="7" t="n"/>
      <c r="D169" s="7" t="n"/>
      <c r="E169" s="7" t="n"/>
      <c r="F169" s="7" t="n"/>
      <c r="G169" s="118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5" customHeight="1" s="214">
      <c r="A170" s="7" t="n"/>
      <c r="B170" s="7" t="n"/>
      <c r="C170" s="7" t="n"/>
      <c r="D170" s="7" t="n"/>
      <c r="E170" s="7" t="n"/>
      <c r="F170" s="7" t="n"/>
      <c r="G170" s="118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5" customHeight="1" s="214">
      <c r="A171" s="7" t="n"/>
      <c r="B171" s="7" t="n"/>
      <c r="C171" s="7" t="n"/>
      <c r="D171" s="7" t="n"/>
      <c r="E171" s="7" t="n"/>
      <c r="F171" s="7" t="n"/>
      <c r="G171" s="118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5" customHeight="1" s="214">
      <c r="A172" s="7" t="n"/>
      <c r="B172" s="7" t="n"/>
      <c r="C172" s="7" t="n"/>
      <c r="D172" s="7" t="n"/>
      <c r="E172" s="7" t="n"/>
      <c r="F172" s="7" t="n"/>
      <c r="G172" s="118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5" customHeight="1" s="214">
      <c r="A173" s="7" t="n"/>
      <c r="B173" s="7" t="n"/>
      <c r="C173" s="7" t="n"/>
      <c r="D173" s="7" t="n"/>
      <c r="E173" s="7" t="n"/>
      <c r="F173" s="7" t="n"/>
      <c r="G173" s="118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5" customHeight="1" s="214">
      <c r="A174" s="7" t="n"/>
      <c r="B174" s="7" t="n"/>
      <c r="C174" s="7" t="n"/>
      <c r="D174" s="7" t="n"/>
      <c r="E174" s="7" t="n"/>
      <c r="F174" s="7" t="n"/>
      <c r="G174" s="118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5" customHeight="1" s="214">
      <c r="A175" s="7" t="n"/>
      <c r="B175" s="7" t="n"/>
      <c r="C175" s="7" t="n"/>
      <c r="D175" s="7" t="n"/>
      <c r="E175" s="7" t="n"/>
      <c r="F175" s="7" t="n"/>
      <c r="G175" s="118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5" customHeight="1" s="214">
      <c r="A176" s="7" t="n"/>
      <c r="B176" s="7" t="n"/>
      <c r="C176" s="7" t="n"/>
      <c r="D176" s="7" t="n"/>
      <c r="E176" s="7" t="n"/>
      <c r="F176" s="7" t="n"/>
      <c r="G176" s="118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5" customHeight="1" s="214">
      <c r="A177" s="7" t="n"/>
      <c r="B177" s="7" t="n"/>
      <c r="C177" s="7" t="n"/>
      <c r="D177" s="7" t="n"/>
      <c r="E177" s="7" t="n"/>
      <c r="F177" s="7" t="n"/>
      <c r="G177" s="118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5" customHeight="1" s="214">
      <c r="A178" s="7" t="n"/>
      <c r="B178" s="7" t="n"/>
      <c r="C178" s="7" t="n"/>
      <c r="D178" s="7" t="n"/>
      <c r="E178" s="7" t="n"/>
      <c r="F178" s="7" t="n"/>
      <c r="G178" s="118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5" customHeight="1" s="214">
      <c r="A179" s="7" t="n"/>
      <c r="B179" s="7" t="n"/>
      <c r="C179" s="7" t="n"/>
      <c r="D179" s="7" t="n"/>
      <c r="E179" s="7" t="n"/>
      <c r="F179" s="7" t="n"/>
      <c r="G179" s="118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5" customHeight="1" s="214">
      <c r="A180" s="7" t="n"/>
      <c r="B180" s="7" t="n"/>
      <c r="C180" s="7" t="n"/>
      <c r="D180" s="7" t="n"/>
      <c r="E180" s="7" t="n"/>
      <c r="F180" s="7" t="n"/>
      <c r="G180" s="118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5" customHeight="1" s="214">
      <c r="A181" s="7" t="n"/>
      <c r="B181" s="7" t="n"/>
      <c r="C181" s="7" t="n"/>
      <c r="D181" s="7" t="n"/>
      <c r="E181" s="7" t="n"/>
      <c r="F181" s="7" t="n"/>
      <c r="G181" s="118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5" customHeight="1" s="214">
      <c r="A182" s="7" t="n"/>
      <c r="B182" s="7" t="n"/>
      <c r="C182" s="7" t="n"/>
      <c r="D182" s="7" t="n"/>
      <c r="E182" s="7" t="n"/>
      <c r="F182" s="7" t="n"/>
      <c r="G182" s="118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5" customHeight="1" s="214">
      <c r="A183" s="7" t="n"/>
      <c r="B183" s="7" t="n"/>
      <c r="C183" s="7" t="n"/>
      <c r="D183" s="7" t="n"/>
      <c r="E183" s="7" t="n"/>
      <c r="F183" s="7" t="n"/>
      <c r="G183" s="118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5" customHeight="1" s="214">
      <c r="A184" s="7" t="n"/>
      <c r="B184" s="7" t="n"/>
      <c r="C184" s="7" t="n"/>
      <c r="D184" s="7" t="n"/>
      <c r="E184" s="7" t="n"/>
      <c r="F184" s="7" t="n"/>
      <c r="G184" s="118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5" customHeight="1" s="214">
      <c r="A185" s="7" t="n"/>
      <c r="B185" s="7" t="n"/>
      <c r="C185" s="7" t="n"/>
      <c r="D185" s="7" t="n"/>
      <c r="E185" s="7" t="n"/>
      <c r="F185" s="7" t="n"/>
      <c r="G185" s="118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5" customHeight="1" s="214">
      <c r="A186" s="7" t="n"/>
      <c r="B186" s="7" t="n"/>
      <c r="C186" s="7" t="n"/>
      <c r="D186" s="7" t="n"/>
      <c r="E186" s="7" t="n"/>
      <c r="F186" s="7" t="n"/>
      <c r="G186" s="118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5" customHeight="1" s="214">
      <c r="A187" s="7" t="n"/>
      <c r="B187" s="7" t="n"/>
      <c r="C187" s="7" t="n"/>
      <c r="D187" s="7" t="n"/>
      <c r="E187" s="7" t="n"/>
      <c r="F187" s="7" t="n"/>
      <c r="G187" s="118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5" customHeight="1" s="214">
      <c r="A188" s="7" t="n"/>
      <c r="B188" s="7" t="n"/>
      <c r="C188" s="7" t="n"/>
      <c r="D188" s="7" t="n"/>
      <c r="E188" s="7" t="n"/>
      <c r="F188" s="7" t="n"/>
      <c r="G188" s="118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5" customHeight="1" s="214">
      <c r="A189" s="7" t="n"/>
      <c r="B189" s="7" t="n"/>
      <c r="C189" s="7" t="n"/>
      <c r="D189" s="7" t="n"/>
      <c r="E189" s="7" t="n"/>
      <c r="F189" s="7" t="n"/>
      <c r="G189" s="118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5" customHeight="1" s="214">
      <c r="A190" s="7" t="n"/>
      <c r="B190" s="7" t="n"/>
      <c r="C190" s="7" t="n"/>
      <c r="D190" s="7" t="n"/>
      <c r="E190" s="7" t="n"/>
      <c r="F190" s="7" t="n"/>
      <c r="G190" s="118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5" customHeight="1" s="214">
      <c r="A191" s="7" t="n"/>
      <c r="B191" s="7" t="n"/>
      <c r="C191" s="7" t="n"/>
      <c r="D191" s="7" t="n"/>
      <c r="E191" s="7" t="n"/>
      <c r="F191" s="7" t="n"/>
      <c r="G191" s="118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5" customHeight="1" s="214">
      <c r="A192" s="7" t="n"/>
      <c r="B192" s="7" t="n"/>
      <c r="C192" s="7" t="n"/>
      <c r="D192" s="7" t="n"/>
      <c r="E192" s="7" t="n"/>
      <c r="F192" s="7" t="n"/>
      <c r="G192" s="118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5" customHeight="1" s="214">
      <c r="A193" s="7" t="n"/>
      <c r="B193" s="7" t="n"/>
      <c r="C193" s="7" t="n"/>
      <c r="D193" s="7" t="n"/>
      <c r="E193" s="7" t="n"/>
      <c r="F193" s="7" t="n"/>
      <c r="G193" s="118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5" customHeight="1" s="214">
      <c r="A194" s="7" t="n"/>
      <c r="B194" s="7" t="n"/>
      <c r="C194" s="7" t="n"/>
      <c r="D194" s="7" t="n"/>
      <c r="E194" s="7" t="n"/>
      <c r="F194" s="7" t="n"/>
      <c r="G194" s="118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5" customHeight="1" s="214">
      <c r="A195" s="7" t="n"/>
      <c r="B195" s="7" t="n"/>
      <c r="C195" s="7" t="n"/>
      <c r="D195" s="7" t="n"/>
      <c r="E195" s="7" t="n"/>
      <c r="F195" s="7" t="n"/>
      <c r="G195" s="118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5" customHeight="1" s="214">
      <c r="A196" s="7" t="n"/>
      <c r="B196" s="7" t="n"/>
      <c r="C196" s="7" t="n"/>
      <c r="D196" s="7" t="n"/>
      <c r="E196" s="7" t="n"/>
      <c r="F196" s="7" t="n"/>
      <c r="G196" s="118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5" customHeight="1" s="214">
      <c r="A197" s="7" t="n"/>
      <c r="B197" s="7" t="n"/>
      <c r="C197" s="7" t="n"/>
      <c r="D197" s="7" t="n"/>
      <c r="E197" s="7" t="n"/>
      <c r="F197" s="7" t="n"/>
      <c r="G197" s="118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5" customHeight="1" s="214">
      <c r="A198" s="7" t="n"/>
      <c r="B198" s="7" t="n"/>
      <c r="C198" s="7" t="n"/>
      <c r="D198" s="7" t="n"/>
      <c r="E198" s="7" t="n"/>
      <c r="F198" s="7" t="n"/>
      <c r="G198" s="118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5" customHeight="1" s="214">
      <c r="A199" s="7" t="n"/>
      <c r="B199" s="7" t="n"/>
      <c r="C199" s="7" t="n"/>
      <c r="D199" s="7" t="n"/>
      <c r="E199" s="7" t="n"/>
      <c r="F199" s="7" t="n"/>
      <c r="G199" s="118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5" customHeight="1" s="214">
      <c r="A200" s="7" t="n"/>
      <c r="B200" s="7" t="n"/>
      <c r="C200" s="7" t="n"/>
      <c r="D200" s="7" t="n"/>
      <c r="E200" s="7" t="n"/>
      <c r="F200" s="7" t="n"/>
      <c r="G200" s="118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5" customHeight="1" s="214">
      <c r="A201" s="7" t="n"/>
      <c r="B201" s="7" t="n"/>
      <c r="C201" s="7" t="n"/>
      <c r="D201" s="7" t="n"/>
      <c r="E201" s="7" t="n"/>
      <c r="F201" s="7" t="n"/>
      <c r="G201" s="118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5" customHeight="1" s="214">
      <c r="A202" s="7" t="n"/>
      <c r="B202" s="7" t="n"/>
      <c r="C202" s="7" t="n"/>
      <c r="D202" s="7" t="n"/>
      <c r="E202" s="7" t="n"/>
      <c r="F202" s="7" t="n"/>
      <c r="G202" s="118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5" customHeight="1" s="214">
      <c r="A203" s="7" t="n"/>
      <c r="B203" s="7" t="n"/>
      <c r="C203" s="7" t="n"/>
      <c r="D203" s="7" t="n"/>
      <c r="E203" s="7" t="n"/>
      <c r="F203" s="7" t="n"/>
      <c r="G203" s="118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5" customHeight="1" s="214">
      <c r="A204" s="7" t="n"/>
      <c r="B204" s="7" t="n"/>
      <c r="C204" s="7" t="n"/>
      <c r="D204" s="7" t="n"/>
      <c r="E204" s="7" t="n"/>
      <c r="F204" s="7" t="n"/>
      <c r="G204" s="118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5" customHeight="1" s="214">
      <c r="A205" s="7" t="n"/>
      <c r="B205" s="7" t="n"/>
      <c r="C205" s="7" t="n"/>
      <c r="D205" s="7" t="n"/>
      <c r="E205" s="7" t="n"/>
      <c r="F205" s="7" t="n"/>
      <c r="G205" s="118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5" customHeight="1" s="214">
      <c r="A206" s="7" t="n"/>
      <c r="B206" s="7" t="n"/>
      <c r="C206" s="7" t="n"/>
      <c r="D206" s="7" t="n"/>
      <c r="E206" s="7" t="n"/>
      <c r="F206" s="7" t="n"/>
      <c r="G206" s="118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5" customHeight="1" s="214">
      <c r="A207" s="7" t="n"/>
      <c r="B207" s="7" t="n"/>
      <c r="C207" s="7" t="n"/>
      <c r="D207" s="7" t="n"/>
      <c r="E207" s="7" t="n"/>
      <c r="F207" s="7" t="n"/>
      <c r="G207" s="118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5" customHeight="1" s="214">
      <c r="A208" s="7" t="n"/>
      <c r="B208" s="7" t="n"/>
      <c r="C208" s="7" t="n"/>
      <c r="D208" s="7" t="n"/>
      <c r="E208" s="7" t="n"/>
      <c r="F208" s="7" t="n"/>
      <c r="G208" s="118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5" customHeight="1" s="214">
      <c r="A209" s="7" t="n"/>
      <c r="B209" s="7" t="n"/>
      <c r="C209" s="7" t="n"/>
      <c r="D209" s="7" t="n"/>
      <c r="E209" s="7" t="n"/>
      <c r="F209" s="7" t="n"/>
      <c r="G209" s="118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5" customHeight="1" s="214">
      <c r="A210" s="7" t="n"/>
      <c r="B210" s="7" t="n"/>
      <c r="C210" s="7" t="n"/>
      <c r="D210" s="7" t="n"/>
      <c r="E210" s="7" t="n"/>
      <c r="F210" s="7" t="n"/>
      <c r="G210" s="118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5" customHeight="1" s="214">
      <c r="A211" s="7" t="n"/>
      <c r="B211" s="7" t="n"/>
      <c r="C211" s="7" t="n"/>
      <c r="D211" s="7" t="n"/>
      <c r="E211" s="7" t="n"/>
      <c r="F211" s="7" t="n"/>
      <c r="G211" s="118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5" customHeight="1" s="214">
      <c r="A212" s="7" t="n"/>
      <c r="B212" s="7" t="n"/>
      <c r="C212" s="7" t="n"/>
      <c r="D212" s="7" t="n"/>
      <c r="E212" s="7" t="n"/>
      <c r="F212" s="7" t="n"/>
      <c r="G212" s="118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5" customHeight="1" s="214">
      <c r="A213" s="7" t="n"/>
      <c r="B213" s="7" t="n"/>
      <c r="C213" s="7" t="n"/>
      <c r="D213" s="7" t="n"/>
      <c r="E213" s="7" t="n"/>
      <c r="F213" s="7" t="n"/>
      <c r="G213" s="118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5" customHeight="1" s="214">
      <c r="A214" s="7" t="n"/>
      <c r="B214" s="7" t="n"/>
      <c r="C214" s="7" t="n"/>
      <c r="D214" s="7" t="n"/>
      <c r="E214" s="7" t="n"/>
      <c r="F214" s="7" t="n"/>
      <c r="G214" s="118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5" customHeight="1" s="214">
      <c r="A215" s="7" t="n"/>
      <c r="B215" s="7" t="n"/>
      <c r="C215" s="7" t="n"/>
      <c r="D215" s="7" t="n"/>
      <c r="E215" s="7" t="n"/>
      <c r="F215" s="7" t="n"/>
      <c r="G215" s="118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5" customHeight="1" s="214">
      <c r="A216" s="7" t="n"/>
      <c r="B216" s="7" t="n"/>
      <c r="C216" s="7" t="n"/>
      <c r="D216" s="7" t="n"/>
      <c r="E216" s="7" t="n"/>
      <c r="F216" s="7" t="n"/>
      <c r="G216" s="118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5" customHeight="1" s="214">
      <c r="A217" s="7" t="n"/>
      <c r="B217" s="7" t="n"/>
      <c r="C217" s="7" t="n"/>
      <c r="D217" s="7" t="n"/>
      <c r="E217" s="7" t="n"/>
      <c r="F217" s="7" t="n"/>
      <c r="G217" s="118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5" customHeight="1" s="214">
      <c r="A218" s="7" t="n"/>
      <c r="B218" s="7" t="n"/>
      <c r="C218" s="7" t="n"/>
      <c r="D218" s="7" t="n"/>
      <c r="E218" s="7" t="n"/>
      <c r="F218" s="7" t="n"/>
      <c r="G218" s="118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5" customHeight="1" s="214">
      <c r="A219" s="7" t="n"/>
      <c r="B219" s="7" t="n"/>
      <c r="C219" s="7" t="n"/>
      <c r="D219" s="7" t="n"/>
      <c r="E219" s="7" t="n"/>
      <c r="F219" s="7" t="n"/>
      <c r="G219" s="118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5" customHeight="1" s="214">
      <c r="A220" s="7" t="n"/>
      <c r="B220" s="7" t="n"/>
      <c r="C220" s="7" t="n"/>
      <c r="D220" s="7" t="n"/>
      <c r="E220" s="7" t="n"/>
      <c r="F220" s="7" t="n"/>
      <c r="G220" s="118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5" customHeight="1" s="214">
      <c r="A221" s="7" t="n"/>
      <c r="B221" s="7" t="n"/>
      <c r="C221" s="7" t="n"/>
      <c r="D221" s="7" t="n"/>
      <c r="E221" s="7" t="n"/>
      <c r="F221" s="7" t="n"/>
      <c r="G221" s="118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5" customHeight="1" s="214">
      <c r="A222" s="7" t="n"/>
      <c r="B222" s="7" t="n"/>
      <c r="C222" s="7" t="n"/>
      <c r="D222" s="7" t="n"/>
      <c r="E222" s="7" t="n"/>
      <c r="F222" s="7" t="n"/>
      <c r="G222" s="118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5" customHeight="1" s="214">
      <c r="A223" s="7" t="n"/>
      <c r="B223" s="7" t="n"/>
      <c r="C223" s="7" t="n"/>
      <c r="D223" s="7" t="n"/>
      <c r="E223" s="7" t="n"/>
      <c r="F223" s="7" t="n"/>
      <c r="G223" s="118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5" customHeight="1" s="214">
      <c r="A224" s="7" t="n"/>
      <c r="B224" s="7" t="n"/>
      <c r="C224" s="7" t="n"/>
      <c r="D224" s="7" t="n"/>
      <c r="E224" s="7" t="n"/>
      <c r="F224" s="7" t="n"/>
      <c r="G224" s="118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5" customHeight="1" s="214">
      <c r="A225" s="7" t="n"/>
      <c r="B225" s="7" t="n"/>
      <c r="C225" s="7" t="n"/>
      <c r="D225" s="7" t="n"/>
      <c r="E225" s="7" t="n"/>
      <c r="F225" s="7" t="n"/>
      <c r="G225" s="118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5" customHeight="1" s="214">
      <c r="A226" s="7" t="n"/>
      <c r="B226" s="7" t="n"/>
      <c r="C226" s="7" t="n"/>
      <c r="D226" s="7" t="n"/>
      <c r="E226" s="7" t="n"/>
      <c r="F226" s="7" t="n"/>
      <c r="G226" s="118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5" customHeight="1" s="214">
      <c r="A227" s="7" t="n"/>
      <c r="B227" s="7" t="n"/>
      <c r="C227" s="7" t="n"/>
      <c r="D227" s="7" t="n"/>
      <c r="E227" s="7" t="n"/>
      <c r="F227" s="7" t="n"/>
      <c r="G227" s="118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5" customHeight="1" s="214">
      <c r="A228" s="7" t="n"/>
      <c r="B228" s="7" t="n"/>
      <c r="C228" s="7" t="n"/>
      <c r="D228" s="7" t="n"/>
      <c r="E228" s="7" t="n"/>
      <c r="F228" s="7" t="n"/>
      <c r="G228" s="118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5" customHeight="1" s="214">
      <c r="A229" s="7" t="n"/>
      <c r="B229" s="7" t="n"/>
      <c r="C229" s="7" t="n"/>
      <c r="D229" s="7" t="n"/>
      <c r="E229" s="7" t="n"/>
      <c r="F229" s="7" t="n"/>
      <c r="G229" s="118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5" customHeight="1" s="214">
      <c r="A230" s="7" t="n"/>
      <c r="B230" s="7" t="n"/>
      <c r="C230" s="7" t="n"/>
      <c r="D230" s="7" t="n"/>
      <c r="E230" s="7" t="n"/>
      <c r="F230" s="7" t="n"/>
      <c r="G230" s="118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5" customHeight="1" s="214">
      <c r="A231" s="7" t="n"/>
      <c r="B231" s="7" t="n"/>
      <c r="C231" s="7" t="n"/>
      <c r="D231" s="7" t="n"/>
      <c r="E231" s="7" t="n"/>
      <c r="F231" s="7" t="n"/>
      <c r="G231" s="118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5" customHeight="1" s="214">
      <c r="A232" s="7" t="n"/>
      <c r="B232" s="7" t="n"/>
      <c r="C232" s="7" t="n"/>
      <c r="D232" s="7" t="n"/>
      <c r="E232" s="7" t="n"/>
      <c r="F232" s="7" t="n"/>
      <c r="G232" s="118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5" customHeight="1" s="214">
      <c r="A233" s="7" t="n"/>
      <c r="B233" s="7" t="n"/>
      <c r="C233" s="7" t="n"/>
      <c r="D233" s="7" t="n"/>
      <c r="E233" s="7" t="n"/>
      <c r="F233" s="7" t="n"/>
      <c r="G233" s="118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5" customHeight="1" s="214">
      <c r="A234" s="7" t="n"/>
      <c r="B234" s="7" t="n"/>
      <c r="C234" s="7" t="n"/>
      <c r="D234" s="7" t="n"/>
      <c r="E234" s="7" t="n"/>
      <c r="F234" s="7" t="n"/>
      <c r="G234" s="118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5" customHeight="1" s="214">
      <c r="A235" s="7" t="n"/>
      <c r="B235" s="7" t="n"/>
      <c r="C235" s="7" t="n"/>
      <c r="D235" s="7" t="n"/>
      <c r="E235" s="7" t="n"/>
      <c r="F235" s="7" t="n"/>
      <c r="G235" s="118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5" customHeight="1" s="214">
      <c r="A236" s="7" t="n"/>
      <c r="B236" s="7" t="n"/>
      <c r="C236" s="7" t="n"/>
      <c r="D236" s="7" t="n"/>
      <c r="E236" s="7" t="n"/>
      <c r="F236" s="7" t="n"/>
      <c r="G236" s="118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5" customHeight="1" s="214">
      <c r="A237" s="7" t="n"/>
      <c r="B237" s="7" t="n"/>
      <c r="C237" s="7" t="n"/>
      <c r="D237" s="7" t="n"/>
      <c r="E237" s="7" t="n"/>
      <c r="F237" s="7" t="n"/>
      <c r="G237" s="118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5" customHeight="1" s="214">
      <c r="A238" s="7" t="n"/>
      <c r="B238" s="7" t="n"/>
      <c r="C238" s="7" t="n"/>
      <c r="D238" s="7" t="n"/>
      <c r="E238" s="7" t="n"/>
      <c r="F238" s="7" t="n"/>
      <c r="G238" s="118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5" customHeight="1" s="214">
      <c r="A239" s="7" t="n"/>
      <c r="B239" s="7" t="n"/>
      <c r="C239" s="7" t="n"/>
      <c r="D239" s="7" t="n"/>
      <c r="E239" s="7" t="n"/>
      <c r="F239" s="7" t="n"/>
      <c r="G239" s="118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5" customHeight="1" s="214">
      <c r="A240" s="7" t="n"/>
      <c r="B240" s="7" t="n"/>
      <c r="C240" s="7" t="n"/>
      <c r="D240" s="7" t="n"/>
      <c r="E240" s="7" t="n"/>
      <c r="F240" s="7" t="n"/>
      <c r="G240" s="118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5" customHeight="1" s="214">
      <c r="A241" s="7" t="n"/>
      <c r="B241" s="7" t="n"/>
      <c r="C241" s="7" t="n"/>
      <c r="D241" s="7" t="n"/>
      <c r="E241" s="7" t="n"/>
      <c r="F241" s="7" t="n"/>
      <c r="G241" s="118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5" customHeight="1" s="214">
      <c r="A242" s="7" t="n"/>
      <c r="B242" s="7" t="n"/>
      <c r="C242" s="7" t="n"/>
      <c r="D242" s="7" t="n"/>
      <c r="E242" s="7" t="n"/>
      <c r="F242" s="7" t="n"/>
      <c r="G242" s="118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5" customHeight="1" s="214">
      <c r="A243" s="7" t="n"/>
      <c r="B243" s="7" t="n"/>
      <c r="C243" s="7" t="n"/>
      <c r="D243" s="7" t="n"/>
      <c r="E243" s="7" t="n"/>
      <c r="F243" s="7" t="n"/>
      <c r="G243" s="118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5" customHeight="1" s="214">
      <c r="A244" s="7" t="n"/>
      <c r="B244" s="7" t="n"/>
      <c r="C244" s="7" t="n"/>
      <c r="D244" s="7" t="n"/>
      <c r="E244" s="7" t="n"/>
      <c r="F244" s="7" t="n"/>
      <c r="G244" s="118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5" customHeight="1" s="214">
      <c r="A245" s="7" t="n"/>
      <c r="B245" s="7" t="n"/>
      <c r="C245" s="7" t="n"/>
      <c r="D245" s="7" t="n"/>
      <c r="E245" s="7" t="n"/>
      <c r="F245" s="7" t="n"/>
      <c r="G245" s="118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5" customHeight="1" s="214">
      <c r="A246" s="7" t="n"/>
      <c r="B246" s="7" t="n"/>
      <c r="C246" s="7" t="n"/>
      <c r="D246" s="7" t="n"/>
      <c r="E246" s="7" t="n"/>
      <c r="F246" s="7" t="n"/>
      <c r="G246" s="118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5" customHeight="1" s="214">
      <c r="A247" s="7" t="n"/>
      <c r="B247" s="7" t="n"/>
      <c r="C247" s="7" t="n"/>
      <c r="D247" s="7" t="n"/>
      <c r="E247" s="7" t="n"/>
      <c r="F247" s="7" t="n"/>
      <c r="G247" s="118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5" customHeight="1" s="214">
      <c r="A248" s="7" t="n"/>
      <c r="B248" s="7" t="n"/>
      <c r="C248" s="7" t="n"/>
      <c r="D248" s="7" t="n"/>
      <c r="E248" s="7" t="n"/>
      <c r="F248" s="7" t="n"/>
      <c r="G248" s="118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5" customHeight="1" s="214">
      <c r="A249" s="7" t="n"/>
      <c r="B249" s="7" t="n"/>
      <c r="C249" s="7" t="n"/>
      <c r="D249" s="7" t="n"/>
      <c r="E249" s="7" t="n"/>
      <c r="F249" s="7" t="n"/>
      <c r="G249" s="118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5" customHeight="1" s="214">
      <c r="A250" s="7" t="n"/>
      <c r="B250" s="7" t="n"/>
      <c r="C250" s="7" t="n"/>
      <c r="D250" s="7" t="n"/>
      <c r="E250" s="7" t="n"/>
      <c r="F250" s="7" t="n"/>
      <c r="G250" s="118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5" customHeight="1" s="214">
      <c r="A251" s="7" t="n"/>
      <c r="B251" s="7" t="n"/>
      <c r="C251" s="7" t="n"/>
      <c r="D251" s="7" t="n"/>
      <c r="E251" s="7" t="n"/>
      <c r="F251" s="7" t="n"/>
      <c r="G251" s="118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5" customHeight="1" s="214">
      <c r="A252" s="7" t="n"/>
      <c r="B252" s="7" t="n"/>
      <c r="C252" s="7" t="n"/>
      <c r="D252" s="7" t="n"/>
      <c r="E252" s="7" t="n"/>
      <c r="F252" s="7" t="n"/>
      <c r="G252" s="118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5" customHeight="1" s="214">
      <c r="A253" s="7" t="n"/>
      <c r="B253" s="7" t="n"/>
      <c r="C253" s="7" t="n"/>
      <c r="D253" s="7" t="n"/>
      <c r="E253" s="7" t="n"/>
      <c r="F253" s="7" t="n"/>
      <c r="G253" s="118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5" customHeight="1" s="214">
      <c r="A254" s="7" t="n"/>
      <c r="B254" s="7" t="n"/>
      <c r="C254" s="7" t="n"/>
      <c r="D254" s="7" t="n"/>
      <c r="E254" s="7" t="n"/>
      <c r="F254" s="7" t="n"/>
      <c r="G254" s="118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5" customHeight="1" s="214">
      <c r="A255" s="7" t="n"/>
      <c r="B255" s="7" t="n"/>
      <c r="C255" s="7" t="n"/>
      <c r="D255" s="7" t="n"/>
      <c r="E255" s="7" t="n"/>
      <c r="F255" s="7" t="n"/>
      <c r="G255" s="118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5" customHeight="1" s="214">
      <c r="A256" s="7" t="n"/>
      <c r="B256" s="7" t="n"/>
      <c r="C256" s="7" t="n"/>
      <c r="D256" s="7" t="n"/>
      <c r="E256" s="7" t="n"/>
      <c r="F256" s="7" t="n"/>
      <c r="G256" s="118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5" customHeight="1" s="214">
      <c r="A257" s="7" t="n"/>
      <c r="B257" s="7" t="n"/>
      <c r="C257" s="7" t="n"/>
      <c r="D257" s="7" t="n"/>
      <c r="E257" s="7" t="n"/>
      <c r="F257" s="7" t="n"/>
      <c r="G257" s="118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5" customHeight="1" s="214">
      <c r="A258" s="7" t="n"/>
      <c r="B258" s="7" t="n"/>
      <c r="C258" s="7" t="n"/>
      <c r="D258" s="7" t="n"/>
      <c r="E258" s="7" t="n"/>
      <c r="F258" s="7" t="n"/>
      <c r="G258" s="118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5" customHeight="1" s="214">
      <c r="A259" s="7" t="n"/>
      <c r="B259" s="7" t="n"/>
      <c r="C259" s="7" t="n"/>
      <c r="D259" s="7" t="n"/>
      <c r="E259" s="7" t="n"/>
      <c r="F259" s="7" t="n"/>
      <c r="G259" s="118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5" customHeight="1" s="214">
      <c r="A260" s="7" t="n"/>
      <c r="B260" s="7" t="n"/>
      <c r="C260" s="7" t="n"/>
      <c r="D260" s="7" t="n"/>
      <c r="E260" s="7" t="n"/>
      <c r="F260" s="7" t="n"/>
      <c r="G260" s="118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5" customHeight="1" s="214">
      <c r="A261" s="7" t="n"/>
      <c r="B261" s="7" t="n"/>
      <c r="C261" s="7" t="n"/>
      <c r="D261" s="7" t="n"/>
      <c r="E261" s="7" t="n"/>
      <c r="F261" s="7" t="n"/>
      <c r="G261" s="118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5" customHeight="1" s="214">
      <c r="A262" s="7" t="n"/>
      <c r="B262" s="7" t="n"/>
      <c r="C262" s="7" t="n"/>
      <c r="D262" s="7" t="n"/>
      <c r="E262" s="7" t="n"/>
      <c r="F262" s="7" t="n"/>
      <c r="G262" s="118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5" customHeight="1" s="214">
      <c r="A263" s="7" t="n"/>
      <c r="B263" s="7" t="n"/>
      <c r="C263" s="7" t="n"/>
      <c r="D263" s="7" t="n"/>
      <c r="E263" s="7" t="n"/>
      <c r="F263" s="7" t="n"/>
      <c r="G263" s="118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5" customHeight="1" s="214">
      <c r="A264" s="7" t="n"/>
      <c r="B264" s="7" t="n"/>
      <c r="C264" s="7" t="n"/>
      <c r="D264" s="7" t="n"/>
      <c r="E264" s="7" t="n"/>
      <c r="F264" s="7" t="n"/>
      <c r="G264" s="118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5" customHeight="1" s="214">
      <c r="A265" s="7" t="n"/>
      <c r="B265" s="7" t="n"/>
      <c r="C265" s="7" t="n"/>
      <c r="D265" s="7" t="n"/>
      <c r="E265" s="7" t="n"/>
      <c r="F265" s="7" t="n"/>
      <c r="G265" s="118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5" customHeight="1" s="214">
      <c r="A266" s="7" t="n"/>
      <c r="B266" s="7" t="n"/>
      <c r="C266" s="7" t="n"/>
      <c r="D266" s="7" t="n"/>
      <c r="E266" s="7" t="n"/>
      <c r="F266" s="7" t="n"/>
      <c r="G266" s="118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5" customHeight="1" s="214">
      <c r="A267" s="7" t="n"/>
      <c r="B267" s="7" t="n"/>
      <c r="C267" s="7" t="n"/>
      <c r="D267" s="7" t="n"/>
      <c r="E267" s="7" t="n"/>
      <c r="F267" s="7" t="n"/>
      <c r="G267" s="118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5" customHeight="1" s="214">
      <c r="A268" s="7" t="n"/>
      <c r="B268" s="7" t="n"/>
      <c r="C268" s="7" t="n"/>
      <c r="D268" s="7" t="n"/>
      <c r="E268" s="7" t="n"/>
      <c r="F268" s="7" t="n"/>
      <c r="G268" s="118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5" customHeight="1" s="214">
      <c r="A269" s="7" t="n"/>
      <c r="B269" s="7" t="n"/>
      <c r="C269" s="7" t="n"/>
      <c r="D269" s="7" t="n"/>
      <c r="E269" s="7" t="n"/>
      <c r="F269" s="7" t="n"/>
      <c r="G269" s="118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5" customHeight="1" s="214">
      <c r="A270" s="7" t="n"/>
      <c r="B270" s="7" t="n"/>
      <c r="C270" s="7" t="n"/>
      <c r="D270" s="7" t="n"/>
      <c r="E270" s="7" t="n"/>
      <c r="F270" s="7" t="n"/>
      <c r="G270" s="118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5" customHeight="1" s="214">
      <c r="A271" s="7" t="n"/>
      <c r="B271" s="7" t="n"/>
      <c r="C271" s="7" t="n"/>
      <c r="D271" s="7" t="n"/>
      <c r="E271" s="7" t="n"/>
      <c r="F271" s="7" t="n"/>
      <c r="G271" s="118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5" customHeight="1" s="214">
      <c r="A272" s="7" t="n"/>
      <c r="B272" s="7" t="n"/>
      <c r="C272" s="7" t="n"/>
      <c r="D272" s="7" t="n"/>
      <c r="E272" s="7" t="n"/>
      <c r="F272" s="7" t="n"/>
      <c r="G272" s="118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5" customHeight="1" s="214">
      <c r="A273" s="7" t="n"/>
      <c r="B273" s="7" t="n"/>
      <c r="C273" s="7" t="n"/>
      <c r="D273" s="7" t="n"/>
      <c r="E273" s="7" t="n"/>
      <c r="F273" s="7" t="n"/>
      <c r="G273" s="118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5" customHeight="1" s="214">
      <c r="A274" s="7" t="n"/>
      <c r="B274" s="7" t="n"/>
      <c r="C274" s="7" t="n"/>
      <c r="D274" s="7" t="n"/>
      <c r="E274" s="7" t="n"/>
      <c r="F274" s="7" t="n"/>
      <c r="G274" s="118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5" customHeight="1" s="214">
      <c r="A275" s="7" t="n"/>
      <c r="B275" s="7" t="n"/>
      <c r="C275" s="7" t="n"/>
      <c r="D275" s="7" t="n"/>
      <c r="E275" s="7" t="n"/>
      <c r="F275" s="7" t="n"/>
      <c r="G275" s="118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5" customHeight="1" s="214">
      <c r="A276" s="7" t="n"/>
      <c r="B276" s="7" t="n"/>
      <c r="C276" s="7" t="n"/>
      <c r="D276" s="7" t="n"/>
      <c r="E276" s="7" t="n"/>
      <c r="F276" s="7" t="n"/>
      <c r="G276" s="118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5" customHeight="1" s="214">
      <c r="A277" s="7" t="n"/>
      <c r="B277" s="7" t="n"/>
      <c r="C277" s="7" t="n"/>
      <c r="D277" s="7" t="n"/>
      <c r="E277" s="7" t="n"/>
      <c r="F277" s="7" t="n"/>
      <c r="G277" s="118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5" customHeight="1" s="214">
      <c r="A278" s="7" t="n"/>
      <c r="B278" s="7" t="n"/>
      <c r="C278" s="7" t="n"/>
      <c r="D278" s="7" t="n"/>
      <c r="E278" s="7" t="n"/>
      <c r="F278" s="7" t="n"/>
      <c r="G278" s="118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5" customHeight="1" s="214">
      <c r="A279" s="7" t="n"/>
      <c r="B279" s="7" t="n"/>
      <c r="C279" s="7" t="n"/>
      <c r="D279" s="7" t="n"/>
      <c r="E279" s="7" t="n"/>
      <c r="F279" s="7" t="n"/>
      <c r="G279" s="118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5" customHeight="1" s="214">
      <c r="A280" s="7" t="n"/>
      <c r="B280" s="7" t="n"/>
      <c r="C280" s="7" t="n"/>
      <c r="D280" s="7" t="n"/>
      <c r="E280" s="7" t="n"/>
      <c r="F280" s="7" t="n"/>
      <c r="G280" s="118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5" customHeight="1" s="214">
      <c r="A281" s="7" t="n"/>
      <c r="B281" s="7" t="n"/>
      <c r="C281" s="7" t="n"/>
      <c r="D281" s="7" t="n"/>
      <c r="E281" s="7" t="n"/>
      <c r="F281" s="7" t="n"/>
      <c r="G281" s="118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5" customHeight="1" s="214">
      <c r="A282" s="7" t="n"/>
      <c r="B282" s="7" t="n"/>
      <c r="C282" s="7" t="n"/>
      <c r="D282" s="7" t="n"/>
      <c r="E282" s="7" t="n"/>
      <c r="F282" s="7" t="n"/>
      <c r="G282" s="118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5" customHeight="1" s="214">
      <c r="A283" s="7" t="n"/>
      <c r="B283" s="7" t="n"/>
      <c r="C283" s="7" t="n"/>
      <c r="D283" s="7" t="n"/>
      <c r="E283" s="7" t="n"/>
      <c r="F283" s="7" t="n"/>
      <c r="G283" s="118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5" customHeight="1" s="214">
      <c r="A284" s="7" t="n"/>
      <c r="B284" s="7" t="n"/>
      <c r="C284" s="7" t="n"/>
      <c r="D284" s="7" t="n"/>
      <c r="E284" s="7" t="n"/>
      <c r="F284" s="7" t="n"/>
      <c r="G284" s="118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5" customHeight="1" s="214">
      <c r="A285" s="7" t="n"/>
      <c r="B285" s="7" t="n"/>
      <c r="C285" s="7" t="n"/>
      <c r="D285" s="7" t="n"/>
      <c r="E285" s="7" t="n"/>
      <c r="F285" s="7" t="n"/>
      <c r="G285" s="118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5" customHeight="1" s="214">
      <c r="A286" s="7" t="n"/>
      <c r="B286" s="7" t="n"/>
      <c r="C286" s="7" t="n"/>
      <c r="D286" s="7" t="n"/>
      <c r="E286" s="7" t="n"/>
      <c r="F286" s="7" t="n"/>
      <c r="G286" s="118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5" customHeight="1" s="214">
      <c r="A287" s="7" t="n"/>
      <c r="B287" s="7" t="n"/>
      <c r="C287" s="7" t="n"/>
      <c r="D287" s="7" t="n"/>
      <c r="E287" s="7" t="n"/>
      <c r="F287" s="7" t="n"/>
      <c r="G287" s="118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5" customHeight="1" s="214">
      <c r="A288" s="7" t="n"/>
      <c r="B288" s="7" t="n"/>
      <c r="C288" s="7" t="n"/>
      <c r="D288" s="7" t="n"/>
      <c r="E288" s="7" t="n"/>
      <c r="F288" s="7" t="n"/>
      <c r="G288" s="118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5" customHeight="1" s="214">
      <c r="A289" s="7" t="n"/>
      <c r="B289" s="7" t="n"/>
      <c r="C289" s="7" t="n"/>
      <c r="D289" s="7" t="n"/>
      <c r="E289" s="7" t="n"/>
      <c r="F289" s="7" t="n"/>
      <c r="G289" s="118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5" customHeight="1" s="214">
      <c r="A290" s="7" t="n"/>
      <c r="B290" s="7" t="n"/>
      <c r="C290" s="7" t="n"/>
      <c r="D290" s="7" t="n"/>
      <c r="E290" s="7" t="n"/>
      <c r="F290" s="7" t="n"/>
      <c r="G290" s="118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5" customHeight="1" s="214">
      <c r="A291" s="7" t="n"/>
      <c r="B291" s="7" t="n"/>
      <c r="C291" s="7" t="n"/>
      <c r="D291" s="7" t="n"/>
      <c r="E291" s="7" t="n"/>
      <c r="F291" s="7" t="n"/>
      <c r="G291" s="118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5" customHeight="1" s="214">
      <c r="A292" s="7" t="n"/>
      <c r="B292" s="7" t="n"/>
      <c r="C292" s="7" t="n"/>
      <c r="D292" s="7" t="n"/>
      <c r="E292" s="7" t="n"/>
      <c r="F292" s="7" t="n"/>
      <c r="G292" s="118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5" customHeight="1" s="214">
      <c r="A293" s="7" t="n"/>
      <c r="B293" s="7" t="n"/>
      <c r="C293" s="7" t="n"/>
      <c r="D293" s="7" t="n"/>
      <c r="E293" s="7" t="n"/>
      <c r="F293" s="7" t="n"/>
      <c r="G293" s="118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5" customHeight="1" s="214">
      <c r="A294" s="7" t="n"/>
      <c r="B294" s="7" t="n"/>
      <c r="C294" s="7" t="n"/>
      <c r="D294" s="7" t="n"/>
      <c r="E294" s="7" t="n"/>
      <c r="F294" s="7" t="n"/>
      <c r="G294" s="118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5" customHeight="1" s="214">
      <c r="A295" s="7" t="n"/>
      <c r="B295" s="7" t="n"/>
      <c r="C295" s="7" t="n"/>
      <c r="D295" s="7" t="n"/>
      <c r="E295" s="7" t="n"/>
      <c r="F295" s="7" t="n"/>
      <c r="G295" s="118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5" customHeight="1" s="214">
      <c r="A296" s="7" t="n"/>
      <c r="B296" s="7" t="n"/>
      <c r="C296" s="7" t="n"/>
      <c r="D296" s="7" t="n"/>
      <c r="E296" s="7" t="n"/>
      <c r="F296" s="7" t="n"/>
      <c r="G296" s="118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5" customHeight="1" s="214">
      <c r="A297" s="7" t="n"/>
      <c r="B297" s="7" t="n"/>
      <c r="C297" s="7" t="n"/>
      <c r="D297" s="7" t="n"/>
      <c r="E297" s="7" t="n"/>
      <c r="F297" s="7" t="n"/>
      <c r="G297" s="118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5" customHeight="1" s="214">
      <c r="A298" s="7" t="n"/>
      <c r="B298" s="7" t="n"/>
      <c r="C298" s="7" t="n"/>
      <c r="D298" s="7" t="n"/>
      <c r="E298" s="7" t="n"/>
      <c r="F298" s="7" t="n"/>
      <c r="G298" s="118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5" customHeight="1" s="214">
      <c r="A299" s="7" t="n"/>
      <c r="B299" s="7" t="n"/>
      <c r="C299" s="7" t="n"/>
      <c r="D299" s="7" t="n"/>
      <c r="E299" s="7" t="n"/>
      <c r="F299" s="7" t="n"/>
      <c r="G299" s="118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5" customHeight="1" s="214">
      <c r="A300" s="7" t="n"/>
      <c r="B300" s="7" t="n"/>
      <c r="C300" s="7" t="n"/>
      <c r="D300" s="7" t="n"/>
      <c r="E300" s="7" t="n"/>
      <c r="F300" s="7" t="n"/>
      <c r="G300" s="118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5" customHeight="1" s="214">
      <c r="A301" s="7" t="n"/>
      <c r="B301" s="7" t="n"/>
      <c r="C301" s="7" t="n"/>
      <c r="D301" s="7" t="n"/>
      <c r="E301" s="7" t="n"/>
      <c r="F301" s="7" t="n"/>
      <c r="G301" s="118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5" customHeight="1" s="214">
      <c r="A302" s="7" t="n"/>
      <c r="B302" s="7" t="n"/>
      <c r="C302" s="7" t="n"/>
      <c r="D302" s="7" t="n"/>
      <c r="E302" s="7" t="n"/>
      <c r="F302" s="7" t="n"/>
      <c r="G302" s="118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5" customHeight="1" s="214">
      <c r="A303" s="7" t="n"/>
      <c r="B303" s="7" t="n"/>
      <c r="C303" s="7" t="n"/>
      <c r="D303" s="7" t="n"/>
      <c r="E303" s="7" t="n"/>
      <c r="F303" s="7" t="n"/>
      <c r="G303" s="118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5" customHeight="1" s="214">
      <c r="A304" s="7" t="n"/>
      <c r="B304" s="7" t="n"/>
      <c r="C304" s="7" t="n"/>
      <c r="D304" s="7" t="n"/>
      <c r="E304" s="7" t="n"/>
      <c r="F304" s="7" t="n"/>
      <c r="G304" s="118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5" customHeight="1" s="214">
      <c r="A305" s="7" t="n"/>
      <c r="B305" s="7" t="n"/>
      <c r="C305" s="7" t="n"/>
      <c r="D305" s="7" t="n"/>
      <c r="E305" s="7" t="n"/>
      <c r="F305" s="7" t="n"/>
      <c r="G305" s="118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5" customHeight="1" s="214">
      <c r="A306" s="7" t="n"/>
      <c r="B306" s="7" t="n"/>
      <c r="C306" s="7" t="n"/>
      <c r="D306" s="7" t="n"/>
      <c r="E306" s="7" t="n"/>
      <c r="F306" s="7" t="n"/>
      <c r="G306" s="118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5" customHeight="1" s="214">
      <c r="A307" s="7" t="n"/>
      <c r="B307" s="7" t="n"/>
      <c r="C307" s="7" t="n"/>
      <c r="D307" s="7" t="n"/>
      <c r="E307" s="7" t="n"/>
      <c r="F307" s="7" t="n"/>
      <c r="G307" s="118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5" customHeight="1" s="214">
      <c r="A308" s="7" t="n"/>
      <c r="B308" s="7" t="n"/>
      <c r="C308" s="7" t="n"/>
      <c r="D308" s="7" t="n"/>
      <c r="E308" s="7" t="n"/>
      <c r="F308" s="7" t="n"/>
      <c r="G308" s="118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5" customHeight="1" s="214">
      <c r="A309" s="7" t="n"/>
      <c r="B309" s="7" t="n"/>
      <c r="C309" s="7" t="n"/>
      <c r="D309" s="7" t="n"/>
      <c r="E309" s="7" t="n"/>
      <c r="F309" s="7" t="n"/>
      <c r="G309" s="118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5" customHeight="1" s="214">
      <c r="A310" s="7" t="n"/>
      <c r="B310" s="7" t="n"/>
      <c r="C310" s="7" t="n"/>
      <c r="D310" s="7" t="n"/>
      <c r="E310" s="7" t="n"/>
      <c r="F310" s="7" t="n"/>
      <c r="G310" s="118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5" customHeight="1" s="214">
      <c r="A311" s="7" t="n"/>
      <c r="B311" s="7" t="n"/>
      <c r="C311" s="7" t="n"/>
      <c r="D311" s="7" t="n"/>
      <c r="E311" s="7" t="n"/>
      <c r="F311" s="7" t="n"/>
      <c r="G311" s="118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5" customHeight="1" s="214">
      <c r="A312" s="7" t="n"/>
      <c r="B312" s="7" t="n"/>
      <c r="C312" s="7" t="n"/>
      <c r="D312" s="7" t="n"/>
      <c r="E312" s="7" t="n"/>
      <c r="F312" s="7" t="n"/>
      <c r="G312" s="118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5" customHeight="1" s="214">
      <c r="A313" s="7" t="n"/>
      <c r="B313" s="7" t="n"/>
      <c r="C313" s="7" t="n"/>
      <c r="D313" s="7" t="n"/>
      <c r="E313" s="7" t="n"/>
      <c r="F313" s="7" t="n"/>
      <c r="G313" s="118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5" customHeight="1" s="214">
      <c r="A314" s="7" t="n"/>
      <c r="B314" s="7" t="n"/>
      <c r="C314" s="7" t="n"/>
      <c r="D314" s="7" t="n"/>
      <c r="E314" s="7" t="n"/>
      <c r="F314" s="7" t="n"/>
      <c r="G314" s="118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5" customHeight="1" s="214">
      <c r="A315" s="7" t="n"/>
      <c r="B315" s="7" t="n"/>
      <c r="C315" s="7" t="n"/>
      <c r="D315" s="7" t="n"/>
      <c r="E315" s="7" t="n"/>
      <c r="F315" s="7" t="n"/>
      <c r="G315" s="118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5" customHeight="1" s="214">
      <c r="A316" s="7" t="n"/>
      <c r="B316" s="7" t="n"/>
      <c r="C316" s="7" t="n"/>
      <c r="D316" s="7" t="n"/>
      <c r="E316" s="7" t="n"/>
      <c r="F316" s="7" t="n"/>
      <c r="G316" s="118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5" customHeight="1" s="214">
      <c r="A317" s="7" t="n"/>
      <c r="B317" s="7" t="n"/>
      <c r="C317" s="7" t="n"/>
      <c r="D317" s="7" t="n"/>
      <c r="E317" s="7" t="n"/>
      <c r="F317" s="7" t="n"/>
      <c r="G317" s="118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5" customHeight="1" s="214">
      <c r="A318" s="7" t="n"/>
      <c r="B318" s="7" t="n"/>
      <c r="C318" s="7" t="n"/>
      <c r="D318" s="7" t="n"/>
      <c r="E318" s="7" t="n"/>
      <c r="F318" s="7" t="n"/>
      <c r="G318" s="118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5" customHeight="1" s="214">
      <c r="A319" s="7" t="n"/>
      <c r="B319" s="7" t="n"/>
      <c r="C319" s="7" t="n"/>
      <c r="D319" s="7" t="n"/>
      <c r="E319" s="7" t="n"/>
      <c r="F319" s="7" t="n"/>
      <c r="G319" s="118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5" customHeight="1" s="214">
      <c r="A320" s="7" t="n"/>
      <c r="B320" s="7" t="n"/>
      <c r="C320" s="7" t="n"/>
      <c r="D320" s="7" t="n"/>
      <c r="E320" s="7" t="n"/>
      <c r="F320" s="7" t="n"/>
      <c r="G320" s="118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5" customHeight="1" s="214">
      <c r="A321" s="7" t="n"/>
      <c r="B321" s="7" t="n"/>
      <c r="C321" s="7" t="n"/>
      <c r="D321" s="7" t="n"/>
      <c r="E321" s="7" t="n"/>
      <c r="F321" s="7" t="n"/>
      <c r="G321" s="118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5" customHeight="1" s="214">
      <c r="A322" s="7" t="n"/>
      <c r="B322" s="7" t="n"/>
      <c r="C322" s="7" t="n"/>
      <c r="D322" s="7" t="n"/>
      <c r="E322" s="7" t="n"/>
      <c r="F322" s="7" t="n"/>
      <c r="G322" s="118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5" customHeight="1" s="214">
      <c r="A323" s="7" t="n"/>
      <c r="B323" s="7" t="n"/>
      <c r="C323" s="7" t="n"/>
      <c r="D323" s="7" t="n"/>
      <c r="E323" s="7" t="n"/>
      <c r="F323" s="7" t="n"/>
      <c r="G323" s="118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5" customHeight="1" s="214">
      <c r="A324" s="7" t="n"/>
      <c r="B324" s="7" t="n"/>
      <c r="C324" s="7" t="n"/>
      <c r="D324" s="7" t="n"/>
      <c r="E324" s="7" t="n"/>
      <c r="F324" s="7" t="n"/>
      <c r="G324" s="118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5" customHeight="1" s="214">
      <c r="A325" s="7" t="n"/>
      <c r="B325" s="7" t="n"/>
      <c r="C325" s="7" t="n"/>
      <c r="D325" s="7" t="n"/>
      <c r="E325" s="7" t="n"/>
      <c r="F325" s="7" t="n"/>
      <c r="G325" s="118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5" customHeight="1" s="214">
      <c r="A326" s="7" t="n"/>
      <c r="B326" s="7" t="n"/>
      <c r="C326" s="7" t="n"/>
      <c r="D326" s="7" t="n"/>
      <c r="E326" s="7" t="n"/>
      <c r="F326" s="7" t="n"/>
      <c r="G326" s="118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5" customHeight="1" s="214">
      <c r="A327" s="7" t="n"/>
      <c r="B327" s="7" t="n"/>
      <c r="C327" s="7" t="n"/>
      <c r="D327" s="7" t="n"/>
      <c r="E327" s="7" t="n"/>
      <c r="F327" s="7" t="n"/>
      <c r="G327" s="118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5" customHeight="1" s="214">
      <c r="A328" s="7" t="n"/>
      <c r="B328" s="7" t="n"/>
      <c r="C328" s="7" t="n"/>
      <c r="D328" s="7" t="n"/>
      <c r="E328" s="7" t="n"/>
      <c r="F328" s="7" t="n"/>
      <c r="G328" s="118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5" customHeight="1" s="214">
      <c r="A329" s="7" t="n"/>
      <c r="B329" s="7" t="n"/>
      <c r="C329" s="7" t="n"/>
      <c r="D329" s="7" t="n"/>
      <c r="E329" s="7" t="n"/>
      <c r="F329" s="7" t="n"/>
      <c r="G329" s="118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5" customHeight="1" s="214">
      <c r="A330" s="7" t="n"/>
      <c r="B330" s="7" t="n"/>
      <c r="C330" s="7" t="n"/>
      <c r="D330" s="7" t="n"/>
      <c r="E330" s="7" t="n"/>
      <c r="F330" s="7" t="n"/>
      <c r="G330" s="118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5" customHeight="1" s="214">
      <c r="A331" s="7" t="n"/>
      <c r="B331" s="7" t="n"/>
      <c r="C331" s="7" t="n"/>
      <c r="D331" s="7" t="n"/>
      <c r="E331" s="7" t="n"/>
      <c r="F331" s="7" t="n"/>
      <c r="G331" s="118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5" customHeight="1" s="214">
      <c r="A332" s="7" t="n"/>
      <c r="B332" s="7" t="n"/>
      <c r="C332" s="7" t="n"/>
      <c r="D332" s="7" t="n"/>
      <c r="E332" s="7" t="n"/>
      <c r="F332" s="7" t="n"/>
      <c r="G332" s="118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5" customHeight="1" s="214">
      <c r="A333" s="7" t="n"/>
      <c r="B333" s="7" t="n"/>
      <c r="C333" s="7" t="n"/>
      <c r="D333" s="7" t="n"/>
      <c r="E333" s="7" t="n"/>
      <c r="F333" s="7" t="n"/>
      <c r="G333" s="118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5" customHeight="1" s="214">
      <c r="A334" s="7" t="n"/>
      <c r="B334" s="7" t="n"/>
      <c r="C334" s="7" t="n"/>
      <c r="D334" s="7" t="n"/>
      <c r="E334" s="7" t="n"/>
      <c r="F334" s="7" t="n"/>
      <c r="G334" s="118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5" customHeight="1" s="214">
      <c r="A335" s="7" t="n"/>
      <c r="B335" s="7" t="n"/>
      <c r="C335" s="7" t="n"/>
      <c r="D335" s="7" t="n"/>
      <c r="E335" s="7" t="n"/>
      <c r="F335" s="7" t="n"/>
      <c r="G335" s="118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5" customHeight="1" s="214">
      <c r="A336" s="7" t="n"/>
      <c r="B336" s="7" t="n"/>
      <c r="C336" s="7" t="n"/>
      <c r="D336" s="7" t="n"/>
      <c r="E336" s="7" t="n"/>
      <c r="F336" s="7" t="n"/>
      <c r="G336" s="118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5" customHeight="1" s="214">
      <c r="A337" s="7" t="n"/>
      <c r="B337" s="7" t="n"/>
      <c r="C337" s="7" t="n"/>
      <c r="D337" s="7" t="n"/>
      <c r="E337" s="7" t="n"/>
      <c r="F337" s="7" t="n"/>
      <c r="G337" s="118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5" customHeight="1" s="214">
      <c r="A338" s="7" t="n"/>
      <c r="B338" s="7" t="n"/>
      <c r="C338" s="7" t="n"/>
      <c r="D338" s="7" t="n"/>
      <c r="E338" s="7" t="n"/>
      <c r="F338" s="7" t="n"/>
      <c r="G338" s="118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5" customHeight="1" s="214">
      <c r="A339" s="7" t="n"/>
      <c r="B339" s="7" t="n"/>
      <c r="C339" s="7" t="n"/>
      <c r="D339" s="7" t="n"/>
      <c r="E339" s="7" t="n"/>
      <c r="F339" s="7" t="n"/>
      <c r="G339" s="118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5" customHeight="1" s="214">
      <c r="A340" s="7" t="n"/>
      <c r="B340" s="7" t="n"/>
      <c r="C340" s="7" t="n"/>
      <c r="D340" s="7" t="n"/>
      <c r="E340" s="7" t="n"/>
      <c r="F340" s="7" t="n"/>
      <c r="G340" s="118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5" customHeight="1" s="214">
      <c r="A341" s="7" t="n"/>
      <c r="B341" s="7" t="n"/>
      <c r="C341" s="7" t="n"/>
      <c r="D341" s="7" t="n"/>
      <c r="E341" s="7" t="n"/>
      <c r="F341" s="7" t="n"/>
      <c r="G341" s="118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5" customHeight="1" s="214">
      <c r="A342" s="7" t="n"/>
      <c r="B342" s="7" t="n"/>
      <c r="C342" s="7" t="n"/>
      <c r="D342" s="7" t="n"/>
      <c r="E342" s="7" t="n"/>
      <c r="F342" s="7" t="n"/>
      <c r="G342" s="118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5" customHeight="1" s="214">
      <c r="A343" s="7" t="n"/>
      <c r="B343" s="7" t="n"/>
      <c r="C343" s="7" t="n"/>
      <c r="D343" s="7" t="n"/>
      <c r="E343" s="7" t="n"/>
      <c r="F343" s="7" t="n"/>
      <c r="G343" s="118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5" customHeight="1" s="214">
      <c r="A344" s="7" t="n"/>
      <c r="B344" s="7" t="n"/>
      <c r="C344" s="7" t="n"/>
      <c r="D344" s="7" t="n"/>
      <c r="E344" s="7" t="n"/>
      <c r="F344" s="7" t="n"/>
      <c r="G344" s="118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5" customHeight="1" s="214">
      <c r="A345" s="7" t="n"/>
      <c r="B345" s="7" t="n"/>
      <c r="C345" s="7" t="n"/>
      <c r="D345" s="7" t="n"/>
      <c r="E345" s="7" t="n"/>
      <c r="F345" s="7" t="n"/>
      <c r="G345" s="118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5" customHeight="1" s="214">
      <c r="A346" s="7" t="n"/>
      <c r="B346" s="7" t="n"/>
      <c r="C346" s="7" t="n"/>
      <c r="D346" s="7" t="n"/>
      <c r="E346" s="7" t="n"/>
      <c r="F346" s="7" t="n"/>
      <c r="G346" s="118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5" customHeight="1" s="214">
      <c r="A347" s="7" t="n"/>
      <c r="B347" s="7" t="n"/>
      <c r="C347" s="7" t="n"/>
      <c r="D347" s="7" t="n"/>
      <c r="E347" s="7" t="n"/>
      <c r="F347" s="7" t="n"/>
      <c r="G347" s="118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5" customHeight="1" s="214">
      <c r="A348" s="7" t="n"/>
      <c r="B348" s="7" t="n"/>
      <c r="C348" s="7" t="n"/>
      <c r="D348" s="7" t="n"/>
      <c r="E348" s="7" t="n"/>
      <c r="F348" s="7" t="n"/>
      <c r="G348" s="118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5" customHeight="1" s="214">
      <c r="A349" s="7" t="n"/>
      <c r="B349" s="7" t="n"/>
      <c r="C349" s="7" t="n"/>
      <c r="D349" s="7" t="n"/>
      <c r="E349" s="7" t="n"/>
      <c r="F349" s="7" t="n"/>
      <c r="G349" s="118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5" customHeight="1" s="214">
      <c r="A350" s="7" t="n"/>
      <c r="B350" s="7" t="n"/>
      <c r="C350" s="7" t="n"/>
      <c r="D350" s="7" t="n"/>
      <c r="E350" s="7" t="n"/>
      <c r="F350" s="7" t="n"/>
      <c r="G350" s="118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5" customHeight="1" s="214">
      <c r="A351" s="7" t="n"/>
      <c r="B351" s="7" t="n"/>
      <c r="C351" s="7" t="n"/>
      <c r="D351" s="7" t="n"/>
      <c r="E351" s="7" t="n"/>
      <c r="F351" s="7" t="n"/>
      <c r="G351" s="118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5" customHeight="1" s="214">
      <c r="A352" s="7" t="n"/>
      <c r="B352" s="7" t="n"/>
      <c r="C352" s="7" t="n"/>
      <c r="D352" s="7" t="n"/>
      <c r="E352" s="7" t="n"/>
      <c r="F352" s="7" t="n"/>
      <c r="G352" s="118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5" customHeight="1" s="214">
      <c r="A353" s="7" t="n"/>
      <c r="B353" s="7" t="n"/>
      <c r="C353" s="7" t="n"/>
      <c r="D353" s="7" t="n"/>
      <c r="E353" s="7" t="n"/>
      <c r="F353" s="7" t="n"/>
      <c r="G353" s="118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5" customHeight="1" s="214">
      <c r="A354" s="7" t="n"/>
      <c r="B354" s="7" t="n"/>
      <c r="C354" s="7" t="n"/>
      <c r="D354" s="7" t="n"/>
      <c r="E354" s="7" t="n"/>
      <c r="F354" s="7" t="n"/>
      <c r="G354" s="118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5" customHeight="1" s="214">
      <c r="A355" s="7" t="n"/>
      <c r="B355" s="7" t="n"/>
      <c r="C355" s="7" t="n"/>
      <c r="D355" s="7" t="n"/>
      <c r="E355" s="7" t="n"/>
      <c r="F355" s="7" t="n"/>
      <c r="G355" s="118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5" customHeight="1" s="214">
      <c r="A356" s="7" t="n"/>
      <c r="B356" s="7" t="n"/>
      <c r="C356" s="7" t="n"/>
      <c r="D356" s="7" t="n"/>
      <c r="E356" s="7" t="n"/>
      <c r="F356" s="7" t="n"/>
      <c r="G356" s="118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5" customHeight="1" s="214">
      <c r="A357" s="7" t="n"/>
      <c r="B357" s="7" t="n"/>
      <c r="C357" s="7" t="n"/>
      <c r="D357" s="7" t="n"/>
      <c r="E357" s="7" t="n"/>
      <c r="F357" s="7" t="n"/>
      <c r="G357" s="118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5" customHeight="1" s="214">
      <c r="A358" s="7" t="n"/>
      <c r="B358" s="7" t="n"/>
      <c r="C358" s="7" t="n"/>
      <c r="D358" s="7" t="n"/>
      <c r="E358" s="7" t="n"/>
      <c r="F358" s="7" t="n"/>
      <c r="G358" s="118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5" customHeight="1" s="214">
      <c r="A359" s="7" t="n"/>
      <c r="B359" s="7" t="n"/>
      <c r="C359" s="7" t="n"/>
      <c r="D359" s="7" t="n"/>
      <c r="E359" s="7" t="n"/>
      <c r="F359" s="7" t="n"/>
      <c r="G359" s="118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5" customHeight="1" s="214">
      <c r="A360" s="7" t="n"/>
      <c r="B360" s="7" t="n"/>
      <c r="C360" s="7" t="n"/>
      <c r="D360" s="7" t="n"/>
      <c r="E360" s="7" t="n"/>
      <c r="F360" s="7" t="n"/>
      <c r="G360" s="118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5" customHeight="1" s="214">
      <c r="A361" s="7" t="n"/>
      <c r="B361" s="7" t="n"/>
      <c r="C361" s="7" t="n"/>
      <c r="D361" s="7" t="n"/>
      <c r="E361" s="7" t="n"/>
      <c r="F361" s="7" t="n"/>
      <c r="G361" s="118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5" customHeight="1" s="214">
      <c r="A362" s="7" t="n"/>
      <c r="B362" s="7" t="n"/>
      <c r="C362" s="7" t="n"/>
      <c r="D362" s="7" t="n"/>
      <c r="E362" s="7" t="n"/>
      <c r="F362" s="7" t="n"/>
      <c r="G362" s="118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5" customHeight="1" s="214">
      <c r="A363" s="7" t="n"/>
      <c r="B363" s="7" t="n"/>
      <c r="C363" s="7" t="n"/>
      <c r="D363" s="7" t="n"/>
      <c r="E363" s="7" t="n"/>
      <c r="F363" s="7" t="n"/>
      <c r="G363" s="118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5" customHeight="1" s="214">
      <c r="A364" s="7" t="n"/>
      <c r="B364" s="7" t="n"/>
      <c r="C364" s="7" t="n"/>
      <c r="D364" s="7" t="n"/>
      <c r="E364" s="7" t="n"/>
      <c r="F364" s="7" t="n"/>
      <c r="G364" s="118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5" customHeight="1" s="214">
      <c r="A365" s="7" t="n"/>
      <c r="B365" s="7" t="n"/>
      <c r="C365" s="7" t="n"/>
      <c r="D365" s="7" t="n"/>
      <c r="E365" s="7" t="n"/>
      <c r="F365" s="7" t="n"/>
      <c r="G365" s="118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5" customHeight="1" s="214">
      <c r="A366" s="7" t="n"/>
      <c r="B366" s="7" t="n"/>
      <c r="C366" s="7" t="n"/>
      <c r="D366" s="7" t="n"/>
      <c r="E366" s="7" t="n"/>
      <c r="F366" s="7" t="n"/>
      <c r="G366" s="118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5" customHeight="1" s="214">
      <c r="A367" s="7" t="n"/>
      <c r="B367" s="7" t="n"/>
      <c r="C367" s="7" t="n"/>
      <c r="D367" s="7" t="n"/>
      <c r="E367" s="7" t="n"/>
      <c r="F367" s="7" t="n"/>
      <c r="G367" s="118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5" customHeight="1" s="214">
      <c r="A368" s="7" t="n"/>
      <c r="B368" s="7" t="n"/>
      <c r="C368" s="7" t="n"/>
      <c r="D368" s="7" t="n"/>
      <c r="E368" s="7" t="n"/>
      <c r="F368" s="7" t="n"/>
      <c r="G368" s="118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5" customHeight="1" s="214">
      <c r="A369" s="7" t="n"/>
      <c r="B369" s="7" t="n"/>
      <c r="C369" s="7" t="n"/>
      <c r="D369" s="7" t="n"/>
      <c r="E369" s="7" t="n"/>
      <c r="F369" s="7" t="n"/>
      <c r="G369" s="118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5" customHeight="1" s="214">
      <c r="A370" s="7" t="n"/>
      <c r="B370" s="7" t="n"/>
      <c r="C370" s="7" t="n"/>
      <c r="D370" s="7" t="n"/>
      <c r="E370" s="7" t="n"/>
      <c r="F370" s="7" t="n"/>
      <c r="G370" s="118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5" customHeight="1" s="214">
      <c r="A371" s="7" t="n"/>
      <c r="B371" s="7" t="n"/>
      <c r="C371" s="7" t="n"/>
      <c r="D371" s="7" t="n"/>
      <c r="E371" s="7" t="n"/>
      <c r="F371" s="7" t="n"/>
      <c r="G371" s="118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5" customHeight="1" s="214">
      <c r="A372" s="7" t="n"/>
      <c r="B372" s="7" t="n"/>
      <c r="C372" s="7" t="n"/>
      <c r="D372" s="7" t="n"/>
      <c r="E372" s="7" t="n"/>
      <c r="F372" s="7" t="n"/>
      <c r="G372" s="118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5" customHeight="1" s="214">
      <c r="A373" s="7" t="n"/>
      <c r="B373" s="7" t="n"/>
      <c r="C373" s="7" t="n"/>
      <c r="D373" s="7" t="n"/>
      <c r="E373" s="7" t="n"/>
      <c r="F373" s="7" t="n"/>
      <c r="G373" s="118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5" customHeight="1" s="214">
      <c r="A374" s="7" t="n"/>
      <c r="B374" s="7" t="n"/>
      <c r="C374" s="7" t="n"/>
      <c r="D374" s="7" t="n"/>
      <c r="E374" s="7" t="n"/>
      <c r="F374" s="7" t="n"/>
      <c r="G374" s="118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5" customHeight="1" s="214">
      <c r="A375" s="7" t="n"/>
      <c r="B375" s="7" t="n"/>
      <c r="C375" s="7" t="n"/>
      <c r="D375" s="7" t="n"/>
      <c r="E375" s="7" t="n"/>
      <c r="F375" s="7" t="n"/>
      <c r="G375" s="118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5" customHeight="1" s="214">
      <c r="A376" s="7" t="n"/>
      <c r="B376" s="7" t="n"/>
      <c r="C376" s="7" t="n"/>
      <c r="D376" s="7" t="n"/>
      <c r="E376" s="7" t="n"/>
      <c r="F376" s="7" t="n"/>
      <c r="G376" s="118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5" customHeight="1" s="214">
      <c r="A377" s="7" t="n"/>
      <c r="B377" s="7" t="n"/>
      <c r="C377" s="7" t="n"/>
      <c r="D377" s="7" t="n"/>
      <c r="E377" s="7" t="n"/>
      <c r="F377" s="7" t="n"/>
      <c r="G377" s="118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5" customHeight="1" s="214">
      <c r="A378" s="7" t="n"/>
      <c r="B378" s="7" t="n"/>
      <c r="C378" s="7" t="n"/>
      <c r="D378" s="7" t="n"/>
      <c r="E378" s="7" t="n"/>
      <c r="F378" s="7" t="n"/>
      <c r="G378" s="118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5" customHeight="1" s="214">
      <c r="A379" s="7" t="n"/>
      <c r="B379" s="7" t="n"/>
      <c r="C379" s="7" t="n"/>
      <c r="D379" s="7" t="n"/>
      <c r="E379" s="7" t="n"/>
      <c r="F379" s="7" t="n"/>
      <c r="G379" s="118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5" customHeight="1" s="214">
      <c r="A380" s="7" t="n"/>
      <c r="B380" s="7" t="n"/>
      <c r="C380" s="7" t="n"/>
      <c r="D380" s="7" t="n"/>
      <c r="E380" s="7" t="n"/>
      <c r="F380" s="7" t="n"/>
      <c r="G380" s="118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5" customHeight="1" s="214">
      <c r="A381" s="7" t="n"/>
      <c r="B381" s="7" t="n"/>
      <c r="C381" s="7" t="n"/>
      <c r="D381" s="7" t="n"/>
      <c r="E381" s="7" t="n"/>
      <c r="F381" s="7" t="n"/>
      <c r="G381" s="118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5" customHeight="1" s="214">
      <c r="A382" s="7" t="n"/>
      <c r="B382" s="7" t="n"/>
      <c r="C382" s="7" t="n"/>
      <c r="D382" s="7" t="n"/>
      <c r="E382" s="7" t="n"/>
      <c r="F382" s="7" t="n"/>
      <c r="G382" s="118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5" customHeight="1" s="214">
      <c r="A383" s="7" t="n"/>
      <c r="B383" s="7" t="n"/>
      <c r="C383" s="7" t="n"/>
      <c r="D383" s="7" t="n"/>
      <c r="E383" s="7" t="n"/>
      <c r="F383" s="7" t="n"/>
      <c r="G383" s="118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5" customHeight="1" s="214">
      <c r="A384" s="7" t="n"/>
      <c r="B384" s="7" t="n"/>
      <c r="C384" s="7" t="n"/>
      <c r="D384" s="7" t="n"/>
      <c r="E384" s="7" t="n"/>
      <c r="F384" s="7" t="n"/>
      <c r="G384" s="118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5" customHeight="1" s="214">
      <c r="A385" s="7" t="n"/>
      <c r="B385" s="7" t="n"/>
      <c r="C385" s="7" t="n"/>
      <c r="D385" s="7" t="n"/>
      <c r="E385" s="7" t="n"/>
      <c r="F385" s="7" t="n"/>
      <c r="G385" s="118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5" customHeight="1" s="214">
      <c r="A386" s="7" t="n"/>
      <c r="B386" s="7" t="n"/>
      <c r="C386" s="7" t="n"/>
      <c r="D386" s="7" t="n"/>
      <c r="E386" s="7" t="n"/>
      <c r="F386" s="7" t="n"/>
      <c r="G386" s="118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5" customHeight="1" s="214">
      <c r="A387" s="7" t="n"/>
      <c r="B387" s="7" t="n"/>
      <c r="C387" s="7" t="n"/>
      <c r="D387" s="7" t="n"/>
      <c r="E387" s="7" t="n"/>
      <c r="F387" s="7" t="n"/>
      <c r="G387" s="118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5" customHeight="1" s="214">
      <c r="A388" s="7" t="n"/>
      <c r="B388" s="7" t="n"/>
      <c r="C388" s="7" t="n"/>
      <c r="D388" s="7" t="n"/>
      <c r="E388" s="7" t="n"/>
      <c r="F388" s="7" t="n"/>
      <c r="G388" s="118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5" customHeight="1" s="214">
      <c r="A389" s="7" t="n"/>
      <c r="B389" s="7" t="n"/>
      <c r="C389" s="7" t="n"/>
      <c r="D389" s="7" t="n"/>
      <c r="E389" s="7" t="n"/>
      <c r="F389" s="7" t="n"/>
      <c r="G389" s="118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5" customHeight="1" s="214">
      <c r="A390" s="7" t="n"/>
      <c r="B390" s="7" t="n"/>
      <c r="C390" s="7" t="n"/>
      <c r="D390" s="7" t="n"/>
      <c r="E390" s="7" t="n"/>
      <c r="F390" s="7" t="n"/>
      <c r="G390" s="118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5" customHeight="1" s="214">
      <c r="A391" s="7" t="n"/>
      <c r="B391" s="7" t="n"/>
      <c r="C391" s="7" t="n"/>
      <c r="D391" s="7" t="n"/>
      <c r="E391" s="7" t="n"/>
      <c r="F391" s="7" t="n"/>
      <c r="G391" s="118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5" customHeight="1" s="214">
      <c r="A392" s="7" t="n"/>
      <c r="B392" s="7" t="n"/>
      <c r="C392" s="7" t="n"/>
      <c r="D392" s="7" t="n"/>
      <c r="E392" s="7" t="n"/>
      <c r="F392" s="7" t="n"/>
      <c r="G392" s="118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5" customHeight="1" s="214">
      <c r="A393" s="7" t="n"/>
      <c r="B393" s="7" t="n"/>
      <c r="C393" s="7" t="n"/>
      <c r="D393" s="7" t="n"/>
      <c r="E393" s="7" t="n"/>
      <c r="F393" s="7" t="n"/>
      <c r="G393" s="118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5" customHeight="1" s="214">
      <c r="A394" s="7" t="n"/>
      <c r="B394" s="7" t="n"/>
      <c r="C394" s="7" t="n"/>
      <c r="D394" s="7" t="n"/>
      <c r="E394" s="7" t="n"/>
      <c r="F394" s="7" t="n"/>
      <c r="G394" s="118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5" customHeight="1" s="214">
      <c r="A395" s="7" t="n"/>
      <c r="B395" s="7" t="n"/>
      <c r="C395" s="7" t="n"/>
      <c r="D395" s="7" t="n"/>
      <c r="E395" s="7" t="n"/>
      <c r="F395" s="7" t="n"/>
      <c r="G395" s="118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5" customHeight="1" s="214">
      <c r="A396" s="7" t="n"/>
      <c r="B396" s="7" t="n"/>
      <c r="C396" s="7" t="n"/>
      <c r="D396" s="7" t="n"/>
      <c r="E396" s="7" t="n"/>
      <c r="F396" s="7" t="n"/>
      <c r="G396" s="118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5" customHeight="1" s="214">
      <c r="A397" s="7" t="n"/>
      <c r="B397" s="7" t="n"/>
      <c r="C397" s="7" t="n"/>
      <c r="D397" s="7" t="n"/>
      <c r="E397" s="7" t="n"/>
      <c r="F397" s="7" t="n"/>
      <c r="G397" s="118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5" customHeight="1" s="214">
      <c r="A398" s="7" t="n"/>
      <c r="B398" s="7" t="n"/>
      <c r="C398" s="7" t="n"/>
      <c r="D398" s="7" t="n"/>
      <c r="E398" s="7" t="n"/>
      <c r="F398" s="7" t="n"/>
      <c r="G398" s="118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5" customHeight="1" s="214">
      <c r="A399" s="7" t="n"/>
      <c r="B399" s="7" t="n"/>
      <c r="C399" s="7" t="n"/>
      <c r="D399" s="7" t="n"/>
      <c r="E399" s="7" t="n"/>
      <c r="F399" s="7" t="n"/>
      <c r="G399" s="118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5" customHeight="1" s="214">
      <c r="A400" s="7" t="n"/>
      <c r="B400" s="7" t="n"/>
      <c r="C400" s="7" t="n"/>
      <c r="D400" s="7" t="n"/>
      <c r="E400" s="7" t="n"/>
      <c r="F400" s="7" t="n"/>
      <c r="G400" s="118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5" customHeight="1" s="214">
      <c r="A401" s="7" t="n"/>
      <c r="B401" s="7" t="n"/>
      <c r="C401" s="7" t="n"/>
      <c r="D401" s="7" t="n"/>
      <c r="E401" s="7" t="n"/>
      <c r="F401" s="7" t="n"/>
      <c r="G401" s="118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5" customHeight="1" s="214">
      <c r="A402" s="7" t="n"/>
      <c r="B402" s="7" t="n"/>
      <c r="C402" s="7" t="n"/>
      <c r="D402" s="7" t="n"/>
      <c r="E402" s="7" t="n"/>
      <c r="F402" s="7" t="n"/>
      <c r="G402" s="118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5" customHeight="1" s="214">
      <c r="A403" s="7" t="n"/>
      <c r="B403" s="7" t="n"/>
      <c r="C403" s="7" t="n"/>
      <c r="D403" s="7" t="n"/>
      <c r="E403" s="7" t="n"/>
      <c r="F403" s="7" t="n"/>
      <c r="G403" s="118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5" customHeight="1" s="214">
      <c r="A404" s="7" t="n"/>
      <c r="B404" s="7" t="n"/>
      <c r="C404" s="7" t="n"/>
      <c r="D404" s="7" t="n"/>
      <c r="E404" s="7" t="n"/>
      <c r="F404" s="7" t="n"/>
      <c r="G404" s="118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5" customHeight="1" s="214">
      <c r="A405" s="7" t="n"/>
      <c r="B405" s="7" t="n"/>
      <c r="C405" s="7" t="n"/>
      <c r="D405" s="7" t="n"/>
      <c r="E405" s="7" t="n"/>
      <c r="F405" s="7" t="n"/>
      <c r="G405" s="118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5" customHeight="1" s="214">
      <c r="A406" s="7" t="n"/>
      <c r="B406" s="7" t="n"/>
      <c r="C406" s="7" t="n"/>
      <c r="D406" s="7" t="n"/>
      <c r="E406" s="7" t="n"/>
      <c r="F406" s="7" t="n"/>
      <c r="G406" s="118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5" customHeight="1" s="214">
      <c r="A407" s="7" t="n"/>
      <c r="B407" s="7" t="n"/>
      <c r="C407" s="7" t="n"/>
      <c r="D407" s="7" t="n"/>
      <c r="E407" s="7" t="n"/>
      <c r="F407" s="7" t="n"/>
      <c r="G407" s="118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5" customHeight="1" s="214">
      <c r="A408" s="7" t="n"/>
      <c r="B408" s="7" t="n"/>
      <c r="C408" s="7" t="n"/>
      <c r="D408" s="7" t="n"/>
      <c r="E408" s="7" t="n"/>
      <c r="F408" s="7" t="n"/>
      <c r="G408" s="118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5" customHeight="1" s="214">
      <c r="A409" s="7" t="n"/>
      <c r="B409" s="7" t="n"/>
      <c r="C409" s="7" t="n"/>
      <c r="D409" s="7" t="n"/>
      <c r="E409" s="7" t="n"/>
      <c r="F409" s="7" t="n"/>
      <c r="G409" s="118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5" customHeight="1" s="214">
      <c r="A410" s="7" t="n"/>
      <c r="B410" s="7" t="n"/>
      <c r="C410" s="7" t="n"/>
      <c r="D410" s="7" t="n"/>
      <c r="E410" s="7" t="n"/>
      <c r="F410" s="7" t="n"/>
      <c r="G410" s="118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5" customHeight="1" s="214">
      <c r="A411" s="7" t="n"/>
      <c r="B411" s="7" t="n"/>
      <c r="C411" s="7" t="n"/>
      <c r="D411" s="7" t="n"/>
      <c r="E411" s="7" t="n"/>
      <c r="F411" s="7" t="n"/>
      <c r="G411" s="118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5" customHeight="1" s="214">
      <c r="A412" s="7" t="n"/>
      <c r="B412" s="7" t="n"/>
      <c r="C412" s="7" t="n"/>
      <c r="D412" s="7" t="n"/>
      <c r="E412" s="7" t="n"/>
      <c r="F412" s="7" t="n"/>
      <c r="G412" s="118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5" customHeight="1" s="214">
      <c r="A413" s="7" t="n"/>
      <c r="B413" s="7" t="n"/>
      <c r="C413" s="7" t="n"/>
      <c r="D413" s="7" t="n"/>
      <c r="E413" s="7" t="n"/>
      <c r="F413" s="7" t="n"/>
      <c r="G413" s="118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5" customHeight="1" s="214">
      <c r="A414" s="7" t="n"/>
      <c r="B414" s="7" t="n"/>
      <c r="C414" s="7" t="n"/>
      <c r="D414" s="7" t="n"/>
      <c r="E414" s="7" t="n"/>
      <c r="F414" s="7" t="n"/>
      <c r="G414" s="118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5" customHeight="1" s="214">
      <c r="A415" s="7" t="n"/>
      <c r="B415" s="7" t="n"/>
      <c r="C415" s="7" t="n"/>
      <c r="D415" s="7" t="n"/>
      <c r="E415" s="7" t="n"/>
      <c r="F415" s="7" t="n"/>
      <c r="G415" s="118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5" customHeight="1" s="214">
      <c r="A416" s="7" t="n"/>
      <c r="B416" s="7" t="n"/>
      <c r="C416" s="7" t="n"/>
      <c r="D416" s="7" t="n"/>
      <c r="E416" s="7" t="n"/>
      <c r="F416" s="7" t="n"/>
      <c r="G416" s="118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5" customHeight="1" s="214">
      <c r="A417" s="7" t="n"/>
      <c r="B417" s="7" t="n"/>
      <c r="C417" s="7" t="n"/>
      <c r="D417" s="7" t="n"/>
      <c r="E417" s="7" t="n"/>
      <c r="F417" s="7" t="n"/>
      <c r="G417" s="118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5" customHeight="1" s="214">
      <c r="A418" s="7" t="n"/>
      <c r="B418" s="7" t="n"/>
      <c r="C418" s="7" t="n"/>
      <c r="D418" s="7" t="n"/>
      <c r="E418" s="7" t="n"/>
      <c r="F418" s="7" t="n"/>
      <c r="G418" s="118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5" customHeight="1" s="214">
      <c r="A419" s="7" t="n"/>
      <c r="B419" s="7" t="n"/>
      <c r="C419" s="7" t="n"/>
      <c r="D419" s="7" t="n"/>
      <c r="E419" s="7" t="n"/>
      <c r="F419" s="7" t="n"/>
      <c r="G419" s="118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5" customHeight="1" s="214">
      <c r="A420" s="7" t="n"/>
      <c r="B420" s="7" t="n"/>
      <c r="C420" s="7" t="n"/>
      <c r="D420" s="7" t="n"/>
      <c r="E420" s="7" t="n"/>
      <c r="F420" s="7" t="n"/>
      <c r="G420" s="118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5" customHeight="1" s="214">
      <c r="A421" s="7" t="n"/>
      <c r="B421" s="7" t="n"/>
      <c r="C421" s="7" t="n"/>
      <c r="D421" s="7" t="n"/>
      <c r="E421" s="7" t="n"/>
      <c r="F421" s="7" t="n"/>
      <c r="G421" s="118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5" customHeight="1" s="214">
      <c r="A422" s="7" t="n"/>
      <c r="B422" s="7" t="n"/>
      <c r="C422" s="7" t="n"/>
      <c r="D422" s="7" t="n"/>
      <c r="E422" s="7" t="n"/>
      <c r="F422" s="7" t="n"/>
      <c r="G422" s="118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5" customHeight="1" s="214">
      <c r="A423" s="7" t="n"/>
      <c r="B423" s="7" t="n"/>
      <c r="C423" s="7" t="n"/>
      <c r="D423" s="7" t="n"/>
      <c r="E423" s="7" t="n"/>
      <c r="F423" s="7" t="n"/>
      <c r="G423" s="118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5" customHeight="1" s="214">
      <c r="A424" s="7" t="n"/>
      <c r="B424" s="7" t="n"/>
      <c r="C424" s="7" t="n"/>
      <c r="D424" s="7" t="n"/>
      <c r="E424" s="7" t="n"/>
      <c r="F424" s="7" t="n"/>
      <c r="G424" s="118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5" customHeight="1" s="214">
      <c r="A425" s="7" t="n"/>
      <c r="B425" s="7" t="n"/>
      <c r="C425" s="7" t="n"/>
      <c r="D425" s="7" t="n"/>
      <c r="E425" s="7" t="n"/>
      <c r="F425" s="7" t="n"/>
      <c r="G425" s="118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5" customHeight="1" s="214">
      <c r="A426" s="7" t="n"/>
      <c r="B426" s="7" t="n"/>
      <c r="C426" s="7" t="n"/>
      <c r="D426" s="7" t="n"/>
      <c r="E426" s="7" t="n"/>
      <c r="F426" s="7" t="n"/>
      <c r="G426" s="118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5" customHeight="1" s="214">
      <c r="A427" s="7" t="n"/>
      <c r="B427" s="7" t="n"/>
      <c r="C427" s="7" t="n"/>
      <c r="D427" s="7" t="n"/>
      <c r="E427" s="7" t="n"/>
      <c r="F427" s="7" t="n"/>
      <c r="G427" s="118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5" customHeight="1" s="214">
      <c r="A428" s="7" t="n"/>
      <c r="B428" s="7" t="n"/>
      <c r="C428" s="7" t="n"/>
      <c r="D428" s="7" t="n"/>
      <c r="E428" s="7" t="n"/>
      <c r="F428" s="7" t="n"/>
      <c r="G428" s="118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5" customHeight="1" s="214">
      <c r="A429" s="7" t="n"/>
      <c r="B429" s="7" t="n"/>
      <c r="C429" s="7" t="n"/>
      <c r="D429" s="7" t="n"/>
      <c r="E429" s="7" t="n"/>
      <c r="F429" s="7" t="n"/>
      <c r="G429" s="118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5" customHeight="1" s="214">
      <c r="A430" s="7" t="n"/>
      <c r="B430" s="7" t="n"/>
      <c r="C430" s="7" t="n"/>
      <c r="D430" s="7" t="n"/>
      <c r="E430" s="7" t="n"/>
      <c r="F430" s="7" t="n"/>
      <c r="G430" s="118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5" customHeight="1" s="214">
      <c r="A431" s="7" t="n"/>
      <c r="B431" s="7" t="n"/>
      <c r="C431" s="7" t="n"/>
      <c r="D431" s="7" t="n"/>
      <c r="E431" s="7" t="n"/>
      <c r="F431" s="7" t="n"/>
      <c r="G431" s="118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5" customHeight="1" s="214">
      <c r="A432" s="7" t="n"/>
      <c r="B432" s="7" t="n"/>
      <c r="C432" s="7" t="n"/>
      <c r="D432" s="7" t="n"/>
      <c r="E432" s="7" t="n"/>
      <c r="F432" s="7" t="n"/>
      <c r="G432" s="118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5" customHeight="1" s="214">
      <c r="A433" s="7" t="n"/>
      <c r="B433" s="7" t="n"/>
      <c r="C433" s="7" t="n"/>
      <c r="D433" s="7" t="n"/>
      <c r="E433" s="7" t="n"/>
      <c r="F433" s="7" t="n"/>
      <c r="G433" s="118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5" customHeight="1" s="214">
      <c r="A434" s="7" t="n"/>
      <c r="B434" s="7" t="n"/>
      <c r="C434" s="7" t="n"/>
      <c r="D434" s="7" t="n"/>
      <c r="E434" s="7" t="n"/>
      <c r="F434" s="7" t="n"/>
      <c r="G434" s="118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5" customHeight="1" s="214">
      <c r="A435" s="7" t="n"/>
      <c r="B435" s="7" t="n"/>
      <c r="C435" s="7" t="n"/>
      <c r="D435" s="7" t="n"/>
      <c r="E435" s="7" t="n"/>
      <c r="F435" s="7" t="n"/>
      <c r="G435" s="118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5" customHeight="1" s="214">
      <c r="A436" s="7" t="n"/>
      <c r="B436" s="7" t="n"/>
      <c r="C436" s="7" t="n"/>
      <c r="D436" s="7" t="n"/>
      <c r="E436" s="7" t="n"/>
      <c r="F436" s="7" t="n"/>
      <c r="G436" s="118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5" customHeight="1" s="214">
      <c r="A437" s="7" t="n"/>
      <c r="B437" s="7" t="n"/>
      <c r="C437" s="7" t="n"/>
      <c r="D437" s="7" t="n"/>
      <c r="E437" s="7" t="n"/>
      <c r="F437" s="7" t="n"/>
      <c r="G437" s="118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5" customHeight="1" s="214">
      <c r="A438" s="7" t="n"/>
      <c r="B438" s="7" t="n"/>
      <c r="C438" s="7" t="n"/>
      <c r="D438" s="7" t="n"/>
      <c r="E438" s="7" t="n"/>
      <c r="F438" s="7" t="n"/>
      <c r="G438" s="118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5" customHeight="1" s="214">
      <c r="A439" s="7" t="n"/>
      <c r="B439" s="7" t="n"/>
      <c r="C439" s="7" t="n"/>
      <c r="D439" s="7" t="n"/>
      <c r="E439" s="7" t="n"/>
      <c r="F439" s="7" t="n"/>
      <c r="G439" s="118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5" customHeight="1" s="214">
      <c r="A440" s="7" t="n"/>
      <c r="B440" s="7" t="n"/>
      <c r="C440" s="7" t="n"/>
      <c r="D440" s="7" t="n"/>
      <c r="E440" s="7" t="n"/>
      <c r="F440" s="7" t="n"/>
      <c r="G440" s="118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5" customHeight="1" s="214">
      <c r="A441" s="7" t="n"/>
      <c r="B441" s="7" t="n"/>
      <c r="C441" s="7" t="n"/>
      <c r="D441" s="7" t="n"/>
      <c r="E441" s="7" t="n"/>
      <c r="F441" s="7" t="n"/>
      <c r="G441" s="118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5" customHeight="1" s="214">
      <c r="A442" s="7" t="n"/>
      <c r="B442" s="7" t="n"/>
      <c r="C442" s="7" t="n"/>
      <c r="D442" s="7" t="n"/>
      <c r="E442" s="7" t="n"/>
      <c r="F442" s="7" t="n"/>
      <c r="G442" s="118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5" customHeight="1" s="214">
      <c r="A443" s="7" t="n"/>
      <c r="B443" s="7" t="n"/>
      <c r="C443" s="7" t="n"/>
      <c r="D443" s="7" t="n"/>
      <c r="E443" s="7" t="n"/>
      <c r="F443" s="7" t="n"/>
      <c r="G443" s="118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5" customHeight="1" s="214">
      <c r="A444" s="7" t="n"/>
      <c r="B444" s="7" t="n"/>
      <c r="C444" s="7" t="n"/>
      <c r="D444" s="7" t="n"/>
      <c r="E444" s="7" t="n"/>
      <c r="F444" s="7" t="n"/>
      <c r="G444" s="118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5" customHeight="1" s="214">
      <c r="A445" s="7" t="n"/>
      <c r="B445" s="7" t="n"/>
      <c r="C445" s="7" t="n"/>
      <c r="D445" s="7" t="n"/>
      <c r="E445" s="7" t="n"/>
      <c r="F445" s="7" t="n"/>
      <c r="G445" s="118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5" customHeight="1" s="214">
      <c r="A446" s="7" t="n"/>
      <c r="B446" s="7" t="n"/>
      <c r="C446" s="7" t="n"/>
      <c r="D446" s="7" t="n"/>
      <c r="E446" s="7" t="n"/>
      <c r="F446" s="7" t="n"/>
      <c r="G446" s="118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5" customHeight="1" s="214">
      <c r="A447" s="7" t="n"/>
      <c r="B447" s="7" t="n"/>
      <c r="C447" s="7" t="n"/>
      <c r="D447" s="7" t="n"/>
      <c r="E447" s="7" t="n"/>
      <c r="F447" s="7" t="n"/>
      <c r="G447" s="118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5" customHeight="1" s="214">
      <c r="A448" s="7" t="n"/>
      <c r="B448" s="7" t="n"/>
      <c r="C448" s="7" t="n"/>
      <c r="D448" s="7" t="n"/>
      <c r="E448" s="7" t="n"/>
      <c r="F448" s="7" t="n"/>
      <c r="G448" s="118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5" customHeight="1" s="214">
      <c r="A449" s="7" t="n"/>
      <c r="B449" s="7" t="n"/>
      <c r="C449" s="7" t="n"/>
      <c r="D449" s="7" t="n"/>
      <c r="E449" s="7" t="n"/>
      <c r="F449" s="7" t="n"/>
      <c r="G449" s="118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5" customHeight="1" s="214">
      <c r="A450" s="7" t="n"/>
      <c r="B450" s="7" t="n"/>
      <c r="C450" s="7" t="n"/>
      <c r="D450" s="7" t="n"/>
      <c r="E450" s="7" t="n"/>
      <c r="F450" s="7" t="n"/>
      <c r="G450" s="118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5" customHeight="1" s="214">
      <c r="A451" s="7" t="n"/>
      <c r="B451" s="7" t="n"/>
      <c r="C451" s="7" t="n"/>
      <c r="D451" s="7" t="n"/>
      <c r="E451" s="7" t="n"/>
      <c r="F451" s="7" t="n"/>
      <c r="G451" s="118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5" customHeight="1" s="214">
      <c r="A452" s="7" t="n"/>
      <c r="B452" s="7" t="n"/>
      <c r="C452" s="7" t="n"/>
      <c r="D452" s="7" t="n"/>
      <c r="E452" s="7" t="n"/>
      <c r="F452" s="7" t="n"/>
      <c r="G452" s="118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5" customHeight="1" s="214">
      <c r="A453" s="7" t="n"/>
      <c r="B453" s="7" t="n"/>
      <c r="C453" s="7" t="n"/>
      <c r="D453" s="7" t="n"/>
      <c r="E453" s="7" t="n"/>
      <c r="F453" s="7" t="n"/>
      <c r="G453" s="118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5" customHeight="1" s="214">
      <c r="A454" s="7" t="n"/>
      <c r="B454" s="7" t="n"/>
      <c r="C454" s="7" t="n"/>
      <c r="D454" s="7" t="n"/>
      <c r="E454" s="7" t="n"/>
      <c r="F454" s="7" t="n"/>
      <c r="G454" s="118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5" customHeight="1" s="214">
      <c r="A455" s="7" t="n"/>
      <c r="B455" s="7" t="n"/>
      <c r="C455" s="7" t="n"/>
      <c r="D455" s="7" t="n"/>
      <c r="E455" s="7" t="n"/>
      <c r="F455" s="7" t="n"/>
      <c r="G455" s="118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5" customHeight="1" s="214">
      <c r="A456" s="7" t="n"/>
      <c r="B456" s="7" t="n"/>
      <c r="C456" s="7" t="n"/>
      <c r="D456" s="7" t="n"/>
      <c r="E456" s="7" t="n"/>
      <c r="F456" s="7" t="n"/>
      <c r="G456" s="118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5" customHeight="1" s="214">
      <c r="A457" s="7" t="n"/>
      <c r="B457" s="7" t="n"/>
      <c r="C457" s="7" t="n"/>
      <c r="D457" s="7" t="n"/>
      <c r="E457" s="7" t="n"/>
      <c r="F457" s="7" t="n"/>
      <c r="G457" s="118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5" customHeight="1" s="214">
      <c r="A458" s="7" t="n"/>
      <c r="B458" s="7" t="n"/>
      <c r="C458" s="7" t="n"/>
      <c r="D458" s="7" t="n"/>
      <c r="E458" s="7" t="n"/>
      <c r="F458" s="7" t="n"/>
      <c r="G458" s="118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5" customHeight="1" s="214">
      <c r="A459" s="7" t="n"/>
      <c r="B459" s="7" t="n"/>
      <c r="C459" s="7" t="n"/>
      <c r="D459" s="7" t="n"/>
      <c r="E459" s="7" t="n"/>
      <c r="F459" s="7" t="n"/>
      <c r="G459" s="118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5" customHeight="1" s="214">
      <c r="A460" s="7" t="n"/>
      <c r="B460" s="7" t="n"/>
      <c r="C460" s="7" t="n"/>
      <c r="D460" s="7" t="n"/>
      <c r="E460" s="7" t="n"/>
      <c r="F460" s="7" t="n"/>
      <c r="G460" s="118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5" customHeight="1" s="214">
      <c r="A461" s="7" t="n"/>
      <c r="B461" s="7" t="n"/>
      <c r="C461" s="7" t="n"/>
      <c r="D461" s="7" t="n"/>
      <c r="E461" s="7" t="n"/>
      <c r="F461" s="7" t="n"/>
      <c r="G461" s="118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5" customHeight="1" s="214">
      <c r="A462" s="7" t="n"/>
      <c r="B462" s="7" t="n"/>
      <c r="C462" s="7" t="n"/>
      <c r="D462" s="7" t="n"/>
      <c r="E462" s="7" t="n"/>
      <c r="F462" s="7" t="n"/>
      <c r="G462" s="118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5" customHeight="1" s="214">
      <c r="A463" s="7" t="n"/>
      <c r="B463" s="7" t="n"/>
      <c r="C463" s="7" t="n"/>
      <c r="D463" s="7" t="n"/>
      <c r="E463" s="7" t="n"/>
      <c r="F463" s="7" t="n"/>
      <c r="G463" s="118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5" customHeight="1" s="214">
      <c r="A464" s="7" t="n"/>
      <c r="B464" s="7" t="n"/>
      <c r="C464" s="7" t="n"/>
      <c r="D464" s="7" t="n"/>
      <c r="E464" s="7" t="n"/>
      <c r="F464" s="7" t="n"/>
      <c r="G464" s="118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5" customHeight="1" s="214">
      <c r="A465" s="7" t="n"/>
      <c r="B465" s="7" t="n"/>
      <c r="C465" s="7" t="n"/>
      <c r="D465" s="7" t="n"/>
      <c r="E465" s="7" t="n"/>
      <c r="F465" s="7" t="n"/>
      <c r="G465" s="118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5" customHeight="1" s="214">
      <c r="A466" s="7" t="n"/>
      <c r="B466" s="7" t="n"/>
      <c r="C466" s="7" t="n"/>
      <c r="D466" s="7" t="n"/>
      <c r="E466" s="7" t="n"/>
      <c r="F466" s="7" t="n"/>
      <c r="G466" s="118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5" customHeight="1" s="214">
      <c r="A467" s="7" t="n"/>
      <c r="B467" s="7" t="n"/>
      <c r="C467" s="7" t="n"/>
      <c r="D467" s="7" t="n"/>
      <c r="E467" s="7" t="n"/>
      <c r="F467" s="7" t="n"/>
      <c r="G467" s="118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5" customHeight="1" s="214">
      <c r="A468" s="7" t="n"/>
      <c r="B468" s="7" t="n"/>
      <c r="C468" s="7" t="n"/>
      <c r="D468" s="7" t="n"/>
      <c r="E468" s="7" t="n"/>
      <c r="F468" s="7" t="n"/>
      <c r="G468" s="118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5" customHeight="1" s="214">
      <c r="A469" s="7" t="n"/>
      <c r="B469" s="7" t="n"/>
      <c r="C469" s="7" t="n"/>
      <c r="D469" s="7" t="n"/>
      <c r="E469" s="7" t="n"/>
      <c r="F469" s="7" t="n"/>
      <c r="G469" s="118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5" customHeight="1" s="214">
      <c r="A470" s="7" t="n"/>
      <c r="B470" s="7" t="n"/>
      <c r="C470" s="7" t="n"/>
      <c r="D470" s="7" t="n"/>
      <c r="E470" s="7" t="n"/>
      <c r="F470" s="7" t="n"/>
      <c r="G470" s="118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5" customHeight="1" s="214">
      <c r="A471" s="7" t="n"/>
      <c r="B471" s="7" t="n"/>
      <c r="C471" s="7" t="n"/>
      <c r="D471" s="7" t="n"/>
      <c r="E471" s="7" t="n"/>
      <c r="F471" s="7" t="n"/>
      <c r="G471" s="118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5" customHeight="1" s="214">
      <c r="A472" s="7" t="n"/>
      <c r="B472" s="7" t="n"/>
      <c r="C472" s="7" t="n"/>
      <c r="D472" s="7" t="n"/>
      <c r="E472" s="7" t="n"/>
      <c r="F472" s="7" t="n"/>
      <c r="G472" s="118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5" customHeight="1" s="214">
      <c r="A473" s="7" t="n"/>
      <c r="B473" s="7" t="n"/>
      <c r="C473" s="7" t="n"/>
      <c r="D473" s="7" t="n"/>
      <c r="E473" s="7" t="n"/>
      <c r="F473" s="7" t="n"/>
      <c r="G473" s="118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5" customHeight="1" s="214">
      <c r="A474" s="7" t="n"/>
      <c r="B474" s="7" t="n"/>
      <c r="C474" s="7" t="n"/>
      <c r="D474" s="7" t="n"/>
      <c r="E474" s="7" t="n"/>
      <c r="F474" s="7" t="n"/>
      <c r="G474" s="118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5" customHeight="1" s="214">
      <c r="A475" s="7" t="n"/>
      <c r="B475" s="7" t="n"/>
      <c r="C475" s="7" t="n"/>
      <c r="D475" s="7" t="n"/>
      <c r="E475" s="7" t="n"/>
      <c r="F475" s="7" t="n"/>
      <c r="G475" s="118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5" customHeight="1" s="214">
      <c r="A476" s="7" t="n"/>
      <c r="B476" s="7" t="n"/>
      <c r="C476" s="7" t="n"/>
      <c r="D476" s="7" t="n"/>
      <c r="E476" s="7" t="n"/>
      <c r="F476" s="7" t="n"/>
      <c r="G476" s="118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5" customHeight="1" s="214">
      <c r="A477" s="7" t="n"/>
      <c r="B477" s="7" t="n"/>
      <c r="C477" s="7" t="n"/>
      <c r="D477" s="7" t="n"/>
      <c r="E477" s="7" t="n"/>
      <c r="F477" s="7" t="n"/>
      <c r="G477" s="118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5" customHeight="1" s="214">
      <c r="A478" s="7" t="n"/>
      <c r="B478" s="7" t="n"/>
      <c r="C478" s="7" t="n"/>
      <c r="D478" s="7" t="n"/>
      <c r="E478" s="7" t="n"/>
      <c r="F478" s="7" t="n"/>
      <c r="G478" s="118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5" customHeight="1" s="214">
      <c r="A479" s="7" t="n"/>
      <c r="B479" s="7" t="n"/>
      <c r="C479" s="7" t="n"/>
      <c r="D479" s="7" t="n"/>
      <c r="E479" s="7" t="n"/>
      <c r="F479" s="7" t="n"/>
      <c r="G479" s="118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5" customHeight="1" s="214">
      <c r="A480" s="7" t="n"/>
      <c r="B480" s="7" t="n"/>
      <c r="C480" s="7" t="n"/>
      <c r="D480" s="7" t="n"/>
      <c r="E480" s="7" t="n"/>
      <c r="F480" s="7" t="n"/>
      <c r="G480" s="118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5" customHeight="1" s="214">
      <c r="A481" s="7" t="n"/>
      <c r="B481" s="7" t="n"/>
      <c r="C481" s="7" t="n"/>
      <c r="D481" s="7" t="n"/>
      <c r="E481" s="7" t="n"/>
      <c r="F481" s="7" t="n"/>
      <c r="G481" s="118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5" customHeight="1" s="214">
      <c r="A482" s="7" t="n"/>
      <c r="B482" s="7" t="n"/>
      <c r="C482" s="7" t="n"/>
      <c r="D482" s="7" t="n"/>
      <c r="E482" s="7" t="n"/>
      <c r="F482" s="7" t="n"/>
      <c r="G482" s="118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5" customHeight="1" s="214">
      <c r="A483" s="7" t="n"/>
      <c r="B483" s="7" t="n"/>
      <c r="C483" s="7" t="n"/>
      <c r="D483" s="7" t="n"/>
      <c r="E483" s="7" t="n"/>
      <c r="F483" s="7" t="n"/>
      <c r="G483" s="118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5" customHeight="1" s="214">
      <c r="A484" s="7" t="n"/>
      <c r="B484" s="7" t="n"/>
      <c r="C484" s="7" t="n"/>
      <c r="D484" s="7" t="n"/>
      <c r="E484" s="7" t="n"/>
      <c r="F484" s="7" t="n"/>
      <c r="G484" s="118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5" customHeight="1" s="214">
      <c r="A485" s="7" t="n"/>
      <c r="B485" s="7" t="n"/>
      <c r="C485" s="7" t="n"/>
      <c r="D485" s="7" t="n"/>
      <c r="E485" s="7" t="n"/>
      <c r="F485" s="7" t="n"/>
      <c r="G485" s="118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5" customHeight="1" s="214">
      <c r="A486" s="7" t="n"/>
      <c r="B486" s="7" t="n"/>
      <c r="C486" s="7" t="n"/>
      <c r="D486" s="7" t="n"/>
      <c r="E486" s="7" t="n"/>
      <c r="F486" s="7" t="n"/>
      <c r="G486" s="118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5" customHeight="1" s="214">
      <c r="A487" s="7" t="n"/>
      <c r="B487" s="7" t="n"/>
      <c r="C487" s="7" t="n"/>
      <c r="D487" s="7" t="n"/>
      <c r="E487" s="7" t="n"/>
      <c r="F487" s="7" t="n"/>
      <c r="G487" s="118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5" customHeight="1" s="214">
      <c r="A488" s="7" t="n"/>
      <c r="B488" s="7" t="n"/>
      <c r="C488" s="7" t="n"/>
      <c r="D488" s="7" t="n"/>
      <c r="E488" s="7" t="n"/>
      <c r="F488" s="7" t="n"/>
      <c r="G488" s="118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5" customHeight="1" s="214">
      <c r="A489" s="7" t="n"/>
      <c r="B489" s="7" t="n"/>
      <c r="C489" s="7" t="n"/>
      <c r="D489" s="7" t="n"/>
      <c r="E489" s="7" t="n"/>
      <c r="F489" s="7" t="n"/>
      <c r="G489" s="118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5" customHeight="1" s="214">
      <c r="A490" s="7" t="n"/>
      <c r="B490" s="7" t="n"/>
      <c r="C490" s="7" t="n"/>
      <c r="D490" s="7" t="n"/>
      <c r="E490" s="7" t="n"/>
      <c r="F490" s="7" t="n"/>
      <c r="G490" s="118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5" customHeight="1" s="214">
      <c r="A491" s="7" t="n"/>
      <c r="B491" s="7" t="n"/>
      <c r="C491" s="7" t="n"/>
      <c r="D491" s="7" t="n"/>
      <c r="E491" s="7" t="n"/>
      <c r="F491" s="7" t="n"/>
      <c r="G491" s="118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5" customHeight="1" s="214">
      <c r="A492" s="7" t="n"/>
      <c r="B492" s="7" t="n"/>
      <c r="C492" s="7" t="n"/>
      <c r="D492" s="7" t="n"/>
      <c r="E492" s="7" t="n"/>
      <c r="F492" s="7" t="n"/>
      <c r="G492" s="118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5" customHeight="1" s="214">
      <c r="A493" s="7" t="n"/>
      <c r="B493" s="7" t="n"/>
      <c r="C493" s="7" t="n"/>
      <c r="D493" s="7" t="n"/>
      <c r="E493" s="7" t="n"/>
      <c r="F493" s="7" t="n"/>
      <c r="G493" s="118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5" customHeight="1" s="214">
      <c r="A494" s="7" t="n"/>
      <c r="B494" s="7" t="n"/>
      <c r="C494" s="7" t="n"/>
      <c r="D494" s="7" t="n"/>
      <c r="E494" s="7" t="n"/>
      <c r="F494" s="7" t="n"/>
      <c r="G494" s="118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5" customHeight="1" s="214">
      <c r="A495" s="7" t="n"/>
      <c r="B495" s="7" t="n"/>
      <c r="C495" s="7" t="n"/>
      <c r="D495" s="7" t="n"/>
      <c r="E495" s="7" t="n"/>
      <c r="F495" s="7" t="n"/>
      <c r="G495" s="118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5" customHeight="1" s="214">
      <c r="A496" s="7" t="n"/>
      <c r="B496" s="7" t="n"/>
      <c r="C496" s="7" t="n"/>
      <c r="D496" s="7" t="n"/>
      <c r="E496" s="7" t="n"/>
      <c r="F496" s="7" t="n"/>
      <c r="G496" s="118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5" customHeight="1" s="214">
      <c r="A497" s="7" t="n"/>
      <c r="B497" s="7" t="n"/>
      <c r="C497" s="7" t="n"/>
      <c r="D497" s="7" t="n"/>
      <c r="E497" s="7" t="n"/>
      <c r="F497" s="7" t="n"/>
      <c r="G497" s="118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5" customHeight="1" s="214">
      <c r="A498" s="7" t="n"/>
      <c r="B498" s="7" t="n"/>
      <c r="C498" s="7" t="n"/>
      <c r="D498" s="7" t="n"/>
      <c r="E498" s="7" t="n"/>
      <c r="F498" s="7" t="n"/>
      <c r="G498" s="118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5" customHeight="1" s="214">
      <c r="A499" s="7" t="n"/>
      <c r="B499" s="7" t="n"/>
      <c r="C499" s="7" t="n"/>
      <c r="D499" s="7" t="n"/>
      <c r="E499" s="7" t="n"/>
      <c r="F499" s="7" t="n"/>
      <c r="G499" s="118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5" customHeight="1" s="214">
      <c r="A500" s="7" t="n"/>
      <c r="B500" s="7" t="n"/>
      <c r="C500" s="7" t="n"/>
      <c r="D500" s="7" t="n"/>
      <c r="E500" s="7" t="n"/>
      <c r="F500" s="7" t="n"/>
      <c r="G500" s="118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5" customHeight="1" s="214">
      <c r="A501" s="7" t="n"/>
      <c r="B501" s="7" t="n"/>
      <c r="C501" s="7" t="n"/>
      <c r="D501" s="7" t="n"/>
      <c r="E501" s="7" t="n"/>
      <c r="F501" s="7" t="n"/>
      <c r="G501" s="118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5" customHeight="1" s="214">
      <c r="A502" s="7" t="n"/>
      <c r="B502" s="7" t="n"/>
      <c r="C502" s="7" t="n"/>
      <c r="D502" s="7" t="n"/>
      <c r="E502" s="7" t="n"/>
      <c r="F502" s="7" t="n"/>
      <c r="G502" s="118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5" customHeight="1" s="214">
      <c r="A503" s="7" t="n"/>
      <c r="B503" s="7" t="n"/>
      <c r="C503" s="7" t="n"/>
      <c r="D503" s="7" t="n"/>
      <c r="E503" s="7" t="n"/>
      <c r="F503" s="7" t="n"/>
      <c r="G503" s="118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5" customHeight="1" s="214">
      <c r="A504" s="7" t="n"/>
      <c r="B504" s="7" t="n"/>
      <c r="C504" s="7" t="n"/>
      <c r="D504" s="7" t="n"/>
      <c r="E504" s="7" t="n"/>
      <c r="F504" s="7" t="n"/>
      <c r="G504" s="118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5" customHeight="1" s="214">
      <c r="A505" s="7" t="n"/>
      <c r="B505" s="7" t="n"/>
      <c r="C505" s="7" t="n"/>
      <c r="D505" s="7" t="n"/>
      <c r="E505" s="7" t="n"/>
      <c r="F505" s="7" t="n"/>
      <c r="G505" s="118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5" customHeight="1" s="214">
      <c r="A506" s="7" t="n"/>
      <c r="B506" s="7" t="n"/>
      <c r="C506" s="7" t="n"/>
      <c r="D506" s="7" t="n"/>
      <c r="E506" s="7" t="n"/>
      <c r="F506" s="7" t="n"/>
      <c r="G506" s="118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5" customHeight="1" s="214">
      <c r="A507" s="7" t="n"/>
      <c r="B507" s="7" t="n"/>
      <c r="C507" s="7" t="n"/>
      <c r="D507" s="7" t="n"/>
      <c r="E507" s="7" t="n"/>
      <c r="F507" s="7" t="n"/>
      <c r="G507" s="118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5" customHeight="1" s="214">
      <c r="A508" s="7" t="n"/>
      <c r="B508" s="7" t="n"/>
      <c r="C508" s="7" t="n"/>
      <c r="D508" s="7" t="n"/>
      <c r="E508" s="7" t="n"/>
      <c r="F508" s="7" t="n"/>
      <c r="G508" s="118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5" customHeight="1" s="214">
      <c r="A509" s="7" t="n"/>
      <c r="B509" s="7" t="n"/>
      <c r="C509" s="7" t="n"/>
      <c r="D509" s="7" t="n"/>
      <c r="E509" s="7" t="n"/>
      <c r="F509" s="7" t="n"/>
      <c r="G509" s="118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5" customHeight="1" s="214">
      <c r="A510" s="7" t="n"/>
      <c r="B510" s="7" t="n"/>
      <c r="C510" s="7" t="n"/>
      <c r="D510" s="7" t="n"/>
      <c r="E510" s="7" t="n"/>
      <c r="F510" s="7" t="n"/>
      <c r="G510" s="118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5" customHeight="1" s="214">
      <c r="A511" s="7" t="n"/>
      <c r="B511" s="7" t="n"/>
      <c r="C511" s="7" t="n"/>
      <c r="D511" s="7" t="n"/>
      <c r="E511" s="7" t="n"/>
      <c r="F511" s="7" t="n"/>
      <c r="G511" s="118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5" customHeight="1" s="214">
      <c r="A512" s="7" t="n"/>
      <c r="B512" s="7" t="n"/>
      <c r="C512" s="7" t="n"/>
      <c r="D512" s="7" t="n"/>
      <c r="E512" s="7" t="n"/>
      <c r="F512" s="7" t="n"/>
      <c r="G512" s="118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5" customHeight="1" s="214">
      <c r="A513" s="7" t="n"/>
      <c r="B513" s="7" t="n"/>
      <c r="C513" s="7" t="n"/>
      <c r="D513" s="7" t="n"/>
      <c r="E513" s="7" t="n"/>
      <c r="F513" s="7" t="n"/>
      <c r="G513" s="118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5" customHeight="1" s="214">
      <c r="A514" s="7" t="n"/>
      <c r="B514" s="7" t="n"/>
      <c r="C514" s="7" t="n"/>
      <c r="D514" s="7" t="n"/>
      <c r="E514" s="7" t="n"/>
      <c r="F514" s="7" t="n"/>
      <c r="G514" s="118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5" customHeight="1" s="214">
      <c r="A515" s="7" t="n"/>
      <c r="B515" s="7" t="n"/>
      <c r="C515" s="7" t="n"/>
      <c r="D515" s="7" t="n"/>
      <c r="E515" s="7" t="n"/>
      <c r="F515" s="7" t="n"/>
      <c r="G515" s="118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5" customHeight="1" s="214">
      <c r="A516" s="7" t="n"/>
      <c r="B516" s="7" t="n"/>
      <c r="C516" s="7" t="n"/>
      <c r="D516" s="7" t="n"/>
      <c r="E516" s="7" t="n"/>
      <c r="F516" s="7" t="n"/>
      <c r="G516" s="118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5" customHeight="1" s="214">
      <c r="A517" s="7" t="n"/>
      <c r="B517" s="7" t="n"/>
      <c r="C517" s="7" t="n"/>
      <c r="D517" s="7" t="n"/>
      <c r="E517" s="7" t="n"/>
      <c r="F517" s="7" t="n"/>
      <c r="G517" s="118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5" customHeight="1" s="214">
      <c r="A518" s="7" t="n"/>
      <c r="B518" s="7" t="n"/>
      <c r="C518" s="7" t="n"/>
      <c r="D518" s="7" t="n"/>
      <c r="E518" s="7" t="n"/>
      <c r="F518" s="7" t="n"/>
      <c r="G518" s="118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5" customHeight="1" s="214">
      <c r="A519" s="7" t="n"/>
      <c r="B519" s="7" t="n"/>
      <c r="C519" s="7" t="n"/>
      <c r="D519" s="7" t="n"/>
      <c r="E519" s="7" t="n"/>
      <c r="F519" s="7" t="n"/>
      <c r="G519" s="118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5" customHeight="1" s="214">
      <c r="A520" s="7" t="n"/>
      <c r="B520" s="7" t="n"/>
      <c r="C520" s="7" t="n"/>
      <c r="D520" s="7" t="n"/>
      <c r="E520" s="7" t="n"/>
      <c r="F520" s="7" t="n"/>
      <c r="G520" s="118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5" customHeight="1" s="214">
      <c r="A521" s="7" t="n"/>
      <c r="B521" s="7" t="n"/>
      <c r="C521" s="7" t="n"/>
      <c r="D521" s="7" t="n"/>
      <c r="E521" s="7" t="n"/>
      <c r="F521" s="7" t="n"/>
      <c r="G521" s="118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5" customHeight="1" s="214">
      <c r="A522" s="7" t="n"/>
      <c r="B522" s="7" t="n"/>
      <c r="C522" s="7" t="n"/>
      <c r="D522" s="7" t="n"/>
      <c r="E522" s="7" t="n"/>
      <c r="F522" s="7" t="n"/>
      <c r="G522" s="118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5" customHeight="1" s="214">
      <c r="A523" s="7" t="n"/>
      <c r="B523" s="7" t="n"/>
      <c r="C523" s="7" t="n"/>
      <c r="D523" s="7" t="n"/>
      <c r="E523" s="7" t="n"/>
      <c r="F523" s="7" t="n"/>
      <c r="G523" s="118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5" customHeight="1" s="214">
      <c r="A524" s="7" t="n"/>
      <c r="B524" s="7" t="n"/>
      <c r="C524" s="7" t="n"/>
      <c r="D524" s="7" t="n"/>
      <c r="E524" s="7" t="n"/>
      <c r="F524" s="7" t="n"/>
      <c r="G524" s="118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5" customHeight="1" s="214">
      <c r="A525" s="7" t="n"/>
      <c r="B525" s="7" t="n"/>
      <c r="C525" s="7" t="n"/>
      <c r="D525" s="7" t="n"/>
      <c r="E525" s="7" t="n"/>
      <c r="F525" s="7" t="n"/>
      <c r="G525" s="118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5" customHeight="1" s="214">
      <c r="A526" s="7" t="n"/>
      <c r="B526" s="7" t="n"/>
      <c r="C526" s="7" t="n"/>
      <c r="D526" s="7" t="n"/>
      <c r="E526" s="7" t="n"/>
      <c r="F526" s="7" t="n"/>
      <c r="G526" s="118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5" customHeight="1" s="214">
      <c r="A527" s="7" t="n"/>
      <c r="B527" s="7" t="n"/>
      <c r="C527" s="7" t="n"/>
      <c r="D527" s="7" t="n"/>
      <c r="E527" s="7" t="n"/>
      <c r="F527" s="7" t="n"/>
      <c r="G527" s="118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5" customHeight="1" s="214">
      <c r="A528" s="7" t="n"/>
      <c r="B528" s="7" t="n"/>
      <c r="C528" s="7" t="n"/>
      <c r="D528" s="7" t="n"/>
      <c r="E528" s="7" t="n"/>
      <c r="F528" s="7" t="n"/>
      <c r="G528" s="118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5" customHeight="1" s="214">
      <c r="A529" s="7" t="n"/>
      <c r="B529" s="7" t="n"/>
      <c r="C529" s="7" t="n"/>
      <c r="D529" s="7" t="n"/>
      <c r="E529" s="7" t="n"/>
      <c r="F529" s="7" t="n"/>
      <c r="G529" s="118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5" customHeight="1" s="214">
      <c r="A530" s="7" t="n"/>
      <c r="B530" s="7" t="n"/>
      <c r="C530" s="7" t="n"/>
      <c r="D530" s="7" t="n"/>
      <c r="E530" s="7" t="n"/>
      <c r="F530" s="7" t="n"/>
      <c r="G530" s="118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5" customHeight="1" s="214">
      <c r="A531" s="7" t="n"/>
      <c r="B531" s="7" t="n"/>
      <c r="C531" s="7" t="n"/>
      <c r="D531" s="7" t="n"/>
      <c r="E531" s="7" t="n"/>
      <c r="F531" s="7" t="n"/>
      <c r="G531" s="118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5" customHeight="1" s="214">
      <c r="A532" s="7" t="n"/>
      <c r="B532" s="7" t="n"/>
      <c r="C532" s="7" t="n"/>
      <c r="D532" s="7" t="n"/>
      <c r="E532" s="7" t="n"/>
      <c r="F532" s="7" t="n"/>
      <c r="G532" s="118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5" customHeight="1" s="214">
      <c r="A533" s="7" t="n"/>
      <c r="B533" s="7" t="n"/>
      <c r="C533" s="7" t="n"/>
      <c r="D533" s="7" t="n"/>
      <c r="E533" s="7" t="n"/>
      <c r="F533" s="7" t="n"/>
      <c r="G533" s="118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5" customHeight="1" s="214">
      <c r="A534" s="7" t="n"/>
      <c r="B534" s="7" t="n"/>
      <c r="C534" s="7" t="n"/>
      <c r="D534" s="7" t="n"/>
      <c r="E534" s="7" t="n"/>
      <c r="F534" s="7" t="n"/>
      <c r="G534" s="118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5" customHeight="1" s="214">
      <c r="A535" s="7" t="n"/>
      <c r="B535" s="7" t="n"/>
      <c r="C535" s="7" t="n"/>
      <c r="D535" s="7" t="n"/>
      <c r="E535" s="7" t="n"/>
      <c r="F535" s="7" t="n"/>
      <c r="G535" s="118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5" customHeight="1" s="214">
      <c r="A536" s="7" t="n"/>
      <c r="B536" s="7" t="n"/>
      <c r="C536" s="7" t="n"/>
      <c r="D536" s="7" t="n"/>
      <c r="E536" s="7" t="n"/>
      <c r="F536" s="7" t="n"/>
      <c r="G536" s="118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5" customHeight="1" s="214">
      <c r="A537" s="7" t="n"/>
      <c r="B537" s="7" t="n"/>
      <c r="C537" s="7" t="n"/>
      <c r="D537" s="7" t="n"/>
      <c r="E537" s="7" t="n"/>
      <c r="F537" s="7" t="n"/>
      <c r="G537" s="118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5" customHeight="1" s="214">
      <c r="A538" s="7" t="n"/>
      <c r="B538" s="7" t="n"/>
      <c r="C538" s="7" t="n"/>
      <c r="D538" s="7" t="n"/>
      <c r="E538" s="7" t="n"/>
      <c r="F538" s="7" t="n"/>
      <c r="G538" s="118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5" customHeight="1" s="214">
      <c r="A539" s="7" t="n"/>
      <c r="B539" s="7" t="n"/>
      <c r="C539" s="7" t="n"/>
      <c r="D539" s="7" t="n"/>
      <c r="E539" s="7" t="n"/>
      <c r="F539" s="7" t="n"/>
      <c r="G539" s="118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5" customHeight="1" s="214">
      <c r="A540" s="7" t="n"/>
      <c r="B540" s="7" t="n"/>
      <c r="C540" s="7" t="n"/>
      <c r="D540" s="7" t="n"/>
      <c r="E540" s="7" t="n"/>
      <c r="F540" s="7" t="n"/>
      <c r="G540" s="118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5" customHeight="1" s="214">
      <c r="A541" s="7" t="n"/>
      <c r="B541" s="7" t="n"/>
      <c r="C541" s="7" t="n"/>
      <c r="D541" s="7" t="n"/>
      <c r="E541" s="7" t="n"/>
      <c r="F541" s="7" t="n"/>
      <c r="G541" s="118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5" customHeight="1" s="214">
      <c r="A542" s="7" t="n"/>
      <c r="B542" s="7" t="n"/>
      <c r="C542" s="7" t="n"/>
      <c r="D542" s="7" t="n"/>
      <c r="E542" s="7" t="n"/>
      <c r="F542" s="7" t="n"/>
      <c r="G542" s="118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5" customHeight="1" s="214">
      <c r="A543" s="7" t="n"/>
      <c r="B543" s="7" t="n"/>
      <c r="C543" s="7" t="n"/>
      <c r="D543" s="7" t="n"/>
      <c r="E543" s="7" t="n"/>
      <c r="F543" s="7" t="n"/>
      <c r="G543" s="118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5" customHeight="1" s="214">
      <c r="A544" s="7" t="n"/>
      <c r="B544" s="7" t="n"/>
      <c r="C544" s="7" t="n"/>
      <c r="D544" s="7" t="n"/>
      <c r="E544" s="7" t="n"/>
      <c r="F544" s="7" t="n"/>
      <c r="G544" s="118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5" customHeight="1" s="214">
      <c r="A545" s="7" t="n"/>
      <c r="B545" s="7" t="n"/>
      <c r="C545" s="7" t="n"/>
      <c r="D545" s="7" t="n"/>
      <c r="E545" s="7" t="n"/>
      <c r="F545" s="7" t="n"/>
      <c r="G545" s="118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5" customHeight="1" s="214">
      <c r="A546" s="7" t="n"/>
      <c r="B546" s="7" t="n"/>
      <c r="C546" s="7" t="n"/>
      <c r="D546" s="7" t="n"/>
      <c r="E546" s="7" t="n"/>
      <c r="F546" s="7" t="n"/>
      <c r="G546" s="118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5" customHeight="1" s="214">
      <c r="A547" s="7" t="n"/>
      <c r="B547" s="7" t="n"/>
      <c r="C547" s="7" t="n"/>
      <c r="D547" s="7" t="n"/>
      <c r="E547" s="7" t="n"/>
      <c r="F547" s="7" t="n"/>
      <c r="G547" s="118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5" customHeight="1" s="214">
      <c r="A548" s="7" t="n"/>
      <c r="B548" s="7" t="n"/>
      <c r="C548" s="7" t="n"/>
      <c r="D548" s="7" t="n"/>
      <c r="E548" s="7" t="n"/>
      <c r="F548" s="7" t="n"/>
      <c r="G548" s="118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5" customHeight="1" s="214">
      <c r="A549" s="7" t="n"/>
      <c r="B549" s="7" t="n"/>
      <c r="C549" s="7" t="n"/>
      <c r="D549" s="7" t="n"/>
      <c r="E549" s="7" t="n"/>
      <c r="F549" s="7" t="n"/>
      <c r="G549" s="118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5" customHeight="1" s="214">
      <c r="A550" s="7" t="n"/>
      <c r="B550" s="7" t="n"/>
      <c r="C550" s="7" t="n"/>
      <c r="D550" s="7" t="n"/>
      <c r="E550" s="7" t="n"/>
      <c r="F550" s="7" t="n"/>
      <c r="G550" s="118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5" customHeight="1" s="214">
      <c r="A551" s="7" t="n"/>
      <c r="B551" s="7" t="n"/>
      <c r="C551" s="7" t="n"/>
      <c r="D551" s="7" t="n"/>
      <c r="E551" s="7" t="n"/>
      <c r="F551" s="7" t="n"/>
      <c r="G551" s="118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5" customHeight="1" s="214">
      <c r="A552" s="7" t="n"/>
      <c r="B552" s="7" t="n"/>
      <c r="C552" s="7" t="n"/>
      <c r="D552" s="7" t="n"/>
      <c r="E552" s="7" t="n"/>
      <c r="F552" s="7" t="n"/>
      <c r="G552" s="118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5" customHeight="1" s="214">
      <c r="A553" s="7" t="n"/>
      <c r="B553" s="7" t="n"/>
      <c r="C553" s="7" t="n"/>
      <c r="D553" s="7" t="n"/>
      <c r="E553" s="7" t="n"/>
      <c r="F553" s="7" t="n"/>
      <c r="G553" s="118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5" customHeight="1" s="214">
      <c r="A554" s="7" t="n"/>
      <c r="B554" s="7" t="n"/>
      <c r="C554" s="7" t="n"/>
      <c r="D554" s="7" t="n"/>
      <c r="E554" s="7" t="n"/>
      <c r="F554" s="7" t="n"/>
      <c r="G554" s="118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5" customHeight="1" s="214">
      <c r="A555" s="7" t="n"/>
      <c r="B555" s="7" t="n"/>
      <c r="C555" s="7" t="n"/>
      <c r="D555" s="7" t="n"/>
      <c r="E555" s="7" t="n"/>
      <c r="F555" s="7" t="n"/>
      <c r="G555" s="118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5" customHeight="1" s="214">
      <c r="A556" s="7" t="n"/>
      <c r="B556" s="7" t="n"/>
      <c r="C556" s="7" t="n"/>
      <c r="D556" s="7" t="n"/>
      <c r="E556" s="7" t="n"/>
      <c r="F556" s="7" t="n"/>
      <c r="G556" s="118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5" customHeight="1" s="214">
      <c r="A557" s="7" t="n"/>
      <c r="B557" s="7" t="n"/>
      <c r="C557" s="7" t="n"/>
      <c r="D557" s="7" t="n"/>
      <c r="E557" s="7" t="n"/>
      <c r="F557" s="7" t="n"/>
      <c r="G557" s="118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5" customHeight="1" s="214">
      <c r="A558" s="7" t="n"/>
      <c r="B558" s="7" t="n"/>
      <c r="C558" s="7" t="n"/>
      <c r="D558" s="7" t="n"/>
      <c r="E558" s="7" t="n"/>
      <c r="F558" s="7" t="n"/>
      <c r="G558" s="118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5" customHeight="1" s="214">
      <c r="A559" s="7" t="n"/>
      <c r="B559" s="7" t="n"/>
      <c r="C559" s="7" t="n"/>
      <c r="D559" s="7" t="n"/>
      <c r="E559" s="7" t="n"/>
      <c r="F559" s="7" t="n"/>
      <c r="G559" s="118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5" customHeight="1" s="214">
      <c r="A560" s="7" t="n"/>
      <c r="B560" s="7" t="n"/>
      <c r="C560" s="7" t="n"/>
      <c r="D560" s="7" t="n"/>
      <c r="E560" s="7" t="n"/>
      <c r="F560" s="7" t="n"/>
      <c r="G560" s="118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5" customHeight="1" s="214">
      <c r="A561" s="7" t="n"/>
      <c r="B561" s="7" t="n"/>
      <c r="C561" s="7" t="n"/>
      <c r="D561" s="7" t="n"/>
      <c r="E561" s="7" t="n"/>
      <c r="F561" s="7" t="n"/>
      <c r="G561" s="118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5" customHeight="1" s="214">
      <c r="A562" s="7" t="n"/>
      <c r="B562" s="7" t="n"/>
      <c r="C562" s="7" t="n"/>
      <c r="D562" s="7" t="n"/>
      <c r="E562" s="7" t="n"/>
      <c r="F562" s="7" t="n"/>
      <c r="G562" s="118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5" customHeight="1" s="214">
      <c r="A563" s="7" t="n"/>
      <c r="B563" s="7" t="n"/>
      <c r="C563" s="7" t="n"/>
      <c r="D563" s="7" t="n"/>
      <c r="E563" s="7" t="n"/>
      <c r="F563" s="7" t="n"/>
      <c r="G563" s="118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5" customHeight="1" s="214">
      <c r="A564" s="7" t="n"/>
      <c r="B564" s="7" t="n"/>
      <c r="C564" s="7" t="n"/>
      <c r="D564" s="7" t="n"/>
      <c r="E564" s="7" t="n"/>
      <c r="F564" s="7" t="n"/>
      <c r="G564" s="118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5" customHeight="1" s="214">
      <c r="A565" s="7" t="n"/>
      <c r="B565" s="7" t="n"/>
      <c r="C565" s="7" t="n"/>
      <c r="D565" s="7" t="n"/>
      <c r="E565" s="7" t="n"/>
      <c r="F565" s="7" t="n"/>
      <c r="G565" s="118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5" customHeight="1" s="214">
      <c r="A566" s="7" t="n"/>
      <c r="B566" s="7" t="n"/>
      <c r="C566" s="7" t="n"/>
      <c r="D566" s="7" t="n"/>
      <c r="E566" s="7" t="n"/>
      <c r="F566" s="7" t="n"/>
      <c r="G566" s="118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5" customHeight="1" s="214">
      <c r="A567" s="7" t="n"/>
      <c r="B567" s="7" t="n"/>
      <c r="C567" s="7" t="n"/>
      <c r="D567" s="7" t="n"/>
      <c r="E567" s="7" t="n"/>
      <c r="F567" s="7" t="n"/>
      <c r="G567" s="118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5" customHeight="1" s="214">
      <c r="A568" s="7" t="n"/>
      <c r="B568" s="7" t="n"/>
      <c r="C568" s="7" t="n"/>
      <c r="D568" s="7" t="n"/>
      <c r="E568" s="7" t="n"/>
      <c r="F568" s="7" t="n"/>
      <c r="G568" s="118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5" customHeight="1" s="214">
      <c r="A569" s="7" t="n"/>
      <c r="B569" s="7" t="n"/>
      <c r="C569" s="7" t="n"/>
      <c r="D569" s="7" t="n"/>
      <c r="E569" s="7" t="n"/>
      <c r="F569" s="7" t="n"/>
      <c r="G569" s="118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5" customHeight="1" s="214">
      <c r="A570" s="7" t="n"/>
      <c r="B570" s="7" t="n"/>
      <c r="C570" s="7" t="n"/>
      <c r="D570" s="7" t="n"/>
      <c r="E570" s="7" t="n"/>
      <c r="F570" s="7" t="n"/>
      <c r="G570" s="118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5" customHeight="1" s="214">
      <c r="A571" s="7" t="n"/>
      <c r="B571" s="7" t="n"/>
      <c r="C571" s="7" t="n"/>
      <c r="D571" s="7" t="n"/>
      <c r="E571" s="7" t="n"/>
      <c r="F571" s="7" t="n"/>
      <c r="G571" s="118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5" customHeight="1" s="214">
      <c r="A572" s="7" t="n"/>
      <c r="B572" s="7" t="n"/>
      <c r="C572" s="7" t="n"/>
      <c r="D572" s="7" t="n"/>
      <c r="E572" s="7" t="n"/>
      <c r="F572" s="7" t="n"/>
      <c r="G572" s="118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5" customHeight="1" s="214">
      <c r="A573" s="7" t="n"/>
      <c r="B573" s="7" t="n"/>
      <c r="C573" s="7" t="n"/>
      <c r="D573" s="7" t="n"/>
      <c r="E573" s="7" t="n"/>
      <c r="F573" s="7" t="n"/>
      <c r="G573" s="118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5" customHeight="1" s="214">
      <c r="A574" s="7" t="n"/>
      <c r="B574" s="7" t="n"/>
      <c r="C574" s="7" t="n"/>
      <c r="D574" s="7" t="n"/>
      <c r="E574" s="7" t="n"/>
      <c r="F574" s="7" t="n"/>
      <c r="G574" s="118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5" customHeight="1" s="214">
      <c r="A575" s="7" t="n"/>
      <c r="B575" s="7" t="n"/>
      <c r="C575" s="7" t="n"/>
      <c r="D575" s="7" t="n"/>
      <c r="E575" s="7" t="n"/>
      <c r="F575" s="7" t="n"/>
      <c r="G575" s="118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5" customHeight="1" s="214">
      <c r="A576" s="7" t="n"/>
      <c r="B576" s="7" t="n"/>
      <c r="C576" s="7" t="n"/>
      <c r="D576" s="7" t="n"/>
      <c r="E576" s="7" t="n"/>
      <c r="F576" s="7" t="n"/>
      <c r="G576" s="118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5" customHeight="1" s="214">
      <c r="A577" s="7" t="n"/>
      <c r="B577" s="7" t="n"/>
      <c r="C577" s="7" t="n"/>
      <c r="D577" s="7" t="n"/>
      <c r="E577" s="7" t="n"/>
      <c r="F577" s="7" t="n"/>
      <c r="G577" s="118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5" customHeight="1" s="214">
      <c r="A578" s="7" t="n"/>
      <c r="B578" s="7" t="n"/>
      <c r="C578" s="7" t="n"/>
      <c r="D578" s="7" t="n"/>
      <c r="E578" s="7" t="n"/>
      <c r="F578" s="7" t="n"/>
      <c r="G578" s="118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5" customHeight="1" s="214">
      <c r="A579" s="7" t="n"/>
      <c r="B579" s="7" t="n"/>
      <c r="C579" s="7" t="n"/>
      <c r="D579" s="7" t="n"/>
      <c r="E579" s="7" t="n"/>
      <c r="F579" s="7" t="n"/>
      <c r="G579" s="118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5" customHeight="1" s="214">
      <c r="A580" s="7" t="n"/>
      <c r="B580" s="7" t="n"/>
      <c r="C580" s="7" t="n"/>
      <c r="D580" s="7" t="n"/>
      <c r="E580" s="7" t="n"/>
      <c r="F580" s="7" t="n"/>
      <c r="G580" s="118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5" customHeight="1" s="214">
      <c r="A581" s="7" t="n"/>
      <c r="B581" s="7" t="n"/>
      <c r="C581" s="7" t="n"/>
      <c r="D581" s="7" t="n"/>
      <c r="E581" s="7" t="n"/>
      <c r="F581" s="7" t="n"/>
      <c r="G581" s="118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5" customHeight="1" s="214">
      <c r="A582" s="7" t="n"/>
      <c r="B582" s="7" t="n"/>
      <c r="C582" s="7" t="n"/>
      <c r="D582" s="7" t="n"/>
      <c r="E582" s="7" t="n"/>
      <c r="F582" s="7" t="n"/>
      <c r="G582" s="118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5" customHeight="1" s="214">
      <c r="A583" s="7" t="n"/>
      <c r="B583" s="7" t="n"/>
      <c r="C583" s="7" t="n"/>
      <c r="D583" s="7" t="n"/>
      <c r="E583" s="7" t="n"/>
      <c r="F583" s="7" t="n"/>
      <c r="G583" s="118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5" customHeight="1" s="214">
      <c r="A584" s="7" t="n"/>
      <c r="B584" s="7" t="n"/>
      <c r="C584" s="7" t="n"/>
      <c r="D584" s="7" t="n"/>
      <c r="E584" s="7" t="n"/>
      <c r="F584" s="7" t="n"/>
      <c r="G584" s="118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5" customHeight="1" s="214">
      <c r="A585" s="7" t="n"/>
      <c r="B585" s="7" t="n"/>
      <c r="C585" s="7" t="n"/>
      <c r="D585" s="7" t="n"/>
      <c r="E585" s="7" t="n"/>
      <c r="F585" s="7" t="n"/>
      <c r="G585" s="118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5" customHeight="1" s="214">
      <c r="A586" s="7" t="n"/>
      <c r="B586" s="7" t="n"/>
      <c r="C586" s="7" t="n"/>
      <c r="D586" s="7" t="n"/>
      <c r="E586" s="7" t="n"/>
      <c r="F586" s="7" t="n"/>
      <c r="G586" s="118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5" customHeight="1" s="214">
      <c r="A587" s="7" t="n"/>
      <c r="B587" s="7" t="n"/>
      <c r="C587" s="7" t="n"/>
      <c r="D587" s="7" t="n"/>
      <c r="E587" s="7" t="n"/>
      <c r="F587" s="7" t="n"/>
      <c r="G587" s="118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5" customHeight="1" s="214">
      <c r="A588" s="7" t="n"/>
      <c r="B588" s="7" t="n"/>
      <c r="C588" s="7" t="n"/>
      <c r="D588" s="7" t="n"/>
      <c r="E588" s="7" t="n"/>
      <c r="F588" s="7" t="n"/>
      <c r="G588" s="118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5" customHeight="1" s="214">
      <c r="A589" s="7" t="n"/>
      <c r="B589" s="7" t="n"/>
      <c r="C589" s="7" t="n"/>
      <c r="D589" s="7" t="n"/>
      <c r="E589" s="7" t="n"/>
      <c r="F589" s="7" t="n"/>
      <c r="G589" s="118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5" customHeight="1" s="214">
      <c r="A590" s="7" t="n"/>
      <c r="B590" s="7" t="n"/>
      <c r="C590" s="7" t="n"/>
      <c r="D590" s="7" t="n"/>
      <c r="E590" s="7" t="n"/>
      <c r="F590" s="7" t="n"/>
      <c r="G590" s="118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5" customHeight="1" s="214">
      <c r="A591" s="7" t="n"/>
      <c r="B591" s="7" t="n"/>
      <c r="C591" s="7" t="n"/>
      <c r="D591" s="7" t="n"/>
      <c r="E591" s="7" t="n"/>
      <c r="F591" s="7" t="n"/>
      <c r="G591" s="118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5" customHeight="1" s="214">
      <c r="A592" s="7" t="n"/>
      <c r="B592" s="7" t="n"/>
      <c r="C592" s="7" t="n"/>
      <c r="D592" s="7" t="n"/>
      <c r="E592" s="7" t="n"/>
      <c r="F592" s="7" t="n"/>
      <c r="G592" s="118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5" customHeight="1" s="214">
      <c r="A593" s="7" t="n"/>
      <c r="B593" s="7" t="n"/>
      <c r="C593" s="7" t="n"/>
      <c r="D593" s="7" t="n"/>
      <c r="E593" s="7" t="n"/>
      <c r="F593" s="7" t="n"/>
      <c r="G593" s="118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5" customHeight="1" s="214">
      <c r="A594" s="7" t="n"/>
      <c r="B594" s="7" t="n"/>
      <c r="C594" s="7" t="n"/>
      <c r="D594" s="7" t="n"/>
      <c r="E594" s="7" t="n"/>
      <c r="F594" s="7" t="n"/>
      <c r="G594" s="118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5" customHeight="1" s="214">
      <c r="A595" s="7" t="n"/>
      <c r="B595" s="7" t="n"/>
      <c r="C595" s="7" t="n"/>
      <c r="D595" s="7" t="n"/>
      <c r="E595" s="7" t="n"/>
      <c r="F595" s="7" t="n"/>
      <c r="G595" s="118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5" customHeight="1" s="214">
      <c r="A596" s="7" t="n"/>
      <c r="B596" s="7" t="n"/>
      <c r="C596" s="7" t="n"/>
      <c r="D596" s="7" t="n"/>
      <c r="E596" s="7" t="n"/>
      <c r="F596" s="7" t="n"/>
      <c r="G596" s="118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5" customHeight="1" s="214">
      <c r="A597" s="7" t="n"/>
      <c r="B597" s="7" t="n"/>
      <c r="C597" s="7" t="n"/>
      <c r="D597" s="7" t="n"/>
      <c r="E597" s="7" t="n"/>
      <c r="F597" s="7" t="n"/>
      <c r="G597" s="118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5" customHeight="1" s="214">
      <c r="A598" s="7" t="n"/>
      <c r="B598" s="7" t="n"/>
      <c r="C598" s="7" t="n"/>
      <c r="D598" s="7" t="n"/>
      <c r="E598" s="7" t="n"/>
      <c r="F598" s="7" t="n"/>
      <c r="G598" s="118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5" customHeight="1" s="214">
      <c r="A599" s="7" t="n"/>
      <c r="B599" s="7" t="n"/>
      <c r="C599" s="7" t="n"/>
      <c r="D599" s="7" t="n"/>
      <c r="E599" s="7" t="n"/>
      <c r="F599" s="7" t="n"/>
      <c r="G599" s="118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5" customHeight="1" s="214">
      <c r="A600" s="7" t="n"/>
      <c r="B600" s="7" t="n"/>
      <c r="C600" s="7" t="n"/>
      <c r="D600" s="7" t="n"/>
      <c r="E600" s="7" t="n"/>
      <c r="F600" s="7" t="n"/>
      <c r="G600" s="118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5" customHeight="1" s="214">
      <c r="A601" s="7" t="n"/>
      <c r="B601" s="7" t="n"/>
      <c r="C601" s="7" t="n"/>
      <c r="D601" s="7" t="n"/>
      <c r="E601" s="7" t="n"/>
      <c r="F601" s="7" t="n"/>
      <c r="G601" s="118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5" customHeight="1" s="214">
      <c r="A602" s="7" t="n"/>
      <c r="B602" s="7" t="n"/>
      <c r="C602" s="7" t="n"/>
      <c r="D602" s="7" t="n"/>
      <c r="E602" s="7" t="n"/>
      <c r="F602" s="7" t="n"/>
      <c r="G602" s="118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5" customHeight="1" s="214">
      <c r="A603" s="7" t="n"/>
      <c r="B603" s="7" t="n"/>
      <c r="C603" s="7" t="n"/>
      <c r="D603" s="7" t="n"/>
      <c r="E603" s="7" t="n"/>
      <c r="F603" s="7" t="n"/>
      <c r="G603" s="118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5" customHeight="1" s="214">
      <c r="A604" s="7" t="n"/>
      <c r="B604" s="7" t="n"/>
      <c r="C604" s="7" t="n"/>
      <c r="D604" s="7" t="n"/>
      <c r="E604" s="7" t="n"/>
      <c r="F604" s="7" t="n"/>
      <c r="G604" s="118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5" customHeight="1" s="214">
      <c r="A605" s="7" t="n"/>
      <c r="B605" s="7" t="n"/>
      <c r="C605" s="7" t="n"/>
      <c r="D605" s="7" t="n"/>
      <c r="E605" s="7" t="n"/>
      <c r="F605" s="7" t="n"/>
      <c r="G605" s="118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5" customHeight="1" s="214">
      <c r="A606" s="7" t="n"/>
      <c r="B606" s="7" t="n"/>
      <c r="C606" s="7" t="n"/>
      <c r="D606" s="7" t="n"/>
      <c r="E606" s="7" t="n"/>
      <c r="F606" s="7" t="n"/>
      <c r="G606" s="118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5" customHeight="1" s="214">
      <c r="A607" s="7" t="n"/>
      <c r="B607" s="7" t="n"/>
      <c r="C607" s="7" t="n"/>
      <c r="D607" s="7" t="n"/>
      <c r="E607" s="7" t="n"/>
      <c r="F607" s="7" t="n"/>
      <c r="G607" s="118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5" customHeight="1" s="214">
      <c r="A608" s="7" t="n"/>
      <c r="B608" s="7" t="n"/>
      <c r="C608" s="7" t="n"/>
      <c r="D608" s="7" t="n"/>
      <c r="E608" s="7" t="n"/>
      <c r="F608" s="7" t="n"/>
      <c r="G608" s="118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5" customHeight="1" s="214">
      <c r="A609" s="7" t="n"/>
      <c r="B609" s="7" t="n"/>
      <c r="C609" s="7" t="n"/>
      <c r="D609" s="7" t="n"/>
      <c r="E609" s="7" t="n"/>
      <c r="F609" s="7" t="n"/>
      <c r="G609" s="118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5" customHeight="1" s="214">
      <c r="A610" s="7" t="n"/>
      <c r="B610" s="7" t="n"/>
      <c r="C610" s="7" t="n"/>
      <c r="D610" s="7" t="n"/>
      <c r="E610" s="7" t="n"/>
      <c r="F610" s="7" t="n"/>
      <c r="G610" s="118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5" customHeight="1" s="214">
      <c r="A611" s="7" t="n"/>
      <c r="B611" s="7" t="n"/>
      <c r="C611" s="7" t="n"/>
      <c r="D611" s="7" t="n"/>
      <c r="E611" s="7" t="n"/>
      <c r="F611" s="7" t="n"/>
      <c r="G611" s="118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5" customHeight="1" s="214">
      <c r="A612" s="7" t="n"/>
      <c r="B612" s="7" t="n"/>
      <c r="C612" s="7" t="n"/>
      <c r="D612" s="7" t="n"/>
      <c r="E612" s="7" t="n"/>
      <c r="F612" s="7" t="n"/>
      <c r="G612" s="118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5" customHeight="1" s="214">
      <c r="A613" s="7" t="n"/>
      <c r="B613" s="7" t="n"/>
      <c r="C613" s="7" t="n"/>
      <c r="D613" s="7" t="n"/>
      <c r="E613" s="7" t="n"/>
      <c r="F613" s="7" t="n"/>
      <c r="G613" s="118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5" customHeight="1" s="214">
      <c r="A614" s="7" t="n"/>
      <c r="B614" s="7" t="n"/>
      <c r="C614" s="7" t="n"/>
      <c r="D614" s="7" t="n"/>
      <c r="E614" s="7" t="n"/>
      <c r="F614" s="7" t="n"/>
      <c r="G614" s="118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5" customHeight="1" s="214">
      <c r="A615" s="7" t="n"/>
      <c r="B615" s="7" t="n"/>
      <c r="C615" s="7" t="n"/>
      <c r="D615" s="7" t="n"/>
      <c r="E615" s="7" t="n"/>
      <c r="F615" s="7" t="n"/>
      <c r="G615" s="118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5" customHeight="1" s="214">
      <c r="A616" s="7" t="n"/>
      <c r="B616" s="7" t="n"/>
      <c r="C616" s="7" t="n"/>
      <c r="D616" s="7" t="n"/>
      <c r="E616" s="7" t="n"/>
      <c r="F616" s="7" t="n"/>
      <c r="G616" s="118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5" customHeight="1" s="214">
      <c r="A617" s="7" t="n"/>
      <c r="B617" s="7" t="n"/>
      <c r="C617" s="7" t="n"/>
      <c r="D617" s="7" t="n"/>
      <c r="E617" s="7" t="n"/>
      <c r="F617" s="7" t="n"/>
      <c r="G617" s="118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5" customHeight="1" s="214">
      <c r="A618" s="7" t="n"/>
      <c r="B618" s="7" t="n"/>
      <c r="C618" s="7" t="n"/>
      <c r="D618" s="7" t="n"/>
      <c r="E618" s="7" t="n"/>
      <c r="F618" s="7" t="n"/>
      <c r="G618" s="118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5" customHeight="1" s="214">
      <c r="A619" s="7" t="n"/>
      <c r="B619" s="7" t="n"/>
      <c r="C619" s="7" t="n"/>
      <c r="D619" s="7" t="n"/>
      <c r="E619" s="7" t="n"/>
      <c r="F619" s="7" t="n"/>
      <c r="G619" s="118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5" customHeight="1" s="214">
      <c r="A620" s="7" t="n"/>
      <c r="B620" s="7" t="n"/>
      <c r="C620" s="7" t="n"/>
      <c r="D620" s="7" t="n"/>
      <c r="E620" s="7" t="n"/>
      <c r="F620" s="7" t="n"/>
      <c r="G620" s="118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5" customHeight="1" s="214">
      <c r="A621" s="7" t="n"/>
      <c r="B621" s="7" t="n"/>
      <c r="C621" s="7" t="n"/>
      <c r="D621" s="7" t="n"/>
      <c r="E621" s="7" t="n"/>
      <c r="F621" s="7" t="n"/>
      <c r="G621" s="118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5" customHeight="1" s="214">
      <c r="A622" s="7" t="n"/>
      <c r="B622" s="7" t="n"/>
      <c r="C622" s="7" t="n"/>
      <c r="D622" s="7" t="n"/>
      <c r="E622" s="7" t="n"/>
      <c r="F622" s="7" t="n"/>
      <c r="G622" s="118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5" customHeight="1" s="214">
      <c r="A623" s="7" t="n"/>
      <c r="B623" s="7" t="n"/>
      <c r="C623" s="7" t="n"/>
      <c r="D623" s="7" t="n"/>
      <c r="E623" s="7" t="n"/>
      <c r="F623" s="7" t="n"/>
      <c r="G623" s="118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5" customHeight="1" s="214">
      <c r="A624" s="7" t="n"/>
      <c r="B624" s="7" t="n"/>
      <c r="C624" s="7" t="n"/>
      <c r="D624" s="7" t="n"/>
      <c r="E624" s="7" t="n"/>
      <c r="F624" s="7" t="n"/>
      <c r="G624" s="118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5" customHeight="1" s="214">
      <c r="A625" s="7" t="n"/>
      <c r="B625" s="7" t="n"/>
      <c r="C625" s="7" t="n"/>
      <c r="D625" s="7" t="n"/>
      <c r="E625" s="7" t="n"/>
      <c r="F625" s="7" t="n"/>
      <c r="G625" s="118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5" customHeight="1" s="214">
      <c r="A626" s="7" t="n"/>
      <c r="B626" s="7" t="n"/>
      <c r="C626" s="7" t="n"/>
      <c r="D626" s="7" t="n"/>
      <c r="E626" s="7" t="n"/>
      <c r="F626" s="7" t="n"/>
      <c r="G626" s="118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5" customHeight="1" s="214">
      <c r="A627" s="7" t="n"/>
      <c r="B627" s="7" t="n"/>
      <c r="C627" s="7" t="n"/>
      <c r="D627" s="7" t="n"/>
      <c r="E627" s="7" t="n"/>
      <c r="F627" s="7" t="n"/>
      <c r="G627" s="118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5" customHeight="1" s="214">
      <c r="A628" s="7" t="n"/>
      <c r="B628" s="7" t="n"/>
      <c r="C628" s="7" t="n"/>
      <c r="D628" s="7" t="n"/>
      <c r="E628" s="7" t="n"/>
      <c r="F628" s="7" t="n"/>
      <c r="G628" s="118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5" customHeight="1" s="214">
      <c r="A629" s="7" t="n"/>
      <c r="B629" s="7" t="n"/>
      <c r="C629" s="7" t="n"/>
      <c r="D629" s="7" t="n"/>
      <c r="E629" s="7" t="n"/>
      <c r="F629" s="7" t="n"/>
      <c r="G629" s="118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5" customHeight="1" s="214">
      <c r="A630" s="7" t="n"/>
      <c r="B630" s="7" t="n"/>
      <c r="C630" s="7" t="n"/>
      <c r="D630" s="7" t="n"/>
      <c r="E630" s="7" t="n"/>
      <c r="F630" s="7" t="n"/>
      <c r="G630" s="118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5" customHeight="1" s="214">
      <c r="A631" s="7" t="n"/>
      <c r="B631" s="7" t="n"/>
      <c r="C631" s="7" t="n"/>
      <c r="D631" s="7" t="n"/>
      <c r="E631" s="7" t="n"/>
      <c r="F631" s="7" t="n"/>
      <c r="G631" s="118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5" customHeight="1" s="214">
      <c r="A632" s="7" t="n"/>
      <c r="B632" s="7" t="n"/>
      <c r="C632" s="7" t="n"/>
      <c r="D632" s="7" t="n"/>
      <c r="E632" s="7" t="n"/>
      <c r="F632" s="7" t="n"/>
      <c r="G632" s="118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5" customHeight="1" s="214">
      <c r="A633" s="7" t="n"/>
      <c r="B633" s="7" t="n"/>
      <c r="C633" s="7" t="n"/>
      <c r="D633" s="7" t="n"/>
      <c r="E633" s="7" t="n"/>
      <c r="F633" s="7" t="n"/>
      <c r="G633" s="118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5" customHeight="1" s="214">
      <c r="A634" s="7" t="n"/>
      <c r="B634" s="7" t="n"/>
      <c r="C634" s="7" t="n"/>
      <c r="D634" s="7" t="n"/>
      <c r="E634" s="7" t="n"/>
      <c r="F634" s="7" t="n"/>
      <c r="G634" s="118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5" customHeight="1" s="214">
      <c r="A635" s="7" t="n"/>
      <c r="B635" s="7" t="n"/>
      <c r="C635" s="7" t="n"/>
      <c r="D635" s="7" t="n"/>
      <c r="E635" s="7" t="n"/>
      <c r="F635" s="7" t="n"/>
      <c r="G635" s="118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5" customHeight="1" s="214">
      <c r="A636" s="7" t="n"/>
      <c r="B636" s="7" t="n"/>
      <c r="C636" s="7" t="n"/>
      <c r="D636" s="7" t="n"/>
      <c r="E636" s="7" t="n"/>
      <c r="F636" s="7" t="n"/>
      <c r="G636" s="118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5" customHeight="1" s="214">
      <c r="A637" s="7" t="n"/>
      <c r="B637" s="7" t="n"/>
      <c r="C637" s="7" t="n"/>
      <c r="D637" s="7" t="n"/>
      <c r="E637" s="7" t="n"/>
      <c r="F637" s="7" t="n"/>
      <c r="G637" s="118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5" customHeight="1" s="214">
      <c r="A638" s="7" t="n"/>
      <c r="B638" s="7" t="n"/>
      <c r="C638" s="7" t="n"/>
      <c r="D638" s="7" t="n"/>
      <c r="E638" s="7" t="n"/>
      <c r="F638" s="7" t="n"/>
      <c r="G638" s="118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5" customHeight="1" s="214">
      <c r="A639" s="7" t="n"/>
      <c r="B639" s="7" t="n"/>
      <c r="C639" s="7" t="n"/>
      <c r="D639" s="7" t="n"/>
      <c r="E639" s="7" t="n"/>
      <c r="F639" s="7" t="n"/>
      <c r="G639" s="118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5" customHeight="1" s="214">
      <c r="A640" s="7" t="n"/>
      <c r="B640" s="7" t="n"/>
      <c r="C640" s="7" t="n"/>
      <c r="D640" s="7" t="n"/>
      <c r="E640" s="7" t="n"/>
      <c r="F640" s="7" t="n"/>
      <c r="G640" s="118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5" customHeight="1" s="214">
      <c r="A641" s="7" t="n"/>
      <c r="B641" s="7" t="n"/>
      <c r="C641" s="7" t="n"/>
      <c r="D641" s="7" t="n"/>
      <c r="E641" s="7" t="n"/>
      <c r="F641" s="7" t="n"/>
      <c r="G641" s="118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5" customHeight="1" s="214">
      <c r="A642" s="7" t="n"/>
      <c r="B642" s="7" t="n"/>
      <c r="C642" s="7" t="n"/>
      <c r="D642" s="7" t="n"/>
      <c r="E642" s="7" t="n"/>
      <c r="F642" s="7" t="n"/>
      <c r="G642" s="118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5" customHeight="1" s="214">
      <c r="A643" s="7" t="n"/>
      <c r="B643" s="7" t="n"/>
      <c r="C643" s="7" t="n"/>
      <c r="D643" s="7" t="n"/>
      <c r="E643" s="7" t="n"/>
      <c r="F643" s="7" t="n"/>
      <c r="G643" s="118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5" customHeight="1" s="214">
      <c r="A644" s="7" t="n"/>
      <c r="B644" s="7" t="n"/>
      <c r="C644" s="7" t="n"/>
      <c r="D644" s="7" t="n"/>
      <c r="E644" s="7" t="n"/>
      <c r="F644" s="7" t="n"/>
      <c r="G644" s="118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5" customHeight="1" s="214">
      <c r="A645" s="7" t="n"/>
      <c r="B645" s="7" t="n"/>
      <c r="C645" s="7" t="n"/>
      <c r="D645" s="7" t="n"/>
      <c r="E645" s="7" t="n"/>
      <c r="F645" s="7" t="n"/>
      <c r="G645" s="118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5" customHeight="1" s="214">
      <c r="A646" s="7" t="n"/>
      <c r="B646" s="7" t="n"/>
      <c r="C646" s="7" t="n"/>
      <c r="D646" s="7" t="n"/>
      <c r="E646" s="7" t="n"/>
      <c r="F646" s="7" t="n"/>
      <c r="G646" s="118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5" customHeight="1" s="214">
      <c r="A647" s="7" t="n"/>
      <c r="B647" s="7" t="n"/>
      <c r="C647" s="7" t="n"/>
      <c r="D647" s="7" t="n"/>
      <c r="E647" s="7" t="n"/>
      <c r="F647" s="7" t="n"/>
      <c r="G647" s="118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5" customHeight="1" s="214">
      <c r="A648" s="7" t="n"/>
      <c r="B648" s="7" t="n"/>
      <c r="C648" s="7" t="n"/>
      <c r="D648" s="7" t="n"/>
      <c r="E648" s="7" t="n"/>
      <c r="F648" s="7" t="n"/>
      <c r="G648" s="118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5" customHeight="1" s="214">
      <c r="A649" s="7" t="n"/>
      <c r="B649" s="7" t="n"/>
      <c r="C649" s="7" t="n"/>
      <c r="D649" s="7" t="n"/>
      <c r="E649" s="7" t="n"/>
      <c r="F649" s="7" t="n"/>
      <c r="G649" s="118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5" customHeight="1" s="214">
      <c r="A650" s="7" t="n"/>
      <c r="B650" s="7" t="n"/>
      <c r="C650" s="7" t="n"/>
      <c r="D650" s="7" t="n"/>
      <c r="E650" s="7" t="n"/>
      <c r="F650" s="7" t="n"/>
      <c r="G650" s="118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5" customHeight="1" s="214">
      <c r="A651" s="7" t="n"/>
      <c r="B651" s="7" t="n"/>
      <c r="C651" s="7" t="n"/>
      <c r="D651" s="7" t="n"/>
      <c r="E651" s="7" t="n"/>
      <c r="F651" s="7" t="n"/>
      <c r="G651" s="118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5" customHeight="1" s="214">
      <c r="A652" s="7" t="n"/>
      <c r="B652" s="7" t="n"/>
      <c r="C652" s="7" t="n"/>
      <c r="D652" s="7" t="n"/>
      <c r="E652" s="7" t="n"/>
      <c r="F652" s="7" t="n"/>
      <c r="G652" s="118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5" customHeight="1" s="214">
      <c r="A653" s="7" t="n"/>
      <c r="B653" s="7" t="n"/>
      <c r="C653" s="7" t="n"/>
      <c r="D653" s="7" t="n"/>
      <c r="E653" s="7" t="n"/>
      <c r="F653" s="7" t="n"/>
      <c r="G653" s="118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5" customHeight="1" s="214">
      <c r="A654" s="7" t="n"/>
      <c r="B654" s="7" t="n"/>
      <c r="C654" s="7" t="n"/>
      <c r="D654" s="7" t="n"/>
      <c r="E654" s="7" t="n"/>
      <c r="F654" s="7" t="n"/>
      <c r="G654" s="118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5" customHeight="1" s="214">
      <c r="A655" s="7" t="n"/>
      <c r="B655" s="7" t="n"/>
      <c r="C655" s="7" t="n"/>
      <c r="D655" s="7" t="n"/>
      <c r="E655" s="7" t="n"/>
      <c r="F655" s="7" t="n"/>
      <c r="G655" s="118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5" customHeight="1" s="214">
      <c r="A656" s="7" t="n"/>
      <c r="B656" s="7" t="n"/>
      <c r="C656" s="7" t="n"/>
      <c r="D656" s="7" t="n"/>
      <c r="E656" s="7" t="n"/>
      <c r="F656" s="7" t="n"/>
      <c r="G656" s="118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5" customHeight="1" s="214">
      <c r="A657" s="7" t="n"/>
      <c r="B657" s="7" t="n"/>
      <c r="C657" s="7" t="n"/>
      <c r="D657" s="7" t="n"/>
      <c r="E657" s="7" t="n"/>
      <c r="F657" s="7" t="n"/>
      <c r="G657" s="118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5" customHeight="1" s="214">
      <c r="A658" s="7" t="n"/>
      <c r="B658" s="7" t="n"/>
      <c r="C658" s="7" t="n"/>
      <c r="D658" s="7" t="n"/>
      <c r="E658" s="7" t="n"/>
      <c r="F658" s="7" t="n"/>
      <c r="G658" s="118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5" customHeight="1" s="214">
      <c r="A659" s="7" t="n"/>
      <c r="B659" s="7" t="n"/>
      <c r="C659" s="7" t="n"/>
      <c r="D659" s="7" t="n"/>
      <c r="E659" s="7" t="n"/>
      <c r="F659" s="7" t="n"/>
      <c r="G659" s="118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5" customHeight="1" s="214">
      <c r="A660" s="7" t="n"/>
      <c r="B660" s="7" t="n"/>
      <c r="C660" s="7" t="n"/>
      <c r="D660" s="7" t="n"/>
      <c r="E660" s="7" t="n"/>
      <c r="F660" s="7" t="n"/>
      <c r="G660" s="118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5" customHeight="1" s="214">
      <c r="A661" s="7" t="n"/>
      <c r="B661" s="7" t="n"/>
      <c r="C661" s="7" t="n"/>
      <c r="D661" s="7" t="n"/>
      <c r="E661" s="7" t="n"/>
      <c r="F661" s="7" t="n"/>
      <c r="G661" s="118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5" customHeight="1" s="214">
      <c r="A662" s="7" t="n"/>
      <c r="B662" s="7" t="n"/>
      <c r="C662" s="7" t="n"/>
      <c r="D662" s="7" t="n"/>
      <c r="E662" s="7" t="n"/>
      <c r="F662" s="7" t="n"/>
      <c r="G662" s="118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5" customHeight="1" s="214">
      <c r="A663" s="7" t="n"/>
      <c r="B663" s="7" t="n"/>
      <c r="C663" s="7" t="n"/>
      <c r="D663" s="7" t="n"/>
      <c r="E663" s="7" t="n"/>
      <c r="F663" s="7" t="n"/>
      <c r="G663" s="118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5" customHeight="1" s="214">
      <c r="A664" s="7" t="n"/>
      <c r="B664" s="7" t="n"/>
      <c r="C664" s="7" t="n"/>
      <c r="D664" s="7" t="n"/>
      <c r="E664" s="7" t="n"/>
      <c r="F664" s="7" t="n"/>
      <c r="G664" s="118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5" customHeight="1" s="214">
      <c r="A665" s="7" t="n"/>
      <c r="B665" s="7" t="n"/>
      <c r="C665" s="7" t="n"/>
      <c r="D665" s="7" t="n"/>
      <c r="E665" s="7" t="n"/>
      <c r="F665" s="7" t="n"/>
      <c r="G665" s="118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5" customHeight="1" s="214">
      <c r="A666" s="7" t="n"/>
      <c r="B666" s="7" t="n"/>
      <c r="C666" s="7" t="n"/>
      <c r="D666" s="7" t="n"/>
      <c r="E666" s="7" t="n"/>
      <c r="F666" s="7" t="n"/>
      <c r="G666" s="118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5" customHeight="1" s="214">
      <c r="A667" s="7" t="n"/>
      <c r="B667" s="7" t="n"/>
      <c r="C667" s="7" t="n"/>
      <c r="D667" s="7" t="n"/>
      <c r="E667" s="7" t="n"/>
      <c r="F667" s="7" t="n"/>
      <c r="G667" s="118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5" customHeight="1" s="214">
      <c r="A668" s="7" t="n"/>
      <c r="B668" s="7" t="n"/>
      <c r="C668" s="7" t="n"/>
      <c r="D668" s="7" t="n"/>
      <c r="E668" s="7" t="n"/>
      <c r="F668" s="7" t="n"/>
      <c r="G668" s="118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5" customHeight="1" s="214">
      <c r="A669" s="7" t="n"/>
      <c r="B669" s="7" t="n"/>
      <c r="C669" s="7" t="n"/>
      <c r="D669" s="7" t="n"/>
      <c r="E669" s="7" t="n"/>
      <c r="F669" s="7" t="n"/>
      <c r="G669" s="118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5" customHeight="1" s="214">
      <c r="A670" s="7" t="n"/>
      <c r="B670" s="7" t="n"/>
      <c r="C670" s="7" t="n"/>
      <c r="D670" s="7" t="n"/>
      <c r="E670" s="7" t="n"/>
      <c r="F670" s="7" t="n"/>
      <c r="G670" s="118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5" customHeight="1" s="214">
      <c r="A671" s="7" t="n"/>
      <c r="B671" s="7" t="n"/>
      <c r="C671" s="7" t="n"/>
      <c r="D671" s="7" t="n"/>
      <c r="E671" s="7" t="n"/>
      <c r="F671" s="7" t="n"/>
      <c r="G671" s="118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5" customHeight="1" s="214">
      <c r="A672" s="7" t="n"/>
      <c r="B672" s="7" t="n"/>
      <c r="C672" s="7" t="n"/>
      <c r="D672" s="7" t="n"/>
      <c r="E672" s="7" t="n"/>
      <c r="F672" s="7" t="n"/>
      <c r="G672" s="118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5" customHeight="1" s="214">
      <c r="A673" s="7" t="n"/>
      <c r="B673" s="7" t="n"/>
      <c r="C673" s="7" t="n"/>
      <c r="D673" s="7" t="n"/>
      <c r="E673" s="7" t="n"/>
      <c r="F673" s="7" t="n"/>
      <c r="G673" s="118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5" customHeight="1" s="214">
      <c r="A674" s="7" t="n"/>
      <c r="B674" s="7" t="n"/>
      <c r="C674" s="7" t="n"/>
      <c r="D674" s="7" t="n"/>
      <c r="E674" s="7" t="n"/>
      <c r="F674" s="7" t="n"/>
      <c r="G674" s="118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5" customHeight="1" s="214">
      <c r="A675" s="7" t="n"/>
      <c r="B675" s="7" t="n"/>
      <c r="C675" s="7" t="n"/>
      <c r="D675" s="7" t="n"/>
      <c r="E675" s="7" t="n"/>
      <c r="F675" s="7" t="n"/>
      <c r="G675" s="118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5" customHeight="1" s="214">
      <c r="A676" s="7" t="n"/>
      <c r="B676" s="7" t="n"/>
      <c r="C676" s="7" t="n"/>
      <c r="D676" s="7" t="n"/>
      <c r="E676" s="7" t="n"/>
      <c r="F676" s="7" t="n"/>
      <c r="G676" s="118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5" customHeight="1" s="214">
      <c r="A677" s="7" t="n"/>
      <c r="B677" s="7" t="n"/>
      <c r="C677" s="7" t="n"/>
      <c r="D677" s="7" t="n"/>
      <c r="E677" s="7" t="n"/>
      <c r="F677" s="7" t="n"/>
      <c r="G677" s="118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5" customHeight="1" s="214">
      <c r="A678" s="7" t="n"/>
      <c r="B678" s="7" t="n"/>
      <c r="C678" s="7" t="n"/>
      <c r="D678" s="7" t="n"/>
      <c r="E678" s="7" t="n"/>
      <c r="F678" s="7" t="n"/>
      <c r="G678" s="118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5" customHeight="1" s="214">
      <c r="A679" s="7" t="n"/>
      <c r="B679" s="7" t="n"/>
      <c r="C679" s="7" t="n"/>
      <c r="D679" s="7" t="n"/>
      <c r="E679" s="7" t="n"/>
      <c r="F679" s="7" t="n"/>
      <c r="G679" s="118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5" customHeight="1" s="214">
      <c r="A680" s="7" t="n"/>
      <c r="B680" s="7" t="n"/>
      <c r="C680" s="7" t="n"/>
      <c r="D680" s="7" t="n"/>
      <c r="E680" s="7" t="n"/>
      <c r="F680" s="7" t="n"/>
      <c r="G680" s="118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5" customHeight="1" s="214">
      <c r="A681" s="7" t="n"/>
      <c r="B681" s="7" t="n"/>
      <c r="C681" s="7" t="n"/>
      <c r="D681" s="7" t="n"/>
      <c r="E681" s="7" t="n"/>
      <c r="F681" s="7" t="n"/>
      <c r="G681" s="118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5" customHeight="1" s="214">
      <c r="A682" s="7" t="n"/>
      <c r="B682" s="7" t="n"/>
      <c r="C682" s="7" t="n"/>
      <c r="D682" s="7" t="n"/>
      <c r="E682" s="7" t="n"/>
      <c r="F682" s="7" t="n"/>
      <c r="G682" s="118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5" customHeight="1" s="214">
      <c r="A683" s="7" t="n"/>
      <c r="B683" s="7" t="n"/>
      <c r="C683" s="7" t="n"/>
      <c r="D683" s="7" t="n"/>
      <c r="E683" s="7" t="n"/>
      <c r="F683" s="7" t="n"/>
      <c r="G683" s="118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5" customHeight="1" s="214">
      <c r="A684" s="7" t="n"/>
      <c r="B684" s="7" t="n"/>
      <c r="C684" s="7" t="n"/>
      <c r="D684" s="7" t="n"/>
      <c r="E684" s="7" t="n"/>
      <c r="F684" s="7" t="n"/>
      <c r="G684" s="118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5" customHeight="1" s="214">
      <c r="A685" s="7" t="n"/>
      <c r="B685" s="7" t="n"/>
      <c r="C685" s="7" t="n"/>
      <c r="D685" s="7" t="n"/>
      <c r="E685" s="7" t="n"/>
      <c r="F685" s="7" t="n"/>
      <c r="G685" s="118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5" customHeight="1" s="214">
      <c r="A686" s="7" t="n"/>
      <c r="B686" s="7" t="n"/>
      <c r="C686" s="7" t="n"/>
      <c r="D686" s="7" t="n"/>
      <c r="E686" s="7" t="n"/>
      <c r="F686" s="7" t="n"/>
      <c r="G686" s="118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5" customHeight="1" s="214">
      <c r="A687" s="7" t="n"/>
      <c r="B687" s="7" t="n"/>
      <c r="C687" s="7" t="n"/>
      <c r="D687" s="7" t="n"/>
      <c r="E687" s="7" t="n"/>
      <c r="F687" s="7" t="n"/>
      <c r="G687" s="118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5" customHeight="1" s="214">
      <c r="A688" s="7" t="n"/>
      <c r="B688" s="7" t="n"/>
      <c r="C688" s="7" t="n"/>
      <c r="D688" s="7" t="n"/>
      <c r="E688" s="7" t="n"/>
      <c r="F688" s="7" t="n"/>
      <c r="G688" s="118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5" customHeight="1" s="214">
      <c r="A689" s="7" t="n"/>
      <c r="B689" s="7" t="n"/>
      <c r="C689" s="7" t="n"/>
      <c r="D689" s="7" t="n"/>
      <c r="E689" s="7" t="n"/>
      <c r="F689" s="7" t="n"/>
      <c r="G689" s="118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5" customHeight="1" s="214">
      <c r="A690" s="7" t="n"/>
      <c r="B690" s="7" t="n"/>
      <c r="C690" s="7" t="n"/>
      <c r="D690" s="7" t="n"/>
      <c r="E690" s="7" t="n"/>
      <c r="F690" s="7" t="n"/>
      <c r="G690" s="118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5" customHeight="1" s="214">
      <c r="A691" s="7" t="n"/>
      <c r="B691" s="7" t="n"/>
      <c r="C691" s="7" t="n"/>
      <c r="D691" s="7" t="n"/>
      <c r="E691" s="7" t="n"/>
      <c r="F691" s="7" t="n"/>
      <c r="G691" s="118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5" customHeight="1" s="214">
      <c r="A692" s="7" t="n"/>
      <c r="B692" s="7" t="n"/>
      <c r="C692" s="7" t="n"/>
      <c r="D692" s="7" t="n"/>
      <c r="E692" s="7" t="n"/>
      <c r="F692" s="7" t="n"/>
      <c r="G692" s="118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5" customHeight="1" s="214">
      <c r="A693" s="7" t="n"/>
      <c r="B693" s="7" t="n"/>
      <c r="C693" s="7" t="n"/>
      <c r="D693" s="7" t="n"/>
      <c r="E693" s="7" t="n"/>
      <c r="F693" s="7" t="n"/>
      <c r="G693" s="118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5" customHeight="1" s="214">
      <c r="A694" s="7" t="n"/>
      <c r="B694" s="7" t="n"/>
      <c r="C694" s="7" t="n"/>
      <c r="D694" s="7" t="n"/>
      <c r="E694" s="7" t="n"/>
      <c r="F694" s="7" t="n"/>
      <c r="G694" s="118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5" customHeight="1" s="214">
      <c r="A695" s="7" t="n"/>
      <c r="B695" s="7" t="n"/>
      <c r="C695" s="7" t="n"/>
      <c r="D695" s="7" t="n"/>
      <c r="E695" s="7" t="n"/>
      <c r="F695" s="7" t="n"/>
      <c r="G695" s="118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5" customHeight="1" s="214">
      <c r="A696" s="7" t="n"/>
      <c r="B696" s="7" t="n"/>
      <c r="C696" s="7" t="n"/>
      <c r="D696" s="7" t="n"/>
      <c r="E696" s="7" t="n"/>
      <c r="F696" s="7" t="n"/>
      <c r="G696" s="118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5" customHeight="1" s="214">
      <c r="A697" s="7" t="n"/>
      <c r="B697" s="7" t="n"/>
      <c r="C697" s="7" t="n"/>
      <c r="D697" s="7" t="n"/>
      <c r="E697" s="7" t="n"/>
      <c r="F697" s="7" t="n"/>
      <c r="G697" s="118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5" customHeight="1" s="214">
      <c r="A698" s="7" t="n"/>
      <c r="B698" s="7" t="n"/>
      <c r="C698" s="7" t="n"/>
      <c r="D698" s="7" t="n"/>
      <c r="E698" s="7" t="n"/>
      <c r="F698" s="7" t="n"/>
      <c r="G698" s="118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5" customHeight="1" s="214">
      <c r="A699" s="7" t="n"/>
      <c r="B699" s="7" t="n"/>
      <c r="C699" s="7" t="n"/>
      <c r="D699" s="7" t="n"/>
      <c r="E699" s="7" t="n"/>
      <c r="F699" s="7" t="n"/>
      <c r="G699" s="118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5" customHeight="1" s="214">
      <c r="A700" s="7" t="n"/>
      <c r="B700" s="7" t="n"/>
      <c r="C700" s="7" t="n"/>
      <c r="D700" s="7" t="n"/>
      <c r="E700" s="7" t="n"/>
      <c r="F700" s="7" t="n"/>
      <c r="G700" s="118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5" customHeight="1" s="214">
      <c r="A701" s="7" t="n"/>
      <c r="B701" s="7" t="n"/>
      <c r="C701" s="7" t="n"/>
      <c r="D701" s="7" t="n"/>
      <c r="E701" s="7" t="n"/>
      <c r="F701" s="7" t="n"/>
      <c r="G701" s="118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5" customHeight="1" s="214">
      <c r="A702" s="7" t="n"/>
      <c r="B702" s="7" t="n"/>
      <c r="C702" s="7" t="n"/>
      <c r="D702" s="7" t="n"/>
      <c r="E702" s="7" t="n"/>
      <c r="F702" s="7" t="n"/>
      <c r="G702" s="118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5" customHeight="1" s="214">
      <c r="A703" s="7" t="n"/>
      <c r="B703" s="7" t="n"/>
      <c r="C703" s="7" t="n"/>
      <c r="D703" s="7" t="n"/>
      <c r="E703" s="7" t="n"/>
      <c r="F703" s="7" t="n"/>
      <c r="G703" s="118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5" customHeight="1" s="214">
      <c r="A704" s="7" t="n"/>
      <c r="B704" s="7" t="n"/>
      <c r="C704" s="7" t="n"/>
      <c r="D704" s="7" t="n"/>
      <c r="E704" s="7" t="n"/>
      <c r="F704" s="7" t="n"/>
      <c r="G704" s="118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5" customHeight="1" s="214">
      <c r="A705" s="7" t="n"/>
      <c r="B705" s="7" t="n"/>
      <c r="C705" s="7" t="n"/>
      <c r="D705" s="7" t="n"/>
      <c r="E705" s="7" t="n"/>
      <c r="F705" s="7" t="n"/>
      <c r="G705" s="118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5" customHeight="1" s="214">
      <c r="A706" s="7" t="n"/>
      <c r="B706" s="7" t="n"/>
      <c r="C706" s="7" t="n"/>
      <c r="D706" s="7" t="n"/>
      <c r="E706" s="7" t="n"/>
      <c r="F706" s="7" t="n"/>
      <c r="G706" s="118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5" customHeight="1" s="214">
      <c r="A707" s="7" t="n"/>
      <c r="B707" s="7" t="n"/>
      <c r="C707" s="7" t="n"/>
      <c r="D707" s="7" t="n"/>
      <c r="E707" s="7" t="n"/>
      <c r="F707" s="7" t="n"/>
      <c r="G707" s="118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5" customHeight="1" s="214">
      <c r="A708" s="7" t="n"/>
      <c r="B708" s="7" t="n"/>
      <c r="C708" s="7" t="n"/>
      <c r="D708" s="7" t="n"/>
      <c r="E708" s="7" t="n"/>
      <c r="F708" s="7" t="n"/>
      <c r="G708" s="118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5" customHeight="1" s="214">
      <c r="A709" s="7" t="n"/>
      <c r="B709" s="7" t="n"/>
      <c r="C709" s="7" t="n"/>
      <c r="D709" s="7" t="n"/>
      <c r="E709" s="7" t="n"/>
      <c r="F709" s="7" t="n"/>
      <c r="G709" s="118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5" customHeight="1" s="214">
      <c r="A710" s="7" t="n"/>
      <c r="B710" s="7" t="n"/>
      <c r="C710" s="7" t="n"/>
      <c r="D710" s="7" t="n"/>
      <c r="E710" s="7" t="n"/>
      <c r="F710" s="7" t="n"/>
      <c r="G710" s="118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5" customHeight="1" s="214">
      <c r="A711" s="7" t="n"/>
      <c r="B711" s="7" t="n"/>
      <c r="C711" s="7" t="n"/>
      <c r="D711" s="7" t="n"/>
      <c r="E711" s="7" t="n"/>
      <c r="F711" s="7" t="n"/>
      <c r="G711" s="118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5" customHeight="1" s="214">
      <c r="A712" s="7" t="n"/>
      <c r="B712" s="7" t="n"/>
      <c r="C712" s="7" t="n"/>
      <c r="D712" s="7" t="n"/>
      <c r="E712" s="7" t="n"/>
      <c r="F712" s="7" t="n"/>
      <c r="G712" s="118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5" customHeight="1" s="214">
      <c r="A713" s="7" t="n"/>
      <c r="B713" s="7" t="n"/>
      <c r="C713" s="7" t="n"/>
      <c r="D713" s="7" t="n"/>
      <c r="E713" s="7" t="n"/>
      <c r="F713" s="7" t="n"/>
      <c r="G713" s="118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5" customHeight="1" s="214">
      <c r="A714" s="7" t="n"/>
      <c r="B714" s="7" t="n"/>
      <c r="C714" s="7" t="n"/>
      <c r="D714" s="7" t="n"/>
      <c r="E714" s="7" t="n"/>
      <c r="F714" s="7" t="n"/>
      <c r="G714" s="118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5" customHeight="1" s="214">
      <c r="A715" s="7" t="n"/>
      <c r="B715" s="7" t="n"/>
      <c r="C715" s="7" t="n"/>
      <c r="D715" s="7" t="n"/>
      <c r="E715" s="7" t="n"/>
      <c r="F715" s="7" t="n"/>
      <c r="G715" s="118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5" customHeight="1" s="214">
      <c r="A716" s="7" t="n"/>
      <c r="B716" s="7" t="n"/>
      <c r="C716" s="7" t="n"/>
      <c r="D716" s="7" t="n"/>
      <c r="E716" s="7" t="n"/>
      <c r="F716" s="7" t="n"/>
      <c r="G716" s="118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5" customHeight="1" s="214">
      <c r="A717" s="7" t="n"/>
      <c r="B717" s="7" t="n"/>
      <c r="C717" s="7" t="n"/>
      <c r="D717" s="7" t="n"/>
      <c r="E717" s="7" t="n"/>
      <c r="F717" s="7" t="n"/>
      <c r="G717" s="118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5" customHeight="1" s="214">
      <c r="A718" s="7" t="n"/>
      <c r="B718" s="7" t="n"/>
      <c r="C718" s="7" t="n"/>
      <c r="D718" s="7" t="n"/>
      <c r="E718" s="7" t="n"/>
      <c r="F718" s="7" t="n"/>
      <c r="G718" s="118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5" customHeight="1" s="214">
      <c r="A719" s="7" t="n"/>
      <c r="B719" s="7" t="n"/>
      <c r="C719" s="7" t="n"/>
      <c r="D719" s="7" t="n"/>
      <c r="E719" s="7" t="n"/>
      <c r="F719" s="7" t="n"/>
      <c r="G719" s="118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5" customHeight="1" s="214">
      <c r="A720" s="7" t="n"/>
      <c r="B720" s="7" t="n"/>
      <c r="C720" s="7" t="n"/>
      <c r="D720" s="7" t="n"/>
      <c r="E720" s="7" t="n"/>
      <c r="F720" s="7" t="n"/>
      <c r="G720" s="118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5" customHeight="1" s="214">
      <c r="A721" s="7" t="n"/>
      <c r="B721" s="7" t="n"/>
      <c r="C721" s="7" t="n"/>
      <c r="D721" s="7" t="n"/>
      <c r="E721" s="7" t="n"/>
      <c r="F721" s="7" t="n"/>
      <c r="G721" s="118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5" customHeight="1" s="214">
      <c r="A722" s="7" t="n"/>
      <c r="B722" s="7" t="n"/>
      <c r="C722" s="7" t="n"/>
      <c r="D722" s="7" t="n"/>
      <c r="E722" s="7" t="n"/>
      <c r="F722" s="7" t="n"/>
      <c r="G722" s="118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5" customHeight="1" s="214">
      <c r="A723" s="7" t="n"/>
      <c r="B723" s="7" t="n"/>
      <c r="C723" s="7" t="n"/>
      <c r="D723" s="7" t="n"/>
      <c r="E723" s="7" t="n"/>
      <c r="F723" s="7" t="n"/>
      <c r="G723" s="118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5" customHeight="1" s="214">
      <c r="A724" s="7" t="n"/>
      <c r="B724" s="7" t="n"/>
      <c r="C724" s="7" t="n"/>
      <c r="D724" s="7" t="n"/>
      <c r="E724" s="7" t="n"/>
      <c r="F724" s="7" t="n"/>
      <c r="G724" s="118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5" customHeight="1" s="214">
      <c r="A725" s="7" t="n"/>
      <c r="B725" s="7" t="n"/>
      <c r="C725" s="7" t="n"/>
      <c r="D725" s="7" t="n"/>
      <c r="E725" s="7" t="n"/>
      <c r="F725" s="7" t="n"/>
      <c r="G725" s="118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5" customHeight="1" s="214">
      <c r="A726" s="7" t="n"/>
      <c r="B726" s="7" t="n"/>
      <c r="C726" s="7" t="n"/>
      <c r="D726" s="7" t="n"/>
      <c r="E726" s="7" t="n"/>
      <c r="F726" s="7" t="n"/>
      <c r="G726" s="118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5" customHeight="1" s="214">
      <c r="A727" s="7" t="n"/>
      <c r="B727" s="7" t="n"/>
      <c r="C727" s="7" t="n"/>
      <c r="D727" s="7" t="n"/>
      <c r="E727" s="7" t="n"/>
      <c r="F727" s="7" t="n"/>
      <c r="G727" s="118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5" customHeight="1" s="214">
      <c r="A728" s="7" t="n"/>
      <c r="B728" s="7" t="n"/>
      <c r="C728" s="7" t="n"/>
      <c r="D728" s="7" t="n"/>
      <c r="E728" s="7" t="n"/>
      <c r="F728" s="7" t="n"/>
      <c r="G728" s="118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5" customHeight="1" s="214">
      <c r="A729" s="7" t="n"/>
      <c r="B729" s="7" t="n"/>
      <c r="C729" s="7" t="n"/>
      <c r="D729" s="7" t="n"/>
      <c r="E729" s="7" t="n"/>
      <c r="F729" s="7" t="n"/>
      <c r="G729" s="118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5" customHeight="1" s="214">
      <c r="A730" s="7" t="n"/>
      <c r="B730" s="7" t="n"/>
      <c r="C730" s="7" t="n"/>
      <c r="D730" s="7" t="n"/>
      <c r="E730" s="7" t="n"/>
      <c r="F730" s="7" t="n"/>
      <c r="G730" s="118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5" customHeight="1" s="214">
      <c r="A731" s="7" t="n"/>
      <c r="B731" s="7" t="n"/>
      <c r="C731" s="7" t="n"/>
      <c r="D731" s="7" t="n"/>
      <c r="E731" s="7" t="n"/>
      <c r="F731" s="7" t="n"/>
      <c r="G731" s="118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5" customHeight="1" s="214">
      <c r="A732" s="7" t="n"/>
      <c r="B732" s="7" t="n"/>
      <c r="C732" s="7" t="n"/>
      <c r="D732" s="7" t="n"/>
      <c r="E732" s="7" t="n"/>
      <c r="F732" s="7" t="n"/>
      <c r="G732" s="118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5" customHeight="1" s="214">
      <c r="A733" s="7" t="n"/>
      <c r="B733" s="7" t="n"/>
      <c r="C733" s="7" t="n"/>
      <c r="D733" s="7" t="n"/>
      <c r="E733" s="7" t="n"/>
      <c r="F733" s="7" t="n"/>
      <c r="G733" s="118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5" customHeight="1" s="214">
      <c r="A734" s="7" t="n"/>
      <c r="B734" s="7" t="n"/>
      <c r="C734" s="7" t="n"/>
      <c r="D734" s="7" t="n"/>
      <c r="E734" s="7" t="n"/>
      <c r="F734" s="7" t="n"/>
      <c r="G734" s="118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5" customHeight="1" s="214">
      <c r="A735" s="7" t="n"/>
      <c r="B735" s="7" t="n"/>
      <c r="C735" s="7" t="n"/>
      <c r="D735" s="7" t="n"/>
      <c r="E735" s="7" t="n"/>
      <c r="F735" s="7" t="n"/>
      <c r="G735" s="118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5" customHeight="1" s="214">
      <c r="A736" s="7" t="n"/>
      <c r="B736" s="7" t="n"/>
      <c r="C736" s="7" t="n"/>
      <c r="D736" s="7" t="n"/>
      <c r="E736" s="7" t="n"/>
      <c r="F736" s="7" t="n"/>
      <c r="G736" s="118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5" customHeight="1" s="214">
      <c r="A737" s="7" t="n"/>
      <c r="B737" s="7" t="n"/>
      <c r="C737" s="7" t="n"/>
      <c r="D737" s="7" t="n"/>
      <c r="E737" s="7" t="n"/>
      <c r="F737" s="7" t="n"/>
      <c r="G737" s="118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5" customHeight="1" s="214">
      <c r="A738" s="7" t="n"/>
      <c r="B738" s="7" t="n"/>
      <c r="C738" s="7" t="n"/>
      <c r="D738" s="7" t="n"/>
      <c r="E738" s="7" t="n"/>
      <c r="F738" s="7" t="n"/>
      <c r="G738" s="118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5" customHeight="1" s="214">
      <c r="A739" s="7" t="n"/>
      <c r="B739" s="7" t="n"/>
      <c r="C739" s="7" t="n"/>
      <c r="D739" s="7" t="n"/>
      <c r="E739" s="7" t="n"/>
      <c r="F739" s="7" t="n"/>
      <c r="G739" s="118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5" customHeight="1" s="214">
      <c r="A740" s="7" t="n"/>
      <c r="B740" s="7" t="n"/>
      <c r="C740" s="7" t="n"/>
      <c r="D740" s="7" t="n"/>
      <c r="E740" s="7" t="n"/>
      <c r="F740" s="7" t="n"/>
      <c r="G740" s="118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5" customHeight="1" s="214">
      <c r="A741" s="7" t="n"/>
      <c r="B741" s="7" t="n"/>
      <c r="C741" s="7" t="n"/>
      <c r="D741" s="7" t="n"/>
      <c r="E741" s="7" t="n"/>
      <c r="F741" s="7" t="n"/>
      <c r="G741" s="118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5" customHeight="1" s="214">
      <c r="A742" s="7" t="n"/>
      <c r="B742" s="7" t="n"/>
      <c r="C742" s="7" t="n"/>
      <c r="D742" s="7" t="n"/>
      <c r="E742" s="7" t="n"/>
      <c r="F742" s="7" t="n"/>
      <c r="G742" s="118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5" customHeight="1" s="214">
      <c r="A743" s="7" t="n"/>
      <c r="B743" s="7" t="n"/>
      <c r="C743" s="7" t="n"/>
      <c r="D743" s="7" t="n"/>
      <c r="E743" s="7" t="n"/>
      <c r="F743" s="7" t="n"/>
      <c r="G743" s="118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5" customHeight="1" s="214">
      <c r="A744" s="7" t="n"/>
      <c r="B744" s="7" t="n"/>
      <c r="C744" s="7" t="n"/>
      <c r="D744" s="7" t="n"/>
      <c r="E744" s="7" t="n"/>
      <c r="F744" s="7" t="n"/>
      <c r="G744" s="118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5" customHeight="1" s="214">
      <c r="A745" s="7" t="n"/>
      <c r="B745" s="7" t="n"/>
      <c r="C745" s="7" t="n"/>
      <c r="D745" s="7" t="n"/>
      <c r="E745" s="7" t="n"/>
      <c r="F745" s="7" t="n"/>
      <c r="G745" s="118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5" customHeight="1" s="214">
      <c r="A746" s="7" t="n"/>
      <c r="B746" s="7" t="n"/>
      <c r="C746" s="7" t="n"/>
      <c r="D746" s="7" t="n"/>
      <c r="E746" s="7" t="n"/>
      <c r="F746" s="7" t="n"/>
      <c r="G746" s="118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5" customHeight="1" s="214">
      <c r="A747" s="7" t="n"/>
      <c r="B747" s="7" t="n"/>
      <c r="C747" s="7" t="n"/>
      <c r="D747" s="7" t="n"/>
      <c r="E747" s="7" t="n"/>
      <c r="F747" s="7" t="n"/>
      <c r="G747" s="118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5" customHeight="1" s="214">
      <c r="A748" s="7" t="n"/>
      <c r="B748" s="7" t="n"/>
      <c r="C748" s="7" t="n"/>
      <c r="D748" s="7" t="n"/>
      <c r="E748" s="7" t="n"/>
      <c r="F748" s="7" t="n"/>
      <c r="G748" s="118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5" customHeight="1" s="214">
      <c r="A749" s="7" t="n"/>
      <c r="B749" s="7" t="n"/>
      <c r="C749" s="7" t="n"/>
      <c r="D749" s="7" t="n"/>
      <c r="E749" s="7" t="n"/>
      <c r="F749" s="7" t="n"/>
      <c r="G749" s="118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5" customHeight="1" s="214">
      <c r="A750" s="7" t="n"/>
      <c r="B750" s="7" t="n"/>
      <c r="C750" s="7" t="n"/>
      <c r="D750" s="7" t="n"/>
      <c r="E750" s="7" t="n"/>
      <c r="F750" s="7" t="n"/>
      <c r="G750" s="118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5" customHeight="1" s="214">
      <c r="A751" s="7" t="n"/>
      <c r="B751" s="7" t="n"/>
      <c r="C751" s="7" t="n"/>
      <c r="D751" s="7" t="n"/>
      <c r="E751" s="7" t="n"/>
      <c r="F751" s="7" t="n"/>
      <c r="G751" s="118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5" customHeight="1" s="214">
      <c r="A752" s="7" t="n"/>
      <c r="B752" s="7" t="n"/>
      <c r="C752" s="7" t="n"/>
      <c r="D752" s="7" t="n"/>
      <c r="E752" s="7" t="n"/>
      <c r="F752" s="7" t="n"/>
      <c r="G752" s="118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5" customHeight="1" s="214">
      <c r="A753" s="7" t="n"/>
      <c r="B753" s="7" t="n"/>
      <c r="C753" s="7" t="n"/>
      <c r="D753" s="7" t="n"/>
      <c r="E753" s="7" t="n"/>
      <c r="F753" s="7" t="n"/>
      <c r="G753" s="118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5" customHeight="1" s="214">
      <c r="A754" s="7" t="n"/>
      <c r="B754" s="7" t="n"/>
      <c r="C754" s="7" t="n"/>
      <c r="D754" s="7" t="n"/>
      <c r="E754" s="7" t="n"/>
      <c r="F754" s="7" t="n"/>
      <c r="G754" s="118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5" customHeight="1" s="214">
      <c r="A755" s="7" t="n"/>
      <c r="B755" s="7" t="n"/>
      <c r="C755" s="7" t="n"/>
      <c r="D755" s="7" t="n"/>
      <c r="E755" s="7" t="n"/>
      <c r="F755" s="7" t="n"/>
      <c r="G755" s="118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5" customHeight="1" s="214">
      <c r="A756" s="7" t="n"/>
      <c r="B756" s="7" t="n"/>
      <c r="C756" s="7" t="n"/>
      <c r="D756" s="7" t="n"/>
      <c r="E756" s="7" t="n"/>
      <c r="F756" s="7" t="n"/>
      <c r="G756" s="118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5" customHeight="1" s="214">
      <c r="A757" s="7" t="n"/>
      <c r="B757" s="7" t="n"/>
      <c r="C757" s="7" t="n"/>
      <c r="D757" s="7" t="n"/>
      <c r="E757" s="7" t="n"/>
      <c r="F757" s="7" t="n"/>
      <c r="G757" s="118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5" customHeight="1" s="214">
      <c r="A758" s="7" t="n"/>
      <c r="B758" s="7" t="n"/>
      <c r="C758" s="7" t="n"/>
      <c r="D758" s="7" t="n"/>
      <c r="E758" s="7" t="n"/>
      <c r="F758" s="7" t="n"/>
      <c r="G758" s="118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5" customHeight="1" s="214">
      <c r="A759" s="7" t="n"/>
      <c r="B759" s="7" t="n"/>
      <c r="C759" s="7" t="n"/>
      <c r="D759" s="7" t="n"/>
      <c r="E759" s="7" t="n"/>
      <c r="F759" s="7" t="n"/>
      <c r="G759" s="118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5" customHeight="1" s="214">
      <c r="A760" s="7" t="n"/>
      <c r="B760" s="7" t="n"/>
      <c r="C760" s="7" t="n"/>
      <c r="D760" s="7" t="n"/>
      <c r="E760" s="7" t="n"/>
      <c r="F760" s="7" t="n"/>
      <c r="G760" s="118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5" customHeight="1" s="214">
      <c r="A761" s="7" t="n"/>
      <c r="B761" s="7" t="n"/>
      <c r="C761" s="7" t="n"/>
      <c r="D761" s="7" t="n"/>
      <c r="E761" s="7" t="n"/>
      <c r="F761" s="7" t="n"/>
      <c r="G761" s="118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5" customHeight="1" s="214">
      <c r="A762" s="7" t="n"/>
      <c r="B762" s="7" t="n"/>
      <c r="C762" s="7" t="n"/>
      <c r="D762" s="7" t="n"/>
      <c r="E762" s="7" t="n"/>
      <c r="F762" s="7" t="n"/>
      <c r="G762" s="118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5" customHeight="1" s="214">
      <c r="A763" s="7" t="n"/>
      <c r="B763" s="7" t="n"/>
      <c r="C763" s="7" t="n"/>
      <c r="D763" s="7" t="n"/>
      <c r="E763" s="7" t="n"/>
      <c r="F763" s="7" t="n"/>
      <c r="G763" s="118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5" customHeight="1" s="214">
      <c r="A764" s="7" t="n"/>
      <c r="B764" s="7" t="n"/>
      <c r="C764" s="7" t="n"/>
      <c r="D764" s="7" t="n"/>
      <c r="E764" s="7" t="n"/>
      <c r="F764" s="7" t="n"/>
      <c r="G764" s="118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5" customHeight="1" s="214">
      <c r="A765" s="7" t="n"/>
      <c r="B765" s="7" t="n"/>
      <c r="C765" s="7" t="n"/>
      <c r="D765" s="7" t="n"/>
      <c r="E765" s="7" t="n"/>
      <c r="F765" s="7" t="n"/>
      <c r="G765" s="118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5" customHeight="1" s="214">
      <c r="A766" s="7" t="n"/>
      <c r="B766" s="7" t="n"/>
      <c r="C766" s="7" t="n"/>
      <c r="D766" s="7" t="n"/>
      <c r="E766" s="7" t="n"/>
      <c r="F766" s="7" t="n"/>
      <c r="G766" s="118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5" customHeight="1" s="214">
      <c r="A767" s="7" t="n"/>
      <c r="B767" s="7" t="n"/>
      <c r="C767" s="7" t="n"/>
      <c r="D767" s="7" t="n"/>
      <c r="E767" s="7" t="n"/>
      <c r="F767" s="7" t="n"/>
      <c r="G767" s="118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5" customHeight="1" s="214">
      <c r="A768" s="7" t="n"/>
      <c r="B768" s="7" t="n"/>
      <c r="C768" s="7" t="n"/>
      <c r="D768" s="7" t="n"/>
      <c r="E768" s="7" t="n"/>
      <c r="F768" s="7" t="n"/>
      <c r="G768" s="118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5" customHeight="1" s="214">
      <c r="A769" s="7" t="n"/>
      <c r="B769" s="7" t="n"/>
      <c r="C769" s="7" t="n"/>
      <c r="D769" s="7" t="n"/>
      <c r="E769" s="7" t="n"/>
      <c r="F769" s="7" t="n"/>
      <c r="G769" s="118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5" customHeight="1" s="214">
      <c r="A770" s="7" t="n"/>
      <c r="B770" s="7" t="n"/>
      <c r="C770" s="7" t="n"/>
      <c r="D770" s="7" t="n"/>
      <c r="E770" s="7" t="n"/>
      <c r="F770" s="7" t="n"/>
      <c r="G770" s="118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5" customHeight="1" s="214">
      <c r="A771" s="7" t="n"/>
      <c r="B771" s="7" t="n"/>
      <c r="C771" s="7" t="n"/>
      <c r="D771" s="7" t="n"/>
      <c r="E771" s="7" t="n"/>
      <c r="F771" s="7" t="n"/>
      <c r="G771" s="118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5" customHeight="1" s="214">
      <c r="A772" s="7" t="n"/>
      <c r="B772" s="7" t="n"/>
      <c r="C772" s="7" t="n"/>
      <c r="D772" s="7" t="n"/>
      <c r="E772" s="7" t="n"/>
      <c r="F772" s="7" t="n"/>
      <c r="G772" s="118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5" customHeight="1" s="214">
      <c r="A773" s="7" t="n"/>
      <c r="B773" s="7" t="n"/>
      <c r="C773" s="7" t="n"/>
      <c r="D773" s="7" t="n"/>
      <c r="E773" s="7" t="n"/>
      <c r="F773" s="7" t="n"/>
      <c r="G773" s="118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5" customHeight="1" s="214">
      <c r="A774" s="7" t="n"/>
      <c r="B774" s="7" t="n"/>
      <c r="C774" s="7" t="n"/>
      <c r="D774" s="7" t="n"/>
      <c r="E774" s="7" t="n"/>
      <c r="F774" s="7" t="n"/>
      <c r="G774" s="118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5" customHeight="1" s="214">
      <c r="A775" s="7" t="n"/>
      <c r="B775" s="7" t="n"/>
      <c r="C775" s="7" t="n"/>
      <c r="D775" s="7" t="n"/>
      <c r="E775" s="7" t="n"/>
      <c r="F775" s="7" t="n"/>
      <c r="G775" s="118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5" customHeight="1" s="214">
      <c r="A776" s="7" t="n"/>
      <c r="B776" s="7" t="n"/>
      <c r="C776" s="7" t="n"/>
      <c r="D776" s="7" t="n"/>
      <c r="E776" s="7" t="n"/>
      <c r="F776" s="7" t="n"/>
      <c r="G776" s="118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5" customHeight="1" s="214">
      <c r="A777" s="7" t="n"/>
      <c r="B777" s="7" t="n"/>
      <c r="C777" s="7" t="n"/>
      <c r="D777" s="7" t="n"/>
      <c r="E777" s="7" t="n"/>
      <c r="F777" s="7" t="n"/>
      <c r="G777" s="118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5" customHeight="1" s="214">
      <c r="A778" s="7" t="n"/>
      <c r="B778" s="7" t="n"/>
      <c r="C778" s="7" t="n"/>
      <c r="D778" s="7" t="n"/>
      <c r="E778" s="7" t="n"/>
      <c r="F778" s="7" t="n"/>
      <c r="G778" s="118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5" customHeight="1" s="214">
      <c r="A779" s="7" t="n"/>
      <c r="B779" s="7" t="n"/>
      <c r="C779" s="7" t="n"/>
      <c r="D779" s="7" t="n"/>
      <c r="E779" s="7" t="n"/>
      <c r="F779" s="7" t="n"/>
      <c r="G779" s="118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5" customHeight="1" s="214">
      <c r="A780" s="7" t="n"/>
      <c r="B780" s="7" t="n"/>
      <c r="C780" s="7" t="n"/>
      <c r="D780" s="7" t="n"/>
      <c r="E780" s="7" t="n"/>
      <c r="F780" s="7" t="n"/>
      <c r="G780" s="118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5" customHeight="1" s="214">
      <c r="A781" s="7" t="n"/>
      <c r="B781" s="7" t="n"/>
      <c r="C781" s="7" t="n"/>
      <c r="D781" s="7" t="n"/>
      <c r="E781" s="7" t="n"/>
      <c r="F781" s="7" t="n"/>
      <c r="G781" s="118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5" customHeight="1" s="214">
      <c r="A782" s="7" t="n"/>
      <c r="B782" s="7" t="n"/>
      <c r="C782" s="7" t="n"/>
      <c r="D782" s="7" t="n"/>
      <c r="E782" s="7" t="n"/>
      <c r="F782" s="7" t="n"/>
      <c r="G782" s="118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5" customHeight="1" s="214">
      <c r="A783" s="7" t="n"/>
      <c r="B783" s="7" t="n"/>
      <c r="C783" s="7" t="n"/>
      <c r="D783" s="7" t="n"/>
      <c r="E783" s="7" t="n"/>
      <c r="F783" s="7" t="n"/>
      <c r="G783" s="118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5" customHeight="1" s="214">
      <c r="A784" s="7" t="n"/>
      <c r="B784" s="7" t="n"/>
      <c r="C784" s="7" t="n"/>
      <c r="D784" s="7" t="n"/>
      <c r="E784" s="7" t="n"/>
      <c r="F784" s="7" t="n"/>
      <c r="G784" s="118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5" customHeight="1" s="214">
      <c r="A785" s="7" t="n"/>
      <c r="B785" s="7" t="n"/>
      <c r="C785" s="7" t="n"/>
      <c r="D785" s="7" t="n"/>
      <c r="E785" s="7" t="n"/>
      <c r="F785" s="7" t="n"/>
      <c r="G785" s="118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5" customHeight="1" s="214">
      <c r="A786" s="7" t="n"/>
      <c r="B786" s="7" t="n"/>
      <c r="C786" s="7" t="n"/>
      <c r="D786" s="7" t="n"/>
      <c r="E786" s="7" t="n"/>
      <c r="F786" s="7" t="n"/>
      <c r="G786" s="118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5" customHeight="1" s="214">
      <c r="A787" s="7" t="n"/>
      <c r="B787" s="7" t="n"/>
      <c r="C787" s="7" t="n"/>
      <c r="D787" s="7" t="n"/>
      <c r="E787" s="7" t="n"/>
      <c r="F787" s="7" t="n"/>
      <c r="G787" s="118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5" customHeight="1" s="214">
      <c r="A788" s="7" t="n"/>
      <c r="B788" s="7" t="n"/>
      <c r="C788" s="7" t="n"/>
      <c r="D788" s="7" t="n"/>
      <c r="E788" s="7" t="n"/>
      <c r="F788" s="7" t="n"/>
      <c r="G788" s="118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5" customHeight="1" s="214">
      <c r="A789" s="7" t="n"/>
      <c r="B789" s="7" t="n"/>
      <c r="C789" s="7" t="n"/>
      <c r="D789" s="7" t="n"/>
      <c r="E789" s="7" t="n"/>
      <c r="F789" s="7" t="n"/>
      <c r="G789" s="118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5" customHeight="1" s="214">
      <c r="A790" s="7" t="n"/>
      <c r="B790" s="7" t="n"/>
      <c r="C790" s="7" t="n"/>
      <c r="D790" s="7" t="n"/>
      <c r="E790" s="7" t="n"/>
      <c r="F790" s="7" t="n"/>
      <c r="G790" s="118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5" customHeight="1" s="214">
      <c r="A791" s="7" t="n"/>
      <c r="B791" s="7" t="n"/>
      <c r="C791" s="7" t="n"/>
      <c r="D791" s="7" t="n"/>
      <c r="E791" s="7" t="n"/>
      <c r="F791" s="7" t="n"/>
      <c r="G791" s="118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5" customHeight="1" s="214">
      <c r="A792" s="7" t="n"/>
      <c r="B792" s="7" t="n"/>
      <c r="C792" s="7" t="n"/>
      <c r="D792" s="7" t="n"/>
      <c r="E792" s="7" t="n"/>
      <c r="F792" s="7" t="n"/>
      <c r="G792" s="118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5" customHeight="1" s="214">
      <c r="A793" s="7" t="n"/>
      <c r="B793" s="7" t="n"/>
      <c r="C793" s="7" t="n"/>
      <c r="D793" s="7" t="n"/>
      <c r="E793" s="7" t="n"/>
      <c r="F793" s="7" t="n"/>
      <c r="G793" s="118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5" customHeight="1" s="214">
      <c r="A794" s="7" t="n"/>
      <c r="B794" s="7" t="n"/>
      <c r="C794" s="7" t="n"/>
      <c r="D794" s="7" t="n"/>
      <c r="E794" s="7" t="n"/>
      <c r="F794" s="7" t="n"/>
      <c r="G794" s="118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5" customHeight="1" s="214">
      <c r="A795" s="7" t="n"/>
      <c r="B795" s="7" t="n"/>
      <c r="C795" s="7" t="n"/>
      <c r="D795" s="7" t="n"/>
      <c r="E795" s="7" t="n"/>
      <c r="F795" s="7" t="n"/>
      <c r="G795" s="118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5" customHeight="1" s="214">
      <c r="A796" s="7" t="n"/>
      <c r="B796" s="7" t="n"/>
      <c r="C796" s="7" t="n"/>
      <c r="D796" s="7" t="n"/>
      <c r="E796" s="7" t="n"/>
      <c r="F796" s="7" t="n"/>
      <c r="G796" s="118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5" customHeight="1" s="214">
      <c r="A797" s="7" t="n"/>
      <c r="B797" s="7" t="n"/>
      <c r="C797" s="7" t="n"/>
      <c r="D797" s="7" t="n"/>
      <c r="E797" s="7" t="n"/>
      <c r="F797" s="7" t="n"/>
      <c r="G797" s="118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5" customHeight="1" s="214">
      <c r="A798" s="7" t="n"/>
      <c r="B798" s="7" t="n"/>
      <c r="C798" s="7" t="n"/>
      <c r="D798" s="7" t="n"/>
      <c r="E798" s="7" t="n"/>
      <c r="F798" s="7" t="n"/>
      <c r="G798" s="118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5" customHeight="1" s="214">
      <c r="A799" s="7" t="n"/>
      <c r="B799" s="7" t="n"/>
      <c r="C799" s="7" t="n"/>
      <c r="D799" s="7" t="n"/>
      <c r="E799" s="7" t="n"/>
      <c r="F799" s="7" t="n"/>
      <c r="G799" s="118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5" customHeight="1" s="214">
      <c r="A800" s="7" t="n"/>
      <c r="B800" s="7" t="n"/>
      <c r="C800" s="7" t="n"/>
      <c r="D800" s="7" t="n"/>
      <c r="E800" s="7" t="n"/>
      <c r="F800" s="7" t="n"/>
      <c r="G800" s="118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5" customHeight="1" s="214">
      <c r="A801" s="7" t="n"/>
      <c r="B801" s="7" t="n"/>
      <c r="C801" s="7" t="n"/>
      <c r="D801" s="7" t="n"/>
      <c r="E801" s="7" t="n"/>
      <c r="F801" s="7" t="n"/>
      <c r="G801" s="118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5" customHeight="1" s="214">
      <c r="A802" s="7" t="n"/>
      <c r="B802" s="7" t="n"/>
      <c r="C802" s="7" t="n"/>
      <c r="D802" s="7" t="n"/>
      <c r="E802" s="7" t="n"/>
      <c r="F802" s="7" t="n"/>
      <c r="G802" s="118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5" customHeight="1" s="214">
      <c r="A803" s="7" t="n"/>
      <c r="B803" s="7" t="n"/>
      <c r="C803" s="7" t="n"/>
      <c r="D803" s="7" t="n"/>
      <c r="E803" s="7" t="n"/>
      <c r="F803" s="7" t="n"/>
      <c r="G803" s="118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5" customHeight="1" s="214">
      <c r="A804" s="7" t="n"/>
      <c r="B804" s="7" t="n"/>
      <c r="C804" s="7" t="n"/>
      <c r="D804" s="7" t="n"/>
      <c r="E804" s="7" t="n"/>
      <c r="F804" s="7" t="n"/>
      <c r="G804" s="118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5" customHeight="1" s="214">
      <c r="A805" s="7" t="n"/>
      <c r="B805" s="7" t="n"/>
      <c r="C805" s="7" t="n"/>
      <c r="D805" s="7" t="n"/>
      <c r="E805" s="7" t="n"/>
      <c r="F805" s="7" t="n"/>
      <c r="G805" s="118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5" customHeight="1" s="214">
      <c r="A806" s="7" t="n"/>
      <c r="B806" s="7" t="n"/>
      <c r="C806" s="7" t="n"/>
      <c r="D806" s="7" t="n"/>
      <c r="E806" s="7" t="n"/>
      <c r="F806" s="7" t="n"/>
      <c r="G806" s="118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5" customHeight="1" s="214">
      <c r="A807" s="7" t="n"/>
      <c r="B807" s="7" t="n"/>
      <c r="C807" s="7" t="n"/>
      <c r="D807" s="7" t="n"/>
      <c r="E807" s="7" t="n"/>
      <c r="F807" s="7" t="n"/>
      <c r="G807" s="118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5" customHeight="1" s="214">
      <c r="A808" s="7" t="n"/>
      <c r="B808" s="7" t="n"/>
      <c r="C808" s="7" t="n"/>
      <c r="D808" s="7" t="n"/>
      <c r="E808" s="7" t="n"/>
      <c r="F808" s="7" t="n"/>
      <c r="G808" s="118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5" customHeight="1" s="214">
      <c r="A809" s="7" t="n"/>
      <c r="B809" s="7" t="n"/>
      <c r="C809" s="7" t="n"/>
      <c r="D809" s="7" t="n"/>
      <c r="E809" s="7" t="n"/>
      <c r="F809" s="7" t="n"/>
      <c r="G809" s="118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5" customHeight="1" s="214">
      <c r="A810" s="7" t="n"/>
      <c r="B810" s="7" t="n"/>
      <c r="C810" s="7" t="n"/>
      <c r="D810" s="7" t="n"/>
      <c r="E810" s="7" t="n"/>
      <c r="F810" s="7" t="n"/>
      <c r="G810" s="118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5" customHeight="1" s="214">
      <c r="A811" s="7" t="n"/>
      <c r="B811" s="7" t="n"/>
      <c r="C811" s="7" t="n"/>
      <c r="D811" s="7" t="n"/>
      <c r="E811" s="7" t="n"/>
      <c r="F811" s="7" t="n"/>
      <c r="G811" s="118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5" customHeight="1" s="214">
      <c r="A812" s="7" t="n"/>
      <c r="B812" s="7" t="n"/>
      <c r="C812" s="7" t="n"/>
      <c r="D812" s="7" t="n"/>
      <c r="E812" s="7" t="n"/>
      <c r="F812" s="7" t="n"/>
      <c r="G812" s="118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5" customHeight="1" s="214">
      <c r="A813" s="7" t="n"/>
      <c r="B813" s="7" t="n"/>
      <c r="C813" s="7" t="n"/>
      <c r="D813" s="7" t="n"/>
      <c r="E813" s="7" t="n"/>
      <c r="F813" s="7" t="n"/>
      <c r="G813" s="118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5" customHeight="1" s="214">
      <c r="A814" s="7" t="n"/>
      <c r="B814" s="7" t="n"/>
      <c r="C814" s="7" t="n"/>
      <c r="D814" s="7" t="n"/>
      <c r="E814" s="7" t="n"/>
      <c r="F814" s="7" t="n"/>
      <c r="G814" s="118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5" customHeight="1" s="214">
      <c r="A815" s="7" t="n"/>
      <c r="B815" s="7" t="n"/>
      <c r="C815" s="7" t="n"/>
      <c r="D815" s="7" t="n"/>
      <c r="E815" s="7" t="n"/>
      <c r="F815" s="7" t="n"/>
      <c r="G815" s="118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5" customHeight="1" s="214">
      <c r="A816" s="7" t="n"/>
      <c r="B816" s="7" t="n"/>
      <c r="C816" s="7" t="n"/>
      <c r="D816" s="7" t="n"/>
      <c r="E816" s="7" t="n"/>
      <c r="F816" s="7" t="n"/>
      <c r="G816" s="118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5" customHeight="1" s="214">
      <c r="A817" s="7" t="n"/>
      <c r="B817" s="7" t="n"/>
      <c r="C817" s="7" t="n"/>
      <c r="D817" s="7" t="n"/>
      <c r="E817" s="7" t="n"/>
      <c r="F817" s="7" t="n"/>
      <c r="G817" s="118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5" customHeight="1" s="214">
      <c r="A818" s="7" t="n"/>
      <c r="B818" s="7" t="n"/>
      <c r="C818" s="7" t="n"/>
      <c r="D818" s="7" t="n"/>
      <c r="E818" s="7" t="n"/>
      <c r="F818" s="7" t="n"/>
      <c r="G818" s="118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5" customHeight="1" s="214">
      <c r="A819" s="7" t="n"/>
      <c r="B819" s="7" t="n"/>
      <c r="C819" s="7" t="n"/>
      <c r="D819" s="7" t="n"/>
      <c r="E819" s="7" t="n"/>
      <c r="F819" s="7" t="n"/>
      <c r="G819" s="118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5" customHeight="1" s="214">
      <c r="A820" s="7" t="n"/>
      <c r="B820" s="7" t="n"/>
      <c r="C820" s="7" t="n"/>
      <c r="D820" s="7" t="n"/>
      <c r="E820" s="7" t="n"/>
      <c r="F820" s="7" t="n"/>
      <c r="G820" s="118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5" customHeight="1" s="214">
      <c r="A821" s="7" t="n"/>
      <c r="B821" s="7" t="n"/>
      <c r="C821" s="7" t="n"/>
      <c r="D821" s="7" t="n"/>
      <c r="E821" s="7" t="n"/>
      <c r="F821" s="7" t="n"/>
      <c r="G821" s="118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5" customHeight="1" s="214">
      <c r="A822" s="7" t="n"/>
      <c r="B822" s="7" t="n"/>
      <c r="C822" s="7" t="n"/>
      <c r="D822" s="7" t="n"/>
      <c r="E822" s="7" t="n"/>
      <c r="F822" s="7" t="n"/>
      <c r="G822" s="118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5" customHeight="1" s="214">
      <c r="A823" s="7" t="n"/>
      <c r="B823" s="7" t="n"/>
      <c r="C823" s="7" t="n"/>
      <c r="D823" s="7" t="n"/>
      <c r="E823" s="7" t="n"/>
      <c r="F823" s="7" t="n"/>
      <c r="G823" s="118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5" customHeight="1" s="214">
      <c r="A824" s="7" t="n"/>
      <c r="B824" s="7" t="n"/>
      <c r="C824" s="7" t="n"/>
      <c r="D824" s="7" t="n"/>
      <c r="E824" s="7" t="n"/>
      <c r="F824" s="7" t="n"/>
      <c r="G824" s="118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5" customHeight="1" s="214">
      <c r="A825" s="7" t="n"/>
      <c r="B825" s="7" t="n"/>
      <c r="C825" s="7" t="n"/>
      <c r="D825" s="7" t="n"/>
      <c r="E825" s="7" t="n"/>
      <c r="F825" s="7" t="n"/>
      <c r="G825" s="118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5" customHeight="1" s="214">
      <c r="A826" s="7" t="n"/>
      <c r="B826" s="7" t="n"/>
      <c r="C826" s="7" t="n"/>
      <c r="D826" s="7" t="n"/>
      <c r="E826" s="7" t="n"/>
      <c r="F826" s="7" t="n"/>
      <c r="G826" s="118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5" customHeight="1" s="214">
      <c r="A827" s="7" t="n"/>
      <c r="B827" s="7" t="n"/>
      <c r="C827" s="7" t="n"/>
      <c r="D827" s="7" t="n"/>
      <c r="E827" s="7" t="n"/>
      <c r="F827" s="7" t="n"/>
      <c r="G827" s="118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5" customHeight="1" s="214">
      <c r="A828" s="7" t="n"/>
      <c r="B828" s="7" t="n"/>
      <c r="C828" s="7" t="n"/>
      <c r="D828" s="7" t="n"/>
      <c r="E828" s="7" t="n"/>
      <c r="F828" s="7" t="n"/>
      <c r="G828" s="118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5" customHeight="1" s="214">
      <c r="A829" s="7" t="n"/>
      <c r="B829" s="7" t="n"/>
      <c r="C829" s="7" t="n"/>
      <c r="D829" s="7" t="n"/>
      <c r="E829" s="7" t="n"/>
      <c r="F829" s="7" t="n"/>
      <c r="G829" s="118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5" customHeight="1" s="214">
      <c r="A830" s="7" t="n"/>
      <c r="B830" s="7" t="n"/>
      <c r="C830" s="7" t="n"/>
      <c r="D830" s="7" t="n"/>
      <c r="E830" s="7" t="n"/>
      <c r="F830" s="7" t="n"/>
      <c r="G830" s="118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5" customHeight="1" s="214">
      <c r="A831" s="7" t="n"/>
      <c r="B831" s="7" t="n"/>
      <c r="C831" s="7" t="n"/>
      <c r="D831" s="7" t="n"/>
      <c r="E831" s="7" t="n"/>
      <c r="F831" s="7" t="n"/>
      <c r="G831" s="118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5" customHeight="1" s="214">
      <c r="A832" s="7" t="n"/>
      <c r="B832" s="7" t="n"/>
      <c r="C832" s="7" t="n"/>
      <c r="D832" s="7" t="n"/>
      <c r="E832" s="7" t="n"/>
      <c r="F832" s="7" t="n"/>
      <c r="G832" s="118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5" customHeight="1" s="214">
      <c r="A833" s="7" t="n"/>
      <c r="B833" s="7" t="n"/>
      <c r="C833" s="7" t="n"/>
      <c r="D833" s="7" t="n"/>
      <c r="E833" s="7" t="n"/>
      <c r="F833" s="7" t="n"/>
      <c r="G833" s="118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5" customHeight="1" s="214">
      <c r="A834" s="7" t="n"/>
      <c r="B834" s="7" t="n"/>
      <c r="C834" s="7" t="n"/>
      <c r="D834" s="7" t="n"/>
      <c r="E834" s="7" t="n"/>
      <c r="F834" s="7" t="n"/>
      <c r="G834" s="118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5" customHeight="1" s="214">
      <c r="A835" s="7" t="n"/>
      <c r="B835" s="7" t="n"/>
      <c r="C835" s="7" t="n"/>
      <c r="D835" s="7" t="n"/>
      <c r="E835" s="7" t="n"/>
      <c r="F835" s="7" t="n"/>
      <c r="G835" s="118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5" customHeight="1" s="214">
      <c r="A836" s="7" t="n"/>
      <c r="B836" s="7" t="n"/>
      <c r="C836" s="7" t="n"/>
      <c r="D836" s="7" t="n"/>
      <c r="E836" s="7" t="n"/>
      <c r="F836" s="7" t="n"/>
      <c r="G836" s="118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5" customHeight="1" s="214">
      <c r="A837" s="7" t="n"/>
      <c r="B837" s="7" t="n"/>
      <c r="C837" s="7" t="n"/>
      <c r="D837" s="7" t="n"/>
      <c r="E837" s="7" t="n"/>
      <c r="F837" s="7" t="n"/>
      <c r="G837" s="118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5" customHeight="1" s="214">
      <c r="A838" s="7" t="n"/>
      <c r="B838" s="7" t="n"/>
      <c r="C838" s="7" t="n"/>
      <c r="D838" s="7" t="n"/>
      <c r="E838" s="7" t="n"/>
      <c r="F838" s="7" t="n"/>
      <c r="G838" s="118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5" customHeight="1" s="214">
      <c r="A839" s="7" t="n"/>
      <c r="B839" s="7" t="n"/>
      <c r="C839" s="7" t="n"/>
      <c r="D839" s="7" t="n"/>
      <c r="E839" s="7" t="n"/>
      <c r="F839" s="7" t="n"/>
      <c r="G839" s="118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5" customHeight="1" s="214">
      <c r="A840" s="7" t="n"/>
      <c r="B840" s="7" t="n"/>
      <c r="C840" s="7" t="n"/>
      <c r="D840" s="7" t="n"/>
      <c r="E840" s="7" t="n"/>
      <c r="F840" s="7" t="n"/>
      <c r="G840" s="118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5" customHeight="1" s="214">
      <c r="A841" s="7" t="n"/>
      <c r="B841" s="7" t="n"/>
      <c r="C841" s="7" t="n"/>
      <c r="D841" s="7" t="n"/>
      <c r="E841" s="7" t="n"/>
      <c r="F841" s="7" t="n"/>
      <c r="G841" s="118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5" customHeight="1" s="214">
      <c r="A842" s="7" t="n"/>
      <c r="B842" s="7" t="n"/>
      <c r="C842" s="7" t="n"/>
      <c r="D842" s="7" t="n"/>
      <c r="E842" s="7" t="n"/>
      <c r="F842" s="7" t="n"/>
      <c r="G842" s="118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5" customHeight="1" s="214">
      <c r="A843" s="7" t="n"/>
      <c r="B843" s="7" t="n"/>
      <c r="C843" s="7" t="n"/>
      <c r="D843" s="7" t="n"/>
      <c r="E843" s="7" t="n"/>
      <c r="F843" s="7" t="n"/>
      <c r="G843" s="118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5" customHeight="1" s="214">
      <c r="A844" s="7" t="n"/>
      <c r="B844" s="7" t="n"/>
      <c r="C844" s="7" t="n"/>
      <c r="D844" s="7" t="n"/>
      <c r="E844" s="7" t="n"/>
      <c r="F844" s="7" t="n"/>
      <c r="G844" s="118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5" customHeight="1" s="214">
      <c r="A845" s="7" t="n"/>
      <c r="B845" s="7" t="n"/>
      <c r="C845" s="7" t="n"/>
      <c r="D845" s="7" t="n"/>
      <c r="E845" s="7" t="n"/>
      <c r="F845" s="7" t="n"/>
      <c r="G845" s="118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5" customHeight="1" s="214">
      <c r="A846" s="7" t="n"/>
      <c r="B846" s="7" t="n"/>
      <c r="C846" s="7" t="n"/>
      <c r="D846" s="7" t="n"/>
      <c r="E846" s="7" t="n"/>
      <c r="F846" s="7" t="n"/>
      <c r="G846" s="118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5" customHeight="1" s="214">
      <c r="A847" s="7" t="n"/>
      <c r="B847" s="7" t="n"/>
      <c r="C847" s="7" t="n"/>
      <c r="D847" s="7" t="n"/>
      <c r="E847" s="7" t="n"/>
      <c r="F847" s="7" t="n"/>
      <c r="G847" s="118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5" customHeight="1" s="214">
      <c r="A848" s="7" t="n"/>
      <c r="B848" s="7" t="n"/>
      <c r="C848" s="7" t="n"/>
      <c r="D848" s="7" t="n"/>
      <c r="E848" s="7" t="n"/>
      <c r="F848" s="7" t="n"/>
      <c r="G848" s="118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5" customHeight="1" s="214">
      <c r="A849" s="7" t="n"/>
      <c r="B849" s="7" t="n"/>
      <c r="C849" s="7" t="n"/>
      <c r="D849" s="7" t="n"/>
      <c r="E849" s="7" t="n"/>
      <c r="F849" s="7" t="n"/>
      <c r="G849" s="118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5" customHeight="1" s="214">
      <c r="A850" s="7" t="n"/>
      <c r="B850" s="7" t="n"/>
      <c r="C850" s="7" t="n"/>
      <c r="D850" s="7" t="n"/>
      <c r="E850" s="7" t="n"/>
      <c r="F850" s="7" t="n"/>
      <c r="G850" s="118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5" customHeight="1" s="214">
      <c r="A851" s="7" t="n"/>
      <c r="B851" s="7" t="n"/>
      <c r="C851" s="7" t="n"/>
      <c r="D851" s="7" t="n"/>
      <c r="E851" s="7" t="n"/>
      <c r="F851" s="7" t="n"/>
      <c r="G851" s="118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5" customHeight="1" s="214">
      <c r="A852" s="7" t="n"/>
      <c r="B852" s="7" t="n"/>
      <c r="C852" s="7" t="n"/>
      <c r="D852" s="7" t="n"/>
      <c r="E852" s="7" t="n"/>
      <c r="F852" s="7" t="n"/>
      <c r="G852" s="118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5" customHeight="1" s="214">
      <c r="A853" s="7" t="n"/>
      <c r="B853" s="7" t="n"/>
      <c r="C853" s="7" t="n"/>
      <c r="D853" s="7" t="n"/>
      <c r="E853" s="7" t="n"/>
      <c r="F853" s="7" t="n"/>
      <c r="G853" s="118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5" customHeight="1" s="214">
      <c r="A854" s="7" t="n"/>
      <c r="B854" s="7" t="n"/>
      <c r="C854" s="7" t="n"/>
      <c r="D854" s="7" t="n"/>
      <c r="E854" s="7" t="n"/>
      <c r="F854" s="7" t="n"/>
      <c r="G854" s="118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5" customHeight="1" s="214">
      <c r="A855" s="7" t="n"/>
      <c r="B855" s="7" t="n"/>
      <c r="C855" s="7" t="n"/>
      <c r="D855" s="7" t="n"/>
      <c r="E855" s="7" t="n"/>
      <c r="F855" s="7" t="n"/>
      <c r="G855" s="118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5" customHeight="1" s="214">
      <c r="A856" s="7" t="n"/>
      <c r="B856" s="7" t="n"/>
      <c r="C856" s="7" t="n"/>
      <c r="D856" s="7" t="n"/>
      <c r="E856" s="7" t="n"/>
      <c r="F856" s="7" t="n"/>
      <c r="G856" s="118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5" customHeight="1" s="214">
      <c r="A857" s="7" t="n"/>
      <c r="B857" s="7" t="n"/>
      <c r="C857" s="7" t="n"/>
      <c r="D857" s="7" t="n"/>
      <c r="E857" s="7" t="n"/>
      <c r="F857" s="7" t="n"/>
      <c r="G857" s="118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5" customHeight="1" s="214">
      <c r="A858" s="7" t="n"/>
      <c r="B858" s="7" t="n"/>
      <c r="C858" s="7" t="n"/>
      <c r="D858" s="7" t="n"/>
      <c r="E858" s="7" t="n"/>
      <c r="F858" s="7" t="n"/>
      <c r="G858" s="118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5" customHeight="1" s="214">
      <c r="A859" s="7" t="n"/>
      <c r="B859" s="7" t="n"/>
      <c r="C859" s="7" t="n"/>
      <c r="D859" s="7" t="n"/>
      <c r="E859" s="7" t="n"/>
      <c r="F859" s="7" t="n"/>
      <c r="G859" s="118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5" customHeight="1" s="214">
      <c r="A860" s="7" t="n"/>
      <c r="B860" s="7" t="n"/>
      <c r="C860" s="7" t="n"/>
      <c r="D860" s="7" t="n"/>
      <c r="E860" s="7" t="n"/>
      <c r="F860" s="7" t="n"/>
      <c r="G860" s="118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5" customHeight="1" s="214">
      <c r="A861" s="7" t="n"/>
      <c r="B861" s="7" t="n"/>
      <c r="C861" s="7" t="n"/>
      <c r="D861" s="7" t="n"/>
      <c r="E861" s="7" t="n"/>
      <c r="F861" s="7" t="n"/>
      <c r="G861" s="118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5" customHeight="1" s="214">
      <c r="A862" s="7" t="n"/>
      <c r="B862" s="7" t="n"/>
      <c r="C862" s="7" t="n"/>
      <c r="D862" s="7" t="n"/>
      <c r="E862" s="7" t="n"/>
      <c r="F862" s="7" t="n"/>
      <c r="G862" s="118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5" customHeight="1" s="214">
      <c r="A863" s="7" t="n"/>
      <c r="B863" s="7" t="n"/>
      <c r="C863" s="7" t="n"/>
      <c r="D863" s="7" t="n"/>
      <c r="E863" s="7" t="n"/>
      <c r="F863" s="7" t="n"/>
      <c r="G863" s="118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5" customHeight="1" s="214">
      <c r="A864" s="7" t="n"/>
      <c r="B864" s="7" t="n"/>
      <c r="C864" s="7" t="n"/>
      <c r="D864" s="7" t="n"/>
      <c r="E864" s="7" t="n"/>
      <c r="F864" s="7" t="n"/>
      <c r="G864" s="118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5" customHeight="1" s="214">
      <c r="A865" s="7" t="n"/>
      <c r="B865" s="7" t="n"/>
      <c r="C865" s="7" t="n"/>
      <c r="D865" s="7" t="n"/>
      <c r="E865" s="7" t="n"/>
      <c r="F865" s="7" t="n"/>
      <c r="G865" s="118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5" customHeight="1" s="214">
      <c r="A866" s="7" t="n"/>
      <c r="B866" s="7" t="n"/>
      <c r="C866" s="7" t="n"/>
      <c r="D866" s="7" t="n"/>
      <c r="E866" s="7" t="n"/>
      <c r="F866" s="7" t="n"/>
      <c r="G866" s="118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5" customHeight="1" s="214">
      <c r="A867" s="7" t="n"/>
      <c r="B867" s="7" t="n"/>
      <c r="C867" s="7" t="n"/>
      <c r="D867" s="7" t="n"/>
      <c r="E867" s="7" t="n"/>
      <c r="F867" s="7" t="n"/>
      <c r="G867" s="118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5" customHeight="1" s="214">
      <c r="A868" s="7" t="n"/>
      <c r="B868" s="7" t="n"/>
      <c r="C868" s="7" t="n"/>
      <c r="D868" s="7" t="n"/>
      <c r="E868" s="7" t="n"/>
      <c r="F868" s="7" t="n"/>
      <c r="G868" s="118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5" customHeight="1" s="214">
      <c r="A869" s="7" t="n"/>
      <c r="B869" s="7" t="n"/>
      <c r="C869" s="7" t="n"/>
      <c r="D869" s="7" t="n"/>
      <c r="E869" s="7" t="n"/>
      <c r="F869" s="7" t="n"/>
      <c r="G869" s="118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5" customHeight="1" s="214">
      <c r="A870" s="7" t="n"/>
      <c r="B870" s="7" t="n"/>
      <c r="C870" s="7" t="n"/>
      <c r="D870" s="7" t="n"/>
      <c r="E870" s="7" t="n"/>
      <c r="F870" s="7" t="n"/>
      <c r="G870" s="118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5" customHeight="1" s="214">
      <c r="A871" s="7" t="n"/>
      <c r="B871" s="7" t="n"/>
      <c r="C871" s="7" t="n"/>
      <c r="D871" s="7" t="n"/>
      <c r="E871" s="7" t="n"/>
      <c r="F871" s="7" t="n"/>
      <c r="G871" s="118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5" customHeight="1" s="214">
      <c r="A872" s="7" t="n"/>
      <c r="B872" s="7" t="n"/>
      <c r="C872" s="7" t="n"/>
      <c r="D872" s="7" t="n"/>
      <c r="E872" s="7" t="n"/>
      <c r="F872" s="7" t="n"/>
      <c r="G872" s="118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5" customHeight="1" s="214">
      <c r="A873" s="7" t="n"/>
      <c r="B873" s="7" t="n"/>
      <c r="C873" s="7" t="n"/>
      <c r="D873" s="7" t="n"/>
      <c r="E873" s="7" t="n"/>
      <c r="F873" s="7" t="n"/>
      <c r="G873" s="118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5" customHeight="1" s="214">
      <c r="A874" s="7" t="n"/>
      <c r="B874" s="7" t="n"/>
      <c r="C874" s="7" t="n"/>
      <c r="D874" s="7" t="n"/>
      <c r="E874" s="7" t="n"/>
      <c r="F874" s="7" t="n"/>
      <c r="G874" s="118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5" customHeight="1" s="214">
      <c r="A875" s="7" t="n"/>
      <c r="B875" s="7" t="n"/>
      <c r="C875" s="7" t="n"/>
      <c r="D875" s="7" t="n"/>
      <c r="E875" s="7" t="n"/>
      <c r="F875" s="7" t="n"/>
      <c r="G875" s="118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5" customHeight="1" s="214">
      <c r="A876" s="7" t="n"/>
      <c r="B876" s="7" t="n"/>
      <c r="C876" s="7" t="n"/>
      <c r="D876" s="7" t="n"/>
      <c r="E876" s="7" t="n"/>
      <c r="F876" s="7" t="n"/>
      <c r="G876" s="118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5" customHeight="1" s="214">
      <c r="A877" s="7" t="n"/>
      <c r="B877" s="7" t="n"/>
      <c r="C877" s="7" t="n"/>
      <c r="D877" s="7" t="n"/>
      <c r="E877" s="7" t="n"/>
      <c r="F877" s="7" t="n"/>
      <c r="G877" s="118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5" customHeight="1" s="214">
      <c r="A878" s="7" t="n"/>
      <c r="B878" s="7" t="n"/>
      <c r="C878" s="7" t="n"/>
      <c r="D878" s="7" t="n"/>
      <c r="E878" s="7" t="n"/>
      <c r="F878" s="7" t="n"/>
      <c r="G878" s="118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5" customHeight="1" s="214">
      <c r="A879" s="7" t="n"/>
      <c r="B879" s="7" t="n"/>
      <c r="C879" s="7" t="n"/>
      <c r="D879" s="7" t="n"/>
      <c r="E879" s="7" t="n"/>
      <c r="F879" s="7" t="n"/>
      <c r="G879" s="118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5" customHeight="1" s="214">
      <c r="A880" s="7" t="n"/>
      <c r="B880" s="7" t="n"/>
      <c r="C880" s="7" t="n"/>
      <c r="D880" s="7" t="n"/>
      <c r="E880" s="7" t="n"/>
      <c r="F880" s="7" t="n"/>
      <c r="G880" s="118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5" customHeight="1" s="214">
      <c r="A881" s="7" t="n"/>
      <c r="B881" s="7" t="n"/>
      <c r="C881" s="7" t="n"/>
      <c r="D881" s="7" t="n"/>
      <c r="E881" s="7" t="n"/>
      <c r="F881" s="7" t="n"/>
      <c r="G881" s="118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5" customHeight="1" s="214">
      <c r="A882" s="7" t="n"/>
      <c r="B882" s="7" t="n"/>
      <c r="C882" s="7" t="n"/>
      <c r="D882" s="7" t="n"/>
      <c r="E882" s="7" t="n"/>
      <c r="F882" s="7" t="n"/>
      <c r="G882" s="118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5" customHeight="1" s="214">
      <c r="A883" s="7" t="n"/>
      <c r="B883" s="7" t="n"/>
      <c r="C883" s="7" t="n"/>
      <c r="D883" s="7" t="n"/>
      <c r="E883" s="7" t="n"/>
      <c r="F883" s="7" t="n"/>
      <c r="G883" s="118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5" customHeight="1" s="214">
      <c r="A884" s="7" t="n"/>
      <c r="B884" s="7" t="n"/>
      <c r="C884" s="7" t="n"/>
      <c r="D884" s="7" t="n"/>
      <c r="E884" s="7" t="n"/>
      <c r="F884" s="7" t="n"/>
      <c r="G884" s="118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5" customHeight="1" s="214">
      <c r="A885" s="7" t="n"/>
      <c r="B885" s="7" t="n"/>
      <c r="C885" s="7" t="n"/>
      <c r="D885" s="7" t="n"/>
      <c r="E885" s="7" t="n"/>
      <c r="F885" s="7" t="n"/>
      <c r="G885" s="118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5" customHeight="1" s="214">
      <c r="A886" s="7" t="n"/>
      <c r="B886" s="7" t="n"/>
      <c r="C886" s="7" t="n"/>
      <c r="D886" s="7" t="n"/>
      <c r="E886" s="7" t="n"/>
      <c r="F886" s="7" t="n"/>
      <c r="G886" s="118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5" customHeight="1" s="214">
      <c r="A887" s="7" t="n"/>
      <c r="B887" s="7" t="n"/>
      <c r="C887" s="7" t="n"/>
      <c r="D887" s="7" t="n"/>
      <c r="E887" s="7" t="n"/>
      <c r="F887" s="7" t="n"/>
      <c r="G887" s="118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5" customHeight="1" s="214">
      <c r="A888" s="7" t="n"/>
      <c r="B888" s="7" t="n"/>
      <c r="C888" s="7" t="n"/>
      <c r="D888" s="7" t="n"/>
      <c r="E888" s="7" t="n"/>
      <c r="F888" s="7" t="n"/>
      <c r="G888" s="118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5" customHeight="1" s="214">
      <c r="A889" s="7" t="n"/>
      <c r="B889" s="7" t="n"/>
      <c r="C889" s="7" t="n"/>
      <c r="D889" s="7" t="n"/>
      <c r="E889" s="7" t="n"/>
      <c r="F889" s="7" t="n"/>
      <c r="G889" s="118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5" customHeight="1" s="214">
      <c r="A890" s="7" t="n"/>
      <c r="B890" s="7" t="n"/>
      <c r="C890" s="7" t="n"/>
      <c r="D890" s="7" t="n"/>
      <c r="E890" s="7" t="n"/>
      <c r="F890" s="7" t="n"/>
      <c r="G890" s="118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5" customHeight="1" s="214">
      <c r="A891" s="7" t="n"/>
      <c r="B891" s="7" t="n"/>
      <c r="C891" s="7" t="n"/>
      <c r="D891" s="7" t="n"/>
      <c r="E891" s="7" t="n"/>
      <c r="F891" s="7" t="n"/>
      <c r="G891" s="118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5" customHeight="1" s="214">
      <c r="A892" s="7" t="n"/>
      <c r="B892" s="7" t="n"/>
      <c r="C892" s="7" t="n"/>
      <c r="D892" s="7" t="n"/>
      <c r="E892" s="7" t="n"/>
      <c r="F892" s="7" t="n"/>
      <c r="G892" s="118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5" customHeight="1" s="214">
      <c r="A893" s="7" t="n"/>
      <c r="B893" s="7" t="n"/>
      <c r="C893" s="7" t="n"/>
      <c r="D893" s="7" t="n"/>
      <c r="E893" s="7" t="n"/>
      <c r="F893" s="7" t="n"/>
      <c r="G893" s="118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5" customHeight="1" s="214">
      <c r="A894" s="7" t="n"/>
      <c r="B894" s="7" t="n"/>
      <c r="C894" s="7" t="n"/>
      <c r="D894" s="7" t="n"/>
      <c r="E894" s="7" t="n"/>
      <c r="F894" s="7" t="n"/>
      <c r="G894" s="118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5" customHeight="1" s="214">
      <c r="A895" s="7" t="n"/>
      <c r="B895" s="7" t="n"/>
      <c r="C895" s="7" t="n"/>
      <c r="D895" s="7" t="n"/>
      <c r="E895" s="7" t="n"/>
      <c r="F895" s="7" t="n"/>
      <c r="G895" s="118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5" customHeight="1" s="214">
      <c r="A896" s="7" t="n"/>
      <c r="B896" s="7" t="n"/>
      <c r="C896" s="7" t="n"/>
      <c r="D896" s="7" t="n"/>
      <c r="E896" s="7" t="n"/>
      <c r="F896" s="7" t="n"/>
      <c r="G896" s="118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5" customHeight="1" s="214">
      <c r="A897" s="7" t="n"/>
      <c r="B897" s="7" t="n"/>
      <c r="C897" s="7" t="n"/>
      <c r="D897" s="7" t="n"/>
      <c r="E897" s="7" t="n"/>
      <c r="F897" s="7" t="n"/>
      <c r="G897" s="118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5" customHeight="1" s="214">
      <c r="A898" s="7" t="n"/>
      <c r="B898" s="7" t="n"/>
      <c r="C898" s="7" t="n"/>
      <c r="D898" s="7" t="n"/>
      <c r="E898" s="7" t="n"/>
      <c r="F898" s="7" t="n"/>
      <c r="G898" s="118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5" customHeight="1" s="214">
      <c r="A899" s="7" t="n"/>
      <c r="B899" s="7" t="n"/>
      <c r="C899" s="7" t="n"/>
      <c r="D899" s="7" t="n"/>
      <c r="E899" s="7" t="n"/>
      <c r="F899" s="7" t="n"/>
      <c r="G899" s="118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5" customHeight="1" s="214">
      <c r="A900" s="7" t="n"/>
      <c r="B900" s="7" t="n"/>
      <c r="C900" s="7" t="n"/>
      <c r="D900" s="7" t="n"/>
      <c r="E900" s="7" t="n"/>
      <c r="F900" s="7" t="n"/>
      <c r="G900" s="118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5" customHeight="1" s="214">
      <c r="A901" s="7" t="n"/>
      <c r="B901" s="7" t="n"/>
      <c r="C901" s="7" t="n"/>
      <c r="D901" s="7" t="n"/>
      <c r="E901" s="7" t="n"/>
      <c r="F901" s="7" t="n"/>
      <c r="G901" s="118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5" customHeight="1" s="214">
      <c r="A902" s="7" t="n"/>
      <c r="B902" s="7" t="n"/>
      <c r="C902" s="7" t="n"/>
      <c r="D902" s="7" t="n"/>
      <c r="E902" s="7" t="n"/>
      <c r="F902" s="7" t="n"/>
      <c r="G902" s="118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5" customHeight="1" s="214">
      <c r="A903" s="7" t="n"/>
      <c r="B903" s="7" t="n"/>
      <c r="C903" s="7" t="n"/>
      <c r="D903" s="7" t="n"/>
      <c r="E903" s="7" t="n"/>
      <c r="F903" s="7" t="n"/>
      <c r="G903" s="118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5" customHeight="1" s="214">
      <c r="A904" s="7" t="n"/>
      <c r="B904" s="7" t="n"/>
      <c r="C904" s="7" t="n"/>
      <c r="D904" s="7" t="n"/>
      <c r="E904" s="7" t="n"/>
      <c r="F904" s="7" t="n"/>
      <c r="G904" s="118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5" customHeight="1" s="214">
      <c r="A905" s="7" t="n"/>
      <c r="B905" s="7" t="n"/>
      <c r="C905" s="7" t="n"/>
      <c r="D905" s="7" t="n"/>
      <c r="E905" s="7" t="n"/>
      <c r="F905" s="7" t="n"/>
      <c r="G905" s="118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5" customHeight="1" s="214">
      <c r="A906" s="7" t="n"/>
      <c r="B906" s="7" t="n"/>
      <c r="C906" s="7" t="n"/>
      <c r="D906" s="7" t="n"/>
      <c r="E906" s="7" t="n"/>
      <c r="F906" s="7" t="n"/>
      <c r="G906" s="118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5" customHeight="1" s="214">
      <c r="A907" s="7" t="n"/>
      <c r="B907" s="7" t="n"/>
      <c r="C907" s="7" t="n"/>
      <c r="D907" s="7" t="n"/>
      <c r="E907" s="7" t="n"/>
      <c r="F907" s="7" t="n"/>
      <c r="G907" s="118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5" customHeight="1" s="214">
      <c r="A908" s="7" t="n"/>
      <c r="B908" s="7" t="n"/>
      <c r="C908" s="7" t="n"/>
      <c r="D908" s="7" t="n"/>
      <c r="E908" s="7" t="n"/>
      <c r="F908" s="7" t="n"/>
      <c r="G908" s="118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5" customHeight="1" s="214">
      <c r="A909" s="7" t="n"/>
      <c r="B909" s="7" t="n"/>
      <c r="C909" s="7" t="n"/>
      <c r="D909" s="7" t="n"/>
      <c r="E909" s="7" t="n"/>
      <c r="F909" s="7" t="n"/>
      <c r="G909" s="118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5" customHeight="1" s="214">
      <c r="A910" s="7" t="n"/>
      <c r="B910" s="7" t="n"/>
      <c r="C910" s="7" t="n"/>
      <c r="D910" s="7" t="n"/>
      <c r="E910" s="7" t="n"/>
      <c r="F910" s="7" t="n"/>
      <c r="G910" s="118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5" customHeight="1" s="214">
      <c r="A911" s="7" t="n"/>
      <c r="B911" s="7" t="n"/>
      <c r="C911" s="7" t="n"/>
      <c r="D911" s="7" t="n"/>
      <c r="E911" s="7" t="n"/>
      <c r="F911" s="7" t="n"/>
      <c r="G911" s="118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5" customHeight="1" s="214">
      <c r="A912" s="7" t="n"/>
      <c r="B912" s="7" t="n"/>
      <c r="C912" s="7" t="n"/>
      <c r="D912" s="7" t="n"/>
      <c r="E912" s="7" t="n"/>
      <c r="F912" s="7" t="n"/>
      <c r="G912" s="118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5" customHeight="1" s="214">
      <c r="A913" s="7" t="n"/>
      <c r="B913" s="7" t="n"/>
      <c r="C913" s="7" t="n"/>
      <c r="D913" s="7" t="n"/>
      <c r="E913" s="7" t="n"/>
      <c r="F913" s="7" t="n"/>
      <c r="G913" s="118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5" customHeight="1" s="214">
      <c r="A914" s="7" t="n"/>
      <c r="B914" s="7" t="n"/>
      <c r="C914" s="7" t="n"/>
      <c r="D914" s="7" t="n"/>
      <c r="E914" s="7" t="n"/>
      <c r="F914" s="7" t="n"/>
      <c r="G914" s="118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5" customHeight="1" s="214">
      <c r="A915" s="7" t="n"/>
      <c r="B915" s="7" t="n"/>
      <c r="C915" s="7" t="n"/>
      <c r="D915" s="7" t="n"/>
      <c r="E915" s="7" t="n"/>
      <c r="F915" s="7" t="n"/>
      <c r="G915" s="118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5" customHeight="1" s="214">
      <c r="A916" s="7" t="n"/>
      <c r="B916" s="7" t="n"/>
      <c r="C916" s="7" t="n"/>
      <c r="D916" s="7" t="n"/>
      <c r="E916" s="7" t="n"/>
      <c r="F916" s="7" t="n"/>
      <c r="G916" s="118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5" customHeight="1" s="214">
      <c r="A917" s="7" t="n"/>
      <c r="B917" s="7" t="n"/>
      <c r="C917" s="7" t="n"/>
      <c r="D917" s="7" t="n"/>
      <c r="E917" s="7" t="n"/>
      <c r="F917" s="7" t="n"/>
      <c r="G917" s="118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5" customHeight="1" s="214">
      <c r="A918" s="7" t="n"/>
      <c r="B918" s="7" t="n"/>
      <c r="C918" s="7" t="n"/>
      <c r="D918" s="7" t="n"/>
      <c r="E918" s="7" t="n"/>
      <c r="F918" s="7" t="n"/>
      <c r="G918" s="118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5" customHeight="1" s="214">
      <c r="A919" s="7" t="n"/>
      <c r="B919" s="7" t="n"/>
      <c r="C919" s="7" t="n"/>
      <c r="D919" s="7" t="n"/>
      <c r="E919" s="7" t="n"/>
      <c r="F919" s="7" t="n"/>
      <c r="G919" s="118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5" customHeight="1" s="214">
      <c r="A920" s="7" t="n"/>
      <c r="B920" s="7" t="n"/>
      <c r="C920" s="7" t="n"/>
      <c r="D920" s="7" t="n"/>
      <c r="E920" s="7" t="n"/>
      <c r="F920" s="7" t="n"/>
      <c r="G920" s="118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5" customHeight="1" s="214">
      <c r="A921" s="7" t="n"/>
      <c r="B921" s="7" t="n"/>
      <c r="C921" s="7" t="n"/>
      <c r="D921" s="7" t="n"/>
      <c r="E921" s="7" t="n"/>
      <c r="F921" s="7" t="n"/>
      <c r="G921" s="118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5" customHeight="1" s="214">
      <c r="A922" s="7" t="n"/>
      <c r="B922" s="7" t="n"/>
      <c r="C922" s="7" t="n"/>
      <c r="D922" s="7" t="n"/>
      <c r="E922" s="7" t="n"/>
      <c r="F922" s="7" t="n"/>
      <c r="G922" s="118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5" customHeight="1" s="214">
      <c r="A923" s="7" t="n"/>
      <c r="B923" s="7" t="n"/>
      <c r="C923" s="7" t="n"/>
      <c r="D923" s="7" t="n"/>
      <c r="E923" s="7" t="n"/>
      <c r="F923" s="7" t="n"/>
      <c r="G923" s="118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5" customHeight="1" s="214">
      <c r="A924" s="7" t="n"/>
      <c r="B924" s="7" t="n"/>
      <c r="C924" s="7" t="n"/>
      <c r="D924" s="7" t="n"/>
      <c r="E924" s="7" t="n"/>
      <c r="F924" s="7" t="n"/>
      <c r="G924" s="118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5" customHeight="1" s="214">
      <c r="A925" s="7" t="n"/>
      <c r="B925" s="7" t="n"/>
      <c r="C925" s="7" t="n"/>
      <c r="D925" s="7" t="n"/>
      <c r="E925" s="7" t="n"/>
      <c r="F925" s="7" t="n"/>
      <c r="G925" s="118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5" customHeight="1" s="214">
      <c r="A926" s="7" t="n"/>
      <c r="B926" s="7" t="n"/>
      <c r="C926" s="7" t="n"/>
      <c r="D926" s="7" t="n"/>
      <c r="E926" s="7" t="n"/>
      <c r="F926" s="7" t="n"/>
      <c r="G926" s="118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5" customHeight="1" s="214">
      <c r="A927" s="7" t="n"/>
      <c r="B927" s="7" t="n"/>
      <c r="C927" s="7" t="n"/>
      <c r="D927" s="7" t="n"/>
      <c r="E927" s="7" t="n"/>
      <c r="F927" s="7" t="n"/>
      <c r="G927" s="118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5" customHeight="1" s="214">
      <c r="A928" s="7" t="n"/>
      <c r="B928" s="7" t="n"/>
      <c r="C928" s="7" t="n"/>
      <c r="D928" s="7" t="n"/>
      <c r="E928" s="7" t="n"/>
      <c r="F928" s="7" t="n"/>
      <c r="G928" s="118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5" customHeight="1" s="214">
      <c r="A929" s="7" t="n"/>
      <c r="B929" s="7" t="n"/>
      <c r="C929" s="7" t="n"/>
      <c r="D929" s="7" t="n"/>
      <c r="E929" s="7" t="n"/>
      <c r="F929" s="7" t="n"/>
      <c r="G929" s="118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5" customHeight="1" s="214">
      <c r="A930" s="7" t="n"/>
      <c r="B930" s="7" t="n"/>
      <c r="C930" s="7" t="n"/>
      <c r="D930" s="7" t="n"/>
      <c r="E930" s="7" t="n"/>
      <c r="F930" s="7" t="n"/>
      <c r="G930" s="118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5" customHeight="1" s="214">
      <c r="A931" s="7" t="n"/>
      <c r="B931" s="7" t="n"/>
      <c r="C931" s="7" t="n"/>
      <c r="D931" s="7" t="n"/>
      <c r="E931" s="7" t="n"/>
      <c r="F931" s="7" t="n"/>
      <c r="G931" s="118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5" customHeight="1" s="214">
      <c r="A932" s="7" t="n"/>
      <c r="B932" s="7" t="n"/>
      <c r="C932" s="7" t="n"/>
      <c r="D932" s="7" t="n"/>
      <c r="E932" s="7" t="n"/>
      <c r="F932" s="7" t="n"/>
      <c r="G932" s="118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5" customHeight="1" s="214">
      <c r="A933" s="7" t="n"/>
      <c r="B933" s="7" t="n"/>
      <c r="C933" s="7" t="n"/>
      <c r="D933" s="7" t="n"/>
      <c r="E933" s="7" t="n"/>
      <c r="F933" s="7" t="n"/>
      <c r="G933" s="118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5" customHeight="1" s="214">
      <c r="A934" s="7" t="n"/>
      <c r="B934" s="7" t="n"/>
      <c r="C934" s="7" t="n"/>
      <c r="D934" s="7" t="n"/>
      <c r="E934" s="7" t="n"/>
      <c r="F934" s="7" t="n"/>
      <c r="G934" s="118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5" customHeight="1" s="214">
      <c r="A935" s="7" t="n"/>
      <c r="B935" s="7" t="n"/>
      <c r="C935" s="7" t="n"/>
      <c r="D935" s="7" t="n"/>
      <c r="E935" s="7" t="n"/>
      <c r="F935" s="7" t="n"/>
      <c r="G935" s="118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5" customHeight="1" s="214">
      <c r="A936" s="7" t="n"/>
      <c r="B936" s="7" t="n"/>
      <c r="C936" s="7" t="n"/>
      <c r="D936" s="7" t="n"/>
      <c r="E936" s="7" t="n"/>
      <c r="F936" s="7" t="n"/>
      <c r="G936" s="118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5" customHeight="1" s="214">
      <c r="A937" s="7" t="n"/>
      <c r="B937" s="7" t="n"/>
      <c r="C937" s="7" t="n"/>
      <c r="D937" s="7" t="n"/>
      <c r="E937" s="7" t="n"/>
      <c r="F937" s="7" t="n"/>
      <c r="G937" s="118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5" customHeight="1" s="214">
      <c r="A938" s="7" t="n"/>
      <c r="B938" s="7" t="n"/>
      <c r="C938" s="7" t="n"/>
      <c r="D938" s="7" t="n"/>
      <c r="E938" s="7" t="n"/>
      <c r="F938" s="7" t="n"/>
      <c r="G938" s="118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5" customHeight="1" s="214">
      <c r="A939" s="7" t="n"/>
      <c r="B939" s="7" t="n"/>
      <c r="C939" s="7" t="n"/>
      <c r="D939" s="7" t="n"/>
      <c r="E939" s="7" t="n"/>
      <c r="F939" s="7" t="n"/>
      <c r="G939" s="118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5" customHeight="1" s="214">
      <c r="A940" s="7" t="n"/>
      <c r="B940" s="7" t="n"/>
      <c r="C940" s="7" t="n"/>
      <c r="D940" s="7" t="n"/>
      <c r="E940" s="7" t="n"/>
      <c r="F940" s="7" t="n"/>
      <c r="G940" s="118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5" customHeight="1" s="214">
      <c r="A941" s="7" t="n"/>
      <c r="B941" s="7" t="n"/>
      <c r="C941" s="7" t="n"/>
      <c r="D941" s="7" t="n"/>
      <c r="E941" s="7" t="n"/>
      <c r="F941" s="7" t="n"/>
      <c r="G941" s="118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5" customHeight="1" s="214">
      <c r="A942" s="7" t="n"/>
      <c r="B942" s="7" t="n"/>
      <c r="C942" s="7" t="n"/>
      <c r="D942" s="7" t="n"/>
      <c r="E942" s="7" t="n"/>
      <c r="F942" s="7" t="n"/>
      <c r="G942" s="118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5" customHeight="1" s="214">
      <c r="A943" s="7" t="n"/>
      <c r="B943" s="7" t="n"/>
      <c r="C943" s="7" t="n"/>
      <c r="D943" s="7" t="n"/>
      <c r="E943" s="7" t="n"/>
      <c r="F943" s="7" t="n"/>
      <c r="G943" s="118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5" customHeight="1" s="214">
      <c r="A944" s="7" t="n"/>
      <c r="B944" s="7" t="n"/>
      <c r="C944" s="7" t="n"/>
      <c r="D944" s="7" t="n"/>
      <c r="E944" s="7" t="n"/>
      <c r="F944" s="7" t="n"/>
      <c r="G944" s="118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5" customHeight="1" s="214">
      <c r="A945" s="7" t="n"/>
      <c r="B945" s="7" t="n"/>
      <c r="C945" s="7" t="n"/>
      <c r="D945" s="7" t="n"/>
      <c r="E945" s="7" t="n"/>
      <c r="F945" s="7" t="n"/>
      <c r="G945" s="118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5" customHeight="1" s="214">
      <c r="A946" s="7" t="n"/>
      <c r="B946" s="7" t="n"/>
      <c r="C946" s="7" t="n"/>
      <c r="D946" s="7" t="n"/>
      <c r="E946" s="7" t="n"/>
      <c r="F946" s="7" t="n"/>
      <c r="G946" s="118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5" customHeight="1" s="214">
      <c r="A947" s="7" t="n"/>
      <c r="B947" s="7" t="n"/>
      <c r="C947" s="7" t="n"/>
      <c r="D947" s="7" t="n"/>
      <c r="E947" s="7" t="n"/>
      <c r="F947" s="7" t="n"/>
      <c r="G947" s="118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5" customHeight="1" s="214">
      <c r="A948" s="7" t="n"/>
      <c r="B948" s="7" t="n"/>
      <c r="C948" s="7" t="n"/>
      <c r="D948" s="7" t="n"/>
      <c r="E948" s="7" t="n"/>
      <c r="F948" s="7" t="n"/>
      <c r="G948" s="118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5" customHeight="1" s="214">
      <c r="A949" s="7" t="n"/>
      <c r="B949" s="7" t="n"/>
      <c r="C949" s="7" t="n"/>
      <c r="D949" s="7" t="n"/>
      <c r="E949" s="7" t="n"/>
      <c r="F949" s="7" t="n"/>
      <c r="G949" s="118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5" customHeight="1" s="214">
      <c r="A950" s="7" t="n"/>
      <c r="B950" s="7" t="n"/>
      <c r="C950" s="7" t="n"/>
      <c r="D950" s="7" t="n"/>
      <c r="E950" s="7" t="n"/>
      <c r="F950" s="7" t="n"/>
      <c r="G950" s="118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5" customHeight="1" s="214">
      <c r="A951" s="7" t="n"/>
      <c r="B951" s="7" t="n"/>
      <c r="C951" s="7" t="n"/>
      <c r="D951" s="7" t="n"/>
      <c r="E951" s="7" t="n"/>
      <c r="F951" s="7" t="n"/>
      <c r="G951" s="118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5" customHeight="1" s="214">
      <c r="A952" s="7" t="n"/>
      <c r="B952" s="7" t="n"/>
      <c r="C952" s="7" t="n"/>
      <c r="D952" s="7" t="n"/>
      <c r="E952" s="7" t="n"/>
      <c r="F952" s="7" t="n"/>
      <c r="G952" s="118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5" customHeight="1" s="214">
      <c r="A953" s="7" t="n"/>
      <c r="B953" s="7" t="n"/>
      <c r="C953" s="7" t="n"/>
      <c r="D953" s="7" t="n"/>
      <c r="E953" s="7" t="n"/>
      <c r="F953" s="7" t="n"/>
      <c r="G953" s="118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5" customHeight="1" s="214">
      <c r="A954" s="7" t="n"/>
      <c r="B954" s="7" t="n"/>
      <c r="C954" s="7" t="n"/>
      <c r="D954" s="7" t="n"/>
      <c r="E954" s="7" t="n"/>
      <c r="F954" s="7" t="n"/>
      <c r="G954" s="118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5" customHeight="1" s="214">
      <c r="A955" s="7" t="n"/>
      <c r="B955" s="7" t="n"/>
      <c r="C955" s="7" t="n"/>
      <c r="D955" s="7" t="n"/>
      <c r="E955" s="7" t="n"/>
      <c r="F955" s="7" t="n"/>
      <c r="G955" s="118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5" customHeight="1" s="214">
      <c r="A956" s="7" t="n"/>
      <c r="B956" s="7" t="n"/>
      <c r="C956" s="7" t="n"/>
      <c r="D956" s="7" t="n"/>
      <c r="E956" s="7" t="n"/>
      <c r="F956" s="7" t="n"/>
      <c r="G956" s="118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5" customHeight="1" s="214">
      <c r="A957" s="7" t="n"/>
      <c r="B957" s="7" t="n"/>
      <c r="C957" s="7" t="n"/>
      <c r="D957" s="7" t="n"/>
      <c r="E957" s="7" t="n"/>
      <c r="F957" s="7" t="n"/>
      <c r="G957" s="118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5" customHeight="1" s="214">
      <c r="A958" s="7" t="n"/>
      <c r="B958" s="7" t="n"/>
      <c r="C958" s="7" t="n"/>
      <c r="D958" s="7" t="n"/>
      <c r="E958" s="7" t="n"/>
      <c r="F958" s="7" t="n"/>
      <c r="G958" s="118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5" customHeight="1" s="214">
      <c r="A959" s="7" t="n"/>
      <c r="B959" s="7" t="n"/>
      <c r="C959" s="7" t="n"/>
      <c r="D959" s="7" t="n"/>
      <c r="E959" s="7" t="n"/>
      <c r="F959" s="7" t="n"/>
      <c r="G959" s="118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5" customHeight="1" s="214">
      <c r="A960" s="7" t="n"/>
      <c r="B960" s="7" t="n"/>
      <c r="C960" s="7" t="n"/>
      <c r="D960" s="7" t="n"/>
      <c r="E960" s="7" t="n"/>
      <c r="F960" s="7" t="n"/>
      <c r="G960" s="118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5" customHeight="1" s="214">
      <c r="A961" s="7" t="n"/>
      <c r="B961" s="7" t="n"/>
      <c r="C961" s="7" t="n"/>
      <c r="D961" s="7" t="n"/>
      <c r="E961" s="7" t="n"/>
      <c r="F961" s="7" t="n"/>
      <c r="G961" s="118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5" customHeight="1" s="214">
      <c r="A962" s="7" t="n"/>
      <c r="B962" s="7" t="n"/>
      <c r="C962" s="7" t="n"/>
      <c r="D962" s="7" t="n"/>
      <c r="E962" s="7" t="n"/>
      <c r="F962" s="7" t="n"/>
      <c r="G962" s="118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5" customHeight="1" s="214">
      <c r="A963" s="7" t="n"/>
      <c r="B963" s="7" t="n"/>
      <c r="C963" s="7" t="n"/>
      <c r="D963" s="7" t="n"/>
      <c r="E963" s="7" t="n"/>
      <c r="F963" s="7" t="n"/>
      <c r="G963" s="118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5" customHeight="1" s="214">
      <c r="A964" s="7" t="n"/>
      <c r="B964" s="7" t="n"/>
      <c r="C964" s="7" t="n"/>
      <c r="D964" s="7" t="n"/>
      <c r="E964" s="7" t="n"/>
      <c r="F964" s="7" t="n"/>
      <c r="G964" s="118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5" customHeight="1" s="214">
      <c r="A965" s="7" t="n"/>
      <c r="B965" s="7" t="n"/>
      <c r="C965" s="7" t="n"/>
      <c r="D965" s="7" t="n"/>
      <c r="E965" s="7" t="n"/>
      <c r="F965" s="7" t="n"/>
      <c r="G965" s="118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5" customHeight="1" s="214">
      <c r="A966" s="7" t="n"/>
      <c r="B966" s="7" t="n"/>
      <c r="C966" s="7" t="n"/>
      <c r="D966" s="7" t="n"/>
      <c r="E966" s="7" t="n"/>
      <c r="F966" s="7" t="n"/>
      <c r="G966" s="118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5" customHeight="1" s="214">
      <c r="A967" s="7" t="n"/>
      <c r="B967" s="7" t="n"/>
      <c r="C967" s="7" t="n"/>
      <c r="D967" s="7" t="n"/>
      <c r="E967" s="7" t="n"/>
      <c r="F967" s="7" t="n"/>
      <c r="G967" s="118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5" customHeight="1" s="214">
      <c r="A968" s="7" t="n"/>
      <c r="B968" s="7" t="n"/>
      <c r="C968" s="7" t="n"/>
      <c r="D968" s="7" t="n"/>
      <c r="E968" s="7" t="n"/>
      <c r="F968" s="7" t="n"/>
      <c r="G968" s="118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5" customHeight="1" s="214">
      <c r="A969" s="7" t="n"/>
      <c r="B969" s="7" t="n"/>
      <c r="C969" s="7" t="n"/>
      <c r="D969" s="7" t="n"/>
      <c r="E969" s="7" t="n"/>
      <c r="F969" s="7" t="n"/>
      <c r="G969" s="118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5" customHeight="1" s="214">
      <c r="A970" s="7" t="n"/>
      <c r="B970" s="7" t="n"/>
      <c r="C970" s="7" t="n"/>
      <c r="D970" s="7" t="n"/>
      <c r="E970" s="7" t="n"/>
      <c r="F970" s="7" t="n"/>
      <c r="G970" s="118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5" customHeight="1" s="214">
      <c r="A971" s="7" t="n"/>
      <c r="B971" s="7" t="n"/>
      <c r="C971" s="7" t="n"/>
      <c r="D971" s="7" t="n"/>
      <c r="E971" s="7" t="n"/>
      <c r="F971" s="7" t="n"/>
      <c r="G971" s="118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5" customHeight="1" s="214">
      <c r="A972" s="7" t="n"/>
      <c r="B972" s="7" t="n"/>
      <c r="C972" s="7" t="n"/>
      <c r="D972" s="7" t="n"/>
      <c r="E972" s="7" t="n"/>
      <c r="F972" s="7" t="n"/>
      <c r="G972" s="118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5" customHeight="1" s="214">
      <c r="A973" s="7" t="n"/>
      <c r="B973" s="7" t="n"/>
      <c r="C973" s="7" t="n"/>
      <c r="D973" s="7" t="n"/>
      <c r="E973" s="7" t="n"/>
      <c r="F973" s="7" t="n"/>
      <c r="G973" s="118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5" customHeight="1" s="214">
      <c r="A974" s="7" t="n"/>
      <c r="B974" s="7" t="n"/>
      <c r="C974" s="7" t="n"/>
      <c r="D974" s="7" t="n"/>
      <c r="E974" s="7" t="n"/>
      <c r="F974" s="7" t="n"/>
      <c r="G974" s="118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5" customHeight="1" s="214">
      <c r="A975" s="7" t="n"/>
      <c r="B975" s="7" t="n"/>
      <c r="C975" s="7" t="n"/>
      <c r="D975" s="7" t="n"/>
      <c r="E975" s="7" t="n"/>
      <c r="F975" s="7" t="n"/>
      <c r="G975" s="118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5" customHeight="1" s="214">
      <c r="A976" s="7" t="n"/>
      <c r="B976" s="7" t="n"/>
      <c r="C976" s="7" t="n"/>
      <c r="D976" s="7" t="n"/>
      <c r="E976" s="7" t="n"/>
      <c r="F976" s="7" t="n"/>
      <c r="G976" s="118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5" customHeight="1" s="214">
      <c r="A977" s="7" t="n"/>
      <c r="B977" s="7" t="n"/>
      <c r="C977" s="7" t="n"/>
      <c r="D977" s="7" t="n"/>
      <c r="E977" s="7" t="n"/>
      <c r="F977" s="7" t="n"/>
      <c r="G977" s="118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5" customHeight="1" s="214">
      <c r="A978" s="7" t="n"/>
      <c r="B978" s="7" t="n"/>
      <c r="C978" s="7" t="n"/>
      <c r="D978" s="7" t="n"/>
      <c r="E978" s="7" t="n"/>
      <c r="F978" s="7" t="n"/>
      <c r="G978" s="118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5" customHeight="1" s="214">
      <c r="A979" s="7" t="n"/>
      <c r="B979" s="7" t="n"/>
      <c r="C979" s="7" t="n"/>
      <c r="D979" s="7" t="n"/>
      <c r="E979" s="7" t="n"/>
      <c r="F979" s="7" t="n"/>
      <c r="G979" s="118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5" customHeight="1" s="214">
      <c r="A980" s="7" t="n"/>
      <c r="B980" s="7" t="n"/>
      <c r="C980" s="7" t="n"/>
      <c r="D980" s="7" t="n"/>
      <c r="E980" s="7" t="n"/>
      <c r="F980" s="7" t="n"/>
      <c r="G980" s="118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5" customHeight="1" s="214">
      <c r="A981" s="7" t="n"/>
      <c r="B981" s="7" t="n"/>
      <c r="C981" s="7" t="n"/>
      <c r="D981" s="7" t="n"/>
      <c r="E981" s="7" t="n"/>
      <c r="F981" s="7" t="n"/>
      <c r="G981" s="118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5" customHeight="1" s="214">
      <c r="A982" s="7" t="n"/>
      <c r="B982" s="7" t="n"/>
      <c r="C982" s="7" t="n"/>
      <c r="D982" s="7" t="n"/>
      <c r="E982" s="7" t="n"/>
      <c r="F982" s="7" t="n"/>
      <c r="G982" s="118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5" customHeight="1" s="214">
      <c r="A983" s="7" t="n"/>
      <c r="B983" s="7" t="n"/>
      <c r="C983" s="7" t="n"/>
      <c r="D983" s="7" t="n"/>
      <c r="E983" s="7" t="n"/>
      <c r="F983" s="7" t="n"/>
      <c r="G983" s="118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5" customHeight="1" s="214">
      <c r="A984" s="7" t="n"/>
      <c r="B984" s="7" t="n"/>
      <c r="C984" s="7" t="n"/>
      <c r="D984" s="7" t="n"/>
      <c r="E984" s="7" t="n"/>
      <c r="F984" s="7" t="n"/>
      <c r="G984" s="118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5" customHeight="1" s="214">
      <c r="A985" s="7" t="n"/>
      <c r="B985" s="7" t="n"/>
      <c r="C985" s="7" t="n"/>
      <c r="D985" s="7" t="n"/>
      <c r="E985" s="7" t="n"/>
      <c r="F985" s="7" t="n"/>
      <c r="G985" s="118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5" customHeight="1" s="214">
      <c r="A986" s="7" t="n"/>
      <c r="B986" s="7" t="n"/>
      <c r="C986" s="7" t="n"/>
      <c r="D986" s="7" t="n"/>
      <c r="E986" s="7" t="n"/>
      <c r="F986" s="7" t="n"/>
      <c r="G986" s="118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5" customHeight="1" s="214">
      <c r="A987" s="7" t="n"/>
      <c r="B987" s="7" t="n"/>
      <c r="C987" s="7" t="n"/>
      <c r="D987" s="7" t="n"/>
      <c r="E987" s="7" t="n"/>
      <c r="F987" s="7" t="n"/>
      <c r="G987" s="118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5" customHeight="1" s="214">
      <c r="A988" s="7" t="n"/>
      <c r="B988" s="7" t="n"/>
      <c r="C988" s="7" t="n"/>
      <c r="D988" s="7" t="n"/>
      <c r="E988" s="7" t="n"/>
      <c r="F988" s="7" t="n"/>
      <c r="G988" s="118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5" customHeight="1" s="214">
      <c r="A989" s="7" t="n"/>
      <c r="B989" s="7" t="n"/>
      <c r="C989" s="7" t="n"/>
      <c r="D989" s="7" t="n"/>
      <c r="E989" s="7" t="n"/>
      <c r="F989" s="7" t="n"/>
      <c r="G989" s="118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5" customHeight="1" s="214">
      <c r="A990" s="7" t="n"/>
      <c r="B990" s="7" t="n"/>
      <c r="C990" s="7" t="n"/>
      <c r="D990" s="7" t="n"/>
      <c r="E990" s="7" t="n"/>
      <c r="F990" s="7" t="n"/>
      <c r="G990" s="118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5" customHeight="1" s="214">
      <c r="A991" s="7" t="n"/>
      <c r="B991" s="7" t="n"/>
      <c r="C991" s="7" t="n"/>
      <c r="D991" s="7" t="n"/>
      <c r="E991" s="7" t="n"/>
      <c r="F991" s="7" t="n"/>
      <c r="G991" s="118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5" customHeight="1" s="214">
      <c r="A992" s="7" t="n"/>
      <c r="B992" s="7" t="n"/>
      <c r="C992" s="7" t="n"/>
      <c r="D992" s="7" t="n"/>
      <c r="E992" s="7" t="n"/>
      <c r="F992" s="7" t="n"/>
      <c r="G992" s="118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 ht="14.5" customHeight="1" s="214">
      <c r="A993" s="7" t="n"/>
      <c r="B993" s="7" t="n"/>
      <c r="C993" s="7" t="n"/>
      <c r="D993" s="7" t="n"/>
      <c r="E993" s="7" t="n"/>
      <c r="F993" s="7" t="n"/>
      <c r="G993" s="118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  <row r="994" ht="14.5" customHeight="1" s="214">
      <c r="A994" s="7" t="n"/>
      <c r="B994" s="7" t="n"/>
      <c r="C994" s="7" t="n"/>
      <c r="D994" s="7" t="n"/>
      <c r="E994" s="7" t="n"/>
      <c r="F994" s="7" t="n"/>
      <c r="G994" s="118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</row>
    <row r="995" ht="14.5" customHeight="1" s="214">
      <c r="A995" s="7" t="n"/>
      <c r="B995" s="7" t="n"/>
      <c r="C995" s="7" t="n"/>
      <c r="D995" s="7" t="n"/>
      <c r="E995" s="7" t="n"/>
      <c r="F995" s="7" t="n"/>
      <c r="G995" s="118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</row>
    <row r="996" ht="14.5" customHeight="1" s="214">
      <c r="A996" s="7" t="n"/>
      <c r="B996" s="7" t="n"/>
      <c r="C996" s="7" t="n"/>
      <c r="D996" s="7" t="n"/>
      <c r="E996" s="7" t="n"/>
      <c r="F996" s="7" t="n"/>
      <c r="G996" s="118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</row>
    <row r="997" ht="14.5" customHeight="1" s="214">
      <c r="A997" s="7" t="n"/>
      <c r="B997" s="7" t="n"/>
      <c r="C997" s="7" t="n"/>
      <c r="D997" s="7" t="n"/>
      <c r="E997" s="7" t="n"/>
      <c r="F997" s="7" t="n"/>
      <c r="G997" s="118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</row>
    <row r="998" ht="14.5" customHeight="1" s="214">
      <c r="A998" s="7" t="n"/>
      <c r="B998" s="7" t="n"/>
      <c r="C998" s="7" t="n"/>
      <c r="D998" s="7" t="n"/>
      <c r="E998" s="7" t="n"/>
      <c r="F998" s="7" t="n"/>
      <c r="G998" s="118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</row>
    <row r="999" ht="14.5" customHeight="1" s="214">
      <c r="A999" s="7" t="n"/>
      <c r="B999" s="7" t="n"/>
      <c r="C999" s="7" t="n"/>
      <c r="D999" s="7" t="n"/>
      <c r="E999" s="7" t="n"/>
      <c r="F999" s="7" t="n"/>
      <c r="G999" s="118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</row>
    <row r="1000" ht="14.5" customHeight="1" s="214">
      <c r="A1000" s="7" t="n"/>
      <c r="B1000" s="7" t="n"/>
      <c r="C1000" s="7" t="n"/>
      <c r="D1000" s="7" t="n"/>
      <c r="E1000" s="7" t="n"/>
      <c r="F1000" s="7" t="n"/>
      <c r="G1000" s="118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G6" sqref="G6"/>
    </sheetView>
  </sheetViews>
  <sheetFormatPr baseColWidth="10" defaultColWidth="14.453125" defaultRowHeight="15" customHeight="1"/>
  <cols>
    <col width="22.54296875" customWidth="1" style="214" min="1" max="1"/>
    <col width="19.453125" customWidth="1" style="214" min="2" max="2"/>
    <col width="53" customWidth="1" style="214" min="7" max="7"/>
  </cols>
  <sheetData>
    <row r="1" ht="58.5" customHeight="1" s="214">
      <c r="A1" s="127" t="inlineStr">
        <is>
          <t>Wähle aktives Szenario aus --&gt;</t>
        </is>
      </c>
      <c r="B1" s="243" t="inlineStr">
        <is>
          <t>gering</t>
        </is>
      </c>
      <c r="C1" s="127" t="inlineStr">
        <is>
          <t>Einheit</t>
        </is>
      </c>
      <c r="D1" s="128" t="inlineStr">
        <is>
          <t>Gering (Auto-Fokus)</t>
        </is>
      </c>
      <c r="E1" s="127" t="inlineStr">
        <is>
          <t>Normal (Hybrid)</t>
        </is>
      </c>
      <c r="F1" s="129" t="inlineStr">
        <is>
          <t>Stark (Pack-Fokus)</t>
        </is>
      </c>
      <c r="G1" s="127" t="inlineStr">
        <is>
          <t>Argumentation / Quelle</t>
        </is>
      </c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5" customHeight="1" s="214">
      <c r="A2" s="130" t="inlineStr">
        <is>
          <t>Kategorie</t>
        </is>
      </c>
      <c r="B2" s="131" t="inlineStr">
        <is>
          <t>Variable</t>
        </is>
      </c>
      <c r="C2" s="131" t="inlineStr">
        <is>
          <t>Einheit</t>
        </is>
      </c>
      <c r="D2" s="131" t="inlineStr">
        <is>
          <t>Gering</t>
        </is>
      </c>
      <c r="E2" s="131" t="inlineStr">
        <is>
          <t>Normal</t>
        </is>
      </c>
      <c r="F2" s="131" t="inlineStr">
        <is>
          <t>Stark</t>
        </is>
      </c>
      <c r="G2" s="132" t="inlineStr">
        <is>
          <t>Quelle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9" customHeight="1" s="214">
      <c r="A3" s="133" t="inlineStr">
        <is>
          <t>Markt-Mix</t>
        </is>
      </c>
      <c r="B3" s="134" t="inlineStr">
        <is>
          <t>Anteil Packaging</t>
        </is>
      </c>
      <c r="C3" s="134" t="inlineStr">
        <is>
          <t>%</t>
        </is>
      </c>
      <c r="D3" s="135" t="n">
        <v>0.1</v>
      </c>
      <c r="E3" s="135" t="n">
        <v>0.6</v>
      </c>
      <c r="F3" s="135" t="n">
        <v>0.8</v>
      </c>
      <c r="G3" s="136" t="inlineStr">
        <is>
          <t>Lothar: Packaging hat schnellere Zyklen.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9" customHeight="1" s="214">
      <c r="A4" s="133" t="inlineStr">
        <is>
          <t>Vertrieb</t>
        </is>
      </c>
      <c r="B4" s="134" t="inlineStr">
        <is>
          <t>Startmonat Kunden</t>
        </is>
      </c>
      <c r="C4" s="134" t="inlineStr">
        <is>
          <t>Monate</t>
        </is>
      </c>
      <c r="D4" s="252" t="n">
        <v>17</v>
      </c>
      <c r="E4" s="252" t="n">
        <v>8</v>
      </c>
      <c r="F4" s="252" t="n">
        <v>4</v>
      </c>
      <c r="G4" s="136" t="inlineStr">
        <is>
          <t>Lothar: IT-Hürden bei Automotive Tier-1.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9" customHeight="1" s="214">
      <c r="A5" s="133" t="inlineStr">
        <is>
          <t>Revenue 1</t>
        </is>
      </c>
      <c r="B5" s="134" t="inlineStr">
        <is>
          <t>Startpreis Seat/Monat</t>
        </is>
      </c>
      <c r="C5" s="134" t="inlineStr">
        <is>
          <t>€/Monat</t>
        </is>
      </c>
      <c r="D5" s="252" t="n">
        <v>200</v>
      </c>
      <c r="E5" s="252" t="n">
        <v>350</v>
      </c>
      <c r="F5" s="252" t="n">
        <v>450</v>
      </c>
      <c r="G5" s="136" t="inlineStr">
        <is>
          <t>Value-based Pricing in Packaging (White Paper).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87" customHeight="1" s="214">
      <c r="A6" s="133" t="inlineStr">
        <is>
          <t>Revenue 2</t>
        </is>
      </c>
      <c r="B6" s="134" t="inlineStr">
        <is>
          <t>Implementation-Support-Tagessatz</t>
        </is>
      </c>
      <c r="C6" s="134" t="inlineStr">
        <is>
          <t>€/Tag</t>
        </is>
      </c>
      <c r="D6" s="253" t="n">
        <v>1000</v>
      </c>
      <c r="E6" s="253" t="n">
        <v>1200</v>
      </c>
      <c r="F6" s="253" t="n">
        <v>1500</v>
      </c>
      <c r="G6" s="136" t="inlineStr">
        <is>
          <t>Implementation-Support-Tagessatz: gering=1.000 €/Tag | normal=1.200 €/Tag | stark=1.500 €/Tag. Basiert auf Expertenstatus (Haag/Candemir) und Marktniveau B2B Industrie.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9" customHeight="1" s="214">
      <c r="A7" s="133" t="inlineStr">
        <is>
          <t>Effizienz</t>
        </is>
      </c>
      <c r="B7" s="134" t="inlineStr">
        <is>
          <t>Iterations-Reduktion</t>
        </is>
      </c>
      <c r="C7" s="134" t="inlineStr">
        <is>
          <t>Faktor</t>
        </is>
      </c>
      <c r="D7" s="134" t="inlineStr">
        <is>
          <t>1,2x</t>
        </is>
      </c>
      <c r="E7" s="134" t="inlineStr">
        <is>
          <t>2,0x</t>
        </is>
      </c>
      <c r="F7" s="134" t="inlineStr">
        <is>
          <t>3,0x</t>
        </is>
      </c>
      <c r="G7" s="136" t="inlineStr">
        <is>
          <t>White Paper: Redesign Trap vermeiden.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9" customHeight="1" s="214">
      <c r="A8" s="137" t="inlineStr">
        <is>
          <t>Kosten</t>
        </is>
      </c>
      <c r="B8" s="138" t="inlineStr">
        <is>
          <t>Onboarding-Aufwand</t>
        </is>
      </c>
      <c r="C8" s="138" t="inlineStr">
        <is>
          <t>Stunden</t>
        </is>
      </c>
      <c r="D8" s="138" t="n">
        <v>120</v>
      </c>
      <c r="E8" s="138" t="n">
        <v>60</v>
      </c>
      <c r="F8" s="138" t="n">
        <v>30</v>
      </c>
      <c r="G8" s="139" t="inlineStr">
        <is>
          <t>Lothar: Hoher Aufwand bei alten IT-Systemen.</t>
        </is>
      </c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9" customHeight="1" s="214">
      <c r="A9" s="144" t="inlineStr">
        <is>
          <t xml:space="preserve">Detailbeschreibung </t>
        </is>
      </c>
      <c r="B9" s="145" t="n"/>
      <c r="C9" s="145" t="n"/>
      <c r="D9" s="145" t="n"/>
      <c r="E9" s="145" t="n"/>
      <c r="F9" s="145" t="n"/>
      <c r="G9" s="145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39" customHeight="1" s="214">
      <c r="A10" s="106" t="inlineStr">
        <is>
          <t>Revenue 2: Implementation-Support Einsatztage je Kunde initial</t>
        </is>
      </c>
      <c r="B10" s="140" t="inlineStr">
        <is>
          <t>Implementation-Support-Tage/Einsatz</t>
        </is>
      </c>
      <c r="C10" s="140" t="inlineStr">
        <is>
          <t>Tage/Einsatz</t>
        </is>
      </c>
      <c r="D10" s="141">
        <f>Szenarien_Analyse!C8</f>
        <v/>
      </c>
      <c r="E10" s="141">
        <f>Szenarien_Analyse!D8</f>
        <v/>
      </c>
      <c r="F10" s="141">
        <f>Szenarien_Analyse!E8</f>
        <v/>
      </c>
      <c r="G10" s="140" t="inlineStr">
        <is>
          <t>Referenziert Szenarien_Analyse Z.8 (dort bearbeitbar). gering=5 Tage | normal=10 Tage | stark=20 Tage. Direkte Eingabe hier überschreibt die Szenarien-Referenz.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00" customHeight="1" s="214">
      <c r="A11" s="106" t="inlineStr">
        <is>
          <t>Revenue 2: Buchungs-Wahrscheinlichkeit Implementation-Support je Kunde</t>
        </is>
      </c>
      <c r="B11" s="140" t="inlineStr">
        <is>
          <t>Buchungs-Wahrscheinlichkeit Implementation-Support</t>
        </is>
      </c>
      <c r="C11" s="142" t="inlineStr">
        <is>
          <t>%</t>
        </is>
      </c>
      <c r="D11" s="143">
        <f>Szenarien_Analyse!C5</f>
        <v/>
      </c>
      <c r="E11" s="143">
        <f>Szenarien_Analyse!D5</f>
        <v/>
      </c>
      <c r="F11" s="143">
        <f>Szenarien_Analyse!E5</f>
        <v/>
      </c>
      <c r="G11" s="140" t="inlineStr">
        <is>
          <t>Referenziert Szenarien_Analyse Z.5 (dort bearbeitbar). a) gering=20% – jeder 5. Kunde kauft Implementation-Support, b) normal=50% – jeder 2. Kunde, c) stark=100% – jeder Kunde kauft Implementation-Support-Tage.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56.5" customHeight="1" s="214">
      <c r="A12" s="106" t="inlineStr">
        <is>
          <t>Retention: Net Revenue Retention (NRR)</t>
        </is>
      </c>
      <c r="B12" s="140" t="inlineStr">
        <is>
          <t>Net Revenue Retention (NRR)</t>
        </is>
      </c>
      <c r="C12" s="140" t="inlineStr">
        <is>
          <t>%</t>
        </is>
      </c>
      <c r="D12" s="143">
        <f>Szenarien_Analyse!C9</f>
        <v/>
      </c>
      <c r="E12" s="143">
        <f>Szenarien_Analyse!D9</f>
        <v/>
      </c>
      <c r="F12" s="143">
        <f>Szenarien_Analyse!E9</f>
        <v/>
      </c>
      <c r="G12" s="140" t="inlineStr">
        <is>
          <t>Szenarioabhängig (Szenarien_Analyse Z.9). Gering=105% | Normal=115% | Stark=130%.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75" customHeight="1" s="214">
      <c r="A13" s="106" t="inlineStr">
        <is>
          <t>Retention: Jährliche Churn Rate</t>
        </is>
      </c>
      <c r="B13" s="140" t="inlineStr">
        <is>
          <t>Churn Rate</t>
        </is>
      </c>
      <c r="C13" s="140" t="inlineStr">
        <is>
          <t>%/Jahr</t>
        </is>
      </c>
      <c r="D13" s="143">
        <f>Szenarien_Analyse!C10</f>
        <v/>
      </c>
      <c r="E13" s="143">
        <f>Szenarien_Analyse!D10</f>
        <v/>
      </c>
      <c r="F13" s="143">
        <f>Szenarien_Analyse!E10</f>
        <v/>
      </c>
      <c r="G13" s="140" t="inlineStr">
        <is>
          <t>Szenarioabhängig (Szenarien_Analyse Z.10). Gering=10% | Normal=6% | Stark=3%.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01" customHeight="1" s="214">
      <c r="A14" s="106" t="inlineStr">
        <is>
          <t>Implementation-Support: Startmonat erster Implementation-Support-Umsatz</t>
        </is>
      </c>
      <c r="B14" s="140" t="inlineStr">
        <is>
          <t>Implementation-Support-Startmonat</t>
        </is>
      </c>
      <c r="C14" s="140" t="inlineStr">
        <is>
          <t>Monat</t>
        </is>
      </c>
      <c r="D14" s="141">
        <f>Szenarien_Analyse!C11</f>
        <v/>
      </c>
      <c r="E14" s="141">
        <f>Szenarien_Analyse!D11</f>
        <v/>
      </c>
      <c r="F14" s="141">
        <f>Szenarien_Analyse!E11</f>
        <v/>
      </c>
      <c r="G14" s="140" t="inlineStr">
        <is>
          <t>Szenarioabhängig (Szenarien_Analyse Z.11). Gering=3 | Normal=4 | Stark=6.</t>
        </is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4.5" customHeight="1" s="214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4.5" customHeight="1" s="214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4.5" customHeight="1" s="214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4.5" customHeight="1" s="214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4.5" customHeight="1" s="214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4.5" customHeight="1" s="214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4.5" customHeight="1" s="214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4.5" customHeight="1" s="214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5" customHeight="1" s="214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5" customHeight="1" s="21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5" customHeight="1" s="214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5" customHeight="1" s="214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5" customHeight="1" s="214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5" customHeight="1" s="214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5" customHeight="1" s="214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5" customHeight="1" s="214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5" customHeight="1" s="214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5" customHeight="1" s="214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5" customHeight="1" s="214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5" customHeight="1" s="21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5" customHeight="1" s="214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5" customHeight="1" s="214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5" customHeight="1" s="214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5" customHeight="1" s="214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5" customHeight="1" s="214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5" customHeight="1" s="214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5" customHeight="1" s="214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5" customHeight="1" s="214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5" customHeight="1" s="214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5" customHeight="1" s="21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5" customHeight="1" s="214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5" customHeight="1" s="214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5" customHeight="1" s="214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5" customHeight="1" s="214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5" customHeight="1" s="214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5" customHeight="1" s="214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5" customHeight="1" s="214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5" customHeight="1" s="214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5" customHeight="1" s="214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5" customHeight="1" s="21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5" customHeight="1" s="214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5" customHeight="1" s="214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5" customHeight="1" s="214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5" customHeight="1" s="214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5" customHeight="1" s="214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5" customHeight="1" s="214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5" customHeight="1" s="214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5" customHeight="1" s="21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5" customHeight="1" s="21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5" customHeight="1" s="21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5" customHeight="1" s="21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5" customHeight="1" s="21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5" customHeight="1" s="21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5" customHeight="1" s="21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5" customHeight="1" s="21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5" customHeight="1" s="21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5" customHeight="1" s="21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5" customHeight="1" s="21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5" customHeight="1" s="21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5" customHeight="1" s="21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5" customHeight="1" s="21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5" customHeight="1" s="21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5" customHeight="1" s="21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5" customHeight="1" s="21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5" customHeight="1" s="21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5" customHeight="1" s="21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5" customHeight="1" s="21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5" customHeight="1" s="21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5" customHeight="1" s="21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5" customHeight="1" s="21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5" customHeight="1" s="21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5" customHeight="1" s="21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5" customHeight="1" s="21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5" customHeight="1" s="21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5" customHeight="1" s="21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5" customHeight="1" s="21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5" customHeight="1" s="21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5" customHeight="1" s="21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5" customHeight="1" s="21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5" customHeight="1" s="21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5" customHeight="1" s="21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5" customHeight="1" s="21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5" customHeight="1" s="21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5" customHeight="1" s="21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5" customHeight="1" s="21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5" customHeight="1" s="21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5" customHeight="1" s="21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5" customHeight="1" s="21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5" customHeight="1" s="21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5" customHeight="1" s="21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5" customHeight="1" s="21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5" customHeight="1" s="21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5" customHeight="1" s="21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5" customHeight="1" s="21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5" customHeight="1" s="21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5" customHeight="1" s="21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5" customHeight="1" s="21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5" customHeight="1" s="21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5" customHeight="1" s="21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5" customHeight="1" s="2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5" customHeight="1" s="21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5" customHeight="1" s="21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5" customHeight="1" s="21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5" customHeight="1" s="21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5" customHeight="1" s="21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5" customHeight="1" s="21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5" customHeight="1" s="21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5" customHeight="1" s="21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5" customHeight="1" s="21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5" customHeight="1" s="21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5" customHeight="1" s="21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5" customHeight="1" s="21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5" customHeight="1" s="21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5" customHeight="1" s="21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5" customHeight="1" s="21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5" customHeight="1" s="21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5" customHeight="1" s="21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5" customHeight="1" s="21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5" customHeight="1" s="21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5" customHeight="1" s="21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5" customHeight="1" s="21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5" customHeight="1" s="21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5" customHeight="1" s="21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5" customHeight="1" s="21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5" customHeight="1" s="21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5" customHeight="1" s="21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5" customHeight="1" s="21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5" customHeight="1" s="21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5" customHeight="1" s="21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5" customHeight="1" s="21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5" customHeight="1" s="21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5" customHeight="1" s="21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5" customHeight="1" s="21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5" customHeight="1" s="21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5" customHeight="1" s="21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5" customHeight="1" s="21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5" customHeight="1" s="21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5" customHeight="1" s="21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5" customHeight="1" s="21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5" customHeight="1" s="21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5" customHeight="1" s="21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5" customHeight="1" s="21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5" customHeight="1" s="21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5" customHeight="1" s="21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5" customHeight="1" s="21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5" customHeight="1" s="21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5" customHeight="1" s="21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5" customHeight="1" s="21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5" customHeight="1" s="21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5" customHeight="1" s="21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5" customHeight="1" s="21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5" customHeight="1" s="21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5" customHeight="1" s="21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5" customHeight="1" s="21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5" customHeight="1" s="21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5" customHeight="1" s="21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5" customHeight="1" s="21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5" customHeight="1" s="21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5" customHeight="1" s="21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5" customHeight="1" s="21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5" customHeight="1" s="21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5" customHeight="1" s="21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5" customHeight="1" s="21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5" customHeight="1" s="21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5" customHeight="1" s="21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5" customHeight="1" s="21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5" customHeight="1" s="21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5" customHeight="1" s="21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5" customHeight="1" s="21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5" customHeight="1" s="21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5" customHeight="1" s="21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5" customHeight="1" s="21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5" customHeight="1" s="21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5" customHeight="1" s="21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5" customHeight="1" s="21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5" customHeight="1" s="21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5" customHeight="1" s="21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5" customHeight="1" s="21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5" customHeight="1" s="21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5" customHeight="1" s="21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5" customHeight="1" s="21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5" customHeight="1" s="21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5" customHeight="1" s="21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5" customHeight="1" s="21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5" customHeight="1" s="21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5" customHeight="1" s="21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5" customHeight="1" s="21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5" customHeight="1" s="21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5" customHeight="1" s="21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5" customHeight="1" s="21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5" customHeight="1" s="21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5" customHeight="1" s="21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5" customHeight="1" s="21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5" customHeight="1" s="21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5" customHeight="1" s="21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5" customHeight="1" s="21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5" customHeight="1" s="21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5" customHeight="1" s="21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5" customHeight="1" s="21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5" customHeight="1" s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5" customHeight="1" s="21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5" customHeight="1" s="21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5" customHeight="1" s="21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5" customHeight="1" s="21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5" customHeight="1" s="21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5" customHeight="1" s="21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5" customHeight="1" s="21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5" customHeight="1" s="21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5" customHeight="1" s="21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5" customHeight="1" s="21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5" customHeight="1" s="21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5" customHeight="1" s="21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5" customHeight="1" s="21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5" customHeight="1" s="21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5" customHeight="1" s="21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5" customHeight="1" s="21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5" customHeight="1" s="21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5" customHeight="1" s="21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5" customHeight="1" s="21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5" customHeight="1" s="21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5" customHeight="1" s="21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5" customHeight="1" s="21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5" customHeight="1" s="21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5" customHeight="1" s="21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5" customHeight="1" s="21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5" customHeight="1" s="21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4.5" customHeight="1" s="21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4.5" customHeight="1" s="21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4.5" customHeight="1" s="21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4.5" customHeight="1" s="21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4.5" customHeight="1" s="21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4.5" customHeight="1" s="21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4.5" customHeight="1" s="21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4.5" customHeight="1" s="21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4.5" customHeight="1" s="21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4.5" customHeight="1" s="21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4.5" customHeight="1" s="21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4.5" customHeight="1" s="21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4.5" customHeight="1" s="21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4.5" customHeight="1" s="21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4.5" customHeight="1" s="21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4.5" customHeight="1" s="21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4.5" customHeight="1" s="21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4.5" customHeight="1" s="21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4.5" customHeight="1" s="21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4.5" customHeight="1" s="21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4.5" customHeight="1" s="21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4.5" customHeight="1" s="21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4.5" customHeight="1" s="21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4.5" customHeight="1" s="21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4.5" customHeight="1" s="21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4.5" customHeight="1" s="21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4.5" customHeight="1" s="21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4.5" customHeight="1" s="21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4.5" customHeight="1" s="21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4.5" customHeight="1" s="21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4.5" customHeight="1" s="21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4.5" customHeight="1" s="21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4.5" customHeight="1" s="21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4.5" customHeight="1" s="21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4.5" customHeight="1" s="21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4.5" customHeight="1" s="21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4.5" customHeight="1" s="21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4.5" customHeight="1" s="21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4.5" customHeight="1" s="21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4.5" customHeight="1" s="21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4.5" customHeight="1" s="21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4.5" customHeight="1" s="21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4.5" customHeight="1" s="21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4.5" customHeight="1" s="21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4.5" customHeight="1" s="21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4.5" customHeight="1" s="21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4.5" customHeight="1" s="21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4.5" customHeight="1" s="21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4.5" customHeight="1" s="21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4.5" customHeight="1" s="21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4.5" customHeight="1" s="21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4.5" customHeight="1" s="21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4.5" customHeight="1" s="21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4.5" customHeight="1" s="21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4.5" customHeight="1" s="21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4.5" customHeight="1" s="21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4.5" customHeight="1" s="21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4.5" customHeight="1" s="21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4.5" customHeight="1" s="21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4.5" customHeight="1" s="21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4.5" customHeight="1" s="21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4.5" customHeight="1" s="21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4.5" customHeight="1" s="21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4.5" customHeight="1" s="21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4.5" customHeight="1" s="21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4.5" customHeight="1" s="21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4.5" customHeight="1" s="21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4.5" customHeight="1" s="21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4.5" customHeight="1" s="21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4.5" customHeight="1" s="21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4.5" customHeight="1" s="21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4.5" customHeight="1" s="21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4.5" customHeight="1" s="21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4.5" customHeight="1" s="2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4.5" customHeight="1" s="21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4.5" customHeight="1" s="21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4.5" customHeight="1" s="21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4.5" customHeight="1" s="21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4.5" customHeight="1" s="21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4.5" customHeight="1" s="21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4.5" customHeight="1" s="21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4.5" customHeight="1" s="21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4.5" customHeight="1" s="21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4.5" customHeight="1" s="21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4.5" customHeight="1" s="21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4.5" customHeight="1" s="21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4.5" customHeight="1" s="21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4.5" customHeight="1" s="21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4.5" customHeight="1" s="21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4.5" customHeight="1" s="21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4.5" customHeight="1" s="21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4.5" customHeight="1" s="21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4.5" customHeight="1" s="21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4.5" customHeight="1" s="21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4.5" customHeight="1" s="21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4.5" customHeight="1" s="21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4.5" customHeight="1" s="21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4.5" customHeight="1" s="21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4.5" customHeight="1" s="21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4.5" customHeight="1" s="21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4.5" customHeight="1" s="21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4.5" customHeight="1" s="21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4.5" customHeight="1" s="21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4.5" customHeight="1" s="21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4.5" customHeight="1" s="21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4.5" customHeight="1" s="21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4.5" customHeight="1" s="21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4.5" customHeight="1" s="21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4.5" customHeight="1" s="21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4.5" customHeight="1" s="21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4.5" customHeight="1" s="21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4.5" customHeight="1" s="21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4.5" customHeight="1" s="21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4.5" customHeight="1" s="21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4.5" customHeight="1" s="21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4.5" customHeight="1" s="21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4.5" customHeight="1" s="21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4.5" customHeight="1" s="21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4.5" customHeight="1" s="21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4.5" customHeight="1" s="21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4.5" customHeight="1" s="21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4.5" customHeight="1" s="21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4.5" customHeight="1" s="21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4.5" customHeight="1" s="21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4.5" customHeight="1" s="21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4.5" customHeight="1" s="21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4.5" customHeight="1" s="21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4.5" customHeight="1" s="21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4.5" customHeight="1" s="21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4.5" customHeight="1" s="21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4.5" customHeight="1" s="21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4.5" customHeight="1" s="21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4.5" customHeight="1" s="21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4.5" customHeight="1" s="21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4.5" customHeight="1" s="21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4.5" customHeight="1" s="21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4.5" customHeight="1" s="21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4.5" customHeight="1" s="21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4.5" customHeight="1" s="21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4.5" customHeight="1" s="21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4.5" customHeight="1" s="21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4.5" customHeight="1" s="21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4.5" customHeight="1" s="21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4.5" customHeight="1" s="21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4.5" customHeight="1" s="21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4.5" customHeight="1" s="21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4.5" customHeight="1" s="21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4.5" customHeight="1" s="21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4.5" customHeight="1" s="21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4.5" customHeight="1" s="21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4.5" customHeight="1" s="21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4.5" customHeight="1" s="21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4.5" customHeight="1" s="21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4.5" customHeight="1" s="21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4.5" customHeight="1" s="21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4.5" customHeight="1" s="21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4.5" customHeight="1" s="21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4.5" customHeight="1" s="21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4.5" customHeight="1" s="21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4.5" customHeight="1" s="21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4.5" customHeight="1" s="21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4.5" customHeight="1" s="21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4.5" customHeight="1" s="21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4.5" customHeight="1" s="21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4.5" customHeight="1" s="21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4.5" customHeight="1" s="21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4.5" customHeight="1" s="21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4.5" customHeight="1" s="21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4.5" customHeight="1" s="21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4.5" customHeight="1" s="21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4.5" customHeight="1" s="21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4.5" customHeight="1" s="21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4.5" customHeight="1" s="21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4.5" customHeight="1" s="2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4.5" customHeight="1" s="21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4.5" customHeight="1" s="21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4.5" customHeight="1" s="21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4.5" customHeight="1" s="21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4.5" customHeight="1" s="21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4.5" customHeight="1" s="21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4.5" customHeight="1" s="21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4.5" customHeight="1" s="21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4.5" customHeight="1" s="21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4.5" customHeight="1" s="21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4.5" customHeight="1" s="21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4.5" customHeight="1" s="21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4.5" customHeight="1" s="21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4.5" customHeight="1" s="21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4.5" customHeight="1" s="21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4.5" customHeight="1" s="21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4.5" customHeight="1" s="21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4.5" customHeight="1" s="21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4.5" customHeight="1" s="21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4.5" customHeight="1" s="21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4.5" customHeight="1" s="21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4.5" customHeight="1" s="21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4.5" customHeight="1" s="21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4.5" customHeight="1" s="21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4.5" customHeight="1" s="21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4.5" customHeight="1" s="21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4.5" customHeight="1" s="21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4.5" customHeight="1" s="21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4.5" customHeight="1" s="21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4.5" customHeight="1" s="21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4.5" customHeight="1" s="21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4.5" customHeight="1" s="21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4.5" customHeight="1" s="21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4.5" customHeight="1" s="21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4.5" customHeight="1" s="21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4.5" customHeight="1" s="21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4.5" customHeight="1" s="21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4.5" customHeight="1" s="21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4.5" customHeight="1" s="21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4.5" customHeight="1" s="21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4.5" customHeight="1" s="21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4.5" customHeight="1" s="21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4.5" customHeight="1" s="21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4.5" customHeight="1" s="21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4.5" customHeight="1" s="21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4.5" customHeight="1" s="21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4.5" customHeight="1" s="21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4.5" customHeight="1" s="21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4.5" customHeight="1" s="21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4.5" customHeight="1" s="21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4.5" customHeight="1" s="21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4.5" customHeight="1" s="21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4.5" customHeight="1" s="21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4.5" customHeight="1" s="21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4.5" customHeight="1" s="21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4.5" customHeight="1" s="21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4.5" customHeight="1" s="21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4.5" customHeight="1" s="21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4.5" customHeight="1" s="21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4.5" customHeight="1" s="21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4.5" customHeight="1" s="21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4.5" customHeight="1" s="21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4.5" customHeight="1" s="21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4.5" customHeight="1" s="21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4.5" customHeight="1" s="21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4.5" customHeight="1" s="21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4.5" customHeight="1" s="21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4.5" customHeight="1" s="21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4.5" customHeight="1" s="21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4.5" customHeight="1" s="21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4.5" customHeight="1" s="21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4.5" customHeight="1" s="21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4.5" customHeight="1" s="21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4.5" customHeight="1" s="21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4.5" customHeight="1" s="21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4.5" customHeight="1" s="21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4.5" customHeight="1" s="21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4.5" customHeight="1" s="21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4.5" customHeight="1" s="21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4.5" customHeight="1" s="21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4.5" customHeight="1" s="21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4.5" customHeight="1" s="21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4.5" customHeight="1" s="21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4.5" customHeight="1" s="21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4.5" customHeight="1" s="21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4.5" customHeight="1" s="21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4.5" customHeight="1" s="21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4.5" customHeight="1" s="21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4.5" customHeight="1" s="21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4.5" customHeight="1" s="21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4.5" customHeight="1" s="21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4.5" customHeight="1" s="21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4.5" customHeight="1" s="21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4.5" customHeight="1" s="21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4.5" customHeight="1" s="21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4.5" customHeight="1" s="21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4.5" customHeight="1" s="21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4.5" customHeight="1" s="21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4.5" customHeight="1" s="21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4.5" customHeight="1" s="2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4.5" customHeight="1" s="21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4.5" customHeight="1" s="21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4.5" customHeight="1" s="21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4.5" customHeight="1" s="21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4.5" customHeight="1" s="21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4.5" customHeight="1" s="21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4.5" customHeight="1" s="21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4.5" customHeight="1" s="21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4.5" customHeight="1" s="21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4.5" customHeight="1" s="21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4.5" customHeight="1" s="21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4.5" customHeight="1" s="21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4.5" customHeight="1" s="21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4.5" customHeight="1" s="21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4.5" customHeight="1" s="21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4.5" customHeight="1" s="21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4.5" customHeight="1" s="21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4.5" customHeight="1" s="21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4.5" customHeight="1" s="21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4.5" customHeight="1" s="21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4.5" customHeight="1" s="21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4.5" customHeight="1" s="21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4.5" customHeight="1" s="21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4.5" customHeight="1" s="21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4.5" customHeight="1" s="21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4.5" customHeight="1" s="21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4.5" customHeight="1" s="21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4.5" customHeight="1" s="21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4.5" customHeight="1" s="21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4.5" customHeight="1" s="21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4.5" customHeight="1" s="21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4.5" customHeight="1" s="21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4.5" customHeight="1" s="21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4.5" customHeight="1" s="21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4.5" customHeight="1" s="21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4.5" customHeight="1" s="21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4.5" customHeight="1" s="21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4.5" customHeight="1" s="21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4.5" customHeight="1" s="21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4.5" customHeight="1" s="21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4.5" customHeight="1" s="21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4.5" customHeight="1" s="21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4.5" customHeight="1" s="21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4.5" customHeight="1" s="21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4.5" customHeight="1" s="21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4.5" customHeight="1" s="21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4.5" customHeight="1" s="21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4.5" customHeight="1" s="21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4.5" customHeight="1" s="21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4.5" customHeight="1" s="21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4.5" customHeight="1" s="21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4.5" customHeight="1" s="21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4.5" customHeight="1" s="21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4.5" customHeight="1" s="21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4.5" customHeight="1" s="21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4.5" customHeight="1" s="21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4.5" customHeight="1" s="21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4.5" customHeight="1" s="21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4.5" customHeight="1" s="21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4.5" customHeight="1" s="21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4.5" customHeight="1" s="21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4.5" customHeight="1" s="21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4.5" customHeight="1" s="21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4.5" customHeight="1" s="21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4.5" customHeight="1" s="21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4.5" customHeight="1" s="21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4.5" customHeight="1" s="21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4.5" customHeight="1" s="21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4.5" customHeight="1" s="21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4.5" customHeight="1" s="21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4.5" customHeight="1" s="21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4.5" customHeight="1" s="21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4.5" customHeight="1" s="21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4.5" customHeight="1" s="21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4.5" customHeight="1" s="21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4.5" customHeight="1" s="21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4.5" customHeight="1" s="21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4.5" customHeight="1" s="21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4.5" customHeight="1" s="21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4.5" customHeight="1" s="21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4.5" customHeight="1" s="21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4.5" customHeight="1" s="21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4.5" customHeight="1" s="21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4.5" customHeight="1" s="21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4.5" customHeight="1" s="21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4.5" customHeight="1" s="21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4.5" customHeight="1" s="21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4.5" customHeight="1" s="21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4.5" customHeight="1" s="21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4.5" customHeight="1" s="21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4.5" customHeight="1" s="21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4.5" customHeight="1" s="21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4.5" customHeight="1" s="21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4.5" customHeight="1" s="21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4.5" customHeight="1" s="21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4.5" customHeight="1" s="21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4.5" customHeight="1" s="21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4.5" customHeight="1" s="21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4.5" customHeight="1" s="21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4.5" customHeight="1" s="2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4.5" customHeight="1" s="21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4.5" customHeight="1" s="21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4.5" customHeight="1" s="21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4.5" customHeight="1" s="21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4.5" customHeight="1" s="21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4.5" customHeight="1" s="21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4.5" customHeight="1" s="21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4.5" customHeight="1" s="21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4.5" customHeight="1" s="21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4.5" customHeight="1" s="21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4.5" customHeight="1" s="21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4.5" customHeight="1" s="21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4.5" customHeight="1" s="21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4.5" customHeight="1" s="21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4.5" customHeight="1" s="21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4.5" customHeight="1" s="21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4.5" customHeight="1" s="21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4.5" customHeight="1" s="21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4.5" customHeight="1" s="21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4.5" customHeight="1" s="21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4.5" customHeight="1" s="21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4.5" customHeight="1" s="21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4.5" customHeight="1" s="21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4.5" customHeight="1" s="21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4.5" customHeight="1" s="21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4.5" customHeight="1" s="21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4.5" customHeight="1" s="21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4.5" customHeight="1" s="21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4.5" customHeight="1" s="21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4.5" customHeight="1" s="21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4.5" customHeight="1" s="214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4.5" customHeight="1" s="214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4.5" customHeight="1" s="214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4.5" customHeight="1" s="214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4.5" customHeight="1" s="214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4.5" customHeight="1" s="214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4.5" customHeight="1" s="214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4.5" customHeight="1" s="214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4.5" customHeight="1" s="214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4.5" customHeight="1" s="21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4.5" customHeight="1" s="214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4.5" customHeight="1" s="214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4.5" customHeight="1" s="214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4.5" customHeight="1" s="214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4.5" customHeight="1" s="214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4.5" customHeight="1" s="214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4.5" customHeight="1" s="214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4.5" customHeight="1" s="214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4.5" customHeight="1" s="214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4.5" customHeight="1" s="21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4.5" customHeight="1" s="214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4.5" customHeight="1" s="214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4.5" customHeight="1" s="214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4.5" customHeight="1" s="214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4.5" customHeight="1" s="214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4.5" customHeight="1" s="214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4.5" customHeight="1" s="214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4.5" customHeight="1" s="214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4.5" customHeight="1" s="214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4.5" customHeight="1" s="21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4.5" customHeight="1" s="214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4.5" customHeight="1" s="214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4.5" customHeight="1" s="214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4.5" customHeight="1" s="214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4.5" customHeight="1" s="214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4.5" customHeight="1" s="214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4.5" customHeight="1" s="214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4.5" customHeight="1" s="214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4.5" customHeight="1" s="214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4.5" customHeight="1" s="21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4.5" customHeight="1" s="214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4.5" customHeight="1" s="214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4.5" customHeight="1" s="214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4.5" customHeight="1" s="214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4.5" customHeight="1" s="214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4.5" customHeight="1" s="214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4.5" customHeight="1" s="214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4.5" customHeight="1" s="214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4.5" customHeight="1" s="214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4.5" customHeight="1" s="21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4.5" customHeight="1" s="214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4.5" customHeight="1" s="214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4.5" customHeight="1" s="214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4.5" customHeight="1" s="214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4.5" customHeight="1" s="214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4.5" customHeight="1" s="214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4.5" customHeight="1" s="214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4.5" customHeight="1" s="214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4.5" customHeight="1" s="214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4.5" customHeight="1" s="21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4.5" customHeight="1" s="214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4.5" customHeight="1" s="214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4.5" customHeight="1" s="214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4.5" customHeight="1" s="214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4.5" customHeight="1" s="214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4.5" customHeight="1" s="214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4.5" customHeight="1" s="214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4.5" customHeight="1" s="214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4.5" customHeight="1" s="214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4.5" customHeight="1" s="2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4.5" customHeight="1" s="214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4.5" customHeight="1" s="214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4.5" customHeight="1" s="214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4.5" customHeight="1" s="214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4.5" customHeight="1" s="214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4.5" customHeight="1" s="214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4.5" customHeight="1" s="214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4.5" customHeight="1" s="214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4.5" customHeight="1" s="214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4.5" customHeight="1" s="21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4.5" customHeight="1" s="214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4.5" customHeight="1" s="214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4.5" customHeight="1" s="214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4.5" customHeight="1" s="214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4.5" customHeight="1" s="214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4.5" customHeight="1" s="214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4.5" customHeight="1" s="214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4.5" customHeight="1" s="214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4.5" customHeight="1" s="214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4.5" customHeight="1" s="21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4.5" customHeight="1" s="214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4.5" customHeight="1" s="214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4.5" customHeight="1" s="214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4.5" customHeight="1" s="214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4.5" customHeight="1" s="214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4.5" customHeight="1" s="214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4.5" customHeight="1" s="214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4.5" customHeight="1" s="214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4.5" customHeight="1" s="214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4.5" customHeight="1" s="21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4.5" customHeight="1" s="214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4.5" customHeight="1" s="214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4.5" customHeight="1" s="214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4.5" customHeight="1" s="214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4.5" customHeight="1" s="214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4.5" customHeight="1" s="214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4.5" customHeight="1" s="214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4.5" customHeight="1" s="214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4.5" customHeight="1" s="214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4.5" customHeight="1" s="21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4.5" customHeight="1" s="214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4.5" customHeight="1" s="214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4.5" customHeight="1" s="214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4.5" customHeight="1" s="214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4.5" customHeight="1" s="214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4.5" customHeight="1" s="214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4.5" customHeight="1" s="214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4.5" customHeight="1" s="214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4.5" customHeight="1" s="214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4.5" customHeight="1" s="21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4.5" customHeight="1" s="214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4.5" customHeight="1" s="214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4.5" customHeight="1" s="214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4.5" customHeight="1" s="214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4.5" customHeight="1" s="214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4.5" customHeight="1" s="214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4.5" customHeight="1" s="214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4.5" customHeight="1" s="214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4.5" customHeight="1" s="214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4.5" customHeight="1" s="21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4.5" customHeight="1" s="214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4.5" customHeight="1" s="214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4.5" customHeight="1" s="214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4.5" customHeight="1" s="214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4.5" customHeight="1" s="214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4.5" customHeight="1" s="214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4.5" customHeight="1" s="214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4.5" customHeight="1" s="214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4.5" customHeight="1" s="214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4.5" customHeight="1" s="21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4.5" customHeight="1" s="214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4.5" customHeight="1" s="214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4.5" customHeight="1" s="214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4.5" customHeight="1" s="214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4.5" customHeight="1" s="214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4.5" customHeight="1" s="214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4.5" customHeight="1" s="214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4.5" customHeight="1" s="214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4.5" customHeight="1" s="214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4.5" customHeight="1" s="21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4.5" customHeight="1" s="214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4.5" customHeight="1" s="214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4.5" customHeight="1" s="214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4.5" customHeight="1" s="214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4.5" customHeight="1" s="214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4.5" customHeight="1" s="214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4.5" customHeight="1" s="214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4.5" customHeight="1" s="214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4.5" customHeight="1" s="214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4.5" customHeight="1" s="21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4.5" customHeight="1" s="214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4.5" customHeight="1" s="214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4.5" customHeight="1" s="214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4.5" customHeight="1" s="214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4.5" customHeight="1" s="214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4.5" customHeight="1" s="214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4.5" customHeight="1" s="214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4.5" customHeight="1" s="214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4.5" customHeight="1" s="214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4.5" customHeight="1" s="2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4.5" customHeight="1" s="214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4.5" customHeight="1" s="214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4.5" customHeight="1" s="214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4.5" customHeight="1" s="214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4.5" customHeight="1" s="214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4.5" customHeight="1" s="214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4.5" customHeight="1" s="214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4.5" customHeight="1" s="214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4.5" customHeight="1" s="214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4.5" customHeight="1" s="21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4.5" customHeight="1" s="214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4.5" customHeight="1" s="214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4.5" customHeight="1" s="214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4.5" customHeight="1" s="214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4.5" customHeight="1" s="214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4.5" customHeight="1" s="214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4.5" customHeight="1" s="214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4.5" customHeight="1" s="214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4.5" customHeight="1" s="214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4.5" customHeight="1" s="21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4.5" customHeight="1" s="214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4.5" customHeight="1" s="214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4.5" customHeight="1" s="214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4.5" customHeight="1" s="214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4.5" customHeight="1" s="214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4.5" customHeight="1" s="214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4.5" customHeight="1" s="214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4.5" customHeight="1" s="214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4.5" customHeight="1" s="214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4.5" customHeight="1" s="21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4.5" customHeight="1" s="214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4.5" customHeight="1" s="214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4.5" customHeight="1" s="214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4.5" customHeight="1" s="214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4.5" customHeight="1" s="214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4.5" customHeight="1" s="214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4.5" customHeight="1" s="214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4.5" customHeight="1" s="214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4.5" customHeight="1" s="214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4.5" customHeight="1" s="21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4.5" customHeight="1" s="214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4.5" customHeight="1" s="214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4.5" customHeight="1" s="214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4.5" customHeight="1" s="214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4.5" customHeight="1" s="214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4.5" customHeight="1" s="214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4.5" customHeight="1" s="214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4.5" customHeight="1" s="214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4.5" customHeight="1" s="214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4.5" customHeight="1" s="21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4.5" customHeight="1" s="214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4.5" customHeight="1" s="214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4.5" customHeight="1" s="214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4.5" customHeight="1" s="214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4.5" customHeight="1" s="214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4.5" customHeight="1" s="214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4.5" customHeight="1" s="214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4.5" customHeight="1" s="214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4.5" customHeight="1" s="214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4.5" customHeight="1" s="21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4.5" customHeight="1" s="214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4.5" customHeight="1" s="214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4.5" customHeight="1" s="214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4.5" customHeight="1" s="214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4.5" customHeight="1" s="214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4.5" customHeight="1" s="214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4.5" customHeight="1" s="214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4.5" customHeight="1" s="214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4.5" customHeight="1" s="214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4.5" customHeight="1" s="21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4.5" customHeight="1" s="214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4.5" customHeight="1" s="214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4.5" customHeight="1" s="214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4.5" customHeight="1" s="214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4.5" customHeight="1" s="214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4.5" customHeight="1" s="214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4.5" customHeight="1" s="214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4.5" customHeight="1" s="214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4.5" customHeight="1" s="214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4.5" customHeight="1" s="21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4.5" customHeight="1" s="214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4.5" customHeight="1" s="214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4.5" customHeight="1" s="214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4.5" customHeight="1" s="214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4.5" customHeight="1" s="214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4.5" customHeight="1" s="214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4.5" customHeight="1" s="214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4.5" customHeight="1" s="214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4.5" customHeight="1" s="214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4.5" customHeight="1" s="21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4.5" customHeight="1" s="214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4.5" customHeight="1" s="214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4.5" customHeight="1" s="214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4.5" customHeight="1" s="214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4.5" customHeight="1" s="214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4.5" customHeight="1" s="214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4.5" customHeight="1" s="214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4.5" customHeight="1" s="214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4.5" customHeight="1" s="214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4.5" customHeight="1" s="2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4.5" customHeight="1" s="214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4.5" customHeight="1" s="214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4.5" customHeight="1" s="214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4.5" customHeight="1" s="214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4.5" customHeight="1" s="214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4.5" customHeight="1" s="214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4.5" customHeight="1" s="214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4.5" customHeight="1" s="214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4.5" customHeight="1" s="214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4.5" customHeight="1" s="21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4.5" customHeight="1" s="214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4.5" customHeight="1" s="214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4.5" customHeight="1" s="214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4.5" customHeight="1" s="214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4.5" customHeight="1" s="214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4.5" customHeight="1" s="214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4.5" customHeight="1" s="214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4.5" customHeight="1" s="214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4.5" customHeight="1" s="214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4.5" customHeight="1" s="21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4.5" customHeight="1" s="214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4.5" customHeight="1" s="214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4.5" customHeight="1" s="214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4.5" customHeight="1" s="214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4.5" customHeight="1" s="214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4.5" customHeight="1" s="214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4.5" customHeight="1" s="214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4.5" customHeight="1" s="214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4.5" customHeight="1" s="214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4.5" customHeight="1" s="21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4.5" customHeight="1" s="214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4.5" customHeight="1" s="214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4.5" customHeight="1" s="214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4.5" customHeight="1" s="214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4.5" customHeight="1" s="214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4.5" customHeight="1" s="214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4.5" customHeight="1" s="214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4.5" customHeight="1" s="214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4.5" customHeight="1" s="214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4.5" customHeight="1" s="21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4.5" customHeight="1" s="214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4.5" customHeight="1" s="214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4.5" customHeight="1" s="214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4.5" customHeight="1" s="214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4.5" customHeight="1" s="214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4.5" customHeight="1" s="214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4.5" customHeight="1" s="214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4.5" customHeight="1" s="214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4.5" customHeight="1" s="214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4.5" customHeight="1" s="21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4.5" customHeight="1" s="214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4.5" customHeight="1" s="214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4.5" customHeight="1" s="214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4.5" customHeight="1" s="214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4.5" customHeight="1" s="214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4.5" customHeight="1" s="214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4.5" customHeight="1" s="214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4.5" customHeight="1" s="214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4.5" customHeight="1" s="214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4.5" customHeight="1" s="21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4.5" customHeight="1" s="214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4.5" customHeight="1" s="214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4.5" customHeight="1" s="214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4.5" customHeight="1" s="214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4.5" customHeight="1" s="214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4.5" customHeight="1" s="214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4.5" customHeight="1" s="214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4.5" customHeight="1" s="214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4.5" customHeight="1" s="214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4.5" customHeight="1" s="21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4.5" customHeight="1" s="214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4.5" customHeight="1" s="214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4.5" customHeight="1" s="214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4.5" customHeight="1" s="214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4.5" customHeight="1" s="214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4.5" customHeight="1" s="214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4.5" customHeight="1" s="214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4.5" customHeight="1" s="214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4.5" customHeight="1" s="214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4.5" customHeight="1" s="21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4.5" customHeight="1" s="214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4.5" customHeight="1" s="214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4.5" customHeight="1" s="214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4.5" customHeight="1" s="214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4.5" customHeight="1" s="214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4.5" customHeight="1" s="214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 ht="14.5" customHeight="1" s="214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</sheetData>
  <dataValidations count="1">
    <dataValidation sqref="B1" showDropDown="0" showInputMessage="0" showErrorMessage="1" allowBlank="1" type="list">
      <formula1>"gering,normal,stark"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00FF"/>
    <outlinePr summaryBelow="1" summaryRight="1"/>
    <pageSetUpPr/>
  </sheetPr>
  <dimension ref="A1:AA993"/>
  <sheetViews>
    <sheetView workbookViewId="0">
      <pane ySplit="1" topLeftCell="A2" activePane="bottomLeft" state="frozen"/>
      <selection activeCell="L4" sqref="L4"/>
      <selection pane="bottomLeft" activeCell="A23" sqref="A23"/>
    </sheetView>
  </sheetViews>
  <sheetFormatPr baseColWidth="10" defaultColWidth="14.453125" defaultRowHeight="15" customHeight="1"/>
  <cols>
    <col width="36.81640625" customWidth="1" style="214" min="1" max="1"/>
    <col width="17.08984375" customWidth="1" style="214" min="2" max="2"/>
    <col width="30.08984375" customWidth="1" style="214" min="3" max="3"/>
    <col width="49.7265625" customWidth="1" style="214" min="4" max="4"/>
    <col width="29.36328125" customWidth="1" style="211" min="5" max="5"/>
    <col width="42.453125" customWidth="1" style="214" min="6" max="6"/>
    <col width="30.08984375" customWidth="1" style="214" min="7" max="27"/>
  </cols>
  <sheetData>
    <row r="1" ht="14.25" customHeight="1" s="214">
      <c r="A1" s="12" t="inlineStr">
        <is>
          <t>ZENTRALE EINGABEWERTE</t>
        </is>
      </c>
      <c r="B1" s="12" t="inlineStr">
        <is>
          <t>Wert</t>
        </is>
      </c>
      <c r="C1" s="12" t="inlineStr">
        <is>
          <t>Erklärung / Hinweis</t>
        </is>
      </c>
      <c r="D1" s="13" t="inlineStr">
        <is>
          <t>Bemerkungen</t>
        </is>
      </c>
      <c r="E1" s="204" t="inlineStr">
        <is>
          <t>Szenarioauswahl: gering, normal, stark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86.5" customHeight="1" s="214">
      <c r="A2" s="213" t="n"/>
      <c r="E2" s="205">
        <f>'00_Input_Sandbox'!$B$1</f>
        <v/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25" customHeight="1" s="214">
      <c r="A3" s="16" t="inlineStr">
        <is>
          <t>ALLGEMEINE EINSTELLUNGEN</t>
        </is>
      </c>
      <c r="B3" s="17" t="n"/>
      <c r="C3" s="17" t="n"/>
      <c r="D3" s="17" t="n"/>
      <c r="E3" s="206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25" customHeight="1" s="214">
      <c r="A4" s="18" t="inlineStr">
        <is>
          <t>Firmenname</t>
        </is>
      </c>
      <c r="B4" s="19" t="inlineStr">
        <is>
          <t>LoopforgeLab GmbH</t>
        </is>
      </c>
      <c r="C4" s="20" t="inlineStr">
        <is>
          <t>Name des Unternehmens</t>
        </is>
      </c>
      <c r="D4" s="20" t="n"/>
      <c r="E4" s="206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14.25" customHeight="1" s="214">
      <c r="A5" s="18" t="inlineStr">
        <is>
          <t>Startdatum</t>
        </is>
      </c>
      <c r="B5" s="21" t="n">
        <v>46113</v>
      </c>
      <c r="C5" s="20" t="inlineStr">
        <is>
          <t>Beginn der Projektionen</t>
        </is>
      </c>
      <c r="D5" s="20" t="n"/>
      <c r="E5" s="20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25" customHeight="1" s="214">
      <c r="A6" s="18" t="inlineStr">
        <is>
          <t>Währung</t>
        </is>
      </c>
      <c r="B6" s="19" t="inlineStr">
        <is>
          <t>EUR</t>
        </is>
      </c>
      <c r="C6" s="20" t="inlineStr">
        <is>
          <t>EUR für DACH-Startups</t>
        </is>
      </c>
      <c r="D6" s="20" t="n"/>
      <c r="E6" s="206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25" customHeight="1" s="214">
      <c r="A7" s="18" t="inlineStr">
        <is>
          <t>Steuersatz</t>
        </is>
      </c>
      <c r="B7" s="22" t="n">
        <v>0.3</v>
      </c>
      <c r="C7" s="20" t="inlineStr">
        <is>
          <t>KSt + GewSt (~30% in DE)</t>
        </is>
      </c>
      <c r="D7" s="23" t="inlineStr">
        <is>
          <t>Übernahme des Standardsatzes (KSt + GewSt in Deutschland).</t>
        </is>
      </c>
      <c r="E7" s="206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14.25" customHeight="1" s="214">
      <c r="A8" s="7" t="n"/>
      <c r="B8" s="7" t="n"/>
      <c r="C8" s="7" t="n"/>
      <c r="D8" s="14" t="n"/>
      <c r="E8" s="206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4.25" customHeight="1" s="214">
      <c r="A9" s="16" t="inlineStr">
        <is>
          <t>FINANZIERUNGSRUNDEN</t>
        </is>
      </c>
      <c r="B9" s="17" t="n"/>
      <c r="C9" s="17" t="n"/>
      <c r="D9" s="17" t="n"/>
      <c r="E9" s="206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14.25" customHeight="1" s="214">
      <c r="A10" s="18" t="inlineStr">
        <is>
          <t>Ideation Phase</t>
        </is>
      </c>
      <c r="B10" s="24" t="n">
        <v>90000</v>
      </c>
      <c r="C10" s="20" t="inlineStr">
        <is>
          <t>Typisch: 100.000-500.000€</t>
        </is>
      </c>
      <c r="D10" s="23" t="inlineStr">
        <is>
          <t>Phase: 1.4.26 bis 15.7.2026
MVP-Anschubfinanzierung; stellt keine Unternehmensbewertung dar.</t>
        </is>
      </c>
      <c r="E10" s="206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 s="214">
      <c r="A11" s="18" t="inlineStr">
        <is>
          <t>Ideation Phase</t>
        </is>
      </c>
      <c r="B11" s="19" t="n">
        <v>1</v>
      </c>
      <c r="C11" s="20" t="inlineStr">
        <is>
          <t>Monat der Einzahlung</t>
        </is>
      </c>
      <c r="D11" s="23" t="inlineStr">
        <is>
          <t>MVP-Entwicklung und IP-Aufbau starten unmittelbar.</t>
        </is>
      </c>
      <c r="E11" s="206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 s="214">
      <c r="A12" s="18" t="inlineStr">
        <is>
          <t>Pre-Seed Betrag</t>
        </is>
      </c>
      <c r="B12" s="24" t="n">
        <v>1500000</v>
      </c>
      <c r="C12" s="20" t="inlineStr">
        <is>
          <t>Typisch: 500.000-2.000.000€</t>
        </is>
      </c>
      <c r="D12" s="23" t="inlineStr">
        <is>
          <t>Pre-Seed Phase ab VC Pitch im Juli '26 (1.5M-3M Bewertung).</t>
        </is>
      </c>
      <c r="E12" s="206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 s="214">
      <c r="A13" s="18" t="inlineStr">
        <is>
          <t>Pre-Seed Monat</t>
        </is>
      </c>
      <c r="B13" s="19" t="n">
        <v>5</v>
      </c>
      <c r="C13" s="20" t="inlineStr">
        <is>
          <t>Typisch: Monat 5</t>
        </is>
      </c>
      <c r="D13" s="23" t="inlineStr">
        <is>
          <t xml:space="preserve">Juli 2026 entspricht Monat 5 Fokus auf Pilot-Traction. </t>
        </is>
      </c>
      <c r="E13" s="206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 s="214">
      <c r="A14" s="18" t="inlineStr">
        <is>
          <t>Seed Betrag</t>
        </is>
      </c>
      <c r="B14" s="24" t="n">
        <v>4000000</v>
      </c>
      <c r="C14" s="20" t="inlineStr">
        <is>
          <t>Typisch: 3.000.000-10.000.000€</t>
        </is>
      </c>
      <c r="D14" s="23" t="inlineStr">
        <is>
          <t>Abhängig von Pilotprojekten und Reife des Produktes</t>
        </is>
      </c>
      <c r="E14" s="206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25" customHeight="1" s="214">
      <c r="A15" s="18" t="inlineStr">
        <is>
          <t>Seed Monat</t>
        </is>
      </c>
      <c r="B15" s="19" t="n">
        <v>17</v>
      </c>
      <c r="C15" s="20" t="inlineStr">
        <is>
          <t>Typisch: Monat 17</t>
        </is>
      </c>
      <c r="D15" s="23" t="inlineStr">
        <is>
          <t>Geplant für Mitte 2027.</t>
        </is>
      </c>
      <c r="E15" s="206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25" customHeight="1" s="214">
      <c r="A16" s="18" t="inlineStr">
        <is>
          <t>Series A Betrag</t>
        </is>
      </c>
      <c r="B16" s="24" t="n">
        <v>10000000</v>
      </c>
      <c r="C16" s="20" t="inlineStr">
        <is>
          <t>Typisch: 10.000.000-25.000.000€</t>
        </is>
      </c>
      <c r="D16" s="23" t="inlineStr">
        <is>
          <t>Vorerst unverändert als langfristige Wachstumsambition.</t>
        </is>
      </c>
      <c r="E16" s="206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25" customHeight="1" s="214">
      <c r="A17" s="18" t="inlineStr">
        <is>
          <t>Series A Monat</t>
        </is>
      </c>
      <c r="B17" s="19" t="n">
        <v>36</v>
      </c>
      <c r="C17" s="20" t="inlineStr">
        <is>
          <t>Typisch: Monat 35</t>
        </is>
      </c>
      <c r="D17" s="23" t="inlineStr">
        <is>
          <t>Geplant für Herbst 2028.</t>
        </is>
      </c>
      <c r="E17" s="206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25" customHeight="1" s="214">
      <c r="A18" s="7" t="n"/>
      <c r="B18" s="7" t="n"/>
      <c r="C18" s="7" t="n"/>
      <c r="D18" s="14" t="n"/>
      <c r="E18" s="206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25" customHeight="1" s="214">
      <c r="A19" s="16" t="inlineStr">
        <is>
          <t>REVENUE-ANNAHMEN (SaaS/ARR)</t>
        </is>
      </c>
      <c r="B19" s="17" t="n"/>
      <c r="C19" s="17" t="n"/>
      <c r="D19" s="17" t="n"/>
      <c r="E19" s="206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25" customHeight="1" s="214">
      <c r="A20" s="18" t="inlineStr">
        <is>
          <t>Startpreis pro Seat/Jahr</t>
        </is>
      </c>
      <c r="B20" s="25">
        <f>VLOOKUP("Startpreis Seat/Monat",'00_Input_Sandbox'!$B$2:$F$19,IF('00_Input_Sandbox'!$B$1="gering",3,IF('00_Input_Sandbox'!$B$1="normal",4,5)),FALSE)*12</f>
        <v/>
      </c>
      <c r="C20" s="20" t="inlineStr">
        <is>
          <t>Jährliche Lizenzgebühr pro Nutzer</t>
        </is>
      </c>
      <c r="D20" s="20" t="inlineStr">
        <is>
          <t>1. Realistisch? Hängt auch ab vom Business Modell..Pricing basierend auf Wettbewerb oder auf voraussichtlichem Einsparpotential?
2. weitere Erlösquellen? Beratung? Implementierungsaufwand?
Hybrid-Modell: Deckt Fixkosten und partizipiert am TCO-Einsparwert. [1]</t>
        </is>
      </c>
      <c r="E20" s="207" t="n"/>
      <c r="F20" s="14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25" customHeight="1" s="214">
      <c r="A21" s="18" t="inlineStr">
        <is>
          <t>Preiserhöhung/Jahr</t>
        </is>
      </c>
      <c r="B21" s="26" t="n">
        <v>0.05</v>
      </c>
      <c r="C21" s="20" t="inlineStr">
        <is>
          <t>Typisch: 3-5% p.a.</t>
        </is>
      </c>
      <c r="D21" s="23" t="inlineStr">
        <is>
          <t>Standard für AI-SaaS 2026 (Kompensation Inferenz/Innovation). [4]</t>
        </is>
      </c>
      <c r="E21" s="23" t="n"/>
      <c r="F21" s="2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25" customHeight="1" s="214">
      <c r="A22" s="18" t="inlineStr">
        <is>
          <t>Erste zahlende Kunden Monat</t>
        </is>
      </c>
      <c r="B22" s="25">
        <f>VLOOKUP("Startmonat Kunden",'00_Input_Sandbox'!$B$2:$F$19,IF('00_Input_Sandbox'!$B$1="gering",3,IF('00_Input_Sandbox'!$B$1="normal",4,5)),FALSE)</f>
        <v/>
      </c>
      <c r="C22" s="20" t="inlineStr">
        <is>
          <t>Wann erster Umsatz?</t>
        </is>
      </c>
      <c r="D22" s="20" t="inlineStr">
        <is>
          <t>Erster Umsatz in Monat 8 (Start: 04/26)…Realistisch? Wie lange Lead-Time? Zielkunden? Beachhead-Market?
Weitere Begründung: wenn im Automotivebereich: Puffer für Sales-Zyklen (9-12 Mon.) und TISAX im Mittelstand. [1</t>
        </is>
      </c>
      <c r="E22" s="23" t="n"/>
      <c r="F22" s="2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32" customHeight="1" s="214">
      <c r="A23" s="18" t="inlineStr">
        <is>
          <t>Initiale Seats SME</t>
        </is>
      </c>
      <c r="B23" s="19" t="n">
        <v>5</v>
      </c>
      <c r="C23" s="20" t="inlineStr">
        <is>
          <t>Anzahl Seats beim Kunden</t>
        </is>
      </c>
      <c r="D23" s="20" t="inlineStr">
        <is>
          <t>Realistisch? Hängt von Kundengrösse ab. Implementierungsaufwand je Kunde mit einkalkulieren
weitere Aspekte: Kalkulieren mit 1-2 Projekten/ Start mit Pilotprojekten (Werke) zur ROI-Validierung ("Land&amp;Expand")</t>
        </is>
      </c>
      <c r="E23" s="23" t="n"/>
      <c r="F23" s="2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25" customHeight="1" s="214">
      <c r="A24" t="inlineStr">
        <is>
          <t>Initiale Seats Mid-Company</t>
        </is>
      </c>
      <c r="B24" t="n">
        <v>15</v>
      </c>
    </row>
    <row r="25" ht="14.25" customHeight="1" s="214">
      <c r="A25" s="18" t="inlineStr">
        <is>
          <t>Monatliche Seat-Wachstumsrate</t>
        </is>
      </c>
      <c r="B25" s="22" t="n">
        <v>0.03</v>
      </c>
      <c r="C25" s="20" t="inlineStr">
        <is>
          <t>Wachstum neue Seats/Monat</t>
        </is>
      </c>
      <c r="D25" s="27" t="inlineStr">
        <is>
          <t>--&gt;hier eine Annahme bzgll Vertriebsplanung treffen. Wie hoch ist die Zahl der Verkauften Sitze nach 1, 2, 3 Jahren? Gibt es noch andere Erlösströme?
ALTERNATIVE: Account-basierte Planng: Wechsel auf "Stufenfunktion" beim Aufbau des Geschäfts (Roll-out pro Werk statt linearer Rate)</t>
        </is>
      </c>
      <c r="E25" s="23" t="n"/>
      <c r="F25" s="2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25" customHeight="1" s="214">
      <c r="A26" s="18" t="n"/>
      <c r="B26" s="19" t="n"/>
      <c r="C26" s="20" t="inlineStr">
        <is>
          <t xml:space="preserve">Fokus auf Packaging Industrie
Wenn Automotive: Verschiebung durch längere Technical Validation und Compliance-Hürden. </t>
        </is>
      </c>
      <c r="D26" s="20" t="inlineStr">
        <is>
          <t>Start ab Fertigstellung MVP in der Seed Phase</t>
        </is>
      </c>
      <c r="E26" s="23" t="n"/>
      <c r="F26" s="2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25" customHeight="1" s="214">
      <c r="A27" s="18" t="inlineStr">
        <is>
          <t>Durchschnittlicher Enterprise ARR pro Vertrag</t>
        </is>
      </c>
      <c r="B27" s="24" t="n">
        <v>25000</v>
      </c>
      <c r="C27" s="20" t="inlineStr">
        <is>
          <t>Typisch: 50.000-200.000€/Jahr</t>
        </is>
      </c>
      <c r="D27" s="23" t="inlineStr">
        <is>
          <t>Höheres Volumen durch Tiefe der Integration: hier Annahme von weiteren Benefits wie Einbeziehung von DPP &amp; Sustainability</t>
        </is>
      </c>
      <c r="E27" s="28" t="n"/>
      <c r="F27" s="28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25" customHeight="1" s="214">
      <c r="A28" s="18" t="n"/>
      <c r="B28" s="19" t="n"/>
      <c r="C28" s="20" t="inlineStr">
        <is>
          <t>Neue Enterprise-Deals pro Quartal</t>
        </is>
      </c>
      <c r="D28" s="20" t="n"/>
      <c r="E28" s="23" t="n"/>
      <c r="F28" s="2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25" customHeight="1" s="214">
      <c r="A29" s="18" t="inlineStr">
        <is>
          <t>Jährliche Churn Rate</t>
        </is>
      </c>
      <c r="B29" s="95">
        <f>VLOOKUP("Churn Rate",'00_Input_Sandbox'!$B$2:$F$19,IF('00_Input_Sandbox'!$B$1="gering",3,IF('00_Input_Sandbox'!$B$1="normal",4,5)),FALSE)</f>
        <v/>
      </c>
      <c r="C29" s="20" t="inlineStr">
        <is>
          <t>Jährliche Churn Rate (szenarioabhängig): Gering=10% | Normal=6% | Stark=3%</t>
        </is>
      </c>
      <c r="D29" s="20" t="inlineStr">
        <is>
          <t>Treiber-Matrix: Churn jetzt szenarioabhängig (vorher fest 15%). Automotive: 10% (Budgetzyklen). Packaging: 3% (hoher Switching-Cost).</t>
        </is>
      </c>
      <c r="E29" s="23" t="n"/>
      <c r="F29" s="2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25" customHeight="1" s="214">
      <c r="A30" s="18" t="inlineStr">
        <is>
          <t>Net Revenue Retention</t>
        </is>
      </c>
      <c r="B30" s="96">
        <f>VLOOKUP("Net Revenue Retention (NRR)",'00_Input_Sandbox'!$B$2:$F$19,IF('00_Input_Sandbox'!$B$1="gering",3,IF('00_Input_Sandbox'!$B$1="normal",4,5)),FALSE)</f>
        <v/>
      </c>
      <c r="C30" s="20" t="inlineStr">
        <is>
          <t>Net Revenue Retention (szenarioabhängig): Gering=105% | Normal=115% | Stark=130%</t>
        </is>
      </c>
      <c r="D30" s="20" t="inlineStr">
        <is>
          <t>Treiber-Matrix: NRR jetzt szenarioabhängig (vorher fest 125%). Expansion-Umsatz minus Churn. NRR&gt;100%=Bestandskunden wachsen.</t>
        </is>
      </c>
      <c r="E30" s="23" t="n"/>
      <c r="F30" s="2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25" customHeight="1" s="214">
      <c r="A31" s="7" t="n"/>
      <c r="B31" s="7" t="n"/>
      <c r="C31" s="7" t="n"/>
      <c r="D31" s="14" t="n"/>
      <c r="E31" s="206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25" customHeight="1" s="214">
      <c r="A32" s="16" t="inlineStr">
        <is>
          <t>GEHÄLTER (Brutto/Jahr)</t>
        </is>
      </c>
      <c r="B32" s="17" t="n"/>
      <c r="C32" s="17" t="n"/>
      <c r="D32" s="17" t="n"/>
      <c r="E32" s="206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25" customHeight="1" s="214">
      <c r="A33" s="18" t="inlineStr">
        <is>
          <t>CEO Gehalt</t>
        </is>
      </c>
      <c r="B33" s="146" t="n">
        <v>100000</v>
      </c>
      <c r="C33" s="20" t="inlineStr">
        <is>
          <t>Bestätigtes Gründergehalt: CEO/CTO/CCO je €100.000/Jahr (Brutto)</t>
        </is>
      </c>
      <c r="D33" s="200" t="inlineStr">
        <is>
          <t>Rene: negotiatable for Ideation Phase</t>
        </is>
      </c>
      <c r="E33" s="206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25" customHeight="1" s="214">
      <c r="A34" s="18" t="inlineStr">
        <is>
          <t>CTO Gehalt</t>
        </is>
      </c>
      <c r="B34" s="24" t="n">
        <v>100000</v>
      </c>
      <c r="C34" s="20" t="inlineStr">
        <is>
          <t>Bestätigtes Gründergehalt: CEO/CTO/CCO je €100.000/Jahr (Brutto)</t>
        </is>
      </c>
      <c r="D34" s="20" t="n"/>
      <c r="E34" s="206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25" customHeight="1" s="214">
      <c r="A35" s="18" t="inlineStr">
        <is>
          <t>CCO Gehalt</t>
        </is>
      </c>
      <c r="B35" s="24" t="n">
        <v>100000</v>
      </c>
      <c r="C35" s="20" t="inlineStr">
        <is>
          <t>Bestätigtes Gründergehalt: CEO/CTO/CCO je €100.000/Jahr (Brutto)</t>
        </is>
      </c>
      <c r="D35" s="20" t="n"/>
      <c r="E35" s="206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25" customHeight="1" s="214">
      <c r="A36" s="198" t="inlineStr">
        <is>
          <t>Software Developer</t>
        </is>
      </c>
      <c r="B36" s="24" t="n">
        <v>75000</v>
      </c>
      <c r="C36" s="20" t="inlineStr">
        <is>
          <t>Typisch: 55.000-90.000€</t>
        </is>
      </c>
      <c r="D36" s="23" t="inlineStr">
        <is>
          <t>Source: various Sources (https://claude.ai/chat/0f63ea1a-6930-460c-954d-87864e88929e)</t>
        </is>
      </c>
      <c r="E36" s="206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25" customHeight="1" s="214">
      <c r="A37" s="198" t="inlineStr">
        <is>
          <t>Junior Software Developer</t>
        </is>
      </c>
      <c r="B37" s="24" t="n">
        <v>52000</v>
      </c>
      <c r="C37" s="20" t="inlineStr">
        <is>
          <t>Typisch: 42.000-58.000€</t>
        </is>
      </c>
      <c r="D37" s="23" t="inlineStr">
        <is>
          <t>Source: various Sources (https://claude.ai/chat/0f63ea1a-6930-460c-954d-87864e88929e)</t>
        </is>
      </c>
      <c r="E37" s="206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25" customHeight="1" s="214">
      <c r="A38" s="198" t="inlineStr">
        <is>
          <t>ML/AI Engineer Gehalt</t>
        </is>
      </c>
      <c r="B38" s="24" t="n">
        <v>70000</v>
      </c>
      <c r="C38" s="20" t="inlineStr">
        <is>
          <t>Typisch: 50.000-125.000€</t>
        </is>
      </c>
      <c r="D38" s="23" t="inlineStr">
        <is>
          <t>Source: various Sources (https://claude.ai/chat/0f63ea1a-6930-460c-954d-87864e88929e)</t>
        </is>
      </c>
      <c r="E38" s="206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25" customFormat="1" customHeight="1" s="245">
      <c r="A39" s="198" t="inlineStr">
        <is>
          <t>Site Reliability Engineer</t>
        </is>
      </c>
      <c r="B39" s="24" t="n">
        <v>70000</v>
      </c>
      <c r="C39" s="20" t="inlineStr">
        <is>
          <t>Typisch: 50.000-110.000€</t>
        </is>
      </c>
      <c r="D39" s="23" t="inlineStr">
        <is>
          <t>Source: various Sources (https://claude.ai/chat/0f63ea1a-6930-460c-954d-87864e88929e)</t>
        </is>
      </c>
      <c r="E39" s="206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30.5" customFormat="1" customHeight="1" s="245">
      <c r="A40" s="199" t="inlineStr">
        <is>
          <t>UX/UI Designer</t>
        </is>
      </c>
      <c r="B40" s="194" t="n">
        <v>50000</v>
      </c>
      <c r="C40" s="20" t="inlineStr">
        <is>
          <t>Typisch: 42.000-80.000€</t>
        </is>
      </c>
      <c r="D40" s="23" t="inlineStr">
        <is>
          <t>Source: various Sources (https://claude.ai/chat/0f63ea1a-6930-460c-954d-87864e88929e)</t>
        </is>
      </c>
      <c r="E40" s="208" t="n"/>
      <c r="F40" s="197" t="n"/>
      <c r="G40" s="197" t="n"/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197" t="n"/>
      <c r="Y40" s="197" t="n"/>
      <c r="Z40" s="197" t="n"/>
      <c r="AA40" s="197" t="n"/>
    </row>
    <row r="41" ht="14.25" customHeight="1" s="214">
      <c r="A41" s="199" t="inlineStr">
        <is>
          <t>Mechanical Engineer (incl. SoftwareDev)</t>
        </is>
      </c>
      <c r="B41" s="194" t="n">
        <v>70000</v>
      </c>
      <c r="C41" s="20" t="inlineStr">
        <is>
          <t>Typisch: 45.000-85.000€</t>
        </is>
      </c>
      <c r="D41" s="23" t="inlineStr">
        <is>
          <t>Source: various Sources (https://claude.ai/chat/0f63ea1a-6930-460c-954d-87864e88929e)</t>
        </is>
      </c>
      <c r="E41" s="208" t="n"/>
      <c r="F41" s="197" t="n"/>
      <c r="G41" s="197" t="n"/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197" t="n"/>
      <c r="Q41" s="197" t="n"/>
      <c r="R41" s="197" t="n"/>
      <c r="S41" s="197" t="n"/>
      <c r="T41" s="197" t="n"/>
      <c r="U41" s="197" t="n"/>
      <c r="V41" s="197" t="n"/>
      <c r="W41" s="197" t="n"/>
      <c r="X41" s="197" t="n"/>
      <c r="Y41" s="197" t="n"/>
      <c r="Z41" s="197" t="n"/>
      <c r="AA41" s="197" t="n"/>
    </row>
    <row r="42" ht="14.25" customHeight="1" s="214">
      <c r="A42" s="18" t="inlineStr">
        <is>
          <t>Customer Key Account Gehalt</t>
        </is>
      </c>
      <c r="B42" s="24" t="n">
        <v>100000</v>
      </c>
      <c r="C42" s="20" t="inlineStr">
        <is>
          <t>Typisch: 50.000-70.000€ + Provision</t>
        </is>
      </c>
      <c r="D42" s="23" t="inlineStr">
        <is>
          <t>Split 50/50 (65k fix + 65k var); zwingend für Enterprise-Vertrieb. [12</t>
        </is>
      </c>
      <c r="E42" s="206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25" customFormat="1" customHeight="1" s="245">
      <c r="A43" s="18" t="inlineStr">
        <is>
          <t>Marketing Manager Gehalt</t>
        </is>
      </c>
      <c r="B43" s="24" t="n">
        <v>65000</v>
      </c>
      <c r="C43" s="20" t="inlineStr">
        <is>
          <t>Typisch: 55.000-75.000€</t>
        </is>
      </c>
      <c r="D43" s="23" t="inlineStr">
        <is>
          <t>Anpassung an Marktniveau für B2B-Industrie-Spezialisten.</t>
        </is>
      </c>
      <c r="E43" s="206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25" customHeight="1" s="214">
      <c r="A44" s="193" t="inlineStr">
        <is>
          <t>Marketing Assistant Gehalt</t>
        </is>
      </c>
      <c r="B44" s="194" t="n">
        <v>45000</v>
      </c>
      <c r="C44" s="195" t="n"/>
      <c r="D44" s="196" t="n"/>
      <c r="E44" s="208" t="n"/>
      <c r="F44" s="197" t="n"/>
      <c r="G44" s="197" t="n"/>
      <c r="H44" s="197" t="n"/>
      <c r="I44" s="197" t="n"/>
      <c r="J44" s="197" t="n"/>
      <c r="K44" s="197" t="n"/>
      <c r="L44" s="197" t="n"/>
      <c r="M44" s="197" t="n"/>
      <c r="N44" s="197" t="n"/>
      <c r="O44" s="197" t="n"/>
      <c r="P44" s="197" t="n"/>
      <c r="Q44" s="197" t="n"/>
      <c r="R44" s="197" t="n"/>
      <c r="S44" s="197" t="n"/>
      <c r="T44" s="197" t="n"/>
      <c r="U44" s="197" t="n"/>
      <c r="V44" s="197" t="n"/>
      <c r="W44" s="197" t="n"/>
      <c r="X44" s="197" t="n"/>
      <c r="Y44" s="197" t="n"/>
      <c r="Z44" s="197" t="n"/>
      <c r="AA44" s="197" t="n"/>
    </row>
    <row r="45" ht="14.25" customHeight="1" s="214">
      <c r="A45" s="18" t="inlineStr">
        <is>
          <t>Customer Success Gehalt</t>
        </is>
      </c>
      <c r="B45" s="24" t="n">
        <v>52000</v>
      </c>
      <c r="C45" s="20" t="inlineStr">
        <is>
          <t>Typisch: 45.000-60.000€</t>
        </is>
      </c>
      <c r="D45" s="23" t="n"/>
      <c r="E45" s="206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25" customHeight="1" s="214">
      <c r="A46" s="18" t="inlineStr">
        <is>
          <t>Office Manager Gehalt</t>
        </is>
      </c>
      <c r="B46" s="24" t="n">
        <v>45000</v>
      </c>
      <c r="C46" s="20" t="inlineStr">
        <is>
          <t>Typisch: 40.000-50.000€</t>
        </is>
      </c>
      <c r="D46" s="20" t="n"/>
      <c r="E46" s="206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25" customHeight="1" s="214">
      <c r="A47" s="18" t="inlineStr">
        <is>
          <t>Finance Manager</t>
        </is>
      </c>
      <c r="B47" s="24" t="n">
        <v>80000</v>
      </c>
      <c r="C47" s="20" t="n"/>
      <c r="D47" s="23" t="n"/>
      <c r="E47" s="206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25" customHeight="1" s="214">
      <c r="A48" s="18" t="inlineStr">
        <is>
          <t>Jährliche Gehaltserhöhung</t>
        </is>
      </c>
      <c r="B48" s="26" t="n">
        <v>0.03</v>
      </c>
      <c r="C48" s="20" t="inlineStr">
        <is>
          <t>Typisch: 3-5%</t>
        </is>
      </c>
      <c r="D48" s="23" t="inlineStr">
        <is>
          <t>Berücksichtigt Inflations- und Kompetenzentwicklung im Tech-Sektor.</t>
        </is>
      </c>
      <c r="E48" s="206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25" customHeight="1" s="214">
      <c r="A49" s="18" t="inlineStr">
        <is>
          <t>Lohnnebenkosten</t>
        </is>
      </c>
      <c r="B49" s="22" t="n">
        <v>0.21</v>
      </c>
      <c r="C49" s="20" t="inlineStr">
        <is>
          <t>AG-Anteil Sozialversicherung ~20-21%</t>
        </is>
      </c>
      <c r="D49" s="23" t="inlineStr">
        <is>
          <t>Übernahme des gesetzlichen AG-Anteils.</t>
        </is>
      </c>
      <c r="E49" s="206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25" customHeight="1" s="214">
      <c r="A50" s="7" t="n"/>
      <c r="B50" s="7" t="n"/>
      <c r="C50" s="7" t="n"/>
      <c r="D50" s="14" t="n"/>
      <c r="E50" s="206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25" customHeight="1" s="214">
      <c r="A51" s="16" t="inlineStr">
        <is>
          <t>EINSTELLUNGSPLAN (Eintrittsmonat)</t>
        </is>
      </c>
      <c r="B51" s="29" t="inlineStr">
        <is>
          <t>geplanter Bedarf/ Zeitpunkt des geplanten Eintritts</t>
        </is>
      </c>
      <c r="C51" s="30" t="inlineStr">
        <is>
          <t>WICHTIG: KEINE Zeilen löschen. Wenn nicht benötigt, einfach SPALTE B nicht befüllen</t>
        </is>
      </c>
      <c r="D51" s="29" t="n"/>
      <c r="E51" s="209" t="inlineStr">
        <is>
          <t>Tatsächlicher Eintritt ins Unternehmen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25" customHeight="1" s="214">
      <c r="A52" s="18" t="inlineStr">
        <is>
          <t>1. Software Developer</t>
        </is>
      </c>
      <c r="B52" s="7" t="n">
        <v>5</v>
      </c>
      <c r="C52" s="20" t="inlineStr">
        <is>
          <t>Software Developer</t>
        </is>
      </c>
      <c r="D52" s="23" t="n"/>
      <c r="E52" s="205">
        <f>B51</f>
        <v/>
      </c>
      <c r="F52" s="2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25" customHeight="1" s="214">
      <c r="A53" s="18" t="inlineStr">
        <is>
          <t>2. Software Developer</t>
        </is>
      </c>
      <c r="B53" s="19" t="n">
        <v>17</v>
      </c>
      <c r="C53" s="20" t="inlineStr">
        <is>
          <t>Software Developer</t>
        </is>
      </c>
      <c r="D53" s="23" t="n"/>
      <c r="E53" s="205">
        <f>B52</f>
        <v/>
      </c>
      <c r="F53" s="2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25" customHeight="1" s="214">
      <c r="A54" s="18" t="inlineStr">
        <is>
          <t>1. Junior Software Developer</t>
        </is>
      </c>
      <c r="B54" s="19" t="n">
        <v>9</v>
      </c>
      <c r="C54" s="20" t="inlineStr">
        <is>
          <t>Junior Developer</t>
        </is>
      </c>
      <c r="D54" s="23" t="n"/>
      <c r="E54" s="205">
        <f>B53</f>
        <v/>
      </c>
      <c r="F54" s="2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25" customHeight="1" s="214">
      <c r="A55" s="18" t="inlineStr">
        <is>
          <t>1. ML/AI Engineer</t>
        </is>
      </c>
      <c r="B55" s="19" t="n">
        <v>8</v>
      </c>
      <c r="C55" s="20" t="inlineStr">
        <is>
          <t>ML/AI Spezialist</t>
        </is>
      </c>
      <c r="D55" s="23" t="n"/>
      <c r="E55" s="205">
        <f>B54</f>
        <v/>
      </c>
      <c r="F55" s="2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25" customFormat="1" customHeight="1" s="245">
      <c r="A56" s="18" t="inlineStr">
        <is>
          <t>1. Mechanical Engineer</t>
        </is>
      </c>
      <c r="B56" s="19" t="n">
        <v>11</v>
      </c>
      <c r="C56" s="20" t="inlineStr">
        <is>
          <t>Mec Engineer/Developer</t>
        </is>
      </c>
      <c r="D56" s="154" t="inlineStr">
        <is>
          <t>combining mechanical engineering with CAD automation, robotics software, or embedded systems</t>
        </is>
      </c>
      <c r="E56" s="205">
        <f>B55</f>
        <v/>
      </c>
      <c r="F56" s="2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25" customHeight="1" s="214">
      <c r="A57" s="193" t="inlineStr">
        <is>
          <t>1. Site Reliability Mgr</t>
        </is>
      </c>
      <c r="B57" s="201" t="n">
        <v>10</v>
      </c>
      <c r="C57" s="195" t="n"/>
      <c r="D57" s="212" t="n"/>
      <c r="E57" s="210">
        <f>B56</f>
        <v/>
      </c>
      <c r="F57" s="196" t="n"/>
      <c r="G57" s="197" t="n"/>
      <c r="H57" s="197" t="n"/>
      <c r="I57" s="197" t="n"/>
      <c r="J57" s="197" t="n"/>
      <c r="K57" s="197" t="n"/>
      <c r="L57" s="197" t="n"/>
      <c r="M57" s="197" t="n"/>
      <c r="N57" s="197" t="n"/>
      <c r="O57" s="197" t="n"/>
      <c r="P57" s="197" t="n"/>
      <c r="Q57" s="197" t="n"/>
      <c r="R57" s="197" t="n"/>
      <c r="S57" s="197" t="n"/>
      <c r="T57" s="197" t="n"/>
      <c r="U57" s="197" t="n"/>
      <c r="V57" s="197" t="n"/>
      <c r="W57" s="197" t="n"/>
      <c r="X57" s="197" t="n"/>
      <c r="Y57" s="197" t="n"/>
      <c r="Z57" s="197" t="n"/>
      <c r="AA57" s="197" t="n"/>
    </row>
    <row r="58" ht="14.25" customHeight="1" s="214">
      <c r="A58" s="18" t="inlineStr">
        <is>
          <t>1. UX/UI Designer</t>
        </is>
      </c>
      <c r="B58" s="19" t="n">
        <v>12</v>
      </c>
      <c r="C58" s="20" t="inlineStr">
        <is>
          <t>UX/UI Designer</t>
        </is>
      </c>
      <c r="D58" s="23" t="n"/>
      <c r="E58" s="205">
        <f>B57</f>
        <v/>
      </c>
      <c r="F58" s="2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25" customFormat="1" customHeight="1" s="245">
      <c r="A59" s="18" t="inlineStr">
        <is>
          <t>1. Customer Key Account</t>
        </is>
      </c>
      <c r="B59" s="19" t="n">
        <v>17</v>
      </c>
      <c r="C59" s="20" t="inlineStr">
        <is>
          <t>Sales &amp; Key Account DACH</t>
        </is>
      </c>
      <c r="D59" s="23" t="n"/>
      <c r="E59" s="205">
        <f>B58</f>
        <v/>
      </c>
      <c r="F59" s="2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25" customFormat="1" customHeight="1" s="245">
      <c r="A60" s="193" t="inlineStr">
        <is>
          <t>2. Customer Key Account</t>
        </is>
      </c>
      <c r="B60" s="201" t="n">
        <v>20</v>
      </c>
      <c r="C60" s="20" t="inlineStr">
        <is>
          <t>Sales &amp; Key Account DACH</t>
        </is>
      </c>
      <c r="D60" s="196" t="n"/>
      <c r="E60" s="210">
        <f>B59</f>
        <v/>
      </c>
      <c r="F60" s="196" t="n"/>
      <c r="G60" s="197" t="n"/>
      <c r="H60" s="197" t="n"/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197" t="n"/>
      <c r="R60" s="197" t="n"/>
      <c r="S60" s="197" t="n"/>
      <c r="T60" s="197" t="n"/>
      <c r="U60" s="197" t="n"/>
      <c r="V60" s="197" t="n"/>
      <c r="W60" s="197" t="n"/>
      <c r="X60" s="197" t="n"/>
      <c r="Y60" s="197" t="n"/>
      <c r="Z60" s="197" t="n"/>
      <c r="AA60" s="197" t="n"/>
    </row>
    <row r="61" ht="14.25" customHeight="1" s="214">
      <c r="A61" s="193" t="inlineStr">
        <is>
          <t>3. Customer Key Account</t>
        </is>
      </c>
      <c r="B61" s="201" t="n">
        <v>29</v>
      </c>
      <c r="C61" s="20" t="inlineStr">
        <is>
          <t>Sales &amp; Key Account PL/CZ/Benelux</t>
        </is>
      </c>
      <c r="D61" s="196" t="n"/>
      <c r="E61" s="210">
        <f>B60</f>
        <v/>
      </c>
      <c r="F61" s="196" t="n"/>
      <c r="G61" s="197" t="n"/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197" t="n"/>
      <c r="R61" s="197" t="n"/>
      <c r="S61" s="197" t="n"/>
      <c r="T61" s="197" t="n"/>
      <c r="U61" s="197" t="n"/>
      <c r="V61" s="197" t="n"/>
      <c r="W61" s="197" t="n"/>
      <c r="X61" s="197" t="n"/>
      <c r="Y61" s="197" t="n"/>
      <c r="Z61" s="197" t="n"/>
      <c r="AA61" s="197" t="n"/>
    </row>
    <row r="62" ht="14.25" customFormat="1" customHeight="1" s="245">
      <c r="A62" s="18" t="inlineStr">
        <is>
          <t>1. Marketing Assistant</t>
        </is>
      </c>
      <c r="B62" s="19" t="n">
        <v>20</v>
      </c>
      <c r="C62" s="20" t="inlineStr">
        <is>
          <t>Marketing Support</t>
        </is>
      </c>
      <c r="D62" s="23" t="n"/>
      <c r="E62" s="205">
        <f>B61</f>
        <v/>
      </c>
      <c r="F62" s="2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25" customHeight="1" s="214">
      <c r="A63" s="193" t="inlineStr">
        <is>
          <t>2. Marketing Assistant</t>
        </is>
      </c>
      <c r="B63" s="201" t="n">
        <v>29</v>
      </c>
      <c r="C63" s="195" t="inlineStr">
        <is>
          <t>Marketing Support</t>
        </is>
      </c>
      <c r="D63" s="196" t="n"/>
      <c r="E63" s="210">
        <f>B62</f>
        <v/>
      </c>
      <c r="F63" s="196" t="n"/>
      <c r="G63" s="197" t="n"/>
      <c r="H63" s="197" t="n"/>
      <c r="I63" s="197" t="n"/>
      <c r="J63" s="197" t="n"/>
      <c r="K63" s="197" t="n"/>
      <c r="L63" s="197" t="n"/>
      <c r="M63" s="197" t="n"/>
      <c r="N63" s="197" t="n"/>
      <c r="O63" s="197" t="n"/>
      <c r="P63" s="197" t="n"/>
      <c r="Q63" s="197" t="n"/>
      <c r="R63" s="197" t="n"/>
      <c r="S63" s="197" t="n"/>
      <c r="T63" s="197" t="n"/>
      <c r="U63" s="197" t="n"/>
      <c r="V63" s="197" t="n"/>
      <c r="W63" s="197" t="n"/>
      <c r="X63" s="197" t="n"/>
      <c r="Y63" s="197" t="n"/>
      <c r="Z63" s="197" t="n"/>
      <c r="AA63" s="197" t="n"/>
    </row>
    <row r="64" ht="14.25" customHeight="1" s="214">
      <c r="A64" s="193" t="inlineStr">
        <is>
          <t>1. Marketing Manager</t>
        </is>
      </c>
      <c r="B64" s="19" t="n">
        <v>18</v>
      </c>
      <c r="C64" s="20" t="inlineStr">
        <is>
          <t>Marketing</t>
        </is>
      </c>
      <c r="D64" s="23" t="n"/>
      <c r="E64" s="205">
        <f>B63</f>
        <v/>
      </c>
      <c r="F64" s="2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25" customHeight="1" s="214">
      <c r="A65" s="18" t="inlineStr">
        <is>
          <t>1. Office Manager</t>
        </is>
      </c>
      <c r="B65" s="19" t="n">
        <v>14</v>
      </c>
      <c r="C65" s="20" t="inlineStr">
        <is>
          <t>Admin/Office</t>
        </is>
      </c>
      <c r="D65" s="23" t="n"/>
      <c r="E65" s="205">
        <f>B64</f>
        <v/>
      </c>
      <c r="F65" s="2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25" customHeight="1" s="214">
      <c r="A66" s="18" t="inlineStr">
        <is>
          <t>1. Customer Success</t>
        </is>
      </c>
      <c r="B66" s="19" t="n">
        <v>24</v>
      </c>
      <c r="C66" s="20" t="inlineStr">
        <is>
          <t>CS Mgr</t>
        </is>
      </c>
      <c r="D66" s="23" t="inlineStr">
        <is>
          <t>taking care of Customer Projects and Support</t>
        </is>
      </c>
      <c r="E66" s="205">
        <f>B65</f>
        <v/>
      </c>
      <c r="F66" s="2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25" customHeight="1" s="214">
      <c r="A67" s="18" t="inlineStr">
        <is>
          <t>1. Finance Manager</t>
        </is>
      </c>
      <c r="B67" s="19" t="n">
        <v>19</v>
      </c>
      <c r="C67" s="20" t="inlineStr">
        <is>
          <t>Finance/Controlling</t>
        </is>
      </c>
      <c r="D67" s="23" t="inlineStr">
        <is>
          <t>Notwendig für professionelles Reporting ab Seed-Phase.</t>
        </is>
      </c>
      <c r="E67" s="205">
        <f>B66</f>
        <v/>
      </c>
      <c r="F67" s="2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25" customHeight="1" s="214">
      <c r="A68" s="7" t="n"/>
      <c r="B68" s="7" t="n"/>
      <c r="C68" s="7" t="n"/>
      <c r="D68" s="14" t="n"/>
      <c r="E68" s="206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25" customHeight="1" s="214">
      <c r="A69" s="16" t="inlineStr">
        <is>
          <t>TECHNOLOGIE &amp; CLOUD KOSTEN</t>
        </is>
      </c>
      <c r="B69" s="17" t="n"/>
      <c r="C69" s="17" t="n"/>
      <c r="D69" s="17" t="n"/>
      <c r="E69" s="206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25" customHeight="1" s="214">
      <c r="A70" s="18" t="inlineStr">
        <is>
          <t>Cloud/Hosting Basis</t>
        </is>
      </c>
      <c r="B70" s="24" t="n">
        <v>2000</v>
      </c>
      <c r="C70" s="20" t="inlineStr">
        <is>
          <t>AWS/Azure/GCP Grundkosten €/Monat</t>
        </is>
      </c>
      <c r="D70" s="23" t="inlineStr">
        <is>
          <t>Höhere Last durch GPU-Inferenz und Vektordatenbanken. 
800→2.000 €/Monat (Treiber-Matrix)</t>
        </is>
      </c>
      <c r="E70" s="206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25" customHeight="1" s="214">
      <c r="A71" s="18" t="inlineStr">
        <is>
          <t>Cloud Skalierung pro Seat</t>
        </is>
      </c>
      <c r="B71" s="24" t="n">
        <v>80</v>
      </c>
      <c r="C71" s="20" t="inlineStr">
        <is>
          <t>Variable Kosten €/Seat/Monat</t>
        </is>
      </c>
      <c r="D71" s="23" t="inlineStr">
        <is>
          <t>Wechsel von Seat- auf Projekt-Basis (AI-intensive Rechenlast). 
50→80 €/Seat/Monat (Treiber-Matrix)</t>
        </is>
      </c>
      <c r="E71" s="206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25" customHeight="1" s="214">
      <c r="A72" s="18" t="inlineStr">
        <is>
          <t>AI/ML APIs Basis</t>
        </is>
      </c>
      <c r="B72" s="24" t="n">
        <v>2000</v>
      </c>
      <c r="C72" s="20" t="inlineStr">
        <is>
          <t>OpenAI/Anthropic etc. €/Monat</t>
        </is>
      </c>
      <c r="D72" s="20" t="inlineStr">
        <is>
          <t>Nutzung von Frontier Models (GPT-5/Claude) für Design-Logic. 
600→2.000 €/Monat (Treiber-Matrix)</t>
        </is>
      </c>
      <c r="E72" s="206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25" customHeight="1" s="214">
      <c r="A73" s="18" t="inlineStr">
        <is>
          <t>AI Kosten Wachstum/Monat</t>
        </is>
      </c>
      <c r="B73" s="26" t="n">
        <v>0.08</v>
      </c>
      <c r="C73" s="20" t="inlineStr">
        <is>
          <t>Steigerung mit Nutzung</t>
        </is>
      </c>
      <c r="D73" s="23" t="inlineStr">
        <is>
          <t>Skalierung proportional zur Nutzung und Datentiefe.
3%→8%/Monat (Treiber-Matrix)</t>
        </is>
      </c>
      <c r="E73" s="206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25" customHeight="1" s="214">
      <c r="A74" s="18" t="inlineStr">
        <is>
          <t>SaaS Tools intern Basis</t>
        </is>
      </c>
      <c r="B74" s="24" t="n">
        <v>400</v>
      </c>
      <c r="C74" s="20" t="inlineStr">
        <is>
          <t>Slack, Notion, GitHub etc. €/Monat</t>
        </is>
      </c>
      <c r="D74" s="23" t="inlineStr">
        <is>
          <t>Slack; Notion; GitHub etc. (unverändert).</t>
        </is>
      </c>
      <c r="E74" s="206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25" customHeight="1" s="214">
      <c r="A75" s="18" t="inlineStr">
        <is>
          <t>SaaS Tools pro MA</t>
        </is>
      </c>
      <c r="B75" s="24" t="n">
        <v>100</v>
      </c>
      <c r="C75" s="20" t="inlineStr">
        <is>
          <t>Zusätzliche Lizenzen €/MA/Monat</t>
        </is>
      </c>
      <c r="D75" s="23" t="inlineStr">
        <is>
          <t>Inklusive KI-Coding-Tools (Copilot/Cursor) für Dev-Effizienz.</t>
        </is>
      </c>
      <c r="E75" s="206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25" customHeight="1" s="214">
      <c r="A76" s="18" t="inlineStr">
        <is>
          <t>Software-Lizenzen Dev</t>
        </is>
      </c>
      <c r="B76" s="24" t="n">
        <v>5000</v>
      </c>
      <c r="C76" s="20" t="inlineStr">
        <is>
          <t>IDE, Frameworks €/Jahr</t>
        </is>
      </c>
      <c r="D76" s="23" t="inlineStr">
        <is>
          <t>Spezialisierte Engineering-Tools und Frameworks (IDE).</t>
        </is>
      </c>
      <c r="E76" s="206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25" customHeight="1" s="214">
      <c r="A77" s="18" t="inlineStr">
        <is>
          <t>Sicherheit &amp; Compliance</t>
        </is>
      </c>
      <c r="B77" s="24" t="n">
        <v>3500</v>
      </c>
      <c r="C77" s="20" t="inlineStr">
        <is>
          <t>Security Tools €/Monat</t>
        </is>
      </c>
      <c r="D77" s="23" t="inlineStr">
        <is>
          <t>Puffer für TISAX-Audits und laufendes Compliance-Monitoring. [17</t>
        </is>
      </c>
      <c r="E77" s="206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25" customHeight="1" s="214">
      <c r="A78" s="7" t="n"/>
      <c r="B78" s="7" t="n"/>
      <c r="C78" s="7" t="n"/>
      <c r="D78" s="14" t="n"/>
      <c r="E78" s="206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79.5" customHeight="1" s="214">
      <c r="A79" s="16" t="inlineStr">
        <is>
          <t>HARDWARE &amp; EQUIPMENT</t>
        </is>
      </c>
      <c r="B79" s="17" t="n"/>
      <c r="C79" s="17" t="n"/>
      <c r="D79" s="17" t="n"/>
      <c r="E79" s="206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29" customHeight="1" s="214">
      <c r="A80" s="151" t="inlineStr">
        <is>
          <t>Laptop pro MA</t>
        </is>
      </c>
      <c r="B80" s="152" t="n">
        <v>2500</v>
      </c>
      <c r="C80" s="153" t="inlineStr">
        <is>
          <t>Typisch: 1.500-3.000€</t>
        </is>
      </c>
      <c r="D80" s="154" t="inlineStr">
        <is>
          <t>High-End Hardware zwingend für KI-Entwicklung (lokale Inferenz).
--&gt;CHANGE to smaller numbers, at least Think of renting IT (GROVER)</t>
        </is>
      </c>
      <c r="E80" s="206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28" customHeight="1" s="214">
      <c r="A81" s="18" t="inlineStr">
        <is>
          <t>Monitor &amp; Peripherie</t>
        </is>
      </c>
      <c r="B81" s="150" t="n">
        <v>800</v>
      </c>
      <c r="C81" s="20" t="inlineStr">
        <is>
          <t>Typisch: 500-1.000€</t>
        </is>
      </c>
      <c r="D81" s="154" t="inlineStr">
        <is>
          <t>Standard-Setup für Tech-Mitarbeiter.</t>
        </is>
      </c>
      <c r="E81" s="206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29.5" customHeight="1" s="214">
      <c r="A82" s="18" t="inlineStr">
        <is>
          <t>Ersatz-Zyklus Monate</t>
        </is>
      </c>
      <c r="B82" s="19" t="n">
        <v>36</v>
      </c>
      <c r="C82" s="20" t="inlineStr">
        <is>
          <t>Typisch: 36-48 Monate</t>
        </is>
      </c>
      <c r="D82" s="23" t="inlineStr">
        <is>
          <t>Branchenüblicher Turnus.</t>
        </is>
      </c>
      <c r="E82" s="206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25" customHeight="1" s="214">
      <c r="A83" s="18" t="inlineStr">
        <is>
          <t>Sonstige IT-Ausstattung/Jahr</t>
        </is>
      </c>
      <c r="B83" s="24" t="n">
        <v>2000</v>
      </c>
      <c r="C83" s="20" t="inlineStr">
        <is>
          <t>Server, Netzwerk etc.</t>
        </is>
      </c>
      <c r="D83" s="23" t="inlineStr">
        <is>
          <t>Puffer für Serverkomponenten/Netzwerk.</t>
        </is>
      </c>
      <c r="E83" s="206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25" customHeight="1" s="214">
      <c r="A84" s="7" t="n"/>
      <c r="B84" s="7" t="n"/>
      <c r="C84" s="7" t="n"/>
      <c r="D84" s="14" t="n"/>
      <c r="E84" s="206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25" customHeight="1" s="214">
      <c r="A85" s="16" t="inlineStr">
        <is>
          <t>BÜRO &amp; FACILITIES</t>
        </is>
      </c>
      <c r="B85" s="17" t="n"/>
      <c r="C85" s="17" t="n"/>
      <c r="D85" s="17" t="n"/>
      <c r="E85" s="206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25" customHeight="1" s="214">
      <c r="A86" s="18" t="inlineStr">
        <is>
          <t>Büromiete</t>
        </is>
      </c>
      <c r="B86" s="24" t="n">
        <v>1500</v>
      </c>
      <c r="C86" s="20" t="inlineStr">
        <is>
          <t>Coworking anfangs €/Monat</t>
        </is>
      </c>
      <c r="D86" s="23" t="inlineStr">
        <is>
          <t>Coworking-Fokus in der ersten Phase (Berlin Mitte/Kreuzberg).</t>
        </is>
      </c>
      <c r="E86" s="206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25" customHeight="1" s="214">
      <c r="A87" s="18" t="inlineStr">
        <is>
          <t>Büro-Upgrade ab Monat</t>
        </is>
      </c>
      <c r="B87" s="19" t="n">
        <v>18</v>
      </c>
      <c r="C87" s="20" t="inlineStr">
        <is>
          <t>Wann größeres Büro?</t>
        </is>
      </c>
      <c r="D87" s="23" t="inlineStr">
        <is>
          <t>Shift analog zur Einstellung von Solution Architects (Teamgröße).</t>
        </is>
      </c>
      <c r="E87" s="206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25" customHeight="1" s="214">
      <c r="A88" s="18" t="inlineStr">
        <is>
          <t>Neue Büromiete</t>
        </is>
      </c>
      <c r="B88" s="24" t="n">
        <v>4500</v>
      </c>
      <c r="C88" s="20" t="inlineStr">
        <is>
          <t>Kosten nach Upgrade €/Monat</t>
        </is>
      </c>
      <c r="D88" s="23" t="inlineStr">
        <is>
          <t>Anpassung an Berliner Marktpreise für ca. 15-20 Personen.</t>
        </is>
      </c>
      <c r="E88" s="206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25" customHeight="1" s="214">
      <c r="A89" s="18" t="inlineStr">
        <is>
          <t>Nebenkosten</t>
        </is>
      </c>
      <c r="B89" s="24" t="n">
        <v>300</v>
      </c>
      <c r="C89" s="20" t="inlineStr">
        <is>
          <t>Strom, Wasser, Heizung €/Monat</t>
        </is>
      </c>
      <c r="D89" s="23" t="inlineStr">
        <is>
          <t>Übernahme.</t>
        </is>
      </c>
      <c r="E89" s="206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25" customHeight="1" s="214">
      <c r="A90" s="18" t="inlineStr">
        <is>
          <t>Internet &amp; Telefon</t>
        </is>
      </c>
      <c r="B90" s="24" t="n">
        <v>150</v>
      </c>
      <c r="C90" s="20" t="inlineStr">
        <is>
          <t>€/Monat</t>
        </is>
      </c>
      <c r="D90" s="23" t="inlineStr">
        <is>
          <t>Übernahme.</t>
        </is>
      </c>
      <c r="E90" s="206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25" customHeight="1" s="214">
      <c r="A91" s="18" t="inlineStr">
        <is>
          <t>Büroausstattung Initial</t>
        </is>
      </c>
      <c r="B91" s="24" t="n">
        <v>5000</v>
      </c>
      <c r="C91" s="20" t="inlineStr">
        <is>
          <t>Möbel, Einrichtung €</t>
        </is>
      </c>
      <c r="D91" s="23" t="inlineStr">
        <is>
          <t>Möbel und IT-Grundausstattung für Erst-Team.</t>
        </is>
      </c>
      <c r="E91" s="206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25" customHeight="1" s="214">
      <c r="A92" s="18" t="inlineStr">
        <is>
          <t>Bürobedarf pro MA</t>
        </is>
      </c>
      <c r="B92" s="24" t="n">
        <v>30</v>
      </c>
      <c r="C92" s="20" t="inlineStr">
        <is>
          <t>Verbrauchsmaterial €/MA/Monat</t>
        </is>
      </c>
      <c r="D92" s="23" t="inlineStr">
        <is>
          <t>Verbrauchsmaterial (unverändert).</t>
        </is>
      </c>
      <c r="E92" s="206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25" customHeight="1" s="214">
      <c r="A93" s="7" t="n"/>
      <c r="B93" s="7" t="n"/>
      <c r="C93" s="7" t="n"/>
      <c r="D93" s="14" t="n"/>
      <c r="E93" s="206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25" customHeight="1" s="214">
      <c r="A94" s="16" t="inlineStr">
        <is>
          <t>PROFESSIONAL SERVICES</t>
        </is>
      </c>
      <c r="B94" s="17" t="n"/>
      <c r="C94" s="17" t="n"/>
      <c r="D94" s="17" t="n"/>
      <c r="E94" s="206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29" customHeight="1" s="214">
      <c r="A95" s="18" t="inlineStr">
        <is>
          <t>Rechtsanwalt Basis/Jahr</t>
        </is>
      </c>
      <c r="B95" s="24" t="n">
        <v>8000</v>
      </c>
      <c r="C95" s="20" t="inlineStr">
        <is>
          <t>Laufende Beratung €/Jahr</t>
        </is>
      </c>
      <c r="D95" s="20" t="n"/>
      <c r="E95" s="206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25" customHeight="1" s="214">
      <c r="A96" s="18" t="inlineStr">
        <is>
          <t>RA pro Finanzierung</t>
        </is>
      </c>
      <c r="B96" s="24" t="n">
        <v>15000</v>
      </c>
      <c r="C96" s="20" t="inlineStr">
        <is>
          <t>Zusätzlich bei Funding €</t>
        </is>
      </c>
      <c r="D96" s="148" t="inlineStr">
        <is>
          <t>Ändern, 15k€ sind vermutlich zu hoch
Für C13 Founding Phase: less effort</t>
        </is>
      </c>
      <c r="E96" s="206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25" customHeight="1" s="214">
      <c r="A97" s="18" t="inlineStr">
        <is>
          <t>Steuerberater</t>
        </is>
      </c>
      <c r="B97" s="24" t="n">
        <v>800</v>
      </c>
      <c r="C97" s="20" t="inlineStr">
        <is>
          <t>Laufende Buchhaltung €/Monat</t>
        </is>
      </c>
      <c r="D97" s="20" t="n"/>
      <c r="E97" s="206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25" customHeight="1" s="214">
      <c r="A98" s="18" t="inlineStr">
        <is>
          <t>Wirtschaftsprüfer/Jahr</t>
        </is>
      </c>
      <c r="B98" s="24" t="n">
        <v>12000</v>
      </c>
      <c r="C98" s="20" t="inlineStr">
        <is>
          <t>Ab Series A €/Jahr</t>
        </is>
      </c>
      <c r="D98" s="20" t="n"/>
      <c r="E98" s="206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25" customHeight="1" s="214">
      <c r="A99" s="18" t="inlineStr">
        <is>
          <t>WP ab Monat</t>
        </is>
      </c>
      <c r="B99" s="19" t="n">
        <v>17</v>
      </c>
      <c r="C99" s="20" t="inlineStr">
        <is>
          <t>Ab wann Wirtschaftsprüfer?
Start mit tatsächlicher Seed-Phase Mitte 2027.</t>
        </is>
      </c>
      <c r="D99" s="20" t="n"/>
      <c r="E99" s="206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25" customHeight="1" s="214">
      <c r="A100" s="18" t="inlineStr">
        <is>
          <t>Unternehmensberater/Jahr</t>
        </is>
      </c>
      <c r="B100" s="24" t="n">
        <v>5000</v>
      </c>
      <c r="C100" s="20" t="inlineStr">
        <is>
          <t>Optional €/Jahr
Optionaler Puffer für Spezialberatung (DPP/MDR).</t>
        </is>
      </c>
      <c r="D100" s="20" t="n"/>
      <c r="E100" s="206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25" customHeight="1" s="214">
      <c r="A101" s="7" t="n"/>
      <c r="B101" s="7" t="n"/>
      <c r="C101" s="7" t="n"/>
      <c r="D101" s="14" t="n"/>
      <c r="E101" s="206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25" customHeight="1" s="214">
      <c r="A102" s="16" t="inlineStr">
        <is>
          <t>VERSICHERUNGEN &amp; BANK</t>
        </is>
      </c>
      <c r="B102" s="17" t="n"/>
      <c r="C102" s="17" t="n"/>
      <c r="D102" s="17" t="n"/>
      <c r="E102" s="206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25" customHeight="1" s="214">
      <c r="A103" s="18" t="inlineStr">
        <is>
          <t>D&amp;O Versicherung/Jahr</t>
        </is>
      </c>
      <c r="B103" s="24" t="n">
        <v>3000</v>
      </c>
      <c r="C103" s="20" t="inlineStr">
        <is>
          <t>Directors &amp; Officers €/Jahr
Schutz für Management (Standard-Satz).</t>
        </is>
      </c>
      <c r="D103" s="20" t="n"/>
      <c r="E103" s="206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25" customHeight="1" s="214">
      <c r="A104" s="18" t="inlineStr">
        <is>
          <t>Betriebshaftpflicht/Jahr</t>
        </is>
      </c>
      <c r="B104" s="24" t="n">
        <v>1500</v>
      </c>
      <c r="C104" s="20" t="inlineStr">
        <is>
          <t>€/Jahr
Deckung für industrielle Software-Einsätze.</t>
        </is>
      </c>
      <c r="D104" s="20" t="n"/>
      <c r="E104" s="206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25" customHeight="1" s="214">
      <c r="A105" s="18" t="inlineStr">
        <is>
          <t>Cyber-Versicherung/Jahr</t>
        </is>
      </c>
      <c r="B105" s="24" t="n">
        <v>2000</v>
      </c>
      <c r="C105" s="20" t="inlineStr">
        <is>
          <t>€/Jahr
Kritisch bei Verarbeitung von Kundendaten (IP-Schutz).</t>
        </is>
      </c>
      <c r="D105" s="20" t="n"/>
      <c r="E105" s="206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25" customHeight="1" s="214">
      <c r="A106" s="18" t="inlineStr">
        <is>
          <t>Bankgebühren</t>
        </is>
      </c>
      <c r="B106" s="24" t="n">
        <v>50</v>
      </c>
      <c r="C106" s="20" t="inlineStr">
        <is>
          <t>Kontoführung €/Monat</t>
        </is>
      </c>
      <c r="D106" s="20" t="n"/>
      <c r="E106" s="206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25" customHeight="1" s="214">
      <c r="A107" s="18" t="inlineStr">
        <is>
          <t>Payment Processing</t>
        </is>
      </c>
      <c r="B107" s="26" t="n">
        <v>0.025</v>
      </c>
      <c r="C107" s="20" t="inlineStr">
        <is>
          <t>Stripe/PayPal ~2-3% vom Umsatz
Anteil am Umsatz für SaaS-Billing-Systeme (Stripe etc.).</t>
        </is>
      </c>
      <c r="D107" s="20" t="n"/>
      <c r="E107" s="206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25" customHeight="1" s="214">
      <c r="A108" s="7" t="n"/>
      <c r="B108" s="7" t="n"/>
      <c r="C108" s="7" t="n"/>
      <c r="D108" s="14" t="n"/>
      <c r="E108" s="206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25" customHeight="1" s="214">
      <c r="A109" s="16" t="inlineStr">
        <is>
          <t>MARKETING &amp; SALES</t>
        </is>
      </c>
      <c r="B109" s="17" t="n"/>
      <c r="C109" s="17" t="n"/>
      <c r="D109" s="17" t="n"/>
      <c r="E109" s="206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25" customHeight="1" s="214">
      <c r="A110" s="18" t="inlineStr">
        <is>
          <t>Paid Ads Budget Initial</t>
        </is>
      </c>
      <c r="B110" s="24" t="n">
        <v>1000</v>
      </c>
      <c r="C110" s="20" t="inlineStr">
        <is>
          <t>Google, LinkedIn etc. €/Monat
Fokus eher auf Content/SEO (Industrie-Vertrieb).</t>
        </is>
      </c>
      <c r="D110" s="20" t="inlineStr">
        <is>
          <t>300→1.000 €/Monat (Treiber-Matrix)</t>
        </is>
      </c>
      <c r="E110" s="206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25" customHeight="1" s="214">
      <c r="A111" s="18" t="inlineStr">
        <is>
          <t>Ads Budget Wachstum/Monat</t>
        </is>
      </c>
      <c r="B111" s="26" t="n">
        <v>0.03</v>
      </c>
      <c r="C111" s="20" t="inlineStr">
        <is>
          <t>Monatliche Steigerung
Skalierung mit Marktbekanntheit.</t>
        </is>
      </c>
      <c r="D111" s="20" t="n"/>
      <c r="E111" s="206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25" customFormat="1" customHeight="1" s="245">
      <c r="A112" s="18" t="inlineStr">
        <is>
          <t>Content &amp; SEO</t>
        </is>
      </c>
      <c r="B112" s="24" t="n">
        <v>2500</v>
      </c>
      <c r="C112" s="20" t="inlineStr">
        <is>
          <t>€/Monat
Fokus auf Whitepaper zu ROI; TCO und DPP-Compliance.</t>
        </is>
      </c>
      <c r="D112" s="20" t="inlineStr">
        <is>
          <t>1.000→2.500 €/Monat (Treiber-Matrix)</t>
        </is>
      </c>
      <c r="E112" s="206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25" customFormat="1" customHeight="1" s="245">
      <c r="A113" s="18" t="inlineStr">
        <is>
          <t>Events &amp; Messen/Ideation</t>
        </is>
      </c>
      <c r="B113" s="194" t="n">
        <v>3000</v>
      </c>
      <c r="C113" s="195" t="inlineStr">
        <is>
          <t>s. Treiber Matrix Kosten Marketing/Vertrieb</t>
        </is>
      </c>
      <c r="D113" s="195" t="n"/>
      <c r="E113" s="208" t="n"/>
      <c r="F113" s="197" t="n"/>
      <c r="G113" s="197" t="n"/>
      <c r="H113" s="197" t="n"/>
      <c r="I113" s="197" t="n"/>
      <c r="J113" s="197" t="n"/>
      <c r="K113" s="197" t="n"/>
      <c r="L113" s="197" t="n"/>
      <c r="M113" s="197" t="n"/>
      <c r="N113" s="197" t="n"/>
      <c r="O113" s="197" t="n"/>
      <c r="P113" s="197" t="n"/>
      <c r="Q113" s="197" t="n"/>
      <c r="R113" s="197" t="n"/>
      <c r="S113" s="197" t="n"/>
      <c r="T113" s="197" t="n"/>
      <c r="U113" s="197" t="n"/>
      <c r="V113" s="197" t="n"/>
      <c r="W113" s="197" t="n"/>
      <c r="X113" s="197" t="n"/>
      <c r="Y113" s="197" t="n"/>
      <c r="Z113" s="197" t="n"/>
      <c r="AA113" s="197" t="n"/>
    </row>
    <row r="114" ht="14.25" customFormat="1" customHeight="1" s="245">
      <c r="A114" s="18" t="inlineStr">
        <is>
          <t>Events &amp; Messen/Pre-Seed</t>
        </is>
      </c>
      <c r="B114" s="194" t="n">
        <v>10000</v>
      </c>
      <c r="C114" s="195" t="inlineStr">
        <is>
          <t>s. Treiber Matrix Kosten Marketing/Vertrieb</t>
        </is>
      </c>
      <c r="D114" s="195" t="n"/>
      <c r="E114" s="208" t="n"/>
      <c r="F114" s="197" t="n"/>
      <c r="G114" s="197" t="n"/>
      <c r="H114" s="197" t="n"/>
      <c r="I114" s="197" t="n"/>
      <c r="J114" s="197" t="n"/>
      <c r="K114" s="197" t="n"/>
      <c r="L114" s="197" t="n"/>
      <c r="M114" s="197" t="n"/>
      <c r="N114" s="197" t="n"/>
      <c r="O114" s="197" t="n"/>
      <c r="P114" s="197" t="n"/>
      <c r="Q114" s="197" t="n"/>
      <c r="R114" s="197" t="n"/>
      <c r="S114" s="197" t="n"/>
      <c r="T114" s="197" t="n"/>
      <c r="U114" s="197" t="n"/>
      <c r="V114" s="197" t="n"/>
      <c r="W114" s="197" t="n"/>
      <c r="X114" s="197" t="n"/>
      <c r="Y114" s="197" t="n"/>
      <c r="Z114" s="197" t="n"/>
      <c r="AA114" s="197" t="n"/>
    </row>
    <row r="115" ht="14.25" customFormat="1" customHeight="1" s="245">
      <c r="A115" s="18" t="inlineStr">
        <is>
          <t>Events &amp; Messen/Seed</t>
        </is>
      </c>
      <c r="B115" s="194" t="n">
        <v>15000</v>
      </c>
      <c r="C115" s="195" t="inlineStr">
        <is>
          <t>s. Treiber Matrix Kosten Marketing/Vertrieb</t>
        </is>
      </c>
      <c r="D115" s="195" t="n"/>
      <c r="E115" s="208" t="n"/>
      <c r="F115" s="197" t="n"/>
      <c r="G115" s="197" t="n"/>
      <c r="H115" s="197" t="n"/>
      <c r="I115" s="197" t="n"/>
      <c r="J115" s="197" t="n"/>
      <c r="K115" s="197" t="n"/>
      <c r="L115" s="197" t="n"/>
      <c r="M115" s="197" t="n"/>
      <c r="N115" s="197" t="n"/>
      <c r="O115" s="197" t="n"/>
      <c r="P115" s="197" t="n"/>
      <c r="Q115" s="197" t="n"/>
      <c r="R115" s="197" t="n"/>
      <c r="S115" s="197" t="n"/>
      <c r="T115" s="197" t="n"/>
      <c r="U115" s="197" t="n"/>
      <c r="V115" s="197" t="n"/>
      <c r="W115" s="197" t="n"/>
      <c r="X115" s="197" t="n"/>
      <c r="Y115" s="197" t="n"/>
      <c r="Z115" s="197" t="n"/>
      <c r="AA115" s="197" t="n"/>
    </row>
    <row r="116" ht="14.25" customHeight="1" s="214">
      <c r="A116" s="18" t="inlineStr">
        <is>
          <t>Events &amp; Messen/Series A</t>
        </is>
      </c>
      <c r="B116" s="194" t="n">
        <v>25000</v>
      </c>
      <c r="C116" s="195" t="inlineStr">
        <is>
          <t>s. Treiber Matrix Kosten Marketing/Vertrieb</t>
        </is>
      </c>
      <c r="D116" s="195" t="n"/>
      <c r="E116" s="208" t="n"/>
      <c r="F116" s="197" t="n"/>
      <c r="G116" s="197" t="n"/>
      <c r="H116" s="197" t="n"/>
      <c r="I116" s="197" t="n"/>
      <c r="J116" s="197" t="n"/>
      <c r="K116" s="197" t="n"/>
      <c r="L116" s="197" t="n"/>
      <c r="M116" s="197" t="n"/>
      <c r="N116" s="197" t="n"/>
      <c r="O116" s="197" t="n"/>
      <c r="P116" s="197" t="n"/>
      <c r="Q116" s="197" t="n"/>
      <c r="R116" s="197" t="n"/>
      <c r="S116" s="197" t="n"/>
      <c r="T116" s="197" t="n"/>
      <c r="U116" s="197" t="n"/>
      <c r="V116" s="197" t="n"/>
      <c r="W116" s="197" t="n"/>
      <c r="X116" s="197" t="n"/>
      <c r="Y116" s="197" t="n"/>
      <c r="Z116" s="197" t="n"/>
      <c r="AA116" s="197" t="n"/>
    </row>
    <row r="117" ht="14.25" customHeight="1" s="214">
      <c r="A117" s="18" t="inlineStr">
        <is>
          <t>Events &amp; Messen/Series B</t>
        </is>
      </c>
      <c r="B117" s="24" t="n">
        <v>25000</v>
      </c>
      <c r="C117" s="20" t="inlineStr">
        <is>
          <t>Teilnahme, Stände €/Jahr
Präsenz auf Leitmessen (Hannover Messe; SPS) ??.</t>
        </is>
      </c>
      <c r="D117" s="20" t="inlineStr">
        <is>
          <t>25.000→50.000 €/Jahr (Treiber-Matrix)</t>
        </is>
      </c>
      <c r="E117" s="206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25" customHeight="1" s="214">
      <c r="A118" s="18" t="inlineStr">
        <is>
          <t>Sales Tools</t>
        </is>
      </c>
      <c r="B118" s="24" t="n">
        <v>300</v>
      </c>
      <c r="C118" s="20" t="inlineStr">
        <is>
          <t>CRM, Outreach €/Monat
CRM und Sales Intelligence (unverändert).</t>
        </is>
      </c>
      <c r="D118" s="20" t="n"/>
      <c r="E118" s="206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25" customHeight="1" s="214">
      <c r="A119" s="18" t="inlineStr">
        <is>
          <t>Sales Provision</t>
        </is>
      </c>
      <c r="B119" s="26" t="n">
        <v>0.12</v>
      </c>
      <c r="C119" s="20" t="inlineStr">
        <is>
          <t>Vertriebsprovision % vom neuen ARR
Anteil am neuen ARR als Anreiz für Verkäufer (AEs).</t>
        </is>
      </c>
      <c r="D119" s="20" t="inlineStr">
        <is>
          <t>8%→12% vom neuen ARR (Treiber-Matrix)</t>
        </is>
      </c>
      <c r="E119" s="206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25" customHeight="1" s="214">
      <c r="A120" s="18" t="inlineStr">
        <is>
          <t>Reisekosten Sales/MA/Monat</t>
        </is>
      </c>
      <c r="B120" s="24" t="n">
        <v>700</v>
      </c>
      <c r="C120" s="20" t="inlineStr">
        <is>
          <t>€/MA/Monat
Notwendig für Werksbegehungen und Kundenbesuche.</t>
        </is>
      </c>
      <c r="D120" s="20" t="inlineStr">
        <is>
          <t>300→700 €/MA/Monat (Treiber-Matrix)</t>
        </is>
      </c>
      <c r="E120" s="206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25" customHeight="1" s="214">
      <c r="A121" s="7" t="n"/>
      <c r="B121" s="7" t="n"/>
      <c r="C121" s="7" t="n"/>
      <c r="D121" s="14" t="n"/>
      <c r="E121" s="206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25" customHeight="1" s="214">
      <c r="A122" s="16" t="inlineStr">
        <is>
          <t>SONSTIGE KOSTEN</t>
        </is>
      </c>
      <c r="B122" s="17" t="n"/>
      <c r="C122" s="17" t="n"/>
      <c r="D122" s="17" t="n"/>
      <c r="E122" s="206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25" customHeight="1" s="214">
      <c r="A123" s="18" t="inlineStr">
        <is>
          <t>Reisekosten allgemein/MA/Jahr</t>
        </is>
      </c>
      <c r="B123" s="24" t="n">
        <v>2000</v>
      </c>
      <c r="C123" s="20" t="inlineStr">
        <is>
          <t>€/MA/Jahr</t>
        </is>
      </c>
      <c r="D123" s="23" t="inlineStr">
        <is>
          <t>Team-Mobilität und Kooperationen.</t>
        </is>
      </c>
      <c r="E123" s="206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25" customHeight="1" s="214">
      <c r="A124" s="18" t="inlineStr">
        <is>
          <t>Weiterbildung/MA/Jahr</t>
        </is>
      </c>
      <c r="B124" s="24" t="n">
        <v>1500</v>
      </c>
      <c r="C124" s="20" t="inlineStr">
        <is>
          <t>€/MA/Jahr</t>
        </is>
      </c>
      <c r="D124" s="23" t="inlineStr">
        <is>
          <t>Besonders wichtig im ML-Bereich (Konferenzen/Kurse).</t>
        </is>
      </c>
      <c r="E124" s="206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25" customHeight="1" s="214">
      <c r="A125" s="18" t="inlineStr">
        <is>
          <t>Team Events/MA/Jahr</t>
        </is>
      </c>
      <c r="B125" s="24" t="n">
        <v>1000</v>
      </c>
      <c r="C125" s="20" t="inlineStr">
        <is>
          <t>€/MA/Jahr</t>
        </is>
      </c>
      <c r="D125" s="23" t="inlineStr">
        <is>
          <t>Mitarbeiterbindung im kompetitiven Berliner Markt.</t>
        </is>
      </c>
      <c r="E125" s="206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25" customHeight="1" s="214">
      <c r="A126" s="18" t="inlineStr">
        <is>
          <t>Sonstiges/Puffer</t>
        </is>
      </c>
      <c r="B126" s="26" t="n">
        <v>0.05</v>
      </c>
      <c r="C126" s="20" t="inlineStr">
        <is>
          <t>% der OpEx, Unvorhergesehenes</t>
        </is>
      </c>
      <c r="D126" s="23" t="inlineStr">
        <is>
          <t>Vorsichtsprinzip für ungeplante Ausgaben (OpEx).</t>
        </is>
      </c>
      <c r="E126" s="206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20" customHeight="1" s="214">
      <c r="A127" s="193" t="inlineStr">
        <is>
          <t>Abschreibungsdauer Jahre</t>
        </is>
      </c>
      <c r="B127" t="n">
        <v>3</v>
      </c>
      <c r="C127" t="inlineStr">
        <is>
          <t>Für CapEx, typisch 3-5 Jahre</t>
        </is>
      </c>
      <c r="D127" t="inlineStr">
        <is>
          <t>Standard für Hardware und Lizenzen (CapEx).</t>
        </is>
      </c>
      <c r="E127" s="206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25" customHeight="1" s="214">
      <c r="A128" s="229" t="inlineStr">
        <is>
          <t>ℹ DATENFLUSS Implementation-Support:  Szenarien_Analyse (Z.5 Wskt. / Z.8 Tage / Z.11 Startmonat)  →  Sandbox (Z.11 Tage / Z.12 Wskt. / Z.15 Startmonat)  →  Inputs (Z.138 Tagessatz / Z.139 Wskt. / Z.140 Tage / Z.141 Startmonat)  →  Revenue Z.28-29 → P&amp;L</t>
        </is>
      </c>
      <c r="B128" s="216" t="n"/>
      <c r="C128" s="216" t="n"/>
      <c r="D128" s="217" t="n"/>
      <c r="E128" s="206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60" customHeight="1" s="214">
      <c r="A129" s="51" t="inlineStr">
        <is>
          <t>Implementation-Support REVENUE-PARAMETER</t>
        </is>
      </c>
      <c r="B129" s="52" t="n"/>
      <c r="C129" s="52" t="n"/>
      <c r="D129" s="53" t="n"/>
      <c r="E129" s="206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90" customHeight="1" s="214">
      <c r="A130" s="54" t="inlineStr">
        <is>
          <t>Implementation-Support Tagessatz (€/Tag)</t>
        </is>
      </c>
      <c r="B130" s="55">
        <f>VLOOKUP("Implementation-Support-Tagessatz",'00_Input_Sandbox'!$B$2:$F$19,IF('00_Input_Sandbox'!$B$1="gering",3,IF('00_Input_Sandbox'!$B$1="normal",4,5)),FALSE)</f>
        <v/>
      </c>
      <c r="C130" s="56" t="inlineStr">
        <is>
          <t>EUR pro Beratertag je Szenario: gering=1.000€ | normal=1.200€ | stark=1.500€</t>
        </is>
      </c>
      <c r="D130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0" s="206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60" customHeight="1" s="214">
      <c r="A131" s="54" t="inlineStr">
        <is>
          <t>Buchungs-Wahrscheinlichkeit Implementation-Support je Kunde (%)</t>
        </is>
      </c>
      <c r="B131" s="68">
        <f>VLOOKUP("Buchungs-Wahrscheinlichkeit Implementation-Support",'00_Input_Sandbox'!$B$2:$F$19,IF('00_Input_Sandbox'!$B$1="gering",3,IF('00_Input_Sandbox'!$B$1="normal",4,5)),FALSE)</f>
        <v/>
      </c>
      <c r="C131" s="56" t="inlineStr">
        <is>
          <t>Wahrscheinlichkeit je Szenario (aus Szenarien_Analyse/Sandbox): gering=20% | normal=50% | stark=100%</t>
        </is>
      </c>
      <c r="D131" s="57" t="inlineStr">
        <is>
          <t>Steuerung der Buchungsquote:
a) 20 % (gering) = Konservativ – 1 von 5 Kunden kauft Implementation-Support
b) 50 % (normal) = Realistisch  – jeder 2. Kunde kauft Implementation-Support
c) 100 % (stark) = Voll-Auslastung – jeder Kunde kauft Implementation-Support
Kategorien Implementation-Support-Leistung:
  • Implementierungsbegleitung: techn. Integration vor Ort
  • Schulung: Anwenderschulung, Train-the-Trainer
  • Spez. Kundenanforderungen &amp; Datenbereinigung: Datenmigration, Stammdaten, individuelle Anpassungen</t>
        </is>
      </c>
      <c r="E131" s="206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55" customHeight="1" s="214">
      <c r="A132" s="54" t="inlineStr">
        <is>
          <t>Implementation-Support-Tage pro Einsatz</t>
        </is>
      </c>
      <c r="B132" s="55">
        <f>VLOOKUP("Implementation-Support-Tage/Einsatz",'00_Input_Sandbox'!$B$2:$F$19,IF('00_Input_Sandbox'!$B$1="gering",3,IF('00_Input_Sandbox'!$B$1="normal",4,5)),FALSE)</f>
        <v/>
      </c>
      <c r="C132" s="56" t="inlineStr">
        <is>
          <t>Implementation-Support-Tage je Einsatz/Kunde (aus Szenarien_Analyse/Sandbox): gering=5 | normal=10 | stark=20 Tage</t>
        </is>
      </c>
      <c r="D132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2" s="206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25" customHeight="1" s="214">
      <c r="A133" s="97" t="inlineStr">
        <is>
          <t>Implementation-Support-Startmonat</t>
        </is>
      </c>
      <c r="B133" s="55">
        <f>VLOOKUP("Implementation-Support-Startmonat",'00_Input_Sandbox'!$B$2:$F$19,IF('00_Input_Sandbox'!$B$1="gering",3,IF('00_Input_Sandbox'!$B$1="normal",4,5)),FALSE)</f>
        <v/>
      </c>
      <c r="C133" s="7" t="inlineStr">
        <is>
          <t>Monat des ersten Implementation-Support-Umsatzes (aus Sandbox/Szenarien_Analyse)</t>
        </is>
      </c>
      <c r="D133" s="57" t="inlineStr">
        <is>
          <t>Treiber-Matrix Z.21: Implementation-Support startet als Enabler vor dem SaaS-Produkt. Gering=Monat 3 | Normal=Monat 4 | Stark=Monat 6. Revenue-Formel prüft: IF(Monat &gt;= Implementation-Support-Startmonat, Umsatz, 0).</t>
        </is>
      </c>
      <c r="E133" s="206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25" customHeight="1" s="214">
      <c r="A134" s="7" t="n"/>
      <c r="B134" s="7" t="n"/>
      <c r="C134" s="7" t="n"/>
      <c r="D134" s="14" t="n"/>
      <c r="E134" s="206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25" customHeight="1" s="214">
      <c r="A135" s="7" t="n"/>
      <c r="B135" s="7" t="n"/>
      <c r="C135" s="7" t="n"/>
      <c r="D135" s="14" t="n"/>
      <c r="E135" s="206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25" customHeight="1" s="214">
      <c r="A136" s="7" t="n"/>
      <c r="B136" s="7" t="n"/>
      <c r="C136" s="7" t="n"/>
      <c r="D136" s="14" t="n"/>
      <c r="E136" s="206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25" customHeight="1" s="214">
      <c r="A137" s="7" t="n"/>
      <c r="B137" s="7" t="n"/>
      <c r="C137" s="7" t="n"/>
      <c r="D137" s="14" t="n"/>
      <c r="E137" s="206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25" customHeight="1" s="214">
      <c r="A138" s="7" t="n"/>
      <c r="B138" s="7" t="n"/>
      <c r="C138" s="7" t="n"/>
      <c r="D138" s="14" t="n"/>
      <c r="E138" s="206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25" customHeight="1" s="214">
      <c r="A139" s="7" t="n"/>
      <c r="B139" s="7" t="n"/>
      <c r="C139" s="7" t="n"/>
      <c r="D139" s="14" t="n"/>
      <c r="E139" s="206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25" customHeight="1" s="214">
      <c r="A140" s="7" t="n"/>
      <c r="B140" s="7" t="n"/>
      <c r="C140" s="7" t="n"/>
      <c r="D140" s="14" t="n"/>
      <c r="E140" s="206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25" customHeight="1" s="214">
      <c r="A141" s="7" t="n"/>
      <c r="B141" s="7" t="n"/>
      <c r="C141" s="7" t="n"/>
      <c r="D141" s="14" t="n"/>
      <c r="E141" s="206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25" customHeight="1" s="214">
      <c r="A142" s="7" t="n"/>
      <c r="B142" s="7" t="n"/>
      <c r="C142" s="7" t="n"/>
      <c r="D142" s="14" t="n"/>
      <c r="E142" s="206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25" customHeight="1" s="214">
      <c r="A143" s="7" t="n"/>
      <c r="B143" s="7" t="n"/>
      <c r="C143" s="7" t="n"/>
      <c r="D143" s="14" t="n"/>
      <c r="E143" s="206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25" customHeight="1" s="214">
      <c r="A144" s="7" t="n"/>
      <c r="B144" s="7" t="n"/>
      <c r="C144" s="7" t="n"/>
      <c r="D144" s="14" t="n"/>
      <c r="E144" s="206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25" customHeight="1" s="214">
      <c r="A145" s="7" t="n"/>
      <c r="B145" s="7" t="n"/>
      <c r="C145" s="7" t="n"/>
      <c r="D145" s="14" t="n"/>
      <c r="E145" s="206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25" customHeight="1" s="214">
      <c r="A146" s="7" t="n"/>
      <c r="B146" s="7" t="n"/>
      <c r="C146" s="7" t="n"/>
      <c r="D146" s="14" t="n"/>
      <c r="E146" s="206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25" customHeight="1" s="214">
      <c r="A147" s="7" t="n"/>
      <c r="B147" s="7" t="n"/>
      <c r="C147" s="7" t="n"/>
      <c r="D147" s="14" t="n"/>
      <c r="E147" s="206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25" customHeight="1" s="214">
      <c r="A148" s="7" t="n"/>
      <c r="B148" s="7" t="n"/>
      <c r="C148" s="7" t="n"/>
      <c r="D148" s="14" t="n"/>
      <c r="E148" s="206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25" customHeight="1" s="214">
      <c r="A149" s="7" t="n"/>
      <c r="B149" s="7" t="n"/>
      <c r="C149" s="7" t="n"/>
      <c r="D149" s="14" t="n"/>
      <c r="E149" s="206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25" customHeight="1" s="214">
      <c r="A150" s="7" t="n"/>
      <c r="B150" s="7" t="n"/>
      <c r="C150" s="7" t="n"/>
      <c r="D150" s="14" t="n"/>
      <c r="E150" s="206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25" customHeight="1" s="214">
      <c r="A151" s="7" t="n"/>
      <c r="B151" s="7" t="n"/>
      <c r="C151" s="7" t="n"/>
      <c r="D151" s="14" t="n"/>
      <c r="E151" s="206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25" customHeight="1" s="214">
      <c r="A152" s="7" t="n"/>
      <c r="B152" s="7" t="n"/>
      <c r="C152" s="7" t="n"/>
      <c r="D152" s="14" t="n"/>
      <c r="E152" s="206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25" customHeight="1" s="214">
      <c r="A153" s="7" t="n"/>
      <c r="B153" s="7" t="n"/>
      <c r="C153" s="7" t="n"/>
      <c r="D153" s="14" t="n"/>
      <c r="E153" s="206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25" customHeight="1" s="214">
      <c r="A154" s="7" t="n"/>
      <c r="B154" s="7" t="n"/>
      <c r="C154" s="7" t="n"/>
      <c r="D154" s="14" t="n"/>
      <c r="E154" s="206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25" customHeight="1" s="214">
      <c r="A155" s="7" t="n"/>
      <c r="B155" s="7" t="n"/>
      <c r="C155" s="7" t="n"/>
      <c r="D155" s="14" t="n"/>
      <c r="E155" s="206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25" customHeight="1" s="214">
      <c r="A156" s="7" t="n"/>
      <c r="B156" s="7" t="n"/>
      <c r="C156" s="7" t="n"/>
      <c r="D156" s="14" t="n"/>
      <c r="E156" s="206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25" customHeight="1" s="214">
      <c r="A157" s="7" t="n"/>
      <c r="B157" s="7" t="n"/>
      <c r="C157" s="7" t="n"/>
      <c r="D157" s="14" t="n"/>
      <c r="E157" s="206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25" customHeight="1" s="214">
      <c r="A158" s="7" t="n"/>
      <c r="B158" s="7" t="n"/>
      <c r="C158" s="7" t="n"/>
      <c r="D158" s="14" t="n"/>
      <c r="E158" s="206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25" customHeight="1" s="214">
      <c r="A159" s="7" t="n"/>
      <c r="B159" s="7" t="n"/>
      <c r="C159" s="7" t="n"/>
      <c r="D159" s="14" t="n"/>
      <c r="E159" s="206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25" customHeight="1" s="214">
      <c r="A160" s="7" t="n"/>
      <c r="B160" s="7" t="n"/>
      <c r="C160" s="7" t="n"/>
      <c r="D160" s="14" t="n"/>
      <c r="E160" s="206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25" customHeight="1" s="214">
      <c r="A161" s="7" t="n"/>
      <c r="B161" s="7" t="n"/>
      <c r="C161" s="7" t="n"/>
      <c r="D161" s="14" t="n"/>
      <c r="E161" s="206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25" customHeight="1" s="214">
      <c r="A162" s="7" t="n"/>
      <c r="B162" s="7" t="n"/>
      <c r="C162" s="7" t="n"/>
      <c r="D162" s="14" t="n"/>
      <c r="E162" s="206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25" customHeight="1" s="214">
      <c r="A163" s="7" t="n"/>
      <c r="B163" s="7" t="n"/>
      <c r="C163" s="7" t="n"/>
      <c r="D163" s="14" t="n"/>
      <c r="E163" s="206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25" customHeight="1" s="214">
      <c r="A164" s="7" t="n"/>
      <c r="B164" s="7" t="n"/>
      <c r="C164" s="7" t="n"/>
      <c r="D164" s="14" t="n"/>
      <c r="E164" s="206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25" customHeight="1" s="214">
      <c r="A165" s="7" t="n"/>
      <c r="B165" s="7" t="n"/>
      <c r="C165" s="7" t="n"/>
      <c r="D165" s="14" t="n"/>
      <c r="E165" s="206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25" customHeight="1" s="214">
      <c r="A166" s="7" t="n"/>
      <c r="B166" s="7" t="n"/>
      <c r="C166" s="7" t="n"/>
      <c r="D166" s="14" t="n"/>
      <c r="E166" s="206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25" customHeight="1" s="214">
      <c r="A167" s="7" t="n"/>
      <c r="B167" s="7" t="n"/>
      <c r="C167" s="7" t="n"/>
      <c r="D167" s="14" t="n"/>
      <c r="E167" s="206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25" customHeight="1" s="214">
      <c r="A168" s="7" t="n"/>
      <c r="B168" s="7" t="n"/>
      <c r="C168" s="7" t="n"/>
      <c r="D168" s="14" t="n"/>
      <c r="E168" s="206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25" customHeight="1" s="214">
      <c r="A169" s="7" t="n"/>
      <c r="B169" s="7" t="n"/>
      <c r="C169" s="7" t="n"/>
      <c r="D169" s="14" t="n"/>
      <c r="E169" s="206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25" customHeight="1" s="214">
      <c r="A170" s="7" t="n"/>
      <c r="B170" s="7" t="n"/>
      <c r="C170" s="7" t="n"/>
      <c r="D170" s="14" t="n"/>
      <c r="E170" s="206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25" customHeight="1" s="214">
      <c r="A171" s="7" t="n"/>
      <c r="B171" s="7" t="n"/>
      <c r="C171" s="7" t="n"/>
      <c r="D171" s="14" t="n"/>
      <c r="E171" s="206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25" customHeight="1" s="214">
      <c r="A172" s="7" t="n"/>
      <c r="B172" s="7" t="n"/>
      <c r="C172" s="7" t="n"/>
      <c r="D172" s="14" t="n"/>
      <c r="E172" s="206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25" customHeight="1" s="214">
      <c r="A173" s="7" t="n"/>
      <c r="B173" s="7" t="n"/>
      <c r="C173" s="7" t="n"/>
      <c r="D173" s="14" t="n"/>
      <c r="E173" s="206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25" customHeight="1" s="214">
      <c r="A174" s="7" t="n"/>
      <c r="B174" s="7" t="n"/>
      <c r="C174" s="7" t="n"/>
      <c r="D174" s="14" t="n"/>
      <c r="E174" s="206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25" customHeight="1" s="214">
      <c r="A175" s="7" t="n"/>
      <c r="B175" s="7" t="n"/>
      <c r="C175" s="7" t="n"/>
      <c r="D175" s="14" t="n"/>
      <c r="E175" s="206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25" customHeight="1" s="214">
      <c r="A176" s="7" t="n"/>
      <c r="B176" s="7" t="n"/>
      <c r="C176" s="7" t="n"/>
      <c r="D176" s="14" t="n"/>
      <c r="E176" s="206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25" customHeight="1" s="214">
      <c r="A177" s="7" t="n"/>
      <c r="B177" s="7" t="n"/>
      <c r="C177" s="7" t="n"/>
      <c r="D177" s="14" t="n"/>
      <c r="E177" s="206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25" customHeight="1" s="214">
      <c r="A178" s="7" t="n"/>
      <c r="B178" s="7" t="n"/>
      <c r="C178" s="7" t="n"/>
      <c r="D178" s="14" t="n"/>
      <c r="E178" s="206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25" customHeight="1" s="214">
      <c r="A179" s="7" t="n"/>
      <c r="B179" s="7" t="n"/>
      <c r="C179" s="7" t="n"/>
      <c r="D179" s="14" t="n"/>
      <c r="E179" s="206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25" customHeight="1" s="214">
      <c r="A180" s="7" t="n"/>
      <c r="B180" s="7" t="n"/>
      <c r="C180" s="7" t="n"/>
      <c r="D180" s="14" t="n"/>
      <c r="E180" s="206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25" customHeight="1" s="214">
      <c r="A181" s="7" t="n"/>
      <c r="B181" s="7" t="n"/>
      <c r="C181" s="7" t="n"/>
      <c r="D181" s="14" t="n"/>
      <c r="E181" s="206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25" customHeight="1" s="214">
      <c r="A182" s="7" t="n"/>
      <c r="B182" s="7" t="n"/>
      <c r="C182" s="7" t="n"/>
      <c r="D182" s="14" t="n"/>
      <c r="E182" s="206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25" customHeight="1" s="214">
      <c r="A183" s="7" t="n"/>
      <c r="B183" s="7" t="n"/>
      <c r="C183" s="7" t="n"/>
      <c r="D183" s="14" t="n"/>
      <c r="E183" s="206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25" customHeight="1" s="214">
      <c r="A184" s="7" t="n"/>
      <c r="B184" s="7" t="n"/>
      <c r="C184" s="7" t="n"/>
      <c r="D184" s="14" t="n"/>
      <c r="E184" s="206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25" customHeight="1" s="214">
      <c r="A185" s="7" t="n"/>
      <c r="B185" s="7" t="n"/>
      <c r="C185" s="7" t="n"/>
      <c r="D185" s="14" t="n"/>
      <c r="E185" s="206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25" customHeight="1" s="214">
      <c r="A186" s="7" t="n"/>
      <c r="B186" s="7" t="n"/>
      <c r="C186" s="7" t="n"/>
      <c r="D186" s="14" t="n"/>
      <c r="E186" s="206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25" customHeight="1" s="214">
      <c r="A187" s="7" t="n"/>
      <c r="B187" s="7" t="n"/>
      <c r="C187" s="7" t="n"/>
      <c r="D187" s="14" t="n"/>
      <c r="E187" s="206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25" customHeight="1" s="214">
      <c r="A188" s="7" t="n"/>
      <c r="B188" s="7" t="n"/>
      <c r="C188" s="7" t="n"/>
      <c r="D188" s="14" t="n"/>
      <c r="E188" s="206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25" customHeight="1" s="214">
      <c r="A189" s="7" t="n"/>
      <c r="B189" s="7" t="n"/>
      <c r="C189" s="7" t="n"/>
      <c r="D189" s="14" t="n"/>
      <c r="E189" s="206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25" customHeight="1" s="214">
      <c r="A190" s="7" t="n"/>
      <c r="B190" s="7" t="n"/>
      <c r="C190" s="7" t="n"/>
      <c r="D190" s="14" t="n"/>
      <c r="E190" s="206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25" customHeight="1" s="214">
      <c r="A191" s="7" t="n"/>
      <c r="B191" s="7" t="n"/>
      <c r="C191" s="7" t="n"/>
      <c r="D191" s="14" t="n"/>
      <c r="E191" s="206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25" customHeight="1" s="214">
      <c r="A192" s="7" t="n"/>
      <c r="B192" s="7" t="n"/>
      <c r="C192" s="7" t="n"/>
      <c r="D192" s="14" t="n"/>
      <c r="E192" s="206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25" customHeight="1" s="214">
      <c r="A193" s="7" t="n"/>
      <c r="B193" s="7" t="n"/>
      <c r="C193" s="7" t="n"/>
      <c r="D193" s="14" t="n"/>
      <c r="E193" s="206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25" customHeight="1" s="214">
      <c r="A194" s="7" t="n"/>
      <c r="B194" s="7" t="n"/>
      <c r="C194" s="7" t="n"/>
      <c r="D194" s="14" t="n"/>
      <c r="E194" s="206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25" customHeight="1" s="214">
      <c r="A195" s="7" t="n"/>
      <c r="B195" s="7" t="n"/>
      <c r="C195" s="7" t="n"/>
      <c r="D195" s="14" t="n"/>
      <c r="E195" s="206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25" customHeight="1" s="214">
      <c r="A196" s="7" t="n"/>
      <c r="B196" s="7" t="n"/>
      <c r="C196" s="7" t="n"/>
      <c r="D196" s="14" t="n"/>
      <c r="E196" s="206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25" customHeight="1" s="214">
      <c r="A197" s="7" t="n"/>
      <c r="B197" s="7" t="n"/>
      <c r="C197" s="7" t="n"/>
      <c r="D197" s="14" t="n"/>
      <c r="E197" s="206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25" customHeight="1" s="214">
      <c r="A198" s="7" t="n"/>
      <c r="B198" s="7" t="n"/>
      <c r="C198" s="7" t="n"/>
      <c r="D198" s="14" t="n"/>
      <c r="E198" s="206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25" customHeight="1" s="214">
      <c r="A199" s="7" t="n"/>
      <c r="B199" s="7" t="n"/>
      <c r="C199" s="7" t="n"/>
      <c r="D199" s="14" t="n"/>
      <c r="E199" s="206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25" customHeight="1" s="214">
      <c r="A200" s="7" t="n"/>
      <c r="B200" s="7" t="n"/>
      <c r="C200" s="7" t="n"/>
      <c r="D200" s="14" t="n"/>
      <c r="E200" s="206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25" customHeight="1" s="214">
      <c r="A201" s="7" t="n"/>
      <c r="B201" s="7" t="n"/>
      <c r="C201" s="7" t="n"/>
      <c r="D201" s="14" t="n"/>
      <c r="E201" s="206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25" customHeight="1" s="214">
      <c r="A202" s="7" t="n"/>
      <c r="B202" s="7" t="n"/>
      <c r="C202" s="7" t="n"/>
      <c r="D202" s="14" t="n"/>
      <c r="E202" s="206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25" customHeight="1" s="214">
      <c r="A203" s="7" t="n"/>
      <c r="B203" s="7" t="n"/>
      <c r="C203" s="7" t="n"/>
      <c r="D203" s="14" t="n"/>
      <c r="E203" s="206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25" customHeight="1" s="214">
      <c r="A204" s="7" t="n"/>
      <c r="B204" s="7" t="n"/>
      <c r="C204" s="7" t="n"/>
      <c r="D204" s="14" t="n"/>
      <c r="E204" s="206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25" customHeight="1" s="214">
      <c r="A205" s="7" t="n"/>
      <c r="B205" s="7" t="n"/>
      <c r="C205" s="7" t="n"/>
      <c r="D205" s="14" t="n"/>
      <c r="E205" s="206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25" customHeight="1" s="214">
      <c r="A206" s="7" t="n"/>
      <c r="B206" s="7" t="n"/>
      <c r="C206" s="7" t="n"/>
      <c r="D206" s="14" t="n"/>
      <c r="E206" s="206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25" customHeight="1" s="214">
      <c r="A207" s="7" t="n"/>
      <c r="B207" s="7" t="n"/>
      <c r="C207" s="7" t="n"/>
      <c r="D207" s="14" t="n"/>
      <c r="E207" s="206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25" customHeight="1" s="214">
      <c r="A208" s="7" t="n"/>
      <c r="B208" s="7" t="n"/>
      <c r="C208" s="7" t="n"/>
      <c r="D208" s="14" t="n"/>
      <c r="E208" s="206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25" customHeight="1" s="214">
      <c r="A209" s="7" t="n"/>
      <c r="B209" s="7" t="n"/>
      <c r="C209" s="7" t="n"/>
      <c r="D209" s="14" t="n"/>
      <c r="E209" s="206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25" customHeight="1" s="214">
      <c r="A210" s="7" t="n"/>
      <c r="B210" s="7" t="n"/>
      <c r="C210" s="7" t="n"/>
      <c r="D210" s="14" t="n"/>
      <c r="E210" s="206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25" customHeight="1" s="214">
      <c r="A211" s="7" t="n"/>
      <c r="B211" s="7" t="n"/>
      <c r="C211" s="7" t="n"/>
      <c r="D211" s="14" t="n"/>
      <c r="E211" s="206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25" customHeight="1" s="214">
      <c r="A212" s="7" t="n"/>
      <c r="B212" s="7" t="n"/>
      <c r="C212" s="7" t="n"/>
      <c r="D212" s="14" t="n"/>
      <c r="E212" s="206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25" customHeight="1" s="214">
      <c r="A213" s="7" t="n"/>
      <c r="B213" s="7" t="n"/>
      <c r="C213" s="7" t="n"/>
      <c r="D213" s="14" t="n"/>
      <c r="E213" s="206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25" customHeight="1" s="214">
      <c r="A214" s="7" t="n"/>
      <c r="B214" s="7" t="n"/>
      <c r="C214" s="7" t="n"/>
      <c r="D214" s="14" t="n"/>
      <c r="E214" s="206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25" customHeight="1" s="214">
      <c r="A215" s="7" t="n"/>
      <c r="B215" s="7" t="n"/>
      <c r="C215" s="7" t="n"/>
      <c r="D215" s="14" t="n"/>
      <c r="E215" s="206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25" customHeight="1" s="214">
      <c r="A216" s="7" t="n"/>
      <c r="B216" s="7" t="n"/>
      <c r="C216" s="7" t="n"/>
      <c r="D216" s="14" t="n"/>
      <c r="E216" s="206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25" customHeight="1" s="214">
      <c r="A217" s="7" t="n"/>
      <c r="B217" s="7" t="n"/>
      <c r="C217" s="7" t="n"/>
      <c r="D217" s="14" t="n"/>
      <c r="E217" s="206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25" customHeight="1" s="214">
      <c r="A218" s="7" t="n"/>
      <c r="B218" s="7" t="n"/>
      <c r="C218" s="7" t="n"/>
      <c r="D218" s="14" t="n"/>
      <c r="E218" s="206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25" customHeight="1" s="214">
      <c r="A219" s="7" t="n"/>
      <c r="B219" s="7" t="n"/>
      <c r="C219" s="7" t="n"/>
      <c r="D219" s="14" t="n"/>
      <c r="E219" s="206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25" customHeight="1" s="214">
      <c r="A220" s="7" t="n"/>
      <c r="B220" s="7" t="n"/>
      <c r="C220" s="7" t="n"/>
      <c r="D220" s="14" t="n"/>
      <c r="E220" s="206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25" customHeight="1" s="214">
      <c r="A221" s="7" t="n"/>
      <c r="B221" s="7" t="n"/>
      <c r="C221" s="7" t="n"/>
      <c r="D221" s="14" t="n"/>
      <c r="E221" s="206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25" customHeight="1" s="214">
      <c r="A222" s="7" t="n"/>
      <c r="B222" s="7" t="n"/>
      <c r="C222" s="7" t="n"/>
      <c r="D222" s="14" t="n"/>
      <c r="E222" s="206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25" customHeight="1" s="214">
      <c r="A223" s="7" t="n"/>
      <c r="B223" s="7" t="n"/>
      <c r="C223" s="7" t="n"/>
      <c r="D223" s="14" t="n"/>
      <c r="E223" s="206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25" customHeight="1" s="214">
      <c r="A224" s="7" t="n"/>
      <c r="B224" s="7" t="n"/>
      <c r="C224" s="7" t="n"/>
      <c r="D224" s="14" t="n"/>
      <c r="E224" s="206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25" customHeight="1" s="214">
      <c r="A225" s="7" t="n"/>
      <c r="B225" s="7" t="n"/>
      <c r="C225" s="7" t="n"/>
      <c r="D225" s="14" t="n"/>
      <c r="E225" s="206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25" customHeight="1" s="214">
      <c r="A226" s="7" t="n"/>
      <c r="B226" s="7" t="n"/>
      <c r="C226" s="7" t="n"/>
      <c r="D226" s="14" t="n"/>
      <c r="E226" s="206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25" customHeight="1" s="214">
      <c r="A227" s="7" t="n"/>
      <c r="B227" s="7" t="n"/>
      <c r="C227" s="7" t="n"/>
      <c r="D227" s="14" t="n"/>
      <c r="E227" s="206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25" customHeight="1" s="214">
      <c r="A228" s="7" t="n"/>
      <c r="B228" s="7" t="n"/>
      <c r="C228" s="7" t="n"/>
      <c r="D228" s="14" t="n"/>
      <c r="E228" s="206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25" customHeight="1" s="214">
      <c r="A229" s="7" t="n"/>
      <c r="B229" s="7" t="n"/>
      <c r="C229" s="7" t="n"/>
      <c r="D229" s="14" t="n"/>
      <c r="E229" s="206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25" customHeight="1" s="214">
      <c r="A230" s="7" t="n"/>
      <c r="B230" s="7" t="n"/>
      <c r="C230" s="7" t="n"/>
      <c r="D230" s="14" t="n"/>
      <c r="E230" s="206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25" customHeight="1" s="214">
      <c r="A231" s="7" t="n"/>
      <c r="B231" s="7" t="n"/>
      <c r="C231" s="7" t="n"/>
      <c r="D231" s="14" t="n"/>
      <c r="E231" s="206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25" customHeight="1" s="214">
      <c r="A232" s="7" t="n"/>
      <c r="B232" s="7" t="n"/>
      <c r="C232" s="7" t="n"/>
      <c r="D232" s="14" t="n"/>
      <c r="E232" s="206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25" customHeight="1" s="214">
      <c r="A233" s="7" t="n"/>
      <c r="B233" s="7" t="n"/>
      <c r="C233" s="7" t="n"/>
      <c r="D233" s="14" t="n"/>
      <c r="E233" s="206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25" customHeight="1" s="214">
      <c r="A234" s="7" t="n"/>
      <c r="B234" s="7" t="n"/>
      <c r="C234" s="7" t="n"/>
      <c r="D234" s="14" t="n"/>
      <c r="E234" s="206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25" customHeight="1" s="214">
      <c r="A235" s="7" t="n"/>
      <c r="B235" s="7" t="n"/>
      <c r="C235" s="7" t="n"/>
      <c r="D235" s="14" t="n"/>
      <c r="E235" s="206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25" customHeight="1" s="214">
      <c r="A236" s="7" t="n"/>
      <c r="B236" s="7" t="n"/>
      <c r="C236" s="7" t="n"/>
      <c r="D236" s="14" t="n"/>
      <c r="E236" s="206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25" customHeight="1" s="214">
      <c r="A237" s="7" t="n"/>
      <c r="B237" s="7" t="n"/>
      <c r="C237" s="7" t="n"/>
      <c r="D237" s="14" t="n"/>
      <c r="E237" s="206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25" customHeight="1" s="214">
      <c r="A238" s="7" t="n"/>
      <c r="B238" s="7" t="n"/>
      <c r="C238" s="7" t="n"/>
      <c r="D238" s="14" t="n"/>
      <c r="E238" s="206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25" customHeight="1" s="214">
      <c r="A239" s="7" t="n"/>
      <c r="B239" s="7" t="n"/>
      <c r="C239" s="7" t="n"/>
      <c r="D239" s="14" t="n"/>
      <c r="E239" s="206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25" customHeight="1" s="214">
      <c r="A240" s="7" t="n"/>
      <c r="B240" s="7" t="n"/>
      <c r="C240" s="7" t="n"/>
      <c r="D240" s="14" t="n"/>
      <c r="E240" s="206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25" customHeight="1" s="214">
      <c r="A241" s="7" t="n"/>
      <c r="B241" s="7" t="n"/>
      <c r="C241" s="7" t="n"/>
      <c r="D241" s="14" t="n"/>
      <c r="E241" s="206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25" customHeight="1" s="214">
      <c r="A242" s="7" t="n"/>
      <c r="B242" s="7" t="n"/>
      <c r="C242" s="7" t="n"/>
      <c r="D242" s="14" t="n"/>
      <c r="E242" s="206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25" customHeight="1" s="214">
      <c r="A243" s="7" t="n"/>
      <c r="B243" s="7" t="n"/>
      <c r="C243" s="7" t="n"/>
      <c r="D243" s="14" t="n"/>
      <c r="E243" s="206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25" customHeight="1" s="214">
      <c r="A244" s="7" t="n"/>
      <c r="B244" s="7" t="n"/>
      <c r="C244" s="7" t="n"/>
      <c r="D244" s="14" t="n"/>
      <c r="E244" s="206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25" customHeight="1" s="214">
      <c r="A245" s="7" t="n"/>
      <c r="B245" s="7" t="n"/>
      <c r="C245" s="7" t="n"/>
      <c r="D245" s="14" t="n"/>
      <c r="E245" s="206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25" customHeight="1" s="214">
      <c r="A246" s="7" t="n"/>
      <c r="B246" s="7" t="n"/>
      <c r="C246" s="7" t="n"/>
      <c r="D246" s="14" t="n"/>
      <c r="E246" s="206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25" customHeight="1" s="214">
      <c r="A247" s="7" t="n"/>
      <c r="B247" s="7" t="n"/>
      <c r="C247" s="7" t="n"/>
      <c r="D247" s="14" t="n"/>
      <c r="E247" s="206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25" customHeight="1" s="214">
      <c r="A248" s="7" t="n"/>
      <c r="B248" s="7" t="n"/>
      <c r="C248" s="7" t="n"/>
      <c r="D248" s="14" t="n"/>
      <c r="E248" s="206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25" customHeight="1" s="214">
      <c r="A249" s="7" t="n"/>
      <c r="B249" s="7" t="n"/>
      <c r="C249" s="7" t="n"/>
      <c r="D249" s="14" t="n"/>
      <c r="E249" s="206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25" customHeight="1" s="214">
      <c r="A250" s="7" t="n"/>
      <c r="B250" s="7" t="n"/>
      <c r="C250" s="7" t="n"/>
      <c r="D250" s="14" t="n"/>
      <c r="E250" s="206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25" customHeight="1" s="214">
      <c r="A251" s="7" t="n"/>
      <c r="B251" s="7" t="n"/>
      <c r="C251" s="7" t="n"/>
      <c r="D251" s="14" t="n"/>
      <c r="E251" s="206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25" customHeight="1" s="214">
      <c r="A252" s="7" t="n"/>
      <c r="B252" s="7" t="n"/>
      <c r="C252" s="7" t="n"/>
      <c r="D252" s="14" t="n"/>
      <c r="E252" s="206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25" customHeight="1" s="214">
      <c r="A253" s="7" t="n"/>
      <c r="B253" s="7" t="n"/>
      <c r="C253" s="7" t="n"/>
      <c r="D253" s="14" t="n"/>
      <c r="E253" s="206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25" customHeight="1" s="214">
      <c r="A254" s="7" t="n"/>
      <c r="B254" s="7" t="n"/>
      <c r="C254" s="7" t="n"/>
      <c r="D254" s="14" t="n"/>
      <c r="E254" s="206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25" customHeight="1" s="214">
      <c r="A255" s="7" t="n"/>
      <c r="B255" s="7" t="n"/>
      <c r="C255" s="7" t="n"/>
      <c r="D255" s="14" t="n"/>
      <c r="E255" s="206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25" customHeight="1" s="214">
      <c r="A256" s="7" t="n"/>
      <c r="B256" s="7" t="n"/>
      <c r="C256" s="7" t="n"/>
      <c r="D256" s="14" t="n"/>
      <c r="E256" s="206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25" customHeight="1" s="214">
      <c r="A257" s="7" t="n"/>
      <c r="B257" s="7" t="n"/>
      <c r="C257" s="7" t="n"/>
      <c r="D257" s="14" t="n"/>
      <c r="E257" s="206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25" customHeight="1" s="214">
      <c r="A258" s="7" t="n"/>
      <c r="B258" s="7" t="n"/>
      <c r="C258" s="7" t="n"/>
      <c r="D258" s="14" t="n"/>
      <c r="E258" s="206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25" customHeight="1" s="214">
      <c r="A259" s="7" t="n"/>
      <c r="B259" s="7" t="n"/>
      <c r="C259" s="7" t="n"/>
      <c r="D259" s="14" t="n"/>
      <c r="E259" s="206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25" customHeight="1" s="214">
      <c r="A260" s="7" t="n"/>
      <c r="B260" s="7" t="n"/>
      <c r="C260" s="7" t="n"/>
      <c r="D260" s="14" t="n"/>
      <c r="E260" s="206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25" customHeight="1" s="214">
      <c r="A261" s="7" t="n"/>
      <c r="B261" s="7" t="n"/>
      <c r="C261" s="7" t="n"/>
      <c r="D261" s="14" t="n"/>
      <c r="E261" s="206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25" customHeight="1" s="214">
      <c r="A262" s="7" t="n"/>
      <c r="B262" s="7" t="n"/>
      <c r="C262" s="7" t="n"/>
      <c r="D262" s="14" t="n"/>
      <c r="E262" s="206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25" customHeight="1" s="214">
      <c r="A263" s="7" t="n"/>
      <c r="B263" s="7" t="n"/>
      <c r="C263" s="7" t="n"/>
      <c r="D263" s="14" t="n"/>
      <c r="E263" s="206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25" customHeight="1" s="214">
      <c r="A264" s="7" t="n"/>
      <c r="B264" s="7" t="n"/>
      <c r="C264" s="7" t="n"/>
      <c r="D264" s="14" t="n"/>
      <c r="E264" s="206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25" customHeight="1" s="214">
      <c r="A265" s="7" t="n"/>
      <c r="B265" s="7" t="n"/>
      <c r="C265" s="7" t="n"/>
      <c r="D265" s="14" t="n"/>
      <c r="E265" s="206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25" customHeight="1" s="214">
      <c r="A266" s="7" t="n"/>
      <c r="B266" s="7" t="n"/>
      <c r="C266" s="7" t="n"/>
      <c r="D266" s="14" t="n"/>
      <c r="E266" s="206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25" customHeight="1" s="214">
      <c r="A267" s="7" t="n"/>
      <c r="B267" s="7" t="n"/>
      <c r="C267" s="7" t="n"/>
      <c r="D267" s="14" t="n"/>
      <c r="E267" s="206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25" customHeight="1" s="214">
      <c r="A268" s="7" t="n"/>
      <c r="B268" s="7" t="n"/>
      <c r="C268" s="7" t="n"/>
      <c r="D268" s="14" t="n"/>
      <c r="E268" s="206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25" customHeight="1" s="214">
      <c r="A269" s="7" t="n"/>
      <c r="B269" s="7" t="n"/>
      <c r="C269" s="7" t="n"/>
      <c r="D269" s="14" t="n"/>
      <c r="E269" s="206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25" customHeight="1" s="214">
      <c r="A270" s="7" t="n"/>
      <c r="B270" s="7" t="n"/>
      <c r="C270" s="7" t="n"/>
      <c r="D270" s="14" t="n"/>
      <c r="E270" s="206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25" customHeight="1" s="214">
      <c r="A271" s="7" t="n"/>
      <c r="B271" s="7" t="n"/>
      <c r="C271" s="7" t="n"/>
      <c r="D271" s="14" t="n"/>
      <c r="E271" s="206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25" customHeight="1" s="214">
      <c r="A272" s="7" t="n"/>
      <c r="B272" s="7" t="n"/>
      <c r="C272" s="7" t="n"/>
      <c r="D272" s="14" t="n"/>
      <c r="E272" s="206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25" customHeight="1" s="214">
      <c r="A273" s="7" t="n"/>
      <c r="B273" s="7" t="n"/>
      <c r="C273" s="7" t="n"/>
      <c r="D273" s="14" t="n"/>
      <c r="E273" s="206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25" customHeight="1" s="214">
      <c r="A274" s="7" t="n"/>
      <c r="B274" s="7" t="n"/>
      <c r="C274" s="7" t="n"/>
      <c r="D274" s="14" t="n"/>
      <c r="E274" s="206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25" customHeight="1" s="214">
      <c r="A275" s="7" t="n"/>
      <c r="B275" s="7" t="n"/>
      <c r="C275" s="7" t="n"/>
      <c r="D275" s="14" t="n"/>
      <c r="E275" s="206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25" customHeight="1" s="214">
      <c r="A276" s="7" t="n"/>
      <c r="B276" s="7" t="n"/>
      <c r="C276" s="7" t="n"/>
      <c r="D276" s="14" t="n"/>
      <c r="E276" s="206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25" customHeight="1" s="214">
      <c r="A277" s="7" t="n"/>
      <c r="B277" s="7" t="n"/>
      <c r="C277" s="7" t="n"/>
      <c r="D277" s="14" t="n"/>
      <c r="E277" s="206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25" customHeight="1" s="214">
      <c r="A278" s="7" t="n"/>
      <c r="B278" s="7" t="n"/>
      <c r="C278" s="7" t="n"/>
      <c r="D278" s="14" t="n"/>
      <c r="E278" s="206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25" customHeight="1" s="214">
      <c r="A279" s="7" t="n"/>
      <c r="B279" s="7" t="n"/>
      <c r="C279" s="7" t="n"/>
      <c r="D279" s="14" t="n"/>
      <c r="E279" s="206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25" customHeight="1" s="214">
      <c r="A280" s="7" t="n"/>
      <c r="B280" s="7" t="n"/>
      <c r="C280" s="7" t="n"/>
      <c r="D280" s="14" t="n"/>
      <c r="E280" s="206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25" customHeight="1" s="214">
      <c r="A281" s="7" t="n"/>
      <c r="B281" s="7" t="n"/>
      <c r="C281" s="7" t="n"/>
      <c r="D281" s="14" t="n"/>
      <c r="E281" s="206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25" customHeight="1" s="214">
      <c r="A282" s="7" t="n"/>
      <c r="B282" s="7" t="n"/>
      <c r="C282" s="7" t="n"/>
      <c r="D282" s="14" t="n"/>
      <c r="E282" s="206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25" customHeight="1" s="214">
      <c r="A283" s="7" t="n"/>
      <c r="B283" s="7" t="n"/>
      <c r="C283" s="7" t="n"/>
      <c r="D283" s="14" t="n"/>
      <c r="E283" s="206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25" customHeight="1" s="214">
      <c r="A284" s="7" t="n"/>
      <c r="B284" s="7" t="n"/>
      <c r="C284" s="7" t="n"/>
      <c r="D284" s="14" t="n"/>
      <c r="E284" s="206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25" customHeight="1" s="214">
      <c r="A285" s="7" t="n"/>
      <c r="B285" s="7" t="n"/>
      <c r="C285" s="7" t="n"/>
      <c r="D285" s="14" t="n"/>
      <c r="E285" s="206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25" customHeight="1" s="214">
      <c r="A286" s="7" t="n"/>
      <c r="B286" s="7" t="n"/>
      <c r="C286" s="7" t="n"/>
      <c r="D286" s="14" t="n"/>
      <c r="E286" s="206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25" customHeight="1" s="214">
      <c r="A287" s="7" t="n"/>
      <c r="B287" s="7" t="n"/>
      <c r="C287" s="7" t="n"/>
      <c r="D287" s="14" t="n"/>
      <c r="E287" s="206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25" customHeight="1" s="214">
      <c r="A288" s="7" t="n"/>
      <c r="B288" s="7" t="n"/>
      <c r="C288" s="7" t="n"/>
      <c r="D288" s="14" t="n"/>
      <c r="E288" s="206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25" customHeight="1" s="214">
      <c r="A289" s="7" t="n"/>
      <c r="B289" s="7" t="n"/>
      <c r="C289" s="7" t="n"/>
      <c r="D289" s="14" t="n"/>
      <c r="E289" s="206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25" customHeight="1" s="214">
      <c r="A290" s="7" t="n"/>
      <c r="B290" s="7" t="n"/>
      <c r="C290" s="7" t="n"/>
      <c r="D290" s="14" t="n"/>
      <c r="E290" s="206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25" customHeight="1" s="214">
      <c r="A291" s="7" t="n"/>
      <c r="B291" s="7" t="n"/>
      <c r="C291" s="7" t="n"/>
      <c r="D291" s="14" t="n"/>
      <c r="E291" s="206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25" customHeight="1" s="214">
      <c r="A292" s="7" t="n"/>
      <c r="B292" s="7" t="n"/>
      <c r="C292" s="7" t="n"/>
      <c r="D292" s="14" t="n"/>
      <c r="E292" s="206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25" customHeight="1" s="214">
      <c r="A293" s="7" t="n"/>
      <c r="B293" s="7" t="n"/>
      <c r="C293" s="7" t="n"/>
      <c r="D293" s="14" t="n"/>
      <c r="E293" s="206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25" customHeight="1" s="214">
      <c r="A294" s="7" t="n"/>
      <c r="B294" s="7" t="n"/>
      <c r="C294" s="7" t="n"/>
      <c r="D294" s="14" t="n"/>
      <c r="E294" s="206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25" customHeight="1" s="214">
      <c r="A295" s="7" t="n"/>
      <c r="B295" s="7" t="n"/>
      <c r="C295" s="7" t="n"/>
      <c r="D295" s="14" t="n"/>
      <c r="E295" s="206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25" customHeight="1" s="214">
      <c r="A296" s="7" t="n"/>
      <c r="B296" s="7" t="n"/>
      <c r="C296" s="7" t="n"/>
      <c r="D296" s="14" t="n"/>
      <c r="E296" s="206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25" customHeight="1" s="214">
      <c r="A297" s="7" t="n"/>
      <c r="B297" s="7" t="n"/>
      <c r="C297" s="7" t="n"/>
      <c r="D297" s="14" t="n"/>
      <c r="E297" s="206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25" customHeight="1" s="214">
      <c r="A298" s="7" t="n"/>
      <c r="B298" s="7" t="n"/>
      <c r="C298" s="7" t="n"/>
      <c r="D298" s="14" t="n"/>
      <c r="E298" s="206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25" customHeight="1" s="214">
      <c r="A299" s="7" t="n"/>
      <c r="B299" s="7" t="n"/>
      <c r="C299" s="7" t="n"/>
      <c r="D299" s="14" t="n"/>
      <c r="E299" s="206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25" customHeight="1" s="214">
      <c r="A300" s="7" t="n"/>
      <c r="B300" s="7" t="n"/>
      <c r="C300" s="7" t="n"/>
      <c r="D300" s="14" t="n"/>
      <c r="E300" s="206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25" customHeight="1" s="214">
      <c r="A301" s="7" t="n"/>
      <c r="B301" s="7" t="n"/>
      <c r="C301" s="7" t="n"/>
      <c r="D301" s="14" t="n"/>
      <c r="E301" s="206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25" customHeight="1" s="214">
      <c r="A302" s="7" t="n"/>
      <c r="B302" s="7" t="n"/>
      <c r="C302" s="7" t="n"/>
      <c r="D302" s="14" t="n"/>
      <c r="E302" s="206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25" customHeight="1" s="214">
      <c r="A303" s="7" t="n"/>
      <c r="B303" s="7" t="n"/>
      <c r="C303" s="7" t="n"/>
      <c r="D303" s="14" t="n"/>
      <c r="E303" s="206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25" customHeight="1" s="214">
      <c r="A304" s="7" t="n"/>
      <c r="B304" s="7" t="n"/>
      <c r="C304" s="7" t="n"/>
      <c r="D304" s="14" t="n"/>
      <c r="E304" s="206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25" customHeight="1" s="214">
      <c r="A305" s="7" t="n"/>
      <c r="B305" s="7" t="n"/>
      <c r="C305" s="7" t="n"/>
      <c r="D305" s="14" t="n"/>
      <c r="E305" s="206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25" customHeight="1" s="214">
      <c r="A306" s="7" t="n"/>
      <c r="B306" s="7" t="n"/>
      <c r="C306" s="7" t="n"/>
      <c r="D306" s="14" t="n"/>
      <c r="E306" s="206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25" customHeight="1" s="214">
      <c r="A307" s="7" t="n"/>
      <c r="B307" s="7" t="n"/>
      <c r="C307" s="7" t="n"/>
      <c r="D307" s="14" t="n"/>
      <c r="E307" s="206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25" customHeight="1" s="214">
      <c r="A308" s="7" t="n"/>
      <c r="B308" s="7" t="n"/>
      <c r="C308" s="7" t="n"/>
      <c r="D308" s="14" t="n"/>
      <c r="E308" s="206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25" customHeight="1" s="214">
      <c r="A309" s="7" t="n"/>
      <c r="B309" s="7" t="n"/>
      <c r="C309" s="7" t="n"/>
      <c r="D309" s="14" t="n"/>
      <c r="E309" s="206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25" customHeight="1" s="214">
      <c r="A310" s="7" t="n"/>
      <c r="B310" s="7" t="n"/>
      <c r="C310" s="7" t="n"/>
      <c r="D310" s="14" t="n"/>
      <c r="E310" s="206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25" customHeight="1" s="214">
      <c r="A311" s="7" t="n"/>
      <c r="B311" s="7" t="n"/>
      <c r="C311" s="7" t="n"/>
      <c r="D311" s="14" t="n"/>
      <c r="E311" s="206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25" customHeight="1" s="214">
      <c r="A312" s="7" t="n"/>
      <c r="B312" s="7" t="n"/>
      <c r="C312" s="7" t="n"/>
      <c r="D312" s="14" t="n"/>
      <c r="E312" s="206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25" customHeight="1" s="214">
      <c r="A313" s="7" t="n"/>
      <c r="B313" s="7" t="n"/>
      <c r="C313" s="7" t="n"/>
      <c r="D313" s="14" t="n"/>
      <c r="E313" s="206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25" customHeight="1" s="214">
      <c r="A314" s="7" t="n"/>
      <c r="B314" s="7" t="n"/>
      <c r="C314" s="7" t="n"/>
      <c r="D314" s="14" t="n"/>
      <c r="E314" s="206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25" customHeight="1" s="214">
      <c r="A315" s="7" t="n"/>
      <c r="B315" s="7" t="n"/>
      <c r="C315" s="7" t="n"/>
      <c r="D315" s="14" t="n"/>
      <c r="E315" s="206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25" customHeight="1" s="214">
      <c r="A316" s="7" t="n"/>
      <c r="B316" s="7" t="n"/>
      <c r="C316" s="7" t="n"/>
      <c r="D316" s="14" t="n"/>
      <c r="E316" s="206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25" customHeight="1" s="214">
      <c r="A317" s="7" t="n"/>
      <c r="B317" s="7" t="n"/>
      <c r="C317" s="7" t="n"/>
      <c r="D317" s="14" t="n"/>
      <c r="E317" s="206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25" customHeight="1" s="214">
      <c r="A318" s="7" t="n"/>
      <c r="B318" s="7" t="n"/>
      <c r="C318" s="7" t="n"/>
      <c r="D318" s="14" t="n"/>
      <c r="E318" s="206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25" customHeight="1" s="214">
      <c r="A319" s="7" t="n"/>
      <c r="B319" s="7" t="n"/>
      <c r="C319" s="7" t="n"/>
      <c r="D319" s="14" t="n"/>
      <c r="E319" s="206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25" customHeight="1" s="214">
      <c r="A320" s="7" t="n"/>
      <c r="B320" s="7" t="n"/>
      <c r="C320" s="7" t="n"/>
      <c r="D320" s="14" t="n"/>
      <c r="E320" s="206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25" customHeight="1" s="214">
      <c r="A321" s="7" t="n"/>
      <c r="B321" s="7" t="n"/>
      <c r="C321" s="7" t="n"/>
      <c r="D321" s="14" t="n"/>
      <c r="E321" s="206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25" customHeight="1" s="214">
      <c r="A322" s="7" t="n"/>
      <c r="B322" s="7" t="n"/>
      <c r="C322" s="7" t="n"/>
      <c r="D322" s="14" t="n"/>
      <c r="E322" s="206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25" customHeight="1" s="214">
      <c r="A323" s="7" t="n"/>
      <c r="B323" s="7" t="n"/>
      <c r="C323" s="7" t="n"/>
      <c r="D323" s="14" t="n"/>
      <c r="E323" s="206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25" customHeight="1" s="214">
      <c r="A324" s="7" t="n"/>
      <c r="B324" s="7" t="n"/>
      <c r="C324" s="7" t="n"/>
      <c r="D324" s="14" t="n"/>
      <c r="E324" s="206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25" customHeight="1" s="214">
      <c r="A325" s="7" t="n"/>
      <c r="B325" s="7" t="n"/>
      <c r="C325" s="7" t="n"/>
      <c r="D325" s="14" t="n"/>
      <c r="E325" s="206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25" customHeight="1" s="214">
      <c r="A326" s="7" t="n"/>
      <c r="B326" s="7" t="n"/>
      <c r="C326" s="7" t="n"/>
      <c r="D326" s="14" t="n"/>
      <c r="E326" s="206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25" customHeight="1" s="214">
      <c r="A327" s="7" t="n"/>
      <c r="B327" s="7" t="n"/>
      <c r="C327" s="7" t="n"/>
      <c r="D327" s="14" t="n"/>
      <c r="E327" s="206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25" customHeight="1" s="214">
      <c r="A328" s="7" t="n"/>
      <c r="B328" s="7" t="n"/>
      <c r="C328" s="7" t="n"/>
      <c r="D328" s="14" t="n"/>
      <c r="E328" s="206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25" customHeight="1" s="214">
      <c r="A329" s="7" t="n"/>
      <c r="B329" s="7" t="n"/>
      <c r="C329" s="7" t="n"/>
      <c r="D329" s="14" t="n"/>
      <c r="E329" s="206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25" customHeight="1" s="214">
      <c r="A330" s="7" t="n"/>
      <c r="B330" s="7" t="n"/>
      <c r="C330" s="7" t="n"/>
      <c r="D330" s="14" t="n"/>
      <c r="E330" s="206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25" customHeight="1" s="214">
      <c r="A331" s="7" t="n"/>
      <c r="B331" s="7" t="n"/>
      <c r="C331" s="7" t="n"/>
      <c r="D331" s="14" t="n"/>
      <c r="E331" s="206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25" customHeight="1" s="214">
      <c r="A332" s="7" t="n"/>
      <c r="B332" s="7" t="n"/>
      <c r="C332" s="7" t="n"/>
      <c r="D332" s="14" t="n"/>
      <c r="E332" s="206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25" customHeight="1" s="214">
      <c r="A333" s="7" t="n"/>
      <c r="B333" s="7" t="n"/>
      <c r="C333" s="7" t="n"/>
      <c r="D333" s="14" t="n"/>
      <c r="E333" s="206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25" customHeight="1" s="214">
      <c r="A334" s="7" t="n"/>
      <c r="B334" s="7" t="n"/>
      <c r="C334" s="7" t="n"/>
      <c r="D334" s="14" t="n"/>
      <c r="E334" s="206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25" customHeight="1" s="214">
      <c r="A335" s="7" t="n"/>
      <c r="B335" s="7" t="n"/>
      <c r="C335" s="7" t="n"/>
      <c r="D335" s="14" t="n"/>
      <c r="E335" s="206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25" customHeight="1" s="214">
      <c r="A336" s="7" t="n"/>
      <c r="B336" s="7" t="n"/>
      <c r="C336" s="7" t="n"/>
      <c r="D336" s="14" t="n"/>
      <c r="E336" s="206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25" customHeight="1" s="214">
      <c r="A337" s="7" t="n"/>
      <c r="B337" s="7" t="n"/>
      <c r="C337" s="7" t="n"/>
      <c r="D337" s="14" t="n"/>
      <c r="E337" s="206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25" customHeight="1" s="214">
      <c r="A338" s="7" t="n"/>
      <c r="B338" s="7" t="n"/>
      <c r="C338" s="7" t="n"/>
      <c r="D338" s="14" t="n"/>
      <c r="E338" s="206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25" customHeight="1" s="214">
      <c r="A339" s="7" t="n"/>
      <c r="B339" s="7" t="n"/>
      <c r="C339" s="7" t="n"/>
      <c r="D339" s="14" t="n"/>
      <c r="E339" s="206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25" customHeight="1" s="214">
      <c r="A340" s="7" t="n"/>
      <c r="B340" s="7" t="n"/>
      <c r="C340" s="7" t="n"/>
      <c r="D340" s="14" t="n"/>
      <c r="E340" s="206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25" customHeight="1" s="214">
      <c r="A341" s="7" t="n"/>
      <c r="B341" s="7" t="n"/>
      <c r="C341" s="7" t="n"/>
      <c r="D341" s="14" t="n"/>
      <c r="E341" s="206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25" customHeight="1" s="214">
      <c r="A342" s="7" t="n"/>
      <c r="B342" s="7" t="n"/>
      <c r="C342" s="7" t="n"/>
      <c r="D342" s="14" t="n"/>
      <c r="E342" s="206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25" customHeight="1" s="214">
      <c r="A343" s="7" t="n"/>
      <c r="B343" s="7" t="n"/>
      <c r="C343" s="7" t="n"/>
      <c r="D343" s="14" t="n"/>
      <c r="E343" s="206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25" customHeight="1" s="214">
      <c r="A344" s="7" t="n"/>
      <c r="B344" s="7" t="n"/>
      <c r="C344" s="7" t="n"/>
      <c r="D344" s="14" t="n"/>
      <c r="E344" s="206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25" customHeight="1" s="214">
      <c r="A345" s="7" t="n"/>
      <c r="B345" s="7" t="n"/>
      <c r="C345" s="7" t="n"/>
      <c r="D345" s="14" t="n"/>
      <c r="E345" s="206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25" customHeight="1" s="214">
      <c r="A346" s="7" t="n"/>
      <c r="B346" s="7" t="n"/>
      <c r="C346" s="7" t="n"/>
      <c r="D346" s="14" t="n"/>
      <c r="E346" s="206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25" customHeight="1" s="214">
      <c r="A347" s="7" t="n"/>
      <c r="B347" s="7" t="n"/>
      <c r="C347" s="7" t="n"/>
      <c r="D347" s="14" t="n"/>
      <c r="E347" s="206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25" customHeight="1" s="214">
      <c r="A348" s="7" t="n"/>
      <c r="B348" s="7" t="n"/>
      <c r="C348" s="7" t="n"/>
      <c r="D348" s="14" t="n"/>
      <c r="E348" s="206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25" customHeight="1" s="214">
      <c r="A349" s="7" t="n"/>
      <c r="B349" s="7" t="n"/>
      <c r="C349" s="7" t="n"/>
      <c r="D349" s="14" t="n"/>
      <c r="E349" s="206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25" customHeight="1" s="214">
      <c r="A350" s="7" t="n"/>
      <c r="B350" s="7" t="n"/>
      <c r="C350" s="7" t="n"/>
      <c r="D350" s="14" t="n"/>
      <c r="E350" s="206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25" customHeight="1" s="214">
      <c r="A351" s="7" t="n"/>
      <c r="B351" s="7" t="n"/>
      <c r="C351" s="7" t="n"/>
      <c r="D351" s="14" t="n"/>
      <c r="E351" s="206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25" customHeight="1" s="214">
      <c r="A352" s="7" t="n"/>
      <c r="B352" s="7" t="n"/>
      <c r="C352" s="7" t="n"/>
      <c r="D352" s="14" t="n"/>
      <c r="E352" s="206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25" customHeight="1" s="214">
      <c r="A353" s="7" t="n"/>
      <c r="B353" s="7" t="n"/>
      <c r="C353" s="7" t="n"/>
      <c r="D353" s="14" t="n"/>
      <c r="E353" s="206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25" customHeight="1" s="214">
      <c r="A354" s="7" t="n"/>
      <c r="B354" s="7" t="n"/>
      <c r="C354" s="7" t="n"/>
      <c r="D354" s="14" t="n"/>
      <c r="E354" s="206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25" customHeight="1" s="214">
      <c r="A355" s="7" t="n"/>
      <c r="B355" s="7" t="n"/>
      <c r="C355" s="7" t="n"/>
      <c r="D355" s="14" t="n"/>
      <c r="E355" s="206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25" customHeight="1" s="214">
      <c r="A356" s="7" t="n"/>
      <c r="B356" s="7" t="n"/>
      <c r="C356" s="7" t="n"/>
      <c r="D356" s="14" t="n"/>
      <c r="E356" s="206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25" customHeight="1" s="214">
      <c r="A357" s="7" t="n"/>
      <c r="B357" s="7" t="n"/>
      <c r="C357" s="7" t="n"/>
      <c r="D357" s="14" t="n"/>
      <c r="E357" s="206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25" customHeight="1" s="214">
      <c r="A358" s="7" t="n"/>
      <c r="B358" s="7" t="n"/>
      <c r="C358" s="7" t="n"/>
      <c r="D358" s="14" t="n"/>
      <c r="E358" s="206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25" customHeight="1" s="214">
      <c r="A359" s="7" t="n"/>
      <c r="B359" s="7" t="n"/>
      <c r="C359" s="7" t="n"/>
      <c r="D359" s="14" t="n"/>
      <c r="E359" s="206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25" customHeight="1" s="214">
      <c r="A360" s="7" t="n"/>
      <c r="B360" s="7" t="n"/>
      <c r="C360" s="7" t="n"/>
      <c r="D360" s="14" t="n"/>
      <c r="E360" s="206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25" customHeight="1" s="214">
      <c r="A361" s="7" t="n"/>
      <c r="B361" s="7" t="n"/>
      <c r="C361" s="7" t="n"/>
      <c r="D361" s="14" t="n"/>
      <c r="E361" s="206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25" customHeight="1" s="214">
      <c r="A362" s="7" t="n"/>
      <c r="B362" s="7" t="n"/>
      <c r="C362" s="7" t="n"/>
      <c r="D362" s="14" t="n"/>
      <c r="E362" s="206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25" customHeight="1" s="214">
      <c r="A363" s="7" t="n"/>
      <c r="B363" s="7" t="n"/>
      <c r="C363" s="7" t="n"/>
      <c r="D363" s="14" t="n"/>
      <c r="E363" s="206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25" customHeight="1" s="214">
      <c r="A364" s="7" t="n"/>
      <c r="B364" s="7" t="n"/>
      <c r="C364" s="7" t="n"/>
      <c r="D364" s="14" t="n"/>
      <c r="E364" s="206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25" customHeight="1" s="214">
      <c r="A365" s="7" t="n"/>
      <c r="B365" s="7" t="n"/>
      <c r="C365" s="7" t="n"/>
      <c r="D365" s="14" t="n"/>
      <c r="E365" s="206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25" customHeight="1" s="214">
      <c r="A366" s="7" t="n"/>
      <c r="B366" s="7" t="n"/>
      <c r="C366" s="7" t="n"/>
      <c r="D366" s="14" t="n"/>
      <c r="E366" s="206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25" customHeight="1" s="214">
      <c r="A367" s="7" t="n"/>
      <c r="B367" s="7" t="n"/>
      <c r="C367" s="7" t="n"/>
      <c r="D367" s="14" t="n"/>
      <c r="E367" s="206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25" customHeight="1" s="214">
      <c r="A368" s="7" t="n"/>
      <c r="B368" s="7" t="n"/>
      <c r="C368" s="7" t="n"/>
      <c r="D368" s="14" t="n"/>
      <c r="E368" s="206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25" customHeight="1" s="214">
      <c r="A369" s="7" t="n"/>
      <c r="B369" s="7" t="n"/>
      <c r="C369" s="7" t="n"/>
      <c r="D369" s="14" t="n"/>
      <c r="E369" s="206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25" customHeight="1" s="214">
      <c r="A370" s="7" t="n"/>
      <c r="B370" s="7" t="n"/>
      <c r="C370" s="7" t="n"/>
      <c r="D370" s="14" t="n"/>
      <c r="E370" s="206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25" customHeight="1" s="214">
      <c r="A371" s="7" t="n"/>
      <c r="B371" s="7" t="n"/>
      <c r="C371" s="7" t="n"/>
      <c r="D371" s="14" t="n"/>
      <c r="E371" s="206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25" customHeight="1" s="214">
      <c r="A372" s="7" t="n"/>
      <c r="B372" s="7" t="n"/>
      <c r="C372" s="7" t="n"/>
      <c r="D372" s="14" t="n"/>
      <c r="E372" s="206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25" customHeight="1" s="214">
      <c r="A373" s="7" t="n"/>
      <c r="B373" s="7" t="n"/>
      <c r="C373" s="7" t="n"/>
      <c r="D373" s="14" t="n"/>
      <c r="E373" s="206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25" customHeight="1" s="214">
      <c r="A374" s="7" t="n"/>
      <c r="B374" s="7" t="n"/>
      <c r="C374" s="7" t="n"/>
      <c r="D374" s="14" t="n"/>
      <c r="E374" s="206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25" customHeight="1" s="214">
      <c r="A375" s="7" t="n"/>
      <c r="B375" s="7" t="n"/>
      <c r="C375" s="7" t="n"/>
      <c r="D375" s="14" t="n"/>
      <c r="E375" s="206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25" customHeight="1" s="214">
      <c r="A376" s="7" t="n"/>
      <c r="B376" s="7" t="n"/>
      <c r="C376" s="7" t="n"/>
      <c r="D376" s="14" t="n"/>
      <c r="E376" s="206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25" customHeight="1" s="214">
      <c r="A377" s="7" t="n"/>
      <c r="B377" s="7" t="n"/>
      <c r="C377" s="7" t="n"/>
      <c r="D377" s="14" t="n"/>
      <c r="E377" s="206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25" customHeight="1" s="214">
      <c r="A378" s="7" t="n"/>
      <c r="B378" s="7" t="n"/>
      <c r="C378" s="7" t="n"/>
      <c r="D378" s="14" t="n"/>
      <c r="E378" s="206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25" customHeight="1" s="214">
      <c r="A379" s="7" t="n"/>
      <c r="B379" s="7" t="n"/>
      <c r="C379" s="7" t="n"/>
      <c r="D379" s="14" t="n"/>
      <c r="E379" s="206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25" customHeight="1" s="214">
      <c r="A380" s="7" t="n"/>
      <c r="B380" s="7" t="n"/>
      <c r="C380" s="7" t="n"/>
      <c r="D380" s="14" t="n"/>
      <c r="E380" s="206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25" customHeight="1" s="214">
      <c r="A381" s="7" t="n"/>
      <c r="B381" s="7" t="n"/>
      <c r="C381" s="7" t="n"/>
      <c r="D381" s="14" t="n"/>
      <c r="E381" s="206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25" customHeight="1" s="214">
      <c r="A382" s="7" t="n"/>
      <c r="B382" s="7" t="n"/>
      <c r="C382" s="7" t="n"/>
      <c r="D382" s="14" t="n"/>
      <c r="E382" s="206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25" customHeight="1" s="214">
      <c r="A383" s="7" t="n"/>
      <c r="B383" s="7" t="n"/>
      <c r="C383" s="7" t="n"/>
      <c r="D383" s="14" t="n"/>
      <c r="E383" s="206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25" customHeight="1" s="214">
      <c r="A384" s="7" t="n"/>
      <c r="B384" s="7" t="n"/>
      <c r="C384" s="7" t="n"/>
      <c r="D384" s="14" t="n"/>
      <c r="E384" s="206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25" customHeight="1" s="214">
      <c r="A385" s="7" t="n"/>
      <c r="B385" s="7" t="n"/>
      <c r="C385" s="7" t="n"/>
      <c r="D385" s="14" t="n"/>
      <c r="E385" s="206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25" customHeight="1" s="214">
      <c r="A386" s="7" t="n"/>
      <c r="B386" s="7" t="n"/>
      <c r="C386" s="7" t="n"/>
      <c r="D386" s="14" t="n"/>
      <c r="E386" s="206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25" customHeight="1" s="214">
      <c r="A387" s="7" t="n"/>
      <c r="B387" s="7" t="n"/>
      <c r="C387" s="7" t="n"/>
      <c r="D387" s="14" t="n"/>
      <c r="E387" s="206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25" customHeight="1" s="214">
      <c r="A388" s="7" t="n"/>
      <c r="B388" s="7" t="n"/>
      <c r="C388" s="7" t="n"/>
      <c r="D388" s="14" t="n"/>
      <c r="E388" s="206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25" customHeight="1" s="214">
      <c r="A389" s="7" t="n"/>
      <c r="B389" s="7" t="n"/>
      <c r="C389" s="7" t="n"/>
      <c r="D389" s="14" t="n"/>
      <c r="E389" s="206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25" customHeight="1" s="214">
      <c r="A390" s="7" t="n"/>
      <c r="B390" s="7" t="n"/>
      <c r="C390" s="7" t="n"/>
      <c r="D390" s="14" t="n"/>
      <c r="E390" s="206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25" customHeight="1" s="214">
      <c r="A391" s="7" t="n"/>
      <c r="B391" s="7" t="n"/>
      <c r="C391" s="7" t="n"/>
      <c r="D391" s="14" t="n"/>
      <c r="E391" s="206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25" customHeight="1" s="214">
      <c r="A392" s="7" t="n"/>
      <c r="B392" s="7" t="n"/>
      <c r="C392" s="7" t="n"/>
      <c r="D392" s="14" t="n"/>
      <c r="E392" s="206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25" customHeight="1" s="214">
      <c r="A393" s="7" t="n"/>
      <c r="B393" s="7" t="n"/>
      <c r="C393" s="7" t="n"/>
      <c r="D393" s="14" t="n"/>
      <c r="E393" s="206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25" customHeight="1" s="214">
      <c r="A394" s="7" t="n"/>
      <c r="B394" s="7" t="n"/>
      <c r="C394" s="7" t="n"/>
      <c r="D394" s="14" t="n"/>
      <c r="E394" s="206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25" customHeight="1" s="214">
      <c r="A395" s="7" t="n"/>
      <c r="B395" s="7" t="n"/>
      <c r="C395" s="7" t="n"/>
      <c r="D395" s="14" t="n"/>
      <c r="E395" s="206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25" customHeight="1" s="214">
      <c r="A396" s="7" t="n"/>
      <c r="B396" s="7" t="n"/>
      <c r="C396" s="7" t="n"/>
      <c r="D396" s="14" t="n"/>
      <c r="E396" s="206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25" customHeight="1" s="214">
      <c r="A397" s="7" t="n"/>
      <c r="B397" s="7" t="n"/>
      <c r="C397" s="7" t="n"/>
      <c r="D397" s="14" t="n"/>
      <c r="E397" s="206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25" customHeight="1" s="214">
      <c r="A398" s="7" t="n"/>
      <c r="B398" s="7" t="n"/>
      <c r="C398" s="7" t="n"/>
      <c r="D398" s="14" t="n"/>
      <c r="E398" s="206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25" customHeight="1" s="214">
      <c r="A399" s="7" t="n"/>
      <c r="B399" s="7" t="n"/>
      <c r="C399" s="7" t="n"/>
      <c r="D399" s="14" t="n"/>
      <c r="E399" s="206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25" customHeight="1" s="214">
      <c r="A400" s="7" t="n"/>
      <c r="B400" s="7" t="n"/>
      <c r="C400" s="7" t="n"/>
      <c r="D400" s="14" t="n"/>
      <c r="E400" s="206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25" customHeight="1" s="214">
      <c r="A401" s="7" t="n"/>
      <c r="B401" s="7" t="n"/>
      <c r="C401" s="7" t="n"/>
      <c r="D401" s="14" t="n"/>
      <c r="E401" s="206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25" customHeight="1" s="214">
      <c r="A402" s="7" t="n"/>
      <c r="B402" s="7" t="n"/>
      <c r="C402" s="7" t="n"/>
      <c r="D402" s="14" t="n"/>
      <c r="E402" s="206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25" customHeight="1" s="214">
      <c r="A403" s="7" t="n"/>
      <c r="B403" s="7" t="n"/>
      <c r="C403" s="7" t="n"/>
      <c r="D403" s="14" t="n"/>
      <c r="E403" s="206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25" customHeight="1" s="214">
      <c r="A404" s="7" t="n"/>
      <c r="B404" s="7" t="n"/>
      <c r="C404" s="7" t="n"/>
      <c r="D404" s="14" t="n"/>
      <c r="E404" s="206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25" customHeight="1" s="214">
      <c r="A405" s="7" t="n"/>
      <c r="B405" s="7" t="n"/>
      <c r="C405" s="7" t="n"/>
      <c r="D405" s="14" t="n"/>
      <c r="E405" s="206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25" customHeight="1" s="214">
      <c r="A406" s="7" t="n"/>
      <c r="B406" s="7" t="n"/>
      <c r="C406" s="7" t="n"/>
      <c r="D406" s="14" t="n"/>
      <c r="E406" s="206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25" customHeight="1" s="214">
      <c r="A407" s="7" t="n"/>
      <c r="B407" s="7" t="n"/>
      <c r="C407" s="7" t="n"/>
      <c r="D407" s="14" t="n"/>
      <c r="E407" s="206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25" customHeight="1" s="214">
      <c r="A408" s="7" t="n"/>
      <c r="B408" s="7" t="n"/>
      <c r="C408" s="7" t="n"/>
      <c r="D408" s="14" t="n"/>
      <c r="E408" s="206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25" customHeight="1" s="214">
      <c r="A409" s="7" t="n"/>
      <c r="B409" s="7" t="n"/>
      <c r="C409" s="7" t="n"/>
      <c r="D409" s="14" t="n"/>
      <c r="E409" s="206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25" customHeight="1" s="214">
      <c r="A410" s="7" t="n"/>
      <c r="B410" s="7" t="n"/>
      <c r="C410" s="7" t="n"/>
      <c r="D410" s="14" t="n"/>
      <c r="E410" s="206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25" customHeight="1" s="214">
      <c r="A411" s="7" t="n"/>
      <c r="B411" s="7" t="n"/>
      <c r="C411" s="7" t="n"/>
      <c r="D411" s="14" t="n"/>
      <c r="E411" s="206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25" customHeight="1" s="214">
      <c r="A412" s="7" t="n"/>
      <c r="B412" s="7" t="n"/>
      <c r="C412" s="7" t="n"/>
      <c r="D412" s="14" t="n"/>
      <c r="E412" s="206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25" customHeight="1" s="214">
      <c r="A413" s="7" t="n"/>
      <c r="B413" s="7" t="n"/>
      <c r="C413" s="7" t="n"/>
      <c r="D413" s="14" t="n"/>
      <c r="E413" s="206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25" customHeight="1" s="214">
      <c r="A414" s="7" t="n"/>
      <c r="B414" s="7" t="n"/>
      <c r="C414" s="7" t="n"/>
      <c r="D414" s="14" t="n"/>
      <c r="E414" s="206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25" customHeight="1" s="214">
      <c r="A415" s="7" t="n"/>
      <c r="B415" s="7" t="n"/>
      <c r="C415" s="7" t="n"/>
      <c r="D415" s="14" t="n"/>
      <c r="E415" s="206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25" customHeight="1" s="214">
      <c r="A416" s="7" t="n"/>
      <c r="B416" s="7" t="n"/>
      <c r="C416" s="7" t="n"/>
      <c r="D416" s="14" t="n"/>
      <c r="E416" s="206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25" customHeight="1" s="214">
      <c r="A417" s="7" t="n"/>
      <c r="B417" s="7" t="n"/>
      <c r="C417" s="7" t="n"/>
      <c r="D417" s="14" t="n"/>
      <c r="E417" s="206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25" customHeight="1" s="214">
      <c r="A418" s="7" t="n"/>
      <c r="B418" s="7" t="n"/>
      <c r="C418" s="7" t="n"/>
      <c r="D418" s="14" t="n"/>
      <c r="E418" s="206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25" customHeight="1" s="214">
      <c r="A419" s="7" t="n"/>
      <c r="B419" s="7" t="n"/>
      <c r="C419" s="7" t="n"/>
      <c r="D419" s="14" t="n"/>
      <c r="E419" s="206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25" customHeight="1" s="214">
      <c r="A420" s="7" t="n"/>
      <c r="B420" s="7" t="n"/>
      <c r="C420" s="7" t="n"/>
      <c r="D420" s="14" t="n"/>
      <c r="E420" s="206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25" customHeight="1" s="214">
      <c r="A421" s="7" t="n"/>
      <c r="B421" s="7" t="n"/>
      <c r="C421" s="7" t="n"/>
      <c r="D421" s="14" t="n"/>
      <c r="E421" s="206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25" customHeight="1" s="214">
      <c r="A422" s="7" t="n"/>
      <c r="B422" s="7" t="n"/>
      <c r="C422" s="7" t="n"/>
      <c r="D422" s="14" t="n"/>
      <c r="E422" s="206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25" customHeight="1" s="214">
      <c r="A423" s="7" t="n"/>
      <c r="B423" s="7" t="n"/>
      <c r="C423" s="7" t="n"/>
      <c r="D423" s="14" t="n"/>
      <c r="E423" s="206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25" customHeight="1" s="214">
      <c r="A424" s="7" t="n"/>
      <c r="B424" s="7" t="n"/>
      <c r="C424" s="7" t="n"/>
      <c r="D424" s="14" t="n"/>
      <c r="E424" s="206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25" customHeight="1" s="214">
      <c r="A425" s="7" t="n"/>
      <c r="B425" s="7" t="n"/>
      <c r="C425" s="7" t="n"/>
      <c r="D425" s="14" t="n"/>
      <c r="E425" s="206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25" customHeight="1" s="214">
      <c r="A426" s="7" t="n"/>
      <c r="B426" s="7" t="n"/>
      <c r="C426" s="7" t="n"/>
      <c r="D426" s="14" t="n"/>
      <c r="E426" s="206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25" customHeight="1" s="214">
      <c r="A427" s="7" t="n"/>
      <c r="B427" s="7" t="n"/>
      <c r="C427" s="7" t="n"/>
      <c r="D427" s="14" t="n"/>
      <c r="E427" s="206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25" customHeight="1" s="214">
      <c r="A428" s="7" t="n"/>
      <c r="B428" s="7" t="n"/>
      <c r="C428" s="7" t="n"/>
      <c r="D428" s="14" t="n"/>
      <c r="E428" s="206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25" customHeight="1" s="214">
      <c r="A429" s="7" t="n"/>
      <c r="B429" s="7" t="n"/>
      <c r="C429" s="7" t="n"/>
      <c r="D429" s="14" t="n"/>
      <c r="E429" s="206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25" customHeight="1" s="214">
      <c r="A430" s="7" t="n"/>
      <c r="B430" s="7" t="n"/>
      <c r="C430" s="7" t="n"/>
      <c r="D430" s="14" t="n"/>
      <c r="E430" s="206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25" customHeight="1" s="214">
      <c r="A431" s="7" t="n"/>
      <c r="B431" s="7" t="n"/>
      <c r="C431" s="7" t="n"/>
      <c r="D431" s="14" t="n"/>
      <c r="E431" s="206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25" customHeight="1" s="214">
      <c r="A432" s="7" t="n"/>
      <c r="B432" s="7" t="n"/>
      <c r="C432" s="7" t="n"/>
      <c r="D432" s="14" t="n"/>
      <c r="E432" s="206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25" customHeight="1" s="214">
      <c r="A433" s="7" t="n"/>
      <c r="B433" s="7" t="n"/>
      <c r="C433" s="7" t="n"/>
      <c r="D433" s="14" t="n"/>
      <c r="E433" s="206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25" customHeight="1" s="214">
      <c r="A434" s="7" t="n"/>
      <c r="B434" s="7" t="n"/>
      <c r="C434" s="7" t="n"/>
      <c r="D434" s="14" t="n"/>
      <c r="E434" s="206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25" customHeight="1" s="214">
      <c r="A435" s="7" t="n"/>
      <c r="B435" s="7" t="n"/>
      <c r="C435" s="7" t="n"/>
      <c r="D435" s="14" t="n"/>
      <c r="E435" s="206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25" customHeight="1" s="214">
      <c r="A436" s="7" t="n"/>
      <c r="B436" s="7" t="n"/>
      <c r="C436" s="7" t="n"/>
      <c r="D436" s="14" t="n"/>
      <c r="E436" s="206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25" customHeight="1" s="214">
      <c r="A437" s="7" t="n"/>
      <c r="B437" s="7" t="n"/>
      <c r="C437" s="7" t="n"/>
      <c r="D437" s="14" t="n"/>
      <c r="E437" s="206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25" customHeight="1" s="214">
      <c r="A438" s="7" t="n"/>
      <c r="B438" s="7" t="n"/>
      <c r="C438" s="7" t="n"/>
      <c r="D438" s="14" t="n"/>
      <c r="E438" s="206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25" customHeight="1" s="214">
      <c r="A439" s="7" t="n"/>
      <c r="B439" s="7" t="n"/>
      <c r="C439" s="7" t="n"/>
      <c r="D439" s="14" t="n"/>
      <c r="E439" s="206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25" customHeight="1" s="214">
      <c r="A440" s="7" t="n"/>
      <c r="B440" s="7" t="n"/>
      <c r="C440" s="7" t="n"/>
      <c r="D440" s="14" t="n"/>
      <c r="E440" s="206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25" customHeight="1" s="214">
      <c r="A441" s="7" t="n"/>
      <c r="B441" s="7" t="n"/>
      <c r="C441" s="7" t="n"/>
      <c r="D441" s="14" t="n"/>
      <c r="E441" s="206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25" customHeight="1" s="214">
      <c r="A442" s="7" t="n"/>
      <c r="B442" s="7" t="n"/>
      <c r="C442" s="7" t="n"/>
      <c r="D442" s="14" t="n"/>
      <c r="E442" s="206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25" customHeight="1" s="214">
      <c r="A443" s="7" t="n"/>
      <c r="B443" s="7" t="n"/>
      <c r="C443" s="7" t="n"/>
      <c r="D443" s="14" t="n"/>
      <c r="E443" s="206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25" customHeight="1" s="214">
      <c r="A444" s="7" t="n"/>
      <c r="B444" s="7" t="n"/>
      <c r="C444" s="7" t="n"/>
      <c r="D444" s="14" t="n"/>
      <c r="E444" s="206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25" customHeight="1" s="214">
      <c r="A445" s="7" t="n"/>
      <c r="B445" s="7" t="n"/>
      <c r="C445" s="7" t="n"/>
      <c r="D445" s="14" t="n"/>
      <c r="E445" s="206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25" customHeight="1" s="214">
      <c r="A446" s="7" t="n"/>
      <c r="B446" s="7" t="n"/>
      <c r="C446" s="7" t="n"/>
      <c r="D446" s="14" t="n"/>
      <c r="E446" s="206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25" customHeight="1" s="214">
      <c r="A447" s="7" t="n"/>
      <c r="B447" s="7" t="n"/>
      <c r="C447" s="7" t="n"/>
      <c r="D447" s="14" t="n"/>
      <c r="E447" s="206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25" customHeight="1" s="214">
      <c r="A448" s="7" t="n"/>
      <c r="B448" s="7" t="n"/>
      <c r="C448" s="7" t="n"/>
      <c r="D448" s="14" t="n"/>
      <c r="E448" s="206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25" customHeight="1" s="214">
      <c r="A449" s="7" t="n"/>
      <c r="B449" s="7" t="n"/>
      <c r="C449" s="7" t="n"/>
      <c r="D449" s="14" t="n"/>
      <c r="E449" s="206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25" customHeight="1" s="214">
      <c r="A450" s="7" t="n"/>
      <c r="B450" s="7" t="n"/>
      <c r="C450" s="7" t="n"/>
      <c r="D450" s="14" t="n"/>
      <c r="E450" s="206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25" customHeight="1" s="214">
      <c r="A451" s="7" t="n"/>
      <c r="B451" s="7" t="n"/>
      <c r="C451" s="7" t="n"/>
      <c r="D451" s="14" t="n"/>
      <c r="E451" s="206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25" customHeight="1" s="214">
      <c r="A452" s="7" t="n"/>
      <c r="B452" s="7" t="n"/>
      <c r="C452" s="7" t="n"/>
      <c r="D452" s="14" t="n"/>
      <c r="E452" s="206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25" customHeight="1" s="214">
      <c r="A453" s="7" t="n"/>
      <c r="B453" s="7" t="n"/>
      <c r="C453" s="7" t="n"/>
      <c r="D453" s="14" t="n"/>
      <c r="E453" s="206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25" customHeight="1" s="214">
      <c r="A454" s="7" t="n"/>
      <c r="B454" s="7" t="n"/>
      <c r="C454" s="7" t="n"/>
      <c r="D454" s="14" t="n"/>
      <c r="E454" s="206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25" customHeight="1" s="214">
      <c r="A455" s="7" t="n"/>
      <c r="B455" s="7" t="n"/>
      <c r="C455" s="7" t="n"/>
      <c r="D455" s="14" t="n"/>
      <c r="E455" s="206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25" customHeight="1" s="214">
      <c r="A456" s="7" t="n"/>
      <c r="B456" s="7" t="n"/>
      <c r="C456" s="7" t="n"/>
      <c r="D456" s="14" t="n"/>
      <c r="E456" s="206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25" customHeight="1" s="214">
      <c r="A457" s="7" t="n"/>
      <c r="B457" s="7" t="n"/>
      <c r="C457" s="7" t="n"/>
      <c r="D457" s="14" t="n"/>
      <c r="E457" s="206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25" customHeight="1" s="214">
      <c r="A458" s="7" t="n"/>
      <c r="B458" s="7" t="n"/>
      <c r="C458" s="7" t="n"/>
      <c r="D458" s="14" t="n"/>
      <c r="E458" s="206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25" customHeight="1" s="214">
      <c r="A459" s="7" t="n"/>
      <c r="B459" s="7" t="n"/>
      <c r="C459" s="7" t="n"/>
      <c r="D459" s="14" t="n"/>
      <c r="E459" s="206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25" customHeight="1" s="214">
      <c r="A460" s="7" t="n"/>
      <c r="B460" s="7" t="n"/>
      <c r="C460" s="7" t="n"/>
      <c r="D460" s="14" t="n"/>
      <c r="E460" s="206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25" customHeight="1" s="214">
      <c r="A461" s="7" t="n"/>
      <c r="B461" s="7" t="n"/>
      <c r="C461" s="7" t="n"/>
      <c r="D461" s="14" t="n"/>
      <c r="E461" s="206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25" customHeight="1" s="214">
      <c r="A462" s="7" t="n"/>
      <c r="B462" s="7" t="n"/>
      <c r="C462" s="7" t="n"/>
      <c r="D462" s="14" t="n"/>
      <c r="E462" s="206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25" customHeight="1" s="214">
      <c r="A463" s="7" t="n"/>
      <c r="B463" s="7" t="n"/>
      <c r="C463" s="7" t="n"/>
      <c r="D463" s="14" t="n"/>
      <c r="E463" s="206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25" customHeight="1" s="214">
      <c r="A464" s="7" t="n"/>
      <c r="B464" s="7" t="n"/>
      <c r="C464" s="7" t="n"/>
      <c r="D464" s="14" t="n"/>
      <c r="E464" s="206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25" customHeight="1" s="214">
      <c r="A465" s="7" t="n"/>
      <c r="B465" s="7" t="n"/>
      <c r="C465" s="7" t="n"/>
      <c r="D465" s="14" t="n"/>
      <c r="E465" s="206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25" customHeight="1" s="214">
      <c r="A466" s="7" t="n"/>
      <c r="B466" s="7" t="n"/>
      <c r="C466" s="7" t="n"/>
      <c r="D466" s="14" t="n"/>
      <c r="E466" s="206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25" customHeight="1" s="214">
      <c r="A467" s="7" t="n"/>
      <c r="B467" s="7" t="n"/>
      <c r="C467" s="7" t="n"/>
      <c r="D467" s="14" t="n"/>
      <c r="E467" s="206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25" customHeight="1" s="214">
      <c r="A468" s="7" t="n"/>
      <c r="B468" s="7" t="n"/>
      <c r="C468" s="7" t="n"/>
      <c r="D468" s="14" t="n"/>
      <c r="E468" s="206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25" customHeight="1" s="214">
      <c r="A469" s="7" t="n"/>
      <c r="B469" s="7" t="n"/>
      <c r="C469" s="7" t="n"/>
      <c r="D469" s="14" t="n"/>
      <c r="E469" s="206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25" customHeight="1" s="214">
      <c r="A470" s="7" t="n"/>
      <c r="B470" s="7" t="n"/>
      <c r="C470" s="7" t="n"/>
      <c r="D470" s="14" t="n"/>
      <c r="E470" s="206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25" customHeight="1" s="214">
      <c r="A471" s="7" t="n"/>
      <c r="B471" s="7" t="n"/>
      <c r="C471" s="7" t="n"/>
      <c r="D471" s="14" t="n"/>
      <c r="E471" s="206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25" customHeight="1" s="214">
      <c r="A472" s="7" t="n"/>
      <c r="B472" s="7" t="n"/>
      <c r="C472" s="7" t="n"/>
      <c r="D472" s="14" t="n"/>
      <c r="E472" s="206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25" customHeight="1" s="214">
      <c r="A473" s="7" t="n"/>
      <c r="B473" s="7" t="n"/>
      <c r="C473" s="7" t="n"/>
      <c r="D473" s="14" t="n"/>
      <c r="E473" s="206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25" customHeight="1" s="214">
      <c r="A474" s="7" t="n"/>
      <c r="B474" s="7" t="n"/>
      <c r="C474" s="7" t="n"/>
      <c r="D474" s="14" t="n"/>
      <c r="E474" s="206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25" customHeight="1" s="214">
      <c r="A475" s="7" t="n"/>
      <c r="B475" s="7" t="n"/>
      <c r="C475" s="7" t="n"/>
      <c r="D475" s="14" t="n"/>
      <c r="E475" s="206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25" customHeight="1" s="214">
      <c r="A476" s="7" t="n"/>
      <c r="B476" s="7" t="n"/>
      <c r="C476" s="7" t="n"/>
      <c r="D476" s="14" t="n"/>
      <c r="E476" s="206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25" customHeight="1" s="214">
      <c r="A477" s="7" t="n"/>
      <c r="B477" s="7" t="n"/>
      <c r="C477" s="7" t="n"/>
      <c r="D477" s="14" t="n"/>
      <c r="E477" s="206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25" customHeight="1" s="214">
      <c r="A478" s="7" t="n"/>
      <c r="B478" s="7" t="n"/>
      <c r="C478" s="7" t="n"/>
      <c r="D478" s="14" t="n"/>
      <c r="E478" s="206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25" customHeight="1" s="214">
      <c r="A479" s="7" t="n"/>
      <c r="B479" s="7" t="n"/>
      <c r="C479" s="7" t="n"/>
      <c r="D479" s="14" t="n"/>
      <c r="E479" s="206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25" customHeight="1" s="214">
      <c r="A480" s="7" t="n"/>
      <c r="B480" s="7" t="n"/>
      <c r="C480" s="7" t="n"/>
      <c r="D480" s="14" t="n"/>
      <c r="E480" s="206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25" customHeight="1" s="214">
      <c r="A481" s="7" t="n"/>
      <c r="B481" s="7" t="n"/>
      <c r="C481" s="7" t="n"/>
      <c r="D481" s="14" t="n"/>
      <c r="E481" s="206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25" customHeight="1" s="214">
      <c r="A482" s="7" t="n"/>
      <c r="B482" s="7" t="n"/>
      <c r="C482" s="7" t="n"/>
      <c r="D482" s="14" t="n"/>
      <c r="E482" s="206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25" customHeight="1" s="214">
      <c r="A483" s="7" t="n"/>
      <c r="B483" s="7" t="n"/>
      <c r="C483" s="7" t="n"/>
      <c r="D483" s="14" t="n"/>
      <c r="E483" s="206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25" customHeight="1" s="214">
      <c r="A484" s="7" t="n"/>
      <c r="B484" s="7" t="n"/>
      <c r="C484" s="7" t="n"/>
      <c r="D484" s="14" t="n"/>
      <c r="E484" s="206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25" customHeight="1" s="214">
      <c r="A485" s="7" t="n"/>
      <c r="B485" s="7" t="n"/>
      <c r="C485" s="7" t="n"/>
      <c r="D485" s="14" t="n"/>
      <c r="E485" s="206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25" customHeight="1" s="214">
      <c r="A486" s="7" t="n"/>
      <c r="B486" s="7" t="n"/>
      <c r="C486" s="7" t="n"/>
      <c r="D486" s="14" t="n"/>
      <c r="E486" s="206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25" customHeight="1" s="214">
      <c r="A487" s="7" t="n"/>
      <c r="B487" s="7" t="n"/>
      <c r="C487" s="7" t="n"/>
      <c r="D487" s="14" t="n"/>
      <c r="E487" s="206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25" customHeight="1" s="214">
      <c r="A488" s="7" t="n"/>
      <c r="B488" s="7" t="n"/>
      <c r="C488" s="7" t="n"/>
      <c r="D488" s="14" t="n"/>
      <c r="E488" s="206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25" customHeight="1" s="214">
      <c r="A489" s="7" t="n"/>
      <c r="B489" s="7" t="n"/>
      <c r="C489" s="7" t="n"/>
      <c r="D489" s="14" t="n"/>
      <c r="E489" s="206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25" customHeight="1" s="214">
      <c r="A490" s="7" t="n"/>
      <c r="B490" s="7" t="n"/>
      <c r="C490" s="7" t="n"/>
      <c r="D490" s="14" t="n"/>
      <c r="E490" s="206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25" customHeight="1" s="214">
      <c r="A491" s="7" t="n"/>
      <c r="B491" s="7" t="n"/>
      <c r="C491" s="7" t="n"/>
      <c r="D491" s="14" t="n"/>
      <c r="E491" s="206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25" customHeight="1" s="214">
      <c r="A492" s="7" t="n"/>
      <c r="B492" s="7" t="n"/>
      <c r="C492" s="7" t="n"/>
      <c r="D492" s="14" t="n"/>
      <c r="E492" s="206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25" customHeight="1" s="214">
      <c r="A493" s="7" t="n"/>
      <c r="B493" s="7" t="n"/>
      <c r="C493" s="7" t="n"/>
      <c r="D493" s="14" t="n"/>
      <c r="E493" s="206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25" customHeight="1" s="214">
      <c r="A494" s="7" t="n"/>
      <c r="B494" s="7" t="n"/>
      <c r="C494" s="7" t="n"/>
      <c r="D494" s="14" t="n"/>
      <c r="E494" s="206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25" customHeight="1" s="214">
      <c r="A495" s="7" t="n"/>
      <c r="B495" s="7" t="n"/>
      <c r="C495" s="7" t="n"/>
      <c r="D495" s="14" t="n"/>
      <c r="E495" s="206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25" customHeight="1" s="214">
      <c r="A496" s="7" t="n"/>
      <c r="B496" s="7" t="n"/>
      <c r="C496" s="7" t="n"/>
      <c r="D496" s="14" t="n"/>
      <c r="E496" s="206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25" customHeight="1" s="214">
      <c r="A497" s="7" t="n"/>
      <c r="B497" s="7" t="n"/>
      <c r="C497" s="7" t="n"/>
      <c r="D497" s="14" t="n"/>
      <c r="E497" s="206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25" customHeight="1" s="214">
      <c r="A498" s="7" t="n"/>
      <c r="B498" s="7" t="n"/>
      <c r="C498" s="7" t="n"/>
      <c r="D498" s="14" t="n"/>
      <c r="E498" s="206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25" customHeight="1" s="214">
      <c r="A499" s="7" t="n"/>
      <c r="B499" s="7" t="n"/>
      <c r="C499" s="7" t="n"/>
      <c r="D499" s="14" t="n"/>
      <c r="E499" s="206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25" customHeight="1" s="214">
      <c r="A500" s="7" t="n"/>
      <c r="B500" s="7" t="n"/>
      <c r="C500" s="7" t="n"/>
      <c r="D500" s="14" t="n"/>
      <c r="E500" s="206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25" customHeight="1" s="214">
      <c r="A501" s="7" t="n"/>
      <c r="B501" s="7" t="n"/>
      <c r="C501" s="7" t="n"/>
      <c r="D501" s="14" t="n"/>
      <c r="E501" s="206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25" customHeight="1" s="214">
      <c r="A502" s="7" t="n"/>
      <c r="B502" s="7" t="n"/>
      <c r="C502" s="7" t="n"/>
      <c r="D502" s="14" t="n"/>
      <c r="E502" s="206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25" customHeight="1" s="214">
      <c r="A503" s="7" t="n"/>
      <c r="B503" s="7" t="n"/>
      <c r="C503" s="7" t="n"/>
      <c r="D503" s="14" t="n"/>
      <c r="E503" s="206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25" customHeight="1" s="214">
      <c r="A504" s="7" t="n"/>
      <c r="B504" s="7" t="n"/>
      <c r="C504" s="7" t="n"/>
      <c r="D504" s="14" t="n"/>
      <c r="E504" s="206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25" customHeight="1" s="214">
      <c r="A505" s="7" t="n"/>
      <c r="B505" s="7" t="n"/>
      <c r="C505" s="7" t="n"/>
      <c r="D505" s="14" t="n"/>
      <c r="E505" s="206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25" customHeight="1" s="214">
      <c r="A506" s="7" t="n"/>
      <c r="B506" s="7" t="n"/>
      <c r="C506" s="7" t="n"/>
      <c r="D506" s="14" t="n"/>
      <c r="E506" s="206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25" customHeight="1" s="214">
      <c r="A507" s="7" t="n"/>
      <c r="B507" s="7" t="n"/>
      <c r="C507" s="7" t="n"/>
      <c r="D507" s="14" t="n"/>
      <c r="E507" s="206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25" customHeight="1" s="214">
      <c r="A508" s="7" t="n"/>
      <c r="B508" s="7" t="n"/>
      <c r="C508" s="7" t="n"/>
      <c r="D508" s="14" t="n"/>
      <c r="E508" s="206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25" customHeight="1" s="214">
      <c r="A509" s="7" t="n"/>
      <c r="B509" s="7" t="n"/>
      <c r="C509" s="7" t="n"/>
      <c r="D509" s="14" t="n"/>
      <c r="E509" s="206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25" customHeight="1" s="214">
      <c r="A510" s="7" t="n"/>
      <c r="B510" s="7" t="n"/>
      <c r="C510" s="7" t="n"/>
      <c r="D510" s="14" t="n"/>
      <c r="E510" s="206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25" customHeight="1" s="214">
      <c r="A511" s="7" t="n"/>
      <c r="B511" s="7" t="n"/>
      <c r="C511" s="7" t="n"/>
      <c r="D511" s="14" t="n"/>
      <c r="E511" s="206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25" customHeight="1" s="214">
      <c r="A512" s="7" t="n"/>
      <c r="B512" s="7" t="n"/>
      <c r="C512" s="7" t="n"/>
      <c r="D512" s="14" t="n"/>
      <c r="E512" s="206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25" customHeight="1" s="214">
      <c r="A513" s="7" t="n"/>
      <c r="B513" s="7" t="n"/>
      <c r="C513" s="7" t="n"/>
      <c r="D513" s="14" t="n"/>
      <c r="E513" s="206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25" customHeight="1" s="214">
      <c r="A514" s="7" t="n"/>
      <c r="B514" s="7" t="n"/>
      <c r="C514" s="7" t="n"/>
      <c r="D514" s="14" t="n"/>
      <c r="E514" s="206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25" customHeight="1" s="214">
      <c r="A515" s="7" t="n"/>
      <c r="B515" s="7" t="n"/>
      <c r="C515" s="7" t="n"/>
      <c r="D515" s="14" t="n"/>
      <c r="E515" s="206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25" customHeight="1" s="214">
      <c r="A516" s="7" t="n"/>
      <c r="B516" s="7" t="n"/>
      <c r="C516" s="7" t="n"/>
      <c r="D516" s="14" t="n"/>
      <c r="E516" s="206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25" customHeight="1" s="214">
      <c r="A517" s="7" t="n"/>
      <c r="B517" s="7" t="n"/>
      <c r="C517" s="7" t="n"/>
      <c r="D517" s="14" t="n"/>
      <c r="E517" s="206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25" customHeight="1" s="214">
      <c r="A518" s="7" t="n"/>
      <c r="B518" s="7" t="n"/>
      <c r="C518" s="7" t="n"/>
      <c r="D518" s="14" t="n"/>
      <c r="E518" s="206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25" customHeight="1" s="214">
      <c r="A519" s="7" t="n"/>
      <c r="B519" s="7" t="n"/>
      <c r="C519" s="7" t="n"/>
      <c r="D519" s="14" t="n"/>
      <c r="E519" s="206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25" customHeight="1" s="214">
      <c r="A520" s="7" t="n"/>
      <c r="B520" s="7" t="n"/>
      <c r="C520" s="7" t="n"/>
      <c r="D520" s="14" t="n"/>
      <c r="E520" s="206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25" customHeight="1" s="214">
      <c r="A521" s="7" t="n"/>
      <c r="B521" s="7" t="n"/>
      <c r="C521" s="7" t="n"/>
      <c r="D521" s="14" t="n"/>
      <c r="E521" s="206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25" customHeight="1" s="214">
      <c r="A522" s="7" t="n"/>
      <c r="B522" s="7" t="n"/>
      <c r="C522" s="7" t="n"/>
      <c r="D522" s="14" t="n"/>
      <c r="E522" s="206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25" customHeight="1" s="214">
      <c r="A523" s="7" t="n"/>
      <c r="B523" s="7" t="n"/>
      <c r="C523" s="7" t="n"/>
      <c r="D523" s="14" t="n"/>
      <c r="E523" s="206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25" customHeight="1" s="214">
      <c r="A524" s="7" t="n"/>
      <c r="B524" s="7" t="n"/>
      <c r="C524" s="7" t="n"/>
      <c r="D524" s="14" t="n"/>
      <c r="E524" s="206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25" customHeight="1" s="214">
      <c r="A525" s="7" t="n"/>
      <c r="B525" s="7" t="n"/>
      <c r="C525" s="7" t="n"/>
      <c r="D525" s="14" t="n"/>
      <c r="E525" s="206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25" customHeight="1" s="214">
      <c r="A526" s="7" t="n"/>
      <c r="B526" s="7" t="n"/>
      <c r="C526" s="7" t="n"/>
      <c r="D526" s="14" t="n"/>
      <c r="E526" s="206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25" customHeight="1" s="214">
      <c r="A527" s="7" t="n"/>
      <c r="B527" s="7" t="n"/>
      <c r="C527" s="7" t="n"/>
      <c r="D527" s="14" t="n"/>
      <c r="E527" s="206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25" customHeight="1" s="214">
      <c r="A528" s="7" t="n"/>
      <c r="B528" s="7" t="n"/>
      <c r="C528" s="7" t="n"/>
      <c r="D528" s="14" t="n"/>
      <c r="E528" s="206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25" customHeight="1" s="214">
      <c r="A529" s="7" t="n"/>
      <c r="B529" s="7" t="n"/>
      <c r="C529" s="7" t="n"/>
      <c r="D529" s="14" t="n"/>
      <c r="E529" s="206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25" customHeight="1" s="214">
      <c r="A530" s="7" t="n"/>
      <c r="B530" s="7" t="n"/>
      <c r="C530" s="7" t="n"/>
      <c r="D530" s="14" t="n"/>
      <c r="E530" s="206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25" customHeight="1" s="214">
      <c r="A531" s="7" t="n"/>
      <c r="B531" s="7" t="n"/>
      <c r="C531" s="7" t="n"/>
      <c r="D531" s="14" t="n"/>
      <c r="E531" s="206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25" customHeight="1" s="214">
      <c r="A532" s="7" t="n"/>
      <c r="B532" s="7" t="n"/>
      <c r="C532" s="7" t="n"/>
      <c r="D532" s="14" t="n"/>
      <c r="E532" s="206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25" customHeight="1" s="214">
      <c r="A533" s="7" t="n"/>
      <c r="B533" s="7" t="n"/>
      <c r="C533" s="7" t="n"/>
      <c r="D533" s="14" t="n"/>
      <c r="E533" s="206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25" customHeight="1" s="214">
      <c r="A534" s="7" t="n"/>
      <c r="B534" s="7" t="n"/>
      <c r="C534" s="7" t="n"/>
      <c r="D534" s="14" t="n"/>
      <c r="E534" s="206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25" customHeight="1" s="214">
      <c r="A535" s="7" t="n"/>
      <c r="B535" s="7" t="n"/>
      <c r="C535" s="7" t="n"/>
      <c r="D535" s="14" t="n"/>
      <c r="E535" s="206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25" customHeight="1" s="214">
      <c r="A536" s="7" t="n"/>
      <c r="B536" s="7" t="n"/>
      <c r="C536" s="7" t="n"/>
      <c r="D536" s="14" t="n"/>
      <c r="E536" s="206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25" customHeight="1" s="214">
      <c r="A537" s="7" t="n"/>
      <c r="B537" s="7" t="n"/>
      <c r="C537" s="7" t="n"/>
      <c r="D537" s="14" t="n"/>
      <c r="E537" s="206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25" customHeight="1" s="214">
      <c r="A538" s="7" t="n"/>
      <c r="B538" s="7" t="n"/>
      <c r="C538" s="7" t="n"/>
      <c r="D538" s="14" t="n"/>
      <c r="E538" s="206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25" customHeight="1" s="214">
      <c r="A539" s="7" t="n"/>
      <c r="B539" s="7" t="n"/>
      <c r="C539" s="7" t="n"/>
      <c r="D539" s="14" t="n"/>
      <c r="E539" s="206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25" customHeight="1" s="214">
      <c r="A540" s="7" t="n"/>
      <c r="B540" s="7" t="n"/>
      <c r="C540" s="7" t="n"/>
      <c r="D540" s="14" t="n"/>
      <c r="E540" s="206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25" customHeight="1" s="214">
      <c r="A541" s="7" t="n"/>
      <c r="B541" s="7" t="n"/>
      <c r="C541" s="7" t="n"/>
      <c r="D541" s="14" t="n"/>
      <c r="E541" s="206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25" customHeight="1" s="214">
      <c r="A542" s="7" t="n"/>
      <c r="B542" s="7" t="n"/>
      <c r="C542" s="7" t="n"/>
      <c r="D542" s="14" t="n"/>
      <c r="E542" s="206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25" customHeight="1" s="214">
      <c r="A543" s="7" t="n"/>
      <c r="B543" s="7" t="n"/>
      <c r="C543" s="7" t="n"/>
      <c r="D543" s="14" t="n"/>
      <c r="E543" s="206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25" customHeight="1" s="214">
      <c r="A544" s="7" t="n"/>
      <c r="B544" s="7" t="n"/>
      <c r="C544" s="7" t="n"/>
      <c r="D544" s="14" t="n"/>
      <c r="E544" s="206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25" customHeight="1" s="214">
      <c r="A545" s="7" t="n"/>
      <c r="B545" s="7" t="n"/>
      <c r="C545" s="7" t="n"/>
      <c r="D545" s="14" t="n"/>
      <c r="E545" s="206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25" customHeight="1" s="214">
      <c r="A546" s="7" t="n"/>
      <c r="B546" s="7" t="n"/>
      <c r="C546" s="7" t="n"/>
      <c r="D546" s="14" t="n"/>
      <c r="E546" s="206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25" customHeight="1" s="214">
      <c r="A547" s="7" t="n"/>
      <c r="B547" s="7" t="n"/>
      <c r="C547" s="7" t="n"/>
      <c r="D547" s="14" t="n"/>
      <c r="E547" s="206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25" customHeight="1" s="214">
      <c r="A548" s="7" t="n"/>
      <c r="B548" s="7" t="n"/>
      <c r="C548" s="7" t="n"/>
      <c r="D548" s="14" t="n"/>
      <c r="E548" s="206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25" customHeight="1" s="214">
      <c r="A549" s="7" t="n"/>
      <c r="B549" s="7" t="n"/>
      <c r="C549" s="7" t="n"/>
      <c r="D549" s="14" t="n"/>
      <c r="E549" s="206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25" customHeight="1" s="214">
      <c r="A550" s="7" t="n"/>
      <c r="B550" s="7" t="n"/>
      <c r="C550" s="7" t="n"/>
      <c r="D550" s="14" t="n"/>
      <c r="E550" s="206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25" customHeight="1" s="214">
      <c r="A551" s="7" t="n"/>
      <c r="B551" s="7" t="n"/>
      <c r="C551" s="7" t="n"/>
      <c r="D551" s="14" t="n"/>
      <c r="E551" s="206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25" customHeight="1" s="214">
      <c r="A552" s="7" t="n"/>
      <c r="B552" s="7" t="n"/>
      <c r="C552" s="7" t="n"/>
      <c r="D552" s="14" t="n"/>
      <c r="E552" s="206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25" customHeight="1" s="214">
      <c r="A553" s="7" t="n"/>
      <c r="B553" s="7" t="n"/>
      <c r="C553" s="7" t="n"/>
      <c r="D553" s="14" t="n"/>
      <c r="E553" s="206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25" customHeight="1" s="214">
      <c r="A554" s="7" t="n"/>
      <c r="B554" s="7" t="n"/>
      <c r="C554" s="7" t="n"/>
      <c r="D554" s="14" t="n"/>
      <c r="E554" s="206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25" customHeight="1" s="214">
      <c r="A555" s="7" t="n"/>
      <c r="B555" s="7" t="n"/>
      <c r="C555" s="7" t="n"/>
      <c r="D555" s="14" t="n"/>
      <c r="E555" s="206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25" customHeight="1" s="214">
      <c r="A556" s="7" t="n"/>
      <c r="B556" s="7" t="n"/>
      <c r="C556" s="7" t="n"/>
      <c r="D556" s="14" t="n"/>
      <c r="E556" s="206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25" customHeight="1" s="214">
      <c r="A557" s="7" t="n"/>
      <c r="B557" s="7" t="n"/>
      <c r="C557" s="7" t="n"/>
      <c r="D557" s="14" t="n"/>
      <c r="E557" s="206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25" customHeight="1" s="214">
      <c r="A558" s="7" t="n"/>
      <c r="B558" s="7" t="n"/>
      <c r="C558" s="7" t="n"/>
      <c r="D558" s="14" t="n"/>
      <c r="E558" s="206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25" customHeight="1" s="214">
      <c r="A559" s="7" t="n"/>
      <c r="B559" s="7" t="n"/>
      <c r="C559" s="7" t="n"/>
      <c r="D559" s="14" t="n"/>
      <c r="E559" s="206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25" customHeight="1" s="214">
      <c r="A560" s="7" t="n"/>
      <c r="B560" s="7" t="n"/>
      <c r="C560" s="7" t="n"/>
      <c r="D560" s="14" t="n"/>
      <c r="E560" s="206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25" customHeight="1" s="214">
      <c r="A561" s="7" t="n"/>
      <c r="B561" s="7" t="n"/>
      <c r="C561" s="7" t="n"/>
      <c r="D561" s="14" t="n"/>
      <c r="E561" s="206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25" customHeight="1" s="214">
      <c r="A562" s="7" t="n"/>
      <c r="B562" s="7" t="n"/>
      <c r="C562" s="7" t="n"/>
      <c r="D562" s="14" t="n"/>
      <c r="E562" s="206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25" customHeight="1" s="214">
      <c r="A563" s="7" t="n"/>
      <c r="B563" s="7" t="n"/>
      <c r="C563" s="7" t="n"/>
      <c r="D563" s="14" t="n"/>
      <c r="E563" s="206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25" customHeight="1" s="214">
      <c r="A564" s="7" t="n"/>
      <c r="B564" s="7" t="n"/>
      <c r="C564" s="7" t="n"/>
      <c r="D564" s="14" t="n"/>
      <c r="E564" s="206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25" customHeight="1" s="214">
      <c r="A565" s="7" t="n"/>
      <c r="B565" s="7" t="n"/>
      <c r="C565" s="7" t="n"/>
      <c r="D565" s="14" t="n"/>
      <c r="E565" s="206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25" customHeight="1" s="214">
      <c r="A566" s="7" t="n"/>
      <c r="B566" s="7" t="n"/>
      <c r="C566" s="7" t="n"/>
      <c r="D566" s="14" t="n"/>
      <c r="E566" s="206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25" customHeight="1" s="214">
      <c r="A567" s="7" t="n"/>
      <c r="B567" s="7" t="n"/>
      <c r="C567" s="7" t="n"/>
      <c r="D567" s="14" t="n"/>
      <c r="E567" s="206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25" customHeight="1" s="214">
      <c r="A568" s="7" t="n"/>
      <c r="B568" s="7" t="n"/>
      <c r="C568" s="7" t="n"/>
      <c r="D568" s="14" t="n"/>
      <c r="E568" s="206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25" customHeight="1" s="214">
      <c r="A569" s="7" t="n"/>
      <c r="B569" s="7" t="n"/>
      <c r="C569" s="7" t="n"/>
      <c r="D569" s="14" t="n"/>
      <c r="E569" s="206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25" customHeight="1" s="214">
      <c r="A570" s="7" t="n"/>
      <c r="B570" s="7" t="n"/>
      <c r="C570" s="7" t="n"/>
      <c r="D570" s="14" t="n"/>
      <c r="E570" s="206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25" customHeight="1" s="214">
      <c r="A571" s="7" t="n"/>
      <c r="B571" s="7" t="n"/>
      <c r="C571" s="7" t="n"/>
      <c r="D571" s="14" t="n"/>
      <c r="E571" s="206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25" customHeight="1" s="214">
      <c r="A572" s="7" t="n"/>
      <c r="B572" s="7" t="n"/>
      <c r="C572" s="7" t="n"/>
      <c r="D572" s="14" t="n"/>
      <c r="E572" s="206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25" customHeight="1" s="214">
      <c r="A573" s="7" t="n"/>
      <c r="B573" s="7" t="n"/>
      <c r="C573" s="7" t="n"/>
      <c r="D573" s="14" t="n"/>
      <c r="E573" s="206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25" customHeight="1" s="214">
      <c r="A574" s="7" t="n"/>
      <c r="B574" s="7" t="n"/>
      <c r="C574" s="7" t="n"/>
      <c r="D574" s="14" t="n"/>
      <c r="E574" s="206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25" customHeight="1" s="214">
      <c r="A575" s="7" t="n"/>
      <c r="B575" s="7" t="n"/>
      <c r="C575" s="7" t="n"/>
      <c r="D575" s="14" t="n"/>
      <c r="E575" s="206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25" customHeight="1" s="214">
      <c r="A576" s="7" t="n"/>
      <c r="B576" s="7" t="n"/>
      <c r="C576" s="7" t="n"/>
      <c r="D576" s="14" t="n"/>
      <c r="E576" s="206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25" customHeight="1" s="214">
      <c r="A577" s="7" t="n"/>
      <c r="B577" s="7" t="n"/>
      <c r="C577" s="7" t="n"/>
      <c r="D577" s="14" t="n"/>
      <c r="E577" s="206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25" customHeight="1" s="214">
      <c r="A578" s="7" t="n"/>
      <c r="B578" s="7" t="n"/>
      <c r="C578" s="7" t="n"/>
      <c r="D578" s="14" t="n"/>
      <c r="E578" s="206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25" customHeight="1" s="214">
      <c r="A579" s="7" t="n"/>
      <c r="B579" s="7" t="n"/>
      <c r="C579" s="7" t="n"/>
      <c r="D579" s="14" t="n"/>
      <c r="E579" s="206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25" customHeight="1" s="214">
      <c r="A580" s="7" t="n"/>
      <c r="B580" s="7" t="n"/>
      <c r="C580" s="7" t="n"/>
      <c r="D580" s="14" t="n"/>
      <c r="E580" s="206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25" customHeight="1" s="214">
      <c r="A581" s="7" t="n"/>
      <c r="B581" s="7" t="n"/>
      <c r="C581" s="7" t="n"/>
      <c r="D581" s="14" t="n"/>
      <c r="E581" s="206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25" customHeight="1" s="214">
      <c r="A582" s="7" t="n"/>
      <c r="B582" s="7" t="n"/>
      <c r="C582" s="7" t="n"/>
      <c r="D582" s="14" t="n"/>
      <c r="E582" s="206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25" customHeight="1" s="214">
      <c r="A583" s="7" t="n"/>
      <c r="B583" s="7" t="n"/>
      <c r="C583" s="7" t="n"/>
      <c r="D583" s="14" t="n"/>
      <c r="E583" s="206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25" customHeight="1" s="214">
      <c r="A584" s="7" t="n"/>
      <c r="B584" s="7" t="n"/>
      <c r="C584" s="7" t="n"/>
      <c r="D584" s="14" t="n"/>
      <c r="E584" s="206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25" customHeight="1" s="214">
      <c r="A585" s="7" t="n"/>
      <c r="B585" s="7" t="n"/>
      <c r="C585" s="7" t="n"/>
      <c r="D585" s="14" t="n"/>
      <c r="E585" s="206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25" customHeight="1" s="214">
      <c r="A586" s="7" t="n"/>
      <c r="B586" s="7" t="n"/>
      <c r="C586" s="7" t="n"/>
      <c r="D586" s="14" t="n"/>
      <c r="E586" s="206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25" customHeight="1" s="214">
      <c r="A587" s="7" t="n"/>
      <c r="B587" s="7" t="n"/>
      <c r="C587" s="7" t="n"/>
      <c r="D587" s="14" t="n"/>
      <c r="E587" s="206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25" customHeight="1" s="214">
      <c r="A588" s="7" t="n"/>
      <c r="B588" s="7" t="n"/>
      <c r="C588" s="7" t="n"/>
      <c r="D588" s="14" t="n"/>
      <c r="E588" s="206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25" customHeight="1" s="214">
      <c r="A589" s="7" t="n"/>
      <c r="B589" s="7" t="n"/>
      <c r="C589" s="7" t="n"/>
      <c r="D589" s="14" t="n"/>
      <c r="E589" s="206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25" customHeight="1" s="214">
      <c r="A590" s="7" t="n"/>
      <c r="B590" s="7" t="n"/>
      <c r="C590" s="7" t="n"/>
      <c r="D590" s="14" t="n"/>
      <c r="E590" s="206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25" customHeight="1" s="214">
      <c r="A591" s="7" t="n"/>
      <c r="B591" s="7" t="n"/>
      <c r="C591" s="7" t="n"/>
      <c r="D591" s="14" t="n"/>
      <c r="E591" s="206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25" customHeight="1" s="214">
      <c r="A592" s="7" t="n"/>
      <c r="B592" s="7" t="n"/>
      <c r="C592" s="7" t="n"/>
      <c r="D592" s="14" t="n"/>
      <c r="E592" s="206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25" customHeight="1" s="214">
      <c r="A593" s="7" t="n"/>
      <c r="B593" s="7" t="n"/>
      <c r="C593" s="7" t="n"/>
      <c r="D593" s="14" t="n"/>
      <c r="E593" s="206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25" customHeight="1" s="214">
      <c r="A594" s="7" t="n"/>
      <c r="B594" s="7" t="n"/>
      <c r="C594" s="7" t="n"/>
      <c r="D594" s="14" t="n"/>
      <c r="E594" s="206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25" customHeight="1" s="214">
      <c r="A595" s="7" t="n"/>
      <c r="B595" s="7" t="n"/>
      <c r="C595" s="7" t="n"/>
      <c r="D595" s="14" t="n"/>
      <c r="E595" s="206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25" customHeight="1" s="214">
      <c r="A596" s="7" t="n"/>
      <c r="B596" s="7" t="n"/>
      <c r="C596" s="7" t="n"/>
      <c r="D596" s="14" t="n"/>
      <c r="E596" s="206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25" customHeight="1" s="214">
      <c r="A597" s="7" t="n"/>
      <c r="B597" s="7" t="n"/>
      <c r="C597" s="7" t="n"/>
      <c r="D597" s="14" t="n"/>
      <c r="E597" s="206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25" customHeight="1" s="214">
      <c r="A598" s="7" t="n"/>
      <c r="B598" s="7" t="n"/>
      <c r="C598" s="7" t="n"/>
      <c r="D598" s="14" t="n"/>
      <c r="E598" s="206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25" customHeight="1" s="214">
      <c r="A599" s="7" t="n"/>
      <c r="B599" s="7" t="n"/>
      <c r="C599" s="7" t="n"/>
      <c r="D599" s="14" t="n"/>
      <c r="E599" s="206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25" customHeight="1" s="214">
      <c r="A600" s="7" t="n"/>
      <c r="B600" s="7" t="n"/>
      <c r="C600" s="7" t="n"/>
      <c r="D600" s="14" t="n"/>
      <c r="E600" s="206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25" customHeight="1" s="214">
      <c r="A601" s="7" t="n"/>
      <c r="B601" s="7" t="n"/>
      <c r="C601" s="7" t="n"/>
      <c r="D601" s="14" t="n"/>
      <c r="E601" s="206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25" customHeight="1" s="214">
      <c r="A602" s="7" t="n"/>
      <c r="B602" s="7" t="n"/>
      <c r="C602" s="7" t="n"/>
      <c r="D602" s="14" t="n"/>
      <c r="E602" s="206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25" customHeight="1" s="214">
      <c r="A603" s="7" t="n"/>
      <c r="B603" s="7" t="n"/>
      <c r="C603" s="7" t="n"/>
      <c r="D603" s="14" t="n"/>
      <c r="E603" s="206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25" customHeight="1" s="214">
      <c r="A604" s="7" t="n"/>
      <c r="B604" s="7" t="n"/>
      <c r="C604" s="7" t="n"/>
      <c r="D604" s="14" t="n"/>
      <c r="E604" s="206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25" customHeight="1" s="214">
      <c r="A605" s="7" t="n"/>
      <c r="B605" s="7" t="n"/>
      <c r="C605" s="7" t="n"/>
      <c r="D605" s="14" t="n"/>
      <c r="E605" s="206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25" customHeight="1" s="214">
      <c r="A606" s="7" t="n"/>
      <c r="B606" s="7" t="n"/>
      <c r="C606" s="7" t="n"/>
      <c r="D606" s="14" t="n"/>
      <c r="E606" s="206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25" customHeight="1" s="214">
      <c r="A607" s="7" t="n"/>
      <c r="B607" s="7" t="n"/>
      <c r="C607" s="7" t="n"/>
      <c r="D607" s="14" t="n"/>
      <c r="E607" s="206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25" customHeight="1" s="214">
      <c r="A608" s="7" t="n"/>
      <c r="B608" s="7" t="n"/>
      <c r="C608" s="7" t="n"/>
      <c r="D608" s="14" t="n"/>
      <c r="E608" s="206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25" customHeight="1" s="214">
      <c r="A609" s="7" t="n"/>
      <c r="B609" s="7" t="n"/>
      <c r="C609" s="7" t="n"/>
      <c r="D609" s="14" t="n"/>
      <c r="E609" s="206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25" customHeight="1" s="214">
      <c r="A610" s="7" t="n"/>
      <c r="B610" s="7" t="n"/>
      <c r="C610" s="7" t="n"/>
      <c r="D610" s="14" t="n"/>
      <c r="E610" s="206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25" customHeight="1" s="214">
      <c r="A611" s="7" t="n"/>
      <c r="B611" s="7" t="n"/>
      <c r="C611" s="7" t="n"/>
      <c r="D611" s="14" t="n"/>
      <c r="E611" s="206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25" customHeight="1" s="214">
      <c r="A612" s="7" t="n"/>
      <c r="B612" s="7" t="n"/>
      <c r="C612" s="7" t="n"/>
      <c r="D612" s="14" t="n"/>
      <c r="E612" s="206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25" customHeight="1" s="214">
      <c r="A613" s="7" t="n"/>
      <c r="B613" s="7" t="n"/>
      <c r="C613" s="7" t="n"/>
      <c r="D613" s="14" t="n"/>
      <c r="E613" s="206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25" customHeight="1" s="214">
      <c r="A614" s="7" t="n"/>
      <c r="B614" s="7" t="n"/>
      <c r="C614" s="7" t="n"/>
      <c r="D614" s="14" t="n"/>
      <c r="E614" s="206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25" customHeight="1" s="214">
      <c r="A615" s="7" t="n"/>
      <c r="B615" s="7" t="n"/>
      <c r="C615" s="7" t="n"/>
      <c r="D615" s="14" t="n"/>
      <c r="E615" s="206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25" customHeight="1" s="214">
      <c r="A616" s="7" t="n"/>
      <c r="B616" s="7" t="n"/>
      <c r="C616" s="7" t="n"/>
      <c r="D616" s="14" t="n"/>
      <c r="E616" s="206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25" customHeight="1" s="214">
      <c r="A617" s="7" t="n"/>
      <c r="B617" s="7" t="n"/>
      <c r="C617" s="7" t="n"/>
      <c r="D617" s="14" t="n"/>
      <c r="E617" s="206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25" customHeight="1" s="214">
      <c r="A618" s="7" t="n"/>
      <c r="B618" s="7" t="n"/>
      <c r="C618" s="7" t="n"/>
      <c r="D618" s="14" t="n"/>
      <c r="E618" s="206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25" customHeight="1" s="214">
      <c r="A619" s="7" t="n"/>
      <c r="B619" s="7" t="n"/>
      <c r="C619" s="7" t="n"/>
      <c r="D619" s="14" t="n"/>
      <c r="E619" s="206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25" customHeight="1" s="214">
      <c r="A620" s="7" t="n"/>
      <c r="B620" s="7" t="n"/>
      <c r="C620" s="7" t="n"/>
      <c r="D620" s="14" t="n"/>
      <c r="E620" s="206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25" customHeight="1" s="214">
      <c r="A621" s="7" t="n"/>
      <c r="B621" s="7" t="n"/>
      <c r="C621" s="7" t="n"/>
      <c r="D621" s="14" t="n"/>
      <c r="E621" s="206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25" customHeight="1" s="214">
      <c r="A622" s="7" t="n"/>
      <c r="B622" s="7" t="n"/>
      <c r="C622" s="7" t="n"/>
      <c r="D622" s="14" t="n"/>
      <c r="E622" s="206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25" customHeight="1" s="214">
      <c r="A623" s="7" t="n"/>
      <c r="B623" s="7" t="n"/>
      <c r="C623" s="7" t="n"/>
      <c r="D623" s="14" t="n"/>
      <c r="E623" s="206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25" customHeight="1" s="214">
      <c r="A624" s="7" t="n"/>
      <c r="B624" s="7" t="n"/>
      <c r="C624" s="7" t="n"/>
      <c r="D624" s="14" t="n"/>
      <c r="E624" s="206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25" customHeight="1" s="214">
      <c r="A625" s="7" t="n"/>
      <c r="B625" s="7" t="n"/>
      <c r="C625" s="7" t="n"/>
      <c r="D625" s="14" t="n"/>
      <c r="E625" s="206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25" customHeight="1" s="214">
      <c r="A626" s="7" t="n"/>
      <c r="B626" s="7" t="n"/>
      <c r="C626" s="7" t="n"/>
      <c r="D626" s="14" t="n"/>
      <c r="E626" s="206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25" customHeight="1" s="214">
      <c r="A627" s="7" t="n"/>
      <c r="B627" s="7" t="n"/>
      <c r="C627" s="7" t="n"/>
      <c r="D627" s="14" t="n"/>
      <c r="E627" s="206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25" customHeight="1" s="214">
      <c r="A628" s="7" t="n"/>
      <c r="B628" s="7" t="n"/>
      <c r="C628" s="7" t="n"/>
      <c r="D628" s="14" t="n"/>
      <c r="E628" s="206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25" customHeight="1" s="214">
      <c r="A629" s="7" t="n"/>
      <c r="B629" s="7" t="n"/>
      <c r="C629" s="7" t="n"/>
      <c r="D629" s="14" t="n"/>
      <c r="E629" s="206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25" customHeight="1" s="214">
      <c r="A630" s="7" t="n"/>
      <c r="B630" s="7" t="n"/>
      <c r="C630" s="7" t="n"/>
      <c r="D630" s="14" t="n"/>
      <c r="E630" s="206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25" customHeight="1" s="214">
      <c r="A631" s="7" t="n"/>
      <c r="B631" s="7" t="n"/>
      <c r="C631" s="7" t="n"/>
      <c r="D631" s="14" t="n"/>
      <c r="E631" s="206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25" customHeight="1" s="214">
      <c r="A632" s="7" t="n"/>
      <c r="B632" s="7" t="n"/>
      <c r="C632" s="7" t="n"/>
      <c r="D632" s="14" t="n"/>
      <c r="E632" s="206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25" customHeight="1" s="214">
      <c r="A633" s="7" t="n"/>
      <c r="B633" s="7" t="n"/>
      <c r="C633" s="7" t="n"/>
      <c r="D633" s="14" t="n"/>
      <c r="E633" s="206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25" customHeight="1" s="214">
      <c r="A634" s="7" t="n"/>
      <c r="B634" s="7" t="n"/>
      <c r="C634" s="7" t="n"/>
      <c r="D634" s="14" t="n"/>
      <c r="E634" s="206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25" customHeight="1" s="214">
      <c r="A635" s="7" t="n"/>
      <c r="B635" s="7" t="n"/>
      <c r="C635" s="7" t="n"/>
      <c r="D635" s="14" t="n"/>
      <c r="E635" s="206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25" customHeight="1" s="214">
      <c r="A636" s="7" t="n"/>
      <c r="B636" s="7" t="n"/>
      <c r="C636" s="7" t="n"/>
      <c r="D636" s="14" t="n"/>
      <c r="E636" s="206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25" customHeight="1" s="214">
      <c r="A637" s="7" t="n"/>
      <c r="B637" s="7" t="n"/>
      <c r="C637" s="7" t="n"/>
      <c r="D637" s="14" t="n"/>
      <c r="E637" s="206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25" customHeight="1" s="214">
      <c r="A638" s="7" t="n"/>
      <c r="B638" s="7" t="n"/>
      <c r="C638" s="7" t="n"/>
      <c r="D638" s="14" t="n"/>
      <c r="E638" s="206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25" customHeight="1" s="214">
      <c r="A639" s="7" t="n"/>
      <c r="B639" s="7" t="n"/>
      <c r="C639" s="7" t="n"/>
      <c r="D639" s="14" t="n"/>
      <c r="E639" s="206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25" customHeight="1" s="214">
      <c r="A640" s="7" t="n"/>
      <c r="B640" s="7" t="n"/>
      <c r="C640" s="7" t="n"/>
      <c r="D640" s="14" t="n"/>
      <c r="E640" s="206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25" customHeight="1" s="214">
      <c r="A641" s="7" t="n"/>
      <c r="B641" s="7" t="n"/>
      <c r="C641" s="7" t="n"/>
      <c r="D641" s="14" t="n"/>
      <c r="E641" s="206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25" customHeight="1" s="214">
      <c r="A642" s="7" t="n"/>
      <c r="B642" s="7" t="n"/>
      <c r="C642" s="7" t="n"/>
      <c r="D642" s="14" t="n"/>
      <c r="E642" s="206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25" customHeight="1" s="214">
      <c r="A643" s="7" t="n"/>
      <c r="B643" s="7" t="n"/>
      <c r="C643" s="7" t="n"/>
      <c r="D643" s="14" t="n"/>
      <c r="E643" s="206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25" customHeight="1" s="214">
      <c r="A644" s="7" t="n"/>
      <c r="B644" s="7" t="n"/>
      <c r="C644" s="7" t="n"/>
      <c r="D644" s="14" t="n"/>
      <c r="E644" s="206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25" customHeight="1" s="214">
      <c r="A645" s="7" t="n"/>
      <c r="B645" s="7" t="n"/>
      <c r="C645" s="7" t="n"/>
      <c r="D645" s="14" t="n"/>
      <c r="E645" s="206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25" customHeight="1" s="214">
      <c r="A646" s="7" t="n"/>
      <c r="B646" s="7" t="n"/>
      <c r="C646" s="7" t="n"/>
      <c r="D646" s="14" t="n"/>
      <c r="E646" s="206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25" customHeight="1" s="214">
      <c r="A647" s="7" t="n"/>
      <c r="B647" s="7" t="n"/>
      <c r="C647" s="7" t="n"/>
      <c r="D647" s="14" t="n"/>
      <c r="E647" s="206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25" customHeight="1" s="214">
      <c r="A648" s="7" t="n"/>
      <c r="B648" s="7" t="n"/>
      <c r="C648" s="7" t="n"/>
      <c r="D648" s="14" t="n"/>
      <c r="E648" s="206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25" customHeight="1" s="214">
      <c r="A649" s="7" t="n"/>
      <c r="B649" s="7" t="n"/>
      <c r="C649" s="7" t="n"/>
      <c r="D649" s="14" t="n"/>
      <c r="E649" s="206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25" customHeight="1" s="214">
      <c r="A650" s="7" t="n"/>
      <c r="B650" s="7" t="n"/>
      <c r="C650" s="7" t="n"/>
      <c r="D650" s="14" t="n"/>
      <c r="E650" s="206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25" customHeight="1" s="214">
      <c r="A651" s="7" t="n"/>
      <c r="B651" s="7" t="n"/>
      <c r="C651" s="7" t="n"/>
      <c r="D651" s="14" t="n"/>
      <c r="E651" s="206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25" customHeight="1" s="214">
      <c r="A652" s="7" t="n"/>
      <c r="B652" s="7" t="n"/>
      <c r="C652" s="7" t="n"/>
      <c r="D652" s="14" t="n"/>
      <c r="E652" s="206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25" customHeight="1" s="214">
      <c r="A653" s="7" t="n"/>
      <c r="B653" s="7" t="n"/>
      <c r="C653" s="7" t="n"/>
      <c r="D653" s="14" t="n"/>
      <c r="E653" s="206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25" customHeight="1" s="214">
      <c r="A654" s="7" t="n"/>
      <c r="B654" s="7" t="n"/>
      <c r="C654" s="7" t="n"/>
      <c r="D654" s="14" t="n"/>
      <c r="E654" s="206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25" customHeight="1" s="214">
      <c r="A655" s="7" t="n"/>
      <c r="B655" s="7" t="n"/>
      <c r="C655" s="7" t="n"/>
      <c r="D655" s="14" t="n"/>
      <c r="E655" s="206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25" customHeight="1" s="214">
      <c r="A656" s="7" t="n"/>
      <c r="B656" s="7" t="n"/>
      <c r="C656" s="7" t="n"/>
      <c r="D656" s="14" t="n"/>
      <c r="E656" s="206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25" customHeight="1" s="214">
      <c r="A657" s="7" t="n"/>
      <c r="B657" s="7" t="n"/>
      <c r="C657" s="7" t="n"/>
      <c r="D657" s="14" t="n"/>
      <c r="E657" s="206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25" customHeight="1" s="214">
      <c r="A658" s="7" t="n"/>
      <c r="B658" s="7" t="n"/>
      <c r="C658" s="7" t="n"/>
      <c r="D658" s="14" t="n"/>
      <c r="E658" s="206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25" customHeight="1" s="214">
      <c r="A659" s="7" t="n"/>
      <c r="B659" s="7" t="n"/>
      <c r="C659" s="7" t="n"/>
      <c r="D659" s="14" t="n"/>
      <c r="E659" s="206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25" customHeight="1" s="214">
      <c r="A660" s="7" t="n"/>
      <c r="B660" s="7" t="n"/>
      <c r="C660" s="7" t="n"/>
      <c r="D660" s="14" t="n"/>
      <c r="E660" s="206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25" customHeight="1" s="214">
      <c r="A661" s="7" t="n"/>
      <c r="B661" s="7" t="n"/>
      <c r="C661" s="7" t="n"/>
      <c r="D661" s="14" t="n"/>
      <c r="E661" s="206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25" customHeight="1" s="214">
      <c r="A662" s="7" t="n"/>
      <c r="B662" s="7" t="n"/>
      <c r="C662" s="7" t="n"/>
      <c r="D662" s="14" t="n"/>
      <c r="E662" s="206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25" customHeight="1" s="214">
      <c r="A663" s="7" t="n"/>
      <c r="B663" s="7" t="n"/>
      <c r="C663" s="7" t="n"/>
      <c r="D663" s="14" t="n"/>
      <c r="E663" s="206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25" customHeight="1" s="214">
      <c r="A664" s="7" t="n"/>
      <c r="B664" s="7" t="n"/>
      <c r="C664" s="7" t="n"/>
      <c r="D664" s="14" t="n"/>
      <c r="E664" s="206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25" customHeight="1" s="214">
      <c r="A665" s="7" t="n"/>
      <c r="B665" s="7" t="n"/>
      <c r="C665" s="7" t="n"/>
      <c r="D665" s="14" t="n"/>
      <c r="E665" s="206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25" customHeight="1" s="214">
      <c r="A666" s="7" t="n"/>
      <c r="B666" s="7" t="n"/>
      <c r="C666" s="7" t="n"/>
      <c r="D666" s="14" t="n"/>
      <c r="E666" s="206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25" customHeight="1" s="214">
      <c r="A667" s="7" t="n"/>
      <c r="B667" s="7" t="n"/>
      <c r="C667" s="7" t="n"/>
      <c r="D667" s="14" t="n"/>
      <c r="E667" s="206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25" customHeight="1" s="214">
      <c r="A668" s="7" t="n"/>
      <c r="B668" s="7" t="n"/>
      <c r="C668" s="7" t="n"/>
      <c r="D668" s="14" t="n"/>
      <c r="E668" s="206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25" customHeight="1" s="214">
      <c r="A669" s="7" t="n"/>
      <c r="B669" s="7" t="n"/>
      <c r="C669" s="7" t="n"/>
      <c r="D669" s="14" t="n"/>
      <c r="E669" s="206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25" customHeight="1" s="214">
      <c r="A670" s="7" t="n"/>
      <c r="B670" s="7" t="n"/>
      <c r="C670" s="7" t="n"/>
      <c r="D670" s="14" t="n"/>
      <c r="E670" s="206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25" customHeight="1" s="214">
      <c r="A671" s="7" t="n"/>
      <c r="B671" s="7" t="n"/>
      <c r="C671" s="7" t="n"/>
      <c r="D671" s="14" t="n"/>
      <c r="E671" s="206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25" customHeight="1" s="214">
      <c r="A672" s="7" t="n"/>
      <c r="B672" s="7" t="n"/>
      <c r="C672" s="7" t="n"/>
      <c r="D672" s="14" t="n"/>
      <c r="E672" s="206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25" customHeight="1" s="214">
      <c r="A673" s="7" t="n"/>
      <c r="B673" s="7" t="n"/>
      <c r="C673" s="7" t="n"/>
      <c r="D673" s="14" t="n"/>
      <c r="E673" s="206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25" customHeight="1" s="214">
      <c r="A674" s="7" t="n"/>
      <c r="B674" s="7" t="n"/>
      <c r="C674" s="7" t="n"/>
      <c r="D674" s="14" t="n"/>
      <c r="E674" s="206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25" customHeight="1" s="214">
      <c r="A675" s="7" t="n"/>
      <c r="B675" s="7" t="n"/>
      <c r="C675" s="7" t="n"/>
      <c r="D675" s="14" t="n"/>
      <c r="E675" s="206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25" customHeight="1" s="214">
      <c r="A676" s="7" t="n"/>
      <c r="B676" s="7" t="n"/>
      <c r="C676" s="7" t="n"/>
      <c r="D676" s="14" t="n"/>
      <c r="E676" s="206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25" customHeight="1" s="214">
      <c r="A677" s="7" t="n"/>
      <c r="B677" s="7" t="n"/>
      <c r="C677" s="7" t="n"/>
      <c r="D677" s="14" t="n"/>
      <c r="E677" s="206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25" customHeight="1" s="214">
      <c r="A678" s="7" t="n"/>
      <c r="B678" s="7" t="n"/>
      <c r="C678" s="7" t="n"/>
      <c r="D678" s="14" t="n"/>
      <c r="E678" s="206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25" customHeight="1" s="214">
      <c r="A679" s="7" t="n"/>
      <c r="B679" s="7" t="n"/>
      <c r="C679" s="7" t="n"/>
      <c r="D679" s="14" t="n"/>
      <c r="E679" s="206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25" customHeight="1" s="214">
      <c r="A680" s="7" t="n"/>
      <c r="B680" s="7" t="n"/>
      <c r="C680" s="7" t="n"/>
      <c r="D680" s="14" t="n"/>
      <c r="E680" s="206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25" customHeight="1" s="214">
      <c r="A681" s="7" t="n"/>
      <c r="B681" s="7" t="n"/>
      <c r="C681" s="7" t="n"/>
      <c r="D681" s="14" t="n"/>
      <c r="E681" s="206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25" customHeight="1" s="214">
      <c r="A682" s="7" t="n"/>
      <c r="B682" s="7" t="n"/>
      <c r="C682" s="7" t="n"/>
      <c r="D682" s="14" t="n"/>
      <c r="E682" s="206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25" customHeight="1" s="214">
      <c r="A683" s="7" t="n"/>
      <c r="B683" s="7" t="n"/>
      <c r="C683" s="7" t="n"/>
      <c r="D683" s="14" t="n"/>
      <c r="E683" s="206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25" customHeight="1" s="214">
      <c r="A684" s="7" t="n"/>
      <c r="B684" s="7" t="n"/>
      <c r="C684" s="7" t="n"/>
      <c r="D684" s="14" t="n"/>
      <c r="E684" s="206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25" customHeight="1" s="214">
      <c r="A685" s="7" t="n"/>
      <c r="B685" s="7" t="n"/>
      <c r="C685" s="7" t="n"/>
      <c r="D685" s="14" t="n"/>
      <c r="E685" s="206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25" customHeight="1" s="214">
      <c r="A686" s="7" t="n"/>
      <c r="B686" s="7" t="n"/>
      <c r="C686" s="7" t="n"/>
      <c r="D686" s="14" t="n"/>
      <c r="E686" s="206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25" customHeight="1" s="214">
      <c r="A687" s="7" t="n"/>
      <c r="B687" s="7" t="n"/>
      <c r="C687" s="7" t="n"/>
      <c r="D687" s="14" t="n"/>
      <c r="E687" s="206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25" customHeight="1" s="214">
      <c r="A688" s="7" t="n"/>
      <c r="B688" s="7" t="n"/>
      <c r="C688" s="7" t="n"/>
      <c r="D688" s="14" t="n"/>
      <c r="E688" s="206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25" customHeight="1" s="214">
      <c r="A689" s="7" t="n"/>
      <c r="B689" s="7" t="n"/>
      <c r="C689" s="7" t="n"/>
      <c r="D689" s="14" t="n"/>
      <c r="E689" s="206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25" customHeight="1" s="214">
      <c r="A690" s="7" t="n"/>
      <c r="B690" s="7" t="n"/>
      <c r="C690" s="7" t="n"/>
      <c r="D690" s="14" t="n"/>
      <c r="E690" s="206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25" customHeight="1" s="214">
      <c r="A691" s="7" t="n"/>
      <c r="B691" s="7" t="n"/>
      <c r="C691" s="7" t="n"/>
      <c r="D691" s="14" t="n"/>
      <c r="E691" s="206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25" customHeight="1" s="214">
      <c r="A692" s="7" t="n"/>
      <c r="B692" s="7" t="n"/>
      <c r="C692" s="7" t="n"/>
      <c r="D692" s="14" t="n"/>
      <c r="E692" s="206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25" customHeight="1" s="214">
      <c r="A693" s="7" t="n"/>
      <c r="B693" s="7" t="n"/>
      <c r="C693" s="7" t="n"/>
      <c r="D693" s="14" t="n"/>
      <c r="E693" s="206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25" customHeight="1" s="214">
      <c r="A694" s="7" t="n"/>
      <c r="B694" s="7" t="n"/>
      <c r="C694" s="7" t="n"/>
      <c r="D694" s="14" t="n"/>
      <c r="E694" s="206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25" customHeight="1" s="214">
      <c r="A695" s="7" t="n"/>
      <c r="B695" s="7" t="n"/>
      <c r="C695" s="7" t="n"/>
      <c r="D695" s="14" t="n"/>
      <c r="E695" s="206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25" customHeight="1" s="214">
      <c r="A696" s="7" t="n"/>
      <c r="B696" s="7" t="n"/>
      <c r="C696" s="7" t="n"/>
      <c r="D696" s="14" t="n"/>
      <c r="E696" s="206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25" customHeight="1" s="214">
      <c r="A697" s="7" t="n"/>
      <c r="B697" s="7" t="n"/>
      <c r="C697" s="7" t="n"/>
      <c r="D697" s="14" t="n"/>
      <c r="E697" s="206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25" customHeight="1" s="214">
      <c r="A698" s="7" t="n"/>
      <c r="B698" s="7" t="n"/>
      <c r="C698" s="7" t="n"/>
      <c r="D698" s="14" t="n"/>
      <c r="E698" s="206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25" customHeight="1" s="214">
      <c r="A699" s="7" t="n"/>
      <c r="B699" s="7" t="n"/>
      <c r="C699" s="7" t="n"/>
      <c r="D699" s="14" t="n"/>
      <c r="E699" s="206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25" customHeight="1" s="214">
      <c r="A700" s="7" t="n"/>
      <c r="B700" s="7" t="n"/>
      <c r="C700" s="7" t="n"/>
      <c r="D700" s="14" t="n"/>
      <c r="E700" s="206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25" customHeight="1" s="214">
      <c r="A701" s="7" t="n"/>
      <c r="B701" s="7" t="n"/>
      <c r="C701" s="7" t="n"/>
      <c r="D701" s="14" t="n"/>
      <c r="E701" s="206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25" customHeight="1" s="214">
      <c r="A702" s="7" t="n"/>
      <c r="B702" s="7" t="n"/>
      <c r="C702" s="7" t="n"/>
      <c r="D702" s="14" t="n"/>
      <c r="E702" s="206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25" customHeight="1" s="214">
      <c r="A703" s="7" t="n"/>
      <c r="B703" s="7" t="n"/>
      <c r="C703" s="7" t="n"/>
      <c r="D703" s="14" t="n"/>
      <c r="E703" s="206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25" customHeight="1" s="214">
      <c r="A704" s="7" t="n"/>
      <c r="B704" s="7" t="n"/>
      <c r="C704" s="7" t="n"/>
      <c r="D704" s="14" t="n"/>
      <c r="E704" s="206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25" customHeight="1" s="214">
      <c r="A705" s="7" t="n"/>
      <c r="B705" s="7" t="n"/>
      <c r="C705" s="7" t="n"/>
      <c r="D705" s="14" t="n"/>
      <c r="E705" s="206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25" customHeight="1" s="214">
      <c r="A706" s="7" t="n"/>
      <c r="B706" s="7" t="n"/>
      <c r="C706" s="7" t="n"/>
      <c r="D706" s="14" t="n"/>
      <c r="E706" s="206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25" customHeight="1" s="214">
      <c r="A707" s="7" t="n"/>
      <c r="B707" s="7" t="n"/>
      <c r="C707" s="7" t="n"/>
      <c r="D707" s="14" t="n"/>
      <c r="E707" s="206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25" customHeight="1" s="214">
      <c r="A708" s="7" t="n"/>
      <c r="B708" s="7" t="n"/>
      <c r="C708" s="7" t="n"/>
      <c r="D708" s="14" t="n"/>
      <c r="E708" s="206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25" customHeight="1" s="214">
      <c r="A709" s="7" t="n"/>
      <c r="B709" s="7" t="n"/>
      <c r="C709" s="7" t="n"/>
      <c r="D709" s="14" t="n"/>
      <c r="E709" s="206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25" customHeight="1" s="214">
      <c r="A710" s="7" t="n"/>
      <c r="B710" s="7" t="n"/>
      <c r="C710" s="7" t="n"/>
      <c r="D710" s="14" t="n"/>
      <c r="E710" s="206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25" customHeight="1" s="214">
      <c r="A711" s="7" t="n"/>
      <c r="B711" s="7" t="n"/>
      <c r="C711" s="7" t="n"/>
      <c r="D711" s="14" t="n"/>
      <c r="E711" s="206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25" customHeight="1" s="214">
      <c r="A712" s="7" t="n"/>
      <c r="B712" s="7" t="n"/>
      <c r="C712" s="7" t="n"/>
      <c r="D712" s="14" t="n"/>
      <c r="E712" s="206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25" customHeight="1" s="214">
      <c r="A713" s="7" t="n"/>
      <c r="B713" s="7" t="n"/>
      <c r="C713" s="7" t="n"/>
      <c r="D713" s="14" t="n"/>
      <c r="E713" s="206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25" customHeight="1" s="214">
      <c r="A714" s="7" t="n"/>
      <c r="B714" s="7" t="n"/>
      <c r="C714" s="7" t="n"/>
      <c r="D714" s="14" t="n"/>
      <c r="E714" s="206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25" customHeight="1" s="214">
      <c r="A715" s="7" t="n"/>
      <c r="B715" s="7" t="n"/>
      <c r="C715" s="7" t="n"/>
      <c r="D715" s="14" t="n"/>
      <c r="E715" s="206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25" customHeight="1" s="214">
      <c r="A716" s="7" t="n"/>
      <c r="B716" s="7" t="n"/>
      <c r="C716" s="7" t="n"/>
      <c r="D716" s="14" t="n"/>
      <c r="E716" s="206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25" customHeight="1" s="214">
      <c r="A717" s="7" t="n"/>
      <c r="B717" s="7" t="n"/>
      <c r="C717" s="7" t="n"/>
      <c r="D717" s="14" t="n"/>
      <c r="E717" s="206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25" customHeight="1" s="214">
      <c r="A718" s="7" t="n"/>
      <c r="B718" s="7" t="n"/>
      <c r="C718" s="7" t="n"/>
      <c r="D718" s="14" t="n"/>
      <c r="E718" s="206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25" customHeight="1" s="214">
      <c r="A719" s="7" t="n"/>
      <c r="B719" s="7" t="n"/>
      <c r="C719" s="7" t="n"/>
      <c r="D719" s="14" t="n"/>
      <c r="E719" s="206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25" customHeight="1" s="214">
      <c r="A720" s="7" t="n"/>
      <c r="B720" s="7" t="n"/>
      <c r="C720" s="7" t="n"/>
      <c r="D720" s="14" t="n"/>
      <c r="E720" s="206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25" customHeight="1" s="214">
      <c r="A721" s="7" t="n"/>
      <c r="B721" s="7" t="n"/>
      <c r="C721" s="7" t="n"/>
      <c r="D721" s="14" t="n"/>
      <c r="E721" s="206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25" customHeight="1" s="214">
      <c r="A722" s="7" t="n"/>
      <c r="B722" s="7" t="n"/>
      <c r="C722" s="7" t="n"/>
      <c r="D722" s="14" t="n"/>
      <c r="E722" s="206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25" customHeight="1" s="214">
      <c r="A723" s="7" t="n"/>
      <c r="B723" s="7" t="n"/>
      <c r="C723" s="7" t="n"/>
      <c r="D723" s="14" t="n"/>
      <c r="E723" s="206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25" customHeight="1" s="214">
      <c r="A724" s="7" t="n"/>
      <c r="B724" s="7" t="n"/>
      <c r="C724" s="7" t="n"/>
      <c r="D724" s="14" t="n"/>
      <c r="E724" s="206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25" customHeight="1" s="214">
      <c r="A725" s="7" t="n"/>
      <c r="B725" s="7" t="n"/>
      <c r="C725" s="7" t="n"/>
      <c r="D725" s="14" t="n"/>
      <c r="E725" s="206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25" customHeight="1" s="214">
      <c r="A726" s="7" t="n"/>
      <c r="B726" s="7" t="n"/>
      <c r="C726" s="7" t="n"/>
      <c r="D726" s="14" t="n"/>
      <c r="E726" s="206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25" customHeight="1" s="214">
      <c r="A727" s="7" t="n"/>
      <c r="B727" s="7" t="n"/>
      <c r="C727" s="7" t="n"/>
      <c r="D727" s="14" t="n"/>
      <c r="E727" s="206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25" customHeight="1" s="214">
      <c r="A728" s="7" t="n"/>
      <c r="B728" s="7" t="n"/>
      <c r="C728" s="7" t="n"/>
      <c r="D728" s="14" t="n"/>
      <c r="E728" s="206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25" customHeight="1" s="214">
      <c r="A729" s="7" t="n"/>
      <c r="B729" s="7" t="n"/>
      <c r="C729" s="7" t="n"/>
      <c r="D729" s="14" t="n"/>
      <c r="E729" s="206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25" customHeight="1" s="214">
      <c r="A730" s="7" t="n"/>
      <c r="B730" s="7" t="n"/>
      <c r="C730" s="7" t="n"/>
      <c r="D730" s="14" t="n"/>
      <c r="E730" s="206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25" customHeight="1" s="214">
      <c r="A731" s="7" t="n"/>
      <c r="B731" s="7" t="n"/>
      <c r="C731" s="7" t="n"/>
      <c r="D731" s="14" t="n"/>
      <c r="E731" s="206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25" customHeight="1" s="214">
      <c r="A732" s="7" t="n"/>
      <c r="B732" s="7" t="n"/>
      <c r="C732" s="7" t="n"/>
      <c r="D732" s="14" t="n"/>
      <c r="E732" s="206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25" customHeight="1" s="214">
      <c r="A733" s="7" t="n"/>
      <c r="B733" s="7" t="n"/>
      <c r="C733" s="7" t="n"/>
      <c r="D733" s="14" t="n"/>
      <c r="E733" s="206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25" customHeight="1" s="214">
      <c r="A734" s="7" t="n"/>
      <c r="B734" s="7" t="n"/>
      <c r="C734" s="7" t="n"/>
      <c r="D734" s="14" t="n"/>
      <c r="E734" s="206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25" customHeight="1" s="214">
      <c r="A735" s="7" t="n"/>
      <c r="B735" s="7" t="n"/>
      <c r="C735" s="7" t="n"/>
      <c r="D735" s="14" t="n"/>
      <c r="E735" s="206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25" customHeight="1" s="214">
      <c r="A736" s="7" t="n"/>
      <c r="B736" s="7" t="n"/>
      <c r="C736" s="7" t="n"/>
      <c r="D736" s="14" t="n"/>
      <c r="E736" s="206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25" customHeight="1" s="214">
      <c r="A737" s="7" t="n"/>
      <c r="B737" s="7" t="n"/>
      <c r="C737" s="7" t="n"/>
      <c r="D737" s="14" t="n"/>
      <c r="E737" s="206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25" customHeight="1" s="214">
      <c r="A738" s="7" t="n"/>
      <c r="B738" s="7" t="n"/>
      <c r="C738" s="7" t="n"/>
      <c r="D738" s="14" t="n"/>
      <c r="E738" s="206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25" customHeight="1" s="214">
      <c r="A739" s="7" t="n"/>
      <c r="B739" s="7" t="n"/>
      <c r="C739" s="7" t="n"/>
      <c r="D739" s="14" t="n"/>
      <c r="E739" s="206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25" customHeight="1" s="214">
      <c r="A740" s="7" t="n"/>
      <c r="B740" s="7" t="n"/>
      <c r="C740" s="7" t="n"/>
      <c r="D740" s="14" t="n"/>
      <c r="E740" s="206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25" customHeight="1" s="214">
      <c r="A741" s="7" t="n"/>
      <c r="B741" s="7" t="n"/>
      <c r="C741" s="7" t="n"/>
      <c r="D741" s="14" t="n"/>
      <c r="E741" s="206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25" customHeight="1" s="214">
      <c r="A742" s="7" t="n"/>
      <c r="B742" s="7" t="n"/>
      <c r="C742" s="7" t="n"/>
      <c r="D742" s="14" t="n"/>
      <c r="E742" s="206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25" customHeight="1" s="214">
      <c r="A743" s="7" t="n"/>
      <c r="B743" s="7" t="n"/>
      <c r="C743" s="7" t="n"/>
      <c r="D743" s="14" t="n"/>
      <c r="E743" s="206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25" customHeight="1" s="214">
      <c r="A744" s="7" t="n"/>
      <c r="B744" s="7" t="n"/>
      <c r="C744" s="7" t="n"/>
      <c r="D744" s="14" t="n"/>
      <c r="E744" s="206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25" customHeight="1" s="214">
      <c r="A745" s="7" t="n"/>
      <c r="B745" s="7" t="n"/>
      <c r="C745" s="7" t="n"/>
      <c r="D745" s="14" t="n"/>
      <c r="E745" s="206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25" customHeight="1" s="214">
      <c r="A746" s="7" t="n"/>
      <c r="B746" s="7" t="n"/>
      <c r="C746" s="7" t="n"/>
      <c r="D746" s="14" t="n"/>
      <c r="E746" s="206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25" customHeight="1" s="214">
      <c r="A747" s="7" t="n"/>
      <c r="B747" s="7" t="n"/>
      <c r="C747" s="7" t="n"/>
      <c r="D747" s="14" t="n"/>
      <c r="E747" s="206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25" customHeight="1" s="214">
      <c r="A748" s="7" t="n"/>
      <c r="B748" s="7" t="n"/>
      <c r="C748" s="7" t="n"/>
      <c r="D748" s="14" t="n"/>
      <c r="E748" s="206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25" customHeight="1" s="214">
      <c r="A749" s="7" t="n"/>
      <c r="B749" s="7" t="n"/>
      <c r="C749" s="7" t="n"/>
      <c r="D749" s="14" t="n"/>
      <c r="E749" s="206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25" customHeight="1" s="214">
      <c r="A750" s="7" t="n"/>
      <c r="B750" s="7" t="n"/>
      <c r="C750" s="7" t="n"/>
      <c r="D750" s="14" t="n"/>
      <c r="E750" s="206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25" customHeight="1" s="214">
      <c r="A751" s="7" t="n"/>
      <c r="B751" s="7" t="n"/>
      <c r="C751" s="7" t="n"/>
      <c r="D751" s="14" t="n"/>
      <c r="E751" s="206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25" customHeight="1" s="214">
      <c r="A752" s="7" t="n"/>
      <c r="B752" s="7" t="n"/>
      <c r="C752" s="7" t="n"/>
      <c r="D752" s="14" t="n"/>
      <c r="E752" s="206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25" customHeight="1" s="214">
      <c r="A753" s="7" t="n"/>
      <c r="B753" s="7" t="n"/>
      <c r="C753" s="7" t="n"/>
      <c r="D753" s="14" t="n"/>
      <c r="E753" s="206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25" customHeight="1" s="214">
      <c r="A754" s="7" t="n"/>
      <c r="B754" s="7" t="n"/>
      <c r="C754" s="7" t="n"/>
      <c r="D754" s="14" t="n"/>
      <c r="E754" s="206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25" customHeight="1" s="214">
      <c r="A755" s="7" t="n"/>
      <c r="B755" s="7" t="n"/>
      <c r="C755" s="7" t="n"/>
      <c r="D755" s="14" t="n"/>
      <c r="E755" s="206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25" customHeight="1" s="214">
      <c r="A756" s="7" t="n"/>
      <c r="B756" s="7" t="n"/>
      <c r="C756" s="7" t="n"/>
      <c r="D756" s="14" t="n"/>
      <c r="E756" s="206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25" customHeight="1" s="214">
      <c r="A757" s="7" t="n"/>
      <c r="B757" s="7" t="n"/>
      <c r="C757" s="7" t="n"/>
      <c r="D757" s="14" t="n"/>
      <c r="E757" s="206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25" customHeight="1" s="214">
      <c r="A758" s="7" t="n"/>
      <c r="B758" s="7" t="n"/>
      <c r="C758" s="7" t="n"/>
      <c r="D758" s="14" t="n"/>
      <c r="E758" s="206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25" customHeight="1" s="214">
      <c r="A759" s="7" t="n"/>
      <c r="B759" s="7" t="n"/>
      <c r="C759" s="7" t="n"/>
      <c r="D759" s="14" t="n"/>
      <c r="E759" s="206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25" customHeight="1" s="214">
      <c r="A760" s="7" t="n"/>
      <c r="B760" s="7" t="n"/>
      <c r="C760" s="7" t="n"/>
      <c r="D760" s="14" t="n"/>
      <c r="E760" s="206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25" customHeight="1" s="214">
      <c r="A761" s="7" t="n"/>
      <c r="B761" s="7" t="n"/>
      <c r="C761" s="7" t="n"/>
      <c r="D761" s="14" t="n"/>
      <c r="E761" s="206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25" customHeight="1" s="214">
      <c r="A762" s="7" t="n"/>
      <c r="B762" s="7" t="n"/>
      <c r="C762" s="7" t="n"/>
      <c r="D762" s="14" t="n"/>
      <c r="E762" s="206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25" customHeight="1" s="214">
      <c r="A763" s="7" t="n"/>
      <c r="B763" s="7" t="n"/>
      <c r="C763" s="7" t="n"/>
      <c r="D763" s="14" t="n"/>
      <c r="E763" s="206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25" customHeight="1" s="214">
      <c r="A764" s="7" t="n"/>
      <c r="B764" s="7" t="n"/>
      <c r="C764" s="7" t="n"/>
      <c r="D764" s="14" t="n"/>
      <c r="E764" s="206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25" customHeight="1" s="214">
      <c r="A765" s="7" t="n"/>
      <c r="B765" s="7" t="n"/>
      <c r="C765" s="7" t="n"/>
      <c r="D765" s="14" t="n"/>
      <c r="E765" s="206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25" customHeight="1" s="214">
      <c r="A766" s="7" t="n"/>
      <c r="B766" s="7" t="n"/>
      <c r="C766" s="7" t="n"/>
      <c r="D766" s="14" t="n"/>
      <c r="E766" s="206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25" customHeight="1" s="214">
      <c r="A767" s="7" t="n"/>
      <c r="B767" s="7" t="n"/>
      <c r="C767" s="7" t="n"/>
      <c r="D767" s="14" t="n"/>
      <c r="E767" s="206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25" customHeight="1" s="214">
      <c r="A768" s="7" t="n"/>
      <c r="B768" s="7" t="n"/>
      <c r="C768" s="7" t="n"/>
      <c r="D768" s="14" t="n"/>
      <c r="E768" s="206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25" customHeight="1" s="214">
      <c r="A769" s="7" t="n"/>
      <c r="B769" s="7" t="n"/>
      <c r="C769" s="7" t="n"/>
      <c r="D769" s="14" t="n"/>
      <c r="E769" s="206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25" customHeight="1" s="214">
      <c r="A770" s="7" t="n"/>
      <c r="B770" s="7" t="n"/>
      <c r="C770" s="7" t="n"/>
      <c r="D770" s="14" t="n"/>
      <c r="E770" s="206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25" customHeight="1" s="214">
      <c r="A771" s="7" t="n"/>
      <c r="B771" s="7" t="n"/>
      <c r="C771" s="7" t="n"/>
      <c r="D771" s="14" t="n"/>
      <c r="E771" s="206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25" customHeight="1" s="214">
      <c r="A772" s="7" t="n"/>
      <c r="B772" s="7" t="n"/>
      <c r="C772" s="7" t="n"/>
      <c r="D772" s="14" t="n"/>
      <c r="E772" s="206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25" customHeight="1" s="214">
      <c r="A773" s="7" t="n"/>
      <c r="B773" s="7" t="n"/>
      <c r="C773" s="7" t="n"/>
      <c r="D773" s="14" t="n"/>
      <c r="E773" s="206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25" customHeight="1" s="214">
      <c r="A774" s="7" t="n"/>
      <c r="B774" s="7" t="n"/>
      <c r="C774" s="7" t="n"/>
      <c r="D774" s="14" t="n"/>
      <c r="E774" s="206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25" customHeight="1" s="214">
      <c r="A775" s="7" t="n"/>
      <c r="B775" s="7" t="n"/>
      <c r="C775" s="7" t="n"/>
      <c r="D775" s="14" t="n"/>
      <c r="E775" s="206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25" customHeight="1" s="214">
      <c r="A776" s="7" t="n"/>
      <c r="B776" s="7" t="n"/>
      <c r="C776" s="7" t="n"/>
      <c r="D776" s="14" t="n"/>
      <c r="E776" s="206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25" customHeight="1" s="214">
      <c r="A777" s="7" t="n"/>
      <c r="B777" s="7" t="n"/>
      <c r="C777" s="7" t="n"/>
      <c r="D777" s="14" t="n"/>
      <c r="E777" s="206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25" customHeight="1" s="214">
      <c r="A778" s="7" t="n"/>
      <c r="B778" s="7" t="n"/>
      <c r="C778" s="7" t="n"/>
      <c r="D778" s="14" t="n"/>
      <c r="E778" s="206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25" customHeight="1" s="214">
      <c r="A779" s="7" t="n"/>
      <c r="B779" s="7" t="n"/>
      <c r="C779" s="7" t="n"/>
      <c r="D779" s="14" t="n"/>
      <c r="E779" s="206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25" customHeight="1" s="214">
      <c r="A780" s="7" t="n"/>
      <c r="B780" s="7" t="n"/>
      <c r="C780" s="7" t="n"/>
      <c r="D780" s="14" t="n"/>
      <c r="E780" s="206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25" customHeight="1" s="214">
      <c r="A781" s="7" t="n"/>
      <c r="B781" s="7" t="n"/>
      <c r="C781" s="7" t="n"/>
      <c r="D781" s="14" t="n"/>
      <c r="E781" s="206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25" customHeight="1" s="214">
      <c r="A782" s="7" t="n"/>
      <c r="B782" s="7" t="n"/>
      <c r="C782" s="7" t="n"/>
      <c r="D782" s="14" t="n"/>
      <c r="E782" s="206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25" customHeight="1" s="214">
      <c r="A783" s="7" t="n"/>
      <c r="B783" s="7" t="n"/>
      <c r="C783" s="7" t="n"/>
      <c r="D783" s="14" t="n"/>
      <c r="E783" s="206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25" customHeight="1" s="214">
      <c r="A784" s="7" t="n"/>
      <c r="B784" s="7" t="n"/>
      <c r="C784" s="7" t="n"/>
      <c r="D784" s="14" t="n"/>
      <c r="E784" s="206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25" customHeight="1" s="214">
      <c r="A785" s="7" t="n"/>
      <c r="B785" s="7" t="n"/>
      <c r="C785" s="7" t="n"/>
      <c r="D785" s="14" t="n"/>
      <c r="E785" s="206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25" customHeight="1" s="214">
      <c r="A786" s="7" t="n"/>
      <c r="B786" s="7" t="n"/>
      <c r="C786" s="7" t="n"/>
      <c r="D786" s="14" t="n"/>
      <c r="E786" s="206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25" customHeight="1" s="214">
      <c r="A787" s="7" t="n"/>
      <c r="B787" s="7" t="n"/>
      <c r="C787" s="7" t="n"/>
      <c r="D787" s="14" t="n"/>
      <c r="E787" s="206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25" customHeight="1" s="214">
      <c r="A788" s="7" t="n"/>
      <c r="B788" s="7" t="n"/>
      <c r="C788" s="7" t="n"/>
      <c r="D788" s="14" t="n"/>
      <c r="E788" s="206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25" customHeight="1" s="214">
      <c r="A789" s="7" t="n"/>
      <c r="B789" s="7" t="n"/>
      <c r="C789" s="7" t="n"/>
      <c r="D789" s="14" t="n"/>
      <c r="E789" s="206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25" customHeight="1" s="214">
      <c r="A790" s="7" t="n"/>
      <c r="B790" s="7" t="n"/>
      <c r="C790" s="7" t="n"/>
      <c r="D790" s="14" t="n"/>
      <c r="E790" s="206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25" customHeight="1" s="214">
      <c r="A791" s="7" t="n"/>
      <c r="B791" s="7" t="n"/>
      <c r="C791" s="7" t="n"/>
      <c r="D791" s="14" t="n"/>
      <c r="E791" s="206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25" customHeight="1" s="214">
      <c r="A792" s="7" t="n"/>
      <c r="B792" s="7" t="n"/>
      <c r="C792" s="7" t="n"/>
      <c r="D792" s="14" t="n"/>
      <c r="E792" s="206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25" customHeight="1" s="214">
      <c r="A793" s="7" t="n"/>
      <c r="B793" s="7" t="n"/>
      <c r="C793" s="7" t="n"/>
      <c r="D793" s="14" t="n"/>
      <c r="E793" s="206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25" customHeight="1" s="214">
      <c r="A794" s="7" t="n"/>
      <c r="B794" s="7" t="n"/>
      <c r="C794" s="7" t="n"/>
      <c r="D794" s="14" t="n"/>
      <c r="E794" s="206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25" customHeight="1" s="214">
      <c r="A795" s="7" t="n"/>
      <c r="B795" s="7" t="n"/>
      <c r="C795" s="7" t="n"/>
      <c r="D795" s="14" t="n"/>
      <c r="E795" s="206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25" customHeight="1" s="214">
      <c r="A796" s="7" t="n"/>
      <c r="B796" s="7" t="n"/>
      <c r="C796" s="7" t="n"/>
      <c r="D796" s="14" t="n"/>
      <c r="E796" s="206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25" customHeight="1" s="214">
      <c r="A797" s="7" t="n"/>
      <c r="B797" s="7" t="n"/>
      <c r="C797" s="7" t="n"/>
      <c r="D797" s="14" t="n"/>
      <c r="E797" s="206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25" customHeight="1" s="214">
      <c r="A798" s="7" t="n"/>
      <c r="B798" s="7" t="n"/>
      <c r="C798" s="7" t="n"/>
      <c r="D798" s="14" t="n"/>
      <c r="E798" s="206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25" customHeight="1" s="214">
      <c r="A799" s="7" t="n"/>
      <c r="B799" s="7" t="n"/>
      <c r="C799" s="7" t="n"/>
      <c r="D799" s="14" t="n"/>
      <c r="E799" s="206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25" customHeight="1" s="214">
      <c r="A800" s="7" t="n"/>
      <c r="B800" s="7" t="n"/>
      <c r="C800" s="7" t="n"/>
      <c r="D800" s="14" t="n"/>
      <c r="E800" s="206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25" customHeight="1" s="214">
      <c r="A801" s="7" t="n"/>
      <c r="B801" s="7" t="n"/>
      <c r="C801" s="7" t="n"/>
      <c r="D801" s="14" t="n"/>
      <c r="E801" s="206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25" customHeight="1" s="214">
      <c r="A802" s="7" t="n"/>
      <c r="B802" s="7" t="n"/>
      <c r="C802" s="7" t="n"/>
      <c r="D802" s="14" t="n"/>
      <c r="E802" s="206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25" customHeight="1" s="214">
      <c r="A803" s="7" t="n"/>
      <c r="B803" s="7" t="n"/>
      <c r="C803" s="7" t="n"/>
      <c r="D803" s="14" t="n"/>
      <c r="E803" s="206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25" customHeight="1" s="214">
      <c r="A804" s="7" t="n"/>
      <c r="B804" s="7" t="n"/>
      <c r="C804" s="7" t="n"/>
      <c r="D804" s="14" t="n"/>
      <c r="E804" s="206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25" customHeight="1" s="214">
      <c r="A805" s="7" t="n"/>
      <c r="B805" s="7" t="n"/>
      <c r="C805" s="7" t="n"/>
      <c r="D805" s="14" t="n"/>
      <c r="E805" s="206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25" customHeight="1" s="214">
      <c r="A806" s="7" t="n"/>
      <c r="B806" s="7" t="n"/>
      <c r="C806" s="7" t="n"/>
      <c r="D806" s="14" t="n"/>
      <c r="E806" s="206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25" customHeight="1" s="214">
      <c r="A807" s="7" t="n"/>
      <c r="B807" s="7" t="n"/>
      <c r="C807" s="7" t="n"/>
      <c r="D807" s="14" t="n"/>
      <c r="E807" s="206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25" customHeight="1" s="214">
      <c r="A808" s="7" t="n"/>
      <c r="B808" s="7" t="n"/>
      <c r="C808" s="7" t="n"/>
      <c r="D808" s="14" t="n"/>
      <c r="E808" s="206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25" customHeight="1" s="214">
      <c r="A809" s="7" t="n"/>
      <c r="B809" s="7" t="n"/>
      <c r="C809" s="7" t="n"/>
      <c r="D809" s="14" t="n"/>
      <c r="E809" s="206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25" customHeight="1" s="214">
      <c r="A810" s="7" t="n"/>
      <c r="B810" s="7" t="n"/>
      <c r="C810" s="7" t="n"/>
      <c r="D810" s="14" t="n"/>
      <c r="E810" s="206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25" customHeight="1" s="214">
      <c r="A811" s="7" t="n"/>
      <c r="B811" s="7" t="n"/>
      <c r="C811" s="7" t="n"/>
      <c r="D811" s="14" t="n"/>
      <c r="E811" s="206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25" customHeight="1" s="214">
      <c r="A812" s="7" t="n"/>
      <c r="B812" s="7" t="n"/>
      <c r="C812" s="7" t="n"/>
      <c r="D812" s="14" t="n"/>
      <c r="E812" s="206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25" customHeight="1" s="214">
      <c r="A813" s="7" t="n"/>
      <c r="B813" s="7" t="n"/>
      <c r="C813" s="7" t="n"/>
      <c r="D813" s="14" t="n"/>
      <c r="E813" s="206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25" customHeight="1" s="214">
      <c r="A814" s="7" t="n"/>
      <c r="B814" s="7" t="n"/>
      <c r="C814" s="7" t="n"/>
      <c r="D814" s="14" t="n"/>
      <c r="E814" s="206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25" customHeight="1" s="214">
      <c r="A815" s="7" t="n"/>
      <c r="B815" s="7" t="n"/>
      <c r="C815" s="7" t="n"/>
      <c r="D815" s="14" t="n"/>
      <c r="E815" s="206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25" customHeight="1" s="214">
      <c r="A816" s="7" t="n"/>
      <c r="B816" s="7" t="n"/>
      <c r="C816" s="7" t="n"/>
      <c r="D816" s="14" t="n"/>
      <c r="E816" s="206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25" customHeight="1" s="214">
      <c r="A817" s="7" t="n"/>
      <c r="B817" s="7" t="n"/>
      <c r="C817" s="7" t="n"/>
      <c r="D817" s="14" t="n"/>
      <c r="E817" s="206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25" customHeight="1" s="214">
      <c r="A818" s="7" t="n"/>
      <c r="B818" s="7" t="n"/>
      <c r="C818" s="7" t="n"/>
      <c r="D818" s="14" t="n"/>
      <c r="E818" s="206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25" customHeight="1" s="214">
      <c r="A819" s="7" t="n"/>
      <c r="B819" s="7" t="n"/>
      <c r="C819" s="7" t="n"/>
      <c r="D819" s="14" t="n"/>
      <c r="E819" s="206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25" customHeight="1" s="214">
      <c r="A820" s="7" t="n"/>
      <c r="B820" s="7" t="n"/>
      <c r="C820" s="7" t="n"/>
      <c r="D820" s="14" t="n"/>
      <c r="E820" s="206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25" customHeight="1" s="214">
      <c r="A821" s="7" t="n"/>
      <c r="B821" s="7" t="n"/>
      <c r="C821" s="7" t="n"/>
      <c r="D821" s="14" t="n"/>
      <c r="E821" s="206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25" customHeight="1" s="214">
      <c r="A822" s="7" t="n"/>
      <c r="B822" s="7" t="n"/>
      <c r="C822" s="7" t="n"/>
      <c r="D822" s="14" t="n"/>
      <c r="E822" s="206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25" customHeight="1" s="214">
      <c r="A823" s="7" t="n"/>
      <c r="B823" s="7" t="n"/>
      <c r="C823" s="7" t="n"/>
      <c r="D823" s="14" t="n"/>
      <c r="E823" s="206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25" customHeight="1" s="214">
      <c r="A824" s="7" t="n"/>
      <c r="B824" s="7" t="n"/>
      <c r="C824" s="7" t="n"/>
      <c r="D824" s="14" t="n"/>
      <c r="E824" s="206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25" customHeight="1" s="214">
      <c r="A825" s="7" t="n"/>
      <c r="B825" s="7" t="n"/>
      <c r="C825" s="7" t="n"/>
      <c r="D825" s="14" t="n"/>
      <c r="E825" s="206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25" customHeight="1" s="214">
      <c r="A826" s="7" t="n"/>
      <c r="B826" s="7" t="n"/>
      <c r="C826" s="7" t="n"/>
      <c r="D826" s="14" t="n"/>
      <c r="E826" s="206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25" customHeight="1" s="214">
      <c r="A827" s="7" t="n"/>
      <c r="B827" s="7" t="n"/>
      <c r="C827" s="7" t="n"/>
      <c r="D827" s="14" t="n"/>
      <c r="E827" s="206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25" customHeight="1" s="214">
      <c r="A828" s="7" t="n"/>
      <c r="B828" s="7" t="n"/>
      <c r="C828" s="7" t="n"/>
      <c r="D828" s="14" t="n"/>
      <c r="E828" s="206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25" customHeight="1" s="214">
      <c r="A829" s="7" t="n"/>
      <c r="B829" s="7" t="n"/>
      <c r="C829" s="7" t="n"/>
      <c r="D829" s="14" t="n"/>
      <c r="E829" s="206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25" customHeight="1" s="214">
      <c r="A830" s="7" t="n"/>
      <c r="B830" s="7" t="n"/>
      <c r="C830" s="7" t="n"/>
      <c r="D830" s="14" t="n"/>
      <c r="E830" s="206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25" customHeight="1" s="214">
      <c r="A831" s="7" t="n"/>
      <c r="B831" s="7" t="n"/>
      <c r="C831" s="7" t="n"/>
      <c r="D831" s="14" t="n"/>
      <c r="E831" s="206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25" customHeight="1" s="214">
      <c r="A832" s="7" t="n"/>
      <c r="B832" s="7" t="n"/>
      <c r="C832" s="7" t="n"/>
      <c r="D832" s="14" t="n"/>
      <c r="E832" s="206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25" customHeight="1" s="214">
      <c r="A833" s="7" t="n"/>
      <c r="B833" s="7" t="n"/>
      <c r="C833" s="7" t="n"/>
      <c r="D833" s="14" t="n"/>
      <c r="E833" s="206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25" customHeight="1" s="214">
      <c r="A834" s="7" t="n"/>
      <c r="B834" s="7" t="n"/>
      <c r="C834" s="7" t="n"/>
      <c r="D834" s="14" t="n"/>
      <c r="E834" s="206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25" customHeight="1" s="214">
      <c r="A835" s="7" t="n"/>
      <c r="B835" s="7" t="n"/>
      <c r="C835" s="7" t="n"/>
      <c r="D835" s="14" t="n"/>
      <c r="E835" s="206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25" customHeight="1" s="214">
      <c r="A836" s="7" t="n"/>
      <c r="B836" s="7" t="n"/>
      <c r="C836" s="7" t="n"/>
      <c r="D836" s="14" t="n"/>
      <c r="E836" s="206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25" customHeight="1" s="214">
      <c r="A837" s="7" t="n"/>
      <c r="B837" s="7" t="n"/>
      <c r="C837" s="7" t="n"/>
      <c r="D837" s="14" t="n"/>
      <c r="E837" s="206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25" customHeight="1" s="214">
      <c r="A838" s="7" t="n"/>
      <c r="B838" s="7" t="n"/>
      <c r="C838" s="7" t="n"/>
      <c r="D838" s="14" t="n"/>
      <c r="E838" s="206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25" customHeight="1" s="214">
      <c r="A839" s="7" t="n"/>
      <c r="B839" s="7" t="n"/>
      <c r="C839" s="7" t="n"/>
      <c r="D839" s="14" t="n"/>
      <c r="E839" s="206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25" customHeight="1" s="214">
      <c r="A840" s="7" t="n"/>
      <c r="B840" s="7" t="n"/>
      <c r="C840" s="7" t="n"/>
      <c r="D840" s="14" t="n"/>
      <c r="E840" s="206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25" customHeight="1" s="214">
      <c r="A841" s="7" t="n"/>
      <c r="B841" s="7" t="n"/>
      <c r="C841" s="7" t="n"/>
      <c r="D841" s="14" t="n"/>
      <c r="E841" s="206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25" customHeight="1" s="214">
      <c r="A842" s="7" t="n"/>
      <c r="B842" s="7" t="n"/>
      <c r="C842" s="7" t="n"/>
      <c r="D842" s="14" t="n"/>
      <c r="E842" s="206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25" customHeight="1" s="214">
      <c r="A843" s="7" t="n"/>
      <c r="B843" s="7" t="n"/>
      <c r="C843" s="7" t="n"/>
      <c r="D843" s="14" t="n"/>
      <c r="E843" s="206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25" customHeight="1" s="214">
      <c r="A844" s="7" t="n"/>
      <c r="B844" s="7" t="n"/>
      <c r="C844" s="7" t="n"/>
      <c r="D844" s="14" t="n"/>
      <c r="E844" s="206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25" customHeight="1" s="214">
      <c r="A845" s="7" t="n"/>
      <c r="B845" s="7" t="n"/>
      <c r="C845" s="7" t="n"/>
      <c r="D845" s="14" t="n"/>
      <c r="E845" s="206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25" customHeight="1" s="214">
      <c r="A846" s="7" t="n"/>
      <c r="B846" s="7" t="n"/>
      <c r="C846" s="7" t="n"/>
      <c r="D846" s="14" t="n"/>
      <c r="E846" s="206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25" customHeight="1" s="214">
      <c r="A847" s="7" t="n"/>
      <c r="B847" s="7" t="n"/>
      <c r="C847" s="7" t="n"/>
      <c r="D847" s="14" t="n"/>
      <c r="E847" s="206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25" customHeight="1" s="214">
      <c r="A848" s="7" t="n"/>
      <c r="B848" s="7" t="n"/>
      <c r="C848" s="7" t="n"/>
      <c r="D848" s="14" t="n"/>
      <c r="E848" s="206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25" customHeight="1" s="214">
      <c r="A849" s="7" t="n"/>
      <c r="B849" s="7" t="n"/>
      <c r="C849" s="7" t="n"/>
      <c r="D849" s="14" t="n"/>
      <c r="E849" s="206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25" customHeight="1" s="214">
      <c r="A850" s="7" t="n"/>
      <c r="B850" s="7" t="n"/>
      <c r="C850" s="7" t="n"/>
      <c r="D850" s="14" t="n"/>
      <c r="E850" s="206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25" customHeight="1" s="214">
      <c r="A851" s="7" t="n"/>
      <c r="B851" s="7" t="n"/>
      <c r="C851" s="7" t="n"/>
      <c r="D851" s="14" t="n"/>
      <c r="E851" s="206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25" customHeight="1" s="214">
      <c r="A852" s="7" t="n"/>
      <c r="B852" s="7" t="n"/>
      <c r="C852" s="7" t="n"/>
      <c r="D852" s="14" t="n"/>
      <c r="E852" s="206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25" customHeight="1" s="214">
      <c r="A853" s="7" t="n"/>
      <c r="B853" s="7" t="n"/>
      <c r="C853" s="7" t="n"/>
      <c r="D853" s="14" t="n"/>
      <c r="E853" s="206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25" customHeight="1" s="214">
      <c r="A854" s="7" t="n"/>
      <c r="B854" s="7" t="n"/>
      <c r="C854" s="7" t="n"/>
      <c r="D854" s="14" t="n"/>
      <c r="E854" s="206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25" customHeight="1" s="214">
      <c r="A855" s="7" t="n"/>
      <c r="B855" s="7" t="n"/>
      <c r="C855" s="7" t="n"/>
      <c r="D855" s="14" t="n"/>
      <c r="E855" s="206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25" customHeight="1" s="214">
      <c r="A856" s="7" t="n"/>
      <c r="B856" s="7" t="n"/>
      <c r="C856" s="7" t="n"/>
      <c r="D856" s="14" t="n"/>
      <c r="E856" s="206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25" customHeight="1" s="214">
      <c r="A857" s="7" t="n"/>
      <c r="B857" s="7" t="n"/>
      <c r="C857" s="7" t="n"/>
      <c r="D857" s="14" t="n"/>
      <c r="E857" s="206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25" customHeight="1" s="214">
      <c r="A858" s="7" t="n"/>
      <c r="B858" s="7" t="n"/>
      <c r="C858" s="7" t="n"/>
      <c r="D858" s="14" t="n"/>
      <c r="E858" s="206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25" customHeight="1" s="214">
      <c r="A859" s="7" t="n"/>
      <c r="B859" s="7" t="n"/>
      <c r="C859" s="7" t="n"/>
      <c r="D859" s="14" t="n"/>
      <c r="E859" s="206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25" customHeight="1" s="214">
      <c r="A860" s="7" t="n"/>
      <c r="B860" s="7" t="n"/>
      <c r="C860" s="7" t="n"/>
      <c r="D860" s="14" t="n"/>
      <c r="E860" s="206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25" customHeight="1" s="214">
      <c r="A861" s="7" t="n"/>
      <c r="B861" s="7" t="n"/>
      <c r="C861" s="7" t="n"/>
      <c r="D861" s="14" t="n"/>
      <c r="E861" s="206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25" customHeight="1" s="214">
      <c r="A862" s="7" t="n"/>
      <c r="B862" s="7" t="n"/>
      <c r="C862" s="7" t="n"/>
      <c r="D862" s="14" t="n"/>
      <c r="E862" s="206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25" customHeight="1" s="214">
      <c r="A863" s="7" t="n"/>
      <c r="B863" s="7" t="n"/>
      <c r="C863" s="7" t="n"/>
      <c r="D863" s="14" t="n"/>
      <c r="E863" s="206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25" customHeight="1" s="214">
      <c r="A864" s="7" t="n"/>
      <c r="B864" s="7" t="n"/>
      <c r="C864" s="7" t="n"/>
      <c r="D864" s="14" t="n"/>
      <c r="E864" s="206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25" customHeight="1" s="214">
      <c r="A865" s="7" t="n"/>
      <c r="B865" s="7" t="n"/>
      <c r="C865" s="7" t="n"/>
      <c r="D865" s="14" t="n"/>
      <c r="E865" s="206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25" customHeight="1" s="214">
      <c r="A866" s="7" t="n"/>
      <c r="B866" s="7" t="n"/>
      <c r="C866" s="7" t="n"/>
      <c r="D866" s="14" t="n"/>
      <c r="E866" s="206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25" customHeight="1" s="214">
      <c r="A867" s="7" t="n"/>
      <c r="B867" s="7" t="n"/>
      <c r="C867" s="7" t="n"/>
      <c r="D867" s="14" t="n"/>
      <c r="E867" s="206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25" customHeight="1" s="214">
      <c r="A868" s="7" t="n"/>
      <c r="B868" s="7" t="n"/>
      <c r="C868" s="7" t="n"/>
      <c r="D868" s="14" t="n"/>
      <c r="E868" s="206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25" customHeight="1" s="214">
      <c r="A869" s="7" t="n"/>
      <c r="B869" s="7" t="n"/>
      <c r="C869" s="7" t="n"/>
      <c r="D869" s="14" t="n"/>
      <c r="E869" s="206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25" customHeight="1" s="214">
      <c r="A870" s="7" t="n"/>
      <c r="B870" s="7" t="n"/>
      <c r="C870" s="7" t="n"/>
      <c r="D870" s="14" t="n"/>
      <c r="E870" s="206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25" customHeight="1" s="214">
      <c r="A871" s="7" t="n"/>
      <c r="B871" s="7" t="n"/>
      <c r="C871" s="7" t="n"/>
      <c r="D871" s="14" t="n"/>
      <c r="E871" s="206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25" customHeight="1" s="214">
      <c r="A872" s="7" t="n"/>
      <c r="B872" s="7" t="n"/>
      <c r="C872" s="7" t="n"/>
      <c r="D872" s="14" t="n"/>
      <c r="E872" s="206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25" customHeight="1" s="214">
      <c r="A873" s="7" t="n"/>
      <c r="B873" s="7" t="n"/>
      <c r="C873" s="7" t="n"/>
      <c r="D873" s="14" t="n"/>
      <c r="E873" s="206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25" customHeight="1" s="214">
      <c r="A874" s="7" t="n"/>
      <c r="B874" s="7" t="n"/>
      <c r="C874" s="7" t="n"/>
      <c r="D874" s="14" t="n"/>
      <c r="E874" s="206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25" customHeight="1" s="214">
      <c r="A875" s="7" t="n"/>
      <c r="B875" s="7" t="n"/>
      <c r="C875" s="7" t="n"/>
      <c r="D875" s="14" t="n"/>
      <c r="E875" s="206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25" customHeight="1" s="214">
      <c r="A876" s="7" t="n"/>
      <c r="B876" s="7" t="n"/>
      <c r="C876" s="7" t="n"/>
      <c r="D876" s="14" t="n"/>
      <c r="E876" s="206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25" customHeight="1" s="214">
      <c r="A877" s="7" t="n"/>
      <c r="B877" s="7" t="n"/>
      <c r="C877" s="7" t="n"/>
      <c r="D877" s="14" t="n"/>
      <c r="E877" s="206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25" customHeight="1" s="214">
      <c r="A878" s="7" t="n"/>
      <c r="B878" s="7" t="n"/>
      <c r="C878" s="7" t="n"/>
      <c r="D878" s="14" t="n"/>
      <c r="E878" s="206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25" customHeight="1" s="214">
      <c r="A879" s="7" t="n"/>
      <c r="B879" s="7" t="n"/>
      <c r="C879" s="7" t="n"/>
      <c r="D879" s="14" t="n"/>
      <c r="E879" s="206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25" customHeight="1" s="214">
      <c r="A880" s="7" t="n"/>
      <c r="B880" s="7" t="n"/>
      <c r="C880" s="7" t="n"/>
      <c r="D880" s="14" t="n"/>
      <c r="E880" s="206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25" customHeight="1" s="214">
      <c r="A881" s="7" t="n"/>
      <c r="B881" s="7" t="n"/>
      <c r="C881" s="7" t="n"/>
      <c r="D881" s="14" t="n"/>
      <c r="E881" s="206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25" customHeight="1" s="214">
      <c r="A882" s="7" t="n"/>
      <c r="B882" s="7" t="n"/>
      <c r="C882" s="7" t="n"/>
      <c r="D882" s="14" t="n"/>
      <c r="E882" s="206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25" customHeight="1" s="214">
      <c r="A883" s="7" t="n"/>
      <c r="B883" s="7" t="n"/>
      <c r="C883" s="7" t="n"/>
      <c r="D883" s="14" t="n"/>
      <c r="E883" s="206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25" customHeight="1" s="214">
      <c r="A884" s="7" t="n"/>
      <c r="B884" s="7" t="n"/>
      <c r="C884" s="7" t="n"/>
      <c r="D884" s="14" t="n"/>
      <c r="E884" s="206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25" customHeight="1" s="214">
      <c r="A885" s="7" t="n"/>
      <c r="B885" s="7" t="n"/>
      <c r="C885" s="7" t="n"/>
      <c r="D885" s="14" t="n"/>
      <c r="E885" s="206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25" customHeight="1" s="214">
      <c r="A886" s="7" t="n"/>
      <c r="B886" s="7" t="n"/>
      <c r="C886" s="7" t="n"/>
      <c r="D886" s="14" t="n"/>
      <c r="E886" s="206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25" customHeight="1" s="214">
      <c r="A887" s="7" t="n"/>
      <c r="B887" s="7" t="n"/>
      <c r="C887" s="7" t="n"/>
      <c r="D887" s="14" t="n"/>
      <c r="E887" s="206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25" customHeight="1" s="214">
      <c r="A888" s="7" t="n"/>
      <c r="B888" s="7" t="n"/>
      <c r="C888" s="7" t="n"/>
      <c r="D888" s="14" t="n"/>
      <c r="E888" s="206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25" customHeight="1" s="214">
      <c r="A889" s="7" t="n"/>
      <c r="B889" s="7" t="n"/>
      <c r="C889" s="7" t="n"/>
      <c r="D889" s="14" t="n"/>
      <c r="E889" s="206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25" customHeight="1" s="214">
      <c r="A890" s="7" t="n"/>
      <c r="B890" s="7" t="n"/>
      <c r="C890" s="7" t="n"/>
      <c r="D890" s="14" t="n"/>
      <c r="E890" s="206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25" customHeight="1" s="214">
      <c r="A891" s="7" t="n"/>
      <c r="B891" s="7" t="n"/>
      <c r="C891" s="7" t="n"/>
      <c r="D891" s="14" t="n"/>
      <c r="E891" s="206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25" customHeight="1" s="214">
      <c r="A892" s="7" t="n"/>
      <c r="B892" s="7" t="n"/>
      <c r="C892" s="7" t="n"/>
      <c r="D892" s="14" t="n"/>
      <c r="E892" s="206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25" customHeight="1" s="214">
      <c r="A893" s="7" t="n"/>
      <c r="B893" s="7" t="n"/>
      <c r="C893" s="7" t="n"/>
      <c r="D893" s="14" t="n"/>
      <c r="E893" s="206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25" customHeight="1" s="214">
      <c r="A894" s="7" t="n"/>
      <c r="B894" s="7" t="n"/>
      <c r="C894" s="7" t="n"/>
      <c r="D894" s="14" t="n"/>
      <c r="E894" s="206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25" customHeight="1" s="214">
      <c r="A895" s="7" t="n"/>
      <c r="B895" s="7" t="n"/>
      <c r="C895" s="7" t="n"/>
      <c r="D895" s="14" t="n"/>
      <c r="E895" s="206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25" customHeight="1" s="214">
      <c r="A896" s="7" t="n"/>
      <c r="B896" s="7" t="n"/>
      <c r="C896" s="7" t="n"/>
      <c r="D896" s="14" t="n"/>
      <c r="E896" s="206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25" customHeight="1" s="214">
      <c r="A897" s="7" t="n"/>
      <c r="B897" s="7" t="n"/>
      <c r="C897" s="7" t="n"/>
      <c r="D897" s="14" t="n"/>
      <c r="E897" s="206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25" customHeight="1" s="214">
      <c r="A898" s="7" t="n"/>
      <c r="B898" s="7" t="n"/>
      <c r="C898" s="7" t="n"/>
      <c r="D898" s="14" t="n"/>
      <c r="E898" s="206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25" customHeight="1" s="214">
      <c r="A899" s="7" t="n"/>
      <c r="B899" s="7" t="n"/>
      <c r="C899" s="7" t="n"/>
      <c r="D899" s="14" t="n"/>
      <c r="E899" s="206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25" customHeight="1" s="214">
      <c r="A900" s="7" t="n"/>
      <c r="B900" s="7" t="n"/>
      <c r="C900" s="7" t="n"/>
      <c r="D900" s="14" t="n"/>
      <c r="E900" s="206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25" customHeight="1" s="214">
      <c r="A901" s="7" t="n"/>
      <c r="B901" s="7" t="n"/>
      <c r="C901" s="7" t="n"/>
      <c r="D901" s="14" t="n"/>
      <c r="E901" s="206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25" customHeight="1" s="214">
      <c r="A902" s="7" t="n"/>
      <c r="B902" s="7" t="n"/>
      <c r="C902" s="7" t="n"/>
      <c r="D902" s="14" t="n"/>
      <c r="E902" s="206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25" customHeight="1" s="214">
      <c r="A903" s="7" t="n"/>
      <c r="B903" s="7" t="n"/>
      <c r="C903" s="7" t="n"/>
      <c r="D903" s="14" t="n"/>
      <c r="E903" s="206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25" customHeight="1" s="214">
      <c r="A904" s="7" t="n"/>
      <c r="B904" s="7" t="n"/>
      <c r="C904" s="7" t="n"/>
      <c r="D904" s="14" t="n"/>
      <c r="E904" s="206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25" customHeight="1" s="214">
      <c r="A905" s="7" t="n"/>
      <c r="B905" s="7" t="n"/>
      <c r="C905" s="7" t="n"/>
      <c r="D905" s="14" t="n"/>
      <c r="E905" s="206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25" customHeight="1" s="214">
      <c r="A906" s="7" t="n"/>
      <c r="B906" s="7" t="n"/>
      <c r="C906" s="7" t="n"/>
      <c r="D906" s="14" t="n"/>
      <c r="E906" s="206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25" customHeight="1" s="214">
      <c r="A907" s="7" t="n"/>
      <c r="B907" s="7" t="n"/>
      <c r="C907" s="7" t="n"/>
      <c r="D907" s="14" t="n"/>
      <c r="E907" s="206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25" customHeight="1" s="214">
      <c r="A908" s="7" t="n"/>
      <c r="B908" s="7" t="n"/>
      <c r="C908" s="7" t="n"/>
      <c r="D908" s="14" t="n"/>
      <c r="E908" s="206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25" customHeight="1" s="214">
      <c r="A909" s="7" t="n"/>
      <c r="B909" s="7" t="n"/>
      <c r="C909" s="7" t="n"/>
      <c r="D909" s="14" t="n"/>
      <c r="E909" s="206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25" customHeight="1" s="214">
      <c r="A910" s="7" t="n"/>
      <c r="B910" s="7" t="n"/>
      <c r="C910" s="7" t="n"/>
      <c r="D910" s="14" t="n"/>
      <c r="E910" s="206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25" customHeight="1" s="214">
      <c r="A911" s="7" t="n"/>
      <c r="B911" s="7" t="n"/>
      <c r="C911" s="7" t="n"/>
      <c r="D911" s="14" t="n"/>
      <c r="E911" s="206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25" customHeight="1" s="214">
      <c r="A912" s="7" t="n"/>
      <c r="B912" s="7" t="n"/>
      <c r="C912" s="7" t="n"/>
      <c r="D912" s="14" t="n"/>
      <c r="E912" s="206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25" customHeight="1" s="214">
      <c r="A913" s="7" t="n"/>
      <c r="B913" s="7" t="n"/>
      <c r="C913" s="7" t="n"/>
      <c r="D913" s="14" t="n"/>
      <c r="E913" s="206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25" customHeight="1" s="214">
      <c r="A914" s="7" t="n"/>
      <c r="B914" s="7" t="n"/>
      <c r="C914" s="7" t="n"/>
      <c r="D914" s="14" t="n"/>
      <c r="E914" s="206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25" customHeight="1" s="214">
      <c r="A915" s="7" t="n"/>
      <c r="B915" s="7" t="n"/>
      <c r="C915" s="7" t="n"/>
      <c r="D915" s="14" t="n"/>
      <c r="E915" s="206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25" customHeight="1" s="214">
      <c r="A916" s="7" t="n"/>
      <c r="B916" s="7" t="n"/>
      <c r="C916" s="7" t="n"/>
      <c r="D916" s="14" t="n"/>
      <c r="E916" s="206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25" customHeight="1" s="214">
      <c r="A917" s="7" t="n"/>
      <c r="B917" s="7" t="n"/>
      <c r="C917" s="7" t="n"/>
      <c r="D917" s="14" t="n"/>
      <c r="E917" s="206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25" customHeight="1" s="214">
      <c r="A918" s="7" t="n"/>
      <c r="B918" s="7" t="n"/>
      <c r="C918" s="7" t="n"/>
      <c r="D918" s="14" t="n"/>
      <c r="E918" s="206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25" customHeight="1" s="214">
      <c r="A919" s="7" t="n"/>
      <c r="B919" s="7" t="n"/>
      <c r="C919" s="7" t="n"/>
      <c r="D919" s="14" t="n"/>
      <c r="E919" s="206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25" customHeight="1" s="214">
      <c r="A920" s="7" t="n"/>
      <c r="B920" s="7" t="n"/>
      <c r="C920" s="7" t="n"/>
      <c r="D920" s="14" t="n"/>
      <c r="E920" s="206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25" customHeight="1" s="214">
      <c r="A921" s="7" t="n"/>
      <c r="B921" s="7" t="n"/>
      <c r="C921" s="7" t="n"/>
      <c r="D921" s="14" t="n"/>
      <c r="E921" s="206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25" customHeight="1" s="214">
      <c r="A922" s="7" t="n"/>
      <c r="B922" s="7" t="n"/>
      <c r="C922" s="7" t="n"/>
      <c r="D922" s="14" t="n"/>
      <c r="E922" s="206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25" customHeight="1" s="214">
      <c r="A923" s="7" t="n"/>
      <c r="B923" s="7" t="n"/>
      <c r="C923" s="7" t="n"/>
      <c r="D923" s="14" t="n"/>
      <c r="E923" s="206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25" customHeight="1" s="214">
      <c r="A924" s="7" t="n"/>
      <c r="B924" s="7" t="n"/>
      <c r="C924" s="7" t="n"/>
      <c r="D924" s="14" t="n"/>
      <c r="E924" s="206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25" customHeight="1" s="214">
      <c r="A925" s="7" t="n"/>
      <c r="B925" s="7" t="n"/>
      <c r="C925" s="7" t="n"/>
      <c r="D925" s="14" t="n"/>
      <c r="E925" s="206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25" customHeight="1" s="214">
      <c r="A926" s="7" t="n"/>
      <c r="B926" s="7" t="n"/>
      <c r="C926" s="7" t="n"/>
      <c r="D926" s="14" t="n"/>
      <c r="E926" s="206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25" customHeight="1" s="214">
      <c r="A927" s="7" t="n"/>
      <c r="B927" s="7" t="n"/>
      <c r="C927" s="7" t="n"/>
      <c r="D927" s="14" t="n"/>
      <c r="E927" s="206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25" customHeight="1" s="214">
      <c r="A928" s="7" t="n"/>
      <c r="B928" s="7" t="n"/>
      <c r="C928" s="7" t="n"/>
      <c r="D928" s="14" t="n"/>
      <c r="E928" s="206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25" customHeight="1" s="214">
      <c r="A929" s="7" t="n"/>
      <c r="B929" s="7" t="n"/>
      <c r="C929" s="7" t="n"/>
      <c r="D929" s="14" t="n"/>
      <c r="E929" s="206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25" customHeight="1" s="214">
      <c r="A930" s="7" t="n"/>
      <c r="B930" s="7" t="n"/>
      <c r="C930" s="7" t="n"/>
      <c r="D930" s="14" t="n"/>
      <c r="E930" s="206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25" customHeight="1" s="214">
      <c r="A931" s="7" t="n"/>
      <c r="B931" s="7" t="n"/>
      <c r="C931" s="7" t="n"/>
      <c r="D931" s="14" t="n"/>
      <c r="E931" s="206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25" customHeight="1" s="214">
      <c r="A932" s="7" t="n"/>
      <c r="B932" s="7" t="n"/>
      <c r="C932" s="7" t="n"/>
      <c r="D932" s="14" t="n"/>
      <c r="E932" s="206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25" customHeight="1" s="214">
      <c r="A933" s="7" t="n"/>
      <c r="B933" s="7" t="n"/>
      <c r="C933" s="7" t="n"/>
      <c r="D933" s="14" t="n"/>
      <c r="E933" s="206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25" customHeight="1" s="214">
      <c r="A934" s="7" t="n"/>
      <c r="B934" s="7" t="n"/>
      <c r="C934" s="7" t="n"/>
      <c r="D934" s="14" t="n"/>
      <c r="E934" s="206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25" customHeight="1" s="214">
      <c r="A935" s="7" t="n"/>
      <c r="B935" s="7" t="n"/>
      <c r="C935" s="7" t="n"/>
      <c r="D935" s="14" t="n"/>
      <c r="E935" s="206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25" customHeight="1" s="214">
      <c r="A936" s="7" t="n"/>
      <c r="B936" s="7" t="n"/>
      <c r="C936" s="7" t="n"/>
      <c r="D936" s="14" t="n"/>
      <c r="E936" s="206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25" customHeight="1" s="214">
      <c r="A937" s="7" t="n"/>
      <c r="B937" s="7" t="n"/>
      <c r="C937" s="7" t="n"/>
      <c r="D937" s="14" t="n"/>
      <c r="E937" s="206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25" customHeight="1" s="214">
      <c r="A938" s="7" t="n"/>
      <c r="B938" s="7" t="n"/>
      <c r="C938" s="7" t="n"/>
      <c r="D938" s="14" t="n"/>
      <c r="E938" s="206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25" customHeight="1" s="214">
      <c r="A939" s="7" t="n"/>
      <c r="B939" s="7" t="n"/>
      <c r="C939" s="7" t="n"/>
      <c r="D939" s="14" t="n"/>
      <c r="E939" s="206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25" customHeight="1" s="214">
      <c r="A940" s="7" t="n"/>
      <c r="B940" s="7" t="n"/>
      <c r="C940" s="7" t="n"/>
      <c r="D940" s="14" t="n"/>
      <c r="E940" s="206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25" customHeight="1" s="214">
      <c r="A941" s="7" t="n"/>
      <c r="B941" s="7" t="n"/>
      <c r="C941" s="7" t="n"/>
      <c r="D941" s="14" t="n"/>
      <c r="E941" s="206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25" customHeight="1" s="214">
      <c r="A942" s="7" t="n"/>
      <c r="B942" s="7" t="n"/>
      <c r="C942" s="7" t="n"/>
      <c r="D942" s="14" t="n"/>
      <c r="E942" s="206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25" customHeight="1" s="214">
      <c r="A943" s="7" t="n"/>
      <c r="B943" s="7" t="n"/>
      <c r="C943" s="7" t="n"/>
      <c r="D943" s="14" t="n"/>
      <c r="E943" s="206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25" customHeight="1" s="214">
      <c r="A944" s="7" t="n"/>
      <c r="B944" s="7" t="n"/>
      <c r="C944" s="7" t="n"/>
      <c r="D944" s="14" t="n"/>
      <c r="E944" s="206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25" customHeight="1" s="214">
      <c r="A945" s="7" t="n"/>
      <c r="B945" s="7" t="n"/>
      <c r="C945" s="7" t="n"/>
      <c r="D945" s="14" t="n"/>
      <c r="E945" s="206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25" customHeight="1" s="214">
      <c r="A946" s="7" t="n"/>
      <c r="B946" s="7" t="n"/>
      <c r="C946" s="7" t="n"/>
      <c r="D946" s="14" t="n"/>
      <c r="E946" s="206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25" customHeight="1" s="214">
      <c r="A947" s="7" t="n"/>
      <c r="B947" s="7" t="n"/>
      <c r="C947" s="7" t="n"/>
      <c r="D947" s="14" t="n"/>
      <c r="E947" s="206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25" customHeight="1" s="214">
      <c r="A948" s="7" t="n"/>
      <c r="B948" s="7" t="n"/>
      <c r="C948" s="7" t="n"/>
      <c r="D948" s="14" t="n"/>
      <c r="E948" s="206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25" customHeight="1" s="214">
      <c r="A949" s="7" t="n"/>
      <c r="B949" s="7" t="n"/>
      <c r="C949" s="7" t="n"/>
      <c r="D949" s="14" t="n"/>
      <c r="E949" s="206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25" customHeight="1" s="214">
      <c r="A950" s="7" t="n"/>
      <c r="B950" s="7" t="n"/>
      <c r="C950" s="7" t="n"/>
      <c r="D950" s="14" t="n"/>
      <c r="E950" s="206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25" customHeight="1" s="214">
      <c r="A951" s="7" t="n"/>
      <c r="B951" s="7" t="n"/>
      <c r="C951" s="7" t="n"/>
      <c r="D951" s="14" t="n"/>
      <c r="E951" s="206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25" customHeight="1" s="214">
      <c r="A952" s="7" t="n"/>
      <c r="B952" s="7" t="n"/>
      <c r="C952" s="7" t="n"/>
      <c r="D952" s="14" t="n"/>
      <c r="E952" s="206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25" customHeight="1" s="214">
      <c r="A953" s="7" t="n"/>
      <c r="B953" s="7" t="n"/>
      <c r="C953" s="7" t="n"/>
      <c r="D953" s="14" t="n"/>
      <c r="E953" s="206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25" customHeight="1" s="214">
      <c r="A954" s="7" t="n"/>
      <c r="B954" s="7" t="n"/>
      <c r="C954" s="7" t="n"/>
      <c r="D954" s="14" t="n"/>
      <c r="E954" s="206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25" customHeight="1" s="214">
      <c r="A955" s="7" t="n"/>
      <c r="B955" s="7" t="n"/>
      <c r="C955" s="7" t="n"/>
      <c r="D955" s="14" t="n"/>
      <c r="E955" s="206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25" customHeight="1" s="214">
      <c r="A956" s="7" t="n"/>
      <c r="B956" s="7" t="n"/>
      <c r="C956" s="7" t="n"/>
      <c r="D956" s="14" t="n"/>
      <c r="E956" s="206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25" customHeight="1" s="214">
      <c r="A957" s="7" t="n"/>
      <c r="B957" s="7" t="n"/>
      <c r="C957" s="7" t="n"/>
      <c r="D957" s="14" t="n"/>
      <c r="E957" s="206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25" customHeight="1" s="214">
      <c r="A958" s="7" t="n"/>
      <c r="B958" s="7" t="n"/>
      <c r="C958" s="7" t="n"/>
      <c r="D958" s="14" t="n"/>
      <c r="E958" s="206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25" customHeight="1" s="214">
      <c r="A959" s="7" t="n"/>
      <c r="B959" s="7" t="n"/>
      <c r="C959" s="7" t="n"/>
      <c r="D959" s="14" t="n"/>
      <c r="E959" s="206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25" customHeight="1" s="214">
      <c r="A960" s="7" t="n"/>
      <c r="B960" s="7" t="n"/>
      <c r="C960" s="7" t="n"/>
      <c r="D960" s="14" t="n"/>
      <c r="E960" s="206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25" customHeight="1" s="214">
      <c r="A961" s="7" t="n"/>
      <c r="B961" s="7" t="n"/>
      <c r="C961" s="7" t="n"/>
      <c r="D961" s="14" t="n"/>
      <c r="E961" s="206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25" customHeight="1" s="214">
      <c r="A962" s="7" t="n"/>
      <c r="B962" s="7" t="n"/>
      <c r="C962" s="7" t="n"/>
      <c r="D962" s="14" t="n"/>
      <c r="E962" s="206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25" customHeight="1" s="214">
      <c r="A963" s="7" t="n"/>
      <c r="B963" s="7" t="n"/>
      <c r="C963" s="7" t="n"/>
      <c r="D963" s="14" t="n"/>
      <c r="E963" s="206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25" customHeight="1" s="214">
      <c r="A964" s="7" t="n"/>
      <c r="B964" s="7" t="n"/>
      <c r="C964" s="7" t="n"/>
      <c r="D964" s="14" t="n"/>
      <c r="E964" s="206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25" customHeight="1" s="214">
      <c r="A965" s="7" t="n"/>
      <c r="B965" s="7" t="n"/>
      <c r="C965" s="7" t="n"/>
      <c r="D965" s="14" t="n"/>
      <c r="E965" s="206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25" customHeight="1" s="214">
      <c r="A966" s="7" t="n"/>
      <c r="B966" s="7" t="n"/>
      <c r="C966" s="7" t="n"/>
      <c r="D966" s="14" t="n"/>
      <c r="E966" s="206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25" customHeight="1" s="214">
      <c r="A967" s="7" t="n"/>
      <c r="B967" s="7" t="n"/>
      <c r="C967" s="7" t="n"/>
      <c r="D967" s="14" t="n"/>
      <c r="E967" s="206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25" customHeight="1" s="214">
      <c r="A968" s="7" t="n"/>
      <c r="B968" s="7" t="n"/>
      <c r="C968" s="7" t="n"/>
      <c r="D968" s="14" t="n"/>
      <c r="E968" s="206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25" customHeight="1" s="214">
      <c r="A969" s="7" t="n"/>
      <c r="B969" s="7" t="n"/>
      <c r="C969" s="7" t="n"/>
      <c r="D969" s="14" t="n"/>
      <c r="E969" s="206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25" customHeight="1" s="214">
      <c r="A970" s="7" t="n"/>
      <c r="B970" s="7" t="n"/>
      <c r="C970" s="7" t="n"/>
      <c r="D970" s="14" t="n"/>
      <c r="E970" s="206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25" customHeight="1" s="214">
      <c r="A971" s="7" t="n"/>
      <c r="B971" s="7" t="n"/>
      <c r="C971" s="7" t="n"/>
      <c r="D971" s="14" t="n"/>
      <c r="E971" s="206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25" customHeight="1" s="214">
      <c r="A972" s="7" t="n"/>
      <c r="B972" s="7" t="n"/>
      <c r="C972" s="7" t="n"/>
      <c r="D972" s="14" t="n"/>
      <c r="E972" s="206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25" customHeight="1" s="214">
      <c r="A973" s="7" t="n"/>
      <c r="B973" s="7" t="n"/>
      <c r="C973" s="7" t="n"/>
      <c r="D973" s="14" t="n"/>
      <c r="E973" s="206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25" customHeight="1" s="214">
      <c r="A974" s="7" t="n"/>
      <c r="B974" s="7" t="n"/>
      <c r="C974" s="7" t="n"/>
      <c r="D974" s="14" t="n"/>
      <c r="E974" s="206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25" customHeight="1" s="214">
      <c r="A975" s="7" t="n"/>
      <c r="B975" s="7" t="n"/>
      <c r="C975" s="7" t="n"/>
      <c r="D975" s="14" t="n"/>
      <c r="E975" s="206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25" customHeight="1" s="214">
      <c r="A976" s="7" t="n"/>
      <c r="B976" s="7" t="n"/>
      <c r="C976" s="7" t="n"/>
      <c r="D976" s="14" t="n"/>
      <c r="E976" s="206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25" customHeight="1" s="214">
      <c r="A977" s="7" t="n"/>
      <c r="B977" s="7" t="n"/>
      <c r="C977" s="7" t="n"/>
      <c r="D977" s="14" t="n"/>
      <c r="E977" s="206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25" customHeight="1" s="214">
      <c r="A978" s="7" t="n"/>
      <c r="B978" s="7" t="n"/>
      <c r="C978" s="7" t="n"/>
      <c r="D978" s="14" t="n"/>
      <c r="E978" s="206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25" customHeight="1" s="214">
      <c r="A979" s="7" t="n"/>
      <c r="B979" s="7" t="n"/>
      <c r="C979" s="7" t="n"/>
      <c r="D979" s="14" t="n"/>
      <c r="E979" s="206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25" customHeight="1" s="214">
      <c r="A980" s="7" t="n"/>
      <c r="B980" s="7" t="n"/>
      <c r="C980" s="7" t="n"/>
      <c r="D980" s="14" t="n"/>
      <c r="E980" s="206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25" customHeight="1" s="214">
      <c r="A981" s="7" t="n"/>
      <c r="B981" s="7" t="n"/>
      <c r="C981" s="7" t="n"/>
      <c r="D981" s="14" t="n"/>
      <c r="E981" s="206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25" customHeight="1" s="214">
      <c r="A982" s="7" t="n"/>
      <c r="B982" s="7" t="n"/>
      <c r="C982" s="7" t="n"/>
      <c r="D982" s="14" t="n"/>
      <c r="E982" s="206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25" customHeight="1" s="214">
      <c r="A983" s="7" t="n"/>
      <c r="B983" s="7" t="n"/>
      <c r="C983" s="7" t="n"/>
      <c r="D983" s="14" t="n"/>
      <c r="E983" s="206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25" customHeight="1" s="214">
      <c r="A984" s="7" t="n"/>
      <c r="B984" s="7" t="n"/>
      <c r="C984" s="7" t="n"/>
      <c r="D984" s="14" t="n"/>
      <c r="E984" s="206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25" customHeight="1" s="214">
      <c r="A985" s="7" t="n"/>
      <c r="B985" s="7" t="n"/>
      <c r="C985" s="7" t="n"/>
      <c r="D985" s="14" t="n"/>
      <c r="E985" s="206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25" customHeight="1" s="214">
      <c r="A986" s="7" t="n"/>
      <c r="B986" s="7" t="n"/>
      <c r="C986" s="7" t="n"/>
      <c r="D986" s="14" t="n"/>
      <c r="E986" s="206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25" customHeight="1" s="214">
      <c r="A987" s="7" t="n"/>
      <c r="B987" s="7" t="n"/>
      <c r="C987" s="7" t="n"/>
      <c r="D987" s="14" t="n"/>
      <c r="E987" s="206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25" customHeight="1" s="214">
      <c r="A988" s="7" t="n"/>
      <c r="B988" s="7" t="n"/>
      <c r="C988" s="7" t="n"/>
      <c r="D988" s="14" t="n"/>
      <c r="E988" s="206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25" customHeight="1" s="214">
      <c r="A989" s="7" t="n"/>
      <c r="B989" s="7" t="n"/>
      <c r="C989" s="7" t="n"/>
      <c r="D989" s="14" t="n"/>
      <c r="E989" s="206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25" customHeight="1" s="214">
      <c r="A990" s="7" t="n"/>
      <c r="B990" s="7" t="n"/>
      <c r="C990" s="7" t="n"/>
      <c r="D990" s="14" t="n"/>
      <c r="E990" s="206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25" customHeight="1" s="214">
      <c r="A991" s="7" t="n"/>
      <c r="B991" s="7" t="n"/>
      <c r="C991" s="7" t="n"/>
      <c r="D991" s="14" t="n"/>
      <c r="E991" s="206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25" customHeight="1" s="214">
      <c r="A992" s="7" t="n"/>
      <c r="B992" s="7" t="n"/>
      <c r="C992" s="7" t="n"/>
      <c r="D992" s="14" t="n"/>
      <c r="E992" s="206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>
      <c r="A993" s="7" t="n"/>
      <c r="B993" s="7" t="n"/>
      <c r="C993" s="7" t="n"/>
      <c r="D993" s="14" t="n"/>
      <c r="E993" s="206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</sheetData>
  <mergeCells count="2">
    <mergeCell ref="A128:D128"/>
    <mergeCell ref="A2:D2"/>
  </mergeCells>
  <conditionalFormatting sqref="E2">
    <cfRule type="cellIs" priority="1" operator="equal" dxfId="2">
      <formula>4</formula>
    </cfRule>
    <cfRule type="cellIs" priority="2" operator="equal" dxfId="1">
      <formula>5</formula>
    </cfRule>
    <cfRule type="cellIs" priority="3" operator="equal" dxfId="0">
      <formula>6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BA40"/>
  <sheetViews>
    <sheetView workbookViewId="0">
      <pane xSplit="1" ySplit="3" topLeftCell="B4" activePane="bottomRight" state="frozen"/>
      <selection activeCell="L4" sqref="L4"/>
      <selection pane="topRight" activeCell="L4" sqref="L4"/>
      <selection pane="bottomLeft" activeCell="L4" sqref="L4"/>
      <selection pane="bottomRight" activeCell="C10" sqref="C10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GEWINN- UND VERLUSTRECHNUNG (P&amp;L)</t>
        </is>
      </c>
    </row>
    <row r="2" ht="14.25" customHeight="1" s="214"/>
    <row r="3" ht="14.25" customHeight="1" s="214">
      <c r="A3" s="31" t="inlineStr">
        <is>
          <t>Position</t>
        </is>
      </c>
      <c r="B3" s="31" t="inlineStr">
        <is>
          <t>M1</t>
        </is>
      </c>
      <c r="C3" s="31" t="inlineStr">
        <is>
          <t>M2</t>
        </is>
      </c>
      <c r="D3" s="31" t="inlineStr">
        <is>
          <t>M3</t>
        </is>
      </c>
      <c r="E3" s="31" t="inlineStr">
        <is>
          <t>M4</t>
        </is>
      </c>
      <c r="F3" s="31" t="inlineStr">
        <is>
          <t>M5</t>
        </is>
      </c>
      <c r="G3" s="31" t="inlineStr">
        <is>
          <t>M6</t>
        </is>
      </c>
      <c r="H3" s="31" t="inlineStr">
        <is>
          <t>M7</t>
        </is>
      </c>
      <c r="I3" s="31" t="inlineStr">
        <is>
          <t>M8</t>
        </is>
      </c>
      <c r="J3" s="31" t="inlineStr">
        <is>
          <t>M9</t>
        </is>
      </c>
      <c r="K3" s="31" t="inlineStr">
        <is>
          <t>M10</t>
        </is>
      </c>
      <c r="L3" s="31" t="inlineStr">
        <is>
          <t>M11</t>
        </is>
      </c>
      <c r="M3" s="31" t="inlineStr">
        <is>
          <t>M12</t>
        </is>
      </c>
      <c r="N3" s="31" t="inlineStr">
        <is>
          <t>M13</t>
        </is>
      </c>
      <c r="O3" s="31" t="inlineStr">
        <is>
          <t>M14</t>
        </is>
      </c>
      <c r="P3" s="31" t="inlineStr">
        <is>
          <t>M15</t>
        </is>
      </c>
      <c r="Q3" s="31" t="inlineStr">
        <is>
          <t>M16</t>
        </is>
      </c>
      <c r="R3" s="31" t="inlineStr">
        <is>
          <t>M17</t>
        </is>
      </c>
      <c r="S3" s="31" t="inlineStr">
        <is>
          <t>M18</t>
        </is>
      </c>
      <c r="T3" s="31" t="inlineStr">
        <is>
          <t>M19</t>
        </is>
      </c>
      <c r="U3" s="31" t="inlineStr">
        <is>
          <t>M20</t>
        </is>
      </c>
      <c r="V3" s="31" t="inlineStr">
        <is>
          <t>M21</t>
        </is>
      </c>
      <c r="W3" s="31" t="inlineStr">
        <is>
          <t>M22</t>
        </is>
      </c>
      <c r="X3" s="31" t="inlineStr">
        <is>
          <t>M23</t>
        </is>
      </c>
      <c r="Y3" s="31" t="inlineStr">
        <is>
          <t>M24</t>
        </is>
      </c>
      <c r="Z3" s="31" t="inlineStr">
        <is>
          <t>M25</t>
        </is>
      </c>
      <c r="AA3" s="31" t="inlineStr">
        <is>
          <t>M26</t>
        </is>
      </c>
      <c r="AB3" s="31" t="inlineStr">
        <is>
          <t>M27</t>
        </is>
      </c>
      <c r="AC3" s="31" t="inlineStr">
        <is>
          <t>M28</t>
        </is>
      </c>
      <c r="AD3" s="31" t="inlineStr">
        <is>
          <t>M29</t>
        </is>
      </c>
      <c r="AE3" s="31" t="inlineStr">
        <is>
          <t>M30</t>
        </is>
      </c>
      <c r="AF3" s="31" t="inlineStr">
        <is>
          <t>M31</t>
        </is>
      </c>
      <c r="AG3" s="31" t="inlineStr">
        <is>
          <t>M32</t>
        </is>
      </c>
      <c r="AH3" s="31" t="inlineStr">
        <is>
          <t>M33</t>
        </is>
      </c>
      <c r="AI3" s="31" t="inlineStr">
        <is>
          <t>M34</t>
        </is>
      </c>
      <c r="AJ3" s="31" t="inlineStr">
        <is>
          <t>M35</t>
        </is>
      </c>
      <c r="AK3" s="31" t="inlineStr">
        <is>
          <t>M36</t>
        </is>
      </c>
      <c r="AL3" s="31" t="inlineStr">
        <is>
          <t>M37</t>
        </is>
      </c>
      <c r="AM3" s="31" t="inlineStr">
        <is>
          <t>M38</t>
        </is>
      </c>
      <c r="AN3" s="31" t="inlineStr">
        <is>
          <t>M39</t>
        </is>
      </c>
      <c r="AO3" s="31" t="inlineStr">
        <is>
          <t>M40</t>
        </is>
      </c>
      <c r="AP3" s="31" t="inlineStr">
        <is>
          <t>M41</t>
        </is>
      </c>
      <c r="AQ3" s="31" t="inlineStr">
        <is>
          <t>M42</t>
        </is>
      </c>
      <c r="AR3" s="31" t="inlineStr">
        <is>
          <t>M43</t>
        </is>
      </c>
      <c r="AS3" s="31" t="inlineStr">
        <is>
          <t>M44</t>
        </is>
      </c>
      <c r="AT3" s="31" t="inlineStr">
        <is>
          <t>M45</t>
        </is>
      </c>
      <c r="AU3" s="31" t="inlineStr">
        <is>
          <t>M46</t>
        </is>
      </c>
      <c r="AV3" s="31" t="inlineStr">
        <is>
          <t>M47</t>
        </is>
      </c>
      <c r="AW3" s="31" t="inlineStr">
        <is>
          <t>M48</t>
        </is>
      </c>
      <c r="AX3" s="31" t="inlineStr">
        <is>
          <t>M49</t>
        </is>
      </c>
      <c r="AY3" s="31" t="inlineStr">
        <is>
          <t>M50</t>
        </is>
      </c>
      <c r="AZ3" s="31" t="inlineStr">
        <is>
          <t>M51</t>
        </is>
      </c>
      <c r="BA3" s="31" t="inlineStr">
        <is>
          <t>M52</t>
        </is>
      </c>
    </row>
    <row r="4" ht="14.25" customHeight="1" s="214">
      <c r="A4" s="2" t="inlineStr">
        <is>
          <t>REVENUE</t>
        </is>
      </c>
    </row>
    <row r="5" ht="14.25" customHeight="1" s="214">
      <c r="A5" s="3" t="inlineStr">
        <is>
          <t>Subscription Revenue</t>
        </is>
      </c>
      <c r="B5" s="32">
        <f>Revenue!B12</f>
        <v/>
      </c>
      <c r="C5" s="32">
        <f>Revenue!C12</f>
        <v/>
      </c>
      <c r="D5" s="32">
        <f>Revenue!D12</f>
        <v/>
      </c>
      <c r="E5" s="32">
        <f>Revenue!E12</f>
        <v/>
      </c>
      <c r="F5" s="32">
        <f>Revenue!F12</f>
        <v/>
      </c>
      <c r="G5" s="32">
        <f>Revenue!G12</f>
        <v/>
      </c>
      <c r="H5" s="32">
        <f>Revenue!H12</f>
        <v/>
      </c>
      <c r="I5" s="32">
        <f>Revenue!I12</f>
        <v/>
      </c>
      <c r="J5" s="32">
        <f>Revenue!J12</f>
        <v/>
      </c>
      <c r="K5" s="32">
        <f>Revenue!K12</f>
        <v/>
      </c>
      <c r="L5" s="32">
        <f>Revenue!L12</f>
        <v/>
      </c>
      <c r="M5" s="32">
        <f>Revenue!M12</f>
        <v/>
      </c>
      <c r="N5" s="32">
        <f>Revenue!N12</f>
        <v/>
      </c>
      <c r="O5" s="32">
        <f>Revenue!O12</f>
        <v/>
      </c>
      <c r="P5" s="32">
        <f>Revenue!P12</f>
        <v/>
      </c>
      <c r="Q5" s="32">
        <f>Revenue!Q12</f>
        <v/>
      </c>
      <c r="R5" s="32">
        <f>Revenue!R12</f>
        <v/>
      </c>
      <c r="S5" s="32">
        <f>Revenue!S12</f>
        <v/>
      </c>
      <c r="T5" s="32">
        <f>Revenue!T12</f>
        <v/>
      </c>
      <c r="U5" s="32">
        <f>Revenue!U12</f>
        <v/>
      </c>
      <c r="V5" s="32">
        <f>Revenue!V12</f>
        <v/>
      </c>
      <c r="W5" s="32">
        <f>Revenue!W12</f>
        <v/>
      </c>
      <c r="X5" s="32">
        <f>Revenue!X12</f>
        <v/>
      </c>
      <c r="Y5" s="32">
        <f>Revenue!Y12</f>
        <v/>
      </c>
      <c r="Z5" s="32">
        <f>Revenue!Z12</f>
        <v/>
      </c>
      <c r="AA5" s="32">
        <f>Revenue!AA12</f>
        <v/>
      </c>
      <c r="AB5" s="32">
        <f>Revenue!AB12</f>
        <v/>
      </c>
      <c r="AC5" s="32">
        <f>Revenue!AC12</f>
        <v/>
      </c>
      <c r="AD5" s="32">
        <f>Revenue!AD12</f>
        <v/>
      </c>
      <c r="AE5" s="32">
        <f>Revenue!AE12</f>
        <v/>
      </c>
      <c r="AF5" s="32">
        <f>Revenue!AF12</f>
        <v/>
      </c>
      <c r="AG5" s="32">
        <f>Revenue!AG12</f>
        <v/>
      </c>
      <c r="AH5" s="32">
        <f>Revenue!AH12</f>
        <v/>
      </c>
      <c r="AI5" s="32">
        <f>Revenue!AI12</f>
        <v/>
      </c>
      <c r="AJ5" s="32">
        <f>Revenue!AJ12</f>
        <v/>
      </c>
      <c r="AK5" s="32">
        <f>Revenue!AK12</f>
        <v/>
      </c>
      <c r="AL5" s="32">
        <f>Revenue!AL12</f>
        <v/>
      </c>
      <c r="AM5" s="32">
        <f>Revenue!AM12</f>
        <v/>
      </c>
      <c r="AN5" s="32">
        <f>Revenue!AN12</f>
        <v/>
      </c>
      <c r="AO5" s="32">
        <f>Revenue!AO12</f>
        <v/>
      </c>
      <c r="AP5" s="32">
        <f>Revenue!AP12</f>
        <v/>
      </c>
      <c r="AQ5" s="32">
        <f>Revenue!AQ12</f>
        <v/>
      </c>
      <c r="AR5" s="32">
        <f>Revenue!AR12</f>
        <v/>
      </c>
      <c r="AS5" s="32">
        <f>Revenue!AS12</f>
        <v/>
      </c>
      <c r="AT5" s="32">
        <f>Revenue!AT12</f>
        <v/>
      </c>
      <c r="AU5" s="32">
        <f>Revenue!AU12</f>
        <v/>
      </c>
      <c r="AV5" s="32">
        <f>Revenue!AV12</f>
        <v/>
      </c>
      <c r="AW5" s="32">
        <f>Revenue!AW12</f>
        <v/>
      </c>
      <c r="AX5" s="32">
        <f>Revenue!AX12</f>
        <v/>
      </c>
      <c r="AY5" s="32">
        <f>Revenue!AY12</f>
        <v/>
      </c>
      <c r="AZ5" s="32">
        <f>Revenue!AZ12</f>
        <v/>
      </c>
      <c r="BA5" s="32">
        <f>Revenue!BA12</f>
        <v/>
      </c>
    </row>
    <row r="6" ht="14.25" customHeight="1" s="214">
      <c r="A6" s="3" t="inlineStr">
        <is>
          <t>Enterprise Revenue</t>
        </is>
      </c>
      <c r="B6" s="32">
        <f>Revenue!B19</f>
        <v/>
      </c>
      <c r="C6" s="32">
        <f>Revenue!C19</f>
        <v/>
      </c>
      <c r="D6" s="32">
        <f>Revenue!D19</f>
        <v/>
      </c>
      <c r="E6" s="32">
        <f>Revenue!E19</f>
        <v/>
      </c>
      <c r="F6" s="32">
        <f>Revenue!F19</f>
        <v/>
      </c>
      <c r="G6" s="32">
        <f>Revenue!G19</f>
        <v/>
      </c>
      <c r="H6" s="32">
        <f>Revenue!H19</f>
        <v/>
      </c>
      <c r="I6" s="32">
        <f>Revenue!I19</f>
        <v/>
      </c>
      <c r="J6" s="32">
        <f>Revenue!J19</f>
        <v/>
      </c>
      <c r="K6" s="32">
        <f>Revenue!K19</f>
        <v/>
      </c>
      <c r="L6" s="32">
        <f>Revenue!L19</f>
        <v/>
      </c>
      <c r="M6" s="32">
        <f>Revenue!M19</f>
        <v/>
      </c>
      <c r="N6" s="32">
        <f>Revenue!N19</f>
        <v/>
      </c>
      <c r="O6" s="32">
        <f>Revenue!O19</f>
        <v/>
      </c>
      <c r="P6" s="32">
        <f>Revenue!P19</f>
        <v/>
      </c>
      <c r="Q6" s="32">
        <f>Revenue!Q19</f>
        <v/>
      </c>
      <c r="R6" s="32">
        <f>Revenue!R19</f>
        <v/>
      </c>
      <c r="S6" s="32">
        <f>Revenue!S19</f>
        <v/>
      </c>
      <c r="T6" s="32">
        <f>Revenue!T19</f>
        <v/>
      </c>
      <c r="U6" s="32">
        <f>Revenue!U19</f>
        <v/>
      </c>
      <c r="V6" s="32">
        <f>Revenue!V19</f>
        <v/>
      </c>
      <c r="W6" s="32">
        <f>Revenue!W19</f>
        <v/>
      </c>
      <c r="X6" s="32">
        <f>Revenue!X19</f>
        <v/>
      </c>
      <c r="Y6" s="32">
        <f>Revenue!Y19</f>
        <v/>
      </c>
      <c r="Z6" s="32">
        <f>Revenue!Z19</f>
        <v/>
      </c>
      <c r="AA6" s="32">
        <f>Revenue!AA19</f>
        <v/>
      </c>
      <c r="AB6" s="32">
        <f>Revenue!AB19</f>
        <v/>
      </c>
      <c r="AC6" s="32">
        <f>Revenue!AC19</f>
        <v/>
      </c>
      <c r="AD6" s="32">
        <f>Revenue!AD19</f>
        <v/>
      </c>
      <c r="AE6" s="32">
        <f>Revenue!AE19</f>
        <v/>
      </c>
      <c r="AF6" s="32">
        <f>Revenue!AF19</f>
        <v/>
      </c>
      <c r="AG6" s="32">
        <f>Revenue!AG19</f>
        <v/>
      </c>
      <c r="AH6" s="32">
        <f>Revenue!AH19</f>
        <v/>
      </c>
      <c r="AI6" s="32">
        <f>Revenue!AI19</f>
        <v/>
      </c>
      <c r="AJ6" s="32">
        <f>Revenue!AJ19</f>
        <v/>
      </c>
      <c r="AK6" s="32">
        <f>Revenue!AK19</f>
        <v/>
      </c>
      <c r="AL6" s="32">
        <f>Revenue!AL19</f>
        <v/>
      </c>
      <c r="AM6" s="32">
        <f>Revenue!AM19</f>
        <v/>
      </c>
      <c r="AN6" s="32">
        <f>Revenue!AN19</f>
        <v/>
      </c>
      <c r="AO6" s="32">
        <f>Revenue!AO19</f>
        <v/>
      </c>
      <c r="AP6" s="32">
        <f>Revenue!AP19</f>
        <v/>
      </c>
      <c r="AQ6" s="32">
        <f>Revenue!AQ19</f>
        <v/>
      </c>
      <c r="AR6" s="32">
        <f>Revenue!AR19</f>
        <v/>
      </c>
      <c r="AS6" s="32">
        <f>Revenue!AS19</f>
        <v/>
      </c>
      <c r="AT6" s="32">
        <f>Revenue!AT19</f>
        <v/>
      </c>
      <c r="AU6" s="32">
        <f>Revenue!AU19</f>
        <v/>
      </c>
      <c r="AV6" s="32">
        <f>Revenue!AV19</f>
        <v/>
      </c>
      <c r="AW6" s="32">
        <f>Revenue!AW19</f>
        <v/>
      </c>
      <c r="AX6" s="32">
        <f>Revenue!AX19</f>
        <v/>
      </c>
      <c r="AY6" s="32">
        <f>Revenue!AY19</f>
        <v/>
      </c>
      <c r="AZ6" s="32">
        <f>Revenue!AZ19</f>
        <v/>
      </c>
      <c r="BA6" s="32">
        <f>Revenue!BA19</f>
        <v/>
      </c>
    </row>
    <row r="7" ht="14.25" customHeight="1" s="214">
      <c r="A7" s="58" t="inlineStr">
        <is>
          <t>Implementation Support Revenue</t>
        </is>
      </c>
      <c r="B7" s="59">
        <f>Revenue!B32</f>
        <v/>
      </c>
      <c r="C7" s="59">
        <f>Revenue!C32</f>
        <v/>
      </c>
      <c r="D7" s="59">
        <f>Revenue!D32</f>
        <v/>
      </c>
      <c r="E7" s="59">
        <f>Revenue!E32</f>
        <v/>
      </c>
      <c r="F7" s="59">
        <f>Revenue!F32</f>
        <v/>
      </c>
      <c r="G7" s="59">
        <f>Revenue!G32</f>
        <v/>
      </c>
      <c r="H7" s="59">
        <f>Revenue!H32</f>
        <v/>
      </c>
      <c r="I7" s="59">
        <f>Revenue!I32</f>
        <v/>
      </c>
      <c r="J7" s="59">
        <f>Revenue!J32</f>
        <v/>
      </c>
      <c r="K7" s="59">
        <f>Revenue!K32</f>
        <v/>
      </c>
      <c r="L7" s="59">
        <f>Revenue!L32</f>
        <v/>
      </c>
      <c r="M7" s="59">
        <f>Revenue!M32</f>
        <v/>
      </c>
      <c r="N7" s="59">
        <f>Revenue!N32</f>
        <v/>
      </c>
      <c r="O7" s="59">
        <f>Revenue!O32</f>
        <v/>
      </c>
      <c r="P7" s="59">
        <f>Revenue!P32</f>
        <v/>
      </c>
      <c r="Q7" s="59">
        <f>Revenue!Q32</f>
        <v/>
      </c>
      <c r="R7" s="59">
        <f>Revenue!R32</f>
        <v/>
      </c>
      <c r="S7" s="59">
        <f>Revenue!S32</f>
        <v/>
      </c>
      <c r="T7" s="59">
        <f>Revenue!T32</f>
        <v/>
      </c>
      <c r="U7" s="59">
        <f>Revenue!U32</f>
        <v/>
      </c>
      <c r="V7" s="59">
        <f>Revenue!V32</f>
        <v/>
      </c>
      <c r="W7" s="59">
        <f>Revenue!W32</f>
        <v/>
      </c>
      <c r="X7" s="59">
        <f>Revenue!X32</f>
        <v/>
      </c>
      <c r="Y7" s="59">
        <f>Revenue!Y32</f>
        <v/>
      </c>
      <c r="Z7" s="59">
        <f>Revenue!Z32</f>
        <v/>
      </c>
      <c r="AA7" s="59">
        <f>Revenue!AA32</f>
        <v/>
      </c>
      <c r="AB7" s="59">
        <f>Revenue!AB32</f>
        <v/>
      </c>
      <c r="AC7" s="59">
        <f>Revenue!AC32</f>
        <v/>
      </c>
      <c r="AD7" s="59">
        <f>Revenue!AD32</f>
        <v/>
      </c>
      <c r="AE7" s="59">
        <f>Revenue!AE32</f>
        <v/>
      </c>
      <c r="AF7" s="59">
        <f>Revenue!AF32</f>
        <v/>
      </c>
      <c r="AG7" s="59">
        <f>Revenue!AG32</f>
        <v/>
      </c>
      <c r="AH7" s="59">
        <f>Revenue!AH32</f>
        <v/>
      </c>
      <c r="AI7" s="59">
        <f>Revenue!AI32</f>
        <v/>
      </c>
      <c r="AJ7" s="59">
        <f>Revenue!AJ32</f>
        <v/>
      </c>
      <c r="AK7" s="59">
        <f>Revenue!AK32</f>
        <v/>
      </c>
      <c r="AL7" s="59">
        <f>Revenue!AL32</f>
        <v/>
      </c>
      <c r="AM7" s="59">
        <f>Revenue!AM32</f>
        <v/>
      </c>
      <c r="AN7" s="59">
        <f>Revenue!AN32</f>
        <v/>
      </c>
      <c r="AO7" s="59">
        <f>Revenue!AO32</f>
        <v/>
      </c>
      <c r="AP7" s="59">
        <f>Revenue!AP32</f>
        <v/>
      </c>
      <c r="AQ7" s="59">
        <f>Revenue!AQ32</f>
        <v/>
      </c>
      <c r="AR7" s="59">
        <f>Revenue!AR32</f>
        <v/>
      </c>
      <c r="AS7" s="59">
        <f>Revenue!AS32</f>
        <v/>
      </c>
      <c r="AT7" s="59">
        <f>Revenue!AT32</f>
        <v/>
      </c>
      <c r="AU7" s="59">
        <f>Revenue!AU32</f>
        <v/>
      </c>
      <c r="AV7" s="59">
        <f>Revenue!AV32</f>
        <v/>
      </c>
      <c r="AW7" s="59">
        <f>Revenue!AW32</f>
        <v/>
      </c>
      <c r="AX7" s="59">
        <f>Revenue!AX32</f>
        <v/>
      </c>
      <c r="AY7" s="59">
        <f>Revenue!AY32</f>
        <v/>
      </c>
      <c r="AZ7" s="59">
        <f>Revenue!AZ32</f>
        <v/>
      </c>
      <c r="BA7" s="59">
        <f>Revenue!BA32</f>
        <v/>
      </c>
    </row>
    <row r="8" ht="14.25" customHeight="1" s="214">
      <c r="A8" s="2" t="inlineStr">
        <is>
          <t>TOTAL REVENUE</t>
        </is>
      </c>
      <c r="B8" s="33">
        <f>B5+B6+B7</f>
        <v/>
      </c>
      <c r="C8" s="33">
        <f>C5+C6+C7</f>
        <v/>
      </c>
      <c r="D8" s="33">
        <f>D5+D6+D7</f>
        <v/>
      </c>
      <c r="E8" s="33">
        <f>E5+E6+E7</f>
        <v/>
      </c>
      <c r="F8" s="33">
        <f>F5+F6+F7</f>
        <v/>
      </c>
      <c r="G8" s="33">
        <f>G5+G6+G7</f>
        <v/>
      </c>
      <c r="H8" s="33">
        <f>H5+H6+H7</f>
        <v/>
      </c>
      <c r="I8" s="33">
        <f>I5+I6+I7</f>
        <v/>
      </c>
      <c r="J8" s="33">
        <f>J5+J6+J7</f>
        <v/>
      </c>
      <c r="K8" s="33">
        <f>K5+K6+K7</f>
        <v/>
      </c>
      <c r="L8" s="33">
        <f>L5+L6+L7</f>
        <v/>
      </c>
      <c r="M8" s="33">
        <f>M5+M6+M7</f>
        <v/>
      </c>
      <c r="N8" s="33">
        <f>N5+N6+N7</f>
        <v/>
      </c>
      <c r="O8" s="33">
        <f>O5+O6+O7</f>
        <v/>
      </c>
      <c r="P8" s="33">
        <f>P5+P6+P7</f>
        <v/>
      </c>
      <c r="Q8" s="33">
        <f>Q5+Q6+Q7</f>
        <v/>
      </c>
      <c r="R8" s="33">
        <f>R5+R6+R7</f>
        <v/>
      </c>
      <c r="S8" s="33">
        <f>S5+S6+S7</f>
        <v/>
      </c>
      <c r="T8" s="33">
        <f>T5+T6+T7</f>
        <v/>
      </c>
      <c r="U8" s="33">
        <f>U5+U6+U7</f>
        <v/>
      </c>
      <c r="V8" s="33">
        <f>V5+V6+V7</f>
        <v/>
      </c>
      <c r="W8" s="33">
        <f>W5+W6+W7</f>
        <v/>
      </c>
      <c r="X8" s="33">
        <f>X5+X6+X7</f>
        <v/>
      </c>
      <c r="Y8" s="33">
        <f>Y5+Y6+Y7</f>
        <v/>
      </c>
      <c r="Z8" s="33">
        <f>Z5+Z6+Z7</f>
        <v/>
      </c>
      <c r="AA8" s="33">
        <f>AA5+AA6+AA7</f>
        <v/>
      </c>
      <c r="AB8" s="33">
        <f>AB5+AB6+AB7</f>
        <v/>
      </c>
      <c r="AC8" s="33">
        <f>AC5+AC6+AC7</f>
        <v/>
      </c>
      <c r="AD8" s="33">
        <f>AD5+AD6+AD7</f>
        <v/>
      </c>
      <c r="AE8" s="33">
        <f>AE5+AE6+AE7</f>
        <v/>
      </c>
      <c r="AF8" s="33">
        <f>AF5+AF6+AF7</f>
        <v/>
      </c>
      <c r="AG8" s="33">
        <f>AG5+AG6+AG7</f>
        <v/>
      </c>
      <c r="AH8" s="33">
        <f>AH5+AH6+AH7</f>
        <v/>
      </c>
      <c r="AI8" s="33">
        <f>AI5+AI6+AI7</f>
        <v/>
      </c>
      <c r="AJ8" s="33">
        <f>AJ5+AJ6+AJ7</f>
        <v/>
      </c>
      <c r="AK8" s="33">
        <f>AK5+AK6+AK7</f>
        <v/>
      </c>
      <c r="AL8" s="33">
        <f>AL5+AL6+AL7</f>
        <v/>
      </c>
      <c r="AM8" s="33">
        <f>AM5+AM6+AM7</f>
        <v/>
      </c>
      <c r="AN8" s="33">
        <f>AN5+AN6+AN7</f>
        <v/>
      </c>
      <c r="AO8" s="33">
        <f>AO5+AO6+AO7</f>
        <v/>
      </c>
      <c r="AP8" s="33">
        <f>AP5+AP6+AP7</f>
        <v/>
      </c>
      <c r="AQ8" s="33">
        <f>AQ5+AQ6+AQ7</f>
        <v/>
      </c>
      <c r="AR8" s="33">
        <f>AR5+AR6+AR7</f>
        <v/>
      </c>
      <c r="AS8" s="33">
        <f>AS5+AS6+AS7</f>
        <v/>
      </c>
      <c r="AT8" s="33">
        <f>AT5+AT6+AT7</f>
        <v/>
      </c>
      <c r="AU8" s="33">
        <f>AU5+AU6+AU7</f>
        <v/>
      </c>
      <c r="AV8" s="33">
        <f>AV5+AV6+AV7</f>
        <v/>
      </c>
      <c r="AW8" s="33">
        <f>AW5+AW6+AW7</f>
        <v/>
      </c>
      <c r="AX8" s="33">
        <f>AX5+AX6+AX7</f>
        <v/>
      </c>
      <c r="AY8" s="33">
        <f>AY5+AY6+AY7</f>
        <v/>
      </c>
      <c r="AZ8" s="33">
        <f>AZ5+AZ6+AZ7</f>
        <v/>
      </c>
      <c r="BA8" s="33">
        <f>BA5+BA6+BA7</f>
        <v/>
      </c>
    </row>
    <row r="9" ht="14.25" customHeight="1" s="214">
      <c r="A9" s="2" t="inlineStr">
        <is>
          <t>COST OF GOODS SOLD (COGS)</t>
        </is>
      </c>
    </row>
    <row r="10" ht="14.25" customHeight="1" s="214">
      <c r="A10" s="3" t="inlineStr">
        <is>
          <t>Cloud Hosting (variable)</t>
        </is>
      </c>
      <c r="B10" s="32">
        <f>Costs!B50</f>
        <v/>
      </c>
      <c r="C10" s="32">
        <f>Costs!C50</f>
        <v/>
      </c>
      <c r="D10" s="32">
        <f>Costs!D50</f>
        <v/>
      </c>
      <c r="E10" s="32">
        <f>Costs!E50</f>
        <v/>
      </c>
      <c r="F10" s="32">
        <f>Costs!F50</f>
        <v/>
      </c>
      <c r="G10" s="32">
        <f>Costs!G50</f>
        <v/>
      </c>
      <c r="H10" s="32">
        <f>Costs!H50</f>
        <v/>
      </c>
      <c r="I10" s="32">
        <f>Costs!I50</f>
        <v/>
      </c>
      <c r="J10" s="32">
        <f>Costs!J50</f>
        <v/>
      </c>
      <c r="K10" s="32">
        <f>Costs!K50</f>
        <v/>
      </c>
      <c r="L10" s="32">
        <f>Costs!L50</f>
        <v/>
      </c>
      <c r="M10" s="32">
        <f>Costs!M50</f>
        <v/>
      </c>
      <c r="N10" s="32">
        <f>Costs!N50</f>
        <v/>
      </c>
      <c r="O10" s="32">
        <f>Costs!O50</f>
        <v/>
      </c>
      <c r="P10" s="32">
        <f>Costs!P50</f>
        <v/>
      </c>
      <c r="Q10" s="32">
        <f>Costs!Q50</f>
        <v/>
      </c>
      <c r="R10" s="32">
        <f>Costs!R50</f>
        <v/>
      </c>
      <c r="S10" s="32">
        <f>Costs!S50</f>
        <v/>
      </c>
      <c r="T10" s="32">
        <f>Costs!T50</f>
        <v/>
      </c>
      <c r="U10" s="32">
        <f>Costs!U50</f>
        <v/>
      </c>
      <c r="V10" s="32">
        <f>Costs!V50</f>
        <v/>
      </c>
      <c r="W10" s="32">
        <f>Costs!W50</f>
        <v/>
      </c>
      <c r="X10" s="32">
        <f>Costs!X50</f>
        <v/>
      </c>
      <c r="Y10" s="32">
        <f>Costs!Y50</f>
        <v/>
      </c>
      <c r="Z10" s="32">
        <f>Costs!Z50</f>
        <v/>
      </c>
      <c r="AA10" s="32">
        <f>Costs!AA50</f>
        <v/>
      </c>
      <c r="AB10" s="32">
        <f>Costs!AB50</f>
        <v/>
      </c>
      <c r="AC10" s="32">
        <f>Costs!AC50</f>
        <v/>
      </c>
      <c r="AD10" s="32">
        <f>Costs!AD50</f>
        <v/>
      </c>
      <c r="AE10" s="32">
        <f>Costs!AE50</f>
        <v/>
      </c>
      <c r="AF10" s="32">
        <f>Costs!AF50</f>
        <v/>
      </c>
      <c r="AG10" s="32">
        <f>Costs!AG50</f>
        <v/>
      </c>
      <c r="AH10" s="32">
        <f>Costs!AH50</f>
        <v/>
      </c>
      <c r="AI10" s="32">
        <f>Costs!AI50</f>
        <v/>
      </c>
      <c r="AJ10" s="32">
        <f>Costs!AJ50</f>
        <v/>
      </c>
      <c r="AK10" s="32">
        <f>Costs!AK50</f>
        <v/>
      </c>
      <c r="AL10" s="32">
        <f>Costs!AL50</f>
        <v/>
      </c>
      <c r="AM10" s="32">
        <f>Costs!AM50</f>
        <v/>
      </c>
      <c r="AN10" s="32">
        <f>Costs!AN50</f>
        <v/>
      </c>
      <c r="AO10" s="32">
        <f>Costs!AO50</f>
        <v/>
      </c>
      <c r="AP10" s="32">
        <f>Costs!AP50</f>
        <v/>
      </c>
      <c r="AQ10" s="32">
        <f>Costs!AQ50</f>
        <v/>
      </c>
      <c r="AR10" s="32">
        <f>Costs!AR50</f>
        <v/>
      </c>
      <c r="AS10" s="32">
        <f>Costs!AS50</f>
        <v/>
      </c>
      <c r="AT10" s="32">
        <f>Costs!AT50</f>
        <v/>
      </c>
      <c r="AU10" s="32">
        <f>Costs!AU50</f>
        <v/>
      </c>
      <c r="AV10" s="32">
        <f>Costs!AV50</f>
        <v/>
      </c>
      <c r="AW10" s="32">
        <f>Costs!AW50</f>
        <v/>
      </c>
      <c r="AX10" s="32">
        <f>Costs!AX50</f>
        <v/>
      </c>
      <c r="AY10" s="32">
        <f>Costs!AY50</f>
        <v/>
      </c>
      <c r="AZ10" s="32">
        <f>Costs!AZ50</f>
        <v/>
      </c>
      <c r="BA10" s="32">
        <f>Costs!BA50</f>
        <v/>
      </c>
    </row>
    <row r="11" ht="14.25" customHeight="1" s="214">
      <c r="A11" s="3" t="inlineStr">
        <is>
          <t>AI/ML API Kosten</t>
        </is>
      </c>
      <c r="B11" s="32">
        <f>Costs!B51</f>
        <v/>
      </c>
      <c r="C11" s="32">
        <f>Costs!C51</f>
        <v/>
      </c>
      <c r="D11" s="32">
        <f>Costs!D51</f>
        <v/>
      </c>
      <c r="E11" s="32">
        <f>Costs!E51</f>
        <v/>
      </c>
      <c r="F11" s="32">
        <f>Costs!F51</f>
        <v/>
      </c>
      <c r="G11" s="32">
        <f>Costs!G51</f>
        <v/>
      </c>
      <c r="H11" s="32">
        <f>Costs!H51</f>
        <v/>
      </c>
      <c r="I11" s="32">
        <f>Costs!I51</f>
        <v/>
      </c>
      <c r="J11" s="32">
        <f>Costs!J51</f>
        <v/>
      </c>
      <c r="K11" s="32">
        <f>Costs!K51</f>
        <v/>
      </c>
      <c r="L11" s="32">
        <f>Costs!L51</f>
        <v/>
      </c>
      <c r="M11" s="32">
        <f>Costs!M51</f>
        <v/>
      </c>
      <c r="N11" s="32">
        <f>Costs!N51</f>
        <v/>
      </c>
      <c r="O11" s="32">
        <f>Costs!O51</f>
        <v/>
      </c>
      <c r="P11" s="32">
        <f>Costs!P51</f>
        <v/>
      </c>
      <c r="Q11" s="32">
        <f>Costs!Q51</f>
        <v/>
      </c>
      <c r="R11" s="32">
        <f>Costs!R51</f>
        <v/>
      </c>
      <c r="S11" s="32">
        <f>Costs!S51</f>
        <v/>
      </c>
      <c r="T11" s="32">
        <f>Costs!T51</f>
        <v/>
      </c>
      <c r="U11" s="32">
        <f>Costs!U51</f>
        <v/>
      </c>
      <c r="V11" s="32">
        <f>Costs!V51</f>
        <v/>
      </c>
      <c r="W11" s="32">
        <f>Costs!W51</f>
        <v/>
      </c>
      <c r="X11" s="32">
        <f>Costs!X51</f>
        <v/>
      </c>
      <c r="Y11" s="32">
        <f>Costs!Y51</f>
        <v/>
      </c>
      <c r="Z11" s="32">
        <f>Costs!Z51</f>
        <v/>
      </c>
      <c r="AA11" s="32">
        <f>Costs!AA51</f>
        <v/>
      </c>
      <c r="AB11" s="32">
        <f>Costs!AB51</f>
        <v/>
      </c>
      <c r="AC11" s="32">
        <f>Costs!AC51</f>
        <v/>
      </c>
      <c r="AD11" s="32">
        <f>Costs!AD51</f>
        <v/>
      </c>
      <c r="AE11" s="32">
        <f>Costs!AE51</f>
        <v/>
      </c>
      <c r="AF11" s="32">
        <f>Costs!AF51</f>
        <v/>
      </c>
      <c r="AG11" s="32">
        <f>Costs!AG51</f>
        <v/>
      </c>
      <c r="AH11" s="32">
        <f>Costs!AH51</f>
        <v/>
      </c>
      <c r="AI11" s="32">
        <f>Costs!AI51</f>
        <v/>
      </c>
      <c r="AJ11" s="32">
        <f>Costs!AJ51</f>
        <v/>
      </c>
      <c r="AK11" s="32">
        <f>Costs!AK51</f>
        <v/>
      </c>
      <c r="AL11" s="32">
        <f>Costs!AL51</f>
        <v/>
      </c>
      <c r="AM11" s="32">
        <f>Costs!AM51</f>
        <v/>
      </c>
      <c r="AN11" s="32">
        <f>Costs!AN51</f>
        <v/>
      </c>
      <c r="AO11" s="32">
        <f>Costs!AO51</f>
        <v/>
      </c>
      <c r="AP11" s="32">
        <f>Costs!AP51</f>
        <v/>
      </c>
      <c r="AQ11" s="32">
        <f>Costs!AQ51</f>
        <v/>
      </c>
      <c r="AR11" s="32">
        <f>Costs!AR51</f>
        <v/>
      </c>
      <c r="AS11" s="32">
        <f>Costs!AS51</f>
        <v/>
      </c>
      <c r="AT11" s="32">
        <f>Costs!AT51</f>
        <v/>
      </c>
      <c r="AU11" s="32">
        <f>Costs!AU51</f>
        <v/>
      </c>
      <c r="AV11" s="32">
        <f>Costs!AV51</f>
        <v/>
      </c>
      <c r="AW11" s="32">
        <f>Costs!AW51</f>
        <v/>
      </c>
      <c r="AX11" s="32">
        <f>Costs!AX51</f>
        <v/>
      </c>
      <c r="AY11" s="32">
        <f>Costs!AY51</f>
        <v/>
      </c>
      <c r="AZ11" s="32">
        <f>Costs!AZ51</f>
        <v/>
      </c>
      <c r="BA11" s="32">
        <f>Costs!BA51</f>
        <v/>
      </c>
    </row>
    <row r="12" ht="14.25" customHeight="1" s="214">
      <c r="A12" s="3" t="inlineStr">
        <is>
          <t>Payment Processing</t>
        </is>
      </c>
      <c r="B12" s="32">
        <f>Costs!B96</f>
        <v/>
      </c>
      <c r="C12" s="32">
        <f>Costs!C96</f>
        <v/>
      </c>
      <c r="D12" s="32">
        <f>Costs!D96</f>
        <v/>
      </c>
      <c r="E12" s="32">
        <f>Costs!E96</f>
        <v/>
      </c>
      <c r="F12" s="32">
        <f>Costs!F96</f>
        <v/>
      </c>
      <c r="G12" s="32">
        <f>Costs!G96</f>
        <v/>
      </c>
      <c r="H12" s="32">
        <f>Costs!H96</f>
        <v/>
      </c>
      <c r="I12" s="32">
        <f>Costs!I96</f>
        <v/>
      </c>
      <c r="J12" s="32">
        <f>Costs!J96</f>
        <v/>
      </c>
      <c r="K12" s="32">
        <f>Costs!K96</f>
        <v/>
      </c>
      <c r="L12" s="32">
        <f>Costs!L96</f>
        <v/>
      </c>
      <c r="M12" s="32">
        <f>Costs!M96</f>
        <v/>
      </c>
      <c r="N12" s="32">
        <f>Costs!N96</f>
        <v/>
      </c>
      <c r="O12" s="32">
        <f>Costs!O96</f>
        <v/>
      </c>
      <c r="P12" s="32">
        <f>Costs!P96</f>
        <v/>
      </c>
      <c r="Q12" s="32">
        <f>Costs!Q96</f>
        <v/>
      </c>
      <c r="R12" s="32">
        <f>Costs!R96</f>
        <v/>
      </c>
      <c r="S12" s="32">
        <f>Costs!S96</f>
        <v/>
      </c>
      <c r="T12" s="32">
        <f>Costs!T96</f>
        <v/>
      </c>
      <c r="U12" s="32">
        <f>Costs!U96</f>
        <v/>
      </c>
      <c r="V12" s="32">
        <f>Costs!V96</f>
        <v/>
      </c>
      <c r="W12" s="32">
        <f>Costs!W96</f>
        <v/>
      </c>
      <c r="X12" s="32">
        <f>Costs!X96</f>
        <v/>
      </c>
      <c r="Y12" s="32">
        <f>Costs!Y96</f>
        <v/>
      </c>
      <c r="Z12" s="32">
        <f>Costs!Z96</f>
        <v/>
      </c>
      <c r="AA12" s="32">
        <f>Costs!AA96</f>
        <v/>
      </c>
      <c r="AB12" s="32">
        <f>Costs!AB96</f>
        <v/>
      </c>
      <c r="AC12" s="32">
        <f>Costs!AC96</f>
        <v/>
      </c>
      <c r="AD12" s="32">
        <f>Costs!AD96</f>
        <v/>
      </c>
      <c r="AE12" s="32">
        <f>Costs!AE96</f>
        <v/>
      </c>
      <c r="AF12" s="32">
        <f>Costs!AF96</f>
        <v/>
      </c>
      <c r="AG12" s="32">
        <f>Costs!AG96</f>
        <v/>
      </c>
      <c r="AH12" s="32">
        <f>Costs!AH96</f>
        <v/>
      </c>
      <c r="AI12" s="32">
        <f>Costs!AI96</f>
        <v/>
      </c>
      <c r="AJ12" s="32">
        <f>Costs!AJ96</f>
        <v/>
      </c>
      <c r="AK12" s="32">
        <f>Costs!AK96</f>
        <v/>
      </c>
      <c r="AL12" s="32">
        <f>Costs!AL96</f>
        <v/>
      </c>
      <c r="AM12" s="32">
        <f>Costs!AM96</f>
        <v/>
      </c>
      <c r="AN12" s="32">
        <f>Costs!AN96</f>
        <v/>
      </c>
      <c r="AO12" s="32">
        <f>Costs!AO96</f>
        <v/>
      </c>
      <c r="AP12" s="32">
        <f>Costs!AP96</f>
        <v/>
      </c>
      <c r="AQ12" s="32">
        <f>Costs!AQ96</f>
        <v/>
      </c>
      <c r="AR12" s="32">
        <f>Costs!AR96</f>
        <v/>
      </c>
      <c r="AS12" s="32">
        <f>Costs!AS96</f>
        <v/>
      </c>
      <c r="AT12" s="32">
        <f>Costs!AT96</f>
        <v/>
      </c>
      <c r="AU12" s="32">
        <f>Costs!AU96</f>
        <v/>
      </c>
      <c r="AV12" s="32">
        <f>Costs!AV96</f>
        <v/>
      </c>
      <c r="AW12" s="32">
        <f>Costs!AW96</f>
        <v/>
      </c>
      <c r="AX12" s="32">
        <f>Costs!AX96</f>
        <v/>
      </c>
      <c r="AY12" s="32">
        <f>Costs!AY96</f>
        <v/>
      </c>
      <c r="AZ12" s="32">
        <f>Costs!AZ96</f>
        <v/>
      </c>
      <c r="BA12" s="32">
        <f>Costs!BA96</f>
        <v/>
      </c>
    </row>
    <row r="13" ht="14.25" customHeight="1" s="214">
      <c r="A13" s="2" t="inlineStr">
        <is>
          <t>TOTAL COGS</t>
        </is>
      </c>
      <c r="B13" s="33">
        <f>SUM(B10:B12)</f>
        <v/>
      </c>
      <c r="C13" s="33">
        <f>SUM(C10:C12)</f>
        <v/>
      </c>
      <c r="D13" s="33">
        <f>SUM(D10:D12)</f>
        <v/>
      </c>
      <c r="E13" s="33">
        <f>SUM(E10:E12)</f>
        <v/>
      </c>
      <c r="F13" s="33">
        <f>SUM(F10:F12)</f>
        <v/>
      </c>
      <c r="G13" s="33">
        <f>SUM(G10:G12)</f>
        <v/>
      </c>
      <c r="H13" s="33">
        <f>SUM(H10:H12)</f>
        <v/>
      </c>
      <c r="I13" s="33">
        <f>SUM(I10:I12)</f>
        <v/>
      </c>
      <c r="J13" s="33">
        <f>SUM(J10:J12)</f>
        <v/>
      </c>
      <c r="K13" s="33">
        <f>SUM(K10:K12)</f>
        <v/>
      </c>
      <c r="L13" s="33">
        <f>SUM(L10:L12)</f>
        <v/>
      </c>
      <c r="M13" s="33">
        <f>SUM(M10:M12)</f>
        <v/>
      </c>
      <c r="N13" s="33">
        <f>SUM(N10:N12)</f>
        <v/>
      </c>
      <c r="O13" s="33">
        <f>SUM(O10:O12)</f>
        <v/>
      </c>
      <c r="P13" s="33">
        <f>SUM(P10:P12)</f>
        <v/>
      </c>
      <c r="Q13" s="33">
        <f>SUM(Q10:Q12)</f>
        <v/>
      </c>
      <c r="R13" s="33">
        <f>SUM(R10:R12)</f>
        <v/>
      </c>
      <c r="S13" s="33">
        <f>SUM(S10:S12)</f>
        <v/>
      </c>
      <c r="T13" s="33">
        <f>SUM(T10:T12)</f>
        <v/>
      </c>
      <c r="U13" s="33">
        <f>SUM(U10:U12)</f>
        <v/>
      </c>
      <c r="V13" s="33">
        <f>SUM(V10:V12)</f>
        <v/>
      </c>
      <c r="W13" s="33">
        <f>SUM(W10:W12)</f>
        <v/>
      </c>
      <c r="X13" s="33">
        <f>SUM(X10:X12)</f>
        <v/>
      </c>
      <c r="Y13" s="33">
        <f>SUM(Y10:Y12)</f>
        <v/>
      </c>
      <c r="Z13" s="33">
        <f>SUM(Z10:Z12)</f>
        <v/>
      </c>
      <c r="AA13" s="33">
        <f>SUM(AA10:AA12)</f>
        <v/>
      </c>
      <c r="AB13" s="33">
        <f>SUM(AB10:AB12)</f>
        <v/>
      </c>
      <c r="AC13" s="33">
        <f>SUM(AC10:AC12)</f>
        <v/>
      </c>
      <c r="AD13" s="33">
        <f>SUM(AD10:AD12)</f>
        <v/>
      </c>
      <c r="AE13" s="33">
        <f>SUM(AE10:AE12)</f>
        <v/>
      </c>
      <c r="AF13" s="33">
        <f>SUM(AF10:AF12)</f>
        <v/>
      </c>
      <c r="AG13" s="33">
        <f>SUM(AG10:AG12)</f>
        <v/>
      </c>
      <c r="AH13" s="33">
        <f>SUM(AH10:AH12)</f>
        <v/>
      </c>
      <c r="AI13" s="33">
        <f>SUM(AI10:AI12)</f>
        <v/>
      </c>
      <c r="AJ13" s="33">
        <f>SUM(AJ10:AJ12)</f>
        <v/>
      </c>
      <c r="AK13" s="33">
        <f>SUM(AK10:AK12)</f>
        <v/>
      </c>
      <c r="AL13" s="33">
        <f>SUM(AL10:AL12)</f>
        <v/>
      </c>
      <c r="AM13" s="33">
        <f>SUM(AM10:AM12)</f>
        <v/>
      </c>
      <c r="AN13" s="33">
        <f>SUM(AN10:AN12)</f>
        <v/>
      </c>
      <c r="AO13" s="33">
        <f>SUM(AO10:AO12)</f>
        <v/>
      </c>
      <c r="AP13" s="33">
        <f>SUM(AP10:AP12)</f>
        <v/>
      </c>
      <c r="AQ13" s="33">
        <f>SUM(AQ10:AQ12)</f>
        <v/>
      </c>
      <c r="AR13" s="33">
        <f>SUM(AR10:AR12)</f>
        <v/>
      </c>
      <c r="AS13" s="33">
        <f>SUM(AS10:AS12)</f>
        <v/>
      </c>
      <c r="AT13" s="33">
        <f>SUM(AT10:AT12)</f>
        <v/>
      </c>
      <c r="AU13" s="33">
        <f>SUM(AU10:AU12)</f>
        <v/>
      </c>
      <c r="AV13" s="33">
        <f>SUM(AV10:AV12)</f>
        <v/>
      </c>
      <c r="AW13" s="33">
        <f>SUM(AW10:AW12)</f>
        <v/>
      </c>
      <c r="AX13" s="33">
        <f>SUM(AX10:AX12)</f>
        <v/>
      </c>
      <c r="AY13" s="33">
        <f>SUM(AY10:AY12)</f>
        <v/>
      </c>
      <c r="AZ13" s="33">
        <f>SUM(AZ10:AZ12)</f>
        <v/>
      </c>
      <c r="BA13" s="33">
        <f>SUM(BA10:BA12)</f>
        <v/>
      </c>
    </row>
    <row r="14" ht="14.25" customHeight="1" s="214"/>
    <row r="15" ht="14.25" customHeight="1" s="214">
      <c r="A15" s="2" t="inlineStr">
        <is>
          <t>GROSS PROFIT</t>
        </is>
      </c>
      <c r="B15" s="33">
        <f>B8-B13</f>
        <v/>
      </c>
      <c r="C15" s="33">
        <f>C8-C13</f>
        <v/>
      </c>
      <c r="D15" s="33">
        <f>D8-D13</f>
        <v/>
      </c>
      <c r="E15" s="33">
        <f>E8-E13</f>
        <v/>
      </c>
      <c r="F15" s="33">
        <f>F8-F13</f>
        <v/>
      </c>
      <c r="G15" s="33">
        <f>G8-G13</f>
        <v/>
      </c>
      <c r="H15" s="33">
        <f>H8-H13</f>
        <v/>
      </c>
      <c r="I15" s="33">
        <f>I8-I13</f>
        <v/>
      </c>
      <c r="J15" s="33">
        <f>J8-J13</f>
        <v/>
      </c>
      <c r="K15" s="33">
        <f>K8-K13</f>
        <v/>
      </c>
      <c r="L15" s="33">
        <f>L8-L13</f>
        <v/>
      </c>
      <c r="M15" s="33">
        <f>M8-M13</f>
        <v/>
      </c>
      <c r="N15" s="33">
        <f>N8-N13</f>
        <v/>
      </c>
      <c r="O15" s="33">
        <f>O8-O13</f>
        <v/>
      </c>
      <c r="P15" s="33">
        <f>P8-P13</f>
        <v/>
      </c>
      <c r="Q15" s="33">
        <f>Q8-Q13</f>
        <v/>
      </c>
      <c r="R15" s="33">
        <f>R8-R13</f>
        <v/>
      </c>
      <c r="S15" s="33">
        <f>S8-S13</f>
        <v/>
      </c>
      <c r="T15" s="33">
        <f>T8-T13</f>
        <v/>
      </c>
      <c r="U15" s="33">
        <f>U8-U13</f>
        <v/>
      </c>
      <c r="V15" s="33">
        <f>V8-V13</f>
        <v/>
      </c>
      <c r="W15" s="33">
        <f>W8-W13</f>
        <v/>
      </c>
      <c r="X15" s="33">
        <f>X8-X13</f>
        <v/>
      </c>
      <c r="Y15" s="33">
        <f>Y8-Y13</f>
        <v/>
      </c>
      <c r="Z15" s="33">
        <f>Z8-Z13</f>
        <v/>
      </c>
      <c r="AA15" s="33">
        <f>AA8-AA13</f>
        <v/>
      </c>
      <c r="AB15" s="33">
        <f>AB8-AB13</f>
        <v/>
      </c>
      <c r="AC15" s="33">
        <f>AC8-AC13</f>
        <v/>
      </c>
      <c r="AD15" s="33">
        <f>AD8-AD13</f>
        <v/>
      </c>
      <c r="AE15" s="33">
        <f>AE8-AE13</f>
        <v/>
      </c>
      <c r="AF15" s="33">
        <f>AF8-AF13</f>
        <v/>
      </c>
      <c r="AG15" s="33">
        <f>AG8-AG13</f>
        <v/>
      </c>
      <c r="AH15" s="33">
        <f>AH8-AH13</f>
        <v/>
      </c>
      <c r="AI15" s="33">
        <f>AI8-AI13</f>
        <v/>
      </c>
      <c r="AJ15" s="33">
        <f>AJ8-AJ13</f>
        <v/>
      </c>
      <c r="AK15" s="33">
        <f>AK8-AK13</f>
        <v/>
      </c>
      <c r="AL15" s="33">
        <f>AL8-AL13</f>
        <v/>
      </c>
      <c r="AM15" s="33">
        <f>AM8-AM13</f>
        <v/>
      </c>
      <c r="AN15" s="33">
        <f>AN8-AN13</f>
        <v/>
      </c>
      <c r="AO15" s="33">
        <f>AO8-AO13</f>
        <v/>
      </c>
      <c r="AP15" s="33">
        <f>AP8-AP13</f>
        <v/>
      </c>
      <c r="AQ15" s="33">
        <f>AQ8-AQ13</f>
        <v/>
      </c>
      <c r="AR15" s="33">
        <f>AR8-AR13</f>
        <v/>
      </c>
      <c r="AS15" s="33">
        <f>AS8-AS13</f>
        <v/>
      </c>
      <c r="AT15" s="33">
        <f>AT8-AT13</f>
        <v/>
      </c>
      <c r="AU15" s="33">
        <f>AU8-AU13</f>
        <v/>
      </c>
      <c r="AV15" s="33">
        <f>AV8-AV13</f>
        <v/>
      </c>
      <c r="AW15" s="33">
        <f>AW8-AW13</f>
        <v/>
      </c>
      <c r="AX15" s="33">
        <f>AX8-AX13</f>
        <v/>
      </c>
      <c r="AY15" s="33">
        <f>AY8-AY13</f>
        <v/>
      </c>
      <c r="AZ15" s="33">
        <f>AZ8-AZ13</f>
        <v/>
      </c>
      <c r="BA15" s="33">
        <f>BA8-BA13</f>
        <v/>
      </c>
    </row>
    <row r="16" ht="14.25" customHeight="1" s="214">
      <c r="A16" s="3" t="inlineStr">
        <is>
          <t>Gross Margin %</t>
        </is>
      </c>
      <c r="B16" s="34">
        <f>IFERROR(B15/B8,0)</f>
        <v/>
      </c>
      <c r="C16" s="34">
        <f>IFERROR(C15/C8,0)</f>
        <v/>
      </c>
      <c r="D16" s="34">
        <f>IFERROR(D15/D8,0)</f>
        <v/>
      </c>
      <c r="E16" s="34">
        <f>IFERROR(E15/E8,0)</f>
        <v/>
      </c>
      <c r="F16" s="34">
        <f>IFERROR(F15/F8,0)</f>
        <v/>
      </c>
      <c r="G16" s="34">
        <f>IFERROR(G15/G8,0)</f>
        <v/>
      </c>
      <c r="H16" s="34">
        <f>IFERROR(H15/H8,0)</f>
        <v/>
      </c>
      <c r="I16" s="34">
        <f>IFERROR(I15/I8,0)</f>
        <v/>
      </c>
      <c r="J16" s="34">
        <f>IFERROR(J15/J8,0)</f>
        <v/>
      </c>
      <c r="K16" s="34">
        <f>IFERROR(K15/K8,0)</f>
        <v/>
      </c>
      <c r="L16" s="34">
        <f>IFERROR(L15/L8,0)</f>
        <v/>
      </c>
      <c r="M16" s="34">
        <f>IFERROR(M15/M8,0)</f>
        <v/>
      </c>
      <c r="N16" s="34">
        <f>IFERROR(N15/N8,0)</f>
        <v/>
      </c>
      <c r="O16" s="34">
        <f>IFERROR(O15/O8,0)</f>
        <v/>
      </c>
      <c r="P16" s="34">
        <f>IFERROR(P15/P8,0)</f>
        <v/>
      </c>
      <c r="Q16" s="34">
        <f>IFERROR(Q15/Q8,0)</f>
        <v/>
      </c>
      <c r="R16" s="34">
        <f>IFERROR(R15/R8,0)</f>
        <v/>
      </c>
      <c r="S16" s="34">
        <f>IFERROR(S15/S8,0)</f>
        <v/>
      </c>
      <c r="T16" s="34">
        <f>IFERROR(T15/T8,0)</f>
        <v/>
      </c>
      <c r="U16" s="34">
        <f>IFERROR(U15/U8,0)</f>
        <v/>
      </c>
      <c r="V16" s="34">
        <f>IFERROR(V15/V8,0)</f>
        <v/>
      </c>
      <c r="W16" s="34">
        <f>IFERROR(W15/W8,0)</f>
        <v/>
      </c>
      <c r="X16" s="34">
        <f>IFERROR(X15/X8,0)</f>
        <v/>
      </c>
      <c r="Y16" s="34">
        <f>IFERROR(Y15/Y8,0)</f>
        <v/>
      </c>
      <c r="Z16" s="34">
        <f>IFERROR(Z15/Z8,0)</f>
        <v/>
      </c>
      <c r="AA16" s="34">
        <f>IFERROR(AA15/AA8,0)</f>
        <v/>
      </c>
      <c r="AB16" s="34">
        <f>IFERROR(AB15/AB8,0)</f>
        <v/>
      </c>
      <c r="AC16" s="34">
        <f>IFERROR(AC15/AC8,0)</f>
        <v/>
      </c>
      <c r="AD16" s="34">
        <f>IFERROR(AD15/AD8,0)</f>
        <v/>
      </c>
      <c r="AE16" s="34">
        <f>IFERROR(AE15/AE8,0)</f>
        <v/>
      </c>
      <c r="AF16" s="34">
        <f>IFERROR(AF15/AF8,0)</f>
        <v/>
      </c>
      <c r="AG16" s="34">
        <f>IFERROR(AG15/AG8,0)</f>
        <v/>
      </c>
      <c r="AH16" s="34">
        <f>IFERROR(AH15/AH8,0)</f>
        <v/>
      </c>
      <c r="AI16" s="34">
        <f>IFERROR(AI15/AI8,0)</f>
        <v/>
      </c>
      <c r="AJ16" s="34">
        <f>IFERROR(AJ15/AJ8,0)</f>
        <v/>
      </c>
      <c r="AK16" s="34">
        <f>IFERROR(AK15/AK8,0)</f>
        <v/>
      </c>
      <c r="AL16" s="34">
        <f>IFERROR(AL15/AL8,0)</f>
        <v/>
      </c>
      <c r="AM16" s="34">
        <f>IFERROR(AM15/AM8,0)</f>
        <v/>
      </c>
      <c r="AN16" s="34">
        <f>IFERROR(AN15/AN8,0)</f>
        <v/>
      </c>
      <c r="AO16" s="34">
        <f>IFERROR(AO15/AO8,0)</f>
        <v/>
      </c>
      <c r="AP16" s="34">
        <f>IFERROR(AP15/AP8,0)</f>
        <v/>
      </c>
      <c r="AQ16" s="34">
        <f>IFERROR(AQ15/AQ8,0)</f>
        <v/>
      </c>
      <c r="AR16" s="34">
        <f>IFERROR(AR15/AR8,0)</f>
        <v/>
      </c>
      <c r="AS16" s="34">
        <f>IFERROR(AS15/AS8,0)</f>
        <v/>
      </c>
      <c r="AT16" s="34">
        <f>IFERROR(AT15/AT8,0)</f>
        <v/>
      </c>
      <c r="AU16" s="34">
        <f>IFERROR(AU15/AU8,0)</f>
        <v/>
      </c>
      <c r="AV16" s="34">
        <f>IFERROR(AV15/AV8,0)</f>
        <v/>
      </c>
      <c r="AW16" s="34">
        <f>IFERROR(AW15/AW8,0)</f>
        <v/>
      </c>
      <c r="AX16" s="34">
        <f>IFERROR(AX15/AX8,0)</f>
        <v/>
      </c>
      <c r="AY16" s="34">
        <f>IFERROR(AY15/AY8,0)</f>
        <v/>
      </c>
      <c r="AZ16" s="34">
        <f>IFERROR(AZ15/AZ8,0)</f>
        <v/>
      </c>
      <c r="BA16" s="34">
        <f>IFERROR(BA15/BA8,0)</f>
        <v/>
      </c>
    </row>
    <row r="17" ht="14.25" customHeight="1" s="214"/>
    <row r="18" ht="14.25" customHeight="1" s="214">
      <c r="A18" s="2" t="inlineStr">
        <is>
          <t>OPERATING EXPENSES</t>
        </is>
      </c>
    </row>
    <row r="19" ht="14.25" customHeight="1" s="214">
      <c r="A19" s="3" t="inlineStr">
        <is>
          <t>Total Personnel</t>
        </is>
      </c>
      <c r="B19" s="32">
        <f>Costs!B46</f>
        <v/>
      </c>
      <c r="C19" s="32">
        <f>Costs!C46</f>
        <v/>
      </c>
      <c r="D19" s="32">
        <f>Costs!D46</f>
        <v/>
      </c>
      <c r="E19" s="32">
        <f>Costs!E46</f>
        <v/>
      </c>
      <c r="F19" s="32">
        <f>Costs!F46</f>
        <v/>
      </c>
      <c r="G19" s="32">
        <f>Costs!G46</f>
        <v/>
      </c>
      <c r="H19" s="32">
        <f>Costs!H46</f>
        <v/>
      </c>
      <c r="I19" s="32">
        <f>Costs!I46</f>
        <v/>
      </c>
      <c r="J19" s="32">
        <f>Costs!J46</f>
        <v/>
      </c>
      <c r="K19" s="32">
        <f>Costs!K46</f>
        <v/>
      </c>
      <c r="L19" s="32">
        <f>Costs!L46</f>
        <v/>
      </c>
      <c r="M19" s="32">
        <f>Costs!M46</f>
        <v/>
      </c>
      <c r="N19" s="32">
        <f>Costs!N46</f>
        <v/>
      </c>
      <c r="O19" s="32">
        <f>Costs!O46</f>
        <v/>
      </c>
      <c r="P19" s="32">
        <f>Costs!P46</f>
        <v/>
      </c>
      <c r="Q19" s="32">
        <f>Costs!Q46</f>
        <v/>
      </c>
      <c r="R19" s="32">
        <f>Costs!R46</f>
        <v/>
      </c>
      <c r="S19" s="32">
        <f>Costs!S46</f>
        <v/>
      </c>
      <c r="T19" s="32">
        <f>Costs!T46</f>
        <v/>
      </c>
      <c r="U19" s="32">
        <f>Costs!U46</f>
        <v/>
      </c>
      <c r="V19" s="32">
        <f>Costs!V46</f>
        <v/>
      </c>
      <c r="W19" s="32">
        <f>Costs!W46</f>
        <v/>
      </c>
      <c r="X19" s="32">
        <f>Costs!X46</f>
        <v/>
      </c>
      <c r="Y19" s="32">
        <f>Costs!Y46</f>
        <v/>
      </c>
      <c r="Z19" s="32">
        <f>Costs!Z46</f>
        <v/>
      </c>
      <c r="AA19" s="32">
        <f>Costs!AA46</f>
        <v/>
      </c>
      <c r="AB19" s="32">
        <f>Costs!AB46</f>
        <v/>
      </c>
      <c r="AC19" s="32">
        <f>Costs!AC46</f>
        <v/>
      </c>
      <c r="AD19" s="32">
        <f>Costs!AD46</f>
        <v/>
      </c>
      <c r="AE19" s="32">
        <f>Costs!AE46</f>
        <v/>
      </c>
      <c r="AF19" s="32">
        <f>Costs!AF46</f>
        <v/>
      </c>
      <c r="AG19" s="32">
        <f>Costs!AG46</f>
        <v/>
      </c>
      <c r="AH19" s="32">
        <f>Costs!AH46</f>
        <v/>
      </c>
      <c r="AI19" s="32">
        <f>Costs!AI46</f>
        <v/>
      </c>
      <c r="AJ19" s="32">
        <f>Costs!AJ46</f>
        <v/>
      </c>
      <c r="AK19" s="32">
        <f>Costs!AK46</f>
        <v/>
      </c>
      <c r="AL19" s="32">
        <f>Costs!AL46</f>
        <v/>
      </c>
      <c r="AM19" s="32">
        <f>Costs!AM46</f>
        <v/>
      </c>
      <c r="AN19" s="32">
        <f>Costs!AN46</f>
        <v/>
      </c>
      <c r="AO19" s="32">
        <f>Costs!AO46</f>
        <v/>
      </c>
      <c r="AP19" s="32">
        <f>Costs!AP46</f>
        <v/>
      </c>
      <c r="AQ19" s="32">
        <f>Costs!AQ46</f>
        <v/>
      </c>
      <c r="AR19" s="32">
        <f>Costs!AR46</f>
        <v/>
      </c>
      <c r="AS19" s="32">
        <f>Costs!AS46</f>
        <v/>
      </c>
      <c r="AT19" s="32">
        <f>Costs!AT46</f>
        <v/>
      </c>
      <c r="AU19" s="32">
        <f>Costs!AU46</f>
        <v/>
      </c>
      <c r="AV19" s="32">
        <f>Costs!AV46</f>
        <v/>
      </c>
      <c r="AW19" s="32">
        <f>Costs!AW46</f>
        <v/>
      </c>
      <c r="AX19" s="32">
        <f>Costs!AX46</f>
        <v/>
      </c>
      <c r="AY19" s="32">
        <f>Costs!AY46</f>
        <v/>
      </c>
      <c r="AZ19" s="32">
        <f>Costs!AZ46</f>
        <v/>
      </c>
      <c r="BA19" s="32">
        <f>Costs!BA46</f>
        <v/>
      </c>
    </row>
    <row r="20" ht="14.25" customHeight="1" s="214">
      <c r="A20" s="3" t="inlineStr">
        <is>
          <t>Total Technology</t>
        </is>
      </c>
      <c r="B20" s="32">
        <f>Costs!B55</f>
        <v/>
      </c>
      <c r="C20" s="32">
        <f>Costs!C55</f>
        <v/>
      </c>
      <c r="D20" s="32">
        <f>Costs!D55</f>
        <v/>
      </c>
      <c r="E20" s="32">
        <f>Costs!E55</f>
        <v/>
      </c>
      <c r="F20" s="32">
        <f>Costs!F55</f>
        <v/>
      </c>
      <c r="G20" s="32">
        <f>Costs!G55</f>
        <v/>
      </c>
      <c r="H20" s="32">
        <f>Costs!H55</f>
        <v/>
      </c>
      <c r="I20" s="32">
        <f>Costs!I55</f>
        <v/>
      </c>
      <c r="J20" s="32">
        <f>Costs!J55</f>
        <v/>
      </c>
      <c r="K20" s="32">
        <f>Costs!K55</f>
        <v/>
      </c>
      <c r="L20" s="32">
        <f>Costs!L55</f>
        <v/>
      </c>
      <c r="M20" s="32">
        <f>Costs!M55</f>
        <v/>
      </c>
      <c r="N20" s="32">
        <f>Costs!N55</f>
        <v/>
      </c>
      <c r="O20" s="32">
        <f>Costs!O55</f>
        <v/>
      </c>
      <c r="P20" s="32">
        <f>Costs!P55</f>
        <v/>
      </c>
      <c r="Q20" s="32">
        <f>Costs!Q55</f>
        <v/>
      </c>
      <c r="R20" s="32">
        <f>Costs!R55</f>
        <v/>
      </c>
      <c r="S20" s="32">
        <f>Costs!S55</f>
        <v/>
      </c>
      <c r="T20" s="32">
        <f>Costs!T55</f>
        <v/>
      </c>
      <c r="U20" s="32">
        <f>Costs!U55</f>
        <v/>
      </c>
      <c r="V20" s="32">
        <f>Costs!V55</f>
        <v/>
      </c>
      <c r="W20" s="32">
        <f>Costs!W55</f>
        <v/>
      </c>
      <c r="X20" s="32">
        <f>Costs!X55</f>
        <v/>
      </c>
      <c r="Y20" s="32">
        <f>Costs!Y55</f>
        <v/>
      </c>
      <c r="Z20" s="32">
        <f>Costs!Z55</f>
        <v/>
      </c>
      <c r="AA20" s="32">
        <f>Costs!AA55</f>
        <v/>
      </c>
      <c r="AB20" s="32">
        <f>Costs!AB55</f>
        <v/>
      </c>
      <c r="AC20" s="32">
        <f>Costs!AC55</f>
        <v/>
      </c>
      <c r="AD20" s="32">
        <f>Costs!AD55</f>
        <v/>
      </c>
      <c r="AE20" s="32">
        <f>Costs!AE55</f>
        <v/>
      </c>
      <c r="AF20" s="32">
        <f>Costs!AF55</f>
        <v/>
      </c>
      <c r="AG20" s="32">
        <f>Costs!AG55</f>
        <v/>
      </c>
      <c r="AH20" s="32">
        <f>Costs!AH55</f>
        <v/>
      </c>
      <c r="AI20" s="32">
        <f>Costs!AI55</f>
        <v/>
      </c>
      <c r="AJ20" s="32">
        <f>Costs!AJ55</f>
        <v/>
      </c>
      <c r="AK20" s="32">
        <f>Costs!AK55</f>
        <v/>
      </c>
      <c r="AL20" s="32">
        <f>Costs!AL55</f>
        <v/>
      </c>
      <c r="AM20" s="32">
        <f>Costs!AM55</f>
        <v/>
      </c>
      <c r="AN20" s="32">
        <f>Costs!AN55</f>
        <v/>
      </c>
      <c r="AO20" s="32">
        <f>Costs!AO55</f>
        <v/>
      </c>
      <c r="AP20" s="32">
        <f>Costs!AP55</f>
        <v/>
      </c>
      <c r="AQ20" s="32">
        <f>Costs!AQ55</f>
        <v/>
      </c>
      <c r="AR20" s="32">
        <f>Costs!AR55</f>
        <v/>
      </c>
      <c r="AS20" s="32">
        <f>Costs!AS55</f>
        <v/>
      </c>
      <c r="AT20" s="32">
        <f>Costs!AT55</f>
        <v/>
      </c>
      <c r="AU20" s="32">
        <f>Costs!AU55</f>
        <v/>
      </c>
      <c r="AV20" s="32">
        <f>Costs!AV55</f>
        <v/>
      </c>
      <c r="AW20" s="32">
        <f>Costs!AW55</f>
        <v/>
      </c>
      <c r="AX20" s="32">
        <f>Costs!AX55</f>
        <v/>
      </c>
      <c r="AY20" s="32">
        <f>Costs!AY55</f>
        <v/>
      </c>
      <c r="AZ20" s="32">
        <f>Costs!AZ55</f>
        <v/>
      </c>
      <c r="BA20" s="32">
        <f>Costs!BA55</f>
        <v/>
      </c>
    </row>
    <row r="21" ht="14.25" customHeight="1" s="214">
      <c r="A21" s="3" t="inlineStr">
        <is>
          <t>Total Office/Facilities</t>
        </is>
      </c>
      <c r="B21" s="32">
        <f>Costs!B62</f>
        <v/>
      </c>
      <c r="C21" s="32">
        <f>Costs!C62</f>
        <v/>
      </c>
      <c r="D21" s="32">
        <f>Costs!D62</f>
        <v/>
      </c>
      <c r="E21" s="32">
        <f>Costs!E62</f>
        <v/>
      </c>
      <c r="F21" s="32">
        <f>Costs!F62</f>
        <v/>
      </c>
      <c r="G21" s="32">
        <f>Costs!G62</f>
        <v/>
      </c>
      <c r="H21" s="32">
        <f>Costs!H62</f>
        <v/>
      </c>
      <c r="I21" s="32">
        <f>Costs!I62</f>
        <v/>
      </c>
      <c r="J21" s="32">
        <f>Costs!J62</f>
        <v/>
      </c>
      <c r="K21" s="32">
        <f>Costs!K62</f>
        <v/>
      </c>
      <c r="L21" s="32">
        <f>Costs!L62</f>
        <v/>
      </c>
      <c r="M21" s="32">
        <f>Costs!M62</f>
        <v/>
      </c>
      <c r="N21" s="32">
        <f>Costs!N62</f>
        <v/>
      </c>
      <c r="O21" s="32">
        <f>Costs!O62</f>
        <v/>
      </c>
      <c r="P21" s="32">
        <f>Costs!P62</f>
        <v/>
      </c>
      <c r="Q21" s="32">
        <f>Costs!Q62</f>
        <v/>
      </c>
      <c r="R21" s="32">
        <f>Costs!R62</f>
        <v/>
      </c>
      <c r="S21" s="32">
        <f>Costs!S62</f>
        <v/>
      </c>
      <c r="T21" s="32">
        <f>Costs!T62</f>
        <v/>
      </c>
      <c r="U21" s="32">
        <f>Costs!U62</f>
        <v/>
      </c>
      <c r="V21" s="32">
        <f>Costs!V62</f>
        <v/>
      </c>
      <c r="W21" s="32">
        <f>Costs!W62</f>
        <v/>
      </c>
      <c r="X21" s="32">
        <f>Costs!X62</f>
        <v/>
      </c>
      <c r="Y21" s="32">
        <f>Costs!Y62</f>
        <v/>
      </c>
      <c r="Z21" s="32">
        <f>Costs!Z62</f>
        <v/>
      </c>
      <c r="AA21" s="32">
        <f>Costs!AA62</f>
        <v/>
      </c>
      <c r="AB21" s="32">
        <f>Costs!AB62</f>
        <v/>
      </c>
      <c r="AC21" s="32">
        <f>Costs!AC62</f>
        <v/>
      </c>
      <c r="AD21" s="32">
        <f>Costs!AD62</f>
        <v/>
      </c>
      <c r="AE21" s="32">
        <f>Costs!AE62</f>
        <v/>
      </c>
      <c r="AF21" s="32">
        <f>Costs!AF62</f>
        <v/>
      </c>
      <c r="AG21" s="32">
        <f>Costs!AG62</f>
        <v/>
      </c>
      <c r="AH21" s="32">
        <f>Costs!AH62</f>
        <v/>
      </c>
      <c r="AI21" s="32">
        <f>Costs!AI62</f>
        <v/>
      </c>
      <c r="AJ21" s="32">
        <f>Costs!AJ62</f>
        <v/>
      </c>
      <c r="AK21" s="32">
        <f>Costs!AK62</f>
        <v/>
      </c>
      <c r="AL21" s="32">
        <f>Costs!AL62</f>
        <v/>
      </c>
      <c r="AM21" s="32">
        <f>Costs!AM62</f>
        <v/>
      </c>
      <c r="AN21" s="32">
        <f>Costs!AN62</f>
        <v/>
      </c>
      <c r="AO21" s="32">
        <f>Costs!AO62</f>
        <v/>
      </c>
      <c r="AP21" s="32">
        <f>Costs!AP62</f>
        <v/>
      </c>
      <c r="AQ21" s="32">
        <f>Costs!AQ62</f>
        <v/>
      </c>
      <c r="AR21" s="32">
        <f>Costs!AR62</f>
        <v/>
      </c>
      <c r="AS21" s="32">
        <f>Costs!AS62</f>
        <v/>
      </c>
      <c r="AT21" s="32">
        <f>Costs!AT62</f>
        <v/>
      </c>
      <c r="AU21" s="32">
        <f>Costs!AU62</f>
        <v/>
      </c>
      <c r="AV21" s="32">
        <f>Costs!AV62</f>
        <v/>
      </c>
      <c r="AW21" s="32">
        <f>Costs!AW62</f>
        <v/>
      </c>
      <c r="AX21" s="32">
        <f>Costs!AX62</f>
        <v/>
      </c>
      <c r="AY21" s="32">
        <f>Costs!AY62</f>
        <v/>
      </c>
      <c r="AZ21" s="32">
        <f>Costs!AZ62</f>
        <v/>
      </c>
      <c r="BA21" s="32">
        <f>Costs!BA62</f>
        <v/>
      </c>
    </row>
    <row r="22" ht="14.25" customHeight="1" s="214">
      <c r="A22" s="3" t="inlineStr">
        <is>
          <t>Total Professional Services</t>
        </is>
      </c>
      <c r="B22" s="32">
        <f>Costs!B69</f>
        <v/>
      </c>
      <c r="C22" s="32">
        <f>Costs!C69</f>
        <v/>
      </c>
      <c r="D22" s="32">
        <f>Costs!D69</f>
        <v/>
      </c>
      <c r="E22" s="32">
        <f>Costs!E69</f>
        <v/>
      </c>
      <c r="F22" s="32">
        <f>Costs!F69</f>
        <v/>
      </c>
      <c r="G22" s="32">
        <f>Costs!G69</f>
        <v/>
      </c>
      <c r="H22" s="32">
        <f>Costs!H69</f>
        <v/>
      </c>
      <c r="I22" s="32">
        <f>Costs!I69</f>
        <v/>
      </c>
      <c r="J22" s="32">
        <f>Costs!J69</f>
        <v/>
      </c>
      <c r="K22" s="32">
        <f>Costs!K69</f>
        <v/>
      </c>
      <c r="L22" s="32">
        <f>Costs!L69</f>
        <v/>
      </c>
      <c r="M22" s="32">
        <f>Costs!M69</f>
        <v/>
      </c>
      <c r="N22" s="32">
        <f>Costs!N69</f>
        <v/>
      </c>
      <c r="O22" s="32">
        <f>Costs!O69</f>
        <v/>
      </c>
      <c r="P22" s="32">
        <f>Costs!P69</f>
        <v/>
      </c>
      <c r="Q22" s="32">
        <f>Costs!Q69</f>
        <v/>
      </c>
      <c r="R22" s="32">
        <f>Costs!R69</f>
        <v/>
      </c>
      <c r="S22" s="32">
        <f>Costs!S69</f>
        <v/>
      </c>
      <c r="T22" s="32">
        <f>Costs!T69</f>
        <v/>
      </c>
      <c r="U22" s="32">
        <f>Costs!U69</f>
        <v/>
      </c>
      <c r="V22" s="32">
        <f>Costs!V69</f>
        <v/>
      </c>
      <c r="W22" s="32">
        <f>Costs!W69</f>
        <v/>
      </c>
      <c r="X22" s="32">
        <f>Costs!X69</f>
        <v/>
      </c>
      <c r="Y22" s="32">
        <f>Costs!Y69</f>
        <v/>
      </c>
      <c r="Z22" s="32">
        <f>Costs!Z69</f>
        <v/>
      </c>
      <c r="AA22" s="32">
        <f>Costs!AA69</f>
        <v/>
      </c>
      <c r="AB22" s="32">
        <f>Costs!AB69</f>
        <v/>
      </c>
      <c r="AC22" s="32">
        <f>Costs!AC69</f>
        <v/>
      </c>
      <c r="AD22" s="32">
        <f>Costs!AD69</f>
        <v/>
      </c>
      <c r="AE22" s="32">
        <f>Costs!AE69</f>
        <v/>
      </c>
      <c r="AF22" s="32">
        <f>Costs!AF69</f>
        <v/>
      </c>
      <c r="AG22" s="32">
        <f>Costs!AG69</f>
        <v/>
      </c>
      <c r="AH22" s="32">
        <f>Costs!AH69</f>
        <v/>
      </c>
      <c r="AI22" s="32">
        <f>Costs!AI69</f>
        <v/>
      </c>
      <c r="AJ22" s="32">
        <f>Costs!AJ69</f>
        <v/>
      </c>
      <c r="AK22" s="32">
        <f>Costs!AK69</f>
        <v/>
      </c>
      <c r="AL22" s="32">
        <f>Costs!AL69</f>
        <v/>
      </c>
      <c r="AM22" s="32">
        <f>Costs!AM69</f>
        <v/>
      </c>
      <c r="AN22" s="32">
        <f>Costs!AN69</f>
        <v/>
      </c>
      <c r="AO22" s="32">
        <f>Costs!AO69</f>
        <v/>
      </c>
      <c r="AP22" s="32">
        <f>Costs!AP69</f>
        <v/>
      </c>
      <c r="AQ22" s="32">
        <f>Costs!AQ69</f>
        <v/>
      </c>
      <c r="AR22" s="32">
        <f>Costs!AR69</f>
        <v/>
      </c>
      <c r="AS22" s="32">
        <f>Costs!AS69</f>
        <v/>
      </c>
      <c r="AT22" s="32">
        <f>Costs!AT69</f>
        <v/>
      </c>
      <c r="AU22" s="32">
        <f>Costs!AU69</f>
        <v/>
      </c>
      <c r="AV22" s="32">
        <f>Costs!AV69</f>
        <v/>
      </c>
      <c r="AW22" s="32">
        <f>Costs!AW69</f>
        <v/>
      </c>
      <c r="AX22" s="32">
        <f>Costs!AX69</f>
        <v/>
      </c>
      <c r="AY22" s="32">
        <f>Costs!AY69</f>
        <v/>
      </c>
      <c r="AZ22" s="32">
        <f>Costs!AZ69</f>
        <v/>
      </c>
      <c r="BA22" s="32">
        <f>Costs!BA69</f>
        <v/>
      </c>
    </row>
    <row r="23" ht="14.25" customHeight="1" s="214">
      <c r="A23" s="3" t="inlineStr">
        <is>
          <t>Total Insurance &amp; Bank</t>
        </is>
      </c>
      <c r="B23" s="32">
        <f>Costs!B76</f>
        <v/>
      </c>
      <c r="C23" s="32">
        <f>Costs!C76</f>
        <v/>
      </c>
      <c r="D23" s="32">
        <f>Costs!D76</f>
        <v/>
      </c>
      <c r="E23" s="32">
        <f>Costs!E76</f>
        <v/>
      </c>
      <c r="F23" s="32">
        <f>Costs!F76</f>
        <v/>
      </c>
      <c r="G23" s="32">
        <f>Costs!G76</f>
        <v/>
      </c>
      <c r="H23" s="32">
        <f>Costs!H76</f>
        <v/>
      </c>
      <c r="I23" s="32">
        <f>Costs!I76</f>
        <v/>
      </c>
      <c r="J23" s="32">
        <f>Costs!J76</f>
        <v/>
      </c>
      <c r="K23" s="32">
        <f>Costs!K76</f>
        <v/>
      </c>
      <c r="L23" s="32">
        <f>Costs!L76</f>
        <v/>
      </c>
      <c r="M23" s="32">
        <f>Costs!M76</f>
        <v/>
      </c>
      <c r="N23" s="32">
        <f>Costs!N76</f>
        <v/>
      </c>
      <c r="O23" s="32">
        <f>Costs!O76</f>
        <v/>
      </c>
      <c r="P23" s="32">
        <f>Costs!P76</f>
        <v/>
      </c>
      <c r="Q23" s="32">
        <f>Costs!Q76</f>
        <v/>
      </c>
      <c r="R23" s="32">
        <f>Costs!R76</f>
        <v/>
      </c>
      <c r="S23" s="32">
        <f>Costs!S76</f>
        <v/>
      </c>
      <c r="T23" s="32">
        <f>Costs!T76</f>
        <v/>
      </c>
      <c r="U23" s="32">
        <f>Costs!U76</f>
        <v/>
      </c>
      <c r="V23" s="32">
        <f>Costs!V76</f>
        <v/>
      </c>
      <c r="W23" s="32">
        <f>Costs!W76</f>
        <v/>
      </c>
      <c r="X23" s="32">
        <f>Costs!X76</f>
        <v/>
      </c>
      <c r="Y23" s="32">
        <f>Costs!Y76</f>
        <v/>
      </c>
      <c r="Z23" s="32">
        <f>Costs!Z76</f>
        <v/>
      </c>
      <c r="AA23" s="32">
        <f>Costs!AA76</f>
        <v/>
      </c>
      <c r="AB23" s="32">
        <f>Costs!AB76</f>
        <v/>
      </c>
      <c r="AC23" s="32">
        <f>Costs!AC76</f>
        <v/>
      </c>
      <c r="AD23" s="32">
        <f>Costs!AD76</f>
        <v/>
      </c>
      <c r="AE23" s="32">
        <f>Costs!AE76</f>
        <v/>
      </c>
      <c r="AF23" s="32">
        <f>Costs!AF76</f>
        <v/>
      </c>
      <c r="AG23" s="32">
        <f>Costs!AG76</f>
        <v/>
      </c>
      <c r="AH23" s="32">
        <f>Costs!AH76</f>
        <v/>
      </c>
      <c r="AI23" s="32">
        <f>Costs!AI76</f>
        <v/>
      </c>
      <c r="AJ23" s="32">
        <f>Costs!AJ76</f>
        <v/>
      </c>
      <c r="AK23" s="32">
        <f>Costs!AK76</f>
        <v/>
      </c>
      <c r="AL23" s="32">
        <f>Costs!AL76</f>
        <v/>
      </c>
      <c r="AM23" s="32">
        <f>Costs!AM76</f>
        <v/>
      </c>
      <c r="AN23" s="32">
        <f>Costs!AN76</f>
        <v/>
      </c>
      <c r="AO23" s="32">
        <f>Costs!AO76</f>
        <v/>
      </c>
      <c r="AP23" s="32">
        <f>Costs!AP76</f>
        <v/>
      </c>
      <c r="AQ23" s="32">
        <f>Costs!AQ76</f>
        <v/>
      </c>
      <c r="AR23" s="32">
        <f>Costs!AR76</f>
        <v/>
      </c>
      <c r="AS23" s="32">
        <f>Costs!AS76</f>
        <v/>
      </c>
      <c r="AT23" s="32">
        <f>Costs!AT76</f>
        <v/>
      </c>
      <c r="AU23" s="32">
        <f>Costs!AU76</f>
        <v/>
      </c>
      <c r="AV23" s="32">
        <f>Costs!AV76</f>
        <v/>
      </c>
      <c r="AW23" s="32">
        <f>Costs!AW76</f>
        <v/>
      </c>
      <c r="AX23" s="32">
        <f>Costs!AX76</f>
        <v/>
      </c>
      <c r="AY23" s="32">
        <f>Costs!AY76</f>
        <v/>
      </c>
      <c r="AZ23" s="32">
        <f>Costs!AZ76</f>
        <v/>
      </c>
      <c r="BA23" s="32">
        <f>Costs!BA76</f>
        <v/>
      </c>
    </row>
    <row r="24" ht="14.25" customHeight="1" s="214">
      <c r="A24" s="3" t="inlineStr">
        <is>
          <t>Total Marketing &amp; Sales</t>
        </is>
      </c>
      <c r="B24" s="32">
        <f>Costs!B85</f>
        <v/>
      </c>
      <c r="C24" s="32">
        <f>Costs!C85</f>
        <v/>
      </c>
      <c r="D24" s="32">
        <f>Costs!D85</f>
        <v/>
      </c>
      <c r="E24" s="32">
        <f>Costs!E85</f>
        <v/>
      </c>
      <c r="F24" s="32">
        <f>Costs!F85</f>
        <v/>
      </c>
      <c r="G24" s="32">
        <f>Costs!G85</f>
        <v/>
      </c>
      <c r="H24" s="32">
        <f>Costs!H85</f>
        <v/>
      </c>
      <c r="I24" s="32">
        <f>Costs!I85</f>
        <v/>
      </c>
      <c r="J24" s="32">
        <f>Costs!J85</f>
        <v/>
      </c>
      <c r="K24" s="32">
        <f>Costs!K85</f>
        <v/>
      </c>
      <c r="L24" s="32">
        <f>Costs!L85</f>
        <v/>
      </c>
      <c r="M24" s="32">
        <f>Costs!M85</f>
        <v/>
      </c>
      <c r="N24" s="32">
        <f>Costs!N85</f>
        <v/>
      </c>
      <c r="O24" s="32">
        <f>Costs!O85</f>
        <v/>
      </c>
      <c r="P24" s="32">
        <f>Costs!P85</f>
        <v/>
      </c>
      <c r="Q24" s="32">
        <f>Costs!Q85</f>
        <v/>
      </c>
      <c r="R24" s="32">
        <f>Costs!R85</f>
        <v/>
      </c>
      <c r="S24" s="32">
        <f>Costs!S85</f>
        <v/>
      </c>
      <c r="T24" s="32">
        <f>Costs!T85</f>
        <v/>
      </c>
      <c r="U24" s="32">
        <f>Costs!U85</f>
        <v/>
      </c>
      <c r="V24" s="32">
        <f>Costs!V85</f>
        <v/>
      </c>
      <c r="W24" s="32">
        <f>Costs!W85</f>
        <v/>
      </c>
      <c r="X24" s="32">
        <f>Costs!X85</f>
        <v/>
      </c>
      <c r="Y24" s="32">
        <f>Costs!Y85</f>
        <v/>
      </c>
      <c r="Z24" s="32">
        <f>Costs!Z85</f>
        <v/>
      </c>
      <c r="AA24" s="32">
        <f>Costs!AA85</f>
        <v/>
      </c>
      <c r="AB24" s="32">
        <f>Costs!AB85</f>
        <v/>
      </c>
      <c r="AC24" s="32">
        <f>Costs!AC85</f>
        <v/>
      </c>
      <c r="AD24" s="32">
        <f>Costs!AD85</f>
        <v/>
      </c>
      <c r="AE24" s="32">
        <f>Costs!AE85</f>
        <v/>
      </c>
      <c r="AF24" s="32">
        <f>Costs!AF85</f>
        <v/>
      </c>
      <c r="AG24" s="32">
        <f>Costs!AG85</f>
        <v/>
      </c>
      <c r="AH24" s="32">
        <f>Costs!AH85</f>
        <v/>
      </c>
      <c r="AI24" s="32">
        <f>Costs!AI85</f>
        <v/>
      </c>
      <c r="AJ24" s="32">
        <f>Costs!AJ85</f>
        <v/>
      </c>
      <c r="AK24" s="32">
        <f>Costs!AK85</f>
        <v/>
      </c>
      <c r="AL24" s="32">
        <f>Costs!AL85</f>
        <v/>
      </c>
      <c r="AM24" s="32">
        <f>Costs!AM85</f>
        <v/>
      </c>
      <c r="AN24" s="32">
        <f>Costs!AN85</f>
        <v/>
      </c>
      <c r="AO24" s="32">
        <f>Costs!AO85</f>
        <v/>
      </c>
      <c r="AP24" s="32">
        <f>Costs!AP85</f>
        <v/>
      </c>
      <c r="AQ24" s="32">
        <f>Costs!AQ85</f>
        <v/>
      </c>
      <c r="AR24" s="32">
        <f>Costs!AR85</f>
        <v/>
      </c>
      <c r="AS24" s="32">
        <f>Costs!AS85</f>
        <v/>
      </c>
      <c r="AT24" s="32">
        <f>Costs!AT85</f>
        <v/>
      </c>
      <c r="AU24" s="32">
        <f>Costs!AU85</f>
        <v/>
      </c>
      <c r="AV24" s="32">
        <f>Costs!AV85</f>
        <v/>
      </c>
      <c r="AW24" s="32">
        <f>Costs!AW85</f>
        <v/>
      </c>
      <c r="AX24" s="32">
        <f>Costs!AX85</f>
        <v/>
      </c>
      <c r="AY24" s="32">
        <f>Costs!AY85</f>
        <v/>
      </c>
      <c r="AZ24" s="32">
        <f>Costs!AZ85</f>
        <v/>
      </c>
      <c r="BA24" s="32">
        <f>Costs!BA85</f>
        <v/>
      </c>
    </row>
    <row r="25" ht="14.25" customHeight="1" s="214">
      <c r="A25" s="3" t="inlineStr">
        <is>
          <t>Total Other OpEx</t>
        </is>
      </c>
      <c r="B25" s="32">
        <f>Costs!B93</f>
        <v/>
      </c>
      <c r="C25" s="32">
        <f>Costs!C93</f>
        <v/>
      </c>
      <c r="D25" s="32">
        <f>Costs!D93</f>
        <v/>
      </c>
      <c r="E25" s="32">
        <f>Costs!E93</f>
        <v/>
      </c>
      <c r="F25" s="32">
        <f>Costs!F93</f>
        <v/>
      </c>
      <c r="G25" s="32">
        <f>Costs!G93</f>
        <v/>
      </c>
      <c r="H25" s="32">
        <f>Costs!H93</f>
        <v/>
      </c>
      <c r="I25" s="32">
        <f>Costs!I93</f>
        <v/>
      </c>
      <c r="J25" s="32">
        <f>Costs!J93</f>
        <v/>
      </c>
      <c r="K25" s="32">
        <f>Costs!K93</f>
        <v/>
      </c>
      <c r="L25" s="32">
        <f>Costs!L93</f>
        <v/>
      </c>
      <c r="M25" s="32">
        <f>Costs!M93</f>
        <v/>
      </c>
      <c r="N25" s="32">
        <f>Costs!N93</f>
        <v/>
      </c>
      <c r="O25" s="32">
        <f>Costs!O93</f>
        <v/>
      </c>
      <c r="P25" s="32">
        <f>Costs!P93</f>
        <v/>
      </c>
      <c r="Q25" s="32">
        <f>Costs!Q93</f>
        <v/>
      </c>
      <c r="R25" s="32">
        <f>Costs!R93</f>
        <v/>
      </c>
      <c r="S25" s="32">
        <f>Costs!S93</f>
        <v/>
      </c>
      <c r="T25" s="32">
        <f>Costs!T93</f>
        <v/>
      </c>
      <c r="U25" s="32">
        <f>Costs!U93</f>
        <v/>
      </c>
      <c r="V25" s="32">
        <f>Costs!V93</f>
        <v/>
      </c>
      <c r="W25" s="32">
        <f>Costs!W93</f>
        <v/>
      </c>
      <c r="X25" s="32">
        <f>Costs!X93</f>
        <v/>
      </c>
      <c r="Y25" s="32">
        <f>Costs!Y93</f>
        <v/>
      </c>
      <c r="Z25" s="32">
        <f>Costs!Z93</f>
        <v/>
      </c>
      <c r="AA25" s="32">
        <f>Costs!AA93</f>
        <v/>
      </c>
      <c r="AB25" s="32">
        <f>Costs!AB93</f>
        <v/>
      </c>
      <c r="AC25" s="32">
        <f>Costs!AC93</f>
        <v/>
      </c>
      <c r="AD25" s="32">
        <f>Costs!AD93</f>
        <v/>
      </c>
      <c r="AE25" s="32">
        <f>Costs!AE93</f>
        <v/>
      </c>
      <c r="AF25" s="32">
        <f>Costs!AF93</f>
        <v/>
      </c>
      <c r="AG25" s="32">
        <f>Costs!AG93</f>
        <v/>
      </c>
      <c r="AH25" s="32">
        <f>Costs!AH93</f>
        <v/>
      </c>
      <c r="AI25" s="32">
        <f>Costs!AI93</f>
        <v/>
      </c>
      <c r="AJ25" s="32">
        <f>Costs!AJ93</f>
        <v/>
      </c>
      <c r="AK25" s="32">
        <f>Costs!AK93</f>
        <v/>
      </c>
      <c r="AL25" s="32">
        <f>Costs!AL93</f>
        <v/>
      </c>
      <c r="AM25" s="32">
        <f>Costs!AM93</f>
        <v/>
      </c>
      <c r="AN25" s="32">
        <f>Costs!AN93</f>
        <v/>
      </c>
      <c r="AO25" s="32">
        <f>Costs!AO93</f>
        <v/>
      </c>
      <c r="AP25" s="32">
        <f>Costs!AP93</f>
        <v/>
      </c>
      <c r="AQ25" s="32">
        <f>Costs!AQ93</f>
        <v/>
      </c>
      <c r="AR25" s="32">
        <f>Costs!AR93</f>
        <v/>
      </c>
      <c r="AS25" s="32">
        <f>Costs!AS93</f>
        <v/>
      </c>
      <c r="AT25" s="32">
        <f>Costs!AT93</f>
        <v/>
      </c>
      <c r="AU25" s="32">
        <f>Costs!AU93</f>
        <v/>
      </c>
      <c r="AV25" s="32">
        <f>Costs!AV93</f>
        <v/>
      </c>
      <c r="AW25" s="32">
        <f>Costs!AW93</f>
        <v/>
      </c>
      <c r="AX25" s="32">
        <f>Costs!AX93</f>
        <v/>
      </c>
      <c r="AY25" s="32">
        <f>Costs!AY93</f>
        <v/>
      </c>
      <c r="AZ25" s="32">
        <f>Costs!AZ93</f>
        <v/>
      </c>
      <c r="BA25" s="32">
        <f>Costs!BA93</f>
        <v/>
      </c>
    </row>
    <row r="26" ht="14.25" customHeight="1" s="214">
      <c r="A26" s="3" t="inlineStr">
        <is>
          <t>Contingency/Buffer</t>
        </is>
      </c>
      <c r="B26" s="32">
        <f>Costs!B98</f>
        <v/>
      </c>
      <c r="C26" s="32">
        <f>Costs!C98</f>
        <v/>
      </c>
      <c r="D26" s="32">
        <f>Costs!D98</f>
        <v/>
      </c>
      <c r="E26" s="32">
        <f>Costs!E98</f>
        <v/>
      </c>
      <c r="F26" s="32">
        <f>Costs!F98</f>
        <v/>
      </c>
      <c r="G26" s="32">
        <f>Costs!G98</f>
        <v/>
      </c>
      <c r="H26" s="32">
        <f>Costs!H98</f>
        <v/>
      </c>
      <c r="I26" s="32">
        <f>Costs!I98</f>
        <v/>
      </c>
      <c r="J26" s="32">
        <f>Costs!J98</f>
        <v/>
      </c>
      <c r="K26" s="32">
        <f>Costs!K98</f>
        <v/>
      </c>
      <c r="L26" s="32">
        <f>Costs!L98</f>
        <v/>
      </c>
      <c r="M26" s="32">
        <f>Costs!M98</f>
        <v/>
      </c>
      <c r="N26" s="32">
        <f>Costs!N98</f>
        <v/>
      </c>
      <c r="O26" s="32">
        <f>Costs!O98</f>
        <v/>
      </c>
      <c r="P26" s="32">
        <f>Costs!P98</f>
        <v/>
      </c>
      <c r="Q26" s="32">
        <f>Costs!Q98</f>
        <v/>
      </c>
      <c r="R26" s="32">
        <f>Costs!R98</f>
        <v/>
      </c>
      <c r="S26" s="32">
        <f>Costs!S98</f>
        <v/>
      </c>
      <c r="T26" s="32">
        <f>Costs!T98</f>
        <v/>
      </c>
      <c r="U26" s="32">
        <f>Costs!U98</f>
        <v/>
      </c>
      <c r="V26" s="32">
        <f>Costs!V98</f>
        <v/>
      </c>
      <c r="W26" s="32">
        <f>Costs!W98</f>
        <v/>
      </c>
      <c r="X26" s="32">
        <f>Costs!X98</f>
        <v/>
      </c>
      <c r="Y26" s="32">
        <f>Costs!Y98</f>
        <v/>
      </c>
      <c r="Z26" s="32">
        <f>Costs!Z98</f>
        <v/>
      </c>
      <c r="AA26" s="32">
        <f>Costs!AA98</f>
        <v/>
      </c>
      <c r="AB26" s="32">
        <f>Costs!AB98</f>
        <v/>
      </c>
      <c r="AC26" s="32">
        <f>Costs!AC98</f>
        <v/>
      </c>
      <c r="AD26" s="32">
        <f>Costs!AD98</f>
        <v/>
      </c>
      <c r="AE26" s="32">
        <f>Costs!AE98</f>
        <v/>
      </c>
      <c r="AF26" s="32">
        <f>Costs!AF98</f>
        <v/>
      </c>
      <c r="AG26" s="32">
        <f>Costs!AG98</f>
        <v/>
      </c>
      <c r="AH26" s="32">
        <f>Costs!AH98</f>
        <v/>
      </c>
      <c r="AI26" s="32">
        <f>Costs!AI98</f>
        <v/>
      </c>
      <c r="AJ26" s="32">
        <f>Costs!AJ98</f>
        <v/>
      </c>
      <c r="AK26" s="32">
        <f>Costs!AK98</f>
        <v/>
      </c>
      <c r="AL26" s="32">
        <f>Costs!AL98</f>
        <v/>
      </c>
      <c r="AM26" s="32">
        <f>Costs!AM98</f>
        <v/>
      </c>
      <c r="AN26" s="32">
        <f>Costs!AN98</f>
        <v/>
      </c>
      <c r="AO26" s="32">
        <f>Costs!AO98</f>
        <v/>
      </c>
      <c r="AP26" s="32">
        <f>Costs!AP98</f>
        <v/>
      </c>
      <c r="AQ26" s="32">
        <f>Costs!AQ98</f>
        <v/>
      </c>
      <c r="AR26" s="32">
        <f>Costs!AR98</f>
        <v/>
      </c>
      <c r="AS26" s="32">
        <f>Costs!AS98</f>
        <v/>
      </c>
      <c r="AT26" s="32">
        <f>Costs!AT98</f>
        <v/>
      </c>
      <c r="AU26" s="32">
        <f>Costs!AU98</f>
        <v/>
      </c>
      <c r="AV26" s="32">
        <f>Costs!AV98</f>
        <v/>
      </c>
      <c r="AW26" s="32">
        <f>Costs!AW98</f>
        <v/>
      </c>
      <c r="AX26" s="32">
        <f>Costs!AX98</f>
        <v/>
      </c>
      <c r="AY26" s="32">
        <f>Costs!AY98</f>
        <v/>
      </c>
      <c r="AZ26" s="32">
        <f>Costs!AZ98</f>
        <v/>
      </c>
      <c r="BA26" s="32">
        <f>Costs!BA98</f>
        <v/>
      </c>
    </row>
    <row r="27" ht="14.25" customHeight="1" s="214">
      <c r="A27" s="2" t="inlineStr">
        <is>
          <t>TOTAL OPERATING EXPENSES</t>
        </is>
      </c>
      <c r="B27" s="33">
        <f>SUM(B19:B26)</f>
        <v/>
      </c>
      <c r="C27" s="33">
        <f>SUM(C19:C26)</f>
        <v/>
      </c>
      <c r="D27" s="33">
        <f>SUM(D19:D26)</f>
        <v/>
      </c>
      <c r="E27" s="33">
        <f>SUM(E19:E26)</f>
        <v/>
      </c>
      <c r="F27" s="33">
        <f>SUM(F19:F26)</f>
        <v/>
      </c>
      <c r="G27" s="33">
        <f>SUM(G19:G26)</f>
        <v/>
      </c>
      <c r="H27" s="33">
        <f>SUM(H19:H26)</f>
        <v/>
      </c>
      <c r="I27" s="33">
        <f>SUM(I19:I26)</f>
        <v/>
      </c>
      <c r="J27" s="33">
        <f>SUM(J19:J26)</f>
        <v/>
      </c>
      <c r="K27" s="33">
        <f>SUM(K19:K26)</f>
        <v/>
      </c>
      <c r="L27" s="33">
        <f>SUM(L19:L26)</f>
        <v/>
      </c>
      <c r="M27" s="33">
        <f>SUM(M19:M26)</f>
        <v/>
      </c>
      <c r="N27" s="33">
        <f>SUM(N19:N26)</f>
        <v/>
      </c>
      <c r="O27" s="33">
        <f>SUM(O19:O26)</f>
        <v/>
      </c>
      <c r="P27" s="33">
        <f>SUM(P19:P26)</f>
        <v/>
      </c>
      <c r="Q27" s="33">
        <f>SUM(Q19:Q26)</f>
        <v/>
      </c>
      <c r="R27" s="33">
        <f>SUM(R19:R26)</f>
        <v/>
      </c>
      <c r="S27" s="33">
        <f>SUM(S19:S26)</f>
        <v/>
      </c>
      <c r="T27" s="33">
        <f>SUM(T19:T26)</f>
        <v/>
      </c>
      <c r="U27" s="33">
        <f>SUM(U19:U26)</f>
        <v/>
      </c>
      <c r="V27" s="33">
        <f>SUM(V19:V26)</f>
        <v/>
      </c>
      <c r="W27" s="33">
        <f>SUM(W19:W26)</f>
        <v/>
      </c>
      <c r="X27" s="33">
        <f>SUM(X19:X26)</f>
        <v/>
      </c>
      <c r="Y27" s="33">
        <f>SUM(Y19:Y26)</f>
        <v/>
      </c>
      <c r="Z27" s="33">
        <f>SUM(Z19:Z26)</f>
        <v/>
      </c>
      <c r="AA27" s="33">
        <f>SUM(AA19:AA26)</f>
        <v/>
      </c>
      <c r="AB27" s="33">
        <f>SUM(AB19:AB26)</f>
        <v/>
      </c>
      <c r="AC27" s="33">
        <f>SUM(AC19:AC26)</f>
        <v/>
      </c>
      <c r="AD27" s="33">
        <f>SUM(AD19:AD26)</f>
        <v/>
      </c>
      <c r="AE27" s="33">
        <f>SUM(AE19:AE26)</f>
        <v/>
      </c>
      <c r="AF27" s="33">
        <f>SUM(AF19:AF26)</f>
        <v/>
      </c>
      <c r="AG27" s="33">
        <f>SUM(AG19:AG26)</f>
        <v/>
      </c>
      <c r="AH27" s="33">
        <f>SUM(AH19:AH26)</f>
        <v/>
      </c>
      <c r="AI27" s="33">
        <f>SUM(AI19:AI26)</f>
        <v/>
      </c>
      <c r="AJ27" s="33">
        <f>SUM(AJ19:AJ26)</f>
        <v/>
      </c>
      <c r="AK27" s="33">
        <f>SUM(AK19:AK26)</f>
        <v/>
      </c>
      <c r="AL27" s="33">
        <f>SUM(AL19:AL26)</f>
        <v/>
      </c>
      <c r="AM27" s="33">
        <f>SUM(AM19:AM26)</f>
        <v/>
      </c>
      <c r="AN27" s="33">
        <f>SUM(AN19:AN26)</f>
        <v/>
      </c>
      <c r="AO27" s="33">
        <f>SUM(AO19:AO26)</f>
        <v/>
      </c>
      <c r="AP27" s="33">
        <f>SUM(AP19:AP26)</f>
        <v/>
      </c>
      <c r="AQ27" s="33">
        <f>SUM(AQ19:AQ26)</f>
        <v/>
      </c>
      <c r="AR27" s="33">
        <f>SUM(AR19:AR26)</f>
        <v/>
      </c>
      <c r="AS27" s="33">
        <f>SUM(AS19:AS26)</f>
        <v/>
      </c>
      <c r="AT27" s="33">
        <f>SUM(AT19:AT26)</f>
        <v/>
      </c>
      <c r="AU27" s="33">
        <f>SUM(AU19:AU26)</f>
        <v/>
      </c>
      <c r="AV27" s="33">
        <f>SUM(AV19:AV26)</f>
        <v/>
      </c>
      <c r="AW27" s="33">
        <f>SUM(AW19:AW26)</f>
        <v/>
      </c>
      <c r="AX27" s="33">
        <f>SUM(AX19:AX26)</f>
        <v/>
      </c>
      <c r="AY27" s="33">
        <f>SUM(AY19:AY26)</f>
        <v/>
      </c>
      <c r="AZ27" s="33">
        <f>SUM(AZ19:AZ26)</f>
        <v/>
      </c>
      <c r="BA27" s="33">
        <f>SUM(BA19:BA26)</f>
        <v/>
      </c>
    </row>
    <row r="28" ht="14.25" customHeight="1" s="214"/>
    <row r="29" ht="14.25" customHeight="1" s="214">
      <c r="A29" s="2" t="inlineStr">
        <is>
          <t>EBITDA</t>
        </is>
      </c>
      <c r="B29" s="33">
        <f>B15-B27</f>
        <v/>
      </c>
      <c r="C29" s="33">
        <f>C15-C27</f>
        <v/>
      </c>
      <c r="D29" s="33">
        <f>D15-D27</f>
        <v/>
      </c>
      <c r="E29" s="33">
        <f>E15-E27</f>
        <v/>
      </c>
      <c r="F29" s="33">
        <f>F15-F27</f>
        <v/>
      </c>
      <c r="G29" s="33">
        <f>G15-G27</f>
        <v/>
      </c>
      <c r="H29" s="33">
        <f>H15-H27</f>
        <v/>
      </c>
      <c r="I29" s="33">
        <f>I15-I27</f>
        <v/>
      </c>
      <c r="J29" s="33">
        <f>J15-J27</f>
        <v/>
      </c>
      <c r="K29" s="33">
        <f>K15-K27</f>
        <v/>
      </c>
      <c r="L29" s="33">
        <f>L15-L27</f>
        <v/>
      </c>
      <c r="M29" s="33">
        <f>M15-M27</f>
        <v/>
      </c>
      <c r="N29" s="33">
        <f>N15-N27</f>
        <v/>
      </c>
      <c r="O29" s="33">
        <f>O15-O27</f>
        <v/>
      </c>
      <c r="P29" s="33">
        <f>P15-P27</f>
        <v/>
      </c>
      <c r="Q29" s="33">
        <f>Q15-Q27</f>
        <v/>
      </c>
      <c r="R29" s="33">
        <f>R15-R27</f>
        <v/>
      </c>
      <c r="S29" s="33">
        <f>S15-S27</f>
        <v/>
      </c>
      <c r="T29" s="33">
        <f>T15-T27</f>
        <v/>
      </c>
      <c r="U29" s="33">
        <f>U15-U27</f>
        <v/>
      </c>
      <c r="V29" s="33">
        <f>V15-V27</f>
        <v/>
      </c>
      <c r="W29" s="33">
        <f>W15-W27</f>
        <v/>
      </c>
      <c r="X29" s="33">
        <f>X15-X27</f>
        <v/>
      </c>
      <c r="Y29" s="33">
        <f>Y15-Y27</f>
        <v/>
      </c>
      <c r="Z29" s="33">
        <f>Z15-Z27</f>
        <v/>
      </c>
      <c r="AA29" s="33">
        <f>AA15-AA27</f>
        <v/>
      </c>
      <c r="AB29" s="33">
        <f>AB15-AB27</f>
        <v/>
      </c>
      <c r="AC29" s="33">
        <f>AC15-AC27</f>
        <v/>
      </c>
      <c r="AD29" s="33">
        <f>AD15-AD27</f>
        <v/>
      </c>
      <c r="AE29" s="33">
        <f>AE15-AE27</f>
        <v/>
      </c>
      <c r="AF29" s="33">
        <f>AF15-AF27</f>
        <v/>
      </c>
      <c r="AG29" s="33">
        <f>AG15-AG27</f>
        <v/>
      </c>
      <c r="AH29" s="33">
        <f>AH15-AH27</f>
        <v/>
      </c>
      <c r="AI29" s="33">
        <f>AI15-AI27</f>
        <v/>
      </c>
      <c r="AJ29" s="33">
        <f>AJ15-AJ27</f>
        <v/>
      </c>
      <c r="AK29" s="33">
        <f>AK15-AK27</f>
        <v/>
      </c>
      <c r="AL29" s="33">
        <f>AL15-AL27</f>
        <v/>
      </c>
      <c r="AM29" s="33">
        <f>AM15-AM27</f>
        <v/>
      </c>
      <c r="AN29" s="33">
        <f>AN15-AN27</f>
        <v/>
      </c>
      <c r="AO29" s="33">
        <f>AO15-AO27</f>
        <v/>
      </c>
      <c r="AP29" s="33">
        <f>AP15-AP27</f>
        <v/>
      </c>
      <c r="AQ29" s="33">
        <f>AQ15-AQ27</f>
        <v/>
      </c>
      <c r="AR29" s="33">
        <f>AR15-AR27</f>
        <v/>
      </c>
      <c r="AS29" s="33">
        <f>AS15-AS27</f>
        <v/>
      </c>
      <c r="AT29" s="33">
        <f>AT15-AT27</f>
        <v/>
      </c>
      <c r="AU29" s="33">
        <f>AU15-AU27</f>
        <v/>
      </c>
      <c r="AV29" s="33">
        <f>AV15-AV27</f>
        <v/>
      </c>
      <c r="AW29" s="33">
        <f>AW15-AW27</f>
        <v/>
      </c>
      <c r="AX29" s="33">
        <f>AX15-AX27</f>
        <v/>
      </c>
      <c r="AY29" s="33">
        <f>AY15-AY27</f>
        <v/>
      </c>
      <c r="AZ29" s="33">
        <f>AZ15-AZ27</f>
        <v/>
      </c>
      <c r="BA29" s="33">
        <f>BA15-BA27</f>
        <v/>
      </c>
    </row>
    <row r="30" ht="14.25" customHeight="1" s="214">
      <c r="A30" s="3" t="inlineStr">
        <is>
          <t>EBITDA Margin %</t>
        </is>
      </c>
      <c r="B30" s="34">
        <f>IFERROR(B29/B8,0)</f>
        <v/>
      </c>
      <c r="C30" s="34">
        <f>IFERROR(C29/C8,0)</f>
        <v/>
      </c>
      <c r="D30" s="34">
        <f>IFERROR(D29/D8,0)</f>
        <v/>
      </c>
      <c r="E30" s="34">
        <f>IFERROR(E29/E8,0)</f>
        <v/>
      </c>
      <c r="F30" s="34">
        <f>IFERROR(F29/F8,0)</f>
        <v/>
      </c>
      <c r="G30" s="34">
        <f>IFERROR(G29/G8,0)</f>
        <v/>
      </c>
      <c r="H30" s="34">
        <f>IFERROR(H29/H8,0)</f>
        <v/>
      </c>
      <c r="I30" s="34">
        <f>IFERROR(I29/I8,0)</f>
        <v/>
      </c>
      <c r="J30" s="34">
        <f>IFERROR(J29/J8,0)</f>
        <v/>
      </c>
      <c r="K30" s="34">
        <f>IFERROR(K29/K8,0)</f>
        <v/>
      </c>
      <c r="L30" s="34">
        <f>IFERROR(L29/L8,0)</f>
        <v/>
      </c>
      <c r="M30" s="34">
        <f>IFERROR(M29/M8,0)</f>
        <v/>
      </c>
      <c r="N30" s="34">
        <f>IFERROR(N29/N8,0)</f>
        <v/>
      </c>
      <c r="O30" s="34">
        <f>IFERROR(O29/O8,0)</f>
        <v/>
      </c>
      <c r="P30" s="34">
        <f>IFERROR(P29/P8,0)</f>
        <v/>
      </c>
      <c r="Q30" s="34">
        <f>IFERROR(Q29/Q8,0)</f>
        <v/>
      </c>
      <c r="R30" s="34">
        <f>IFERROR(R29/R8,0)</f>
        <v/>
      </c>
      <c r="S30" s="34">
        <f>IFERROR(S29/S8,0)</f>
        <v/>
      </c>
      <c r="T30" s="34">
        <f>IFERROR(T29/T8,0)</f>
        <v/>
      </c>
      <c r="U30" s="34">
        <f>IFERROR(U29/U8,0)</f>
        <v/>
      </c>
      <c r="V30" s="34">
        <f>IFERROR(V29/V8,0)</f>
        <v/>
      </c>
      <c r="W30" s="34">
        <f>IFERROR(W29/W8,0)</f>
        <v/>
      </c>
      <c r="X30" s="34">
        <f>IFERROR(X29/X8,0)</f>
        <v/>
      </c>
      <c r="Y30" s="34">
        <f>IFERROR(Y29/Y8,0)</f>
        <v/>
      </c>
      <c r="Z30" s="34">
        <f>IFERROR(Z29/Z8,0)</f>
        <v/>
      </c>
      <c r="AA30" s="34">
        <f>IFERROR(AA29/AA8,0)</f>
        <v/>
      </c>
      <c r="AB30" s="34">
        <f>IFERROR(AB29/AB8,0)</f>
        <v/>
      </c>
      <c r="AC30" s="34">
        <f>IFERROR(AC29/AC8,0)</f>
        <v/>
      </c>
      <c r="AD30" s="34">
        <f>IFERROR(AD29/AD8,0)</f>
        <v/>
      </c>
      <c r="AE30" s="34">
        <f>IFERROR(AE29/AE8,0)</f>
        <v/>
      </c>
      <c r="AF30" s="34">
        <f>IFERROR(AF29/AF8,0)</f>
        <v/>
      </c>
      <c r="AG30" s="34">
        <f>IFERROR(AG29/AG8,0)</f>
        <v/>
      </c>
      <c r="AH30" s="34">
        <f>IFERROR(AH29/AH8,0)</f>
        <v/>
      </c>
      <c r="AI30" s="34">
        <f>IFERROR(AI29/AI8,0)</f>
        <v/>
      </c>
      <c r="AJ30" s="34">
        <f>IFERROR(AJ29/AJ8,0)</f>
        <v/>
      </c>
      <c r="AK30" s="34">
        <f>IFERROR(AK29/AK8,0)</f>
        <v/>
      </c>
      <c r="AL30" s="34">
        <f>IFERROR(AL29/AL8,0)</f>
        <v/>
      </c>
      <c r="AM30" s="34">
        <f>IFERROR(AM29/AM8,0)</f>
        <v/>
      </c>
      <c r="AN30" s="34">
        <f>IFERROR(AN29/AN8,0)</f>
        <v/>
      </c>
      <c r="AO30" s="34">
        <f>IFERROR(AO29/AO8,0)</f>
        <v/>
      </c>
      <c r="AP30" s="34">
        <f>IFERROR(AP29/AP8,0)</f>
        <v/>
      </c>
      <c r="AQ30" s="34">
        <f>IFERROR(AQ29/AQ8,0)</f>
        <v/>
      </c>
      <c r="AR30" s="34">
        <f>IFERROR(AR29/AR8,0)</f>
        <v/>
      </c>
      <c r="AS30" s="34">
        <f>IFERROR(AS29/AS8,0)</f>
        <v/>
      </c>
      <c r="AT30" s="34">
        <f>IFERROR(AT29/AT8,0)</f>
        <v/>
      </c>
      <c r="AU30" s="34">
        <f>IFERROR(AU29/AU8,0)</f>
        <v/>
      </c>
      <c r="AV30" s="34">
        <f>IFERROR(AV29/AV8,0)</f>
        <v/>
      </c>
      <c r="AW30" s="34">
        <f>IFERROR(AW29/AW8,0)</f>
        <v/>
      </c>
      <c r="AX30" s="34">
        <f>IFERROR(AX29/AX8,0)</f>
        <v/>
      </c>
      <c r="AY30" s="34">
        <f>IFERROR(AY29/AY8,0)</f>
        <v/>
      </c>
      <c r="AZ30" s="34">
        <f>IFERROR(AZ29/AZ8,0)</f>
        <v/>
      </c>
      <c r="BA30" s="34">
        <f>IFERROR(BA29/BA8,0)</f>
        <v/>
      </c>
    </row>
    <row r="31" ht="14.25" customHeight="1" s="214"/>
    <row r="32" ht="14.25" customHeight="1" s="214">
      <c r="A32" s="3" t="inlineStr">
        <is>
          <t>Depreciation &amp; Amortization</t>
        </is>
      </c>
      <c r="B32" s="35">
        <f>Costs!B91/Inputs!$B$127/12</f>
        <v/>
      </c>
      <c r="C32" s="35">
        <f>Costs!C91/Inputs!$B$127/12</f>
        <v/>
      </c>
      <c r="D32" s="35">
        <f>Costs!D91/Inputs!$B$127/12</f>
        <v/>
      </c>
      <c r="E32" s="35">
        <f>Costs!E91/Inputs!$B$127/12</f>
        <v/>
      </c>
      <c r="F32" s="35">
        <f>Costs!F91/Inputs!$B$127/12</f>
        <v/>
      </c>
      <c r="G32" s="35">
        <f>Costs!G91/Inputs!$B$127/12</f>
        <v/>
      </c>
      <c r="H32" s="35">
        <f>Costs!H91/Inputs!$B$127/12</f>
        <v/>
      </c>
      <c r="I32" s="35">
        <f>Costs!I91/Inputs!$B$127/12</f>
        <v/>
      </c>
      <c r="J32" s="35">
        <f>Costs!J91/Inputs!$B$127/12</f>
        <v/>
      </c>
      <c r="K32" s="35">
        <f>Costs!K91/Inputs!$B$127/12</f>
        <v/>
      </c>
      <c r="L32" s="35">
        <f>Costs!L91/Inputs!$B$127/12</f>
        <v/>
      </c>
      <c r="M32" s="35">
        <f>Costs!M91/Inputs!$B$127/12</f>
        <v/>
      </c>
      <c r="N32" s="35">
        <f>Costs!N91/Inputs!$B$127/12</f>
        <v/>
      </c>
      <c r="O32" s="35">
        <f>Costs!O91/Inputs!$B$127/12</f>
        <v/>
      </c>
      <c r="P32" s="35">
        <f>Costs!P91/Inputs!$B$127/12</f>
        <v/>
      </c>
      <c r="Q32" s="35">
        <f>Costs!Q91/Inputs!$B$127/12</f>
        <v/>
      </c>
      <c r="R32" s="35">
        <f>Costs!R91/Inputs!$B$127/12</f>
        <v/>
      </c>
      <c r="S32" s="35">
        <f>Costs!S91/Inputs!$B$127/12</f>
        <v/>
      </c>
      <c r="T32" s="35">
        <f>Costs!T91/Inputs!$B$127/12</f>
        <v/>
      </c>
      <c r="U32" s="35">
        <f>Costs!U91/Inputs!$B$127/12</f>
        <v/>
      </c>
      <c r="V32" s="35">
        <f>Costs!V91/Inputs!$B$127/12</f>
        <v/>
      </c>
      <c r="W32" s="35">
        <f>Costs!W91/Inputs!$B$127/12</f>
        <v/>
      </c>
      <c r="X32" s="35">
        <f>Costs!X91/Inputs!$B$127/12</f>
        <v/>
      </c>
      <c r="Y32" s="35">
        <f>Costs!Y91/Inputs!$B$127/12</f>
        <v/>
      </c>
      <c r="Z32" s="35">
        <f>Costs!Z91/Inputs!$B$127/12</f>
        <v/>
      </c>
      <c r="AA32" s="35">
        <f>Costs!AA91/Inputs!$B$127/12</f>
        <v/>
      </c>
      <c r="AB32" s="35">
        <f>Costs!AB91/Inputs!$B$127/12</f>
        <v/>
      </c>
      <c r="AC32" s="35">
        <f>Costs!AC91/Inputs!$B$127/12</f>
        <v/>
      </c>
      <c r="AD32" s="35">
        <f>Costs!AD91/Inputs!$B$127/12</f>
        <v/>
      </c>
      <c r="AE32" s="35">
        <f>Costs!AE91/Inputs!$B$127/12</f>
        <v/>
      </c>
      <c r="AF32" s="35">
        <f>Costs!AF91/Inputs!$B$127/12</f>
        <v/>
      </c>
      <c r="AG32" s="35">
        <f>Costs!AG91/Inputs!$B$127/12</f>
        <v/>
      </c>
      <c r="AH32" s="35">
        <f>Costs!AH91/Inputs!$B$127/12</f>
        <v/>
      </c>
      <c r="AI32" s="35">
        <f>Costs!AI91/Inputs!$B$127/12</f>
        <v/>
      </c>
      <c r="AJ32" s="35">
        <f>Costs!AJ91/Inputs!$B$127/12</f>
        <v/>
      </c>
      <c r="AK32" s="35">
        <f>Costs!AK91/Inputs!$B$127/12</f>
        <v/>
      </c>
      <c r="AL32" s="35">
        <f>Costs!AL91/Inputs!$B$127/12</f>
        <v/>
      </c>
      <c r="AM32" s="35">
        <f>Costs!AM91/Inputs!$B$127/12</f>
        <v/>
      </c>
      <c r="AN32" s="35">
        <f>Costs!AN91/Inputs!$B$127/12</f>
        <v/>
      </c>
      <c r="AO32" s="35">
        <f>Costs!AO91/Inputs!$B$127/12</f>
        <v/>
      </c>
      <c r="AP32" s="35">
        <f>Costs!AP91/Inputs!$B$127/12</f>
        <v/>
      </c>
      <c r="AQ32" s="35">
        <f>Costs!AQ91/Inputs!$B$127/12</f>
        <v/>
      </c>
      <c r="AR32" s="35">
        <f>Costs!AR91/Inputs!$B$127/12</f>
        <v/>
      </c>
      <c r="AS32" s="35">
        <f>Costs!AS91/Inputs!$B$127/12</f>
        <v/>
      </c>
      <c r="AT32" s="35">
        <f>Costs!AT91/Inputs!$B$127/12</f>
        <v/>
      </c>
      <c r="AU32" s="35">
        <f>Costs!AU91/Inputs!$B$127/12</f>
        <v/>
      </c>
      <c r="AV32" s="35">
        <f>Costs!AV91/Inputs!$B$127/12</f>
        <v/>
      </c>
      <c r="AW32" s="35">
        <f>Costs!AW91/Inputs!$B$127/12</f>
        <v/>
      </c>
      <c r="AX32" s="35">
        <f>Costs!AX91/Inputs!$B$127/12</f>
        <v/>
      </c>
      <c r="AY32" s="35">
        <f>Costs!AY91/Inputs!$B$127/12</f>
        <v/>
      </c>
      <c r="AZ32" s="35">
        <f>Costs!AZ91/Inputs!$B$127/12</f>
        <v/>
      </c>
      <c r="BA32" s="35">
        <f>Costs!BA91/Inputs!$B$127/12</f>
        <v/>
      </c>
    </row>
    <row r="33" ht="14.25" customHeight="1" s="214"/>
    <row r="34" ht="14.25" customHeight="1" s="214">
      <c r="A34" s="2" t="inlineStr">
        <is>
          <t>EBIT (Operating Income)</t>
        </is>
      </c>
      <c r="B34" s="33">
        <f>B29-B32</f>
        <v/>
      </c>
      <c r="C34" s="33">
        <f>C29-C32</f>
        <v/>
      </c>
      <c r="D34" s="33">
        <f>D29-D32</f>
        <v/>
      </c>
      <c r="E34" s="33">
        <f>E29-E32</f>
        <v/>
      </c>
      <c r="F34" s="33">
        <f>F29-F32</f>
        <v/>
      </c>
      <c r="G34" s="33">
        <f>G29-G32</f>
        <v/>
      </c>
      <c r="H34" s="33">
        <f>H29-H32</f>
        <v/>
      </c>
      <c r="I34" s="33">
        <f>I29-I32</f>
        <v/>
      </c>
      <c r="J34" s="33">
        <f>J29-J32</f>
        <v/>
      </c>
      <c r="K34" s="33">
        <f>K29-K32</f>
        <v/>
      </c>
      <c r="L34" s="33">
        <f>L29-L32</f>
        <v/>
      </c>
      <c r="M34" s="33">
        <f>M29-M32</f>
        <v/>
      </c>
      <c r="N34" s="33">
        <f>N29-N32</f>
        <v/>
      </c>
      <c r="O34" s="33">
        <f>O29-O32</f>
        <v/>
      </c>
      <c r="P34" s="33">
        <f>P29-P32</f>
        <v/>
      </c>
      <c r="Q34" s="33">
        <f>Q29-Q32</f>
        <v/>
      </c>
      <c r="R34" s="33">
        <f>R29-R32</f>
        <v/>
      </c>
      <c r="S34" s="33">
        <f>S29-S32</f>
        <v/>
      </c>
      <c r="T34" s="33">
        <f>T29-T32</f>
        <v/>
      </c>
      <c r="U34" s="33">
        <f>U29-U32</f>
        <v/>
      </c>
      <c r="V34" s="33">
        <f>V29-V32</f>
        <v/>
      </c>
      <c r="W34" s="33">
        <f>W29-W32</f>
        <v/>
      </c>
      <c r="X34" s="33">
        <f>X29-X32</f>
        <v/>
      </c>
      <c r="Y34" s="33">
        <f>Y29-Y32</f>
        <v/>
      </c>
      <c r="Z34" s="33">
        <f>Z29-Z32</f>
        <v/>
      </c>
      <c r="AA34" s="33">
        <f>AA29-AA32</f>
        <v/>
      </c>
      <c r="AB34" s="33">
        <f>AB29-AB32</f>
        <v/>
      </c>
      <c r="AC34" s="33">
        <f>AC29-AC32</f>
        <v/>
      </c>
      <c r="AD34" s="33">
        <f>AD29-AD32</f>
        <v/>
      </c>
      <c r="AE34" s="33">
        <f>AE29-AE32</f>
        <v/>
      </c>
      <c r="AF34" s="33">
        <f>AF29-AF32</f>
        <v/>
      </c>
      <c r="AG34" s="33">
        <f>AG29-AG32</f>
        <v/>
      </c>
      <c r="AH34" s="33">
        <f>AH29-AH32</f>
        <v/>
      </c>
      <c r="AI34" s="33">
        <f>AI29-AI32</f>
        <v/>
      </c>
      <c r="AJ34" s="33">
        <f>AJ29-AJ32</f>
        <v/>
      </c>
      <c r="AK34" s="33">
        <f>AK29-AK32</f>
        <v/>
      </c>
      <c r="AL34" s="33">
        <f>AL29-AL32</f>
        <v/>
      </c>
      <c r="AM34" s="33">
        <f>AM29-AM32</f>
        <v/>
      </c>
      <c r="AN34" s="33">
        <f>AN29-AN32</f>
        <v/>
      </c>
      <c r="AO34" s="33">
        <f>AO29-AO32</f>
        <v/>
      </c>
      <c r="AP34" s="33">
        <f>AP29-AP32</f>
        <v/>
      </c>
      <c r="AQ34" s="33">
        <f>AQ29-AQ32</f>
        <v/>
      </c>
      <c r="AR34" s="33">
        <f>AR29-AR32</f>
        <v/>
      </c>
      <c r="AS34" s="33">
        <f>AS29-AS32</f>
        <v/>
      </c>
      <c r="AT34" s="33">
        <f>AT29-AT32</f>
        <v/>
      </c>
      <c r="AU34" s="33">
        <f>AU29-AU32</f>
        <v/>
      </c>
      <c r="AV34" s="33">
        <f>AV29-AV32</f>
        <v/>
      </c>
      <c r="AW34" s="33">
        <f>AW29-AW32</f>
        <v/>
      </c>
      <c r="AX34" s="33">
        <f>AX29-AX32</f>
        <v/>
      </c>
      <c r="AY34" s="33">
        <f>AY29-AY32</f>
        <v/>
      </c>
      <c r="AZ34" s="33">
        <f>AZ29-AZ32</f>
        <v/>
      </c>
      <c r="BA34" s="33">
        <f>BA29-BA32</f>
        <v/>
      </c>
    </row>
    <row r="35" ht="14.25" customHeight="1" s="214"/>
    <row r="36" ht="14.25" customHeight="1" s="214">
      <c r="A36" s="2" t="inlineStr">
        <is>
          <t>EBT (Earnings Before Tax)</t>
        </is>
      </c>
      <c r="B36" s="33">
        <f>B34</f>
        <v/>
      </c>
      <c r="C36" s="33">
        <f>C34</f>
        <v/>
      </c>
      <c r="D36" s="33">
        <f>D34</f>
        <v/>
      </c>
      <c r="E36" s="33">
        <f>E34</f>
        <v/>
      </c>
      <c r="F36" s="33">
        <f>F34</f>
        <v/>
      </c>
      <c r="G36" s="33">
        <f>G34</f>
        <v/>
      </c>
      <c r="H36" s="33">
        <f>H34</f>
        <v/>
      </c>
      <c r="I36" s="33">
        <f>I34</f>
        <v/>
      </c>
      <c r="J36" s="33">
        <f>J34</f>
        <v/>
      </c>
      <c r="K36" s="33">
        <f>K34</f>
        <v/>
      </c>
      <c r="L36" s="33">
        <f>L34</f>
        <v/>
      </c>
      <c r="M36" s="33">
        <f>M34</f>
        <v/>
      </c>
      <c r="N36" s="33">
        <f>N34</f>
        <v/>
      </c>
      <c r="O36" s="33">
        <f>O34</f>
        <v/>
      </c>
      <c r="P36" s="33">
        <f>P34</f>
        <v/>
      </c>
      <c r="Q36" s="33">
        <f>Q34</f>
        <v/>
      </c>
      <c r="R36" s="33">
        <f>R34</f>
        <v/>
      </c>
      <c r="S36" s="33">
        <f>S34</f>
        <v/>
      </c>
      <c r="T36" s="33">
        <f>T34</f>
        <v/>
      </c>
      <c r="U36" s="33">
        <f>U34</f>
        <v/>
      </c>
      <c r="V36" s="33">
        <f>V34</f>
        <v/>
      </c>
      <c r="W36" s="33">
        <f>W34</f>
        <v/>
      </c>
      <c r="X36" s="33">
        <f>X34</f>
        <v/>
      </c>
      <c r="Y36" s="33">
        <f>Y34</f>
        <v/>
      </c>
      <c r="Z36" s="33">
        <f>Z34</f>
        <v/>
      </c>
      <c r="AA36" s="33">
        <f>AA34</f>
        <v/>
      </c>
      <c r="AB36" s="33">
        <f>AB34</f>
        <v/>
      </c>
      <c r="AC36" s="33">
        <f>AC34</f>
        <v/>
      </c>
      <c r="AD36" s="33">
        <f>AD34</f>
        <v/>
      </c>
      <c r="AE36" s="33">
        <f>AE34</f>
        <v/>
      </c>
      <c r="AF36" s="33">
        <f>AF34</f>
        <v/>
      </c>
      <c r="AG36" s="33">
        <f>AG34</f>
        <v/>
      </c>
      <c r="AH36" s="33">
        <f>AH34</f>
        <v/>
      </c>
      <c r="AI36" s="33">
        <f>AI34</f>
        <v/>
      </c>
      <c r="AJ36" s="33">
        <f>AJ34</f>
        <v/>
      </c>
      <c r="AK36" s="33">
        <f>AK34</f>
        <v/>
      </c>
      <c r="AL36" s="33">
        <f>AL34</f>
        <v/>
      </c>
      <c r="AM36" s="33">
        <f>AM34</f>
        <v/>
      </c>
      <c r="AN36" s="33">
        <f>AN34</f>
        <v/>
      </c>
      <c r="AO36" s="33">
        <f>AO34</f>
        <v/>
      </c>
      <c r="AP36" s="33">
        <f>AP34</f>
        <v/>
      </c>
      <c r="AQ36" s="33">
        <f>AQ34</f>
        <v/>
      </c>
      <c r="AR36" s="33">
        <f>AR34</f>
        <v/>
      </c>
      <c r="AS36" s="33">
        <f>AS34</f>
        <v/>
      </c>
      <c r="AT36" s="33">
        <f>AT34</f>
        <v/>
      </c>
      <c r="AU36" s="33">
        <f>AU34</f>
        <v/>
      </c>
      <c r="AV36" s="33">
        <f>AV34</f>
        <v/>
      </c>
      <c r="AW36" s="33">
        <f>AW34</f>
        <v/>
      </c>
      <c r="AX36" s="33">
        <f>AX34</f>
        <v/>
      </c>
      <c r="AY36" s="33">
        <f>AY34</f>
        <v/>
      </c>
      <c r="AZ36" s="33">
        <f>AZ34</f>
        <v/>
      </c>
      <c r="BA36" s="33">
        <f>BA34</f>
        <v/>
      </c>
    </row>
    <row r="37" ht="14.25" customHeight="1" s="214">
      <c r="A37" s="3" t="inlineStr">
        <is>
          <t>Income Tax</t>
        </is>
      </c>
      <c r="B37" s="35">
        <f>IF(B36&gt;0,B36*Inputs!$B$7,0)</f>
        <v/>
      </c>
      <c r="C37" s="35">
        <f>IF(C36&gt;0,C36*Inputs!$B$7,0)</f>
        <v/>
      </c>
      <c r="D37" s="35">
        <f>IF(D36&gt;0,D36*Inputs!$B$7,0)</f>
        <v/>
      </c>
      <c r="E37" s="35">
        <f>IF(E36&gt;0,E36*Inputs!$B$7,0)</f>
        <v/>
      </c>
      <c r="F37" s="35">
        <f>IF(F36&gt;0,F36*Inputs!$B$7,0)</f>
        <v/>
      </c>
      <c r="G37" s="35">
        <f>IF(G36&gt;0,G36*Inputs!$B$7,0)</f>
        <v/>
      </c>
      <c r="H37" s="35">
        <f>IF(H36&gt;0,H36*Inputs!$B$7,0)</f>
        <v/>
      </c>
      <c r="I37" s="35">
        <f>IF(I36&gt;0,I36*Inputs!$B$7,0)</f>
        <v/>
      </c>
      <c r="J37" s="35">
        <f>IF(J36&gt;0,J36*Inputs!$B$7,0)</f>
        <v/>
      </c>
      <c r="K37" s="35">
        <f>IF(K36&gt;0,K36*Inputs!$B$7,0)</f>
        <v/>
      </c>
      <c r="L37" s="35">
        <f>IF(L36&gt;0,L36*Inputs!$B$7,0)</f>
        <v/>
      </c>
      <c r="M37" s="35">
        <f>IF(M36&gt;0,M36*Inputs!$B$7,0)</f>
        <v/>
      </c>
      <c r="N37" s="35">
        <f>IF(N36&gt;0,N36*Inputs!$B$7,0)</f>
        <v/>
      </c>
      <c r="O37" s="35">
        <f>IF(O36&gt;0,O36*Inputs!$B$7,0)</f>
        <v/>
      </c>
      <c r="P37" s="35">
        <f>IF(P36&gt;0,P36*Inputs!$B$7,0)</f>
        <v/>
      </c>
      <c r="Q37" s="35">
        <f>IF(Q36&gt;0,Q36*Inputs!$B$7,0)</f>
        <v/>
      </c>
      <c r="R37" s="35">
        <f>IF(R36&gt;0,R36*Inputs!$B$7,0)</f>
        <v/>
      </c>
      <c r="S37" s="35">
        <f>IF(S36&gt;0,S36*Inputs!$B$7,0)</f>
        <v/>
      </c>
      <c r="T37" s="35">
        <f>IF(T36&gt;0,T36*Inputs!$B$7,0)</f>
        <v/>
      </c>
      <c r="U37" s="35">
        <f>IF(U36&gt;0,U36*Inputs!$B$7,0)</f>
        <v/>
      </c>
      <c r="V37" s="35">
        <f>IF(V36&gt;0,V36*Inputs!$B$7,0)</f>
        <v/>
      </c>
      <c r="W37" s="35">
        <f>IF(W36&gt;0,W36*Inputs!$B$7,0)</f>
        <v/>
      </c>
      <c r="X37" s="35">
        <f>IF(X36&gt;0,X36*Inputs!$B$7,0)</f>
        <v/>
      </c>
      <c r="Y37" s="35">
        <f>IF(Y36&gt;0,Y36*Inputs!$B$7,0)</f>
        <v/>
      </c>
      <c r="Z37" s="35">
        <f>IF(Z36&gt;0,Z36*Inputs!$B$7,0)</f>
        <v/>
      </c>
      <c r="AA37" s="35">
        <f>IF(AA36&gt;0,AA36*Inputs!$B$7,0)</f>
        <v/>
      </c>
      <c r="AB37" s="35">
        <f>IF(AB36&gt;0,AB36*Inputs!$B$7,0)</f>
        <v/>
      </c>
      <c r="AC37" s="35">
        <f>IF(AC36&gt;0,AC36*Inputs!$B$7,0)</f>
        <v/>
      </c>
      <c r="AD37" s="35">
        <f>IF(AD36&gt;0,AD36*Inputs!$B$7,0)</f>
        <v/>
      </c>
      <c r="AE37" s="35">
        <f>IF(AE36&gt;0,AE36*Inputs!$B$7,0)</f>
        <v/>
      </c>
      <c r="AF37" s="35">
        <f>IF(AF36&gt;0,AF36*Inputs!$B$7,0)</f>
        <v/>
      </c>
      <c r="AG37" s="35">
        <f>IF(AG36&gt;0,AG36*Inputs!$B$7,0)</f>
        <v/>
      </c>
      <c r="AH37" s="35">
        <f>IF(AH36&gt;0,AH36*Inputs!$B$7,0)</f>
        <v/>
      </c>
      <c r="AI37" s="35">
        <f>IF(AI36&gt;0,AI36*Inputs!$B$7,0)</f>
        <v/>
      </c>
      <c r="AJ37" s="35">
        <f>IF(AJ36&gt;0,AJ36*Inputs!$B$7,0)</f>
        <v/>
      </c>
      <c r="AK37" s="35">
        <f>IF(AK36&gt;0,AK36*Inputs!$B$7,0)</f>
        <v/>
      </c>
      <c r="AL37" s="35">
        <f>IF(AL36&gt;0,AL36*Inputs!$B$7,0)</f>
        <v/>
      </c>
      <c r="AM37" s="35">
        <f>IF(AM36&gt;0,AM36*Inputs!$B$7,0)</f>
        <v/>
      </c>
      <c r="AN37" s="35">
        <f>IF(AN36&gt;0,AN36*Inputs!$B$7,0)</f>
        <v/>
      </c>
      <c r="AO37" s="35">
        <f>IF(AO36&gt;0,AO36*Inputs!$B$7,0)</f>
        <v/>
      </c>
      <c r="AP37" s="35">
        <f>IF(AP36&gt;0,AP36*Inputs!$B$7,0)</f>
        <v/>
      </c>
      <c r="AQ37" s="35">
        <f>IF(AQ36&gt;0,AQ36*Inputs!$B$7,0)</f>
        <v/>
      </c>
      <c r="AR37" s="35">
        <f>IF(AR36&gt;0,AR36*Inputs!$B$7,0)</f>
        <v/>
      </c>
      <c r="AS37" s="35">
        <f>IF(AS36&gt;0,AS36*Inputs!$B$7,0)</f>
        <v/>
      </c>
      <c r="AT37" s="35">
        <f>IF(AT36&gt;0,AT36*Inputs!$B$7,0)</f>
        <v/>
      </c>
      <c r="AU37" s="35">
        <f>IF(AU36&gt;0,AU36*Inputs!$B$7,0)</f>
        <v/>
      </c>
      <c r="AV37" s="35">
        <f>IF(AV36&gt;0,AV36*Inputs!$B$7,0)</f>
        <v/>
      </c>
      <c r="AW37" s="35">
        <f>IF(AW36&gt;0,AW36*Inputs!$B$7,0)</f>
        <v/>
      </c>
      <c r="AX37" s="35">
        <f>IF(AX36&gt;0,AX36*Inputs!$B$7,0)</f>
        <v/>
      </c>
      <c r="AY37" s="35">
        <f>IF(AY36&gt;0,AY36*Inputs!$B$7,0)</f>
        <v/>
      </c>
      <c r="AZ37" s="35">
        <f>IF(AZ36&gt;0,AZ36*Inputs!$B$7,0)</f>
        <v/>
      </c>
      <c r="BA37" s="35">
        <f>IF(BA36&gt;0,BA36*Inputs!$B$7,0)</f>
        <v/>
      </c>
    </row>
    <row r="38" ht="14.25" customHeight="1" s="214"/>
    <row r="39" ht="14.25" customHeight="1" s="214">
      <c r="A39" s="2" t="inlineStr">
        <is>
          <t>NET INCOME</t>
        </is>
      </c>
      <c r="B39" s="33">
        <f>B36-B37</f>
        <v/>
      </c>
      <c r="C39" s="33">
        <f>C36-C37</f>
        <v/>
      </c>
      <c r="D39" s="33">
        <f>D36-D37</f>
        <v/>
      </c>
      <c r="E39" s="33">
        <f>E36-E37</f>
        <v/>
      </c>
      <c r="F39" s="33">
        <f>F36-F37</f>
        <v/>
      </c>
      <c r="G39" s="33">
        <f>G36-G37</f>
        <v/>
      </c>
      <c r="H39" s="33">
        <f>H36-H37</f>
        <v/>
      </c>
      <c r="I39" s="33">
        <f>I36-I37</f>
        <v/>
      </c>
      <c r="J39" s="33">
        <f>J36-J37</f>
        <v/>
      </c>
      <c r="K39" s="33">
        <f>K36-K37</f>
        <v/>
      </c>
      <c r="L39" s="33">
        <f>L36-L37</f>
        <v/>
      </c>
      <c r="M39" s="33">
        <f>M36-M37</f>
        <v/>
      </c>
      <c r="N39" s="33">
        <f>N36-N37</f>
        <v/>
      </c>
      <c r="O39" s="33">
        <f>O36-O37</f>
        <v/>
      </c>
      <c r="P39" s="33">
        <f>P36-P37</f>
        <v/>
      </c>
      <c r="Q39" s="33">
        <f>Q36-Q37</f>
        <v/>
      </c>
      <c r="R39" s="33">
        <f>R36-R37</f>
        <v/>
      </c>
      <c r="S39" s="33">
        <f>S36-S37</f>
        <v/>
      </c>
      <c r="T39" s="33">
        <f>T36-T37</f>
        <v/>
      </c>
      <c r="U39" s="33">
        <f>U36-U37</f>
        <v/>
      </c>
      <c r="V39" s="33">
        <f>V36-V37</f>
        <v/>
      </c>
      <c r="W39" s="33">
        <f>W36-W37</f>
        <v/>
      </c>
      <c r="X39" s="33">
        <f>X36-X37</f>
        <v/>
      </c>
      <c r="Y39" s="33">
        <f>Y36-Y37</f>
        <v/>
      </c>
      <c r="Z39" s="33">
        <f>Z36-Z37</f>
        <v/>
      </c>
      <c r="AA39" s="33">
        <f>AA36-AA37</f>
        <v/>
      </c>
      <c r="AB39" s="33">
        <f>AB36-AB37</f>
        <v/>
      </c>
      <c r="AC39" s="33">
        <f>AC36-AC37</f>
        <v/>
      </c>
      <c r="AD39" s="33">
        <f>AD36-AD37</f>
        <v/>
      </c>
      <c r="AE39" s="33">
        <f>AE36-AE37</f>
        <v/>
      </c>
      <c r="AF39" s="33">
        <f>AF36-AF37</f>
        <v/>
      </c>
      <c r="AG39" s="33">
        <f>AG36-AG37</f>
        <v/>
      </c>
      <c r="AH39" s="33">
        <f>AH36-AH37</f>
        <v/>
      </c>
      <c r="AI39" s="33">
        <f>AI36-AI37</f>
        <v/>
      </c>
      <c r="AJ39" s="33">
        <f>AJ36-AJ37</f>
        <v/>
      </c>
      <c r="AK39" s="33">
        <f>AK36-AK37</f>
        <v/>
      </c>
      <c r="AL39" s="33">
        <f>AL36-AL37</f>
        <v/>
      </c>
      <c r="AM39" s="33">
        <f>AM36-AM37</f>
        <v/>
      </c>
      <c r="AN39" s="33">
        <f>AN36-AN37</f>
        <v/>
      </c>
      <c r="AO39" s="33">
        <f>AO36-AO37</f>
        <v/>
      </c>
      <c r="AP39" s="33">
        <f>AP36-AP37</f>
        <v/>
      </c>
      <c r="AQ39" s="33">
        <f>AQ36-AQ37</f>
        <v/>
      </c>
      <c r="AR39" s="33">
        <f>AR36-AR37</f>
        <v/>
      </c>
      <c r="AS39" s="33">
        <f>AS36-AS37</f>
        <v/>
      </c>
      <c r="AT39" s="33">
        <f>AT36-AT37</f>
        <v/>
      </c>
      <c r="AU39" s="33">
        <f>AU36-AU37</f>
        <v/>
      </c>
      <c r="AV39" s="33">
        <f>AV36-AV37</f>
        <v/>
      </c>
      <c r="AW39" s="33">
        <f>AW36-AW37</f>
        <v/>
      </c>
      <c r="AX39" s="33">
        <f>AX36-AX37</f>
        <v/>
      </c>
      <c r="AY39" s="33">
        <f>AY36-AY37</f>
        <v/>
      </c>
      <c r="AZ39" s="33">
        <f>AZ36-AZ37</f>
        <v/>
      </c>
      <c r="BA39" s="33">
        <f>BA36-BA37</f>
        <v/>
      </c>
    </row>
    <row r="40" ht="14.25" customHeight="1" s="214">
      <c r="A40" s="3" t="inlineStr">
        <is>
          <t>Net Margin %</t>
        </is>
      </c>
      <c r="B40" s="34">
        <f>IFERROR(B39/B8,0)</f>
        <v/>
      </c>
      <c r="C40" s="34">
        <f>IFERROR(C39/C8,0)</f>
        <v/>
      </c>
      <c r="D40" s="34">
        <f>IFERROR(D39/D8,0)</f>
        <v/>
      </c>
      <c r="E40" s="34">
        <f>IFERROR(E39/E8,0)</f>
        <v/>
      </c>
      <c r="F40" s="34">
        <f>IFERROR(F39/F8,0)</f>
        <v/>
      </c>
      <c r="G40" s="34">
        <f>IFERROR(G39/G8,0)</f>
        <v/>
      </c>
      <c r="H40" s="34">
        <f>IFERROR(H39/H8,0)</f>
        <v/>
      </c>
      <c r="I40" s="34">
        <f>IFERROR(I39/I8,0)</f>
        <v/>
      </c>
      <c r="J40" s="34">
        <f>IFERROR(J39/J8,0)</f>
        <v/>
      </c>
      <c r="K40" s="34">
        <f>IFERROR(K39/K8,0)</f>
        <v/>
      </c>
      <c r="L40" s="34">
        <f>IFERROR(L39/L8,0)</f>
        <v/>
      </c>
      <c r="M40" s="34">
        <f>IFERROR(M39/M8,0)</f>
        <v/>
      </c>
      <c r="N40" s="34">
        <f>IFERROR(N39/N8,0)</f>
        <v/>
      </c>
      <c r="O40" s="34">
        <f>IFERROR(O39/O8,0)</f>
        <v/>
      </c>
      <c r="P40" s="34">
        <f>IFERROR(P39/P8,0)</f>
        <v/>
      </c>
      <c r="Q40" s="34">
        <f>IFERROR(Q39/Q8,0)</f>
        <v/>
      </c>
      <c r="R40" s="34">
        <f>IFERROR(R39/R8,0)</f>
        <v/>
      </c>
      <c r="S40" s="34">
        <f>IFERROR(S39/S8,0)</f>
        <v/>
      </c>
      <c r="T40" s="34">
        <f>IFERROR(T39/T8,0)</f>
        <v/>
      </c>
      <c r="U40" s="34">
        <f>IFERROR(U39/U8,0)</f>
        <v/>
      </c>
      <c r="V40" s="34">
        <f>IFERROR(V39/V8,0)</f>
        <v/>
      </c>
      <c r="W40" s="34">
        <f>IFERROR(W39/W8,0)</f>
        <v/>
      </c>
      <c r="X40" s="34">
        <f>IFERROR(X39/X8,0)</f>
        <v/>
      </c>
      <c r="Y40" s="34">
        <f>IFERROR(Y39/Y8,0)</f>
        <v/>
      </c>
      <c r="Z40" s="34">
        <f>IFERROR(Z39/Z8,0)</f>
        <v/>
      </c>
      <c r="AA40" s="34">
        <f>IFERROR(AA39/AA8,0)</f>
        <v/>
      </c>
      <c r="AB40" s="34">
        <f>IFERROR(AB39/AB8,0)</f>
        <v/>
      </c>
      <c r="AC40" s="34">
        <f>IFERROR(AC39/AC8,0)</f>
        <v/>
      </c>
      <c r="AD40" s="34">
        <f>IFERROR(AD39/AD8,0)</f>
        <v/>
      </c>
      <c r="AE40" s="34">
        <f>IFERROR(AE39/AE8,0)</f>
        <v/>
      </c>
      <c r="AF40" s="34">
        <f>IFERROR(AF39/AF8,0)</f>
        <v/>
      </c>
      <c r="AG40" s="34">
        <f>IFERROR(AG39/AG8,0)</f>
        <v/>
      </c>
      <c r="AH40" s="34">
        <f>IFERROR(AH39/AH8,0)</f>
        <v/>
      </c>
      <c r="AI40" s="34">
        <f>IFERROR(AI39/AI8,0)</f>
        <v/>
      </c>
      <c r="AJ40" s="34">
        <f>IFERROR(AJ39/AJ8,0)</f>
        <v/>
      </c>
      <c r="AK40" s="34">
        <f>IFERROR(AK39/AK8,0)</f>
        <v/>
      </c>
      <c r="AL40" s="34">
        <f>IFERROR(AL39/AL8,0)</f>
        <v/>
      </c>
      <c r="AM40" s="34">
        <f>IFERROR(AM39/AM8,0)</f>
        <v/>
      </c>
      <c r="AN40" s="34">
        <f>IFERROR(AN39/AN8,0)</f>
        <v/>
      </c>
      <c r="AO40" s="34">
        <f>IFERROR(AO39/AO8,0)</f>
        <v/>
      </c>
      <c r="AP40" s="34">
        <f>IFERROR(AP39/AP8,0)</f>
        <v/>
      </c>
      <c r="AQ40" s="34">
        <f>IFERROR(AQ39/AQ8,0)</f>
        <v/>
      </c>
      <c r="AR40" s="34">
        <f>IFERROR(AR39/AR8,0)</f>
        <v/>
      </c>
      <c r="AS40" s="34">
        <f>IFERROR(AS39/AS8,0)</f>
        <v/>
      </c>
      <c r="AT40" s="34">
        <f>IFERROR(AT39/AT8,0)</f>
        <v/>
      </c>
      <c r="AU40" s="34">
        <f>IFERROR(AU39/AU8,0)</f>
        <v/>
      </c>
      <c r="AV40" s="34">
        <f>IFERROR(AV39/AV8,0)</f>
        <v/>
      </c>
      <c r="AW40" s="34">
        <f>IFERROR(AW39/AW8,0)</f>
        <v/>
      </c>
      <c r="AX40" s="34">
        <f>IFERROR(AX39/AX8,0)</f>
        <v/>
      </c>
      <c r="AY40" s="34">
        <f>IFERROR(AY39/AY8,0)</f>
        <v/>
      </c>
      <c r="AZ40" s="34">
        <f>IFERROR(AZ39/AZ8,0)</f>
        <v/>
      </c>
      <c r="BA40" s="34">
        <f>IFERROR(BA39/BA8,0)</f>
        <v/>
      </c>
    </row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6" activePane="bottomLeft" state="frozen"/>
      <selection pane="bottomLeft" activeCell="B1" sqref="B1:E1048576"/>
    </sheetView>
  </sheetViews>
  <sheetFormatPr baseColWidth="10" defaultRowHeight="14.5"/>
  <cols>
    <col width="26" customWidth="1" style="159" min="1" max="1"/>
    <col hidden="1" width="14.54296875" customWidth="1" style="159" min="2" max="2"/>
    <col hidden="1" width="22.26953125" customWidth="1" style="159" min="3" max="3"/>
    <col hidden="1" width="15.90625" customWidth="1" style="159" min="4" max="4"/>
    <col hidden="1" width="42" customWidth="1" style="159" min="5" max="5"/>
    <col width="14.36328125" customWidth="1" style="159" min="6" max="6"/>
    <col width="21.36328125" customWidth="1" style="159" min="7" max="7"/>
    <col width="18.6328125" customWidth="1" style="159" min="8" max="8"/>
    <col width="28.08984375" customWidth="1" style="159" min="9" max="9"/>
    <col width="10.90625" customWidth="1" style="159" min="10" max="11"/>
    <col width="10.90625" customWidth="1" style="159" min="12" max="16384"/>
  </cols>
  <sheetData>
    <row r="1" ht="29" customHeight="1" s="214">
      <c r="A1" s="186" t="inlineStr">
        <is>
          <t>IT/Product Development/Framework</t>
        </is>
      </c>
      <c r="B1" s="181" t="inlineStr">
        <is>
          <t>Phase</t>
        </is>
      </c>
      <c r="C1" s="181" t="inlineStr">
        <is>
          <t>Content</t>
        </is>
      </c>
      <c r="D1" s="181" t="inlineStr">
        <is>
          <t>Phase</t>
        </is>
      </c>
      <c r="E1" s="181" t="inlineStr">
        <is>
          <t>Content</t>
        </is>
      </c>
      <c r="F1" s="181" t="inlineStr">
        <is>
          <t>Phase</t>
        </is>
      </c>
      <c r="G1" s="181" t="inlineStr">
        <is>
          <t>Content</t>
        </is>
      </c>
      <c r="H1" s="181" t="inlineStr">
        <is>
          <t>Phase</t>
        </is>
      </c>
      <c r="I1" s="181" t="inlineStr">
        <is>
          <t>Content</t>
        </is>
      </c>
      <c r="J1" s="178" t="inlineStr">
        <is>
          <t>Phase</t>
        </is>
      </c>
      <c r="K1" s="158" t="inlineStr">
        <is>
          <t>Content</t>
        </is>
      </c>
    </row>
    <row r="2" customFormat="1" s="161">
      <c r="A2" s="178" t="inlineStr">
        <is>
          <t>Month (starting Apr 26)</t>
        </is>
      </c>
      <c r="B2" s="181" t="inlineStr">
        <is>
          <t>M1-M4</t>
        </is>
      </c>
      <c r="C2" s="181" t="n"/>
      <c r="D2" s="181" t="inlineStr">
        <is>
          <t>M5-M16</t>
        </is>
      </c>
      <c r="E2" s="181" t="n"/>
      <c r="F2" s="181" t="inlineStr">
        <is>
          <t>M17-M28</t>
        </is>
      </c>
      <c r="G2" s="181" t="n"/>
      <c r="H2" s="181" t="inlineStr">
        <is>
          <t>M29-M40</t>
        </is>
      </c>
      <c r="I2" s="181" t="n"/>
      <c r="J2" s="178" t="inlineStr">
        <is>
          <t>M41-M52</t>
        </is>
      </c>
      <c r="K2" s="178" t="n"/>
    </row>
    <row r="3" ht="29" customHeight="1" s="214">
      <c r="B3" s="172" t="inlineStr">
        <is>
          <t>April to Jul 2026</t>
        </is>
      </c>
      <c r="C3" s="171" t="n"/>
      <c r="D3" s="172" t="inlineStr">
        <is>
          <t>Aug 2026 to Jul 2027</t>
        </is>
      </c>
      <c r="E3" s="171" t="n"/>
      <c r="F3" s="172" t="inlineStr">
        <is>
          <t>Aug 2027 to Jul 2028</t>
        </is>
      </c>
      <c r="G3" s="171" t="n"/>
      <c r="H3" s="172" t="inlineStr">
        <is>
          <t>Aug 2028 to Jul 2029</t>
        </is>
      </c>
      <c r="I3" s="171" t="n"/>
      <c r="J3" s="162" t="inlineStr">
        <is>
          <t>Aug 2029 to Jul 2030</t>
        </is>
      </c>
    </row>
    <row r="4" ht="58" customFormat="1" customHeight="1" s="161">
      <c r="B4" s="172" t="inlineStr">
        <is>
          <t>IDEATION Phase</t>
        </is>
      </c>
      <c r="C4" s="171" t="n"/>
      <c r="D4" s="182" t="inlineStr">
        <is>
          <t>PRE-SEED</t>
        </is>
      </c>
      <c r="E4" s="171" t="n"/>
      <c r="F4" s="183" t="inlineStr">
        <is>
          <t>SEED</t>
        </is>
      </c>
      <c r="G4" s="171" t="n"/>
      <c r="H4" s="184" t="inlineStr">
        <is>
          <t>SERIES A</t>
        </is>
      </c>
      <c r="I4" s="171" t="n"/>
      <c r="J4" s="177" t="inlineStr">
        <is>
          <t>Series B??
NOT PART OF OUR C13 Forecast</t>
        </is>
      </c>
    </row>
    <row r="5" ht="58" customFormat="1" customHeight="1" s="161">
      <c r="A5" s="162" t="inlineStr">
        <is>
          <t>Companies to be served</t>
        </is>
      </c>
      <c r="B5" s="172" t="n"/>
      <c r="C5" s="171" t="n"/>
      <c r="D5" s="172" t="inlineStr">
        <is>
          <t>3 (SME)</t>
        </is>
      </c>
      <c r="E5" s="185" t="inlineStr">
        <is>
          <t>"Bottleneck" is Sales (Rene/Olaf)
--&gt;Existence of "MVP" is essential!!</t>
        </is>
      </c>
      <c r="F5" s="171" t="n"/>
      <c r="G5" s="172" t="inlineStr">
        <is>
          <t>2 Enterprises, 15 Mid-Size and 10 SMEs (27 cumulative)</t>
        </is>
      </c>
      <c r="H5" s="171" t="n"/>
      <c r="I5" s="172" t="inlineStr">
        <is>
          <t>6 Enterprises, 44 Mid-Size Companies, 30 SMEs (80 cumulative)
(ARR: 5.6M by mid July 2029)</t>
        </is>
      </c>
    </row>
    <row r="6" customFormat="1" s="161">
      <c r="A6" s="169" t="inlineStr">
        <is>
          <t>Large OEM (Enterprise Deals)</t>
        </is>
      </c>
      <c r="B6" s="174" t="n">
        <v>0</v>
      </c>
      <c r="C6" s="174" t="n"/>
      <c r="D6" s="174" t="n">
        <v>0</v>
      </c>
      <c r="E6" s="174" t="n"/>
      <c r="F6" s="254" t="n">
        <v>2</v>
      </c>
      <c r="G6" s="174" t="n"/>
      <c r="H6" s="254" t="n">
        <v>3</v>
      </c>
      <c r="I6" s="174" t="n"/>
      <c r="J6" s="255" t="n">
        <v>6</v>
      </c>
    </row>
    <row r="7" customFormat="1" s="161">
      <c r="A7" s="170" t="inlineStr">
        <is>
          <t>Mid-size OEM</t>
        </is>
      </c>
      <c r="B7" s="174" t="n">
        <v>0</v>
      </c>
      <c r="C7" s="174" t="n"/>
      <c r="D7" s="174" t="n">
        <v>0</v>
      </c>
      <c r="E7" s="174" t="n"/>
      <c r="F7" s="254" t="n">
        <v>15</v>
      </c>
      <c r="G7" s="174" t="n"/>
      <c r="H7" s="254" t="n">
        <v>30</v>
      </c>
      <c r="I7" s="174" t="n"/>
      <c r="J7" s="255" t="n">
        <v>50</v>
      </c>
    </row>
    <row r="8" customFormat="1" s="161">
      <c r="A8" s="169" t="inlineStr">
        <is>
          <t>SME</t>
        </is>
      </c>
      <c r="B8" s="174" t="n">
        <v>0</v>
      </c>
      <c r="C8" s="174" t="n"/>
      <c r="D8" s="176" t="n">
        <v>3</v>
      </c>
      <c r="E8" s="174" t="n"/>
      <c r="F8" s="254" t="n">
        <v>10</v>
      </c>
      <c r="G8" s="174" t="n"/>
      <c r="H8" s="254" t="n">
        <v>20</v>
      </c>
      <c r="I8" s="174" t="n"/>
      <c r="J8" s="255" t="n">
        <v>60</v>
      </c>
    </row>
    <row r="9" customFormat="1" s="161">
      <c r="A9" s="168" t="inlineStr">
        <is>
          <t>Cumulative</t>
        </is>
      </c>
      <c r="B9" s="174" t="n"/>
      <c r="C9" s="174" t="n"/>
      <c r="D9" s="176" t="n">
        <v>3</v>
      </c>
      <c r="E9" s="174" t="n"/>
      <c r="F9" s="254">
        <f>D9+F6+F7+F8</f>
        <v/>
      </c>
      <c r="G9" s="174" t="n"/>
      <c r="H9" s="254">
        <f>F9+H6+H7+H8</f>
        <v/>
      </c>
      <c r="I9" s="174" t="n"/>
      <c r="J9" s="255">
        <f>H9+J6+J7+J8</f>
        <v/>
      </c>
    </row>
    <row r="10" customFormat="1" s="161">
      <c r="A10" s="167" t="n"/>
      <c r="B10" s="172" t="n"/>
      <c r="C10" s="171" t="n"/>
      <c r="D10" s="256" t="n"/>
      <c r="E10" s="171" t="n"/>
      <c r="F10" s="256" t="n"/>
      <c r="G10" s="171" t="n"/>
      <c r="H10" s="256" t="n"/>
      <c r="I10" s="171" t="n"/>
      <c r="J10" s="180" t="n"/>
    </row>
    <row r="11" ht="90" customFormat="1" customHeight="1" s="161">
      <c r="A11" s="162" t="inlineStr">
        <is>
          <t>Co Founder Salary</t>
        </is>
      </c>
      <c r="B11" s="162" t="n"/>
      <c r="C11" s="162" t="inlineStr">
        <is>
          <t>see: INPUT:
Agreement: 100k€ per Cofounder as "AG-Brutto", ie. Approx. 52.000€/yr Netto</t>
        </is>
      </c>
      <c r="D11" s="162" t="n"/>
      <c r="G11" s="162" t="n"/>
      <c r="H11" s="162" t="n"/>
    </row>
    <row r="12" ht="158" customFormat="1" customHeight="1" s="161">
      <c r="A12" s="162" t="inlineStr">
        <is>
          <t>Product features
Product Development per Phase</t>
        </is>
      </c>
      <c r="B12" s="162" t="n"/>
      <c r="C12" s="162" t="inlineStr">
        <is>
          <t>`-MVP "light"
Getting LOIs</t>
        </is>
      </c>
      <c r="D12" s="162" t="n"/>
      <c r="E12" s="156" t="inlineStr">
        <is>
          <t>-Plugins into one incumbent solution
-Calculate manufacturing costs (BOM requirements)
FEATURES of the MVP:
-Core Engine
-API for data ingestion &amp; Normalisation
-Data Integration (CAD, BOM, Processes costs, Supply data, EU regulations)
-Manufacturing Cost engine
-Operator Cost (TOC) engine
-User Interface
-(think about creating RfQ documents..is necessary for the mvp?)</t>
        </is>
      </c>
      <c r="G12" s="162" t="inlineStr">
        <is>
          <t>`-Integration into more incumbent solutions
-Similarity and tribal knowledge engine
-Compliance engine
-Trade off and scnario analysis
-Functional model and failure mode integration
-…</t>
        </is>
      </c>
      <c r="H12" s="162" t="n"/>
      <c r="I12" s="156" t="inlineStr">
        <is>
          <t>-Product Scaling
-TCO Engine
-Lifecycle Cost Engine
-Propriatory Scoring Model for Products (depending on requirements)
-Recommending alternative features of products/ decisions to take("Recommending System")</t>
        </is>
      </c>
    </row>
    <row r="13" ht="148.5" customHeight="1" s="214">
      <c r="A13" s="160" t="inlineStr">
        <is>
          <t>People (IT)</t>
        </is>
      </c>
      <c r="E13" s="157" t="inlineStr">
        <is>
          <t xml:space="preserve">-Number of SW Engineers needed for MVP:
-2 Developers
-1 ML/AI Engineer (optional)
-1 Site Reliability Engineer
-1 UX/UI (optional)
-1 Mechanical Engineer/Developer (who would love to work as a developer)
--&gt;people estimation are "conservative"
--&gt;ramp up of personnel over 12 month
</t>
        </is>
      </c>
      <c r="G13" s="157" t="inlineStr">
        <is>
          <t>1 Developer</t>
        </is>
      </c>
    </row>
    <row r="14" ht="45.5" customHeight="1" s="214">
      <c r="A14" s="160" t="inlineStr">
        <is>
          <t>People (Marketing)</t>
        </is>
      </c>
      <c r="E14" s="160" t="inlineStr">
        <is>
          <t xml:space="preserve">`-1 Customer Key Account </t>
        </is>
      </c>
      <c r="G14" s="160" t="inlineStr">
        <is>
          <t>`-2 to 3 Sales/Marketing People
-big budget for Sales/Marketing</t>
        </is>
      </c>
      <c r="I14" s="160" t="inlineStr">
        <is>
          <t>`-2 to 3 Sales/Marketing People
-big budget for Sales/Marketing</t>
        </is>
      </c>
    </row>
    <row r="15" ht="37" customHeight="1" s="214">
      <c r="A15" s="160" t="inlineStr">
        <is>
          <t>IT Licenses</t>
        </is>
      </c>
      <c r="E15" s="157" t="inlineStr">
        <is>
          <t>-Licenses for  incumbent solutions (Autodesk, Siemens NX, Catia, PTC??</t>
        </is>
      </c>
    </row>
    <row r="16" ht="65" customHeight="1" s="214">
      <c r="A16" s="160" t="inlineStr">
        <is>
          <t>IT Equipment</t>
        </is>
      </c>
      <c r="C16" s="157" t="inlineStr">
        <is>
          <t>-Budget for IT Licenses: 200€/month
-no new equipment needed for the founders</t>
        </is>
      </c>
    </row>
    <row r="18" ht="29" customHeight="1" s="214">
      <c r="A18" s="160" t="inlineStr">
        <is>
          <t>Office (permanent)</t>
        </is>
      </c>
      <c r="C18" s="160" t="inlineStr">
        <is>
          <t>no office in the first month</t>
        </is>
      </c>
      <c r="G18" s="160" t="inlineStr">
        <is>
          <t>Office Space</t>
        </is>
      </c>
    </row>
    <row r="19" ht="29" customHeight="1" s="214">
      <c r="A19" s="162" t="inlineStr">
        <is>
          <t>Office (Coworking Space)</t>
        </is>
      </c>
      <c r="C19" s="160" t="inlineStr">
        <is>
          <t>`-400€/Desk/month</t>
        </is>
      </c>
      <c r="E19" s="160" t="inlineStr">
        <is>
          <t>3 Desks/month? --&gt;Meeting Place and conference room optional</t>
        </is>
      </c>
    </row>
    <row r="20" customFormat="1" s="161">
      <c r="A20" s="162" t="n"/>
    </row>
    <row r="23" ht="72.5" customHeight="1" s="214">
      <c r="A23" s="160" t="inlineStr">
        <is>
          <t>Fees (Lawyers, Notary,..)</t>
        </is>
      </c>
      <c r="C23" s="160" t="inlineStr">
        <is>
          <t>less spent in the ideation phase</t>
        </is>
      </c>
      <c r="E23" s="160" t="inlineStr">
        <is>
          <t>regular sum from here onwards</t>
        </is>
      </c>
      <c r="H23" s="160" t="inlineStr">
        <is>
          <t>higher? Sum according to more Stakeholders and bigger financing round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A34"/>
  <sheetViews>
    <sheetView tabSelected="1" workbookViewId="0">
      <pane xSplit="1" ySplit="4" topLeftCell="AE5" activePane="bottomRight" state="frozen"/>
      <selection activeCell="L4" sqref="L4"/>
      <selection pane="topRight" activeCell="L4" sqref="L4"/>
      <selection pane="bottomLeft" activeCell="L4" sqref="L4"/>
      <selection pane="bottomRight" activeCell="AK8" sqref="AK8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UMSATZMODELL - Detaillierte Aufschlüsselung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Kennzahl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32.5" customHeight="1" s="214">
      <c r="A5" s="18" t="inlineStr">
        <is>
          <t>Preis pro Seat/Monat (€)
(gilt für SME und Mid-Comps)</t>
        </is>
      </c>
      <c r="B5" s="35">
        <f>IFERROR(Inputs!$B$20/12*(1+Inputs!$B$21)^(INT((1-1)/12)),0)</f>
        <v/>
      </c>
      <c r="C5" s="35">
        <f>Inputs!$B$20/12*(1+Inputs!$B$21)^INT((2-1)/12)</f>
        <v/>
      </c>
      <c r="D5" s="35">
        <f>Inputs!$B$20/12*(1+Inputs!$B$21)^INT((3-1)/12)</f>
        <v/>
      </c>
      <c r="E5" s="35">
        <f>Inputs!$B$20/12*(1+Inputs!$B$21)^INT((4-1)/12)</f>
        <v/>
      </c>
      <c r="F5" s="35">
        <f>Inputs!$B$20/12*(1+Inputs!$B$21)^INT((5-1)/12)</f>
        <v/>
      </c>
      <c r="G5" s="35">
        <f>Inputs!$B$20/12*(1+Inputs!$B$21)^INT((6-1)/12)</f>
        <v/>
      </c>
      <c r="H5" s="35">
        <f>Inputs!$B$20/12*(1+Inputs!$B$21)^INT((7-1)/12)</f>
        <v/>
      </c>
      <c r="I5" s="35">
        <f>Inputs!$B$20/12*(1+Inputs!$B$21)^INT((8-1)/12)</f>
        <v/>
      </c>
      <c r="J5" s="35">
        <f>Inputs!$B$20/12*(1+Inputs!$B$21)^INT((9-1)/12)</f>
        <v/>
      </c>
      <c r="K5" s="35">
        <f>Inputs!$B$20/12*(1+Inputs!$B$21)^INT((10-1)/12)</f>
        <v/>
      </c>
      <c r="L5" s="35">
        <f>Inputs!$B$20/12*(1+Inputs!$B$21)^INT((11-1)/12)</f>
        <v/>
      </c>
      <c r="M5" s="35">
        <f>Inputs!$B$20/12*(1+Inputs!$B$21)^INT((12-1)/12)</f>
        <v/>
      </c>
      <c r="N5" s="35">
        <f>Inputs!$B$20/12*(1+Inputs!$B$21)^INT((13-1)/12)</f>
        <v/>
      </c>
      <c r="O5" s="35">
        <f>Inputs!$B$20/12*(1+Inputs!$B$21)^INT((14-1)/12)</f>
        <v/>
      </c>
      <c r="P5" s="35">
        <f>Inputs!$B$20/12*(1+Inputs!$B$21)^INT((15-1)/12)</f>
        <v/>
      </c>
      <c r="Q5" s="35">
        <f>Inputs!$B$20/12*(1+Inputs!$B$21)^INT((16-1)/12)</f>
        <v/>
      </c>
      <c r="R5" s="35">
        <f>Inputs!$B$20/12*(1+Inputs!$B$21)^INT((17-1)/12)</f>
        <v/>
      </c>
      <c r="S5" s="35">
        <f>Inputs!$B$20/12*(1+Inputs!$B$21)^INT((18-1)/12)</f>
        <v/>
      </c>
      <c r="T5" s="35">
        <f>Inputs!$B$20/12*(1+Inputs!$B$21)^INT((19-1)/12)</f>
        <v/>
      </c>
      <c r="U5" s="35">
        <f>Inputs!$B$20/12*(1+Inputs!$B$21)^INT((20-1)/12)</f>
        <v/>
      </c>
      <c r="V5" s="35">
        <f>Inputs!$B$20/12*(1+Inputs!$B$21)^INT((21-1)/12)</f>
        <v/>
      </c>
      <c r="W5" s="35">
        <f>Inputs!$B$20/12*(1+Inputs!$B$21)^INT((22-1)/12)</f>
        <v/>
      </c>
      <c r="X5" s="35">
        <f>Inputs!$B$20/12*(1+Inputs!$B$21)^INT((23-1)/12)</f>
        <v/>
      </c>
      <c r="Y5" s="35">
        <f>Inputs!$B$20/12*(1+Inputs!$B$21)^INT((24-1)/12)</f>
        <v/>
      </c>
      <c r="Z5" s="35">
        <f>Inputs!$B$20/12*(1+Inputs!$B$21)^INT((25-1)/12)</f>
        <v/>
      </c>
      <c r="AA5" s="35">
        <f>Inputs!$B$20/12*(1+Inputs!$B$21)^INT((26-1)/12)</f>
        <v/>
      </c>
      <c r="AB5" s="35">
        <f>Inputs!$B$20/12*(1+Inputs!$B$21)^INT((27-1)/12)</f>
        <v/>
      </c>
      <c r="AC5" s="35">
        <f>Inputs!$B$20/12*(1+Inputs!$B$21)^INT((28-1)/12)</f>
        <v/>
      </c>
      <c r="AD5" s="35">
        <f>Inputs!$B$20/12*(1+Inputs!$B$21)^INT((29-1)/12)</f>
        <v/>
      </c>
      <c r="AE5" s="35">
        <f>Inputs!$B$20/12*(1+Inputs!$B$21)^INT((30-1)/12)</f>
        <v/>
      </c>
      <c r="AF5" s="35">
        <f>Inputs!$B$20/12*(1+Inputs!$B$21)^INT((31-1)/12)</f>
        <v/>
      </c>
      <c r="AG5" s="35">
        <f>Inputs!$B$20/12*(1+Inputs!$B$21)^INT((32-1)/12)</f>
        <v/>
      </c>
      <c r="AH5" s="35">
        <f>Inputs!$B$20/12*(1+Inputs!$B$21)^INT((33-1)/12)</f>
        <v/>
      </c>
      <c r="AI5" s="35">
        <f>Inputs!$B$20/12*(1+Inputs!$B$21)^INT((34-1)/12)</f>
        <v/>
      </c>
      <c r="AJ5" s="35">
        <f>Inputs!$B$20/12*(1+Inputs!$B$21)^INT((35-1)/12)</f>
        <v/>
      </c>
      <c r="AK5" s="35">
        <f>Inputs!$B$20/12*(1+Inputs!$B$21)^INT((36-1)/12)</f>
        <v/>
      </c>
      <c r="AL5" s="35">
        <f>Inputs!$B$20/12*(1+Inputs!$B$21)^INT((37-1)/12)</f>
        <v/>
      </c>
      <c r="AM5" s="35">
        <f>Inputs!$B$20/12*(1+Inputs!$B$21)^INT((38-1)/12)</f>
        <v/>
      </c>
      <c r="AN5" s="35">
        <f>Inputs!$B$20/12*(1+Inputs!$B$21)^INT((39-1)/12)</f>
        <v/>
      </c>
      <c r="AO5" s="35">
        <f>Inputs!$B$20/12*(1+Inputs!$B$21)^INT((40-1)/12)</f>
        <v/>
      </c>
      <c r="AP5" s="35">
        <f>Inputs!$B$20/12*(1+Inputs!$B$21)^INT((41-1)/12)</f>
        <v/>
      </c>
      <c r="AQ5" s="35">
        <f>Inputs!$B$20/12*(1+Inputs!$B$21)^INT((42-1)/12)</f>
        <v/>
      </c>
      <c r="AR5" s="35">
        <f>Inputs!$B$20/12*(1+Inputs!$B$21)^INT((43-1)/12)</f>
        <v/>
      </c>
      <c r="AS5" s="35">
        <f>Inputs!$B$20/12*(1+Inputs!$B$21)^INT((44-1)/12)</f>
        <v/>
      </c>
      <c r="AT5" s="35">
        <f>Inputs!$B$20/12*(1+Inputs!$B$21)^INT((45-1)/12)</f>
        <v/>
      </c>
      <c r="AU5" s="35">
        <f>Inputs!$B$20/12*(1+Inputs!$B$21)^INT((46-1)/12)</f>
        <v/>
      </c>
      <c r="AV5" s="35">
        <f>Inputs!$B$20/12*(1+Inputs!$B$21)^INT((47-1)/12)</f>
        <v/>
      </c>
      <c r="AW5" s="35">
        <f>Inputs!$B$20/12*(1+Inputs!$B$21)^INT((48-1)/12)</f>
        <v/>
      </c>
      <c r="AX5" s="35">
        <f>Inputs!$B$20/12*(1+Inputs!$B$21)^INT((49-1)/12)</f>
        <v/>
      </c>
      <c r="AY5" s="35">
        <f>Inputs!$B$20/12*(1+Inputs!$B$21)^INT((50-1)/12)</f>
        <v/>
      </c>
      <c r="AZ5" s="35">
        <f>Inputs!$B$20/12*(1+Inputs!$B$21)^INT((51-1)/12)</f>
        <v/>
      </c>
      <c r="BA5" s="35">
        <f>Inputs!$B$20/12*(1+Inputs!$B$21)^INT((52-1)/12)</f>
        <v/>
      </c>
    </row>
    <row r="6" ht="32.5" customFormat="1" customHeight="1" s="245">
      <c r="A6" s="246" t="inlineStr">
        <is>
          <t>New Customer: SME</t>
        </is>
      </c>
      <c r="B6" s="244" t="n">
        <v>0</v>
      </c>
      <c r="C6" s="244" t="n">
        <v>0</v>
      </c>
      <c r="D6" s="244" t="n">
        <v>0</v>
      </c>
      <c r="E6" s="244" t="n">
        <v>0</v>
      </c>
      <c r="F6" s="244" t="n">
        <v>0</v>
      </c>
      <c r="G6" s="244" t="n">
        <v>0</v>
      </c>
      <c r="H6" s="244" t="n">
        <v>1</v>
      </c>
      <c r="I6" s="244" t="n">
        <v>1</v>
      </c>
      <c r="J6" s="244" t="n">
        <v>1</v>
      </c>
      <c r="K6" s="244" t="n">
        <v>1</v>
      </c>
      <c r="L6" s="244" t="n">
        <v>1</v>
      </c>
      <c r="M6" s="244" t="n">
        <v>1</v>
      </c>
      <c r="N6" s="244" t="n">
        <v>2</v>
      </c>
      <c r="O6" s="244" t="n">
        <v>2</v>
      </c>
      <c r="P6" s="244" t="n">
        <v>2</v>
      </c>
      <c r="Q6" s="244" t="n">
        <v>2</v>
      </c>
      <c r="R6" s="244" t="n">
        <v>2</v>
      </c>
      <c r="S6" s="244" t="n">
        <v>2</v>
      </c>
      <c r="T6" s="244" t="n">
        <v>2</v>
      </c>
      <c r="U6" s="244" t="n">
        <v>2</v>
      </c>
      <c r="V6" s="244" t="n">
        <v>2</v>
      </c>
      <c r="W6" s="244" t="n">
        <v>2</v>
      </c>
      <c r="X6" s="244" t="n">
        <v>2</v>
      </c>
      <c r="Y6" s="244" t="n">
        <v>2</v>
      </c>
      <c r="Z6" s="244" t="n">
        <v>3</v>
      </c>
      <c r="AA6" s="244" t="n">
        <v>3</v>
      </c>
      <c r="AB6" s="244" t="n">
        <v>3</v>
      </c>
      <c r="AC6" s="244" t="n">
        <v>3</v>
      </c>
      <c r="AD6" s="244" t="n">
        <v>3</v>
      </c>
      <c r="AE6" s="244" t="n">
        <v>3</v>
      </c>
      <c r="AF6" s="244" t="n">
        <v>3</v>
      </c>
      <c r="AG6" s="244" t="n">
        <v>3</v>
      </c>
      <c r="AH6" s="244" t="n">
        <v>3</v>
      </c>
      <c r="AI6" s="244" t="n">
        <v>3</v>
      </c>
      <c r="AJ6" s="244" t="n">
        <v>3</v>
      </c>
      <c r="AK6" s="244" t="n">
        <v>3</v>
      </c>
      <c r="AL6" s="244" t="n">
        <v>4</v>
      </c>
      <c r="AM6" s="244" t="n">
        <v>4</v>
      </c>
      <c r="AN6" s="244" t="n">
        <v>4</v>
      </c>
      <c r="AO6" s="244" t="n">
        <v>4</v>
      </c>
      <c r="AP6" s="244" t="n">
        <v>4</v>
      </c>
      <c r="AQ6" s="244" t="n">
        <v>4</v>
      </c>
      <c r="AR6" s="244" t="n">
        <v>4</v>
      </c>
      <c r="AS6" s="244" t="n">
        <v>4</v>
      </c>
      <c r="AT6" s="244" t="n">
        <v>4</v>
      </c>
      <c r="AU6" s="244" t="n">
        <v>4</v>
      </c>
      <c r="AV6" s="244" t="n">
        <v>4</v>
      </c>
      <c r="AW6" s="244" t="n">
        <v>4</v>
      </c>
      <c r="AX6" s="244" t="n">
        <v>4</v>
      </c>
      <c r="AY6" s="244" t="n">
        <v>4</v>
      </c>
      <c r="AZ6" s="244" t="n">
        <v>4</v>
      </c>
      <c r="BA6" s="244" t="n">
        <v>4</v>
      </c>
    </row>
    <row r="7" ht="32.5" customFormat="1" customHeight="1" s="245">
      <c r="A7" s="246" t="inlineStr">
        <is>
          <t>New Customer: Mid-Company</t>
        </is>
      </c>
      <c r="B7" s="244" t="n">
        <v>0</v>
      </c>
      <c r="C7" s="244" t="n">
        <v>0</v>
      </c>
      <c r="D7" s="244" t="n">
        <v>0</v>
      </c>
      <c r="E7" s="244" t="n">
        <v>0</v>
      </c>
      <c r="F7" s="244" t="n">
        <v>0</v>
      </c>
      <c r="G7" s="244" t="n">
        <v>0</v>
      </c>
      <c r="H7" s="244" t="n">
        <v>0</v>
      </c>
      <c r="I7" s="244" t="n">
        <v>0</v>
      </c>
      <c r="J7" s="244" t="n">
        <v>0</v>
      </c>
      <c r="K7" s="244" t="n">
        <v>0</v>
      </c>
      <c r="L7" s="244" t="n">
        <v>0</v>
      </c>
      <c r="M7" s="244" t="n">
        <v>0</v>
      </c>
      <c r="N7" s="244" t="n">
        <v>1</v>
      </c>
      <c r="O7" s="244" t="n">
        <v>1</v>
      </c>
      <c r="P7" s="244" t="n">
        <v>1</v>
      </c>
      <c r="Q7" s="244" t="n">
        <v>1</v>
      </c>
      <c r="R7" s="244" t="n">
        <v>1</v>
      </c>
      <c r="S7" s="244" t="n">
        <v>1</v>
      </c>
      <c r="T7" s="244" t="n">
        <v>1</v>
      </c>
      <c r="U7" s="244" t="n">
        <v>1</v>
      </c>
      <c r="V7" s="244" t="n">
        <v>1</v>
      </c>
      <c r="W7" s="244" t="n">
        <v>1</v>
      </c>
      <c r="X7" s="244" t="n">
        <v>1</v>
      </c>
      <c r="Y7" s="244" t="n">
        <v>1</v>
      </c>
      <c r="Z7" s="244" t="n">
        <v>1</v>
      </c>
      <c r="AA7" s="244" t="n">
        <v>1</v>
      </c>
      <c r="AB7" s="244" t="n">
        <v>1</v>
      </c>
      <c r="AC7" s="244" t="n">
        <v>1</v>
      </c>
      <c r="AD7" s="244" t="n">
        <v>1</v>
      </c>
      <c r="AE7" s="244" t="n">
        <v>1</v>
      </c>
      <c r="AF7" s="244" t="n">
        <v>1</v>
      </c>
      <c r="AG7" s="244" t="n">
        <v>1</v>
      </c>
      <c r="AH7" s="244" t="n">
        <v>1</v>
      </c>
      <c r="AI7" s="244" t="n">
        <v>1</v>
      </c>
      <c r="AJ7" s="244" t="n">
        <v>1</v>
      </c>
      <c r="AK7" s="244" t="n">
        <v>1</v>
      </c>
      <c r="AL7" s="244" t="n">
        <v>2</v>
      </c>
      <c r="AM7" s="244" t="n">
        <v>2</v>
      </c>
      <c r="AN7" s="244" t="n">
        <v>2</v>
      </c>
      <c r="AO7" s="244" t="n">
        <v>2</v>
      </c>
      <c r="AP7" s="244" t="n">
        <v>2</v>
      </c>
      <c r="AQ7" s="244" t="n">
        <v>2</v>
      </c>
      <c r="AR7" s="244" t="n">
        <v>2</v>
      </c>
      <c r="AS7" s="244" t="n">
        <v>2</v>
      </c>
      <c r="AT7" s="244" t="n">
        <v>2</v>
      </c>
      <c r="AU7" s="244" t="n">
        <v>2</v>
      </c>
      <c r="AV7" s="244" t="n">
        <v>2</v>
      </c>
      <c r="AW7" s="244" t="n">
        <v>2</v>
      </c>
      <c r="AX7" s="244" t="n">
        <v>2</v>
      </c>
      <c r="AY7" s="244" t="n">
        <v>2</v>
      </c>
      <c r="AZ7" s="244" t="n">
        <v>2</v>
      </c>
      <c r="BA7" s="244" t="n">
        <v>2</v>
      </c>
    </row>
    <row r="8" ht="14.25" customHeight="1" s="214">
      <c r="A8" s="3" t="inlineStr">
        <is>
          <t>New Seats total</t>
        </is>
      </c>
      <c r="B8" s="35">
        <f>B6*Inputs!$B$23+B7*Inputs!$B$24</f>
        <v/>
      </c>
      <c r="C8" s="35">
        <f>C6*Inputs!$B$23+C7*Inputs!$B$24</f>
        <v/>
      </c>
      <c r="D8" s="35">
        <f>D6*Inputs!$B$23+D7*Inputs!$B$24</f>
        <v/>
      </c>
      <c r="E8" s="35">
        <f>E6*Inputs!$B$23+E7*Inputs!$B$24</f>
        <v/>
      </c>
      <c r="F8" s="35">
        <f>F6*Inputs!$B$23+F7*Inputs!$B$24</f>
        <v/>
      </c>
      <c r="G8" s="35">
        <f>G6*Inputs!$B$23+G7*Inputs!$B$24</f>
        <v/>
      </c>
      <c r="H8" s="35">
        <f>H6*Inputs!$B$23+H7*Inputs!$B$24</f>
        <v/>
      </c>
      <c r="I8" s="35">
        <f>I6*Inputs!$B$23+I7*Inputs!$B$24</f>
        <v/>
      </c>
      <c r="J8" s="35">
        <f>J6*Inputs!$B$23+J7*Inputs!$B$24</f>
        <v/>
      </c>
      <c r="K8" s="35">
        <f>K6*Inputs!$B$23+K7*Inputs!$B$24</f>
        <v/>
      </c>
      <c r="L8" s="35">
        <f>L6*Inputs!$B$23+L7*Inputs!$B$24</f>
        <v/>
      </c>
      <c r="M8" s="35">
        <f>M6*Inputs!$B$23+M7*Inputs!$B$24</f>
        <v/>
      </c>
      <c r="N8" s="35">
        <f>N6*Inputs!$B$23+N7*Inputs!$B$24</f>
        <v/>
      </c>
      <c r="O8" s="35">
        <f>O6*Inputs!$B$23+O7*Inputs!$B$24</f>
        <v/>
      </c>
      <c r="P8" s="35">
        <f>P6*Inputs!$B$23+P7*Inputs!$B$24</f>
        <v/>
      </c>
      <c r="Q8" s="35">
        <f>Q6*Inputs!$B$23+Q7*Inputs!$B$24</f>
        <v/>
      </c>
      <c r="R8" s="35">
        <f>R6*Inputs!$B$23+R7*Inputs!$B$24</f>
        <v/>
      </c>
      <c r="S8" s="35">
        <f>S6*Inputs!$B$23+S7*Inputs!$B$24</f>
        <v/>
      </c>
      <c r="T8" s="35">
        <f>T6*Inputs!$B$23+T7*Inputs!$B$24</f>
        <v/>
      </c>
      <c r="U8" s="35">
        <f>U6*Inputs!$B$23+U7*Inputs!$B$24</f>
        <v/>
      </c>
      <c r="V8" s="35">
        <f>V6*Inputs!$B$23+V7*Inputs!$B$24</f>
        <v/>
      </c>
      <c r="W8" s="35">
        <f>W6*Inputs!$B$23+W7*Inputs!$B$24</f>
        <v/>
      </c>
      <c r="X8" s="35">
        <f>X6*Inputs!$B$23+X7*Inputs!$B$24</f>
        <v/>
      </c>
      <c r="Y8" s="35">
        <f>Y6*Inputs!$B$23+Y7*Inputs!$B$24</f>
        <v/>
      </c>
      <c r="Z8" s="35">
        <f>Z6*Inputs!$B$23+Z7*Inputs!$B$24</f>
        <v/>
      </c>
      <c r="AA8" s="35">
        <f>AA6*Inputs!$B$23+AA7*Inputs!$B$24</f>
        <v/>
      </c>
      <c r="AB8" s="35">
        <f>AB6*Inputs!$B$23+AB7*Inputs!$B$24</f>
        <v/>
      </c>
      <c r="AC8" s="35">
        <f>AC6*Inputs!$B$23+AC7*Inputs!$B$24</f>
        <v/>
      </c>
      <c r="AD8" s="35">
        <f>AD6*Inputs!$B$23+AD7*Inputs!$B$24</f>
        <v/>
      </c>
      <c r="AE8" s="35">
        <f>AE6*Inputs!$B$23+AE7*Inputs!$B$24</f>
        <v/>
      </c>
      <c r="AF8" s="35">
        <f>AF6*Inputs!$B$23+AF7*Inputs!$B$24</f>
        <v/>
      </c>
      <c r="AG8" s="35">
        <f>AG6*Inputs!$B$23+AG7*Inputs!$B$24</f>
        <v/>
      </c>
      <c r="AH8" s="35">
        <f>AH6*Inputs!$B$23+AH7*Inputs!$B$24</f>
        <v/>
      </c>
      <c r="AI8" s="35">
        <f>AI6*Inputs!$B$23+AI7*Inputs!$B$24</f>
        <v/>
      </c>
      <c r="AJ8" s="35">
        <f>AJ6*Inputs!$B$23+AJ7*Inputs!$B$24</f>
        <v/>
      </c>
      <c r="AK8" s="35">
        <f>AK6*Inputs!$B$23+AK7*Inputs!$B$24</f>
        <v/>
      </c>
      <c r="AL8" s="35">
        <f>AL6*Inputs!$B$23+AL7*Inputs!$B$24</f>
        <v/>
      </c>
      <c r="AM8" s="35">
        <f>AM6*Inputs!$B$23+AM7*Inputs!$B$24</f>
        <v/>
      </c>
      <c r="AN8" s="35">
        <f>AN6*Inputs!$B$23+AN7*Inputs!$B$24</f>
        <v/>
      </c>
      <c r="AO8" s="35">
        <f>AO6*Inputs!$B$23+AO7*Inputs!$B$24</f>
        <v/>
      </c>
      <c r="AP8" s="35">
        <f>AP6*Inputs!$B$23+AP7*Inputs!$B$24</f>
        <v/>
      </c>
      <c r="AQ8" s="35">
        <f>AQ6*Inputs!$B$23+AQ7*Inputs!$B$24</f>
        <v/>
      </c>
      <c r="AR8" s="35">
        <f>AR6*Inputs!$B$23+AR7*Inputs!$B$24</f>
        <v/>
      </c>
      <c r="AS8" s="35">
        <f>AS6*Inputs!$B$23+AS7*Inputs!$B$24</f>
        <v/>
      </c>
      <c r="AT8" s="35">
        <f>AT6*Inputs!$B$23+AT7*Inputs!$B$24</f>
        <v/>
      </c>
      <c r="AU8" s="35">
        <f>AU6*Inputs!$B$23+AU7*Inputs!$B$24</f>
        <v/>
      </c>
      <c r="AV8" s="35">
        <f>AV6*Inputs!$B$23+AV7*Inputs!$B$24</f>
        <v/>
      </c>
      <c r="AW8" s="35">
        <f>AW6*Inputs!$B$23+AW7*Inputs!$B$24</f>
        <v/>
      </c>
      <c r="AX8" s="35">
        <f>AX6*Inputs!$B$23+AX7*Inputs!$B$24</f>
        <v/>
      </c>
      <c r="AY8" s="35">
        <f>AY6*Inputs!$B$23+AY7*Inputs!$B$24</f>
        <v/>
      </c>
      <c r="AZ8" s="35">
        <f>AZ6*Inputs!$B$23+AZ7*Inputs!$B$24</f>
        <v/>
      </c>
      <c r="BA8" s="35">
        <f>BA6*Inputs!$B$23+BA7*Inputs!$B$24</f>
        <v/>
      </c>
    </row>
    <row r="9" ht="14.25" customHeight="1" s="214">
      <c r="A9" s="3" t="inlineStr">
        <is>
          <t>Churned Seats</t>
        </is>
      </c>
      <c r="B9" s="35">
        <f>0</f>
        <v/>
      </c>
      <c r="C9" s="35">
        <f>IF(B11&gt;0,ROUND(B11*Inputs!$B$30/12,0),0)</f>
        <v/>
      </c>
      <c r="D9" s="35">
        <f>IF(C11&gt;0,ROUND(C11*Inputs!$B$30/12,0),0)</f>
        <v/>
      </c>
      <c r="E9" s="35">
        <f>IF(D11&gt;0,ROUND(D11*Inputs!$B$30/12,0),0)</f>
        <v/>
      </c>
      <c r="F9" s="35">
        <f>IF(E11&gt;0,ROUND(E11*Inputs!$B$30/12,0),0)</f>
        <v/>
      </c>
      <c r="G9" s="35">
        <f>IF(F11&gt;0,ROUND(F11*Inputs!$B$30/12,0),0)</f>
        <v/>
      </c>
      <c r="H9" s="35">
        <f>IF(G11&gt;0,ROUND(G11*Inputs!$B$30/12,0),0)</f>
        <v/>
      </c>
      <c r="I9" s="35">
        <f>IF(H11&gt;0,ROUND(H11*Inputs!$B$30/12,0),0)</f>
        <v/>
      </c>
      <c r="J9" s="35">
        <f>IF(I11&gt;0,ROUND(I11*Inputs!$B$30/12,0),0)</f>
        <v/>
      </c>
      <c r="K9" s="35">
        <f>IF(J11&gt;0,ROUND(J11*Inputs!$B$30/12,0),0)</f>
        <v/>
      </c>
      <c r="L9" s="35">
        <f>IF(K11&gt;0,ROUND(K11*Inputs!$B$30/12,0),0)</f>
        <v/>
      </c>
      <c r="M9" s="35">
        <f>IF(L11&gt;0,ROUND(L11*Inputs!$B$30/12,0),0)</f>
        <v/>
      </c>
      <c r="N9" s="35">
        <f>IF(M11&gt;0,ROUND(M11*Inputs!$B$30/12,0),0)</f>
        <v/>
      </c>
      <c r="O9" s="35">
        <f>IF(N11&gt;0,ROUND(N11*Inputs!$B$30/12,0),0)</f>
        <v/>
      </c>
      <c r="P9" s="35">
        <f>IF(O11&gt;0,ROUND(O11*Inputs!$B$30/12,0),0)</f>
        <v/>
      </c>
      <c r="Q9" s="35">
        <f>IF(P11&gt;0,ROUND(P11*Inputs!$B$30/12,0),0)</f>
        <v/>
      </c>
      <c r="R9" s="35">
        <f>IF(Q11&gt;0,ROUND(Q11*Inputs!$B$30/12,0),0)</f>
        <v/>
      </c>
      <c r="S9" s="35">
        <f>IF(R11&gt;0,ROUND(R11*Inputs!$B$30/12,0),0)</f>
        <v/>
      </c>
      <c r="T9" s="35">
        <f>IF(S11&gt;0,ROUND(S11*Inputs!$B$30/12,0),0)</f>
        <v/>
      </c>
      <c r="U9" s="35">
        <f>IF(T11&gt;0,ROUND(T11*Inputs!$B$30/12,0),0)</f>
        <v/>
      </c>
      <c r="V9" s="35">
        <f>IF(U11&gt;0,ROUND(U11*Inputs!$B$30/12,0),0)</f>
        <v/>
      </c>
      <c r="W9" s="35">
        <f>IF(V11&gt;0,ROUND(V11*Inputs!$B$30/12,0),0)</f>
        <v/>
      </c>
      <c r="X9" s="35">
        <f>IF(W11&gt;0,ROUND(W11*Inputs!$B$30/12,0),0)</f>
        <v/>
      </c>
      <c r="Y9" s="35">
        <f>IF(X11&gt;0,ROUND(X11*Inputs!$B$30/12,0),0)</f>
        <v/>
      </c>
      <c r="Z9" s="35">
        <f>IF(Y11&gt;0,ROUND(Y11*Inputs!$B$30/12,0),0)</f>
        <v/>
      </c>
      <c r="AA9" s="35">
        <f>IF(Z11&gt;0,ROUND(Z11*Inputs!$B$30/12,0),0)</f>
        <v/>
      </c>
      <c r="AB9" s="35">
        <f>IF(AA11&gt;0,ROUND(AA11*Inputs!$B$30/12,0),0)</f>
        <v/>
      </c>
      <c r="AC9" s="35">
        <f>IF(AB11&gt;0,ROUND(AB11*Inputs!$B$30/12,0),0)</f>
        <v/>
      </c>
      <c r="AD9" s="35">
        <f>IF(AC11&gt;0,ROUND(AC11*Inputs!$B$30/12,0),0)</f>
        <v/>
      </c>
      <c r="AE9" s="35">
        <f>IF(AD11&gt;0,ROUND(AD11*Inputs!$B$30/12,0),0)</f>
        <v/>
      </c>
      <c r="AF9" s="35">
        <f>IF(AE11&gt;0,ROUND(AE11*Inputs!$B$30/12,0),0)</f>
        <v/>
      </c>
      <c r="AG9" s="35">
        <f>IF(AF11&gt;0,ROUND(AF11*Inputs!$B$30/12,0),0)</f>
        <v/>
      </c>
      <c r="AH9" s="35">
        <f>IF(AG11&gt;0,ROUND(AG11*Inputs!$B$30/12,0),0)</f>
        <v/>
      </c>
      <c r="AI9" s="35">
        <f>IF(AH11&gt;0,ROUND(AH11*Inputs!$B$30/12,0),0)</f>
        <v/>
      </c>
      <c r="AJ9" s="35">
        <f>IF(AI11&gt;0,ROUND(AI11*Inputs!$B$30/12,0),0)</f>
        <v/>
      </c>
      <c r="AK9" s="35">
        <f>IF(AJ11&gt;0,ROUND(AJ11*Inputs!$B$30/12,0),0)</f>
        <v/>
      </c>
      <c r="AL9" s="35">
        <f>IF(AK11&gt;0,ROUND(AK11*Inputs!$B$30/12,0),0)</f>
        <v/>
      </c>
      <c r="AM9" s="35">
        <f>IF(AL11&gt;0,ROUND(AL11*Inputs!$B$30/12,0),0)</f>
        <v/>
      </c>
      <c r="AN9" s="35">
        <f>IF(AM11&gt;0,ROUND(AM11*Inputs!$B$30/12,0),0)</f>
        <v/>
      </c>
      <c r="AO9" s="35">
        <f>IF(AN11&gt;0,ROUND(AN11*Inputs!$B$30/12,0),0)</f>
        <v/>
      </c>
      <c r="AP9" s="35">
        <f>IF(AO11&gt;0,ROUND(AO11*Inputs!$B$30/12,0),0)</f>
        <v/>
      </c>
      <c r="AQ9" s="35">
        <f>IF(AP11&gt;0,ROUND(AP11*Inputs!$B$30/12,0),0)</f>
        <v/>
      </c>
      <c r="AR9" s="35">
        <f>IF(AQ11&gt;0,ROUND(AQ11*Inputs!$B$30/12,0),0)</f>
        <v/>
      </c>
      <c r="AS9" s="35">
        <f>IF(AR11&gt;0,ROUND(AR11*Inputs!$B$30/12,0),0)</f>
        <v/>
      </c>
      <c r="AT9" s="35">
        <f>IF(AS11&gt;0,ROUND(AS11*Inputs!$B$30/12,0),0)</f>
        <v/>
      </c>
      <c r="AU9" s="35">
        <f>IF(AT11&gt;0,ROUND(AT11*Inputs!$B$30/12,0),0)</f>
        <v/>
      </c>
      <c r="AV9" s="35">
        <f>IF(AU11&gt;0,ROUND(AU11*Inputs!$B$30/12,0),0)</f>
        <v/>
      </c>
      <c r="AW9" s="35">
        <f>IF(AV11&gt;0,ROUND(AV11*Inputs!$B$30/12,0),0)</f>
        <v/>
      </c>
      <c r="AX9" s="35">
        <f>IF(AW11&gt;0,ROUND(AW11*Inputs!$B$30/12,0),0)</f>
        <v/>
      </c>
      <c r="AY9" s="35">
        <f>IF(AX11&gt;0,ROUND(AX11*Inputs!$B$30/12,0),0)</f>
        <v/>
      </c>
      <c r="AZ9" s="35">
        <f>IF(AY11&gt;0,ROUND(AY11*Inputs!$B$30/12,0),0)</f>
        <v/>
      </c>
      <c r="BA9" s="35">
        <f>IF(AZ11&gt;0,ROUND(AZ11*Inputs!$B$30/12,0),0)</f>
        <v/>
      </c>
    </row>
    <row r="10" ht="14.25" customHeight="1" s="214">
      <c r="A10" s="3" t="inlineStr">
        <is>
          <t>Net New Seats</t>
        </is>
      </c>
      <c r="B10" s="35">
        <f>B8-B9</f>
        <v/>
      </c>
      <c r="C10" s="35">
        <f>C8-C9</f>
        <v/>
      </c>
      <c r="D10" s="35">
        <f>D8-D9</f>
        <v/>
      </c>
      <c r="E10" s="35">
        <f>E8-E9</f>
        <v/>
      </c>
      <c r="F10" s="35">
        <f>F8-F9</f>
        <v/>
      </c>
      <c r="G10" s="35">
        <f>G8-G9</f>
        <v/>
      </c>
      <c r="H10" s="35">
        <f>H8-H9</f>
        <v/>
      </c>
      <c r="I10" s="35">
        <f>I8-I9</f>
        <v/>
      </c>
      <c r="J10" s="35">
        <f>J8-J9</f>
        <v/>
      </c>
      <c r="K10" s="35">
        <f>K8-K9</f>
        <v/>
      </c>
      <c r="L10" s="35">
        <f>L8-L9</f>
        <v/>
      </c>
      <c r="M10" s="35">
        <f>M8-M9</f>
        <v/>
      </c>
      <c r="N10" s="35">
        <f>N8-N9</f>
        <v/>
      </c>
      <c r="O10" s="35">
        <f>O8-O9</f>
        <v/>
      </c>
      <c r="P10" s="35">
        <f>P8-P9</f>
        <v/>
      </c>
      <c r="Q10" s="35">
        <f>Q8-Q9</f>
        <v/>
      </c>
      <c r="R10" s="35">
        <f>R8-R9</f>
        <v/>
      </c>
      <c r="S10" s="35">
        <f>S8-S9</f>
        <v/>
      </c>
      <c r="T10" s="35">
        <f>T8-T9</f>
        <v/>
      </c>
      <c r="U10" s="35">
        <f>U8-U9</f>
        <v/>
      </c>
      <c r="V10" s="35">
        <f>V8-V9</f>
        <v/>
      </c>
      <c r="W10" s="35">
        <f>W8-W9</f>
        <v/>
      </c>
      <c r="X10" s="35">
        <f>X8-X9</f>
        <v/>
      </c>
      <c r="Y10" s="35">
        <f>Y8-Y9</f>
        <v/>
      </c>
      <c r="Z10" s="35">
        <f>Z8-Z9</f>
        <v/>
      </c>
      <c r="AA10" s="35">
        <f>AA8-AA9</f>
        <v/>
      </c>
      <c r="AB10" s="35">
        <f>AB8-AB9</f>
        <v/>
      </c>
      <c r="AC10" s="35">
        <f>AC8-AC9</f>
        <v/>
      </c>
      <c r="AD10" s="35">
        <f>AD8-AD9</f>
        <v/>
      </c>
      <c r="AE10" s="35">
        <f>AE8-AE9</f>
        <v/>
      </c>
      <c r="AF10" s="35">
        <f>AF8-AF9</f>
        <v/>
      </c>
      <c r="AG10" s="35">
        <f>AG8-AG9</f>
        <v/>
      </c>
      <c r="AH10" s="35">
        <f>AH8-AH9</f>
        <v/>
      </c>
      <c r="AI10" s="35">
        <f>AI8-AI9</f>
        <v/>
      </c>
      <c r="AJ10" s="35">
        <f>AJ8-AJ9</f>
        <v/>
      </c>
      <c r="AK10" s="35">
        <f>AK8-AK9</f>
        <v/>
      </c>
      <c r="AL10" s="35">
        <f>AL8-AL9</f>
        <v/>
      </c>
      <c r="AM10" s="35">
        <f>AM8-AM9</f>
        <v/>
      </c>
      <c r="AN10" s="35">
        <f>AN8-AN9</f>
        <v/>
      </c>
      <c r="AO10" s="35">
        <f>AO8-AO9</f>
        <v/>
      </c>
      <c r="AP10" s="35">
        <f>AP8-AP9</f>
        <v/>
      </c>
      <c r="AQ10" s="35">
        <f>AQ8-AQ9</f>
        <v/>
      </c>
      <c r="AR10" s="35">
        <f>AR8-AR9</f>
        <v/>
      </c>
      <c r="AS10" s="35">
        <f>AS8-AS9</f>
        <v/>
      </c>
      <c r="AT10" s="35">
        <f>AT8-AT9</f>
        <v/>
      </c>
      <c r="AU10" s="35">
        <f>AU8-AU9</f>
        <v/>
      </c>
      <c r="AV10" s="35">
        <f>AV8-AV9</f>
        <v/>
      </c>
      <c r="AW10" s="35">
        <f>AW8-AW9</f>
        <v/>
      </c>
      <c r="AX10" s="35">
        <f>AX8-AX9</f>
        <v/>
      </c>
      <c r="AY10" s="35">
        <f>AY8-AY9</f>
        <v/>
      </c>
      <c r="AZ10" s="35">
        <f>AZ8-AZ9</f>
        <v/>
      </c>
      <c r="BA10" s="35">
        <f>BA8-BA9</f>
        <v/>
      </c>
    </row>
    <row r="11" ht="14.25" customHeight="1" s="214">
      <c r="A11" s="3" t="inlineStr">
        <is>
          <t>Total Active Seats</t>
        </is>
      </c>
      <c r="B11" s="35">
        <f>B10</f>
        <v/>
      </c>
      <c r="C11" s="35">
        <f>B11+C10</f>
        <v/>
      </c>
      <c r="D11" s="35">
        <f>C11+D10</f>
        <v/>
      </c>
      <c r="E11" s="35">
        <f>D11+E10</f>
        <v/>
      </c>
      <c r="F11" s="35">
        <f>E11+F10</f>
        <v/>
      </c>
      <c r="G11" s="35">
        <f>F11+G10</f>
        <v/>
      </c>
      <c r="H11" s="35">
        <f>G11+H10</f>
        <v/>
      </c>
      <c r="I11" s="35">
        <f>H11+I10</f>
        <v/>
      </c>
      <c r="J11" s="35">
        <f>I11+J10</f>
        <v/>
      </c>
      <c r="K11" s="35">
        <f>J11+K10</f>
        <v/>
      </c>
      <c r="L11" s="35">
        <f>K11+L10</f>
        <v/>
      </c>
      <c r="M11" s="35">
        <f>L11+M10</f>
        <v/>
      </c>
      <c r="N11" s="35">
        <f>M11+N10</f>
        <v/>
      </c>
      <c r="O11" s="35">
        <f>N11+O10</f>
        <v/>
      </c>
      <c r="P11" s="35">
        <f>O11+P10</f>
        <v/>
      </c>
      <c r="Q11" s="35">
        <f>P11+Q10</f>
        <v/>
      </c>
      <c r="R11" s="35">
        <f>Q11+R10</f>
        <v/>
      </c>
      <c r="S11" s="35">
        <f>R11+S10</f>
        <v/>
      </c>
      <c r="T11" s="35">
        <f>S11+T10</f>
        <v/>
      </c>
      <c r="U11" s="35">
        <f>T11+U10</f>
        <v/>
      </c>
      <c r="V11" s="35">
        <f>U11+V10</f>
        <v/>
      </c>
      <c r="W11" s="35">
        <f>V11+W10</f>
        <v/>
      </c>
      <c r="X11" s="35">
        <f>W11+X10</f>
        <v/>
      </c>
      <c r="Y11" s="35">
        <f>X11+Y10</f>
        <v/>
      </c>
      <c r="Z11" s="35">
        <f>Y11+Z10</f>
        <v/>
      </c>
      <c r="AA11" s="35">
        <f>Z11+AA10</f>
        <v/>
      </c>
      <c r="AB11" s="35">
        <f>AA11+AB10</f>
        <v/>
      </c>
      <c r="AC11" s="35">
        <f>AB11+AC10</f>
        <v/>
      </c>
      <c r="AD11" s="35">
        <f>AC11+AD10</f>
        <v/>
      </c>
      <c r="AE11" s="35">
        <f>AD11+AE10</f>
        <v/>
      </c>
      <c r="AF11" s="35">
        <f>AE11+AF10</f>
        <v/>
      </c>
      <c r="AG11" s="35">
        <f>AF11+AG10</f>
        <v/>
      </c>
      <c r="AH11" s="35">
        <f>AG11+AH10</f>
        <v/>
      </c>
      <c r="AI11" s="35">
        <f>AH11+AI10</f>
        <v/>
      </c>
      <c r="AJ11" s="35">
        <f>AI11+AJ10</f>
        <v/>
      </c>
      <c r="AK11" s="35">
        <f>AJ11+AK10</f>
        <v/>
      </c>
      <c r="AL11" s="35">
        <f>AK11+AL10</f>
        <v/>
      </c>
      <c r="AM11" s="35">
        <f>AL11+AM10</f>
        <v/>
      </c>
      <c r="AN11" s="35">
        <f>AM11+AN10</f>
        <v/>
      </c>
      <c r="AO11" s="35">
        <f>AN11+AO10</f>
        <v/>
      </c>
      <c r="AP11" s="35">
        <f>AO11+AP10</f>
        <v/>
      </c>
      <c r="AQ11" s="35">
        <f>AP11+AQ10</f>
        <v/>
      </c>
      <c r="AR11" s="35">
        <f>AQ11+AR10</f>
        <v/>
      </c>
      <c r="AS11" s="35">
        <f>AR11+AS10</f>
        <v/>
      </c>
      <c r="AT11" s="35">
        <f>AS11+AT10</f>
        <v/>
      </c>
      <c r="AU11" s="35">
        <f>AT11+AU10</f>
        <v/>
      </c>
      <c r="AV11" s="35">
        <f>AU11+AV10</f>
        <v/>
      </c>
      <c r="AW11" s="35">
        <f>AV11+AW10</f>
        <v/>
      </c>
      <c r="AX11" s="35">
        <f>AW11+AX10</f>
        <v/>
      </c>
      <c r="AY11" s="35">
        <f>AX11+AY10</f>
        <v/>
      </c>
      <c r="AZ11" s="35">
        <f>AY11+AZ10</f>
        <v/>
      </c>
      <c r="BA11" s="35">
        <f>AZ11+BA10</f>
        <v/>
      </c>
    </row>
    <row r="12" ht="14.25" customHeight="1" s="214">
      <c r="A12" s="3" t="inlineStr">
        <is>
          <t>Monthly Subscription Revenue (€)</t>
        </is>
      </c>
      <c r="B12" s="35">
        <f>B11*B5</f>
        <v/>
      </c>
      <c r="C12" s="35">
        <f>C11*C5</f>
        <v/>
      </c>
      <c r="D12" s="35">
        <f>D11*D5</f>
        <v/>
      </c>
      <c r="E12" s="35">
        <f>E11*E5</f>
        <v/>
      </c>
      <c r="F12" s="35">
        <f>F11*F5</f>
        <v/>
      </c>
      <c r="G12" s="35">
        <f>G11*G5</f>
        <v/>
      </c>
      <c r="H12" s="35">
        <f>H11*H5</f>
        <v/>
      </c>
      <c r="I12" s="35">
        <f>I11*I5</f>
        <v/>
      </c>
      <c r="J12" s="35">
        <f>J11*J5</f>
        <v/>
      </c>
      <c r="K12" s="35">
        <f>K11*K5</f>
        <v/>
      </c>
      <c r="L12" s="35">
        <f>L11*L5</f>
        <v/>
      </c>
      <c r="M12" s="35">
        <f>M11*M5</f>
        <v/>
      </c>
      <c r="N12" s="35">
        <f>N11*N5</f>
        <v/>
      </c>
      <c r="O12" s="35">
        <f>O11*O5</f>
        <v/>
      </c>
      <c r="P12" s="35">
        <f>P11*P5</f>
        <v/>
      </c>
      <c r="Q12" s="35">
        <f>Q11*Q5</f>
        <v/>
      </c>
      <c r="R12" s="35">
        <f>R11*R5</f>
        <v/>
      </c>
      <c r="S12" s="35">
        <f>S11*S5</f>
        <v/>
      </c>
      <c r="T12" s="35">
        <f>T11*T5</f>
        <v/>
      </c>
      <c r="U12" s="35">
        <f>U11*U5</f>
        <v/>
      </c>
      <c r="V12" s="35">
        <f>V11*V5</f>
        <v/>
      </c>
      <c r="W12" s="35">
        <f>W11*W5</f>
        <v/>
      </c>
      <c r="X12" s="35">
        <f>X11*X5</f>
        <v/>
      </c>
      <c r="Y12" s="35">
        <f>Y11*Y5</f>
        <v/>
      </c>
      <c r="Z12" s="35">
        <f>Z11*Z5</f>
        <v/>
      </c>
      <c r="AA12" s="35">
        <f>AA11*AA5</f>
        <v/>
      </c>
      <c r="AB12" s="35">
        <f>AB11*AB5</f>
        <v/>
      </c>
      <c r="AC12" s="35">
        <f>AC11*AC5</f>
        <v/>
      </c>
      <c r="AD12" s="35">
        <f>AD11*AD5</f>
        <v/>
      </c>
      <c r="AE12" s="35">
        <f>AE11*AE5</f>
        <v/>
      </c>
      <c r="AF12" s="35">
        <f>AF11*AF5</f>
        <v/>
      </c>
      <c r="AG12" s="35">
        <f>AG11*AG5</f>
        <v/>
      </c>
      <c r="AH12" s="35">
        <f>AH11*AH5</f>
        <v/>
      </c>
      <c r="AI12" s="35">
        <f>AI11*AI5</f>
        <v/>
      </c>
      <c r="AJ12" s="35">
        <f>AJ11*AJ5</f>
        <v/>
      </c>
      <c r="AK12" s="35">
        <f>AK11*AK5</f>
        <v/>
      </c>
      <c r="AL12" s="35">
        <f>AL11*AL5</f>
        <v/>
      </c>
      <c r="AM12" s="35">
        <f>AM11*AM5</f>
        <v/>
      </c>
      <c r="AN12" s="35">
        <f>AN11*AN5</f>
        <v/>
      </c>
      <c r="AO12" s="35">
        <f>AO11*AO5</f>
        <v/>
      </c>
      <c r="AP12" s="35">
        <f>AP11*AP5</f>
        <v/>
      </c>
      <c r="AQ12" s="35">
        <f>AQ11*AQ5</f>
        <v/>
      </c>
      <c r="AR12" s="35">
        <f>AR11*AR5</f>
        <v/>
      </c>
      <c r="AS12" s="35">
        <f>AS11*AS5</f>
        <v/>
      </c>
      <c r="AT12" s="35">
        <f>AT11*AT5</f>
        <v/>
      </c>
      <c r="AU12" s="35">
        <f>AU11*AU5</f>
        <v/>
      </c>
      <c r="AV12" s="35">
        <f>AV11*AV5</f>
        <v/>
      </c>
      <c r="AW12" s="35">
        <f>AW11*AW5</f>
        <v/>
      </c>
      <c r="AX12" s="35">
        <f>AX11*AX5</f>
        <v/>
      </c>
      <c r="AY12" s="35">
        <f>AY11*AY5</f>
        <v/>
      </c>
      <c r="AZ12" s="35">
        <f>AZ11*AZ5</f>
        <v/>
      </c>
      <c r="BA12" s="35">
        <f>BA11*BA5</f>
        <v/>
      </c>
    </row>
    <row r="13" ht="14.25" customHeight="1" s="214">
      <c r="A13" s="3" t="inlineStr">
        <is>
          <t>Subscription ARR (€)</t>
        </is>
      </c>
      <c r="B13" s="35">
        <f>B12*12</f>
        <v/>
      </c>
      <c r="C13" s="35">
        <f>C12*12</f>
        <v/>
      </c>
      <c r="D13" s="35">
        <f>D12*12</f>
        <v/>
      </c>
      <c r="E13" s="35">
        <f>E12*12</f>
        <v/>
      </c>
      <c r="F13" s="35">
        <f>F12*12</f>
        <v/>
      </c>
      <c r="G13" s="35">
        <f>G12*12</f>
        <v/>
      </c>
      <c r="H13" s="35">
        <f>H12*12</f>
        <v/>
      </c>
      <c r="I13" s="35">
        <f>I12*12</f>
        <v/>
      </c>
      <c r="J13" s="35">
        <f>J12*12</f>
        <v/>
      </c>
      <c r="K13" s="35">
        <f>K12*12</f>
        <v/>
      </c>
      <c r="L13" s="35">
        <f>L12*12</f>
        <v/>
      </c>
      <c r="M13" s="35">
        <f>M12*12</f>
        <v/>
      </c>
      <c r="N13" s="35">
        <f>N12*12</f>
        <v/>
      </c>
      <c r="O13" s="35">
        <f>O12*12</f>
        <v/>
      </c>
      <c r="P13" s="35">
        <f>P12*12</f>
        <v/>
      </c>
      <c r="Q13" s="35">
        <f>Q12*12</f>
        <v/>
      </c>
      <c r="R13" s="35">
        <f>R12*12</f>
        <v/>
      </c>
      <c r="S13" s="35">
        <f>S12*12</f>
        <v/>
      </c>
      <c r="T13" s="35">
        <f>T12*12</f>
        <v/>
      </c>
      <c r="U13" s="35">
        <f>U12*12</f>
        <v/>
      </c>
      <c r="V13" s="35">
        <f>V12*12</f>
        <v/>
      </c>
      <c r="W13" s="35">
        <f>W12*12</f>
        <v/>
      </c>
      <c r="X13" s="35">
        <f>X12*12</f>
        <v/>
      </c>
      <c r="Y13" s="35">
        <f>Y12*12</f>
        <v/>
      </c>
      <c r="Z13" s="35">
        <f>Z12*12</f>
        <v/>
      </c>
      <c r="AA13" s="35">
        <f>AA12*12</f>
        <v/>
      </c>
      <c r="AB13" s="35">
        <f>AB12*12</f>
        <v/>
      </c>
      <c r="AC13" s="35">
        <f>AC12*12</f>
        <v/>
      </c>
      <c r="AD13" s="35">
        <f>AD12*12</f>
        <v/>
      </c>
      <c r="AE13" s="35">
        <f>AE12*12</f>
        <v/>
      </c>
      <c r="AF13" s="35">
        <f>AF12*12</f>
        <v/>
      </c>
      <c r="AG13" s="35">
        <f>AG12*12</f>
        <v/>
      </c>
      <c r="AH13" s="35">
        <f>AH12*12</f>
        <v/>
      </c>
      <c r="AI13" s="35">
        <f>AI12*12</f>
        <v/>
      </c>
      <c r="AJ13" s="35">
        <f>AJ12*12</f>
        <v/>
      </c>
      <c r="AK13" s="35">
        <f>AK12*12</f>
        <v/>
      </c>
      <c r="AL13" s="35">
        <f>AL12*12</f>
        <v/>
      </c>
      <c r="AM13" s="35">
        <f>AM12*12</f>
        <v/>
      </c>
      <c r="AN13" s="35">
        <f>AN12*12</f>
        <v/>
      </c>
      <c r="AO13" s="35">
        <f>AO12*12</f>
        <v/>
      </c>
      <c r="AP13" s="35">
        <f>AP12*12</f>
        <v/>
      </c>
      <c r="AQ13" s="35">
        <f>AQ12*12</f>
        <v/>
      </c>
      <c r="AR13" s="35">
        <f>AR12*12</f>
        <v/>
      </c>
      <c r="AS13" s="35">
        <f>AS12*12</f>
        <v/>
      </c>
      <c r="AT13" s="35">
        <f>AT12*12</f>
        <v/>
      </c>
      <c r="AU13" s="35">
        <f>AU12*12</f>
        <v/>
      </c>
      <c r="AV13" s="35">
        <f>AV12*12</f>
        <v/>
      </c>
      <c r="AW13" s="35">
        <f>AW12*12</f>
        <v/>
      </c>
      <c r="AX13" s="35">
        <f>AX12*12</f>
        <v/>
      </c>
      <c r="AY13" s="35">
        <f>AY12*12</f>
        <v/>
      </c>
      <c r="AZ13" s="35">
        <f>AZ12*12</f>
        <v/>
      </c>
      <c r="BA13" s="35">
        <f>BA12*12</f>
        <v/>
      </c>
    </row>
    <row r="14" ht="20" customHeight="1" s="214">
      <c r="A14" s="71" t="n"/>
    </row>
    <row r="15" ht="18" customHeight="1" s="214">
      <c r="A15" s="72" t="inlineStr">
        <is>
          <t>Neue Enterprise-Deals (Quartal)</t>
        </is>
      </c>
      <c r="B15" s="35" t="n">
        <v>0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0</v>
      </c>
      <c r="K15" s="35" t="n">
        <v>0</v>
      </c>
      <c r="L15" s="35" t="n">
        <v>0</v>
      </c>
      <c r="M15" s="35" t="n">
        <v>0</v>
      </c>
      <c r="N15" s="35" t="n">
        <v>0</v>
      </c>
      <c r="O15" s="35" t="n">
        <v>0</v>
      </c>
      <c r="P15" s="35" t="n">
        <v>0</v>
      </c>
      <c r="Q15" s="35" t="n">
        <v>0</v>
      </c>
      <c r="R15" s="35" t="n">
        <v>0</v>
      </c>
      <c r="S15" s="35" t="n">
        <v>0</v>
      </c>
      <c r="T15" s="35" t="n">
        <v>0</v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1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n">
        <v>0</v>
      </c>
      <c r="AE15" s="35" t="n">
        <v>1</v>
      </c>
      <c r="AF15" s="35" t="n">
        <v>0</v>
      </c>
      <c r="AG15" s="35" t="n">
        <v>0</v>
      </c>
      <c r="AH15" s="35" t="n">
        <v>0</v>
      </c>
      <c r="AI15" s="35" t="n">
        <v>0</v>
      </c>
      <c r="AJ15" s="35" t="n">
        <v>0</v>
      </c>
      <c r="AK15" s="35" t="n">
        <v>1</v>
      </c>
      <c r="AL15" s="35" t="n">
        <v>0</v>
      </c>
      <c r="AM15" s="35" t="n">
        <v>0</v>
      </c>
      <c r="AN15" s="35" t="n">
        <v>0</v>
      </c>
      <c r="AO15" s="35" t="n">
        <v>0</v>
      </c>
      <c r="AP15" s="35" t="n">
        <v>0</v>
      </c>
      <c r="AQ15" s="35" t="n">
        <v>1</v>
      </c>
      <c r="AR15" s="35" t="n">
        <v>0</v>
      </c>
      <c r="AS15" s="35" t="n">
        <v>0</v>
      </c>
      <c r="AT15" s="35" t="n">
        <v>0</v>
      </c>
      <c r="AU15" s="35" t="n">
        <v>0</v>
      </c>
      <c r="AV15" s="35" t="n">
        <v>0</v>
      </c>
      <c r="AW15" s="35" t="n">
        <v>1</v>
      </c>
      <c r="AX15" s="35" t="n">
        <v>0</v>
      </c>
      <c r="AY15" s="35" t="n">
        <v>0</v>
      </c>
      <c r="AZ15" s="35" t="n">
        <v>0</v>
      </c>
      <c r="BA15" s="35" t="n">
        <v>0</v>
      </c>
    </row>
    <row r="16" ht="14.25" customHeight="1" s="214">
      <c r="A16" s="3" t="inlineStr">
        <is>
          <t>Churned Enterprise</t>
        </is>
      </c>
      <c r="B16" s="35">
        <f>0</f>
        <v/>
      </c>
      <c r="C16" s="35">
        <f>IF(B17&gt;0,IF(MOD(2,12)=0,ROUND(B17*Inputs!$B$30,0),0),0)</f>
        <v/>
      </c>
      <c r="D16" s="35">
        <f>IF(C17&gt;0,IF(MOD(3,12)=0,ROUND(C17*Inputs!$B$30,0),0),0)</f>
        <v/>
      </c>
      <c r="E16" s="35">
        <f>IF(D17&gt;0,IF(MOD(4,12)=0,ROUND(D17*Inputs!$B$30,0),0),0)</f>
        <v/>
      </c>
      <c r="F16" s="35">
        <f>IF(E17&gt;0,IF(MOD(5,12)=0,ROUND(E17*Inputs!$B$30,0),0),0)</f>
        <v/>
      </c>
      <c r="G16" s="35">
        <f>IF(F17&gt;0,IF(MOD(6,12)=0,ROUND(F17*Inputs!$B$30,0),0),0)</f>
        <v/>
      </c>
      <c r="H16" s="35">
        <f>IF(G17&gt;0,IF(MOD(7,12)=0,ROUND(G17*Inputs!$B$30,0),0),0)</f>
        <v/>
      </c>
      <c r="I16" s="35">
        <f>IF(H17&gt;0,IF(MOD(8,12)=0,ROUND(H17*Inputs!$B$30,0),0),0)</f>
        <v/>
      </c>
      <c r="J16" s="35">
        <f>IF(I17&gt;0,IF(MOD(9,12)=0,ROUND(I17*Inputs!$B$30,0),0),0)</f>
        <v/>
      </c>
      <c r="K16" s="35">
        <f>IF(J17&gt;0,IF(MOD(10,12)=0,ROUND(J17*Inputs!$B$30,0),0),0)</f>
        <v/>
      </c>
      <c r="L16" s="35">
        <f>IF(K17&gt;0,IF(MOD(11,12)=0,ROUND(K17*Inputs!$B$30,0),0),0)</f>
        <v/>
      </c>
      <c r="M16" s="35">
        <f>IF(L17&gt;0,IF(MOD(12,12)=0,ROUND(L17*Inputs!$B$30,0),0),0)</f>
        <v/>
      </c>
      <c r="N16" s="35">
        <f>IF(M17&gt;0,IF(MOD(13,12)=0,ROUND(M17*Inputs!$B$30,0),0),0)</f>
        <v/>
      </c>
      <c r="O16" s="35">
        <f>IF(N17&gt;0,IF(MOD(14,12)=0,ROUND(N17*Inputs!$B$30,0),0),0)</f>
        <v/>
      </c>
      <c r="P16" s="35">
        <f>IF(O17&gt;0,IF(MOD(15,12)=0,ROUND(O17*Inputs!$B$30,0),0),0)</f>
        <v/>
      </c>
      <c r="Q16" s="35">
        <f>IF(P17&gt;0,IF(MOD(16,12)=0,ROUND(P17*Inputs!$B$30,0),0),0)</f>
        <v/>
      </c>
      <c r="R16" s="35">
        <f>IF(Q17&gt;0,IF(MOD(17,12)=0,ROUND(Q17*Inputs!$B$30,0),0),0)</f>
        <v/>
      </c>
      <c r="S16" s="35">
        <f>IF(R17&gt;0,IF(MOD(18,12)=0,ROUND(R17*Inputs!$B$30,0),0),0)</f>
        <v/>
      </c>
      <c r="T16" s="35">
        <f>IF(S17&gt;0,IF(MOD(19,12)=0,ROUND(S17*Inputs!$B$30,0),0),0)</f>
        <v/>
      </c>
      <c r="U16" s="35">
        <f>IF(T17&gt;0,IF(MOD(20,12)=0,ROUND(T17*Inputs!$B$30,0),0),0)</f>
        <v/>
      </c>
      <c r="V16" s="35">
        <f>IF(U17&gt;0,IF(MOD(21,12)=0,ROUND(U17*Inputs!$B$30,0),0),0)</f>
        <v/>
      </c>
      <c r="W16" s="35">
        <f>IF(V17&gt;0,IF(MOD(22,12)=0,ROUND(V17*Inputs!$B$30,0),0),0)</f>
        <v/>
      </c>
      <c r="X16" s="35">
        <f>IF(W17&gt;0,IF(MOD(23,12)=0,ROUND(W17*Inputs!$B$30,0),0),0)</f>
        <v/>
      </c>
      <c r="Y16" s="35">
        <f>IF(X17&gt;0,IF(MOD(24,12)=0,ROUND(X17*Inputs!$B$30,0),0),0)</f>
        <v/>
      </c>
      <c r="Z16" s="35">
        <f>IF(Y17&gt;0,IF(MOD(25,12)=0,ROUND(Y17*Inputs!$B$30,0),0),0)</f>
        <v/>
      </c>
      <c r="AA16" s="35">
        <f>IF(Z17&gt;0,IF(MOD(26,12)=0,ROUND(Z17*Inputs!$B$30,0),0),0)</f>
        <v/>
      </c>
      <c r="AB16" s="35">
        <f>IF(AA17&gt;0,IF(MOD(27,12)=0,ROUND(AA17*Inputs!$B$30,0),0),0)</f>
        <v/>
      </c>
      <c r="AC16" s="35">
        <f>IF(AB17&gt;0,IF(MOD(28,12)=0,ROUND(AB17*Inputs!$B$30,0),0),0)</f>
        <v/>
      </c>
      <c r="AD16" s="35">
        <f>IF(AC17&gt;0,IF(MOD(29,12)=0,ROUND(AC17*Inputs!$B$30,0),0),0)</f>
        <v/>
      </c>
      <c r="AE16" s="35">
        <f>IF(AD17&gt;0,IF(MOD(30,12)=0,ROUND(AD17*Inputs!$B$30,0),0),0)</f>
        <v/>
      </c>
      <c r="AF16" s="35">
        <f>IF(AE17&gt;0,IF(MOD(31,12)=0,ROUND(AE17*Inputs!$B$30,0),0),0)</f>
        <v/>
      </c>
      <c r="AG16" s="35">
        <f>IF(AF17&gt;0,IF(MOD(32,12)=0,ROUND(AF17*Inputs!$B$30,0),0),0)</f>
        <v/>
      </c>
      <c r="AH16" s="35">
        <f>IF(AG17&gt;0,IF(MOD(33,12)=0,ROUND(AG17*Inputs!$B$30,0),0),0)</f>
        <v/>
      </c>
      <c r="AI16" s="35">
        <f>IF(AH17&gt;0,IF(MOD(34,12)=0,ROUND(AH17*Inputs!$B$30,0),0),0)</f>
        <v/>
      </c>
      <c r="AJ16" s="35">
        <f>IF(AI17&gt;0,IF(MOD(35,12)=0,ROUND(AI17*Inputs!$B$30,0),0),0)</f>
        <v/>
      </c>
      <c r="AK16" s="35">
        <f>IF(AJ17&gt;0,IF(MOD(36,12)=0,ROUND(AJ17*Inputs!$B$30,0),0),0)</f>
        <v/>
      </c>
      <c r="AL16" s="35">
        <f>IF(AK17&gt;0,IF(MOD(37,12)=0,ROUND(AK17*Inputs!$B$30,0),0),0)</f>
        <v/>
      </c>
      <c r="AM16" s="35">
        <f>IF(AL17&gt;0,IF(MOD(38,12)=0,ROUND(AL17*Inputs!$B$30,0),0),0)</f>
        <v/>
      </c>
      <c r="AN16" s="35">
        <f>IF(AM17&gt;0,IF(MOD(39,12)=0,ROUND(AM17*Inputs!$B$30,0),0),0)</f>
        <v/>
      </c>
      <c r="AO16" s="35">
        <f>IF(AN17&gt;0,IF(MOD(40,12)=0,ROUND(AN17*Inputs!$B$30,0),0),0)</f>
        <v/>
      </c>
      <c r="AP16" s="35">
        <f>IF(AO17&gt;0,IF(MOD(41,12)=0,ROUND(AO17*Inputs!$B$30,0),0),0)</f>
        <v/>
      </c>
      <c r="AQ16" s="35">
        <f>IF(AP17&gt;0,IF(MOD(42,12)=0,ROUND(AP17*Inputs!$B$30,0),0),0)</f>
        <v/>
      </c>
      <c r="AR16" s="35">
        <f>IF(AQ17&gt;0,IF(MOD(43,12)=0,ROUND(AQ17*Inputs!$B$30,0),0),0)</f>
        <v/>
      </c>
      <c r="AS16" s="35">
        <f>IF(AR17&gt;0,IF(MOD(44,12)=0,ROUND(AR17*Inputs!$B$30,0),0),0)</f>
        <v/>
      </c>
      <c r="AT16" s="35">
        <f>IF(AS17&gt;0,IF(MOD(45,12)=0,ROUND(AS17*Inputs!$B$30,0),0),0)</f>
        <v/>
      </c>
      <c r="AU16" s="35">
        <f>IF(AT17&gt;0,IF(MOD(46,12)=0,ROUND(AT17*Inputs!$B$30,0),0),0)</f>
        <v/>
      </c>
      <c r="AV16" s="35">
        <f>IF(AU17&gt;0,IF(MOD(47,12)=0,ROUND(AU17*Inputs!$B$30,0),0),0)</f>
        <v/>
      </c>
      <c r="AW16" s="35">
        <f>IF(AV17&gt;0,IF(MOD(48,12)=0,ROUND(AV17*Inputs!$B$30,0),0),0)</f>
        <v/>
      </c>
      <c r="AX16" s="35">
        <f>IF(AW17&gt;0,IF(MOD(49,12)=0,ROUND(AW17*Inputs!$B$30,0),0),0)</f>
        <v/>
      </c>
      <c r="AY16" s="35">
        <f>IF(AX17&gt;0,IF(MOD(50,12)=0,ROUND(AX17*Inputs!$B$30,0),0),0)</f>
        <v/>
      </c>
      <c r="AZ16" s="35">
        <f>IF(AY17&gt;0,IF(MOD(51,12)=0,ROUND(AY17*Inputs!$B$30,0),0),0)</f>
        <v/>
      </c>
      <c r="BA16" s="35">
        <f>IF(AZ17&gt;0,IF(MOD(52,12)=0,ROUND(AZ17*Inputs!$B$30,0),0),0)</f>
        <v/>
      </c>
    </row>
    <row r="17" ht="14.25" customHeight="1" s="214">
      <c r="A17" s="3" t="inlineStr">
        <is>
          <t>Active Enterprise Contracts</t>
        </is>
      </c>
      <c r="B17" s="35">
        <f>B15-B16</f>
        <v/>
      </c>
      <c r="C17" s="35">
        <f>B17+C15-C16</f>
        <v/>
      </c>
      <c r="D17" s="35">
        <f>C17+D15-D16</f>
        <v/>
      </c>
      <c r="E17" s="35">
        <f>D17+E15-E16</f>
        <v/>
      </c>
      <c r="F17" s="35">
        <f>E17+F15-F16</f>
        <v/>
      </c>
      <c r="G17" s="35">
        <f>F17+G15-G16</f>
        <v/>
      </c>
      <c r="H17" s="35">
        <f>G17+H15-H16</f>
        <v/>
      </c>
      <c r="I17" s="35">
        <f>H17+I15-I16</f>
        <v/>
      </c>
      <c r="J17" s="35">
        <f>I17+J15-J16</f>
        <v/>
      </c>
      <c r="K17" s="35">
        <f>J17+K15-K16</f>
        <v/>
      </c>
      <c r="L17" s="35">
        <f>K17+L15-L16</f>
        <v/>
      </c>
      <c r="M17" s="35">
        <f>L17+M15-M16</f>
        <v/>
      </c>
      <c r="N17" s="35">
        <f>M17+N15-N16</f>
        <v/>
      </c>
      <c r="O17" s="35">
        <f>N17+O15-O16</f>
        <v/>
      </c>
      <c r="P17" s="35">
        <f>O17+P15-P16</f>
        <v/>
      </c>
      <c r="Q17" s="35">
        <f>P17+Q15-Q16</f>
        <v/>
      </c>
      <c r="R17" s="35">
        <f>Q17+R15-R16</f>
        <v/>
      </c>
      <c r="S17" s="35">
        <f>R17+S15-S16</f>
        <v/>
      </c>
      <c r="T17" s="35">
        <f>S17+T15-T16</f>
        <v/>
      </c>
      <c r="U17" s="35">
        <f>T17+U15-U16</f>
        <v/>
      </c>
      <c r="V17" s="35">
        <f>U17+V15-V16</f>
        <v/>
      </c>
      <c r="W17" s="35">
        <f>V17+W15-W16</f>
        <v/>
      </c>
      <c r="X17" s="35">
        <f>W17+X15-X16</f>
        <v/>
      </c>
      <c r="Y17" s="35">
        <f>X17+Y15-Y16</f>
        <v/>
      </c>
      <c r="Z17" s="35">
        <f>Y17+Z15-Z16</f>
        <v/>
      </c>
      <c r="AA17" s="35">
        <f>Z17+AA15-AA16</f>
        <v/>
      </c>
      <c r="AB17" s="35">
        <f>AA17+AB15-AB16</f>
        <v/>
      </c>
      <c r="AC17" s="35">
        <f>AB17+AC15-AC16</f>
        <v/>
      </c>
      <c r="AD17" s="35">
        <f>AC17+AD15-AD16</f>
        <v/>
      </c>
      <c r="AE17" s="35">
        <f>AD17+AE15-AE16</f>
        <v/>
      </c>
      <c r="AF17" s="35">
        <f>AE17+AF15-AF16</f>
        <v/>
      </c>
      <c r="AG17" s="35">
        <f>AF17+AG15-AG16</f>
        <v/>
      </c>
      <c r="AH17" s="35">
        <f>AG17+AH15-AH16</f>
        <v/>
      </c>
      <c r="AI17" s="35">
        <f>AH17+AI15-AI16</f>
        <v/>
      </c>
      <c r="AJ17" s="35">
        <f>AI17+AJ15-AJ16</f>
        <v/>
      </c>
      <c r="AK17" s="35">
        <f>AJ17+AK15-AK16</f>
        <v/>
      </c>
      <c r="AL17" s="35">
        <f>AK17+AL15-AL16</f>
        <v/>
      </c>
      <c r="AM17" s="35">
        <f>AL17+AM15-AM16</f>
        <v/>
      </c>
      <c r="AN17" s="35">
        <f>AM17+AN15-AN16</f>
        <v/>
      </c>
      <c r="AO17" s="35">
        <f>AN17+AO15-AO16</f>
        <v/>
      </c>
      <c r="AP17" s="35">
        <f>AO17+AP15-AP16</f>
        <v/>
      </c>
      <c r="AQ17" s="35">
        <f>AP17+AQ15-AQ16</f>
        <v/>
      </c>
      <c r="AR17" s="35">
        <f>AQ17+AR15-AR16</f>
        <v/>
      </c>
      <c r="AS17" s="35">
        <f>AR17+AS15-AS16</f>
        <v/>
      </c>
      <c r="AT17" s="35">
        <f>AS17+AT15-AT16</f>
        <v/>
      </c>
      <c r="AU17" s="35">
        <f>AT17+AU15-AU16</f>
        <v/>
      </c>
      <c r="AV17" s="35">
        <f>AU17+AV15-AV16</f>
        <v/>
      </c>
      <c r="AW17" s="35">
        <f>AV17+AW15-AW16</f>
        <v/>
      </c>
      <c r="AX17" s="35">
        <f>AW17+AX15-AX16</f>
        <v/>
      </c>
      <c r="AY17" s="35">
        <f>AX17+AY15-AY16</f>
        <v/>
      </c>
      <c r="AZ17" s="35">
        <f>AY17+AZ15-AZ16</f>
        <v/>
      </c>
      <c r="BA17" s="35">
        <f>AZ17+BA15-BA16</f>
        <v/>
      </c>
    </row>
    <row r="18" ht="14.25" customHeight="1" s="214">
      <c r="A18" s="3" t="inlineStr">
        <is>
          <t>Avg Enterprise ACV (€)</t>
        </is>
      </c>
      <c r="B18" s="35">
        <f>Inputs!$B$27*(1+Inputs!$B$21)^INT((1-1)/12)</f>
        <v/>
      </c>
      <c r="C18" s="35">
        <f>Inputs!$B$27*(1+Inputs!$B$21)^INT((2-1)/12)</f>
        <v/>
      </c>
      <c r="D18" s="35">
        <f>Inputs!$B$27*(1+Inputs!$B$21)^INT((3-1)/12)</f>
        <v/>
      </c>
      <c r="E18" s="35">
        <f>Inputs!$B$27*(1+Inputs!$B$21)^INT((4-1)/12)</f>
        <v/>
      </c>
      <c r="F18" s="35">
        <f>Inputs!$B$27*(1+Inputs!$B$21)^INT((5-1)/12)</f>
        <v/>
      </c>
      <c r="G18" s="35">
        <f>Inputs!$B$27*(1+Inputs!$B$21)^INT((6-1)/12)</f>
        <v/>
      </c>
      <c r="H18" s="35">
        <f>Inputs!$B$27*(1+Inputs!$B$21)^INT((7-1)/12)</f>
        <v/>
      </c>
      <c r="I18" s="35">
        <f>Inputs!$B$27*(1+Inputs!$B$21)^INT((8-1)/12)</f>
        <v/>
      </c>
      <c r="J18" s="35">
        <f>Inputs!$B$27*(1+Inputs!$B$21)^INT((9-1)/12)</f>
        <v/>
      </c>
      <c r="K18" s="35">
        <f>Inputs!$B$27*(1+Inputs!$B$21)^INT((10-1)/12)</f>
        <v/>
      </c>
      <c r="L18" s="35">
        <f>Inputs!$B$27*(1+Inputs!$B$21)^INT((11-1)/12)</f>
        <v/>
      </c>
      <c r="M18" s="35">
        <f>Inputs!$B$27*(1+Inputs!$B$21)^INT((12-1)/12)</f>
        <v/>
      </c>
      <c r="N18" s="35">
        <f>Inputs!$B$27*(1+Inputs!$B$21)^INT((13-1)/12)</f>
        <v/>
      </c>
      <c r="O18" s="35">
        <f>Inputs!$B$27*(1+Inputs!$B$21)^INT((14-1)/12)</f>
        <v/>
      </c>
      <c r="P18" s="35">
        <f>Inputs!$B$27*(1+Inputs!$B$21)^INT((15-1)/12)</f>
        <v/>
      </c>
      <c r="Q18" s="35">
        <f>Inputs!$B$27*(1+Inputs!$B$21)^INT((16-1)/12)</f>
        <v/>
      </c>
      <c r="R18" s="35">
        <f>Inputs!$B$27*(1+Inputs!$B$21)^INT((17-1)/12)</f>
        <v/>
      </c>
      <c r="S18" s="35">
        <f>Inputs!$B$27*(1+Inputs!$B$21)^INT((18-1)/12)</f>
        <v/>
      </c>
      <c r="T18" s="35">
        <f>Inputs!$B$27*(1+Inputs!$B$21)^INT((19-1)/12)</f>
        <v/>
      </c>
      <c r="U18" s="35">
        <f>Inputs!$B$27*(1+Inputs!$B$21)^INT((20-1)/12)</f>
        <v/>
      </c>
      <c r="V18" s="35">
        <f>Inputs!$B$27*(1+Inputs!$B$21)^INT((21-1)/12)</f>
        <v/>
      </c>
      <c r="W18" s="35">
        <f>Inputs!$B$27*(1+Inputs!$B$21)^INT((22-1)/12)</f>
        <v/>
      </c>
      <c r="X18" s="35">
        <f>Inputs!$B$27*(1+Inputs!$B$21)^INT((23-1)/12)</f>
        <v/>
      </c>
      <c r="Y18" s="35">
        <f>Inputs!$B$27*(1+Inputs!$B$21)^INT((24-1)/12)</f>
        <v/>
      </c>
      <c r="Z18" s="35">
        <f>Inputs!$B$27*(1+Inputs!$B$21)^INT((25-1)/12)</f>
        <v/>
      </c>
      <c r="AA18" s="35">
        <f>Inputs!$B$27*(1+Inputs!$B$21)^INT((26-1)/12)</f>
        <v/>
      </c>
      <c r="AB18" s="35">
        <f>Inputs!$B$27*(1+Inputs!$B$21)^INT((27-1)/12)</f>
        <v/>
      </c>
      <c r="AC18" s="35">
        <f>Inputs!$B$27*(1+Inputs!$B$21)^INT((28-1)/12)</f>
        <v/>
      </c>
      <c r="AD18" s="35">
        <f>Inputs!$B$27*(1+Inputs!$B$21)^INT((29-1)/12)</f>
        <v/>
      </c>
      <c r="AE18" s="35">
        <f>Inputs!$B$27*(1+Inputs!$B$21)^INT((30-1)/12)</f>
        <v/>
      </c>
      <c r="AF18" s="35">
        <f>Inputs!$B$27*(1+Inputs!$B$21)^INT((31-1)/12)</f>
        <v/>
      </c>
      <c r="AG18" s="35">
        <f>Inputs!$B$27*(1+Inputs!$B$21)^INT((32-1)/12)</f>
        <v/>
      </c>
      <c r="AH18" s="35">
        <f>Inputs!$B$27*(1+Inputs!$B$21)^INT((33-1)/12)</f>
        <v/>
      </c>
      <c r="AI18" s="35">
        <f>Inputs!$B$27*(1+Inputs!$B$21)^INT((34-1)/12)</f>
        <v/>
      </c>
      <c r="AJ18" s="35">
        <f>Inputs!$B$27*(1+Inputs!$B$21)^INT((35-1)/12)</f>
        <v/>
      </c>
      <c r="AK18" s="35">
        <f>Inputs!$B$27*(1+Inputs!$B$21)^INT((36-1)/12)</f>
        <v/>
      </c>
      <c r="AL18" s="35">
        <f>Inputs!$B$27*(1+Inputs!$B$21)^INT((37-1)/12)</f>
        <v/>
      </c>
      <c r="AM18" s="35">
        <f>Inputs!$B$27*(1+Inputs!$B$21)^INT((38-1)/12)</f>
        <v/>
      </c>
      <c r="AN18" s="35">
        <f>Inputs!$B$27*(1+Inputs!$B$21)^INT((39-1)/12)</f>
        <v/>
      </c>
      <c r="AO18" s="35">
        <f>Inputs!$B$27*(1+Inputs!$B$21)^INT((40-1)/12)</f>
        <v/>
      </c>
      <c r="AP18" s="35">
        <f>Inputs!$B$27*(1+Inputs!$B$21)^INT((41-1)/12)</f>
        <v/>
      </c>
      <c r="AQ18" s="35">
        <f>Inputs!$B$27*(1+Inputs!$B$21)^INT((42-1)/12)</f>
        <v/>
      </c>
      <c r="AR18" s="35">
        <f>Inputs!$B$27*(1+Inputs!$B$21)^INT((43-1)/12)</f>
        <v/>
      </c>
      <c r="AS18" s="35">
        <f>Inputs!$B$27*(1+Inputs!$B$21)^INT((44-1)/12)</f>
        <v/>
      </c>
      <c r="AT18" s="35">
        <f>Inputs!$B$27*(1+Inputs!$B$21)^INT((45-1)/12)</f>
        <v/>
      </c>
      <c r="AU18" s="35">
        <f>Inputs!$B$27*(1+Inputs!$B$21)^INT((46-1)/12)</f>
        <v/>
      </c>
      <c r="AV18" s="35">
        <f>Inputs!$B$27*(1+Inputs!$B$21)^INT((47-1)/12)</f>
        <v/>
      </c>
      <c r="AW18" s="35">
        <f>Inputs!$B$27*(1+Inputs!$B$21)^INT((48-1)/12)</f>
        <v/>
      </c>
      <c r="AX18" s="35">
        <f>Inputs!$B$27*(1+Inputs!$B$21)^INT((49-1)/12)</f>
        <v/>
      </c>
      <c r="AY18" s="35">
        <f>Inputs!$B$27*(1+Inputs!$B$21)^INT((50-1)/12)</f>
        <v/>
      </c>
      <c r="AZ18" s="35">
        <f>Inputs!$B$27*(1+Inputs!$B$21)^INT((51-1)/12)</f>
        <v/>
      </c>
      <c r="BA18" s="35">
        <f>Inputs!$B$27*(1+Inputs!$B$21)^INT((52-1)/12)</f>
        <v/>
      </c>
    </row>
    <row r="19" ht="14.25" customHeight="1" s="214">
      <c r="A19" s="3" t="inlineStr">
        <is>
          <t>Enterprise Monthly Revenue (€)</t>
        </is>
      </c>
      <c r="B19" s="35">
        <f>B17*B18/12</f>
        <v/>
      </c>
      <c r="C19" s="35">
        <f>C17*C18/12</f>
        <v/>
      </c>
      <c r="D19" s="35">
        <f>D17*D18/12</f>
        <v/>
      </c>
      <c r="E19" s="35">
        <f>E17*E18/12</f>
        <v/>
      </c>
      <c r="F19" s="35">
        <f>F17*F18/12</f>
        <v/>
      </c>
      <c r="G19" s="35">
        <f>G17*G18/12</f>
        <v/>
      </c>
      <c r="H19" s="35">
        <f>H17*H18/12</f>
        <v/>
      </c>
      <c r="I19" s="35">
        <f>I17*I18/12</f>
        <v/>
      </c>
      <c r="J19" s="35">
        <f>J17*J18/12</f>
        <v/>
      </c>
      <c r="K19" s="35">
        <f>K17*K18/12</f>
        <v/>
      </c>
      <c r="L19" s="35">
        <f>L17*L18/12</f>
        <v/>
      </c>
      <c r="M19" s="35">
        <f>M17*M18/12</f>
        <v/>
      </c>
      <c r="N19" s="35">
        <f>N17*N18/12</f>
        <v/>
      </c>
      <c r="O19" s="35">
        <f>O17*O18/12</f>
        <v/>
      </c>
      <c r="P19" s="35">
        <f>P17*P18/12</f>
        <v/>
      </c>
      <c r="Q19" s="35">
        <f>Q17*Q18/12</f>
        <v/>
      </c>
      <c r="R19" s="35">
        <f>R17*R18/12</f>
        <v/>
      </c>
      <c r="S19" s="35">
        <f>S17*S18/12</f>
        <v/>
      </c>
      <c r="T19" s="35">
        <f>T17*T18/12</f>
        <v/>
      </c>
      <c r="U19" s="35">
        <f>U17*U18/12</f>
        <v/>
      </c>
      <c r="V19" s="35">
        <f>V17*V18/12</f>
        <v/>
      </c>
      <c r="W19" s="35">
        <f>W17*W18/12</f>
        <v/>
      </c>
      <c r="X19" s="35">
        <f>X17*X18/12</f>
        <v/>
      </c>
      <c r="Y19" s="35">
        <f>Y17*Y18/12</f>
        <v/>
      </c>
      <c r="Z19" s="35">
        <f>Z17*Z18/12</f>
        <v/>
      </c>
      <c r="AA19" s="35">
        <f>AA17*AA18/12</f>
        <v/>
      </c>
      <c r="AB19" s="35">
        <f>AB17*AB18/12</f>
        <v/>
      </c>
      <c r="AC19" s="35">
        <f>AC17*AC18/12</f>
        <v/>
      </c>
      <c r="AD19" s="35">
        <f>AD17*AD18/12</f>
        <v/>
      </c>
      <c r="AE19" s="35">
        <f>AE17*AE18/12</f>
        <v/>
      </c>
      <c r="AF19" s="35">
        <f>AF17*AF18/12</f>
        <v/>
      </c>
      <c r="AG19" s="35">
        <f>AG17*AG18/12</f>
        <v/>
      </c>
      <c r="AH19" s="35">
        <f>AH17*AH18/12</f>
        <v/>
      </c>
      <c r="AI19" s="35">
        <f>AI17*AI18/12</f>
        <v/>
      </c>
      <c r="AJ19" s="35">
        <f>AJ17*AJ18/12</f>
        <v/>
      </c>
      <c r="AK19" s="35">
        <f>AK17*AK18/12</f>
        <v/>
      </c>
      <c r="AL19" s="35">
        <f>AL17*AL18/12</f>
        <v/>
      </c>
      <c r="AM19" s="35">
        <f>AM17*AM18/12</f>
        <v/>
      </c>
      <c r="AN19" s="35">
        <f>AN17*AN18/12</f>
        <v/>
      </c>
      <c r="AO19" s="35">
        <f>AO17*AO18/12</f>
        <v/>
      </c>
      <c r="AP19" s="35">
        <f>AP17*AP18/12</f>
        <v/>
      </c>
      <c r="AQ19" s="35">
        <f>AQ17*AQ18/12</f>
        <v/>
      </c>
      <c r="AR19" s="35">
        <f>AR17*AR18/12</f>
        <v/>
      </c>
      <c r="AS19" s="35">
        <f>AS17*AS18/12</f>
        <v/>
      </c>
      <c r="AT19" s="35">
        <f>AT17*AT18/12</f>
        <v/>
      </c>
      <c r="AU19" s="35">
        <f>AU17*AU18/12</f>
        <v/>
      </c>
      <c r="AV19" s="35">
        <f>AV17*AV18/12</f>
        <v/>
      </c>
      <c r="AW19" s="35">
        <f>AW17*AW18/12</f>
        <v/>
      </c>
      <c r="AX19" s="35">
        <f>AX17*AX18/12</f>
        <v/>
      </c>
      <c r="AY19" s="35">
        <f>AY17*AY18/12</f>
        <v/>
      </c>
      <c r="AZ19" s="35">
        <f>AZ17*AZ18/12</f>
        <v/>
      </c>
      <c r="BA19" s="35">
        <f>BA17*BA18/12</f>
        <v/>
      </c>
    </row>
    <row r="20" ht="16" customHeight="1" s="214">
      <c r="A20" s="73" t="inlineStr">
        <is>
          <t>── RECURRING REVENUE (SaaS-Metriken, ohne Implementation-Support) ──</t>
        </is>
      </c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</row>
    <row r="21" ht="41" customHeight="1" s="214">
      <c r="A21" s="72" t="inlineStr">
        <is>
          <t>MRR – Monthly Recurring Revenue (Lizenzen)</t>
        </is>
      </c>
      <c r="B21" s="35">
        <f>B12+B19</f>
        <v/>
      </c>
      <c r="C21" s="35">
        <f>C12+C19</f>
        <v/>
      </c>
      <c r="D21" s="35">
        <f>D12+D19</f>
        <v/>
      </c>
      <c r="E21" s="35">
        <f>E12+E19</f>
        <v/>
      </c>
      <c r="F21" s="35">
        <f>F12+F19</f>
        <v/>
      </c>
      <c r="G21" s="35">
        <f>G12+G19</f>
        <v/>
      </c>
      <c r="H21" s="35">
        <f>H12+H19</f>
        <v/>
      </c>
      <c r="I21" s="35">
        <f>I12+I19</f>
        <v/>
      </c>
      <c r="J21" s="35">
        <f>J12+J19</f>
        <v/>
      </c>
      <c r="K21" s="35">
        <f>K12+K19</f>
        <v/>
      </c>
      <c r="L21" s="35">
        <f>L12+L19</f>
        <v/>
      </c>
      <c r="M21" s="35">
        <f>M12+M19</f>
        <v/>
      </c>
      <c r="N21" s="35">
        <f>N12+N19</f>
        <v/>
      </c>
      <c r="O21" s="35">
        <f>O12+O19</f>
        <v/>
      </c>
      <c r="P21" s="35">
        <f>P12+P19</f>
        <v/>
      </c>
      <c r="Q21" s="35">
        <f>Q12+Q19</f>
        <v/>
      </c>
      <c r="R21" s="35">
        <f>R12+R19</f>
        <v/>
      </c>
      <c r="S21" s="35">
        <f>S12+S19</f>
        <v/>
      </c>
      <c r="T21" s="35">
        <f>T12+T19</f>
        <v/>
      </c>
      <c r="U21" s="35">
        <f>U12+U19</f>
        <v/>
      </c>
      <c r="V21" s="35">
        <f>V12+V19</f>
        <v/>
      </c>
      <c r="W21" s="35">
        <f>W12+W19</f>
        <v/>
      </c>
      <c r="X21" s="35">
        <f>X12+X19</f>
        <v/>
      </c>
      <c r="Y21" s="35">
        <f>Y12+Y19</f>
        <v/>
      </c>
      <c r="Z21" s="35">
        <f>Z12+Z19</f>
        <v/>
      </c>
      <c r="AA21" s="35">
        <f>AA12+AA19</f>
        <v/>
      </c>
      <c r="AB21" s="35">
        <f>AB12+AB19</f>
        <v/>
      </c>
      <c r="AC21" s="35">
        <f>AC12+AC19</f>
        <v/>
      </c>
      <c r="AD21" s="35">
        <f>AD12+AD19</f>
        <v/>
      </c>
      <c r="AE21" s="35">
        <f>AE12+AE19</f>
        <v/>
      </c>
      <c r="AF21" s="35">
        <f>AF12+AF19</f>
        <v/>
      </c>
      <c r="AG21" s="35">
        <f>AG12+AG19</f>
        <v/>
      </c>
      <c r="AH21" s="35">
        <f>AH12+AH19</f>
        <v/>
      </c>
      <c r="AI21" s="35">
        <f>AI12+AI19</f>
        <v/>
      </c>
      <c r="AJ21" s="35">
        <f>AJ12+AJ19</f>
        <v/>
      </c>
      <c r="AK21" s="35">
        <f>AK12+AK19</f>
        <v/>
      </c>
      <c r="AL21" s="35">
        <f>AL12+AL19</f>
        <v/>
      </c>
      <c r="AM21" s="35">
        <f>AM12+AM19</f>
        <v/>
      </c>
      <c r="AN21" s="35">
        <f>AN12+AN19</f>
        <v/>
      </c>
      <c r="AO21" s="35">
        <f>AO12+AO19</f>
        <v/>
      </c>
      <c r="AP21" s="35">
        <f>AP12+AP19</f>
        <v/>
      </c>
      <c r="AQ21" s="35">
        <f>AQ12+AQ19</f>
        <v/>
      </c>
      <c r="AR21" s="35">
        <f>AR12+AR19</f>
        <v/>
      </c>
      <c r="AS21" s="35">
        <f>AS12+AS19</f>
        <v/>
      </c>
      <c r="AT21" s="35">
        <f>AT12+AT19</f>
        <v/>
      </c>
      <c r="AU21" s="35">
        <f>AU12+AU19</f>
        <v/>
      </c>
      <c r="AV21" s="35">
        <f>AV12+AV19</f>
        <v/>
      </c>
      <c r="AW21" s="35">
        <f>AW12+AW19</f>
        <v/>
      </c>
      <c r="AX21" s="35">
        <f>AX12+AX19</f>
        <v/>
      </c>
      <c r="AY21" s="35">
        <f>AY12+AY19</f>
        <v/>
      </c>
      <c r="AZ21" s="35">
        <f>AZ12+AZ19</f>
        <v/>
      </c>
      <c r="BA21" s="35">
        <f>BA12+BA19</f>
        <v/>
      </c>
    </row>
    <row r="22" ht="40.5" customHeight="1" s="214">
      <c r="A22" s="72" t="inlineStr">
        <is>
          <t>ARR – Annual Recurring Revenue (Lizenzen = MRR × 12)</t>
        </is>
      </c>
      <c r="B22" s="35">
        <f>B21*12</f>
        <v/>
      </c>
      <c r="C22" s="35">
        <f>C21*12</f>
        <v/>
      </c>
      <c r="D22" s="35">
        <f>D21*12</f>
        <v/>
      </c>
      <c r="E22" s="35">
        <f>E21*12</f>
        <v/>
      </c>
      <c r="F22" s="35">
        <f>F21*12</f>
        <v/>
      </c>
      <c r="G22" s="35">
        <f>G21*12</f>
        <v/>
      </c>
      <c r="H22" s="35">
        <f>H21*12</f>
        <v/>
      </c>
      <c r="I22" s="35">
        <f>I21*12</f>
        <v/>
      </c>
      <c r="J22" s="35">
        <f>J21*12</f>
        <v/>
      </c>
      <c r="K22" s="35">
        <f>K21*12</f>
        <v/>
      </c>
      <c r="L22" s="35">
        <f>L21*12</f>
        <v/>
      </c>
      <c r="M22" s="35">
        <f>M21*12</f>
        <v/>
      </c>
      <c r="N22" s="35">
        <f>N21*12</f>
        <v/>
      </c>
      <c r="O22" s="35">
        <f>O21*12</f>
        <v/>
      </c>
      <c r="P22" s="35">
        <f>P21*12</f>
        <v/>
      </c>
      <c r="Q22" s="35">
        <f>Q21*12</f>
        <v/>
      </c>
      <c r="R22" s="35">
        <f>R21*12</f>
        <v/>
      </c>
      <c r="S22" s="35">
        <f>S21*12</f>
        <v/>
      </c>
      <c r="T22" s="35">
        <f>T21*12</f>
        <v/>
      </c>
      <c r="U22" s="35">
        <f>U21*12</f>
        <v/>
      </c>
      <c r="V22" s="35">
        <f>V21*12</f>
        <v/>
      </c>
      <c r="W22" s="35">
        <f>W21*12</f>
        <v/>
      </c>
      <c r="X22" s="35">
        <f>X21*12</f>
        <v/>
      </c>
      <c r="Y22" s="35">
        <f>Y21*12</f>
        <v/>
      </c>
      <c r="Z22" s="35">
        <f>Z21*12</f>
        <v/>
      </c>
      <c r="AA22" s="35">
        <f>AA21*12</f>
        <v/>
      </c>
      <c r="AB22" s="35">
        <f>AB21*12</f>
        <v/>
      </c>
      <c r="AC22" s="35">
        <f>AC21*12</f>
        <v/>
      </c>
      <c r="AD22" s="35">
        <f>AD21*12</f>
        <v/>
      </c>
      <c r="AE22" s="35">
        <f>AE21*12</f>
        <v/>
      </c>
      <c r="AF22" s="35">
        <f>AF21*12</f>
        <v/>
      </c>
      <c r="AG22" s="35">
        <f>AG21*12</f>
        <v/>
      </c>
      <c r="AH22" s="35">
        <f>AH21*12</f>
        <v/>
      </c>
      <c r="AI22" s="35">
        <f>AI21*12</f>
        <v/>
      </c>
      <c r="AJ22" s="35">
        <f>AJ21*12</f>
        <v/>
      </c>
      <c r="AK22" s="35">
        <f>AK21*12</f>
        <v/>
      </c>
      <c r="AL22" s="35">
        <f>AL21*12</f>
        <v/>
      </c>
      <c r="AM22" s="35">
        <f>AM21*12</f>
        <v/>
      </c>
      <c r="AN22" s="35">
        <f>AN21*12</f>
        <v/>
      </c>
      <c r="AO22" s="35">
        <f>AO21*12</f>
        <v/>
      </c>
      <c r="AP22" s="35">
        <f>AP21*12</f>
        <v/>
      </c>
      <c r="AQ22" s="35">
        <f>AQ21*12</f>
        <v/>
      </c>
      <c r="AR22" s="35">
        <f>AR21*12</f>
        <v/>
      </c>
      <c r="AS22" s="35">
        <f>AS21*12</f>
        <v/>
      </c>
      <c r="AT22" s="35">
        <f>AT21*12</f>
        <v/>
      </c>
      <c r="AU22" s="35">
        <f>AU21*12</f>
        <v/>
      </c>
      <c r="AV22" s="35">
        <f>AV21*12</f>
        <v/>
      </c>
      <c r="AW22" s="35">
        <f>AW21*12</f>
        <v/>
      </c>
      <c r="AX22" s="35">
        <f>AX21*12</f>
        <v/>
      </c>
      <c r="AY22" s="35">
        <f>AY21*12</f>
        <v/>
      </c>
      <c r="AZ22" s="35">
        <f>AZ21*12</f>
        <v/>
      </c>
      <c r="BA22" s="35">
        <f>BA21*12</f>
        <v/>
      </c>
    </row>
    <row r="23" ht="40.5" customHeight="1" s="214">
      <c r="A23" s="74" t="inlineStr">
        <is>
          <t>Total Monthly Revenue (Lizenzen + Implementation-Support)</t>
        </is>
      </c>
      <c r="B23" s="75">
        <f>B21+B32</f>
        <v/>
      </c>
      <c r="C23" s="75">
        <f>C21+C32</f>
        <v/>
      </c>
      <c r="D23" s="75">
        <f>D21+D32</f>
        <v/>
      </c>
      <c r="E23" s="75">
        <f>E21+E32</f>
        <v/>
      </c>
      <c r="F23" s="75">
        <f>F21+F32</f>
        <v/>
      </c>
      <c r="G23" s="75">
        <f>G21+G32</f>
        <v/>
      </c>
      <c r="H23" s="75">
        <f>H21+H32</f>
        <v/>
      </c>
      <c r="I23" s="75">
        <f>I21+I32</f>
        <v/>
      </c>
      <c r="J23" s="75">
        <f>J21+J32</f>
        <v/>
      </c>
      <c r="K23" s="75">
        <f>K21+K32</f>
        <v/>
      </c>
      <c r="L23" s="75">
        <f>L21+L32</f>
        <v/>
      </c>
      <c r="M23" s="75">
        <f>M21+M32</f>
        <v/>
      </c>
      <c r="N23" s="75">
        <f>N21+N32</f>
        <v/>
      </c>
      <c r="O23" s="75">
        <f>O21+O32</f>
        <v/>
      </c>
      <c r="P23" s="75">
        <f>P21+P32</f>
        <v/>
      </c>
      <c r="Q23" s="75">
        <f>Q21+Q32</f>
        <v/>
      </c>
      <c r="R23" s="75">
        <f>R21+R32</f>
        <v/>
      </c>
      <c r="S23" s="75">
        <f>S21+S32</f>
        <v/>
      </c>
      <c r="T23" s="75">
        <f>T21+T32</f>
        <v/>
      </c>
      <c r="U23" s="75">
        <f>U21+U32</f>
        <v/>
      </c>
      <c r="V23" s="75">
        <f>V21+V32</f>
        <v/>
      </c>
      <c r="W23" s="75">
        <f>W21+W32</f>
        <v/>
      </c>
      <c r="X23" s="75">
        <f>X21+X32</f>
        <v/>
      </c>
      <c r="Y23" s="75">
        <f>Y21+Y32</f>
        <v/>
      </c>
      <c r="Z23" s="75">
        <f>Z21+Z32</f>
        <v/>
      </c>
      <c r="AA23" s="75">
        <f>AA21+AA32</f>
        <v/>
      </c>
      <c r="AB23" s="75">
        <f>AB21+AB32</f>
        <v/>
      </c>
      <c r="AC23" s="75">
        <f>AC21+AC32</f>
        <v/>
      </c>
      <c r="AD23" s="75">
        <f>AD21+AD32</f>
        <v/>
      </c>
      <c r="AE23" s="75">
        <f>AE21+AE32</f>
        <v/>
      </c>
      <c r="AF23" s="75">
        <f>AF21+AF32</f>
        <v/>
      </c>
      <c r="AG23" s="75">
        <f>AG21+AG32</f>
        <v/>
      </c>
      <c r="AH23" s="75">
        <f>AH21+AH32</f>
        <v/>
      </c>
      <c r="AI23" s="75">
        <f>AI21+AI32</f>
        <v/>
      </c>
      <c r="AJ23" s="75">
        <f>AJ21+AJ32</f>
        <v/>
      </c>
      <c r="AK23" s="75">
        <f>AK21+AK32</f>
        <v/>
      </c>
      <c r="AL23" s="75">
        <f>AL21+AL32</f>
        <v/>
      </c>
      <c r="AM23" s="75">
        <f>AM21+AM32</f>
        <v/>
      </c>
      <c r="AN23" s="75">
        <f>AN21+AN32</f>
        <v/>
      </c>
      <c r="AO23" s="75">
        <f>AO21+AO32</f>
        <v/>
      </c>
      <c r="AP23" s="75">
        <f>AP21+AP32</f>
        <v/>
      </c>
      <c r="AQ23" s="75">
        <f>AQ21+AQ32</f>
        <v/>
      </c>
      <c r="AR23" s="75">
        <f>AR21+AR32</f>
        <v/>
      </c>
      <c r="AS23" s="75">
        <f>AS21+AS32</f>
        <v/>
      </c>
      <c r="AT23" s="75">
        <f>AT21+AT32</f>
        <v/>
      </c>
      <c r="AU23" s="75">
        <f>AU21+AU32</f>
        <v/>
      </c>
      <c r="AV23" s="75">
        <f>AV21+AV32</f>
        <v/>
      </c>
      <c r="AW23" s="75">
        <f>AW21+AW32</f>
        <v/>
      </c>
      <c r="AX23" s="75">
        <f>AX21+AX32</f>
        <v/>
      </c>
      <c r="AY23" s="75">
        <f>AY21+AY32</f>
        <v/>
      </c>
      <c r="AZ23" s="75">
        <f>AZ21+AZ32</f>
        <v/>
      </c>
      <c r="BA23" s="75">
        <f>BA21+BA32</f>
        <v/>
      </c>
    </row>
    <row r="24" ht="14.25" customHeight="1" s="214">
      <c r="A24" s="3" t="inlineStr">
        <is>
          <t>ARR Growth % (MoM)</t>
        </is>
      </c>
      <c r="B24" s="34">
        <f>""</f>
        <v/>
      </c>
      <c r="C24" s="34">
        <f>IFERROR(C22/B22-1,"")</f>
        <v/>
      </c>
      <c r="D24" s="34">
        <f>IFERROR(D22/C22-1,"")</f>
        <v/>
      </c>
      <c r="E24" s="34">
        <f>IFERROR(E22/D22-1,"")</f>
        <v/>
      </c>
      <c r="F24" s="34">
        <f>IFERROR(F22/E22-1,"")</f>
        <v/>
      </c>
      <c r="G24" s="34">
        <f>IFERROR(G22/F22-1,"")</f>
        <v/>
      </c>
      <c r="H24" s="34">
        <f>IFERROR(H22/G22-1,"")</f>
        <v/>
      </c>
      <c r="I24" s="34">
        <f>IFERROR(I22/H22-1,"")</f>
        <v/>
      </c>
      <c r="J24" s="34">
        <f>IFERROR(J22/I22-1,"")</f>
        <v/>
      </c>
      <c r="K24" s="34">
        <f>IFERROR(K22/J22-1,"")</f>
        <v/>
      </c>
      <c r="L24" s="34">
        <f>IFERROR(L22/K22-1,"")</f>
        <v/>
      </c>
      <c r="M24" s="34">
        <f>IFERROR(M22/L22-1,"")</f>
        <v/>
      </c>
      <c r="N24" s="34">
        <f>IFERROR(N22/M22-1,"")</f>
        <v/>
      </c>
      <c r="O24" s="34">
        <f>IFERROR(O22/N22-1,"")</f>
        <v/>
      </c>
      <c r="P24" s="34">
        <f>IFERROR(P22/O22-1,"")</f>
        <v/>
      </c>
      <c r="Q24" s="34">
        <f>IFERROR(Q22/P22-1,"")</f>
        <v/>
      </c>
      <c r="R24" s="34">
        <f>IFERROR(R22/Q22-1,"")</f>
        <v/>
      </c>
      <c r="S24" s="34">
        <f>IFERROR(S22/R22-1,"")</f>
        <v/>
      </c>
      <c r="T24" s="34">
        <f>IFERROR(T22/S22-1,"")</f>
        <v/>
      </c>
      <c r="U24" s="34">
        <f>IFERROR(U22/T22-1,"")</f>
        <v/>
      </c>
      <c r="V24" s="34">
        <f>IFERROR(V22/U22-1,"")</f>
        <v/>
      </c>
      <c r="W24" s="34">
        <f>IFERROR(W22/V22-1,"")</f>
        <v/>
      </c>
      <c r="X24" s="34">
        <f>IFERROR(X22/W22-1,"")</f>
        <v/>
      </c>
      <c r="Y24" s="34">
        <f>IFERROR(Y22/X22-1,"")</f>
        <v/>
      </c>
      <c r="Z24" s="34">
        <f>IFERROR(Z22/Y22-1,"")</f>
        <v/>
      </c>
      <c r="AA24" s="34">
        <f>IFERROR(AA22/Z22-1,"")</f>
        <v/>
      </c>
      <c r="AB24" s="34">
        <f>IFERROR(AB22/AA22-1,"")</f>
        <v/>
      </c>
      <c r="AC24" s="34">
        <f>IFERROR(AC22/AB22-1,"")</f>
        <v/>
      </c>
      <c r="AD24" s="34">
        <f>IFERROR(AD22/AC22-1,"")</f>
        <v/>
      </c>
      <c r="AE24" s="34">
        <f>IFERROR(AE22/AD22-1,"")</f>
        <v/>
      </c>
      <c r="AF24" s="34">
        <f>IFERROR(AF22/AE22-1,"")</f>
        <v/>
      </c>
      <c r="AG24" s="34">
        <f>IFERROR(AG22/AF22-1,"")</f>
        <v/>
      </c>
      <c r="AH24" s="34">
        <f>IFERROR(AH22/AG22-1,"")</f>
        <v/>
      </c>
      <c r="AI24" s="34">
        <f>IFERROR(AI22/AH22-1,"")</f>
        <v/>
      </c>
      <c r="AJ24" s="34">
        <f>IFERROR(AJ22/AI22-1,"")</f>
        <v/>
      </c>
      <c r="AK24" s="34">
        <f>IFERROR(AK22/AJ22-1,"")</f>
        <v/>
      </c>
      <c r="AL24" s="34">
        <f>IFERROR(AL22/AK22-1,"")</f>
        <v/>
      </c>
      <c r="AM24" s="34">
        <f>IFERROR(AM22/AL22-1,"")</f>
        <v/>
      </c>
      <c r="AN24" s="34">
        <f>IFERROR(AN22/AM22-1,"")</f>
        <v/>
      </c>
      <c r="AO24" s="34">
        <f>IFERROR(AO22/AN22-1,"")</f>
        <v/>
      </c>
      <c r="AP24" s="34">
        <f>IFERROR(AP22/AO22-1,"")</f>
        <v/>
      </c>
      <c r="AQ24" s="34">
        <f>IFERROR(AQ22/AP22-1,"")</f>
        <v/>
      </c>
      <c r="AR24" s="34">
        <f>IFERROR(AR22/AQ22-1,"")</f>
        <v/>
      </c>
      <c r="AS24" s="34">
        <f>IFERROR(AS22/AR22-1,"")</f>
        <v/>
      </c>
      <c r="AT24" s="34">
        <f>IFERROR(AT22/AS22-1,"")</f>
        <v/>
      </c>
      <c r="AU24" s="34">
        <f>IFERROR(AU22/AT22-1,"")</f>
        <v/>
      </c>
      <c r="AV24" s="34">
        <f>IFERROR(AV22/AU22-1,"")</f>
        <v/>
      </c>
      <c r="AW24" s="34">
        <f>IFERROR(AW22/AV22-1,"")</f>
        <v/>
      </c>
      <c r="AX24" s="34">
        <f>IFERROR(AX22/AW22-1,"")</f>
        <v/>
      </c>
      <c r="AY24" s="34">
        <f>IFERROR(AY22/AX22-1,"")</f>
        <v/>
      </c>
      <c r="AZ24" s="34">
        <f>IFERROR(AZ22/AY22-1,"")</f>
        <v/>
      </c>
      <c r="BA24" s="34">
        <f>IFERROR(BA22/AZ22-1,"")</f>
        <v/>
      </c>
    </row>
    <row r="25" ht="14.25" customHeight="1" s="214">
      <c r="A25" s="3" t="inlineStr">
        <is>
          <t>Net Revenue Retention %</t>
        </is>
      </c>
      <c r="B25" s="34">
        <f>Inputs!$B$30</f>
        <v/>
      </c>
      <c r="C25" s="34">
        <f>Inputs!$B$30</f>
        <v/>
      </c>
      <c r="D25" s="34">
        <f>Inputs!$B$30</f>
        <v/>
      </c>
      <c r="E25" s="34">
        <f>Inputs!$B$30</f>
        <v/>
      </c>
      <c r="F25" s="34">
        <f>Inputs!$B$30</f>
        <v/>
      </c>
      <c r="G25" s="34">
        <f>Inputs!$B$30</f>
        <v/>
      </c>
      <c r="H25" s="34">
        <f>Inputs!$B$30</f>
        <v/>
      </c>
      <c r="I25" s="34">
        <f>Inputs!$B$30</f>
        <v/>
      </c>
      <c r="J25" s="34">
        <f>Inputs!$B$30</f>
        <v/>
      </c>
      <c r="K25" s="34">
        <f>Inputs!$B$30</f>
        <v/>
      </c>
      <c r="L25" s="34">
        <f>Inputs!$B$30</f>
        <v/>
      </c>
      <c r="M25" s="34">
        <f>Inputs!$B$30</f>
        <v/>
      </c>
      <c r="N25" s="34">
        <f>Inputs!$B$30</f>
        <v/>
      </c>
      <c r="O25" s="34">
        <f>Inputs!$B$30</f>
        <v/>
      </c>
      <c r="P25" s="34">
        <f>Inputs!$B$30</f>
        <v/>
      </c>
      <c r="Q25" s="34">
        <f>Inputs!$B$30</f>
        <v/>
      </c>
      <c r="R25" s="34">
        <f>Inputs!$B$30</f>
        <v/>
      </c>
      <c r="S25" s="34">
        <f>Inputs!$B$30</f>
        <v/>
      </c>
      <c r="T25" s="34">
        <f>Inputs!$B$30</f>
        <v/>
      </c>
      <c r="U25" s="34">
        <f>Inputs!$B$30</f>
        <v/>
      </c>
      <c r="V25" s="34">
        <f>Inputs!$B$30</f>
        <v/>
      </c>
      <c r="W25" s="34">
        <f>Inputs!$B$30</f>
        <v/>
      </c>
      <c r="X25" s="34">
        <f>Inputs!$B$30</f>
        <v/>
      </c>
      <c r="Y25" s="34">
        <f>Inputs!$B$30</f>
        <v/>
      </c>
      <c r="Z25" s="34">
        <f>Inputs!$B$30</f>
        <v/>
      </c>
      <c r="AA25" s="34">
        <f>Inputs!$B$30</f>
        <v/>
      </c>
      <c r="AB25" s="34">
        <f>Inputs!$B$30</f>
        <v/>
      </c>
      <c r="AC25" s="34">
        <f>Inputs!$B$30</f>
        <v/>
      </c>
      <c r="AD25" s="34">
        <f>Inputs!$B$30</f>
        <v/>
      </c>
      <c r="AE25" s="34">
        <f>Inputs!$B$30</f>
        <v/>
      </c>
      <c r="AF25" s="34">
        <f>Inputs!$B$30</f>
        <v/>
      </c>
      <c r="AG25" s="34">
        <f>Inputs!$B$30</f>
        <v/>
      </c>
      <c r="AH25" s="34">
        <f>Inputs!$B$30</f>
        <v/>
      </c>
      <c r="AI25" s="34">
        <f>Inputs!$B$30</f>
        <v/>
      </c>
      <c r="AJ25" s="34">
        <f>Inputs!$B$30</f>
        <v/>
      </c>
      <c r="AK25" s="34">
        <f>Inputs!$B$30</f>
        <v/>
      </c>
      <c r="AL25" s="34">
        <f>Inputs!$B$30</f>
        <v/>
      </c>
      <c r="AM25" s="34">
        <f>Inputs!$B$30</f>
        <v/>
      </c>
      <c r="AN25" s="34">
        <f>Inputs!$B$30</f>
        <v/>
      </c>
      <c r="AO25" s="34">
        <f>Inputs!$B$30</f>
        <v/>
      </c>
      <c r="AP25" s="34">
        <f>Inputs!$B$30</f>
        <v/>
      </c>
      <c r="AQ25" s="34">
        <f>Inputs!$B$30</f>
        <v/>
      </c>
      <c r="AR25" s="34">
        <f>Inputs!$B$30</f>
        <v/>
      </c>
      <c r="AS25" s="34">
        <f>Inputs!$B$30</f>
        <v/>
      </c>
      <c r="AT25" s="34">
        <f>Inputs!$B$30</f>
        <v/>
      </c>
      <c r="AU25" s="34">
        <f>Inputs!$B$30</f>
        <v/>
      </c>
      <c r="AV25" s="34">
        <f>Inputs!$B$30</f>
        <v/>
      </c>
      <c r="AW25" s="34">
        <f>Inputs!$B$30</f>
        <v/>
      </c>
      <c r="AX25" s="34">
        <f>Inputs!$B$30</f>
        <v/>
      </c>
      <c r="AY25" s="34">
        <f>Inputs!$B$30</f>
        <v/>
      </c>
      <c r="AZ25" s="34">
        <f>Inputs!$B$30</f>
        <v/>
      </c>
      <c r="BA25" s="34">
        <f>Inputs!$B$30</f>
        <v/>
      </c>
    </row>
    <row r="26" ht="14.25" customHeight="1" s="214">
      <c r="A26" s="3" t="inlineStr">
        <is>
          <t>Gross New ARR (€)</t>
        </is>
      </c>
      <c r="B26" s="35">
        <f>B8*B5*12+B15*B18</f>
        <v/>
      </c>
      <c r="C26" s="35">
        <f>C8*C5*12+C15*C18</f>
        <v/>
      </c>
      <c r="D26" s="35">
        <f>D8*D5*12+D15*D18</f>
        <v/>
      </c>
      <c r="E26" s="35">
        <f>E8*E5*12+E15*E18</f>
        <v/>
      </c>
      <c r="F26" s="35">
        <f>F8*F5*12+F15*F18</f>
        <v/>
      </c>
      <c r="G26" s="35">
        <f>G8*G5*12+G15*G18</f>
        <v/>
      </c>
      <c r="H26" s="35">
        <f>H8*H5*12+H15*H18</f>
        <v/>
      </c>
      <c r="I26" s="35">
        <f>I8*I5*12+I15*I18</f>
        <v/>
      </c>
      <c r="J26" s="35">
        <f>J8*J5*12+J15*J18</f>
        <v/>
      </c>
      <c r="K26" s="35">
        <f>K8*K5*12+K15*K18</f>
        <v/>
      </c>
      <c r="L26" s="35">
        <f>L8*L5*12+L15*L18</f>
        <v/>
      </c>
      <c r="M26" s="35">
        <f>M8*M5*12+M15*M18</f>
        <v/>
      </c>
      <c r="N26" s="35">
        <f>N8*N5*12+N15*N18</f>
        <v/>
      </c>
      <c r="O26" s="35">
        <f>O8*O5*12+O15*O18</f>
        <v/>
      </c>
      <c r="P26" s="35">
        <f>P8*P5*12+P15*P18</f>
        <v/>
      </c>
      <c r="Q26" s="35">
        <f>Q8*Q5*12+Q15*Q18</f>
        <v/>
      </c>
      <c r="R26" s="35">
        <f>R8*R5*12+R15*R18</f>
        <v/>
      </c>
      <c r="S26" s="35">
        <f>S8*S5*12+S15*S18</f>
        <v/>
      </c>
      <c r="T26" s="35">
        <f>T8*T5*12+T15*T18</f>
        <v/>
      </c>
      <c r="U26" s="35">
        <f>U8*U5*12+U15*U18</f>
        <v/>
      </c>
      <c r="V26" s="35">
        <f>V8*V5*12+V15*V18</f>
        <v/>
      </c>
      <c r="W26" s="35">
        <f>W8*W5*12+W15*W18</f>
        <v/>
      </c>
      <c r="X26" s="35">
        <f>X8*X5*12+X15*X18</f>
        <v/>
      </c>
      <c r="Y26" s="35">
        <f>Y8*Y5*12+Y15*Y18</f>
        <v/>
      </c>
      <c r="Z26" s="35">
        <f>Z8*Z5*12+Z15*Z18</f>
        <v/>
      </c>
      <c r="AA26" s="35">
        <f>AA8*AA5*12+AA15*AA18</f>
        <v/>
      </c>
      <c r="AB26" s="35">
        <f>AB8*AB5*12+AB15*AB18</f>
        <v/>
      </c>
      <c r="AC26" s="35">
        <f>AC8*AC5*12+AC15*AC18</f>
        <v/>
      </c>
      <c r="AD26" s="35">
        <f>AD8*AD5*12+AD15*AD18</f>
        <v/>
      </c>
      <c r="AE26" s="35">
        <f>AE8*AE5*12+AE15*AE18</f>
        <v/>
      </c>
      <c r="AF26" s="35">
        <f>AF8*AF5*12+AF15*AF18</f>
        <v/>
      </c>
      <c r="AG26" s="35">
        <f>AG8*AG5*12+AG15*AG18</f>
        <v/>
      </c>
      <c r="AH26" s="35">
        <f>AH8*AH5*12+AH15*AH18</f>
        <v/>
      </c>
      <c r="AI26" s="35">
        <f>AI8*AI5*12+AI15*AI18</f>
        <v/>
      </c>
      <c r="AJ26" s="35">
        <f>AJ8*AJ5*12+AJ15*AJ18</f>
        <v/>
      </c>
      <c r="AK26" s="35">
        <f>AK8*AK5*12+AK15*AK18</f>
        <v/>
      </c>
      <c r="AL26" s="35">
        <f>AL8*AL5*12+AL15*AL18</f>
        <v/>
      </c>
      <c r="AM26" s="35">
        <f>AM8*AM5*12+AM15*AM18</f>
        <v/>
      </c>
      <c r="AN26" s="35">
        <f>AN8*AN5*12+AN15*AN18</f>
        <v/>
      </c>
      <c r="AO26" s="35">
        <f>AO8*AO5*12+AO15*AO18</f>
        <v/>
      </c>
      <c r="AP26" s="35">
        <f>AP8*AP5*12+AP15*AP18</f>
        <v/>
      </c>
      <c r="AQ26" s="35">
        <f>AQ8*AQ5*12+AQ15*AQ18</f>
        <v/>
      </c>
      <c r="AR26" s="35">
        <f>AR8*AR5*12+AR15*AR18</f>
        <v/>
      </c>
      <c r="AS26" s="35">
        <f>AS8*AS5*12+AS15*AS18</f>
        <v/>
      </c>
      <c r="AT26" s="35">
        <f>AT8*AT5*12+AT15*AT18</f>
        <v/>
      </c>
      <c r="AU26" s="35">
        <f>AU8*AU5*12+AU15*AU18</f>
        <v/>
      </c>
      <c r="AV26" s="35">
        <f>AV8*AV5*12+AV15*AV18</f>
        <v/>
      </c>
      <c r="AW26" s="35">
        <f>AW8*AW5*12+AW15*AW18</f>
        <v/>
      </c>
      <c r="AX26" s="35">
        <f>AX8*AX5*12+AX15*AX18</f>
        <v/>
      </c>
      <c r="AY26" s="35">
        <f>AY8*AY5*12+AY15*AY18</f>
        <v/>
      </c>
      <c r="AZ26" s="35">
        <f>AZ8*AZ5*12+AZ15*AZ18</f>
        <v/>
      </c>
      <c r="BA26" s="35">
        <f>BA8*BA5*12+BA15*BA18</f>
        <v/>
      </c>
    </row>
    <row r="27" ht="14.25" customHeight="1" s="214"/>
    <row r="28" ht="14.25" customHeight="1" s="214">
      <c r="A28" s="51" t="inlineStr">
        <is>
          <t>── Implementation-Support REVENUE ──</t>
        </is>
      </c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  <c r="AS28" s="60" t="n"/>
      <c r="AT28" s="60" t="n"/>
      <c r="AU28" s="60" t="n"/>
      <c r="AV28" s="60" t="n"/>
      <c r="AW28" s="60" t="n"/>
      <c r="AX28" s="60" t="n"/>
      <c r="AY28" s="60" t="n"/>
      <c r="AZ28" s="60" t="n"/>
      <c r="BA28" s="60" t="n"/>
    </row>
    <row r="29" ht="14.25" customHeight="1" s="214">
      <c r="A29" s="220" t="inlineStr">
        <is>
          <t>Active Subscription Customers</t>
        </is>
      </c>
      <c r="B29" s="62">
        <f>IF(B11&gt;0, MAX(1, ROUND(B11/Inputs!$B$23, 0)), 0)</f>
        <v/>
      </c>
      <c r="C29" s="62">
        <f>IF(C11&gt;0, MAX(1, ROUND(C11/Inputs!$B$23, 0)), 0)</f>
        <v/>
      </c>
      <c r="D29" s="62">
        <f>IF(D11&gt;0, MAX(1, ROUND(D11/Inputs!$B$23, 0)), 0)</f>
        <v/>
      </c>
      <c r="E29" s="62">
        <f>IF(E11&gt;0, MAX(1, ROUND(E11/Inputs!$B$23, 0)), 0)</f>
        <v/>
      </c>
      <c r="F29" s="62">
        <f>IF(F11&gt;0, MAX(1, ROUND(F11/Inputs!$B$23, 0)), 0)</f>
        <v/>
      </c>
      <c r="G29" s="62">
        <f>IF(G11&gt;0, MAX(1, ROUND(G11/Inputs!$B$23, 0)), 0)</f>
        <v/>
      </c>
      <c r="H29" s="62">
        <f>IF(H11&gt;0, MAX(1, ROUND(H11/Inputs!$B$23, 0)), 0)</f>
        <v/>
      </c>
      <c r="I29" s="62">
        <f>IF(I11&gt;0, MAX(1, ROUND(I11/Inputs!$B$23, 0)), 0)</f>
        <v/>
      </c>
      <c r="J29" s="62">
        <f>IF(J11&gt;0, MAX(1, ROUND(J11/Inputs!$B$23, 0)), 0)</f>
        <v/>
      </c>
      <c r="K29" s="62">
        <f>IF(K11&gt;0, MAX(1, ROUND(K11/Inputs!$B$23, 0)), 0)</f>
        <v/>
      </c>
      <c r="L29" s="62">
        <f>IF(L11&gt;0, MAX(1, ROUND(L11/Inputs!$B$23, 0)), 0)</f>
        <v/>
      </c>
      <c r="M29" s="62">
        <f>IF(M11&gt;0, MAX(1, ROUND(M11/Inputs!$B$23, 0)), 0)</f>
        <v/>
      </c>
      <c r="N29" s="62">
        <f>IF(N11&gt;0, MAX(1, ROUND(N11/Inputs!$B$23, 0)), 0)</f>
        <v/>
      </c>
      <c r="O29" s="62">
        <f>IF(O11&gt;0, MAX(1, ROUND(O11/Inputs!$B$23, 0)), 0)</f>
        <v/>
      </c>
      <c r="P29" s="62">
        <f>IF(P11&gt;0, MAX(1, ROUND(P11/Inputs!$B$23, 0)), 0)</f>
        <v/>
      </c>
      <c r="Q29" s="62">
        <f>IF(Q11&gt;0, MAX(1, ROUND(Q11/Inputs!$B$23, 0)), 0)</f>
        <v/>
      </c>
      <c r="R29" s="62">
        <f>IF(R11&gt;0, MAX(1, ROUND(R11/Inputs!$B$23, 0)), 0)</f>
        <v/>
      </c>
      <c r="S29" s="62">
        <f>IF(S11&gt;0, MAX(1, ROUND(S11/Inputs!$B$23, 0)), 0)</f>
        <v/>
      </c>
      <c r="T29" s="62">
        <f>IF(T11&gt;0, MAX(1, ROUND(T11/Inputs!$B$23, 0)), 0)</f>
        <v/>
      </c>
      <c r="U29" s="62">
        <f>IF(U11&gt;0, MAX(1, ROUND(U11/Inputs!$B$23, 0)), 0)</f>
        <v/>
      </c>
      <c r="V29" s="62">
        <f>IF(V11&gt;0, MAX(1, ROUND(V11/Inputs!$B$23, 0)), 0)</f>
        <v/>
      </c>
      <c r="W29" s="62">
        <f>IF(W11&gt;0, MAX(1, ROUND(W11/Inputs!$B$23, 0)), 0)</f>
        <v/>
      </c>
      <c r="X29" s="62">
        <f>IF(X11&gt;0, MAX(1, ROUND(X11/Inputs!$B$23, 0)), 0)</f>
        <v/>
      </c>
      <c r="Y29" s="62">
        <f>IF(Y11&gt;0, MAX(1, ROUND(Y11/Inputs!$B$23, 0)), 0)</f>
        <v/>
      </c>
      <c r="Z29" s="62">
        <f>IF(Z11&gt;0, MAX(1, ROUND(Z11/Inputs!$B$23, 0)), 0)</f>
        <v/>
      </c>
      <c r="AA29" s="62">
        <f>IF(AA11&gt;0, MAX(1, ROUND(AA11/Inputs!$B$23, 0)), 0)</f>
        <v/>
      </c>
      <c r="AB29" s="62">
        <f>IF(AB11&gt;0, MAX(1, ROUND(AB11/Inputs!$B$23, 0)), 0)</f>
        <v/>
      </c>
      <c r="AC29" s="62">
        <f>IF(AC11&gt;0, MAX(1, ROUND(AC11/Inputs!$B$23, 0)), 0)</f>
        <v/>
      </c>
      <c r="AD29" s="62">
        <f>IF(AD11&gt;0, MAX(1, ROUND(AD11/Inputs!$B$23, 0)), 0)</f>
        <v/>
      </c>
      <c r="AE29" s="62">
        <f>IF(AE11&gt;0, MAX(1, ROUND(AE11/Inputs!$B$23, 0)), 0)</f>
        <v/>
      </c>
      <c r="AF29" s="62">
        <f>IF(AF11&gt;0, MAX(1, ROUND(AF11/Inputs!$B$23, 0)), 0)</f>
        <v/>
      </c>
      <c r="AG29" s="62">
        <f>IF(AG11&gt;0, MAX(1, ROUND(AG11/Inputs!$B$23, 0)), 0)</f>
        <v/>
      </c>
      <c r="AH29" s="62">
        <f>IF(AH11&gt;0, MAX(1, ROUND(AH11/Inputs!$B$23, 0)), 0)</f>
        <v/>
      </c>
      <c r="AI29" s="62">
        <f>IF(AI11&gt;0, MAX(1, ROUND(AI11/Inputs!$B$23, 0)), 0)</f>
        <v/>
      </c>
      <c r="AJ29" s="62">
        <f>IF(AJ11&gt;0, MAX(1, ROUND(AJ11/Inputs!$B$23, 0)), 0)</f>
        <v/>
      </c>
      <c r="AK29" s="62">
        <f>IF(AK11&gt;0, MAX(1, ROUND(AK11/Inputs!$B$23, 0)), 0)</f>
        <v/>
      </c>
      <c r="AL29" s="62">
        <f>IF(AL11&gt;0, MAX(1, ROUND(AL11/Inputs!$B$23, 0)), 0)</f>
        <v/>
      </c>
      <c r="AM29" s="62">
        <f>IF(AM11&gt;0, MAX(1, ROUND(AM11/Inputs!$B$23, 0)), 0)</f>
        <v/>
      </c>
      <c r="AN29" s="62">
        <f>IF(AN11&gt;0, MAX(1, ROUND(AN11/Inputs!$B$23, 0)), 0)</f>
        <v/>
      </c>
      <c r="AO29" s="62">
        <f>IF(AO11&gt;0, MAX(1, ROUND(AO11/Inputs!$B$23, 0)), 0)</f>
        <v/>
      </c>
      <c r="AP29" s="62">
        <f>IF(AP11&gt;0, MAX(1, ROUND(AP11/Inputs!$B$23, 0)), 0)</f>
        <v/>
      </c>
      <c r="AQ29" s="62">
        <f>IF(AQ11&gt;0, MAX(1, ROUND(AQ11/Inputs!$B$23, 0)), 0)</f>
        <v/>
      </c>
      <c r="AR29" s="62">
        <f>IF(AR11&gt;0, MAX(1, ROUND(AR11/Inputs!$B$23, 0)), 0)</f>
        <v/>
      </c>
      <c r="AS29" s="62">
        <f>IF(AS11&gt;0, MAX(1, ROUND(AS11/Inputs!$B$23, 0)), 0)</f>
        <v/>
      </c>
      <c r="AT29" s="62">
        <f>IF(AT11&gt;0, MAX(1, ROUND(AT11/Inputs!$B$23, 0)), 0)</f>
        <v/>
      </c>
      <c r="AU29" s="62">
        <f>IF(AU11&gt;0, MAX(1, ROUND(AU11/Inputs!$B$23, 0)), 0)</f>
        <v/>
      </c>
      <c r="AV29" s="62">
        <f>IF(AV11&gt;0, MAX(1, ROUND(AV11/Inputs!$B$23, 0)), 0)</f>
        <v/>
      </c>
      <c r="AW29" s="62">
        <f>IF(AW11&gt;0, MAX(1, ROUND(AW11/Inputs!$B$23, 0)), 0)</f>
        <v/>
      </c>
      <c r="AX29" s="62">
        <f>IF(AX11&gt;0, MAX(1, ROUND(AX11/Inputs!$B$23, 0)), 0)</f>
        <v/>
      </c>
      <c r="AY29" s="62">
        <f>IF(AY11&gt;0, MAX(1, ROUND(AY11/Inputs!$B$23, 0)), 0)</f>
        <v/>
      </c>
      <c r="AZ29" s="62">
        <f>IF(AZ11&gt;0, MAX(1, ROUND(AZ11/Inputs!$B$23, 0)), 0)</f>
        <v/>
      </c>
      <c r="BA29" s="62">
        <f>IF(BA11&gt;0, MAX(1, ROUND(BA11/Inputs!$B$23, 0)), 0)</f>
        <v/>
      </c>
    </row>
    <row r="30" ht="14.25" customHeight="1" s="214">
      <c r="A30" s="220" t="inlineStr">
        <is>
          <t>Total Active Customers (inkl. Enterprise)</t>
        </is>
      </c>
      <c r="B30" s="62">
        <f>B29+B17</f>
        <v/>
      </c>
      <c r="C30" s="62">
        <f>C29+C17</f>
        <v/>
      </c>
      <c r="D30" s="62">
        <f>D29+D17</f>
        <v/>
      </c>
      <c r="E30" s="62">
        <f>E29+E17</f>
        <v/>
      </c>
      <c r="F30" s="62">
        <f>F29+F17</f>
        <v/>
      </c>
      <c r="G30" s="62">
        <f>G29+G17</f>
        <v/>
      </c>
      <c r="H30" s="62">
        <f>H29+H17</f>
        <v/>
      </c>
      <c r="I30" s="62">
        <f>I29+I17</f>
        <v/>
      </c>
      <c r="J30" s="62">
        <f>J29+J17</f>
        <v/>
      </c>
      <c r="K30" s="62">
        <f>K29+K17</f>
        <v/>
      </c>
      <c r="L30" s="62">
        <f>L29+L17</f>
        <v/>
      </c>
      <c r="M30" s="62">
        <f>M29+M17</f>
        <v/>
      </c>
      <c r="N30" s="62">
        <f>N29+N17</f>
        <v/>
      </c>
      <c r="O30" s="62">
        <f>O29+O17</f>
        <v/>
      </c>
      <c r="P30" s="62">
        <f>P29+P17</f>
        <v/>
      </c>
      <c r="Q30" s="62">
        <f>Q29+Q17</f>
        <v/>
      </c>
      <c r="R30" s="62">
        <f>R29+R17</f>
        <v/>
      </c>
      <c r="S30" s="62">
        <f>S29+S17</f>
        <v/>
      </c>
      <c r="T30" s="62">
        <f>T29+T17</f>
        <v/>
      </c>
      <c r="U30" s="62">
        <f>U29+U17</f>
        <v/>
      </c>
      <c r="V30" s="62">
        <f>V29+V17</f>
        <v/>
      </c>
      <c r="W30" s="62">
        <f>W29+W17</f>
        <v/>
      </c>
      <c r="X30" s="62">
        <f>X29+X17</f>
        <v/>
      </c>
      <c r="Y30" s="62">
        <f>Y29+Y17</f>
        <v/>
      </c>
      <c r="Z30" s="62">
        <f>Z29+Z17</f>
        <v/>
      </c>
      <c r="AA30" s="62">
        <f>AA29+AA17</f>
        <v/>
      </c>
      <c r="AB30" s="62">
        <f>AB29+AB17</f>
        <v/>
      </c>
      <c r="AC30" s="62">
        <f>AC29+AC17</f>
        <v/>
      </c>
      <c r="AD30" s="62">
        <f>AD29+AD17</f>
        <v/>
      </c>
      <c r="AE30" s="62">
        <f>AE29+AE17</f>
        <v/>
      </c>
      <c r="AF30" s="62">
        <f>AF29+AF17</f>
        <v/>
      </c>
      <c r="AG30" s="62">
        <f>AG29+AG17</f>
        <v/>
      </c>
      <c r="AH30" s="62">
        <f>AH29+AH17</f>
        <v/>
      </c>
      <c r="AI30" s="62">
        <f>AI29+AI17</f>
        <v/>
      </c>
      <c r="AJ30" s="62">
        <f>AJ29+AJ17</f>
        <v/>
      </c>
      <c r="AK30" s="62">
        <f>AK29+AK17</f>
        <v/>
      </c>
      <c r="AL30" s="62">
        <f>AL29+AL17</f>
        <v/>
      </c>
      <c r="AM30" s="62">
        <f>AM29+AM17</f>
        <v/>
      </c>
      <c r="AN30" s="62">
        <f>AN29+AN17</f>
        <v/>
      </c>
      <c r="AO30" s="62">
        <f>AO29+AO17</f>
        <v/>
      </c>
      <c r="AP30" s="62">
        <f>AP29+AP17</f>
        <v/>
      </c>
      <c r="AQ30" s="62">
        <f>AQ29+AQ17</f>
        <v/>
      </c>
      <c r="AR30" s="62">
        <f>AR29+AR17</f>
        <v/>
      </c>
      <c r="AS30" s="62">
        <f>AS29+AS17</f>
        <v/>
      </c>
      <c r="AT30" s="62">
        <f>AT29+AT17</f>
        <v/>
      </c>
      <c r="AU30" s="62">
        <f>AU29+AU17</f>
        <v/>
      </c>
      <c r="AV30" s="62">
        <f>AV29+AV17</f>
        <v/>
      </c>
      <c r="AW30" s="62">
        <f>AW29+AW17</f>
        <v/>
      </c>
      <c r="AX30" s="62">
        <f>AX29+AX17</f>
        <v/>
      </c>
      <c r="AY30" s="62">
        <f>AY29+AY17</f>
        <v/>
      </c>
      <c r="AZ30" s="62">
        <f>AZ29+AZ17</f>
        <v/>
      </c>
      <c r="BA30" s="62">
        <f>BA29+BA17</f>
        <v/>
      </c>
    </row>
    <row r="31" ht="27.5" customHeight="1" s="214">
      <c r="A31" s="220" t="inlineStr">
        <is>
          <t>Implementation-Support-Tage/Monat  [ab Startmonat; Kunden × Wskt. × Tage/Einsatz]</t>
        </is>
      </c>
      <c r="B31" s="62">
        <f>IF(1&gt;=Inputs!$B$133,B30*Inputs!$B$131*Inputs!$B$132,0)</f>
        <v/>
      </c>
      <c r="C31" s="62">
        <f>IF(2&gt;=Inputs!$B$133,C30*Inputs!$B$131*Inputs!$B$132,0)</f>
        <v/>
      </c>
      <c r="D31" s="62">
        <f>IF(3&gt;=Inputs!$B$133,D30*Inputs!$B$131*Inputs!$B$132,0)</f>
        <v/>
      </c>
      <c r="E31" s="62">
        <f>IF(4&gt;=Inputs!$B$133,E30*Inputs!$B$131*Inputs!$B$132,0)</f>
        <v/>
      </c>
      <c r="F31" s="62">
        <f>IF(5&gt;=Inputs!$B$133,F30*Inputs!$B$131*Inputs!$B$132,0)</f>
        <v/>
      </c>
      <c r="G31" s="62">
        <f>IF(6&gt;=Inputs!$B$133,G30*Inputs!$B$131*Inputs!$B$132,0)</f>
        <v/>
      </c>
      <c r="H31" s="62">
        <f>IF(7&gt;=Inputs!$B$133,H30*Inputs!$B$131*Inputs!$B$132,0)</f>
        <v/>
      </c>
      <c r="I31" s="62">
        <f>IF(8&gt;=Inputs!$B$133,I30*Inputs!$B$131*Inputs!$B$132,0)</f>
        <v/>
      </c>
      <c r="J31" s="62">
        <f>IF(9&gt;=Inputs!$B$133,J30*Inputs!$B$131*Inputs!$B$132,0)</f>
        <v/>
      </c>
      <c r="K31" s="62">
        <f>IF(10&gt;=Inputs!$B$133,K30*Inputs!$B$131*Inputs!$B$132,0)</f>
        <v/>
      </c>
      <c r="L31" s="62">
        <f>IF(11&gt;=Inputs!$B$133,L30*Inputs!$B$131*Inputs!$B$132,0)</f>
        <v/>
      </c>
      <c r="M31" s="62">
        <f>IF(12&gt;=Inputs!$B$133,M30*Inputs!$B$131*Inputs!$B$132,0)</f>
        <v/>
      </c>
      <c r="N31" s="62">
        <f>IF(13&gt;=Inputs!$B$133,N30*Inputs!$B$131*Inputs!$B$132,0)</f>
        <v/>
      </c>
      <c r="O31" s="62">
        <f>IF(14&gt;=Inputs!$B$133,O30*Inputs!$B$131*Inputs!$B$132,0)</f>
        <v/>
      </c>
      <c r="P31" s="62">
        <f>IF(15&gt;=Inputs!$B$133,P30*Inputs!$B$131*Inputs!$B$132,0)</f>
        <v/>
      </c>
      <c r="Q31" s="62">
        <f>IF(16&gt;=Inputs!$B$133,Q30*Inputs!$B$131*Inputs!$B$132,0)</f>
        <v/>
      </c>
      <c r="R31" s="62">
        <f>IF(17&gt;=Inputs!$B$133,R30*Inputs!$B$131*Inputs!$B$132,0)</f>
        <v/>
      </c>
      <c r="S31" s="62">
        <f>IF(18&gt;=Inputs!$B$133,S30*Inputs!$B$131*Inputs!$B$132,0)</f>
        <v/>
      </c>
      <c r="T31" s="62">
        <f>IF(19&gt;=Inputs!$B$133,T30*Inputs!$B$131*Inputs!$B$132,0)</f>
        <v/>
      </c>
      <c r="U31" s="62">
        <f>IF(20&gt;=Inputs!$B$133,U30*Inputs!$B$131*Inputs!$B$132,0)</f>
        <v/>
      </c>
      <c r="V31" s="62">
        <f>IF(21&gt;=Inputs!$B$133,V30*Inputs!$B$131*Inputs!$B$132,0)</f>
        <v/>
      </c>
      <c r="W31" s="62">
        <f>IF(22&gt;=Inputs!$B$133,W30*Inputs!$B$131*Inputs!$B$132,0)</f>
        <v/>
      </c>
      <c r="X31" s="62">
        <f>IF(23&gt;=Inputs!$B$133,X30*Inputs!$B$131*Inputs!$B$132,0)</f>
        <v/>
      </c>
      <c r="Y31" s="62">
        <f>IF(24&gt;=Inputs!$B$133,Y30*Inputs!$B$131*Inputs!$B$132,0)</f>
        <v/>
      </c>
      <c r="Z31" s="62">
        <f>IF(25&gt;=Inputs!$B$133,Z30*Inputs!$B$131*Inputs!$B$132,0)</f>
        <v/>
      </c>
      <c r="AA31" s="62">
        <f>IF(26&gt;=Inputs!$B$133,AA30*Inputs!$B$131*Inputs!$B$132,0)</f>
        <v/>
      </c>
      <c r="AB31" s="62">
        <f>IF(27&gt;=Inputs!$B$133,AB30*Inputs!$B$131*Inputs!$B$132,0)</f>
        <v/>
      </c>
      <c r="AC31" s="62">
        <f>IF(28&gt;=Inputs!$B$133,AC30*Inputs!$B$131*Inputs!$B$132,0)</f>
        <v/>
      </c>
      <c r="AD31" s="62">
        <f>IF(29&gt;=Inputs!$B$133,AD30*Inputs!$B$131*Inputs!$B$132,0)</f>
        <v/>
      </c>
      <c r="AE31" s="62">
        <f>IF(30&gt;=Inputs!$B$133,AE30*Inputs!$B$131*Inputs!$B$132,0)</f>
        <v/>
      </c>
      <c r="AF31" s="62">
        <f>IF(31&gt;=Inputs!$B$133,AF30*Inputs!$B$131*Inputs!$B$132,0)</f>
        <v/>
      </c>
      <c r="AG31" s="62">
        <f>IF(32&gt;=Inputs!$B$133,AG30*Inputs!$B$131*Inputs!$B$132,0)</f>
        <v/>
      </c>
      <c r="AH31" s="62">
        <f>IF(33&gt;=Inputs!$B$133,AH30*Inputs!$B$131*Inputs!$B$132,0)</f>
        <v/>
      </c>
      <c r="AI31" s="62">
        <f>IF(34&gt;=Inputs!$B$133,AI30*Inputs!$B$131*Inputs!$B$132,0)</f>
        <v/>
      </c>
      <c r="AJ31" s="62">
        <f>IF(35&gt;=Inputs!$B$133,AJ30*Inputs!$B$131*Inputs!$B$132,0)</f>
        <v/>
      </c>
      <c r="AK31" s="62">
        <f>IF(36&gt;=Inputs!$B$133,AK30*Inputs!$B$131*Inputs!$B$132,0)</f>
        <v/>
      </c>
      <c r="AL31" s="62">
        <f>IF(37&gt;=Inputs!$B$133,AL30*Inputs!$B$131*Inputs!$B$132,0)</f>
        <v/>
      </c>
      <c r="AM31" s="62">
        <f>IF(38&gt;=Inputs!$B$133,AM30*Inputs!$B$131*Inputs!$B$132,0)</f>
        <v/>
      </c>
      <c r="AN31" s="62">
        <f>IF(39&gt;=Inputs!$B$133,AN30*Inputs!$B$131*Inputs!$B$132,0)</f>
        <v/>
      </c>
      <c r="AO31" s="62">
        <f>IF(40&gt;=Inputs!$B$133,AO30*Inputs!$B$131*Inputs!$B$132,0)</f>
        <v/>
      </c>
      <c r="AP31" s="62">
        <f>IF(41&gt;=Inputs!$B$133,AP30*Inputs!$B$131*Inputs!$B$132,0)</f>
        <v/>
      </c>
      <c r="AQ31" s="62">
        <f>IF(42&gt;=Inputs!$B$133,AQ30*Inputs!$B$131*Inputs!$B$132,0)</f>
        <v/>
      </c>
      <c r="AR31" s="62">
        <f>IF(43&gt;=Inputs!$B$133,AR30*Inputs!$B$131*Inputs!$B$132,0)</f>
        <v/>
      </c>
      <c r="AS31" s="62">
        <f>IF(44&gt;=Inputs!$B$133,AS30*Inputs!$B$131*Inputs!$B$132,0)</f>
        <v/>
      </c>
      <c r="AT31" s="62">
        <f>IF(45&gt;=Inputs!$B$133,AT30*Inputs!$B$131*Inputs!$B$132,0)</f>
        <v/>
      </c>
      <c r="AU31" s="62">
        <f>IF(46&gt;=Inputs!$B$133,AU30*Inputs!$B$131*Inputs!$B$132,0)</f>
        <v/>
      </c>
      <c r="AV31" s="62">
        <f>IF(47&gt;=Inputs!$B$133,AV30*Inputs!$B$131*Inputs!$B$132,0)</f>
        <v/>
      </c>
      <c r="AW31" s="62">
        <f>IF(48&gt;=Inputs!$B$133,AW30*Inputs!$B$131*Inputs!$B$132,0)</f>
        <v/>
      </c>
      <c r="AX31" s="62">
        <f>IF(49&gt;=Inputs!$B$133,AX30*Inputs!$B$131*Inputs!$B$132,0)</f>
        <v/>
      </c>
      <c r="AY31" s="62">
        <f>IF(50&gt;=Inputs!$B$133,AY30*Inputs!$B$131*Inputs!$B$132,0)</f>
        <v/>
      </c>
      <c r="AZ31" s="62">
        <f>IF(51&gt;=Inputs!$B$133,AZ30*Inputs!$B$131*Inputs!$B$132,0)</f>
        <v/>
      </c>
      <c r="BA31" s="62">
        <f>IF(52&gt;=Inputs!$B$133,BA30*Inputs!$B$131*Inputs!$B$132,0)</f>
        <v/>
      </c>
    </row>
    <row r="32" ht="14.25" customHeight="1" s="214">
      <c r="A32" s="222" t="inlineStr">
        <is>
          <t>Implementation-Support Revenue (€/Monat)  [= Tage/Mo × Tagessatz]</t>
        </is>
      </c>
      <c r="B32" s="59">
        <f>B31*Inputs!$B$130</f>
        <v/>
      </c>
      <c r="C32" s="59">
        <f>C31*Inputs!$B$130</f>
        <v/>
      </c>
      <c r="D32" s="59">
        <f>D31*Inputs!$B$130</f>
        <v/>
      </c>
      <c r="E32" s="59">
        <f>E31*Inputs!$B$130</f>
        <v/>
      </c>
      <c r="F32" s="59">
        <f>F31*Inputs!$B$130</f>
        <v/>
      </c>
      <c r="G32" s="59">
        <f>G31*Inputs!$B$130</f>
        <v/>
      </c>
      <c r="H32" s="59">
        <f>H31*Inputs!$B$130</f>
        <v/>
      </c>
      <c r="I32" s="59">
        <f>I31*Inputs!$B$130</f>
        <v/>
      </c>
      <c r="J32" s="59">
        <f>J31*Inputs!$B$130</f>
        <v/>
      </c>
      <c r="K32" s="59">
        <f>K31*Inputs!$B$130</f>
        <v/>
      </c>
      <c r="L32" s="59">
        <f>L31*Inputs!$B$130</f>
        <v/>
      </c>
      <c r="M32" s="59">
        <f>M31*Inputs!$B$130</f>
        <v/>
      </c>
      <c r="N32" s="59">
        <f>N31*Inputs!$B$130</f>
        <v/>
      </c>
      <c r="O32" s="59">
        <f>O31*Inputs!$B$130</f>
        <v/>
      </c>
      <c r="P32" s="59">
        <f>P31*Inputs!$B$130</f>
        <v/>
      </c>
      <c r="Q32" s="59">
        <f>Q31*Inputs!$B$130</f>
        <v/>
      </c>
      <c r="R32" s="59">
        <f>R31*Inputs!$B$130</f>
        <v/>
      </c>
      <c r="S32" s="59">
        <f>S31*Inputs!$B$130</f>
        <v/>
      </c>
      <c r="T32" s="59">
        <f>T31*Inputs!$B$130</f>
        <v/>
      </c>
      <c r="U32" s="59">
        <f>U31*Inputs!$B$130</f>
        <v/>
      </c>
      <c r="V32" s="59">
        <f>V31*Inputs!$B$130</f>
        <v/>
      </c>
      <c r="W32" s="59">
        <f>W31*Inputs!$B$130</f>
        <v/>
      </c>
      <c r="X32" s="59">
        <f>X31*Inputs!$B$130</f>
        <v/>
      </c>
      <c r="Y32" s="59">
        <f>Y31*Inputs!$B$130</f>
        <v/>
      </c>
      <c r="Z32" s="59">
        <f>Z31*Inputs!$B$130</f>
        <v/>
      </c>
      <c r="AA32" s="59">
        <f>AA31*Inputs!$B$130</f>
        <v/>
      </c>
      <c r="AB32" s="59">
        <f>AB31*Inputs!$B$130</f>
        <v/>
      </c>
      <c r="AC32" s="59">
        <f>AC31*Inputs!$B$130</f>
        <v/>
      </c>
      <c r="AD32" s="59">
        <f>AD31*Inputs!$B$130</f>
        <v/>
      </c>
      <c r="AE32" s="59">
        <f>AE31*Inputs!$B$130</f>
        <v/>
      </c>
      <c r="AF32" s="59">
        <f>AF31*Inputs!$B$130</f>
        <v/>
      </c>
      <c r="AG32" s="59">
        <f>AG31*Inputs!$B$130</f>
        <v/>
      </c>
      <c r="AH32" s="59">
        <f>AH31*Inputs!$B$130</f>
        <v/>
      </c>
      <c r="AI32" s="59">
        <f>AI31*Inputs!$B$130</f>
        <v/>
      </c>
      <c r="AJ32" s="59">
        <f>AJ31*Inputs!$B$130</f>
        <v/>
      </c>
      <c r="AK32" s="59">
        <f>AK31*Inputs!$B$130</f>
        <v/>
      </c>
      <c r="AL32" s="59">
        <f>AL31*Inputs!$B$130</f>
        <v/>
      </c>
      <c r="AM32" s="59">
        <f>AM31*Inputs!$B$130</f>
        <v/>
      </c>
      <c r="AN32" s="59">
        <f>AN31*Inputs!$B$130</f>
        <v/>
      </c>
      <c r="AO32" s="59">
        <f>AO31*Inputs!$B$130</f>
        <v/>
      </c>
      <c r="AP32" s="59">
        <f>AP31*Inputs!$B$130</f>
        <v/>
      </c>
      <c r="AQ32" s="59">
        <f>AQ31*Inputs!$B$130</f>
        <v/>
      </c>
      <c r="AR32" s="59">
        <f>AR31*Inputs!$B$130</f>
        <v/>
      </c>
      <c r="AS32" s="59">
        <f>AS31*Inputs!$B$130</f>
        <v/>
      </c>
      <c r="AT32" s="59">
        <f>AT31*Inputs!$B$130</f>
        <v/>
      </c>
      <c r="AU32" s="59">
        <f>AU31*Inputs!$B$130</f>
        <v/>
      </c>
      <c r="AV32" s="59">
        <f>AV31*Inputs!$B$130</f>
        <v/>
      </c>
      <c r="AW32" s="59">
        <f>AW31*Inputs!$B$130</f>
        <v/>
      </c>
      <c r="AX32" s="59">
        <f>AX31*Inputs!$B$130</f>
        <v/>
      </c>
      <c r="AY32" s="59">
        <f>AY31*Inputs!$B$130</f>
        <v/>
      </c>
      <c r="AZ32" s="59">
        <f>AZ31*Inputs!$B$130</f>
        <v/>
      </c>
      <c r="BA32" s="59">
        <f>BA31*Inputs!$B$130</f>
        <v/>
      </c>
    </row>
    <row r="33" ht="14.25" customHeight="1" s="214"/>
    <row r="34" ht="55" customHeight="1" s="214">
      <c r="A34" s="228" t="inlineStr">
        <is>
          <t>ℹ Hinweis MRR/ARR vs. Total Revenue:
MRR/ARR (Z19/20) = ausschließlich wiederkehrende Lizenzumsätze (Subscription Seats + Enterprise-Verträge). Implementation-Support ist projektbezogen, nicht-wiederkehrend → kein Bestandteil von MRR/ARR (SaaS-Standard: SaaStr/OpenView/a16z).
Total Monthly Revenue (Z21) = MRR + Implementation-Support → fließt in P&amp;L TOTAL REVENUE.</t>
        </is>
      </c>
      <c r="B34" s="216" t="n"/>
      <c r="C34" s="216" t="n"/>
      <c r="D34" s="216" t="n"/>
      <c r="E34" s="216" t="n"/>
      <c r="F34" s="216" t="n"/>
      <c r="G34" s="216" t="n"/>
      <c r="H34" s="216" t="n"/>
      <c r="I34" s="216" t="n"/>
      <c r="J34" s="217" t="n"/>
    </row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  <row r="1002" ht="14.25" customHeight="1" s="214"/>
    <row r="1003" ht="14.25" customHeight="1" s="214"/>
  </sheetData>
  <mergeCells count="1">
    <mergeCell ref="A34:J3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BA100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B1" sqref="B1:E1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72" customHeight="1" s="214">
      <c r="A1" s="1" t="inlineStr">
        <is>
          <t>KOSTENDETAILS</t>
        </is>
      </c>
      <c r="B1" s="213" t="n"/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Kostenposition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HEADCOUNT PLAN</t>
        </is>
      </c>
    </row>
    <row r="6" ht="14.25" customHeight="1" s="214">
      <c r="A6" s="3" t="inlineStr">
        <is>
          <t>Executives (CEO, CTO, CCO)</t>
        </is>
      </c>
      <c r="B6" s="37" t="n">
        <v>3</v>
      </c>
      <c r="C6" s="37" t="n">
        <v>3</v>
      </c>
      <c r="D6" s="37" t="n">
        <v>3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3</v>
      </c>
      <c r="J6" s="37" t="n">
        <v>3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3</v>
      </c>
      <c r="P6" s="37" t="n">
        <v>3</v>
      </c>
      <c r="Q6" s="37" t="n">
        <v>3</v>
      </c>
      <c r="R6" s="37" t="n">
        <v>3</v>
      </c>
      <c r="S6" s="37" t="n">
        <v>3</v>
      </c>
      <c r="T6" s="37" t="n">
        <v>3</v>
      </c>
      <c r="U6" s="37" t="n">
        <v>3</v>
      </c>
      <c r="V6" s="37" t="n">
        <v>3</v>
      </c>
      <c r="W6" s="37" t="n">
        <v>3</v>
      </c>
      <c r="X6" s="37" t="n">
        <v>3</v>
      </c>
      <c r="Y6" s="37" t="n">
        <v>3</v>
      </c>
      <c r="Z6" s="37" t="n">
        <v>3</v>
      </c>
      <c r="AA6" s="37" t="n">
        <v>3</v>
      </c>
      <c r="AB6" s="37" t="n">
        <v>3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3</v>
      </c>
      <c r="AM6" s="37" t="n">
        <v>3</v>
      </c>
      <c r="AN6" s="37" t="n">
        <v>3</v>
      </c>
      <c r="AO6" s="37" t="n">
        <v>3</v>
      </c>
      <c r="AP6" s="37" t="n">
        <v>3</v>
      </c>
      <c r="AQ6" s="37" t="n">
        <v>3</v>
      </c>
      <c r="AR6" s="37" t="n">
        <v>3</v>
      </c>
      <c r="AS6" s="37" t="n">
        <v>3</v>
      </c>
      <c r="AT6" s="37" t="n">
        <v>3</v>
      </c>
      <c r="AU6" s="37" t="n">
        <v>3</v>
      </c>
      <c r="AV6" s="37" t="n">
        <v>3</v>
      </c>
      <c r="AW6" s="37" t="n">
        <v>3</v>
      </c>
      <c r="AX6" s="37" t="n">
        <v>3</v>
      </c>
      <c r="AY6" s="37" t="n">
        <v>3</v>
      </c>
      <c r="AZ6" s="37" t="n">
        <v>3</v>
      </c>
      <c r="BA6" s="37" t="n">
        <v>3</v>
      </c>
    </row>
    <row r="7" ht="14.25" customHeight="1" s="214">
      <c r="A7" s="18" t="inlineStr">
        <is>
          <t>1. Software Developer</t>
        </is>
      </c>
      <c r="B7" s="37">
        <f>IF(COLUMNS($B$7:B7) &gt;= Inputs!$E$52, 1, 0)</f>
        <v/>
      </c>
      <c r="C7" s="37">
        <f>IF(COLUMNS($B$7:C7) &gt;= Inputs!$E$52, 1, 0)</f>
        <v/>
      </c>
      <c r="D7" s="37">
        <f>IF(COLUMNS($B$7:D7) &gt;= Inputs!$E$52, 1, 0)</f>
        <v/>
      </c>
      <c r="E7" s="37">
        <f>IF(COLUMNS($B$7:E7) &gt;= Inputs!$E$52, 1, 0)</f>
        <v/>
      </c>
      <c r="F7" s="37">
        <f>IF(COLUMNS($B$7:F7) &gt;= Inputs!$E$52, 1, 0)</f>
        <v/>
      </c>
      <c r="G7" s="37">
        <f>IF(COLUMNS($B$7:G7) &gt;= Inputs!$E$52, 1, 0)</f>
        <v/>
      </c>
      <c r="H7" s="37">
        <f>IF(COLUMNS($B$7:H7) &gt;= Inputs!$E$52, 1, 0)</f>
        <v/>
      </c>
      <c r="I7" s="37">
        <f>IF(COLUMNS($B$7:I7) &gt;= Inputs!$E$52, 1, 0)</f>
        <v/>
      </c>
      <c r="J7" s="37">
        <f>IF(COLUMNS($B$7:J7) &gt;= Inputs!$E$52, 1, 0)</f>
        <v/>
      </c>
      <c r="K7" s="37">
        <f>IF(COLUMNS($B$7:K7) &gt;= Inputs!$E$52, 1, 0)</f>
        <v/>
      </c>
      <c r="L7" s="37">
        <f>IF(COLUMNS($B$7:L7) &gt;= Inputs!$E$52, 1, 0)</f>
        <v/>
      </c>
      <c r="M7" s="37">
        <f>IF(COLUMNS($B$7:M7) &gt;= Inputs!$E$52, 1, 0)</f>
        <v/>
      </c>
      <c r="N7" s="37">
        <f>IF(COLUMNS($B$7:N7) &gt;= Inputs!$E$52, 1, 0)</f>
        <v/>
      </c>
      <c r="O7" s="37">
        <f>IF(COLUMNS($B$7:O7) &gt;= Inputs!$E$52, 1, 0)</f>
        <v/>
      </c>
      <c r="P7" s="37">
        <f>IF(COLUMNS($B$7:P7) &gt;= Inputs!$E$52, 1, 0)</f>
        <v/>
      </c>
      <c r="Q7" s="37">
        <f>IF(COLUMNS($B$7:Q7) &gt;= Inputs!$E$52, 1, 0)</f>
        <v/>
      </c>
      <c r="R7" s="37">
        <f>IF(COLUMNS($B$7:R7) &gt;= Inputs!$E$52, 1, 0)</f>
        <v/>
      </c>
      <c r="S7" s="37">
        <f>IF(COLUMNS($B$7:S7) &gt;= Inputs!$E$52, 1, 0)</f>
        <v/>
      </c>
      <c r="T7" s="37">
        <f>IF(COLUMNS($B$7:T7) &gt;= Inputs!$E$52, 1, 0)</f>
        <v/>
      </c>
      <c r="U7" s="37">
        <f>IF(COLUMNS($B$7:U7) &gt;= Inputs!$E$52, 1, 0)</f>
        <v/>
      </c>
      <c r="V7" s="37">
        <f>IF(COLUMNS($B$7:V7) &gt;= Inputs!$E$52, 1, 0)</f>
        <v/>
      </c>
      <c r="W7" s="37">
        <f>IF(COLUMNS($B$7:W7) &gt;= Inputs!$E$52, 1, 0)</f>
        <v/>
      </c>
      <c r="X7" s="37">
        <f>IF(COLUMNS($B$7:X7) &gt;= Inputs!$E$52, 1, 0)</f>
        <v/>
      </c>
      <c r="Y7" s="37">
        <f>IF(COLUMNS($B$7:Y7) &gt;= Inputs!$E$52, 1, 0)</f>
        <v/>
      </c>
      <c r="Z7" s="37">
        <f>IF(COLUMNS($B$7:Z7) &gt;= Inputs!$E$52, 1, 0)</f>
        <v/>
      </c>
      <c r="AA7" s="37">
        <f>IF(COLUMNS($B$7:AA7) &gt;= Inputs!$E$52, 1, 0)</f>
        <v/>
      </c>
      <c r="AB7" s="37">
        <f>IF(COLUMNS($B$7:AB7) &gt;= Inputs!$E$52, 1, 0)</f>
        <v/>
      </c>
      <c r="AC7" s="37">
        <f>IF(COLUMNS($B$7:AC7) &gt;= Inputs!$E$52, 1, 0)</f>
        <v/>
      </c>
      <c r="AD7" s="37">
        <f>IF(COLUMNS($B$7:AD7) &gt;= Inputs!$E$52, 1, 0)</f>
        <v/>
      </c>
      <c r="AE7" s="37">
        <f>IF(COLUMNS($B$7:AE7) &gt;= Inputs!$E$52, 1, 0)</f>
        <v/>
      </c>
      <c r="AF7" s="37">
        <f>IF(COLUMNS($B$7:AF7) &gt;= Inputs!$E$52, 1, 0)</f>
        <v/>
      </c>
      <c r="AG7" s="37">
        <f>IF(COLUMNS($B$7:AG7) &gt;= Inputs!$E$52, 1, 0)</f>
        <v/>
      </c>
      <c r="AH7" s="37">
        <f>IF(COLUMNS($B$7:AH7) &gt;= Inputs!$E$52, 1, 0)</f>
        <v/>
      </c>
      <c r="AI7" s="37">
        <f>IF(COLUMNS($B$7:AI7) &gt;= Inputs!$E$52, 1, 0)</f>
        <v/>
      </c>
      <c r="AJ7" s="37">
        <f>IF(COLUMNS($B$7:AJ7) &gt;= Inputs!$E$52, 1, 0)</f>
        <v/>
      </c>
      <c r="AK7" s="37">
        <f>IF(COLUMNS($B$7:AK7) &gt;= Inputs!$E$52, 1, 0)</f>
        <v/>
      </c>
      <c r="AL7" s="37">
        <f>IF(COLUMNS($B$7:AL7) &gt;= Inputs!$E$52, 1, 0)</f>
        <v/>
      </c>
      <c r="AM7" s="37">
        <f>IF(COLUMNS($B$7:AM7) &gt;= Inputs!$E$52, 1, 0)</f>
        <v/>
      </c>
      <c r="AN7" s="37">
        <f>IF(COLUMNS($B$7:AN7) &gt;= Inputs!$E$52, 1, 0)</f>
        <v/>
      </c>
      <c r="AO7" s="37">
        <f>IF(COLUMNS($B$7:AO7) &gt;= Inputs!$E$52, 1, 0)</f>
        <v/>
      </c>
      <c r="AP7" s="37">
        <f>IF(COLUMNS($B$7:AP7) &gt;= Inputs!$E$52, 1, 0)</f>
        <v/>
      </c>
      <c r="AQ7" s="37">
        <f>IF(COLUMNS($B$7:AQ7) &gt;= Inputs!$E$52, 1, 0)</f>
        <v/>
      </c>
      <c r="AR7" s="37">
        <f>IF(COLUMNS($B$7:AR7) &gt;= Inputs!$E$52, 1, 0)</f>
        <v/>
      </c>
      <c r="AS7" s="37">
        <f>IF(COLUMNS($B$7:AS7) &gt;= Inputs!$E$52, 1, 0)</f>
        <v/>
      </c>
      <c r="AT7" s="37">
        <f>IF(COLUMNS($B$7:AT7) &gt;= Inputs!$E$52, 1, 0)</f>
        <v/>
      </c>
      <c r="AU7" s="37">
        <f>IF(COLUMNS($B$7:AU7) &gt;= Inputs!$E$52, 1, 0)</f>
        <v/>
      </c>
      <c r="AV7" s="37">
        <f>IF(COLUMNS($B$7:AV7) &gt;= Inputs!$E$52, 1, 0)</f>
        <v/>
      </c>
      <c r="AW7" s="37">
        <f>IF(COLUMNS($B$7:AW7) &gt;= Inputs!$E$52, 1, 0)</f>
        <v/>
      </c>
      <c r="AX7" s="37">
        <f>IF(COLUMNS($B$7:AX7) &gt;= Inputs!$E$52, 1, 0)</f>
        <v/>
      </c>
      <c r="AY7" s="37">
        <f>IF(COLUMNS($B$7:AY7) &gt;= Inputs!$E$52, 1, 0)</f>
        <v/>
      </c>
      <c r="AZ7" s="37">
        <f>IF(COLUMNS($B$7:AZ7) &gt;= Inputs!$E$52, 1, 0)</f>
        <v/>
      </c>
      <c r="BA7" s="37">
        <f>IF(COLUMNS($B$7:BA7) &gt;= Inputs!$E$52, 1, 0)</f>
        <v/>
      </c>
    </row>
    <row r="8" ht="14.25" customHeight="1" s="214">
      <c r="A8" s="18" t="inlineStr">
        <is>
          <t>2. Software Developer</t>
        </is>
      </c>
      <c r="B8" s="37">
        <f>IF(COLUMNS($B$8:B8)&gt;=Inputs!$E$53,1,0)</f>
        <v/>
      </c>
      <c r="C8" s="37">
        <f>IF(COLUMNS($B$8:C8)&gt;=Inputs!$E$53,1,0)</f>
        <v/>
      </c>
      <c r="D8" s="37">
        <f>IF(COLUMNS($B$8:D8)&gt;=Inputs!$E$53,1,0)</f>
        <v/>
      </c>
      <c r="E8" s="37">
        <f>IF(COLUMNS($B$8:E8)&gt;=Inputs!$E$53,1,0)</f>
        <v/>
      </c>
      <c r="F8" s="37">
        <f>IF(COLUMNS($B$8:F8)&gt;=Inputs!$E$53,1,0)</f>
        <v/>
      </c>
      <c r="G8" s="37">
        <f>IF(COLUMNS($B$8:G8)&gt;=Inputs!$E$53,1,0)</f>
        <v/>
      </c>
      <c r="H8" s="37">
        <f>IF(COLUMNS($B$8:H8)&gt;=Inputs!$E$53,1,0)</f>
        <v/>
      </c>
      <c r="I8" s="37">
        <f>IF(COLUMNS($B$8:I8)&gt;=Inputs!$E$53,1,0)</f>
        <v/>
      </c>
      <c r="J8" s="37">
        <f>IF(COLUMNS($B$8:J8)&gt;=Inputs!$E$53,1,0)</f>
        <v/>
      </c>
      <c r="K8" s="37">
        <f>IF(COLUMNS($B$8:K8)&gt;=Inputs!$E$53,1,0)</f>
        <v/>
      </c>
      <c r="L8" s="37">
        <f>IF(COLUMNS($B$8:L8)&gt;=Inputs!$E$53,1,0)</f>
        <v/>
      </c>
      <c r="M8" s="37">
        <f>IF(COLUMNS($B$8:M8)&gt;=Inputs!$E$53,1,0)</f>
        <v/>
      </c>
      <c r="N8" s="37">
        <f>IF(COLUMNS($B$8:N8)&gt;=Inputs!$E$53,1,0)</f>
        <v/>
      </c>
      <c r="O8" s="37">
        <f>IF(COLUMNS($B$8:O8)&gt;=Inputs!$E$53,1,0)</f>
        <v/>
      </c>
      <c r="P8" s="37">
        <f>IF(COLUMNS($B$8:P8)&gt;=Inputs!$E$53,1,0)</f>
        <v/>
      </c>
      <c r="Q8" s="37">
        <f>IF(COLUMNS($B$8:Q8)&gt;=Inputs!$E$53,1,0)</f>
        <v/>
      </c>
      <c r="R8" s="37">
        <f>IF(COLUMNS($B$8:R8)&gt;=Inputs!$E$53,1,0)</f>
        <v/>
      </c>
      <c r="S8" s="37">
        <f>IF(COLUMNS($B$8:S8)&gt;=Inputs!$E$53,1,0)</f>
        <v/>
      </c>
      <c r="T8" s="37">
        <f>IF(COLUMNS($B$8:T8)&gt;=Inputs!$E$53,1,0)</f>
        <v/>
      </c>
      <c r="U8" s="37">
        <f>IF(COLUMNS($B$8:U8)&gt;=Inputs!$E$53,1,0)</f>
        <v/>
      </c>
      <c r="V8" s="37">
        <f>IF(COLUMNS($B$8:V8)&gt;=Inputs!$E$53,1,0)</f>
        <v/>
      </c>
      <c r="W8" s="37">
        <f>IF(COLUMNS($B$8:W8)&gt;=Inputs!$E$53,1,0)</f>
        <v/>
      </c>
      <c r="X8" s="37">
        <f>IF(COLUMNS($B$8:X8)&gt;=Inputs!$E$53,1,0)</f>
        <v/>
      </c>
      <c r="Y8" s="37">
        <f>IF(COLUMNS($B$8:Y8)&gt;=Inputs!$E$53,1,0)</f>
        <v/>
      </c>
      <c r="Z8" s="37">
        <f>IF(COLUMNS($B$8:Z8)&gt;=Inputs!$E$53,1,0)</f>
        <v/>
      </c>
      <c r="AA8" s="37">
        <f>IF(COLUMNS($B$8:AA8)&gt;=Inputs!$E$53,1,0)</f>
        <v/>
      </c>
      <c r="AB8" s="37">
        <f>IF(COLUMNS($B$8:AB8)&gt;=Inputs!$E$53,1,0)</f>
        <v/>
      </c>
      <c r="AC8" s="37">
        <f>IF(COLUMNS($B$8:AC8)&gt;=Inputs!$E$53,1,0)</f>
        <v/>
      </c>
      <c r="AD8" s="37">
        <f>IF(COLUMNS($B$8:AD8)&gt;=Inputs!$E$53,1,0)</f>
        <v/>
      </c>
      <c r="AE8" s="37">
        <f>IF(COLUMNS($B$8:AE8)&gt;=Inputs!$E$53,1,0)</f>
        <v/>
      </c>
      <c r="AF8" s="37">
        <f>IF(COLUMNS($B$8:AF8)&gt;=Inputs!$E$53,1,0)</f>
        <v/>
      </c>
      <c r="AG8" s="37">
        <f>IF(COLUMNS($B$8:AG8)&gt;=Inputs!$E$53,1,0)</f>
        <v/>
      </c>
      <c r="AH8" s="37">
        <f>IF(COLUMNS($B$8:AH8)&gt;=Inputs!$E$53,1,0)</f>
        <v/>
      </c>
      <c r="AI8" s="37">
        <f>IF(COLUMNS($B$8:AI8)&gt;=Inputs!$E$53,1,0)</f>
        <v/>
      </c>
      <c r="AJ8" s="37">
        <f>IF(COLUMNS($B$8:AJ8)&gt;=Inputs!$E$53,1,0)</f>
        <v/>
      </c>
      <c r="AK8" s="37">
        <f>IF(COLUMNS($B$8:AK8)&gt;=Inputs!$E$53,1,0)</f>
        <v/>
      </c>
      <c r="AL8" s="37">
        <f>IF(COLUMNS($B$8:AL8)&gt;=Inputs!$E$53,1,0)</f>
        <v/>
      </c>
      <c r="AM8" s="37">
        <f>IF(COLUMNS($B$8:AM8)&gt;=Inputs!$E$53,1,0)</f>
        <v/>
      </c>
      <c r="AN8" s="37">
        <f>IF(COLUMNS($B$8:AN8)&gt;=Inputs!$E$53,1,0)</f>
        <v/>
      </c>
      <c r="AO8" s="37">
        <f>IF(COLUMNS($B$8:AO8)&gt;=Inputs!$E$53,1,0)</f>
        <v/>
      </c>
      <c r="AP8" s="37">
        <f>IF(COLUMNS($B$8:AP8)&gt;=Inputs!$E$53,1,0)</f>
        <v/>
      </c>
      <c r="AQ8" s="37">
        <f>IF(COLUMNS($B$8:AQ8)&gt;=Inputs!$E$53,1,0)</f>
        <v/>
      </c>
      <c r="AR8" s="37">
        <f>IF(COLUMNS($B$8:AR8)&gt;=Inputs!$E$53,1,0)</f>
        <v/>
      </c>
      <c r="AS8" s="37">
        <f>IF(COLUMNS($B$8:AS8)&gt;=Inputs!$E$53,1,0)</f>
        <v/>
      </c>
      <c r="AT8" s="37">
        <f>IF(COLUMNS($B$8:AT8)&gt;=Inputs!$E$53,1,0)</f>
        <v/>
      </c>
      <c r="AU8" s="37">
        <f>IF(COLUMNS($B$8:AU8)&gt;=Inputs!$E$53,1,0)</f>
        <v/>
      </c>
      <c r="AV8" s="37">
        <f>IF(COLUMNS($B$8:AV8)&gt;=Inputs!$E$53,1,0)</f>
        <v/>
      </c>
      <c r="AW8" s="37">
        <f>IF(COLUMNS($B$8:AW8)&gt;=Inputs!$E$53,1,0)</f>
        <v/>
      </c>
      <c r="AX8" s="37">
        <f>IF(COLUMNS($B$8:AX8)&gt;=Inputs!$E$53,1,0)</f>
        <v/>
      </c>
      <c r="AY8" s="37">
        <f>IF(COLUMNS($B$8:AY8)&gt;=Inputs!$E$53,1,0)</f>
        <v/>
      </c>
      <c r="AZ8" s="37">
        <f>IF(COLUMNS($B$8:AZ8)&gt;=Inputs!$E$53,1,0)</f>
        <v/>
      </c>
      <c r="BA8" s="37">
        <f>IF(COLUMNS($B$8:BA8)&gt;=Inputs!$E$53,1,0)</f>
        <v/>
      </c>
    </row>
    <row r="9" ht="14.25" customHeight="1" s="214">
      <c r="A9" s="18" t="inlineStr">
        <is>
          <t>1. Junior Software Developer</t>
        </is>
      </c>
      <c r="B9" s="37">
        <f>IF(COLUMNS($B$9:B9) &gt;= Inputs!$E$54, 1, 0)</f>
        <v/>
      </c>
      <c r="C9" s="37">
        <f>IF(COLUMNS($B$9:C9) &gt;= Inputs!$E$54, 1, 0)</f>
        <v/>
      </c>
      <c r="D9" s="37">
        <f>IF(COLUMNS($B$9:D9) &gt;= Inputs!$E$54, 1, 0)</f>
        <v/>
      </c>
      <c r="E9" s="37">
        <f>IF(COLUMNS($B$9:E9) &gt;= Inputs!$E$54, 1, 0)</f>
        <v/>
      </c>
      <c r="F9" s="37">
        <f>IF(COLUMNS($B$9:F9) &gt;= Inputs!$E$54, 1, 0)</f>
        <v/>
      </c>
      <c r="G9" s="37">
        <f>IF(COLUMNS($B$9:G9) &gt;= Inputs!$E$54, 1, 0)</f>
        <v/>
      </c>
      <c r="H9" s="37">
        <f>IF(COLUMNS($B$9:H9) &gt;= Inputs!$E$54, 1, 0)</f>
        <v/>
      </c>
      <c r="I9" s="37">
        <f>IF(COLUMNS($B$9:I9) &gt;= Inputs!$E$54, 1, 0)</f>
        <v/>
      </c>
      <c r="J9" s="37">
        <f>IF(COLUMNS($B$9:J9) &gt;= Inputs!$E$54, 1, 0)</f>
        <v/>
      </c>
      <c r="K9" s="37">
        <f>IF(COLUMNS($B$9:K9) &gt;= Inputs!$E$54, 1, 0)</f>
        <v/>
      </c>
      <c r="L9" s="37">
        <f>IF(COLUMNS($B$9:L9) &gt;= Inputs!$E$54, 1, 0)</f>
        <v/>
      </c>
      <c r="M9" s="37">
        <f>IF(COLUMNS($B$9:M9) &gt;= Inputs!$E$54, 1, 0)</f>
        <v/>
      </c>
      <c r="N9" s="37">
        <f>IF(COLUMNS($B$9:N9) &gt;= Inputs!$E$54, 1, 0)</f>
        <v/>
      </c>
      <c r="O9" s="37">
        <f>IF(COLUMNS($B$9:O9) &gt;= Inputs!$E$54, 1, 0)</f>
        <v/>
      </c>
      <c r="P9" s="37">
        <f>IF(COLUMNS($B$9:P9) &gt;= Inputs!$E$54, 1, 0)</f>
        <v/>
      </c>
      <c r="Q9" s="37">
        <f>IF(COLUMNS($B$9:Q9) &gt;= Inputs!$E$54, 1, 0)</f>
        <v/>
      </c>
      <c r="R9" s="37">
        <f>IF(COLUMNS($B$9:R9) &gt;= Inputs!$E$54, 1, 0)</f>
        <v/>
      </c>
      <c r="S9" s="37">
        <f>IF(COLUMNS($B$9:S9) &gt;= Inputs!$E$54, 1, 0)</f>
        <v/>
      </c>
      <c r="T9" s="37">
        <f>IF(COLUMNS($B$9:T9) &gt;= Inputs!$E$54, 1, 0)</f>
        <v/>
      </c>
      <c r="U9" s="37">
        <f>IF(COLUMNS($B$9:U9) &gt;= Inputs!$E$54, 1, 0)</f>
        <v/>
      </c>
      <c r="V9" s="37">
        <f>IF(COLUMNS($B$9:V9) &gt;= Inputs!$E$54, 1, 0)</f>
        <v/>
      </c>
      <c r="W9" s="37">
        <f>IF(COLUMNS($B$9:W9) &gt;= Inputs!$E$54, 1, 0)</f>
        <v/>
      </c>
      <c r="X9" s="37">
        <f>IF(COLUMNS($B$9:X9) &gt;= Inputs!$E$54, 1, 0)</f>
        <v/>
      </c>
      <c r="Y9" s="37">
        <f>IF(COLUMNS($B$9:Y9) &gt;= Inputs!$E$54, 1, 0)</f>
        <v/>
      </c>
      <c r="Z9" s="37">
        <f>IF(COLUMNS($B$9:Z9) &gt;= Inputs!$E$54, 1, 0)</f>
        <v/>
      </c>
      <c r="AA9" s="37">
        <f>IF(COLUMNS($B$9:AA9) &gt;= Inputs!$E$54, 1, 0)</f>
        <v/>
      </c>
      <c r="AB9" s="37">
        <f>IF(COLUMNS($B$9:AB9) &gt;= Inputs!$E$54, 1, 0)</f>
        <v/>
      </c>
      <c r="AC9" s="37">
        <f>IF(COLUMNS($B$9:AC9) &gt;= Inputs!$E$54, 1, 0)</f>
        <v/>
      </c>
      <c r="AD9" s="37">
        <f>IF(COLUMNS($B$9:AD9) &gt;= Inputs!$E$54, 1, 0)</f>
        <v/>
      </c>
      <c r="AE9" s="37">
        <f>IF(COLUMNS($B$9:AE9) &gt;= Inputs!$E$54, 1, 0)</f>
        <v/>
      </c>
      <c r="AF9" s="37">
        <f>IF(COLUMNS($B$9:AF9) &gt;= Inputs!$E$54, 1, 0)</f>
        <v/>
      </c>
      <c r="AG9" s="37">
        <f>IF(COLUMNS($B$9:AG9) &gt;= Inputs!$E$54, 1, 0)</f>
        <v/>
      </c>
      <c r="AH9" s="37">
        <f>IF(COLUMNS($B$9:AH9) &gt;= Inputs!$E$54, 1, 0)</f>
        <v/>
      </c>
      <c r="AI9" s="37">
        <f>IF(COLUMNS($B$9:AI9) &gt;= Inputs!$E$54, 1, 0)</f>
        <v/>
      </c>
      <c r="AJ9" s="37">
        <f>IF(COLUMNS($B$9:AJ9) &gt;= Inputs!$E$54, 1, 0)</f>
        <v/>
      </c>
      <c r="AK9" s="37">
        <f>IF(COLUMNS($B$9:AK9) &gt;= Inputs!$E$54, 1, 0)</f>
        <v/>
      </c>
      <c r="AL9" s="37">
        <f>IF(COLUMNS($B$9:AL9) &gt;= Inputs!$E$54, 1, 0)</f>
        <v/>
      </c>
      <c r="AM9" s="37">
        <f>IF(COLUMNS($B$9:AM9) &gt;= Inputs!$E$54, 1, 0)</f>
        <v/>
      </c>
      <c r="AN9" s="37">
        <f>IF(COLUMNS($B$9:AN9) &gt;= Inputs!$E$54, 1, 0)</f>
        <v/>
      </c>
      <c r="AO9" s="37">
        <f>IF(COLUMNS($B$9:AO9) &gt;= Inputs!$E$54, 1, 0)</f>
        <v/>
      </c>
      <c r="AP9" s="37">
        <f>IF(COLUMNS($B$9:AP9) &gt;= Inputs!$E$54, 1, 0)</f>
        <v/>
      </c>
      <c r="AQ9" s="37">
        <f>IF(COLUMNS($B$9:AQ9) &gt;= Inputs!$E$54, 1, 0)</f>
        <v/>
      </c>
      <c r="AR9" s="37">
        <f>IF(COLUMNS($B$9:AR9) &gt;= Inputs!$E$54, 1, 0)</f>
        <v/>
      </c>
      <c r="AS9" s="37">
        <f>IF(COLUMNS($B$9:AS9) &gt;= Inputs!$E$54, 1, 0)</f>
        <v/>
      </c>
      <c r="AT9" s="37">
        <f>IF(COLUMNS($B$9:AT9) &gt;= Inputs!$E$54, 1, 0)</f>
        <v/>
      </c>
      <c r="AU9" s="37">
        <f>IF(COLUMNS($B$9:AU9) &gt;= Inputs!$E$54, 1, 0)</f>
        <v/>
      </c>
      <c r="AV9" s="37">
        <f>IF(COLUMNS($B$9:AV9) &gt;= Inputs!$E$54, 1, 0)</f>
        <v/>
      </c>
      <c r="AW9" s="37">
        <f>IF(COLUMNS($B$9:AW9) &gt;= Inputs!$E$54, 1, 0)</f>
        <v/>
      </c>
      <c r="AX9" s="37">
        <f>IF(COLUMNS($B$9:AX9) &gt;= Inputs!$E$54, 1, 0)</f>
        <v/>
      </c>
      <c r="AY9" s="37">
        <f>IF(COLUMNS($B$9:AY9) &gt;= Inputs!$E$54, 1, 0)</f>
        <v/>
      </c>
      <c r="AZ9" s="37">
        <f>IF(COLUMNS($B$9:AZ9) &gt;= Inputs!$E$54, 1, 0)</f>
        <v/>
      </c>
      <c r="BA9" s="37">
        <f>IF(COLUMNS($B$9:BA9) &gt;= Inputs!$E$54, 1, 0)</f>
        <v/>
      </c>
    </row>
    <row r="10" ht="14.25" customHeight="1" s="214">
      <c r="A10" s="18" t="inlineStr">
        <is>
          <t>1. ML/AI Engineer</t>
        </is>
      </c>
      <c r="B10" s="37">
        <f>IF(COLUMNS($B$10:B10) &gt;= Inputs!$E$55, 1, 0)</f>
        <v/>
      </c>
      <c r="C10" s="37">
        <f>IF(COLUMNS($B$10:C10) &gt;= Inputs!$E$55, 1, 0)</f>
        <v/>
      </c>
      <c r="D10" s="37">
        <f>IF(COLUMNS($B$10:D10) &gt;= Inputs!$E$55, 1, 0)</f>
        <v/>
      </c>
      <c r="E10" s="37">
        <f>IF(COLUMNS($B$10:E10) &gt;= Inputs!$E$55, 1, 0)</f>
        <v/>
      </c>
      <c r="F10" s="37">
        <f>IF(COLUMNS($B$10:F10) &gt;= Inputs!$E$55, 1, 0)</f>
        <v/>
      </c>
      <c r="G10" s="37">
        <f>IF(COLUMNS($B$10:G10) &gt;= Inputs!$E$55, 1, 0)</f>
        <v/>
      </c>
      <c r="H10" s="37">
        <f>IF(COLUMNS($B$10:H10) &gt;= Inputs!$E$55, 1, 0)</f>
        <v/>
      </c>
      <c r="I10" s="37">
        <f>IF(COLUMNS($B$10:I10) &gt;= Inputs!$E$55, 1, 0)</f>
        <v/>
      </c>
      <c r="J10" s="37">
        <f>IF(COLUMNS($B$10:J10) &gt;= Inputs!$E$55, 1, 0)</f>
        <v/>
      </c>
      <c r="K10" s="37">
        <f>IF(COLUMNS($B$10:K10) &gt;= Inputs!$E$55, 1, 0)</f>
        <v/>
      </c>
      <c r="L10" s="37">
        <f>IF(COLUMNS($B$10:L10) &gt;= Inputs!$E$55, 1, 0)</f>
        <v/>
      </c>
      <c r="M10" s="37">
        <f>IF(COLUMNS($B$10:M10) &gt;= Inputs!$E$55, 1, 0)</f>
        <v/>
      </c>
      <c r="N10" s="37">
        <f>IF(COLUMNS($B$10:N10) &gt;= Inputs!$E$55, 1, 0)</f>
        <v/>
      </c>
      <c r="O10" s="37">
        <f>IF(COLUMNS($B$10:O10) &gt;= Inputs!$E$55, 1, 0)</f>
        <v/>
      </c>
      <c r="P10" s="37">
        <f>IF(COLUMNS($B$10:P10) &gt;= Inputs!$E$55, 1, 0)</f>
        <v/>
      </c>
      <c r="Q10" s="37">
        <f>IF(COLUMNS($B$10:Q10) &gt;= Inputs!$E$55, 1, 0)</f>
        <v/>
      </c>
      <c r="R10" s="37">
        <f>IF(COLUMNS($B$10:R10) &gt;= Inputs!$E$55, 1, 0)</f>
        <v/>
      </c>
      <c r="S10" s="37">
        <f>IF(COLUMNS($B$10:S10) &gt;= Inputs!$E$55, 1, 0)</f>
        <v/>
      </c>
      <c r="T10" s="37">
        <f>IF(COLUMNS($B$10:T10) &gt;= Inputs!$E$55, 1, 0)</f>
        <v/>
      </c>
      <c r="U10" s="37">
        <f>IF(COLUMNS($B$10:U10) &gt;= Inputs!$E$55, 1, 0)</f>
        <v/>
      </c>
      <c r="V10" s="37">
        <f>IF(COLUMNS($B$10:V10) &gt;= Inputs!$E$55, 1, 0)</f>
        <v/>
      </c>
      <c r="W10" s="37">
        <f>IF(COLUMNS($B$10:W10) &gt;= Inputs!$E$55, 1, 0)</f>
        <v/>
      </c>
      <c r="X10" s="37">
        <f>IF(COLUMNS($B$10:X10) &gt;= Inputs!$E$55, 1, 0)</f>
        <v/>
      </c>
      <c r="Y10" s="37">
        <f>IF(COLUMNS($B$10:Y10) &gt;= Inputs!$E$55, 1, 0)</f>
        <v/>
      </c>
      <c r="Z10" s="37">
        <f>IF(COLUMNS($B$10:Z10) &gt;= Inputs!$E$55, 1, 0)</f>
        <v/>
      </c>
      <c r="AA10" s="37">
        <f>IF(COLUMNS($B$10:AA10) &gt;= Inputs!$E$55, 1, 0)</f>
        <v/>
      </c>
      <c r="AB10" s="37">
        <f>IF(COLUMNS($B$10:AB10) &gt;= Inputs!$E$55, 1, 0)</f>
        <v/>
      </c>
      <c r="AC10" s="37">
        <f>IF(COLUMNS($B$10:AC10) &gt;= Inputs!$E$55, 1, 0)</f>
        <v/>
      </c>
      <c r="AD10" s="37">
        <f>IF(COLUMNS($B$10:AD10) &gt;= Inputs!$E$55, 1, 0)</f>
        <v/>
      </c>
      <c r="AE10" s="37">
        <f>IF(COLUMNS($B$10:AE10) &gt;= Inputs!$E$55, 1, 0)</f>
        <v/>
      </c>
      <c r="AF10" s="37">
        <f>IF(COLUMNS($B$10:AF10) &gt;= Inputs!$E$55, 1, 0)</f>
        <v/>
      </c>
      <c r="AG10" s="37">
        <f>IF(COLUMNS($B$10:AG10) &gt;= Inputs!$E$55, 1, 0)</f>
        <v/>
      </c>
      <c r="AH10" s="37">
        <f>IF(COLUMNS($B$10:AH10) &gt;= Inputs!$E$55, 1, 0)</f>
        <v/>
      </c>
      <c r="AI10" s="37">
        <f>IF(COLUMNS($B$10:AI10) &gt;= Inputs!$E$55, 1, 0)</f>
        <v/>
      </c>
      <c r="AJ10" s="37">
        <f>IF(COLUMNS($B$10:AJ10) &gt;= Inputs!$E$55, 1, 0)</f>
        <v/>
      </c>
      <c r="AK10" s="37">
        <f>IF(COLUMNS($B$10:AK10) &gt;= Inputs!$E$55, 1, 0)</f>
        <v/>
      </c>
      <c r="AL10" s="37">
        <f>IF(COLUMNS($B$10:AL10) &gt;= Inputs!$E$55, 1, 0)</f>
        <v/>
      </c>
      <c r="AM10" s="37">
        <f>IF(COLUMNS($B$10:AM10) &gt;= Inputs!$E$55, 1, 0)</f>
        <v/>
      </c>
      <c r="AN10" s="37">
        <f>IF(COLUMNS($B$10:AN10) &gt;= Inputs!$E$55, 1, 0)</f>
        <v/>
      </c>
      <c r="AO10" s="37">
        <f>IF(COLUMNS($B$10:AO10) &gt;= Inputs!$E$55, 1, 0)</f>
        <v/>
      </c>
      <c r="AP10" s="37">
        <f>IF(COLUMNS($B$10:AP10) &gt;= Inputs!$E$55, 1, 0)</f>
        <v/>
      </c>
      <c r="AQ10" s="37">
        <f>IF(COLUMNS($B$10:AQ10) &gt;= Inputs!$E$55, 1, 0)</f>
        <v/>
      </c>
      <c r="AR10" s="37">
        <f>IF(COLUMNS($B$10:AR10) &gt;= Inputs!$E$55, 1, 0)</f>
        <v/>
      </c>
      <c r="AS10" s="37">
        <f>IF(COLUMNS($B$10:AS10) &gt;= Inputs!$E$55, 1, 0)</f>
        <v/>
      </c>
      <c r="AT10" s="37">
        <f>IF(COLUMNS($B$10:AT10) &gt;= Inputs!$E$55, 1, 0)</f>
        <v/>
      </c>
      <c r="AU10" s="37">
        <f>IF(COLUMNS($B$10:AU10) &gt;= Inputs!$E$55, 1, 0)</f>
        <v/>
      </c>
      <c r="AV10" s="37">
        <f>IF(COLUMNS($B$10:AV10) &gt;= Inputs!$E$55, 1, 0)</f>
        <v/>
      </c>
      <c r="AW10" s="37">
        <f>IF(COLUMNS($B$10:AW10) &gt;= Inputs!$E$55, 1, 0)</f>
        <v/>
      </c>
      <c r="AX10" s="37">
        <f>IF(COLUMNS($B$10:AX10) &gt;= Inputs!$E$55, 1, 0)</f>
        <v/>
      </c>
      <c r="AY10" s="37">
        <f>IF(COLUMNS($B$10:AY10) &gt;= Inputs!$E$55, 1, 0)</f>
        <v/>
      </c>
      <c r="AZ10" s="37">
        <f>IF(COLUMNS($B$10:AZ10) &gt;= Inputs!$E$55, 1, 0)</f>
        <v/>
      </c>
      <c r="BA10" s="37">
        <f>IF(COLUMNS($B$10:BA10) &gt;= Inputs!$E$55, 1, 0)</f>
        <v/>
      </c>
    </row>
    <row r="11" ht="14.25" customHeight="1" s="214">
      <c r="A11" s="18" t="inlineStr">
        <is>
          <t>1. Mechanical Engineer</t>
        </is>
      </c>
      <c r="B11" s="37">
        <f>IF(COLUMNS($B$11:B11)&gt;=Inputs!$E$56,1,0)</f>
        <v/>
      </c>
      <c r="C11" s="37">
        <f>IF(COLUMNS($B$11:C11)&gt;=Inputs!$E$56,1,0)</f>
        <v/>
      </c>
      <c r="D11" s="37">
        <f>IF(COLUMNS($B$11:D11)&gt;=Inputs!$E$56,1,0)</f>
        <v/>
      </c>
      <c r="E11" s="37">
        <f>IF(COLUMNS($B$11:E11)&gt;=Inputs!$E$56,1,0)</f>
        <v/>
      </c>
      <c r="F11" s="37">
        <f>IF(COLUMNS($B$11:F11)&gt;=Inputs!$E$56,1,0)</f>
        <v/>
      </c>
      <c r="G11" s="37">
        <f>IF(COLUMNS($B$11:G11)&gt;=Inputs!$E$56,1,0)</f>
        <v/>
      </c>
      <c r="H11" s="37">
        <f>IF(COLUMNS($B$11:H11)&gt;=Inputs!$E$56,1,0)</f>
        <v/>
      </c>
      <c r="I11" s="37">
        <f>IF(COLUMNS($B$11:I11)&gt;=Inputs!$E$56,1,0)</f>
        <v/>
      </c>
      <c r="J11" s="37">
        <f>IF(COLUMNS($B$11:J11)&gt;=Inputs!$E$56,1,0)</f>
        <v/>
      </c>
      <c r="K11" s="37">
        <f>IF(COLUMNS($B$11:K11)&gt;=Inputs!$E$56,1,0)</f>
        <v/>
      </c>
      <c r="L11" s="37">
        <f>IF(COLUMNS($B$11:L11)&gt;=Inputs!$E$56,1,0)</f>
        <v/>
      </c>
      <c r="M11" s="37">
        <f>IF(COLUMNS($B$11:M11)&gt;=Inputs!$E$56,1,0)</f>
        <v/>
      </c>
      <c r="N11" s="37">
        <f>IF(COLUMNS($B$11:N11)&gt;=Inputs!$E$56,1,0)</f>
        <v/>
      </c>
      <c r="O11" s="37">
        <f>IF(COLUMNS($B$11:O11)&gt;=Inputs!$E$56,1,0)</f>
        <v/>
      </c>
      <c r="P11" s="37">
        <f>IF(COLUMNS($B$11:P11)&gt;=Inputs!$E$56,1,0)</f>
        <v/>
      </c>
      <c r="Q11" s="37">
        <f>IF(COLUMNS($B$11:Q11)&gt;=Inputs!$E$56,1,0)</f>
        <v/>
      </c>
      <c r="R11" s="37">
        <f>IF(COLUMNS($B$11:R11)&gt;=Inputs!$E$56,1,0)</f>
        <v/>
      </c>
      <c r="S11" s="37">
        <f>IF(COLUMNS($B$11:S11)&gt;=Inputs!$E$56,1,0)</f>
        <v/>
      </c>
      <c r="T11" s="37">
        <f>IF(COLUMNS($B$11:T11)&gt;=Inputs!$E$56,1,0)</f>
        <v/>
      </c>
      <c r="U11" s="37">
        <f>IF(COLUMNS($B$11:U11)&gt;=Inputs!$E$56,1,0)</f>
        <v/>
      </c>
      <c r="V11" s="37">
        <f>IF(COLUMNS($B$11:V11)&gt;=Inputs!$E$56,1,0)</f>
        <v/>
      </c>
      <c r="W11" s="37">
        <f>IF(COLUMNS($B$11:W11)&gt;=Inputs!$E$56,1,0)</f>
        <v/>
      </c>
      <c r="X11" s="37">
        <f>IF(COLUMNS($B$11:X11)&gt;=Inputs!$E$56,1,0)</f>
        <v/>
      </c>
      <c r="Y11" s="37">
        <f>IF(COLUMNS($B$11:Y11)&gt;=Inputs!$E$56,1,0)</f>
        <v/>
      </c>
      <c r="Z11" s="37">
        <f>IF(COLUMNS($B$11:Z11)&gt;=Inputs!$E$56,1,0)</f>
        <v/>
      </c>
      <c r="AA11" s="37">
        <f>IF(COLUMNS($B$11:AA11)&gt;=Inputs!$E$56,1,0)</f>
        <v/>
      </c>
      <c r="AB11" s="37">
        <f>IF(COLUMNS($B$11:AB11)&gt;=Inputs!$E$56,1,0)</f>
        <v/>
      </c>
      <c r="AC11" s="37">
        <f>IF(COLUMNS($B$11:AC11)&gt;=Inputs!$E$56,1,0)</f>
        <v/>
      </c>
      <c r="AD11" s="37">
        <f>IF(COLUMNS($B$11:AD11)&gt;=Inputs!$E$56,1,0)</f>
        <v/>
      </c>
      <c r="AE11" s="37">
        <f>IF(COLUMNS($B$11:AE11)&gt;=Inputs!$E$56,1,0)</f>
        <v/>
      </c>
      <c r="AF11" s="37">
        <f>IF(COLUMNS($B$11:AF11)&gt;=Inputs!$E$56,1,0)</f>
        <v/>
      </c>
      <c r="AG11" s="37">
        <f>IF(COLUMNS($B$11:AG11)&gt;=Inputs!$E$56,1,0)</f>
        <v/>
      </c>
      <c r="AH11" s="37">
        <f>IF(COLUMNS($B$11:AH11)&gt;=Inputs!$E$56,1,0)</f>
        <v/>
      </c>
      <c r="AI11" s="37">
        <f>IF(COLUMNS($B$11:AI11)&gt;=Inputs!$E$56,1,0)</f>
        <v/>
      </c>
      <c r="AJ11" s="37">
        <f>IF(COLUMNS($B$11:AJ11)&gt;=Inputs!$E$56,1,0)</f>
        <v/>
      </c>
      <c r="AK11" s="37">
        <f>IF(COLUMNS($B$11:AK11)&gt;=Inputs!$E$56,1,0)</f>
        <v/>
      </c>
      <c r="AL11" s="37">
        <f>IF(COLUMNS($B$11:AL11)&gt;=Inputs!$E$56,1,0)</f>
        <v/>
      </c>
      <c r="AM11" s="37">
        <f>IF(COLUMNS($B$11:AM11)&gt;=Inputs!$E$56,1,0)</f>
        <v/>
      </c>
      <c r="AN11" s="37">
        <f>IF(COLUMNS($B$11:AN11)&gt;=Inputs!$E$56,1,0)</f>
        <v/>
      </c>
      <c r="AO11" s="37">
        <f>IF(COLUMNS($B$11:AO11)&gt;=Inputs!$E$56,1,0)</f>
        <v/>
      </c>
      <c r="AP11" s="37">
        <f>IF(COLUMNS($B$11:AP11)&gt;=Inputs!$E$56,1,0)</f>
        <v/>
      </c>
      <c r="AQ11" s="37">
        <f>IF(COLUMNS($B$11:AQ11)&gt;=Inputs!$E$56,1,0)</f>
        <v/>
      </c>
      <c r="AR11" s="37">
        <f>IF(COLUMNS($B$11:AR11)&gt;=Inputs!$E$56,1,0)</f>
        <v/>
      </c>
      <c r="AS11" s="37">
        <f>IF(COLUMNS($B$11:AS11)&gt;=Inputs!$E$56,1,0)</f>
        <v/>
      </c>
      <c r="AT11" s="37">
        <f>IF(COLUMNS($B$11:AT11)&gt;=Inputs!$E$56,1,0)</f>
        <v/>
      </c>
      <c r="AU11" s="37">
        <f>IF(COLUMNS($B$11:AU11)&gt;=Inputs!$E$56,1,0)</f>
        <v/>
      </c>
      <c r="AV11" s="37">
        <f>IF(COLUMNS($B$11:AV11)&gt;=Inputs!$E$56,1,0)</f>
        <v/>
      </c>
      <c r="AW11" s="37">
        <f>IF(COLUMNS($B$11:AW11)&gt;=Inputs!$E$56,1,0)</f>
        <v/>
      </c>
      <c r="AX11" s="37">
        <f>IF(COLUMNS($B$11:AX11)&gt;=Inputs!$E$56,1,0)</f>
        <v/>
      </c>
      <c r="AY11" s="37">
        <f>IF(COLUMNS($B$11:AY11)&gt;=Inputs!$E$56,1,0)</f>
        <v/>
      </c>
      <c r="AZ11" s="37">
        <f>IF(COLUMNS($B$11:AZ11)&gt;=Inputs!$E$56,1,0)</f>
        <v/>
      </c>
      <c r="BA11" s="37">
        <f>IF(COLUMNS($B$11:BA11)&gt;=Inputs!$E$56,1,0)</f>
        <v/>
      </c>
    </row>
    <row r="12" ht="14.25" customFormat="1" customHeight="1" s="245">
      <c r="A12" s="193" t="inlineStr">
        <is>
          <t>1. Site Reliability Mgr</t>
        </is>
      </c>
      <c r="B12" s="37">
        <f>IF(COLUMNS($B$11:B12)&gt;=Inputs!$E$57,1,0)</f>
        <v/>
      </c>
      <c r="C12" s="37">
        <f>IF(COLUMNS($B$11:C12)&gt;=Inputs!$E$57,1,0)</f>
        <v/>
      </c>
      <c r="D12" s="37">
        <f>IF(COLUMNS($B$11:D12)&gt;=Inputs!$E$57,1,0)</f>
        <v/>
      </c>
      <c r="E12" s="37">
        <f>IF(COLUMNS($B$11:E12)&gt;=Inputs!$E$57,1,0)</f>
        <v/>
      </c>
      <c r="F12" s="37">
        <f>IF(COLUMNS($B$11:F12)&gt;=Inputs!$E$57,1,0)</f>
        <v/>
      </c>
      <c r="G12" s="37">
        <f>IF(COLUMNS($B$11:G12)&gt;=Inputs!$E$57,1,0)</f>
        <v/>
      </c>
      <c r="H12" s="37">
        <f>IF(COLUMNS($B$11:H12)&gt;=Inputs!$E$57,1,0)</f>
        <v/>
      </c>
      <c r="I12" s="37">
        <f>IF(COLUMNS($B$11:I12)&gt;=Inputs!$E$57,1,0)</f>
        <v/>
      </c>
      <c r="J12" s="37">
        <f>IF(COLUMNS($B$11:J12)&gt;=Inputs!$E$57,1,0)</f>
        <v/>
      </c>
      <c r="K12" s="37">
        <f>IF(COLUMNS($B$11:K12)&gt;=Inputs!$E$57,1,0)</f>
        <v/>
      </c>
      <c r="L12" s="37">
        <f>IF(COLUMNS($B$11:L12)&gt;=Inputs!$E$57,1,0)</f>
        <v/>
      </c>
      <c r="M12" s="37">
        <f>IF(COLUMNS($B$11:M12)&gt;=Inputs!$E$57,1,0)</f>
        <v/>
      </c>
      <c r="N12" s="37">
        <f>IF(COLUMNS($B$11:N12)&gt;=Inputs!$E$57,1,0)</f>
        <v/>
      </c>
      <c r="O12" s="37">
        <f>IF(COLUMNS($B$11:O12)&gt;=Inputs!$E$57,1,0)</f>
        <v/>
      </c>
      <c r="P12" s="37">
        <f>IF(COLUMNS($B$11:P12)&gt;=Inputs!$E$57,1,0)</f>
        <v/>
      </c>
      <c r="Q12" s="37">
        <f>IF(COLUMNS($B$11:Q12)&gt;=Inputs!$E$57,1,0)</f>
        <v/>
      </c>
      <c r="R12" s="37">
        <f>IF(COLUMNS($B$11:R12)&gt;=Inputs!$E$57,1,0)</f>
        <v/>
      </c>
      <c r="S12" s="37">
        <f>IF(COLUMNS($B$11:S12)&gt;=Inputs!$E$57,1,0)</f>
        <v/>
      </c>
      <c r="T12" s="37">
        <f>IF(COLUMNS($B$11:T12)&gt;=Inputs!$E$57,1,0)</f>
        <v/>
      </c>
      <c r="U12" s="37">
        <f>IF(COLUMNS($B$11:U12)&gt;=Inputs!$E$57,1,0)</f>
        <v/>
      </c>
      <c r="V12" s="37">
        <f>IF(COLUMNS($B$11:V12)&gt;=Inputs!$E$57,1,0)</f>
        <v/>
      </c>
      <c r="W12" s="37">
        <f>IF(COLUMNS($B$11:W12)&gt;=Inputs!$E$57,1,0)</f>
        <v/>
      </c>
      <c r="X12" s="37">
        <f>IF(COLUMNS($B$11:X12)&gt;=Inputs!$E$57,1,0)</f>
        <v/>
      </c>
      <c r="Y12" s="37">
        <f>IF(COLUMNS($B$11:Y12)&gt;=Inputs!$E$57,1,0)</f>
        <v/>
      </c>
      <c r="Z12" s="37">
        <f>IF(COLUMNS($B$11:Z12)&gt;=Inputs!$E$57,1,0)</f>
        <v/>
      </c>
      <c r="AA12" s="37">
        <f>IF(COLUMNS($B$11:AA12)&gt;=Inputs!$E$57,1,0)</f>
        <v/>
      </c>
      <c r="AB12" s="37">
        <f>IF(COLUMNS($B$11:AB12)&gt;=Inputs!$E$57,1,0)</f>
        <v/>
      </c>
      <c r="AC12" s="37">
        <f>IF(COLUMNS($B$11:AC12)&gt;=Inputs!$E$57,1,0)</f>
        <v/>
      </c>
      <c r="AD12" s="37">
        <f>IF(COLUMNS($B$11:AD12)&gt;=Inputs!$E$57,1,0)</f>
        <v/>
      </c>
      <c r="AE12" s="37">
        <f>IF(COLUMNS($B$11:AE12)&gt;=Inputs!$E$57,1,0)</f>
        <v/>
      </c>
      <c r="AF12" s="37">
        <f>IF(COLUMNS($B$11:AF12)&gt;=Inputs!$E$57,1,0)</f>
        <v/>
      </c>
      <c r="AG12" s="37">
        <f>IF(COLUMNS($B$11:AG12)&gt;=Inputs!$E$57,1,0)</f>
        <v/>
      </c>
      <c r="AH12" s="37">
        <f>IF(COLUMNS($B$11:AH12)&gt;=Inputs!$E$57,1,0)</f>
        <v/>
      </c>
      <c r="AI12" s="37">
        <f>IF(COLUMNS($B$11:AI12)&gt;=Inputs!$E$57,1,0)</f>
        <v/>
      </c>
      <c r="AJ12" s="37">
        <f>IF(COLUMNS($B$11:AJ12)&gt;=Inputs!$E$57,1,0)</f>
        <v/>
      </c>
      <c r="AK12" s="37">
        <f>IF(COLUMNS($B$11:AK12)&gt;=Inputs!$E$57,1,0)</f>
        <v/>
      </c>
      <c r="AL12" s="37">
        <f>IF(COLUMNS($B$11:AL12)&gt;=Inputs!$E$57,1,0)</f>
        <v/>
      </c>
      <c r="AM12" s="37">
        <f>IF(COLUMNS($B$11:AM12)&gt;=Inputs!$E$57,1,0)</f>
        <v/>
      </c>
      <c r="AN12" s="37">
        <f>IF(COLUMNS($B$11:AN12)&gt;=Inputs!$E$57,1,0)</f>
        <v/>
      </c>
      <c r="AO12" s="37">
        <f>IF(COLUMNS($B$11:AO12)&gt;=Inputs!$E$57,1,0)</f>
        <v/>
      </c>
      <c r="AP12" s="37">
        <f>IF(COLUMNS($B$11:AP12)&gt;=Inputs!$E$57,1,0)</f>
        <v/>
      </c>
      <c r="AQ12" s="37">
        <f>IF(COLUMNS($B$11:AQ12)&gt;=Inputs!$E$57,1,0)</f>
        <v/>
      </c>
      <c r="AR12" s="37">
        <f>IF(COLUMNS($B$11:AR12)&gt;=Inputs!$E$57,1,0)</f>
        <v/>
      </c>
      <c r="AS12" s="37">
        <f>IF(COLUMNS($B$11:AS12)&gt;=Inputs!$E$57,1,0)</f>
        <v/>
      </c>
      <c r="AT12" s="37">
        <f>IF(COLUMNS($B$11:AT12)&gt;=Inputs!$E$57,1,0)</f>
        <v/>
      </c>
      <c r="AU12" s="37">
        <f>IF(COLUMNS($B$11:AU12)&gt;=Inputs!$E$57,1,0)</f>
        <v/>
      </c>
      <c r="AV12" s="37">
        <f>IF(COLUMNS($B$11:AV12)&gt;=Inputs!$E$57,1,0)</f>
        <v/>
      </c>
      <c r="AW12" s="37">
        <f>IF(COLUMNS($B$11:AW12)&gt;=Inputs!$E$57,1,0)</f>
        <v/>
      </c>
      <c r="AX12" s="37">
        <f>IF(COLUMNS($B$11:AX12)&gt;=Inputs!$E$57,1,0)</f>
        <v/>
      </c>
      <c r="AY12" s="37">
        <f>IF(COLUMNS($B$11:AY12)&gt;=Inputs!$E$57,1,0)</f>
        <v/>
      </c>
      <c r="AZ12" s="37">
        <f>IF(COLUMNS($B$11:AZ12)&gt;=Inputs!$E$57,1,0)</f>
        <v/>
      </c>
      <c r="BA12" s="37">
        <f>IF(COLUMNS($B$11:BA12)&gt;=Inputs!$E$57,1,0)</f>
        <v/>
      </c>
    </row>
    <row r="13" ht="14.25" customHeight="1" s="214">
      <c r="A13" s="18" t="inlineStr">
        <is>
          <t>1. UX/UI Designer</t>
        </is>
      </c>
      <c r="B13" s="37">
        <f>IF(COLUMNS($B$13:B13)&gt;=Inputs!$E$58,1,0)</f>
        <v/>
      </c>
      <c r="C13" s="37">
        <f>IF(COLUMNS($B$13:C13)&gt;=Inputs!$E$58,1,0)</f>
        <v/>
      </c>
      <c r="D13" s="37">
        <f>IF(COLUMNS($B$13:D13)&gt;=Inputs!$E$58,1,0)</f>
        <v/>
      </c>
      <c r="E13" s="37">
        <f>IF(COLUMNS($B$13:E13)&gt;=Inputs!$E$58,1,0)</f>
        <v/>
      </c>
      <c r="F13" s="37">
        <f>IF(COLUMNS($B$13:F13)&gt;=Inputs!$E$58,1,0)</f>
        <v/>
      </c>
      <c r="G13" s="37">
        <f>IF(COLUMNS($B$13:G13)&gt;=Inputs!$E$58,1,0)</f>
        <v/>
      </c>
      <c r="H13" s="37">
        <f>IF(COLUMNS($B$13:H13)&gt;=Inputs!$E$58,1,0)</f>
        <v/>
      </c>
      <c r="I13" s="37">
        <f>IF(COLUMNS($B$13:I13)&gt;=Inputs!$E$58,1,0)</f>
        <v/>
      </c>
      <c r="J13" s="37">
        <f>IF(COLUMNS($B$13:J13)&gt;=Inputs!$E$58,1,0)</f>
        <v/>
      </c>
      <c r="K13" s="37">
        <f>IF(COLUMNS($B$13:K13)&gt;=Inputs!$E$58,1,0)</f>
        <v/>
      </c>
      <c r="L13" s="37">
        <f>IF(COLUMNS($B$13:L13)&gt;=Inputs!$E$58,1,0)</f>
        <v/>
      </c>
      <c r="M13" s="37">
        <f>IF(COLUMNS($B$13:M13)&gt;=Inputs!$E$58,1,0)</f>
        <v/>
      </c>
      <c r="N13" s="37">
        <f>IF(COLUMNS($B$13:N13)&gt;=Inputs!$E$58,1,0)</f>
        <v/>
      </c>
      <c r="O13" s="37">
        <f>IF(COLUMNS($B$13:O13)&gt;=Inputs!$E$58,1,0)</f>
        <v/>
      </c>
      <c r="P13" s="37">
        <f>IF(COLUMNS($B$13:P13)&gt;=Inputs!$E$58,1,0)</f>
        <v/>
      </c>
      <c r="Q13" s="37">
        <f>IF(COLUMNS($B$13:Q13)&gt;=Inputs!$E$58,1,0)</f>
        <v/>
      </c>
      <c r="R13" s="37">
        <f>IF(COLUMNS($B$13:R13)&gt;=Inputs!$E$58,1,0)</f>
        <v/>
      </c>
      <c r="S13" s="37">
        <f>IF(COLUMNS($B$13:S13)&gt;=Inputs!$E$58,1,0)</f>
        <v/>
      </c>
      <c r="T13" s="37">
        <f>IF(COLUMNS($B$13:T13)&gt;=Inputs!$E$58,1,0)</f>
        <v/>
      </c>
      <c r="U13" s="37">
        <f>IF(COLUMNS($B$13:U13)&gt;=Inputs!$E$58,1,0)</f>
        <v/>
      </c>
      <c r="V13" s="37">
        <f>IF(COLUMNS($B$13:V13)&gt;=Inputs!$E$58,1,0)</f>
        <v/>
      </c>
      <c r="W13" s="37">
        <f>IF(COLUMNS($B$13:W13)&gt;=Inputs!$E$58,1,0)</f>
        <v/>
      </c>
      <c r="X13" s="37">
        <f>IF(COLUMNS($B$13:X13)&gt;=Inputs!$E$58,1,0)</f>
        <v/>
      </c>
      <c r="Y13" s="37">
        <f>IF(COLUMNS($B$13:Y13)&gt;=Inputs!$E$58,1,0)</f>
        <v/>
      </c>
      <c r="Z13" s="37">
        <f>IF(COLUMNS($B$13:Z13)&gt;=Inputs!$E$58,1,0)</f>
        <v/>
      </c>
      <c r="AA13" s="37">
        <f>IF(COLUMNS($B$13:AA13)&gt;=Inputs!$E$58,1,0)</f>
        <v/>
      </c>
      <c r="AB13" s="37">
        <f>IF(COLUMNS($B$13:AB13)&gt;=Inputs!$E$58,1,0)</f>
        <v/>
      </c>
      <c r="AC13" s="37">
        <f>IF(COLUMNS($B$13:AC13)&gt;=Inputs!$E$58,1,0)</f>
        <v/>
      </c>
      <c r="AD13" s="37">
        <f>IF(COLUMNS($B$13:AD13)&gt;=Inputs!$E$58,1,0)</f>
        <v/>
      </c>
      <c r="AE13" s="37">
        <f>IF(COLUMNS($B$13:AE13)&gt;=Inputs!$E$58,1,0)</f>
        <v/>
      </c>
      <c r="AF13" s="37">
        <f>IF(COLUMNS($B$13:AF13)&gt;=Inputs!$E$58,1,0)</f>
        <v/>
      </c>
      <c r="AG13" s="37">
        <f>IF(COLUMNS($B$13:AG13)&gt;=Inputs!$E$58,1,0)</f>
        <v/>
      </c>
      <c r="AH13" s="37">
        <f>IF(COLUMNS($B$13:AH13)&gt;=Inputs!$E$58,1,0)</f>
        <v/>
      </c>
      <c r="AI13" s="37">
        <f>IF(COLUMNS($B$13:AI13)&gt;=Inputs!$E$58,1,0)</f>
        <v/>
      </c>
      <c r="AJ13" s="37">
        <f>IF(COLUMNS($B$13:AJ13)&gt;=Inputs!$E$58,1,0)</f>
        <v/>
      </c>
      <c r="AK13" s="37">
        <f>IF(COLUMNS($B$13:AK13)&gt;=Inputs!$E$58,1,0)</f>
        <v/>
      </c>
      <c r="AL13" s="37">
        <f>IF(COLUMNS($B$13:AL13)&gt;=Inputs!$E$58,1,0)</f>
        <v/>
      </c>
      <c r="AM13" s="37">
        <f>IF(COLUMNS($B$13:AM13)&gt;=Inputs!$E$58,1,0)</f>
        <v/>
      </c>
      <c r="AN13" s="37">
        <f>IF(COLUMNS($B$13:AN13)&gt;=Inputs!$E$58,1,0)</f>
        <v/>
      </c>
      <c r="AO13" s="37">
        <f>IF(COLUMNS($B$13:AO13)&gt;=Inputs!$E$58,1,0)</f>
        <v/>
      </c>
      <c r="AP13" s="37">
        <f>IF(COLUMNS($B$13:AP13)&gt;=Inputs!$E$58,1,0)</f>
        <v/>
      </c>
      <c r="AQ13" s="37">
        <f>IF(COLUMNS($B$13:AQ13)&gt;=Inputs!$E$58,1,0)</f>
        <v/>
      </c>
      <c r="AR13" s="37">
        <f>IF(COLUMNS($B$13:AR13)&gt;=Inputs!$E$58,1,0)</f>
        <v/>
      </c>
      <c r="AS13" s="37">
        <f>IF(COLUMNS($B$13:AS13)&gt;=Inputs!$E$58,1,0)</f>
        <v/>
      </c>
      <c r="AT13" s="37">
        <f>IF(COLUMNS($B$13:AT13)&gt;=Inputs!$E$58,1,0)</f>
        <v/>
      </c>
      <c r="AU13" s="37">
        <f>IF(COLUMNS($B$13:AU13)&gt;=Inputs!$E$58,1,0)</f>
        <v/>
      </c>
      <c r="AV13" s="37">
        <f>IF(COLUMNS($B$13:AV13)&gt;=Inputs!$E$58,1,0)</f>
        <v/>
      </c>
      <c r="AW13" s="37">
        <f>IF(COLUMNS($B$13:AW13)&gt;=Inputs!$E$58,1,0)</f>
        <v/>
      </c>
      <c r="AX13" s="37">
        <f>IF(COLUMNS($B$13:AX13)&gt;=Inputs!$E$58,1,0)</f>
        <v/>
      </c>
      <c r="AY13" s="37">
        <f>IF(COLUMNS($B$13:AY13)&gt;=Inputs!$E$58,1,0)</f>
        <v/>
      </c>
      <c r="AZ13" s="37">
        <f>IF(COLUMNS($B$13:AZ13)&gt;=Inputs!$E$58,1,0)</f>
        <v/>
      </c>
      <c r="BA13" s="37">
        <f>IF(COLUMNS($B$13:BA13)&gt;=Inputs!$E$58,1,0)</f>
        <v/>
      </c>
    </row>
    <row r="14" ht="14.25" customHeight="1" s="214">
      <c r="A14" s="18" t="inlineStr">
        <is>
          <t>1. Customer Key Account</t>
        </is>
      </c>
      <c r="B14" s="37">
        <f>IF(COLUMNS($B$14:B14)&gt;=Inputs!$E$59,1,0)</f>
        <v/>
      </c>
      <c r="C14" s="37">
        <f>IF(COLUMNS($B$14:C14)&gt;=Inputs!$E$59,1,0)</f>
        <v/>
      </c>
      <c r="D14" s="37">
        <f>IF(COLUMNS($B$14:D14)&gt;=Inputs!$E$59,1,0)</f>
        <v/>
      </c>
      <c r="E14" s="37">
        <f>IF(COLUMNS($B$14:E14)&gt;=Inputs!$E$59,1,0)</f>
        <v/>
      </c>
      <c r="F14" s="37">
        <f>IF(COLUMNS($B$14:F14)&gt;=Inputs!$E$59,1,0)</f>
        <v/>
      </c>
      <c r="G14" s="37">
        <f>IF(COLUMNS($B$14:G14)&gt;=Inputs!$E$59,1,0)</f>
        <v/>
      </c>
      <c r="H14" s="37">
        <f>IF(COLUMNS($B$14:H14)&gt;=Inputs!$E$59,1,0)</f>
        <v/>
      </c>
      <c r="I14" s="37">
        <f>IF(COLUMNS($B$14:I14)&gt;=Inputs!$E$59,1,0)</f>
        <v/>
      </c>
      <c r="J14" s="37">
        <f>IF(COLUMNS($B$14:J14)&gt;=Inputs!$E$59,1,0)</f>
        <v/>
      </c>
      <c r="K14" s="37">
        <f>IF(COLUMNS($B$14:K14)&gt;=Inputs!$E$59,1,0)</f>
        <v/>
      </c>
      <c r="L14" s="37">
        <f>IF(COLUMNS($B$14:L14)&gt;=Inputs!$E$59,1,0)</f>
        <v/>
      </c>
      <c r="M14" s="37">
        <f>IF(COLUMNS($B$14:M14)&gt;=Inputs!$E$59,1,0)</f>
        <v/>
      </c>
      <c r="N14" s="37">
        <f>IF(COLUMNS($B$14:N14)&gt;=Inputs!$E$59,1,0)</f>
        <v/>
      </c>
      <c r="O14" s="37">
        <f>IF(COLUMNS($B$14:O14)&gt;=Inputs!$E$59,1,0)</f>
        <v/>
      </c>
      <c r="P14" s="37">
        <f>IF(COLUMNS($B$14:P14)&gt;=Inputs!$E$59,1,0)</f>
        <v/>
      </c>
      <c r="Q14" s="37">
        <f>IF(COLUMNS($B$14:Q14)&gt;=Inputs!$E$59,1,0)</f>
        <v/>
      </c>
      <c r="R14" s="37">
        <f>IF(COLUMNS($B$14:R14)&gt;=Inputs!$E$59,1,0)</f>
        <v/>
      </c>
      <c r="S14" s="37">
        <f>IF(COLUMNS($B$14:S14)&gt;=Inputs!$E$59,1,0)</f>
        <v/>
      </c>
      <c r="T14" s="37">
        <f>IF(COLUMNS($B$14:T14)&gt;=Inputs!$E$59,1,0)</f>
        <v/>
      </c>
      <c r="U14" s="37">
        <f>IF(COLUMNS($B$14:U14)&gt;=Inputs!$E$59,1,0)</f>
        <v/>
      </c>
      <c r="V14" s="37">
        <f>IF(COLUMNS($B$14:V14)&gt;=Inputs!$E$59,1,0)</f>
        <v/>
      </c>
      <c r="W14" s="37">
        <f>IF(COLUMNS($B$14:W14)&gt;=Inputs!$E$59,1,0)</f>
        <v/>
      </c>
      <c r="X14" s="37">
        <f>IF(COLUMNS($B$14:X14)&gt;=Inputs!$E$59,1,0)</f>
        <v/>
      </c>
      <c r="Y14" s="37">
        <f>IF(COLUMNS($B$14:Y14)&gt;=Inputs!$E$59,1,0)</f>
        <v/>
      </c>
      <c r="Z14" s="37">
        <f>IF(COLUMNS($B$14:Z14)&gt;=Inputs!$E$59,1,0)</f>
        <v/>
      </c>
      <c r="AA14" s="37">
        <f>IF(COLUMNS($B$14:AA14)&gt;=Inputs!$E$59,1,0)</f>
        <v/>
      </c>
      <c r="AB14" s="37">
        <f>IF(COLUMNS($B$14:AB14)&gt;=Inputs!$E$59,1,0)</f>
        <v/>
      </c>
      <c r="AC14" s="37">
        <f>IF(COLUMNS($B$14:AC14)&gt;=Inputs!$E$59,1,0)</f>
        <v/>
      </c>
      <c r="AD14" s="37">
        <f>IF(COLUMNS($B$14:AD14)&gt;=Inputs!$E$59,1,0)</f>
        <v/>
      </c>
      <c r="AE14" s="37">
        <f>IF(COLUMNS($B$14:AE14)&gt;=Inputs!$E$59,1,0)</f>
        <v/>
      </c>
      <c r="AF14" s="37">
        <f>IF(COLUMNS($B$14:AF14)&gt;=Inputs!$E$59,1,0)</f>
        <v/>
      </c>
      <c r="AG14" s="37">
        <f>IF(COLUMNS($B$14:AG14)&gt;=Inputs!$E$59,1,0)</f>
        <v/>
      </c>
      <c r="AH14" s="37">
        <f>IF(COLUMNS($B$14:AH14)&gt;=Inputs!$E$59,1,0)</f>
        <v/>
      </c>
      <c r="AI14" s="37">
        <f>IF(COLUMNS($B$14:AI14)&gt;=Inputs!$E$59,1,0)</f>
        <v/>
      </c>
      <c r="AJ14" s="37">
        <f>IF(COLUMNS($B$14:AJ14)&gt;=Inputs!$E$59,1,0)</f>
        <v/>
      </c>
      <c r="AK14" s="37">
        <f>IF(COLUMNS($B$14:AK14)&gt;=Inputs!$E$59,1,0)</f>
        <v/>
      </c>
      <c r="AL14" s="37">
        <f>IF(COLUMNS($B$14:AL14)&gt;=Inputs!$E$59,1,0)</f>
        <v/>
      </c>
      <c r="AM14" s="37">
        <f>IF(COLUMNS($B$14:AM14)&gt;=Inputs!$E$59,1,0)</f>
        <v/>
      </c>
      <c r="AN14" s="37">
        <f>IF(COLUMNS($B$14:AN14)&gt;=Inputs!$E$59,1,0)</f>
        <v/>
      </c>
      <c r="AO14" s="37">
        <f>IF(COLUMNS($B$14:AO14)&gt;=Inputs!$E$59,1,0)</f>
        <v/>
      </c>
      <c r="AP14" s="37">
        <f>IF(COLUMNS($B$14:AP14)&gt;=Inputs!$E$59,1,0)</f>
        <v/>
      </c>
      <c r="AQ14" s="37">
        <f>IF(COLUMNS($B$14:AQ14)&gt;=Inputs!$E$59,1,0)</f>
        <v/>
      </c>
      <c r="AR14" s="37">
        <f>IF(COLUMNS($B$14:AR14)&gt;=Inputs!$E$59,1,0)</f>
        <v/>
      </c>
      <c r="AS14" s="37">
        <f>IF(COLUMNS($B$14:AS14)&gt;=Inputs!$E$59,1,0)</f>
        <v/>
      </c>
      <c r="AT14" s="37">
        <f>IF(COLUMNS($B$14:AT14)&gt;=Inputs!$E$59,1,0)</f>
        <v/>
      </c>
      <c r="AU14" s="37">
        <f>IF(COLUMNS($B$14:AU14)&gt;=Inputs!$E$59,1,0)</f>
        <v/>
      </c>
      <c r="AV14" s="37">
        <f>IF(COLUMNS($B$14:AV14)&gt;=Inputs!$E$59,1,0)</f>
        <v/>
      </c>
      <c r="AW14" s="37">
        <f>IF(COLUMNS($B$14:AW14)&gt;=Inputs!$E$59,1,0)</f>
        <v/>
      </c>
      <c r="AX14" s="37">
        <f>IF(COLUMNS($B$14:AX14)&gt;=Inputs!$E$59,1,0)</f>
        <v/>
      </c>
      <c r="AY14" s="37">
        <f>IF(COLUMNS($B$14:AY14)&gt;=Inputs!$E$59,1,0)</f>
        <v/>
      </c>
      <c r="AZ14" s="37">
        <f>IF(COLUMNS($B$14:AZ14)&gt;=Inputs!$E$59,1,0)</f>
        <v/>
      </c>
      <c r="BA14" s="37">
        <f>IF(COLUMNS($B$14:BA14)&gt;=Inputs!$E$59,1,0)</f>
        <v/>
      </c>
    </row>
    <row r="15" ht="14.25" customHeight="1" s="214">
      <c r="A15" s="193" t="inlineStr">
        <is>
          <t>2. Customer Key Account</t>
        </is>
      </c>
      <c r="B15" s="37">
        <f>IF(COLUMNS($B$15:B15)&gt;=Inputs!$E$60,1,0)</f>
        <v/>
      </c>
      <c r="C15" s="37">
        <f>IF(COLUMNS($B$15:C15)&gt;=Inputs!$E$60,1,0)</f>
        <v/>
      </c>
      <c r="D15" s="37">
        <f>IF(COLUMNS($B$15:D15)&gt;=Inputs!$E$60,1,0)</f>
        <v/>
      </c>
      <c r="E15" s="37">
        <f>IF(COLUMNS($B$15:E15)&gt;=Inputs!$E$60,1,0)</f>
        <v/>
      </c>
      <c r="F15" s="37">
        <f>IF(COLUMNS($B$15:F15)&gt;=Inputs!$E$60,1,0)</f>
        <v/>
      </c>
      <c r="G15" s="37">
        <f>IF(COLUMNS($B$15:G15)&gt;=Inputs!$E$60,1,0)</f>
        <v/>
      </c>
      <c r="H15" s="37">
        <f>IF(COLUMNS($B$15:H15)&gt;=Inputs!$E$60,1,0)</f>
        <v/>
      </c>
      <c r="I15" s="37">
        <f>IF(COLUMNS($B$15:I15)&gt;=Inputs!$E$60,1,0)</f>
        <v/>
      </c>
      <c r="J15" s="37">
        <f>IF(COLUMNS($B$15:J15)&gt;=Inputs!$E$60,1,0)</f>
        <v/>
      </c>
      <c r="K15" s="37">
        <f>IF(COLUMNS($B$15:K15)&gt;=Inputs!$E$60,1,0)</f>
        <v/>
      </c>
      <c r="L15" s="37">
        <f>IF(COLUMNS($B$15:L15)&gt;=Inputs!$E$60,1,0)</f>
        <v/>
      </c>
      <c r="M15" s="37">
        <f>IF(COLUMNS($B$15:M15)&gt;=Inputs!$E$60,1,0)</f>
        <v/>
      </c>
      <c r="N15" s="37">
        <f>IF(COLUMNS($B$15:N15)&gt;=Inputs!$E$60,1,0)</f>
        <v/>
      </c>
      <c r="O15" s="37">
        <f>IF(COLUMNS($B$15:O15)&gt;=Inputs!$E$60,1,0)</f>
        <v/>
      </c>
      <c r="P15" s="37">
        <f>IF(COLUMNS($B$15:P15)&gt;=Inputs!$E$60,1,0)</f>
        <v/>
      </c>
      <c r="Q15" s="37">
        <f>IF(COLUMNS($B$15:Q15)&gt;=Inputs!$E$60,1,0)</f>
        <v/>
      </c>
      <c r="R15" s="37">
        <f>IF(COLUMNS($B$15:R15)&gt;=Inputs!$E$60,1,0)</f>
        <v/>
      </c>
      <c r="S15" s="37">
        <f>IF(COLUMNS($B$15:S15)&gt;=Inputs!$E$60,1,0)</f>
        <v/>
      </c>
      <c r="T15" s="37">
        <f>IF(COLUMNS($B$15:T15)&gt;=Inputs!$E$60,1,0)</f>
        <v/>
      </c>
      <c r="U15" s="37">
        <f>IF(COLUMNS($B$15:U15)&gt;=Inputs!$E$60,1,0)</f>
        <v/>
      </c>
      <c r="V15" s="37">
        <f>IF(COLUMNS($B$15:V15)&gt;=Inputs!$E$60,1,0)</f>
        <v/>
      </c>
      <c r="W15" s="37">
        <f>IF(COLUMNS($B$15:W15)&gt;=Inputs!$E$60,1,0)</f>
        <v/>
      </c>
      <c r="X15" s="37">
        <f>IF(COLUMNS($B$15:X15)&gt;=Inputs!$E$60,1,0)</f>
        <v/>
      </c>
      <c r="Y15" s="37">
        <f>IF(COLUMNS($B$15:Y15)&gt;=Inputs!$E$60,1,0)</f>
        <v/>
      </c>
      <c r="Z15" s="37">
        <f>IF(COLUMNS($B$15:Z15)&gt;=Inputs!$E$60,1,0)</f>
        <v/>
      </c>
      <c r="AA15" s="37">
        <f>IF(COLUMNS($B$15:AA15)&gt;=Inputs!$E$60,1,0)</f>
        <v/>
      </c>
      <c r="AB15" s="37">
        <f>IF(COLUMNS($B$15:AB15)&gt;=Inputs!$E$60,1,0)</f>
        <v/>
      </c>
      <c r="AC15" s="37">
        <f>IF(COLUMNS($B$15:AC15)&gt;=Inputs!$E$60,1,0)</f>
        <v/>
      </c>
      <c r="AD15" s="37">
        <f>IF(COLUMNS($B$15:AD15)&gt;=Inputs!$E$60,1,0)</f>
        <v/>
      </c>
      <c r="AE15" s="37">
        <f>IF(COLUMNS($B$15:AE15)&gt;=Inputs!$E$60,1,0)</f>
        <v/>
      </c>
      <c r="AF15" s="37">
        <f>IF(COLUMNS($B$15:AF15)&gt;=Inputs!$E$60,1,0)</f>
        <v/>
      </c>
      <c r="AG15" s="37">
        <f>IF(COLUMNS($B$15:AG15)&gt;=Inputs!$E$60,1,0)</f>
        <v/>
      </c>
      <c r="AH15" s="37">
        <f>IF(COLUMNS($B$15:AH15)&gt;=Inputs!$E$60,1,0)</f>
        <v/>
      </c>
      <c r="AI15" s="37">
        <f>IF(COLUMNS($B$15:AI15)&gt;=Inputs!$E$60,1,0)</f>
        <v/>
      </c>
      <c r="AJ15" s="37">
        <f>IF(COLUMNS($B$15:AJ15)&gt;=Inputs!$E$60,1,0)</f>
        <v/>
      </c>
      <c r="AK15" s="37">
        <f>IF(COLUMNS($B$15:AK15)&gt;=Inputs!$E$60,1,0)</f>
        <v/>
      </c>
      <c r="AL15" s="37">
        <f>IF(COLUMNS($B$15:AL15)&gt;=Inputs!$E$60,1,0)</f>
        <v/>
      </c>
      <c r="AM15" s="37">
        <f>IF(COLUMNS($B$15:AM15)&gt;=Inputs!$E$60,1,0)</f>
        <v/>
      </c>
      <c r="AN15" s="37">
        <f>IF(COLUMNS($B$15:AN15)&gt;=Inputs!$E$60,1,0)</f>
        <v/>
      </c>
      <c r="AO15" s="37">
        <f>IF(COLUMNS($B$15:AO15)&gt;=Inputs!$E$60,1,0)</f>
        <v/>
      </c>
      <c r="AP15" s="37">
        <f>IF(COLUMNS($B$15:AP15)&gt;=Inputs!$E$60,1,0)</f>
        <v/>
      </c>
      <c r="AQ15" s="37">
        <f>IF(COLUMNS($B$15:AQ15)&gt;=Inputs!$E$60,1,0)</f>
        <v/>
      </c>
      <c r="AR15" s="37">
        <f>IF(COLUMNS($B$15:AR15)&gt;=Inputs!$E$60,1,0)</f>
        <v/>
      </c>
      <c r="AS15" s="37">
        <f>IF(COLUMNS($B$15:AS15)&gt;=Inputs!$E$60,1,0)</f>
        <v/>
      </c>
      <c r="AT15" s="37">
        <f>IF(COLUMNS($B$15:AT15)&gt;=Inputs!$E$60,1,0)</f>
        <v/>
      </c>
      <c r="AU15" s="37">
        <f>IF(COLUMNS($B$15:AU15)&gt;=Inputs!$E$60,1,0)</f>
        <v/>
      </c>
      <c r="AV15" s="37">
        <f>IF(COLUMNS($B$15:AV15)&gt;=Inputs!$E$60,1,0)</f>
        <v/>
      </c>
      <c r="AW15" s="37">
        <f>IF(COLUMNS($B$15:AW15)&gt;=Inputs!$E$60,1,0)</f>
        <v/>
      </c>
      <c r="AX15" s="37">
        <f>IF(COLUMNS($B$15:AX15)&gt;=Inputs!$E$60,1,0)</f>
        <v/>
      </c>
      <c r="AY15" s="37">
        <f>IF(COLUMNS($B$15:AY15)&gt;=Inputs!$E$60,1,0)</f>
        <v/>
      </c>
      <c r="AZ15" s="37">
        <f>IF(COLUMNS($B$15:AZ15)&gt;=Inputs!$E$60,1,0)</f>
        <v/>
      </c>
      <c r="BA15" s="37">
        <f>IF(COLUMNS($B$15:BA15)&gt;=Inputs!$E$60,1,0)</f>
        <v/>
      </c>
    </row>
    <row r="16" ht="14.25" customHeight="1" s="214">
      <c r="A16" s="193" t="inlineStr">
        <is>
          <t>3. Customer Key Account</t>
        </is>
      </c>
      <c r="B16" s="37">
        <f>IF(COLUMNS($B$16:B16)&gt;=Inputs!$E$61,1,0)</f>
        <v/>
      </c>
      <c r="C16" s="37">
        <f>IF(COLUMNS($B$16:C16)&gt;=Inputs!$E$61,1,0)</f>
        <v/>
      </c>
      <c r="D16" s="37">
        <f>IF(COLUMNS($B$16:D16)&gt;=Inputs!$E$61,1,0)</f>
        <v/>
      </c>
      <c r="E16" s="37">
        <f>IF(COLUMNS($B$16:E16)&gt;=Inputs!$E$61,1,0)</f>
        <v/>
      </c>
      <c r="F16" s="37">
        <f>IF(COLUMNS($B$16:F16)&gt;=Inputs!$E$61,1,0)</f>
        <v/>
      </c>
      <c r="G16" s="37">
        <f>IF(COLUMNS($B$16:G16)&gt;=Inputs!$E$61,1,0)</f>
        <v/>
      </c>
      <c r="H16" s="37">
        <f>IF(COLUMNS($B$16:H16)&gt;=Inputs!$E$61,1,0)</f>
        <v/>
      </c>
      <c r="I16" s="37">
        <f>IF(COLUMNS($B$16:I16)&gt;=Inputs!$E$61,1,0)</f>
        <v/>
      </c>
      <c r="J16" s="37">
        <f>IF(COLUMNS($B$16:J16)&gt;=Inputs!$E$61,1,0)</f>
        <v/>
      </c>
      <c r="K16" s="37">
        <f>IF(COLUMNS($B$16:K16)&gt;=Inputs!$E$61,1,0)</f>
        <v/>
      </c>
      <c r="L16" s="37">
        <f>IF(COLUMNS($B$16:L16)&gt;=Inputs!$E$61,1,0)</f>
        <v/>
      </c>
      <c r="M16" s="37">
        <f>IF(COLUMNS($B$16:M16)&gt;=Inputs!$E$61,1,0)</f>
        <v/>
      </c>
      <c r="N16" s="37">
        <f>IF(COLUMNS($B$16:N16)&gt;=Inputs!$E$61,1,0)</f>
        <v/>
      </c>
      <c r="O16" s="37">
        <f>IF(COLUMNS($B$16:O16)&gt;=Inputs!$E$61,1,0)</f>
        <v/>
      </c>
      <c r="P16" s="37">
        <f>IF(COLUMNS($B$16:P16)&gt;=Inputs!$E$61,1,0)</f>
        <v/>
      </c>
      <c r="Q16" s="37">
        <f>IF(COLUMNS($B$16:Q16)&gt;=Inputs!$E$61,1,0)</f>
        <v/>
      </c>
      <c r="R16" s="37">
        <f>IF(COLUMNS($B$16:R16)&gt;=Inputs!$E$61,1,0)</f>
        <v/>
      </c>
      <c r="S16" s="37">
        <f>IF(COLUMNS($B$16:S16)&gt;=Inputs!$E$61,1,0)</f>
        <v/>
      </c>
      <c r="T16" s="37">
        <f>IF(COLUMNS($B$16:T16)&gt;=Inputs!$E$61,1,0)</f>
        <v/>
      </c>
      <c r="U16" s="37">
        <f>IF(COLUMNS($B$16:U16)&gt;=Inputs!$E$61,1,0)</f>
        <v/>
      </c>
      <c r="V16" s="37">
        <f>IF(COLUMNS($B$16:V16)&gt;=Inputs!$E$61,1,0)</f>
        <v/>
      </c>
      <c r="W16" s="37">
        <f>IF(COLUMNS($B$16:W16)&gt;=Inputs!$E$61,1,0)</f>
        <v/>
      </c>
      <c r="X16" s="37">
        <f>IF(COLUMNS($B$16:X16)&gt;=Inputs!$E$61,1,0)</f>
        <v/>
      </c>
      <c r="Y16" s="37">
        <f>IF(COLUMNS($B$16:Y16)&gt;=Inputs!$E$61,1,0)</f>
        <v/>
      </c>
      <c r="Z16" s="37">
        <f>IF(COLUMNS($B$16:Z16)&gt;=Inputs!$E$61,1,0)</f>
        <v/>
      </c>
      <c r="AA16" s="37">
        <f>IF(COLUMNS($B$16:AA16)&gt;=Inputs!$E$61,1,0)</f>
        <v/>
      </c>
      <c r="AB16" s="37">
        <f>IF(COLUMNS($B$16:AB16)&gt;=Inputs!$E$61,1,0)</f>
        <v/>
      </c>
      <c r="AC16" s="37">
        <f>IF(COLUMNS($B$16:AC16)&gt;=Inputs!$E$61,1,0)</f>
        <v/>
      </c>
      <c r="AD16" s="37">
        <f>IF(COLUMNS($B$16:AD16)&gt;=Inputs!$E$61,1,0)</f>
        <v/>
      </c>
      <c r="AE16" s="37">
        <f>IF(COLUMNS($B$16:AE16)&gt;=Inputs!$E$61,1,0)</f>
        <v/>
      </c>
      <c r="AF16" s="37">
        <f>IF(COLUMNS($B$16:AF16)&gt;=Inputs!$E$61,1,0)</f>
        <v/>
      </c>
      <c r="AG16" s="37">
        <f>IF(COLUMNS($B$16:AG16)&gt;=Inputs!$E$61,1,0)</f>
        <v/>
      </c>
      <c r="AH16" s="37">
        <f>IF(COLUMNS($B$16:AH16)&gt;=Inputs!$E$61,1,0)</f>
        <v/>
      </c>
      <c r="AI16" s="37">
        <f>IF(COLUMNS($B$16:AI16)&gt;=Inputs!$E$61,1,0)</f>
        <v/>
      </c>
      <c r="AJ16" s="37">
        <f>IF(COLUMNS($B$16:AJ16)&gt;=Inputs!$E$61,1,0)</f>
        <v/>
      </c>
      <c r="AK16" s="37">
        <f>IF(COLUMNS($B$16:AK16)&gt;=Inputs!$E$61,1,0)</f>
        <v/>
      </c>
      <c r="AL16" s="37">
        <f>IF(COLUMNS($B$16:AL16)&gt;=Inputs!$E$61,1,0)</f>
        <v/>
      </c>
      <c r="AM16" s="37">
        <f>IF(COLUMNS($B$16:AM16)&gt;=Inputs!$E$61,1,0)</f>
        <v/>
      </c>
      <c r="AN16" s="37">
        <f>IF(COLUMNS($B$16:AN16)&gt;=Inputs!$E$61,1,0)</f>
        <v/>
      </c>
      <c r="AO16" s="37">
        <f>IF(COLUMNS($B$16:AO16)&gt;=Inputs!$E$61,1,0)</f>
        <v/>
      </c>
      <c r="AP16" s="37">
        <f>IF(COLUMNS($B$16:AP16)&gt;=Inputs!$E$61,1,0)</f>
        <v/>
      </c>
      <c r="AQ16" s="37">
        <f>IF(COLUMNS($B$16:AQ16)&gt;=Inputs!$E$61,1,0)</f>
        <v/>
      </c>
      <c r="AR16" s="37">
        <f>IF(COLUMNS($B$16:AR16)&gt;=Inputs!$E$61,1,0)</f>
        <v/>
      </c>
      <c r="AS16" s="37">
        <f>IF(COLUMNS($B$16:AS16)&gt;=Inputs!$E$61,1,0)</f>
        <v/>
      </c>
      <c r="AT16" s="37">
        <f>IF(COLUMNS($B$16:AT16)&gt;=Inputs!$E$61,1,0)</f>
        <v/>
      </c>
      <c r="AU16" s="37">
        <f>IF(COLUMNS($B$16:AU16)&gt;=Inputs!$E$61,1,0)</f>
        <v/>
      </c>
      <c r="AV16" s="37">
        <f>IF(COLUMNS($B$16:AV16)&gt;=Inputs!$E$61,1,0)</f>
        <v/>
      </c>
      <c r="AW16" s="37">
        <f>IF(COLUMNS($B$16:AW16)&gt;=Inputs!$E$61,1,0)</f>
        <v/>
      </c>
      <c r="AX16" s="37">
        <f>IF(COLUMNS($B$16:AX16)&gt;=Inputs!$E$61,1,0)</f>
        <v/>
      </c>
      <c r="AY16" s="37">
        <f>IF(COLUMNS($B$16:AY16)&gt;=Inputs!$E$61,1,0)</f>
        <v/>
      </c>
      <c r="AZ16" s="37">
        <f>IF(COLUMNS($B$16:AZ16)&gt;=Inputs!$E$61,1,0)</f>
        <v/>
      </c>
      <c r="BA16" s="37">
        <f>IF(COLUMNS($B$16:BA16)&gt;=Inputs!$E$61,1,0)</f>
        <v/>
      </c>
    </row>
    <row r="17" ht="14.25" customHeight="1" s="214">
      <c r="A17" s="18" t="inlineStr">
        <is>
          <t>1. Marketing Assistant</t>
        </is>
      </c>
      <c r="B17" s="37">
        <f>IF(COLUMNS($B$17:B17)&gt;=Inputs!$E$62,1,0)</f>
        <v/>
      </c>
      <c r="C17" s="37">
        <f>IF(COLUMNS($B$17:C17)&gt;=Inputs!$E$62,1,0)</f>
        <v/>
      </c>
      <c r="D17" s="37">
        <f>IF(COLUMNS($B$17:D17)&gt;=Inputs!$E$62,1,0)</f>
        <v/>
      </c>
      <c r="E17" s="37">
        <f>IF(COLUMNS($B$17:E17)&gt;=Inputs!$E$62,1,0)</f>
        <v/>
      </c>
      <c r="F17" s="37">
        <f>IF(COLUMNS($B$17:F17)&gt;=Inputs!$E$62,1,0)</f>
        <v/>
      </c>
      <c r="G17" s="37">
        <f>IF(COLUMNS($B$17:G17)&gt;=Inputs!$E$62,1,0)</f>
        <v/>
      </c>
      <c r="H17" s="37">
        <f>IF(COLUMNS($B$17:H17)&gt;=Inputs!$E$62,1,0)</f>
        <v/>
      </c>
      <c r="I17" s="37">
        <f>IF(COLUMNS($B$17:I17)&gt;=Inputs!$E$62,1,0)</f>
        <v/>
      </c>
      <c r="J17" s="37">
        <f>IF(COLUMNS($B$17:J17)&gt;=Inputs!$E$62,1,0)</f>
        <v/>
      </c>
      <c r="K17" s="37">
        <f>IF(COLUMNS($B$17:K17)&gt;=Inputs!$E$62,1,0)</f>
        <v/>
      </c>
      <c r="L17" s="37">
        <f>IF(COLUMNS($B$17:L17)&gt;=Inputs!$E$62,1,0)</f>
        <v/>
      </c>
      <c r="M17" s="37">
        <f>IF(COLUMNS($B$17:M17)&gt;=Inputs!$E$62,1,0)</f>
        <v/>
      </c>
      <c r="N17" s="37">
        <f>IF(COLUMNS($B$17:N17)&gt;=Inputs!$E$62,1,0)</f>
        <v/>
      </c>
      <c r="O17" s="37">
        <f>IF(COLUMNS($B$17:O17)&gt;=Inputs!$E$62,1,0)</f>
        <v/>
      </c>
      <c r="P17" s="37">
        <f>IF(COLUMNS($B$17:P17)&gt;=Inputs!$E$62,1,0)</f>
        <v/>
      </c>
      <c r="Q17" s="37">
        <f>IF(COLUMNS($B$17:Q17)&gt;=Inputs!$E$62,1,0)</f>
        <v/>
      </c>
      <c r="R17" s="37">
        <f>IF(COLUMNS($B$17:R17)&gt;=Inputs!$E$62,1,0)</f>
        <v/>
      </c>
      <c r="S17" s="37">
        <f>IF(COLUMNS($B$17:S17)&gt;=Inputs!$E$62,1,0)</f>
        <v/>
      </c>
      <c r="T17" s="37">
        <f>IF(COLUMNS($B$17:T17)&gt;=Inputs!$E$62,1,0)</f>
        <v/>
      </c>
      <c r="U17" s="37">
        <f>IF(COLUMNS($B$17:U17)&gt;=Inputs!$E$62,1,0)</f>
        <v/>
      </c>
      <c r="V17" s="37">
        <f>IF(COLUMNS($B$17:V17)&gt;=Inputs!$E$62,1,0)</f>
        <v/>
      </c>
      <c r="W17" s="37">
        <f>IF(COLUMNS($B$17:W17)&gt;=Inputs!$E$62,1,0)</f>
        <v/>
      </c>
      <c r="X17" s="37">
        <f>IF(COLUMNS($B$17:X17)&gt;=Inputs!$E$62,1,0)</f>
        <v/>
      </c>
      <c r="Y17" s="37">
        <f>IF(COLUMNS($B$17:Y17)&gt;=Inputs!$E$62,1,0)</f>
        <v/>
      </c>
      <c r="Z17" s="37">
        <f>IF(COLUMNS($B$17:Z17)&gt;=Inputs!$E$62,1,0)</f>
        <v/>
      </c>
      <c r="AA17" s="37">
        <f>IF(COLUMNS($B$17:AA17)&gt;=Inputs!$E$62,1,0)</f>
        <v/>
      </c>
      <c r="AB17" s="37">
        <f>IF(COLUMNS($B$17:AB17)&gt;=Inputs!$E$62,1,0)</f>
        <v/>
      </c>
      <c r="AC17" s="37">
        <f>IF(COLUMNS($B$17:AC17)&gt;=Inputs!$E$62,1,0)</f>
        <v/>
      </c>
      <c r="AD17" s="37">
        <f>IF(COLUMNS($B$17:AD17)&gt;=Inputs!$E$62,1,0)</f>
        <v/>
      </c>
      <c r="AE17" s="37">
        <f>IF(COLUMNS($B$17:AE17)&gt;=Inputs!$E$62,1,0)</f>
        <v/>
      </c>
      <c r="AF17" s="37">
        <f>IF(COLUMNS($B$17:AF17)&gt;=Inputs!$E$62,1,0)</f>
        <v/>
      </c>
      <c r="AG17" s="37">
        <f>IF(COLUMNS($B$17:AG17)&gt;=Inputs!$E$62,1,0)</f>
        <v/>
      </c>
      <c r="AH17" s="37">
        <f>IF(COLUMNS($B$17:AH17)&gt;=Inputs!$E$62,1,0)</f>
        <v/>
      </c>
      <c r="AI17" s="37">
        <f>IF(COLUMNS($B$17:AI17)&gt;=Inputs!$E$62,1,0)</f>
        <v/>
      </c>
      <c r="AJ17" s="37">
        <f>IF(COLUMNS($B$17:AJ17)&gt;=Inputs!$E$62,1,0)</f>
        <v/>
      </c>
      <c r="AK17" s="37">
        <f>IF(COLUMNS($B$17:AK17)&gt;=Inputs!$E$62,1,0)</f>
        <v/>
      </c>
      <c r="AL17" s="37">
        <f>IF(COLUMNS($B$17:AL17)&gt;=Inputs!$E$62,1,0)</f>
        <v/>
      </c>
      <c r="AM17" s="37">
        <f>IF(COLUMNS($B$17:AM17)&gt;=Inputs!$E$62,1,0)</f>
        <v/>
      </c>
      <c r="AN17" s="37">
        <f>IF(COLUMNS($B$17:AN17)&gt;=Inputs!$E$62,1,0)</f>
        <v/>
      </c>
      <c r="AO17" s="37">
        <f>IF(COLUMNS($B$17:AO17)&gt;=Inputs!$E$62,1,0)</f>
        <v/>
      </c>
      <c r="AP17" s="37">
        <f>IF(COLUMNS($B$17:AP17)&gt;=Inputs!$E$62,1,0)</f>
        <v/>
      </c>
      <c r="AQ17" s="37">
        <f>IF(COLUMNS($B$17:AQ17)&gt;=Inputs!$E$62,1,0)</f>
        <v/>
      </c>
      <c r="AR17" s="37">
        <f>IF(COLUMNS($B$17:AR17)&gt;=Inputs!$E$62,1,0)</f>
        <v/>
      </c>
      <c r="AS17" s="37">
        <f>IF(COLUMNS($B$17:AS17)&gt;=Inputs!$E$62,1,0)</f>
        <v/>
      </c>
      <c r="AT17" s="37">
        <f>IF(COLUMNS($B$17:AT17)&gt;=Inputs!$E$62,1,0)</f>
        <v/>
      </c>
      <c r="AU17" s="37">
        <f>IF(COLUMNS($B$17:AU17)&gt;=Inputs!$E$62,1,0)</f>
        <v/>
      </c>
      <c r="AV17" s="37">
        <f>IF(COLUMNS($B$17:AV17)&gt;=Inputs!$E$62,1,0)</f>
        <v/>
      </c>
      <c r="AW17" s="37">
        <f>IF(COLUMNS($B$17:AW17)&gt;=Inputs!$E$62,1,0)</f>
        <v/>
      </c>
      <c r="AX17" s="37">
        <f>IF(COLUMNS($B$17:AX17)&gt;=Inputs!$E$62,1,0)</f>
        <v/>
      </c>
      <c r="AY17" s="37">
        <f>IF(COLUMNS($B$17:AY17)&gt;=Inputs!$E$62,1,0)</f>
        <v/>
      </c>
      <c r="AZ17" s="37">
        <f>IF(COLUMNS($B$17:AZ17)&gt;=Inputs!$E$62,1,0)</f>
        <v/>
      </c>
      <c r="BA17" s="37">
        <f>IF(COLUMNS($B$17:BA17)&gt;=Inputs!$E$62,1,0)</f>
        <v/>
      </c>
    </row>
    <row r="18" ht="14.25" customHeight="1" s="214">
      <c r="A18" s="193" t="inlineStr">
        <is>
          <t>2. Marketing Assistant</t>
        </is>
      </c>
      <c r="B18" s="37">
        <f>IF(COLUMNS($B$18:B18)&gt;=Inputs!$E$63,1,0)</f>
        <v/>
      </c>
      <c r="C18" s="37">
        <f>IF(COLUMNS($B$18:C18)&gt;=Inputs!$E$63,1,0)</f>
        <v/>
      </c>
      <c r="D18" s="37">
        <f>IF(COLUMNS($B$18:D18)&gt;=Inputs!$E$63,1,0)</f>
        <v/>
      </c>
      <c r="E18" s="37">
        <f>IF(COLUMNS($B$18:E18)&gt;=Inputs!$E$63,1,0)</f>
        <v/>
      </c>
      <c r="F18" s="37">
        <f>IF(COLUMNS($B$18:F18)&gt;=Inputs!$E$63,1,0)</f>
        <v/>
      </c>
      <c r="G18" s="37">
        <f>IF(COLUMNS($B$18:G18)&gt;=Inputs!$E$63,1,0)</f>
        <v/>
      </c>
      <c r="H18" s="37">
        <f>IF(COLUMNS($B$18:H18)&gt;=Inputs!$E$63,1,0)</f>
        <v/>
      </c>
      <c r="I18" s="37">
        <f>IF(COLUMNS($B$18:I18)&gt;=Inputs!$E$63,1,0)</f>
        <v/>
      </c>
      <c r="J18" s="37">
        <f>IF(COLUMNS($B$18:J18)&gt;=Inputs!$E$63,1,0)</f>
        <v/>
      </c>
      <c r="K18" s="37">
        <f>IF(COLUMNS($B$18:K18)&gt;=Inputs!$E$63,1,0)</f>
        <v/>
      </c>
      <c r="L18" s="37">
        <f>IF(COLUMNS($B$18:L18)&gt;=Inputs!$E$63,1,0)</f>
        <v/>
      </c>
      <c r="M18" s="37">
        <f>IF(COLUMNS($B$18:M18)&gt;=Inputs!$E$63,1,0)</f>
        <v/>
      </c>
      <c r="N18" s="37">
        <f>IF(COLUMNS($B$18:N18)&gt;=Inputs!$E$63,1,0)</f>
        <v/>
      </c>
      <c r="O18" s="37">
        <f>IF(COLUMNS($B$18:O18)&gt;=Inputs!$E$63,1,0)</f>
        <v/>
      </c>
      <c r="P18" s="37">
        <f>IF(COLUMNS($B$18:P18)&gt;=Inputs!$E$63,1,0)</f>
        <v/>
      </c>
      <c r="Q18" s="37">
        <f>IF(COLUMNS($B$18:Q18)&gt;=Inputs!$E$63,1,0)</f>
        <v/>
      </c>
      <c r="R18" s="37">
        <f>IF(COLUMNS($B$18:R18)&gt;=Inputs!$E$63,1,0)</f>
        <v/>
      </c>
      <c r="S18" s="37">
        <f>IF(COLUMNS($B$18:S18)&gt;=Inputs!$E$63,1,0)</f>
        <v/>
      </c>
      <c r="T18" s="37">
        <f>IF(COLUMNS($B$18:T18)&gt;=Inputs!$E$63,1,0)</f>
        <v/>
      </c>
      <c r="U18" s="37">
        <f>IF(COLUMNS($B$18:U18)&gt;=Inputs!$E$63,1,0)</f>
        <v/>
      </c>
      <c r="V18" s="37">
        <f>IF(COLUMNS($B$18:V18)&gt;=Inputs!$E$63,1,0)</f>
        <v/>
      </c>
      <c r="W18" s="37">
        <f>IF(COLUMNS($B$18:W18)&gt;=Inputs!$E$63,1,0)</f>
        <v/>
      </c>
      <c r="X18" s="37">
        <f>IF(COLUMNS($B$18:X18)&gt;=Inputs!$E$63,1,0)</f>
        <v/>
      </c>
      <c r="Y18" s="37">
        <f>IF(COLUMNS($B$18:Y18)&gt;=Inputs!$E$63,1,0)</f>
        <v/>
      </c>
      <c r="Z18" s="37">
        <f>IF(COLUMNS($B$18:Z18)&gt;=Inputs!$E$63,1,0)</f>
        <v/>
      </c>
      <c r="AA18" s="37">
        <f>IF(COLUMNS($B$18:AA18)&gt;=Inputs!$E$63,1,0)</f>
        <v/>
      </c>
      <c r="AB18" s="37">
        <f>IF(COLUMNS($B$18:AB18)&gt;=Inputs!$E$63,1,0)</f>
        <v/>
      </c>
      <c r="AC18" s="37">
        <f>IF(COLUMNS($B$18:AC18)&gt;=Inputs!$E$63,1,0)</f>
        <v/>
      </c>
      <c r="AD18" s="37">
        <f>IF(COLUMNS($B$18:AD18)&gt;=Inputs!$E$63,1,0)</f>
        <v/>
      </c>
      <c r="AE18" s="37">
        <f>IF(COLUMNS($B$18:AE18)&gt;=Inputs!$E$63,1,0)</f>
        <v/>
      </c>
      <c r="AF18" s="37">
        <f>IF(COLUMNS($B$18:AF18)&gt;=Inputs!$E$63,1,0)</f>
        <v/>
      </c>
      <c r="AG18" s="37">
        <f>IF(COLUMNS($B$18:AG18)&gt;=Inputs!$E$63,1,0)</f>
        <v/>
      </c>
      <c r="AH18" s="37">
        <f>IF(COLUMNS($B$18:AH18)&gt;=Inputs!$E$63,1,0)</f>
        <v/>
      </c>
      <c r="AI18" s="37">
        <f>IF(COLUMNS($B$18:AI18)&gt;=Inputs!$E$63,1,0)</f>
        <v/>
      </c>
      <c r="AJ18" s="37">
        <f>IF(COLUMNS($B$18:AJ18)&gt;=Inputs!$E$63,1,0)</f>
        <v/>
      </c>
      <c r="AK18" s="37">
        <f>IF(COLUMNS($B$18:AK18)&gt;=Inputs!$E$63,1,0)</f>
        <v/>
      </c>
      <c r="AL18" s="37">
        <f>IF(COLUMNS($B$18:AL18)&gt;=Inputs!$E$63,1,0)</f>
        <v/>
      </c>
      <c r="AM18" s="37">
        <f>IF(COLUMNS($B$18:AM18)&gt;=Inputs!$E$63,1,0)</f>
        <v/>
      </c>
      <c r="AN18" s="37">
        <f>IF(COLUMNS($B$18:AN18)&gt;=Inputs!$E$63,1,0)</f>
        <v/>
      </c>
      <c r="AO18" s="37">
        <f>IF(COLUMNS($B$18:AO18)&gt;=Inputs!$E$63,1,0)</f>
        <v/>
      </c>
      <c r="AP18" s="37">
        <f>IF(COLUMNS($B$18:AP18)&gt;=Inputs!$E$63,1,0)</f>
        <v/>
      </c>
      <c r="AQ18" s="37">
        <f>IF(COLUMNS($B$18:AQ18)&gt;=Inputs!$E$63,1,0)</f>
        <v/>
      </c>
      <c r="AR18" s="37">
        <f>IF(COLUMNS($B$18:AR18)&gt;=Inputs!$E$63,1,0)</f>
        <v/>
      </c>
      <c r="AS18" s="37">
        <f>IF(COLUMNS($B$18:AS18)&gt;=Inputs!$E$63,1,0)</f>
        <v/>
      </c>
      <c r="AT18" s="37">
        <f>IF(COLUMNS($B$18:AT18)&gt;=Inputs!$E$63,1,0)</f>
        <v/>
      </c>
      <c r="AU18" s="37">
        <f>IF(COLUMNS($B$18:AU18)&gt;=Inputs!$E$63,1,0)</f>
        <v/>
      </c>
      <c r="AV18" s="37">
        <f>IF(COLUMNS($B$18:AV18)&gt;=Inputs!$E$63,1,0)</f>
        <v/>
      </c>
      <c r="AW18" s="37">
        <f>IF(COLUMNS($B$18:AW18)&gt;=Inputs!$E$63,1,0)</f>
        <v/>
      </c>
      <c r="AX18" s="37">
        <f>IF(COLUMNS($B$18:AX18)&gt;=Inputs!$E$63,1,0)</f>
        <v/>
      </c>
      <c r="AY18" s="37">
        <f>IF(COLUMNS($B$18:AY18)&gt;=Inputs!$E$63,1,0)</f>
        <v/>
      </c>
      <c r="AZ18" s="37">
        <f>IF(COLUMNS($B$18:AZ18)&gt;=Inputs!$E$63,1,0)</f>
        <v/>
      </c>
      <c r="BA18" s="37">
        <f>IF(COLUMNS($B$18:BA18)&gt;=Inputs!$E$63,1,0)</f>
        <v/>
      </c>
    </row>
    <row r="19" ht="14.25" customHeight="1" s="214">
      <c r="A19" s="193" t="inlineStr">
        <is>
          <t>1. Marketing Manager</t>
        </is>
      </c>
      <c r="B19" s="37">
        <f>IF(COLUMNS($B$19:B19)&gt;=Inputs!$E$64,1,0)</f>
        <v/>
      </c>
      <c r="C19" s="37">
        <f>IF(COLUMNS($B$19:C19)&gt;=Inputs!$E$64,1,0)</f>
        <v/>
      </c>
      <c r="D19" s="37">
        <f>IF(COLUMNS($B$19:D19)&gt;=Inputs!$E$64,1,0)</f>
        <v/>
      </c>
      <c r="E19" s="37">
        <f>IF(COLUMNS($B$19:E19)&gt;=Inputs!$E$64,1,0)</f>
        <v/>
      </c>
      <c r="F19" s="37">
        <f>IF(COLUMNS($B$19:F19)&gt;=Inputs!$E$64,1,0)</f>
        <v/>
      </c>
      <c r="G19" s="37">
        <f>IF(COLUMNS($B$19:G19)&gt;=Inputs!$E$64,1,0)</f>
        <v/>
      </c>
      <c r="H19" s="37">
        <f>IF(COLUMNS($B$19:H19)&gt;=Inputs!$E$64,1,0)</f>
        <v/>
      </c>
      <c r="I19" s="37">
        <f>IF(COLUMNS($B$19:I19)&gt;=Inputs!$E$64,1,0)</f>
        <v/>
      </c>
      <c r="J19" s="37">
        <f>IF(COLUMNS($B$19:J19)&gt;=Inputs!$E$64,1,0)</f>
        <v/>
      </c>
      <c r="K19" s="37">
        <f>IF(COLUMNS($B$19:K19)&gt;=Inputs!$E$64,1,0)</f>
        <v/>
      </c>
      <c r="L19" s="37">
        <f>IF(COLUMNS($B$19:L19)&gt;=Inputs!$E$64,1,0)</f>
        <v/>
      </c>
      <c r="M19" s="37">
        <f>IF(COLUMNS($B$19:M19)&gt;=Inputs!$E$64,1,0)</f>
        <v/>
      </c>
      <c r="N19" s="37">
        <f>IF(COLUMNS($B$19:N19)&gt;=Inputs!$E$64,1,0)</f>
        <v/>
      </c>
      <c r="O19" s="37">
        <f>IF(COLUMNS($B$19:O19)&gt;=Inputs!$E$64,1,0)</f>
        <v/>
      </c>
      <c r="P19" s="37">
        <f>IF(COLUMNS($B$19:P19)&gt;=Inputs!$E$64,1,0)</f>
        <v/>
      </c>
      <c r="Q19" s="37">
        <f>IF(COLUMNS($B$19:Q19)&gt;=Inputs!$E$64,1,0)</f>
        <v/>
      </c>
      <c r="R19" s="37">
        <f>IF(COLUMNS($B$19:R19)&gt;=Inputs!$E$64,1,0)</f>
        <v/>
      </c>
      <c r="S19" s="37">
        <f>IF(COLUMNS($B$19:S19)&gt;=Inputs!$E$64,1,0)</f>
        <v/>
      </c>
      <c r="T19" s="37">
        <f>IF(COLUMNS($B$19:T19)&gt;=Inputs!$E$64,1,0)</f>
        <v/>
      </c>
      <c r="U19" s="37">
        <f>IF(COLUMNS($B$19:U19)&gt;=Inputs!$E$64,1,0)</f>
        <v/>
      </c>
      <c r="V19" s="37">
        <f>IF(COLUMNS($B$19:V19)&gt;=Inputs!$E$64,1,0)</f>
        <v/>
      </c>
      <c r="W19" s="37">
        <f>IF(COLUMNS($B$19:W19)&gt;=Inputs!$E$64,1,0)</f>
        <v/>
      </c>
      <c r="X19" s="37">
        <f>IF(COLUMNS($B$19:X19)&gt;=Inputs!$E$64,1,0)</f>
        <v/>
      </c>
      <c r="Y19" s="37">
        <f>IF(COLUMNS($B$19:Y19)&gt;=Inputs!$E$64,1,0)</f>
        <v/>
      </c>
      <c r="Z19" s="37">
        <f>IF(COLUMNS($B$19:Z19)&gt;=Inputs!$E$64,1,0)</f>
        <v/>
      </c>
      <c r="AA19" s="37">
        <f>IF(COLUMNS($B$19:AA19)&gt;=Inputs!$E$64,1,0)</f>
        <v/>
      </c>
      <c r="AB19" s="37">
        <f>IF(COLUMNS($B$19:AB19)&gt;=Inputs!$E$64,1,0)</f>
        <v/>
      </c>
      <c r="AC19" s="37">
        <f>IF(COLUMNS($B$19:AC19)&gt;=Inputs!$E$64,1,0)</f>
        <v/>
      </c>
      <c r="AD19" s="37">
        <f>IF(COLUMNS($B$19:AD19)&gt;=Inputs!$E$64,1,0)</f>
        <v/>
      </c>
      <c r="AE19" s="37">
        <f>IF(COLUMNS($B$19:AE19)&gt;=Inputs!$E$64,1,0)</f>
        <v/>
      </c>
      <c r="AF19" s="37">
        <f>IF(COLUMNS($B$19:AF19)&gt;=Inputs!$E$64,1,0)</f>
        <v/>
      </c>
      <c r="AG19" s="37">
        <f>IF(COLUMNS($B$19:AG19)&gt;=Inputs!$E$64,1,0)</f>
        <v/>
      </c>
      <c r="AH19" s="37">
        <f>IF(COLUMNS($B$19:AH19)&gt;=Inputs!$E$64,1,0)</f>
        <v/>
      </c>
      <c r="AI19" s="37">
        <f>IF(COLUMNS($B$19:AI19)&gt;=Inputs!$E$64,1,0)</f>
        <v/>
      </c>
      <c r="AJ19" s="37">
        <f>IF(COLUMNS($B$19:AJ19)&gt;=Inputs!$E$64,1,0)</f>
        <v/>
      </c>
      <c r="AK19" s="37">
        <f>IF(COLUMNS($B$19:AK19)&gt;=Inputs!$E$64,1,0)</f>
        <v/>
      </c>
      <c r="AL19" s="37">
        <f>IF(COLUMNS($B$19:AL19)&gt;=Inputs!$E$64,1,0)</f>
        <v/>
      </c>
      <c r="AM19" s="37">
        <f>IF(COLUMNS($B$19:AM19)&gt;=Inputs!$E$64,1,0)</f>
        <v/>
      </c>
      <c r="AN19" s="37">
        <f>IF(COLUMNS($B$19:AN19)&gt;=Inputs!$E$64,1,0)</f>
        <v/>
      </c>
      <c r="AO19" s="37">
        <f>IF(COLUMNS($B$19:AO19)&gt;=Inputs!$E$64,1,0)</f>
        <v/>
      </c>
      <c r="AP19" s="37">
        <f>IF(COLUMNS($B$19:AP19)&gt;=Inputs!$E$64,1,0)</f>
        <v/>
      </c>
      <c r="AQ19" s="37">
        <f>IF(COLUMNS($B$19:AQ19)&gt;=Inputs!$E$64,1,0)</f>
        <v/>
      </c>
      <c r="AR19" s="37">
        <f>IF(COLUMNS($B$19:AR19)&gt;=Inputs!$E$64,1,0)</f>
        <v/>
      </c>
      <c r="AS19" s="37">
        <f>IF(COLUMNS($B$19:AS19)&gt;=Inputs!$E$64,1,0)</f>
        <v/>
      </c>
      <c r="AT19" s="37">
        <f>IF(COLUMNS($B$19:AT19)&gt;=Inputs!$E$64,1,0)</f>
        <v/>
      </c>
      <c r="AU19" s="37">
        <f>IF(COLUMNS($B$19:AU19)&gt;=Inputs!$E$64,1,0)</f>
        <v/>
      </c>
      <c r="AV19" s="37">
        <f>IF(COLUMNS($B$19:AV19)&gt;=Inputs!$E$64,1,0)</f>
        <v/>
      </c>
      <c r="AW19" s="37">
        <f>IF(COLUMNS($B$19:AW19)&gt;=Inputs!$E$64,1,0)</f>
        <v/>
      </c>
      <c r="AX19" s="37">
        <f>IF(COLUMNS($B$19:AX19)&gt;=Inputs!$E$64,1,0)</f>
        <v/>
      </c>
      <c r="AY19" s="37">
        <f>IF(COLUMNS($B$19:AY19)&gt;=Inputs!$E$64,1,0)</f>
        <v/>
      </c>
      <c r="AZ19" s="37">
        <f>IF(COLUMNS($B$19:AZ19)&gt;=Inputs!$E$64,1,0)</f>
        <v/>
      </c>
      <c r="BA19" s="37">
        <f>IF(COLUMNS($B$19:BA19)&gt;=Inputs!$E$64,1,0)</f>
        <v/>
      </c>
    </row>
    <row r="20" ht="14.25" customHeight="1" s="214">
      <c r="A20" s="18" t="inlineStr">
        <is>
          <t>1. Office Manager</t>
        </is>
      </c>
      <c r="B20" s="37">
        <f>IF(COLUMNS($B$20:B20)&gt;=Inputs!$E$65,1,0)</f>
        <v/>
      </c>
      <c r="C20" s="37">
        <f>IF(COLUMNS($B$20:C20)&gt;=Inputs!$E$65,1,0)</f>
        <v/>
      </c>
      <c r="D20" s="37">
        <f>IF(COLUMNS($B$20:D20)&gt;=Inputs!$E$65,1,0)</f>
        <v/>
      </c>
      <c r="E20" s="37">
        <f>IF(COLUMNS($B$20:E20)&gt;=Inputs!$E$65,1,0)</f>
        <v/>
      </c>
      <c r="F20" s="37">
        <f>IF(COLUMNS($B$20:F20)&gt;=Inputs!$E$65,1,0)</f>
        <v/>
      </c>
      <c r="G20" s="37">
        <f>IF(COLUMNS($B$20:G20)&gt;=Inputs!$E$65,1,0)</f>
        <v/>
      </c>
      <c r="H20" s="37">
        <f>IF(COLUMNS($B$20:H20)&gt;=Inputs!$E$65,1,0)</f>
        <v/>
      </c>
      <c r="I20" s="37">
        <f>IF(COLUMNS($B$20:I20)&gt;=Inputs!$E$65,1,0)</f>
        <v/>
      </c>
      <c r="J20" s="37">
        <f>IF(COLUMNS($B$20:J20)&gt;=Inputs!$E$65,1,0)</f>
        <v/>
      </c>
      <c r="K20" s="37">
        <f>IF(COLUMNS($B$20:K20)&gt;=Inputs!$E$65,1,0)</f>
        <v/>
      </c>
      <c r="L20" s="37">
        <f>IF(COLUMNS($B$20:L20)&gt;=Inputs!$E$65,1,0)</f>
        <v/>
      </c>
      <c r="M20" s="37">
        <f>IF(COLUMNS($B$20:M20)&gt;=Inputs!$E$65,1,0)</f>
        <v/>
      </c>
      <c r="N20" s="37">
        <f>IF(COLUMNS($B$20:N20)&gt;=Inputs!$E$65,1,0)</f>
        <v/>
      </c>
      <c r="O20" s="37">
        <f>IF(COLUMNS($B$20:O20)&gt;=Inputs!$E$65,1,0)</f>
        <v/>
      </c>
      <c r="P20" s="37">
        <f>IF(COLUMNS($B$20:P20)&gt;=Inputs!$E$65,1,0)</f>
        <v/>
      </c>
      <c r="Q20" s="37">
        <f>IF(COLUMNS($B$20:Q20)&gt;=Inputs!$E$65,1,0)</f>
        <v/>
      </c>
      <c r="R20" s="37">
        <f>IF(COLUMNS($B$20:R20)&gt;=Inputs!$E$65,1,0)</f>
        <v/>
      </c>
      <c r="S20" s="37">
        <f>IF(COLUMNS($B$20:S20)&gt;=Inputs!$E$65,1,0)</f>
        <v/>
      </c>
      <c r="T20" s="37">
        <f>IF(COLUMNS($B$20:T20)&gt;=Inputs!$E$65,1,0)</f>
        <v/>
      </c>
      <c r="U20" s="37">
        <f>IF(COLUMNS($B$20:U20)&gt;=Inputs!$E$65,1,0)</f>
        <v/>
      </c>
      <c r="V20" s="37">
        <f>IF(COLUMNS($B$20:V20)&gt;=Inputs!$E$65,1,0)</f>
        <v/>
      </c>
      <c r="W20" s="37">
        <f>IF(COLUMNS($B$20:W20)&gt;=Inputs!$E$65,1,0)</f>
        <v/>
      </c>
      <c r="X20" s="37">
        <f>IF(COLUMNS($B$20:X20)&gt;=Inputs!$E$65,1,0)</f>
        <v/>
      </c>
      <c r="Y20" s="37">
        <f>IF(COLUMNS($B$20:Y20)&gt;=Inputs!$E$65,1,0)</f>
        <v/>
      </c>
      <c r="Z20" s="37">
        <f>IF(COLUMNS($B$20:Z20)&gt;=Inputs!$E$65,1,0)</f>
        <v/>
      </c>
      <c r="AA20" s="37">
        <f>IF(COLUMNS($B$20:AA20)&gt;=Inputs!$E$65,1,0)</f>
        <v/>
      </c>
      <c r="AB20" s="37">
        <f>IF(COLUMNS($B$20:AB20)&gt;=Inputs!$E$65,1,0)</f>
        <v/>
      </c>
      <c r="AC20" s="37">
        <f>IF(COLUMNS($B$20:AC20)&gt;=Inputs!$E$65,1,0)</f>
        <v/>
      </c>
      <c r="AD20" s="37">
        <f>IF(COLUMNS($B$20:AD20)&gt;=Inputs!$E$65,1,0)</f>
        <v/>
      </c>
      <c r="AE20" s="37">
        <f>IF(COLUMNS($B$20:AE20)&gt;=Inputs!$E$65,1,0)</f>
        <v/>
      </c>
      <c r="AF20" s="37">
        <f>IF(COLUMNS($B$20:AF20)&gt;=Inputs!$E$65,1,0)</f>
        <v/>
      </c>
      <c r="AG20" s="37">
        <f>IF(COLUMNS($B$20:AG20)&gt;=Inputs!$E$65,1,0)</f>
        <v/>
      </c>
      <c r="AH20" s="37">
        <f>IF(COLUMNS($B$20:AH20)&gt;=Inputs!$E$65,1,0)</f>
        <v/>
      </c>
      <c r="AI20" s="37">
        <f>IF(COLUMNS($B$20:AI20)&gt;=Inputs!$E$65,1,0)</f>
        <v/>
      </c>
      <c r="AJ20" s="37">
        <f>IF(COLUMNS($B$20:AJ20)&gt;=Inputs!$E$65,1,0)</f>
        <v/>
      </c>
      <c r="AK20" s="37">
        <f>IF(COLUMNS($B$20:AK20)&gt;=Inputs!$E$65,1,0)</f>
        <v/>
      </c>
      <c r="AL20" s="37">
        <f>IF(COLUMNS($B$20:AL20)&gt;=Inputs!$E$65,1,0)</f>
        <v/>
      </c>
      <c r="AM20" s="37">
        <f>IF(COLUMNS($B$20:AM20)&gt;=Inputs!$E$65,1,0)</f>
        <v/>
      </c>
      <c r="AN20" s="37">
        <f>IF(COLUMNS($B$20:AN20)&gt;=Inputs!$E$65,1,0)</f>
        <v/>
      </c>
      <c r="AO20" s="37">
        <f>IF(COLUMNS($B$20:AO20)&gt;=Inputs!$E$65,1,0)</f>
        <v/>
      </c>
      <c r="AP20" s="37">
        <f>IF(COLUMNS($B$20:AP20)&gt;=Inputs!$E$65,1,0)</f>
        <v/>
      </c>
      <c r="AQ20" s="37">
        <f>IF(COLUMNS($B$20:AQ20)&gt;=Inputs!$E$65,1,0)</f>
        <v/>
      </c>
      <c r="AR20" s="37">
        <f>IF(COLUMNS($B$20:AR20)&gt;=Inputs!$E$65,1,0)</f>
        <v/>
      </c>
      <c r="AS20" s="37">
        <f>IF(COLUMNS($B$20:AS20)&gt;=Inputs!$E$65,1,0)</f>
        <v/>
      </c>
      <c r="AT20" s="37">
        <f>IF(COLUMNS($B$20:AT20)&gt;=Inputs!$E$65,1,0)</f>
        <v/>
      </c>
      <c r="AU20" s="37">
        <f>IF(COLUMNS($B$20:AU20)&gt;=Inputs!$E$65,1,0)</f>
        <v/>
      </c>
      <c r="AV20" s="37">
        <f>IF(COLUMNS($B$20:AV20)&gt;=Inputs!$E$65,1,0)</f>
        <v/>
      </c>
      <c r="AW20" s="37">
        <f>IF(COLUMNS($B$20:AW20)&gt;=Inputs!$E$65,1,0)</f>
        <v/>
      </c>
      <c r="AX20" s="37">
        <f>IF(COLUMNS($B$20:AX20)&gt;=Inputs!$E$65,1,0)</f>
        <v/>
      </c>
      <c r="AY20" s="37">
        <f>IF(COLUMNS($B$20:AY20)&gt;=Inputs!$E$65,1,0)</f>
        <v/>
      </c>
      <c r="AZ20" s="37">
        <f>IF(COLUMNS($B$20:AZ20)&gt;=Inputs!$E$65,1,0)</f>
        <v/>
      </c>
      <c r="BA20" s="37">
        <f>IF(COLUMNS($B$20:BA20)&gt;=Inputs!$E$65,1,0)</f>
        <v/>
      </c>
    </row>
    <row r="21" ht="14.25" customHeight="1" s="214">
      <c r="A21" s="18" t="inlineStr">
        <is>
          <t>1. Customer Success</t>
        </is>
      </c>
      <c r="B21" s="37">
        <f>IF(COLUMNS($B$21:B21)&gt;=Inputs!$E$66,1,0)</f>
        <v/>
      </c>
      <c r="C21" s="37">
        <f>IF(COLUMNS($B$21:C21)&gt;=Inputs!$E$66,1,0)</f>
        <v/>
      </c>
      <c r="D21" s="37">
        <f>IF(COLUMNS($B$21:D21)&gt;=Inputs!$E$66,1,0)</f>
        <v/>
      </c>
      <c r="E21" s="37">
        <f>IF(COLUMNS($B$21:E21)&gt;=Inputs!$E$66,1,0)</f>
        <v/>
      </c>
      <c r="F21" s="37">
        <f>IF(COLUMNS($B$21:F21)&gt;=Inputs!$E$66,1,0)</f>
        <v/>
      </c>
      <c r="G21" s="37">
        <f>IF(COLUMNS($B$21:G21)&gt;=Inputs!$E$66,1,0)</f>
        <v/>
      </c>
      <c r="H21" s="37">
        <f>IF(COLUMNS($B$21:H21)&gt;=Inputs!$E$66,1,0)</f>
        <v/>
      </c>
      <c r="I21" s="37">
        <f>IF(COLUMNS($B$21:I21)&gt;=Inputs!$E$66,1,0)</f>
        <v/>
      </c>
      <c r="J21" s="37">
        <f>IF(COLUMNS($B$21:J21)&gt;=Inputs!$E$66,1,0)</f>
        <v/>
      </c>
      <c r="K21" s="37">
        <f>IF(COLUMNS($B$21:K21)&gt;=Inputs!$E$66,1,0)</f>
        <v/>
      </c>
      <c r="L21" s="37">
        <f>IF(COLUMNS($B$21:L21)&gt;=Inputs!$E$66,1,0)</f>
        <v/>
      </c>
      <c r="M21" s="37">
        <f>IF(COLUMNS($B$21:M21)&gt;=Inputs!$E$66,1,0)</f>
        <v/>
      </c>
      <c r="N21" s="37">
        <f>IF(COLUMNS($B$21:N21)&gt;=Inputs!$E$66,1,0)</f>
        <v/>
      </c>
      <c r="O21" s="37">
        <f>IF(COLUMNS($B$21:O21)&gt;=Inputs!$E$66,1,0)</f>
        <v/>
      </c>
      <c r="P21" s="37">
        <f>IF(COLUMNS($B$21:P21)&gt;=Inputs!$E$66,1,0)</f>
        <v/>
      </c>
      <c r="Q21" s="37">
        <f>IF(COLUMNS($B$21:Q21)&gt;=Inputs!$E$66,1,0)</f>
        <v/>
      </c>
      <c r="R21" s="37">
        <f>IF(COLUMNS($B$21:R21)&gt;=Inputs!$E$66,1,0)</f>
        <v/>
      </c>
      <c r="S21" s="37">
        <f>IF(COLUMNS($B$21:S21)&gt;=Inputs!$E$66,1,0)</f>
        <v/>
      </c>
      <c r="T21" s="37">
        <f>IF(COLUMNS($B$21:T21)&gt;=Inputs!$E$66,1,0)</f>
        <v/>
      </c>
      <c r="U21" s="37">
        <f>IF(COLUMNS($B$21:U21)&gt;=Inputs!$E$66,1,0)</f>
        <v/>
      </c>
      <c r="V21" s="37">
        <f>IF(COLUMNS($B$21:V21)&gt;=Inputs!$E$66,1,0)</f>
        <v/>
      </c>
      <c r="W21" s="37">
        <f>IF(COLUMNS($B$21:W21)&gt;=Inputs!$E$66,1,0)</f>
        <v/>
      </c>
      <c r="X21" s="37">
        <f>IF(COLUMNS($B$21:X21)&gt;=Inputs!$E$66,1,0)</f>
        <v/>
      </c>
      <c r="Y21" s="37">
        <f>IF(COLUMNS($B$21:Y21)&gt;=Inputs!$E$66,1,0)</f>
        <v/>
      </c>
      <c r="Z21" s="37">
        <f>IF(COLUMNS($B$21:Z21)&gt;=Inputs!$E$66,1,0)</f>
        <v/>
      </c>
      <c r="AA21" s="37">
        <f>IF(COLUMNS($B$21:AA21)&gt;=Inputs!$E$66,1,0)</f>
        <v/>
      </c>
      <c r="AB21" s="37">
        <f>IF(COLUMNS($B$21:AB21)&gt;=Inputs!$E$66,1,0)</f>
        <v/>
      </c>
      <c r="AC21" s="37">
        <f>IF(COLUMNS($B$21:AC21)&gt;=Inputs!$E$66,1,0)</f>
        <v/>
      </c>
      <c r="AD21" s="37">
        <f>IF(COLUMNS($B$21:AD21)&gt;=Inputs!$E$66,1,0)</f>
        <v/>
      </c>
      <c r="AE21" s="37">
        <f>IF(COLUMNS($B$21:AE21)&gt;=Inputs!$E$66,1,0)</f>
        <v/>
      </c>
      <c r="AF21" s="37">
        <f>IF(COLUMNS($B$21:AF21)&gt;=Inputs!$E$66,1,0)</f>
        <v/>
      </c>
      <c r="AG21" s="37">
        <f>IF(COLUMNS($B$21:AG21)&gt;=Inputs!$E$66,1,0)</f>
        <v/>
      </c>
      <c r="AH21" s="37">
        <f>IF(COLUMNS($B$21:AH21)&gt;=Inputs!$E$66,1,0)</f>
        <v/>
      </c>
      <c r="AI21" s="37">
        <f>IF(COLUMNS($B$21:AI21)&gt;=Inputs!$E$66,1,0)</f>
        <v/>
      </c>
      <c r="AJ21" s="37">
        <f>IF(COLUMNS($B$21:AJ21)&gt;=Inputs!$E$66,1,0)</f>
        <v/>
      </c>
      <c r="AK21" s="37">
        <f>IF(COLUMNS($B$21:AK21)&gt;=Inputs!$E$66,1,0)</f>
        <v/>
      </c>
      <c r="AL21" s="37">
        <f>IF(COLUMNS($B$21:AL21)&gt;=Inputs!$E$66,1,0)</f>
        <v/>
      </c>
      <c r="AM21" s="37">
        <f>IF(COLUMNS($B$21:AM21)&gt;=Inputs!$E$66,1,0)</f>
        <v/>
      </c>
      <c r="AN21" s="37">
        <f>IF(COLUMNS($B$21:AN21)&gt;=Inputs!$E$66,1,0)</f>
        <v/>
      </c>
      <c r="AO21" s="37">
        <f>IF(COLUMNS($B$21:AO21)&gt;=Inputs!$E$66,1,0)</f>
        <v/>
      </c>
      <c r="AP21" s="37">
        <f>IF(COLUMNS($B$21:AP21)&gt;=Inputs!$E$66,1,0)</f>
        <v/>
      </c>
      <c r="AQ21" s="37">
        <f>IF(COLUMNS($B$21:AQ21)&gt;=Inputs!$E$66,1,0)</f>
        <v/>
      </c>
      <c r="AR21" s="37">
        <f>IF(COLUMNS($B$21:AR21)&gt;=Inputs!$E$66,1,0)</f>
        <v/>
      </c>
      <c r="AS21" s="37">
        <f>IF(COLUMNS($B$21:AS21)&gt;=Inputs!$E$66,1,0)</f>
        <v/>
      </c>
      <c r="AT21" s="37">
        <f>IF(COLUMNS($B$21:AT21)&gt;=Inputs!$E$66,1,0)</f>
        <v/>
      </c>
      <c r="AU21" s="37">
        <f>IF(COLUMNS($B$21:AU21)&gt;=Inputs!$E$66,1,0)</f>
        <v/>
      </c>
      <c r="AV21" s="37">
        <f>IF(COLUMNS($B$21:AV21)&gt;=Inputs!$E$66,1,0)</f>
        <v/>
      </c>
      <c r="AW21" s="37">
        <f>IF(COLUMNS($B$21:AW21)&gt;=Inputs!$E$66,1,0)</f>
        <v/>
      </c>
      <c r="AX21" s="37">
        <f>IF(COLUMNS($B$21:AX21)&gt;=Inputs!$E$66,1,0)</f>
        <v/>
      </c>
      <c r="AY21" s="37">
        <f>IF(COLUMNS($B$21:AY21)&gt;=Inputs!$E$66,1,0)</f>
        <v/>
      </c>
      <c r="AZ21" s="37">
        <f>IF(COLUMNS($B$21:AZ21)&gt;=Inputs!$E$66,1,0)</f>
        <v/>
      </c>
      <c r="BA21" s="37">
        <f>IF(COLUMNS($B$21:BA21)&gt;=Inputs!$E$66,1,0)</f>
        <v/>
      </c>
    </row>
    <row r="22" ht="14.25" customHeight="1" s="214">
      <c r="A22" s="18" t="inlineStr">
        <is>
          <t>1. Finance Manager</t>
        </is>
      </c>
      <c r="B22" s="37">
        <f>IF(COLUMNS($B$22:B22)&gt;=Inputs!$E$67,1,0)</f>
        <v/>
      </c>
      <c r="C22" s="37">
        <f>IF(COLUMNS($B$22:C22)&gt;=Inputs!$E$67,1,0)</f>
        <v/>
      </c>
      <c r="D22" s="37">
        <f>IF(COLUMNS($B$22:D22)&gt;=Inputs!$E$67,1,0)</f>
        <v/>
      </c>
      <c r="E22" s="37">
        <f>IF(COLUMNS($B$22:E22)&gt;=Inputs!$E$67,1,0)</f>
        <v/>
      </c>
      <c r="F22" s="37">
        <f>IF(COLUMNS($B$22:F22)&gt;=Inputs!$E$67,1,0)</f>
        <v/>
      </c>
      <c r="G22" s="37">
        <f>IF(COLUMNS($B$22:G22)&gt;=Inputs!$E$67,1,0)</f>
        <v/>
      </c>
      <c r="H22" s="37">
        <f>IF(COLUMNS($B$22:H22)&gt;=Inputs!$E$67,1,0)</f>
        <v/>
      </c>
      <c r="I22" s="37">
        <f>IF(COLUMNS($B$22:I22)&gt;=Inputs!$E$67,1,0)</f>
        <v/>
      </c>
      <c r="J22" s="37">
        <f>IF(COLUMNS($B$22:J22)&gt;=Inputs!$E$67,1,0)</f>
        <v/>
      </c>
      <c r="K22" s="37">
        <f>IF(COLUMNS($B$22:K22)&gt;=Inputs!$E$67,1,0)</f>
        <v/>
      </c>
      <c r="L22" s="37">
        <f>IF(COLUMNS($B$22:L22)&gt;=Inputs!$E$67,1,0)</f>
        <v/>
      </c>
      <c r="M22" s="37">
        <f>IF(COLUMNS($B$22:M22)&gt;=Inputs!$E$67,1,0)</f>
        <v/>
      </c>
      <c r="N22" s="37">
        <f>IF(COLUMNS($B$22:N22)&gt;=Inputs!$E$67,1,0)</f>
        <v/>
      </c>
      <c r="O22" s="37">
        <f>IF(COLUMNS($B$22:O22)&gt;=Inputs!$E$67,1,0)</f>
        <v/>
      </c>
      <c r="P22" s="37">
        <f>IF(COLUMNS($B$22:P22)&gt;=Inputs!$E$67,1,0)</f>
        <v/>
      </c>
      <c r="Q22" s="37">
        <f>IF(COLUMNS($B$22:Q22)&gt;=Inputs!$E$67,1,0)</f>
        <v/>
      </c>
      <c r="R22" s="37">
        <f>IF(COLUMNS($B$22:R22)&gt;=Inputs!$E$67,1,0)</f>
        <v/>
      </c>
      <c r="S22" s="37">
        <f>IF(COLUMNS($B$22:S22)&gt;=Inputs!$E$67,1,0)</f>
        <v/>
      </c>
      <c r="T22" s="37">
        <f>IF(COLUMNS($B$22:T22)&gt;=Inputs!$E$67,1,0)</f>
        <v/>
      </c>
      <c r="U22" s="37">
        <f>IF(COLUMNS($B$22:U22)&gt;=Inputs!$E$67,1,0)</f>
        <v/>
      </c>
      <c r="V22" s="37">
        <f>IF(COLUMNS($B$22:V22)&gt;=Inputs!$E$67,1,0)</f>
        <v/>
      </c>
      <c r="W22" s="37">
        <f>IF(COLUMNS($B$22:W22)&gt;=Inputs!$E$67,1,0)</f>
        <v/>
      </c>
      <c r="X22" s="37">
        <f>IF(COLUMNS($B$22:X22)&gt;=Inputs!$E$67,1,0)</f>
        <v/>
      </c>
      <c r="Y22" s="37">
        <f>IF(COLUMNS($B$22:Y22)&gt;=Inputs!$E$67,1,0)</f>
        <v/>
      </c>
      <c r="Z22" s="37">
        <f>IF(COLUMNS($B$22:Z22)&gt;=Inputs!$E$67,1,0)</f>
        <v/>
      </c>
      <c r="AA22" s="37">
        <f>IF(COLUMNS($B$22:AA22)&gt;=Inputs!$E$67,1,0)</f>
        <v/>
      </c>
      <c r="AB22" s="37">
        <f>IF(COLUMNS($B$22:AB22)&gt;=Inputs!$E$67,1,0)</f>
        <v/>
      </c>
      <c r="AC22" s="37">
        <f>IF(COLUMNS($B$22:AC22)&gt;=Inputs!$E$67,1,0)</f>
        <v/>
      </c>
      <c r="AD22" s="37">
        <f>IF(COLUMNS($B$22:AD22)&gt;=Inputs!$E$67,1,0)</f>
        <v/>
      </c>
      <c r="AE22" s="37">
        <f>IF(COLUMNS($B$22:AE22)&gt;=Inputs!$E$67,1,0)</f>
        <v/>
      </c>
      <c r="AF22" s="37">
        <f>IF(COLUMNS($B$22:AF22)&gt;=Inputs!$E$67,1,0)</f>
        <v/>
      </c>
      <c r="AG22" s="37">
        <f>IF(COLUMNS($B$22:AG22)&gt;=Inputs!$E$67,1,0)</f>
        <v/>
      </c>
      <c r="AH22" s="37">
        <f>IF(COLUMNS($B$22:AH22)&gt;=Inputs!$E$67,1,0)</f>
        <v/>
      </c>
      <c r="AI22" s="37">
        <f>IF(COLUMNS($B$22:AI22)&gt;=Inputs!$E$67,1,0)</f>
        <v/>
      </c>
      <c r="AJ22" s="37">
        <f>IF(COLUMNS($B$22:AJ22)&gt;=Inputs!$E$67,1,0)</f>
        <v/>
      </c>
      <c r="AK22" s="37">
        <f>IF(COLUMNS($B$22:AK22)&gt;=Inputs!$E$67,1,0)</f>
        <v/>
      </c>
      <c r="AL22" s="37">
        <f>IF(COLUMNS($B$22:AL22)&gt;=Inputs!$E$67,1,0)</f>
        <v/>
      </c>
      <c r="AM22" s="37">
        <f>IF(COLUMNS($B$22:AM22)&gt;=Inputs!$E$67,1,0)</f>
        <v/>
      </c>
      <c r="AN22" s="37">
        <f>IF(COLUMNS($B$22:AN22)&gt;=Inputs!$E$67,1,0)</f>
        <v/>
      </c>
      <c r="AO22" s="37">
        <f>IF(COLUMNS($B$22:AO22)&gt;=Inputs!$E$67,1,0)</f>
        <v/>
      </c>
      <c r="AP22" s="37">
        <f>IF(COLUMNS($B$22:AP22)&gt;=Inputs!$E$67,1,0)</f>
        <v/>
      </c>
      <c r="AQ22" s="37">
        <f>IF(COLUMNS($B$22:AQ22)&gt;=Inputs!$E$67,1,0)</f>
        <v/>
      </c>
      <c r="AR22" s="37">
        <f>IF(COLUMNS($B$22:AR22)&gt;=Inputs!$E$67,1,0)</f>
        <v/>
      </c>
      <c r="AS22" s="37">
        <f>IF(COLUMNS($B$22:AS22)&gt;=Inputs!$E$67,1,0)</f>
        <v/>
      </c>
      <c r="AT22" s="37">
        <f>IF(COLUMNS($B$22:AT22)&gt;=Inputs!$E$67,1,0)</f>
        <v/>
      </c>
      <c r="AU22" s="37">
        <f>IF(COLUMNS($B$22:AU22)&gt;=Inputs!$E$67,1,0)</f>
        <v/>
      </c>
      <c r="AV22" s="37">
        <f>IF(COLUMNS($B$22:AV22)&gt;=Inputs!$E$67,1,0)</f>
        <v/>
      </c>
      <c r="AW22" s="37">
        <f>IF(COLUMNS($B$22:AW22)&gt;=Inputs!$E$67,1,0)</f>
        <v/>
      </c>
      <c r="AX22" s="37">
        <f>IF(COLUMNS($B$22:AX22)&gt;=Inputs!$E$67,1,0)</f>
        <v/>
      </c>
      <c r="AY22" s="37">
        <f>IF(COLUMNS($B$22:AY22)&gt;=Inputs!$E$67,1,0)</f>
        <v/>
      </c>
      <c r="AZ22" s="37">
        <f>IF(COLUMNS($B$22:AZ22)&gt;=Inputs!$E$67,1,0)</f>
        <v/>
      </c>
      <c r="BA22" s="37">
        <f>IF(COLUMNS($B$22:BA22)&gt;=Inputs!$E$67,1,0)</f>
        <v/>
      </c>
    </row>
    <row r="23" ht="14.25" customHeight="1" s="214">
      <c r="A23" s="2" t="inlineStr">
        <is>
          <t>TOTAL HEADCOUNT</t>
        </is>
      </c>
      <c r="B23" s="38">
        <f>SUM(B6:B22)</f>
        <v/>
      </c>
      <c r="C23" s="38">
        <f>SUM(C6:C22)</f>
        <v/>
      </c>
      <c r="D23" s="38">
        <f>SUM(D6:D22)</f>
        <v/>
      </c>
      <c r="E23" s="38">
        <f>SUM(E6:E22)</f>
        <v/>
      </c>
      <c r="F23" s="38">
        <f>SUM(F6:F22)</f>
        <v/>
      </c>
      <c r="G23" s="38">
        <f>SUM(G6:G22)</f>
        <v/>
      </c>
      <c r="H23" s="38">
        <f>SUM(H6:H22)</f>
        <v/>
      </c>
      <c r="I23" s="38">
        <f>SUM(I6:I22)</f>
        <v/>
      </c>
      <c r="J23" s="38">
        <f>SUM(J6:J22)</f>
        <v/>
      </c>
      <c r="K23" s="38">
        <f>SUM(K6:K22)</f>
        <v/>
      </c>
      <c r="L23" s="38">
        <f>SUM(L6:L22)</f>
        <v/>
      </c>
      <c r="M23" s="38">
        <f>SUM(M6:M22)</f>
        <v/>
      </c>
      <c r="N23" s="38">
        <f>SUM(N6:N22)</f>
        <v/>
      </c>
      <c r="O23" s="38">
        <f>SUM(O6:O22)</f>
        <v/>
      </c>
      <c r="P23" s="38">
        <f>SUM(P6:P22)</f>
        <v/>
      </c>
      <c r="Q23" s="38">
        <f>SUM(Q6:Q22)</f>
        <v/>
      </c>
      <c r="R23" s="38">
        <f>SUM(R6:R22)</f>
        <v/>
      </c>
      <c r="S23" s="38">
        <f>SUM(S6:S22)</f>
        <v/>
      </c>
      <c r="T23" s="38">
        <f>SUM(T6:T22)</f>
        <v/>
      </c>
      <c r="U23" s="38">
        <f>SUM(U6:U22)</f>
        <v/>
      </c>
      <c r="V23" s="38">
        <f>SUM(V6:V22)</f>
        <v/>
      </c>
      <c r="W23" s="38">
        <f>SUM(W6:W22)</f>
        <v/>
      </c>
      <c r="X23" s="38">
        <f>SUM(X6:X22)</f>
        <v/>
      </c>
      <c r="Y23" s="38">
        <f>SUM(Y6:Y22)</f>
        <v/>
      </c>
      <c r="Z23" s="38">
        <f>SUM(Z6:Z22)</f>
        <v/>
      </c>
      <c r="AA23" s="38">
        <f>SUM(AA6:AA22)</f>
        <v/>
      </c>
      <c r="AB23" s="38">
        <f>SUM(AB6:AB22)</f>
        <v/>
      </c>
      <c r="AC23" s="38">
        <f>SUM(AC6:AC22)</f>
        <v/>
      </c>
      <c r="AD23" s="38">
        <f>SUM(AD6:AD22)</f>
        <v/>
      </c>
      <c r="AE23" s="38">
        <f>SUM(AE6:AE22)</f>
        <v/>
      </c>
      <c r="AF23" s="38">
        <f>SUM(AF6:AF22)</f>
        <v/>
      </c>
      <c r="AG23" s="38">
        <f>SUM(AG6:AG22)</f>
        <v/>
      </c>
      <c r="AH23" s="38">
        <f>SUM(AH6:AH22)</f>
        <v/>
      </c>
      <c r="AI23" s="38">
        <f>SUM(AI6:AI22)</f>
        <v/>
      </c>
      <c r="AJ23" s="38">
        <f>SUM(AJ6:AJ22)</f>
        <v/>
      </c>
      <c r="AK23" s="38">
        <f>SUM(AK6:AK22)</f>
        <v/>
      </c>
      <c r="AL23" s="38">
        <f>SUM(AL6:AL22)</f>
        <v/>
      </c>
      <c r="AM23" s="38">
        <f>SUM(AM6:AM22)</f>
        <v/>
      </c>
      <c r="AN23" s="38">
        <f>SUM(AN6:AN22)</f>
        <v/>
      </c>
      <c r="AO23" s="38">
        <f>SUM(AO6:AO22)</f>
        <v/>
      </c>
      <c r="AP23" s="38">
        <f>SUM(AP6:AP22)</f>
        <v/>
      </c>
      <c r="AQ23" s="38">
        <f>SUM(AQ6:AQ22)</f>
        <v/>
      </c>
      <c r="AR23" s="38">
        <f>SUM(AR6:AR22)</f>
        <v/>
      </c>
      <c r="AS23" s="38">
        <f>SUM(AS6:AS22)</f>
        <v/>
      </c>
      <c r="AT23" s="38">
        <f>SUM(AT6:AT22)</f>
        <v/>
      </c>
      <c r="AU23" s="38">
        <f>SUM(AU6:AU22)</f>
        <v/>
      </c>
      <c r="AV23" s="38">
        <f>SUM(AV6:AV22)</f>
        <v/>
      </c>
      <c r="AW23" s="38">
        <f>SUM(AW6:AW22)</f>
        <v/>
      </c>
      <c r="AX23" s="38">
        <f>SUM(AX6:AX22)</f>
        <v/>
      </c>
      <c r="AY23" s="38">
        <f>SUM(AY6:AY22)</f>
        <v/>
      </c>
      <c r="AZ23" s="38">
        <f>SUM(AZ6:AZ22)</f>
        <v/>
      </c>
      <c r="BA23" s="38">
        <f>SUM(BA6:BA22)</f>
        <v/>
      </c>
    </row>
    <row r="24" ht="14.25" customHeight="1" s="214"/>
    <row r="25" ht="14.25" customHeight="1" s="214">
      <c r="A25" s="2" t="inlineStr">
        <is>
          <t>GEHÄLTER &amp; PERSONALKOSTEN</t>
        </is>
      </c>
    </row>
    <row r="26" ht="14.25" customHeight="1" s="214">
      <c r="A26" s="3" t="inlineStr">
        <is>
          <t>CEO Gehalt</t>
        </is>
      </c>
      <c r="B26" s="39">
        <f>B6/3 * (Inputs!$B$33 / 12) * (1 + Inputs!$B$48)^INT((COLUMNS($B$26:B26)-1) / 12)</f>
        <v/>
      </c>
      <c r="C26" s="39">
        <f>C6/3 * (Inputs!$B$33 / 12) * (1 + Inputs!$B$48)^INT((COLUMNS($B$26:C26)-1) / 12)</f>
        <v/>
      </c>
      <c r="D26" s="39">
        <f>D6/3 * (Inputs!$B$33 / 12) * (1 + Inputs!$B$48)^INT((COLUMNS($B$26:D26)-1) / 12)</f>
        <v/>
      </c>
      <c r="E26" s="39">
        <f>E6/3 * (Inputs!$B$33 / 12) * (1 + Inputs!$B$48)^INT((COLUMNS($B$26:E26)-1) / 12)</f>
        <v/>
      </c>
      <c r="F26" s="39">
        <f>F6/3 * (Inputs!$B$33 / 12) * (1 + Inputs!$B$48)^INT((COLUMNS($B$26:F26)-1) / 12)</f>
        <v/>
      </c>
      <c r="G26" s="39">
        <f>G6/3 * (Inputs!$B$33 / 12) * (1 + Inputs!$B$48)^INT((COLUMNS($B$26:G26)-1) / 12)</f>
        <v/>
      </c>
      <c r="H26" s="39">
        <f>H6/3 * (Inputs!$B$33 / 12) * (1 + Inputs!$B$48)^INT((COLUMNS($B$26:H26)-1) / 12)</f>
        <v/>
      </c>
      <c r="I26" s="39">
        <f>I6/3 * (Inputs!$B$33 / 12) * (1 + Inputs!$B$48)^INT((COLUMNS($B$26:I26)-1) / 12)</f>
        <v/>
      </c>
      <c r="J26" s="39">
        <f>J6/3 * (Inputs!$B$33 / 12) * (1 + Inputs!$B$48)^INT((COLUMNS($B$26:J26)-1) / 12)</f>
        <v/>
      </c>
      <c r="K26" s="39">
        <f>K6/3 * (Inputs!$B$33 / 12) * (1 + Inputs!$B$48)^INT((COLUMNS($B$26:K26)-1) / 12)</f>
        <v/>
      </c>
      <c r="L26" s="39">
        <f>L6/3 * (Inputs!$B$33 / 12) * (1 + Inputs!$B$48)^INT((COLUMNS($B$26:L26)-1) / 12)</f>
        <v/>
      </c>
      <c r="M26" s="39">
        <f>M6/3 * (Inputs!$B$33 / 12) * (1 + Inputs!$B$48)^INT((COLUMNS($B$26:M26)-1) / 12)</f>
        <v/>
      </c>
      <c r="N26" s="39">
        <f>N6/3 * (Inputs!$B$33 / 12) * (1 + Inputs!$B$48)^INT((COLUMNS($B$26:N26)-1) / 12)</f>
        <v/>
      </c>
      <c r="O26" s="39">
        <f>O6/3 * (Inputs!$B$33 / 12) * (1 + Inputs!$B$48)^INT((COLUMNS($B$26:O26)-1) / 12)</f>
        <v/>
      </c>
      <c r="P26" s="39">
        <f>P6/3 * (Inputs!$B$33 / 12) * (1 + Inputs!$B$48)^INT((COLUMNS($B$26:P26)-1) / 12)</f>
        <v/>
      </c>
      <c r="Q26" s="39">
        <f>Q6/3 * (Inputs!$B$33 / 12) * (1 + Inputs!$B$48)^INT((COLUMNS($B$26:Q26)-1) / 12)</f>
        <v/>
      </c>
      <c r="R26" s="39">
        <f>R6/3 * (Inputs!$B$33 / 12) * (1 + Inputs!$B$48)^INT((COLUMNS($B$26:R26)-1) / 12)</f>
        <v/>
      </c>
      <c r="S26" s="39">
        <f>S6/3 * (Inputs!$B$33 / 12) * (1 + Inputs!$B$48)^INT((COLUMNS($B$26:S26)-1) / 12)</f>
        <v/>
      </c>
      <c r="T26" s="39">
        <f>T6/3 * (Inputs!$B$33 / 12) * (1 + Inputs!$B$48)^INT((COLUMNS($B$26:T26)-1) / 12)</f>
        <v/>
      </c>
      <c r="U26" s="39">
        <f>U6/3 * (Inputs!$B$33 / 12) * (1 + Inputs!$B$48)^INT((COLUMNS($B$26:U26)-1) / 12)</f>
        <v/>
      </c>
      <c r="V26" s="39">
        <f>V6/3 * (Inputs!$B$33 / 12) * (1 + Inputs!$B$48)^INT((COLUMNS($B$26:V26)-1) / 12)</f>
        <v/>
      </c>
      <c r="W26" s="39">
        <f>W6/3 * (Inputs!$B$33 / 12) * (1 + Inputs!$B$48)^INT((COLUMNS($B$26:W26)-1) / 12)</f>
        <v/>
      </c>
      <c r="X26" s="39">
        <f>X6/3 * (Inputs!$B$33 / 12) * (1 + Inputs!$B$48)^INT((COLUMNS($B$26:X26)-1) / 12)</f>
        <v/>
      </c>
      <c r="Y26" s="39">
        <f>Y6/3 * (Inputs!$B$33 / 12) * (1 + Inputs!$B$48)^INT((COLUMNS($B$26:Y26)-1) / 12)</f>
        <v/>
      </c>
      <c r="Z26" s="39">
        <f>Z6/3 * (Inputs!$B$33 / 12) * (1 + Inputs!$B$48)^INT((COLUMNS($B$26:Z26)-1) / 12)</f>
        <v/>
      </c>
      <c r="AA26" s="39">
        <f>AA6/3 * (Inputs!$B$33 / 12) * (1 + Inputs!$B$48)^INT((COLUMNS($B$26:AA26)-1) / 12)</f>
        <v/>
      </c>
      <c r="AB26" s="39">
        <f>AB6/3 * (Inputs!$B$33 / 12) * (1 + Inputs!$B$48)^INT((COLUMNS($B$26:AB26)-1) / 12)</f>
        <v/>
      </c>
      <c r="AC26" s="39">
        <f>AC6/3 * (Inputs!$B$33 / 12) * (1 + Inputs!$B$48)^INT((COLUMNS($B$26:AC26)-1) / 12)</f>
        <v/>
      </c>
      <c r="AD26" s="39">
        <f>AD6/3 * (Inputs!$B$33 / 12) * (1 + Inputs!$B$48)^INT((COLUMNS($B$26:AD26)-1) / 12)</f>
        <v/>
      </c>
      <c r="AE26" s="39">
        <f>AE6/3 * (Inputs!$B$33 / 12) * (1 + Inputs!$B$48)^INT((COLUMNS($B$26:AE26)-1) / 12)</f>
        <v/>
      </c>
      <c r="AF26" s="39">
        <f>AF6/3 * (Inputs!$B$33 / 12) * (1 + Inputs!$B$48)^INT((COLUMNS($B$26:AF26)-1) / 12)</f>
        <v/>
      </c>
      <c r="AG26" s="39">
        <f>AG6/3 * (Inputs!$B$33 / 12) * (1 + Inputs!$B$48)^INT((COLUMNS($B$26:AG26)-1) / 12)</f>
        <v/>
      </c>
      <c r="AH26" s="39">
        <f>AH6/3 * (Inputs!$B$33 / 12) * (1 + Inputs!$B$48)^INT((COLUMNS($B$26:AH26)-1) / 12)</f>
        <v/>
      </c>
      <c r="AI26" s="39">
        <f>AI6/3 * (Inputs!$B$33 / 12) * (1 + Inputs!$B$48)^INT((COLUMNS($B$26:AI26)-1) / 12)</f>
        <v/>
      </c>
      <c r="AJ26" s="39">
        <f>AJ6/3 * (Inputs!$B$33 / 12) * (1 + Inputs!$B$48)^INT((COLUMNS($B$26:AJ26)-1) / 12)</f>
        <v/>
      </c>
      <c r="AK26" s="39">
        <f>AK6/3 * (Inputs!$B$33 / 12) * (1 + Inputs!$B$48)^INT((COLUMNS($B$26:AK26)-1) / 12)</f>
        <v/>
      </c>
      <c r="AL26" s="39">
        <f>AL6/3 * (Inputs!$B$33 / 12) * (1 + Inputs!$B$48)^INT((COLUMNS($B$26:AL26)-1) / 12)</f>
        <v/>
      </c>
      <c r="AM26" s="39">
        <f>AM6/3 * (Inputs!$B$33 / 12) * (1 + Inputs!$B$48)^INT((COLUMNS($B$26:AM26)-1) / 12)</f>
        <v/>
      </c>
      <c r="AN26" s="39">
        <f>AN6/3 * (Inputs!$B$33 / 12) * (1 + Inputs!$B$48)^INT((COLUMNS($B$26:AN26)-1) / 12)</f>
        <v/>
      </c>
      <c r="AO26" s="39">
        <f>AO6/3 * (Inputs!$B$33 / 12) * (1 + Inputs!$B$48)^INT((COLUMNS($B$26:AO26)-1) / 12)</f>
        <v/>
      </c>
      <c r="AP26" s="39">
        <f>AP6/3 * (Inputs!$B$33 / 12) * (1 + Inputs!$B$48)^INT((COLUMNS($B$26:AP26)-1) / 12)</f>
        <v/>
      </c>
      <c r="AQ26" s="39">
        <f>AQ6/3 * (Inputs!$B$33 / 12) * (1 + Inputs!$B$48)^INT((COLUMNS($B$26:AQ26)-1) / 12)</f>
        <v/>
      </c>
      <c r="AR26" s="39">
        <f>AR6/3 * (Inputs!$B$33 / 12) * (1 + Inputs!$B$48)^INT((COLUMNS($B$26:AR26)-1) / 12)</f>
        <v/>
      </c>
      <c r="AS26" s="39">
        <f>AS6/3 * (Inputs!$B$33 / 12) * (1 + Inputs!$B$48)^INT((COLUMNS($B$26:AS26)-1) / 12)</f>
        <v/>
      </c>
      <c r="AT26" s="39">
        <f>AT6/3 * (Inputs!$B$33 / 12) * (1 + Inputs!$B$48)^INT((COLUMNS($B$26:AT26)-1) / 12)</f>
        <v/>
      </c>
      <c r="AU26" s="39">
        <f>AU6/3 * (Inputs!$B$33 / 12) * (1 + Inputs!$B$48)^INT((COLUMNS($B$26:AU26)-1) / 12)</f>
        <v/>
      </c>
      <c r="AV26" s="39">
        <f>AV6/3 * (Inputs!$B$33 / 12) * (1 + Inputs!$B$48)^INT((COLUMNS($B$26:AV26)-1) / 12)</f>
        <v/>
      </c>
      <c r="AW26" s="39">
        <f>AW6/3 * (Inputs!$B$33 / 12) * (1 + Inputs!$B$48)^INT((COLUMNS($B$26:AW26)-1) / 12)</f>
        <v/>
      </c>
      <c r="AX26" s="39">
        <f>AX6/3 * (Inputs!$B$33 / 12) * (1 + Inputs!$B$48)^INT((COLUMNS($B$26:AX26)-1) / 12)</f>
        <v/>
      </c>
      <c r="AY26" s="39">
        <f>AY6/3 * (Inputs!$B$33 / 12) * (1 + Inputs!$B$48)^INT((COLUMNS($B$26:AY26)-1) / 12)</f>
        <v/>
      </c>
      <c r="AZ26" s="39">
        <f>AZ6/3 * (Inputs!$B$33 / 12) * (1 + Inputs!$B$48)^INT((COLUMNS($B$26:AZ26)-1) / 12)</f>
        <v/>
      </c>
      <c r="BA26" s="39">
        <f>BA6/3 * (Inputs!$B$33 / 12) * (1 + Inputs!$B$48)^INT((COLUMNS($B$26:BA26)-1) / 12)</f>
        <v/>
      </c>
    </row>
    <row r="27" ht="14.25" customHeight="1" s="214">
      <c r="A27" s="3" t="inlineStr">
        <is>
          <t>CTO Gehalt</t>
        </is>
      </c>
      <c r="B27" s="39">
        <f>B6/3 * (Inputs!$B$34 / 12) * (1 + Inputs!$B$48)^INT((COLUMNS($B$27:B27)-1) / 12)</f>
        <v/>
      </c>
      <c r="C27" s="39">
        <f>C6/3 * (Inputs!$B$34 / 12) * (1 + Inputs!$B$48)^INT((COLUMNS($B$27:C27)-1) / 12)</f>
        <v/>
      </c>
      <c r="D27" s="39">
        <f>D6/3 * (Inputs!$B$34 / 12) * (1 + Inputs!$B$48)^INT((COLUMNS($B$27:D27)-1) / 12)</f>
        <v/>
      </c>
      <c r="E27" s="39">
        <f>E6/3 * (Inputs!$B$34 / 12) * (1 + Inputs!$B$48)^INT((COLUMNS($B$27:E27)-1) / 12)</f>
        <v/>
      </c>
      <c r="F27" s="39">
        <f>F6/3 * (Inputs!$B$34 / 12) * (1 + Inputs!$B$48)^INT((COLUMNS($B$27:F27)-1) / 12)</f>
        <v/>
      </c>
      <c r="G27" s="39">
        <f>G6/3 * (Inputs!$B$34 / 12) * (1 + Inputs!$B$48)^INT((COLUMNS($B$27:G27)-1) / 12)</f>
        <v/>
      </c>
      <c r="H27" s="39">
        <f>H6/3 * (Inputs!$B$34 / 12) * (1 + Inputs!$B$48)^INT((COLUMNS($B$27:H27)-1) / 12)</f>
        <v/>
      </c>
      <c r="I27" s="39">
        <f>I6/3 * (Inputs!$B$34 / 12) * (1 + Inputs!$B$48)^INT((COLUMNS($B$27:I27)-1) / 12)</f>
        <v/>
      </c>
      <c r="J27" s="39">
        <f>J6/3 * (Inputs!$B$34 / 12) * (1 + Inputs!$B$48)^INT((COLUMNS($B$27:J27)-1) / 12)</f>
        <v/>
      </c>
      <c r="K27" s="39">
        <f>K6/3 * (Inputs!$B$34 / 12) * (1 + Inputs!$B$48)^INT((COLUMNS($B$27:K27)-1) / 12)</f>
        <v/>
      </c>
      <c r="L27" s="39">
        <f>L6/3 * (Inputs!$B$34 / 12) * (1 + Inputs!$B$48)^INT((COLUMNS($B$27:L27)-1) / 12)</f>
        <v/>
      </c>
      <c r="M27" s="39">
        <f>M6/3 * (Inputs!$B$34 / 12) * (1 + Inputs!$B$48)^INT((COLUMNS($B$27:M27)-1) / 12)</f>
        <v/>
      </c>
      <c r="N27" s="39">
        <f>N6/3 * (Inputs!$B$34 / 12) * (1 + Inputs!$B$48)^INT((COLUMNS($B$27:N27)-1) / 12)</f>
        <v/>
      </c>
      <c r="O27" s="39">
        <f>O6/3 * (Inputs!$B$34 / 12) * (1 + Inputs!$B$48)^INT((COLUMNS($B$27:O27)-1) / 12)</f>
        <v/>
      </c>
      <c r="P27" s="39">
        <f>P6/3 * (Inputs!$B$34 / 12) * (1 + Inputs!$B$48)^INT((COLUMNS($B$27:P27)-1) / 12)</f>
        <v/>
      </c>
      <c r="Q27" s="39">
        <f>Q6/3 * (Inputs!$B$34 / 12) * (1 + Inputs!$B$48)^INT((COLUMNS($B$27:Q27)-1) / 12)</f>
        <v/>
      </c>
      <c r="R27" s="39">
        <f>R6/3 * (Inputs!$B$34 / 12) * (1 + Inputs!$B$48)^INT((COLUMNS($B$27:R27)-1) / 12)</f>
        <v/>
      </c>
      <c r="S27" s="39">
        <f>S6/3 * (Inputs!$B$34 / 12) * (1 + Inputs!$B$48)^INT((COLUMNS($B$27:S27)-1) / 12)</f>
        <v/>
      </c>
      <c r="T27" s="39">
        <f>T6/3 * (Inputs!$B$34 / 12) * (1 + Inputs!$B$48)^INT((COLUMNS($B$27:T27)-1) / 12)</f>
        <v/>
      </c>
      <c r="U27" s="39">
        <f>U6/3 * (Inputs!$B$34 / 12) * (1 + Inputs!$B$48)^INT((COLUMNS($B$27:U27)-1) / 12)</f>
        <v/>
      </c>
      <c r="V27" s="39">
        <f>V6/3 * (Inputs!$B$34 / 12) * (1 + Inputs!$B$48)^INT((COLUMNS($B$27:V27)-1) / 12)</f>
        <v/>
      </c>
      <c r="W27" s="39">
        <f>W6/3 * (Inputs!$B$34 / 12) * (1 + Inputs!$B$48)^INT((COLUMNS($B$27:W27)-1) / 12)</f>
        <v/>
      </c>
      <c r="X27" s="39">
        <f>X6/3 * (Inputs!$B$34 / 12) * (1 + Inputs!$B$48)^INT((COLUMNS($B$27:X27)-1) / 12)</f>
        <v/>
      </c>
      <c r="Y27" s="39">
        <f>Y6/3 * (Inputs!$B$34 / 12) * (1 + Inputs!$B$48)^INT((COLUMNS($B$27:Y27)-1) / 12)</f>
        <v/>
      </c>
      <c r="Z27" s="39">
        <f>Z6/3 * (Inputs!$B$34 / 12) * (1 + Inputs!$B$48)^INT((COLUMNS($B$27:Z27)-1) / 12)</f>
        <v/>
      </c>
      <c r="AA27" s="39">
        <f>AA6/3 * (Inputs!$B$34 / 12) * (1 + Inputs!$B$48)^INT((COLUMNS($B$27:AA27)-1) / 12)</f>
        <v/>
      </c>
      <c r="AB27" s="39">
        <f>AB6/3 * (Inputs!$B$34 / 12) * (1 + Inputs!$B$48)^INT((COLUMNS($B$27:AB27)-1) / 12)</f>
        <v/>
      </c>
      <c r="AC27" s="39">
        <f>AC6/3 * (Inputs!$B$34 / 12) * (1 + Inputs!$B$48)^INT((COLUMNS($B$27:AC27)-1) / 12)</f>
        <v/>
      </c>
      <c r="AD27" s="39">
        <f>AD6/3 * (Inputs!$B$34 / 12) * (1 + Inputs!$B$48)^INT((COLUMNS($B$27:AD27)-1) / 12)</f>
        <v/>
      </c>
      <c r="AE27" s="39">
        <f>AE6/3 * (Inputs!$B$34 / 12) * (1 + Inputs!$B$48)^INT((COLUMNS($B$27:AE27)-1) / 12)</f>
        <v/>
      </c>
      <c r="AF27" s="39">
        <f>AF6/3 * (Inputs!$B$34 / 12) * (1 + Inputs!$B$48)^INT((COLUMNS($B$27:AF27)-1) / 12)</f>
        <v/>
      </c>
      <c r="AG27" s="39">
        <f>AG6/3 * (Inputs!$B$34 / 12) * (1 + Inputs!$B$48)^INT((COLUMNS($B$27:AG27)-1) / 12)</f>
        <v/>
      </c>
      <c r="AH27" s="39">
        <f>AH6/3 * (Inputs!$B$34 / 12) * (1 + Inputs!$B$48)^INT((COLUMNS($B$27:AH27)-1) / 12)</f>
        <v/>
      </c>
      <c r="AI27" s="39">
        <f>AI6/3 * (Inputs!$B$34 / 12) * (1 + Inputs!$B$48)^INT((COLUMNS($B$27:AI27)-1) / 12)</f>
        <v/>
      </c>
      <c r="AJ27" s="39">
        <f>AJ6/3 * (Inputs!$B$34 / 12) * (1 + Inputs!$B$48)^INT((COLUMNS($B$27:AJ27)-1) / 12)</f>
        <v/>
      </c>
      <c r="AK27" s="39">
        <f>AK6/3 * (Inputs!$B$34 / 12) * (1 + Inputs!$B$48)^INT((COLUMNS($B$27:AK27)-1) / 12)</f>
        <v/>
      </c>
      <c r="AL27" s="39">
        <f>AL6/3 * (Inputs!$B$34 / 12) * (1 + Inputs!$B$48)^INT((COLUMNS($B$27:AL27)-1) / 12)</f>
        <v/>
      </c>
      <c r="AM27" s="39">
        <f>AM6/3 * (Inputs!$B$34 / 12) * (1 + Inputs!$B$48)^INT((COLUMNS($B$27:AM27)-1) / 12)</f>
        <v/>
      </c>
      <c r="AN27" s="39">
        <f>AN6/3 * (Inputs!$B$34 / 12) * (1 + Inputs!$B$48)^INT((COLUMNS($B$27:AN27)-1) / 12)</f>
        <v/>
      </c>
      <c r="AO27" s="39">
        <f>AO6/3 * (Inputs!$B$34 / 12) * (1 + Inputs!$B$48)^INT((COLUMNS($B$27:AO27)-1) / 12)</f>
        <v/>
      </c>
      <c r="AP27" s="39">
        <f>AP6/3 * (Inputs!$B$34 / 12) * (1 + Inputs!$B$48)^INT((COLUMNS($B$27:AP27)-1) / 12)</f>
        <v/>
      </c>
      <c r="AQ27" s="39">
        <f>AQ6/3 * (Inputs!$B$34 / 12) * (1 + Inputs!$B$48)^INT((COLUMNS($B$27:AQ27)-1) / 12)</f>
        <v/>
      </c>
      <c r="AR27" s="39">
        <f>AR6/3 * (Inputs!$B$34 / 12) * (1 + Inputs!$B$48)^INT((COLUMNS($B$27:AR27)-1) / 12)</f>
        <v/>
      </c>
      <c r="AS27" s="39">
        <f>AS6/3 * (Inputs!$B$34 / 12) * (1 + Inputs!$B$48)^INT((COLUMNS($B$27:AS27)-1) / 12)</f>
        <v/>
      </c>
      <c r="AT27" s="39">
        <f>AT6/3 * (Inputs!$B$34 / 12) * (1 + Inputs!$B$48)^INT((COLUMNS($B$27:AT27)-1) / 12)</f>
        <v/>
      </c>
      <c r="AU27" s="39">
        <f>AU6/3 * (Inputs!$B$34 / 12) * (1 + Inputs!$B$48)^INT((COLUMNS($B$27:AU27)-1) / 12)</f>
        <v/>
      </c>
      <c r="AV27" s="39">
        <f>AV6/3 * (Inputs!$B$34 / 12) * (1 + Inputs!$B$48)^INT((COLUMNS($B$27:AV27)-1) / 12)</f>
        <v/>
      </c>
      <c r="AW27" s="39">
        <f>AW6/3 * (Inputs!$B$34 / 12) * (1 + Inputs!$B$48)^INT((COLUMNS($B$27:AW27)-1) / 12)</f>
        <v/>
      </c>
      <c r="AX27" s="39">
        <f>AX6/3 * (Inputs!$B$34 / 12) * (1 + Inputs!$B$48)^INT((COLUMNS($B$27:AX27)-1) / 12)</f>
        <v/>
      </c>
      <c r="AY27" s="39">
        <f>AY6/3 * (Inputs!$B$34 / 12) * (1 + Inputs!$B$48)^INT((COLUMNS($B$27:AY27)-1) / 12)</f>
        <v/>
      </c>
      <c r="AZ27" s="39">
        <f>AZ6/3 * (Inputs!$B$34 / 12) * (1 + Inputs!$B$48)^INT((COLUMNS($B$27:AZ27)-1) / 12)</f>
        <v/>
      </c>
      <c r="BA27" s="39">
        <f>BA6/3 * (Inputs!$B$34 / 12) * (1 + Inputs!$B$48)^INT((COLUMNS($B$27:BA27)-1) / 12)</f>
        <v/>
      </c>
    </row>
    <row r="28" ht="14.25" customHeight="1" s="214">
      <c r="A28" s="3" t="inlineStr">
        <is>
          <t>CCO Gehalt</t>
        </is>
      </c>
      <c r="B28" s="39">
        <f>B6/3 * (Inputs!$B$35 / 12) * (1 + Inputs!$B$48)^INT((COLUMNS($B$28:B28)-1) / 12)</f>
        <v/>
      </c>
      <c r="C28" s="39">
        <f>C6/3 * (Inputs!$B$35 / 12) * (1 + Inputs!$B$48)^INT((COLUMNS($B$28:C28)-1) / 12)</f>
        <v/>
      </c>
      <c r="D28" s="39">
        <f>D6/3 * (Inputs!$B$35 / 12) * (1 + Inputs!$B$48)^INT((COLUMNS($B$28:D28)-1) / 12)</f>
        <v/>
      </c>
      <c r="E28" s="39">
        <f>E6/3 * (Inputs!$B$35 / 12) * (1 + Inputs!$B$48)^INT((COLUMNS($B$28:E28)-1) / 12)</f>
        <v/>
      </c>
      <c r="F28" s="39">
        <f>F6/3 * (Inputs!$B$35 / 12) * (1 + Inputs!$B$48)^INT((COLUMNS($B$28:F28)-1) / 12)</f>
        <v/>
      </c>
      <c r="G28" s="39">
        <f>G6/3 * (Inputs!$B$35 / 12) * (1 + Inputs!$B$48)^INT((COLUMNS($B$28:G28)-1) / 12)</f>
        <v/>
      </c>
      <c r="H28" s="39">
        <f>H6/3 * (Inputs!$B$35 / 12) * (1 + Inputs!$B$48)^INT((COLUMNS($B$28:H28)-1) / 12)</f>
        <v/>
      </c>
      <c r="I28" s="39">
        <f>I6/3 * (Inputs!$B$35 / 12) * (1 + Inputs!$B$48)^INT((COLUMNS($B$28:I28)-1) / 12)</f>
        <v/>
      </c>
      <c r="J28" s="39">
        <f>J6/3 * (Inputs!$B$35 / 12) * (1 + Inputs!$B$48)^INT((COLUMNS($B$28:J28)-1) / 12)</f>
        <v/>
      </c>
      <c r="K28" s="39">
        <f>K6/3 * (Inputs!$B$35 / 12) * (1 + Inputs!$B$48)^INT((COLUMNS($B$28:K28)-1) / 12)</f>
        <v/>
      </c>
      <c r="L28" s="39">
        <f>L6/3 * (Inputs!$B$35 / 12) * (1 + Inputs!$B$48)^INT((COLUMNS($B$28:L28)-1) / 12)</f>
        <v/>
      </c>
      <c r="M28" s="39">
        <f>M6/3 * (Inputs!$B$35 / 12) * (1 + Inputs!$B$48)^INT((COLUMNS($B$28:M28)-1) / 12)</f>
        <v/>
      </c>
      <c r="N28" s="39">
        <f>N6/3 * (Inputs!$B$35 / 12) * (1 + Inputs!$B$48)^INT((COLUMNS($B$28:N28)-1) / 12)</f>
        <v/>
      </c>
      <c r="O28" s="39">
        <f>O6/3 * (Inputs!$B$35 / 12) * (1 + Inputs!$B$48)^INT((COLUMNS($B$28:O28)-1) / 12)</f>
        <v/>
      </c>
      <c r="P28" s="39">
        <f>P6/3 * (Inputs!$B$35 / 12) * (1 + Inputs!$B$48)^INT((COLUMNS($B$28:P28)-1) / 12)</f>
        <v/>
      </c>
      <c r="Q28" s="39">
        <f>Q6/3 * (Inputs!$B$35 / 12) * (1 + Inputs!$B$48)^INT((COLUMNS($B$28:Q28)-1) / 12)</f>
        <v/>
      </c>
      <c r="R28" s="39">
        <f>R6/3 * (Inputs!$B$35 / 12) * (1 + Inputs!$B$48)^INT((COLUMNS($B$28:R28)-1) / 12)</f>
        <v/>
      </c>
      <c r="S28" s="39">
        <f>S6/3 * (Inputs!$B$35 / 12) * (1 + Inputs!$B$48)^INT((COLUMNS($B$28:S28)-1) / 12)</f>
        <v/>
      </c>
      <c r="T28" s="39">
        <f>T6/3 * (Inputs!$B$35 / 12) * (1 + Inputs!$B$48)^INT((COLUMNS($B$28:T28)-1) / 12)</f>
        <v/>
      </c>
      <c r="U28" s="39">
        <f>U6/3 * (Inputs!$B$35 / 12) * (1 + Inputs!$B$48)^INT((COLUMNS($B$28:U28)-1) / 12)</f>
        <v/>
      </c>
      <c r="V28" s="39">
        <f>V6/3 * (Inputs!$B$35 / 12) * (1 + Inputs!$B$48)^INT((COLUMNS($B$28:V28)-1) / 12)</f>
        <v/>
      </c>
      <c r="W28" s="39">
        <f>W6/3 * (Inputs!$B$35 / 12) * (1 + Inputs!$B$48)^INT((COLUMNS($B$28:W28)-1) / 12)</f>
        <v/>
      </c>
      <c r="X28" s="39">
        <f>X6/3 * (Inputs!$B$35 / 12) * (1 + Inputs!$B$48)^INT((COLUMNS($B$28:X28)-1) / 12)</f>
        <v/>
      </c>
      <c r="Y28" s="39">
        <f>Y6/3 * (Inputs!$B$35 / 12) * (1 + Inputs!$B$48)^INT((COLUMNS($B$28:Y28)-1) / 12)</f>
        <v/>
      </c>
      <c r="Z28" s="39">
        <f>Z6/3 * (Inputs!$B$35 / 12) * (1 + Inputs!$B$48)^INT((COLUMNS($B$28:Z28)-1) / 12)</f>
        <v/>
      </c>
      <c r="AA28" s="39">
        <f>AA6/3 * (Inputs!$B$35 / 12) * (1 + Inputs!$B$48)^INT((COLUMNS($B$28:AA28)-1) / 12)</f>
        <v/>
      </c>
      <c r="AB28" s="39">
        <f>AB6/3 * (Inputs!$B$35 / 12) * (1 + Inputs!$B$48)^INT((COLUMNS($B$28:AB28)-1) / 12)</f>
        <v/>
      </c>
      <c r="AC28" s="39">
        <f>AC6/3 * (Inputs!$B$35 / 12) * (1 + Inputs!$B$48)^INT((COLUMNS($B$28:AC28)-1) / 12)</f>
        <v/>
      </c>
      <c r="AD28" s="39">
        <f>AD6/3 * (Inputs!$B$35 / 12) * (1 + Inputs!$B$48)^INT((COLUMNS($B$28:AD28)-1) / 12)</f>
        <v/>
      </c>
      <c r="AE28" s="39">
        <f>AE6/3 * (Inputs!$B$35 / 12) * (1 + Inputs!$B$48)^INT((COLUMNS($B$28:AE28)-1) / 12)</f>
        <v/>
      </c>
      <c r="AF28" s="39">
        <f>AF6/3 * (Inputs!$B$35 / 12) * (1 + Inputs!$B$48)^INT((COLUMNS($B$28:AF28)-1) / 12)</f>
        <v/>
      </c>
      <c r="AG28" s="39">
        <f>AG6/3 * (Inputs!$B$35 / 12) * (1 + Inputs!$B$48)^INT((COLUMNS($B$28:AG28)-1) / 12)</f>
        <v/>
      </c>
      <c r="AH28" s="39">
        <f>AH6/3 * (Inputs!$B$35 / 12) * (1 + Inputs!$B$48)^INT((COLUMNS($B$28:AH28)-1) / 12)</f>
        <v/>
      </c>
      <c r="AI28" s="39">
        <f>AI6/3 * (Inputs!$B$35 / 12) * (1 + Inputs!$B$48)^INT((COLUMNS($B$28:AI28)-1) / 12)</f>
        <v/>
      </c>
      <c r="AJ28" s="39">
        <f>AJ6/3 * (Inputs!$B$35 / 12) * (1 + Inputs!$B$48)^INT((COLUMNS($B$28:AJ28)-1) / 12)</f>
        <v/>
      </c>
      <c r="AK28" s="39">
        <f>AK6/3 * (Inputs!$B$35 / 12) * (1 + Inputs!$B$48)^INT((COLUMNS($B$28:AK28)-1) / 12)</f>
        <v/>
      </c>
      <c r="AL28" s="39">
        <f>AL6/3 * (Inputs!$B$35 / 12) * (1 + Inputs!$B$48)^INT((COLUMNS($B$28:AL28)-1) / 12)</f>
        <v/>
      </c>
      <c r="AM28" s="39">
        <f>AM6/3 * (Inputs!$B$35 / 12) * (1 + Inputs!$B$48)^INT((COLUMNS($B$28:AM28)-1) / 12)</f>
        <v/>
      </c>
      <c r="AN28" s="39">
        <f>AN6/3 * (Inputs!$B$35 / 12) * (1 + Inputs!$B$48)^INT((COLUMNS($B$28:AN28)-1) / 12)</f>
        <v/>
      </c>
      <c r="AO28" s="39">
        <f>AO6/3 * (Inputs!$B$35 / 12) * (1 + Inputs!$B$48)^INT((COLUMNS($B$28:AO28)-1) / 12)</f>
        <v/>
      </c>
      <c r="AP28" s="39">
        <f>AP6/3 * (Inputs!$B$35 / 12) * (1 + Inputs!$B$48)^INT((COLUMNS($B$28:AP28)-1) / 12)</f>
        <v/>
      </c>
      <c r="AQ28" s="39">
        <f>AQ6/3 * (Inputs!$B$35 / 12) * (1 + Inputs!$B$48)^INT((COLUMNS($B$28:AQ28)-1) / 12)</f>
        <v/>
      </c>
      <c r="AR28" s="39">
        <f>AR6/3 * (Inputs!$B$35 / 12) * (1 + Inputs!$B$48)^INT((COLUMNS($B$28:AR28)-1) / 12)</f>
        <v/>
      </c>
      <c r="AS28" s="39">
        <f>AS6/3 * (Inputs!$B$35 / 12) * (1 + Inputs!$B$48)^INT((COLUMNS($B$28:AS28)-1) / 12)</f>
        <v/>
      </c>
      <c r="AT28" s="39">
        <f>AT6/3 * (Inputs!$B$35 / 12) * (1 + Inputs!$B$48)^INT((COLUMNS($B$28:AT28)-1) / 12)</f>
        <v/>
      </c>
      <c r="AU28" s="39">
        <f>AU6/3 * (Inputs!$B$35 / 12) * (1 + Inputs!$B$48)^INT((COLUMNS($B$28:AU28)-1) / 12)</f>
        <v/>
      </c>
      <c r="AV28" s="39">
        <f>AV6/3 * (Inputs!$B$35 / 12) * (1 + Inputs!$B$48)^INT((COLUMNS($B$28:AV28)-1) / 12)</f>
        <v/>
      </c>
      <c r="AW28" s="39">
        <f>AW6/3 * (Inputs!$B$35 / 12) * (1 + Inputs!$B$48)^INT((COLUMNS($B$28:AW28)-1) / 12)</f>
        <v/>
      </c>
      <c r="AX28" s="39">
        <f>AX6/3 * (Inputs!$B$35 / 12) * (1 + Inputs!$B$48)^INT((COLUMNS($B$28:AX28)-1) / 12)</f>
        <v/>
      </c>
      <c r="AY28" s="39">
        <f>AY6/3 * (Inputs!$B$35 / 12) * (1 + Inputs!$B$48)^INT((COLUMNS($B$28:AY28)-1) / 12)</f>
        <v/>
      </c>
      <c r="AZ28" s="39">
        <f>AZ6/3 * (Inputs!$B$35 / 12) * (1 + Inputs!$B$48)^INT((COLUMNS($B$28:AZ28)-1) / 12)</f>
        <v/>
      </c>
      <c r="BA28" s="39">
        <f>BA6/3 * (Inputs!$B$35 / 12) * (1 + Inputs!$B$48)^INT((COLUMNS($B$28:BA28)-1) / 12)</f>
        <v/>
      </c>
    </row>
    <row r="29" ht="14.25" customHeight="1" s="214">
      <c r="A29" s="18" t="inlineStr">
        <is>
          <t>1. Software Developer Gehalt</t>
        </is>
      </c>
      <c r="B29" s="39">
        <f>B7 * (Inputs!$B$36 / 12) * (1 + Inputs!$B$48)^INT((COLUMNS($B$29:B29)-1) / 12)</f>
        <v/>
      </c>
      <c r="C29" s="39">
        <f>C7 * (Inputs!$B$36 / 12) * (1 + Inputs!$B$48)^INT((COLUMNS($B$29:C29)-1) / 12)</f>
        <v/>
      </c>
      <c r="D29" s="39">
        <f>D7 * (Inputs!$B$36 / 12) * (1 + Inputs!$B$48)^INT((COLUMNS($B$29:D29)-1) / 12)</f>
        <v/>
      </c>
      <c r="E29" s="39">
        <f>E7 * (Inputs!$B$36 / 12) * (1 + Inputs!$B$48)^INT((COLUMNS($B$29:E29)-1) / 12)</f>
        <v/>
      </c>
      <c r="F29" s="39">
        <f>F7 * (Inputs!$B$36 / 12) * (1 + Inputs!$B$48)^INT((COLUMNS($B$29:F29)-1) / 12)</f>
        <v/>
      </c>
      <c r="G29" s="39">
        <f>G7 * (Inputs!$B$36 / 12) * (1 + Inputs!$B$48)^INT((COLUMNS($B$29:G29)-1) / 12)</f>
        <v/>
      </c>
      <c r="H29" s="39">
        <f>H7 * (Inputs!$B$36 / 12) * (1 + Inputs!$B$48)^INT((COLUMNS($B$29:H29)-1) / 12)</f>
        <v/>
      </c>
      <c r="I29" s="39">
        <f>I7 * (Inputs!$B$36 / 12) * (1 + Inputs!$B$48)^INT((COLUMNS($B$29:I29)-1) / 12)</f>
        <v/>
      </c>
      <c r="J29" s="39">
        <f>J7 * (Inputs!$B$36 / 12) * (1 + Inputs!$B$48)^INT((COLUMNS($B$29:J29)-1) / 12)</f>
        <v/>
      </c>
      <c r="K29" s="39">
        <f>K7 * (Inputs!$B$36 / 12) * (1 + Inputs!$B$48)^INT((COLUMNS($B$29:K29)-1) / 12)</f>
        <v/>
      </c>
      <c r="L29" s="39">
        <f>L7 * (Inputs!$B$36 / 12) * (1 + Inputs!$B$48)^INT((COLUMNS($B$29:L29)-1) / 12)</f>
        <v/>
      </c>
      <c r="M29" s="39">
        <f>M7 * (Inputs!$B$36 / 12) * (1 + Inputs!$B$48)^INT((COLUMNS($B$29:M29)-1) / 12)</f>
        <v/>
      </c>
      <c r="N29" s="39">
        <f>N7 * (Inputs!$B$36 / 12) * (1 + Inputs!$B$48)^INT((COLUMNS($B$29:N29)-1) / 12)</f>
        <v/>
      </c>
      <c r="O29" s="39">
        <f>O7 * (Inputs!$B$36 / 12) * (1 + Inputs!$B$48)^INT((COLUMNS($B$29:O29)-1) / 12)</f>
        <v/>
      </c>
      <c r="P29" s="39">
        <f>P7 * (Inputs!$B$36 / 12) * (1 + Inputs!$B$48)^INT((COLUMNS($B$29:P29)-1) / 12)</f>
        <v/>
      </c>
      <c r="Q29" s="39">
        <f>Q7 * (Inputs!$B$36 / 12) * (1 + Inputs!$B$48)^INT((COLUMNS($B$29:Q29)-1) / 12)</f>
        <v/>
      </c>
      <c r="R29" s="39">
        <f>R7 * (Inputs!$B$36 / 12) * (1 + Inputs!$B$48)^INT((COLUMNS($B$29:R29)-1) / 12)</f>
        <v/>
      </c>
      <c r="S29" s="39">
        <f>S7 * (Inputs!$B$36 / 12) * (1 + Inputs!$B$48)^INT((COLUMNS($B$29:S29)-1) / 12)</f>
        <v/>
      </c>
      <c r="T29" s="39">
        <f>T7 * (Inputs!$B$36 / 12) * (1 + Inputs!$B$48)^INT((COLUMNS($B$29:T29)-1) / 12)</f>
        <v/>
      </c>
      <c r="U29" s="39">
        <f>U7 * (Inputs!$B$36 / 12) * (1 + Inputs!$B$48)^INT((COLUMNS($B$29:U29)-1) / 12)</f>
        <v/>
      </c>
      <c r="V29" s="39">
        <f>V7 * (Inputs!$B$36 / 12) * (1 + Inputs!$B$48)^INT((COLUMNS($B$29:V29)-1) / 12)</f>
        <v/>
      </c>
      <c r="W29" s="39">
        <f>W7 * (Inputs!$B$36 / 12) * (1 + Inputs!$B$48)^INT((COLUMNS($B$29:W29)-1) / 12)</f>
        <v/>
      </c>
      <c r="X29" s="39">
        <f>X7 * (Inputs!$B$36 / 12) * (1 + Inputs!$B$48)^INT((COLUMNS($B$29:X29)-1) / 12)</f>
        <v/>
      </c>
      <c r="Y29" s="39">
        <f>Y7 * (Inputs!$B$36 / 12) * (1 + Inputs!$B$48)^INT((COLUMNS($B$29:Y29)-1) / 12)</f>
        <v/>
      </c>
      <c r="Z29" s="39">
        <f>Z7 * (Inputs!$B$36 / 12) * (1 + Inputs!$B$48)^INT((COLUMNS($B$29:Z29)-1) / 12)</f>
        <v/>
      </c>
      <c r="AA29" s="39">
        <f>AA7 * (Inputs!$B$36 / 12) * (1 + Inputs!$B$48)^INT((COLUMNS($B$29:AA29)-1) / 12)</f>
        <v/>
      </c>
      <c r="AB29" s="39">
        <f>AB7 * (Inputs!$B$36 / 12) * (1 + Inputs!$B$48)^INT((COLUMNS($B$29:AB29)-1) / 12)</f>
        <v/>
      </c>
      <c r="AC29" s="39">
        <f>AC7 * (Inputs!$B$36 / 12) * (1 + Inputs!$B$48)^INT((COLUMNS($B$29:AC29)-1) / 12)</f>
        <v/>
      </c>
      <c r="AD29" s="39">
        <f>AD7 * (Inputs!$B$36 / 12) * (1 + Inputs!$B$48)^INT((COLUMNS($B$29:AD29)-1) / 12)</f>
        <v/>
      </c>
      <c r="AE29" s="39">
        <f>AE7 * (Inputs!$B$36 / 12) * (1 + Inputs!$B$48)^INT((COLUMNS($B$29:AE29)-1) / 12)</f>
        <v/>
      </c>
      <c r="AF29" s="39">
        <f>AF7 * (Inputs!$B$36 / 12) * (1 + Inputs!$B$48)^INT((COLUMNS($B$29:AF29)-1) / 12)</f>
        <v/>
      </c>
      <c r="AG29" s="39">
        <f>AG7 * (Inputs!$B$36 / 12) * (1 + Inputs!$B$48)^INT((COLUMNS($B$29:AG29)-1) / 12)</f>
        <v/>
      </c>
      <c r="AH29" s="39">
        <f>AH7 * (Inputs!$B$36 / 12) * (1 + Inputs!$B$48)^INT((COLUMNS($B$29:AH29)-1) / 12)</f>
        <v/>
      </c>
      <c r="AI29" s="39">
        <f>AI7 * (Inputs!$B$36 / 12) * (1 + Inputs!$B$48)^INT((COLUMNS($B$29:AI29)-1) / 12)</f>
        <v/>
      </c>
      <c r="AJ29" s="39">
        <f>AJ7 * (Inputs!$B$36 / 12) * (1 + Inputs!$B$48)^INT((COLUMNS($B$29:AJ29)-1) / 12)</f>
        <v/>
      </c>
      <c r="AK29" s="39">
        <f>AK7 * (Inputs!$B$36 / 12) * (1 + Inputs!$B$48)^INT((COLUMNS($B$29:AK29)-1) / 12)</f>
        <v/>
      </c>
      <c r="AL29" s="39">
        <f>AL7 * (Inputs!$B$36 / 12) * (1 + Inputs!$B$48)^INT((COLUMNS($B$29:AL29)-1) / 12)</f>
        <v/>
      </c>
      <c r="AM29" s="39">
        <f>AM7 * (Inputs!$B$36 / 12) * (1 + Inputs!$B$48)^INT((COLUMNS($B$29:AM29)-1) / 12)</f>
        <v/>
      </c>
      <c r="AN29" s="39">
        <f>AN7 * (Inputs!$B$36 / 12) * (1 + Inputs!$B$48)^INT((COLUMNS($B$29:AN29)-1) / 12)</f>
        <v/>
      </c>
      <c r="AO29" s="39">
        <f>AO7 * (Inputs!$B$36 / 12) * (1 + Inputs!$B$48)^INT((COLUMNS($B$29:AO29)-1) / 12)</f>
        <v/>
      </c>
      <c r="AP29" s="39">
        <f>AP7 * (Inputs!$B$36 / 12) * (1 + Inputs!$B$48)^INT((COLUMNS($B$29:AP29)-1) / 12)</f>
        <v/>
      </c>
      <c r="AQ29" s="39">
        <f>AQ7 * (Inputs!$B$36 / 12) * (1 + Inputs!$B$48)^INT((COLUMNS($B$29:AQ29)-1) / 12)</f>
        <v/>
      </c>
      <c r="AR29" s="39">
        <f>AR7 * (Inputs!$B$36 / 12) * (1 + Inputs!$B$48)^INT((COLUMNS($B$29:AR29)-1) / 12)</f>
        <v/>
      </c>
      <c r="AS29" s="39">
        <f>AS7 * (Inputs!$B$36 / 12) * (1 + Inputs!$B$48)^INT((COLUMNS($B$29:AS29)-1) / 12)</f>
        <v/>
      </c>
      <c r="AT29" s="39">
        <f>AT7 * (Inputs!$B$36 / 12) * (1 + Inputs!$B$48)^INT((COLUMNS($B$29:AT29)-1) / 12)</f>
        <v/>
      </c>
      <c r="AU29" s="39">
        <f>AU7 * (Inputs!$B$36 / 12) * (1 + Inputs!$B$48)^INT((COLUMNS($B$29:AU29)-1) / 12)</f>
        <v/>
      </c>
      <c r="AV29" s="39">
        <f>AV7 * (Inputs!$B$36 / 12) * (1 + Inputs!$B$48)^INT((COLUMNS($B$29:AV29)-1) / 12)</f>
        <v/>
      </c>
      <c r="AW29" s="39">
        <f>AW7 * (Inputs!$B$36 / 12) * (1 + Inputs!$B$48)^INT((COLUMNS($B$29:AW29)-1) / 12)</f>
        <v/>
      </c>
      <c r="AX29" s="39">
        <f>AX7 * (Inputs!$B$36 / 12) * (1 + Inputs!$B$48)^INT((COLUMNS($B$29:AX29)-1) / 12)</f>
        <v/>
      </c>
      <c r="AY29" s="39">
        <f>AY7 * (Inputs!$B$36 / 12) * (1 + Inputs!$B$48)^INT((COLUMNS($B$29:AY29)-1) / 12)</f>
        <v/>
      </c>
      <c r="AZ29" s="39">
        <f>AZ7 * (Inputs!$B$36 / 12) * (1 + Inputs!$B$48)^INT((COLUMNS($B$29:AZ29)-1) / 12)</f>
        <v/>
      </c>
      <c r="BA29" s="39">
        <f>BA7 * (Inputs!$B$36 / 12) * (1 + Inputs!$B$48)^INT((COLUMNS($B$29:BA29)-1) / 12)</f>
        <v/>
      </c>
    </row>
    <row r="30" ht="14.25" customHeight="1" s="214">
      <c r="A30" s="18" t="inlineStr">
        <is>
          <t>2. Software Developer Gehalt</t>
        </is>
      </c>
      <c r="B30" s="39">
        <f>B8 * (Inputs!$B$36 / 12) * (1 + Inputs!$B$48)^INT((COLUMNS($B$30:B30)-1) / 12)</f>
        <v/>
      </c>
      <c r="C30" s="39">
        <f>C8 * (Inputs!$B$36 / 12) * (1 + Inputs!$B$48)^INT((COLUMNS($B$30:C30)-1) / 12)</f>
        <v/>
      </c>
      <c r="D30" s="39">
        <f>D8 * (Inputs!$B$36 / 12) * (1 + Inputs!$B$48)^INT((COLUMNS($B$30:D30)-1) / 12)</f>
        <v/>
      </c>
      <c r="E30" s="39">
        <f>E8 * (Inputs!$B$36 / 12) * (1 + Inputs!$B$48)^INT((COLUMNS($B$30:E30)-1) / 12)</f>
        <v/>
      </c>
      <c r="F30" s="39">
        <f>F8 * (Inputs!$B$36 / 12) * (1 + Inputs!$B$48)^INT((COLUMNS($B$30:F30)-1) / 12)</f>
        <v/>
      </c>
      <c r="G30" s="39">
        <f>G8 * (Inputs!$B$36 / 12) * (1 + Inputs!$B$48)^INT((COLUMNS($B$30:G30)-1) / 12)</f>
        <v/>
      </c>
      <c r="H30" s="39">
        <f>H8 * (Inputs!$B$36 / 12) * (1 + Inputs!$B$48)^INT((COLUMNS($B$30:H30)-1) / 12)</f>
        <v/>
      </c>
      <c r="I30" s="39">
        <f>I8 * (Inputs!$B$36 / 12) * (1 + Inputs!$B$48)^INT((COLUMNS($B$30:I30)-1) / 12)</f>
        <v/>
      </c>
      <c r="J30" s="39">
        <f>J8 * (Inputs!$B$36 / 12) * (1 + Inputs!$B$48)^INT((COLUMNS($B$30:J30)-1) / 12)</f>
        <v/>
      </c>
      <c r="K30" s="39">
        <f>K8 * (Inputs!$B$36 / 12) * (1 + Inputs!$B$48)^INT((COLUMNS($B$30:K30)-1) / 12)</f>
        <v/>
      </c>
      <c r="L30" s="39">
        <f>L8 * (Inputs!$B$36 / 12) * (1 + Inputs!$B$48)^INT((COLUMNS($B$30:L30)-1) / 12)</f>
        <v/>
      </c>
      <c r="M30" s="39">
        <f>M8 * (Inputs!$B$36 / 12) * (1 + Inputs!$B$48)^INT((COLUMNS($B$30:M30)-1) / 12)</f>
        <v/>
      </c>
      <c r="N30" s="39">
        <f>N8 * (Inputs!$B$36 / 12) * (1 + Inputs!$B$48)^INT((COLUMNS($B$30:N30)-1) / 12)</f>
        <v/>
      </c>
      <c r="O30" s="39">
        <f>O8 * (Inputs!$B$36 / 12) * (1 + Inputs!$B$48)^INT((COLUMNS($B$30:O30)-1) / 12)</f>
        <v/>
      </c>
      <c r="P30" s="39">
        <f>P8 * (Inputs!$B$36 / 12) * (1 + Inputs!$B$48)^INT((COLUMNS($B$30:P30)-1) / 12)</f>
        <v/>
      </c>
      <c r="Q30" s="39">
        <f>Q8 * (Inputs!$B$36 / 12) * (1 + Inputs!$B$48)^INT((COLUMNS($B$30:Q30)-1) / 12)</f>
        <v/>
      </c>
      <c r="R30" s="39">
        <f>R8 * (Inputs!$B$36 / 12) * (1 + Inputs!$B$48)^INT((COLUMNS($B$30:R30)-1) / 12)</f>
        <v/>
      </c>
      <c r="S30" s="39">
        <f>S8 * (Inputs!$B$36 / 12) * (1 + Inputs!$B$48)^INT((COLUMNS($B$30:S30)-1) / 12)</f>
        <v/>
      </c>
      <c r="T30" s="39">
        <f>T8 * (Inputs!$B$36 / 12) * (1 + Inputs!$B$48)^INT((COLUMNS($B$30:T30)-1) / 12)</f>
        <v/>
      </c>
      <c r="U30" s="39">
        <f>U8 * (Inputs!$B$36 / 12) * (1 + Inputs!$B$48)^INT((COLUMNS($B$30:U30)-1) / 12)</f>
        <v/>
      </c>
      <c r="V30" s="39">
        <f>V8 * (Inputs!$B$36 / 12) * (1 + Inputs!$B$48)^INT((COLUMNS($B$30:V30)-1) / 12)</f>
        <v/>
      </c>
      <c r="W30" s="39">
        <f>W8 * (Inputs!$B$36 / 12) * (1 + Inputs!$B$48)^INT((COLUMNS($B$30:W30)-1) / 12)</f>
        <v/>
      </c>
      <c r="X30" s="39">
        <f>X8 * (Inputs!$B$36 / 12) * (1 + Inputs!$B$48)^INT((COLUMNS($B$30:X30)-1) / 12)</f>
        <v/>
      </c>
      <c r="Y30" s="39">
        <f>Y8 * (Inputs!$B$36 / 12) * (1 + Inputs!$B$48)^INT((COLUMNS($B$30:Y30)-1) / 12)</f>
        <v/>
      </c>
      <c r="Z30" s="39">
        <f>Z8 * (Inputs!$B$36 / 12) * (1 + Inputs!$B$48)^INT((COLUMNS($B$30:Z30)-1) / 12)</f>
        <v/>
      </c>
      <c r="AA30" s="39">
        <f>AA8 * (Inputs!$B$36 / 12) * (1 + Inputs!$B$48)^INT((COLUMNS($B$30:AA30)-1) / 12)</f>
        <v/>
      </c>
      <c r="AB30" s="39">
        <f>AB8 * (Inputs!$B$36 / 12) * (1 + Inputs!$B$48)^INT((COLUMNS($B$30:AB30)-1) / 12)</f>
        <v/>
      </c>
      <c r="AC30" s="39">
        <f>AC8 * (Inputs!$B$36 / 12) * (1 + Inputs!$B$48)^INT((COLUMNS($B$30:AC30)-1) / 12)</f>
        <v/>
      </c>
      <c r="AD30" s="39">
        <f>AD8 * (Inputs!$B$36 / 12) * (1 + Inputs!$B$48)^INT((COLUMNS($B$30:AD30)-1) / 12)</f>
        <v/>
      </c>
      <c r="AE30" s="39">
        <f>AE8 * (Inputs!$B$36 / 12) * (1 + Inputs!$B$48)^INT((COLUMNS($B$30:AE30)-1) / 12)</f>
        <v/>
      </c>
      <c r="AF30" s="39">
        <f>AF8 * (Inputs!$B$36 / 12) * (1 + Inputs!$B$48)^INT((COLUMNS($B$30:AF30)-1) / 12)</f>
        <v/>
      </c>
      <c r="AG30" s="39">
        <f>AG8 * (Inputs!$B$36 / 12) * (1 + Inputs!$B$48)^INT((COLUMNS($B$30:AG30)-1) / 12)</f>
        <v/>
      </c>
      <c r="AH30" s="39">
        <f>AH8 * (Inputs!$B$36 / 12) * (1 + Inputs!$B$48)^INT((COLUMNS($B$30:AH30)-1) / 12)</f>
        <v/>
      </c>
      <c r="AI30" s="39">
        <f>AI8 * (Inputs!$B$36 / 12) * (1 + Inputs!$B$48)^INT((COLUMNS($B$30:AI30)-1) / 12)</f>
        <v/>
      </c>
      <c r="AJ30" s="39">
        <f>AJ8 * (Inputs!$B$36 / 12) * (1 + Inputs!$B$48)^INT((COLUMNS($B$30:AJ30)-1) / 12)</f>
        <v/>
      </c>
      <c r="AK30" s="39">
        <f>AK8 * (Inputs!$B$36 / 12) * (1 + Inputs!$B$48)^INT((COLUMNS($B$30:AK30)-1) / 12)</f>
        <v/>
      </c>
      <c r="AL30" s="39">
        <f>AL8 * (Inputs!$B$36 / 12) * (1 + Inputs!$B$48)^INT((COLUMNS($B$30:AL30)-1) / 12)</f>
        <v/>
      </c>
      <c r="AM30" s="39">
        <f>AM8 * (Inputs!$B$36 / 12) * (1 + Inputs!$B$48)^INT((COLUMNS($B$30:AM30)-1) / 12)</f>
        <v/>
      </c>
      <c r="AN30" s="39">
        <f>AN8 * (Inputs!$B$36 / 12) * (1 + Inputs!$B$48)^INT((COLUMNS($B$30:AN30)-1) / 12)</f>
        <v/>
      </c>
      <c r="AO30" s="39">
        <f>AO8 * (Inputs!$B$36 / 12) * (1 + Inputs!$B$48)^INT((COLUMNS($B$30:AO30)-1) / 12)</f>
        <v/>
      </c>
      <c r="AP30" s="39">
        <f>AP8 * (Inputs!$B$36 / 12) * (1 + Inputs!$B$48)^INT((COLUMNS($B$30:AP30)-1) / 12)</f>
        <v/>
      </c>
      <c r="AQ30" s="39">
        <f>AQ8 * (Inputs!$B$36 / 12) * (1 + Inputs!$B$48)^INT((COLUMNS($B$30:AQ30)-1) / 12)</f>
        <v/>
      </c>
      <c r="AR30" s="39">
        <f>AR8 * (Inputs!$B$36 / 12) * (1 + Inputs!$B$48)^INT((COLUMNS($B$30:AR30)-1) / 12)</f>
        <v/>
      </c>
      <c r="AS30" s="39">
        <f>AS8 * (Inputs!$B$36 / 12) * (1 + Inputs!$B$48)^INT((COLUMNS($B$30:AS30)-1) / 12)</f>
        <v/>
      </c>
      <c r="AT30" s="39">
        <f>AT8 * (Inputs!$B$36 / 12) * (1 + Inputs!$B$48)^INT((COLUMNS($B$30:AT30)-1) / 12)</f>
        <v/>
      </c>
      <c r="AU30" s="39">
        <f>AU8 * (Inputs!$B$36 / 12) * (1 + Inputs!$B$48)^INT((COLUMNS($B$30:AU30)-1) / 12)</f>
        <v/>
      </c>
      <c r="AV30" s="39">
        <f>AV8 * (Inputs!$B$36 / 12) * (1 + Inputs!$B$48)^INT((COLUMNS($B$30:AV30)-1) / 12)</f>
        <v/>
      </c>
      <c r="AW30" s="39">
        <f>AW8 * (Inputs!$B$36 / 12) * (1 + Inputs!$B$48)^INT((COLUMNS($B$30:AW30)-1) / 12)</f>
        <v/>
      </c>
      <c r="AX30" s="39">
        <f>AX8 * (Inputs!$B$36 / 12) * (1 + Inputs!$B$48)^INT((COLUMNS($B$30:AX30)-1) / 12)</f>
        <v/>
      </c>
      <c r="AY30" s="39">
        <f>AY8 * (Inputs!$B$36 / 12) * (1 + Inputs!$B$48)^INT((COLUMNS($B$30:AY30)-1) / 12)</f>
        <v/>
      </c>
      <c r="AZ30" s="39">
        <f>AZ8 * (Inputs!$B$36 / 12) * (1 + Inputs!$B$48)^INT((COLUMNS($B$30:AZ30)-1) / 12)</f>
        <v/>
      </c>
      <c r="BA30" s="39">
        <f>BA8 * (Inputs!$B$36 / 12) * (1 + Inputs!$B$48)^INT((COLUMNS($B$30:BA30)-1) / 12)</f>
        <v/>
      </c>
    </row>
    <row r="31" ht="14.25" customHeight="1" s="214">
      <c r="A31" s="18" t="inlineStr">
        <is>
          <t>1. Junior Software Developer Gehalt</t>
        </is>
      </c>
      <c r="B31" s="39">
        <f>B9 * (Inputs!$B$37 / 12) * (1 + Inputs!$B$48)^INT((COLUMNS($B$31:B31)-1) / 12)</f>
        <v/>
      </c>
      <c r="C31" s="39">
        <f>C9 * (Inputs!$B$37 / 12) * (1 + Inputs!$B$48)^INT((COLUMNS($B$31:C31)-1) / 12)</f>
        <v/>
      </c>
      <c r="D31" s="39">
        <f>D9 * (Inputs!$B$37 / 12) * (1 + Inputs!$B$48)^INT((COLUMNS($B$31:D31)-1) / 12)</f>
        <v/>
      </c>
      <c r="E31" s="39">
        <f>E9 * (Inputs!$B$37 / 12) * (1 + Inputs!$B$48)^INT((COLUMNS($B$31:E31)-1) / 12)</f>
        <v/>
      </c>
      <c r="F31" s="39">
        <f>F9 * (Inputs!$B$37 / 12) * (1 + Inputs!$B$48)^INT((COLUMNS($B$31:F31)-1) / 12)</f>
        <v/>
      </c>
      <c r="G31" s="39">
        <f>G9 * (Inputs!$B$37 / 12) * (1 + Inputs!$B$48)^INT((COLUMNS($B$31:G31)-1) / 12)</f>
        <v/>
      </c>
      <c r="H31" s="39">
        <f>H9 * (Inputs!$B$37 / 12) * (1 + Inputs!$B$48)^INT((COLUMNS($B$31:H31)-1) / 12)</f>
        <v/>
      </c>
      <c r="I31" s="39">
        <f>I9 * (Inputs!$B$37 / 12) * (1 + Inputs!$B$48)^INT((COLUMNS($B$31:I31)-1) / 12)</f>
        <v/>
      </c>
      <c r="J31" s="39">
        <f>J9 * (Inputs!$B$37 / 12) * (1 + Inputs!$B$48)^INT((COLUMNS($B$31:J31)-1) / 12)</f>
        <v/>
      </c>
      <c r="K31" s="39">
        <f>K9 * (Inputs!$B$37 / 12) * (1 + Inputs!$B$48)^INT((COLUMNS($B$31:K31)-1) / 12)</f>
        <v/>
      </c>
      <c r="L31" s="39">
        <f>L9 * (Inputs!$B$37 / 12) * (1 + Inputs!$B$48)^INT((COLUMNS($B$31:L31)-1) / 12)</f>
        <v/>
      </c>
      <c r="M31" s="39">
        <f>M9 * (Inputs!$B$37 / 12) * (1 + Inputs!$B$48)^INT((COLUMNS($B$31:M31)-1) / 12)</f>
        <v/>
      </c>
      <c r="N31" s="39">
        <f>N9 * (Inputs!$B$37 / 12) * (1 + Inputs!$B$48)^INT((COLUMNS($B$31:N31)-1) / 12)</f>
        <v/>
      </c>
      <c r="O31" s="39">
        <f>O9 * (Inputs!$B$37 / 12) * (1 + Inputs!$B$48)^INT((COLUMNS($B$31:O31)-1) / 12)</f>
        <v/>
      </c>
      <c r="P31" s="39">
        <f>P9 * (Inputs!$B$37 / 12) * (1 + Inputs!$B$48)^INT((COLUMNS($B$31:P31)-1) / 12)</f>
        <v/>
      </c>
      <c r="Q31" s="39">
        <f>Q9 * (Inputs!$B$37 / 12) * (1 + Inputs!$B$48)^INT((COLUMNS($B$31:Q31)-1) / 12)</f>
        <v/>
      </c>
      <c r="R31" s="39">
        <f>R9 * (Inputs!$B$37 / 12) * (1 + Inputs!$B$48)^INT((COLUMNS($B$31:R31)-1) / 12)</f>
        <v/>
      </c>
      <c r="S31" s="39">
        <f>S9 * (Inputs!$B$37 / 12) * (1 + Inputs!$B$48)^INT((COLUMNS($B$31:S31)-1) / 12)</f>
        <v/>
      </c>
      <c r="T31" s="39">
        <f>T9 * (Inputs!$B$37 / 12) * (1 + Inputs!$B$48)^INT((COLUMNS($B$31:T31)-1) / 12)</f>
        <v/>
      </c>
      <c r="U31" s="39">
        <f>U9 * (Inputs!$B$37 / 12) * (1 + Inputs!$B$48)^INT((COLUMNS($B$31:U31)-1) / 12)</f>
        <v/>
      </c>
      <c r="V31" s="39">
        <f>V9 * (Inputs!$B$37 / 12) * (1 + Inputs!$B$48)^INT((COLUMNS($B$31:V31)-1) / 12)</f>
        <v/>
      </c>
      <c r="W31" s="39">
        <f>W9 * (Inputs!$B$37 / 12) * (1 + Inputs!$B$48)^INT((COLUMNS($B$31:W31)-1) / 12)</f>
        <v/>
      </c>
      <c r="X31" s="39">
        <f>X9 * (Inputs!$B$37 / 12) * (1 + Inputs!$B$48)^INT((COLUMNS($B$31:X31)-1) / 12)</f>
        <v/>
      </c>
      <c r="Y31" s="39">
        <f>Y9 * (Inputs!$B$37 / 12) * (1 + Inputs!$B$48)^INT((COLUMNS($B$31:Y31)-1) / 12)</f>
        <v/>
      </c>
      <c r="Z31" s="39">
        <f>Z9 * (Inputs!$B$37 / 12) * (1 + Inputs!$B$48)^INT((COLUMNS($B$31:Z31)-1) / 12)</f>
        <v/>
      </c>
      <c r="AA31" s="39">
        <f>AA9 * (Inputs!$B$37 / 12) * (1 + Inputs!$B$48)^INT((COLUMNS($B$31:AA31)-1) / 12)</f>
        <v/>
      </c>
      <c r="AB31" s="39">
        <f>AB9 * (Inputs!$B$37 / 12) * (1 + Inputs!$B$48)^INT((COLUMNS($B$31:AB31)-1) / 12)</f>
        <v/>
      </c>
      <c r="AC31" s="39">
        <f>AC9 * (Inputs!$B$37 / 12) * (1 + Inputs!$B$48)^INT((COLUMNS($B$31:AC31)-1) / 12)</f>
        <v/>
      </c>
      <c r="AD31" s="39">
        <f>AD9 * (Inputs!$B$37 / 12) * (1 + Inputs!$B$48)^INT((COLUMNS($B$31:AD31)-1) / 12)</f>
        <v/>
      </c>
      <c r="AE31" s="39">
        <f>AE9 * (Inputs!$B$37 / 12) * (1 + Inputs!$B$48)^INT((COLUMNS($B$31:AE31)-1) / 12)</f>
        <v/>
      </c>
      <c r="AF31" s="39">
        <f>AF9 * (Inputs!$B$37 / 12) * (1 + Inputs!$B$48)^INT((COLUMNS($B$31:AF31)-1) / 12)</f>
        <v/>
      </c>
      <c r="AG31" s="39">
        <f>AG9 * (Inputs!$B$37 / 12) * (1 + Inputs!$B$48)^INT((COLUMNS($B$31:AG31)-1) / 12)</f>
        <v/>
      </c>
      <c r="AH31" s="39">
        <f>AH9 * (Inputs!$B$37 / 12) * (1 + Inputs!$B$48)^INT((COLUMNS($B$31:AH31)-1) / 12)</f>
        <v/>
      </c>
      <c r="AI31" s="39">
        <f>AI9 * (Inputs!$B$37 / 12) * (1 + Inputs!$B$48)^INT((COLUMNS($B$31:AI31)-1) / 12)</f>
        <v/>
      </c>
      <c r="AJ31" s="39">
        <f>AJ9 * (Inputs!$B$37 / 12) * (1 + Inputs!$B$48)^INT((COLUMNS($B$31:AJ31)-1) / 12)</f>
        <v/>
      </c>
      <c r="AK31" s="39">
        <f>AK9 * (Inputs!$B$37 / 12) * (1 + Inputs!$B$48)^INT((COLUMNS($B$31:AK31)-1) / 12)</f>
        <v/>
      </c>
      <c r="AL31" s="39">
        <f>AL9 * (Inputs!$B$37 / 12) * (1 + Inputs!$B$48)^INT((COLUMNS($B$31:AL31)-1) / 12)</f>
        <v/>
      </c>
      <c r="AM31" s="39">
        <f>AM9 * (Inputs!$B$37 / 12) * (1 + Inputs!$B$48)^INT((COLUMNS($B$31:AM31)-1) / 12)</f>
        <v/>
      </c>
      <c r="AN31" s="39">
        <f>AN9 * (Inputs!$B$37 / 12) * (1 + Inputs!$B$48)^INT((COLUMNS($B$31:AN31)-1) / 12)</f>
        <v/>
      </c>
      <c r="AO31" s="39">
        <f>AO9 * (Inputs!$B$37 / 12) * (1 + Inputs!$B$48)^INT((COLUMNS($B$31:AO31)-1) / 12)</f>
        <v/>
      </c>
      <c r="AP31" s="39">
        <f>AP9 * (Inputs!$B$37 / 12) * (1 + Inputs!$B$48)^INT((COLUMNS($B$31:AP31)-1) / 12)</f>
        <v/>
      </c>
      <c r="AQ31" s="39">
        <f>AQ9 * (Inputs!$B$37 / 12) * (1 + Inputs!$B$48)^INT((COLUMNS($B$31:AQ31)-1) / 12)</f>
        <v/>
      </c>
      <c r="AR31" s="39">
        <f>AR9 * (Inputs!$B$37 / 12) * (1 + Inputs!$B$48)^INT((COLUMNS($B$31:AR31)-1) / 12)</f>
        <v/>
      </c>
      <c r="AS31" s="39">
        <f>AS9 * (Inputs!$B$37 / 12) * (1 + Inputs!$B$48)^INT((COLUMNS($B$31:AS31)-1) / 12)</f>
        <v/>
      </c>
      <c r="AT31" s="39">
        <f>AT9 * (Inputs!$B$37 / 12) * (1 + Inputs!$B$48)^INT((COLUMNS($B$31:AT31)-1) / 12)</f>
        <v/>
      </c>
      <c r="AU31" s="39">
        <f>AU9 * (Inputs!$B$37 / 12) * (1 + Inputs!$B$48)^INT((COLUMNS($B$31:AU31)-1) / 12)</f>
        <v/>
      </c>
      <c r="AV31" s="39">
        <f>AV9 * (Inputs!$B$37 / 12) * (1 + Inputs!$B$48)^INT((COLUMNS($B$31:AV31)-1) / 12)</f>
        <v/>
      </c>
      <c r="AW31" s="39">
        <f>AW9 * (Inputs!$B$37 / 12) * (1 + Inputs!$B$48)^INT((COLUMNS($B$31:AW31)-1) / 12)</f>
        <v/>
      </c>
      <c r="AX31" s="39">
        <f>AX9 * (Inputs!$B$37 / 12) * (1 + Inputs!$B$48)^INT((COLUMNS($B$31:AX31)-1) / 12)</f>
        <v/>
      </c>
      <c r="AY31" s="39">
        <f>AY9 * (Inputs!$B$37 / 12) * (1 + Inputs!$B$48)^INT((COLUMNS($B$31:AY31)-1) / 12)</f>
        <v/>
      </c>
      <c r="AZ31" s="39">
        <f>AZ9 * (Inputs!$B$37 / 12) * (1 + Inputs!$B$48)^INT((COLUMNS($B$31:AZ31)-1) / 12)</f>
        <v/>
      </c>
      <c r="BA31" s="39">
        <f>BA9 * (Inputs!$B$37 / 12) * (1 + Inputs!$B$48)^INT((COLUMNS($B$31:BA31)-1) / 12)</f>
        <v/>
      </c>
    </row>
    <row r="32" ht="14.25" customHeight="1" s="214">
      <c r="A32" s="18" t="inlineStr">
        <is>
          <t>1. ML/AI Engineer Gehalt</t>
        </is>
      </c>
      <c r="B32" s="39">
        <f>B10 * (Inputs!$B$38 / 12) * (1 + Inputs!$B$48)^INT((COLUMNS($B$32:B32)-1) / 12)</f>
        <v/>
      </c>
      <c r="C32" s="39">
        <f>C10 * (Inputs!$B$38 / 12) * (1 + Inputs!$B$48)^INT((COLUMNS($B$32:C32)-1) / 12)</f>
        <v/>
      </c>
      <c r="D32" s="39">
        <f>D10 * (Inputs!$B$38 / 12) * (1 + Inputs!$B$48)^INT((COLUMNS($B$32:D32)-1) / 12)</f>
        <v/>
      </c>
      <c r="E32" s="39">
        <f>E10 * (Inputs!$B$38 / 12) * (1 + Inputs!$B$48)^INT((COLUMNS($B$32:E32)-1) / 12)</f>
        <v/>
      </c>
      <c r="F32" s="39">
        <f>F10 * (Inputs!$B$38 / 12) * (1 + Inputs!$B$48)^INT((COLUMNS($B$32:F32)-1) / 12)</f>
        <v/>
      </c>
      <c r="G32" s="39">
        <f>G10 * (Inputs!$B$38 / 12) * (1 + Inputs!$B$48)^INT((COLUMNS($B$32:G32)-1) / 12)</f>
        <v/>
      </c>
      <c r="H32" s="39">
        <f>H10 * (Inputs!$B$38 / 12) * (1 + Inputs!$B$48)^INT((COLUMNS($B$32:H32)-1) / 12)</f>
        <v/>
      </c>
      <c r="I32" s="39">
        <f>I10 * (Inputs!$B$38 / 12) * (1 + Inputs!$B$48)^INT((COLUMNS($B$32:I32)-1) / 12)</f>
        <v/>
      </c>
      <c r="J32" s="39">
        <f>J10 * (Inputs!$B$38 / 12) * (1 + Inputs!$B$48)^INT((COLUMNS($B$32:J32)-1) / 12)</f>
        <v/>
      </c>
      <c r="K32" s="39">
        <f>K10 * (Inputs!$B$38 / 12) * (1 + Inputs!$B$48)^INT((COLUMNS($B$32:K32)-1) / 12)</f>
        <v/>
      </c>
      <c r="L32" s="39">
        <f>L10 * (Inputs!$B$38 / 12) * (1 + Inputs!$B$48)^INT((COLUMNS($B$32:L32)-1) / 12)</f>
        <v/>
      </c>
      <c r="M32" s="39">
        <f>M10 * (Inputs!$B$38 / 12) * (1 + Inputs!$B$48)^INT((COLUMNS($B$32:M32)-1) / 12)</f>
        <v/>
      </c>
      <c r="N32" s="39">
        <f>N10 * (Inputs!$B$38 / 12) * (1 + Inputs!$B$48)^INT((COLUMNS($B$32:N32)-1) / 12)</f>
        <v/>
      </c>
      <c r="O32" s="39">
        <f>O10 * (Inputs!$B$38 / 12) * (1 + Inputs!$B$48)^INT((COLUMNS($B$32:O32)-1) / 12)</f>
        <v/>
      </c>
      <c r="P32" s="39">
        <f>P10 * (Inputs!$B$38 / 12) * (1 + Inputs!$B$48)^INT((COLUMNS($B$32:P32)-1) / 12)</f>
        <v/>
      </c>
      <c r="Q32" s="39">
        <f>Q10 * (Inputs!$B$38 / 12) * (1 + Inputs!$B$48)^INT((COLUMNS($B$32:Q32)-1) / 12)</f>
        <v/>
      </c>
      <c r="R32" s="39">
        <f>R10 * (Inputs!$B$38 / 12) * (1 + Inputs!$B$48)^INT((COLUMNS($B$32:R32)-1) / 12)</f>
        <v/>
      </c>
      <c r="S32" s="39">
        <f>S10 * (Inputs!$B$38 / 12) * (1 + Inputs!$B$48)^INT((COLUMNS($B$32:S32)-1) / 12)</f>
        <v/>
      </c>
      <c r="T32" s="39">
        <f>T10 * (Inputs!$B$38 / 12) * (1 + Inputs!$B$48)^INT((COLUMNS($B$32:T32)-1) / 12)</f>
        <v/>
      </c>
      <c r="U32" s="39">
        <f>U10 * (Inputs!$B$38 / 12) * (1 + Inputs!$B$48)^INT((COLUMNS($B$32:U32)-1) / 12)</f>
        <v/>
      </c>
      <c r="V32" s="39">
        <f>V10 * (Inputs!$B$38 / 12) * (1 + Inputs!$B$48)^INT((COLUMNS($B$32:V32)-1) / 12)</f>
        <v/>
      </c>
      <c r="W32" s="39">
        <f>W10 * (Inputs!$B$38 / 12) * (1 + Inputs!$B$48)^INT((COLUMNS($B$32:W32)-1) / 12)</f>
        <v/>
      </c>
      <c r="X32" s="39">
        <f>X10 * (Inputs!$B$38 / 12) * (1 + Inputs!$B$48)^INT((COLUMNS($B$32:X32)-1) / 12)</f>
        <v/>
      </c>
      <c r="Y32" s="39">
        <f>Y10 * (Inputs!$B$38 / 12) * (1 + Inputs!$B$48)^INT((COLUMNS($B$32:Y32)-1) / 12)</f>
        <v/>
      </c>
      <c r="Z32" s="39">
        <f>Z10 * (Inputs!$B$38 / 12) * (1 + Inputs!$B$48)^INT((COLUMNS($B$32:Z32)-1) / 12)</f>
        <v/>
      </c>
      <c r="AA32" s="39">
        <f>AA10 * (Inputs!$B$38 / 12) * (1 + Inputs!$B$48)^INT((COLUMNS($B$32:AA32)-1) / 12)</f>
        <v/>
      </c>
      <c r="AB32" s="39">
        <f>AB10 * (Inputs!$B$38 / 12) * (1 + Inputs!$B$48)^INT((COLUMNS($B$32:AB32)-1) / 12)</f>
        <v/>
      </c>
      <c r="AC32" s="39">
        <f>AC10 * (Inputs!$B$38 / 12) * (1 + Inputs!$B$48)^INT((COLUMNS($B$32:AC32)-1) / 12)</f>
        <v/>
      </c>
      <c r="AD32" s="39">
        <f>AD10 * (Inputs!$B$38 / 12) * (1 + Inputs!$B$48)^INT((COLUMNS($B$32:AD32)-1) / 12)</f>
        <v/>
      </c>
      <c r="AE32" s="39">
        <f>AE10 * (Inputs!$B$38 / 12) * (1 + Inputs!$B$48)^INT((COLUMNS($B$32:AE32)-1) / 12)</f>
        <v/>
      </c>
      <c r="AF32" s="39">
        <f>AF10 * (Inputs!$B$38 / 12) * (1 + Inputs!$B$48)^INT((COLUMNS($B$32:AF32)-1) / 12)</f>
        <v/>
      </c>
      <c r="AG32" s="39">
        <f>AG10 * (Inputs!$B$38 / 12) * (1 + Inputs!$B$48)^INT((COLUMNS($B$32:AG32)-1) / 12)</f>
        <v/>
      </c>
      <c r="AH32" s="39">
        <f>AH10 * (Inputs!$B$38 / 12) * (1 + Inputs!$B$48)^INT((COLUMNS($B$32:AH32)-1) / 12)</f>
        <v/>
      </c>
      <c r="AI32" s="39">
        <f>AI10 * (Inputs!$B$38 / 12) * (1 + Inputs!$B$48)^INT((COLUMNS($B$32:AI32)-1) / 12)</f>
        <v/>
      </c>
      <c r="AJ32" s="39">
        <f>AJ10 * (Inputs!$B$38 / 12) * (1 + Inputs!$B$48)^INT((COLUMNS($B$32:AJ32)-1) / 12)</f>
        <v/>
      </c>
      <c r="AK32" s="39">
        <f>AK10 * (Inputs!$B$38 / 12) * (1 + Inputs!$B$48)^INT((COLUMNS($B$32:AK32)-1) / 12)</f>
        <v/>
      </c>
      <c r="AL32" s="39">
        <f>AL10 * (Inputs!$B$38 / 12) * (1 + Inputs!$B$48)^INT((COLUMNS($B$32:AL32)-1) / 12)</f>
        <v/>
      </c>
      <c r="AM32" s="39">
        <f>AM10 * (Inputs!$B$38 / 12) * (1 + Inputs!$B$48)^INT((COLUMNS($B$32:AM32)-1) / 12)</f>
        <v/>
      </c>
      <c r="AN32" s="39">
        <f>AN10 * (Inputs!$B$38 / 12) * (1 + Inputs!$B$48)^INT((COLUMNS($B$32:AN32)-1) / 12)</f>
        <v/>
      </c>
      <c r="AO32" s="39">
        <f>AO10 * (Inputs!$B$38 / 12) * (1 + Inputs!$B$48)^INT((COLUMNS($B$32:AO32)-1) / 12)</f>
        <v/>
      </c>
      <c r="AP32" s="39">
        <f>AP10 * (Inputs!$B$38 / 12) * (1 + Inputs!$B$48)^INT((COLUMNS($B$32:AP32)-1) / 12)</f>
        <v/>
      </c>
      <c r="AQ32" s="39">
        <f>AQ10 * (Inputs!$B$38 / 12) * (1 + Inputs!$B$48)^INT((COLUMNS($B$32:AQ32)-1) / 12)</f>
        <v/>
      </c>
      <c r="AR32" s="39">
        <f>AR10 * (Inputs!$B$38 / 12) * (1 + Inputs!$B$48)^INT((COLUMNS($B$32:AR32)-1) / 12)</f>
        <v/>
      </c>
      <c r="AS32" s="39">
        <f>AS10 * (Inputs!$B$38 / 12) * (1 + Inputs!$B$48)^INT((COLUMNS($B$32:AS32)-1) / 12)</f>
        <v/>
      </c>
      <c r="AT32" s="39">
        <f>AT10 * (Inputs!$B$38 / 12) * (1 + Inputs!$B$48)^INT((COLUMNS($B$32:AT32)-1) / 12)</f>
        <v/>
      </c>
      <c r="AU32" s="39">
        <f>AU10 * (Inputs!$B$38 / 12) * (1 + Inputs!$B$48)^INT((COLUMNS($B$32:AU32)-1) / 12)</f>
        <v/>
      </c>
      <c r="AV32" s="39">
        <f>AV10 * (Inputs!$B$38 / 12) * (1 + Inputs!$B$48)^INT((COLUMNS($B$32:AV32)-1) / 12)</f>
        <v/>
      </c>
      <c r="AW32" s="39">
        <f>AW10 * (Inputs!$B$38 / 12) * (1 + Inputs!$B$48)^INT((COLUMNS($B$32:AW32)-1) / 12)</f>
        <v/>
      </c>
      <c r="AX32" s="39">
        <f>AX10 * (Inputs!$B$38 / 12) * (1 + Inputs!$B$48)^INT((COLUMNS($B$32:AX32)-1) / 12)</f>
        <v/>
      </c>
      <c r="AY32" s="39">
        <f>AY10 * (Inputs!$B$38 / 12) * (1 + Inputs!$B$48)^INT((COLUMNS($B$32:AY32)-1) / 12)</f>
        <v/>
      </c>
      <c r="AZ32" s="39">
        <f>AZ10 * (Inputs!$B$38 / 12) * (1 + Inputs!$B$48)^INT((COLUMNS($B$32:AZ32)-1) / 12)</f>
        <v/>
      </c>
      <c r="BA32" s="39">
        <f>BA10 * (Inputs!$B$38 / 12) * (1 + Inputs!$B$48)^INT((COLUMNS($B$32:BA32)-1) / 12)</f>
        <v/>
      </c>
    </row>
    <row r="33" ht="14.25" customHeight="1" s="214">
      <c r="A33" s="18" t="inlineStr">
        <is>
          <t>1. Mechanical Engineer Gehalt</t>
        </is>
      </c>
      <c r="B33" s="39">
        <f>B11*(Inputs!$B$41/12)*(1+Inputs!$B$48)^INT((COLUMNS($B$33:B33)-1)/12)</f>
        <v/>
      </c>
      <c r="C33" s="39">
        <f>C11*(Inputs!$B$41/12)*(1+Inputs!$B$48)^INT((COLUMNS($B$33:C33)-1)/12)</f>
        <v/>
      </c>
      <c r="D33" s="39">
        <f>D11*(Inputs!$B$41/12)*(1+Inputs!$B$48)^INT((COLUMNS($B$33:D33)-1)/12)</f>
        <v/>
      </c>
      <c r="E33" s="39">
        <f>E11*(Inputs!$B$41/12)*(1+Inputs!$B$48)^INT((COLUMNS($B$33:E33)-1)/12)</f>
        <v/>
      </c>
      <c r="F33" s="39">
        <f>F11*(Inputs!$B$41/12)*(1+Inputs!$B$48)^INT((COLUMNS($B$33:F33)-1)/12)</f>
        <v/>
      </c>
      <c r="G33" s="39">
        <f>G11*(Inputs!$B$41/12)*(1+Inputs!$B$48)^INT((COLUMNS($B$33:G33)-1)/12)</f>
        <v/>
      </c>
      <c r="H33" s="39">
        <f>H11*(Inputs!$B$41/12)*(1+Inputs!$B$48)^INT((COLUMNS($B$33:H33)-1)/12)</f>
        <v/>
      </c>
      <c r="I33" s="39">
        <f>I11*(Inputs!$B$41/12)*(1+Inputs!$B$48)^INT((COLUMNS($B$33:I33)-1)/12)</f>
        <v/>
      </c>
      <c r="J33" s="39">
        <f>J11*(Inputs!$B$41/12)*(1+Inputs!$B$48)^INT((COLUMNS($B$33:J33)-1)/12)</f>
        <v/>
      </c>
      <c r="K33" s="39">
        <f>K11*(Inputs!$B$41/12)*(1+Inputs!$B$48)^INT((COLUMNS($B$33:K33)-1)/12)</f>
        <v/>
      </c>
      <c r="L33" s="39">
        <f>L11*(Inputs!$B$41/12)*(1+Inputs!$B$48)^INT((COLUMNS($B$33:L33)-1)/12)</f>
        <v/>
      </c>
      <c r="M33" s="39">
        <f>M11*(Inputs!$B$41/12)*(1+Inputs!$B$48)^INT((COLUMNS($B$33:M33)-1)/12)</f>
        <v/>
      </c>
      <c r="N33" s="39">
        <f>N11*(Inputs!$B$41/12)*(1+Inputs!$B$48)^INT((COLUMNS($B$33:N33)-1)/12)</f>
        <v/>
      </c>
      <c r="O33" s="39">
        <f>O11*(Inputs!$B$41/12)*(1+Inputs!$B$48)^INT((COLUMNS($B$33:O33)-1)/12)</f>
        <v/>
      </c>
      <c r="P33" s="39">
        <f>P11*(Inputs!$B$41/12)*(1+Inputs!$B$48)^INT((COLUMNS($B$33:P33)-1)/12)</f>
        <v/>
      </c>
      <c r="Q33" s="39">
        <f>Q11*(Inputs!$B$41/12)*(1+Inputs!$B$48)^INT((COLUMNS($B$33:Q33)-1)/12)</f>
        <v/>
      </c>
      <c r="R33" s="39">
        <f>R11*(Inputs!$B$41/12)*(1+Inputs!$B$48)^INT((COLUMNS($B$33:R33)-1)/12)</f>
        <v/>
      </c>
      <c r="S33" s="39">
        <f>S11*(Inputs!$B$41/12)*(1+Inputs!$B$48)^INT((COLUMNS($B$33:S33)-1)/12)</f>
        <v/>
      </c>
      <c r="T33" s="39">
        <f>T11*(Inputs!$B$41/12)*(1+Inputs!$B$48)^INT((COLUMNS($B$33:T33)-1)/12)</f>
        <v/>
      </c>
      <c r="U33" s="39">
        <f>U11*(Inputs!$B$41/12)*(1+Inputs!$B$48)^INT((COLUMNS($B$33:U33)-1)/12)</f>
        <v/>
      </c>
      <c r="V33" s="39">
        <f>V11*(Inputs!$B$41/12)*(1+Inputs!$B$48)^INT((COLUMNS($B$33:V33)-1)/12)</f>
        <v/>
      </c>
      <c r="W33" s="39">
        <f>W11*(Inputs!$B$41/12)*(1+Inputs!$B$48)^INT((COLUMNS($B$33:W33)-1)/12)</f>
        <v/>
      </c>
      <c r="X33" s="39">
        <f>X11*(Inputs!$B$41/12)*(1+Inputs!$B$48)^INT((COLUMNS($B$33:X33)-1)/12)</f>
        <v/>
      </c>
      <c r="Y33" s="39">
        <f>Y11*(Inputs!$B$41/12)*(1+Inputs!$B$48)^INT((COLUMNS($B$33:Y33)-1)/12)</f>
        <v/>
      </c>
      <c r="Z33" s="39">
        <f>Z11*(Inputs!$B$41/12)*(1+Inputs!$B$48)^INT((COLUMNS($B$33:Z33)-1)/12)</f>
        <v/>
      </c>
      <c r="AA33" s="39">
        <f>AA11*(Inputs!$B$41/12)*(1+Inputs!$B$48)^INT((COLUMNS($B$33:AA33)-1)/12)</f>
        <v/>
      </c>
      <c r="AB33" s="39">
        <f>AB11*(Inputs!$B$41/12)*(1+Inputs!$B$48)^INT((COLUMNS($B$33:AB33)-1)/12)</f>
        <v/>
      </c>
      <c r="AC33" s="39">
        <f>AC11*(Inputs!$B$41/12)*(1+Inputs!$B$48)^INT((COLUMNS($B$33:AC33)-1)/12)</f>
        <v/>
      </c>
      <c r="AD33" s="39">
        <f>AD11*(Inputs!$B$41/12)*(1+Inputs!$B$48)^INT((COLUMNS($B$33:AD33)-1)/12)</f>
        <v/>
      </c>
      <c r="AE33" s="39">
        <f>AE11*(Inputs!$B$41/12)*(1+Inputs!$B$48)^INT((COLUMNS($B$33:AE33)-1)/12)</f>
        <v/>
      </c>
      <c r="AF33" s="39">
        <f>AF11*(Inputs!$B$41/12)*(1+Inputs!$B$48)^INT((COLUMNS($B$33:AF33)-1)/12)</f>
        <v/>
      </c>
      <c r="AG33" s="39">
        <f>AG11*(Inputs!$B$41/12)*(1+Inputs!$B$48)^INT((COLUMNS($B$33:AG33)-1)/12)</f>
        <v/>
      </c>
      <c r="AH33" s="39">
        <f>AH11*(Inputs!$B$41/12)*(1+Inputs!$B$48)^INT((COLUMNS($B$33:AH33)-1)/12)</f>
        <v/>
      </c>
      <c r="AI33" s="39">
        <f>AI11*(Inputs!$B$41/12)*(1+Inputs!$B$48)^INT((COLUMNS($B$33:AI33)-1)/12)</f>
        <v/>
      </c>
      <c r="AJ33" s="39">
        <f>AJ11*(Inputs!$B$41/12)*(1+Inputs!$B$48)^INT((COLUMNS($B$33:AJ33)-1)/12)</f>
        <v/>
      </c>
      <c r="AK33" s="39">
        <f>AK11*(Inputs!$B$41/12)*(1+Inputs!$B$48)^INT((COLUMNS($B$33:AK33)-1)/12)</f>
        <v/>
      </c>
      <c r="AL33" s="39">
        <f>AL11*(Inputs!$B$41/12)*(1+Inputs!$B$48)^INT((COLUMNS($B$33:AL33)-1)/12)</f>
        <v/>
      </c>
      <c r="AM33" s="39">
        <f>AM11*(Inputs!$B$41/12)*(1+Inputs!$B$48)^INT((COLUMNS($B$33:AM33)-1)/12)</f>
        <v/>
      </c>
      <c r="AN33" s="39">
        <f>AN11*(Inputs!$B$41/12)*(1+Inputs!$B$48)^INT((COLUMNS($B$33:AN33)-1)/12)</f>
        <v/>
      </c>
      <c r="AO33" s="39">
        <f>AO11*(Inputs!$B$41/12)*(1+Inputs!$B$48)^INT((COLUMNS($B$33:AO33)-1)/12)</f>
        <v/>
      </c>
      <c r="AP33" s="39">
        <f>AP11*(Inputs!$B$41/12)*(1+Inputs!$B$48)^INT((COLUMNS($B$33:AP33)-1)/12)</f>
        <v/>
      </c>
      <c r="AQ33" s="39">
        <f>AQ11*(Inputs!$B$41/12)*(1+Inputs!$B$48)^INT((COLUMNS($B$33:AQ33)-1)/12)</f>
        <v/>
      </c>
      <c r="AR33" s="39">
        <f>AR11*(Inputs!$B$41/12)*(1+Inputs!$B$48)^INT((COLUMNS($B$33:AR33)-1)/12)</f>
        <v/>
      </c>
      <c r="AS33" s="39">
        <f>AS11*(Inputs!$B$41/12)*(1+Inputs!$B$48)^INT((COLUMNS($B$33:AS33)-1)/12)</f>
        <v/>
      </c>
      <c r="AT33" s="39">
        <f>AT11*(Inputs!$B$41/12)*(1+Inputs!$B$48)^INT((COLUMNS($B$33:AT33)-1)/12)</f>
        <v/>
      </c>
      <c r="AU33" s="39">
        <f>AU11*(Inputs!$B$41/12)*(1+Inputs!$B$48)^INT((COLUMNS($B$33:AU33)-1)/12)</f>
        <v/>
      </c>
      <c r="AV33" s="39">
        <f>AV11*(Inputs!$B$41/12)*(1+Inputs!$B$48)^INT((COLUMNS($B$33:AV33)-1)/12)</f>
        <v/>
      </c>
      <c r="AW33" s="39">
        <f>AW11*(Inputs!$B$41/12)*(1+Inputs!$B$48)^INT((COLUMNS($B$33:AW33)-1)/12)</f>
        <v/>
      </c>
      <c r="AX33" s="39">
        <f>AX11*(Inputs!$B$41/12)*(1+Inputs!$B$48)^INT((COLUMNS($B$33:AX33)-1)/12)</f>
        <v/>
      </c>
      <c r="AY33" s="39">
        <f>AY11*(Inputs!$B$41/12)*(1+Inputs!$B$48)^INT((COLUMNS($B$33:AY33)-1)/12)</f>
        <v/>
      </c>
      <c r="AZ33" s="39">
        <f>AZ11*(Inputs!$B$41/12)*(1+Inputs!$B$48)^INT((COLUMNS($B$33:AZ33)-1)/12)</f>
        <v/>
      </c>
      <c r="BA33" s="39">
        <f>BA11*(Inputs!$B$41/12)*(1+Inputs!$B$48)^INT((COLUMNS($B$33:BA33)-1)/12)</f>
        <v/>
      </c>
    </row>
    <row r="34" ht="14.25" customHeight="1" s="214">
      <c r="A34" s="18" t="inlineStr">
        <is>
          <t>1. UX/UI Designer Gehalt</t>
        </is>
      </c>
      <c r="B34" s="39">
        <f>B13*(Inputs!$B$40/12)*(1+Inputs!$B$48)^INT((COLUMNS($B$34:B34)-1)/12)</f>
        <v/>
      </c>
      <c r="C34" s="39">
        <f>C13*(Inputs!$B$40/12)*(1+Inputs!$B$48)^INT((COLUMNS($B$34:C34)-1)/12)</f>
        <v/>
      </c>
      <c r="D34" s="39">
        <f>D13*(Inputs!$B$40/12)*(1+Inputs!$B$48)^INT((COLUMNS($B$34:D34)-1)/12)</f>
        <v/>
      </c>
      <c r="E34" s="39">
        <f>E13*(Inputs!$B$40/12)*(1+Inputs!$B$48)^INT((COLUMNS($B$34:E34)-1)/12)</f>
        <v/>
      </c>
      <c r="F34" s="39">
        <f>F13*(Inputs!$B$40/12)*(1+Inputs!$B$48)^INT((COLUMNS($B$34:F34)-1)/12)</f>
        <v/>
      </c>
      <c r="G34" s="39">
        <f>G13*(Inputs!$B$40/12)*(1+Inputs!$B$48)^INT((COLUMNS($B$34:G34)-1)/12)</f>
        <v/>
      </c>
      <c r="H34" s="39">
        <f>H13*(Inputs!$B$40/12)*(1+Inputs!$B$48)^INT((COLUMNS($B$34:H34)-1)/12)</f>
        <v/>
      </c>
      <c r="I34" s="39">
        <f>I13*(Inputs!$B$40/12)*(1+Inputs!$B$48)^INT((COLUMNS($B$34:I34)-1)/12)</f>
        <v/>
      </c>
      <c r="J34" s="39">
        <f>J13*(Inputs!$B$40/12)*(1+Inputs!$B$48)^INT((COLUMNS($B$34:J34)-1)/12)</f>
        <v/>
      </c>
      <c r="K34" s="39">
        <f>K13*(Inputs!$B$40/12)*(1+Inputs!$B$48)^INT((COLUMNS($B$34:K34)-1)/12)</f>
        <v/>
      </c>
      <c r="L34" s="39">
        <f>L13*(Inputs!$B$40/12)*(1+Inputs!$B$48)^INT((COLUMNS($B$34:L34)-1)/12)</f>
        <v/>
      </c>
      <c r="M34" s="39">
        <f>M13*(Inputs!$B$40/12)*(1+Inputs!$B$48)^INT((COLUMNS($B$34:M34)-1)/12)</f>
        <v/>
      </c>
      <c r="N34" s="39">
        <f>N13*(Inputs!$B$40/12)*(1+Inputs!$B$48)^INT((COLUMNS($B$34:N34)-1)/12)</f>
        <v/>
      </c>
      <c r="O34" s="39">
        <f>O13*(Inputs!$B$40/12)*(1+Inputs!$B$48)^INT((COLUMNS($B$34:O34)-1)/12)</f>
        <v/>
      </c>
      <c r="P34" s="39">
        <f>P13*(Inputs!$B$40/12)*(1+Inputs!$B$48)^INT((COLUMNS($B$34:P34)-1)/12)</f>
        <v/>
      </c>
      <c r="Q34" s="39">
        <f>Q13*(Inputs!$B$40/12)*(1+Inputs!$B$48)^INT((COLUMNS($B$34:Q34)-1)/12)</f>
        <v/>
      </c>
      <c r="R34" s="39">
        <f>R13*(Inputs!$B$40/12)*(1+Inputs!$B$48)^INT((COLUMNS($B$34:R34)-1)/12)</f>
        <v/>
      </c>
      <c r="S34" s="39">
        <f>S13*(Inputs!$B$40/12)*(1+Inputs!$B$48)^INT((COLUMNS($B$34:S34)-1)/12)</f>
        <v/>
      </c>
      <c r="T34" s="39">
        <f>T13*(Inputs!$B$40/12)*(1+Inputs!$B$48)^INT((COLUMNS($B$34:T34)-1)/12)</f>
        <v/>
      </c>
      <c r="U34" s="39">
        <f>U13*(Inputs!$B$40/12)*(1+Inputs!$B$48)^INT((COLUMNS($B$34:U34)-1)/12)</f>
        <v/>
      </c>
      <c r="V34" s="39">
        <f>V13*(Inputs!$B$40/12)*(1+Inputs!$B$48)^INT((COLUMNS($B$34:V34)-1)/12)</f>
        <v/>
      </c>
      <c r="W34" s="39">
        <f>W13*(Inputs!$B$40/12)*(1+Inputs!$B$48)^INT((COLUMNS($B$34:W34)-1)/12)</f>
        <v/>
      </c>
      <c r="X34" s="39">
        <f>X13*(Inputs!$B$40/12)*(1+Inputs!$B$48)^INT((COLUMNS($B$34:X34)-1)/12)</f>
        <v/>
      </c>
      <c r="Y34" s="39">
        <f>Y13*(Inputs!$B$40/12)*(1+Inputs!$B$48)^INT((COLUMNS($B$34:Y34)-1)/12)</f>
        <v/>
      </c>
      <c r="Z34" s="39">
        <f>Z13*(Inputs!$B$40/12)*(1+Inputs!$B$48)^INT((COLUMNS($B$34:Z34)-1)/12)</f>
        <v/>
      </c>
      <c r="AA34" s="39">
        <f>AA13*(Inputs!$B$40/12)*(1+Inputs!$B$48)^INT((COLUMNS($B$34:AA34)-1)/12)</f>
        <v/>
      </c>
      <c r="AB34" s="39">
        <f>AB13*(Inputs!$B$40/12)*(1+Inputs!$B$48)^INT((COLUMNS($B$34:AB34)-1)/12)</f>
        <v/>
      </c>
      <c r="AC34" s="39">
        <f>AC13*(Inputs!$B$40/12)*(1+Inputs!$B$48)^INT((COLUMNS($B$34:AC34)-1)/12)</f>
        <v/>
      </c>
      <c r="AD34" s="39">
        <f>AD13*(Inputs!$B$40/12)*(1+Inputs!$B$48)^INT((COLUMNS($B$34:AD34)-1)/12)</f>
        <v/>
      </c>
      <c r="AE34" s="39">
        <f>AE13*(Inputs!$B$40/12)*(1+Inputs!$B$48)^INT((COLUMNS($B$34:AE34)-1)/12)</f>
        <v/>
      </c>
      <c r="AF34" s="39">
        <f>AF13*(Inputs!$B$40/12)*(1+Inputs!$B$48)^INT((COLUMNS($B$34:AF34)-1)/12)</f>
        <v/>
      </c>
      <c r="AG34" s="39">
        <f>AG13*(Inputs!$B$40/12)*(1+Inputs!$B$48)^INT((COLUMNS($B$34:AG34)-1)/12)</f>
        <v/>
      </c>
      <c r="AH34" s="39">
        <f>AH13*(Inputs!$B$40/12)*(1+Inputs!$B$48)^INT((COLUMNS($B$34:AH34)-1)/12)</f>
        <v/>
      </c>
      <c r="AI34" s="39">
        <f>AI13*(Inputs!$B$40/12)*(1+Inputs!$B$48)^INT((COLUMNS($B$34:AI34)-1)/12)</f>
        <v/>
      </c>
      <c r="AJ34" s="39">
        <f>AJ13*(Inputs!$B$40/12)*(1+Inputs!$B$48)^INT((COLUMNS($B$34:AJ34)-1)/12)</f>
        <v/>
      </c>
      <c r="AK34" s="39">
        <f>AK13*(Inputs!$B$40/12)*(1+Inputs!$B$48)^INT((COLUMNS($B$34:AK34)-1)/12)</f>
        <v/>
      </c>
      <c r="AL34" s="39">
        <f>AL13*(Inputs!$B$40/12)*(1+Inputs!$B$48)^INT((COLUMNS($B$34:AL34)-1)/12)</f>
        <v/>
      </c>
      <c r="AM34" s="39">
        <f>AM13*(Inputs!$B$40/12)*(1+Inputs!$B$48)^INT((COLUMNS($B$34:AM34)-1)/12)</f>
        <v/>
      </c>
      <c r="AN34" s="39">
        <f>AN13*(Inputs!$B$40/12)*(1+Inputs!$B$48)^INT((COLUMNS($B$34:AN34)-1)/12)</f>
        <v/>
      </c>
      <c r="AO34" s="39">
        <f>AO13*(Inputs!$B$40/12)*(1+Inputs!$B$48)^INT((COLUMNS($B$34:AO34)-1)/12)</f>
        <v/>
      </c>
      <c r="AP34" s="39">
        <f>AP13*(Inputs!$B$40/12)*(1+Inputs!$B$48)^INT((COLUMNS($B$34:AP34)-1)/12)</f>
        <v/>
      </c>
      <c r="AQ34" s="39">
        <f>AQ13*(Inputs!$B$40/12)*(1+Inputs!$B$48)^INT((COLUMNS($B$34:AQ34)-1)/12)</f>
        <v/>
      </c>
      <c r="AR34" s="39">
        <f>AR13*(Inputs!$B$40/12)*(1+Inputs!$B$48)^INT((COLUMNS($B$34:AR34)-1)/12)</f>
        <v/>
      </c>
      <c r="AS34" s="39">
        <f>AS13*(Inputs!$B$40/12)*(1+Inputs!$B$48)^INT((COLUMNS($B$34:AS34)-1)/12)</f>
        <v/>
      </c>
      <c r="AT34" s="39">
        <f>AT13*(Inputs!$B$40/12)*(1+Inputs!$B$48)^INT((COLUMNS($B$34:AT34)-1)/12)</f>
        <v/>
      </c>
      <c r="AU34" s="39">
        <f>AU13*(Inputs!$B$40/12)*(1+Inputs!$B$48)^INT((COLUMNS($B$34:AU34)-1)/12)</f>
        <v/>
      </c>
      <c r="AV34" s="39">
        <f>AV13*(Inputs!$B$40/12)*(1+Inputs!$B$48)^INT((COLUMNS($B$34:AV34)-1)/12)</f>
        <v/>
      </c>
      <c r="AW34" s="39">
        <f>AW13*(Inputs!$B$40/12)*(1+Inputs!$B$48)^INT((COLUMNS($B$34:AW34)-1)/12)</f>
        <v/>
      </c>
      <c r="AX34" s="39">
        <f>AX13*(Inputs!$B$40/12)*(1+Inputs!$B$48)^INT((COLUMNS($B$34:AX34)-1)/12)</f>
        <v/>
      </c>
      <c r="AY34" s="39">
        <f>AY13*(Inputs!$B$40/12)*(1+Inputs!$B$48)^INT((COLUMNS($B$34:AY34)-1)/12)</f>
        <v/>
      </c>
      <c r="AZ34" s="39">
        <f>AZ13*(Inputs!$B$40/12)*(1+Inputs!$B$48)^INT((COLUMNS($B$34:AZ34)-1)/12)</f>
        <v/>
      </c>
      <c r="BA34" s="39">
        <f>BA13*(Inputs!$B$40/12)*(1+Inputs!$B$48)^INT((COLUMNS($B$34:BA34)-1)/12)</f>
        <v/>
      </c>
    </row>
    <row r="35" ht="14.25" customHeight="1" s="214">
      <c r="A35" s="18" t="inlineStr">
        <is>
          <t>1. Customer Key Account Gehalt</t>
        </is>
      </c>
      <c r="B35" s="39">
        <f>B14 * (Inputs!$B$42 / 12) * (1 + Inputs!$B$48)^INT((COLUMNS($B$35:B35)-1) / 12)</f>
        <v/>
      </c>
      <c r="C35" s="39">
        <f>C14 * (Inputs!$B$42 / 12) * (1 + Inputs!$B$48)^INT((COLUMNS($B$35:C35)-1) / 12)</f>
        <v/>
      </c>
      <c r="D35" s="39">
        <f>D14 * (Inputs!$B$42 / 12) * (1 + Inputs!$B$48)^INT((COLUMNS($B$35:D35)-1) / 12)</f>
        <v/>
      </c>
      <c r="E35" s="39">
        <f>E14 * (Inputs!$B$42 / 12) * (1 + Inputs!$B$48)^INT((COLUMNS($B$35:E35)-1) / 12)</f>
        <v/>
      </c>
      <c r="F35" s="39">
        <f>F14 * (Inputs!$B$42 / 12) * (1 + Inputs!$B$48)^INT((COLUMNS($B$35:F35)-1) / 12)</f>
        <v/>
      </c>
      <c r="G35" s="39">
        <f>G14 * (Inputs!$B$42 / 12) * (1 + Inputs!$B$48)^INT((COLUMNS($B$35:G35)-1) / 12)</f>
        <v/>
      </c>
      <c r="H35" s="39">
        <f>H14 * (Inputs!$B$42 / 12) * (1 + Inputs!$B$48)^INT((COLUMNS($B$35:H35)-1) / 12)</f>
        <v/>
      </c>
      <c r="I35" s="39">
        <f>I14 * (Inputs!$B$42 / 12) * (1 + Inputs!$B$48)^INT((COLUMNS($B$35:I35)-1) / 12)</f>
        <v/>
      </c>
      <c r="J35" s="39">
        <f>J14 * (Inputs!$B$42 / 12) * (1 + Inputs!$B$48)^INT((COLUMNS($B$35:J35)-1) / 12)</f>
        <v/>
      </c>
      <c r="K35" s="39">
        <f>K14 * (Inputs!$B$42 / 12) * (1 + Inputs!$B$48)^INT((COLUMNS($B$35:K35)-1) / 12)</f>
        <v/>
      </c>
      <c r="L35" s="39">
        <f>L14 * (Inputs!$B$42 / 12) * (1 + Inputs!$B$48)^INT((COLUMNS($B$35:L35)-1) / 12)</f>
        <v/>
      </c>
      <c r="M35" s="39">
        <f>M14 * (Inputs!$B$42 / 12) * (1 + Inputs!$B$48)^INT((COLUMNS($B$35:M35)-1) / 12)</f>
        <v/>
      </c>
      <c r="N35" s="39">
        <f>N14 * (Inputs!$B$42 / 12) * (1 + Inputs!$B$48)^INT((COLUMNS($B$35:N35)-1) / 12)</f>
        <v/>
      </c>
      <c r="O35" s="39">
        <f>O14 * (Inputs!$B$42 / 12) * (1 + Inputs!$B$48)^INT((COLUMNS($B$35:O35)-1) / 12)</f>
        <v/>
      </c>
      <c r="P35" s="39">
        <f>P14 * (Inputs!$B$42 / 12) * (1 + Inputs!$B$48)^INT((COLUMNS($B$35:P35)-1) / 12)</f>
        <v/>
      </c>
      <c r="Q35" s="39">
        <f>Q14 * (Inputs!$B$42 / 12) * (1 + Inputs!$B$48)^INT((COLUMNS($B$35:Q35)-1) / 12)</f>
        <v/>
      </c>
      <c r="R35" s="39">
        <f>R14 * (Inputs!$B$42 / 12) * (1 + Inputs!$B$48)^INT((COLUMNS($B$35:R35)-1) / 12)</f>
        <v/>
      </c>
      <c r="S35" s="39">
        <f>S14 * (Inputs!$B$42 / 12) * (1 + Inputs!$B$48)^INT((COLUMNS($B$35:S35)-1) / 12)</f>
        <v/>
      </c>
      <c r="T35" s="39">
        <f>T14 * (Inputs!$B$42 / 12) * (1 + Inputs!$B$48)^INT((COLUMNS($B$35:T35)-1) / 12)</f>
        <v/>
      </c>
      <c r="U35" s="39">
        <f>U14 * (Inputs!$B$42 / 12) * (1 + Inputs!$B$48)^INT((COLUMNS($B$35:U35)-1) / 12)</f>
        <v/>
      </c>
      <c r="V35" s="39">
        <f>V14 * (Inputs!$B$42 / 12) * (1 + Inputs!$B$48)^INT((COLUMNS($B$35:V35)-1) / 12)</f>
        <v/>
      </c>
      <c r="W35" s="39">
        <f>W14 * (Inputs!$B$42 / 12) * (1 + Inputs!$B$48)^INT((COLUMNS($B$35:W35)-1) / 12)</f>
        <v/>
      </c>
      <c r="X35" s="39">
        <f>X14 * (Inputs!$B$42 / 12) * (1 + Inputs!$B$48)^INT((COLUMNS($B$35:X35)-1) / 12)</f>
        <v/>
      </c>
      <c r="Y35" s="39">
        <f>Y14 * (Inputs!$B$42 / 12) * (1 + Inputs!$B$48)^INT((COLUMNS($B$35:Y35)-1) / 12)</f>
        <v/>
      </c>
      <c r="Z35" s="39">
        <f>Z14 * (Inputs!$B$42 / 12) * (1 + Inputs!$B$48)^INT((COLUMNS($B$35:Z35)-1) / 12)</f>
        <v/>
      </c>
      <c r="AA35" s="39">
        <f>AA14 * (Inputs!$B$42 / 12) * (1 + Inputs!$B$48)^INT((COLUMNS($B$35:AA35)-1) / 12)</f>
        <v/>
      </c>
      <c r="AB35" s="39">
        <f>AB14 * (Inputs!$B$42 / 12) * (1 + Inputs!$B$48)^INT((COLUMNS($B$35:AB35)-1) / 12)</f>
        <v/>
      </c>
      <c r="AC35" s="39">
        <f>AC14 * (Inputs!$B$42 / 12) * (1 + Inputs!$B$48)^INT((COLUMNS($B$35:AC35)-1) / 12)</f>
        <v/>
      </c>
      <c r="AD35" s="39">
        <f>AD14 * (Inputs!$B$42 / 12) * (1 + Inputs!$B$48)^INT((COLUMNS($B$35:AD35)-1) / 12)</f>
        <v/>
      </c>
      <c r="AE35" s="39">
        <f>AE14 * (Inputs!$B$42 / 12) * (1 + Inputs!$B$48)^INT((COLUMNS($B$35:AE35)-1) / 12)</f>
        <v/>
      </c>
      <c r="AF35" s="39">
        <f>AF14 * (Inputs!$B$42 / 12) * (1 + Inputs!$B$48)^INT((COLUMNS($B$35:AF35)-1) / 12)</f>
        <v/>
      </c>
      <c r="AG35" s="39">
        <f>AG14 * (Inputs!$B$42 / 12) * (1 + Inputs!$B$48)^INT((COLUMNS($B$35:AG35)-1) / 12)</f>
        <v/>
      </c>
      <c r="AH35" s="39">
        <f>AH14 * (Inputs!$B$42 / 12) * (1 + Inputs!$B$48)^INT((COLUMNS($B$35:AH35)-1) / 12)</f>
        <v/>
      </c>
      <c r="AI35" s="39">
        <f>AI14 * (Inputs!$B$42 / 12) * (1 + Inputs!$B$48)^INT((COLUMNS($B$35:AI35)-1) / 12)</f>
        <v/>
      </c>
      <c r="AJ35" s="39">
        <f>AJ14 * (Inputs!$B$42 / 12) * (1 + Inputs!$B$48)^INT((COLUMNS($B$35:AJ35)-1) / 12)</f>
        <v/>
      </c>
      <c r="AK35" s="39">
        <f>AK14 * (Inputs!$B$42 / 12) * (1 + Inputs!$B$48)^INT((COLUMNS($B$35:AK35)-1) / 12)</f>
        <v/>
      </c>
      <c r="AL35" s="39">
        <f>AL14 * (Inputs!$B$42 / 12) * (1 + Inputs!$B$48)^INT((COLUMNS($B$35:AL35)-1) / 12)</f>
        <v/>
      </c>
      <c r="AM35" s="39">
        <f>AM14 * (Inputs!$B$42 / 12) * (1 + Inputs!$B$48)^INT((COLUMNS($B$35:AM35)-1) / 12)</f>
        <v/>
      </c>
      <c r="AN35" s="39">
        <f>AN14 * (Inputs!$B$42 / 12) * (1 + Inputs!$B$48)^INT((COLUMNS($B$35:AN35)-1) / 12)</f>
        <v/>
      </c>
      <c r="AO35" s="39">
        <f>AO14 * (Inputs!$B$42 / 12) * (1 + Inputs!$B$48)^INT((COLUMNS($B$35:AO35)-1) / 12)</f>
        <v/>
      </c>
      <c r="AP35" s="39">
        <f>AP14 * (Inputs!$B$42 / 12) * (1 + Inputs!$B$48)^INT((COLUMNS($B$35:AP35)-1) / 12)</f>
        <v/>
      </c>
      <c r="AQ35" s="39">
        <f>AQ14 * (Inputs!$B$42 / 12) * (1 + Inputs!$B$48)^INT((COLUMNS($B$35:AQ35)-1) / 12)</f>
        <v/>
      </c>
      <c r="AR35" s="39">
        <f>AR14 * (Inputs!$B$42 / 12) * (1 + Inputs!$B$48)^INT((COLUMNS($B$35:AR35)-1) / 12)</f>
        <v/>
      </c>
      <c r="AS35" s="39">
        <f>AS14 * (Inputs!$B$42 / 12) * (1 + Inputs!$B$48)^INT((COLUMNS($B$35:AS35)-1) / 12)</f>
        <v/>
      </c>
      <c r="AT35" s="39">
        <f>AT14 * (Inputs!$B$42 / 12) * (1 + Inputs!$B$48)^INT((COLUMNS($B$35:AT35)-1) / 12)</f>
        <v/>
      </c>
      <c r="AU35" s="39">
        <f>AU14 * (Inputs!$B$42 / 12) * (1 + Inputs!$B$48)^INT((COLUMNS($B$35:AU35)-1) / 12)</f>
        <v/>
      </c>
      <c r="AV35" s="39">
        <f>AV14 * (Inputs!$B$42 / 12) * (1 + Inputs!$B$48)^INT((COLUMNS($B$35:AV35)-1) / 12)</f>
        <v/>
      </c>
      <c r="AW35" s="39">
        <f>AW14 * (Inputs!$B$42 / 12) * (1 + Inputs!$B$48)^INT((COLUMNS($B$35:AW35)-1) / 12)</f>
        <v/>
      </c>
      <c r="AX35" s="39">
        <f>AX14 * (Inputs!$B$42 / 12) * (1 + Inputs!$B$48)^INT((COLUMNS($B$35:AX35)-1) / 12)</f>
        <v/>
      </c>
      <c r="AY35" s="39">
        <f>AY14 * (Inputs!$B$42 / 12) * (1 + Inputs!$B$48)^INT((COLUMNS($B$35:AY35)-1) / 12)</f>
        <v/>
      </c>
      <c r="AZ35" s="39">
        <f>AZ14 * (Inputs!$B$42 / 12) * (1 + Inputs!$B$48)^INT((COLUMNS($B$35:AZ35)-1) / 12)</f>
        <v/>
      </c>
      <c r="BA35" s="39">
        <f>BA14 * (Inputs!$B$42 / 12) * (1 + Inputs!$B$48)^INT((COLUMNS($B$35:BA35)-1) / 12)</f>
        <v/>
      </c>
    </row>
    <row r="36" ht="14.25" customHeight="1" s="214">
      <c r="A36" s="193" t="inlineStr">
        <is>
          <t>2. Customer Key Account Gehalt</t>
        </is>
      </c>
      <c r="B36" s="39">
        <f>B15*(Inputs!$B$42/12)*(1+Inputs!$B$48)^INT((COLUMNS($B$36:B36)-1)/12)</f>
        <v/>
      </c>
      <c r="C36" s="39">
        <f>C15*(Inputs!$B$42/12)*(1+Inputs!$B$48)^INT((COLUMNS($B$36:C36)-1)/12)</f>
        <v/>
      </c>
      <c r="D36" s="39">
        <f>D15*(Inputs!$B$42/12)*(1+Inputs!$B$48)^INT((COLUMNS($B$36:D36)-1)/12)</f>
        <v/>
      </c>
      <c r="E36" s="39">
        <f>E15*(Inputs!$B$42/12)*(1+Inputs!$B$48)^INT((COLUMNS($B$36:E36)-1)/12)</f>
        <v/>
      </c>
      <c r="F36" s="39">
        <f>F15*(Inputs!$B$42/12)*(1+Inputs!$B$48)^INT((COLUMNS($B$36:F36)-1)/12)</f>
        <v/>
      </c>
      <c r="G36" s="39">
        <f>G15*(Inputs!$B$42/12)*(1+Inputs!$B$48)^INT((COLUMNS($B$36:G36)-1)/12)</f>
        <v/>
      </c>
      <c r="H36" s="39">
        <f>H15*(Inputs!$B$42/12)*(1+Inputs!$B$48)^INT((COLUMNS($B$36:H36)-1)/12)</f>
        <v/>
      </c>
      <c r="I36" s="39">
        <f>I15*(Inputs!$B$42/12)*(1+Inputs!$B$48)^INT((COLUMNS($B$36:I36)-1)/12)</f>
        <v/>
      </c>
      <c r="J36" s="39">
        <f>J15*(Inputs!$B$42/12)*(1+Inputs!$B$48)^INT((COLUMNS($B$36:J36)-1)/12)</f>
        <v/>
      </c>
      <c r="K36" s="39">
        <f>K15*(Inputs!$B$42/12)*(1+Inputs!$B$48)^INT((COLUMNS($B$36:K36)-1)/12)</f>
        <v/>
      </c>
      <c r="L36" s="39">
        <f>L15*(Inputs!$B$42/12)*(1+Inputs!$B$48)^INT((COLUMNS($B$36:L36)-1)/12)</f>
        <v/>
      </c>
      <c r="M36" s="39">
        <f>M15*(Inputs!$B$42/12)*(1+Inputs!$B$48)^INT((COLUMNS($B$36:M36)-1)/12)</f>
        <v/>
      </c>
      <c r="N36" s="39">
        <f>N15*(Inputs!$B$42/12)*(1+Inputs!$B$48)^INT((COLUMNS($B$36:N36)-1)/12)</f>
        <v/>
      </c>
      <c r="O36" s="39">
        <f>O15*(Inputs!$B$42/12)*(1+Inputs!$B$48)^INT((COLUMNS($B$36:O36)-1)/12)</f>
        <v/>
      </c>
      <c r="P36" s="39">
        <f>P15*(Inputs!$B$42/12)*(1+Inputs!$B$48)^INT((COLUMNS($B$36:P36)-1)/12)</f>
        <v/>
      </c>
      <c r="Q36" s="39">
        <f>Q15*(Inputs!$B$42/12)*(1+Inputs!$B$48)^INT((COLUMNS($B$36:Q36)-1)/12)</f>
        <v/>
      </c>
      <c r="R36" s="39">
        <f>R15*(Inputs!$B$42/12)*(1+Inputs!$B$48)^INT((COLUMNS($B$36:R36)-1)/12)</f>
        <v/>
      </c>
      <c r="S36" s="39">
        <f>S15*(Inputs!$B$42/12)*(1+Inputs!$B$48)^INT((COLUMNS($B$36:S36)-1)/12)</f>
        <v/>
      </c>
      <c r="T36" s="39">
        <f>T15*(Inputs!$B$42/12)*(1+Inputs!$B$48)^INT((COLUMNS($B$36:T36)-1)/12)</f>
        <v/>
      </c>
      <c r="U36" s="39">
        <f>U15*(Inputs!$B$42/12)*(1+Inputs!$B$48)^INT((COLUMNS($B$36:U36)-1)/12)</f>
        <v/>
      </c>
      <c r="V36" s="39">
        <f>V15*(Inputs!$B$42/12)*(1+Inputs!$B$48)^INT((COLUMNS($B$36:V36)-1)/12)</f>
        <v/>
      </c>
      <c r="W36" s="39">
        <f>W15*(Inputs!$B$42/12)*(1+Inputs!$B$48)^INT((COLUMNS($B$36:W36)-1)/12)</f>
        <v/>
      </c>
      <c r="X36" s="39">
        <f>X15*(Inputs!$B$42/12)*(1+Inputs!$B$48)^INT((COLUMNS($B$36:X36)-1)/12)</f>
        <v/>
      </c>
      <c r="Y36" s="39">
        <f>Y15*(Inputs!$B$42/12)*(1+Inputs!$B$48)^INT((COLUMNS($B$36:Y36)-1)/12)</f>
        <v/>
      </c>
      <c r="Z36" s="39">
        <f>Z15*(Inputs!$B$42/12)*(1+Inputs!$B$48)^INT((COLUMNS($B$36:Z36)-1)/12)</f>
        <v/>
      </c>
      <c r="AA36" s="39">
        <f>AA15*(Inputs!$B$42/12)*(1+Inputs!$B$48)^INT((COLUMNS($B$36:AA36)-1)/12)</f>
        <v/>
      </c>
      <c r="AB36" s="39">
        <f>AB15*(Inputs!$B$42/12)*(1+Inputs!$B$48)^INT((COLUMNS($B$36:AB36)-1)/12)</f>
        <v/>
      </c>
      <c r="AC36" s="39">
        <f>AC15*(Inputs!$B$42/12)*(1+Inputs!$B$48)^INT((COLUMNS($B$36:AC36)-1)/12)</f>
        <v/>
      </c>
      <c r="AD36" s="39">
        <f>AD15*(Inputs!$B$42/12)*(1+Inputs!$B$48)^INT((COLUMNS($B$36:AD36)-1)/12)</f>
        <v/>
      </c>
      <c r="AE36" s="39">
        <f>AE15*(Inputs!$B$42/12)*(1+Inputs!$B$48)^INT((COLUMNS($B$36:AE36)-1)/12)</f>
        <v/>
      </c>
      <c r="AF36" s="39">
        <f>AF15*(Inputs!$B$42/12)*(1+Inputs!$B$48)^INT((COLUMNS($B$36:AF36)-1)/12)</f>
        <v/>
      </c>
      <c r="AG36" s="39">
        <f>AG15*(Inputs!$B$42/12)*(1+Inputs!$B$48)^INT((COLUMNS($B$36:AG36)-1)/12)</f>
        <v/>
      </c>
      <c r="AH36" s="39">
        <f>AH15*(Inputs!$B$42/12)*(1+Inputs!$B$48)^INT((COLUMNS($B$36:AH36)-1)/12)</f>
        <v/>
      </c>
      <c r="AI36" s="39">
        <f>AI15*(Inputs!$B$42/12)*(1+Inputs!$B$48)^INT((COLUMNS($B$36:AI36)-1)/12)</f>
        <v/>
      </c>
      <c r="AJ36" s="39">
        <f>AJ15*(Inputs!$B$42/12)*(1+Inputs!$B$48)^INT((COLUMNS($B$36:AJ36)-1)/12)</f>
        <v/>
      </c>
      <c r="AK36" s="39">
        <f>AK15*(Inputs!$B$42/12)*(1+Inputs!$B$48)^INT((COLUMNS($B$36:AK36)-1)/12)</f>
        <v/>
      </c>
      <c r="AL36" s="39">
        <f>AL15*(Inputs!$B$42/12)*(1+Inputs!$B$48)^INT((COLUMNS($B$36:AL36)-1)/12)</f>
        <v/>
      </c>
      <c r="AM36" s="39">
        <f>AM15*(Inputs!$B$42/12)*(1+Inputs!$B$48)^INT((COLUMNS($B$36:AM36)-1)/12)</f>
        <v/>
      </c>
      <c r="AN36" s="39">
        <f>AN15*(Inputs!$B$42/12)*(1+Inputs!$B$48)^INT((COLUMNS($B$36:AN36)-1)/12)</f>
        <v/>
      </c>
      <c r="AO36" s="39">
        <f>AO15*(Inputs!$B$42/12)*(1+Inputs!$B$48)^INT((COLUMNS($B$36:AO36)-1)/12)</f>
        <v/>
      </c>
      <c r="AP36" s="39">
        <f>AP15*(Inputs!$B$42/12)*(1+Inputs!$B$48)^INT((COLUMNS($B$36:AP36)-1)/12)</f>
        <v/>
      </c>
      <c r="AQ36" s="39">
        <f>AQ15*(Inputs!$B$42/12)*(1+Inputs!$B$48)^INT((COLUMNS($B$36:AQ36)-1)/12)</f>
        <v/>
      </c>
      <c r="AR36" s="39">
        <f>AR15*(Inputs!$B$42/12)*(1+Inputs!$B$48)^INT((COLUMNS($B$36:AR36)-1)/12)</f>
        <v/>
      </c>
      <c r="AS36" s="39">
        <f>AS15*(Inputs!$B$42/12)*(1+Inputs!$B$48)^INT((COLUMNS($B$36:AS36)-1)/12)</f>
        <v/>
      </c>
      <c r="AT36" s="39">
        <f>AT15*(Inputs!$B$42/12)*(1+Inputs!$B$48)^INT((COLUMNS($B$36:AT36)-1)/12)</f>
        <v/>
      </c>
      <c r="AU36" s="39">
        <f>AU15*(Inputs!$B$42/12)*(1+Inputs!$B$48)^INT((COLUMNS($B$36:AU36)-1)/12)</f>
        <v/>
      </c>
      <c r="AV36" s="39">
        <f>AV15*(Inputs!$B$42/12)*(1+Inputs!$B$48)^INT((COLUMNS($B$36:AV36)-1)/12)</f>
        <v/>
      </c>
      <c r="AW36" s="39">
        <f>AW15*(Inputs!$B$42/12)*(1+Inputs!$B$48)^INT((COLUMNS($B$36:AW36)-1)/12)</f>
        <v/>
      </c>
      <c r="AX36" s="39">
        <f>AX15*(Inputs!$B$42/12)*(1+Inputs!$B$48)^INT((COLUMNS($B$36:AX36)-1)/12)</f>
        <v/>
      </c>
      <c r="AY36" s="39">
        <f>AY15*(Inputs!$B$42/12)*(1+Inputs!$B$48)^INT((COLUMNS($B$36:AY36)-1)/12)</f>
        <v/>
      </c>
      <c r="AZ36" s="39">
        <f>AZ15*(Inputs!$B$42/12)*(1+Inputs!$B$48)^INT((COLUMNS($B$36:AZ36)-1)/12)</f>
        <v/>
      </c>
      <c r="BA36" s="39">
        <f>BA15*(Inputs!$B$42/12)*(1+Inputs!$B$48)^INT((COLUMNS($B$36:BA36)-1)/12)</f>
        <v/>
      </c>
    </row>
    <row r="37" ht="14.25" customHeight="1" s="214">
      <c r="A37" s="193" t="inlineStr">
        <is>
          <t>3. Customer Key Account Gehalt</t>
        </is>
      </c>
      <c r="B37" s="39">
        <f>B16*(Inputs!$B$42/12)*(1+Inputs!$B$48)^INT((COLUMNS($B$37:B37)-1)/12)</f>
        <v/>
      </c>
      <c r="C37" s="39">
        <f>C16*(Inputs!$B$42/12)*(1+Inputs!$B$48)^INT((COLUMNS($B$37:C37)-1)/12)</f>
        <v/>
      </c>
      <c r="D37" s="39">
        <f>D16*(Inputs!$B$42/12)*(1+Inputs!$B$48)^INT((COLUMNS($B$37:D37)-1)/12)</f>
        <v/>
      </c>
      <c r="E37" s="39">
        <f>E16*(Inputs!$B$42/12)*(1+Inputs!$B$48)^INT((COLUMNS($B$37:E37)-1)/12)</f>
        <v/>
      </c>
      <c r="F37" s="39">
        <f>F16*(Inputs!$B$42/12)*(1+Inputs!$B$48)^INT((COLUMNS($B$37:F37)-1)/12)</f>
        <v/>
      </c>
      <c r="G37" s="39">
        <f>G16*(Inputs!$B$42/12)*(1+Inputs!$B$48)^INT((COLUMNS($B$37:G37)-1)/12)</f>
        <v/>
      </c>
      <c r="H37" s="39">
        <f>H16*(Inputs!$B$42/12)*(1+Inputs!$B$48)^INT((COLUMNS($B$37:H37)-1)/12)</f>
        <v/>
      </c>
      <c r="I37" s="39">
        <f>I16*(Inputs!$B$42/12)*(1+Inputs!$B$48)^INT((COLUMNS($B$37:I37)-1)/12)</f>
        <v/>
      </c>
      <c r="J37" s="39">
        <f>J16*(Inputs!$B$42/12)*(1+Inputs!$B$48)^INT((COLUMNS($B$37:J37)-1)/12)</f>
        <v/>
      </c>
      <c r="K37" s="39">
        <f>K16*(Inputs!$B$42/12)*(1+Inputs!$B$48)^INT((COLUMNS($B$37:K37)-1)/12)</f>
        <v/>
      </c>
      <c r="L37" s="39">
        <f>L16*(Inputs!$B$42/12)*(1+Inputs!$B$48)^INT((COLUMNS($B$37:L37)-1)/12)</f>
        <v/>
      </c>
      <c r="M37" s="39">
        <f>M16*(Inputs!$B$42/12)*(1+Inputs!$B$48)^INT((COLUMNS($B$37:M37)-1)/12)</f>
        <v/>
      </c>
      <c r="N37" s="39">
        <f>N16*(Inputs!$B$42/12)*(1+Inputs!$B$48)^INT((COLUMNS($B$37:N37)-1)/12)</f>
        <v/>
      </c>
      <c r="O37" s="39">
        <f>O16*(Inputs!$B$42/12)*(1+Inputs!$B$48)^INT((COLUMNS($B$37:O37)-1)/12)</f>
        <v/>
      </c>
      <c r="P37" s="39">
        <f>P16*(Inputs!$B$42/12)*(1+Inputs!$B$48)^INT((COLUMNS($B$37:P37)-1)/12)</f>
        <v/>
      </c>
      <c r="Q37" s="39">
        <f>Q16*(Inputs!$B$42/12)*(1+Inputs!$B$48)^INT((COLUMNS($B$37:Q37)-1)/12)</f>
        <v/>
      </c>
      <c r="R37" s="39">
        <f>R16*(Inputs!$B$42/12)*(1+Inputs!$B$48)^INT((COLUMNS($B$37:R37)-1)/12)</f>
        <v/>
      </c>
      <c r="S37" s="39">
        <f>S16*(Inputs!$B$42/12)*(1+Inputs!$B$48)^INT((COLUMNS($B$37:S37)-1)/12)</f>
        <v/>
      </c>
      <c r="T37" s="39">
        <f>T16*(Inputs!$B$42/12)*(1+Inputs!$B$48)^INT((COLUMNS($B$37:T37)-1)/12)</f>
        <v/>
      </c>
      <c r="U37" s="39">
        <f>U16*(Inputs!$B$42/12)*(1+Inputs!$B$48)^INT((COLUMNS($B$37:U37)-1)/12)</f>
        <v/>
      </c>
      <c r="V37" s="39">
        <f>V16*(Inputs!$B$42/12)*(1+Inputs!$B$48)^INT((COLUMNS($B$37:V37)-1)/12)</f>
        <v/>
      </c>
      <c r="W37" s="39">
        <f>W16*(Inputs!$B$42/12)*(1+Inputs!$B$48)^INT((COLUMNS($B$37:W37)-1)/12)</f>
        <v/>
      </c>
      <c r="X37" s="39">
        <f>X16*(Inputs!$B$42/12)*(1+Inputs!$B$48)^INT((COLUMNS($B$37:X37)-1)/12)</f>
        <v/>
      </c>
      <c r="Y37" s="39">
        <f>Y16*(Inputs!$B$42/12)*(1+Inputs!$B$48)^INT((COLUMNS($B$37:Y37)-1)/12)</f>
        <v/>
      </c>
      <c r="Z37" s="39">
        <f>Z16*(Inputs!$B$42/12)*(1+Inputs!$B$48)^INT((COLUMNS($B$37:Z37)-1)/12)</f>
        <v/>
      </c>
      <c r="AA37" s="39">
        <f>AA16*(Inputs!$B$42/12)*(1+Inputs!$B$48)^INT((COLUMNS($B$37:AA37)-1)/12)</f>
        <v/>
      </c>
      <c r="AB37" s="39">
        <f>AB16*(Inputs!$B$42/12)*(1+Inputs!$B$48)^INT((COLUMNS($B$37:AB37)-1)/12)</f>
        <v/>
      </c>
      <c r="AC37" s="39">
        <f>AC16*(Inputs!$B$42/12)*(1+Inputs!$B$48)^INT((COLUMNS($B$37:AC37)-1)/12)</f>
        <v/>
      </c>
      <c r="AD37" s="39">
        <f>AD16*(Inputs!$B$42/12)*(1+Inputs!$B$48)^INT((COLUMNS($B$37:AD37)-1)/12)</f>
        <v/>
      </c>
      <c r="AE37" s="39">
        <f>AE16*(Inputs!$B$42/12)*(1+Inputs!$B$48)^INT((COLUMNS($B$37:AE37)-1)/12)</f>
        <v/>
      </c>
      <c r="AF37" s="39">
        <f>AF16*(Inputs!$B$42/12)*(1+Inputs!$B$48)^INT((COLUMNS($B$37:AF37)-1)/12)</f>
        <v/>
      </c>
      <c r="AG37" s="39">
        <f>AG16*(Inputs!$B$42/12)*(1+Inputs!$B$48)^INT((COLUMNS($B$37:AG37)-1)/12)</f>
        <v/>
      </c>
      <c r="AH37" s="39">
        <f>AH16*(Inputs!$B$42/12)*(1+Inputs!$B$48)^INT((COLUMNS($B$37:AH37)-1)/12)</f>
        <v/>
      </c>
      <c r="AI37" s="39">
        <f>AI16*(Inputs!$B$42/12)*(1+Inputs!$B$48)^INT((COLUMNS($B$37:AI37)-1)/12)</f>
        <v/>
      </c>
      <c r="AJ37" s="39">
        <f>AJ16*(Inputs!$B$42/12)*(1+Inputs!$B$48)^INT((COLUMNS($B$37:AJ37)-1)/12)</f>
        <v/>
      </c>
      <c r="AK37" s="39">
        <f>AK16*(Inputs!$B$42/12)*(1+Inputs!$B$48)^INT((COLUMNS($B$37:AK37)-1)/12)</f>
        <v/>
      </c>
      <c r="AL37" s="39">
        <f>AL16*(Inputs!$B$42/12)*(1+Inputs!$B$48)^INT((COLUMNS($B$37:AL37)-1)/12)</f>
        <v/>
      </c>
      <c r="AM37" s="39">
        <f>AM16*(Inputs!$B$42/12)*(1+Inputs!$B$48)^INT((COLUMNS($B$37:AM37)-1)/12)</f>
        <v/>
      </c>
      <c r="AN37" s="39">
        <f>AN16*(Inputs!$B$42/12)*(1+Inputs!$B$48)^INT((COLUMNS($B$37:AN37)-1)/12)</f>
        <v/>
      </c>
      <c r="AO37" s="39">
        <f>AO16*(Inputs!$B$42/12)*(1+Inputs!$B$48)^INT((COLUMNS($B$37:AO37)-1)/12)</f>
        <v/>
      </c>
      <c r="AP37" s="39">
        <f>AP16*(Inputs!$B$42/12)*(1+Inputs!$B$48)^INT((COLUMNS($B$37:AP37)-1)/12)</f>
        <v/>
      </c>
      <c r="AQ37" s="39">
        <f>AQ16*(Inputs!$B$42/12)*(1+Inputs!$B$48)^INT((COLUMNS($B$37:AQ37)-1)/12)</f>
        <v/>
      </c>
      <c r="AR37" s="39">
        <f>AR16*(Inputs!$B$42/12)*(1+Inputs!$B$48)^INT((COLUMNS($B$37:AR37)-1)/12)</f>
        <v/>
      </c>
      <c r="AS37" s="39">
        <f>AS16*(Inputs!$B$42/12)*(1+Inputs!$B$48)^INT((COLUMNS($B$37:AS37)-1)/12)</f>
        <v/>
      </c>
      <c r="AT37" s="39">
        <f>AT16*(Inputs!$B$42/12)*(1+Inputs!$B$48)^INT((COLUMNS($B$37:AT37)-1)/12)</f>
        <v/>
      </c>
      <c r="AU37" s="39">
        <f>AU16*(Inputs!$B$42/12)*(1+Inputs!$B$48)^INT((COLUMNS($B$37:AU37)-1)/12)</f>
        <v/>
      </c>
      <c r="AV37" s="39">
        <f>AV16*(Inputs!$B$42/12)*(1+Inputs!$B$48)^INT((COLUMNS($B$37:AV37)-1)/12)</f>
        <v/>
      </c>
      <c r="AW37" s="39">
        <f>AW16*(Inputs!$B$42/12)*(1+Inputs!$B$48)^INT((COLUMNS($B$37:AW37)-1)/12)</f>
        <v/>
      </c>
      <c r="AX37" s="39">
        <f>AX16*(Inputs!$B$42/12)*(1+Inputs!$B$48)^INT((COLUMNS($B$37:AX37)-1)/12)</f>
        <v/>
      </c>
      <c r="AY37" s="39">
        <f>AY16*(Inputs!$B$42/12)*(1+Inputs!$B$48)^INT((COLUMNS($B$37:AY37)-1)/12)</f>
        <v/>
      </c>
      <c r="AZ37" s="39">
        <f>AZ16*(Inputs!$B$42/12)*(1+Inputs!$B$48)^INT((COLUMNS($B$37:AZ37)-1)/12)</f>
        <v/>
      </c>
      <c r="BA37" s="39">
        <f>BA16*(Inputs!$B$42/12)*(1+Inputs!$B$48)^INT((COLUMNS($B$37:BA37)-1)/12)</f>
        <v/>
      </c>
    </row>
    <row r="38" ht="14.25" customHeight="1" s="214">
      <c r="A38" s="18" t="inlineStr">
        <is>
          <t>1. Marketing Assistant Gehalt</t>
        </is>
      </c>
      <c r="B38" s="39">
        <f>B17*(Inputs!$B$44/12)*(1+Inputs!$B$48)^INT((COLUMNS($B$38:B38)-1)/12)</f>
        <v/>
      </c>
      <c r="C38" s="39">
        <f>C17*(Inputs!$B$44/12)*(1+Inputs!$B$48)^INT((COLUMNS($B$38:C38)-1)/12)</f>
        <v/>
      </c>
      <c r="D38" s="39">
        <f>D17*(Inputs!$B$44/12)*(1+Inputs!$B$48)^INT((COLUMNS($B$38:D38)-1)/12)</f>
        <v/>
      </c>
      <c r="E38" s="39">
        <f>E17*(Inputs!$B$44/12)*(1+Inputs!$B$48)^INT((COLUMNS($B$38:E38)-1)/12)</f>
        <v/>
      </c>
      <c r="F38" s="39">
        <f>F17*(Inputs!$B$44/12)*(1+Inputs!$B$48)^INT((COLUMNS($B$38:F38)-1)/12)</f>
        <v/>
      </c>
      <c r="G38" s="39">
        <f>G17*(Inputs!$B$44/12)*(1+Inputs!$B$48)^INT((COLUMNS($B$38:G38)-1)/12)</f>
        <v/>
      </c>
      <c r="H38" s="39">
        <f>H17*(Inputs!$B$44/12)*(1+Inputs!$B$48)^INT((COLUMNS($B$38:H38)-1)/12)</f>
        <v/>
      </c>
      <c r="I38" s="39">
        <f>I17*(Inputs!$B$44/12)*(1+Inputs!$B$48)^INT((COLUMNS($B$38:I38)-1)/12)</f>
        <v/>
      </c>
      <c r="J38" s="39">
        <f>J17*(Inputs!$B$44/12)*(1+Inputs!$B$48)^INT((COLUMNS($B$38:J38)-1)/12)</f>
        <v/>
      </c>
      <c r="K38" s="39">
        <f>K17*(Inputs!$B$44/12)*(1+Inputs!$B$48)^INT((COLUMNS($B$38:K38)-1)/12)</f>
        <v/>
      </c>
      <c r="L38" s="39">
        <f>L17*(Inputs!$B$44/12)*(1+Inputs!$B$48)^INT((COLUMNS($B$38:L38)-1)/12)</f>
        <v/>
      </c>
      <c r="M38" s="39">
        <f>M17*(Inputs!$B$44/12)*(1+Inputs!$B$48)^INT((COLUMNS($B$38:M38)-1)/12)</f>
        <v/>
      </c>
      <c r="N38" s="39">
        <f>N17*(Inputs!$B$44/12)*(1+Inputs!$B$48)^INT((COLUMNS($B$38:N38)-1)/12)</f>
        <v/>
      </c>
      <c r="O38" s="39">
        <f>O17*(Inputs!$B$44/12)*(1+Inputs!$B$48)^INT((COLUMNS($B$38:O38)-1)/12)</f>
        <v/>
      </c>
      <c r="P38" s="39">
        <f>P17*(Inputs!$B$44/12)*(1+Inputs!$B$48)^INT((COLUMNS($B$38:P38)-1)/12)</f>
        <v/>
      </c>
      <c r="Q38" s="39">
        <f>Q17*(Inputs!$B$44/12)*(1+Inputs!$B$48)^INT((COLUMNS($B$38:Q38)-1)/12)</f>
        <v/>
      </c>
      <c r="R38" s="39">
        <f>R17*(Inputs!$B$44/12)*(1+Inputs!$B$48)^INT((COLUMNS($B$38:R38)-1)/12)</f>
        <v/>
      </c>
      <c r="S38" s="39">
        <f>S17*(Inputs!$B$44/12)*(1+Inputs!$B$48)^INT((COLUMNS($B$38:S38)-1)/12)</f>
        <v/>
      </c>
      <c r="T38" s="39">
        <f>T17*(Inputs!$B$44/12)*(1+Inputs!$B$48)^INT((COLUMNS($B$38:T38)-1)/12)</f>
        <v/>
      </c>
      <c r="U38" s="39">
        <f>U17*(Inputs!$B$44/12)*(1+Inputs!$B$48)^INT((COLUMNS($B$38:U38)-1)/12)</f>
        <v/>
      </c>
      <c r="V38" s="39">
        <f>V17*(Inputs!$B$44/12)*(1+Inputs!$B$48)^INT((COLUMNS($B$38:V38)-1)/12)</f>
        <v/>
      </c>
      <c r="W38" s="39">
        <f>W17*(Inputs!$B$44/12)*(1+Inputs!$B$48)^INT((COLUMNS($B$38:W38)-1)/12)</f>
        <v/>
      </c>
      <c r="X38" s="39">
        <f>X17*(Inputs!$B$44/12)*(1+Inputs!$B$48)^INT((COLUMNS($B$38:X38)-1)/12)</f>
        <v/>
      </c>
      <c r="Y38" s="39">
        <f>Y17*(Inputs!$B$44/12)*(1+Inputs!$B$48)^INT((COLUMNS($B$38:Y38)-1)/12)</f>
        <v/>
      </c>
      <c r="Z38" s="39">
        <f>Z17*(Inputs!$B$44/12)*(1+Inputs!$B$48)^INT((COLUMNS($B$38:Z38)-1)/12)</f>
        <v/>
      </c>
      <c r="AA38" s="39">
        <f>AA17*(Inputs!$B$44/12)*(1+Inputs!$B$48)^INT((COLUMNS($B$38:AA38)-1)/12)</f>
        <v/>
      </c>
      <c r="AB38" s="39">
        <f>AB17*(Inputs!$B$44/12)*(1+Inputs!$B$48)^INT((COLUMNS($B$38:AB38)-1)/12)</f>
        <v/>
      </c>
      <c r="AC38" s="39">
        <f>AC17*(Inputs!$B$44/12)*(1+Inputs!$B$48)^INT((COLUMNS($B$38:AC38)-1)/12)</f>
        <v/>
      </c>
      <c r="AD38" s="39">
        <f>AD17*(Inputs!$B$44/12)*(1+Inputs!$B$48)^INT((COLUMNS($B$38:AD38)-1)/12)</f>
        <v/>
      </c>
      <c r="AE38" s="39">
        <f>AE17*(Inputs!$B$44/12)*(1+Inputs!$B$48)^INT((COLUMNS($B$38:AE38)-1)/12)</f>
        <v/>
      </c>
      <c r="AF38" s="39">
        <f>AF17*(Inputs!$B$44/12)*(1+Inputs!$B$48)^INT((COLUMNS($B$38:AF38)-1)/12)</f>
        <v/>
      </c>
      <c r="AG38" s="39">
        <f>AG17*(Inputs!$B$44/12)*(1+Inputs!$B$48)^INT((COLUMNS($B$38:AG38)-1)/12)</f>
        <v/>
      </c>
      <c r="AH38" s="39">
        <f>AH17*(Inputs!$B$44/12)*(1+Inputs!$B$48)^INT((COLUMNS($B$38:AH38)-1)/12)</f>
        <v/>
      </c>
      <c r="AI38" s="39">
        <f>AI17*(Inputs!$B$44/12)*(1+Inputs!$B$48)^INT((COLUMNS($B$38:AI38)-1)/12)</f>
        <v/>
      </c>
      <c r="AJ38" s="39">
        <f>AJ17*(Inputs!$B$44/12)*(1+Inputs!$B$48)^INT((COLUMNS($B$38:AJ38)-1)/12)</f>
        <v/>
      </c>
      <c r="AK38" s="39">
        <f>AK17*(Inputs!$B$44/12)*(1+Inputs!$B$48)^INT((COLUMNS($B$38:AK38)-1)/12)</f>
        <v/>
      </c>
      <c r="AL38" s="39">
        <f>AL17*(Inputs!$B$44/12)*(1+Inputs!$B$48)^INT((COLUMNS($B$38:AL38)-1)/12)</f>
        <v/>
      </c>
      <c r="AM38" s="39">
        <f>AM17*(Inputs!$B$44/12)*(1+Inputs!$B$48)^INT((COLUMNS($B$38:AM38)-1)/12)</f>
        <v/>
      </c>
      <c r="AN38" s="39">
        <f>AN17*(Inputs!$B$44/12)*(1+Inputs!$B$48)^INT((COLUMNS($B$38:AN38)-1)/12)</f>
        <v/>
      </c>
      <c r="AO38" s="39">
        <f>AO17*(Inputs!$B$44/12)*(1+Inputs!$B$48)^INT((COLUMNS($B$38:AO38)-1)/12)</f>
        <v/>
      </c>
      <c r="AP38" s="39">
        <f>AP17*(Inputs!$B$44/12)*(1+Inputs!$B$48)^INT((COLUMNS($B$38:AP38)-1)/12)</f>
        <v/>
      </c>
      <c r="AQ38" s="39">
        <f>AQ17*(Inputs!$B$44/12)*(1+Inputs!$B$48)^INT((COLUMNS($B$38:AQ38)-1)/12)</f>
        <v/>
      </c>
      <c r="AR38" s="39">
        <f>AR17*(Inputs!$B$44/12)*(1+Inputs!$B$48)^INT((COLUMNS($B$38:AR38)-1)/12)</f>
        <v/>
      </c>
      <c r="AS38" s="39">
        <f>AS17*(Inputs!$B$44/12)*(1+Inputs!$B$48)^INT((COLUMNS($B$38:AS38)-1)/12)</f>
        <v/>
      </c>
      <c r="AT38" s="39">
        <f>AT17*(Inputs!$B$44/12)*(1+Inputs!$B$48)^INT((COLUMNS($B$38:AT38)-1)/12)</f>
        <v/>
      </c>
      <c r="AU38" s="39">
        <f>AU17*(Inputs!$B$44/12)*(1+Inputs!$B$48)^INT((COLUMNS($B$38:AU38)-1)/12)</f>
        <v/>
      </c>
      <c r="AV38" s="39">
        <f>AV17*(Inputs!$B$44/12)*(1+Inputs!$B$48)^INT((COLUMNS($B$38:AV38)-1)/12)</f>
        <v/>
      </c>
      <c r="AW38" s="39">
        <f>AW17*(Inputs!$B$44/12)*(1+Inputs!$B$48)^INT((COLUMNS($B$38:AW38)-1)/12)</f>
        <v/>
      </c>
      <c r="AX38" s="39">
        <f>AX17*(Inputs!$B$44/12)*(1+Inputs!$B$48)^INT((COLUMNS($B$38:AX38)-1)/12)</f>
        <v/>
      </c>
      <c r="AY38" s="39">
        <f>AY17*(Inputs!$B$44/12)*(1+Inputs!$B$48)^INT((COLUMNS($B$38:AY38)-1)/12)</f>
        <v/>
      </c>
      <c r="AZ38" s="39">
        <f>AZ17*(Inputs!$B$44/12)*(1+Inputs!$B$48)^INT((COLUMNS($B$38:AZ38)-1)/12)</f>
        <v/>
      </c>
      <c r="BA38" s="39">
        <f>BA17*(Inputs!$B$44/12)*(1+Inputs!$B$48)^INT((COLUMNS($B$38:BA38)-1)/12)</f>
        <v/>
      </c>
    </row>
    <row r="39" ht="14.25" customHeight="1" s="214">
      <c r="A39" s="193" t="inlineStr">
        <is>
          <t>2. Marketing Assistant Gehalt</t>
        </is>
      </c>
      <c r="B39" s="39">
        <f>B18*(Inputs!$B$44/12)*(1+Inputs!$B$48)^INT((COLUMNS($B$39:B39)-1)/12)</f>
        <v/>
      </c>
      <c r="C39" s="39">
        <f>C18*(Inputs!$B$44/12)*(1+Inputs!$B$48)^INT((COLUMNS($B$39:C39)-1)/12)</f>
        <v/>
      </c>
      <c r="D39" s="39">
        <f>D18*(Inputs!$B$44/12)*(1+Inputs!$B$48)^INT((COLUMNS($B$39:D39)-1)/12)</f>
        <v/>
      </c>
      <c r="E39" s="39">
        <f>E18*(Inputs!$B$44/12)*(1+Inputs!$B$48)^INT((COLUMNS($B$39:E39)-1)/12)</f>
        <v/>
      </c>
      <c r="F39" s="39">
        <f>F18*(Inputs!$B$44/12)*(1+Inputs!$B$48)^INT((COLUMNS($B$39:F39)-1)/12)</f>
        <v/>
      </c>
      <c r="G39" s="39">
        <f>G18*(Inputs!$B$44/12)*(1+Inputs!$B$48)^INT((COLUMNS($B$39:G39)-1)/12)</f>
        <v/>
      </c>
      <c r="H39" s="39">
        <f>H18*(Inputs!$B$44/12)*(1+Inputs!$B$48)^INT((COLUMNS($B$39:H39)-1)/12)</f>
        <v/>
      </c>
      <c r="I39" s="39">
        <f>I18*(Inputs!$B$44/12)*(1+Inputs!$B$48)^INT((COLUMNS($B$39:I39)-1)/12)</f>
        <v/>
      </c>
      <c r="J39" s="39">
        <f>J18*(Inputs!$B$44/12)*(1+Inputs!$B$48)^INT((COLUMNS($B$39:J39)-1)/12)</f>
        <v/>
      </c>
      <c r="K39" s="39">
        <f>K18*(Inputs!$B$44/12)*(1+Inputs!$B$48)^INT((COLUMNS($B$39:K39)-1)/12)</f>
        <v/>
      </c>
      <c r="L39" s="39">
        <f>L18*(Inputs!$B$44/12)*(1+Inputs!$B$48)^INT((COLUMNS($B$39:L39)-1)/12)</f>
        <v/>
      </c>
      <c r="M39" s="39">
        <f>M18*(Inputs!$B$44/12)*(1+Inputs!$B$48)^INT((COLUMNS($B$39:M39)-1)/12)</f>
        <v/>
      </c>
      <c r="N39" s="39">
        <f>N18*(Inputs!$B$44/12)*(1+Inputs!$B$48)^INT((COLUMNS($B$39:N39)-1)/12)</f>
        <v/>
      </c>
      <c r="O39" s="39">
        <f>O18*(Inputs!$B$44/12)*(1+Inputs!$B$48)^INT((COLUMNS($B$39:O39)-1)/12)</f>
        <v/>
      </c>
      <c r="P39" s="39">
        <f>P18*(Inputs!$B$44/12)*(1+Inputs!$B$48)^INT((COLUMNS($B$39:P39)-1)/12)</f>
        <v/>
      </c>
      <c r="Q39" s="39">
        <f>Q18*(Inputs!$B$44/12)*(1+Inputs!$B$48)^INT((COLUMNS($B$39:Q39)-1)/12)</f>
        <v/>
      </c>
      <c r="R39" s="39">
        <f>R18*(Inputs!$B$44/12)*(1+Inputs!$B$48)^INT((COLUMNS($B$39:R39)-1)/12)</f>
        <v/>
      </c>
      <c r="S39" s="39">
        <f>S18*(Inputs!$B$44/12)*(1+Inputs!$B$48)^INT((COLUMNS($B$39:S39)-1)/12)</f>
        <v/>
      </c>
      <c r="T39" s="39">
        <f>T18*(Inputs!$B$44/12)*(1+Inputs!$B$48)^INT((COLUMNS($B$39:T39)-1)/12)</f>
        <v/>
      </c>
      <c r="U39" s="39">
        <f>U18*(Inputs!$B$44/12)*(1+Inputs!$B$48)^INT((COLUMNS($B$39:U39)-1)/12)</f>
        <v/>
      </c>
      <c r="V39" s="39">
        <f>V18*(Inputs!$B$44/12)*(1+Inputs!$B$48)^INT((COLUMNS($B$39:V39)-1)/12)</f>
        <v/>
      </c>
      <c r="W39" s="39">
        <f>W18*(Inputs!$B$44/12)*(1+Inputs!$B$48)^INT((COLUMNS($B$39:W39)-1)/12)</f>
        <v/>
      </c>
      <c r="X39" s="39">
        <f>X18*(Inputs!$B$44/12)*(1+Inputs!$B$48)^INT((COLUMNS($B$39:X39)-1)/12)</f>
        <v/>
      </c>
      <c r="Y39" s="39">
        <f>Y18*(Inputs!$B$44/12)*(1+Inputs!$B$48)^INT((COLUMNS($B$39:Y39)-1)/12)</f>
        <v/>
      </c>
      <c r="Z39" s="39">
        <f>Z18*(Inputs!$B$44/12)*(1+Inputs!$B$48)^INT((COLUMNS($B$39:Z39)-1)/12)</f>
        <v/>
      </c>
      <c r="AA39" s="39">
        <f>AA18*(Inputs!$B$44/12)*(1+Inputs!$B$48)^INT((COLUMNS($B$39:AA39)-1)/12)</f>
        <v/>
      </c>
      <c r="AB39" s="39">
        <f>AB18*(Inputs!$B$44/12)*(1+Inputs!$B$48)^INT((COLUMNS($B$39:AB39)-1)/12)</f>
        <v/>
      </c>
      <c r="AC39" s="39">
        <f>AC18*(Inputs!$B$44/12)*(1+Inputs!$B$48)^INT((COLUMNS($B$39:AC39)-1)/12)</f>
        <v/>
      </c>
      <c r="AD39" s="39">
        <f>AD18*(Inputs!$B$44/12)*(1+Inputs!$B$48)^INT((COLUMNS($B$39:AD39)-1)/12)</f>
        <v/>
      </c>
      <c r="AE39" s="39">
        <f>AE18*(Inputs!$B$44/12)*(1+Inputs!$B$48)^INT((COLUMNS($B$39:AE39)-1)/12)</f>
        <v/>
      </c>
      <c r="AF39" s="39">
        <f>AF18*(Inputs!$B$44/12)*(1+Inputs!$B$48)^INT((COLUMNS($B$39:AF39)-1)/12)</f>
        <v/>
      </c>
      <c r="AG39" s="39">
        <f>AG18*(Inputs!$B$44/12)*(1+Inputs!$B$48)^INT((COLUMNS($B$39:AG39)-1)/12)</f>
        <v/>
      </c>
      <c r="AH39" s="39">
        <f>AH18*(Inputs!$B$44/12)*(1+Inputs!$B$48)^INT((COLUMNS($B$39:AH39)-1)/12)</f>
        <v/>
      </c>
      <c r="AI39" s="39">
        <f>AI18*(Inputs!$B$44/12)*(1+Inputs!$B$48)^INT((COLUMNS($B$39:AI39)-1)/12)</f>
        <v/>
      </c>
      <c r="AJ39" s="39">
        <f>AJ18*(Inputs!$B$44/12)*(1+Inputs!$B$48)^INT((COLUMNS($B$39:AJ39)-1)/12)</f>
        <v/>
      </c>
      <c r="AK39" s="39">
        <f>AK18*(Inputs!$B$44/12)*(1+Inputs!$B$48)^INT((COLUMNS($B$39:AK39)-1)/12)</f>
        <v/>
      </c>
      <c r="AL39" s="39">
        <f>AL18*(Inputs!$B$44/12)*(1+Inputs!$B$48)^INT((COLUMNS($B$39:AL39)-1)/12)</f>
        <v/>
      </c>
      <c r="AM39" s="39">
        <f>AM18*(Inputs!$B$44/12)*(1+Inputs!$B$48)^INT((COLUMNS($B$39:AM39)-1)/12)</f>
        <v/>
      </c>
      <c r="AN39" s="39">
        <f>AN18*(Inputs!$B$44/12)*(1+Inputs!$B$48)^INT((COLUMNS($B$39:AN39)-1)/12)</f>
        <v/>
      </c>
      <c r="AO39" s="39">
        <f>AO18*(Inputs!$B$44/12)*(1+Inputs!$B$48)^INT((COLUMNS($B$39:AO39)-1)/12)</f>
        <v/>
      </c>
      <c r="AP39" s="39">
        <f>AP18*(Inputs!$B$44/12)*(1+Inputs!$B$48)^INT((COLUMNS($B$39:AP39)-1)/12)</f>
        <v/>
      </c>
      <c r="AQ39" s="39">
        <f>AQ18*(Inputs!$B$44/12)*(1+Inputs!$B$48)^INT((COLUMNS($B$39:AQ39)-1)/12)</f>
        <v/>
      </c>
      <c r="AR39" s="39">
        <f>AR18*(Inputs!$B$44/12)*(1+Inputs!$B$48)^INT((COLUMNS($B$39:AR39)-1)/12)</f>
        <v/>
      </c>
      <c r="AS39" s="39">
        <f>AS18*(Inputs!$B$44/12)*(1+Inputs!$B$48)^INT((COLUMNS($B$39:AS39)-1)/12)</f>
        <v/>
      </c>
      <c r="AT39" s="39">
        <f>AT18*(Inputs!$B$44/12)*(1+Inputs!$B$48)^INT((COLUMNS($B$39:AT39)-1)/12)</f>
        <v/>
      </c>
      <c r="AU39" s="39">
        <f>AU18*(Inputs!$B$44/12)*(1+Inputs!$B$48)^INT((COLUMNS($B$39:AU39)-1)/12)</f>
        <v/>
      </c>
      <c r="AV39" s="39">
        <f>AV18*(Inputs!$B$44/12)*(1+Inputs!$B$48)^INT((COLUMNS($B$39:AV39)-1)/12)</f>
        <v/>
      </c>
      <c r="AW39" s="39">
        <f>AW18*(Inputs!$B$44/12)*(1+Inputs!$B$48)^INT((COLUMNS($B$39:AW39)-1)/12)</f>
        <v/>
      </c>
      <c r="AX39" s="39">
        <f>AX18*(Inputs!$B$44/12)*(1+Inputs!$B$48)^INT((COLUMNS($B$39:AX39)-1)/12)</f>
        <v/>
      </c>
      <c r="AY39" s="39">
        <f>AY18*(Inputs!$B$44/12)*(1+Inputs!$B$48)^INT((COLUMNS($B$39:AY39)-1)/12)</f>
        <v/>
      </c>
      <c r="AZ39" s="39">
        <f>AZ18*(Inputs!$B$44/12)*(1+Inputs!$B$48)^INT((COLUMNS($B$39:AZ39)-1)/12)</f>
        <v/>
      </c>
      <c r="BA39" s="39">
        <f>BA18*(Inputs!$B$44/12)*(1+Inputs!$B$48)^INT((COLUMNS($B$39:BA39)-1)/12)</f>
        <v/>
      </c>
    </row>
    <row r="40" ht="14.25" customHeight="1" s="214">
      <c r="A40" s="193" t="inlineStr">
        <is>
          <t>1. Marketing Manager Gehalt</t>
        </is>
      </c>
      <c r="B40" s="39">
        <f>B19*(Inputs!$B$43/12)*(1+Inputs!$B$48)^INT((COLUMNS($B$40:B40)-1)/12)</f>
        <v/>
      </c>
      <c r="C40" s="39">
        <f>C19*(Inputs!$B$43/12)*(1+Inputs!$B$48)^INT((COLUMNS($B$40:C40)-1)/12)</f>
        <v/>
      </c>
      <c r="D40" s="39">
        <f>D19*(Inputs!$B$43/12)*(1+Inputs!$B$48)^INT((COLUMNS($B$40:D40)-1)/12)</f>
        <v/>
      </c>
      <c r="E40" s="39">
        <f>E19*(Inputs!$B$43/12)*(1+Inputs!$B$48)^INT((COLUMNS($B$40:E40)-1)/12)</f>
        <v/>
      </c>
      <c r="F40" s="39">
        <f>F19*(Inputs!$B$43/12)*(1+Inputs!$B$48)^INT((COLUMNS($B$40:F40)-1)/12)</f>
        <v/>
      </c>
      <c r="G40" s="39">
        <f>G19*(Inputs!$B$43/12)*(1+Inputs!$B$48)^INT((COLUMNS($B$40:G40)-1)/12)</f>
        <v/>
      </c>
      <c r="H40" s="39">
        <f>H19*(Inputs!$B$43/12)*(1+Inputs!$B$48)^INT((COLUMNS($B$40:H40)-1)/12)</f>
        <v/>
      </c>
      <c r="I40" s="39">
        <f>I19*(Inputs!$B$43/12)*(1+Inputs!$B$48)^INT((COLUMNS($B$40:I40)-1)/12)</f>
        <v/>
      </c>
      <c r="J40" s="39">
        <f>J19*(Inputs!$B$43/12)*(1+Inputs!$B$48)^INT((COLUMNS($B$40:J40)-1)/12)</f>
        <v/>
      </c>
      <c r="K40" s="39">
        <f>K19*(Inputs!$B$43/12)*(1+Inputs!$B$48)^INT((COLUMNS($B$40:K40)-1)/12)</f>
        <v/>
      </c>
      <c r="L40" s="39">
        <f>L19*(Inputs!$B$43/12)*(1+Inputs!$B$48)^INT((COLUMNS($B$40:L40)-1)/12)</f>
        <v/>
      </c>
      <c r="M40" s="39">
        <f>M19*(Inputs!$B$43/12)*(1+Inputs!$B$48)^INT((COLUMNS($B$40:M40)-1)/12)</f>
        <v/>
      </c>
      <c r="N40" s="39">
        <f>N19*(Inputs!$B$43/12)*(1+Inputs!$B$48)^INT((COLUMNS($B$40:N40)-1)/12)</f>
        <v/>
      </c>
      <c r="O40" s="39">
        <f>O19*(Inputs!$B$43/12)*(1+Inputs!$B$48)^INT((COLUMNS($B$40:O40)-1)/12)</f>
        <v/>
      </c>
      <c r="P40" s="39">
        <f>P19*(Inputs!$B$43/12)*(1+Inputs!$B$48)^INT((COLUMNS($B$40:P40)-1)/12)</f>
        <v/>
      </c>
      <c r="Q40" s="39">
        <f>Q19*(Inputs!$B$43/12)*(1+Inputs!$B$48)^INT((COLUMNS($B$40:Q40)-1)/12)</f>
        <v/>
      </c>
      <c r="R40" s="39">
        <f>R19*(Inputs!$B$43/12)*(1+Inputs!$B$48)^INT((COLUMNS($B$40:R40)-1)/12)</f>
        <v/>
      </c>
      <c r="S40" s="39">
        <f>S19*(Inputs!$B$43/12)*(1+Inputs!$B$48)^INT((COLUMNS($B$40:S40)-1)/12)</f>
        <v/>
      </c>
      <c r="T40" s="39">
        <f>T19*(Inputs!$B$43/12)*(1+Inputs!$B$48)^INT((COLUMNS($B$40:T40)-1)/12)</f>
        <v/>
      </c>
      <c r="U40" s="39">
        <f>U19*(Inputs!$B$43/12)*(1+Inputs!$B$48)^INT((COLUMNS($B$40:U40)-1)/12)</f>
        <v/>
      </c>
      <c r="V40" s="39">
        <f>V19*(Inputs!$B$43/12)*(1+Inputs!$B$48)^INT((COLUMNS($B$40:V40)-1)/12)</f>
        <v/>
      </c>
      <c r="W40" s="39">
        <f>W19*(Inputs!$B$43/12)*(1+Inputs!$B$48)^INT((COLUMNS($B$40:W40)-1)/12)</f>
        <v/>
      </c>
      <c r="X40" s="39">
        <f>X19*(Inputs!$B$43/12)*(1+Inputs!$B$48)^INT((COLUMNS($B$40:X40)-1)/12)</f>
        <v/>
      </c>
      <c r="Y40" s="39">
        <f>Y19*(Inputs!$B$43/12)*(1+Inputs!$B$48)^INT((COLUMNS($B$40:Y40)-1)/12)</f>
        <v/>
      </c>
      <c r="Z40" s="39">
        <f>Z19*(Inputs!$B$43/12)*(1+Inputs!$B$48)^INT((COLUMNS($B$40:Z40)-1)/12)</f>
        <v/>
      </c>
      <c r="AA40" s="39">
        <f>AA19*(Inputs!$B$43/12)*(1+Inputs!$B$48)^INT((COLUMNS($B$40:AA40)-1)/12)</f>
        <v/>
      </c>
      <c r="AB40" s="39">
        <f>AB19*(Inputs!$B$43/12)*(1+Inputs!$B$48)^INT((COLUMNS($B$40:AB40)-1)/12)</f>
        <v/>
      </c>
      <c r="AC40" s="39">
        <f>AC19*(Inputs!$B$43/12)*(1+Inputs!$B$48)^INT((COLUMNS($B$40:AC40)-1)/12)</f>
        <v/>
      </c>
      <c r="AD40" s="39">
        <f>AD19*(Inputs!$B$43/12)*(1+Inputs!$B$48)^INT((COLUMNS($B$40:AD40)-1)/12)</f>
        <v/>
      </c>
      <c r="AE40" s="39">
        <f>AE19*(Inputs!$B$43/12)*(1+Inputs!$B$48)^INT((COLUMNS($B$40:AE40)-1)/12)</f>
        <v/>
      </c>
      <c r="AF40" s="39">
        <f>AF19*(Inputs!$B$43/12)*(1+Inputs!$B$48)^INT((COLUMNS($B$40:AF40)-1)/12)</f>
        <v/>
      </c>
      <c r="AG40" s="39">
        <f>AG19*(Inputs!$B$43/12)*(1+Inputs!$B$48)^INT((COLUMNS($B$40:AG40)-1)/12)</f>
        <v/>
      </c>
      <c r="AH40" s="39">
        <f>AH19*(Inputs!$B$43/12)*(1+Inputs!$B$48)^INT((COLUMNS($B$40:AH40)-1)/12)</f>
        <v/>
      </c>
      <c r="AI40" s="39">
        <f>AI19*(Inputs!$B$43/12)*(1+Inputs!$B$48)^INT((COLUMNS($B$40:AI40)-1)/12)</f>
        <v/>
      </c>
      <c r="AJ40" s="39">
        <f>AJ19*(Inputs!$B$43/12)*(1+Inputs!$B$48)^INT((COLUMNS($B$40:AJ40)-1)/12)</f>
        <v/>
      </c>
      <c r="AK40" s="39">
        <f>AK19*(Inputs!$B$43/12)*(1+Inputs!$B$48)^INT((COLUMNS($B$40:AK40)-1)/12)</f>
        <v/>
      </c>
      <c r="AL40" s="39">
        <f>AL19*(Inputs!$B$43/12)*(1+Inputs!$B$48)^INT((COLUMNS($B$40:AL40)-1)/12)</f>
        <v/>
      </c>
      <c r="AM40" s="39">
        <f>AM19*(Inputs!$B$43/12)*(1+Inputs!$B$48)^INT((COLUMNS($B$40:AM40)-1)/12)</f>
        <v/>
      </c>
      <c r="AN40" s="39">
        <f>AN19*(Inputs!$B$43/12)*(1+Inputs!$B$48)^INT((COLUMNS($B$40:AN40)-1)/12)</f>
        <v/>
      </c>
      <c r="AO40" s="39">
        <f>AO19*(Inputs!$B$43/12)*(1+Inputs!$B$48)^INT((COLUMNS($B$40:AO40)-1)/12)</f>
        <v/>
      </c>
      <c r="AP40" s="39">
        <f>AP19*(Inputs!$B$43/12)*(1+Inputs!$B$48)^INT((COLUMNS($B$40:AP40)-1)/12)</f>
        <v/>
      </c>
      <c r="AQ40" s="39">
        <f>AQ19*(Inputs!$B$43/12)*(1+Inputs!$B$48)^INT((COLUMNS($B$40:AQ40)-1)/12)</f>
        <v/>
      </c>
      <c r="AR40" s="39">
        <f>AR19*(Inputs!$B$43/12)*(1+Inputs!$B$48)^INT((COLUMNS($B$40:AR40)-1)/12)</f>
        <v/>
      </c>
      <c r="AS40" s="39">
        <f>AS19*(Inputs!$B$43/12)*(1+Inputs!$B$48)^INT((COLUMNS($B$40:AS40)-1)/12)</f>
        <v/>
      </c>
      <c r="AT40" s="39">
        <f>AT19*(Inputs!$B$43/12)*(1+Inputs!$B$48)^INT((COLUMNS($B$40:AT40)-1)/12)</f>
        <v/>
      </c>
      <c r="AU40" s="39">
        <f>AU19*(Inputs!$B$43/12)*(1+Inputs!$B$48)^INT((COLUMNS($B$40:AU40)-1)/12)</f>
        <v/>
      </c>
      <c r="AV40" s="39">
        <f>AV19*(Inputs!$B$43/12)*(1+Inputs!$B$48)^INT((COLUMNS($B$40:AV40)-1)/12)</f>
        <v/>
      </c>
      <c r="AW40" s="39">
        <f>AW19*(Inputs!$B$43/12)*(1+Inputs!$B$48)^INT((COLUMNS($B$40:AW40)-1)/12)</f>
        <v/>
      </c>
      <c r="AX40" s="39">
        <f>AX19*(Inputs!$B$43/12)*(1+Inputs!$B$48)^INT((COLUMNS($B$40:AX40)-1)/12)</f>
        <v/>
      </c>
      <c r="AY40" s="39">
        <f>AY19*(Inputs!$B$43/12)*(1+Inputs!$B$48)^INT((COLUMNS($B$40:AY40)-1)/12)</f>
        <v/>
      </c>
      <c r="AZ40" s="39">
        <f>AZ19*(Inputs!$B$43/12)*(1+Inputs!$B$48)^INT((COLUMNS($B$40:AZ40)-1)/12)</f>
        <v/>
      </c>
      <c r="BA40" s="39">
        <f>BA19*(Inputs!$B$43/12)*(1+Inputs!$B$48)^INT((COLUMNS($B$40:BA40)-1)/12)</f>
        <v/>
      </c>
    </row>
    <row r="41" ht="14.25" customHeight="1" s="214">
      <c r="A41" s="18" t="inlineStr">
        <is>
          <t>1. Office Manager Gehalt</t>
        </is>
      </c>
      <c r="B41" s="39">
        <f>B20*(Inputs!$B$46/12)*(1+Inputs!$B$48)^INT((COLUMNS($B$41:B41)-1)/12)</f>
        <v/>
      </c>
      <c r="C41" s="39">
        <f>C20*(Inputs!$B$46/12)*(1+Inputs!$B$48)^INT((COLUMNS($B$41:C41)-1)/12)</f>
        <v/>
      </c>
      <c r="D41" s="39">
        <f>D20*(Inputs!$B$46/12)*(1+Inputs!$B$48)^INT((COLUMNS($B$41:D41)-1)/12)</f>
        <v/>
      </c>
      <c r="E41" s="39">
        <f>E20*(Inputs!$B$46/12)*(1+Inputs!$B$48)^INT((COLUMNS($B$41:E41)-1)/12)</f>
        <v/>
      </c>
      <c r="F41" s="39">
        <f>F20*(Inputs!$B$46/12)*(1+Inputs!$B$48)^INT((COLUMNS($B$41:F41)-1)/12)</f>
        <v/>
      </c>
      <c r="G41" s="39">
        <f>G20*(Inputs!$B$46/12)*(1+Inputs!$B$48)^INT((COLUMNS($B$41:G41)-1)/12)</f>
        <v/>
      </c>
      <c r="H41" s="39">
        <f>H20*(Inputs!$B$46/12)*(1+Inputs!$B$48)^INT((COLUMNS($B$41:H41)-1)/12)</f>
        <v/>
      </c>
      <c r="I41" s="39">
        <f>I20*(Inputs!$B$46/12)*(1+Inputs!$B$48)^INT((COLUMNS($B$41:I41)-1)/12)</f>
        <v/>
      </c>
      <c r="J41" s="39">
        <f>J20*(Inputs!$B$46/12)*(1+Inputs!$B$48)^INT((COLUMNS($B$41:J41)-1)/12)</f>
        <v/>
      </c>
      <c r="K41" s="39">
        <f>K20*(Inputs!$B$46/12)*(1+Inputs!$B$48)^INT((COLUMNS($B$41:K41)-1)/12)</f>
        <v/>
      </c>
      <c r="L41" s="39">
        <f>L20*(Inputs!$B$46/12)*(1+Inputs!$B$48)^INT((COLUMNS($B$41:L41)-1)/12)</f>
        <v/>
      </c>
      <c r="M41" s="39">
        <f>M20*(Inputs!$B$46/12)*(1+Inputs!$B$48)^INT((COLUMNS($B$41:M41)-1)/12)</f>
        <v/>
      </c>
      <c r="N41" s="39">
        <f>N20*(Inputs!$B$46/12)*(1+Inputs!$B$48)^INT((COLUMNS($B$41:N41)-1)/12)</f>
        <v/>
      </c>
      <c r="O41" s="39">
        <f>O20*(Inputs!$B$46/12)*(1+Inputs!$B$48)^INT((COLUMNS($B$41:O41)-1)/12)</f>
        <v/>
      </c>
      <c r="P41" s="39">
        <f>P20*(Inputs!$B$46/12)*(1+Inputs!$B$48)^INT((COLUMNS($B$41:P41)-1)/12)</f>
        <v/>
      </c>
      <c r="Q41" s="39">
        <f>Q20*(Inputs!$B$46/12)*(1+Inputs!$B$48)^INT((COLUMNS($B$41:Q41)-1)/12)</f>
        <v/>
      </c>
      <c r="R41" s="39">
        <f>R20*(Inputs!$B$46/12)*(1+Inputs!$B$48)^INT((COLUMNS($B$41:R41)-1)/12)</f>
        <v/>
      </c>
      <c r="S41" s="39">
        <f>S20*(Inputs!$B$46/12)*(1+Inputs!$B$48)^INT((COLUMNS($B$41:S41)-1)/12)</f>
        <v/>
      </c>
      <c r="T41" s="39">
        <f>T20*(Inputs!$B$46/12)*(1+Inputs!$B$48)^INT((COLUMNS($B$41:T41)-1)/12)</f>
        <v/>
      </c>
      <c r="U41" s="39">
        <f>U20*(Inputs!$B$46/12)*(1+Inputs!$B$48)^INT((COLUMNS($B$41:U41)-1)/12)</f>
        <v/>
      </c>
      <c r="V41" s="39">
        <f>V20*(Inputs!$B$46/12)*(1+Inputs!$B$48)^INT((COLUMNS($B$41:V41)-1)/12)</f>
        <v/>
      </c>
      <c r="W41" s="39">
        <f>W20*(Inputs!$B$46/12)*(1+Inputs!$B$48)^INT((COLUMNS($B$41:W41)-1)/12)</f>
        <v/>
      </c>
      <c r="X41" s="39">
        <f>X20*(Inputs!$B$46/12)*(1+Inputs!$B$48)^INT((COLUMNS($B$41:X41)-1)/12)</f>
        <v/>
      </c>
      <c r="Y41" s="39">
        <f>Y20*(Inputs!$B$46/12)*(1+Inputs!$B$48)^INT((COLUMNS($B$41:Y41)-1)/12)</f>
        <v/>
      </c>
      <c r="Z41" s="39">
        <f>Z20*(Inputs!$B$46/12)*(1+Inputs!$B$48)^INT((COLUMNS($B$41:Z41)-1)/12)</f>
        <v/>
      </c>
      <c r="AA41" s="39">
        <f>AA20*(Inputs!$B$46/12)*(1+Inputs!$B$48)^INT((COLUMNS($B$41:AA41)-1)/12)</f>
        <v/>
      </c>
      <c r="AB41" s="39">
        <f>AB20*(Inputs!$B$46/12)*(1+Inputs!$B$48)^INT((COLUMNS($B$41:AB41)-1)/12)</f>
        <v/>
      </c>
      <c r="AC41" s="39">
        <f>AC20*(Inputs!$B$46/12)*(1+Inputs!$B$48)^INT((COLUMNS($B$41:AC41)-1)/12)</f>
        <v/>
      </c>
      <c r="AD41" s="39">
        <f>AD20*(Inputs!$B$46/12)*(1+Inputs!$B$48)^INT((COLUMNS($B$41:AD41)-1)/12)</f>
        <v/>
      </c>
      <c r="AE41" s="39">
        <f>AE20*(Inputs!$B$46/12)*(1+Inputs!$B$48)^INT((COLUMNS($B$41:AE41)-1)/12)</f>
        <v/>
      </c>
      <c r="AF41" s="39">
        <f>AF20*(Inputs!$B$46/12)*(1+Inputs!$B$48)^INT((COLUMNS($B$41:AF41)-1)/12)</f>
        <v/>
      </c>
      <c r="AG41" s="39">
        <f>AG20*(Inputs!$B$46/12)*(1+Inputs!$B$48)^INT((COLUMNS($B$41:AG41)-1)/12)</f>
        <v/>
      </c>
      <c r="AH41" s="39">
        <f>AH20*(Inputs!$B$46/12)*(1+Inputs!$B$48)^INT((COLUMNS($B$41:AH41)-1)/12)</f>
        <v/>
      </c>
      <c r="AI41" s="39">
        <f>AI20*(Inputs!$B$46/12)*(1+Inputs!$B$48)^INT((COLUMNS($B$41:AI41)-1)/12)</f>
        <v/>
      </c>
      <c r="AJ41" s="39">
        <f>AJ20*(Inputs!$B$46/12)*(1+Inputs!$B$48)^INT((COLUMNS($B$41:AJ41)-1)/12)</f>
        <v/>
      </c>
      <c r="AK41" s="39">
        <f>AK20*(Inputs!$B$46/12)*(1+Inputs!$B$48)^INT((COLUMNS($B$41:AK41)-1)/12)</f>
        <v/>
      </c>
      <c r="AL41" s="39">
        <f>AL20*(Inputs!$B$46/12)*(1+Inputs!$B$48)^INT((COLUMNS($B$41:AL41)-1)/12)</f>
        <v/>
      </c>
      <c r="AM41" s="39">
        <f>AM20*(Inputs!$B$46/12)*(1+Inputs!$B$48)^INT((COLUMNS($B$41:AM41)-1)/12)</f>
        <v/>
      </c>
      <c r="AN41" s="39">
        <f>AN20*(Inputs!$B$46/12)*(1+Inputs!$B$48)^INT((COLUMNS($B$41:AN41)-1)/12)</f>
        <v/>
      </c>
      <c r="AO41" s="39">
        <f>AO20*(Inputs!$B$46/12)*(1+Inputs!$B$48)^INT((COLUMNS($B$41:AO41)-1)/12)</f>
        <v/>
      </c>
      <c r="AP41" s="39">
        <f>AP20*(Inputs!$B$46/12)*(1+Inputs!$B$48)^INT((COLUMNS($B$41:AP41)-1)/12)</f>
        <v/>
      </c>
      <c r="AQ41" s="39">
        <f>AQ20*(Inputs!$B$46/12)*(1+Inputs!$B$48)^INT((COLUMNS($B$41:AQ41)-1)/12)</f>
        <v/>
      </c>
      <c r="AR41" s="39">
        <f>AR20*(Inputs!$B$46/12)*(1+Inputs!$B$48)^INT((COLUMNS($B$41:AR41)-1)/12)</f>
        <v/>
      </c>
      <c r="AS41" s="39">
        <f>AS20*(Inputs!$B$46/12)*(1+Inputs!$B$48)^INT((COLUMNS($B$41:AS41)-1)/12)</f>
        <v/>
      </c>
      <c r="AT41" s="39">
        <f>AT20*(Inputs!$B$46/12)*(1+Inputs!$B$48)^INT((COLUMNS($B$41:AT41)-1)/12)</f>
        <v/>
      </c>
      <c r="AU41" s="39">
        <f>AU20*(Inputs!$B$46/12)*(1+Inputs!$B$48)^INT((COLUMNS($B$41:AU41)-1)/12)</f>
        <v/>
      </c>
      <c r="AV41" s="39">
        <f>AV20*(Inputs!$B$46/12)*(1+Inputs!$B$48)^INT((COLUMNS($B$41:AV41)-1)/12)</f>
        <v/>
      </c>
      <c r="AW41" s="39">
        <f>AW20*(Inputs!$B$46/12)*(1+Inputs!$B$48)^INT((COLUMNS($B$41:AW41)-1)/12)</f>
        <v/>
      </c>
      <c r="AX41" s="39">
        <f>AX20*(Inputs!$B$46/12)*(1+Inputs!$B$48)^INT((COLUMNS($B$41:AX41)-1)/12)</f>
        <v/>
      </c>
      <c r="AY41" s="39">
        <f>AY20*(Inputs!$B$46/12)*(1+Inputs!$B$48)^INT((COLUMNS($B$41:AY41)-1)/12)</f>
        <v/>
      </c>
      <c r="AZ41" s="39">
        <f>AZ20*(Inputs!$B$46/12)*(1+Inputs!$B$48)^INT((COLUMNS($B$41:AZ41)-1)/12)</f>
        <v/>
      </c>
      <c r="BA41" s="39">
        <f>BA20*(Inputs!$B$46/12)*(1+Inputs!$B$48)^INT((COLUMNS($B$41:BA41)-1)/12)</f>
        <v/>
      </c>
    </row>
    <row r="42" ht="14.25" customHeight="1" s="214">
      <c r="A42" s="18" t="inlineStr">
        <is>
          <t>1. Customer Success Gehalt</t>
        </is>
      </c>
      <c r="B42" s="39">
        <f>B21*(Inputs!$B$45/12)*(1+Inputs!$B$48)^INT((COLUMNS($B$42:B42)-1)/12)</f>
        <v/>
      </c>
      <c r="C42" s="39">
        <f>C21*(Inputs!$B$45/12)*(1+Inputs!$B$48)^INT((COLUMNS($B$42:C42)-1)/12)</f>
        <v/>
      </c>
      <c r="D42" s="39">
        <f>D21*(Inputs!$B$45/12)*(1+Inputs!$B$48)^INT((COLUMNS($B$42:D42)-1)/12)</f>
        <v/>
      </c>
      <c r="E42" s="39">
        <f>E21*(Inputs!$B$45/12)*(1+Inputs!$B$48)^INT((COLUMNS($B$42:E42)-1)/12)</f>
        <v/>
      </c>
      <c r="F42" s="39">
        <f>F21*(Inputs!$B$45/12)*(1+Inputs!$B$48)^INT((COLUMNS($B$42:F42)-1)/12)</f>
        <v/>
      </c>
      <c r="G42" s="39">
        <f>G21*(Inputs!$B$45/12)*(1+Inputs!$B$48)^INT((COLUMNS($B$42:G42)-1)/12)</f>
        <v/>
      </c>
      <c r="H42" s="39">
        <f>H21*(Inputs!$B$45/12)*(1+Inputs!$B$48)^INT((COLUMNS($B$42:H42)-1)/12)</f>
        <v/>
      </c>
      <c r="I42" s="39">
        <f>I21*(Inputs!$B$45/12)*(1+Inputs!$B$48)^INT((COLUMNS($B$42:I42)-1)/12)</f>
        <v/>
      </c>
      <c r="J42" s="39">
        <f>J21*(Inputs!$B$45/12)*(1+Inputs!$B$48)^INT((COLUMNS($B$42:J42)-1)/12)</f>
        <v/>
      </c>
      <c r="K42" s="39">
        <f>K21*(Inputs!$B$45/12)*(1+Inputs!$B$48)^INT((COLUMNS($B$42:K42)-1)/12)</f>
        <v/>
      </c>
      <c r="L42" s="39">
        <f>L21*(Inputs!$B$45/12)*(1+Inputs!$B$48)^INT((COLUMNS($B$42:L42)-1)/12)</f>
        <v/>
      </c>
      <c r="M42" s="39">
        <f>M21*(Inputs!$B$45/12)*(1+Inputs!$B$48)^INT((COLUMNS($B$42:M42)-1)/12)</f>
        <v/>
      </c>
      <c r="N42" s="39">
        <f>N21*(Inputs!$B$45/12)*(1+Inputs!$B$48)^INT((COLUMNS($B$42:N42)-1)/12)</f>
        <v/>
      </c>
      <c r="O42" s="39">
        <f>O21*(Inputs!$B$45/12)*(1+Inputs!$B$48)^INT((COLUMNS($B$42:O42)-1)/12)</f>
        <v/>
      </c>
      <c r="P42" s="39">
        <f>P21*(Inputs!$B$45/12)*(1+Inputs!$B$48)^INT((COLUMNS($B$42:P42)-1)/12)</f>
        <v/>
      </c>
      <c r="Q42" s="39">
        <f>Q21*(Inputs!$B$45/12)*(1+Inputs!$B$48)^INT((COLUMNS($B$42:Q42)-1)/12)</f>
        <v/>
      </c>
      <c r="R42" s="39">
        <f>R21*(Inputs!$B$45/12)*(1+Inputs!$B$48)^INT((COLUMNS($B$42:R42)-1)/12)</f>
        <v/>
      </c>
      <c r="S42" s="39">
        <f>S21*(Inputs!$B$45/12)*(1+Inputs!$B$48)^INT((COLUMNS($B$42:S42)-1)/12)</f>
        <v/>
      </c>
      <c r="T42" s="39">
        <f>T21*(Inputs!$B$45/12)*(1+Inputs!$B$48)^INT((COLUMNS($B$42:T42)-1)/12)</f>
        <v/>
      </c>
      <c r="U42" s="39">
        <f>U21*(Inputs!$B$45/12)*(1+Inputs!$B$48)^INT((COLUMNS($B$42:U42)-1)/12)</f>
        <v/>
      </c>
      <c r="V42" s="39">
        <f>V21*(Inputs!$B$45/12)*(1+Inputs!$B$48)^INT((COLUMNS($B$42:V42)-1)/12)</f>
        <v/>
      </c>
      <c r="W42" s="39">
        <f>W21*(Inputs!$B$45/12)*(1+Inputs!$B$48)^INT((COLUMNS($B$42:W42)-1)/12)</f>
        <v/>
      </c>
      <c r="X42" s="39">
        <f>X21*(Inputs!$B$45/12)*(1+Inputs!$B$48)^INT((COLUMNS($B$42:X42)-1)/12)</f>
        <v/>
      </c>
      <c r="Y42" s="39">
        <f>Y21*(Inputs!$B$45/12)*(1+Inputs!$B$48)^INT((COLUMNS($B$42:Y42)-1)/12)</f>
        <v/>
      </c>
      <c r="Z42" s="39">
        <f>Z21*(Inputs!$B$45/12)*(1+Inputs!$B$48)^INT((COLUMNS($B$42:Z42)-1)/12)</f>
        <v/>
      </c>
      <c r="AA42" s="39">
        <f>AA21*(Inputs!$B$45/12)*(1+Inputs!$B$48)^INT((COLUMNS($B$42:AA42)-1)/12)</f>
        <v/>
      </c>
      <c r="AB42" s="39">
        <f>AB21*(Inputs!$B$45/12)*(1+Inputs!$B$48)^INT((COLUMNS($B$42:AB42)-1)/12)</f>
        <v/>
      </c>
      <c r="AC42" s="39">
        <f>AC21*(Inputs!$B$45/12)*(1+Inputs!$B$48)^INT((COLUMNS($B$42:AC42)-1)/12)</f>
        <v/>
      </c>
      <c r="AD42" s="39">
        <f>AD21*(Inputs!$B$45/12)*(1+Inputs!$B$48)^INT((COLUMNS($B$42:AD42)-1)/12)</f>
        <v/>
      </c>
      <c r="AE42" s="39">
        <f>AE21*(Inputs!$B$45/12)*(1+Inputs!$B$48)^INT((COLUMNS($B$42:AE42)-1)/12)</f>
        <v/>
      </c>
      <c r="AF42" s="39">
        <f>AF21*(Inputs!$B$45/12)*(1+Inputs!$B$48)^INT((COLUMNS($B$42:AF42)-1)/12)</f>
        <v/>
      </c>
      <c r="AG42" s="39">
        <f>AG21*(Inputs!$B$45/12)*(1+Inputs!$B$48)^INT((COLUMNS($B$42:AG42)-1)/12)</f>
        <v/>
      </c>
      <c r="AH42" s="39">
        <f>AH21*(Inputs!$B$45/12)*(1+Inputs!$B$48)^INT((COLUMNS($B$42:AH42)-1)/12)</f>
        <v/>
      </c>
      <c r="AI42" s="39">
        <f>AI21*(Inputs!$B$45/12)*(1+Inputs!$B$48)^INT((COLUMNS($B$42:AI42)-1)/12)</f>
        <v/>
      </c>
      <c r="AJ42" s="39">
        <f>AJ21*(Inputs!$B$45/12)*(1+Inputs!$B$48)^INT((COLUMNS($B$42:AJ42)-1)/12)</f>
        <v/>
      </c>
      <c r="AK42" s="39">
        <f>AK21*(Inputs!$B$45/12)*(1+Inputs!$B$48)^INT((COLUMNS($B$42:AK42)-1)/12)</f>
        <v/>
      </c>
      <c r="AL42" s="39">
        <f>AL21*(Inputs!$B$45/12)*(1+Inputs!$B$48)^INT((COLUMNS($B$42:AL42)-1)/12)</f>
        <v/>
      </c>
      <c r="AM42" s="39">
        <f>AM21*(Inputs!$B$45/12)*(1+Inputs!$B$48)^INT((COLUMNS($B$42:AM42)-1)/12)</f>
        <v/>
      </c>
      <c r="AN42" s="39">
        <f>AN21*(Inputs!$B$45/12)*(1+Inputs!$B$48)^INT((COLUMNS($B$42:AN42)-1)/12)</f>
        <v/>
      </c>
      <c r="AO42" s="39">
        <f>AO21*(Inputs!$B$45/12)*(1+Inputs!$B$48)^INT((COLUMNS($B$42:AO42)-1)/12)</f>
        <v/>
      </c>
      <c r="AP42" s="39">
        <f>AP21*(Inputs!$B$45/12)*(1+Inputs!$B$48)^INT((COLUMNS($B$42:AP42)-1)/12)</f>
        <v/>
      </c>
      <c r="AQ42" s="39">
        <f>AQ21*(Inputs!$B$45/12)*(1+Inputs!$B$48)^INT((COLUMNS($B$42:AQ42)-1)/12)</f>
        <v/>
      </c>
      <c r="AR42" s="39">
        <f>AR21*(Inputs!$B$45/12)*(1+Inputs!$B$48)^INT((COLUMNS($B$42:AR42)-1)/12)</f>
        <v/>
      </c>
      <c r="AS42" s="39">
        <f>AS21*(Inputs!$B$45/12)*(1+Inputs!$B$48)^INT((COLUMNS($B$42:AS42)-1)/12)</f>
        <v/>
      </c>
      <c r="AT42" s="39">
        <f>AT21*(Inputs!$B$45/12)*(1+Inputs!$B$48)^INT((COLUMNS($B$42:AT42)-1)/12)</f>
        <v/>
      </c>
      <c r="AU42" s="39">
        <f>AU21*(Inputs!$B$45/12)*(1+Inputs!$B$48)^INT((COLUMNS($B$42:AU42)-1)/12)</f>
        <v/>
      </c>
      <c r="AV42" s="39">
        <f>AV21*(Inputs!$B$45/12)*(1+Inputs!$B$48)^INT((COLUMNS($B$42:AV42)-1)/12)</f>
        <v/>
      </c>
      <c r="AW42" s="39">
        <f>AW21*(Inputs!$B$45/12)*(1+Inputs!$B$48)^INT((COLUMNS($B$42:AW42)-1)/12)</f>
        <v/>
      </c>
      <c r="AX42" s="39">
        <f>AX21*(Inputs!$B$45/12)*(1+Inputs!$B$48)^INT((COLUMNS($B$42:AX42)-1)/12)</f>
        <v/>
      </c>
      <c r="AY42" s="39">
        <f>AY21*(Inputs!$B$45/12)*(1+Inputs!$B$48)^INT((COLUMNS($B$42:AY42)-1)/12)</f>
        <v/>
      </c>
      <c r="AZ42" s="39">
        <f>AZ21*(Inputs!$B$45/12)*(1+Inputs!$B$48)^INT((COLUMNS($B$42:AZ42)-1)/12)</f>
        <v/>
      </c>
      <c r="BA42" s="39">
        <f>BA21*(Inputs!$B$45/12)*(1+Inputs!$B$48)^INT((COLUMNS($B$42:BA42)-1)/12)</f>
        <v/>
      </c>
    </row>
    <row r="43" ht="14.25" customHeight="1" s="214">
      <c r="A43" s="18" t="inlineStr">
        <is>
          <t>1. Finance Manager Gehalt</t>
        </is>
      </c>
      <c r="B43" s="39">
        <f>B22*(Inputs!$B$47/12)*(1+Inputs!$B$48)^INT((COLUMNS($B$43:B43)-1)/12)</f>
        <v/>
      </c>
      <c r="C43" s="39">
        <f>C22*(Inputs!$B$47/12)*(1+Inputs!$B$48)^INT((COLUMNS($B$43:C43)-1)/12)</f>
        <v/>
      </c>
      <c r="D43" s="39">
        <f>D22*(Inputs!$B$47/12)*(1+Inputs!$B$48)^INT((COLUMNS($B$43:D43)-1)/12)</f>
        <v/>
      </c>
      <c r="E43" s="39">
        <f>E22*(Inputs!$B$47/12)*(1+Inputs!$B$48)^INT((COLUMNS($B$43:E43)-1)/12)</f>
        <v/>
      </c>
      <c r="F43" s="39">
        <f>F22*(Inputs!$B$47/12)*(1+Inputs!$B$48)^INT((COLUMNS($B$43:F43)-1)/12)</f>
        <v/>
      </c>
      <c r="G43" s="39">
        <f>G22*(Inputs!$B$47/12)*(1+Inputs!$B$48)^INT((COLUMNS($B$43:G43)-1)/12)</f>
        <v/>
      </c>
      <c r="H43" s="39">
        <f>H22*(Inputs!$B$47/12)*(1+Inputs!$B$48)^INT((COLUMNS($B$43:H43)-1)/12)</f>
        <v/>
      </c>
      <c r="I43" s="39">
        <f>I22*(Inputs!$B$47/12)*(1+Inputs!$B$48)^INT((COLUMNS($B$43:I43)-1)/12)</f>
        <v/>
      </c>
      <c r="J43" s="39">
        <f>J22*(Inputs!$B$47/12)*(1+Inputs!$B$48)^INT((COLUMNS($B$43:J43)-1)/12)</f>
        <v/>
      </c>
      <c r="K43" s="39">
        <f>K22*(Inputs!$B$47/12)*(1+Inputs!$B$48)^INT((COLUMNS($B$43:K43)-1)/12)</f>
        <v/>
      </c>
      <c r="L43" s="39">
        <f>L22*(Inputs!$B$47/12)*(1+Inputs!$B$48)^INT((COLUMNS($B$43:L43)-1)/12)</f>
        <v/>
      </c>
      <c r="M43" s="39">
        <f>M22*(Inputs!$B$47/12)*(1+Inputs!$B$48)^INT((COLUMNS($B$43:M43)-1)/12)</f>
        <v/>
      </c>
      <c r="N43" s="39">
        <f>N22*(Inputs!$B$47/12)*(1+Inputs!$B$48)^INT((COLUMNS($B$43:N43)-1)/12)</f>
        <v/>
      </c>
      <c r="O43" s="39">
        <f>O22*(Inputs!$B$47/12)*(1+Inputs!$B$48)^INT((COLUMNS($B$43:O43)-1)/12)</f>
        <v/>
      </c>
      <c r="P43" s="39">
        <f>P22*(Inputs!$B$47/12)*(1+Inputs!$B$48)^INT((COLUMNS($B$43:P43)-1)/12)</f>
        <v/>
      </c>
      <c r="Q43" s="39">
        <f>Q22*(Inputs!$B$47/12)*(1+Inputs!$B$48)^INT((COLUMNS($B$43:Q43)-1)/12)</f>
        <v/>
      </c>
      <c r="R43" s="39">
        <f>R22*(Inputs!$B$47/12)*(1+Inputs!$B$48)^INT((COLUMNS($B$43:R43)-1)/12)</f>
        <v/>
      </c>
      <c r="S43" s="39">
        <f>S22*(Inputs!$B$47/12)*(1+Inputs!$B$48)^INT((COLUMNS($B$43:S43)-1)/12)</f>
        <v/>
      </c>
      <c r="T43" s="39">
        <f>T22*(Inputs!$B$47/12)*(1+Inputs!$B$48)^INT((COLUMNS($B$43:T43)-1)/12)</f>
        <v/>
      </c>
      <c r="U43" s="39">
        <f>U22*(Inputs!$B$47/12)*(1+Inputs!$B$48)^INT((COLUMNS($B$43:U43)-1)/12)</f>
        <v/>
      </c>
      <c r="V43" s="39">
        <f>V22*(Inputs!$B$47/12)*(1+Inputs!$B$48)^INT((COLUMNS($B$43:V43)-1)/12)</f>
        <v/>
      </c>
      <c r="W43" s="39">
        <f>W22*(Inputs!$B$47/12)*(1+Inputs!$B$48)^INT((COLUMNS($B$43:W43)-1)/12)</f>
        <v/>
      </c>
      <c r="X43" s="39">
        <f>X22*(Inputs!$B$47/12)*(1+Inputs!$B$48)^INT((COLUMNS($B$43:X43)-1)/12)</f>
        <v/>
      </c>
      <c r="Y43" s="39">
        <f>Y22*(Inputs!$B$47/12)*(1+Inputs!$B$48)^INT((COLUMNS($B$43:Y43)-1)/12)</f>
        <v/>
      </c>
      <c r="Z43" s="39">
        <f>Z22*(Inputs!$B$47/12)*(1+Inputs!$B$48)^INT((COLUMNS($B$43:Z43)-1)/12)</f>
        <v/>
      </c>
      <c r="AA43" s="39">
        <f>AA22*(Inputs!$B$47/12)*(1+Inputs!$B$48)^INT((COLUMNS($B$43:AA43)-1)/12)</f>
        <v/>
      </c>
      <c r="AB43" s="39">
        <f>AB22*(Inputs!$B$47/12)*(1+Inputs!$B$48)^INT((COLUMNS($B$43:AB43)-1)/12)</f>
        <v/>
      </c>
      <c r="AC43" s="39">
        <f>AC22*(Inputs!$B$47/12)*(1+Inputs!$B$48)^INT((COLUMNS($B$43:AC43)-1)/12)</f>
        <v/>
      </c>
      <c r="AD43" s="39">
        <f>AD22*(Inputs!$B$47/12)*(1+Inputs!$B$48)^INT((COLUMNS($B$43:AD43)-1)/12)</f>
        <v/>
      </c>
      <c r="AE43" s="39">
        <f>AE22*(Inputs!$B$47/12)*(1+Inputs!$B$48)^INT((COLUMNS($B$43:AE43)-1)/12)</f>
        <v/>
      </c>
      <c r="AF43" s="39">
        <f>AF22*(Inputs!$B$47/12)*(1+Inputs!$B$48)^INT((COLUMNS($B$43:AF43)-1)/12)</f>
        <v/>
      </c>
      <c r="AG43" s="39">
        <f>AG22*(Inputs!$B$47/12)*(1+Inputs!$B$48)^INT((COLUMNS($B$43:AG43)-1)/12)</f>
        <v/>
      </c>
      <c r="AH43" s="39">
        <f>AH22*(Inputs!$B$47/12)*(1+Inputs!$B$48)^INT((COLUMNS($B$43:AH43)-1)/12)</f>
        <v/>
      </c>
      <c r="AI43" s="39">
        <f>AI22*(Inputs!$B$47/12)*(1+Inputs!$B$48)^INT((COLUMNS($B$43:AI43)-1)/12)</f>
        <v/>
      </c>
      <c r="AJ43" s="39">
        <f>AJ22*(Inputs!$B$47/12)*(1+Inputs!$B$48)^INT((COLUMNS($B$43:AJ43)-1)/12)</f>
        <v/>
      </c>
      <c r="AK43" s="39">
        <f>AK22*(Inputs!$B$47/12)*(1+Inputs!$B$48)^INT((COLUMNS($B$43:AK43)-1)/12)</f>
        <v/>
      </c>
      <c r="AL43" s="39">
        <f>AL22*(Inputs!$B$47/12)*(1+Inputs!$B$48)^INT((COLUMNS($B$43:AL43)-1)/12)</f>
        <v/>
      </c>
      <c r="AM43" s="39">
        <f>AM22*(Inputs!$B$47/12)*(1+Inputs!$B$48)^INT((COLUMNS($B$43:AM43)-1)/12)</f>
        <v/>
      </c>
      <c r="AN43" s="39">
        <f>AN22*(Inputs!$B$47/12)*(1+Inputs!$B$48)^INT((COLUMNS($B$43:AN43)-1)/12)</f>
        <v/>
      </c>
      <c r="AO43" s="39">
        <f>AO22*(Inputs!$B$47/12)*(1+Inputs!$B$48)^INT((COLUMNS($B$43:AO43)-1)/12)</f>
        <v/>
      </c>
      <c r="AP43" s="39">
        <f>AP22*(Inputs!$B$47/12)*(1+Inputs!$B$48)^INT((COLUMNS($B$43:AP43)-1)/12)</f>
        <v/>
      </c>
      <c r="AQ43" s="39">
        <f>AQ22*(Inputs!$B$47/12)*(1+Inputs!$B$48)^INT((COLUMNS($B$43:AQ43)-1)/12)</f>
        <v/>
      </c>
      <c r="AR43" s="39">
        <f>AR22*(Inputs!$B$47/12)*(1+Inputs!$B$48)^INT((COLUMNS($B$43:AR43)-1)/12)</f>
        <v/>
      </c>
      <c r="AS43" s="39">
        <f>AS22*(Inputs!$B$47/12)*(1+Inputs!$B$48)^INT((COLUMNS($B$43:AS43)-1)/12)</f>
        <v/>
      </c>
      <c r="AT43" s="39">
        <f>AT22*(Inputs!$B$47/12)*(1+Inputs!$B$48)^INT((COLUMNS($B$43:AT43)-1)/12)</f>
        <v/>
      </c>
      <c r="AU43" s="39">
        <f>AU22*(Inputs!$B$47/12)*(1+Inputs!$B$48)^INT((COLUMNS($B$43:AU43)-1)/12)</f>
        <v/>
      </c>
      <c r="AV43" s="39">
        <f>AV22*(Inputs!$B$47/12)*(1+Inputs!$B$48)^INT((COLUMNS($B$43:AV43)-1)/12)</f>
        <v/>
      </c>
      <c r="AW43" s="39">
        <f>AW22*(Inputs!$B$47/12)*(1+Inputs!$B$48)^INT((COLUMNS($B$43:AW43)-1)/12)</f>
        <v/>
      </c>
      <c r="AX43" s="39">
        <f>AX22*(Inputs!$B$47/12)*(1+Inputs!$B$48)^INT((COLUMNS($B$43:AX43)-1)/12)</f>
        <v/>
      </c>
      <c r="AY43" s="39">
        <f>AY22*(Inputs!$B$47/12)*(1+Inputs!$B$48)^INT((COLUMNS($B$43:AY43)-1)/12)</f>
        <v/>
      </c>
      <c r="AZ43" s="39">
        <f>AZ22*(Inputs!$B$47/12)*(1+Inputs!$B$48)^INT((COLUMNS($B$43:AZ43)-1)/12)</f>
        <v/>
      </c>
      <c r="BA43" s="39">
        <f>BA22*(Inputs!$B$47/12)*(1+Inputs!$B$48)^INT((COLUMNS($B$43:BA43)-1)/12)</f>
        <v/>
      </c>
    </row>
    <row r="44" ht="14.25" customHeight="1" s="214">
      <c r="A44" s="2" t="inlineStr">
        <is>
          <t>Subtotal Brutto-Gehälter</t>
        </is>
      </c>
      <c r="B44" s="35">
        <f>SUM(B26:B43)</f>
        <v/>
      </c>
      <c r="C44" s="35">
        <f>SUM(C26:C43)</f>
        <v/>
      </c>
      <c r="D44" s="35">
        <f>SUM(D26:D43)</f>
        <v/>
      </c>
      <c r="E44" s="35">
        <f>SUM(E26:E43)</f>
        <v/>
      </c>
      <c r="F44" s="35">
        <f>SUM(F26:F43)</f>
        <v/>
      </c>
      <c r="G44" s="35">
        <f>SUM(G26:G43)</f>
        <v/>
      </c>
      <c r="H44" s="35">
        <f>SUM(H26:H43)</f>
        <v/>
      </c>
      <c r="I44" s="35">
        <f>SUM(I26:I43)</f>
        <v/>
      </c>
      <c r="J44" s="35">
        <f>SUM(J26:J43)</f>
        <v/>
      </c>
      <c r="K44" s="35">
        <f>SUM(K26:K43)</f>
        <v/>
      </c>
      <c r="L44" s="35">
        <f>SUM(L26:L43)</f>
        <v/>
      </c>
      <c r="M44" s="35">
        <f>SUM(M26:M43)</f>
        <v/>
      </c>
      <c r="N44" s="35">
        <f>SUM(N26:N43)</f>
        <v/>
      </c>
      <c r="O44" s="35">
        <f>SUM(O26:O43)</f>
        <v/>
      </c>
      <c r="P44" s="35">
        <f>SUM(P26:P43)</f>
        <v/>
      </c>
      <c r="Q44" s="35">
        <f>SUM(Q26:Q43)</f>
        <v/>
      </c>
      <c r="R44" s="35">
        <f>SUM(R26:R43)</f>
        <v/>
      </c>
      <c r="S44" s="35">
        <f>SUM(S26:S43)</f>
        <v/>
      </c>
      <c r="T44" s="35">
        <f>SUM(T26:T43)</f>
        <v/>
      </c>
      <c r="U44" s="35">
        <f>SUM(U26:U43)</f>
        <v/>
      </c>
      <c r="V44" s="35">
        <f>SUM(V26:V43)</f>
        <v/>
      </c>
      <c r="W44" s="35">
        <f>SUM(W26:W43)</f>
        <v/>
      </c>
      <c r="X44" s="35">
        <f>SUM(X26:X43)</f>
        <v/>
      </c>
      <c r="Y44" s="35">
        <f>SUM(Y26:Y43)</f>
        <v/>
      </c>
      <c r="Z44" s="35">
        <f>SUM(Z26:Z43)</f>
        <v/>
      </c>
      <c r="AA44" s="35">
        <f>SUM(AA26:AA43)</f>
        <v/>
      </c>
      <c r="AB44" s="35">
        <f>SUM(AB26:AB43)</f>
        <v/>
      </c>
      <c r="AC44" s="35">
        <f>SUM(AC26:AC43)</f>
        <v/>
      </c>
      <c r="AD44" s="35">
        <f>SUM(AD26:AD43)</f>
        <v/>
      </c>
      <c r="AE44" s="35">
        <f>SUM(AE26:AE43)</f>
        <v/>
      </c>
      <c r="AF44" s="35">
        <f>SUM(AF26:AF43)</f>
        <v/>
      </c>
      <c r="AG44" s="35">
        <f>SUM(AG26:AG43)</f>
        <v/>
      </c>
      <c r="AH44" s="35">
        <f>SUM(AH26:AH43)</f>
        <v/>
      </c>
      <c r="AI44" s="35">
        <f>SUM(AI26:AI43)</f>
        <v/>
      </c>
      <c r="AJ44" s="35">
        <f>SUM(AJ26:AJ43)</f>
        <v/>
      </c>
      <c r="AK44" s="35">
        <f>SUM(AK26:AK43)</f>
        <v/>
      </c>
      <c r="AL44" s="35">
        <f>SUM(AL26:AL43)</f>
        <v/>
      </c>
      <c r="AM44" s="35">
        <f>SUM(AM26:AM43)</f>
        <v/>
      </c>
      <c r="AN44" s="35">
        <f>SUM(AN26:AN43)</f>
        <v/>
      </c>
      <c r="AO44" s="35">
        <f>SUM(AO26:AO43)</f>
        <v/>
      </c>
      <c r="AP44" s="35">
        <f>SUM(AP26:AP43)</f>
        <v/>
      </c>
      <c r="AQ44" s="35">
        <f>SUM(AQ26:AQ43)</f>
        <v/>
      </c>
      <c r="AR44" s="35">
        <f>SUM(AR26:AR43)</f>
        <v/>
      </c>
      <c r="AS44" s="35">
        <f>SUM(AS26:AS43)</f>
        <v/>
      </c>
      <c r="AT44" s="35">
        <f>SUM(AT26:AT43)</f>
        <v/>
      </c>
      <c r="AU44" s="35">
        <f>SUM(AU26:AU43)</f>
        <v/>
      </c>
      <c r="AV44" s="35">
        <f>SUM(AV26:AV43)</f>
        <v/>
      </c>
      <c r="AW44" s="35">
        <f>SUM(AW26:AW43)</f>
        <v/>
      </c>
      <c r="AX44" s="35">
        <f>SUM(AX26:AX43)</f>
        <v/>
      </c>
      <c r="AY44" s="35">
        <f>SUM(AY26:AY43)</f>
        <v/>
      </c>
      <c r="AZ44" s="35">
        <f>SUM(AZ26:AZ43)</f>
        <v/>
      </c>
      <c r="BA44" s="35">
        <f>SUM(BA26:BA43)</f>
        <v/>
      </c>
    </row>
    <row r="45" ht="14.25" customHeight="1" s="214">
      <c r="A45" s="3" t="inlineStr">
        <is>
          <t>Lohnnebenkosten (AG-Anteil)</t>
        </is>
      </c>
      <c r="B45" s="35">
        <f>B44*Inputs!$B$49</f>
        <v/>
      </c>
      <c r="C45" s="35">
        <f>C44*Inputs!$B$49</f>
        <v/>
      </c>
      <c r="D45" s="35">
        <f>D44*Inputs!$B$49</f>
        <v/>
      </c>
      <c r="E45" s="35">
        <f>E44*Inputs!$B$49</f>
        <v/>
      </c>
      <c r="F45" s="35">
        <f>F44*Inputs!$B$49</f>
        <v/>
      </c>
      <c r="G45" s="35">
        <f>G44*Inputs!$B$49</f>
        <v/>
      </c>
      <c r="H45" s="35">
        <f>H44*Inputs!$B$49</f>
        <v/>
      </c>
      <c r="I45" s="35">
        <f>I44*Inputs!$B$49</f>
        <v/>
      </c>
      <c r="J45" s="35">
        <f>J44*Inputs!$B$49</f>
        <v/>
      </c>
      <c r="K45" s="35">
        <f>K44*Inputs!$B$49</f>
        <v/>
      </c>
      <c r="L45" s="35">
        <f>L44*Inputs!$B$49</f>
        <v/>
      </c>
      <c r="M45" s="35">
        <f>M44*Inputs!$B$49</f>
        <v/>
      </c>
      <c r="N45" s="35">
        <f>N44*Inputs!$B$49</f>
        <v/>
      </c>
      <c r="O45" s="35">
        <f>O44*Inputs!$B$49</f>
        <v/>
      </c>
      <c r="P45" s="35">
        <f>P44*Inputs!$B$49</f>
        <v/>
      </c>
      <c r="Q45" s="35">
        <f>Q44*Inputs!$B$49</f>
        <v/>
      </c>
      <c r="R45" s="35">
        <f>R44*Inputs!$B$49</f>
        <v/>
      </c>
      <c r="S45" s="35">
        <f>S44*Inputs!$B$49</f>
        <v/>
      </c>
      <c r="T45" s="35">
        <f>T44*Inputs!$B$49</f>
        <v/>
      </c>
      <c r="U45" s="35">
        <f>U44*Inputs!$B$49</f>
        <v/>
      </c>
      <c r="V45" s="35">
        <f>V44*Inputs!$B$49</f>
        <v/>
      </c>
      <c r="W45" s="35">
        <f>W44*Inputs!$B$49</f>
        <v/>
      </c>
      <c r="X45" s="35">
        <f>X44*Inputs!$B$49</f>
        <v/>
      </c>
      <c r="Y45" s="35">
        <f>Y44*Inputs!$B$49</f>
        <v/>
      </c>
      <c r="Z45" s="35">
        <f>Z44*Inputs!$B$49</f>
        <v/>
      </c>
      <c r="AA45" s="35">
        <f>AA44*Inputs!$B$49</f>
        <v/>
      </c>
      <c r="AB45" s="35">
        <f>AB44*Inputs!$B$49</f>
        <v/>
      </c>
      <c r="AC45" s="35">
        <f>AC44*Inputs!$B$49</f>
        <v/>
      </c>
      <c r="AD45" s="35">
        <f>AD44*Inputs!$B$49</f>
        <v/>
      </c>
      <c r="AE45" s="35">
        <f>AE44*Inputs!$B$49</f>
        <v/>
      </c>
      <c r="AF45" s="35">
        <f>AF44*Inputs!$B$49</f>
        <v/>
      </c>
      <c r="AG45" s="35">
        <f>AG44*Inputs!$B$49</f>
        <v/>
      </c>
      <c r="AH45" s="35">
        <f>AH44*Inputs!$B$49</f>
        <v/>
      </c>
      <c r="AI45" s="35">
        <f>AI44*Inputs!$B$49</f>
        <v/>
      </c>
      <c r="AJ45" s="35">
        <f>AJ44*Inputs!$B$49</f>
        <v/>
      </c>
      <c r="AK45" s="35">
        <f>AK44*Inputs!$B$49</f>
        <v/>
      </c>
      <c r="AL45" s="35">
        <f>AL44*Inputs!$B$49</f>
        <v/>
      </c>
      <c r="AM45" s="35">
        <f>AM44*Inputs!$B$49</f>
        <v/>
      </c>
      <c r="AN45" s="35">
        <f>AN44*Inputs!$B$49</f>
        <v/>
      </c>
      <c r="AO45" s="35">
        <f>AO44*Inputs!$B$49</f>
        <v/>
      </c>
      <c r="AP45" s="35">
        <f>AP44*Inputs!$B$49</f>
        <v/>
      </c>
      <c r="AQ45" s="35">
        <f>AQ44*Inputs!$B$49</f>
        <v/>
      </c>
      <c r="AR45" s="35">
        <f>AR44*Inputs!$B$49</f>
        <v/>
      </c>
      <c r="AS45" s="35">
        <f>AS44*Inputs!$B$49</f>
        <v/>
      </c>
      <c r="AT45" s="35">
        <f>AT44*Inputs!$B$49</f>
        <v/>
      </c>
      <c r="AU45" s="35">
        <f>AU44*Inputs!$B$49</f>
        <v/>
      </c>
      <c r="AV45" s="35">
        <f>AV44*Inputs!$B$49</f>
        <v/>
      </c>
      <c r="AW45" s="35">
        <f>AW44*Inputs!$B$49</f>
        <v/>
      </c>
      <c r="AX45" s="35">
        <f>AX44*Inputs!$B$49</f>
        <v/>
      </c>
      <c r="AY45" s="35">
        <f>AY44*Inputs!$B$49</f>
        <v/>
      </c>
      <c r="AZ45" s="35">
        <f>AZ44*Inputs!$B$49</f>
        <v/>
      </c>
      <c r="BA45" s="35">
        <f>BA44*Inputs!$B$49</f>
        <v/>
      </c>
    </row>
    <row r="46" ht="14.25" customHeight="1" s="214">
      <c r="A46" s="2" t="inlineStr">
        <is>
          <t>TOTAL PERSONALKOSTEN</t>
        </is>
      </c>
      <c r="B46" s="33">
        <f>B44+B45</f>
        <v/>
      </c>
      <c r="C46" s="33">
        <f>C44+C45</f>
        <v/>
      </c>
      <c r="D46" s="33">
        <f>D44+D45</f>
        <v/>
      </c>
      <c r="E46" s="33">
        <f>E44+E45</f>
        <v/>
      </c>
      <c r="F46" s="33">
        <f>F44+F45</f>
        <v/>
      </c>
      <c r="G46" s="33">
        <f>G44+G45</f>
        <v/>
      </c>
      <c r="H46" s="33">
        <f>H44+H45</f>
        <v/>
      </c>
      <c r="I46" s="33">
        <f>I44+I45</f>
        <v/>
      </c>
      <c r="J46" s="33">
        <f>J44+J45</f>
        <v/>
      </c>
      <c r="K46" s="33">
        <f>K44+K45</f>
        <v/>
      </c>
      <c r="L46" s="33">
        <f>L44+L45</f>
        <v/>
      </c>
      <c r="M46" s="33">
        <f>M44+M45</f>
        <v/>
      </c>
      <c r="N46" s="33">
        <f>N44+N45</f>
        <v/>
      </c>
      <c r="O46" s="33">
        <f>O44+O45</f>
        <v/>
      </c>
      <c r="P46" s="33">
        <f>P44+P45</f>
        <v/>
      </c>
      <c r="Q46" s="33">
        <f>Q44+Q45</f>
        <v/>
      </c>
      <c r="R46" s="33">
        <f>R44+R45</f>
        <v/>
      </c>
      <c r="S46" s="33">
        <f>S44+S45</f>
        <v/>
      </c>
      <c r="T46" s="33">
        <f>T44+T45</f>
        <v/>
      </c>
      <c r="U46" s="33">
        <f>U44+U45</f>
        <v/>
      </c>
      <c r="V46" s="33">
        <f>V44+V45</f>
        <v/>
      </c>
      <c r="W46" s="33">
        <f>W44+W45</f>
        <v/>
      </c>
      <c r="X46" s="33">
        <f>X44+X45</f>
        <v/>
      </c>
      <c r="Y46" s="33">
        <f>Y44+Y45</f>
        <v/>
      </c>
      <c r="Z46" s="33">
        <f>Z44+Z45</f>
        <v/>
      </c>
      <c r="AA46" s="33">
        <f>AA44+AA45</f>
        <v/>
      </c>
      <c r="AB46" s="33">
        <f>AB44+AB45</f>
        <v/>
      </c>
      <c r="AC46" s="33">
        <f>AC44+AC45</f>
        <v/>
      </c>
      <c r="AD46" s="33">
        <f>AD44+AD45</f>
        <v/>
      </c>
      <c r="AE46" s="33">
        <f>AE44+AE45</f>
        <v/>
      </c>
      <c r="AF46" s="33">
        <f>AF44+AF45</f>
        <v/>
      </c>
      <c r="AG46" s="33">
        <f>AG44+AG45</f>
        <v/>
      </c>
      <c r="AH46" s="33">
        <f>AH44+AH45</f>
        <v/>
      </c>
      <c r="AI46" s="33">
        <f>AI44+AI45</f>
        <v/>
      </c>
      <c r="AJ46" s="33">
        <f>AJ44+AJ45</f>
        <v/>
      </c>
      <c r="AK46" s="33">
        <f>AK44+AK45</f>
        <v/>
      </c>
      <c r="AL46" s="33">
        <f>AL44+AL45</f>
        <v/>
      </c>
      <c r="AM46" s="33">
        <f>AM44+AM45</f>
        <v/>
      </c>
      <c r="AN46" s="33">
        <f>AN44+AN45</f>
        <v/>
      </c>
      <c r="AO46" s="33">
        <f>AO44+AO45</f>
        <v/>
      </c>
      <c r="AP46" s="33">
        <f>AP44+AP45</f>
        <v/>
      </c>
      <c r="AQ46" s="33">
        <f>AQ44+AQ45</f>
        <v/>
      </c>
      <c r="AR46" s="33">
        <f>AR44+AR45</f>
        <v/>
      </c>
      <c r="AS46" s="33">
        <f>AS44+AS45</f>
        <v/>
      </c>
      <c r="AT46" s="33">
        <f>AT44+AT45</f>
        <v/>
      </c>
      <c r="AU46" s="33">
        <f>AU44+AU45</f>
        <v/>
      </c>
      <c r="AV46" s="33">
        <f>AV44+AV45</f>
        <v/>
      </c>
      <c r="AW46" s="33">
        <f>AW44+AW45</f>
        <v/>
      </c>
      <c r="AX46" s="33">
        <f>AX44+AX45</f>
        <v/>
      </c>
      <c r="AY46" s="33">
        <f>AY44+AY45</f>
        <v/>
      </c>
      <c r="AZ46" s="33">
        <f>AZ44+AZ45</f>
        <v/>
      </c>
      <c r="BA46" s="33">
        <f>BA44+BA45</f>
        <v/>
      </c>
    </row>
    <row r="47" ht="14.25" customHeight="1" s="214"/>
    <row r="48" ht="14.25" customHeight="1" s="214">
      <c r="A48" s="2" t="inlineStr">
        <is>
          <t>TECHNOLOGIEKOSTEN</t>
        </is>
      </c>
    </row>
    <row r="49" ht="14.25" customHeight="1" s="214">
      <c r="A49" s="3" t="inlineStr">
        <is>
          <t>Cloud Infrastructure (Basis)</t>
        </is>
      </c>
      <c r="B49" s="35">
        <f>Inputs!$B$70</f>
        <v/>
      </c>
      <c r="C49" s="35">
        <f>Inputs!$B$70</f>
        <v/>
      </c>
      <c r="D49" s="35">
        <f>Inputs!$B$70</f>
        <v/>
      </c>
      <c r="E49" s="35">
        <f>Inputs!$B$70</f>
        <v/>
      </c>
      <c r="F49" s="35">
        <f>Inputs!$B$70</f>
        <v/>
      </c>
      <c r="G49" s="35">
        <f>Inputs!$B$70</f>
        <v/>
      </c>
      <c r="H49" s="35">
        <f>Inputs!$B$70</f>
        <v/>
      </c>
      <c r="I49" s="35">
        <f>Inputs!$B$70</f>
        <v/>
      </c>
      <c r="J49" s="35">
        <f>Inputs!$B$70</f>
        <v/>
      </c>
      <c r="K49" s="35">
        <f>Inputs!$B$70</f>
        <v/>
      </c>
      <c r="L49" s="35">
        <f>Inputs!$B$70</f>
        <v/>
      </c>
      <c r="M49" s="35">
        <f>Inputs!$B$70</f>
        <v/>
      </c>
      <c r="N49" s="35">
        <f>Inputs!$B$70</f>
        <v/>
      </c>
      <c r="O49" s="35">
        <f>Inputs!$B$70</f>
        <v/>
      </c>
      <c r="P49" s="35">
        <f>Inputs!$B$70</f>
        <v/>
      </c>
      <c r="Q49" s="35">
        <f>Inputs!$B$70</f>
        <v/>
      </c>
      <c r="R49" s="35">
        <f>Inputs!$B$70</f>
        <v/>
      </c>
      <c r="S49" s="35">
        <f>Inputs!$B$70</f>
        <v/>
      </c>
      <c r="T49" s="35">
        <f>Inputs!$B$70</f>
        <v/>
      </c>
      <c r="U49" s="35">
        <f>Inputs!$B$70</f>
        <v/>
      </c>
      <c r="V49" s="35">
        <f>Inputs!$B$70</f>
        <v/>
      </c>
      <c r="W49" s="35">
        <f>Inputs!$B$70</f>
        <v/>
      </c>
      <c r="X49" s="35">
        <f>Inputs!$B$70</f>
        <v/>
      </c>
      <c r="Y49" s="35">
        <f>Inputs!$B$70</f>
        <v/>
      </c>
      <c r="Z49" s="35">
        <f>Inputs!$B$70</f>
        <v/>
      </c>
      <c r="AA49" s="35">
        <f>Inputs!$B$70</f>
        <v/>
      </c>
      <c r="AB49" s="35">
        <f>Inputs!$B$70</f>
        <v/>
      </c>
      <c r="AC49" s="35">
        <f>Inputs!$B$70</f>
        <v/>
      </c>
      <c r="AD49" s="35">
        <f>Inputs!$B$70</f>
        <v/>
      </c>
      <c r="AE49" s="35">
        <f>Inputs!$B$70</f>
        <v/>
      </c>
      <c r="AF49" s="35">
        <f>Inputs!$B$70</f>
        <v/>
      </c>
      <c r="AG49" s="35">
        <f>Inputs!$B$70</f>
        <v/>
      </c>
      <c r="AH49" s="35">
        <f>Inputs!$B$70</f>
        <v/>
      </c>
      <c r="AI49" s="35">
        <f>Inputs!$B$70</f>
        <v/>
      </c>
      <c r="AJ49" s="35">
        <f>Inputs!$B$70</f>
        <v/>
      </c>
      <c r="AK49" s="35">
        <f>Inputs!$B$70</f>
        <v/>
      </c>
      <c r="AL49" s="35">
        <f>Inputs!$B$70</f>
        <v/>
      </c>
      <c r="AM49" s="35">
        <f>Inputs!$B$70</f>
        <v/>
      </c>
      <c r="AN49" s="35">
        <f>Inputs!$B$70</f>
        <v/>
      </c>
      <c r="AO49" s="35">
        <f>Inputs!$B$70</f>
        <v/>
      </c>
      <c r="AP49" s="35">
        <f>Inputs!$B$70</f>
        <v/>
      </c>
      <c r="AQ49" s="35">
        <f>Inputs!$B$70</f>
        <v/>
      </c>
      <c r="AR49" s="35">
        <f>Inputs!$B$70</f>
        <v/>
      </c>
      <c r="AS49" s="35">
        <f>Inputs!$B$70</f>
        <v/>
      </c>
      <c r="AT49" s="35">
        <f>Inputs!$B$70</f>
        <v/>
      </c>
      <c r="AU49" s="35">
        <f>Inputs!$B$70</f>
        <v/>
      </c>
      <c r="AV49" s="35">
        <f>Inputs!$B$70</f>
        <v/>
      </c>
      <c r="AW49" s="35">
        <f>Inputs!$B$70</f>
        <v/>
      </c>
      <c r="AX49" s="35">
        <f>Inputs!$B$70</f>
        <v/>
      </c>
      <c r="AY49" s="35">
        <f>Inputs!$B$70</f>
        <v/>
      </c>
      <c r="AZ49" s="35">
        <f>Inputs!$B$70</f>
        <v/>
      </c>
      <c r="BA49" s="35">
        <f>Inputs!$B$70</f>
        <v/>
      </c>
    </row>
    <row r="50" ht="14.25" customHeight="1" s="214">
      <c r="A50" s="3" t="inlineStr">
        <is>
          <t>Cloud Infrastructure (Variable)</t>
        </is>
      </c>
      <c r="B50" s="32">
        <f>Revenue!B11*Inputs!$B$71</f>
        <v/>
      </c>
      <c r="C50" s="32">
        <f>Revenue!C11*Inputs!$B$71</f>
        <v/>
      </c>
      <c r="D50" s="32">
        <f>Revenue!D11*Inputs!$B$71</f>
        <v/>
      </c>
      <c r="E50" s="32">
        <f>Revenue!E11*Inputs!$B$71</f>
        <v/>
      </c>
      <c r="F50" s="32">
        <f>Revenue!F11*Inputs!$B$71</f>
        <v/>
      </c>
      <c r="G50" s="32">
        <f>Revenue!G11*Inputs!$B$71</f>
        <v/>
      </c>
      <c r="H50" s="32">
        <f>Revenue!H11*Inputs!$B$71</f>
        <v/>
      </c>
      <c r="I50" s="32">
        <f>Revenue!I11*Inputs!$B$71</f>
        <v/>
      </c>
      <c r="J50" s="32">
        <f>Revenue!J11*Inputs!$B$71</f>
        <v/>
      </c>
      <c r="K50" s="32">
        <f>Revenue!K11*Inputs!$B$71</f>
        <v/>
      </c>
      <c r="L50" s="32">
        <f>Revenue!L11*Inputs!$B$71</f>
        <v/>
      </c>
      <c r="M50" s="32">
        <f>Revenue!M11*Inputs!$B$71</f>
        <v/>
      </c>
      <c r="N50" s="32">
        <f>Revenue!N11*Inputs!$B$71</f>
        <v/>
      </c>
      <c r="O50" s="32">
        <f>Revenue!O11*Inputs!$B$71</f>
        <v/>
      </c>
      <c r="P50" s="32">
        <f>Revenue!P11*Inputs!$B$71</f>
        <v/>
      </c>
      <c r="Q50" s="32">
        <f>Revenue!Q11*Inputs!$B$71</f>
        <v/>
      </c>
      <c r="R50" s="32">
        <f>Revenue!R11*Inputs!$B$71</f>
        <v/>
      </c>
      <c r="S50" s="32">
        <f>Revenue!S11*Inputs!$B$71</f>
        <v/>
      </c>
      <c r="T50" s="32">
        <f>Revenue!T11*Inputs!$B$71</f>
        <v/>
      </c>
      <c r="U50" s="32">
        <f>Revenue!U11*Inputs!$B$71</f>
        <v/>
      </c>
      <c r="V50" s="32">
        <f>Revenue!V11*Inputs!$B$71</f>
        <v/>
      </c>
      <c r="W50" s="32">
        <f>Revenue!W11*Inputs!$B$71</f>
        <v/>
      </c>
      <c r="X50" s="32">
        <f>Revenue!X11*Inputs!$B$71</f>
        <v/>
      </c>
      <c r="Y50" s="32">
        <f>Revenue!Y11*Inputs!$B$71</f>
        <v/>
      </c>
      <c r="Z50" s="32">
        <f>Revenue!Z11*Inputs!$B$71</f>
        <v/>
      </c>
      <c r="AA50" s="32">
        <f>Revenue!AA11*Inputs!$B$71</f>
        <v/>
      </c>
      <c r="AB50" s="32">
        <f>Revenue!AB11*Inputs!$B$71</f>
        <v/>
      </c>
      <c r="AC50" s="32">
        <f>Revenue!AC11*Inputs!$B$71</f>
        <v/>
      </c>
      <c r="AD50" s="32">
        <f>Revenue!AD11*Inputs!$B$71</f>
        <v/>
      </c>
      <c r="AE50" s="32">
        <f>Revenue!AE11*Inputs!$B$71</f>
        <v/>
      </c>
      <c r="AF50" s="32">
        <f>Revenue!AF11*Inputs!$B$71</f>
        <v/>
      </c>
      <c r="AG50" s="32">
        <f>Revenue!AG11*Inputs!$B$71</f>
        <v/>
      </c>
      <c r="AH50" s="32">
        <f>Revenue!AH11*Inputs!$B$71</f>
        <v/>
      </c>
      <c r="AI50" s="32">
        <f>Revenue!AI11*Inputs!$B$71</f>
        <v/>
      </c>
      <c r="AJ50" s="32">
        <f>Revenue!AJ11*Inputs!$B$71</f>
        <v/>
      </c>
      <c r="AK50" s="32">
        <f>Revenue!AK11*Inputs!$B$71</f>
        <v/>
      </c>
      <c r="AL50" s="32">
        <f>Revenue!AL11*Inputs!$B$71</f>
        <v/>
      </c>
      <c r="AM50" s="32">
        <f>Revenue!AM11*Inputs!$B$71</f>
        <v/>
      </c>
      <c r="AN50" s="32">
        <f>Revenue!AN11*Inputs!$B$71</f>
        <v/>
      </c>
      <c r="AO50" s="32">
        <f>Revenue!AO11*Inputs!$B$71</f>
        <v/>
      </c>
      <c r="AP50" s="32">
        <f>Revenue!AP11*Inputs!$B$71</f>
        <v/>
      </c>
      <c r="AQ50" s="32">
        <f>Revenue!AQ11*Inputs!$B$71</f>
        <v/>
      </c>
      <c r="AR50" s="32">
        <f>Revenue!AR11*Inputs!$B$71</f>
        <v/>
      </c>
      <c r="AS50" s="32">
        <f>Revenue!AS11*Inputs!$B$71</f>
        <v/>
      </c>
      <c r="AT50" s="32">
        <f>Revenue!AT11*Inputs!$B$71</f>
        <v/>
      </c>
      <c r="AU50" s="32">
        <f>Revenue!AU11*Inputs!$B$71</f>
        <v/>
      </c>
      <c r="AV50" s="32">
        <f>Revenue!AV11*Inputs!$B$71</f>
        <v/>
      </c>
      <c r="AW50" s="32">
        <f>Revenue!AW11*Inputs!$B$71</f>
        <v/>
      </c>
      <c r="AX50" s="32">
        <f>Revenue!AX11*Inputs!$B$71</f>
        <v/>
      </c>
      <c r="AY50" s="32">
        <f>Revenue!AY11*Inputs!$B$71</f>
        <v/>
      </c>
      <c r="AZ50" s="32">
        <f>Revenue!AZ11*Inputs!$B$71</f>
        <v/>
      </c>
      <c r="BA50" s="32">
        <f>Revenue!BA11*Inputs!$B$71</f>
        <v/>
      </c>
    </row>
    <row r="51" ht="14.25" customHeight="1" s="214">
      <c r="A51" s="3" t="inlineStr">
        <is>
          <t>AI/ML API Kosten</t>
        </is>
      </c>
      <c r="B51" s="35">
        <f>Inputs!$B$72*(1+Inputs!$B$73)^(1-1)</f>
        <v/>
      </c>
      <c r="C51" s="35">
        <f>Inputs!$B$72*(1+Inputs!$B$73)^(2-1)</f>
        <v/>
      </c>
      <c r="D51" s="35">
        <f>Inputs!$B$72*(1+Inputs!$B$73)^(3-1)</f>
        <v/>
      </c>
      <c r="E51" s="35">
        <f>Inputs!$B$72*(1+Inputs!$B$73)^(4-1)</f>
        <v/>
      </c>
      <c r="F51" s="35">
        <f>Inputs!$B$72*(1+Inputs!$B$73)^(5-1)</f>
        <v/>
      </c>
      <c r="G51" s="35">
        <f>Inputs!$B$72*(1+Inputs!$B$73)^(6-1)</f>
        <v/>
      </c>
      <c r="H51" s="35">
        <f>Inputs!$B$72*(1+Inputs!$B$73)^(7-1)</f>
        <v/>
      </c>
      <c r="I51" s="35">
        <f>Inputs!$B$72*(1+Inputs!$B$73)^(8-1)</f>
        <v/>
      </c>
      <c r="J51" s="35">
        <f>Inputs!$B$72*(1+Inputs!$B$73)^(9-1)</f>
        <v/>
      </c>
      <c r="K51" s="35">
        <f>Inputs!$B$72*(1+Inputs!$B$73)^(10-1)</f>
        <v/>
      </c>
      <c r="L51" s="35">
        <f>Inputs!$B$72*(1+Inputs!$B$73)^(11-1)</f>
        <v/>
      </c>
      <c r="M51" s="35">
        <f>Inputs!$B$72*(1+Inputs!$B$73)^(12-1)</f>
        <v/>
      </c>
      <c r="N51" s="35">
        <f>Inputs!$B$72*(1+Inputs!$B$73)^(13-1)</f>
        <v/>
      </c>
      <c r="O51" s="35">
        <f>Inputs!$B$72*(1+Inputs!$B$73)^(14-1)</f>
        <v/>
      </c>
      <c r="P51" s="35">
        <f>Inputs!$B$72*(1+Inputs!$B$73)^(15-1)</f>
        <v/>
      </c>
      <c r="Q51" s="35">
        <f>Inputs!$B$72*(1+Inputs!$B$73)^(16-1)</f>
        <v/>
      </c>
      <c r="R51" s="35">
        <f>Inputs!$B$72*(1+Inputs!$B$73)^(17-1)</f>
        <v/>
      </c>
      <c r="S51" s="35">
        <f>Inputs!$B$72*(1+Inputs!$B$73)^(18-1)</f>
        <v/>
      </c>
      <c r="T51" s="35">
        <f>Inputs!$B$72*(1+Inputs!$B$73)^(19-1)</f>
        <v/>
      </c>
      <c r="U51" s="35">
        <f>Inputs!$B$72*(1+Inputs!$B$73)^(20-1)</f>
        <v/>
      </c>
      <c r="V51" s="35">
        <f>Inputs!$B$72*(1+Inputs!$B$73)^(21-1)</f>
        <v/>
      </c>
      <c r="W51" s="35">
        <f>Inputs!$B$72*(1+Inputs!$B$73)^(22-1)</f>
        <v/>
      </c>
      <c r="X51" s="35">
        <f>Inputs!$B$72*(1+Inputs!$B$73)^(23-1)</f>
        <v/>
      </c>
      <c r="Y51" s="35">
        <f>Inputs!$B$72*(1+Inputs!$B$73)^(24-1)</f>
        <v/>
      </c>
      <c r="Z51" s="35">
        <f>Inputs!$B$72*(1+Inputs!$B$73)^(25-1)</f>
        <v/>
      </c>
      <c r="AA51" s="35">
        <f>Inputs!$B$72*(1+Inputs!$B$73)^(26-1)</f>
        <v/>
      </c>
      <c r="AB51" s="35">
        <f>Inputs!$B$72*(1+Inputs!$B$73)^(27-1)</f>
        <v/>
      </c>
      <c r="AC51" s="35">
        <f>Inputs!$B$72*(1+Inputs!$B$73)^(28-1)</f>
        <v/>
      </c>
      <c r="AD51" s="35">
        <f>Inputs!$B$72*(1+Inputs!$B$73)^(29-1)</f>
        <v/>
      </c>
      <c r="AE51" s="35">
        <f>Inputs!$B$72*(1+Inputs!$B$73)^(30-1)</f>
        <v/>
      </c>
      <c r="AF51" s="35">
        <f>Inputs!$B$72*(1+Inputs!$B$73)^(31-1)</f>
        <v/>
      </c>
      <c r="AG51" s="35">
        <f>Inputs!$B$72*(1+Inputs!$B$73)^(32-1)</f>
        <v/>
      </c>
      <c r="AH51" s="35">
        <f>Inputs!$B$72*(1+Inputs!$B$73)^(33-1)</f>
        <v/>
      </c>
      <c r="AI51" s="35">
        <f>Inputs!$B$72*(1+Inputs!$B$73)^(34-1)</f>
        <v/>
      </c>
      <c r="AJ51" s="35">
        <f>Inputs!$B$72*(1+Inputs!$B$73)^(35-1)</f>
        <v/>
      </c>
      <c r="AK51" s="35">
        <f>Inputs!$B$72*(1+Inputs!$B$73)^(36-1)</f>
        <v/>
      </c>
      <c r="AL51" s="35">
        <f>Inputs!$B$72*(1+Inputs!$B$73)^(37-1)</f>
        <v/>
      </c>
      <c r="AM51" s="35">
        <f>Inputs!$B$72*(1+Inputs!$B$73)^(38-1)</f>
        <v/>
      </c>
      <c r="AN51" s="35">
        <f>Inputs!$B$72*(1+Inputs!$B$73)^(39-1)</f>
        <v/>
      </c>
      <c r="AO51" s="35">
        <f>Inputs!$B$72*(1+Inputs!$B$73)^(40-1)</f>
        <v/>
      </c>
      <c r="AP51" s="35">
        <f>Inputs!$B$72*(1+Inputs!$B$73)^(41-1)</f>
        <v/>
      </c>
      <c r="AQ51" s="35">
        <f>Inputs!$B$72*(1+Inputs!$B$73)^(42-1)</f>
        <v/>
      </c>
      <c r="AR51" s="35">
        <f>Inputs!$B$72*(1+Inputs!$B$73)^(43-1)</f>
        <v/>
      </c>
      <c r="AS51" s="35">
        <f>Inputs!$B$72*(1+Inputs!$B$73)^(44-1)</f>
        <v/>
      </c>
      <c r="AT51" s="35">
        <f>Inputs!$B$72*(1+Inputs!$B$73)^(45-1)</f>
        <v/>
      </c>
      <c r="AU51" s="35">
        <f>Inputs!$B$72*(1+Inputs!$B$73)^(46-1)</f>
        <v/>
      </c>
      <c r="AV51" s="35">
        <f>Inputs!$B$72*(1+Inputs!$B$73)^(47-1)</f>
        <v/>
      </c>
      <c r="AW51" s="35">
        <f>Inputs!$B$72*(1+Inputs!$B$73)^(48-1)</f>
        <v/>
      </c>
      <c r="AX51" s="35">
        <f>Inputs!$B$72*(1+Inputs!$B$73)^(49-1)</f>
        <v/>
      </c>
      <c r="AY51" s="35">
        <f>Inputs!$B$72*(1+Inputs!$B$73)^(50-1)</f>
        <v/>
      </c>
      <c r="AZ51" s="35">
        <f>Inputs!$B$72*(1+Inputs!$B$73)^(51-1)</f>
        <v/>
      </c>
      <c r="BA51" s="35">
        <f>Inputs!$B$72*(1+Inputs!$B$73)^(52-1)</f>
        <v/>
      </c>
    </row>
    <row r="52" ht="14.25" customHeight="1" s="214">
      <c r="A52" s="3" t="inlineStr">
        <is>
          <t>SaaS Tools intern</t>
        </is>
      </c>
      <c r="B52" s="35">
        <f>Inputs!$B$74+B23*Inputs!$B$75</f>
        <v/>
      </c>
      <c r="C52" s="35">
        <f>Inputs!$B$74+C23*Inputs!$B$75</f>
        <v/>
      </c>
      <c r="D52" s="35">
        <f>Inputs!$B$74+D23*Inputs!$B$75</f>
        <v/>
      </c>
      <c r="E52" s="35">
        <f>Inputs!$B$74+E23*Inputs!$B$75</f>
        <v/>
      </c>
      <c r="F52" s="35">
        <f>Inputs!$B$74+F23*Inputs!$B$75</f>
        <v/>
      </c>
      <c r="G52" s="35">
        <f>Inputs!$B$74+G23*Inputs!$B$75</f>
        <v/>
      </c>
      <c r="H52" s="35">
        <f>Inputs!$B$74+H23*Inputs!$B$75</f>
        <v/>
      </c>
      <c r="I52" s="35">
        <f>Inputs!$B$74+I23*Inputs!$B$75</f>
        <v/>
      </c>
      <c r="J52" s="35">
        <f>Inputs!$B$74+J23*Inputs!$B$75</f>
        <v/>
      </c>
      <c r="K52" s="35">
        <f>Inputs!$B$74+K23*Inputs!$B$75</f>
        <v/>
      </c>
      <c r="L52" s="35">
        <f>Inputs!$B$74+L23*Inputs!$B$75</f>
        <v/>
      </c>
      <c r="M52" s="35">
        <f>Inputs!$B$74+M23*Inputs!$B$75</f>
        <v/>
      </c>
      <c r="N52" s="35">
        <f>Inputs!$B$74+N23*Inputs!$B$75</f>
        <v/>
      </c>
      <c r="O52" s="35">
        <f>Inputs!$B$74+O23*Inputs!$B$75</f>
        <v/>
      </c>
      <c r="P52" s="35">
        <f>Inputs!$B$74+P23*Inputs!$B$75</f>
        <v/>
      </c>
      <c r="Q52" s="35">
        <f>Inputs!$B$74+Q23*Inputs!$B$75</f>
        <v/>
      </c>
      <c r="R52" s="35">
        <f>Inputs!$B$74+R23*Inputs!$B$75</f>
        <v/>
      </c>
      <c r="S52" s="35">
        <f>Inputs!$B$74+S23*Inputs!$B$75</f>
        <v/>
      </c>
      <c r="T52" s="35">
        <f>Inputs!$B$74+T23*Inputs!$B$75</f>
        <v/>
      </c>
      <c r="U52" s="35">
        <f>Inputs!$B$74+U23*Inputs!$B$75</f>
        <v/>
      </c>
      <c r="V52" s="35">
        <f>Inputs!$B$74+V23*Inputs!$B$75</f>
        <v/>
      </c>
      <c r="W52" s="35">
        <f>Inputs!$B$74+W23*Inputs!$B$75</f>
        <v/>
      </c>
      <c r="X52" s="35">
        <f>Inputs!$B$74+X23*Inputs!$B$75</f>
        <v/>
      </c>
      <c r="Y52" s="35">
        <f>Inputs!$B$74+Y23*Inputs!$B$75</f>
        <v/>
      </c>
      <c r="Z52" s="35">
        <f>Inputs!$B$74+Z23*Inputs!$B$75</f>
        <v/>
      </c>
      <c r="AA52" s="35">
        <f>Inputs!$B$74+AA23*Inputs!$B$75</f>
        <v/>
      </c>
      <c r="AB52" s="35">
        <f>Inputs!$B$74+AB23*Inputs!$B$75</f>
        <v/>
      </c>
      <c r="AC52" s="35">
        <f>Inputs!$B$74+AC23*Inputs!$B$75</f>
        <v/>
      </c>
      <c r="AD52" s="35">
        <f>Inputs!$B$74+AD23*Inputs!$B$75</f>
        <v/>
      </c>
      <c r="AE52" s="35">
        <f>Inputs!$B$74+AE23*Inputs!$B$75</f>
        <v/>
      </c>
      <c r="AF52" s="35">
        <f>Inputs!$B$74+AF23*Inputs!$B$75</f>
        <v/>
      </c>
      <c r="AG52" s="35">
        <f>Inputs!$B$74+AG23*Inputs!$B$75</f>
        <v/>
      </c>
      <c r="AH52" s="35">
        <f>Inputs!$B$74+AH23*Inputs!$B$75</f>
        <v/>
      </c>
      <c r="AI52" s="35">
        <f>Inputs!$B$74+AI23*Inputs!$B$75</f>
        <v/>
      </c>
      <c r="AJ52" s="35">
        <f>Inputs!$B$74+AJ23*Inputs!$B$75</f>
        <v/>
      </c>
      <c r="AK52" s="35">
        <f>Inputs!$B$74+AK23*Inputs!$B$75</f>
        <v/>
      </c>
      <c r="AL52" s="35">
        <f>Inputs!$B$74+AL23*Inputs!$B$75</f>
        <v/>
      </c>
      <c r="AM52" s="35">
        <f>Inputs!$B$74+AM23*Inputs!$B$75</f>
        <v/>
      </c>
      <c r="AN52" s="35">
        <f>Inputs!$B$74+AN23*Inputs!$B$75</f>
        <v/>
      </c>
      <c r="AO52" s="35">
        <f>Inputs!$B$74+AO23*Inputs!$B$75</f>
        <v/>
      </c>
      <c r="AP52" s="35">
        <f>Inputs!$B$74+AP23*Inputs!$B$75</f>
        <v/>
      </c>
      <c r="AQ52" s="35">
        <f>Inputs!$B$74+AQ23*Inputs!$B$75</f>
        <v/>
      </c>
      <c r="AR52" s="35">
        <f>Inputs!$B$74+AR23*Inputs!$B$75</f>
        <v/>
      </c>
      <c r="AS52" s="35">
        <f>Inputs!$B$74+AS23*Inputs!$B$75</f>
        <v/>
      </c>
      <c r="AT52" s="35">
        <f>Inputs!$B$74+AT23*Inputs!$B$75</f>
        <v/>
      </c>
      <c r="AU52" s="35">
        <f>Inputs!$B$74+AU23*Inputs!$B$75</f>
        <v/>
      </c>
      <c r="AV52" s="35">
        <f>Inputs!$B$74+AV23*Inputs!$B$75</f>
        <v/>
      </c>
      <c r="AW52" s="35">
        <f>Inputs!$B$74+AW23*Inputs!$B$75</f>
        <v/>
      </c>
      <c r="AX52" s="35">
        <f>Inputs!$B$74+AX23*Inputs!$B$75</f>
        <v/>
      </c>
      <c r="AY52" s="35">
        <f>Inputs!$B$74+AY23*Inputs!$B$75</f>
        <v/>
      </c>
      <c r="AZ52" s="35">
        <f>Inputs!$B$74+AZ23*Inputs!$B$75</f>
        <v/>
      </c>
      <c r="BA52" s="35">
        <f>Inputs!$B$74+BA23*Inputs!$B$75</f>
        <v/>
      </c>
    </row>
    <row r="53" ht="14.25" customHeight="1" s="214">
      <c r="A53" s="3" t="inlineStr">
        <is>
          <t>Software-Lizenzen Dev</t>
        </is>
      </c>
      <c r="B53" s="35">
        <f>Inputs!$B$76/12</f>
        <v/>
      </c>
      <c r="C53" s="35">
        <f>Inputs!$B$76/12</f>
        <v/>
      </c>
      <c r="D53" s="35">
        <f>Inputs!$B$76/12</f>
        <v/>
      </c>
      <c r="E53" s="35">
        <f>Inputs!$B$76/12</f>
        <v/>
      </c>
      <c r="F53" s="35">
        <f>Inputs!$B$76/12</f>
        <v/>
      </c>
      <c r="G53" s="35">
        <f>Inputs!$B$76/12</f>
        <v/>
      </c>
      <c r="H53" s="35">
        <f>Inputs!$B$76/12</f>
        <v/>
      </c>
      <c r="I53" s="35">
        <f>Inputs!$B$76/12</f>
        <v/>
      </c>
      <c r="J53" s="35">
        <f>Inputs!$B$76/12</f>
        <v/>
      </c>
      <c r="K53" s="35">
        <f>Inputs!$B$76/12</f>
        <v/>
      </c>
      <c r="L53" s="35">
        <f>Inputs!$B$76/12</f>
        <v/>
      </c>
      <c r="M53" s="35">
        <f>Inputs!$B$76/12</f>
        <v/>
      </c>
      <c r="N53" s="35">
        <f>Inputs!$B$76/12</f>
        <v/>
      </c>
      <c r="O53" s="35">
        <f>Inputs!$B$76/12</f>
        <v/>
      </c>
      <c r="P53" s="35">
        <f>Inputs!$B$76/12</f>
        <v/>
      </c>
      <c r="Q53" s="35">
        <f>Inputs!$B$76/12</f>
        <v/>
      </c>
      <c r="R53" s="35">
        <f>Inputs!$B$76/12</f>
        <v/>
      </c>
      <c r="S53" s="35">
        <f>Inputs!$B$76/12</f>
        <v/>
      </c>
      <c r="T53" s="35">
        <f>Inputs!$B$76/12</f>
        <v/>
      </c>
      <c r="U53" s="35">
        <f>Inputs!$B$76/12</f>
        <v/>
      </c>
      <c r="V53" s="35">
        <f>Inputs!$B$76/12</f>
        <v/>
      </c>
      <c r="W53" s="35">
        <f>Inputs!$B$76/12</f>
        <v/>
      </c>
      <c r="X53" s="35">
        <f>Inputs!$B$76/12</f>
        <v/>
      </c>
      <c r="Y53" s="35">
        <f>Inputs!$B$76/12</f>
        <v/>
      </c>
      <c r="Z53" s="35">
        <f>Inputs!$B$76/12</f>
        <v/>
      </c>
      <c r="AA53" s="35">
        <f>Inputs!$B$76/12</f>
        <v/>
      </c>
      <c r="AB53" s="35">
        <f>Inputs!$B$76/12</f>
        <v/>
      </c>
      <c r="AC53" s="35">
        <f>Inputs!$B$76/12</f>
        <v/>
      </c>
      <c r="AD53" s="35">
        <f>Inputs!$B$76/12</f>
        <v/>
      </c>
      <c r="AE53" s="35">
        <f>Inputs!$B$76/12</f>
        <v/>
      </c>
      <c r="AF53" s="35">
        <f>Inputs!$B$76/12</f>
        <v/>
      </c>
      <c r="AG53" s="35">
        <f>Inputs!$B$76/12</f>
        <v/>
      </c>
      <c r="AH53" s="35">
        <f>Inputs!$B$76/12</f>
        <v/>
      </c>
      <c r="AI53" s="35">
        <f>Inputs!$B$76/12</f>
        <v/>
      </c>
      <c r="AJ53" s="35">
        <f>Inputs!$B$76/12</f>
        <v/>
      </c>
      <c r="AK53" s="35">
        <f>Inputs!$B$76/12</f>
        <v/>
      </c>
      <c r="AL53" s="35">
        <f>Inputs!$B$76/12</f>
        <v/>
      </c>
      <c r="AM53" s="35">
        <f>Inputs!$B$76/12</f>
        <v/>
      </c>
      <c r="AN53" s="35">
        <f>Inputs!$B$76/12</f>
        <v/>
      </c>
      <c r="AO53" s="35">
        <f>Inputs!$B$76/12</f>
        <v/>
      </c>
      <c r="AP53" s="35">
        <f>Inputs!$B$76/12</f>
        <v/>
      </c>
      <c r="AQ53" s="35">
        <f>Inputs!$B$76/12</f>
        <v/>
      </c>
      <c r="AR53" s="35">
        <f>Inputs!$B$76/12</f>
        <v/>
      </c>
      <c r="AS53" s="35">
        <f>Inputs!$B$76/12</f>
        <v/>
      </c>
      <c r="AT53" s="35">
        <f>Inputs!$B$76/12</f>
        <v/>
      </c>
      <c r="AU53" s="35">
        <f>Inputs!$B$76/12</f>
        <v/>
      </c>
      <c r="AV53" s="35">
        <f>Inputs!$B$76/12</f>
        <v/>
      </c>
      <c r="AW53" s="35">
        <f>Inputs!$B$76/12</f>
        <v/>
      </c>
      <c r="AX53" s="35">
        <f>Inputs!$B$76/12</f>
        <v/>
      </c>
      <c r="AY53" s="35">
        <f>Inputs!$B$76/12</f>
        <v/>
      </c>
      <c r="AZ53" s="35">
        <f>Inputs!$B$76/12</f>
        <v/>
      </c>
      <c r="BA53" s="35">
        <f>Inputs!$B$76/12</f>
        <v/>
      </c>
    </row>
    <row r="54" ht="14.25" customHeight="1" s="214">
      <c r="A54" s="3" t="inlineStr">
        <is>
          <t>Sicherheit &amp; Compliance</t>
        </is>
      </c>
      <c r="B54" s="35">
        <f>Inputs!$B$77</f>
        <v/>
      </c>
      <c r="C54" s="35">
        <f>Inputs!$B$77</f>
        <v/>
      </c>
      <c r="D54" s="35">
        <f>Inputs!$B$77</f>
        <v/>
      </c>
      <c r="E54" s="35">
        <f>Inputs!$B$77</f>
        <v/>
      </c>
      <c r="F54" s="35">
        <f>Inputs!$B$77</f>
        <v/>
      </c>
      <c r="G54" s="35">
        <f>Inputs!$B$77</f>
        <v/>
      </c>
      <c r="H54" s="35">
        <f>Inputs!$B$77</f>
        <v/>
      </c>
      <c r="I54" s="35">
        <f>Inputs!$B$77</f>
        <v/>
      </c>
      <c r="J54" s="35">
        <f>Inputs!$B$77</f>
        <v/>
      </c>
      <c r="K54" s="35">
        <f>Inputs!$B$77</f>
        <v/>
      </c>
      <c r="L54" s="35">
        <f>Inputs!$B$77</f>
        <v/>
      </c>
      <c r="M54" s="35">
        <f>Inputs!$B$77</f>
        <v/>
      </c>
      <c r="N54" s="35">
        <f>Inputs!$B$77</f>
        <v/>
      </c>
      <c r="O54" s="35">
        <f>Inputs!$B$77</f>
        <v/>
      </c>
      <c r="P54" s="35">
        <f>Inputs!$B$77</f>
        <v/>
      </c>
      <c r="Q54" s="35">
        <f>Inputs!$B$77</f>
        <v/>
      </c>
      <c r="R54" s="35">
        <f>Inputs!$B$77</f>
        <v/>
      </c>
      <c r="S54" s="35">
        <f>Inputs!$B$77</f>
        <v/>
      </c>
      <c r="T54" s="35">
        <f>Inputs!$B$77</f>
        <v/>
      </c>
      <c r="U54" s="35">
        <f>Inputs!$B$77</f>
        <v/>
      </c>
      <c r="V54" s="35">
        <f>Inputs!$B$77</f>
        <v/>
      </c>
      <c r="W54" s="35">
        <f>Inputs!$B$77</f>
        <v/>
      </c>
      <c r="X54" s="35">
        <f>Inputs!$B$77</f>
        <v/>
      </c>
      <c r="Y54" s="35">
        <f>Inputs!$B$77</f>
        <v/>
      </c>
      <c r="Z54" s="35">
        <f>Inputs!$B$77</f>
        <v/>
      </c>
      <c r="AA54" s="35">
        <f>Inputs!$B$77</f>
        <v/>
      </c>
      <c r="AB54" s="35">
        <f>Inputs!$B$77</f>
        <v/>
      </c>
      <c r="AC54" s="35">
        <f>Inputs!$B$77</f>
        <v/>
      </c>
      <c r="AD54" s="35">
        <f>Inputs!$B$77</f>
        <v/>
      </c>
      <c r="AE54" s="35">
        <f>Inputs!$B$77</f>
        <v/>
      </c>
      <c r="AF54" s="35">
        <f>Inputs!$B$77</f>
        <v/>
      </c>
      <c r="AG54" s="35">
        <f>Inputs!$B$77</f>
        <v/>
      </c>
      <c r="AH54" s="35">
        <f>Inputs!$B$77</f>
        <v/>
      </c>
      <c r="AI54" s="35">
        <f>Inputs!$B$77</f>
        <v/>
      </c>
      <c r="AJ54" s="35">
        <f>Inputs!$B$77</f>
        <v/>
      </c>
      <c r="AK54" s="35">
        <f>Inputs!$B$77</f>
        <v/>
      </c>
      <c r="AL54" s="35">
        <f>Inputs!$B$77</f>
        <v/>
      </c>
      <c r="AM54" s="35">
        <f>Inputs!$B$77</f>
        <v/>
      </c>
      <c r="AN54" s="35">
        <f>Inputs!$B$77</f>
        <v/>
      </c>
      <c r="AO54" s="35">
        <f>Inputs!$B$77</f>
        <v/>
      </c>
      <c r="AP54" s="35">
        <f>Inputs!$B$77</f>
        <v/>
      </c>
      <c r="AQ54" s="35">
        <f>Inputs!$B$77</f>
        <v/>
      </c>
      <c r="AR54" s="35">
        <f>Inputs!$B$77</f>
        <v/>
      </c>
      <c r="AS54" s="35">
        <f>Inputs!$B$77</f>
        <v/>
      </c>
      <c r="AT54" s="35">
        <f>Inputs!$B$77</f>
        <v/>
      </c>
      <c r="AU54" s="35">
        <f>Inputs!$B$77</f>
        <v/>
      </c>
      <c r="AV54" s="35">
        <f>Inputs!$B$77</f>
        <v/>
      </c>
      <c r="AW54" s="35">
        <f>Inputs!$B$77</f>
        <v/>
      </c>
      <c r="AX54" s="35">
        <f>Inputs!$B$77</f>
        <v/>
      </c>
      <c r="AY54" s="35">
        <f>Inputs!$B$77</f>
        <v/>
      </c>
      <c r="AZ54" s="35">
        <f>Inputs!$B$77</f>
        <v/>
      </c>
      <c r="BA54" s="35">
        <f>Inputs!$B$77</f>
        <v/>
      </c>
    </row>
    <row r="55" ht="14.25" customHeight="1" s="214">
      <c r="A55" s="2" t="inlineStr">
        <is>
          <t>TOTAL TECHNOLOGIE</t>
        </is>
      </c>
      <c r="B55" s="33">
        <f>SUM(B49:B54)</f>
        <v/>
      </c>
      <c r="C55" s="33">
        <f>SUM(C49:C54)</f>
        <v/>
      </c>
      <c r="D55" s="33">
        <f>SUM(D49:D54)</f>
        <v/>
      </c>
      <c r="E55" s="33">
        <f>SUM(E49:E54)</f>
        <v/>
      </c>
      <c r="F55" s="33">
        <f>SUM(F49:F54)</f>
        <v/>
      </c>
      <c r="G55" s="33">
        <f>SUM(G49:G54)</f>
        <v/>
      </c>
      <c r="H55" s="33">
        <f>SUM(H49:H54)</f>
        <v/>
      </c>
      <c r="I55" s="33">
        <f>SUM(I49:I54)</f>
        <v/>
      </c>
      <c r="J55" s="33">
        <f>SUM(J49:J54)</f>
        <v/>
      </c>
      <c r="K55" s="33">
        <f>SUM(K49:K54)</f>
        <v/>
      </c>
      <c r="L55" s="33">
        <f>SUM(L49:L54)</f>
        <v/>
      </c>
      <c r="M55" s="33">
        <f>SUM(M49:M54)</f>
        <v/>
      </c>
      <c r="N55" s="33">
        <f>SUM(N49:N54)</f>
        <v/>
      </c>
      <c r="O55" s="33">
        <f>SUM(O49:O54)</f>
        <v/>
      </c>
      <c r="P55" s="33">
        <f>SUM(P49:P54)</f>
        <v/>
      </c>
      <c r="Q55" s="33">
        <f>SUM(Q49:Q54)</f>
        <v/>
      </c>
      <c r="R55" s="33">
        <f>SUM(R49:R54)</f>
        <v/>
      </c>
      <c r="S55" s="33">
        <f>SUM(S49:S54)</f>
        <v/>
      </c>
      <c r="T55" s="33">
        <f>SUM(T49:T54)</f>
        <v/>
      </c>
      <c r="U55" s="33">
        <f>SUM(U49:U54)</f>
        <v/>
      </c>
      <c r="V55" s="33">
        <f>SUM(V49:V54)</f>
        <v/>
      </c>
      <c r="W55" s="33">
        <f>SUM(W49:W54)</f>
        <v/>
      </c>
      <c r="X55" s="33">
        <f>SUM(X49:X54)</f>
        <v/>
      </c>
      <c r="Y55" s="33">
        <f>SUM(Y49:Y54)</f>
        <v/>
      </c>
      <c r="Z55" s="33">
        <f>SUM(Z49:Z54)</f>
        <v/>
      </c>
      <c r="AA55" s="33">
        <f>SUM(AA49:AA54)</f>
        <v/>
      </c>
      <c r="AB55" s="33">
        <f>SUM(AB49:AB54)</f>
        <v/>
      </c>
      <c r="AC55" s="33">
        <f>SUM(AC49:AC54)</f>
        <v/>
      </c>
      <c r="AD55" s="33">
        <f>SUM(AD49:AD54)</f>
        <v/>
      </c>
      <c r="AE55" s="33">
        <f>SUM(AE49:AE54)</f>
        <v/>
      </c>
      <c r="AF55" s="33">
        <f>SUM(AF49:AF54)</f>
        <v/>
      </c>
      <c r="AG55" s="33">
        <f>SUM(AG49:AG54)</f>
        <v/>
      </c>
      <c r="AH55" s="33">
        <f>SUM(AH49:AH54)</f>
        <v/>
      </c>
      <c r="AI55" s="33">
        <f>SUM(AI49:AI54)</f>
        <v/>
      </c>
      <c r="AJ55" s="33">
        <f>SUM(AJ49:AJ54)</f>
        <v/>
      </c>
      <c r="AK55" s="33">
        <f>SUM(AK49:AK54)</f>
        <v/>
      </c>
      <c r="AL55" s="33">
        <f>SUM(AL49:AL54)</f>
        <v/>
      </c>
      <c r="AM55" s="33">
        <f>SUM(AM49:AM54)</f>
        <v/>
      </c>
      <c r="AN55" s="33">
        <f>SUM(AN49:AN54)</f>
        <v/>
      </c>
      <c r="AO55" s="33">
        <f>SUM(AO49:AO54)</f>
        <v/>
      </c>
      <c r="AP55" s="33">
        <f>SUM(AP49:AP54)</f>
        <v/>
      </c>
      <c r="AQ55" s="33">
        <f>SUM(AQ49:AQ54)</f>
        <v/>
      </c>
      <c r="AR55" s="33">
        <f>SUM(AR49:AR54)</f>
        <v/>
      </c>
      <c r="AS55" s="33">
        <f>SUM(AS49:AS54)</f>
        <v/>
      </c>
      <c r="AT55" s="33">
        <f>SUM(AT49:AT54)</f>
        <v/>
      </c>
      <c r="AU55" s="33">
        <f>SUM(AU49:AU54)</f>
        <v/>
      </c>
      <c r="AV55" s="33">
        <f>SUM(AV49:AV54)</f>
        <v/>
      </c>
      <c r="AW55" s="33">
        <f>SUM(AW49:AW54)</f>
        <v/>
      </c>
      <c r="AX55" s="33">
        <f>SUM(AX49:AX54)</f>
        <v/>
      </c>
      <c r="AY55" s="33">
        <f>SUM(AY49:AY54)</f>
        <v/>
      </c>
      <c r="AZ55" s="33">
        <f>SUM(AZ49:AZ54)</f>
        <v/>
      </c>
      <c r="BA55" s="33">
        <f>SUM(BA49:BA54)</f>
        <v/>
      </c>
    </row>
    <row r="56" ht="14.25" customHeight="1" s="214"/>
    <row r="57" ht="14.25" customHeight="1" s="214">
      <c r="A57" s="2" t="inlineStr">
        <is>
          <t>BÜROKOSTEN</t>
        </is>
      </c>
    </row>
    <row r="58" ht="14.25" customHeight="1" s="214">
      <c r="A58" s="3" t="inlineStr">
        <is>
          <t>Büromiete</t>
        </is>
      </c>
      <c r="B58" s="35">
        <f>IF(1&gt;=Inputs!$B$87,Inputs!$B$88,Inputs!$B$86)</f>
        <v/>
      </c>
      <c r="C58" s="35">
        <f>IF(2&gt;=Inputs!$B$87,Inputs!$B$88,Inputs!$B$86)</f>
        <v/>
      </c>
      <c r="D58" s="35">
        <f>IF(3&gt;=Inputs!$B$87,Inputs!$B$88,Inputs!$B$86)</f>
        <v/>
      </c>
      <c r="E58" s="35">
        <f>IF(4&gt;=Inputs!$B$87,Inputs!$B$88,Inputs!$B$86)</f>
        <v/>
      </c>
      <c r="F58" s="35">
        <f>IF(5&gt;=Inputs!$B$87,Inputs!$B$88,Inputs!$B$86)</f>
        <v/>
      </c>
      <c r="G58" s="35">
        <f>IF(6&gt;=Inputs!$B$87,Inputs!$B$88,Inputs!$B$86)</f>
        <v/>
      </c>
      <c r="H58" s="35">
        <f>IF(7&gt;=Inputs!$B$87,Inputs!$B$88,Inputs!$B$86)</f>
        <v/>
      </c>
      <c r="I58" s="35">
        <f>IF(8&gt;=Inputs!$B$87,Inputs!$B$88,Inputs!$B$86)</f>
        <v/>
      </c>
      <c r="J58" s="35">
        <f>IF(9&gt;=Inputs!$B$87,Inputs!$B$88,Inputs!$B$86)</f>
        <v/>
      </c>
      <c r="K58" s="35">
        <f>IF(10&gt;=Inputs!$B$87,Inputs!$B$88,Inputs!$B$86)</f>
        <v/>
      </c>
      <c r="L58" s="35">
        <f>IF(11&gt;=Inputs!$B$87,Inputs!$B$88,Inputs!$B$86)</f>
        <v/>
      </c>
      <c r="M58" s="35">
        <f>IF(12&gt;=Inputs!$B$87,Inputs!$B$88,Inputs!$B$86)</f>
        <v/>
      </c>
      <c r="N58" s="35">
        <f>IF(13&gt;=Inputs!$B$87,Inputs!$B$88,Inputs!$B$86)</f>
        <v/>
      </c>
      <c r="O58" s="35">
        <f>IF(14&gt;=Inputs!$B$87,Inputs!$B$88,Inputs!$B$86)</f>
        <v/>
      </c>
      <c r="P58" s="35">
        <f>IF(15&gt;=Inputs!$B$87,Inputs!$B$88,Inputs!$B$86)</f>
        <v/>
      </c>
      <c r="Q58" s="35">
        <f>IF(16&gt;=Inputs!$B$87,Inputs!$B$88,Inputs!$B$86)</f>
        <v/>
      </c>
      <c r="R58" s="35">
        <f>IF(17&gt;=Inputs!$B$87,Inputs!$B$88,Inputs!$B$86)</f>
        <v/>
      </c>
      <c r="S58" s="35">
        <f>IF(18&gt;=Inputs!$B$87,Inputs!$B$88,Inputs!$B$86)</f>
        <v/>
      </c>
      <c r="T58" s="35">
        <f>IF(19&gt;=Inputs!$B$87,Inputs!$B$88,Inputs!$B$86)</f>
        <v/>
      </c>
      <c r="U58" s="35">
        <f>IF(20&gt;=Inputs!$B$87,Inputs!$B$88,Inputs!$B$86)</f>
        <v/>
      </c>
      <c r="V58" s="35">
        <f>IF(21&gt;=Inputs!$B$87,Inputs!$B$88,Inputs!$B$86)</f>
        <v/>
      </c>
      <c r="W58" s="35">
        <f>IF(22&gt;=Inputs!$B$87,Inputs!$B$88,Inputs!$B$86)</f>
        <v/>
      </c>
      <c r="X58" s="35">
        <f>IF(23&gt;=Inputs!$B$87,Inputs!$B$88,Inputs!$B$86)</f>
        <v/>
      </c>
      <c r="Y58" s="35">
        <f>IF(24&gt;=Inputs!$B$87,Inputs!$B$88,Inputs!$B$86)</f>
        <v/>
      </c>
      <c r="Z58" s="35">
        <f>IF(25&gt;=Inputs!$B$87,Inputs!$B$88,Inputs!$B$86)</f>
        <v/>
      </c>
      <c r="AA58" s="35">
        <f>IF(26&gt;=Inputs!$B$87,Inputs!$B$88,Inputs!$B$86)</f>
        <v/>
      </c>
      <c r="AB58" s="35">
        <f>IF(27&gt;=Inputs!$B$87,Inputs!$B$88,Inputs!$B$86)</f>
        <v/>
      </c>
      <c r="AC58" s="35">
        <f>IF(28&gt;=Inputs!$B$87,Inputs!$B$88,Inputs!$B$86)</f>
        <v/>
      </c>
      <c r="AD58" s="35">
        <f>IF(29&gt;=Inputs!$B$87,Inputs!$B$88,Inputs!$B$86)</f>
        <v/>
      </c>
      <c r="AE58" s="35">
        <f>IF(30&gt;=Inputs!$B$87,Inputs!$B$88,Inputs!$B$86)</f>
        <v/>
      </c>
      <c r="AF58" s="35">
        <f>IF(31&gt;=Inputs!$B$87,Inputs!$B$88,Inputs!$B$86)</f>
        <v/>
      </c>
      <c r="AG58" s="35">
        <f>IF(32&gt;=Inputs!$B$87,Inputs!$B$88,Inputs!$B$86)</f>
        <v/>
      </c>
      <c r="AH58" s="35">
        <f>IF(33&gt;=Inputs!$B$87,Inputs!$B$88,Inputs!$B$86)</f>
        <v/>
      </c>
      <c r="AI58" s="35">
        <f>IF(34&gt;=Inputs!$B$87,Inputs!$B$88,Inputs!$B$86)</f>
        <v/>
      </c>
      <c r="AJ58" s="35">
        <f>IF(35&gt;=Inputs!$B$87,Inputs!$B$88,Inputs!$B$86)</f>
        <v/>
      </c>
      <c r="AK58" s="35">
        <f>IF(36&gt;=Inputs!$B$87,Inputs!$B$88,Inputs!$B$86)</f>
        <v/>
      </c>
      <c r="AL58" s="35">
        <f>IF(37&gt;=Inputs!$B$87,Inputs!$B$88,Inputs!$B$86)</f>
        <v/>
      </c>
      <c r="AM58" s="35">
        <f>IF(38&gt;=Inputs!$B$87,Inputs!$B$88,Inputs!$B$86)</f>
        <v/>
      </c>
      <c r="AN58" s="35">
        <f>IF(39&gt;=Inputs!$B$87,Inputs!$B$88,Inputs!$B$86)</f>
        <v/>
      </c>
      <c r="AO58" s="35">
        <f>IF(40&gt;=Inputs!$B$87,Inputs!$B$88,Inputs!$B$86)</f>
        <v/>
      </c>
      <c r="AP58" s="35">
        <f>IF(41&gt;=Inputs!$B$87,Inputs!$B$88,Inputs!$B$86)</f>
        <v/>
      </c>
      <c r="AQ58" s="35">
        <f>IF(42&gt;=Inputs!$B$87,Inputs!$B$88,Inputs!$B$86)</f>
        <v/>
      </c>
      <c r="AR58" s="35">
        <f>IF(43&gt;=Inputs!$B$87,Inputs!$B$88,Inputs!$B$86)</f>
        <v/>
      </c>
      <c r="AS58" s="35">
        <f>IF(44&gt;=Inputs!$B$87,Inputs!$B$88,Inputs!$B$86)</f>
        <v/>
      </c>
      <c r="AT58" s="35">
        <f>IF(45&gt;=Inputs!$B$87,Inputs!$B$88,Inputs!$B$86)</f>
        <v/>
      </c>
      <c r="AU58" s="35">
        <f>IF(46&gt;=Inputs!$B$87,Inputs!$B$88,Inputs!$B$86)</f>
        <v/>
      </c>
      <c r="AV58" s="35">
        <f>IF(47&gt;=Inputs!$B$87,Inputs!$B$88,Inputs!$B$86)</f>
        <v/>
      </c>
      <c r="AW58" s="35">
        <f>IF(48&gt;=Inputs!$B$87,Inputs!$B$88,Inputs!$B$86)</f>
        <v/>
      </c>
      <c r="AX58" s="35">
        <f>IF(49&gt;=Inputs!$B$87,Inputs!$B$88,Inputs!$B$86)</f>
        <v/>
      </c>
      <c r="AY58" s="35">
        <f>IF(50&gt;=Inputs!$B$87,Inputs!$B$88,Inputs!$B$86)</f>
        <v/>
      </c>
      <c r="AZ58" s="35">
        <f>IF(51&gt;=Inputs!$B$87,Inputs!$B$88,Inputs!$B$86)</f>
        <v/>
      </c>
      <c r="BA58" s="35">
        <f>IF(52&gt;=Inputs!$B$87,Inputs!$B$88,Inputs!$B$86)</f>
        <v/>
      </c>
    </row>
    <row r="59" ht="14.25" customHeight="1" s="214">
      <c r="A59" s="3" t="inlineStr">
        <is>
          <t>Nebenkosten</t>
        </is>
      </c>
      <c r="B59" s="35">
        <f>Inputs!$B$89</f>
        <v/>
      </c>
      <c r="C59" s="35">
        <f>Inputs!$B$89</f>
        <v/>
      </c>
      <c r="D59" s="35">
        <f>Inputs!$B$89</f>
        <v/>
      </c>
      <c r="E59" s="35">
        <f>Inputs!$B$89</f>
        <v/>
      </c>
      <c r="F59" s="35">
        <f>Inputs!$B$89</f>
        <v/>
      </c>
      <c r="G59" s="35">
        <f>Inputs!$B$89</f>
        <v/>
      </c>
      <c r="H59" s="35">
        <f>Inputs!$B$89</f>
        <v/>
      </c>
      <c r="I59" s="35">
        <f>Inputs!$B$89</f>
        <v/>
      </c>
      <c r="J59" s="35">
        <f>Inputs!$B$89</f>
        <v/>
      </c>
      <c r="K59" s="35">
        <f>Inputs!$B$89</f>
        <v/>
      </c>
      <c r="L59" s="35">
        <f>Inputs!$B$89</f>
        <v/>
      </c>
      <c r="M59" s="35">
        <f>Inputs!$B$89</f>
        <v/>
      </c>
      <c r="N59" s="35">
        <f>Inputs!$B$89</f>
        <v/>
      </c>
      <c r="O59" s="35">
        <f>Inputs!$B$89</f>
        <v/>
      </c>
      <c r="P59" s="35">
        <f>Inputs!$B$89</f>
        <v/>
      </c>
      <c r="Q59" s="35">
        <f>Inputs!$B$89</f>
        <v/>
      </c>
      <c r="R59" s="35">
        <f>Inputs!$B$89</f>
        <v/>
      </c>
      <c r="S59" s="35">
        <f>Inputs!$B$89</f>
        <v/>
      </c>
      <c r="T59" s="35">
        <f>Inputs!$B$89</f>
        <v/>
      </c>
      <c r="U59" s="35">
        <f>Inputs!$B$89</f>
        <v/>
      </c>
      <c r="V59" s="35">
        <f>Inputs!$B$89</f>
        <v/>
      </c>
      <c r="W59" s="35">
        <f>Inputs!$B$89</f>
        <v/>
      </c>
      <c r="X59" s="35">
        <f>Inputs!$B$89</f>
        <v/>
      </c>
      <c r="Y59" s="35">
        <f>Inputs!$B$89</f>
        <v/>
      </c>
      <c r="Z59" s="35">
        <f>Inputs!$B$89</f>
        <v/>
      </c>
      <c r="AA59" s="35">
        <f>Inputs!$B$89</f>
        <v/>
      </c>
      <c r="AB59" s="35">
        <f>Inputs!$B$89</f>
        <v/>
      </c>
      <c r="AC59" s="35">
        <f>Inputs!$B$89</f>
        <v/>
      </c>
      <c r="AD59" s="35">
        <f>Inputs!$B$89</f>
        <v/>
      </c>
      <c r="AE59" s="35">
        <f>Inputs!$B$89</f>
        <v/>
      </c>
      <c r="AF59" s="35">
        <f>Inputs!$B$89</f>
        <v/>
      </c>
      <c r="AG59" s="35">
        <f>Inputs!$B$89</f>
        <v/>
      </c>
      <c r="AH59" s="35">
        <f>Inputs!$B$89</f>
        <v/>
      </c>
      <c r="AI59" s="35">
        <f>Inputs!$B$89</f>
        <v/>
      </c>
      <c r="AJ59" s="35">
        <f>Inputs!$B$89</f>
        <v/>
      </c>
      <c r="AK59" s="35">
        <f>Inputs!$B$89</f>
        <v/>
      </c>
      <c r="AL59" s="35">
        <f>Inputs!$B$89</f>
        <v/>
      </c>
      <c r="AM59" s="35">
        <f>Inputs!$B$89</f>
        <v/>
      </c>
      <c r="AN59" s="35">
        <f>Inputs!$B$89</f>
        <v/>
      </c>
      <c r="AO59" s="35">
        <f>Inputs!$B$89</f>
        <v/>
      </c>
      <c r="AP59" s="35">
        <f>Inputs!$B$89</f>
        <v/>
      </c>
      <c r="AQ59" s="35">
        <f>Inputs!$B$89</f>
        <v/>
      </c>
      <c r="AR59" s="35">
        <f>Inputs!$B$89</f>
        <v/>
      </c>
      <c r="AS59" s="35">
        <f>Inputs!$B$89</f>
        <v/>
      </c>
      <c r="AT59" s="35">
        <f>Inputs!$B$89</f>
        <v/>
      </c>
      <c r="AU59" s="35">
        <f>Inputs!$B$89</f>
        <v/>
      </c>
      <c r="AV59" s="35">
        <f>Inputs!$B$89</f>
        <v/>
      </c>
      <c r="AW59" s="35">
        <f>Inputs!$B$89</f>
        <v/>
      </c>
      <c r="AX59" s="35">
        <f>Inputs!$B$89</f>
        <v/>
      </c>
      <c r="AY59" s="35">
        <f>Inputs!$B$89</f>
        <v/>
      </c>
      <c r="AZ59" s="35">
        <f>Inputs!$B$89</f>
        <v/>
      </c>
      <c r="BA59" s="35">
        <f>Inputs!$B$89</f>
        <v/>
      </c>
    </row>
    <row r="60" ht="14.25" customHeight="1" s="214">
      <c r="A60" s="3" t="inlineStr">
        <is>
          <t>Internet &amp; Telefon</t>
        </is>
      </c>
      <c r="B60" s="35">
        <f>Inputs!$B$90</f>
        <v/>
      </c>
      <c r="C60" s="35">
        <f>Inputs!$B$90</f>
        <v/>
      </c>
      <c r="D60" s="35">
        <f>Inputs!$B$90</f>
        <v/>
      </c>
      <c r="E60" s="35">
        <f>Inputs!$B$90</f>
        <v/>
      </c>
      <c r="F60" s="35">
        <f>Inputs!$B$90</f>
        <v/>
      </c>
      <c r="G60" s="35">
        <f>Inputs!$B$90</f>
        <v/>
      </c>
      <c r="H60" s="35">
        <f>Inputs!$B$90</f>
        <v/>
      </c>
      <c r="I60" s="35">
        <f>Inputs!$B$90</f>
        <v/>
      </c>
      <c r="J60" s="35">
        <f>Inputs!$B$90</f>
        <v/>
      </c>
      <c r="K60" s="35">
        <f>Inputs!$B$90</f>
        <v/>
      </c>
      <c r="L60" s="35">
        <f>Inputs!$B$90</f>
        <v/>
      </c>
      <c r="M60" s="35">
        <f>Inputs!$B$90</f>
        <v/>
      </c>
      <c r="N60" s="35">
        <f>Inputs!$B$90</f>
        <v/>
      </c>
      <c r="O60" s="35">
        <f>Inputs!$B$90</f>
        <v/>
      </c>
      <c r="P60" s="35">
        <f>Inputs!$B$90</f>
        <v/>
      </c>
      <c r="Q60" s="35">
        <f>Inputs!$B$90</f>
        <v/>
      </c>
      <c r="R60" s="35">
        <f>Inputs!$B$90</f>
        <v/>
      </c>
      <c r="S60" s="35">
        <f>Inputs!$B$90</f>
        <v/>
      </c>
      <c r="T60" s="35">
        <f>Inputs!$B$90</f>
        <v/>
      </c>
      <c r="U60" s="35">
        <f>Inputs!$B$90</f>
        <v/>
      </c>
      <c r="V60" s="35">
        <f>Inputs!$B$90</f>
        <v/>
      </c>
      <c r="W60" s="35">
        <f>Inputs!$B$90</f>
        <v/>
      </c>
      <c r="X60" s="35">
        <f>Inputs!$B$90</f>
        <v/>
      </c>
      <c r="Y60" s="35">
        <f>Inputs!$B$90</f>
        <v/>
      </c>
      <c r="Z60" s="35">
        <f>Inputs!$B$90</f>
        <v/>
      </c>
      <c r="AA60" s="35">
        <f>Inputs!$B$90</f>
        <v/>
      </c>
      <c r="AB60" s="35">
        <f>Inputs!$B$90</f>
        <v/>
      </c>
      <c r="AC60" s="35">
        <f>Inputs!$B$90</f>
        <v/>
      </c>
      <c r="AD60" s="35">
        <f>Inputs!$B$90</f>
        <v/>
      </c>
      <c r="AE60" s="35">
        <f>Inputs!$B$90</f>
        <v/>
      </c>
      <c r="AF60" s="35">
        <f>Inputs!$B$90</f>
        <v/>
      </c>
      <c r="AG60" s="35">
        <f>Inputs!$B$90</f>
        <v/>
      </c>
      <c r="AH60" s="35">
        <f>Inputs!$B$90</f>
        <v/>
      </c>
      <c r="AI60" s="35">
        <f>Inputs!$B$90</f>
        <v/>
      </c>
      <c r="AJ60" s="35">
        <f>Inputs!$B$90</f>
        <v/>
      </c>
      <c r="AK60" s="35">
        <f>Inputs!$B$90</f>
        <v/>
      </c>
      <c r="AL60" s="35">
        <f>Inputs!$B$90</f>
        <v/>
      </c>
      <c r="AM60" s="35">
        <f>Inputs!$B$90</f>
        <v/>
      </c>
      <c r="AN60" s="35">
        <f>Inputs!$B$90</f>
        <v/>
      </c>
      <c r="AO60" s="35">
        <f>Inputs!$B$90</f>
        <v/>
      </c>
      <c r="AP60" s="35">
        <f>Inputs!$B$90</f>
        <v/>
      </c>
      <c r="AQ60" s="35">
        <f>Inputs!$B$90</f>
        <v/>
      </c>
      <c r="AR60" s="35">
        <f>Inputs!$B$90</f>
        <v/>
      </c>
      <c r="AS60" s="35">
        <f>Inputs!$B$90</f>
        <v/>
      </c>
      <c r="AT60" s="35">
        <f>Inputs!$B$90</f>
        <v/>
      </c>
      <c r="AU60" s="35">
        <f>Inputs!$B$90</f>
        <v/>
      </c>
      <c r="AV60" s="35">
        <f>Inputs!$B$90</f>
        <v/>
      </c>
      <c r="AW60" s="35">
        <f>Inputs!$B$90</f>
        <v/>
      </c>
      <c r="AX60" s="35">
        <f>Inputs!$B$90</f>
        <v/>
      </c>
      <c r="AY60" s="35">
        <f>Inputs!$B$90</f>
        <v/>
      </c>
      <c r="AZ60" s="35">
        <f>Inputs!$B$90</f>
        <v/>
      </c>
      <c r="BA60" s="35">
        <f>Inputs!$B$90</f>
        <v/>
      </c>
    </row>
    <row r="61" ht="14.25" customHeight="1" s="214">
      <c r="A61" s="3" t="inlineStr">
        <is>
          <t>Bürobedarf</t>
        </is>
      </c>
      <c r="B61" s="35">
        <f>B23*Inputs!$B$92</f>
        <v/>
      </c>
      <c r="C61" s="35">
        <f>C23*Inputs!$B$92</f>
        <v/>
      </c>
      <c r="D61" s="35">
        <f>D23*Inputs!$B$92</f>
        <v/>
      </c>
      <c r="E61" s="35">
        <f>E23*Inputs!$B$92</f>
        <v/>
      </c>
      <c r="F61" s="35">
        <f>F23*Inputs!$B$92</f>
        <v/>
      </c>
      <c r="G61" s="35">
        <f>G23*Inputs!$B$92</f>
        <v/>
      </c>
      <c r="H61" s="35">
        <f>H23*Inputs!$B$92</f>
        <v/>
      </c>
      <c r="I61" s="35">
        <f>I23*Inputs!$B$92</f>
        <v/>
      </c>
      <c r="J61" s="35">
        <f>J23*Inputs!$B$92</f>
        <v/>
      </c>
      <c r="K61" s="35">
        <f>K23*Inputs!$B$92</f>
        <v/>
      </c>
      <c r="L61" s="35">
        <f>L23*Inputs!$B$92</f>
        <v/>
      </c>
      <c r="M61" s="35">
        <f>M23*Inputs!$B$92</f>
        <v/>
      </c>
      <c r="N61" s="35">
        <f>N23*Inputs!$B$92</f>
        <v/>
      </c>
      <c r="O61" s="35">
        <f>O23*Inputs!$B$92</f>
        <v/>
      </c>
      <c r="P61" s="35">
        <f>P23*Inputs!$B$92</f>
        <v/>
      </c>
      <c r="Q61" s="35">
        <f>Q23*Inputs!$B$92</f>
        <v/>
      </c>
      <c r="R61" s="35">
        <f>R23*Inputs!$B$92</f>
        <v/>
      </c>
      <c r="S61" s="35">
        <f>S23*Inputs!$B$92</f>
        <v/>
      </c>
      <c r="T61" s="35">
        <f>T23*Inputs!$B$92</f>
        <v/>
      </c>
      <c r="U61" s="35">
        <f>U23*Inputs!$B$92</f>
        <v/>
      </c>
      <c r="V61" s="35">
        <f>V23*Inputs!$B$92</f>
        <v/>
      </c>
      <c r="W61" s="35">
        <f>W23*Inputs!$B$92</f>
        <v/>
      </c>
      <c r="X61" s="35">
        <f>X23*Inputs!$B$92</f>
        <v/>
      </c>
      <c r="Y61" s="35">
        <f>Y23*Inputs!$B$92</f>
        <v/>
      </c>
      <c r="Z61" s="35">
        <f>Z23*Inputs!$B$92</f>
        <v/>
      </c>
      <c r="AA61" s="35">
        <f>AA23*Inputs!$B$92</f>
        <v/>
      </c>
      <c r="AB61" s="35">
        <f>AB23*Inputs!$B$92</f>
        <v/>
      </c>
      <c r="AC61" s="35">
        <f>AC23*Inputs!$B$92</f>
        <v/>
      </c>
      <c r="AD61" s="35">
        <f>AD23*Inputs!$B$92</f>
        <v/>
      </c>
      <c r="AE61" s="35">
        <f>AE23*Inputs!$B$92</f>
        <v/>
      </c>
      <c r="AF61" s="35">
        <f>AF23*Inputs!$B$92</f>
        <v/>
      </c>
      <c r="AG61" s="35">
        <f>AG23*Inputs!$B$92</f>
        <v/>
      </c>
      <c r="AH61" s="35">
        <f>AH23*Inputs!$B$92</f>
        <v/>
      </c>
      <c r="AI61" s="35">
        <f>AI23*Inputs!$B$92</f>
        <v/>
      </c>
      <c r="AJ61" s="35">
        <f>AJ23*Inputs!$B$92</f>
        <v/>
      </c>
      <c r="AK61" s="35">
        <f>AK23*Inputs!$B$92</f>
        <v/>
      </c>
      <c r="AL61" s="35">
        <f>AL23*Inputs!$B$92</f>
        <v/>
      </c>
      <c r="AM61" s="35">
        <f>AM23*Inputs!$B$92</f>
        <v/>
      </c>
      <c r="AN61" s="35">
        <f>AN23*Inputs!$B$92</f>
        <v/>
      </c>
      <c r="AO61" s="35">
        <f>AO23*Inputs!$B$92</f>
        <v/>
      </c>
      <c r="AP61" s="35">
        <f>AP23*Inputs!$B$92</f>
        <v/>
      </c>
      <c r="AQ61" s="35">
        <f>AQ23*Inputs!$B$92</f>
        <v/>
      </c>
      <c r="AR61" s="35">
        <f>AR23*Inputs!$B$92</f>
        <v/>
      </c>
      <c r="AS61" s="35">
        <f>AS23*Inputs!$B$92</f>
        <v/>
      </c>
      <c r="AT61" s="35">
        <f>AT23*Inputs!$B$92</f>
        <v/>
      </c>
      <c r="AU61" s="35">
        <f>AU23*Inputs!$B$92</f>
        <v/>
      </c>
      <c r="AV61" s="35">
        <f>AV23*Inputs!$B$92</f>
        <v/>
      </c>
      <c r="AW61" s="35">
        <f>AW23*Inputs!$B$92</f>
        <v/>
      </c>
      <c r="AX61" s="35">
        <f>AX23*Inputs!$B$92</f>
        <v/>
      </c>
      <c r="AY61" s="35">
        <f>AY23*Inputs!$B$92</f>
        <v/>
      </c>
      <c r="AZ61" s="35">
        <f>AZ23*Inputs!$B$92</f>
        <v/>
      </c>
      <c r="BA61" s="35">
        <f>BA23*Inputs!$B$92</f>
        <v/>
      </c>
    </row>
    <row r="62" ht="14.25" customHeight="1" s="214">
      <c r="A62" s="2" t="inlineStr">
        <is>
          <t>TOTAL BÜRO</t>
        </is>
      </c>
      <c r="B62" s="33">
        <f>SUM(B58:B61)</f>
        <v/>
      </c>
      <c r="C62" s="33">
        <f>SUM(C58:C61)</f>
        <v/>
      </c>
      <c r="D62" s="33">
        <f>SUM(D58:D61)</f>
        <v/>
      </c>
      <c r="E62" s="33">
        <f>SUM(E58:E61)</f>
        <v/>
      </c>
      <c r="F62" s="33">
        <f>SUM(F58:F61)</f>
        <v/>
      </c>
      <c r="G62" s="33">
        <f>SUM(G58:G61)</f>
        <v/>
      </c>
      <c r="H62" s="33">
        <f>SUM(H58:H61)</f>
        <v/>
      </c>
      <c r="I62" s="33">
        <f>SUM(I58:I61)</f>
        <v/>
      </c>
      <c r="J62" s="33">
        <f>SUM(J58:J61)</f>
        <v/>
      </c>
      <c r="K62" s="33">
        <f>SUM(K58:K61)</f>
        <v/>
      </c>
      <c r="L62" s="33">
        <f>SUM(L58:L61)</f>
        <v/>
      </c>
      <c r="M62" s="33">
        <f>SUM(M58:M61)</f>
        <v/>
      </c>
      <c r="N62" s="33">
        <f>SUM(N58:N61)</f>
        <v/>
      </c>
      <c r="O62" s="33">
        <f>SUM(O58:O61)</f>
        <v/>
      </c>
      <c r="P62" s="33">
        <f>SUM(P58:P61)</f>
        <v/>
      </c>
      <c r="Q62" s="33">
        <f>SUM(Q58:Q61)</f>
        <v/>
      </c>
      <c r="R62" s="33">
        <f>SUM(R58:R61)</f>
        <v/>
      </c>
      <c r="S62" s="33">
        <f>SUM(S58:S61)</f>
        <v/>
      </c>
      <c r="T62" s="33">
        <f>SUM(T58:T61)</f>
        <v/>
      </c>
      <c r="U62" s="33">
        <f>SUM(U58:U61)</f>
        <v/>
      </c>
      <c r="V62" s="33">
        <f>SUM(V58:V61)</f>
        <v/>
      </c>
      <c r="W62" s="33">
        <f>SUM(W58:W61)</f>
        <v/>
      </c>
      <c r="X62" s="33">
        <f>SUM(X58:X61)</f>
        <v/>
      </c>
      <c r="Y62" s="33">
        <f>SUM(Y58:Y61)</f>
        <v/>
      </c>
      <c r="Z62" s="33">
        <f>SUM(Z58:Z61)</f>
        <v/>
      </c>
      <c r="AA62" s="33">
        <f>SUM(AA58:AA61)</f>
        <v/>
      </c>
      <c r="AB62" s="33">
        <f>SUM(AB58:AB61)</f>
        <v/>
      </c>
      <c r="AC62" s="33">
        <f>SUM(AC58:AC61)</f>
        <v/>
      </c>
      <c r="AD62" s="33">
        <f>SUM(AD58:AD61)</f>
        <v/>
      </c>
      <c r="AE62" s="33">
        <f>SUM(AE58:AE61)</f>
        <v/>
      </c>
      <c r="AF62" s="33">
        <f>SUM(AF58:AF61)</f>
        <v/>
      </c>
      <c r="AG62" s="33">
        <f>SUM(AG58:AG61)</f>
        <v/>
      </c>
      <c r="AH62" s="33">
        <f>SUM(AH58:AH61)</f>
        <v/>
      </c>
      <c r="AI62" s="33">
        <f>SUM(AI58:AI61)</f>
        <v/>
      </c>
      <c r="AJ62" s="33">
        <f>SUM(AJ58:AJ61)</f>
        <v/>
      </c>
      <c r="AK62" s="33">
        <f>SUM(AK58:AK61)</f>
        <v/>
      </c>
      <c r="AL62" s="33">
        <f>SUM(AL58:AL61)</f>
        <v/>
      </c>
      <c r="AM62" s="33">
        <f>SUM(AM58:AM61)</f>
        <v/>
      </c>
      <c r="AN62" s="33">
        <f>SUM(AN58:AN61)</f>
        <v/>
      </c>
      <c r="AO62" s="33">
        <f>SUM(AO58:AO61)</f>
        <v/>
      </c>
      <c r="AP62" s="33">
        <f>SUM(AP58:AP61)</f>
        <v/>
      </c>
      <c r="AQ62" s="33">
        <f>SUM(AQ58:AQ61)</f>
        <v/>
      </c>
      <c r="AR62" s="33">
        <f>SUM(AR58:AR61)</f>
        <v/>
      </c>
      <c r="AS62" s="33">
        <f>SUM(AS58:AS61)</f>
        <v/>
      </c>
      <c r="AT62" s="33">
        <f>SUM(AT58:AT61)</f>
        <v/>
      </c>
      <c r="AU62" s="33">
        <f>SUM(AU58:AU61)</f>
        <v/>
      </c>
      <c r="AV62" s="33">
        <f>SUM(AV58:AV61)</f>
        <v/>
      </c>
      <c r="AW62" s="33">
        <f>SUM(AW58:AW61)</f>
        <v/>
      </c>
      <c r="AX62" s="33">
        <f>SUM(AX58:AX61)</f>
        <v/>
      </c>
      <c r="AY62" s="33">
        <f>SUM(AY58:AY61)</f>
        <v/>
      </c>
      <c r="AZ62" s="33">
        <f>SUM(AZ58:AZ61)</f>
        <v/>
      </c>
      <c r="BA62" s="33">
        <f>SUM(BA58:BA61)</f>
        <v/>
      </c>
    </row>
    <row r="63" ht="14.25" customHeight="1" s="214"/>
    <row r="64" ht="14.25" customHeight="1" s="214">
      <c r="A64" s="2" t="inlineStr">
        <is>
          <t>PROFESSIONAL SERVICES</t>
        </is>
      </c>
    </row>
    <row r="65" ht="14.25" customHeight="1" s="214">
      <c r="A65" s="3" t="inlineStr">
        <is>
          <t>Rechtsanwalt (laufend)</t>
        </is>
      </c>
      <c r="B65" s="149">
        <f>Inputs!$B$95/12+IF(OR(1=Inputs!$B$11,1=Inputs!$B$13,1=Inputs!$B$15,1=Inputs!$B$17),Inputs!$B$96,0)</f>
        <v/>
      </c>
      <c r="C65" s="35">
        <f>Inputs!$B$95/12+IF(OR(2=Inputs!$B$11,2=Inputs!$B$13,2=Inputs!$B$15,2=Inputs!$B$17),Inputs!$B$96,0)</f>
        <v/>
      </c>
      <c r="D65" s="35">
        <f>Inputs!$B$95/12+IF(OR(3=Inputs!$B$11,3=Inputs!$B$13,3=Inputs!$B$15,3=Inputs!$B$17),Inputs!$B$96,0)</f>
        <v/>
      </c>
      <c r="E65" s="35">
        <f>Inputs!$B$95/12+IF(OR(4=Inputs!$B$11,4=Inputs!$B$13,4=Inputs!$B$15,4=Inputs!$B$17),Inputs!$B$96,0)</f>
        <v/>
      </c>
      <c r="F65" s="35">
        <f>Inputs!$B$95/12+IF(OR(5=Inputs!$B$11,5=Inputs!$B$13,5=Inputs!$B$15,5=Inputs!$B$17),Inputs!$B$96,0)</f>
        <v/>
      </c>
      <c r="G65" s="35">
        <f>Inputs!$B$95/12+IF(OR(6=Inputs!$B$11,6=Inputs!$B$13,6=Inputs!$B$15,6=Inputs!$B$17),Inputs!$B$96,0)</f>
        <v/>
      </c>
      <c r="H65" s="35">
        <f>Inputs!$B$95/12+IF(OR(7=Inputs!$B$11,7=Inputs!$B$13,7=Inputs!$B$15,7=Inputs!$B$17),Inputs!$B$96,0)</f>
        <v/>
      </c>
      <c r="I65" s="35">
        <f>Inputs!$B$95/12+IF(OR(8=Inputs!$B$11,8=Inputs!$B$13,8=Inputs!$B$15,8=Inputs!$B$17),Inputs!$B$96,0)</f>
        <v/>
      </c>
      <c r="J65" s="35">
        <f>Inputs!$B$95/12+IF(OR(9=Inputs!$B$11,9=Inputs!$B$13,9=Inputs!$B$15,9=Inputs!$B$17),Inputs!$B$96,0)</f>
        <v/>
      </c>
      <c r="K65" s="35">
        <f>Inputs!$B$95/12+IF(OR(10=Inputs!$B$11,10=Inputs!$B$13,10=Inputs!$B$15,10=Inputs!$B$17),Inputs!$B$96,0)</f>
        <v/>
      </c>
      <c r="L65" s="35">
        <f>Inputs!$B$95/12+IF(OR(11=Inputs!$B$11,11=Inputs!$B$13,11=Inputs!$B$15,11=Inputs!$B$17),Inputs!$B$96,0)</f>
        <v/>
      </c>
      <c r="M65" s="35">
        <f>Inputs!$B$95/12+IF(OR(12=Inputs!$B$11,12=Inputs!$B$13,12=Inputs!$B$15,12=Inputs!$B$17),Inputs!$B$96,0)</f>
        <v/>
      </c>
      <c r="N65" s="35">
        <f>Inputs!$B$95/12+IF(OR(13=Inputs!$B$11,13=Inputs!$B$13,13=Inputs!$B$15,13=Inputs!$B$17),Inputs!$B$96,0)</f>
        <v/>
      </c>
      <c r="O65" s="35">
        <f>Inputs!$B$95/12+IF(OR(14=Inputs!$B$11,14=Inputs!$B$13,14=Inputs!$B$15,14=Inputs!$B$17),Inputs!$B$96,0)</f>
        <v/>
      </c>
      <c r="P65" s="35">
        <f>Inputs!$B$95/12+IF(OR(15=Inputs!$B$11,15=Inputs!$B$13,15=Inputs!$B$15,15=Inputs!$B$17),Inputs!$B$96,0)</f>
        <v/>
      </c>
      <c r="Q65" s="35">
        <f>Inputs!$B$95/12+IF(OR(16=Inputs!$B$11,16=Inputs!$B$13,16=Inputs!$B$15,16=Inputs!$B$17),Inputs!$B$96,0)</f>
        <v/>
      </c>
      <c r="R65" s="35">
        <f>Inputs!$B$95/12+IF(OR(17=Inputs!$B$11,17=Inputs!$B$13,17=Inputs!$B$15,17=Inputs!$B$17),Inputs!$B$96,0)</f>
        <v/>
      </c>
      <c r="S65" s="35">
        <f>Inputs!$B$95/12+IF(OR(18=Inputs!$B$11,18=Inputs!$B$13,18=Inputs!$B$15,18=Inputs!$B$17),Inputs!$B$96,0)</f>
        <v/>
      </c>
      <c r="T65" s="35">
        <f>Inputs!$B$95/12+IF(OR(19=Inputs!$B$11,19=Inputs!$B$13,19=Inputs!$B$15,19=Inputs!$B$17),Inputs!$B$96,0)</f>
        <v/>
      </c>
      <c r="U65" s="35">
        <f>Inputs!$B$95/12+IF(OR(20=Inputs!$B$11,20=Inputs!$B$13,20=Inputs!$B$15,20=Inputs!$B$17),Inputs!$B$96,0)</f>
        <v/>
      </c>
      <c r="V65" s="35">
        <f>Inputs!$B$95/12+IF(OR(21=Inputs!$B$11,21=Inputs!$B$13,21=Inputs!$B$15,21=Inputs!$B$17),Inputs!$B$96,0)</f>
        <v/>
      </c>
      <c r="W65" s="35">
        <f>Inputs!$B$95/12+IF(OR(22=Inputs!$B$11,22=Inputs!$B$13,22=Inputs!$B$15,22=Inputs!$B$17),Inputs!$B$96,0)</f>
        <v/>
      </c>
      <c r="X65" s="35">
        <f>Inputs!$B$95/12+IF(OR(23=Inputs!$B$11,23=Inputs!$B$13,23=Inputs!$B$15,23=Inputs!$B$17),Inputs!$B$96,0)</f>
        <v/>
      </c>
      <c r="Y65" s="35">
        <f>Inputs!$B$95/12+IF(OR(24=Inputs!$B$11,24=Inputs!$B$13,24=Inputs!$B$15,24=Inputs!$B$17),Inputs!$B$96,0)</f>
        <v/>
      </c>
      <c r="Z65" s="35">
        <f>Inputs!$B$95/12+IF(OR(25=Inputs!$B$11,25=Inputs!$B$13,25=Inputs!$B$15,25=Inputs!$B$17),Inputs!$B$96,0)</f>
        <v/>
      </c>
      <c r="AA65" s="35">
        <f>Inputs!$B$95/12+IF(OR(26=Inputs!$B$11,26=Inputs!$B$13,26=Inputs!$B$15,26=Inputs!$B$17),Inputs!$B$96,0)</f>
        <v/>
      </c>
      <c r="AB65" s="35">
        <f>Inputs!$B$95/12+IF(OR(27=Inputs!$B$11,27=Inputs!$B$13,27=Inputs!$B$15,27=Inputs!$B$17),Inputs!$B$96,0)</f>
        <v/>
      </c>
      <c r="AC65" s="35">
        <f>Inputs!$B$95/12+IF(OR(28=Inputs!$B$11,28=Inputs!$B$13,28=Inputs!$B$15,28=Inputs!$B$17),Inputs!$B$96,0)</f>
        <v/>
      </c>
      <c r="AD65" s="35">
        <f>Inputs!$B$95/12+IF(OR(29=Inputs!$B$11,29=Inputs!$B$13,29=Inputs!$B$15,29=Inputs!$B$17),Inputs!$B$96,0)</f>
        <v/>
      </c>
      <c r="AE65" s="35">
        <f>Inputs!$B$95/12+IF(OR(30=Inputs!$B$11,30=Inputs!$B$13,30=Inputs!$B$15,30=Inputs!$B$17),Inputs!$B$96,0)</f>
        <v/>
      </c>
      <c r="AF65" s="35">
        <f>Inputs!$B$95/12+IF(OR(31=Inputs!$B$11,31=Inputs!$B$13,31=Inputs!$B$15,31=Inputs!$B$17),Inputs!$B$96,0)</f>
        <v/>
      </c>
      <c r="AG65" s="35">
        <f>Inputs!$B$95/12+IF(OR(32=Inputs!$B$11,32=Inputs!$B$13,32=Inputs!$B$15,32=Inputs!$B$17),Inputs!$B$96,0)</f>
        <v/>
      </c>
      <c r="AH65" s="35">
        <f>Inputs!$B$95/12+IF(OR(33=Inputs!$B$11,33=Inputs!$B$13,33=Inputs!$B$15,33=Inputs!$B$17),Inputs!$B$96,0)</f>
        <v/>
      </c>
      <c r="AI65" s="35">
        <f>Inputs!$B$95/12+IF(OR(34=Inputs!$B$11,34=Inputs!$B$13,34=Inputs!$B$15,34=Inputs!$B$17),Inputs!$B$96,0)</f>
        <v/>
      </c>
      <c r="AJ65" s="35">
        <f>Inputs!$B$95/12+IF(OR(35=Inputs!$B$11,35=Inputs!$B$13,35=Inputs!$B$15,35=Inputs!$B$17),Inputs!$B$96,0)</f>
        <v/>
      </c>
      <c r="AK65" s="35">
        <f>Inputs!$B$95/12+IF(OR(36=Inputs!$B$11,36=Inputs!$B$13,36=Inputs!$B$15,36=Inputs!$B$17),Inputs!$B$96,0)</f>
        <v/>
      </c>
      <c r="AL65" s="35">
        <f>Inputs!$B$95/12+IF(OR(37=Inputs!$B$11,37=Inputs!$B$13,37=Inputs!$B$15,37=Inputs!$B$17),Inputs!$B$96,0)</f>
        <v/>
      </c>
      <c r="AM65" s="35">
        <f>Inputs!$B$95/12+IF(OR(38=Inputs!$B$11,38=Inputs!$B$13,38=Inputs!$B$15,38=Inputs!$B$17),Inputs!$B$96,0)</f>
        <v/>
      </c>
      <c r="AN65" s="35">
        <f>Inputs!$B$95/12+IF(OR(39=Inputs!$B$11,39=Inputs!$B$13,39=Inputs!$B$15,39=Inputs!$B$17),Inputs!$B$96,0)</f>
        <v/>
      </c>
      <c r="AO65" s="35">
        <f>Inputs!$B$95/12+IF(OR(40=Inputs!$B$11,40=Inputs!$B$13,40=Inputs!$B$15,40=Inputs!$B$17),Inputs!$B$96,0)</f>
        <v/>
      </c>
      <c r="AP65" s="35">
        <f>Inputs!$B$95/12+IF(OR(41=Inputs!$B$11,41=Inputs!$B$13,41=Inputs!$B$15,41=Inputs!$B$17),Inputs!$B$96,0)</f>
        <v/>
      </c>
      <c r="AQ65" s="35">
        <f>Inputs!$B$95/12+IF(OR(42=Inputs!$B$11,42=Inputs!$B$13,42=Inputs!$B$15,42=Inputs!$B$17),Inputs!$B$96,0)</f>
        <v/>
      </c>
      <c r="AR65" s="35">
        <f>Inputs!$B$95/12+IF(OR(43=Inputs!$B$11,43=Inputs!$B$13,43=Inputs!$B$15,43=Inputs!$B$17),Inputs!$B$96,0)</f>
        <v/>
      </c>
      <c r="AS65" s="35">
        <f>Inputs!$B$95/12+IF(OR(44=Inputs!$B$11,44=Inputs!$B$13,44=Inputs!$B$15,44=Inputs!$B$17),Inputs!$B$96,0)</f>
        <v/>
      </c>
      <c r="AT65" s="35">
        <f>Inputs!$B$95/12+IF(OR(45=Inputs!$B$11,45=Inputs!$B$13,45=Inputs!$B$15,45=Inputs!$B$17),Inputs!$B$96,0)</f>
        <v/>
      </c>
      <c r="AU65" s="35">
        <f>Inputs!$B$95/12+IF(OR(46=Inputs!$B$11,46=Inputs!$B$13,46=Inputs!$B$15,46=Inputs!$B$17),Inputs!$B$96,0)</f>
        <v/>
      </c>
      <c r="AV65" s="35">
        <f>Inputs!$B$95/12+IF(OR(47=Inputs!$B$11,47=Inputs!$B$13,47=Inputs!$B$15,47=Inputs!$B$17),Inputs!$B$96,0)</f>
        <v/>
      </c>
      <c r="AW65" s="35">
        <f>Inputs!$B$95/12+IF(OR(48=Inputs!$B$11,48=Inputs!$B$13,48=Inputs!$B$15,48=Inputs!$B$17),Inputs!$B$96,0)</f>
        <v/>
      </c>
      <c r="AX65" s="35">
        <f>Inputs!$B$95/12+IF(OR(49=Inputs!$B$11,49=Inputs!$B$13,49=Inputs!$B$15,49=Inputs!$B$17),Inputs!$B$96,0)</f>
        <v/>
      </c>
      <c r="AY65" s="35">
        <f>Inputs!$B$95/12+IF(OR(50=Inputs!$B$11,50=Inputs!$B$13,50=Inputs!$B$15,50=Inputs!$B$17),Inputs!$B$96,0)</f>
        <v/>
      </c>
      <c r="AZ65" s="35">
        <f>Inputs!$B$95/12+IF(OR(51=Inputs!$B$11,51=Inputs!$B$13,51=Inputs!$B$15,51=Inputs!$B$17),Inputs!$B$96,0)</f>
        <v/>
      </c>
      <c r="BA65" s="35">
        <f>Inputs!$B$95/12+IF(OR(52=Inputs!$B$11,52=Inputs!$B$13,52=Inputs!$B$15,52=Inputs!$B$17),Inputs!$B$96,0)</f>
        <v/>
      </c>
    </row>
    <row r="66" ht="14.25" customHeight="1" s="214">
      <c r="A66" s="3" t="inlineStr">
        <is>
          <t>Steuerberater</t>
        </is>
      </c>
      <c r="B66" s="35">
        <f>Inputs!$B$97</f>
        <v/>
      </c>
      <c r="C66" s="35">
        <f>Inputs!$B$97</f>
        <v/>
      </c>
      <c r="D66" s="35">
        <f>Inputs!$B$97</f>
        <v/>
      </c>
      <c r="E66" s="35">
        <f>Inputs!$B$97</f>
        <v/>
      </c>
      <c r="F66" s="35">
        <f>Inputs!$B$97</f>
        <v/>
      </c>
      <c r="G66" s="35">
        <f>Inputs!$B$97</f>
        <v/>
      </c>
      <c r="H66" s="35">
        <f>Inputs!$B$97</f>
        <v/>
      </c>
      <c r="I66" s="35">
        <f>Inputs!$B$97</f>
        <v/>
      </c>
      <c r="J66" s="35">
        <f>Inputs!$B$97</f>
        <v/>
      </c>
      <c r="K66" s="35">
        <f>Inputs!$B$97</f>
        <v/>
      </c>
      <c r="L66" s="35">
        <f>Inputs!$B$97</f>
        <v/>
      </c>
      <c r="M66" s="35">
        <f>Inputs!$B$97</f>
        <v/>
      </c>
      <c r="N66" s="35">
        <f>Inputs!$B$97</f>
        <v/>
      </c>
      <c r="O66" s="35">
        <f>Inputs!$B$97</f>
        <v/>
      </c>
      <c r="P66" s="35">
        <f>Inputs!$B$97</f>
        <v/>
      </c>
      <c r="Q66" s="35">
        <f>Inputs!$B$97</f>
        <v/>
      </c>
      <c r="R66" s="35">
        <f>Inputs!$B$97</f>
        <v/>
      </c>
      <c r="S66" s="35">
        <f>Inputs!$B$97</f>
        <v/>
      </c>
      <c r="T66" s="35">
        <f>Inputs!$B$97</f>
        <v/>
      </c>
      <c r="U66" s="35">
        <f>Inputs!$B$97</f>
        <v/>
      </c>
      <c r="V66" s="35">
        <f>Inputs!$B$97</f>
        <v/>
      </c>
      <c r="W66" s="35">
        <f>Inputs!$B$97</f>
        <v/>
      </c>
      <c r="X66" s="35">
        <f>Inputs!$B$97</f>
        <v/>
      </c>
      <c r="Y66" s="35">
        <f>Inputs!$B$97</f>
        <v/>
      </c>
      <c r="Z66" s="35">
        <f>Inputs!$B$97</f>
        <v/>
      </c>
      <c r="AA66" s="35">
        <f>Inputs!$B$97</f>
        <v/>
      </c>
      <c r="AB66" s="35">
        <f>Inputs!$B$97</f>
        <v/>
      </c>
      <c r="AC66" s="35">
        <f>Inputs!$B$97</f>
        <v/>
      </c>
      <c r="AD66" s="35">
        <f>Inputs!$B$97</f>
        <v/>
      </c>
      <c r="AE66" s="35">
        <f>Inputs!$B$97</f>
        <v/>
      </c>
      <c r="AF66" s="35">
        <f>Inputs!$B$97</f>
        <v/>
      </c>
      <c r="AG66" s="35">
        <f>Inputs!$B$97</f>
        <v/>
      </c>
      <c r="AH66" s="35">
        <f>Inputs!$B$97</f>
        <v/>
      </c>
      <c r="AI66" s="35">
        <f>Inputs!$B$97</f>
        <v/>
      </c>
      <c r="AJ66" s="35">
        <f>Inputs!$B$97</f>
        <v/>
      </c>
      <c r="AK66" s="35">
        <f>Inputs!$B$97</f>
        <v/>
      </c>
      <c r="AL66" s="35">
        <f>Inputs!$B$97</f>
        <v/>
      </c>
      <c r="AM66" s="35">
        <f>Inputs!$B$97</f>
        <v/>
      </c>
      <c r="AN66" s="35">
        <f>Inputs!$B$97</f>
        <v/>
      </c>
      <c r="AO66" s="35">
        <f>Inputs!$B$97</f>
        <v/>
      </c>
      <c r="AP66" s="35">
        <f>Inputs!$B$97</f>
        <v/>
      </c>
      <c r="AQ66" s="35">
        <f>Inputs!$B$97</f>
        <v/>
      </c>
      <c r="AR66" s="35">
        <f>Inputs!$B$97</f>
        <v/>
      </c>
      <c r="AS66" s="35">
        <f>Inputs!$B$97</f>
        <v/>
      </c>
      <c r="AT66" s="35">
        <f>Inputs!$B$97</f>
        <v/>
      </c>
      <c r="AU66" s="35">
        <f>Inputs!$B$97</f>
        <v/>
      </c>
      <c r="AV66" s="35">
        <f>Inputs!$B$97</f>
        <v/>
      </c>
      <c r="AW66" s="35">
        <f>Inputs!$B$97</f>
        <v/>
      </c>
      <c r="AX66" s="35">
        <f>Inputs!$B$97</f>
        <v/>
      </c>
      <c r="AY66" s="35">
        <f>Inputs!$B$97</f>
        <v/>
      </c>
      <c r="AZ66" s="35">
        <f>Inputs!$B$97</f>
        <v/>
      </c>
      <c r="BA66" s="35">
        <f>Inputs!$B$97</f>
        <v/>
      </c>
    </row>
    <row r="67" ht="14.25" customHeight="1" s="214">
      <c r="A67" s="3" t="inlineStr">
        <is>
          <t>Wirtschaftsprüfer</t>
        </is>
      </c>
      <c r="B67" s="35">
        <f>IF(1&gt;=Inputs!$B$99,Inputs!$B$98/12,0)</f>
        <v/>
      </c>
      <c r="C67" s="35">
        <f>IF(2&gt;=Inputs!$B$99,Inputs!$B$98/12,0)</f>
        <v/>
      </c>
      <c r="D67" s="35">
        <f>IF(3&gt;=Inputs!$B$99,Inputs!$B$98/12,0)</f>
        <v/>
      </c>
      <c r="E67" s="35">
        <f>IF(4&gt;=Inputs!$B$99,Inputs!$B$98/12,0)</f>
        <v/>
      </c>
      <c r="F67" s="35">
        <f>IF(5&gt;=Inputs!$B$99,Inputs!$B$98/12,0)</f>
        <v/>
      </c>
      <c r="G67" s="35">
        <f>IF(6&gt;=Inputs!$B$99,Inputs!$B$98/12,0)</f>
        <v/>
      </c>
      <c r="H67" s="35">
        <f>IF(7&gt;=Inputs!$B$99,Inputs!$B$98/12,0)</f>
        <v/>
      </c>
      <c r="I67" s="35">
        <f>IF(8&gt;=Inputs!$B$99,Inputs!$B$98/12,0)</f>
        <v/>
      </c>
      <c r="J67" s="35">
        <f>IF(9&gt;=Inputs!$B$99,Inputs!$B$98/12,0)</f>
        <v/>
      </c>
      <c r="K67" s="35">
        <f>IF(10&gt;=Inputs!$B$99,Inputs!$B$98/12,0)</f>
        <v/>
      </c>
      <c r="L67" s="35">
        <f>IF(11&gt;=Inputs!$B$99,Inputs!$B$98/12,0)</f>
        <v/>
      </c>
      <c r="M67" s="35">
        <f>IF(12&gt;=Inputs!$B$99,Inputs!$B$98/12,0)</f>
        <v/>
      </c>
      <c r="N67" s="35">
        <f>IF(13&gt;=Inputs!$B$99,Inputs!$B$98/12,0)</f>
        <v/>
      </c>
      <c r="O67" s="35">
        <f>IF(14&gt;=Inputs!$B$99,Inputs!$B$98/12,0)</f>
        <v/>
      </c>
      <c r="P67" s="35">
        <f>IF(15&gt;=Inputs!$B$99,Inputs!$B$98/12,0)</f>
        <v/>
      </c>
      <c r="Q67" s="35">
        <f>IF(16&gt;=Inputs!$B$99,Inputs!$B$98/12,0)</f>
        <v/>
      </c>
      <c r="R67" s="35">
        <f>IF(17&gt;=Inputs!$B$99,Inputs!$B$98/12,0)</f>
        <v/>
      </c>
      <c r="S67" s="35">
        <f>IF(18&gt;=Inputs!$B$99,Inputs!$B$98/12,0)</f>
        <v/>
      </c>
      <c r="T67" s="35">
        <f>IF(19&gt;=Inputs!$B$99,Inputs!$B$98/12,0)</f>
        <v/>
      </c>
      <c r="U67" s="35">
        <f>IF(20&gt;=Inputs!$B$99,Inputs!$B$98/12,0)</f>
        <v/>
      </c>
      <c r="V67" s="35">
        <f>IF(21&gt;=Inputs!$B$99,Inputs!$B$98/12,0)</f>
        <v/>
      </c>
      <c r="W67" s="35">
        <f>IF(22&gt;=Inputs!$B$99,Inputs!$B$98/12,0)</f>
        <v/>
      </c>
      <c r="X67" s="35">
        <f>IF(23&gt;=Inputs!$B$99,Inputs!$B$98/12,0)</f>
        <v/>
      </c>
      <c r="Y67" s="35">
        <f>IF(24&gt;=Inputs!$B$99,Inputs!$B$98/12,0)</f>
        <v/>
      </c>
      <c r="Z67" s="35">
        <f>IF(25&gt;=Inputs!$B$99,Inputs!$B$98/12,0)</f>
        <v/>
      </c>
      <c r="AA67" s="35">
        <f>IF(26&gt;=Inputs!$B$99,Inputs!$B$98/12,0)</f>
        <v/>
      </c>
      <c r="AB67" s="35">
        <f>IF(27&gt;=Inputs!$B$99,Inputs!$B$98/12,0)</f>
        <v/>
      </c>
      <c r="AC67" s="35">
        <f>IF(28&gt;=Inputs!$B$99,Inputs!$B$98/12,0)</f>
        <v/>
      </c>
      <c r="AD67" s="35">
        <f>IF(29&gt;=Inputs!$B$99,Inputs!$B$98/12,0)</f>
        <v/>
      </c>
      <c r="AE67" s="35">
        <f>IF(30&gt;=Inputs!$B$99,Inputs!$B$98/12,0)</f>
        <v/>
      </c>
      <c r="AF67" s="35">
        <f>IF(31&gt;=Inputs!$B$99,Inputs!$B$98/12,0)</f>
        <v/>
      </c>
      <c r="AG67" s="35">
        <f>IF(32&gt;=Inputs!$B$99,Inputs!$B$98/12,0)</f>
        <v/>
      </c>
      <c r="AH67" s="35">
        <f>IF(33&gt;=Inputs!$B$99,Inputs!$B$98/12,0)</f>
        <v/>
      </c>
      <c r="AI67" s="35">
        <f>IF(34&gt;=Inputs!$B$99,Inputs!$B$98/12,0)</f>
        <v/>
      </c>
      <c r="AJ67" s="35">
        <f>IF(35&gt;=Inputs!$B$99,Inputs!$B$98/12,0)</f>
        <v/>
      </c>
      <c r="AK67" s="35">
        <f>IF(36&gt;=Inputs!$B$99,Inputs!$B$98/12,0)</f>
        <v/>
      </c>
      <c r="AL67" s="35">
        <f>IF(37&gt;=Inputs!$B$99,Inputs!$B$98/12,0)</f>
        <v/>
      </c>
      <c r="AM67" s="35">
        <f>IF(38&gt;=Inputs!$B$99,Inputs!$B$98/12,0)</f>
        <v/>
      </c>
      <c r="AN67" s="35">
        <f>IF(39&gt;=Inputs!$B$99,Inputs!$B$98/12,0)</f>
        <v/>
      </c>
      <c r="AO67" s="35">
        <f>IF(40&gt;=Inputs!$B$99,Inputs!$B$98/12,0)</f>
        <v/>
      </c>
      <c r="AP67" s="35">
        <f>IF(41&gt;=Inputs!$B$99,Inputs!$B$98/12,0)</f>
        <v/>
      </c>
      <c r="AQ67" s="35">
        <f>IF(42&gt;=Inputs!$B$99,Inputs!$B$98/12,0)</f>
        <v/>
      </c>
      <c r="AR67" s="35">
        <f>IF(43&gt;=Inputs!$B$99,Inputs!$B$98/12,0)</f>
        <v/>
      </c>
      <c r="AS67" s="35">
        <f>IF(44&gt;=Inputs!$B$99,Inputs!$B$98/12,0)</f>
        <v/>
      </c>
      <c r="AT67" s="35">
        <f>IF(45&gt;=Inputs!$B$99,Inputs!$B$98/12,0)</f>
        <v/>
      </c>
      <c r="AU67" s="35">
        <f>IF(46&gt;=Inputs!$B$99,Inputs!$B$98/12,0)</f>
        <v/>
      </c>
      <c r="AV67" s="35">
        <f>IF(47&gt;=Inputs!$B$99,Inputs!$B$98/12,0)</f>
        <v/>
      </c>
      <c r="AW67" s="35">
        <f>IF(48&gt;=Inputs!$B$99,Inputs!$B$98/12,0)</f>
        <v/>
      </c>
      <c r="AX67" s="35">
        <f>IF(49&gt;=Inputs!$B$99,Inputs!$B$98/12,0)</f>
        <v/>
      </c>
      <c r="AY67" s="35">
        <f>IF(50&gt;=Inputs!$B$99,Inputs!$B$98/12,0)</f>
        <v/>
      </c>
      <c r="AZ67" s="35">
        <f>IF(51&gt;=Inputs!$B$99,Inputs!$B$98/12,0)</f>
        <v/>
      </c>
      <c r="BA67" s="35">
        <f>IF(52&gt;=Inputs!$B$99,Inputs!$B$98/12,0)</f>
        <v/>
      </c>
    </row>
    <row r="68" ht="14.25" customHeight="1" s="214">
      <c r="A68" s="3" t="inlineStr">
        <is>
          <t>Unternehmensberater</t>
        </is>
      </c>
      <c r="B68" s="35">
        <f>Inputs!$B$100/12</f>
        <v/>
      </c>
      <c r="C68" s="35">
        <f>Inputs!$B$100/12</f>
        <v/>
      </c>
      <c r="D68" s="35">
        <f>Inputs!$B$100/12</f>
        <v/>
      </c>
      <c r="E68" s="35">
        <f>Inputs!$B$100/12</f>
        <v/>
      </c>
      <c r="F68" s="35">
        <f>Inputs!$B$100/12</f>
        <v/>
      </c>
      <c r="G68" s="35">
        <f>Inputs!$B$100/12</f>
        <v/>
      </c>
      <c r="H68" s="35">
        <f>Inputs!$B$100/12</f>
        <v/>
      </c>
      <c r="I68" s="35">
        <f>Inputs!$B$100/12</f>
        <v/>
      </c>
      <c r="J68" s="35">
        <f>Inputs!$B$100/12</f>
        <v/>
      </c>
      <c r="K68" s="35">
        <f>Inputs!$B$100/12</f>
        <v/>
      </c>
      <c r="L68" s="35">
        <f>Inputs!$B$100/12</f>
        <v/>
      </c>
      <c r="M68" s="35">
        <f>Inputs!$B$100/12</f>
        <v/>
      </c>
      <c r="N68" s="35">
        <f>Inputs!$B$100/12</f>
        <v/>
      </c>
      <c r="O68" s="35">
        <f>Inputs!$B$100/12</f>
        <v/>
      </c>
      <c r="P68" s="35">
        <f>Inputs!$B$100/12</f>
        <v/>
      </c>
      <c r="Q68" s="35">
        <f>Inputs!$B$100/12</f>
        <v/>
      </c>
      <c r="R68" s="35">
        <f>Inputs!$B$100/12</f>
        <v/>
      </c>
      <c r="S68" s="35">
        <f>Inputs!$B$100/12</f>
        <v/>
      </c>
      <c r="T68" s="35">
        <f>Inputs!$B$100/12</f>
        <v/>
      </c>
      <c r="U68" s="35">
        <f>Inputs!$B$100/12</f>
        <v/>
      </c>
      <c r="V68" s="35">
        <f>Inputs!$B$100/12</f>
        <v/>
      </c>
      <c r="W68" s="35">
        <f>Inputs!$B$100/12</f>
        <v/>
      </c>
      <c r="X68" s="35">
        <f>Inputs!$B$100/12</f>
        <v/>
      </c>
      <c r="Y68" s="35">
        <f>Inputs!$B$100/12</f>
        <v/>
      </c>
      <c r="Z68" s="35">
        <f>Inputs!$B$100/12</f>
        <v/>
      </c>
      <c r="AA68" s="35">
        <f>Inputs!$B$100/12</f>
        <v/>
      </c>
      <c r="AB68" s="35">
        <f>Inputs!$B$100/12</f>
        <v/>
      </c>
      <c r="AC68" s="35">
        <f>Inputs!$B$100/12</f>
        <v/>
      </c>
      <c r="AD68" s="35">
        <f>Inputs!$B$100/12</f>
        <v/>
      </c>
      <c r="AE68" s="35">
        <f>Inputs!$B$100/12</f>
        <v/>
      </c>
      <c r="AF68" s="35">
        <f>Inputs!$B$100/12</f>
        <v/>
      </c>
      <c r="AG68" s="35">
        <f>Inputs!$B$100/12</f>
        <v/>
      </c>
      <c r="AH68" s="35">
        <f>Inputs!$B$100/12</f>
        <v/>
      </c>
      <c r="AI68" s="35">
        <f>Inputs!$B$100/12</f>
        <v/>
      </c>
      <c r="AJ68" s="35">
        <f>Inputs!$B$100/12</f>
        <v/>
      </c>
      <c r="AK68" s="35">
        <f>Inputs!$B$100/12</f>
        <v/>
      </c>
      <c r="AL68" s="35">
        <f>Inputs!$B$100/12</f>
        <v/>
      </c>
      <c r="AM68" s="35">
        <f>Inputs!$B$100/12</f>
        <v/>
      </c>
      <c r="AN68" s="35">
        <f>Inputs!$B$100/12</f>
        <v/>
      </c>
      <c r="AO68" s="35">
        <f>Inputs!$B$100/12</f>
        <v/>
      </c>
      <c r="AP68" s="35">
        <f>Inputs!$B$100/12</f>
        <v/>
      </c>
      <c r="AQ68" s="35">
        <f>Inputs!$B$100/12</f>
        <v/>
      </c>
      <c r="AR68" s="35">
        <f>Inputs!$B$100/12</f>
        <v/>
      </c>
      <c r="AS68" s="35">
        <f>Inputs!$B$100/12</f>
        <v/>
      </c>
      <c r="AT68" s="35">
        <f>Inputs!$B$100/12</f>
        <v/>
      </c>
      <c r="AU68" s="35">
        <f>Inputs!$B$100/12</f>
        <v/>
      </c>
      <c r="AV68" s="35">
        <f>Inputs!$B$100/12</f>
        <v/>
      </c>
      <c r="AW68" s="35">
        <f>Inputs!$B$100/12</f>
        <v/>
      </c>
      <c r="AX68" s="35">
        <f>Inputs!$B$100/12</f>
        <v/>
      </c>
      <c r="AY68" s="35">
        <f>Inputs!$B$100/12</f>
        <v/>
      </c>
      <c r="AZ68" s="35">
        <f>Inputs!$B$100/12</f>
        <v/>
      </c>
      <c r="BA68" s="35">
        <f>Inputs!$B$100/12</f>
        <v/>
      </c>
    </row>
    <row r="69" ht="14.25" customHeight="1" s="214">
      <c r="A69" s="2" t="inlineStr">
        <is>
          <t>TOTAL PROFESSIONAL</t>
        </is>
      </c>
      <c r="B69" s="33">
        <f>SUM(B65:B68)</f>
        <v/>
      </c>
      <c r="C69" s="33">
        <f>SUM(C65:C68)</f>
        <v/>
      </c>
      <c r="D69" s="33">
        <f>SUM(D65:D68)</f>
        <v/>
      </c>
      <c r="E69" s="33">
        <f>SUM(E65:E68)</f>
        <v/>
      </c>
      <c r="F69" s="33">
        <f>SUM(F65:F68)</f>
        <v/>
      </c>
      <c r="G69" s="33">
        <f>SUM(G65:G68)</f>
        <v/>
      </c>
      <c r="H69" s="33">
        <f>SUM(H65:H68)</f>
        <v/>
      </c>
      <c r="I69" s="33">
        <f>SUM(I65:I68)</f>
        <v/>
      </c>
      <c r="J69" s="33">
        <f>SUM(J65:J68)</f>
        <v/>
      </c>
      <c r="K69" s="33">
        <f>SUM(K65:K68)</f>
        <v/>
      </c>
      <c r="L69" s="33">
        <f>SUM(L65:L68)</f>
        <v/>
      </c>
      <c r="M69" s="33">
        <f>SUM(M65:M68)</f>
        <v/>
      </c>
      <c r="N69" s="33">
        <f>SUM(N65:N68)</f>
        <v/>
      </c>
      <c r="O69" s="33">
        <f>SUM(O65:O68)</f>
        <v/>
      </c>
      <c r="P69" s="33">
        <f>SUM(P65:P68)</f>
        <v/>
      </c>
      <c r="Q69" s="33">
        <f>SUM(Q65:Q68)</f>
        <v/>
      </c>
      <c r="R69" s="33">
        <f>SUM(R65:R68)</f>
        <v/>
      </c>
      <c r="S69" s="33">
        <f>SUM(S65:S68)</f>
        <v/>
      </c>
      <c r="T69" s="33">
        <f>SUM(T65:T68)</f>
        <v/>
      </c>
      <c r="U69" s="33">
        <f>SUM(U65:U68)</f>
        <v/>
      </c>
      <c r="V69" s="33">
        <f>SUM(V65:V68)</f>
        <v/>
      </c>
      <c r="W69" s="33">
        <f>SUM(W65:W68)</f>
        <v/>
      </c>
      <c r="X69" s="33">
        <f>SUM(X65:X68)</f>
        <v/>
      </c>
      <c r="Y69" s="33">
        <f>SUM(Y65:Y68)</f>
        <v/>
      </c>
      <c r="Z69" s="33">
        <f>SUM(Z65:Z68)</f>
        <v/>
      </c>
      <c r="AA69" s="33">
        <f>SUM(AA65:AA68)</f>
        <v/>
      </c>
      <c r="AB69" s="33">
        <f>SUM(AB65:AB68)</f>
        <v/>
      </c>
      <c r="AC69" s="33">
        <f>SUM(AC65:AC68)</f>
        <v/>
      </c>
      <c r="AD69" s="33">
        <f>SUM(AD65:AD68)</f>
        <v/>
      </c>
      <c r="AE69" s="33">
        <f>SUM(AE65:AE68)</f>
        <v/>
      </c>
      <c r="AF69" s="33">
        <f>SUM(AF65:AF68)</f>
        <v/>
      </c>
      <c r="AG69" s="33">
        <f>SUM(AG65:AG68)</f>
        <v/>
      </c>
      <c r="AH69" s="33">
        <f>SUM(AH65:AH68)</f>
        <v/>
      </c>
      <c r="AI69" s="33">
        <f>SUM(AI65:AI68)</f>
        <v/>
      </c>
      <c r="AJ69" s="33">
        <f>SUM(AJ65:AJ68)</f>
        <v/>
      </c>
      <c r="AK69" s="33">
        <f>SUM(AK65:AK68)</f>
        <v/>
      </c>
      <c r="AL69" s="33">
        <f>SUM(AL65:AL68)</f>
        <v/>
      </c>
      <c r="AM69" s="33">
        <f>SUM(AM65:AM68)</f>
        <v/>
      </c>
      <c r="AN69" s="33">
        <f>SUM(AN65:AN68)</f>
        <v/>
      </c>
      <c r="AO69" s="33">
        <f>SUM(AO65:AO68)</f>
        <v/>
      </c>
      <c r="AP69" s="33">
        <f>SUM(AP65:AP68)</f>
        <v/>
      </c>
      <c r="AQ69" s="33">
        <f>SUM(AQ65:AQ68)</f>
        <v/>
      </c>
      <c r="AR69" s="33">
        <f>SUM(AR65:AR68)</f>
        <v/>
      </c>
      <c r="AS69" s="33">
        <f>SUM(AS65:AS68)</f>
        <v/>
      </c>
      <c r="AT69" s="33">
        <f>SUM(AT65:AT68)</f>
        <v/>
      </c>
      <c r="AU69" s="33">
        <f>SUM(AU65:AU68)</f>
        <v/>
      </c>
      <c r="AV69" s="33">
        <f>SUM(AV65:AV68)</f>
        <v/>
      </c>
      <c r="AW69" s="33">
        <f>SUM(AW65:AW68)</f>
        <v/>
      </c>
      <c r="AX69" s="33">
        <f>SUM(AX65:AX68)</f>
        <v/>
      </c>
      <c r="AY69" s="33">
        <f>SUM(AY65:AY68)</f>
        <v/>
      </c>
      <c r="AZ69" s="33">
        <f>SUM(AZ65:AZ68)</f>
        <v/>
      </c>
      <c r="BA69" s="33">
        <f>SUM(BA65:BA68)</f>
        <v/>
      </c>
    </row>
    <row r="70" ht="14.25" customHeight="1" s="214"/>
    <row r="71" ht="14.25" customHeight="1" s="214">
      <c r="A71" s="2" t="inlineStr">
        <is>
          <t>VERSICHERUNGEN &amp; BANK</t>
        </is>
      </c>
    </row>
    <row r="72" ht="14.25" customHeight="1" s="214">
      <c r="A72" s="3" t="inlineStr">
        <is>
          <t>D&amp;O Versicherung</t>
        </is>
      </c>
      <c r="B72" s="35">
        <f>Inputs!$B$103/12</f>
        <v/>
      </c>
      <c r="C72" s="35">
        <f>Inputs!$B$103/12</f>
        <v/>
      </c>
      <c r="D72" s="35">
        <f>Inputs!$B$103/12</f>
        <v/>
      </c>
      <c r="E72" s="35">
        <f>Inputs!$B$103/12</f>
        <v/>
      </c>
      <c r="F72" s="35">
        <f>Inputs!$B$103/12</f>
        <v/>
      </c>
      <c r="G72" s="35">
        <f>Inputs!$B$103/12</f>
        <v/>
      </c>
      <c r="H72" s="35">
        <f>Inputs!$B$103/12</f>
        <v/>
      </c>
      <c r="I72" s="35">
        <f>Inputs!$B$103/12</f>
        <v/>
      </c>
      <c r="J72" s="35">
        <f>Inputs!$B$103/12</f>
        <v/>
      </c>
      <c r="K72" s="35">
        <f>Inputs!$B$103/12</f>
        <v/>
      </c>
      <c r="L72" s="35">
        <f>Inputs!$B$103/12</f>
        <v/>
      </c>
      <c r="M72" s="35">
        <f>Inputs!$B$103/12</f>
        <v/>
      </c>
      <c r="N72" s="35">
        <f>Inputs!$B$103/12</f>
        <v/>
      </c>
      <c r="O72" s="35">
        <f>Inputs!$B$103/12</f>
        <v/>
      </c>
      <c r="P72" s="35">
        <f>Inputs!$B$103/12</f>
        <v/>
      </c>
      <c r="Q72" s="35">
        <f>Inputs!$B$103/12</f>
        <v/>
      </c>
      <c r="R72" s="35">
        <f>Inputs!$B$103/12</f>
        <v/>
      </c>
      <c r="S72" s="35">
        <f>Inputs!$B$103/12</f>
        <v/>
      </c>
      <c r="T72" s="35">
        <f>Inputs!$B$103/12</f>
        <v/>
      </c>
      <c r="U72" s="35">
        <f>Inputs!$B$103/12</f>
        <v/>
      </c>
      <c r="V72" s="35">
        <f>Inputs!$B$103/12</f>
        <v/>
      </c>
      <c r="W72" s="35">
        <f>Inputs!$B$103/12</f>
        <v/>
      </c>
      <c r="X72" s="35">
        <f>Inputs!$B$103/12</f>
        <v/>
      </c>
      <c r="Y72" s="35">
        <f>Inputs!$B$103/12</f>
        <v/>
      </c>
      <c r="Z72" s="35">
        <f>Inputs!$B$103/12</f>
        <v/>
      </c>
      <c r="AA72" s="35">
        <f>Inputs!$B$103/12</f>
        <v/>
      </c>
      <c r="AB72" s="35">
        <f>Inputs!$B$103/12</f>
        <v/>
      </c>
      <c r="AC72" s="35">
        <f>Inputs!$B$103/12</f>
        <v/>
      </c>
      <c r="AD72" s="35">
        <f>Inputs!$B$103/12</f>
        <v/>
      </c>
      <c r="AE72" s="35">
        <f>Inputs!$B$103/12</f>
        <v/>
      </c>
      <c r="AF72" s="35">
        <f>Inputs!$B$103/12</f>
        <v/>
      </c>
      <c r="AG72" s="35">
        <f>Inputs!$B$103/12</f>
        <v/>
      </c>
      <c r="AH72" s="35">
        <f>Inputs!$B$103/12</f>
        <v/>
      </c>
      <c r="AI72" s="35">
        <f>Inputs!$B$103/12</f>
        <v/>
      </c>
      <c r="AJ72" s="35">
        <f>Inputs!$B$103/12</f>
        <v/>
      </c>
      <c r="AK72" s="35">
        <f>Inputs!$B$103/12</f>
        <v/>
      </c>
      <c r="AL72" s="35">
        <f>Inputs!$B$103/12</f>
        <v/>
      </c>
      <c r="AM72" s="35">
        <f>Inputs!$B$103/12</f>
        <v/>
      </c>
      <c r="AN72" s="35">
        <f>Inputs!$B$103/12</f>
        <v/>
      </c>
      <c r="AO72" s="35">
        <f>Inputs!$B$103/12</f>
        <v/>
      </c>
      <c r="AP72" s="35">
        <f>Inputs!$B$103/12</f>
        <v/>
      </c>
      <c r="AQ72" s="35">
        <f>Inputs!$B$103/12</f>
        <v/>
      </c>
      <c r="AR72" s="35">
        <f>Inputs!$B$103/12</f>
        <v/>
      </c>
      <c r="AS72" s="35">
        <f>Inputs!$B$103/12</f>
        <v/>
      </c>
      <c r="AT72" s="35">
        <f>Inputs!$B$103/12</f>
        <v/>
      </c>
      <c r="AU72" s="35">
        <f>Inputs!$B$103/12</f>
        <v/>
      </c>
      <c r="AV72" s="35">
        <f>Inputs!$B$103/12</f>
        <v/>
      </c>
      <c r="AW72" s="35">
        <f>Inputs!$B$103/12</f>
        <v/>
      </c>
      <c r="AX72" s="35">
        <f>Inputs!$B$103/12</f>
        <v/>
      </c>
      <c r="AY72" s="35">
        <f>Inputs!$B$103/12</f>
        <v/>
      </c>
      <c r="AZ72" s="35">
        <f>Inputs!$B$103/12</f>
        <v/>
      </c>
      <c r="BA72" s="35">
        <f>Inputs!$B$103/12</f>
        <v/>
      </c>
    </row>
    <row r="73" ht="14.25" customHeight="1" s="214">
      <c r="A73" s="3" t="inlineStr">
        <is>
          <t>Betriebshaftpflicht</t>
        </is>
      </c>
      <c r="B73" s="35">
        <f>Inputs!$B$104/12</f>
        <v/>
      </c>
      <c r="C73" s="35">
        <f>Inputs!$B$104/12</f>
        <v/>
      </c>
      <c r="D73" s="35">
        <f>Inputs!$B$104/12</f>
        <v/>
      </c>
      <c r="E73" s="35">
        <f>Inputs!$B$104/12</f>
        <v/>
      </c>
      <c r="F73" s="35">
        <f>Inputs!$B$104/12</f>
        <v/>
      </c>
      <c r="G73" s="35">
        <f>Inputs!$B$104/12</f>
        <v/>
      </c>
      <c r="H73" s="35">
        <f>Inputs!$B$104/12</f>
        <v/>
      </c>
      <c r="I73" s="35">
        <f>Inputs!$B$104/12</f>
        <v/>
      </c>
      <c r="J73" s="35">
        <f>Inputs!$B$104/12</f>
        <v/>
      </c>
      <c r="K73" s="35">
        <f>Inputs!$B$104/12</f>
        <v/>
      </c>
      <c r="L73" s="35">
        <f>Inputs!$B$104/12</f>
        <v/>
      </c>
      <c r="M73" s="35">
        <f>Inputs!$B$104/12</f>
        <v/>
      </c>
      <c r="N73" s="35">
        <f>Inputs!$B$104/12</f>
        <v/>
      </c>
      <c r="O73" s="35">
        <f>Inputs!$B$104/12</f>
        <v/>
      </c>
      <c r="P73" s="35">
        <f>Inputs!$B$104/12</f>
        <v/>
      </c>
      <c r="Q73" s="35">
        <f>Inputs!$B$104/12</f>
        <v/>
      </c>
      <c r="R73" s="35">
        <f>Inputs!$B$104/12</f>
        <v/>
      </c>
      <c r="S73" s="35">
        <f>Inputs!$B$104/12</f>
        <v/>
      </c>
      <c r="T73" s="35">
        <f>Inputs!$B$104/12</f>
        <v/>
      </c>
      <c r="U73" s="35">
        <f>Inputs!$B$104/12</f>
        <v/>
      </c>
      <c r="V73" s="35">
        <f>Inputs!$B$104/12</f>
        <v/>
      </c>
      <c r="W73" s="35">
        <f>Inputs!$B$104/12</f>
        <v/>
      </c>
      <c r="X73" s="35">
        <f>Inputs!$B$104/12</f>
        <v/>
      </c>
      <c r="Y73" s="35">
        <f>Inputs!$B$104/12</f>
        <v/>
      </c>
      <c r="Z73" s="35">
        <f>Inputs!$B$104/12</f>
        <v/>
      </c>
      <c r="AA73" s="35">
        <f>Inputs!$B$104/12</f>
        <v/>
      </c>
      <c r="AB73" s="35">
        <f>Inputs!$B$104/12</f>
        <v/>
      </c>
      <c r="AC73" s="35">
        <f>Inputs!$B$104/12</f>
        <v/>
      </c>
      <c r="AD73" s="35">
        <f>Inputs!$B$104/12</f>
        <v/>
      </c>
      <c r="AE73" s="35">
        <f>Inputs!$B$104/12</f>
        <v/>
      </c>
      <c r="AF73" s="35">
        <f>Inputs!$B$104/12</f>
        <v/>
      </c>
      <c r="AG73" s="35">
        <f>Inputs!$B$104/12</f>
        <v/>
      </c>
      <c r="AH73" s="35">
        <f>Inputs!$B$104/12</f>
        <v/>
      </c>
      <c r="AI73" s="35">
        <f>Inputs!$B$104/12</f>
        <v/>
      </c>
      <c r="AJ73" s="35">
        <f>Inputs!$B$104/12</f>
        <v/>
      </c>
      <c r="AK73" s="35">
        <f>Inputs!$B$104/12</f>
        <v/>
      </c>
      <c r="AL73" s="35">
        <f>Inputs!$B$104/12</f>
        <v/>
      </c>
      <c r="AM73" s="35">
        <f>Inputs!$B$104/12</f>
        <v/>
      </c>
      <c r="AN73" s="35">
        <f>Inputs!$B$104/12</f>
        <v/>
      </c>
      <c r="AO73" s="35">
        <f>Inputs!$B$104/12</f>
        <v/>
      </c>
      <c r="AP73" s="35">
        <f>Inputs!$B$104/12</f>
        <v/>
      </c>
      <c r="AQ73" s="35">
        <f>Inputs!$B$104/12</f>
        <v/>
      </c>
      <c r="AR73" s="35">
        <f>Inputs!$B$104/12</f>
        <v/>
      </c>
      <c r="AS73" s="35">
        <f>Inputs!$B$104/12</f>
        <v/>
      </c>
      <c r="AT73" s="35">
        <f>Inputs!$B$104/12</f>
        <v/>
      </c>
      <c r="AU73" s="35">
        <f>Inputs!$B$104/12</f>
        <v/>
      </c>
      <c r="AV73" s="35">
        <f>Inputs!$B$104/12</f>
        <v/>
      </c>
      <c r="AW73" s="35">
        <f>Inputs!$B$104/12</f>
        <v/>
      </c>
      <c r="AX73" s="35">
        <f>Inputs!$B$104/12</f>
        <v/>
      </c>
      <c r="AY73" s="35">
        <f>Inputs!$B$104/12</f>
        <v/>
      </c>
      <c r="AZ73" s="35">
        <f>Inputs!$B$104/12</f>
        <v/>
      </c>
      <c r="BA73" s="35">
        <f>Inputs!$B$104/12</f>
        <v/>
      </c>
    </row>
    <row r="74" ht="14.25" customHeight="1" s="214">
      <c r="A74" s="3" t="inlineStr">
        <is>
          <t>Cyber-Versicherung</t>
        </is>
      </c>
      <c r="B74" s="35">
        <f>Inputs!$B$105/12</f>
        <v/>
      </c>
      <c r="C74" s="35">
        <f>Inputs!$B$105/12</f>
        <v/>
      </c>
      <c r="D74" s="35">
        <f>Inputs!$B$105/12</f>
        <v/>
      </c>
      <c r="E74" s="35">
        <f>Inputs!$B$105/12</f>
        <v/>
      </c>
      <c r="F74" s="35">
        <f>Inputs!$B$105/12</f>
        <v/>
      </c>
      <c r="G74" s="35">
        <f>Inputs!$B$105/12</f>
        <v/>
      </c>
      <c r="H74" s="35">
        <f>Inputs!$B$105/12</f>
        <v/>
      </c>
      <c r="I74" s="35">
        <f>Inputs!$B$105/12</f>
        <v/>
      </c>
      <c r="J74" s="35">
        <f>Inputs!$B$105/12</f>
        <v/>
      </c>
      <c r="K74" s="35">
        <f>Inputs!$B$105/12</f>
        <v/>
      </c>
      <c r="L74" s="35">
        <f>Inputs!$B$105/12</f>
        <v/>
      </c>
      <c r="M74" s="35">
        <f>Inputs!$B$105/12</f>
        <v/>
      </c>
      <c r="N74" s="35">
        <f>Inputs!$B$105/12</f>
        <v/>
      </c>
      <c r="O74" s="35">
        <f>Inputs!$B$105/12</f>
        <v/>
      </c>
      <c r="P74" s="35">
        <f>Inputs!$B$105/12</f>
        <v/>
      </c>
      <c r="Q74" s="35">
        <f>Inputs!$B$105/12</f>
        <v/>
      </c>
      <c r="R74" s="35">
        <f>Inputs!$B$105/12</f>
        <v/>
      </c>
      <c r="S74" s="35">
        <f>Inputs!$B$105/12</f>
        <v/>
      </c>
      <c r="T74" s="35">
        <f>Inputs!$B$105/12</f>
        <v/>
      </c>
      <c r="U74" s="35">
        <f>Inputs!$B$105/12</f>
        <v/>
      </c>
      <c r="V74" s="35">
        <f>Inputs!$B$105/12</f>
        <v/>
      </c>
      <c r="W74" s="35">
        <f>Inputs!$B$105/12</f>
        <v/>
      </c>
      <c r="X74" s="35">
        <f>Inputs!$B$105/12</f>
        <v/>
      </c>
      <c r="Y74" s="35">
        <f>Inputs!$B$105/12</f>
        <v/>
      </c>
      <c r="Z74" s="35">
        <f>Inputs!$B$105/12</f>
        <v/>
      </c>
      <c r="AA74" s="35">
        <f>Inputs!$B$105/12</f>
        <v/>
      </c>
      <c r="AB74" s="35">
        <f>Inputs!$B$105/12</f>
        <v/>
      </c>
      <c r="AC74" s="35">
        <f>Inputs!$B$105/12</f>
        <v/>
      </c>
      <c r="AD74" s="35">
        <f>Inputs!$B$105/12</f>
        <v/>
      </c>
      <c r="AE74" s="35">
        <f>Inputs!$B$105/12</f>
        <v/>
      </c>
      <c r="AF74" s="35">
        <f>Inputs!$B$105/12</f>
        <v/>
      </c>
      <c r="AG74" s="35">
        <f>Inputs!$B$105/12</f>
        <v/>
      </c>
      <c r="AH74" s="35">
        <f>Inputs!$B$105/12</f>
        <v/>
      </c>
      <c r="AI74" s="35">
        <f>Inputs!$B$105/12</f>
        <v/>
      </c>
      <c r="AJ74" s="35">
        <f>Inputs!$B$105/12</f>
        <v/>
      </c>
      <c r="AK74" s="35">
        <f>Inputs!$B$105/12</f>
        <v/>
      </c>
      <c r="AL74" s="35">
        <f>Inputs!$B$105/12</f>
        <v/>
      </c>
      <c r="AM74" s="35">
        <f>Inputs!$B$105/12</f>
        <v/>
      </c>
      <c r="AN74" s="35">
        <f>Inputs!$B$105/12</f>
        <v/>
      </c>
      <c r="AO74" s="35">
        <f>Inputs!$B$105/12</f>
        <v/>
      </c>
      <c r="AP74" s="35">
        <f>Inputs!$B$105/12</f>
        <v/>
      </c>
      <c r="AQ74" s="35">
        <f>Inputs!$B$105/12</f>
        <v/>
      </c>
      <c r="AR74" s="35">
        <f>Inputs!$B$105/12</f>
        <v/>
      </c>
      <c r="AS74" s="35">
        <f>Inputs!$B$105/12</f>
        <v/>
      </c>
      <c r="AT74" s="35">
        <f>Inputs!$B$105/12</f>
        <v/>
      </c>
      <c r="AU74" s="35">
        <f>Inputs!$B$105/12</f>
        <v/>
      </c>
      <c r="AV74" s="35">
        <f>Inputs!$B$105/12</f>
        <v/>
      </c>
      <c r="AW74" s="35">
        <f>Inputs!$B$105/12</f>
        <v/>
      </c>
      <c r="AX74" s="35">
        <f>Inputs!$B$105/12</f>
        <v/>
      </c>
      <c r="AY74" s="35">
        <f>Inputs!$B$105/12</f>
        <v/>
      </c>
      <c r="AZ74" s="35">
        <f>Inputs!$B$105/12</f>
        <v/>
      </c>
      <c r="BA74" s="35">
        <f>Inputs!$B$105/12</f>
        <v/>
      </c>
    </row>
    <row r="75" ht="14.25" customHeight="1" s="214">
      <c r="A75" s="3" t="inlineStr">
        <is>
          <t>Bankgebühren</t>
        </is>
      </c>
      <c r="B75" s="35">
        <f>Inputs!$B$106</f>
        <v/>
      </c>
      <c r="C75" s="35">
        <f>Inputs!$B$106</f>
        <v/>
      </c>
      <c r="D75" s="35">
        <f>Inputs!$B$106</f>
        <v/>
      </c>
      <c r="E75" s="35">
        <f>Inputs!$B$106</f>
        <v/>
      </c>
      <c r="F75" s="35">
        <f>Inputs!$B$106</f>
        <v/>
      </c>
      <c r="G75" s="35">
        <f>Inputs!$B$106</f>
        <v/>
      </c>
      <c r="H75" s="35">
        <f>Inputs!$B$106</f>
        <v/>
      </c>
      <c r="I75" s="35">
        <f>Inputs!$B$106</f>
        <v/>
      </c>
      <c r="J75" s="35">
        <f>Inputs!$B$106</f>
        <v/>
      </c>
      <c r="K75" s="35">
        <f>Inputs!$B$106</f>
        <v/>
      </c>
      <c r="L75" s="35">
        <f>Inputs!$B$106</f>
        <v/>
      </c>
      <c r="M75" s="35">
        <f>Inputs!$B$106</f>
        <v/>
      </c>
      <c r="N75" s="35">
        <f>Inputs!$B$106</f>
        <v/>
      </c>
      <c r="O75" s="35">
        <f>Inputs!$B$106</f>
        <v/>
      </c>
      <c r="P75" s="35">
        <f>Inputs!$B$106</f>
        <v/>
      </c>
      <c r="Q75" s="35">
        <f>Inputs!$B$106</f>
        <v/>
      </c>
      <c r="R75" s="35">
        <f>Inputs!$B$106</f>
        <v/>
      </c>
      <c r="S75" s="35">
        <f>Inputs!$B$106</f>
        <v/>
      </c>
      <c r="T75" s="35">
        <f>Inputs!$B$106</f>
        <v/>
      </c>
      <c r="U75" s="35">
        <f>Inputs!$B$106</f>
        <v/>
      </c>
      <c r="V75" s="35">
        <f>Inputs!$B$106</f>
        <v/>
      </c>
      <c r="W75" s="35">
        <f>Inputs!$B$106</f>
        <v/>
      </c>
      <c r="X75" s="35">
        <f>Inputs!$B$106</f>
        <v/>
      </c>
      <c r="Y75" s="35">
        <f>Inputs!$B$106</f>
        <v/>
      </c>
      <c r="Z75" s="35">
        <f>Inputs!$B$106</f>
        <v/>
      </c>
      <c r="AA75" s="35">
        <f>Inputs!$B$106</f>
        <v/>
      </c>
      <c r="AB75" s="35">
        <f>Inputs!$B$106</f>
        <v/>
      </c>
      <c r="AC75" s="35">
        <f>Inputs!$B$106</f>
        <v/>
      </c>
      <c r="AD75" s="35">
        <f>Inputs!$B$106</f>
        <v/>
      </c>
      <c r="AE75" s="35">
        <f>Inputs!$B$106</f>
        <v/>
      </c>
      <c r="AF75" s="35">
        <f>Inputs!$B$106</f>
        <v/>
      </c>
      <c r="AG75" s="35">
        <f>Inputs!$B$106</f>
        <v/>
      </c>
      <c r="AH75" s="35">
        <f>Inputs!$B$106</f>
        <v/>
      </c>
      <c r="AI75" s="35">
        <f>Inputs!$B$106</f>
        <v/>
      </c>
      <c r="AJ75" s="35">
        <f>Inputs!$B$106</f>
        <v/>
      </c>
      <c r="AK75" s="35">
        <f>Inputs!$B$106</f>
        <v/>
      </c>
      <c r="AL75" s="35">
        <f>Inputs!$B$106</f>
        <v/>
      </c>
      <c r="AM75" s="35">
        <f>Inputs!$B$106</f>
        <v/>
      </c>
      <c r="AN75" s="35">
        <f>Inputs!$B$106</f>
        <v/>
      </c>
      <c r="AO75" s="35">
        <f>Inputs!$B$106</f>
        <v/>
      </c>
      <c r="AP75" s="35">
        <f>Inputs!$B$106</f>
        <v/>
      </c>
      <c r="AQ75" s="35">
        <f>Inputs!$B$106</f>
        <v/>
      </c>
      <c r="AR75" s="35">
        <f>Inputs!$B$106</f>
        <v/>
      </c>
      <c r="AS75" s="35">
        <f>Inputs!$B$106</f>
        <v/>
      </c>
      <c r="AT75" s="35">
        <f>Inputs!$B$106</f>
        <v/>
      </c>
      <c r="AU75" s="35">
        <f>Inputs!$B$106</f>
        <v/>
      </c>
      <c r="AV75" s="35">
        <f>Inputs!$B$106</f>
        <v/>
      </c>
      <c r="AW75" s="35">
        <f>Inputs!$B$106</f>
        <v/>
      </c>
      <c r="AX75" s="35">
        <f>Inputs!$B$106</f>
        <v/>
      </c>
      <c r="AY75" s="35">
        <f>Inputs!$B$106</f>
        <v/>
      </c>
      <c r="AZ75" s="35">
        <f>Inputs!$B$106</f>
        <v/>
      </c>
      <c r="BA75" s="35">
        <f>Inputs!$B$106</f>
        <v/>
      </c>
    </row>
    <row r="76" ht="14.25" customHeight="1" s="214">
      <c r="A76" s="2" t="inlineStr">
        <is>
          <t>TOTAL VERSICHERUNG &amp; BANK</t>
        </is>
      </c>
      <c r="B76" s="33">
        <f>SUM(B72:B75)</f>
        <v/>
      </c>
      <c r="C76" s="33">
        <f>SUM(C72:C75)</f>
        <v/>
      </c>
      <c r="D76" s="33">
        <f>SUM(D72:D75)</f>
        <v/>
      </c>
      <c r="E76" s="33">
        <f>SUM(E72:E75)</f>
        <v/>
      </c>
      <c r="F76" s="33">
        <f>SUM(F72:F75)</f>
        <v/>
      </c>
      <c r="G76" s="33">
        <f>SUM(G72:G75)</f>
        <v/>
      </c>
      <c r="H76" s="33">
        <f>SUM(H72:H75)</f>
        <v/>
      </c>
      <c r="I76" s="33">
        <f>SUM(I72:I75)</f>
        <v/>
      </c>
      <c r="J76" s="33">
        <f>SUM(J72:J75)</f>
        <v/>
      </c>
      <c r="K76" s="33">
        <f>SUM(K72:K75)</f>
        <v/>
      </c>
      <c r="L76" s="33">
        <f>SUM(L72:L75)</f>
        <v/>
      </c>
      <c r="M76" s="33">
        <f>SUM(M72:M75)</f>
        <v/>
      </c>
      <c r="N76" s="33">
        <f>SUM(N72:N75)</f>
        <v/>
      </c>
      <c r="O76" s="33">
        <f>SUM(O72:O75)</f>
        <v/>
      </c>
      <c r="P76" s="33">
        <f>SUM(P72:P75)</f>
        <v/>
      </c>
      <c r="Q76" s="33">
        <f>SUM(Q72:Q75)</f>
        <v/>
      </c>
      <c r="R76" s="33">
        <f>SUM(R72:R75)</f>
        <v/>
      </c>
      <c r="S76" s="33">
        <f>SUM(S72:S75)</f>
        <v/>
      </c>
      <c r="T76" s="33">
        <f>SUM(T72:T75)</f>
        <v/>
      </c>
      <c r="U76" s="33">
        <f>SUM(U72:U75)</f>
        <v/>
      </c>
      <c r="V76" s="33">
        <f>SUM(V72:V75)</f>
        <v/>
      </c>
      <c r="W76" s="33">
        <f>SUM(W72:W75)</f>
        <v/>
      </c>
      <c r="X76" s="33">
        <f>SUM(X72:X75)</f>
        <v/>
      </c>
      <c r="Y76" s="33">
        <f>SUM(Y72:Y75)</f>
        <v/>
      </c>
      <c r="Z76" s="33">
        <f>SUM(Z72:Z75)</f>
        <v/>
      </c>
      <c r="AA76" s="33">
        <f>SUM(AA72:AA75)</f>
        <v/>
      </c>
      <c r="AB76" s="33">
        <f>SUM(AB72:AB75)</f>
        <v/>
      </c>
      <c r="AC76" s="33">
        <f>SUM(AC72:AC75)</f>
        <v/>
      </c>
      <c r="AD76" s="33">
        <f>SUM(AD72:AD75)</f>
        <v/>
      </c>
      <c r="AE76" s="33">
        <f>SUM(AE72:AE75)</f>
        <v/>
      </c>
      <c r="AF76" s="33">
        <f>SUM(AF72:AF75)</f>
        <v/>
      </c>
      <c r="AG76" s="33">
        <f>SUM(AG72:AG75)</f>
        <v/>
      </c>
      <c r="AH76" s="33">
        <f>SUM(AH72:AH75)</f>
        <v/>
      </c>
      <c r="AI76" s="33">
        <f>SUM(AI72:AI75)</f>
        <v/>
      </c>
      <c r="AJ76" s="33">
        <f>SUM(AJ72:AJ75)</f>
        <v/>
      </c>
      <c r="AK76" s="33">
        <f>SUM(AK72:AK75)</f>
        <v/>
      </c>
      <c r="AL76" s="33">
        <f>SUM(AL72:AL75)</f>
        <v/>
      </c>
      <c r="AM76" s="33">
        <f>SUM(AM72:AM75)</f>
        <v/>
      </c>
      <c r="AN76" s="33">
        <f>SUM(AN72:AN75)</f>
        <v/>
      </c>
      <c r="AO76" s="33">
        <f>SUM(AO72:AO75)</f>
        <v/>
      </c>
      <c r="AP76" s="33">
        <f>SUM(AP72:AP75)</f>
        <v/>
      </c>
      <c r="AQ76" s="33">
        <f>SUM(AQ72:AQ75)</f>
        <v/>
      </c>
      <c r="AR76" s="33">
        <f>SUM(AR72:AR75)</f>
        <v/>
      </c>
      <c r="AS76" s="33">
        <f>SUM(AS72:AS75)</f>
        <v/>
      </c>
      <c r="AT76" s="33">
        <f>SUM(AT72:AT75)</f>
        <v/>
      </c>
      <c r="AU76" s="33">
        <f>SUM(AU72:AU75)</f>
        <v/>
      </c>
      <c r="AV76" s="33">
        <f>SUM(AV72:AV75)</f>
        <v/>
      </c>
      <c r="AW76" s="33">
        <f>SUM(AW72:AW75)</f>
        <v/>
      </c>
      <c r="AX76" s="33">
        <f>SUM(AX72:AX75)</f>
        <v/>
      </c>
      <c r="AY76" s="33">
        <f>SUM(AY72:AY75)</f>
        <v/>
      </c>
      <c r="AZ76" s="33">
        <f>SUM(AZ72:AZ75)</f>
        <v/>
      </c>
      <c r="BA76" s="33">
        <f>SUM(BA72:BA75)</f>
        <v/>
      </c>
    </row>
    <row r="77" ht="14.25" customHeight="1" s="214"/>
    <row r="78" ht="14.25" customHeight="1" s="214">
      <c r="A78" s="2" t="inlineStr">
        <is>
          <t>MARKETING &amp; SALES KOSTEN</t>
        </is>
      </c>
    </row>
    <row r="79" ht="14.25" customHeight="1" s="214">
      <c r="A79" s="3" t="inlineStr">
        <is>
          <t>Paid Advertising</t>
        </is>
      </c>
      <c r="B79" s="35">
        <f>Inputs!$B$110*(1+Inputs!$B$111)^(1-1)</f>
        <v/>
      </c>
      <c r="C79" s="35">
        <f>Inputs!$B$110*(1+Inputs!$B$111)^(2-1)</f>
        <v/>
      </c>
      <c r="D79" s="35">
        <f>Inputs!$B$110*(1+Inputs!$B$111)^(3-1)</f>
        <v/>
      </c>
      <c r="E79" s="35">
        <f>Inputs!$B$110*(1+Inputs!$B$111)^(4-1)</f>
        <v/>
      </c>
      <c r="F79" s="35">
        <f>Inputs!$B$110*(1+Inputs!$B$111)^(5-1)</f>
        <v/>
      </c>
      <c r="G79" s="35">
        <f>Inputs!$B$110*(1+Inputs!$B$111)^(6-1)</f>
        <v/>
      </c>
      <c r="H79" s="35">
        <f>Inputs!$B$110*(1+Inputs!$B$111)^(7-1)</f>
        <v/>
      </c>
      <c r="I79" s="35">
        <f>Inputs!$B$110*(1+Inputs!$B$111)^(8-1)</f>
        <v/>
      </c>
      <c r="J79" s="35">
        <f>Inputs!$B$110*(1+Inputs!$B$111)^(9-1)</f>
        <v/>
      </c>
      <c r="K79" s="35">
        <f>Inputs!$B$110*(1+Inputs!$B$111)^(10-1)</f>
        <v/>
      </c>
      <c r="L79" s="35">
        <f>Inputs!$B$110*(1+Inputs!$B$111)^(11-1)</f>
        <v/>
      </c>
      <c r="M79" s="35">
        <f>Inputs!$B$110*(1+Inputs!$B$111)^(12-1)</f>
        <v/>
      </c>
      <c r="N79" s="35">
        <f>Inputs!$B$110*(1+Inputs!$B$111)^(13-1)</f>
        <v/>
      </c>
      <c r="O79" s="35">
        <f>Inputs!$B$110*(1+Inputs!$B$111)^(14-1)</f>
        <v/>
      </c>
      <c r="P79" s="35">
        <f>Inputs!$B$110*(1+Inputs!$B$111)^(15-1)</f>
        <v/>
      </c>
      <c r="Q79" s="35">
        <f>Inputs!$B$110*(1+Inputs!$B$111)^(16-1)</f>
        <v/>
      </c>
      <c r="R79" s="35">
        <f>Inputs!$B$110*(1+Inputs!$B$111)^(17-1)</f>
        <v/>
      </c>
      <c r="S79" s="35">
        <f>Inputs!$B$110*(1+Inputs!$B$111)^(18-1)</f>
        <v/>
      </c>
      <c r="T79" s="35">
        <f>Inputs!$B$110*(1+Inputs!$B$111)^(19-1)</f>
        <v/>
      </c>
      <c r="U79" s="35">
        <f>Inputs!$B$110*(1+Inputs!$B$111)^(20-1)</f>
        <v/>
      </c>
      <c r="V79" s="35">
        <f>Inputs!$B$110*(1+Inputs!$B$111)^(21-1)</f>
        <v/>
      </c>
      <c r="W79" s="35">
        <f>Inputs!$B$110*(1+Inputs!$B$111)^(22-1)</f>
        <v/>
      </c>
      <c r="X79" s="35">
        <f>Inputs!$B$110*(1+Inputs!$B$111)^(23-1)</f>
        <v/>
      </c>
      <c r="Y79" s="35">
        <f>Inputs!$B$110*(1+Inputs!$B$111)^(24-1)</f>
        <v/>
      </c>
      <c r="Z79" s="35">
        <f>Inputs!$B$110*(1+Inputs!$B$111)^(25-1)</f>
        <v/>
      </c>
      <c r="AA79" s="35">
        <f>Inputs!$B$110*(1+Inputs!$B$111)^(26-1)</f>
        <v/>
      </c>
      <c r="AB79" s="35">
        <f>Inputs!$B$110*(1+Inputs!$B$111)^(27-1)</f>
        <v/>
      </c>
      <c r="AC79" s="35">
        <f>Inputs!$B$110*(1+Inputs!$B$111)^(28-1)</f>
        <v/>
      </c>
      <c r="AD79" s="35">
        <f>Inputs!$B$110*(1+Inputs!$B$111)^(29-1)</f>
        <v/>
      </c>
      <c r="AE79" s="35">
        <f>Inputs!$B$110*(1+Inputs!$B$111)^(30-1)</f>
        <v/>
      </c>
      <c r="AF79" s="35">
        <f>Inputs!$B$110*(1+Inputs!$B$111)^(31-1)</f>
        <v/>
      </c>
      <c r="AG79" s="35">
        <f>Inputs!$B$110*(1+Inputs!$B$111)^(32-1)</f>
        <v/>
      </c>
      <c r="AH79" s="35">
        <f>Inputs!$B$110*(1+Inputs!$B$111)^(33-1)</f>
        <v/>
      </c>
      <c r="AI79" s="35">
        <f>Inputs!$B$110*(1+Inputs!$B$111)^(34-1)</f>
        <v/>
      </c>
      <c r="AJ79" s="35">
        <f>Inputs!$B$110*(1+Inputs!$B$111)^(35-1)</f>
        <v/>
      </c>
      <c r="AK79" s="35">
        <f>Inputs!$B$110*(1+Inputs!$B$111)^(36-1)</f>
        <v/>
      </c>
      <c r="AL79" s="35">
        <f>Inputs!$B$110*(1+Inputs!$B$111)^(37-1)</f>
        <v/>
      </c>
      <c r="AM79" s="35">
        <f>Inputs!$B$110*(1+Inputs!$B$111)^(38-1)</f>
        <v/>
      </c>
      <c r="AN79" s="35">
        <f>Inputs!$B$110*(1+Inputs!$B$111)^(39-1)</f>
        <v/>
      </c>
      <c r="AO79" s="35">
        <f>Inputs!$B$110*(1+Inputs!$B$111)^(40-1)</f>
        <v/>
      </c>
      <c r="AP79" s="35">
        <f>Inputs!$B$110*(1+Inputs!$B$111)^(41-1)</f>
        <v/>
      </c>
      <c r="AQ79" s="35">
        <f>Inputs!$B$110*(1+Inputs!$B$111)^(42-1)</f>
        <v/>
      </c>
      <c r="AR79" s="35">
        <f>Inputs!$B$110*(1+Inputs!$B$111)^(43-1)</f>
        <v/>
      </c>
      <c r="AS79" s="35">
        <f>Inputs!$B$110*(1+Inputs!$B$111)^(44-1)</f>
        <v/>
      </c>
      <c r="AT79" s="35">
        <f>Inputs!$B$110*(1+Inputs!$B$111)^(45-1)</f>
        <v/>
      </c>
      <c r="AU79" s="35">
        <f>Inputs!$B$110*(1+Inputs!$B$111)^(46-1)</f>
        <v/>
      </c>
      <c r="AV79" s="35">
        <f>Inputs!$B$110*(1+Inputs!$B$111)^(47-1)</f>
        <v/>
      </c>
      <c r="AW79" s="35">
        <f>Inputs!$B$110*(1+Inputs!$B$111)^(48-1)</f>
        <v/>
      </c>
      <c r="AX79" s="35">
        <f>Inputs!$B$110*(1+Inputs!$B$111)^(49-1)</f>
        <v/>
      </c>
      <c r="AY79" s="35">
        <f>Inputs!$B$110*(1+Inputs!$B$111)^(50-1)</f>
        <v/>
      </c>
      <c r="AZ79" s="35">
        <f>Inputs!$B$110*(1+Inputs!$B$111)^(51-1)</f>
        <v/>
      </c>
      <c r="BA79" s="35">
        <f>Inputs!$B$110*(1+Inputs!$B$111)^(52-1)</f>
        <v/>
      </c>
    </row>
    <row r="80" ht="14.25" customHeight="1" s="214">
      <c r="A80" s="3" t="inlineStr">
        <is>
          <t>Content &amp; SEO</t>
        </is>
      </c>
      <c r="B80" s="35">
        <f>Inputs!$B$112</f>
        <v/>
      </c>
      <c r="C80" s="35">
        <f>Inputs!$B$112</f>
        <v/>
      </c>
      <c r="D80" s="35">
        <f>Inputs!$B$112</f>
        <v/>
      </c>
      <c r="E80" s="35">
        <f>Inputs!$B$112</f>
        <v/>
      </c>
      <c r="F80" s="35">
        <f>Inputs!$B$112</f>
        <v/>
      </c>
      <c r="G80" s="35">
        <f>Inputs!$B$112</f>
        <v/>
      </c>
      <c r="H80" s="35">
        <f>Inputs!$B$112</f>
        <v/>
      </c>
      <c r="I80" s="35">
        <f>Inputs!$B$112</f>
        <v/>
      </c>
      <c r="J80" s="35">
        <f>Inputs!$B$112</f>
        <v/>
      </c>
      <c r="K80" s="35">
        <f>Inputs!$B$112</f>
        <v/>
      </c>
      <c r="L80" s="35">
        <f>Inputs!$B$112</f>
        <v/>
      </c>
      <c r="M80" s="35">
        <f>Inputs!$B$112</f>
        <v/>
      </c>
      <c r="N80" s="35">
        <f>Inputs!$B$112</f>
        <v/>
      </c>
      <c r="O80" s="35">
        <f>Inputs!$B$112</f>
        <v/>
      </c>
      <c r="P80" s="35">
        <f>Inputs!$B$112</f>
        <v/>
      </c>
      <c r="Q80" s="35">
        <f>Inputs!$B$112</f>
        <v/>
      </c>
      <c r="R80" s="35">
        <f>Inputs!$B$112</f>
        <v/>
      </c>
      <c r="S80" s="35">
        <f>Inputs!$B$112</f>
        <v/>
      </c>
      <c r="T80" s="35">
        <f>Inputs!$B$112</f>
        <v/>
      </c>
      <c r="U80" s="35">
        <f>Inputs!$B$112</f>
        <v/>
      </c>
      <c r="V80" s="35">
        <f>Inputs!$B$112</f>
        <v/>
      </c>
      <c r="W80" s="35">
        <f>Inputs!$B$112</f>
        <v/>
      </c>
      <c r="X80" s="35">
        <f>Inputs!$B$112</f>
        <v/>
      </c>
      <c r="Y80" s="35">
        <f>Inputs!$B$112</f>
        <v/>
      </c>
      <c r="Z80" s="35">
        <f>Inputs!$B$112</f>
        <v/>
      </c>
      <c r="AA80" s="35">
        <f>Inputs!$B$112</f>
        <v/>
      </c>
      <c r="AB80" s="35">
        <f>Inputs!$B$112</f>
        <v/>
      </c>
      <c r="AC80" s="35">
        <f>Inputs!$B$112</f>
        <v/>
      </c>
      <c r="AD80" s="35">
        <f>Inputs!$B$112</f>
        <v/>
      </c>
      <c r="AE80" s="35">
        <f>Inputs!$B$112</f>
        <v/>
      </c>
      <c r="AF80" s="35">
        <f>Inputs!$B$112</f>
        <v/>
      </c>
      <c r="AG80" s="35">
        <f>Inputs!$B$112</f>
        <v/>
      </c>
      <c r="AH80" s="35">
        <f>Inputs!$B$112</f>
        <v/>
      </c>
      <c r="AI80" s="35">
        <f>Inputs!$B$112</f>
        <v/>
      </c>
      <c r="AJ80" s="35">
        <f>Inputs!$B$112</f>
        <v/>
      </c>
      <c r="AK80" s="35">
        <f>Inputs!$B$112</f>
        <v/>
      </c>
      <c r="AL80" s="35">
        <f>Inputs!$B$112</f>
        <v/>
      </c>
      <c r="AM80" s="35">
        <f>Inputs!$B$112</f>
        <v/>
      </c>
      <c r="AN80" s="35">
        <f>Inputs!$B$112</f>
        <v/>
      </c>
      <c r="AO80" s="35">
        <f>Inputs!$B$112</f>
        <v/>
      </c>
      <c r="AP80" s="35">
        <f>Inputs!$B$112</f>
        <v/>
      </c>
      <c r="AQ80" s="35">
        <f>Inputs!$B$112</f>
        <v/>
      </c>
      <c r="AR80" s="35">
        <f>Inputs!$B$112</f>
        <v/>
      </c>
      <c r="AS80" s="35">
        <f>Inputs!$B$112</f>
        <v/>
      </c>
      <c r="AT80" s="35">
        <f>Inputs!$B$112</f>
        <v/>
      </c>
      <c r="AU80" s="35">
        <f>Inputs!$B$112</f>
        <v/>
      </c>
      <c r="AV80" s="35">
        <f>Inputs!$B$112</f>
        <v/>
      </c>
      <c r="AW80" s="35">
        <f>Inputs!$B$112</f>
        <v/>
      </c>
      <c r="AX80" s="35">
        <f>Inputs!$B$112</f>
        <v/>
      </c>
      <c r="AY80" s="35">
        <f>Inputs!$B$112</f>
        <v/>
      </c>
      <c r="AZ80" s="35">
        <f>Inputs!$B$112</f>
        <v/>
      </c>
      <c r="BA80" s="35">
        <f>Inputs!$B$112</f>
        <v/>
      </c>
    </row>
    <row r="81" ht="14.25" customHeight="1" s="214">
      <c r="A81" s="3" t="inlineStr">
        <is>
          <t>Events &amp; Messen</t>
        </is>
      </c>
      <c r="B81" s="35">
        <f>IF(COLUMNS($B$81:B81)&gt;=Inputs!$B$17,Inputs!$B$116/12,IF(COLUMNS($B$81:B81)&gt;=Inputs!$B$15,Inputs!$B$115/12,IF(COLUMNS($B$81:B81)&gt;=Inputs!$B$13,Inputs!$B$114/12,Inputs!$B$113/12)))</f>
        <v/>
      </c>
      <c r="C81" s="35">
        <f>IF(COLUMNS($B$81:C81)&gt;=Inputs!$B$17,Inputs!$B$116/12,IF(COLUMNS($B$81:C81)&gt;=Inputs!$B$15,Inputs!$B$115/12,IF(COLUMNS($B$81:C81)&gt;=Inputs!$B$13,Inputs!$B$114/12,Inputs!$B$113/12)))</f>
        <v/>
      </c>
      <c r="D81" s="35">
        <f>IF(COLUMNS($B$81:D81)&gt;=Inputs!$B$17,Inputs!$B$116/12,IF(COLUMNS($B$81:D81)&gt;=Inputs!$B$15,Inputs!$B$115/12,IF(COLUMNS($B$81:D81)&gt;=Inputs!$B$13,Inputs!$B$114/12,Inputs!$B$113/12)))</f>
        <v/>
      </c>
      <c r="E81" s="35">
        <f>IF(COLUMNS($B$81:E81)&gt;=Inputs!$B$17,Inputs!$B$116/12,IF(COLUMNS($B$81:E81)&gt;=Inputs!$B$15,Inputs!$B$115/12,IF(COLUMNS($B$81:E81)&gt;=Inputs!$B$13,Inputs!$B$114/12,Inputs!$B$113/12)))</f>
        <v/>
      </c>
      <c r="F81" s="35">
        <f>IF(COLUMNS($B$81:F81)&gt;=Inputs!$B$17,Inputs!$B$116/12,IF(COLUMNS($B$81:F81)&gt;=Inputs!$B$15,Inputs!$B$115/12,IF(COLUMNS($B$81:F81)&gt;=Inputs!$B$13,Inputs!$B$114/12,Inputs!$B$113/12)))</f>
        <v/>
      </c>
      <c r="G81" s="35">
        <f>IF(COLUMNS($B$81:G81)&gt;=Inputs!$B$17,Inputs!$B$116/12,IF(COLUMNS($B$81:G81)&gt;=Inputs!$B$15,Inputs!$B$115/12,IF(COLUMNS($B$81:G81)&gt;=Inputs!$B$13,Inputs!$B$114/12,Inputs!$B$113/12)))</f>
        <v/>
      </c>
      <c r="H81" s="35">
        <f>IF(COLUMNS($B$81:H81)&gt;=Inputs!$B$17,Inputs!$B$116/12,IF(COLUMNS($B$81:H81)&gt;=Inputs!$B$15,Inputs!$B$115/12,IF(COLUMNS($B$81:H81)&gt;=Inputs!$B$13,Inputs!$B$114/12,Inputs!$B$113/12)))</f>
        <v/>
      </c>
      <c r="I81" s="35">
        <f>IF(COLUMNS($B$81:I81)&gt;=Inputs!$B$17,Inputs!$B$116/12,IF(COLUMNS($B$81:I81)&gt;=Inputs!$B$15,Inputs!$B$115/12,IF(COLUMNS($B$81:I81)&gt;=Inputs!$B$13,Inputs!$B$114/12,Inputs!$B$113/12)))</f>
        <v/>
      </c>
      <c r="J81" s="35">
        <f>IF(COLUMNS($B$81:J81)&gt;=Inputs!$B$17,Inputs!$B$116/12,IF(COLUMNS($B$81:J81)&gt;=Inputs!$B$15,Inputs!$B$115/12,IF(COLUMNS($B$81:J81)&gt;=Inputs!$B$13,Inputs!$B$114/12,Inputs!$B$113/12)))</f>
        <v/>
      </c>
      <c r="K81" s="35">
        <f>IF(COLUMNS($B$81:K81)&gt;=Inputs!$B$17,Inputs!$B$116/12,IF(COLUMNS($B$81:K81)&gt;=Inputs!$B$15,Inputs!$B$115/12,IF(COLUMNS($B$81:K81)&gt;=Inputs!$B$13,Inputs!$B$114/12,Inputs!$B$113/12)))</f>
        <v/>
      </c>
      <c r="L81" s="35">
        <f>IF(COLUMNS($B$81:L81)&gt;=Inputs!$B$17,Inputs!$B$116/12,IF(COLUMNS($B$81:L81)&gt;=Inputs!$B$15,Inputs!$B$115/12,IF(COLUMNS($B$81:L81)&gt;=Inputs!$B$13,Inputs!$B$114/12,Inputs!$B$113/12)))</f>
        <v/>
      </c>
      <c r="M81" s="35">
        <f>IF(COLUMNS($B$81:M81)&gt;=Inputs!$B$17,Inputs!$B$116/12,IF(COLUMNS($B$81:M81)&gt;=Inputs!$B$15,Inputs!$B$115/12,IF(COLUMNS($B$81:M81)&gt;=Inputs!$B$13,Inputs!$B$114/12,Inputs!$B$113/12)))</f>
        <v/>
      </c>
      <c r="N81" s="35">
        <f>IF(COLUMNS($B$81:N81)&gt;=Inputs!$B$17,Inputs!$B$116/12,IF(COLUMNS($B$81:N81)&gt;=Inputs!$B$15,Inputs!$B$115/12,IF(COLUMNS($B$81:N81)&gt;=Inputs!$B$13,Inputs!$B$114/12,Inputs!$B$113/12)))</f>
        <v/>
      </c>
      <c r="O81" s="35">
        <f>IF(COLUMNS($B$81:O81)&gt;=Inputs!$B$17,Inputs!$B$116/12,IF(COLUMNS($B$81:O81)&gt;=Inputs!$B$15,Inputs!$B$115/12,IF(COLUMNS($B$81:O81)&gt;=Inputs!$B$13,Inputs!$B$114/12,Inputs!$B$113/12)))</f>
        <v/>
      </c>
      <c r="P81" s="35">
        <f>IF(COLUMNS($B$81:P81)&gt;=Inputs!$B$17,Inputs!$B$116/12,IF(COLUMNS($B$81:P81)&gt;=Inputs!$B$15,Inputs!$B$115/12,IF(COLUMNS($B$81:P81)&gt;=Inputs!$B$13,Inputs!$B$114/12,Inputs!$B$113/12)))</f>
        <v/>
      </c>
      <c r="Q81" s="35">
        <f>IF(COLUMNS($B$81:Q81)&gt;=Inputs!$B$17,Inputs!$B$116/12,IF(COLUMNS($B$81:Q81)&gt;=Inputs!$B$15,Inputs!$B$115/12,IF(COLUMNS($B$81:Q81)&gt;=Inputs!$B$13,Inputs!$B$114/12,Inputs!$B$113/12)))</f>
        <v/>
      </c>
      <c r="R81" s="35">
        <f>IF(COLUMNS($B$81:R81)&gt;=Inputs!$B$17,Inputs!$B$116/12,IF(COLUMNS($B$81:R81)&gt;=Inputs!$B$15,Inputs!$B$115/12,IF(COLUMNS($B$81:R81)&gt;=Inputs!$B$13,Inputs!$B$114/12,Inputs!$B$113/12)))</f>
        <v/>
      </c>
      <c r="S81" s="35">
        <f>IF(COLUMNS($B$81:S81)&gt;=Inputs!$B$17,Inputs!$B$116/12,IF(COLUMNS($B$81:S81)&gt;=Inputs!$B$15,Inputs!$B$115/12,IF(COLUMNS($B$81:S81)&gt;=Inputs!$B$13,Inputs!$B$114/12,Inputs!$B$113/12)))</f>
        <v/>
      </c>
      <c r="T81" s="35">
        <f>IF(COLUMNS($B$81:T81)&gt;=Inputs!$B$17,Inputs!$B$116/12,IF(COLUMNS($B$81:T81)&gt;=Inputs!$B$15,Inputs!$B$115/12,IF(COLUMNS($B$81:T81)&gt;=Inputs!$B$13,Inputs!$B$114/12,Inputs!$B$113/12)))</f>
        <v/>
      </c>
      <c r="U81" s="35">
        <f>IF(COLUMNS($B$81:U81)&gt;=Inputs!$B$17,Inputs!$B$116/12,IF(COLUMNS($B$81:U81)&gt;=Inputs!$B$15,Inputs!$B$115/12,IF(COLUMNS($B$81:U81)&gt;=Inputs!$B$13,Inputs!$B$114/12,Inputs!$B$113/12)))</f>
        <v/>
      </c>
      <c r="V81" s="35">
        <f>IF(COLUMNS($B$81:V81)&gt;=Inputs!$B$17,Inputs!$B$116/12,IF(COLUMNS($B$81:V81)&gt;=Inputs!$B$15,Inputs!$B$115/12,IF(COLUMNS($B$81:V81)&gt;=Inputs!$B$13,Inputs!$B$114/12,Inputs!$B$113/12)))</f>
        <v/>
      </c>
      <c r="W81" s="35">
        <f>IF(COLUMNS($B$81:W81)&gt;=Inputs!$B$17,Inputs!$B$116/12,IF(COLUMNS($B$81:W81)&gt;=Inputs!$B$15,Inputs!$B$115/12,IF(COLUMNS($B$81:W81)&gt;=Inputs!$B$13,Inputs!$B$114/12,Inputs!$B$113/12)))</f>
        <v/>
      </c>
      <c r="X81" s="35">
        <f>IF(COLUMNS($B$81:X81)&gt;=Inputs!$B$17,Inputs!$B$116/12,IF(COLUMNS($B$81:X81)&gt;=Inputs!$B$15,Inputs!$B$115/12,IF(COLUMNS($B$81:X81)&gt;=Inputs!$B$13,Inputs!$B$114/12,Inputs!$B$113/12)))</f>
        <v/>
      </c>
      <c r="Y81" s="35">
        <f>IF(COLUMNS($B$81:Y81)&gt;=Inputs!$B$17,Inputs!$B$116/12,IF(COLUMNS($B$81:Y81)&gt;=Inputs!$B$15,Inputs!$B$115/12,IF(COLUMNS($B$81:Y81)&gt;=Inputs!$B$13,Inputs!$B$114/12,Inputs!$B$113/12)))</f>
        <v/>
      </c>
      <c r="Z81" s="35">
        <f>IF(COLUMNS($B$81:Z81)&gt;=Inputs!$B$17,Inputs!$B$116/12,IF(COLUMNS($B$81:Z81)&gt;=Inputs!$B$15,Inputs!$B$115/12,IF(COLUMNS($B$81:Z81)&gt;=Inputs!$B$13,Inputs!$B$114/12,Inputs!$B$113/12)))</f>
        <v/>
      </c>
      <c r="AA81" s="35">
        <f>IF(COLUMNS($B$81:AA81)&gt;=Inputs!$B$17,Inputs!$B$116/12,IF(COLUMNS($B$81:AA81)&gt;=Inputs!$B$15,Inputs!$B$115/12,IF(COLUMNS($B$81:AA81)&gt;=Inputs!$B$13,Inputs!$B$114/12,Inputs!$B$113/12)))</f>
        <v/>
      </c>
      <c r="AB81" s="35">
        <f>IF(COLUMNS($B$81:AB81)&gt;=Inputs!$B$17,Inputs!$B$116/12,IF(COLUMNS($B$81:AB81)&gt;=Inputs!$B$15,Inputs!$B$115/12,IF(COLUMNS($B$81:AB81)&gt;=Inputs!$B$13,Inputs!$B$114/12,Inputs!$B$113/12)))</f>
        <v/>
      </c>
      <c r="AC81" s="35">
        <f>IF(COLUMNS($B$81:AC81)&gt;=Inputs!$B$17,Inputs!$B$116/12,IF(COLUMNS($B$81:AC81)&gt;=Inputs!$B$15,Inputs!$B$115/12,IF(COLUMNS($B$81:AC81)&gt;=Inputs!$B$13,Inputs!$B$114/12,Inputs!$B$113/12)))</f>
        <v/>
      </c>
      <c r="AD81" s="35">
        <f>IF(COLUMNS($B$81:AD81)&gt;=Inputs!$B$17,Inputs!$B$116/12,IF(COLUMNS($B$81:AD81)&gt;=Inputs!$B$15,Inputs!$B$115/12,IF(COLUMNS($B$81:AD81)&gt;=Inputs!$B$13,Inputs!$B$114/12,Inputs!$B$113/12)))</f>
        <v/>
      </c>
      <c r="AE81" s="35">
        <f>IF(COLUMNS($B$81:AE81)&gt;=Inputs!$B$17,Inputs!$B$116/12,IF(COLUMNS($B$81:AE81)&gt;=Inputs!$B$15,Inputs!$B$115/12,IF(COLUMNS($B$81:AE81)&gt;=Inputs!$B$13,Inputs!$B$114/12,Inputs!$B$113/12)))</f>
        <v/>
      </c>
      <c r="AF81" s="35">
        <f>IF(COLUMNS($B$81:AF81)&gt;=Inputs!$B$17,Inputs!$B$116/12,IF(COLUMNS($B$81:AF81)&gt;=Inputs!$B$15,Inputs!$B$115/12,IF(COLUMNS($B$81:AF81)&gt;=Inputs!$B$13,Inputs!$B$114/12,Inputs!$B$113/12)))</f>
        <v/>
      </c>
      <c r="AG81" s="35">
        <f>IF(COLUMNS($B$81:AG81)&gt;=Inputs!$B$17,Inputs!$B$116/12,IF(COLUMNS($B$81:AG81)&gt;=Inputs!$B$15,Inputs!$B$115/12,IF(COLUMNS($B$81:AG81)&gt;=Inputs!$B$13,Inputs!$B$114/12,Inputs!$B$113/12)))</f>
        <v/>
      </c>
      <c r="AH81" s="35">
        <f>IF(COLUMNS($B$81:AH81)&gt;=Inputs!$B$17,Inputs!$B$116/12,IF(COLUMNS($B$81:AH81)&gt;=Inputs!$B$15,Inputs!$B$115/12,IF(COLUMNS($B$81:AH81)&gt;=Inputs!$B$13,Inputs!$B$114/12,Inputs!$B$113/12)))</f>
        <v/>
      </c>
      <c r="AI81" s="35">
        <f>IF(COLUMNS($B$81:AI81)&gt;=Inputs!$B$17,Inputs!$B$116/12,IF(COLUMNS($B$81:AI81)&gt;=Inputs!$B$15,Inputs!$B$115/12,IF(COLUMNS($B$81:AI81)&gt;=Inputs!$B$13,Inputs!$B$114/12,Inputs!$B$113/12)))</f>
        <v/>
      </c>
      <c r="AJ81" s="35">
        <f>IF(COLUMNS($B$81:AJ81)&gt;=Inputs!$B$17,Inputs!$B$116/12,IF(COLUMNS($B$81:AJ81)&gt;=Inputs!$B$15,Inputs!$B$115/12,IF(COLUMNS($B$81:AJ81)&gt;=Inputs!$B$13,Inputs!$B$114/12,Inputs!$B$113/12)))</f>
        <v/>
      </c>
      <c r="AK81" s="35">
        <f>IF(COLUMNS($B$81:AK81)&gt;=Inputs!$B$17,Inputs!$B$116/12,IF(COLUMNS($B$81:AK81)&gt;=Inputs!$B$15,Inputs!$B$115/12,IF(COLUMNS($B$81:AK81)&gt;=Inputs!$B$13,Inputs!$B$114/12,Inputs!$B$113/12)))</f>
        <v/>
      </c>
      <c r="AL81" s="35">
        <f>IF(COLUMNS($B$81:AL81)&gt;=Inputs!$B$17,Inputs!$B$116/12,IF(COLUMNS($B$81:AL81)&gt;=Inputs!$B$15,Inputs!$B$115/12,IF(COLUMNS($B$81:AL81)&gt;=Inputs!$B$13,Inputs!$B$114/12,Inputs!$B$113/12)))</f>
        <v/>
      </c>
      <c r="AM81" s="35">
        <f>IF(COLUMNS($B$81:AM81)&gt;=Inputs!$B$17,Inputs!$B$116/12,IF(COLUMNS($B$81:AM81)&gt;=Inputs!$B$15,Inputs!$B$115/12,IF(COLUMNS($B$81:AM81)&gt;=Inputs!$B$13,Inputs!$B$114/12,Inputs!$B$113/12)))</f>
        <v/>
      </c>
      <c r="AN81" s="35">
        <f>IF(COLUMNS($B$81:AN81)&gt;=Inputs!$B$17,Inputs!$B$116/12,IF(COLUMNS($B$81:AN81)&gt;=Inputs!$B$15,Inputs!$B$115/12,IF(COLUMNS($B$81:AN81)&gt;=Inputs!$B$13,Inputs!$B$114/12,Inputs!$B$113/12)))</f>
        <v/>
      </c>
      <c r="AO81" s="35">
        <f>IF(COLUMNS($B$81:AO81)&gt;=Inputs!$B$17,Inputs!$B$116/12,IF(COLUMNS($B$81:AO81)&gt;=Inputs!$B$15,Inputs!$B$115/12,IF(COLUMNS($B$81:AO81)&gt;=Inputs!$B$13,Inputs!$B$114/12,Inputs!$B$113/12)))</f>
        <v/>
      </c>
      <c r="AP81" s="35">
        <f>IF(COLUMNS($B$81:AP81)&gt;=Inputs!$B$17,Inputs!$B$116/12,IF(COLUMNS($B$81:AP81)&gt;=Inputs!$B$15,Inputs!$B$115/12,IF(COLUMNS($B$81:AP81)&gt;=Inputs!$B$13,Inputs!$B$114/12,Inputs!$B$113/12)))</f>
        <v/>
      </c>
      <c r="AQ81" s="35">
        <f>IF(COLUMNS($B$81:AQ81)&gt;=Inputs!$B$17,Inputs!$B$116/12,IF(COLUMNS($B$81:AQ81)&gt;=Inputs!$B$15,Inputs!$B$115/12,IF(COLUMNS($B$81:AQ81)&gt;=Inputs!$B$13,Inputs!$B$114/12,Inputs!$B$113/12)))</f>
        <v/>
      </c>
      <c r="AR81" s="35">
        <f>IF(COLUMNS($B$81:AR81)&gt;=Inputs!$B$17,Inputs!$B$116/12,IF(COLUMNS($B$81:AR81)&gt;=Inputs!$B$15,Inputs!$B$115/12,IF(COLUMNS($B$81:AR81)&gt;=Inputs!$B$13,Inputs!$B$114/12,Inputs!$B$113/12)))</f>
        <v/>
      </c>
      <c r="AS81" s="35">
        <f>IF(COLUMNS($B$81:AS81)&gt;=Inputs!$B$17,Inputs!$B$116/12,IF(COLUMNS($B$81:AS81)&gt;=Inputs!$B$15,Inputs!$B$115/12,IF(COLUMNS($B$81:AS81)&gt;=Inputs!$B$13,Inputs!$B$114/12,Inputs!$B$113/12)))</f>
        <v/>
      </c>
      <c r="AT81" s="35">
        <f>IF(COLUMNS($B$81:AT81)&gt;=Inputs!$B$17,Inputs!$B$116/12,IF(COLUMNS($B$81:AT81)&gt;=Inputs!$B$15,Inputs!$B$115/12,IF(COLUMNS($B$81:AT81)&gt;=Inputs!$B$13,Inputs!$B$114/12,Inputs!$B$113/12)))</f>
        <v/>
      </c>
      <c r="AU81" s="35">
        <f>IF(COLUMNS($B$81:AU81)&gt;=Inputs!$B$17,Inputs!$B$116/12,IF(COLUMNS($B$81:AU81)&gt;=Inputs!$B$15,Inputs!$B$115/12,IF(COLUMNS($B$81:AU81)&gt;=Inputs!$B$13,Inputs!$B$114/12,Inputs!$B$113/12)))</f>
        <v/>
      </c>
      <c r="AV81" s="35">
        <f>IF(COLUMNS($B$81:AV81)&gt;=Inputs!$B$17,Inputs!$B$116/12,IF(COLUMNS($B$81:AV81)&gt;=Inputs!$B$15,Inputs!$B$115/12,IF(COLUMNS($B$81:AV81)&gt;=Inputs!$B$13,Inputs!$B$114/12,Inputs!$B$113/12)))</f>
        <v/>
      </c>
      <c r="AW81" s="35">
        <f>IF(COLUMNS($B$81:AW81)&gt;=Inputs!$B$17,Inputs!$B$116/12,IF(COLUMNS($B$81:AW81)&gt;=Inputs!$B$15,Inputs!$B$115/12,IF(COLUMNS($B$81:AW81)&gt;=Inputs!$B$13,Inputs!$B$114/12,Inputs!$B$113/12)))</f>
        <v/>
      </c>
      <c r="AX81" s="35">
        <f>IF(COLUMNS($B$81:AX81)&gt;=Inputs!$B$17,Inputs!$B$116/12,IF(COLUMNS($B$81:AX81)&gt;=Inputs!$B$15,Inputs!$B$115/12,IF(COLUMNS($B$81:AX81)&gt;=Inputs!$B$13,Inputs!$B$114/12,Inputs!$B$113/12)))</f>
        <v/>
      </c>
      <c r="AY81" s="35">
        <f>IF(COLUMNS($B$81:AY81)&gt;=Inputs!$B$17,Inputs!$B$116/12,IF(COLUMNS($B$81:AY81)&gt;=Inputs!$B$15,Inputs!$B$115/12,IF(COLUMNS($B$81:AY81)&gt;=Inputs!$B$13,Inputs!$B$114/12,Inputs!$B$113/12)))</f>
        <v/>
      </c>
      <c r="AZ81" s="35">
        <f>IF(COLUMNS($B$81:AZ81)&gt;=Inputs!$B$17,Inputs!$B$116/12,IF(COLUMNS($B$81:AZ81)&gt;=Inputs!$B$15,Inputs!$B$115/12,IF(COLUMNS($B$81:AZ81)&gt;=Inputs!$B$13,Inputs!$B$114/12,Inputs!$B$113/12)))</f>
        <v/>
      </c>
      <c r="BA81" s="35">
        <f>IF(COLUMNS($B$81:BA81)&gt;=Inputs!$B$17,Inputs!$B$116/12,IF(COLUMNS($B$81:BA81)&gt;=Inputs!$B$15,Inputs!$B$115/12,IF(COLUMNS($B$81:BA81)&gt;=Inputs!$B$13,Inputs!$B$114/12,Inputs!$B$113/12)))</f>
        <v/>
      </c>
    </row>
    <row r="82" ht="14.25" customHeight="1" s="214">
      <c r="A82" s="3" t="inlineStr">
        <is>
          <t>Sales Tools</t>
        </is>
      </c>
      <c r="B82" s="35">
        <f>Inputs!$B$118</f>
        <v/>
      </c>
      <c r="C82" s="35">
        <f>Inputs!$B$118</f>
        <v/>
      </c>
      <c r="D82" s="35">
        <f>Inputs!$B$118</f>
        <v/>
      </c>
      <c r="E82" s="35">
        <f>Inputs!$B$118</f>
        <v/>
      </c>
      <c r="F82" s="35">
        <f>Inputs!$B$118</f>
        <v/>
      </c>
      <c r="G82" s="35">
        <f>Inputs!$B$118</f>
        <v/>
      </c>
      <c r="H82" s="35">
        <f>Inputs!$B$118</f>
        <v/>
      </c>
      <c r="I82" s="35">
        <f>Inputs!$B$118</f>
        <v/>
      </c>
      <c r="J82" s="35">
        <f>Inputs!$B$118</f>
        <v/>
      </c>
      <c r="K82" s="35">
        <f>Inputs!$B$118</f>
        <v/>
      </c>
      <c r="L82" s="35">
        <f>Inputs!$B$118</f>
        <v/>
      </c>
      <c r="M82" s="35">
        <f>Inputs!$B$118</f>
        <v/>
      </c>
      <c r="N82" s="35">
        <f>Inputs!$B$118</f>
        <v/>
      </c>
      <c r="O82" s="35">
        <f>Inputs!$B$118</f>
        <v/>
      </c>
      <c r="P82" s="35">
        <f>Inputs!$B$118</f>
        <v/>
      </c>
      <c r="Q82" s="35">
        <f>Inputs!$B$118</f>
        <v/>
      </c>
      <c r="R82" s="35">
        <f>Inputs!$B$118</f>
        <v/>
      </c>
      <c r="S82" s="35">
        <f>Inputs!$B$118</f>
        <v/>
      </c>
      <c r="T82" s="35">
        <f>Inputs!$B$118</f>
        <v/>
      </c>
      <c r="U82" s="35">
        <f>Inputs!$B$118</f>
        <v/>
      </c>
      <c r="V82" s="35">
        <f>Inputs!$B$118</f>
        <v/>
      </c>
      <c r="W82" s="35">
        <f>Inputs!$B$118</f>
        <v/>
      </c>
      <c r="X82" s="35">
        <f>Inputs!$B$118</f>
        <v/>
      </c>
      <c r="Y82" s="35">
        <f>Inputs!$B$118</f>
        <v/>
      </c>
      <c r="Z82" s="35">
        <f>Inputs!$B$118</f>
        <v/>
      </c>
      <c r="AA82" s="35">
        <f>Inputs!$B$118</f>
        <v/>
      </c>
      <c r="AB82" s="35">
        <f>Inputs!$B$118</f>
        <v/>
      </c>
      <c r="AC82" s="35">
        <f>Inputs!$B$118</f>
        <v/>
      </c>
      <c r="AD82" s="35">
        <f>Inputs!$B$118</f>
        <v/>
      </c>
      <c r="AE82" s="35">
        <f>Inputs!$B$118</f>
        <v/>
      </c>
      <c r="AF82" s="35">
        <f>Inputs!$B$118</f>
        <v/>
      </c>
      <c r="AG82" s="35">
        <f>Inputs!$B$118</f>
        <v/>
      </c>
      <c r="AH82" s="35">
        <f>Inputs!$B$118</f>
        <v/>
      </c>
      <c r="AI82" s="35">
        <f>Inputs!$B$118</f>
        <v/>
      </c>
      <c r="AJ82" s="35">
        <f>Inputs!$B$118</f>
        <v/>
      </c>
      <c r="AK82" s="35">
        <f>Inputs!$B$118</f>
        <v/>
      </c>
      <c r="AL82" s="35">
        <f>Inputs!$B$118</f>
        <v/>
      </c>
      <c r="AM82" s="35">
        <f>Inputs!$B$118</f>
        <v/>
      </c>
      <c r="AN82" s="35">
        <f>Inputs!$B$118</f>
        <v/>
      </c>
      <c r="AO82" s="35">
        <f>Inputs!$B$118</f>
        <v/>
      </c>
      <c r="AP82" s="35">
        <f>Inputs!$B$118</f>
        <v/>
      </c>
      <c r="AQ82" s="35">
        <f>Inputs!$B$118</f>
        <v/>
      </c>
      <c r="AR82" s="35">
        <f>Inputs!$B$118</f>
        <v/>
      </c>
      <c r="AS82" s="35">
        <f>Inputs!$B$118</f>
        <v/>
      </c>
      <c r="AT82" s="35">
        <f>Inputs!$B$118</f>
        <v/>
      </c>
      <c r="AU82" s="35">
        <f>Inputs!$B$118</f>
        <v/>
      </c>
      <c r="AV82" s="35">
        <f>Inputs!$B$118</f>
        <v/>
      </c>
      <c r="AW82" s="35">
        <f>Inputs!$B$118</f>
        <v/>
      </c>
      <c r="AX82" s="35">
        <f>Inputs!$B$118</f>
        <v/>
      </c>
      <c r="AY82" s="35">
        <f>Inputs!$B$118</f>
        <v/>
      </c>
      <c r="AZ82" s="35">
        <f>Inputs!$B$118</f>
        <v/>
      </c>
      <c r="BA82" s="35">
        <f>Inputs!$B$118</f>
        <v/>
      </c>
    </row>
    <row r="83" ht="14.25" customHeight="1" s="214">
      <c r="A83" s="3" t="inlineStr">
        <is>
          <t>Sales Provisionen</t>
        </is>
      </c>
      <c r="B83" s="32">
        <f>Revenue!B26/12*Inputs!$B$119</f>
        <v/>
      </c>
      <c r="C83" s="32">
        <f>Revenue!C26/12*Inputs!$B$119</f>
        <v/>
      </c>
      <c r="D83" s="32">
        <f>Revenue!D26/12*Inputs!$B$119</f>
        <v/>
      </c>
      <c r="E83" s="32">
        <f>Revenue!E26/12*Inputs!$B$119</f>
        <v/>
      </c>
      <c r="F83" s="32">
        <f>Revenue!F26/12*Inputs!$B$119</f>
        <v/>
      </c>
      <c r="G83" s="32">
        <f>Revenue!G26/12*Inputs!$B$119</f>
        <v/>
      </c>
      <c r="H83" s="32">
        <f>Revenue!H26/12*Inputs!$B$119</f>
        <v/>
      </c>
      <c r="I83" s="32">
        <f>Revenue!I26/12*Inputs!$B$119</f>
        <v/>
      </c>
      <c r="J83" s="32">
        <f>Revenue!J26/12*Inputs!$B$119</f>
        <v/>
      </c>
      <c r="K83" s="32">
        <f>Revenue!K26/12*Inputs!$B$119</f>
        <v/>
      </c>
      <c r="L83" s="32">
        <f>Revenue!L26/12*Inputs!$B$119</f>
        <v/>
      </c>
      <c r="M83" s="32">
        <f>Revenue!M26/12*Inputs!$B$119</f>
        <v/>
      </c>
      <c r="N83" s="32">
        <f>Revenue!N26/12*Inputs!$B$119</f>
        <v/>
      </c>
      <c r="O83" s="32">
        <f>Revenue!O26/12*Inputs!$B$119</f>
        <v/>
      </c>
      <c r="P83" s="32">
        <f>Revenue!P26/12*Inputs!$B$119</f>
        <v/>
      </c>
      <c r="Q83" s="32">
        <f>Revenue!Q26/12*Inputs!$B$119</f>
        <v/>
      </c>
      <c r="R83" s="32">
        <f>Revenue!R26/12*Inputs!$B$119</f>
        <v/>
      </c>
      <c r="S83" s="32">
        <f>Revenue!S26/12*Inputs!$B$119</f>
        <v/>
      </c>
      <c r="T83" s="32">
        <f>Revenue!T26/12*Inputs!$B$119</f>
        <v/>
      </c>
      <c r="U83" s="32">
        <f>Revenue!U26/12*Inputs!$B$119</f>
        <v/>
      </c>
      <c r="V83" s="32">
        <f>Revenue!V26/12*Inputs!$B$119</f>
        <v/>
      </c>
      <c r="W83" s="32">
        <f>Revenue!W26/12*Inputs!$B$119</f>
        <v/>
      </c>
      <c r="X83" s="32">
        <f>Revenue!X26/12*Inputs!$B$119</f>
        <v/>
      </c>
      <c r="Y83" s="32">
        <f>Revenue!Y26/12*Inputs!$B$119</f>
        <v/>
      </c>
      <c r="Z83" s="32">
        <f>Revenue!Z26/12*Inputs!$B$119</f>
        <v/>
      </c>
      <c r="AA83" s="32">
        <f>Revenue!AA26/12*Inputs!$B$119</f>
        <v/>
      </c>
      <c r="AB83" s="32">
        <f>Revenue!AB26/12*Inputs!$B$119</f>
        <v/>
      </c>
      <c r="AC83" s="32">
        <f>Revenue!AC26/12*Inputs!$B$119</f>
        <v/>
      </c>
      <c r="AD83" s="32">
        <f>Revenue!AD26/12*Inputs!$B$119</f>
        <v/>
      </c>
      <c r="AE83" s="32">
        <f>Revenue!AE26/12*Inputs!$B$119</f>
        <v/>
      </c>
      <c r="AF83" s="32">
        <f>Revenue!AF26/12*Inputs!$B$119</f>
        <v/>
      </c>
      <c r="AG83" s="32">
        <f>Revenue!AG26/12*Inputs!$B$119</f>
        <v/>
      </c>
      <c r="AH83" s="32">
        <f>Revenue!AH26/12*Inputs!$B$119</f>
        <v/>
      </c>
      <c r="AI83" s="32">
        <f>Revenue!AI26/12*Inputs!$B$119</f>
        <v/>
      </c>
      <c r="AJ83" s="32">
        <f>Revenue!AJ26/12*Inputs!$B$119</f>
        <v/>
      </c>
      <c r="AK83" s="32">
        <f>Revenue!AK26/12*Inputs!$B$119</f>
        <v/>
      </c>
      <c r="AL83" s="32">
        <f>Revenue!AL26/12*Inputs!$B$119</f>
        <v/>
      </c>
      <c r="AM83" s="32">
        <f>Revenue!AM26/12*Inputs!$B$119</f>
        <v/>
      </c>
      <c r="AN83" s="32">
        <f>Revenue!AN26/12*Inputs!$B$119</f>
        <v/>
      </c>
      <c r="AO83" s="32">
        <f>Revenue!AO26/12*Inputs!$B$119</f>
        <v/>
      </c>
      <c r="AP83" s="32">
        <f>Revenue!AP26/12*Inputs!$B$119</f>
        <v/>
      </c>
      <c r="AQ83" s="32">
        <f>Revenue!AQ26/12*Inputs!$B$119</f>
        <v/>
      </c>
      <c r="AR83" s="32">
        <f>Revenue!AR26/12*Inputs!$B$119</f>
        <v/>
      </c>
      <c r="AS83" s="32">
        <f>Revenue!AS26/12*Inputs!$B$119</f>
        <v/>
      </c>
      <c r="AT83" s="32">
        <f>Revenue!AT26/12*Inputs!$B$119</f>
        <v/>
      </c>
      <c r="AU83" s="32">
        <f>Revenue!AU26/12*Inputs!$B$119</f>
        <v/>
      </c>
      <c r="AV83" s="32">
        <f>Revenue!AV26/12*Inputs!$B$119</f>
        <v/>
      </c>
      <c r="AW83" s="32">
        <f>Revenue!AW26/12*Inputs!$B$119</f>
        <v/>
      </c>
      <c r="AX83" s="32">
        <f>Revenue!AX26/12*Inputs!$B$119</f>
        <v/>
      </c>
      <c r="AY83" s="32">
        <f>Revenue!AY26/12*Inputs!$B$119</f>
        <v/>
      </c>
      <c r="AZ83" s="32">
        <f>Revenue!AZ26/12*Inputs!$B$119</f>
        <v/>
      </c>
      <c r="BA83" s="32">
        <f>Revenue!BA26/12*Inputs!$B$119</f>
        <v/>
      </c>
    </row>
    <row r="84" ht="14.25" customHeight="1" s="214">
      <c r="A84" s="3" t="inlineStr">
        <is>
          <t>Reisekosten Sales</t>
        </is>
      </c>
      <c r="B84" s="35">
        <f>(B14+B15+B16)*Inputs!$B$120</f>
        <v/>
      </c>
      <c r="C84" s="35">
        <f>(C14+C15+C16)*Inputs!$B$120</f>
        <v/>
      </c>
      <c r="D84" s="35">
        <f>(D14+D15+D16)*Inputs!$B$120</f>
        <v/>
      </c>
      <c r="E84" s="35">
        <f>(E14+E15+E16)*Inputs!$B$120</f>
        <v/>
      </c>
      <c r="F84" s="35">
        <f>(F14+F15+F16)*Inputs!$B$120</f>
        <v/>
      </c>
      <c r="G84" s="35">
        <f>(G14+G15+G16)*Inputs!$B$120</f>
        <v/>
      </c>
      <c r="H84" s="35">
        <f>(H14+H15+H16)*Inputs!$B$120</f>
        <v/>
      </c>
      <c r="I84" s="35">
        <f>(I14+I15+I16)*Inputs!$B$120</f>
        <v/>
      </c>
      <c r="J84" s="35">
        <f>(J14+J15+J16)*Inputs!$B$120</f>
        <v/>
      </c>
      <c r="K84" s="35">
        <f>(K14+K15+K16)*Inputs!$B$120</f>
        <v/>
      </c>
      <c r="L84" s="35">
        <f>(L14+L15+L16)*Inputs!$B$120</f>
        <v/>
      </c>
      <c r="M84" s="35">
        <f>(M14+M15+M16)*Inputs!$B$120</f>
        <v/>
      </c>
      <c r="N84" s="35">
        <f>(N14+N15+N16)*Inputs!$B$120</f>
        <v/>
      </c>
      <c r="O84" s="35">
        <f>(O14+O15+O16)*Inputs!$B$120</f>
        <v/>
      </c>
      <c r="P84" s="35">
        <f>(P14+P15+P16)*Inputs!$B$120</f>
        <v/>
      </c>
      <c r="Q84" s="35">
        <f>(Q14+Q15+Q16)*Inputs!$B$120</f>
        <v/>
      </c>
      <c r="R84" s="35">
        <f>(R14+R15+R16)*Inputs!$B$120</f>
        <v/>
      </c>
      <c r="S84" s="35">
        <f>(S14+S15+S16)*Inputs!$B$120</f>
        <v/>
      </c>
      <c r="T84" s="35">
        <f>(T14+T15+T16)*Inputs!$B$120</f>
        <v/>
      </c>
      <c r="U84" s="35">
        <f>(U14+U15+U16)*Inputs!$B$120</f>
        <v/>
      </c>
      <c r="V84" s="35">
        <f>(V14+V15+V16)*Inputs!$B$120</f>
        <v/>
      </c>
      <c r="W84" s="35">
        <f>(W14+W15+W16)*Inputs!$B$120</f>
        <v/>
      </c>
      <c r="X84" s="35">
        <f>(X14+X15+X16)*Inputs!$B$120</f>
        <v/>
      </c>
      <c r="Y84" s="35">
        <f>(Y14+Y15+Y16)*Inputs!$B$120</f>
        <v/>
      </c>
      <c r="Z84" s="35">
        <f>(Z14+Z15+Z16)*Inputs!$B$120</f>
        <v/>
      </c>
      <c r="AA84" s="35">
        <f>(AA14+AA15+AA16)*Inputs!$B$120</f>
        <v/>
      </c>
      <c r="AB84" s="35">
        <f>(AB14+AB15+AB16)*Inputs!$B$120</f>
        <v/>
      </c>
      <c r="AC84" s="35">
        <f>(AC14+AC15+AC16)*Inputs!$B$120</f>
        <v/>
      </c>
      <c r="AD84" s="35">
        <f>(AD14+AD15+AD16)*Inputs!$B$120</f>
        <v/>
      </c>
      <c r="AE84" s="35">
        <f>(AE14+AE15+AE16)*Inputs!$B$120</f>
        <v/>
      </c>
      <c r="AF84" s="35">
        <f>(AF14+AF15+AF16)*Inputs!$B$120</f>
        <v/>
      </c>
      <c r="AG84" s="35">
        <f>(AG14+AG15+AG16)*Inputs!$B$120</f>
        <v/>
      </c>
      <c r="AH84" s="35">
        <f>(AH14+AH15+AH16)*Inputs!$B$120</f>
        <v/>
      </c>
      <c r="AI84" s="35">
        <f>(AI14+AI15+AI16)*Inputs!$B$120</f>
        <v/>
      </c>
      <c r="AJ84" s="35">
        <f>(AJ14+AJ15+AJ16)*Inputs!$B$120</f>
        <v/>
      </c>
      <c r="AK84" s="35">
        <f>(AK14+AK15+AK16)*Inputs!$B$120</f>
        <v/>
      </c>
      <c r="AL84" s="35">
        <f>(AL14+AL15+AL16)*Inputs!$B$120</f>
        <v/>
      </c>
      <c r="AM84" s="35">
        <f>(AM14+AM15+AM16)*Inputs!$B$120</f>
        <v/>
      </c>
      <c r="AN84" s="35">
        <f>(AN14+AN15+AN16)*Inputs!$B$120</f>
        <v/>
      </c>
      <c r="AO84" s="35">
        <f>(AO14+AO15+AO16)*Inputs!$B$120</f>
        <v/>
      </c>
      <c r="AP84" s="35">
        <f>(AP14+AP15+AP16)*Inputs!$B$120</f>
        <v/>
      </c>
      <c r="AQ84" s="35">
        <f>(AQ14+AQ15+AQ16)*Inputs!$B$120</f>
        <v/>
      </c>
      <c r="AR84" s="35">
        <f>(AR14+AR15+AR16)*Inputs!$B$120</f>
        <v/>
      </c>
      <c r="AS84" s="35">
        <f>(AS14+AS15+AS16)*Inputs!$B$120</f>
        <v/>
      </c>
      <c r="AT84" s="35">
        <f>(AT14+AT15+AT16)*Inputs!$B$120</f>
        <v/>
      </c>
      <c r="AU84" s="35">
        <f>(AU14+AU15+AU16)*Inputs!$B$120</f>
        <v/>
      </c>
      <c r="AV84" s="35">
        <f>(AV14+AV15+AV16)*Inputs!$B$120</f>
        <v/>
      </c>
      <c r="AW84" s="35">
        <f>(AW14+AW15+AW16)*Inputs!$B$120</f>
        <v/>
      </c>
      <c r="AX84" s="35">
        <f>(AX14+AX15+AX16)*Inputs!$B$120</f>
        <v/>
      </c>
      <c r="AY84" s="35">
        <f>(AY14+AY15+AY16)*Inputs!$B$120</f>
        <v/>
      </c>
      <c r="AZ84" s="35">
        <f>(AZ14+AZ15+AZ16)*Inputs!$B$120</f>
        <v/>
      </c>
      <c r="BA84" s="35">
        <f>(BA14+BA15+BA16)*Inputs!$B$120</f>
        <v/>
      </c>
    </row>
    <row r="85" ht="14.25" customHeight="1" s="214">
      <c r="A85" s="2" t="inlineStr">
        <is>
          <t>TOTAL MARKETING &amp; SALES</t>
        </is>
      </c>
      <c r="B85" s="33">
        <f>SUM(B79:B84)</f>
        <v/>
      </c>
      <c r="C85" s="33">
        <f>SUM(C79:C84)</f>
        <v/>
      </c>
      <c r="D85" s="33">
        <f>SUM(D79:D84)</f>
        <v/>
      </c>
      <c r="E85" s="33">
        <f>SUM(E79:E84)</f>
        <v/>
      </c>
      <c r="F85" s="33">
        <f>SUM(F79:F84)</f>
        <v/>
      </c>
      <c r="G85" s="33">
        <f>SUM(G79:G84)</f>
        <v/>
      </c>
      <c r="H85" s="33">
        <f>SUM(H79:H84)</f>
        <v/>
      </c>
      <c r="I85" s="33">
        <f>SUM(I79:I84)</f>
        <v/>
      </c>
      <c r="J85" s="33">
        <f>SUM(J79:J84)</f>
        <v/>
      </c>
      <c r="K85" s="33">
        <f>SUM(K79:K84)</f>
        <v/>
      </c>
      <c r="L85" s="33">
        <f>SUM(L79:L84)</f>
        <v/>
      </c>
      <c r="M85" s="33">
        <f>SUM(M79:M84)</f>
        <v/>
      </c>
      <c r="N85" s="33">
        <f>SUM(N79:N84)</f>
        <v/>
      </c>
      <c r="O85" s="33">
        <f>SUM(O79:O84)</f>
        <v/>
      </c>
      <c r="P85" s="33">
        <f>SUM(P79:P84)</f>
        <v/>
      </c>
      <c r="Q85" s="33">
        <f>SUM(Q79:Q84)</f>
        <v/>
      </c>
      <c r="R85" s="33">
        <f>SUM(R79:R84)</f>
        <v/>
      </c>
      <c r="S85" s="33">
        <f>SUM(S79:S84)</f>
        <v/>
      </c>
      <c r="T85" s="33">
        <f>SUM(T79:T84)</f>
        <v/>
      </c>
      <c r="U85" s="33">
        <f>SUM(U79:U84)</f>
        <v/>
      </c>
      <c r="V85" s="33">
        <f>SUM(V79:V84)</f>
        <v/>
      </c>
      <c r="W85" s="33">
        <f>SUM(W79:W84)</f>
        <v/>
      </c>
      <c r="X85" s="33">
        <f>SUM(X79:X84)</f>
        <v/>
      </c>
      <c r="Y85" s="33">
        <f>SUM(Y79:Y84)</f>
        <v/>
      </c>
      <c r="Z85" s="33">
        <f>SUM(Z79:Z84)</f>
        <v/>
      </c>
      <c r="AA85" s="33">
        <f>SUM(AA79:AA84)</f>
        <v/>
      </c>
      <c r="AB85" s="33">
        <f>SUM(AB79:AB84)</f>
        <v/>
      </c>
      <c r="AC85" s="33">
        <f>SUM(AC79:AC84)</f>
        <v/>
      </c>
      <c r="AD85" s="33">
        <f>SUM(AD79:AD84)</f>
        <v/>
      </c>
      <c r="AE85" s="33">
        <f>SUM(AE79:AE84)</f>
        <v/>
      </c>
      <c r="AF85" s="33">
        <f>SUM(AF79:AF84)</f>
        <v/>
      </c>
      <c r="AG85" s="33">
        <f>SUM(AG79:AG84)</f>
        <v/>
      </c>
      <c r="AH85" s="33">
        <f>SUM(AH79:AH84)</f>
        <v/>
      </c>
      <c r="AI85" s="33">
        <f>SUM(AI79:AI84)</f>
        <v/>
      </c>
      <c r="AJ85" s="33">
        <f>SUM(AJ79:AJ84)</f>
        <v/>
      </c>
      <c r="AK85" s="33">
        <f>SUM(AK79:AK84)</f>
        <v/>
      </c>
      <c r="AL85" s="33">
        <f>SUM(AL79:AL84)</f>
        <v/>
      </c>
      <c r="AM85" s="33">
        <f>SUM(AM79:AM84)</f>
        <v/>
      </c>
      <c r="AN85" s="33">
        <f>SUM(AN79:AN84)</f>
        <v/>
      </c>
      <c r="AO85" s="33">
        <f>SUM(AO79:AO84)</f>
        <v/>
      </c>
      <c r="AP85" s="33">
        <f>SUM(AP79:AP84)</f>
        <v/>
      </c>
      <c r="AQ85" s="33">
        <f>SUM(AQ79:AQ84)</f>
        <v/>
      </c>
      <c r="AR85" s="33">
        <f>SUM(AR79:AR84)</f>
        <v/>
      </c>
      <c r="AS85" s="33">
        <f>SUM(AS79:AS84)</f>
        <v/>
      </c>
      <c r="AT85" s="33">
        <f>SUM(AT79:AT84)</f>
        <v/>
      </c>
      <c r="AU85" s="33">
        <f>SUM(AU79:AU84)</f>
        <v/>
      </c>
      <c r="AV85" s="33">
        <f>SUM(AV79:AV84)</f>
        <v/>
      </c>
      <c r="AW85" s="33">
        <f>SUM(AW79:AW84)</f>
        <v/>
      </c>
      <c r="AX85" s="33">
        <f>SUM(AX79:AX84)</f>
        <v/>
      </c>
      <c r="AY85" s="33">
        <f>SUM(AY79:AY84)</f>
        <v/>
      </c>
      <c r="AZ85" s="33">
        <f>SUM(AZ79:AZ84)</f>
        <v/>
      </c>
      <c r="BA85" s="33">
        <f>SUM(BA79:BA84)</f>
        <v/>
      </c>
    </row>
    <row r="86" ht="14.25" customHeight="1" s="214"/>
    <row r="87" ht="14.25" customHeight="1" s="214">
      <c r="A87" s="2" t="inlineStr">
        <is>
          <t>SONSTIGE KOSTEN</t>
        </is>
      </c>
    </row>
    <row r="88" ht="14.25" customHeight="1" s="214">
      <c r="A88" s="3" t="inlineStr">
        <is>
          <t>Reisekosten allgemein</t>
        </is>
      </c>
      <c r="B88" s="35">
        <f>B23*Inputs!$B$123/12</f>
        <v/>
      </c>
      <c r="C88" s="35">
        <f>C23*Inputs!$B$123/12</f>
        <v/>
      </c>
      <c r="D88" s="35">
        <f>D23*Inputs!$B$123/12</f>
        <v/>
      </c>
      <c r="E88" s="35">
        <f>E23*Inputs!$B$123/12</f>
        <v/>
      </c>
      <c r="F88" s="35">
        <f>F23*Inputs!$B$123/12</f>
        <v/>
      </c>
      <c r="G88" s="35">
        <f>G23*Inputs!$B$123/12</f>
        <v/>
      </c>
      <c r="H88" s="35">
        <f>H23*Inputs!$B$123/12</f>
        <v/>
      </c>
      <c r="I88" s="35">
        <f>I23*Inputs!$B$123/12</f>
        <v/>
      </c>
      <c r="J88" s="35">
        <f>J23*Inputs!$B$123/12</f>
        <v/>
      </c>
      <c r="K88" s="35">
        <f>K23*Inputs!$B$123/12</f>
        <v/>
      </c>
      <c r="L88" s="35">
        <f>L23*Inputs!$B$123/12</f>
        <v/>
      </c>
      <c r="M88" s="35">
        <f>M23*Inputs!$B$123/12</f>
        <v/>
      </c>
      <c r="N88" s="35">
        <f>N23*Inputs!$B$123/12</f>
        <v/>
      </c>
      <c r="O88" s="35">
        <f>O23*Inputs!$B$123/12</f>
        <v/>
      </c>
      <c r="P88" s="35">
        <f>P23*Inputs!$B$123/12</f>
        <v/>
      </c>
      <c r="Q88" s="35">
        <f>Q23*Inputs!$B$123/12</f>
        <v/>
      </c>
      <c r="R88" s="35">
        <f>R23*Inputs!$B$123/12</f>
        <v/>
      </c>
      <c r="S88" s="35">
        <f>S23*Inputs!$B$123/12</f>
        <v/>
      </c>
      <c r="T88" s="35">
        <f>T23*Inputs!$B$123/12</f>
        <v/>
      </c>
      <c r="U88" s="35">
        <f>U23*Inputs!$B$123/12</f>
        <v/>
      </c>
      <c r="V88" s="35">
        <f>V23*Inputs!$B$123/12</f>
        <v/>
      </c>
      <c r="W88" s="35">
        <f>W23*Inputs!$B$123/12</f>
        <v/>
      </c>
      <c r="X88" s="35">
        <f>X23*Inputs!$B$123/12</f>
        <v/>
      </c>
      <c r="Y88" s="35">
        <f>Y23*Inputs!$B$123/12</f>
        <v/>
      </c>
      <c r="Z88" s="35">
        <f>Z23*Inputs!$B$123/12</f>
        <v/>
      </c>
      <c r="AA88" s="35">
        <f>AA23*Inputs!$B$123/12</f>
        <v/>
      </c>
      <c r="AB88" s="35">
        <f>AB23*Inputs!$B$123/12</f>
        <v/>
      </c>
      <c r="AC88" s="35">
        <f>AC23*Inputs!$B$123/12</f>
        <v/>
      </c>
      <c r="AD88" s="35">
        <f>AD23*Inputs!$B$123/12</f>
        <v/>
      </c>
      <c r="AE88" s="35">
        <f>AE23*Inputs!$B$123/12</f>
        <v/>
      </c>
      <c r="AF88" s="35">
        <f>AF23*Inputs!$B$123/12</f>
        <v/>
      </c>
      <c r="AG88" s="35">
        <f>AG23*Inputs!$B$123/12</f>
        <v/>
      </c>
      <c r="AH88" s="35">
        <f>AH23*Inputs!$B$123/12</f>
        <v/>
      </c>
      <c r="AI88" s="35">
        <f>AI23*Inputs!$B$123/12</f>
        <v/>
      </c>
      <c r="AJ88" s="35">
        <f>AJ23*Inputs!$B$123/12</f>
        <v/>
      </c>
      <c r="AK88" s="35">
        <f>AK23*Inputs!$B$123/12</f>
        <v/>
      </c>
      <c r="AL88" s="35">
        <f>AL23*Inputs!$B$123/12</f>
        <v/>
      </c>
      <c r="AM88" s="35">
        <f>AM23*Inputs!$B$123/12</f>
        <v/>
      </c>
      <c r="AN88" s="35">
        <f>AN23*Inputs!$B$123/12</f>
        <v/>
      </c>
      <c r="AO88" s="35">
        <f>AO23*Inputs!$B$123/12</f>
        <v/>
      </c>
      <c r="AP88" s="35">
        <f>AP23*Inputs!$B$123/12</f>
        <v/>
      </c>
      <c r="AQ88" s="35">
        <f>AQ23*Inputs!$B$123/12</f>
        <v/>
      </c>
      <c r="AR88" s="35">
        <f>AR23*Inputs!$B$123/12</f>
        <v/>
      </c>
      <c r="AS88" s="35">
        <f>AS23*Inputs!$B$123/12</f>
        <v/>
      </c>
      <c r="AT88" s="35">
        <f>AT23*Inputs!$B$123/12</f>
        <v/>
      </c>
      <c r="AU88" s="35">
        <f>AU23*Inputs!$B$123/12</f>
        <v/>
      </c>
      <c r="AV88" s="35">
        <f>AV23*Inputs!$B$123/12</f>
        <v/>
      </c>
      <c r="AW88" s="35">
        <f>AW23*Inputs!$B$123/12</f>
        <v/>
      </c>
      <c r="AX88" s="35">
        <f>AX23*Inputs!$B$123/12</f>
        <v/>
      </c>
      <c r="AY88" s="35">
        <f>AY23*Inputs!$B$123/12</f>
        <v/>
      </c>
      <c r="AZ88" s="35">
        <f>AZ23*Inputs!$B$123/12</f>
        <v/>
      </c>
      <c r="BA88" s="35">
        <f>BA23*Inputs!$B$123/12</f>
        <v/>
      </c>
    </row>
    <row r="89" ht="14.25" customHeight="1" s="214">
      <c r="A89" s="3" t="inlineStr">
        <is>
          <t>Weiterbildung</t>
        </is>
      </c>
      <c r="B89" s="35">
        <f>B23*Inputs!$B$124/12</f>
        <v/>
      </c>
      <c r="C89" s="35">
        <f>C23*Inputs!$B$124/12</f>
        <v/>
      </c>
      <c r="D89" s="35">
        <f>D23*Inputs!$B$124/12</f>
        <v/>
      </c>
      <c r="E89" s="35">
        <f>E23*Inputs!$B$124/12</f>
        <v/>
      </c>
      <c r="F89" s="35">
        <f>F23*Inputs!$B$124/12</f>
        <v/>
      </c>
      <c r="G89" s="35">
        <f>G23*Inputs!$B$124/12</f>
        <v/>
      </c>
      <c r="H89" s="35">
        <f>H23*Inputs!$B$124/12</f>
        <v/>
      </c>
      <c r="I89" s="35">
        <f>I23*Inputs!$B$124/12</f>
        <v/>
      </c>
      <c r="J89" s="35">
        <f>J23*Inputs!$B$124/12</f>
        <v/>
      </c>
      <c r="K89" s="35">
        <f>K23*Inputs!$B$124/12</f>
        <v/>
      </c>
      <c r="L89" s="35">
        <f>L23*Inputs!$B$124/12</f>
        <v/>
      </c>
      <c r="M89" s="35">
        <f>M23*Inputs!$B$124/12</f>
        <v/>
      </c>
      <c r="N89" s="35">
        <f>N23*Inputs!$B$124/12</f>
        <v/>
      </c>
      <c r="O89" s="35">
        <f>O23*Inputs!$B$124/12</f>
        <v/>
      </c>
      <c r="P89" s="35">
        <f>P23*Inputs!$B$124/12</f>
        <v/>
      </c>
      <c r="Q89" s="35">
        <f>Q23*Inputs!$B$124/12</f>
        <v/>
      </c>
      <c r="R89" s="35">
        <f>R23*Inputs!$B$124/12</f>
        <v/>
      </c>
      <c r="S89" s="35">
        <f>S23*Inputs!$B$124/12</f>
        <v/>
      </c>
      <c r="T89" s="35">
        <f>T23*Inputs!$B$124/12</f>
        <v/>
      </c>
      <c r="U89" s="35">
        <f>U23*Inputs!$B$124/12</f>
        <v/>
      </c>
      <c r="V89" s="35">
        <f>V23*Inputs!$B$124/12</f>
        <v/>
      </c>
      <c r="W89" s="35">
        <f>W23*Inputs!$B$124/12</f>
        <v/>
      </c>
      <c r="X89" s="35">
        <f>X23*Inputs!$B$124/12</f>
        <v/>
      </c>
      <c r="Y89" s="35">
        <f>Y23*Inputs!$B$124/12</f>
        <v/>
      </c>
      <c r="Z89" s="35">
        <f>Z23*Inputs!$B$124/12</f>
        <v/>
      </c>
      <c r="AA89" s="35">
        <f>AA23*Inputs!$B$124/12</f>
        <v/>
      </c>
      <c r="AB89" s="35">
        <f>AB23*Inputs!$B$124/12</f>
        <v/>
      </c>
      <c r="AC89" s="35">
        <f>AC23*Inputs!$B$124/12</f>
        <v/>
      </c>
      <c r="AD89" s="35">
        <f>AD23*Inputs!$B$124/12</f>
        <v/>
      </c>
      <c r="AE89" s="35">
        <f>AE23*Inputs!$B$124/12</f>
        <v/>
      </c>
      <c r="AF89" s="35">
        <f>AF23*Inputs!$B$124/12</f>
        <v/>
      </c>
      <c r="AG89" s="35">
        <f>AG23*Inputs!$B$124/12</f>
        <v/>
      </c>
      <c r="AH89" s="35">
        <f>AH23*Inputs!$B$124/12</f>
        <v/>
      </c>
      <c r="AI89" s="35">
        <f>AI23*Inputs!$B$124/12</f>
        <v/>
      </c>
      <c r="AJ89" s="35">
        <f>AJ23*Inputs!$B$124/12</f>
        <v/>
      </c>
      <c r="AK89" s="35">
        <f>AK23*Inputs!$B$124/12</f>
        <v/>
      </c>
      <c r="AL89" s="35">
        <f>AL23*Inputs!$B$124/12</f>
        <v/>
      </c>
      <c r="AM89" s="35">
        <f>AM23*Inputs!$B$124/12</f>
        <v/>
      </c>
      <c r="AN89" s="35">
        <f>AN23*Inputs!$B$124/12</f>
        <v/>
      </c>
      <c r="AO89" s="35">
        <f>AO23*Inputs!$B$124/12</f>
        <v/>
      </c>
      <c r="AP89" s="35">
        <f>AP23*Inputs!$B$124/12</f>
        <v/>
      </c>
      <c r="AQ89" s="35">
        <f>AQ23*Inputs!$B$124/12</f>
        <v/>
      </c>
      <c r="AR89" s="35">
        <f>AR23*Inputs!$B$124/12</f>
        <v/>
      </c>
      <c r="AS89" s="35">
        <f>AS23*Inputs!$B$124/12</f>
        <v/>
      </c>
      <c r="AT89" s="35">
        <f>AT23*Inputs!$B$124/12</f>
        <v/>
      </c>
      <c r="AU89" s="35">
        <f>AU23*Inputs!$B$124/12</f>
        <v/>
      </c>
      <c r="AV89" s="35">
        <f>AV23*Inputs!$B$124/12</f>
        <v/>
      </c>
      <c r="AW89" s="35">
        <f>AW23*Inputs!$B$124/12</f>
        <v/>
      </c>
      <c r="AX89" s="35">
        <f>AX23*Inputs!$B$124/12</f>
        <v/>
      </c>
      <c r="AY89" s="35">
        <f>AY23*Inputs!$B$124/12</f>
        <v/>
      </c>
      <c r="AZ89" s="35">
        <f>AZ23*Inputs!$B$124/12</f>
        <v/>
      </c>
      <c r="BA89" s="35">
        <f>BA23*Inputs!$B$124/12</f>
        <v/>
      </c>
    </row>
    <row r="90" ht="14.25" customHeight="1" s="214">
      <c r="A90" s="3" t="inlineStr">
        <is>
          <t>Team Events</t>
        </is>
      </c>
      <c r="B90" s="35">
        <f>B23*Inputs!$B$125/12</f>
        <v/>
      </c>
      <c r="C90" s="35">
        <f>C23*Inputs!$B$125/12</f>
        <v/>
      </c>
      <c r="D90" s="35">
        <f>D23*Inputs!$B$125/12</f>
        <v/>
      </c>
      <c r="E90" s="35">
        <f>E23*Inputs!$B$125/12</f>
        <v/>
      </c>
      <c r="F90" s="35">
        <f>F23*Inputs!$B$125/12</f>
        <v/>
      </c>
      <c r="G90" s="35">
        <f>G23*Inputs!$B$125/12</f>
        <v/>
      </c>
      <c r="H90" s="35">
        <f>H23*Inputs!$B$125/12</f>
        <v/>
      </c>
      <c r="I90" s="35">
        <f>I23*Inputs!$B$125/12</f>
        <v/>
      </c>
      <c r="J90" s="35">
        <f>J23*Inputs!$B$125/12</f>
        <v/>
      </c>
      <c r="K90" s="35">
        <f>K23*Inputs!$B$125/12</f>
        <v/>
      </c>
      <c r="L90" s="35">
        <f>L23*Inputs!$B$125/12</f>
        <v/>
      </c>
      <c r="M90" s="35">
        <f>M23*Inputs!$B$125/12</f>
        <v/>
      </c>
      <c r="N90" s="35">
        <f>N23*Inputs!$B$125/12</f>
        <v/>
      </c>
      <c r="O90" s="35">
        <f>O23*Inputs!$B$125/12</f>
        <v/>
      </c>
      <c r="P90" s="35">
        <f>P23*Inputs!$B$125/12</f>
        <v/>
      </c>
      <c r="Q90" s="35">
        <f>Q23*Inputs!$B$125/12</f>
        <v/>
      </c>
      <c r="R90" s="35">
        <f>R23*Inputs!$B$125/12</f>
        <v/>
      </c>
      <c r="S90" s="35">
        <f>S23*Inputs!$B$125/12</f>
        <v/>
      </c>
      <c r="T90" s="35">
        <f>T23*Inputs!$B$125/12</f>
        <v/>
      </c>
      <c r="U90" s="35">
        <f>U23*Inputs!$B$125/12</f>
        <v/>
      </c>
      <c r="V90" s="35">
        <f>V23*Inputs!$B$125/12</f>
        <v/>
      </c>
      <c r="W90" s="35">
        <f>W23*Inputs!$B$125/12</f>
        <v/>
      </c>
      <c r="X90" s="35">
        <f>X23*Inputs!$B$125/12</f>
        <v/>
      </c>
      <c r="Y90" s="35">
        <f>Y23*Inputs!$B$125/12</f>
        <v/>
      </c>
      <c r="Z90" s="35">
        <f>Z23*Inputs!$B$125/12</f>
        <v/>
      </c>
      <c r="AA90" s="35">
        <f>AA23*Inputs!$B$125/12</f>
        <v/>
      </c>
      <c r="AB90" s="35">
        <f>AB23*Inputs!$B$125/12</f>
        <v/>
      </c>
      <c r="AC90" s="35">
        <f>AC23*Inputs!$B$125/12</f>
        <v/>
      </c>
      <c r="AD90" s="35">
        <f>AD23*Inputs!$B$125/12</f>
        <v/>
      </c>
      <c r="AE90" s="35">
        <f>AE23*Inputs!$B$125/12</f>
        <v/>
      </c>
      <c r="AF90" s="35">
        <f>AF23*Inputs!$B$125/12</f>
        <v/>
      </c>
      <c r="AG90" s="35">
        <f>AG23*Inputs!$B$125/12</f>
        <v/>
      </c>
      <c r="AH90" s="35">
        <f>AH23*Inputs!$B$125/12</f>
        <v/>
      </c>
      <c r="AI90" s="35">
        <f>AI23*Inputs!$B$125/12</f>
        <v/>
      </c>
      <c r="AJ90" s="35">
        <f>AJ23*Inputs!$B$125/12</f>
        <v/>
      </c>
      <c r="AK90" s="35">
        <f>AK23*Inputs!$B$125/12</f>
        <v/>
      </c>
      <c r="AL90" s="35">
        <f>AL23*Inputs!$B$125/12</f>
        <v/>
      </c>
      <c r="AM90" s="35">
        <f>AM23*Inputs!$B$125/12</f>
        <v/>
      </c>
      <c r="AN90" s="35">
        <f>AN23*Inputs!$B$125/12</f>
        <v/>
      </c>
      <c r="AO90" s="35">
        <f>AO23*Inputs!$B$125/12</f>
        <v/>
      </c>
      <c r="AP90" s="35">
        <f>AP23*Inputs!$B$125/12</f>
        <v/>
      </c>
      <c r="AQ90" s="35">
        <f>AQ23*Inputs!$B$125/12</f>
        <v/>
      </c>
      <c r="AR90" s="35">
        <f>AR23*Inputs!$B$125/12</f>
        <v/>
      </c>
      <c r="AS90" s="35">
        <f>AS23*Inputs!$B$125/12</f>
        <v/>
      </c>
      <c r="AT90" s="35">
        <f>AT23*Inputs!$B$125/12</f>
        <v/>
      </c>
      <c r="AU90" s="35">
        <f>AU23*Inputs!$B$125/12</f>
        <v/>
      </c>
      <c r="AV90" s="35">
        <f>AV23*Inputs!$B$125/12</f>
        <v/>
      </c>
      <c r="AW90" s="35">
        <f>AW23*Inputs!$B$125/12</f>
        <v/>
      </c>
      <c r="AX90" s="35">
        <f>AX23*Inputs!$B$125/12</f>
        <v/>
      </c>
      <c r="AY90" s="35">
        <f>AY23*Inputs!$B$125/12</f>
        <v/>
      </c>
      <c r="AZ90" s="35">
        <f>AZ23*Inputs!$B$125/12</f>
        <v/>
      </c>
      <c r="BA90" s="35">
        <f>BA23*Inputs!$B$125/12</f>
        <v/>
      </c>
    </row>
    <row r="91" ht="14.25" customHeight="1" s="214">
      <c r="A91" s="3" t="inlineStr">
        <is>
          <t>Hardware (neue MA)</t>
        </is>
      </c>
      <c r="B91" s="35">
        <f>B23*(Inputs!$B$80+Inputs!$B$81)</f>
        <v/>
      </c>
      <c r="C91" s="35">
        <f>MAX(0,C23-B23)*(Inputs!$B$80+Inputs!$B$81)</f>
        <v/>
      </c>
      <c r="D91" s="35">
        <f>MAX(0,D23-C23)*(Inputs!$B$80+Inputs!$B$81)</f>
        <v/>
      </c>
      <c r="E91" s="35">
        <f>MAX(0,E23-D23)*(Inputs!$B$80+Inputs!$B$81)</f>
        <v/>
      </c>
      <c r="F91" s="35">
        <f>MAX(0,F23-E23)*(Inputs!$B$80+Inputs!$B$81)</f>
        <v/>
      </c>
      <c r="G91" s="35">
        <f>MAX(0,G23-F23)*(Inputs!$B$80+Inputs!$B$81)</f>
        <v/>
      </c>
      <c r="H91" s="35">
        <f>MAX(0,H23-G23)*(Inputs!$B$80+Inputs!$B$81)</f>
        <v/>
      </c>
      <c r="I91" s="35">
        <f>MAX(0,I23-H23)*(Inputs!$B$80+Inputs!$B$81)</f>
        <v/>
      </c>
      <c r="J91" s="35">
        <f>MAX(0,J23-I23)*(Inputs!$B$80+Inputs!$B$81)</f>
        <v/>
      </c>
      <c r="K91" s="35">
        <f>MAX(0,K23-J23)*(Inputs!$B$80+Inputs!$B$81)</f>
        <v/>
      </c>
      <c r="L91" s="35">
        <f>MAX(0,L23-K23)*(Inputs!$B$80+Inputs!$B$81)</f>
        <v/>
      </c>
      <c r="M91" s="35">
        <f>MAX(0,M23-L23)*(Inputs!$B$80+Inputs!$B$81)</f>
        <v/>
      </c>
      <c r="N91" s="35">
        <f>MAX(0,N23-M23)*(Inputs!$B$80+Inputs!$B$81)</f>
        <v/>
      </c>
      <c r="O91" s="35">
        <f>MAX(0,O23-N23)*(Inputs!$B$80+Inputs!$B$81)</f>
        <v/>
      </c>
      <c r="P91" s="35">
        <f>MAX(0,P23-O23)*(Inputs!$B$80+Inputs!$B$81)</f>
        <v/>
      </c>
      <c r="Q91" s="35">
        <f>MAX(0,Q23-P23)*(Inputs!$B$80+Inputs!$B$81)</f>
        <v/>
      </c>
      <c r="R91" s="35">
        <f>MAX(0,R23-Q23)*(Inputs!$B$80+Inputs!$B$81)</f>
        <v/>
      </c>
      <c r="S91" s="35">
        <f>MAX(0,S23-R23)*(Inputs!$B$80+Inputs!$B$81)</f>
        <v/>
      </c>
      <c r="T91" s="35">
        <f>MAX(0,T23-S23)*(Inputs!$B$80+Inputs!$B$81)</f>
        <v/>
      </c>
      <c r="U91" s="35">
        <f>MAX(0,U23-T23)*(Inputs!$B$80+Inputs!$B$81)</f>
        <v/>
      </c>
      <c r="V91" s="35">
        <f>MAX(0,V23-U23)*(Inputs!$B$80+Inputs!$B$81)</f>
        <v/>
      </c>
      <c r="W91" s="35">
        <f>MAX(0,W23-V23)*(Inputs!$B$80+Inputs!$B$81)</f>
        <v/>
      </c>
      <c r="X91" s="35">
        <f>MAX(0,X23-W23)*(Inputs!$B$80+Inputs!$B$81)</f>
        <v/>
      </c>
      <c r="Y91" s="35">
        <f>MAX(0,Y23-X23)*(Inputs!$B$80+Inputs!$B$81)</f>
        <v/>
      </c>
      <c r="Z91" s="35">
        <f>MAX(0,Z23-Y23)*(Inputs!$B$80+Inputs!$B$81)</f>
        <v/>
      </c>
      <c r="AA91" s="35">
        <f>MAX(0,AA23-Z23)*(Inputs!$B$80+Inputs!$B$81)</f>
        <v/>
      </c>
      <c r="AB91" s="35">
        <f>MAX(0,AB23-AA23)*(Inputs!$B$80+Inputs!$B$81)</f>
        <v/>
      </c>
      <c r="AC91" s="35">
        <f>MAX(0,AC23-AB23)*(Inputs!$B$80+Inputs!$B$81)</f>
        <v/>
      </c>
      <c r="AD91" s="35">
        <f>MAX(0,AD23-AC23)*(Inputs!$B$80+Inputs!$B$81)</f>
        <v/>
      </c>
      <c r="AE91" s="35">
        <f>MAX(0,AE23-AD23)*(Inputs!$B$80+Inputs!$B$81)</f>
        <v/>
      </c>
      <c r="AF91" s="35">
        <f>MAX(0,AF23-AE23)*(Inputs!$B$80+Inputs!$B$81)</f>
        <v/>
      </c>
      <c r="AG91" s="35">
        <f>MAX(0,AG23-AF23)*(Inputs!$B$80+Inputs!$B$81)</f>
        <v/>
      </c>
      <c r="AH91" s="35">
        <f>MAX(0,AH23-AG23)*(Inputs!$B$80+Inputs!$B$81)</f>
        <v/>
      </c>
      <c r="AI91" s="35">
        <f>MAX(0,AI23-AH23)*(Inputs!$B$80+Inputs!$B$81)</f>
        <v/>
      </c>
      <c r="AJ91" s="35">
        <f>MAX(0,AJ23-AI23)*(Inputs!$B$80+Inputs!$B$81)</f>
        <v/>
      </c>
      <c r="AK91" s="35">
        <f>MAX(0,AK23-AJ23)*(Inputs!$B$80+Inputs!$B$81)</f>
        <v/>
      </c>
      <c r="AL91" s="35">
        <f>MAX(0,AL23-AK23)*(Inputs!$B$80+Inputs!$B$81)</f>
        <v/>
      </c>
      <c r="AM91" s="35">
        <f>MAX(0,AM23-AL23)*(Inputs!$B$80+Inputs!$B$81)</f>
        <v/>
      </c>
      <c r="AN91" s="35">
        <f>MAX(0,AN23-AM23)*(Inputs!$B$80+Inputs!$B$81)</f>
        <v/>
      </c>
      <c r="AO91" s="35">
        <f>MAX(0,AO23-AN23)*(Inputs!$B$80+Inputs!$B$81)</f>
        <v/>
      </c>
      <c r="AP91" s="35">
        <f>MAX(0,AP23-AO23)*(Inputs!$B$80+Inputs!$B$81)</f>
        <v/>
      </c>
      <c r="AQ91" s="35">
        <f>MAX(0,AQ23-AP23)*(Inputs!$B$80+Inputs!$B$81)</f>
        <v/>
      </c>
      <c r="AR91" s="35">
        <f>MAX(0,AR23-AQ23)*(Inputs!$B$80+Inputs!$B$81)</f>
        <v/>
      </c>
      <c r="AS91" s="35">
        <f>MAX(0,AS23-AR23)*(Inputs!$B$80+Inputs!$B$81)</f>
        <v/>
      </c>
      <c r="AT91" s="35">
        <f>MAX(0,AT23-AS23)*(Inputs!$B$80+Inputs!$B$81)</f>
        <v/>
      </c>
      <c r="AU91" s="35">
        <f>MAX(0,AU23-AT23)*(Inputs!$B$80+Inputs!$B$81)</f>
        <v/>
      </c>
      <c r="AV91" s="35">
        <f>MAX(0,AV23-AU23)*(Inputs!$B$80+Inputs!$B$81)</f>
        <v/>
      </c>
      <c r="AW91" s="35">
        <f>MAX(0,AW23-AV23)*(Inputs!$B$80+Inputs!$B$81)</f>
        <v/>
      </c>
      <c r="AX91" s="35">
        <f>MAX(0,AX23-AW23)*(Inputs!$B$80+Inputs!$B$81)</f>
        <v/>
      </c>
      <c r="AY91" s="35">
        <f>MAX(0,AY23-AX23)*(Inputs!$B$80+Inputs!$B$81)</f>
        <v/>
      </c>
      <c r="AZ91" s="35">
        <f>MAX(0,AZ23-AY23)*(Inputs!$B$80+Inputs!$B$81)</f>
        <v/>
      </c>
      <c r="BA91" s="35">
        <f>MAX(0,BA23-AZ23)*(Inputs!$B$80+Inputs!$B$81)</f>
        <v/>
      </c>
    </row>
    <row r="92" ht="14.25" customHeight="1" s="214">
      <c r="A92" s="3" t="inlineStr">
        <is>
          <t>Sonstige IT-Ausstattung</t>
        </is>
      </c>
      <c r="B92" s="35">
        <f>Inputs!$B$83/12</f>
        <v/>
      </c>
      <c r="C92" s="35">
        <f>Inputs!$B$83/12</f>
        <v/>
      </c>
      <c r="D92" s="35">
        <f>Inputs!$B$83/12</f>
        <v/>
      </c>
      <c r="E92" s="35">
        <f>Inputs!$B$83/12</f>
        <v/>
      </c>
      <c r="F92" s="35">
        <f>Inputs!$B$83/12</f>
        <v/>
      </c>
      <c r="G92" s="35">
        <f>Inputs!$B$83/12</f>
        <v/>
      </c>
      <c r="H92" s="35">
        <f>Inputs!$B$83/12</f>
        <v/>
      </c>
      <c r="I92" s="35">
        <f>Inputs!$B$83/12</f>
        <v/>
      </c>
      <c r="J92" s="35">
        <f>Inputs!$B$83/12</f>
        <v/>
      </c>
      <c r="K92" s="35">
        <f>Inputs!$B$83/12</f>
        <v/>
      </c>
      <c r="L92" s="35">
        <f>Inputs!$B$83/12</f>
        <v/>
      </c>
      <c r="M92" s="35">
        <f>Inputs!$B$83/12</f>
        <v/>
      </c>
      <c r="N92" s="35">
        <f>Inputs!$B$83/12</f>
        <v/>
      </c>
      <c r="O92" s="35">
        <f>Inputs!$B$83/12</f>
        <v/>
      </c>
      <c r="P92" s="35">
        <f>Inputs!$B$83/12</f>
        <v/>
      </c>
      <c r="Q92" s="35">
        <f>Inputs!$B$83/12</f>
        <v/>
      </c>
      <c r="R92" s="35">
        <f>Inputs!$B$83/12</f>
        <v/>
      </c>
      <c r="S92" s="35">
        <f>Inputs!$B$83/12</f>
        <v/>
      </c>
      <c r="T92" s="35">
        <f>Inputs!$B$83/12</f>
        <v/>
      </c>
      <c r="U92" s="35">
        <f>Inputs!$B$83/12</f>
        <v/>
      </c>
      <c r="V92" s="35">
        <f>Inputs!$B$83/12</f>
        <v/>
      </c>
      <c r="W92" s="35">
        <f>Inputs!$B$83/12</f>
        <v/>
      </c>
      <c r="X92" s="35">
        <f>Inputs!$B$83/12</f>
        <v/>
      </c>
      <c r="Y92" s="35">
        <f>Inputs!$B$83/12</f>
        <v/>
      </c>
      <c r="Z92" s="35">
        <f>Inputs!$B$83/12</f>
        <v/>
      </c>
      <c r="AA92" s="35">
        <f>Inputs!$B$83/12</f>
        <v/>
      </c>
      <c r="AB92" s="35">
        <f>Inputs!$B$83/12</f>
        <v/>
      </c>
      <c r="AC92" s="35">
        <f>Inputs!$B$83/12</f>
        <v/>
      </c>
      <c r="AD92" s="35">
        <f>Inputs!$B$83/12</f>
        <v/>
      </c>
      <c r="AE92" s="35">
        <f>Inputs!$B$83/12</f>
        <v/>
      </c>
      <c r="AF92" s="35">
        <f>Inputs!$B$83/12</f>
        <v/>
      </c>
      <c r="AG92" s="35">
        <f>Inputs!$B$83/12</f>
        <v/>
      </c>
      <c r="AH92" s="35">
        <f>Inputs!$B$83/12</f>
        <v/>
      </c>
      <c r="AI92" s="35">
        <f>Inputs!$B$83/12</f>
        <v/>
      </c>
      <c r="AJ92" s="35">
        <f>Inputs!$B$83/12</f>
        <v/>
      </c>
      <c r="AK92" s="35">
        <f>Inputs!$B$83/12</f>
        <v/>
      </c>
      <c r="AL92" s="35">
        <f>Inputs!$B$83/12</f>
        <v/>
      </c>
      <c r="AM92" s="35">
        <f>Inputs!$B$83/12</f>
        <v/>
      </c>
      <c r="AN92" s="35">
        <f>Inputs!$B$83/12</f>
        <v/>
      </c>
      <c r="AO92" s="35">
        <f>Inputs!$B$83/12</f>
        <v/>
      </c>
      <c r="AP92" s="35">
        <f>Inputs!$B$83/12</f>
        <v/>
      </c>
      <c r="AQ92" s="35">
        <f>Inputs!$B$83/12</f>
        <v/>
      </c>
      <c r="AR92" s="35">
        <f>Inputs!$B$83/12</f>
        <v/>
      </c>
      <c r="AS92" s="35">
        <f>Inputs!$B$83/12</f>
        <v/>
      </c>
      <c r="AT92" s="35">
        <f>Inputs!$B$83/12</f>
        <v/>
      </c>
      <c r="AU92" s="35">
        <f>Inputs!$B$83/12</f>
        <v/>
      </c>
      <c r="AV92" s="35">
        <f>Inputs!$B$83/12</f>
        <v/>
      </c>
      <c r="AW92" s="35">
        <f>Inputs!$B$83/12</f>
        <v/>
      </c>
      <c r="AX92" s="35">
        <f>Inputs!$B$83/12</f>
        <v/>
      </c>
      <c r="AY92" s="35">
        <f>Inputs!$B$83/12</f>
        <v/>
      </c>
      <c r="AZ92" s="35">
        <f>Inputs!$B$83/12</f>
        <v/>
      </c>
      <c r="BA92" s="35">
        <f>Inputs!$B$83/12</f>
        <v/>
      </c>
    </row>
    <row r="93" ht="14.25" customHeight="1" s="214">
      <c r="A93" s="2" t="inlineStr">
        <is>
          <t>TOTAL SONSTIGE</t>
        </is>
      </c>
      <c r="B93" s="33">
        <f>SUM(B88:B92)</f>
        <v/>
      </c>
      <c r="C93" s="33">
        <f>SUM(C88:C92)</f>
        <v/>
      </c>
      <c r="D93" s="33">
        <f>SUM(D88:D92)</f>
        <v/>
      </c>
      <c r="E93" s="33">
        <f>SUM(E88:E92)</f>
        <v/>
      </c>
      <c r="F93" s="33">
        <f>SUM(F88:F92)</f>
        <v/>
      </c>
      <c r="G93" s="33">
        <f>SUM(G88:G92)</f>
        <v/>
      </c>
      <c r="H93" s="33">
        <f>SUM(H88:H92)</f>
        <v/>
      </c>
      <c r="I93" s="33">
        <f>SUM(I88:I92)</f>
        <v/>
      </c>
      <c r="J93" s="33">
        <f>SUM(J88:J92)</f>
        <v/>
      </c>
      <c r="K93" s="33">
        <f>SUM(K88:K92)</f>
        <v/>
      </c>
      <c r="L93" s="33">
        <f>SUM(L88:L92)</f>
        <v/>
      </c>
      <c r="M93" s="33">
        <f>SUM(M88:M92)</f>
        <v/>
      </c>
      <c r="N93" s="33">
        <f>SUM(N88:N92)</f>
        <v/>
      </c>
      <c r="O93" s="33">
        <f>SUM(O88:O92)</f>
        <v/>
      </c>
      <c r="P93" s="33">
        <f>SUM(P88:P92)</f>
        <v/>
      </c>
      <c r="Q93" s="33">
        <f>SUM(Q88:Q92)</f>
        <v/>
      </c>
      <c r="R93" s="33">
        <f>SUM(R88:R92)</f>
        <v/>
      </c>
      <c r="S93" s="33">
        <f>SUM(S88:S92)</f>
        <v/>
      </c>
      <c r="T93" s="33">
        <f>SUM(T88:T92)</f>
        <v/>
      </c>
      <c r="U93" s="33">
        <f>SUM(U88:U92)</f>
        <v/>
      </c>
      <c r="V93" s="33">
        <f>SUM(V88:V92)</f>
        <v/>
      </c>
      <c r="W93" s="33">
        <f>SUM(W88:W92)</f>
        <v/>
      </c>
      <c r="X93" s="33">
        <f>SUM(X88:X92)</f>
        <v/>
      </c>
      <c r="Y93" s="33">
        <f>SUM(Y88:Y92)</f>
        <v/>
      </c>
      <c r="Z93" s="33">
        <f>SUM(Z88:Z92)</f>
        <v/>
      </c>
      <c r="AA93" s="33">
        <f>SUM(AA88:AA92)</f>
        <v/>
      </c>
      <c r="AB93" s="33">
        <f>SUM(AB88:AB92)</f>
        <v/>
      </c>
      <c r="AC93" s="33">
        <f>SUM(AC88:AC92)</f>
        <v/>
      </c>
      <c r="AD93" s="33">
        <f>SUM(AD88:AD92)</f>
        <v/>
      </c>
      <c r="AE93" s="33">
        <f>SUM(AE88:AE92)</f>
        <v/>
      </c>
      <c r="AF93" s="33">
        <f>SUM(AF88:AF92)</f>
        <v/>
      </c>
      <c r="AG93" s="33">
        <f>SUM(AG88:AG92)</f>
        <v/>
      </c>
      <c r="AH93" s="33">
        <f>SUM(AH88:AH92)</f>
        <v/>
      </c>
      <c r="AI93" s="33">
        <f>SUM(AI88:AI92)</f>
        <v/>
      </c>
      <c r="AJ93" s="33">
        <f>SUM(AJ88:AJ92)</f>
        <v/>
      </c>
      <c r="AK93" s="33">
        <f>SUM(AK88:AK92)</f>
        <v/>
      </c>
      <c r="AL93" s="33">
        <f>SUM(AL88:AL92)</f>
        <v/>
      </c>
      <c r="AM93" s="33">
        <f>SUM(AM88:AM92)</f>
        <v/>
      </c>
      <c r="AN93" s="33">
        <f>SUM(AN88:AN92)</f>
        <v/>
      </c>
      <c r="AO93" s="33">
        <f>SUM(AO88:AO92)</f>
        <v/>
      </c>
      <c r="AP93" s="33">
        <f>SUM(AP88:AP92)</f>
        <v/>
      </c>
      <c r="AQ93" s="33">
        <f>SUM(AQ88:AQ92)</f>
        <v/>
      </c>
      <c r="AR93" s="33">
        <f>SUM(AR88:AR92)</f>
        <v/>
      </c>
      <c r="AS93" s="33">
        <f>SUM(AS88:AS92)</f>
        <v/>
      </c>
      <c r="AT93" s="33">
        <f>SUM(AT88:AT92)</f>
        <v/>
      </c>
      <c r="AU93" s="33">
        <f>SUM(AU88:AU92)</f>
        <v/>
      </c>
      <c r="AV93" s="33">
        <f>SUM(AV88:AV92)</f>
        <v/>
      </c>
      <c r="AW93" s="33">
        <f>SUM(AW88:AW92)</f>
        <v/>
      </c>
      <c r="AX93" s="33">
        <f>SUM(AX88:AX92)</f>
        <v/>
      </c>
      <c r="AY93" s="33">
        <f>SUM(AY88:AY92)</f>
        <v/>
      </c>
      <c r="AZ93" s="33">
        <f>SUM(AZ88:AZ92)</f>
        <v/>
      </c>
      <c r="BA93" s="33">
        <f>SUM(BA88:BA92)</f>
        <v/>
      </c>
    </row>
    <row r="94" ht="14.25" customHeight="1" s="214"/>
    <row r="95" ht="14.25" customHeight="1" s="214">
      <c r="A95" s="2" t="inlineStr">
        <is>
          <t>PAYMENT PROCESSING</t>
        </is>
      </c>
    </row>
    <row r="96" ht="14.25" customHeight="1" s="214">
      <c r="A96" s="3" t="inlineStr">
        <is>
          <t>Payment Processing Fees</t>
        </is>
      </c>
      <c r="B96" s="32">
        <f>Revenue!B23*Inputs!$B$107</f>
        <v/>
      </c>
      <c r="C96" s="32">
        <f>Revenue!C23*Inputs!$B$107</f>
        <v/>
      </c>
      <c r="D96" s="32">
        <f>Revenue!D23*Inputs!$B$107</f>
        <v/>
      </c>
      <c r="E96" s="32">
        <f>Revenue!E23*Inputs!$B$107</f>
        <v/>
      </c>
      <c r="F96" s="32">
        <f>Revenue!F23*Inputs!$B$107</f>
        <v/>
      </c>
      <c r="G96" s="32">
        <f>Revenue!G23*Inputs!$B$107</f>
        <v/>
      </c>
      <c r="H96" s="32">
        <f>Revenue!H23*Inputs!$B$107</f>
        <v/>
      </c>
      <c r="I96" s="32">
        <f>Revenue!I23*Inputs!$B$107</f>
        <v/>
      </c>
      <c r="J96" s="32">
        <f>Revenue!J23*Inputs!$B$107</f>
        <v/>
      </c>
      <c r="K96" s="32">
        <f>Revenue!K23*Inputs!$B$107</f>
        <v/>
      </c>
      <c r="L96" s="32">
        <f>Revenue!L23*Inputs!$B$107</f>
        <v/>
      </c>
      <c r="M96" s="32">
        <f>Revenue!M23*Inputs!$B$107</f>
        <v/>
      </c>
      <c r="N96" s="32">
        <f>Revenue!N23*Inputs!$B$107</f>
        <v/>
      </c>
      <c r="O96" s="32">
        <f>Revenue!O23*Inputs!$B$107</f>
        <v/>
      </c>
      <c r="P96" s="32">
        <f>Revenue!P23*Inputs!$B$107</f>
        <v/>
      </c>
      <c r="Q96" s="32">
        <f>Revenue!Q23*Inputs!$B$107</f>
        <v/>
      </c>
      <c r="R96" s="32">
        <f>Revenue!R23*Inputs!$B$107</f>
        <v/>
      </c>
      <c r="S96" s="32">
        <f>Revenue!S23*Inputs!$B$107</f>
        <v/>
      </c>
      <c r="T96" s="32">
        <f>Revenue!T23*Inputs!$B$107</f>
        <v/>
      </c>
      <c r="U96" s="32">
        <f>Revenue!U23*Inputs!$B$107</f>
        <v/>
      </c>
      <c r="V96" s="32">
        <f>Revenue!V23*Inputs!$B$107</f>
        <v/>
      </c>
      <c r="W96" s="32">
        <f>Revenue!W23*Inputs!$B$107</f>
        <v/>
      </c>
      <c r="X96" s="32">
        <f>Revenue!X23*Inputs!$B$107</f>
        <v/>
      </c>
      <c r="Y96" s="32">
        <f>Revenue!Y23*Inputs!$B$107</f>
        <v/>
      </c>
      <c r="Z96" s="32">
        <f>Revenue!Z23*Inputs!$B$107</f>
        <v/>
      </c>
      <c r="AA96" s="32">
        <f>Revenue!AA23*Inputs!$B$107</f>
        <v/>
      </c>
      <c r="AB96" s="32">
        <f>Revenue!AB23*Inputs!$B$107</f>
        <v/>
      </c>
      <c r="AC96" s="32">
        <f>Revenue!AC23*Inputs!$B$107</f>
        <v/>
      </c>
      <c r="AD96" s="32">
        <f>Revenue!AD23*Inputs!$B$107</f>
        <v/>
      </c>
      <c r="AE96" s="32">
        <f>Revenue!AE23*Inputs!$B$107</f>
        <v/>
      </c>
      <c r="AF96" s="32">
        <f>Revenue!AF23*Inputs!$B$107</f>
        <v/>
      </c>
      <c r="AG96" s="32">
        <f>Revenue!AG23*Inputs!$B$107</f>
        <v/>
      </c>
      <c r="AH96" s="32">
        <f>Revenue!AH23*Inputs!$B$107</f>
        <v/>
      </c>
      <c r="AI96" s="32">
        <f>Revenue!AI23*Inputs!$B$107</f>
        <v/>
      </c>
      <c r="AJ96" s="32">
        <f>Revenue!AJ23*Inputs!$B$107</f>
        <v/>
      </c>
      <c r="AK96" s="32">
        <f>Revenue!AK23*Inputs!$B$107</f>
        <v/>
      </c>
      <c r="AL96" s="32">
        <f>Revenue!AL23*Inputs!$B$107</f>
        <v/>
      </c>
      <c r="AM96" s="32">
        <f>Revenue!AM23*Inputs!$B$107</f>
        <v/>
      </c>
      <c r="AN96" s="32">
        <f>Revenue!AN23*Inputs!$B$107</f>
        <v/>
      </c>
      <c r="AO96" s="32">
        <f>Revenue!AO23*Inputs!$B$107</f>
        <v/>
      </c>
      <c r="AP96" s="32">
        <f>Revenue!AP23*Inputs!$B$107</f>
        <v/>
      </c>
      <c r="AQ96" s="32">
        <f>Revenue!AQ23*Inputs!$B$107</f>
        <v/>
      </c>
      <c r="AR96" s="32">
        <f>Revenue!AR23*Inputs!$B$107</f>
        <v/>
      </c>
      <c r="AS96" s="32">
        <f>Revenue!AS23*Inputs!$B$107</f>
        <v/>
      </c>
      <c r="AT96" s="32">
        <f>Revenue!AT23*Inputs!$B$107</f>
        <v/>
      </c>
      <c r="AU96" s="32">
        <f>Revenue!AU23*Inputs!$B$107</f>
        <v/>
      </c>
      <c r="AV96" s="32">
        <f>Revenue!AV23*Inputs!$B$107</f>
        <v/>
      </c>
      <c r="AW96" s="32">
        <f>Revenue!AW23*Inputs!$B$107</f>
        <v/>
      </c>
      <c r="AX96" s="32">
        <f>Revenue!AX23*Inputs!$B$107</f>
        <v/>
      </c>
      <c r="AY96" s="32">
        <f>Revenue!AY23*Inputs!$B$107</f>
        <v/>
      </c>
      <c r="AZ96" s="32">
        <f>Revenue!AZ23*Inputs!$B$107</f>
        <v/>
      </c>
      <c r="BA96" s="32">
        <f>Revenue!BA23*Inputs!$B$107</f>
        <v/>
      </c>
    </row>
    <row r="97" ht="14.25" customHeight="1" s="214"/>
    <row r="98" ht="14.25" customHeight="1" s="214">
      <c r="A98" s="3" t="inlineStr">
        <is>
          <t>Puffer/Unvorhergesehenes</t>
        </is>
      </c>
      <c r="B98" s="35">
        <f>(B46+B55+B62+B69+B76+B85+B93)*Inputs!$B$126</f>
        <v/>
      </c>
      <c r="C98" s="35">
        <f>(C46+C55+C62+C69+C76+C85+C93)*Inputs!$B$126</f>
        <v/>
      </c>
      <c r="D98" s="35">
        <f>(D46+D55+D62+D69+D76+D85+D93)*Inputs!$B$126</f>
        <v/>
      </c>
      <c r="E98" s="35">
        <f>(E46+E55+E62+E69+E76+E85+E93)*Inputs!$B$126</f>
        <v/>
      </c>
      <c r="F98" s="35">
        <f>(F46+F55+F62+F69+F76+F85+F93)*Inputs!$B$126</f>
        <v/>
      </c>
      <c r="G98" s="35">
        <f>(G46+G55+G62+G69+G76+G85+G93)*Inputs!$B$126</f>
        <v/>
      </c>
      <c r="H98" s="35">
        <f>(H46+H55+H62+H69+H76+H85+H93)*Inputs!$B$126</f>
        <v/>
      </c>
      <c r="I98" s="35">
        <f>(I46+I55+I62+I69+I76+I85+I93)*Inputs!$B$126</f>
        <v/>
      </c>
      <c r="J98" s="35">
        <f>(J46+J55+J62+J69+J76+J85+J93)*Inputs!$B$126</f>
        <v/>
      </c>
      <c r="K98" s="35">
        <f>(K46+K55+K62+K69+K76+K85+K93)*Inputs!$B$126</f>
        <v/>
      </c>
      <c r="L98" s="35">
        <f>(L46+L55+L62+L69+L76+L85+L93)*Inputs!$B$126</f>
        <v/>
      </c>
      <c r="M98" s="35">
        <f>(M46+M55+M62+M69+M76+M85+M93)*Inputs!$B$126</f>
        <v/>
      </c>
      <c r="N98" s="35">
        <f>(N46+N55+N62+N69+N76+N85+N93)*Inputs!$B$126</f>
        <v/>
      </c>
      <c r="O98" s="35">
        <f>(O46+O55+O62+O69+O76+O85+O93)*Inputs!$B$126</f>
        <v/>
      </c>
      <c r="P98" s="35">
        <f>(P46+P55+P62+P69+P76+P85+P93)*Inputs!$B$126</f>
        <v/>
      </c>
      <c r="Q98" s="35">
        <f>(Q46+Q55+Q62+Q69+Q76+Q85+Q93)*Inputs!$B$126</f>
        <v/>
      </c>
      <c r="R98" s="35">
        <f>(R46+R55+R62+R69+R76+R85+R93)*Inputs!$B$126</f>
        <v/>
      </c>
      <c r="S98" s="35">
        <f>(S46+S55+S62+S69+S76+S85+S93)*Inputs!$B$126</f>
        <v/>
      </c>
      <c r="T98" s="35">
        <f>(T46+T55+T62+T69+T76+T85+T93)*Inputs!$B$126</f>
        <v/>
      </c>
      <c r="U98" s="35">
        <f>(U46+U55+U62+U69+U76+U85+U93)*Inputs!$B$126</f>
        <v/>
      </c>
      <c r="V98" s="35">
        <f>(V46+V55+V62+V69+V76+V85+V93)*Inputs!$B$126</f>
        <v/>
      </c>
      <c r="W98" s="35">
        <f>(W46+W55+W62+W69+W76+W85+W93)*Inputs!$B$126</f>
        <v/>
      </c>
      <c r="X98" s="35">
        <f>(X46+X55+X62+X69+X76+X85+X93)*Inputs!$B$126</f>
        <v/>
      </c>
      <c r="Y98" s="35">
        <f>(Y46+Y55+Y62+Y69+Y76+Y85+Y93)*Inputs!$B$126</f>
        <v/>
      </c>
      <c r="Z98" s="35">
        <f>(Z46+Z55+Z62+Z69+Z76+Z85+Z93)*Inputs!$B$126</f>
        <v/>
      </c>
      <c r="AA98" s="35">
        <f>(AA46+AA55+AA62+AA69+AA76+AA85+AA93)*Inputs!$B$126</f>
        <v/>
      </c>
      <c r="AB98" s="35">
        <f>(AB46+AB55+AB62+AB69+AB76+AB85+AB93)*Inputs!$B$126</f>
        <v/>
      </c>
      <c r="AC98" s="35">
        <f>(AC46+AC55+AC62+AC69+AC76+AC85+AC93)*Inputs!$B$126</f>
        <v/>
      </c>
      <c r="AD98" s="35">
        <f>(AD46+AD55+AD62+AD69+AD76+AD85+AD93)*Inputs!$B$126</f>
        <v/>
      </c>
      <c r="AE98" s="35">
        <f>(AE46+AE55+AE62+AE69+AE76+AE85+AE93)*Inputs!$B$126</f>
        <v/>
      </c>
      <c r="AF98" s="35">
        <f>(AF46+AF55+AF62+AF69+AF76+AF85+AF93)*Inputs!$B$126</f>
        <v/>
      </c>
      <c r="AG98" s="35">
        <f>(AG46+AG55+AG62+AG69+AG76+AG85+AG93)*Inputs!$B$126</f>
        <v/>
      </c>
      <c r="AH98" s="35">
        <f>(AH46+AH55+AH62+AH69+AH76+AH85+AH93)*Inputs!$B$126</f>
        <v/>
      </c>
      <c r="AI98" s="35">
        <f>(AI46+AI55+AI62+AI69+AI76+AI85+AI93)*Inputs!$B$126</f>
        <v/>
      </c>
      <c r="AJ98" s="35">
        <f>(AJ46+AJ55+AJ62+AJ69+AJ76+AJ85+AJ93)*Inputs!$B$126</f>
        <v/>
      </c>
      <c r="AK98" s="35">
        <f>(AK46+AK55+AK62+AK69+AK76+AK85+AK93)*Inputs!$B$126</f>
        <v/>
      </c>
      <c r="AL98" s="35">
        <f>(AL46+AL55+AL62+AL69+AL76+AL85+AL93)*Inputs!$B$126</f>
        <v/>
      </c>
      <c r="AM98" s="35">
        <f>(AM46+AM55+AM62+AM69+AM76+AM85+AM93)*Inputs!$B$126</f>
        <v/>
      </c>
      <c r="AN98" s="35">
        <f>(AN46+AN55+AN62+AN69+AN76+AN85+AN93)*Inputs!$B$126</f>
        <v/>
      </c>
      <c r="AO98" s="35">
        <f>(AO46+AO55+AO62+AO69+AO76+AO85+AO93)*Inputs!$B$126</f>
        <v/>
      </c>
      <c r="AP98" s="35">
        <f>(AP46+AP55+AP62+AP69+AP76+AP85+AP93)*Inputs!$B$126</f>
        <v/>
      </c>
      <c r="AQ98" s="35">
        <f>(AQ46+AQ55+AQ62+AQ69+AQ76+AQ85+AQ93)*Inputs!$B$126</f>
        <v/>
      </c>
      <c r="AR98" s="35">
        <f>(AR46+AR55+AR62+AR69+AR76+AR85+AR93)*Inputs!$B$126</f>
        <v/>
      </c>
      <c r="AS98" s="35">
        <f>(AS46+AS55+AS62+AS69+AS76+AS85+AS93)*Inputs!$B$126</f>
        <v/>
      </c>
      <c r="AT98" s="35">
        <f>(AT46+AT55+AT62+AT69+AT76+AT85+AT93)*Inputs!$B$126</f>
        <v/>
      </c>
      <c r="AU98" s="35">
        <f>(AU46+AU55+AU62+AU69+AU76+AU85+AU93)*Inputs!$B$126</f>
        <v/>
      </c>
      <c r="AV98" s="35">
        <f>(AV46+AV55+AV62+AV69+AV76+AV85+AV93)*Inputs!$B$126</f>
        <v/>
      </c>
      <c r="AW98" s="35">
        <f>(AW46+AW55+AW62+AW69+AW76+AW85+AW93)*Inputs!$B$126</f>
        <v/>
      </c>
      <c r="AX98" s="35">
        <f>(AX46+AX55+AX62+AX69+AX76+AX85+AX93)*Inputs!$B$126</f>
        <v/>
      </c>
      <c r="AY98" s="35">
        <f>(AY46+AY55+AY62+AY69+AY76+AY85+AY93)*Inputs!$B$126</f>
        <v/>
      </c>
      <c r="AZ98" s="35">
        <f>(AZ46+AZ55+AZ62+AZ69+AZ76+AZ85+AZ93)*Inputs!$B$126</f>
        <v/>
      </c>
      <c r="BA98" s="35">
        <f>(BA46+BA55+BA62+BA69+BA76+BA85+BA93)*Inputs!$B$126</f>
        <v/>
      </c>
    </row>
    <row r="99" ht="14.25" customHeight="1" s="214"/>
    <row r="100" ht="14.25" customHeight="1" s="214">
      <c r="A100" s="2" t="inlineStr">
        <is>
          <t>TOTAL KOSTEN (exkl. COGS)</t>
        </is>
      </c>
      <c r="B100" s="33">
        <f>B46+B55+B62+B69+B76+B85+B93+B98</f>
        <v/>
      </c>
      <c r="C100" s="33">
        <f>C46+C55+C62+C69+C76+C85+C93+C98</f>
        <v/>
      </c>
      <c r="D100" s="33">
        <f>D46+D55+D62+D69+D76+D85+D93+D98</f>
        <v/>
      </c>
      <c r="E100" s="33">
        <f>E46+E55+E62+E69+E76+E85+E93+E98</f>
        <v/>
      </c>
      <c r="F100" s="33">
        <f>F46+F55+F62+F69+F76+F85+F93+F98</f>
        <v/>
      </c>
      <c r="G100" s="33">
        <f>G46+G55+G62+G69+G76+G85+G93+G98</f>
        <v/>
      </c>
      <c r="H100" s="33">
        <f>H46+H55+H62+H69+H76+H85+H93+H98</f>
        <v/>
      </c>
      <c r="I100" s="33">
        <f>I46+I55+I62+I69+I76+I85+I93+I98</f>
        <v/>
      </c>
      <c r="J100" s="33">
        <f>J46+J55+J62+J69+J76+J85+J93+J98</f>
        <v/>
      </c>
      <c r="K100" s="33">
        <f>K46+K55+K62+K69+K76+K85+K93+K98</f>
        <v/>
      </c>
      <c r="L100" s="33">
        <f>L46+L55+L62+L69+L76+L85+L93+L98</f>
        <v/>
      </c>
      <c r="M100" s="33">
        <f>M46+M55+M62+M69+M76+M85+M93+M98</f>
        <v/>
      </c>
      <c r="N100" s="33">
        <f>N46+N55+N62+N69+N76+N85+N93+N98</f>
        <v/>
      </c>
      <c r="O100" s="33">
        <f>O46+O55+O62+O69+O76+O85+O93+O98</f>
        <v/>
      </c>
      <c r="P100" s="33">
        <f>P46+P55+P62+P69+P76+P85+P93+P98</f>
        <v/>
      </c>
      <c r="Q100" s="33">
        <f>Q46+Q55+Q62+Q69+Q76+Q85+Q93+Q98</f>
        <v/>
      </c>
      <c r="R100" s="33">
        <f>R46+R55+R62+R69+R76+R85+R93+R98</f>
        <v/>
      </c>
      <c r="S100" s="33">
        <f>S46+S55+S62+S69+S76+S85+S93+S98</f>
        <v/>
      </c>
      <c r="T100" s="33">
        <f>T46+T55+T62+T69+T76+T85+T93+T98</f>
        <v/>
      </c>
      <c r="U100" s="33">
        <f>U46+U55+U62+U69+U76+U85+U93+U98</f>
        <v/>
      </c>
      <c r="V100" s="33">
        <f>V46+V55+V62+V69+V76+V85+V93+V98</f>
        <v/>
      </c>
      <c r="W100" s="33">
        <f>W46+W55+W62+W69+W76+W85+W93+W98</f>
        <v/>
      </c>
      <c r="X100" s="33">
        <f>X46+X55+X62+X69+X76+X85+X93+X98</f>
        <v/>
      </c>
      <c r="Y100" s="33">
        <f>Y46+Y55+Y62+Y69+Y76+Y85+Y93+Y98</f>
        <v/>
      </c>
      <c r="Z100" s="33">
        <f>Z46+Z55+Z62+Z69+Z76+Z85+Z93+Z98</f>
        <v/>
      </c>
      <c r="AA100" s="33">
        <f>AA46+AA55+AA62+AA69+AA76+AA85+AA93+AA98</f>
        <v/>
      </c>
      <c r="AB100" s="33">
        <f>AB46+AB55+AB62+AB69+AB76+AB85+AB93+AB98</f>
        <v/>
      </c>
      <c r="AC100" s="33">
        <f>AC46+AC55+AC62+AC69+AC76+AC85+AC93+AC98</f>
        <v/>
      </c>
      <c r="AD100" s="33">
        <f>AD46+AD55+AD62+AD69+AD76+AD85+AD93+AD98</f>
        <v/>
      </c>
      <c r="AE100" s="33">
        <f>AE46+AE55+AE62+AE69+AE76+AE85+AE93+AE98</f>
        <v/>
      </c>
      <c r="AF100" s="33">
        <f>AF46+AF55+AF62+AF69+AF76+AF85+AF93+AF98</f>
        <v/>
      </c>
      <c r="AG100" s="33">
        <f>AG46+AG55+AG62+AG69+AG76+AG85+AG93+AG98</f>
        <v/>
      </c>
      <c r="AH100" s="33">
        <f>AH46+AH55+AH62+AH69+AH76+AH85+AH93+AH98</f>
        <v/>
      </c>
      <c r="AI100" s="33">
        <f>AI46+AI55+AI62+AI69+AI76+AI85+AI93+AI98</f>
        <v/>
      </c>
      <c r="AJ100" s="33">
        <f>AJ46+AJ55+AJ62+AJ69+AJ76+AJ85+AJ93+AJ98</f>
        <v/>
      </c>
      <c r="AK100" s="33">
        <f>AK46+AK55+AK62+AK69+AK76+AK85+AK93+AK98</f>
        <v/>
      </c>
      <c r="AL100" s="33">
        <f>AL46+AL55+AL62+AL69+AL76+AL85+AL93+AL98</f>
        <v/>
      </c>
      <c r="AM100" s="33">
        <f>AM46+AM55+AM62+AM69+AM76+AM85+AM93+AM98</f>
        <v/>
      </c>
      <c r="AN100" s="33">
        <f>AN46+AN55+AN62+AN69+AN76+AN85+AN93+AN98</f>
        <v/>
      </c>
      <c r="AO100" s="33">
        <f>AO46+AO55+AO62+AO69+AO76+AO85+AO93+AO98</f>
        <v/>
      </c>
      <c r="AP100" s="33">
        <f>AP46+AP55+AP62+AP69+AP76+AP85+AP93+AP98</f>
        <v/>
      </c>
      <c r="AQ100" s="33">
        <f>AQ46+AQ55+AQ62+AQ69+AQ76+AQ85+AQ93+AQ98</f>
        <v/>
      </c>
      <c r="AR100" s="33">
        <f>AR46+AR55+AR62+AR69+AR76+AR85+AR93+AR98</f>
        <v/>
      </c>
      <c r="AS100" s="33">
        <f>AS46+AS55+AS62+AS69+AS76+AS85+AS93+AS98</f>
        <v/>
      </c>
      <c r="AT100" s="33">
        <f>AT46+AT55+AT62+AT69+AT76+AT85+AT93+AT98</f>
        <v/>
      </c>
      <c r="AU100" s="33">
        <f>AU46+AU55+AU62+AU69+AU76+AU85+AU93+AU98</f>
        <v/>
      </c>
      <c r="AV100" s="33">
        <f>AV46+AV55+AV62+AV69+AV76+AV85+AV93+AV98</f>
        <v/>
      </c>
      <c r="AW100" s="33">
        <f>AW46+AW55+AW62+AW69+AW76+AW85+AW93+AW98</f>
        <v/>
      </c>
      <c r="AX100" s="33">
        <f>AX46+AX55+AX62+AX69+AX76+AX85+AX93+AX98</f>
        <v/>
      </c>
      <c r="AY100" s="33">
        <f>AY46+AY55+AY62+AY69+AY76+AY85+AY93+AY98</f>
        <v/>
      </c>
      <c r="AZ100" s="33">
        <f>AZ46+AZ55+AZ62+AZ69+AZ76+AZ85+AZ93+AZ98</f>
        <v/>
      </c>
      <c r="BA100" s="33">
        <f>BA46+BA55+BA62+BA69+BA76+BA85+BA93+BA98</f>
        <v/>
      </c>
    </row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</sheetData>
  <mergeCells count="1">
    <mergeCell ref="B1:E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BA25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BILANZ (Vereinfacht)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AKTIVA (ASSETS)</t>
        </is>
      </c>
    </row>
    <row r="6" ht="14.25" customHeight="1" s="214">
      <c r="A6" s="3" t="inlineStr">
        <is>
          <t>Cash &amp; Cash Equivalents</t>
        </is>
      </c>
      <c r="B6" s="32">
        <f>'Cash Flow'!B23</f>
        <v/>
      </c>
      <c r="C6" s="32">
        <f>'Cash Flow'!C23</f>
        <v/>
      </c>
      <c r="D6" s="32">
        <f>'Cash Flow'!D23</f>
        <v/>
      </c>
      <c r="E6" s="32">
        <f>'Cash Flow'!E23</f>
        <v/>
      </c>
      <c r="F6" s="32">
        <f>'Cash Flow'!F23</f>
        <v/>
      </c>
      <c r="G6" s="32">
        <f>'Cash Flow'!G23</f>
        <v/>
      </c>
      <c r="H6" s="32">
        <f>'Cash Flow'!H23</f>
        <v/>
      </c>
      <c r="I6" s="32">
        <f>'Cash Flow'!I23</f>
        <v/>
      </c>
      <c r="J6" s="32">
        <f>'Cash Flow'!J23</f>
        <v/>
      </c>
      <c r="K6" s="32">
        <f>'Cash Flow'!K23</f>
        <v/>
      </c>
      <c r="L6" s="32">
        <f>'Cash Flow'!L23</f>
        <v/>
      </c>
      <c r="M6" s="32">
        <f>'Cash Flow'!M23</f>
        <v/>
      </c>
      <c r="N6" s="32">
        <f>'Cash Flow'!N23</f>
        <v/>
      </c>
      <c r="O6" s="32">
        <f>'Cash Flow'!O23</f>
        <v/>
      </c>
      <c r="P6" s="32">
        <f>'Cash Flow'!P23</f>
        <v/>
      </c>
      <c r="Q6" s="32">
        <f>'Cash Flow'!Q23</f>
        <v/>
      </c>
      <c r="R6" s="32">
        <f>'Cash Flow'!R23</f>
        <v/>
      </c>
      <c r="S6" s="32">
        <f>'Cash Flow'!S23</f>
        <v/>
      </c>
      <c r="T6" s="32">
        <f>'Cash Flow'!T23</f>
        <v/>
      </c>
      <c r="U6" s="32">
        <f>'Cash Flow'!U23</f>
        <v/>
      </c>
      <c r="V6" s="32">
        <f>'Cash Flow'!V23</f>
        <v/>
      </c>
      <c r="W6" s="32">
        <f>'Cash Flow'!W23</f>
        <v/>
      </c>
      <c r="X6" s="32">
        <f>'Cash Flow'!X23</f>
        <v/>
      </c>
      <c r="Y6" s="32">
        <f>'Cash Flow'!Y23</f>
        <v/>
      </c>
      <c r="Z6" s="32">
        <f>'Cash Flow'!Z23</f>
        <v/>
      </c>
      <c r="AA6" s="32">
        <f>'Cash Flow'!AA23</f>
        <v/>
      </c>
      <c r="AB6" s="32">
        <f>'Cash Flow'!AB23</f>
        <v/>
      </c>
      <c r="AC6" s="32">
        <f>'Cash Flow'!AC23</f>
        <v/>
      </c>
      <c r="AD6" s="32">
        <f>'Cash Flow'!AD23</f>
        <v/>
      </c>
      <c r="AE6" s="32">
        <f>'Cash Flow'!AE23</f>
        <v/>
      </c>
      <c r="AF6" s="32">
        <f>'Cash Flow'!AF23</f>
        <v/>
      </c>
      <c r="AG6" s="32">
        <f>'Cash Flow'!AG23</f>
        <v/>
      </c>
      <c r="AH6" s="32">
        <f>'Cash Flow'!AH23</f>
        <v/>
      </c>
      <c r="AI6" s="32">
        <f>'Cash Flow'!AI23</f>
        <v/>
      </c>
      <c r="AJ6" s="32">
        <f>'Cash Flow'!AJ23</f>
        <v/>
      </c>
      <c r="AK6" s="32">
        <f>'Cash Flow'!AK23</f>
        <v/>
      </c>
      <c r="AL6" s="32">
        <f>'Cash Flow'!AL23</f>
        <v/>
      </c>
      <c r="AM6" s="32">
        <f>'Cash Flow'!AM23</f>
        <v/>
      </c>
      <c r="AN6" s="32">
        <f>'Cash Flow'!AN23</f>
        <v/>
      </c>
      <c r="AO6" s="32">
        <f>'Cash Flow'!AO23</f>
        <v/>
      </c>
      <c r="AP6" s="32">
        <f>'Cash Flow'!AP23</f>
        <v/>
      </c>
      <c r="AQ6" s="32">
        <f>'Cash Flow'!AQ23</f>
        <v/>
      </c>
      <c r="AR6" s="32">
        <f>'Cash Flow'!AR23</f>
        <v/>
      </c>
      <c r="AS6" s="32">
        <f>'Cash Flow'!AS23</f>
        <v/>
      </c>
      <c r="AT6" s="32">
        <f>'Cash Flow'!AT23</f>
        <v/>
      </c>
      <c r="AU6" s="32">
        <f>'Cash Flow'!AU23</f>
        <v/>
      </c>
      <c r="AV6" s="32">
        <f>'Cash Flow'!AV23</f>
        <v/>
      </c>
      <c r="AW6" s="32">
        <f>'Cash Flow'!AW23</f>
        <v/>
      </c>
      <c r="AX6" s="32">
        <f>'Cash Flow'!AX23</f>
        <v/>
      </c>
      <c r="AY6" s="32">
        <f>'Cash Flow'!AY23</f>
        <v/>
      </c>
      <c r="AZ6" s="32">
        <f>'Cash Flow'!AZ23</f>
        <v/>
      </c>
      <c r="BA6" s="32">
        <f>'Cash Flow'!BA23</f>
        <v/>
      </c>
    </row>
    <row r="7" ht="14.25" customHeight="1" s="214">
      <c r="A7" s="3" t="inlineStr">
        <is>
          <t>Accounts Receivable</t>
        </is>
      </c>
      <c r="B7" s="32">
        <f>'P&amp;L'!B8</f>
        <v/>
      </c>
      <c r="C7" s="32">
        <f>'P&amp;L'!C8</f>
        <v/>
      </c>
      <c r="D7" s="32">
        <f>'P&amp;L'!D8</f>
        <v/>
      </c>
      <c r="E7" s="32">
        <f>'P&amp;L'!E8</f>
        <v/>
      </c>
      <c r="F7" s="32">
        <f>'P&amp;L'!F8</f>
        <v/>
      </c>
      <c r="G7" s="32">
        <f>'P&amp;L'!G8</f>
        <v/>
      </c>
      <c r="H7" s="32">
        <f>'P&amp;L'!H8</f>
        <v/>
      </c>
      <c r="I7" s="32">
        <f>'P&amp;L'!I8</f>
        <v/>
      </c>
      <c r="J7" s="32">
        <f>'P&amp;L'!J8</f>
        <v/>
      </c>
      <c r="K7" s="32">
        <f>'P&amp;L'!K8</f>
        <v/>
      </c>
      <c r="L7" s="32">
        <f>'P&amp;L'!L8</f>
        <v/>
      </c>
      <c r="M7" s="32">
        <f>'P&amp;L'!M8</f>
        <v/>
      </c>
      <c r="N7" s="32">
        <f>'P&amp;L'!N8</f>
        <v/>
      </c>
      <c r="O7" s="32">
        <f>'P&amp;L'!O8</f>
        <v/>
      </c>
      <c r="P7" s="32">
        <f>'P&amp;L'!P8</f>
        <v/>
      </c>
      <c r="Q7" s="32">
        <f>'P&amp;L'!Q8</f>
        <v/>
      </c>
      <c r="R7" s="32">
        <f>'P&amp;L'!R8</f>
        <v/>
      </c>
      <c r="S7" s="32">
        <f>'P&amp;L'!S8</f>
        <v/>
      </c>
      <c r="T7" s="32">
        <f>'P&amp;L'!T8</f>
        <v/>
      </c>
      <c r="U7" s="32">
        <f>'P&amp;L'!U8</f>
        <v/>
      </c>
      <c r="V7" s="32">
        <f>'P&amp;L'!V8</f>
        <v/>
      </c>
      <c r="W7" s="32">
        <f>'P&amp;L'!W8</f>
        <v/>
      </c>
      <c r="X7" s="32">
        <f>'P&amp;L'!X8</f>
        <v/>
      </c>
      <c r="Y7" s="32">
        <f>'P&amp;L'!Y8</f>
        <v/>
      </c>
      <c r="Z7" s="32">
        <f>'P&amp;L'!Z8</f>
        <v/>
      </c>
      <c r="AA7" s="32">
        <f>'P&amp;L'!AA8</f>
        <v/>
      </c>
      <c r="AB7" s="32">
        <f>'P&amp;L'!AB8</f>
        <v/>
      </c>
      <c r="AC7" s="32">
        <f>'P&amp;L'!AC8</f>
        <v/>
      </c>
      <c r="AD7" s="32">
        <f>'P&amp;L'!AD8</f>
        <v/>
      </c>
      <c r="AE7" s="32">
        <f>'P&amp;L'!AE8</f>
        <v/>
      </c>
      <c r="AF7" s="32">
        <f>'P&amp;L'!AF8</f>
        <v/>
      </c>
      <c r="AG7" s="32">
        <f>'P&amp;L'!AG8</f>
        <v/>
      </c>
      <c r="AH7" s="32">
        <f>'P&amp;L'!AH8</f>
        <v/>
      </c>
      <c r="AI7" s="32">
        <f>'P&amp;L'!AI8</f>
        <v/>
      </c>
      <c r="AJ7" s="32">
        <f>'P&amp;L'!AJ8</f>
        <v/>
      </c>
      <c r="AK7" s="32">
        <f>'P&amp;L'!AK8</f>
        <v/>
      </c>
      <c r="AL7" s="32">
        <f>'P&amp;L'!AL8</f>
        <v/>
      </c>
      <c r="AM7" s="32">
        <f>'P&amp;L'!AM8</f>
        <v/>
      </c>
      <c r="AN7" s="32">
        <f>'P&amp;L'!AN8</f>
        <v/>
      </c>
      <c r="AO7" s="32">
        <f>'P&amp;L'!AO8</f>
        <v/>
      </c>
      <c r="AP7" s="32">
        <f>'P&amp;L'!AP8</f>
        <v/>
      </c>
      <c r="AQ7" s="32">
        <f>'P&amp;L'!AQ8</f>
        <v/>
      </c>
      <c r="AR7" s="32">
        <f>'P&amp;L'!AR8</f>
        <v/>
      </c>
      <c r="AS7" s="32">
        <f>'P&amp;L'!AS8</f>
        <v/>
      </c>
      <c r="AT7" s="32">
        <f>'P&amp;L'!AT8</f>
        <v/>
      </c>
      <c r="AU7" s="32">
        <f>'P&amp;L'!AU8</f>
        <v/>
      </c>
      <c r="AV7" s="32">
        <f>'P&amp;L'!AV8</f>
        <v/>
      </c>
      <c r="AW7" s="32">
        <f>'P&amp;L'!AW8</f>
        <v/>
      </c>
      <c r="AX7" s="32">
        <f>'P&amp;L'!AX8</f>
        <v/>
      </c>
      <c r="AY7" s="32">
        <f>'P&amp;L'!AY8</f>
        <v/>
      </c>
      <c r="AZ7" s="32">
        <f>'P&amp;L'!AZ8</f>
        <v/>
      </c>
      <c r="BA7" s="32">
        <f>'P&amp;L'!BA8</f>
        <v/>
      </c>
    </row>
    <row r="8" ht="14.25" customHeight="1" s="214">
      <c r="A8" s="3" t="inlineStr">
        <is>
          <t>Prepaid Expenses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n">
        <v>0</v>
      </c>
      <c r="AH8" s="35" t="n">
        <v>0</v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n">
        <v>0</v>
      </c>
      <c r="BA8" s="35" t="n">
        <v>0</v>
      </c>
    </row>
    <row r="9" ht="14.25" customHeight="1" s="214">
      <c r="A9" s="3" t="inlineStr">
        <is>
          <t>Property &amp; Equipment (net)</t>
        </is>
      </c>
      <c r="B9" s="35">
        <f>Costs!B91+Inputs!$B$91</f>
        <v/>
      </c>
      <c r="C9" s="35">
        <f>B9+Costs!C91-'P&amp;L'!C32</f>
        <v/>
      </c>
      <c r="D9" s="35">
        <f>C9+Costs!D91-'P&amp;L'!D32</f>
        <v/>
      </c>
      <c r="E9" s="35">
        <f>D9+Costs!E91-'P&amp;L'!E32</f>
        <v/>
      </c>
      <c r="F9" s="35">
        <f>E9+Costs!F91-'P&amp;L'!F32</f>
        <v/>
      </c>
      <c r="G9" s="35">
        <f>F9+Costs!G91-'P&amp;L'!G32</f>
        <v/>
      </c>
      <c r="H9" s="35">
        <f>G9+Costs!H91-'P&amp;L'!H32</f>
        <v/>
      </c>
      <c r="I9" s="35">
        <f>H9+Costs!I91-'P&amp;L'!I32</f>
        <v/>
      </c>
      <c r="J9" s="35">
        <f>I9+Costs!J91-'P&amp;L'!J32</f>
        <v/>
      </c>
      <c r="K9" s="35">
        <f>J9+Costs!K91-'P&amp;L'!K32</f>
        <v/>
      </c>
      <c r="L9" s="35">
        <f>K9+Costs!L91-'P&amp;L'!L32</f>
        <v/>
      </c>
      <c r="M9" s="35">
        <f>L9+Costs!M91-'P&amp;L'!M32</f>
        <v/>
      </c>
      <c r="N9" s="35">
        <f>M9+Costs!N91-'P&amp;L'!N32</f>
        <v/>
      </c>
      <c r="O9" s="35">
        <f>N9+Costs!O91-'P&amp;L'!O32</f>
        <v/>
      </c>
      <c r="P9" s="35">
        <f>O9+Costs!P91-'P&amp;L'!P32</f>
        <v/>
      </c>
      <c r="Q9" s="35">
        <f>P9+Costs!Q91-'P&amp;L'!Q32</f>
        <v/>
      </c>
      <c r="R9" s="35">
        <f>Q9+Costs!R91-'P&amp;L'!R32</f>
        <v/>
      </c>
      <c r="S9" s="35">
        <f>R9+Costs!S91-'P&amp;L'!S32</f>
        <v/>
      </c>
      <c r="T9" s="35">
        <f>S9+Costs!T91-'P&amp;L'!T32</f>
        <v/>
      </c>
      <c r="U9" s="35">
        <f>T9+Costs!U91-'P&amp;L'!U32</f>
        <v/>
      </c>
      <c r="V9" s="35">
        <f>U9+Costs!V91-'P&amp;L'!V32</f>
        <v/>
      </c>
      <c r="W9" s="35">
        <f>V9+Costs!W91-'P&amp;L'!W32</f>
        <v/>
      </c>
      <c r="X9" s="35">
        <f>W9+Costs!X91-'P&amp;L'!X32</f>
        <v/>
      </c>
      <c r="Y9" s="35">
        <f>X9+Costs!Y91-'P&amp;L'!Y32</f>
        <v/>
      </c>
      <c r="Z9" s="35">
        <f>Y9+Costs!Z91-'P&amp;L'!Z32</f>
        <v/>
      </c>
      <c r="AA9" s="35">
        <f>Z9+Costs!AA91-'P&amp;L'!AA32</f>
        <v/>
      </c>
      <c r="AB9" s="35">
        <f>AA9+Costs!AB91-'P&amp;L'!AB32</f>
        <v/>
      </c>
      <c r="AC9" s="35">
        <f>AB9+Costs!AC91-'P&amp;L'!AC32</f>
        <v/>
      </c>
      <c r="AD9" s="35">
        <f>AC9+Costs!AD91-'P&amp;L'!AD32</f>
        <v/>
      </c>
      <c r="AE9" s="35">
        <f>AD9+Costs!AE91-'P&amp;L'!AE32</f>
        <v/>
      </c>
      <c r="AF9" s="35">
        <f>AE9+Costs!AF91-'P&amp;L'!AF32</f>
        <v/>
      </c>
      <c r="AG9" s="35">
        <f>AF9+Costs!AG91-'P&amp;L'!AG32</f>
        <v/>
      </c>
      <c r="AH9" s="35">
        <f>AG9+Costs!AH91-'P&amp;L'!AH32</f>
        <v/>
      </c>
      <c r="AI9" s="35">
        <f>AH9+Costs!AI91-'P&amp;L'!AI32</f>
        <v/>
      </c>
      <c r="AJ9" s="35">
        <f>AI9+Costs!AJ91-'P&amp;L'!AJ32</f>
        <v/>
      </c>
      <c r="AK9" s="35">
        <f>AJ9+Costs!AK91-'P&amp;L'!AK32</f>
        <v/>
      </c>
      <c r="AL9" s="35">
        <f>AK9+Costs!AL91-'P&amp;L'!AL32</f>
        <v/>
      </c>
      <c r="AM9" s="35">
        <f>AL9+Costs!AM91-'P&amp;L'!AM32</f>
        <v/>
      </c>
      <c r="AN9" s="35">
        <f>AM9+Costs!AN91-'P&amp;L'!AN32</f>
        <v/>
      </c>
      <c r="AO9" s="35">
        <f>AN9+Costs!AO91-'P&amp;L'!AO32</f>
        <v/>
      </c>
      <c r="AP9" s="35">
        <f>AO9+Costs!AP91-'P&amp;L'!AP32</f>
        <v/>
      </c>
      <c r="AQ9" s="35">
        <f>AP9+Costs!AQ91-'P&amp;L'!AQ32</f>
        <v/>
      </c>
      <c r="AR9" s="35">
        <f>AQ9+Costs!AR91-'P&amp;L'!AR32</f>
        <v/>
      </c>
      <c r="AS9" s="35">
        <f>AR9+Costs!AS91-'P&amp;L'!AS32</f>
        <v/>
      </c>
      <c r="AT9" s="35">
        <f>AS9+Costs!AT91-'P&amp;L'!AT32</f>
        <v/>
      </c>
      <c r="AU9" s="35">
        <f>AT9+Costs!AU91-'P&amp;L'!AU32</f>
        <v/>
      </c>
      <c r="AV9" s="35">
        <f>AU9+Costs!AV91-'P&amp;L'!AV32</f>
        <v/>
      </c>
      <c r="AW9" s="35">
        <f>AV9+Costs!AW91-'P&amp;L'!AW32</f>
        <v/>
      </c>
      <c r="AX9" s="35">
        <f>AW9+Costs!AX91-'P&amp;L'!AX32</f>
        <v/>
      </c>
      <c r="AY9" s="35">
        <f>AX9+Costs!AY91-'P&amp;L'!AY32</f>
        <v/>
      </c>
      <c r="AZ9" s="35">
        <f>AY9+Costs!AZ91-'P&amp;L'!AZ32</f>
        <v/>
      </c>
      <c r="BA9" s="35">
        <f>AZ9+Costs!BA91-'P&amp;L'!BA32</f>
        <v/>
      </c>
    </row>
    <row r="10" ht="14.25" customHeight="1" s="214">
      <c r="A10" s="2" t="inlineStr">
        <is>
          <t>TOTAL ASSETS</t>
        </is>
      </c>
      <c r="B10" s="33">
        <f>SUM(B6:B9)</f>
        <v/>
      </c>
      <c r="C10" s="33">
        <f>SUM(C6:C9)</f>
        <v/>
      </c>
      <c r="D10" s="33">
        <f>SUM(D6:D9)</f>
        <v/>
      </c>
      <c r="E10" s="33">
        <f>SUM(E6:E9)</f>
        <v/>
      </c>
      <c r="F10" s="33">
        <f>SUM(F6:F9)</f>
        <v/>
      </c>
      <c r="G10" s="33">
        <f>SUM(G6:G9)</f>
        <v/>
      </c>
      <c r="H10" s="33">
        <f>SUM(H6:H9)</f>
        <v/>
      </c>
      <c r="I10" s="33">
        <f>SUM(I6:I9)</f>
        <v/>
      </c>
      <c r="J10" s="33">
        <f>SUM(J6:J9)</f>
        <v/>
      </c>
      <c r="K10" s="33">
        <f>SUM(K6:K9)</f>
        <v/>
      </c>
      <c r="L10" s="33">
        <f>SUM(L6:L9)</f>
        <v/>
      </c>
      <c r="M10" s="33">
        <f>SUM(M6:M9)</f>
        <v/>
      </c>
      <c r="N10" s="33">
        <f>SUM(N6:N9)</f>
        <v/>
      </c>
      <c r="O10" s="33">
        <f>SUM(O6:O9)</f>
        <v/>
      </c>
      <c r="P10" s="33">
        <f>SUM(P6:P9)</f>
        <v/>
      </c>
      <c r="Q10" s="33">
        <f>SUM(Q6:Q9)</f>
        <v/>
      </c>
      <c r="R10" s="33">
        <f>SUM(R6:R9)</f>
        <v/>
      </c>
      <c r="S10" s="33">
        <f>SUM(S6:S9)</f>
        <v/>
      </c>
      <c r="T10" s="33">
        <f>SUM(T6:T9)</f>
        <v/>
      </c>
      <c r="U10" s="33">
        <f>SUM(U6:U9)</f>
        <v/>
      </c>
      <c r="V10" s="33">
        <f>SUM(V6:V9)</f>
        <v/>
      </c>
      <c r="W10" s="33">
        <f>SUM(W6:W9)</f>
        <v/>
      </c>
      <c r="X10" s="33">
        <f>SUM(X6:X9)</f>
        <v/>
      </c>
      <c r="Y10" s="33">
        <f>SUM(Y6:Y9)</f>
        <v/>
      </c>
      <c r="Z10" s="33">
        <f>SUM(Z6:Z9)</f>
        <v/>
      </c>
      <c r="AA10" s="33">
        <f>SUM(AA6:AA9)</f>
        <v/>
      </c>
      <c r="AB10" s="33">
        <f>SUM(AB6:AB9)</f>
        <v/>
      </c>
      <c r="AC10" s="33">
        <f>SUM(AC6:AC9)</f>
        <v/>
      </c>
      <c r="AD10" s="33">
        <f>SUM(AD6:AD9)</f>
        <v/>
      </c>
      <c r="AE10" s="33">
        <f>SUM(AE6:AE9)</f>
        <v/>
      </c>
      <c r="AF10" s="33">
        <f>SUM(AF6:AF9)</f>
        <v/>
      </c>
      <c r="AG10" s="33">
        <f>SUM(AG6:AG9)</f>
        <v/>
      </c>
      <c r="AH10" s="33">
        <f>SUM(AH6:AH9)</f>
        <v/>
      </c>
      <c r="AI10" s="33">
        <f>SUM(AI6:AI9)</f>
        <v/>
      </c>
      <c r="AJ10" s="33">
        <f>SUM(AJ6:AJ9)</f>
        <v/>
      </c>
      <c r="AK10" s="33">
        <f>SUM(AK6:AK9)</f>
        <v/>
      </c>
      <c r="AL10" s="33">
        <f>SUM(AL6:AL9)</f>
        <v/>
      </c>
      <c r="AM10" s="33">
        <f>SUM(AM6:AM9)</f>
        <v/>
      </c>
      <c r="AN10" s="33">
        <f>SUM(AN6:AN9)</f>
        <v/>
      </c>
      <c r="AO10" s="33">
        <f>SUM(AO6:AO9)</f>
        <v/>
      </c>
      <c r="AP10" s="33">
        <f>SUM(AP6:AP9)</f>
        <v/>
      </c>
      <c r="AQ10" s="33">
        <f>SUM(AQ6:AQ9)</f>
        <v/>
      </c>
      <c r="AR10" s="33">
        <f>SUM(AR6:AR9)</f>
        <v/>
      </c>
      <c r="AS10" s="33">
        <f>SUM(AS6:AS9)</f>
        <v/>
      </c>
      <c r="AT10" s="33">
        <f>SUM(AT6:AT9)</f>
        <v/>
      </c>
      <c r="AU10" s="33">
        <f>SUM(AU6:AU9)</f>
        <v/>
      </c>
      <c r="AV10" s="33">
        <f>SUM(AV6:AV9)</f>
        <v/>
      </c>
      <c r="AW10" s="33">
        <f>SUM(AW6:AW9)</f>
        <v/>
      </c>
      <c r="AX10" s="33">
        <f>SUM(AX6:AX9)</f>
        <v/>
      </c>
      <c r="AY10" s="33">
        <f>SUM(AY6:AY9)</f>
        <v/>
      </c>
      <c r="AZ10" s="33">
        <f>SUM(AZ6:AZ9)</f>
        <v/>
      </c>
      <c r="BA10" s="33">
        <f>SUM(BA6:BA9)</f>
        <v/>
      </c>
    </row>
    <row r="11" ht="14.25" customHeight="1" s="214"/>
    <row r="12" ht="14.25" customHeight="1" s="214">
      <c r="A12" s="2" t="inlineStr">
        <is>
          <t>PASSIVA (LIABILITIES)</t>
        </is>
      </c>
    </row>
    <row r="13" ht="14.25" customHeight="1" s="214">
      <c r="A13" s="3" t="inlineStr">
        <is>
          <t>Accounts Payable</t>
        </is>
      </c>
      <c r="B13" s="35">
        <f>Costs!B100*0.1</f>
        <v/>
      </c>
      <c r="C13" s="35">
        <f>Costs!C100*0.1</f>
        <v/>
      </c>
      <c r="D13" s="35">
        <f>Costs!D100*0.1</f>
        <v/>
      </c>
      <c r="E13" s="35">
        <f>Costs!E100*0.1</f>
        <v/>
      </c>
      <c r="F13" s="35">
        <f>Costs!F100*0.1</f>
        <v/>
      </c>
      <c r="G13" s="35">
        <f>Costs!G100*0.1</f>
        <v/>
      </c>
      <c r="H13" s="35">
        <f>Costs!H100*0.1</f>
        <v/>
      </c>
      <c r="I13" s="35">
        <f>Costs!I100*0.1</f>
        <v/>
      </c>
      <c r="J13" s="35">
        <f>Costs!J100*0.1</f>
        <v/>
      </c>
      <c r="K13" s="35">
        <f>Costs!K100*0.1</f>
        <v/>
      </c>
      <c r="L13" s="35">
        <f>Costs!L100*0.1</f>
        <v/>
      </c>
      <c r="M13" s="35">
        <f>Costs!M100*0.1</f>
        <v/>
      </c>
      <c r="N13" s="35">
        <f>Costs!N100*0.1</f>
        <v/>
      </c>
      <c r="O13" s="35">
        <f>Costs!O100*0.1</f>
        <v/>
      </c>
      <c r="P13" s="35">
        <f>Costs!P100*0.1</f>
        <v/>
      </c>
      <c r="Q13" s="35">
        <f>Costs!Q100*0.1</f>
        <v/>
      </c>
      <c r="R13" s="35">
        <f>Costs!R100*0.1</f>
        <v/>
      </c>
      <c r="S13" s="35">
        <f>Costs!S100*0.1</f>
        <v/>
      </c>
      <c r="T13" s="35">
        <f>Costs!T100*0.1</f>
        <v/>
      </c>
      <c r="U13" s="35">
        <f>Costs!U100*0.1</f>
        <v/>
      </c>
      <c r="V13" s="35">
        <f>Costs!V100*0.1</f>
        <v/>
      </c>
      <c r="W13" s="35">
        <f>Costs!W100*0.1</f>
        <v/>
      </c>
      <c r="X13" s="35">
        <f>Costs!X100*0.1</f>
        <v/>
      </c>
      <c r="Y13" s="35">
        <f>Costs!Y100*0.1</f>
        <v/>
      </c>
      <c r="Z13" s="35">
        <f>Costs!Z100*0.1</f>
        <v/>
      </c>
      <c r="AA13" s="35">
        <f>Costs!AA100*0.1</f>
        <v/>
      </c>
      <c r="AB13" s="35">
        <f>Costs!AB100*0.1</f>
        <v/>
      </c>
      <c r="AC13" s="35">
        <f>Costs!AC100*0.1</f>
        <v/>
      </c>
      <c r="AD13" s="35">
        <f>Costs!AD100*0.1</f>
        <v/>
      </c>
      <c r="AE13" s="35">
        <f>Costs!AE100*0.1</f>
        <v/>
      </c>
      <c r="AF13" s="35">
        <f>Costs!AF100*0.1</f>
        <v/>
      </c>
      <c r="AG13" s="35">
        <f>Costs!AG100*0.1</f>
        <v/>
      </c>
      <c r="AH13" s="35">
        <f>Costs!AH100*0.1</f>
        <v/>
      </c>
      <c r="AI13" s="35">
        <f>Costs!AI100*0.1</f>
        <v/>
      </c>
      <c r="AJ13" s="35">
        <f>Costs!AJ100*0.1</f>
        <v/>
      </c>
      <c r="AK13" s="35">
        <f>Costs!AK100*0.1</f>
        <v/>
      </c>
      <c r="AL13" s="35">
        <f>Costs!AL100*0.1</f>
        <v/>
      </c>
      <c r="AM13" s="35">
        <f>Costs!AM100*0.1</f>
        <v/>
      </c>
      <c r="AN13" s="35">
        <f>Costs!AN100*0.1</f>
        <v/>
      </c>
      <c r="AO13" s="35">
        <f>Costs!AO100*0.1</f>
        <v/>
      </c>
      <c r="AP13" s="35">
        <f>Costs!AP100*0.1</f>
        <v/>
      </c>
      <c r="AQ13" s="35">
        <f>Costs!AQ100*0.1</f>
        <v/>
      </c>
      <c r="AR13" s="35">
        <f>Costs!AR100*0.1</f>
        <v/>
      </c>
      <c r="AS13" s="35">
        <f>Costs!AS100*0.1</f>
        <v/>
      </c>
      <c r="AT13" s="35">
        <f>Costs!AT100*0.1</f>
        <v/>
      </c>
      <c r="AU13" s="35">
        <f>Costs!AU100*0.1</f>
        <v/>
      </c>
      <c r="AV13" s="35">
        <f>Costs!AV100*0.1</f>
        <v/>
      </c>
      <c r="AW13" s="35">
        <f>Costs!AW100*0.1</f>
        <v/>
      </c>
      <c r="AX13" s="35">
        <f>Costs!AX100*0.1</f>
        <v/>
      </c>
      <c r="AY13" s="35">
        <f>Costs!AY100*0.1</f>
        <v/>
      </c>
      <c r="AZ13" s="35">
        <f>Costs!AZ100*0.1</f>
        <v/>
      </c>
      <c r="BA13" s="35">
        <f>Costs!BA100*0.1</f>
        <v/>
      </c>
    </row>
    <row r="14" ht="14.25" customHeight="1" s="214">
      <c r="A14" s="3" t="inlineStr">
        <is>
          <t>Accrued Expenses</t>
        </is>
      </c>
      <c r="B14" s="35">
        <f>Costs!B46*0.08</f>
        <v/>
      </c>
      <c r="C14" s="35">
        <f>Costs!C46*0.08</f>
        <v/>
      </c>
      <c r="D14" s="35">
        <f>Costs!D46*0.08</f>
        <v/>
      </c>
      <c r="E14" s="35">
        <f>Costs!E46*0.08</f>
        <v/>
      </c>
      <c r="F14" s="35">
        <f>Costs!F46*0.08</f>
        <v/>
      </c>
      <c r="G14" s="35">
        <f>Costs!G46*0.08</f>
        <v/>
      </c>
      <c r="H14" s="35">
        <f>Costs!H46*0.08</f>
        <v/>
      </c>
      <c r="I14" s="35">
        <f>Costs!I46*0.08</f>
        <v/>
      </c>
      <c r="J14" s="35">
        <f>Costs!J46*0.08</f>
        <v/>
      </c>
      <c r="K14" s="35">
        <f>Costs!K46*0.08</f>
        <v/>
      </c>
      <c r="L14" s="35">
        <f>Costs!L46*0.08</f>
        <v/>
      </c>
      <c r="M14" s="35">
        <f>Costs!M46*0.08</f>
        <v/>
      </c>
      <c r="N14" s="35">
        <f>Costs!N46*0.08</f>
        <v/>
      </c>
      <c r="O14" s="35">
        <f>Costs!O46*0.08</f>
        <v/>
      </c>
      <c r="P14" s="35">
        <f>Costs!P46*0.08</f>
        <v/>
      </c>
      <c r="Q14" s="35">
        <f>Costs!Q46*0.08</f>
        <v/>
      </c>
      <c r="R14" s="35">
        <f>Costs!R46*0.08</f>
        <v/>
      </c>
      <c r="S14" s="35">
        <f>Costs!S46*0.08</f>
        <v/>
      </c>
      <c r="T14" s="35">
        <f>Costs!T46*0.08</f>
        <v/>
      </c>
      <c r="U14" s="35">
        <f>Costs!U46*0.08</f>
        <v/>
      </c>
      <c r="V14" s="35">
        <f>Costs!V46*0.08</f>
        <v/>
      </c>
      <c r="W14" s="35">
        <f>Costs!W46*0.08</f>
        <v/>
      </c>
      <c r="X14" s="35">
        <f>Costs!X46*0.08</f>
        <v/>
      </c>
      <c r="Y14" s="35">
        <f>Costs!Y46*0.08</f>
        <v/>
      </c>
      <c r="Z14" s="35">
        <f>Costs!Z46*0.08</f>
        <v/>
      </c>
      <c r="AA14" s="35">
        <f>Costs!AA46*0.08</f>
        <v/>
      </c>
      <c r="AB14" s="35">
        <f>Costs!AB46*0.08</f>
        <v/>
      </c>
      <c r="AC14" s="35">
        <f>Costs!AC46*0.08</f>
        <v/>
      </c>
      <c r="AD14" s="35">
        <f>Costs!AD46*0.08</f>
        <v/>
      </c>
      <c r="AE14" s="35">
        <f>Costs!AE46*0.08</f>
        <v/>
      </c>
      <c r="AF14" s="35">
        <f>Costs!AF46*0.08</f>
        <v/>
      </c>
      <c r="AG14" s="35">
        <f>Costs!AG46*0.08</f>
        <v/>
      </c>
      <c r="AH14" s="35">
        <f>Costs!AH46*0.08</f>
        <v/>
      </c>
      <c r="AI14" s="35">
        <f>Costs!AI46*0.08</f>
        <v/>
      </c>
      <c r="AJ14" s="35">
        <f>Costs!AJ46*0.08</f>
        <v/>
      </c>
      <c r="AK14" s="35">
        <f>Costs!AK46*0.08</f>
        <v/>
      </c>
      <c r="AL14" s="35">
        <f>Costs!AL46*0.08</f>
        <v/>
      </c>
      <c r="AM14" s="35">
        <f>Costs!AM46*0.08</f>
        <v/>
      </c>
      <c r="AN14" s="35">
        <f>Costs!AN46*0.08</f>
        <v/>
      </c>
      <c r="AO14" s="35">
        <f>Costs!AO46*0.08</f>
        <v/>
      </c>
      <c r="AP14" s="35">
        <f>Costs!AP46*0.08</f>
        <v/>
      </c>
      <c r="AQ14" s="35">
        <f>Costs!AQ46*0.08</f>
        <v/>
      </c>
      <c r="AR14" s="35">
        <f>Costs!AR46*0.08</f>
        <v/>
      </c>
      <c r="AS14" s="35">
        <f>Costs!AS46*0.08</f>
        <v/>
      </c>
      <c r="AT14" s="35">
        <f>Costs!AT46*0.08</f>
        <v/>
      </c>
      <c r="AU14" s="35">
        <f>Costs!AU46*0.08</f>
        <v/>
      </c>
      <c r="AV14" s="35">
        <f>Costs!AV46*0.08</f>
        <v/>
      </c>
      <c r="AW14" s="35">
        <f>Costs!AW46*0.08</f>
        <v/>
      </c>
      <c r="AX14" s="35">
        <f>Costs!AX46*0.08</f>
        <v/>
      </c>
      <c r="AY14" s="35">
        <f>Costs!AY46*0.08</f>
        <v/>
      </c>
      <c r="AZ14" s="35">
        <f>Costs!AZ46*0.08</f>
        <v/>
      </c>
      <c r="BA14" s="35">
        <f>Costs!BA46*0.08</f>
        <v/>
      </c>
    </row>
    <row r="15" ht="14.25" customHeight="1" s="214">
      <c r="A15" s="3" t="inlineStr">
        <is>
          <t>Deferred Revenue</t>
        </is>
      </c>
      <c r="B15" s="35">
        <f>'P&amp;L'!B5</f>
        <v/>
      </c>
      <c r="C15" s="35">
        <f>'P&amp;L'!C5</f>
        <v/>
      </c>
      <c r="D15" s="35">
        <f>'P&amp;L'!D5</f>
        <v/>
      </c>
      <c r="E15" s="35">
        <f>'P&amp;L'!E5</f>
        <v/>
      </c>
      <c r="F15" s="35">
        <f>'P&amp;L'!F5</f>
        <v/>
      </c>
      <c r="G15" s="35">
        <f>'P&amp;L'!G5</f>
        <v/>
      </c>
      <c r="H15" s="35">
        <f>'P&amp;L'!H5</f>
        <v/>
      </c>
      <c r="I15" s="35">
        <f>'P&amp;L'!I5</f>
        <v/>
      </c>
      <c r="J15" s="35">
        <f>'P&amp;L'!J5</f>
        <v/>
      </c>
      <c r="K15" s="35">
        <f>'P&amp;L'!K5</f>
        <v/>
      </c>
      <c r="L15" s="35">
        <f>'P&amp;L'!L5</f>
        <v/>
      </c>
      <c r="M15" s="35">
        <f>'P&amp;L'!M5</f>
        <v/>
      </c>
      <c r="N15" s="35">
        <f>'P&amp;L'!N5</f>
        <v/>
      </c>
      <c r="O15" s="35">
        <f>'P&amp;L'!O5</f>
        <v/>
      </c>
      <c r="P15" s="35">
        <f>'P&amp;L'!P5</f>
        <v/>
      </c>
      <c r="Q15" s="35">
        <f>'P&amp;L'!Q5</f>
        <v/>
      </c>
      <c r="R15" s="35">
        <f>'P&amp;L'!R5</f>
        <v/>
      </c>
      <c r="S15" s="35">
        <f>'P&amp;L'!S5</f>
        <v/>
      </c>
      <c r="T15" s="35">
        <f>'P&amp;L'!T5</f>
        <v/>
      </c>
      <c r="U15" s="35">
        <f>'P&amp;L'!U5</f>
        <v/>
      </c>
      <c r="V15" s="35">
        <f>'P&amp;L'!V5</f>
        <v/>
      </c>
      <c r="W15" s="35">
        <f>'P&amp;L'!W5</f>
        <v/>
      </c>
      <c r="X15" s="35">
        <f>'P&amp;L'!X5</f>
        <v/>
      </c>
      <c r="Y15" s="35">
        <f>'P&amp;L'!Y5</f>
        <v/>
      </c>
      <c r="Z15" s="35">
        <f>'P&amp;L'!Z5</f>
        <v/>
      </c>
      <c r="AA15" s="35">
        <f>'P&amp;L'!AA5</f>
        <v/>
      </c>
      <c r="AB15" s="35">
        <f>'P&amp;L'!AB5</f>
        <v/>
      </c>
      <c r="AC15" s="35">
        <f>'P&amp;L'!AC5</f>
        <v/>
      </c>
      <c r="AD15" s="35">
        <f>'P&amp;L'!AD5</f>
        <v/>
      </c>
      <c r="AE15" s="35">
        <f>'P&amp;L'!AE5</f>
        <v/>
      </c>
      <c r="AF15" s="35">
        <f>'P&amp;L'!AF5</f>
        <v/>
      </c>
      <c r="AG15" s="35">
        <f>'P&amp;L'!AG5</f>
        <v/>
      </c>
      <c r="AH15" s="35">
        <f>'P&amp;L'!AH5</f>
        <v/>
      </c>
      <c r="AI15" s="35">
        <f>'P&amp;L'!AI5</f>
        <v/>
      </c>
      <c r="AJ15" s="35">
        <f>'P&amp;L'!AJ5</f>
        <v/>
      </c>
      <c r="AK15" s="35">
        <f>'P&amp;L'!AK5</f>
        <v/>
      </c>
      <c r="AL15" s="35">
        <f>'P&amp;L'!AL5</f>
        <v/>
      </c>
      <c r="AM15" s="35">
        <f>'P&amp;L'!AM5</f>
        <v/>
      </c>
      <c r="AN15" s="35">
        <f>'P&amp;L'!AN5</f>
        <v/>
      </c>
      <c r="AO15" s="35">
        <f>'P&amp;L'!AO5</f>
        <v/>
      </c>
      <c r="AP15" s="35">
        <f>'P&amp;L'!AP5</f>
        <v/>
      </c>
      <c r="AQ15" s="35">
        <f>'P&amp;L'!AQ5</f>
        <v/>
      </c>
      <c r="AR15" s="35">
        <f>'P&amp;L'!AR5</f>
        <v/>
      </c>
      <c r="AS15" s="35">
        <f>'P&amp;L'!AS5</f>
        <v/>
      </c>
      <c r="AT15" s="35">
        <f>'P&amp;L'!AT5</f>
        <v/>
      </c>
      <c r="AU15" s="35">
        <f>'P&amp;L'!AU5</f>
        <v/>
      </c>
      <c r="AV15" s="35">
        <f>'P&amp;L'!AV5</f>
        <v/>
      </c>
      <c r="AW15" s="35">
        <f>'P&amp;L'!AW5</f>
        <v/>
      </c>
      <c r="AX15" s="35">
        <f>'P&amp;L'!AX5</f>
        <v/>
      </c>
      <c r="AY15" s="35">
        <f>'P&amp;L'!AY5</f>
        <v/>
      </c>
      <c r="AZ15" s="35">
        <f>'P&amp;L'!AZ5</f>
        <v/>
      </c>
      <c r="BA15" s="35">
        <f>'P&amp;L'!BA5</f>
        <v/>
      </c>
    </row>
    <row r="16" ht="14.25" customHeight="1" s="214">
      <c r="A16" s="2" t="inlineStr">
        <is>
          <t>TOTAL LIABILITIES</t>
        </is>
      </c>
      <c r="B16" s="33">
        <f>SUM(B13:B15)</f>
        <v/>
      </c>
      <c r="C16" s="33">
        <f>SUM(C13:C15)</f>
        <v/>
      </c>
      <c r="D16" s="33">
        <f>SUM(D13:D15)</f>
        <v/>
      </c>
      <c r="E16" s="33">
        <f>SUM(E13:E15)</f>
        <v/>
      </c>
      <c r="F16" s="33">
        <f>SUM(F13:F15)</f>
        <v/>
      </c>
      <c r="G16" s="33">
        <f>SUM(G13:G15)</f>
        <v/>
      </c>
      <c r="H16" s="33">
        <f>SUM(H13:H15)</f>
        <v/>
      </c>
      <c r="I16" s="33">
        <f>SUM(I13:I15)</f>
        <v/>
      </c>
      <c r="J16" s="33">
        <f>SUM(J13:J15)</f>
        <v/>
      </c>
      <c r="K16" s="33">
        <f>SUM(K13:K15)</f>
        <v/>
      </c>
      <c r="L16" s="33">
        <f>SUM(L13:L15)</f>
        <v/>
      </c>
      <c r="M16" s="33">
        <f>SUM(M13:M15)</f>
        <v/>
      </c>
      <c r="N16" s="33">
        <f>SUM(N13:N15)</f>
        <v/>
      </c>
      <c r="O16" s="33">
        <f>SUM(O13:O15)</f>
        <v/>
      </c>
      <c r="P16" s="33">
        <f>SUM(P13:P15)</f>
        <v/>
      </c>
      <c r="Q16" s="33">
        <f>SUM(Q13:Q15)</f>
        <v/>
      </c>
      <c r="R16" s="33">
        <f>SUM(R13:R15)</f>
        <v/>
      </c>
      <c r="S16" s="33">
        <f>SUM(S13:S15)</f>
        <v/>
      </c>
      <c r="T16" s="33">
        <f>SUM(T13:T15)</f>
        <v/>
      </c>
      <c r="U16" s="33">
        <f>SUM(U13:U15)</f>
        <v/>
      </c>
      <c r="V16" s="33">
        <f>SUM(V13:V15)</f>
        <v/>
      </c>
      <c r="W16" s="33">
        <f>SUM(W13:W15)</f>
        <v/>
      </c>
      <c r="X16" s="33">
        <f>SUM(X13:X15)</f>
        <v/>
      </c>
      <c r="Y16" s="33">
        <f>SUM(Y13:Y15)</f>
        <v/>
      </c>
      <c r="Z16" s="33">
        <f>SUM(Z13:Z15)</f>
        <v/>
      </c>
      <c r="AA16" s="33">
        <f>SUM(AA13:AA15)</f>
        <v/>
      </c>
      <c r="AB16" s="33">
        <f>SUM(AB13:AB15)</f>
        <v/>
      </c>
      <c r="AC16" s="33">
        <f>SUM(AC13:AC15)</f>
        <v/>
      </c>
      <c r="AD16" s="33">
        <f>SUM(AD13:AD15)</f>
        <v/>
      </c>
      <c r="AE16" s="33">
        <f>SUM(AE13:AE15)</f>
        <v/>
      </c>
      <c r="AF16" s="33">
        <f>SUM(AF13:AF15)</f>
        <v/>
      </c>
      <c r="AG16" s="33">
        <f>SUM(AG13:AG15)</f>
        <v/>
      </c>
      <c r="AH16" s="33">
        <f>SUM(AH13:AH15)</f>
        <v/>
      </c>
      <c r="AI16" s="33">
        <f>SUM(AI13:AI15)</f>
        <v/>
      </c>
      <c r="AJ16" s="33">
        <f>SUM(AJ13:AJ15)</f>
        <v/>
      </c>
      <c r="AK16" s="33">
        <f>SUM(AK13:AK15)</f>
        <v/>
      </c>
      <c r="AL16" s="33">
        <f>SUM(AL13:AL15)</f>
        <v/>
      </c>
      <c r="AM16" s="33">
        <f>SUM(AM13:AM15)</f>
        <v/>
      </c>
      <c r="AN16" s="33">
        <f>SUM(AN13:AN15)</f>
        <v/>
      </c>
      <c r="AO16" s="33">
        <f>SUM(AO13:AO15)</f>
        <v/>
      </c>
      <c r="AP16" s="33">
        <f>SUM(AP13:AP15)</f>
        <v/>
      </c>
      <c r="AQ16" s="33">
        <f>SUM(AQ13:AQ15)</f>
        <v/>
      </c>
      <c r="AR16" s="33">
        <f>SUM(AR13:AR15)</f>
        <v/>
      </c>
      <c r="AS16" s="33">
        <f>SUM(AS13:AS15)</f>
        <v/>
      </c>
      <c r="AT16" s="33">
        <f>SUM(AT13:AT15)</f>
        <v/>
      </c>
      <c r="AU16" s="33">
        <f>SUM(AU13:AU15)</f>
        <v/>
      </c>
      <c r="AV16" s="33">
        <f>SUM(AV13:AV15)</f>
        <v/>
      </c>
      <c r="AW16" s="33">
        <f>SUM(AW13:AW15)</f>
        <v/>
      </c>
      <c r="AX16" s="33">
        <f>SUM(AX13:AX15)</f>
        <v/>
      </c>
      <c r="AY16" s="33">
        <f>SUM(AY13:AY15)</f>
        <v/>
      </c>
      <c r="AZ16" s="33">
        <f>SUM(AZ13:AZ15)</f>
        <v/>
      </c>
      <c r="BA16" s="33">
        <f>SUM(BA13:BA15)</f>
        <v/>
      </c>
    </row>
    <row r="17" ht="14.25" customHeight="1" s="214"/>
    <row r="18" ht="14.25" customHeight="1" s="214">
      <c r="A18" s="2" t="inlineStr">
        <is>
          <t>EIGENKAPITAL (EQUITY)</t>
        </is>
      </c>
    </row>
    <row r="19" ht="14.25" customHeight="1" s="214">
      <c r="A19" s="3" t="inlineStr">
        <is>
          <t>Share Capital</t>
        </is>
      </c>
      <c r="B19" s="35" t="n">
        <v>25000</v>
      </c>
      <c r="C19" s="35" t="n">
        <v>25000</v>
      </c>
      <c r="D19" s="35" t="n">
        <v>25000</v>
      </c>
      <c r="E19" s="35" t="n">
        <v>25000</v>
      </c>
      <c r="F19" s="35" t="n">
        <v>25000</v>
      </c>
      <c r="G19" s="35" t="n">
        <v>25000</v>
      </c>
      <c r="H19" s="35" t="n">
        <v>25000</v>
      </c>
      <c r="I19" s="35" t="n">
        <v>25000</v>
      </c>
      <c r="J19" s="35" t="n">
        <v>25000</v>
      </c>
      <c r="K19" s="35" t="n">
        <v>25000</v>
      </c>
      <c r="L19" s="35" t="n">
        <v>25000</v>
      </c>
      <c r="M19" s="35" t="n">
        <v>25000</v>
      </c>
      <c r="N19" s="35" t="n">
        <v>25000</v>
      </c>
      <c r="O19" s="35" t="n">
        <v>25000</v>
      </c>
      <c r="P19" s="35" t="n">
        <v>25000</v>
      </c>
      <c r="Q19" s="35" t="n">
        <v>25000</v>
      </c>
      <c r="R19" s="35" t="n">
        <v>25000</v>
      </c>
      <c r="S19" s="35" t="n">
        <v>25000</v>
      </c>
      <c r="T19" s="35" t="n">
        <v>25000</v>
      </c>
      <c r="U19" s="35" t="n">
        <v>25000</v>
      </c>
      <c r="V19" s="35" t="n">
        <v>25000</v>
      </c>
      <c r="W19" s="35" t="n">
        <v>25000</v>
      </c>
      <c r="X19" s="35" t="n">
        <v>25000</v>
      </c>
      <c r="Y19" s="35" t="n">
        <v>25000</v>
      </c>
      <c r="Z19" s="35" t="n">
        <v>25000</v>
      </c>
      <c r="AA19" s="35" t="n">
        <v>25000</v>
      </c>
      <c r="AB19" s="35" t="n">
        <v>25000</v>
      </c>
      <c r="AC19" s="35" t="n">
        <v>25000</v>
      </c>
      <c r="AD19" s="35" t="n">
        <v>25000</v>
      </c>
      <c r="AE19" s="35" t="n">
        <v>25000</v>
      </c>
      <c r="AF19" s="35" t="n">
        <v>25000</v>
      </c>
      <c r="AG19" s="35" t="n">
        <v>25000</v>
      </c>
      <c r="AH19" s="35" t="n">
        <v>25000</v>
      </c>
      <c r="AI19" s="35" t="n">
        <v>25000</v>
      </c>
      <c r="AJ19" s="35" t="n">
        <v>25000</v>
      </c>
      <c r="AK19" s="35" t="n">
        <v>25000</v>
      </c>
      <c r="AL19" s="35" t="n">
        <v>25000</v>
      </c>
      <c r="AM19" s="35" t="n">
        <v>25000</v>
      </c>
      <c r="AN19" s="35" t="n">
        <v>25000</v>
      </c>
      <c r="AO19" s="35" t="n">
        <v>25000</v>
      </c>
      <c r="AP19" s="35" t="n">
        <v>25000</v>
      </c>
      <c r="AQ19" s="35" t="n">
        <v>25000</v>
      </c>
      <c r="AR19" s="35" t="n">
        <v>25000</v>
      </c>
      <c r="AS19" s="35" t="n">
        <v>25000</v>
      </c>
      <c r="AT19" s="35" t="n">
        <v>25000</v>
      </c>
      <c r="AU19" s="35" t="n">
        <v>25000</v>
      </c>
      <c r="AV19" s="35" t="n">
        <v>25000</v>
      </c>
      <c r="AW19" s="35" t="n">
        <v>25000</v>
      </c>
      <c r="AX19" s="35" t="n">
        <v>25000</v>
      </c>
      <c r="AY19" s="35" t="n">
        <v>25000</v>
      </c>
      <c r="AZ19" s="35" t="n">
        <v>25000</v>
      </c>
      <c r="BA19" s="35" t="n">
        <v>25000</v>
      </c>
    </row>
    <row r="20" ht="14.25" customHeight="1" s="214">
      <c r="A20" s="3" t="inlineStr">
        <is>
          <t>Additional Paid-in Capital</t>
        </is>
      </c>
      <c r="B20" s="35">
        <f>IF(1=Inputs!$B$11,Inputs!$B$10,0)+IF(1=Inputs!$B$13,Inputs!$B$12,0)+IF(1=Inputs!$B$15,Inputs!$B$14,0)+IF(1=Inputs!$B$17,Inputs!$B$16,0)</f>
        <v/>
      </c>
      <c r="C20" s="35">
        <f>B20+IF(2=Inputs!$B$11,Inputs!$B$10,0)+IF(2=Inputs!$B$13,Inputs!$B$12,0)+IF(2=Inputs!$B$15,Inputs!$B$14,0)+IF(2=Inputs!$B$17,Inputs!$B$16,0)</f>
        <v/>
      </c>
      <c r="D20" s="35">
        <f>C20+IF(3=Inputs!$B$11,Inputs!$B$10,0)+IF(3=Inputs!$B$13,Inputs!$B$12,0)+IF(3=Inputs!$B$15,Inputs!$B$14,0)+IF(3=Inputs!$B$17,Inputs!$B$16,0)</f>
        <v/>
      </c>
      <c r="E20" s="35">
        <f>D20+IF(4=Inputs!$B$11,Inputs!$B$10,0)+IF(4=Inputs!$B$13,Inputs!$B$12,0)+IF(4=Inputs!$B$15,Inputs!$B$14,0)+IF(4=Inputs!$B$17,Inputs!$B$16,0)</f>
        <v/>
      </c>
      <c r="F20" s="35">
        <f>E20+IF(5=Inputs!$B$11,Inputs!$B$10,0)+IF(5=Inputs!$B$13,Inputs!$B$12,0)+IF(5=Inputs!$B$15,Inputs!$B$14,0)+IF(5=Inputs!$B$17,Inputs!$B$16,0)</f>
        <v/>
      </c>
      <c r="G20" s="35">
        <f>F20+IF(6=Inputs!$B$11,Inputs!$B$10,0)+IF(6=Inputs!$B$13,Inputs!$B$12,0)+IF(6=Inputs!$B$15,Inputs!$B$14,0)+IF(6=Inputs!$B$17,Inputs!$B$16,0)</f>
        <v/>
      </c>
      <c r="H20" s="35">
        <f>G20+IF(7=Inputs!$B$11,Inputs!$B$10,0)+IF(7=Inputs!$B$13,Inputs!$B$12,0)+IF(7=Inputs!$B$15,Inputs!$B$14,0)+IF(7=Inputs!$B$17,Inputs!$B$16,0)</f>
        <v/>
      </c>
      <c r="I20" s="35">
        <f>H20+IF(8=Inputs!$B$11,Inputs!$B$10,0)+IF(8=Inputs!$B$13,Inputs!$B$12,0)+IF(8=Inputs!$B$15,Inputs!$B$14,0)+IF(8=Inputs!$B$17,Inputs!$B$16,0)</f>
        <v/>
      </c>
      <c r="J20" s="35">
        <f>I20+IF(9=Inputs!$B$11,Inputs!$B$10,0)+IF(9=Inputs!$B$13,Inputs!$B$12,0)+IF(9=Inputs!$B$15,Inputs!$B$14,0)+IF(9=Inputs!$B$17,Inputs!$B$16,0)</f>
        <v/>
      </c>
      <c r="K20" s="35">
        <f>J20+IF(10=Inputs!$B$11,Inputs!$B$10,0)+IF(10=Inputs!$B$13,Inputs!$B$12,0)+IF(10=Inputs!$B$15,Inputs!$B$14,0)+IF(10=Inputs!$B$17,Inputs!$B$16,0)</f>
        <v/>
      </c>
      <c r="L20" s="35">
        <f>K20+IF(11=Inputs!$B$11,Inputs!$B$10,0)+IF(11=Inputs!$B$13,Inputs!$B$12,0)+IF(11=Inputs!$B$15,Inputs!$B$14,0)+IF(11=Inputs!$B$17,Inputs!$B$16,0)</f>
        <v/>
      </c>
      <c r="M20" s="35">
        <f>L20+IF(12=Inputs!$B$11,Inputs!$B$10,0)+IF(12=Inputs!$B$13,Inputs!$B$12,0)+IF(12=Inputs!$B$15,Inputs!$B$14,0)+IF(12=Inputs!$B$17,Inputs!$B$16,0)</f>
        <v/>
      </c>
      <c r="N20" s="35">
        <f>M20+IF(13=Inputs!$B$11,Inputs!$B$10,0)+IF(13=Inputs!$B$13,Inputs!$B$12,0)+IF(13=Inputs!$B$15,Inputs!$B$14,0)+IF(13=Inputs!$B$17,Inputs!$B$16,0)</f>
        <v/>
      </c>
      <c r="O20" s="35">
        <f>N20+IF(14=Inputs!$B$11,Inputs!$B$10,0)+IF(14=Inputs!$B$13,Inputs!$B$12,0)+IF(14=Inputs!$B$15,Inputs!$B$14,0)+IF(14=Inputs!$B$17,Inputs!$B$16,0)</f>
        <v/>
      </c>
      <c r="P20" s="35">
        <f>O20+IF(15=Inputs!$B$11,Inputs!$B$10,0)+IF(15=Inputs!$B$13,Inputs!$B$12,0)+IF(15=Inputs!$B$15,Inputs!$B$14,0)+IF(15=Inputs!$B$17,Inputs!$B$16,0)</f>
        <v/>
      </c>
      <c r="Q20" s="35">
        <f>P20+IF(16=Inputs!$B$11,Inputs!$B$10,0)+IF(16=Inputs!$B$13,Inputs!$B$12,0)+IF(16=Inputs!$B$15,Inputs!$B$14,0)+IF(16=Inputs!$B$17,Inputs!$B$16,0)</f>
        <v/>
      </c>
      <c r="R20" s="35">
        <f>Q20+IF(17=Inputs!$B$11,Inputs!$B$10,0)+IF(17=Inputs!$B$13,Inputs!$B$12,0)+IF(17=Inputs!$B$15,Inputs!$B$14,0)+IF(17=Inputs!$B$17,Inputs!$B$16,0)</f>
        <v/>
      </c>
      <c r="S20" s="35">
        <f>R20+IF(18=Inputs!$B$11,Inputs!$B$10,0)+IF(18=Inputs!$B$13,Inputs!$B$12,0)+IF(18=Inputs!$B$15,Inputs!$B$14,0)+IF(18=Inputs!$B$17,Inputs!$B$16,0)</f>
        <v/>
      </c>
      <c r="T20" s="35">
        <f>S20+IF(19=Inputs!$B$11,Inputs!$B$10,0)+IF(19=Inputs!$B$13,Inputs!$B$12,0)+IF(19=Inputs!$B$15,Inputs!$B$14,0)+IF(19=Inputs!$B$17,Inputs!$B$16,0)</f>
        <v/>
      </c>
      <c r="U20" s="35">
        <f>T20+IF(20=Inputs!$B$11,Inputs!$B$10,0)+IF(20=Inputs!$B$13,Inputs!$B$12,0)+IF(20=Inputs!$B$15,Inputs!$B$14,0)+IF(20=Inputs!$B$17,Inputs!$B$16,0)</f>
        <v/>
      </c>
      <c r="V20" s="35">
        <f>U20+IF(21=Inputs!$B$11,Inputs!$B$10,0)+IF(21=Inputs!$B$13,Inputs!$B$12,0)+IF(21=Inputs!$B$15,Inputs!$B$14,0)+IF(21=Inputs!$B$17,Inputs!$B$16,0)</f>
        <v/>
      </c>
      <c r="W20" s="35">
        <f>V20+IF(22=Inputs!$B$11,Inputs!$B$10,0)+IF(22=Inputs!$B$13,Inputs!$B$12,0)+IF(22=Inputs!$B$15,Inputs!$B$14,0)+IF(22=Inputs!$B$17,Inputs!$B$16,0)</f>
        <v/>
      </c>
      <c r="X20" s="35">
        <f>W20+IF(23=Inputs!$B$11,Inputs!$B$10,0)+IF(23=Inputs!$B$13,Inputs!$B$12,0)+IF(23=Inputs!$B$15,Inputs!$B$14,0)+IF(23=Inputs!$B$17,Inputs!$B$16,0)</f>
        <v/>
      </c>
      <c r="Y20" s="35">
        <f>X20+IF(24=Inputs!$B$11,Inputs!$B$10,0)+IF(24=Inputs!$B$13,Inputs!$B$12,0)+IF(24=Inputs!$B$15,Inputs!$B$14,0)+IF(24=Inputs!$B$17,Inputs!$B$16,0)</f>
        <v/>
      </c>
      <c r="Z20" s="35">
        <f>Y20+IF(25=Inputs!$B$11,Inputs!$B$10,0)+IF(25=Inputs!$B$13,Inputs!$B$12,0)+IF(25=Inputs!$B$15,Inputs!$B$14,0)+IF(25=Inputs!$B$17,Inputs!$B$16,0)</f>
        <v/>
      </c>
      <c r="AA20" s="35">
        <f>Z20+IF(26=Inputs!$B$11,Inputs!$B$10,0)+IF(26=Inputs!$B$13,Inputs!$B$12,0)+IF(26=Inputs!$B$15,Inputs!$B$14,0)+IF(26=Inputs!$B$17,Inputs!$B$16,0)</f>
        <v/>
      </c>
      <c r="AB20" s="35">
        <f>AA20+IF(27=Inputs!$B$11,Inputs!$B$10,0)+IF(27=Inputs!$B$13,Inputs!$B$12,0)+IF(27=Inputs!$B$15,Inputs!$B$14,0)+IF(27=Inputs!$B$17,Inputs!$B$16,0)</f>
        <v/>
      </c>
      <c r="AC20" s="35">
        <f>AB20+IF(28=Inputs!$B$11,Inputs!$B$10,0)+IF(28=Inputs!$B$13,Inputs!$B$12,0)+IF(28=Inputs!$B$15,Inputs!$B$14,0)+IF(28=Inputs!$B$17,Inputs!$B$16,0)</f>
        <v/>
      </c>
      <c r="AD20" s="35">
        <f>AC20+IF(29=Inputs!$B$11,Inputs!$B$10,0)+IF(29=Inputs!$B$13,Inputs!$B$12,0)+IF(29=Inputs!$B$15,Inputs!$B$14,0)+IF(29=Inputs!$B$17,Inputs!$B$16,0)</f>
        <v/>
      </c>
      <c r="AE20" s="35">
        <f>AD20+IF(30=Inputs!$B$11,Inputs!$B$10,0)+IF(30=Inputs!$B$13,Inputs!$B$12,0)+IF(30=Inputs!$B$15,Inputs!$B$14,0)+IF(30=Inputs!$B$17,Inputs!$B$16,0)</f>
        <v/>
      </c>
      <c r="AF20" s="35">
        <f>AE20+IF(31=Inputs!$B$11,Inputs!$B$10,0)+IF(31=Inputs!$B$13,Inputs!$B$12,0)+IF(31=Inputs!$B$15,Inputs!$B$14,0)+IF(31=Inputs!$B$17,Inputs!$B$16,0)</f>
        <v/>
      </c>
      <c r="AG20" s="35">
        <f>AF20+IF(32=Inputs!$B$11,Inputs!$B$10,0)+IF(32=Inputs!$B$13,Inputs!$B$12,0)+IF(32=Inputs!$B$15,Inputs!$B$14,0)+IF(32=Inputs!$B$17,Inputs!$B$16,0)</f>
        <v/>
      </c>
      <c r="AH20" s="35">
        <f>AG20+IF(33=Inputs!$B$11,Inputs!$B$10,0)+IF(33=Inputs!$B$13,Inputs!$B$12,0)+IF(33=Inputs!$B$15,Inputs!$B$14,0)+IF(33=Inputs!$B$17,Inputs!$B$16,0)</f>
        <v/>
      </c>
      <c r="AI20" s="35">
        <f>AH20+IF(34=Inputs!$B$11,Inputs!$B$10,0)+IF(34=Inputs!$B$13,Inputs!$B$12,0)+IF(34=Inputs!$B$15,Inputs!$B$14,0)+IF(34=Inputs!$B$17,Inputs!$B$16,0)</f>
        <v/>
      </c>
      <c r="AJ20" s="35">
        <f>AI20+IF(35=Inputs!$B$11,Inputs!$B$10,0)+IF(35=Inputs!$B$13,Inputs!$B$12,0)+IF(35=Inputs!$B$15,Inputs!$B$14,0)+IF(35=Inputs!$B$17,Inputs!$B$16,0)</f>
        <v/>
      </c>
      <c r="AK20" s="35">
        <f>AJ20+IF(36=Inputs!$B$11,Inputs!$B$10,0)+IF(36=Inputs!$B$13,Inputs!$B$12,0)+IF(36=Inputs!$B$15,Inputs!$B$14,0)+IF(36=Inputs!$B$17,Inputs!$B$16,0)</f>
        <v/>
      </c>
      <c r="AL20" s="35">
        <f>AK20+IF(37=Inputs!$B$11,Inputs!$B$10,0)+IF(37=Inputs!$B$13,Inputs!$B$12,0)+IF(37=Inputs!$B$15,Inputs!$B$14,0)+IF(37=Inputs!$B$17,Inputs!$B$16,0)</f>
        <v/>
      </c>
      <c r="AM20" s="35">
        <f>AL20+IF(38=Inputs!$B$11,Inputs!$B$10,0)+IF(38=Inputs!$B$13,Inputs!$B$12,0)+IF(38=Inputs!$B$15,Inputs!$B$14,0)+IF(38=Inputs!$B$17,Inputs!$B$16,0)</f>
        <v/>
      </c>
      <c r="AN20" s="35">
        <f>AM20+IF(39=Inputs!$B$11,Inputs!$B$10,0)+IF(39=Inputs!$B$13,Inputs!$B$12,0)+IF(39=Inputs!$B$15,Inputs!$B$14,0)+IF(39=Inputs!$B$17,Inputs!$B$16,0)</f>
        <v/>
      </c>
      <c r="AO20" s="35">
        <f>AN20+IF(40=Inputs!$B$11,Inputs!$B$10,0)+IF(40=Inputs!$B$13,Inputs!$B$12,0)+IF(40=Inputs!$B$15,Inputs!$B$14,0)+IF(40=Inputs!$B$17,Inputs!$B$16,0)</f>
        <v/>
      </c>
      <c r="AP20" s="35">
        <f>AO20+IF(41=Inputs!$B$11,Inputs!$B$10,0)+IF(41=Inputs!$B$13,Inputs!$B$12,0)+IF(41=Inputs!$B$15,Inputs!$B$14,0)+IF(41=Inputs!$B$17,Inputs!$B$16,0)</f>
        <v/>
      </c>
      <c r="AQ20" s="35">
        <f>AP20+IF(42=Inputs!$B$11,Inputs!$B$10,0)+IF(42=Inputs!$B$13,Inputs!$B$12,0)+IF(42=Inputs!$B$15,Inputs!$B$14,0)+IF(42=Inputs!$B$17,Inputs!$B$16,0)</f>
        <v/>
      </c>
      <c r="AR20" s="35">
        <f>AQ20+IF(43=Inputs!$B$11,Inputs!$B$10,0)+IF(43=Inputs!$B$13,Inputs!$B$12,0)+IF(43=Inputs!$B$15,Inputs!$B$14,0)+IF(43=Inputs!$B$17,Inputs!$B$16,0)</f>
        <v/>
      </c>
      <c r="AS20" s="35">
        <f>AR20+IF(44=Inputs!$B$11,Inputs!$B$10,0)+IF(44=Inputs!$B$13,Inputs!$B$12,0)+IF(44=Inputs!$B$15,Inputs!$B$14,0)+IF(44=Inputs!$B$17,Inputs!$B$16,0)</f>
        <v/>
      </c>
      <c r="AT20" s="35">
        <f>AS20+IF(45=Inputs!$B$11,Inputs!$B$10,0)+IF(45=Inputs!$B$13,Inputs!$B$12,0)+IF(45=Inputs!$B$15,Inputs!$B$14,0)+IF(45=Inputs!$B$17,Inputs!$B$16,0)</f>
        <v/>
      </c>
      <c r="AU20" s="35">
        <f>AT20+IF(46=Inputs!$B$11,Inputs!$B$10,0)+IF(46=Inputs!$B$13,Inputs!$B$12,0)+IF(46=Inputs!$B$15,Inputs!$B$14,0)+IF(46=Inputs!$B$17,Inputs!$B$16,0)</f>
        <v/>
      </c>
      <c r="AV20" s="35">
        <f>AU20+IF(47=Inputs!$B$11,Inputs!$B$10,0)+IF(47=Inputs!$B$13,Inputs!$B$12,0)+IF(47=Inputs!$B$15,Inputs!$B$14,0)+IF(47=Inputs!$B$17,Inputs!$B$16,0)</f>
        <v/>
      </c>
      <c r="AW20" s="35">
        <f>AV20+IF(48=Inputs!$B$11,Inputs!$B$10,0)+IF(48=Inputs!$B$13,Inputs!$B$12,0)+IF(48=Inputs!$B$15,Inputs!$B$14,0)+IF(48=Inputs!$B$17,Inputs!$B$16,0)</f>
        <v/>
      </c>
      <c r="AX20" s="35">
        <f>AW20+IF(49=Inputs!$B$11,Inputs!$B$10,0)+IF(49=Inputs!$B$13,Inputs!$B$12,0)+IF(49=Inputs!$B$15,Inputs!$B$14,0)+IF(49=Inputs!$B$17,Inputs!$B$16,0)</f>
        <v/>
      </c>
      <c r="AY20" s="35">
        <f>AX20+IF(50=Inputs!$B$11,Inputs!$B$10,0)+IF(50=Inputs!$B$13,Inputs!$B$12,0)+IF(50=Inputs!$B$15,Inputs!$B$14,0)+IF(50=Inputs!$B$17,Inputs!$B$16,0)</f>
        <v/>
      </c>
      <c r="AZ20" s="35">
        <f>AY20+IF(51=Inputs!$B$11,Inputs!$B$10,0)+IF(51=Inputs!$B$13,Inputs!$B$12,0)+IF(51=Inputs!$B$15,Inputs!$B$14,0)+IF(51=Inputs!$B$17,Inputs!$B$16,0)</f>
        <v/>
      </c>
      <c r="BA20" s="35">
        <f>AZ20+IF(52=Inputs!$B$11,Inputs!$B$10,0)+IF(52=Inputs!$B$13,Inputs!$B$12,0)+IF(52=Inputs!$B$15,Inputs!$B$14,0)+IF(52=Inputs!$B$17,Inputs!$B$16,0)</f>
        <v/>
      </c>
    </row>
    <row r="21" ht="14.25" customHeight="1" s="214">
      <c r="A21" s="3" t="inlineStr">
        <is>
          <t>Retained Earnings</t>
        </is>
      </c>
      <c r="B21" s="35">
        <f>'P&amp;L'!B39</f>
        <v/>
      </c>
      <c r="C21" s="35">
        <f>B21+'P&amp;L'!C39</f>
        <v/>
      </c>
      <c r="D21" s="35">
        <f>C21+'P&amp;L'!D39</f>
        <v/>
      </c>
      <c r="E21" s="35">
        <f>D21+'P&amp;L'!E39</f>
        <v/>
      </c>
      <c r="F21" s="35">
        <f>E21+'P&amp;L'!F39</f>
        <v/>
      </c>
      <c r="G21" s="35">
        <f>F21+'P&amp;L'!G39</f>
        <v/>
      </c>
      <c r="H21" s="35">
        <f>G21+'P&amp;L'!H39</f>
        <v/>
      </c>
      <c r="I21" s="35">
        <f>H21+'P&amp;L'!I39</f>
        <v/>
      </c>
      <c r="J21" s="35">
        <f>I21+'P&amp;L'!J39</f>
        <v/>
      </c>
      <c r="K21" s="35">
        <f>J21+'P&amp;L'!K39</f>
        <v/>
      </c>
      <c r="L21" s="35">
        <f>K21+'P&amp;L'!L39</f>
        <v/>
      </c>
      <c r="M21" s="35">
        <f>L21+'P&amp;L'!M39</f>
        <v/>
      </c>
      <c r="N21" s="35">
        <f>M21+'P&amp;L'!N39</f>
        <v/>
      </c>
      <c r="O21" s="35">
        <f>N21+'P&amp;L'!O39</f>
        <v/>
      </c>
      <c r="P21" s="35">
        <f>O21+'P&amp;L'!P39</f>
        <v/>
      </c>
      <c r="Q21" s="35">
        <f>P21+'P&amp;L'!Q39</f>
        <v/>
      </c>
      <c r="R21" s="35">
        <f>Q21+'P&amp;L'!R39</f>
        <v/>
      </c>
      <c r="S21" s="35">
        <f>R21+'P&amp;L'!S39</f>
        <v/>
      </c>
      <c r="T21" s="35">
        <f>S21+'P&amp;L'!T39</f>
        <v/>
      </c>
      <c r="U21" s="35">
        <f>T21+'P&amp;L'!U39</f>
        <v/>
      </c>
      <c r="V21" s="35">
        <f>U21+'P&amp;L'!V39</f>
        <v/>
      </c>
      <c r="W21" s="35">
        <f>V21+'P&amp;L'!W39</f>
        <v/>
      </c>
      <c r="X21" s="35">
        <f>W21+'P&amp;L'!X39</f>
        <v/>
      </c>
      <c r="Y21" s="35">
        <f>X21+'P&amp;L'!Y39</f>
        <v/>
      </c>
      <c r="Z21" s="35">
        <f>Y21+'P&amp;L'!Z39</f>
        <v/>
      </c>
      <c r="AA21" s="35">
        <f>Z21+'P&amp;L'!AA39</f>
        <v/>
      </c>
      <c r="AB21" s="35">
        <f>AA21+'P&amp;L'!AB39</f>
        <v/>
      </c>
      <c r="AC21" s="35">
        <f>AB21+'P&amp;L'!AC39</f>
        <v/>
      </c>
      <c r="AD21" s="35">
        <f>AC21+'P&amp;L'!AD39</f>
        <v/>
      </c>
      <c r="AE21" s="35">
        <f>AD21+'P&amp;L'!AE39</f>
        <v/>
      </c>
      <c r="AF21" s="35">
        <f>AE21+'P&amp;L'!AF39</f>
        <v/>
      </c>
      <c r="AG21" s="35">
        <f>AF21+'P&amp;L'!AG39</f>
        <v/>
      </c>
      <c r="AH21" s="35">
        <f>AG21+'P&amp;L'!AH39</f>
        <v/>
      </c>
      <c r="AI21" s="35">
        <f>AH21+'P&amp;L'!AI39</f>
        <v/>
      </c>
      <c r="AJ21" s="35">
        <f>AI21+'P&amp;L'!AJ39</f>
        <v/>
      </c>
      <c r="AK21" s="35">
        <f>AJ21+'P&amp;L'!AK39</f>
        <v/>
      </c>
      <c r="AL21" s="35">
        <f>AK21+'P&amp;L'!AL39</f>
        <v/>
      </c>
      <c r="AM21" s="35">
        <f>AL21+'P&amp;L'!AM39</f>
        <v/>
      </c>
      <c r="AN21" s="35">
        <f>AM21+'P&amp;L'!AN39</f>
        <v/>
      </c>
      <c r="AO21" s="35">
        <f>AN21+'P&amp;L'!AO39</f>
        <v/>
      </c>
      <c r="AP21" s="35">
        <f>AO21+'P&amp;L'!AP39</f>
        <v/>
      </c>
      <c r="AQ21" s="35">
        <f>AP21+'P&amp;L'!AQ39</f>
        <v/>
      </c>
      <c r="AR21" s="35">
        <f>AQ21+'P&amp;L'!AR39</f>
        <v/>
      </c>
      <c r="AS21" s="35">
        <f>AR21+'P&amp;L'!AS39</f>
        <v/>
      </c>
      <c r="AT21" s="35">
        <f>AS21+'P&amp;L'!AT39</f>
        <v/>
      </c>
      <c r="AU21" s="35">
        <f>AT21+'P&amp;L'!AU39</f>
        <v/>
      </c>
      <c r="AV21" s="35">
        <f>AU21+'P&amp;L'!AV39</f>
        <v/>
      </c>
      <c r="AW21" s="35">
        <f>AV21+'P&amp;L'!AW39</f>
        <v/>
      </c>
      <c r="AX21" s="35">
        <f>AW21+'P&amp;L'!AX39</f>
        <v/>
      </c>
      <c r="AY21" s="35">
        <f>AX21+'P&amp;L'!AY39</f>
        <v/>
      </c>
      <c r="AZ21" s="35">
        <f>AY21+'P&amp;L'!AZ39</f>
        <v/>
      </c>
      <c r="BA21" s="35">
        <f>AZ21+'P&amp;L'!BA39</f>
        <v/>
      </c>
    </row>
    <row r="22" ht="14.25" customHeight="1" s="214">
      <c r="A22" s="2" t="inlineStr">
        <is>
          <t>TOTAL EQUITY</t>
        </is>
      </c>
      <c r="B22" s="33">
        <f>B19+B20+B21</f>
        <v/>
      </c>
      <c r="C22" s="33">
        <f>C19+C20+C21</f>
        <v/>
      </c>
      <c r="D22" s="33">
        <f>D19+D20+D21</f>
        <v/>
      </c>
      <c r="E22" s="33">
        <f>E19+E20+E21</f>
        <v/>
      </c>
      <c r="F22" s="33">
        <f>F19+F20+F21</f>
        <v/>
      </c>
      <c r="G22" s="33">
        <f>G19+G20+G21</f>
        <v/>
      </c>
      <c r="H22" s="33">
        <f>H19+H20+H21</f>
        <v/>
      </c>
      <c r="I22" s="33">
        <f>I19+I20+I21</f>
        <v/>
      </c>
      <c r="J22" s="33">
        <f>J19+J20+J21</f>
        <v/>
      </c>
      <c r="K22" s="33">
        <f>K19+K20+K21</f>
        <v/>
      </c>
      <c r="L22" s="33">
        <f>L19+L20+L21</f>
        <v/>
      </c>
      <c r="M22" s="33">
        <f>M19+M20+M21</f>
        <v/>
      </c>
      <c r="N22" s="33">
        <f>N19+N20+N21</f>
        <v/>
      </c>
      <c r="O22" s="33">
        <f>O19+O20+O21</f>
        <v/>
      </c>
      <c r="P22" s="33">
        <f>P19+P20+P21</f>
        <v/>
      </c>
      <c r="Q22" s="33">
        <f>Q19+Q20+Q21</f>
        <v/>
      </c>
      <c r="R22" s="33">
        <f>R19+R20+R21</f>
        <v/>
      </c>
      <c r="S22" s="33">
        <f>S19+S20+S21</f>
        <v/>
      </c>
      <c r="T22" s="33">
        <f>T19+T20+T21</f>
        <v/>
      </c>
      <c r="U22" s="33">
        <f>U19+U20+U21</f>
        <v/>
      </c>
      <c r="V22" s="33">
        <f>V19+V20+V21</f>
        <v/>
      </c>
      <c r="W22" s="33">
        <f>W19+W20+W21</f>
        <v/>
      </c>
      <c r="X22" s="33">
        <f>X19+X20+X21</f>
        <v/>
      </c>
      <c r="Y22" s="33">
        <f>Y19+Y20+Y21</f>
        <v/>
      </c>
      <c r="Z22" s="33">
        <f>Z19+Z20+Z21</f>
        <v/>
      </c>
      <c r="AA22" s="33">
        <f>AA19+AA20+AA21</f>
        <v/>
      </c>
      <c r="AB22" s="33">
        <f>AB19+AB20+AB21</f>
        <v/>
      </c>
      <c r="AC22" s="33">
        <f>AC19+AC20+AC21</f>
        <v/>
      </c>
      <c r="AD22" s="33">
        <f>AD19+AD20+AD21</f>
        <v/>
      </c>
      <c r="AE22" s="33">
        <f>AE19+AE20+AE21</f>
        <v/>
      </c>
      <c r="AF22" s="33">
        <f>AF19+AF20+AF21</f>
        <v/>
      </c>
      <c r="AG22" s="33">
        <f>AG19+AG20+AG21</f>
        <v/>
      </c>
      <c r="AH22" s="33">
        <f>AH19+AH20+AH21</f>
        <v/>
      </c>
      <c r="AI22" s="33">
        <f>AI19+AI20+AI21</f>
        <v/>
      </c>
      <c r="AJ22" s="33">
        <f>AJ19+AJ20+AJ21</f>
        <v/>
      </c>
      <c r="AK22" s="33">
        <f>AK19+AK20+AK21</f>
        <v/>
      </c>
      <c r="AL22" s="33">
        <f>AL19+AL20+AL21</f>
        <v/>
      </c>
      <c r="AM22" s="33">
        <f>AM19+AM20+AM21</f>
        <v/>
      </c>
      <c r="AN22" s="33">
        <f>AN19+AN20+AN21</f>
        <v/>
      </c>
      <c r="AO22" s="33">
        <f>AO19+AO20+AO21</f>
        <v/>
      </c>
      <c r="AP22" s="33">
        <f>AP19+AP20+AP21</f>
        <v/>
      </c>
      <c r="AQ22" s="33">
        <f>AQ19+AQ20+AQ21</f>
        <v/>
      </c>
      <c r="AR22" s="33">
        <f>AR19+AR20+AR21</f>
        <v/>
      </c>
      <c r="AS22" s="33">
        <f>AS19+AS20+AS21</f>
        <v/>
      </c>
      <c r="AT22" s="33">
        <f>AT19+AT20+AT21</f>
        <v/>
      </c>
      <c r="AU22" s="33">
        <f>AU19+AU20+AU21</f>
        <v/>
      </c>
      <c r="AV22" s="33">
        <f>AV19+AV20+AV21</f>
        <v/>
      </c>
      <c r="AW22" s="33">
        <f>AW19+AW20+AW21</f>
        <v/>
      </c>
      <c r="AX22" s="33">
        <f>AX19+AX20+AX21</f>
        <v/>
      </c>
      <c r="AY22" s="33">
        <f>AY19+AY20+AY21</f>
        <v/>
      </c>
      <c r="AZ22" s="33">
        <f>AZ19+AZ20+AZ21</f>
        <v/>
      </c>
      <c r="BA22" s="33">
        <f>BA19+BA20+BA21</f>
        <v/>
      </c>
    </row>
    <row r="23" ht="14.25" customHeight="1" s="214"/>
    <row r="24" ht="14.25" customHeight="1" s="214">
      <c r="A24" s="2" t="inlineStr">
        <is>
          <t>TOTAL LIABILITIES + EQUITY</t>
        </is>
      </c>
      <c r="B24" s="33">
        <f>B16+B22</f>
        <v/>
      </c>
      <c r="C24" s="33">
        <f>C16+C22</f>
        <v/>
      </c>
      <c r="D24" s="33">
        <f>D16+D22</f>
        <v/>
      </c>
      <c r="E24" s="33">
        <f>E16+E22</f>
        <v/>
      </c>
      <c r="F24" s="33">
        <f>F16+F22</f>
        <v/>
      </c>
      <c r="G24" s="33">
        <f>G16+G22</f>
        <v/>
      </c>
      <c r="H24" s="33">
        <f>H16+H22</f>
        <v/>
      </c>
      <c r="I24" s="33">
        <f>I16+I22</f>
        <v/>
      </c>
      <c r="J24" s="33">
        <f>J16+J22</f>
        <v/>
      </c>
      <c r="K24" s="33">
        <f>K16+K22</f>
        <v/>
      </c>
      <c r="L24" s="33">
        <f>L16+L22</f>
        <v/>
      </c>
      <c r="M24" s="33">
        <f>M16+M22</f>
        <v/>
      </c>
      <c r="N24" s="33">
        <f>N16+N22</f>
        <v/>
      </c>
      <c r="O24" s="33">
        <f>O16+O22</f>
        <v/>
      </c>
      <c r="P24" s="33">
        <f>P16+P22</f>
        <v/>
      </c>
      <c r="Q24" s="33">
        <f>Q16+Q22</f>
        <v/>
      </c>
      <c r="R24" s="33">
        <f>R16+R22</f>
        <v/>
      </c>
      <c r="S24" s="33">
        <f>S16+S22</f>
        <v/>
      </c>
      <c r="T24" s="33">
        <f>T16+T22</f>
        <v/>
      </c>
      <c r="U24" s="33">
        <f>U16+U22</f>
        <v/>
      </c>
      <c r="V24" s="33">
        <f>V16+V22</f>
        <v/>
      </c>
      <c r="W24" s="33">
        <f>W16+W22</f>
        <v/>
      </c>
      <c r="X24" s="33">
        <f>X16+X22</f>
        <v/>
      </c>
      <c r="Y24" s="33">
        <f>Y16+Y22</f>
        <v/>
      </c>
      <c r="Z24" s="33">
        <f>Z16+Z22</f>
        <v/>
      </c>
      <c r="AA24" s="33">
        <f>AA16+AA22</f>
        <v/>
      </c>
      <c r="AB24" s="33">
        <f>AB16+AB22</f>
        <v/>
      </c>
      <c r="AC24" s="33">
        <f>AC16+AC22</f>
        <v/>
      </c>
      <c r="AD24" s="33">
        <f>AD16+AD22</f>
        <v/>
      </c>
      <c r="AE24" s="33">
        <f>AE16+AE22</f>
        <v/>
      </c>
      <c r="AF24" s="33">
        <f>AF16+AF22</f>
        <v/>
      </c>
      <c r="AG24" s="33">
        <f>AG16+AG22</f>
        <v/>
      </c>
      <c r="AH24" s="33">
        <f>AH16+AH22</f>
        <v/>
      </c>
      <c r="AI24" s="33">
        <f>AI16+AI22</f>
        <v/>
      </c>
      <c r="AJ24" s="33">
        <f>AJ16+AJ22</f>
        <v/>
      </c>
      <c r="AK24" s="33">
        <f>AK16+AK22</f>
        <v/>
      </c>
      <c r="AL24" s="33">
        <f>AL16+AL22</f>
        <v/>
      </c>
      <c r="AM24" s="33">
        <f>AM16+AM22</f>
        <v/>
      </c>
      <c r="AN24" s="33">
        <f>AN16+AN22</f>
        <v/>
      </c>
      <c r="AO24" s="33">
        <f>AO16+AO22</f>
        <v/>
      </c>
      <c r="AP24" s="33">
        <f>AP16+AP22</f>
        <v/>
      </c>
      <c r="AQ24" s="33">
        <f>AQ16+AQ22</f>
        <v/>
      </c>
      <c r="AR24" s="33">
        <f>AR16+AR22</f>
        <v/>
      </c>
      <c r="AS24" s="33">
        <f>AS16+AS22</f>
        <v/>
      </c>
      <c r="AT24" s="33">
        <f>AT16+AT22</f>
        <v/>
      </c>
      <c r="AU24" s="33">
        <f>AU16+AU22</f>
        <v/>
      </c>
      <c r="AV24" s="33">
        <f>AV16+AV22</f>
        <v/>
      </c>
      <c r="AW24" s="33">
        <f>AW16+AW22</f>
        <v/>
      </c>
      <c r="AX24" s="33">
        <f>AX16+AX22</f>
        <v/>
      </c>
      <c r="AY24" s="33">
        <f>AY16+AY22</f>
        <v/>
      </c>
      <c r="AZ24" s="33">
        <f>AZ16+AZ22</f>
        <v/>
      </c>
      <c r="BA24" s="33">
        <f>BA16+BA22</f>
        <v/>
      </c>
    </row>
    <row r="25" ht="14.25" customHeight="1" s="214">
      <c r="A25" s="3" t="inlineStr">
        <is>
          <t>Check (Assets - L&amp;E = 0)</t>
        </is>
      </c>
      <c r="B25" s="35">
        <f>B10-B24</f>
        <v/>
      </c>
      <c r="C25" s="35">
        <f>C10-C24</f>
        <v/>
      </c>
      <c r="D25" s="35">
        <f>D10-D24</f>
        <v/>
      </c>
      <c r="E25" s="35">
        <f>E10-E24</f>
        <v/>
      </c>
      <c r="F25" s="35">
        <f>F10-F24</f>
        <v/>
      </c>
      <c r="G25" s="35">
        <f>G10-G24</f>
        <v/>
      </c>
      <c r="H25" s="35">
        <f>H10-H24</f>
        <v/>
      </c>
      <c r="I25" s="35">
        <f>I10-I24</f>
        <v/>
      </c>
      <c r="J25" s="35">
        <f>J10-J24</f>
        <v/>
      </c>
      <c r="K25" s="35">
        <f>K10-K24</f>
        <v/>
      </c>
      <c r="L25" s="35">
        <f>L10-L24</f>
        <v/>
      </c>
      <c r="M25" s="35">
        <f>M10-M24</f>
        <v/>
      </c>
      <c r="N25" s="35">
        <f>N10-N24</f>
        <v/>
      </c>
      <c r="O25" s="35">
        <f>O10-O24</f>
        <v/>
      </c>
      <c r="P25" s="35">
        <f>P10-P24</f>
        <v/>
      </c>
      <c r="Q25" s="35">
        <f>Q10-Q24</f>
        <v/>
      </c>
      <c r="R25" s="35">
        <f>R10-R24</f>
        <v/>
      </c>
      <c r="S25" s="35">
        <f>S10-S24</f>
        <v/>
      </c>
      <c r="T25" s="35">
        <f>T10-T24</f>
        <v/>
      </c>
      <c r="U25" s="35">
        <f>U10-U24</f>
        <v/>
      </c>
      <c r="V25" s="35">
        <f>V10-V24</f>
        <v/>
      </c>
      <c r="W25" s="35">
        <f>W10-W24</f>
        <v/>
      </c>
      <c r="X25" s="35">
        <f>X10-X24</f>
        <v/>
      </c>
      <c r="Y25" s="35">
        <f>Y10-Y24</f>
        <v/>
      </c>
      <c r="Z25" s="35">
        <f>Z10-Z24</f>
        <v/>
      </c>
      <c r="AA25" s="35">
        <f>AA10-AA24</f>
        <v/>
      </c>
      <c r="AB25" s="35">
        <f>AB10-AB24</f>
        <v/>
      </c>
      <c r="AC25" s="35">
        <f>AC10-AC24</f>
        <v/>
      </c>
      <c r="AD25" s="35">
        <f>AD10-AD24</f>
        <v/>
      </c>
      <c r="AE25" s="35">
        <f>AE10-AE24</f>
        <v/>
      </c>
      <c r="AF25" s="35">
        <f>AF10-AF24</f>
        <v/>
      </c>
      <c r="AG25" s="35">
        <f>AG10-AG24</f>
        <v/>
      </c>
      <c r="AH25" s="35">
        <f>AH10-AH24</f>
        <v/>
      </c>
      <c r="AI25" s="35">
        <f>AI10-AI24</f>
        <v/>
      </c>
      <c r="AJ25" s="35">
        <f>AJ10-AJ24</f>
        <v/>
      </c>
      <c r="AK25" s="35">
        <f>AK10-AK24</f>
        <v/>
      </c>
      <c r="AL25" s="35">
        <f>AL10-AL24</f>
        <v/>
      </c>
      <c r="AM25" s="35">
        <f>AM10-AM24</f>
        <v/>
      </c>
      <c r="AN25" s="35">
        <f>AN10-AN24</f>
        <v/>
      </c>
      <c r="AO25" s="35">
        <f>AO10-AO24</f>
        <v/>
      </c>
      <c r="AP25" s="35">
        <f>AP10-AP24</f>
        <v/>
      </c>
      <c r="AQ25" s="35">
        <f>AQ10-AQ24</f>
        <v/>
      </c>
      <c r="AR25" s="35">
        <f>AR10-AR24</f>
        <v/>
      </c>
      <c r="AS25" s="35">
        <f>AS10-AS24</f>
        <v/>
      </c>
      <c r="AT25" s="35">
        <f>AT10-AT24</f>
        <v/>
      </c>
      <c r="AU25" s="35">
        <f>AU10-AU24</f>
        <v/>
      </c>
      <c r="AV25" s="35">
        <f>AV10-AV24</f>
        <v/>
      </c>
      <c r="AW25" s="35">
        <f>AW10-AW24</f>
        <v/>
      </c>
      <c r="AX25" s="35">
        <f>AX10-AX24</f>
        <v/>
      </c>
      <c r="AY25" s="35">
        <f>AY10-AY24</f>
        <v/>
      </c>
      <c r="AZ25" s="35">
        <f>AZ10-AZ24</f>
        <v/>
      </c>
      <c r="BA25" s="35">
        <f>BA10-BA24</f>
        <v/>
      </c>
    </row>
    <row r="26" ht="14.25" customHeight="1" s="214"/>
    <row r="27" ht="14.25" customHeight="1" s="214"/>
    <row r="28" ht="14.25" customHeight="1" s="214"/>
    <row r="29" ht="14.25" customHeight="1" s="214"/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BA29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KAPITALFLUSSRECHNUNG (CASH FLOW)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OPERATING ACTIVITIES</t>
        </is>
      </c>
    </row>
    <row r="6" ht="14.25" customHeight="1" s="214">
      <c r="A6" s="3" t="inlineStr">
        <is>
          <t>Net Income</t>
        </is>
      </c>
      <c r="B6" s="32">
        <f>'P&amp;L'!B39</f>
        <v/>
      </c>
      <c r="C6" s="32">
        <f>'P&amp;L'!C39</f>
        <v/>
      </c>
      <c r="D6" s="32">
        <f>'P&amp;L'!D39</f>
        <v/>
      </c>
      <c r="E6" s="32">
        <f>'P&amp;L'!E39</f>
        <v/>
      </c>
      <c r="F6" s="32">
        <f>'P&amp;L'!F39</f>
        <v/>
      </c>
      <c r="G6" s="32">
        <f>'P&amp;L'!G39</f>
        <v/>
      </c>
      <c r="H6" s="32">
        <f>'P&amp;L'!H39</f>
        <v/>
      </c>
      <c r="I6" s="32">
        <f>'P&amp;L'!I39</f>
        <v/>
      </c>
      <c r="J6" s="32">
        <f>'P&amp;L'!J39</f>
        <v/>
      </c>
      <c r="K6" s="32">
        <f>'P&amp;L'!K39</f>
        <v/>
      </c>
      <c r="L6" s="32">
        <f>'P&amp;L'!L39</f>
        <v/>
      </c>
      <c r="M6" s="32">
        <f>'P&amp;L'!M39</f>
        <v/>
      </c>
      <c r="N6" s="32">
        <f>'P&amp;L'!N39</f>
        <v/>
      </c>
      <c r="O6" s="32">
        <f>'P&amp;L'!O39</f>
        <v/>
      </c>
      <c r="P6" s="32">
        <f>'P&amp;L'!P39</f>
        <v/>
      </c>
      <c r="Q6" s="32">
        <f>'P&amp;L'!Q39</f>
        <v/>
      </c>
      <c r="R6" s="32">
        <f>'P&amp;L'!R39</f>
        <v/>
      </c>
      <c r="S6" s="32">
        <f>'P&amp;L'!S39</f>
        <v/>
      </c>
      <c r="T6" s="32">
        <f>'P&amp;L'!T39</f>
        <v/>
      </c>
      <c r="U6" s="32">
        <f>'P&amp;L'!U39</f>
        <v/>
      </c>
      <c r="V6" s="32">
        <f>'P&amp;L'!V39</f>
        <v/>
      </c>
      <c r="W6" s="32">
        <f>'P&amp;L'!W39</f>
        <v/>
      </c>
      <c r="X6" s="32">
        <f>'P&amp;L'!X39</f>
        <v/>
      </c>
      <c r="Y6" s="32">
        <f>'P&amp;L'!Y39</f>
        <v/>
      </c>
      <c r="Z6" s="32">
        <f>'P&amp;L'!Z39</f>
        <v/>
      </c>
      <c r="AA6" s="32">
        <f>'P&amp;L'!AA39</f>
        <v/>
      </c>
      <c r="AB6" s="32">
        <f>'P&amp;L'!AB39</f>
        <v/>
      </c>
      <c r="AC6" s="32">
        <f>'P&amp;L'!AC39</f>
        <v/>
      </c>
      <c r="AD6" s="32">
        <f>'P&amp;L'!AD39</f>
        <v/>
      </c>
      <c r="AE6" s="32">
        <f>'P&amp;L'!AE39</f>
        <v/>
      </c>
      <c r="AF6" s="32">
        <f>'P&amp;L'!AF39</f>
        <v/>
      </c>
      <c r="AG6" s="32">
        <f>'P&amp;L'!AG39</f>
        <v/>
      </c>
      <c r="AH6" s="32">
        <f>'P&amp;L'!AH39</f>
        <v/>
      </c>
      <c r="AI6" s="32">
        <f>'P&amp;L'!AI39</f>
        <v/>
      </c>
      <c r="AJ6" s="32">
        <f>'P&amp;L'!AJ39</f>
        <v/>
      </c>
      <c r="AK6" s="32">
        <f>'P&amp;L'!AK39</f>
        <v/>
      </c>
      <c r="AL6" s="32">
        <f>'P&amp;L'!AL39</f>
        <v/>
      </c>
      <c r="AM6" s="32">
        <f>'P&amp;L'!AM39</f>
        <v/>
      </c>
      <c r="AN6" s="32">
        <f>'P&amp;L'!AN39</f>
        <v/>
      </c>
      <c r="AO6" s="32">
        <f>'P&amp;L'!AO39</f>
        <v/>
      </c>
      <c r="AP6" s="32">
        <f>'P&amp;L'!AP39</f>
        <v/>
      </c>
      <c r="AQ6" s="32">
        <f>'P&amp;L'!AQ39</f>
        <v/>
      </c>
      <c r="AR6" s="32">
        <f>'P&amp;L'!AR39</f>
        <v/>
      </c>
      <c r="AS6" s="32">
        <f>'P&amp;L'!AS39</f>
        <v/>
      </c>
      <c r="AT6" s="32">
        <f>'P&amp;L'!AT39</f>
        <v/>
      </c>
      <c r="AU6" s="32">
        <f>'P&amp;L'!AU39</f>
        <v/>
      </c>
      <c r="AV6" s="32">
        <f>'P&amp;L'!AV39</f>
        <v/>
      </c>
      <c r="AW6" s="32">
        <f>'P&amp;L'!AW39</f>
        <v/>
      </c>
      <c r="AX6" s="32">
        <f>'P&amp;L'!AX39</f>
        <v/>
      </c>
      <c r="AY6" s="32">
        <f>'P&amp;L'!AY39</f>
        <v/>
      </c>
      <c r="AZ6" s="32">
        <f>'P&amp;L'!AZ39</f>
        <v/>
      </c>
      <c r="BA6" s="32">
        <f>'P&amp;L'!BA39</f>
        <v/>
      </c>
    </row>
    <row r="7" ht="14.25" customHeight="1" s="214">
      <c r="A7" s="3" t="inlineStr">
        <is>
          <t>+ Depreciation &amp; Amortization</t>
        </is>
      </c>
      <c r="B7" s="32">
        <f>'P&amp;L'!B32</f>
        <v/>
      </c>
      <c r="C7" s="32">
        <f>'P&amp;L'!C32</f>
        <v/>
      </c>
      <c r="D7" s="32">
        <f>'P&amp;L'!D32</f>
        <v/>
      </c>
      <c r="E7" s="32">
        <f>'P&amp;L'!E32</f>
        <v/>
      </c>
      <c r="F7" s="32">
        <f>'P&amp;L'!F32</f>
        <v/>
      </c>
      <c r="G7" s="32">
        <f>'P&amp;L'!G32</f>
        <v/>
      </c>
      <c r="H7" s="32">
        <f>'P&amp;L'!H32</f>
        <v/>
      </c>
      <c r="I7" s="32">
        <f>'P&amp;L'!I32</f>
        <v/>
      </c>
      <c r="J7" s="32">
        <f>'P&amp;L'!J32</f>
        <v/>
      </c>
      <c r="K7" s="32">
        <f>'P&amp;L'!K32</f>
        <v/>
      </c>
      <c r="L7" s="32">
        <f>'P&amp;L'!L32</f>
        <v/>
      </c>
      <c r="M7" s="32">
        <f>'P&amp;L'!M32</f>
        <v/>
      </c>
      <c r="N7" s="32">
        <f>'P&amp;L'!N32</f>
        <v/>
      </c>
      <c r="O7" s="32">
        <f>'P&amp;L'!O32</f>
        <v/>
      </c>
      <c r="P7" s="32">
        <f>'P&amp;L'!P32</f>
        <v/>
      </c>
      <c r="Q7" s="32">
        <f>'P&amp;L'!Q32</f>
        <v/>
      </c>
      <c r="R7" s="32">
        <f>'P&amp;L'!R32</f>
        <v/>
      </c>
      <c r="S7" s="32">
        <f>'P&amp;L'!S32</f>
        <v/>
      </c>
      <c r="T7" s="32">
        <f>'P&amp;L'!T32</f>
        <v/>
      </c>
      <c r="U7" s="32">
        <f>'P&amp;L'!U32</f>
        <v/>
      </c>
      <c r="V7" s="32">
        <f>'P&amp;L'!V32</f>
        <v/>
      </c>
      <c r="W7" s="32">
        <f>'P&amp;L'!W32</f>
        <v/>
      </c>
      <c r="X7" s="32">
        <f>'P&amp;L'!X32</f>
        <v/>
      </c>
      <c r="Y7" s="32">
        <f>'P&amp;L'!Y32</f>
        <v/>
      </c>
      <c r="Z7" s="32">
        <f>'P&amp;L'!Z32</f>
        <v/>
      </c>
      <c r="AA7" s="32">
        <f>'P&amp;L'!AA32</f>
        <v/>
      </c>
      <c r="AB7" s="32">
        <f>'P&amp;L'!AB32</f>
        <v/>
      </c>
      <c r="AC7" s="32">
        <f>'P&amp;L'!AC32</f>
        <v/>
      </c>
      <c r="AD7" s="32">
        <f>'P&amp;L'!AD32</f>
        <v/>
      </c>
      <c r="AE7" s="32">
        <f>'P&amp;L'!AE32</f>
        <v/>
      </c>
      <c r="AF7" s="32">
        <f>'P&amp;L'!AF32</f>
        <v/>
      </c>
      <c r="AG7" s="32">
        <f>'P&amp;L'!AG32</f>
        <v/>
      </c>
      <c r="AH7" s="32">
        <f>'P&amp;L'!AH32</f>
        <v/>
      </c>
      <c r="AI7" s="32">
        <f>'P&amp;L'!AI32</f>
        <v/>
      </c>
      <c r="AJ7" s="32">
        <f>'P&amp;L'!AJ32</f>
        <v/>
      </c>
      <c r="AK7" s="32">
        <f>'P&amp;L'!AK32</f>
        <v/>
      </c>
      <c r="AL7" s="32">
        <f>'P&amp;L'!AL32</f>
        <v/>
      </c>
      <c r="AM7" s="32">
        <f>'P&amp;L'!AM32</f>
        <v/>
      </c>
      <c r="AN7" s="32">
        <f>'P&amp;L'!AN32</f>
        <v/>
      </c>
      <c r="AO7" s="32">
        <f>'P&amp;L'!AO32</f>
        <v/>
      </c>
      <c r="AP7" s="32">
        <f>'P&amp;L'!AP32</f>
        <v/>
      </c>
      <c r="AQ7" s="32">
        <f>'P&amp;L'!AQ32</f>
        <v/>
      </c>
      <c r="AR7" s="32">
        <f>'P&amp;L'!AR32</f>
        <v/>
      </c>
      <c r="AS7" s="32">
        <f>'P&amp;L'!AS32</f>
        <v/>
      </c>
      <c r="AT7" s="32">
        <f>'P&amp;L'!AT32</f>
        <v/>
      </c>
      <c r="AU7" s="32">
        <f>'P&amp;L'!AU32</f>
        <v/>
      </c>
      <c r="AV7" s="32">
        <f>'P&amp;L'!AV32</f>
        <v/>
      </c>
      <c r="AW7" s="32">
        <f>'P&amp;L'!AW32</f>
        <v/>
      </c>
      <c r="AX7" s="32">
        <f>'P&amp;L'!AX32</f>
        <v/>
      </c>
      <c r="AY7" s="32">
        <f>'P&amp;L'!AY32</f>
        <v/>
      </c>
      <c r="AZ7" s="32">
        <f>'P&amp;L'!AZ32</f>
        <v/>
      </c>
      <c r="BA7" s="32">
        <f>'P&amp;L'!BA32</f>
        <v/>
      </c>
    </row>
    <row r="8" ht="14.25" customHeight="1" s="214">
      <c r="A8" s="3" t="inlineStr">
        <is>
          <t>Changes in Working Capital</t>
        </is>
      </c>
      <c r="B8" s="35">
        <f>-'Balance Sheet'!B7-'Balance Sheet'!B8+'Balance Sheet'!B13+'Balance Sheet'!B14+'Balance Sheet'!B15</f>
        <v/>
      </c>
      <c r="C8" s="35">
        <f>-('Balance Sheet'!C7-'Balance Sheet'!B7)-('Balance Sheet'!C8-'Balance Sheet'!B8)+('Balance Sheet'!C13-'Balance Sheet'!B13)+('Balance Sheet'!C14-'Balance Sheet'!B14)+('Balance Sheet'!C15-'Balance Sheet'!B15)</f>
        <v/>
      </c>
      <c r="D8" s="35">
        <f>-('Balance Sheet'!D7-'Balance Sheet'!C7)-('Balance Sheet'!D8-'Balance Sheet'!C8)+('Balance Sheet'!D13-'Balance Sheet'!C13)+('Balance Sheet'!D14-'Balance Sheet'!C14)+('Balance Sheet'!D15-'Balance Sheet'!C15)</f>
        <v/>
      </c>
      <c r="E8" s="35">
        <f>-('Balance Sheet'!E7-'Balance Sheet'!D7)-('Balance Sheet'!E8-'Balance Sheet'!D8)+('Balance Sheet'!E13-'Balance Sheet'!D13)+('Balance Sheet'!E14-'Balance Sheet'!D14)+('Balance Sheet'!E15-'Balance Sheet'!D15)</f>
        <v/>
      </c>
      <c r="F8" s="35">
        <f>-('Balance Sheet'!F7-'Balance Sheet'!E7)-('Balance Sheet'!F8-'Balance Sheet'!E8)+('Balance Sheet'!F13-'Balance Sheet'!E13)+('Balance Sheet'!F14-'Balance Sheet'!E14)+('Balance Sheet'!F15-'Balance Sheet'!E15)</f>
        <v/>
      </c>
      <c r="G8" s="35">
        <f>-('Balance Sheet'!G7-'Balance Sheet'!F7)-('Balance Sheet'!G8-'Balance Sheet'!F8)+('Balance Sheet'!G13-'Balance Sheet'!F13)+('Balance Sheet'!G14-'Balance Sheet'!F14)+('Balance Sheet'!G15-'Balance Sheet'!F15)</f>
        <v/>
      </c>
      <c r="H8" s="35">
        <f>-('Balance Sheet'!H7-'Balance Sheet'!G7)-('Balance Sheet'!H8-'Balance Sheet'!G8)+('Balance Sheet'!H13-'Balance Sheet'!G13)+('Balance Sheet'!H14-'Balance Sheet'!G14)+('Balance Sheet'!H15-'Balance Sheet'!G15)</f>
        <v/>
      </c>
      <c r="I8" s="35">
        <f>-('Balance Sheet'!I7-'Balance Sheet'!H7)-('Balance Sheet'!I8-'Balance Sheet'!H8)+('Balance Sheet'!I13-'Balance Sheet'!H13)+('Balance Sheet'!I14-'Balance Sheet'!H14)+('Balance Sheet'!I15-'Balance Sheet'!H15)</f>
        <v/>
      </c>
      <c r="J8" s="35">
        <f>-('Balance Sheet'!J7-'Balance Sheet'!I7)-('Balance Sheet'!J8-'Balance Sheet'!I8)+('Balance Sheet'!J13-'Balance Sheet'!I13)+('Balance Sheet'!J14-'Balance Sheet'!I14)+('Balance Sheet'!J15-'Balance Sheet'!I15)</f>
        <v/>
      </c>
      <c r="K8" s="35">
        <f>-('Balance Sheet'!K7-'Balance Sheet'!J7)-('Balance Sheet'!K8-'Balance Sheet'!J8)+('Balance Sheet'!K13-'Balance Sheet'!J13)+('Balance Sheet'!K14-'Balance Sheet'!J14)+('Balance Sheet'!K15-'Balance Sheet'!J15)</f>
        <v/>
      </c>
      <c r="L8" s="35">
        <f>-('Balance Sheet'!L7-'Balance Sheet'!K7)-('Balance Sheet'!L8-'Balance Sheet'!K8)+('Balance Sheet'!L13-'Balance Sheet'!K13)+('Balance Sheet'!L14-'Balance Sheet'!K14)+('Balance Sheet'!L15-'Balance Sheet'!K15)</f>
        <v/>
      </c>
      <c r="M8" s="35">
        <f>-('Balance Sheet'!M7-'Balance Sheet'!L7)-('Balance Sheet'!M8-'Balance Sheet'!L8)+('Balance Sheet'!M13-'Balance Sheet'!L13)+('Balance Sheet'!M14-'Balance Sheet'!L14)+('Balance Sheet'!M15-'Balance Sheet'!L15)</f>
        <v/>
      </c>
      <c r="N8" s="35">
        <f>-('Balance Sheet'!N7-'Balance Sheet'!M7)-('Balance Sheet'!N8-'Balance Sheet'!M8)+('Balance Sheet'!N13-'Balance Sheet'!M13)+('Balance Sheet'!N14-'Balance Sheet'!M14)+('Balance Sheet'!N15-'Balance Sheet'!M15)</f>
        <v/>
      </c>
      <c r="O8" s="35">
        <f>-('Balance Sheet'!O7-'Balance Sheet'!N7)-('Balance Sheet'!O8-'Balance Sheet'!N8)+('Balance Sheet'!O13-'Balance Sheet'!N13)+('Balance Sheet'!O14-'Balance Sheet'!N14)+('Balance Sheet'!O15-'Balance Sheet'!N15)</f>
        <v/>
      </c>
      <c r="P8" s="35">
        <f>-('Balance Sheet'!P7-'Balance Sheet'!O7)-('Balance Sheet'!P8-'Balance Sheet'!O8)+('Balance Sheet'!P13-'Balance Sheet'!O13)+('Balance Sheet'!P14-'Balance Sheet'!O14)+('Balance Sheet'!P15-'Balance Sheet'!O15)</f>
        <v/>
      </c>
      <c r="Q8" s="35">
        <f>-('Balance Sheet'!Q7-'Balance Sheet'!P7)-('Balance Sheet'!Q8-'Balance Sheet'!P8)+('Balance Sheet'!Q13-'Balance Sheet'!P13)+('Balance Sheet'!Q14-'Balance Sheet'!P14)+('Balance Sheet'!Q15-'Balance Sheet'!P15)</f>
        <v/>
      </c>
      <c r="R8" s="35">
        <f>-('Balance Sheet'!R7-'Balance Sheet'!Q7)-('Balance Sheet'!R8-'Balance Sheet'!Q8)+('Balance Sheet'!R13-'Balance Sheet'!Q13)+('Balance Sheet'!R14-'Balance Sheet'!Q14)+('Balance Sheet'!R15-'Balance Sheet'!Q15)</f>
        <v/>
      </c>
      <c r="S8" s="35">
        <f>-('Balance Sheet'!S7-'Balance Sheet'!R7)-('Balance Sheet'!S8-'Balance Sheet'!R8)+('Balance Sheet'!S13-'Balance Sheet'!R13)+('Balance Sheet'!S14-'Balance Sheet'!R14)+('Balance Sheet'!S15-'Balance Sheet'!R15)</f>
        <v/>
      </c>
      <c r="T8" s="35">
        <f>-('Balance Sheet'!T7-'Balance Sheet'!S7)-('Balance Sheet'!T8-'Balance Sheet'!S8)+('Balance Sheet'!T13-'Balance Sheet'!S13)+('Balance Sheet'!T14-'Balance Sheet'!S14)+('Balance Sheet'!T15-'Balance Sheet'!S15)</f>
        <v/>
      </c>
      <c r="U8" s="35">
        <f>-('Balance Sheet'!U7-'Balance Sheet'!T7)-('Balance Sheet'!U8-'Balance Sheet'!T8)+('Balance Sheet'!U13-'Balance Sheet'!T13)+('Balance Sheet'!U14-'Balance Sheet'!T14)+('Balance Sheet'!U15-'Balance Sheet'!T15)</f>
        <v/>
      </c>
      <c r="V8" s="35">
        <f>-('Balance Sheet'!V7-'Balance Sheet'!U7)-('Balance Sheet'!V8-'Balance Sheet'!U8)+('Balance Sheet'!V13-'Balance Sheet'!U13)+('Balance Sheet'!V14-'Balance Sheet'!U14)+('Balance Sheet'!V15-'Balance Sheet'!U15)</f>
        <v/>
      </c>
      <c r="W8" s="35">
        <f>-('Balance Sheet'!W7-'Balance Sheet'!V7)-('Balance Sheet'!W8-'Balance Sheet'!V8)+('Balance Sheet'!W13-'Balance Sheet'!V13)+('Balance Sheet'!W14-'Balance Sheet'!V14)+('Balance Sheet'!W15-'Balance Sheet'!V15)</f>
        <v/>
      </c>
      <c r="X8" s="35">
        <f>-('Balance Sheet'!X7-'Balance Sheet'!W7)-('Balance Sheet'!X8-'Balance Sheet'!W8)+('Balance Sheet'!X13-'Balance Sheet'!W13)+('Balance Sheet'!X14-'Balance Sheet'!W14)+('Balance Sheet'!X15-'Balance Sheet'!W15)</f>
        <v/>
      </c>
      <c r="Y8" s="35">
        <f>-('Balance Sheet'!Y7-'Balance Sheet'!X7)-('Balance Sheet'!Y8-'Balance Sheet'!X8)+('Balance Sheet'!Y13-'Balance Sheet'!X13)+('Balance Sheet'!Y14-'Balance Sheet'!X14)+('Balance Sheet'!Y15-'Balance Sheet'!X15)</f>
        <v/>
      </c>
      <c r="Z8" s="35">
        <f>-('Balance Sheet'!Z7-'Balance Sheet'!Y7)-('Balance Sheet'!Z8-'Balance Sheet'!Y8)+('Balance Sheet'!Z13-'Balance Sheet'!Y13)+('Balance Sheet'!Z14-'Balance Sheet'!Y14)+('Balance Sheet'!Z15-'Balance Sheet'!Y15)</f>
        <v/>
      </c>
      <c r="AA8" s="35">
        <f>-('Balance Sheet'!AA7-'Balance Sheet'!Z7)-('Balance Sheet'!AA8-'Balance Sheet'!Z8)+('Balance Sheet'!AA13-'Balance Sheet'!Z13)+('Balance Sheet'!AA14-'Balance Sheet'!Z14)+('Balance Sheet'!AA15-'Balance Sheet'!Z15)</f>
        <v/>
      </c>
      <c r="AB8" s="35">
        <f>-('Balance Sheet'!AB7-'Balance Sheet'!AA7)-('Balance Sheet'!AB8-'Balance Sheet'!AA8)+('Balance Sheet'!AB13-'Balance Sheet'!AA13)+('Balance Sheet'!AB14-'Balance Sheet'!AA14)+('Balance Sheet'!AB15-'Balance Sheet'!AA15)</f>
        <v/>
      </c>
      <c r="AC8" s="35">
        <f>-('Balance Sheet'!AC7-'Balance Sheet'!AB7)-('Balance Sheet'!AC8-'Balance Sheet'!AB8)+('Balance Sheet'!AC13-'Balance Sheet'!AB13)+('Balance Sheet'!AC14-'Balance Sheet'!AB14)+('Balance Sheet'!AC15-'Balance Sheet'!AB15)</f>
        <v/>
      </c>
      <c r="AD8" s="35">
        <f>-('Balance Sheet'!AD7-'Balance Sheet'!AC7)-('Balance Sheet'!AD8-'Balance Sheet'!AC8)+('Balance Sheet'!AD13-'Balance Sheet'!AC13)+('Balance Sheet'!AD14-'Balance Sheet'!AC14)+('Balance Sheet'!AD15-'Balance Sheet'!AC15)</f>
        <v/>
      </c>
      <c r="AE8" s="35">
        <f>-('Balance Sheet'!AE7-'Balance Sheet'!AD7)-('Balance Sheet'!AE8-'Balance Sheet'!AD8)+('Balance Sheet'!AE13-'Balance Sheet'!AD13)+('Balance Sheet'!AE14-'Balance Sheet'!AD14)+('Balance Sheet'!AE15-'Balance Sheet'!AD15)</f>
        <v/>
      </c>
      <c r="AF8" s="35">
        <f>-('Balance Sheet'!AF7-'Balance Sheet'!AE7)-('Balance Sheet'!AF8-'Balance Sheet'!AE8)+('Balance Sheet'!AF13-'Balance Sheet'!AE13)+('Balance Sheet'!AF14-'Balance Sheet'!AE14)+('Balance Sheet'!AF15-'Balance Sheet'!AE15)</f>
        <v/>
      </c>
      <c r="AG8" s="35">
        <f>-('Balance Sheet'!AG7-'Balance Sheet'!AF7)-('Balance Sheet'!AG8-'Balance Sheet'!AF8)+('Balance Sheet'!AG13-'Balance Sheet'!AF13)+('Balance Sheet'!AG14-'Balance Sheet'!AF14)+('Balance Sheet'!AG15-'Balance Sheet'!AF15)</f>
        <v/>
      </c>
      <c r="AH8" s="35">
        <f>-('Balance Sheet'!AH7-'Balance Sheet'!AG7)-('Balance Sheet'!AH8-'Balance Sheet'!AG8)+('Balance Sheet'!AH13-'Balance Sheet'!AG13)+('Balance Sheet'!AH14-'Balance Sheet'!AG14)+('Balance Sheet'!AH15-'Balance Sheet'!AG15)</f>
        <v/>
      </c>
      <c r="AI8" s="35">
        <f>-('Balance Sheet'!AI7-'Balance Sheet'!AH7)-('Balance Sheet'!AI8-'Balance Sheet'!AH8)+('Balance Sheet'!AI13-'Balance Sheet'!AH13)+('Balance Sheet'!AI14-'Balance Sheet'!AH14)+('Balance Sheet'!AI15-'Balance Sheet'!AH15)</f>
        <v/>
      </c>
      <c r="AJ8" s="35">
        <f>-('Balance Sheet'!AJ7-'Balance Sheet'!AI7)-('Balance Sheet'!AJ8-'Balance Sheet'!AI8)+('Balance Sheet'!AJ13-'Balance Sheet'!AI13)+('Balance Sheet'!AJ14-'Balance Sheet'!AI14)+('Balance Sheet'!AJ15-'Balance Sheet'!AI15)</f>
        <v/>
      </c>
      <c r="AK8" s="35">
        <f>-('Balance Sheet'!AK7-'Balance Sheet'!AJ7)-('Balance Sheet'!AK8-'Balance Sheet'!AJ8)+('Balance Sheet'!AK13-'Balance Sheet'!AJ13)+('Balance Sheet'!AK14-'Balance Sheet'!AJ14)+('Balance Sheet'!AK15-'Balance Sheet'!AJ15)</f>
        <v/>
      </c>
      <c r="AL8" s="35">
        <f>-('Balance Sheet'!AL7-'Balance Sheet'!AK7)-('Balance Sheet'!AL8-'Balance Sheet'!AK8)+('Balance Sheet'!AL13-'Balance Sheet'!AK13)+('Balance Sheet'!AL14-'Balance Sheet'!AK14)+('Balance Sheet'!AL15-'Balance Sheet'!AK15)</f>
        <v/>
      </c>
      <c r="AM8" s="35">
        <f>-('Balance Sheet'!AM7-'Balance Sheet'!AL7)-('Balance Sheet'!AM8-'Balance Sheet'!AL8)+('Balance Sheet'!AM13-'Balance Sheet'!AL13)+('Balance Sheet'!AM14-'Balance Sheet'!AL14)+('Balance Sheet'!AM15-'Balance Sheet'!AL15)</f>
        <v/>
      </c>
      <c r="AN8" s="35">
        <f>-('Balance Sheet'!AN7-'Balance Sheet'!AM7)-('Balance Sheet'!AN8-'Balance Sheet'!AM8)+('Balance Sheet'!AN13-'Balance Sheet'!AM13)+('Balance Sheet'!AN14-'Balance Sheet'!AM14)+('Balance Sheet'!AN15-'Balance Sheet'!AM15)</f>
        <v/>
      </c>
      <c r="AO8" s="35">
        <f>-('Balance Sheet'!AO7-'Balance Sheet'!AN7)-('Balance Sheet'!AO8-'Balance Sheet'!AN8)+('Balance Sheet'!AO13-'Balance Sheet'!AN13)+('Balance Sheet'!AO14-'Balance Sheet'!AN14)+('Balance Sheet'!AO15-'Balance Sheet'!AN15)</f>
        <v/>
      </c>
      <c r="AP8" s="35">
        <f>-('Balance Sheet'!AP7-'Balance Sheet'!AO7)-('Balance Sheet'!AP8-'Balance Sheet'!AO8)+('Balance Sheet'!AP13-'Balance Sheet'!AO13)+('Balance Sheet'!AP14-'Balance Sheet'!AO14)+('Balance Sheet'!AP15-'Balance Sheet'!AO15)</f>
        <v/>
      </c>
      <c r="AQ8" s="35">
        <f>-('Balance Sheet'!AQ7-'Balance Sheet'!AP7)-('Balance Sheet'!AQ8-'Balance Sheet'!AP8)+('Balance Sheet'!AQ13-'Balance Sheet'!AP13)+('Balance Sheet'!AQ14-'Balance Sheet'!AP14)+('Balance Sheet'!AQ15-'Balance Sheet'!AP15)</f>
        <v/>
      </c>
      <c r="AR8" s="35">
        <f>-('Balance Sheet'!AR7-'Balance Sheet'!AQ7)-('Balance Sheet'!AR8-'Balance Sheet'!AQ8)+('Balance Sheet'!AR13-'Balance Sheet'!AQ13)+('Balance Sheet'!AR14-'Balance Sheet'!AQ14)+('Balance Sheet'!AR15-'Balance Sheet'!AQ15)</f>
        <v/>
      </c>
      <c r="AS8" s="35">
        <f>-('Balance Sheet'!AS7-'Balance Sheet'!AR7)-('Balance Sheet'!AS8-'Balance Sheet'!AR8)+('Balance Sheet'!AS13-'Balance Sheet'!AR13)+('Balance Sheet'!AS14-'Balance Sheet'!AR14)+('Balance Sheet'!AS15-'Balance Sheet'!AR15)</f>
        <v/>
      </c>
      <c r="AT8" s="35">
        <f>-('Balance Sheet'!AT7-'Balance Sheet'!AS7)-('Balance Sheet'!AT8-'Balance Sheet'!AS8)+('Balance Sheet'!AT13-'Balance Sheet'!AS13)+('Balance Sheet'!AT14-'Balance Sheet'!AS14)+('Balance Sheet'!AT15-'Balance Sheet'!AS15)</f>
        <v/>
      </c>
      <c r="AU8" s="35">
        <f>-('Balance Sheet'!AU7-'Balance Sheet'!AT7)-('Balance Sheet'!AU8-'Balance Sheet'!AT8)+('Balance Sheet'!AU13-'Balance Sheet'!AT13)+('Balance Sheet'!AU14-'Balance Sheet'!AT14)+('Balance Sheet'!AU15-'Balance Sheet'!AT15)</f>
        <v/>
      </c>
      <c r="AV8" s="35">
        <f>-('Balance Sheet'!AV7-'Balance Sheet'!AU7)-('Balance Sheet'!AV8-'Balance Sheet'!AU8)+('Balance Sheet'!AV13-'Balance Sheet'!AU13)+('Balance Sheet'!AV14-'Balance Sheet'!AU14)+('Balance Sheet'!AV15-'Balance Sheet'!AU15)</f>
        <v/>
      </c>
      <c r="AW8" s="35">
        <f>-('Balance Sheet'!AW7-'Balance Sheet'!AV7)-('Balance Sheet'!AW8-'Balance Sheet'!AV8)+('Balance Sheet'!AW13-'Balance Sheet'!AV13)+('Balance Sheet'!AW14-'Balance Sheet'!AV14)+('Balance Sheet'!AW15-'Balance Sheet'!AV15)</f>
        <v/>
      </c>
      <c r="AX8" s="35">
        <f>-('Balance Sheet'!AX7-'Balance Sheet'!AW7)-('Balance Sheet'!AX8-'Balance Sheet'!AW8)+('Balance Sheet'!AX13-'Balance Sheet'!AW13)+('Balance Sheet'!AX14-'Balance Sheet'!AW14)+('Balance Sheet'!AX15-'Balance Sheet'!AW15)</f>
        <v/>
      </c>
      <c r="AY8" s="35">
        <f>-('Balance Sheet'!AY7-'Balance Sheet'!AX7)-('Balance Sheet'!AY8-'Balance Sheet'!AX8)+('Balance Sheet'!AY13-'Balance Sheet'!AX13)+('Balance Sheet'!AY14-'Balance Sheet'!AX14)+('Balance Sheet'!AY15-'Balance Sheet'!AX15)</f>
        <v/>
      </c>
      <c r="AZ8" s="35">
        <f>-('Balance Sheet'!AZ7-'Balance Sheet'!AY7)-('Balance Sheet'!AZ8-'Balance Sheet'!AY8)+('Balance Sheet'!AZ13-'Balance Sheet'!AY13)+('Balance Sheet'!AZ14-'Balance Sheet'!AY14)+('Balance Sheet'!AZ15-'Balance Sheet'!AY15)</f>
        <v/>
      </c>
      <c r="BA8" s="35">
        <f>-('Balance Sheet'!BA7-'Balance Sheet'!AZ7)-('Balance Sheet'!BA8-'Balance Sheet'!AZ8)+('Balance Sheet'!BA13-'Balance Sheet'!AZ13)+('Balance Sheet'!BA14-'Balance Sheet'!AZ14)+('Balance Sheet'!BA15-'Balance Sheet'!AZ15)</f>
        <v/>
      </c>
    </row>
    <row r="9" ht="14.25" customHeight="1" s="214">
      <c r="A9" s="2" t="inlineStr">
        <is>
          <t>Net Cash from Operations</t>
        </is>
      </c>
      <c r="B9" s="33">
        <f>B6+B7+B8</f>
        <v/>
      </c>
      <c r="C9" s="33">
        <f>C6+C7+C8</f>
        <v/>
      </c>
      <c r="D9" s="33">
        <f>D6+D7+D8</f>
        <v/>
      </c>
      <c r="E9" s="33">
        <f>E6+E7+E8</f>
        <v/>
      </c>
      <c r="F9" s="33">
        <f>F6+F7+F8</f>
        <v/>
      </c>
      <c r="G9" s="33">
        <f>G6+G7+G8</f>
        <v/>
      </c>
      <c r="H9" s="33">
        <f>H6+H7+H8</f>
        <v/>
      </c>
      <c r="I9" s="33">
        <f>I6+I7+I8</f>
        <v/>
      </c>
      <c r="J9" s="33">
        <f>J6+J7+J8</f>
        <v/>
      </c>
      <c r="K9" s="33">
        <f>K6+K7+K8</f>
        <v/>
      </c>
      <c r="L9" s="33">
        <f>L6+L7+L8</f>
        <v/>
      </c>
      <c r="M9" s="33">
        <f>M6+M7+M8</f>
        <v/>
      </c>
      <c r="N9" s="33">
        <f>N6+N7+N8</f>
        <v/>
      </c>
      <c r="O9" s="33">
        <f>O6+O7+O8</f>
        <v/>
      </c>
      <c r="P9" s="33">
        <f>P6+P7+P8</f>
        <v/>
      </c>
      <c r="Q9" s="33">
        <f>Q6+Q7+Q8</f>
        <v/>
      </c>
      <c r="R9" s="33">
        <f>R6+R7+R8</f>
        <v/>
      </c>
      <c r="S9" s="33">
        <f>S6+S7+S8</f>
        <v/>
      </c>
      <c r="T9" s="33">
        <f>T6+T7+T8</f>
        <v/>
      </c>
      <c r="U9" s="33">
        <f>U6+U7+U8</f>
        <v/>
      </c>
      <c r="V9" s="33">
        <f>V6+V7+V8</f>
        <v/>
      </c>
      <c r="W9" s="33">
        <f>W6+W7+W8</f>
        <v/>
      </c>
      <c r="X9" s="33">
        <f>X6+X7+X8</f>
        <v/>
      </c>
      <c r="Y9" s="33">
        <f>Y6+Y7+Y8</f>
        <v/>
      </c>
      <c r="Z9" s="33">
        <f>Z6+Z7+Z8</f>
        <v/>
      </c>
      <c r="AA9" s="33">
        <f>AA6+AA7+AA8</f>
        <v/>
      </c>
      <c r="AB9" s="33">
        <f>AB6+AB7+AB8</f>
        <v/>
      </c>
      <c r="AC9" s="33">
        <f>AC6+AC7+AC8</f>
        <v/>
      </c>
      <c r="AD9" s="33">
        <f>AD6+AD7+AD8</f>
        <v/>
      </c>
      <c r="AE9" s="33">
        <f>AE6+AE7+AE8</f>
        <v/>
      </c>
      <c r="AF9" s="33">
        <f>AF6+AF7+AF8</f>
        <v/>
      </c>
      <c r="AG9" s="33">
        <f>AG6+AG7+AG8</f>
        <v/>
      </c>
      <c r="AH9" s="33">
        <f>AH6+AH7+AH8</f>
        <v/>
      </c>
      <c r="AI9" s="33">
        <f>AI6+AI7+AI8</f>
        <v/>
      </c>
      <c r="AJ9" s="33">
        <f>AJ6+AJ7+AJ8</f>
        <v/>
      </c>
      <c r="AK9" s="33">
        <f>AK6+AK7+AK8</f>
        <v/>
      </c>
      <c r="AL9" s="33">
        <f>AL6+AL7+AL8</f>
        <v/>
      </c>
      <c r="AM9" s="33">
        <f>AM6+AM7+AM8</f>
        <v/>
      </c>
      <c r="AN9" s="33">
        <f>AN6+AN7+AN8</f>
        <v/>
      </c>
      <c r="AO9" s="33">
        <f>AO6+AO7+AO8</f>
        <v/>
      </c>
      <c r="AP9" s="33">
        <f>AP6+AP7+AP8</f>
        <v/>
      </c>
      <c r="AQ9" s="33">
        <f>AQ6+AQ7+AQ8</f>
        <v/>
      </c>
      <c r="AR9" s="33">
        <f>AR6+AR7+AR8</f>
        <v/>
      </c>
      <c r="AS9" s="33">
        <f>AS6+AS7+AS8</f>
        <v/>
      </c>
      <c r="AT9" s="33">
        <f>AT6+AT7+AT8</f>
        <v/>
      </c>
      <c r="AU9" s="33">
        <f>AU6+AU7+AU8</f>
        <v/>
      </c>
      <c r="AV9" s="33">
        <f>AV6+AV7+AV8</f>
        <v/>
      </c>
      <c r="AW9" s="33">
        <f>AW6+AW7+AW8</f>
        <v/>
      </c>
      <c r="AX9" s="33">
        <f>AX6+AX7+AX8</f>
        <v/>
      </c>
      <c r="AY9" s="33">
        <f>AY6+AY7+AY8</f>
        <v/>
      </c>
      <c r="AZ9" s="33">
        <f>AZ6+AZ7+AZ8</f>
        <v/>
      </c>
      <c r="BA9" s="33">
        <f>BA6+BA7+BA8</f>
        <v/>
      </c>
    </row>
    <row r="10" ht="14.25" customHeight="1" s="214"/>
    <row r="11" ht="14.25" customHeight="1" s="214">
      <c r="A11" s="2" t="inlineStr">
        <is>
          <t>INVESTING ACTIVITIES</t>
        </is>
      </c>
    </row>
    <row r="12" ht="14.25" customHeight="1" s="214">
      <c r="A12" s="3" t="inlineStr">
        <is>
          <t>Purchase of Equipment</t>
        </is>
      </c>
      <c r="B12" s="35">
        <f>-(Costs!B91+Inputs!$B$91)</f>
        <v/>
      </c>
      <c r="C12" s="35">
        <f>-Costs!C91</f>
        <v/>
      </c>
      <c r="D12" s="35">
        <f>-Costs!D91</f>
        <v/>
      </c>
      <c r="E12" s="35">
        <f>-Costs!E91</f>
        <v/>
      </c>
      <c r="F12" s="35">
        <f>-Costs!F91</f>
        <v/>
      </c>
      <c r="G12" s="35">
        <f>-Costs!G91</f>
        <v/>
      </c>
      <c r="H12" s="35">
        <f>-Costs!H91</f>
        <v/>
      </c>
      <c r="I12" s="35">
        <f>-Costs!I91</f>
        <v/>
      </c>
      <c r="J12" s="35">
        <f>-Costs!J91</f>
        <v/>
      </c>
      <c r="K12" s="35">
        <f>-Costs!K91</f>
        <v/>
      </c>
      <c r="L12" s="35">
        <f>-Costs!L91</f>
        <v/>
      </c>
      <c r="M12" s="35">
        <f>-Costs!M91</f>
        <v/>
      </c>
      <c r="N12" s="35">
        <f>-Costs!N91</f>
        <v/>
      </c>
      <c r="O12" s="35">
        <f>-Costs!O91</f>
        <v/>
      </c>
      <c r="P12" s="35">
        <f>-Costs!P91</f>
        <v/>
      </c>
      <c r="Q12" s="35">
        <f>-Costs!Q91</f>
        <v/>
      </c>
      <c r="R12" s="35">
        <f>-Costs!R91</f>
        <v/>
      </c>
      <c r="S12" s="35">
        <f>-Costs!S91</f>
        <v/>
      </c>
      <c r="T12" s="35">
        <f>-Costs!T91</f>
        <v/>
      </c>
      <c r="U12" s="35">
        <f>-Costs!U91</f>
        <v/>
      </c>
      <c r="V12" s="35">
        <f>-Costs!V91</f>
        <v/>
      </c>
      <c r="W12" s="35">
        <f>-Costs!W91</f>
        <v/>
      </c>
      <c r="X12" s="35">
        <f>-Costs!X91</f>
        <v/>
      </c>
      <c r="Y12" s="35">
        <f>-Costs!Y91</f>
        <v/>
      </c>
      <c r="Z12" s="35">
        <f>-Costs!Z91</f>
        <v/>
      </c>
      <c r="AA12" s="35">
        <f>-Costs!AA91</f>
        <v/>
      </c>
      <c r="AB12" s="35">
        <f>-Costs!AB91</f>
        <v/>
      </c>
      <c r="AC12" s="35">
        <f>-Costs!AC91</f>
        <v/>
      </c>
      <c r="AD12" s="35">
        <f>-Costs!AD91</f>
        <v/>
      </c>
      <c r="AE12" s="35">
        <f>-Costs!AE91</f>
        <v/>
      </c>
      <c r="AF12" s="35">
        <f>-Costs!AF91</f>
        <v/>
      </c>
      <c r="AG12" s="35">
        <f>-Costs!AG91</f>
        <v/>
      </c>
      <c r="AH12" s="35">
        <f>-Costs!AH91</f>
        <v/>
      </c>
      <c r="AI12" s="35">
        <f>-Costs!AI91</f>
        <v/>
      </c>
      <c r="AJ12" s="35">
        <f>-Costs!AJ91</f>
        <v/>
      </c>
      <c r="AK12" s="35">
        <f>-Costs!AK91</f>
        <v/>
      </c>
      <c r="AL12" s="35">
        <f>-Costs!AL91</f>
        <v/>
      </c>
      <c r="AM12" s="35">
        <f>-Costs!AM91</f>
        <v/>
      </c>
      <c r="AN12" s="35">
        <f>-Costs!AN91</f>
        <v/>
      </c>
      <c r="AO12" s="35">
        <f>-Costs!AO91</f>
        <v/>
      </c>
      <c r="AP12" s="35">
        <f>-Costs!AP91</f>
        <v/>
      </c>
      <c r="AQ12" s="35">
        <f>-Costs!AQ91</f>
        <v/>
      </c>
      <c r="AR12" s="35">
        <f>-Costs!AR91</f>
        <v/>
      </c>
      <c r="AS12" s="35">
        <f>-Costs!AS91</f>
        <v/>
      </c>
      <c r="AT12" s="35">
        <f>-Costs!AT91</f>
        <v/>
      </c>
      <c r="AU12" s="35">
        <f>-Costs!AU91</f>
        <v/>
      </c>
      <c r="AV12" s="35">
        <f>-Costs!AV91</f>
        <v/>
      </c>
      <c r="AW12" s="35">
        <f>-Costs!AW91</f>
        <v/>
      </c>
      <c r="AX12" s="35">
        <f>-Costs!AX91</f>
        <v/>
      </c>
      <c r="AY12" s="35">
        <f>-Costs!AY91</f>
        <v/>
      </c>
      <c r="AZ12" s="35">
        <f>-Costs!AZ91</f>
        <v/>
      </c>
      <c r="BA12" s="35">
        <f>-Costs!BA91</f>
        <v/>
      </c>
    </row>
    <row r="13" ht="14.25" customHeight="1" s="214">
      <c r="A13" s="2" t="inlineStr">
        <is>
          <t>Net Cash from Investing</t>
        </is>
      </c>
      <c r="B13" s="33">
        <f>B12</f>
        <v/>
      </c>
      <c r="C13" s="33">
        <f>C12</f>
        <v/>
      </c>
      <c r="D13" s="33">
        <f>D12</f>
        <v/>
      </c>
      <c r="E13" s="33">
        <f>E12</f>
        <v/>
      </c>
      <c r="F13" s="33">
        <f>F12</f>
        <v/>
      </c>
      <c r="G13" s="33">
        <f>G12</f>
        <v/>
      </c>
      <c r="H13" s="33">
        <f>H12</f>
        <v/>
      </c>
      <c r="I13" s="33">
        <f>I12</f>
        <v/>
      </c>
      <c r="J13" s="33">
        <f>J12</f>
        <v/>
      </c>
      <c r="K13" s="33">
        <f>K12</f>
        <v/>
      </c>
      <c r="L13" s="33">
        <f>L12</f>
        <v/>
      </c>
      <c r="M13" s="33">
        <f>M12</f>
        <v/>
      </c>
      <c r="N13" s="33">
        <f>N12</f>
        <v/>
      </c>
      <c r="O13" s="33">
        <f>O12</f>
        <v/>
      </c>
      <c r="P13" s="33">
        <f>P12</f>
        <v/>
      </c>
      <c r="Q13" s="33">
        <f>Q12</f>
        <v/>
      </c>
      <c r="R13" s="33">
        <f>R12</f>
        <v/>
      </c>
      <c r="S13" s="33">
        <f>S12</f>
        <v/>
      </c>
      <c r="T13" s="33">
        <f>T12</f>
        <v/>
      </c>
      <c r="U13" s="33">
        <f>U12</f>
        <v/>
      </c>
      <c r="V13" s="33">
        <f>V12</f>
        <v/>
      </c>
      <c r="W13" s="33">
        <f>W12</f>
        <v/>
      </c>
      <c r="X13" s="33">
        <f>X12</f>
        <v/>
      </c>
      <c r="Y13" s="33">
        <f>Y12</f>
        <v/>
      </c>
      <c r="Z13" s="33">
        <f>Z12</f>
        <v/>
      </c>
      <c r="AA13" s="33">
        <f>AA12</f>
        <v/>
      </c>
      <c r="AB13" s="33">
        <f>AB12</f>
        <v/>
      </c>
      <c r="AC13" s="33">
        <f>AC12</f>
        <v/>
      </c>
      <c r="AD13" s="33">
        <f>AD12</f>
        <v/>
      </c>
      <c r="AE13" s="33">
        <f>AE12</f>
        <v/>
      </c>
      <c r="AF13" s="33">
        <f>AF12</f>
        <v/>
      </c>
      <c r="AG13" s="33">
        <f>AG12</f>
        <v/>
      </c>
      <c r="AH13" s="33">
        <f>AH12</f>
        <v/>
      </c>
      <c r="AI13" s="33">
        <f>AI12</f>
        <v/>
      </c>
      <c r="AJ13" s="33">
        <f>AJ12</f>
        <v/>
      </c>
      <c r="AK13" s="33">
        <f>AK12</f>
        <v/>
      </c>
      <c r="AL13" s="33">
        <f>AL12</f>
        <v/>
      </c>
      <c r="AM13" s="33">
        <f>AM12</f>
        <v/>
      </c>
      <c r="AN13" s="33">
        <f>AN12</f>
        <v/>
      </c>
      <c r="AO13" s="33">
        <f>AO12</f>
        <v/>
      </c>
      <c r="AP13" s="33">
        <f>AP12</f>
        <v/>
      </c>
      <c r="AQ13" s="33">
        <f>AQ12</f>
        <v/>
      </c>
      <c r="AR13" s="33">
        <f>AR12</f>
        <v/>
      </c>
      <c r="AS13" s="33">
        <f>AS12</f>
        <v/>
      </c>
      <c r="AT13" s="33">
        <f>AT12</f>
        <v/>
      </c>
      <c r="AU13" s="33">
        <f>AU12</f>
        <v/>
      </c>
      <c r="AV13" s="33">
        <f>AV12</f>
        <v/>
      </c>
      <c r="AW13" s="33">
        <f>AW12</f>
        <v/>
      </c>
      <c r="AX13" s="33">
        <f>AX12</f>
        <v/>
      </c>
      <c r="AY13" s="33">
        <f>AY12</f>
        <v/>
      </c>
      <c r="AZ13" s="33">
        <f>AZ12</f>
        <v/>
      </c>
      <c r="BA13" s="33">
        <f>BA12</f>
        <v/>
      </c>
    </row>
    <row r="14" ht="14.25" customHeight="1" s="214"/>
    <row r="15" ht="14.25" customHeight="1" s="214">
      <c r="A15" s="2" t="inlineStr">
        <is>
          <t>FINANCING ACTIVITIES</t>
        </is>
      </c>
    </row>
    <row r="16" ht="14.25" customHeight="1" s="214">
      <c r="A16" s="3" t="inlineStr">
        <is>
          <t>Equity Funding Received</t>
        </is>
      </c>
      <c r="B16" s="35">
        <f>IF(1=Inputs!$B$11,Inputs!$B$10,0)+IF(1=Inputs!$B$13,Inputs!$B$12,0)+IF(1=Inputs!$B$15,Inputs!$B$14,0)+IF(1=Inputs!$B$17,Inputs!$B$16,0)</f>
        <v/>
      </c>
      <c r="C16" s="35">
        <f>IF(2=Inputs!$B$11,Inputs!$B$10,0)+IF(2=Inputs!$B$13,Inputs!$B$12,0)+IF(2=Inputs!$B$15,Inputs!$B$14,0)+IF(2=Inputs!$B$17,Inputs!$B$16,0)</f>
        <v/>
      </c>
      <c r="D16" s="35">
        <f>IF(3=Inputs!$B$11,Inputs!$B$10,0)+IF(3=Inputs!$B$13,Inputs!$B$12,0)+IF(3=Inputs!$B$15,Inputs!$B$14,0)+IF(3=Inputs!$B$17,Inputs!$B$16,0)</f>
        <v/>
      </c>
      <c r="E16" s="35">
        <f>IF(4=Inputs!$B$11,Inputs!$B$10,0)+IF(4=Inputs!$B$13,Inputs!$B$12,0)+IF(4=Inputs!$B$15,Inputs!$B$14,0)+IF(4=Inputs!$B$17,Inputs!$B$16,0)</f>
        <v/>
      </c>
      <c r="F16" s="35">
        <f>IF(5=Inputs!$B$11,Inputs!$B$10,0)+IF(5=Inputs!$B$13,Inputs!$B$12,0)+IF(5=Inputs!$B$15,Inputs!$B$14,0)+IF(5=Inputs!$B$17,Inputs!$B$16,0)</f>
        <v/>
      </c>
      <c r="G16" s="35">
        <f>IF(6=Inputs!$B$11,Inputs!$B$10,0)+IF(6=Inputs!$B$13,Inputs!$B$12,0)+IF(6=Inputs!$B$15,Inputs!$B$14,0)+IF(6=Inputs!$B$17,Inputs!$B$16,0)</f>
        <v/>
      </c>
      <c r="H16" s="35">
        <f>IF(7=Inputs!$B$11,Inputs!$B$10,0)+IF(7=Inputs!$B$13,Inputs!$B$12,0)+IF(7=Inputs!$B$15,Inputs!$B$14,0)+IF(7=Inputs!$B$17,Inputs!$B$16,0)</f>
        <v/>
      </c>
      <c r="I16" s="35">
        <f>IF(8=Inputs!$B$11,Inputs!$B$10,0)+IF(8=Inputs!$B$13,Inputs!$B$12,0)+IF(8=Inputs!$B$15,Inputs!$B$14,0)+IF(8=Inputs!$B$17,Inputs!$B$16,0)</f>
        <v/>
      </c>
      <c r="J16" s="35">
        <f>IF(9=Inputs!$B$11,Inputs!$B$10,0)+IF(9=Inputs!$B$13,Inputs!$B$12,0)+IF(9=Inputs!$B$15,Inputs!$B$14,0)+IF(9=Inputs!$B$17,Inputs!$B$16,0)</f>
        <v/>
      </c>
      <c r="K16" s="35">
        <f>IF(10=Inputs!$B$11,Inputs!$B$10,0)+IF(10=Inputs!$B$13,Inputs!$B$12,0)+IF(10=Inputs!$B$15,Inputs!$B$14,0)+IF(10=Inputs!$B$17,Inputs!$B$16,0)</f>
        <v/>
      </c>
      <c r="L16" s="35">
        <f>IF(11=Inputs!$B$11,Inputs!$B$10,0)+IF(11=Inputs!$B$13,Inputs!$B$12,0)+IF(11=Inputs!$B$15,Inputs!$B$14,0)+IF(11=Inputs!$B$17,Inputs!$B$16,0)</f>
        <v/>
      </c>
      <c r="M16" s="35">
        <f>IF(12=Inputs!$B$11,Inputs!$B$10,0)+IF(12=Inputs!$B$13,Inputs!$B$12,0)+IF(12=Inputs!$B$15,Inputs!$B$14,0)+IF(12=Inputs!$B$17,Inputs!$B$16,0)</f>
        <v/>
      </c>
      <c r="N16" s="35">
        <f>IF(13=Inputs!$B$11,Inputs!$B$10,0)+IF(13=Inputs!$B$13,Inputs!$B$12,0)+IF(13=Inputs!$B$15,Inputs!$B$14,0)+IF(13=Inputs!$B$17,Inputs!$B$16,0)</f>
        <v/>
      </c>
      <c r="O16" s="35">
        <f>IF(14=Inputs!$B$11,Inputs!$B$10,0)+IF(14=Inputs!$B$13,Inputs!$B$12,0)+IF(14=Inputs!$B$15,Inputs!$B$14,0)+IF(14=Inputs!$B$17,Inputs!$B$16,0)</f>
        <v/>
      </c>
      <c r="P16" s="35">
        <f>IF(15=Inputs!$B$11,Inputs!$B$10,0)+IF(15=Inputs!$B$13,Inputs!$B$12,0)+IF(15=Inputs!$B$15,Inputs!$B$14,0)+IF(15=Inputs!$B$17,Inputs!$B$16,0)</f>
        <v/>
      </c>
      <c r="Q16" s="35">
        <f>IF(16=Inputs!$B$11,Inputs!$B$10,0)+IF(16=Inputs!$B$13,Inputs!$B$12,0)+IF(16=Inputs!$B$15,Inputs!$B$14,0)+IF(16=Inputs!$B$17,Inputs!$B$16,0)</f>
        <v/>
      </c>
      <c r="R16" s="35">
        <f>IF(17=Inputs!$B$11,Inputs!$B$10,0)+IF(17=Inputs!$B$13,Inputs!$B$12,0)+IF(17=Inputs!$B$15,Inputs!$B$14,0)+IF(17=Inputs!$B$17,Inputs!$B$16,0)</f>
        <v/>
      </c>
      <c r="S16" s="35">
        <f>IF(18=Inputs!$B$11,Inputs!$B$10,0)+IF(18=Inputs!$B$13,Inputs!$B$12,0)+IF(18=Inputs!$B$15,Inputs!$B$14,0)+IF(18=Inputs!$B$17,Inputs!$B$16,0)</f>
        <v/>
      </c>
      <c r="T16" s="35">
        <f>IF(19=Inputs!$B$11,Inputs!$B$10,0)+IF(19=Inputs!$B$13,Inputs!$B$12,0)+IF(19=Inputs!$B$15,Inputs!$B$14,0)+IF(19=Inputs!$B$17,Inputs!$B$16,0)</f>
        <v/>
      </c>
      <c r="U16" s="35">
        <f>IF(20=Inputs!$B$11,Inputs!$B$10,0)+IF(20=Inputs!$B$13,Inputs!$B$12,0)+IF(20=Inputs!$B$15,Inputs!$B$14,0)+IF(20=Inputs!$B$17,Inputs!$B$16,0)</f>
        <v/>
      </c>
      <c r="V16" s="35">
        <f>IF(21=Inputs!$B$11,Inputs!$B$10,0)+IF(21=Inputs!$B$13,Inputs!$B$12,0)+IF(21=Inputs!$B$15,Inputs!$B$14,0)+IF(21=Inputs!$B$17,Inputs!$B$16,0)</f>
        <v/>
      </c>
      <c r="W16" s="35">
        <f>IF(22=Inputs!$B$11,Inputs!$B$10,0)+IF(22=Inputs!$B$13,Inputs!$B$12,0)+IF(22=Inputs!$B$15,Inputs!$B$14,0)+IF(22=Inputs!$B$17,Inputs!$B$16,0)</f>
        <v/>
      </c>
      <c r="X16" s="35">
        <f>IF(23=Inputs!$B$11,Inputs!$B$10,0)+IF(23=Inputs!$B$13,Inputs!$B$12,0)+IF(23=Inputs!$B$15,Inputs!$B$14,0)+IF(23=Inputs!$B$17,Inputs!$B$16,0)</f>
        <v/>
      </c>
      <c r="Y16" s="35">
        <f>IF(24=Inputs!$B$11,Inputs!$B$10,0)+IF(24=Inputs!$B$13,Inputs!$B$12,0)+IF(24=Inputs!$B$15,Inputs!$B$14,0)+IF(24=Inputs!$B$17,Inputs!$B$16,0)</f>
        <v/>
      </c>
      <c r="Z16" s="35">
        <f>IF(25=Inputs!$B$11,Inputs!$B$10,0)+IF(25=Inputs!$B$13,Inputs!$B$12,0)+IF(25=Inputs!$B$15,Inputs!$B$14,0)+IF(25=Inputs!$B$17,Inputs!$B$16,0)</f>
        <v/>
      </c>
      <c r="AA16" s="35">
        <f>IF(26=Inputs!$B$11,Inputs!$B$10,0)+IF(26=Inputs!$B$13,Inputs!$B$12,0)+IF(26=Inputs!$B$15,Inputs!$B$14,0)+IF(26=Inputs!$B$17,Inputs!$B$16,0)</f>
        <v/>
      </c>
      <c r="AB16" s="35">
        <f>IF(27=Inputs!$B$11,Inputs!$B$10,0)+IF(27=Inputs!$B$13,Inputs!$B$12,0)+IF(27=Inputs!$B$15,Inputs!$B$14,0)+IF(27=Inputs!$B$17,Inputs!$B$16,0)</f>
        <v/>
      </c>
      <c r="AC16" s="35">
        <f>IF(28=Inputs!$B$11,Inputs!$B$10,0)+IF(28=Inputs!$B$13,Inputs!$B$12,0)+IF(28=Inputs!$B$15,Inputs!$B$14,0)+IF(28=Inputs!$B$17,Inputs!$B$16,0)</f>
        <v/>
      </c>
      <c r="AD16" s="35">
        <f>IF(29=Inputs!$B$11,Inputs!$B$10,0)+IF(29=Inputs!$B$13,Inputs!$B$12,0)+IF(29=Inputs!$B$15,Inputs!$B$14,0)+IF(29=Inputs!$B$17,Inputs!$B$16,0)</f>
        <v/>
      </c>
      <c r="AE16" s="35">
        <f>IF(30=Inputs!$B$11,Inputs!$B$10,0)+IF(30=Inputs!$B$13,Inputs!$B$12,0)+IF(30=Inputs!$B$15,Inputs!$B$14,0)+IF(30=Inputs!$B$17,Inputs!$B$16,0)</f>
        <v/>
      </c>
      <c r="AF16" s="35">
        <f>IF(31=Inputs!$B$11,Inputs!$B$10,0)+IF(31=Inputs!$B$13,Inputs!$B$12,0)+IF(31=Inputs!$B$15,Inputs!$B$14,0)+IF(31=Inputs!$B$17,Inputs!$B$16,0)</f>
        <v/>
      </c>
      <c r="AG16" s="35">
        <f>IF(32=Inputs!$B$11,Inputs!$B$10,0)+IF(32=Inputs!$B$13,Inputs!$B$12,0)+IF(32=Inputs!$B$15,Inputs!$B$14,0)+IF(32=Inputs!$B$17,Inputs!$B$16,0)</f>
        <v/>
      </c>
      <c r="AH16" s="35">
        <f>IF(33=Inputs!$B$11,Inputs!$B$10,0)+IF(33=Inputs!$B$13,Inputs!$B$12,0)+IF(33=Inputs!$B$15,Inputs!$B$14,0)+IF(33=Inputs!$B$17,Inputs!$B$16,0)</f>
        <v/>
      </c>
      <c r="AI16" s="35">
        <f>IF(34=Inputs!$B$11,Inputs!$B$10,0)+IF(34=Inputs!$B$13,Inputs!$B$12,0)+IF(34=Inputs!$B$15,Inputs!$B$14,0)+IF(34=Inputs!$B$17,Inputs!$B$16,0)</f>
        <v/>
      </c>
      <c r="AJ16" s="35">
        <f>IF(35=Inputs!$B$11,Inputs!$B$10,0)+IF(35=Inputs!$B$13,Inputs!$B$12,0)+IF(35=Inputs!$B$15,Inputs!$B$14,0)+IF(35=Inputs!$B$17,Inputs!$B$16,0)</f>
        <v/>
      </c>
      <c r="AK16" s="35">
        <f>IF(36=Inputs!$B$11,Inputs!$B$10,0)+IF(36=Inputs!$B$13,Inputs!$B$12,0)+IF(36=Inputs!$B$15,Inputs!$B$14,0)+IF(36=Inputs!$B$17,Inputs!$B$16,0)</f>
        <v/>
      </c>
      <c r="AL16" s="35">
        <f>IF(37=Inputs!$B$11,Inputs!$B$10,0)+IF(37=Inputs!$B$13,Inputs!$B$12,0)+IF(37=Inputs!$B$15,Inputs!$B$14,0)+IF(37=Inputs!$B$17,Inputs!$B$16,0)</f>
        <v/>
      </c>
      <c r="AM16" s="35">
        <f>IF(38=Inputs!$B$11,Inputs!$B$10,0)+IF(38=Inputs!$B$13,Inputs!$B$12,0)+IF(38=Inputs!$B$15,Inputs!$B$14,0)+IF(38=Inputs!$B$17,Inputs!$B$16,0)</f>
        <v/>
      </c>
      <c r="AN16" s="35">
        <f>IF(39=Inputs!$B$11,Inputs!$B$10,0)+IF(39=Inputs!$B$13,Inputs!$B$12,0)+IF(39=Inputs!$B$15,Inputs!$B$14,0)+IF(39=Inputs!$B$17,Inputs!$B$16,0)</f>
        <v/>
      </c>
      <c r="AO16" s="35">
        <f>IF(40=Inputs!$B$11,Inputs!$B$10,0)+IF(40=Inputs!$B$13,Inputs!$B$12,0)+IF(40=Inputs!$B$15,Inputs!$B$14,0)+IF(40=Inputs!$B$17,Inputs!$B$16,0)</f>
        <v/>
      </c>
      <c r="AP16" s="35">
        <f>IF(41=Inputs!$B$11,Inputs!$B$10,0)+IF(41=Inputs!$B$13,Inputs!$B$12,0)+IF(41=Inputs!$B$15,Inputs!$B$14,0)+IF(41=Inputs!$B$17,Inputs!$B$16,0)</f>
        <v/>
      </c>
      <c r="AQ16" s="35">
        <f>IF(42=Inputs!$B$11,Inputs!$B$10,0)+IF(42=Inputs!$B$13,Inputs!$B$12,0)+IF(42=Inputs!$B$15,Inputs!$B$14,0)+IF(42=Inputs!$B$17,Inputs!$B$16,0)</f>
        <v/>
      </c>
      <c r="AR16" s="35">
        <f>IF(43=Inputs!$B$11,Inputs!$B$10,0)+IF(43=Inputs!$B$13,Inputs!$B$12,0)+IF(43=Inputs!$B$15,Inputs!$B$14,0)+IF(43=Inputs!$B$17,Inputs!$B$16,0)</f>
        <v/>
      </c>
      <c r="AS16" s="35">
        <f>IF(44=Inputs!$B$11,Inputs!$B$10,0)+IF(44=Inputs!$B$13,Inputs!$B$12,0)+IF(44=Inputs!$B$15,Inputs!$B$14,0)+IF(44=Inputs!$B$17,Inputs!$B$16,0)</f>
        <v/>
      </c>
      <c r="AT16" s="35">
        <f>IF(45=Inputs!$B$11,Inputs!$B$10,0)+IF(45=Inputs!$B$13,Inputs!$B$12,0)+IF(45=Inputs!$B$15,Inputs!$B$14,0)+IF(45=Inputs!$B$17,Inputs!$B$16,0)</f>
        <v/>
      </c>
      <c r="AU16" s="35">
        <f>IF(46=Inputs!$B$11,Inputs!$B$10,0)+IF(46=Inputs!$B$13,Inputs!$B$12,0)+IF(46=Inputs!$B$15,Inputs!$B$14,0)+IF(46=Inputs!$B$17,Inputs!$B$16,0)</f>
        <v/>
      </c>
      <c r="AV16" s="35">
        <f>IF(47=Inputs!$B$11,Inputs!$B$10,0)+IF(47=Inputs!$B$13,Inputs!$B$12,0)+IF(47=Inputs!$B$15,Inputs!$B$14,0)+IF(47=Inputs!$B$17,Inputs!$B$16,0)</f>
        <v/>
      </c>
      <c r="AW16" s="35">
        <f>IF(48=Inputs!$B$11,Inputs!$B$10,0)+IF(48=Inputs!$B$13,Inputs!$B$12,0)+IF(48=Inputs!$B$15,Inputs!$B$14,0)+IF(48=Inputs!$B$17,Inputs!$B$16,0)</f>
        <v/>
      </c>
      <c r="AX16" s="35">
        <f>IF(49=Inputs!$B$11,Inputs!$B$10,0)+IF(49=Inputs!$B$13,Inputs!$B$12,0)+IF(49=Inputs!$B$15,Inputs!$B$14,0)+IF(49=Inputs!$B$17,Inputs!$B$16,0)</f>
        <v/>
      </c>
      <c r="AY16" s="35">
        <f>IF(50=Inputs!$B$11,Inputs!$B$10,0)+IF(50=Inputs!$B$13,Inputs!$B$12,0)+IF(50=Inputs!$B$15,Inputs!$B$14,0)+IF(50=Inputs!$B$17,Inputs!$B$16,0)</f>
        <v/>
      </c>
      <c r="AZ16" s="35">
        <f>IF(51=Inputs!$B$11,Inputs!$B$10,0)+IF(51=Inputs!$B$13,Inputs!$B$12,0)+IF(51=Inputs!$B$15,Inputs!$B$14,0)+IF(51=Inputs!$B$17,Inputs!$B$16,0)</f>
        <v/>
      </c>
      <c r="BA16" s="35">
        <f>IF(52=Inputs!$B$11,Inputs!$B$10,0)+IF(52=Inputs!$B$13,Inputs!$B$12,0)+IF(52=Inputs!$B$15,Inputs!$B$14,0)+IF(52=Inputs!$B$17,Inputs!$B$16,0)</f>
        <v/>
      </c>
    </row>
    <row r="17" ht="14.25" customHeight="1" s="214">
      <c r="A17" s="2" t="inlineStr">
        <is>
          <t>Net Cash from Financing</t>
        </is>
      </c>
      <c r="B17" s="33">
        <f>B16</f>
        <v/>
      </c>
      <c r="C17" s="33">
        <f>C16</f>
        <v/>
      </c>
      <c r="D17" s="33">
        <f>D16</f>
        <v/>
      </c>
      <c r="E17" s="33">
        <f>E16</f>
        <v/>
      </c>
      <c r="F17" s="33">
        <f>F16</f>
        <v/>
      </c>
      <c r="G17" s="33">
        <f>G16</f>
        <v/>
      </c>
      <c r="H17" s="33">
        <f>H16</f>
        <v/>
      </c>
      <c r="I17" s="33">
        <f>I16</f>
        <v/>
      </c>
      <c r="J17" s="33">
        <f>J16</f>
        <v/>
      </c>
      <c r="K17" s="33">
        <f>K16</f>
        <v/>
      </c>
      <c r="L17" s="33">
        <f>L16</f>
        <v/>
      </c>
      <c r="M17" s="33">
        <f>M16</f>
        <v/>
      </c>
      <c r="N17" s="33">
        <f>N16</f>
        <v/>
      </c>
      <c r="O17" s="33">
        <f>O16</f>
        <v/>
      </c>
      <c r="P17" s="33">
        <f>P16</f>
        <v/>
      </c>
      <c r="Q17" s="33">
        <f>Q16</f>
        <v/>
      </c>
      <c r="R17" s="33">
        <f>R16</f>
        <v/>
      </c>
      <c r="S17" s="33">
        <f>S16</f>
        <v/>
      </c>
      <c r="T17" s="33">
        <f>T16</f>
        <v/>
      </c>
      <c r="U17" s="33">
        <f>U16</f>
        <v/>
      </c>
      <c r="V17" s="33">
        <f>V16</f>
        <v/>
      </c>
      <c r="W17" s="33">
        <f>W16</f>
        <v/>
      </c>
      <c r="X17" s="33">
        <f>X16</f>
        <v/>
      </c>
      <c r="Y17" s="33">
        <f>Y16</f>
        <v/>
      </c>
      <c r="Z17" s="33">
        <f>Z16</f>
        <v/>
      </c>
      <c r="AA17" s="33">
        <f>AA16</f>
        <v/>
      </c>
      <c r="AB17" s="33">
        <f>AB16</f>
        <v/>
      </c>
      <c r="AC17" s="33">
        <f>AC16</f>
        <v/>
      </c>
      <c r="AD17" s="33">
        <f>AD16</f>
        <v/>
      </c>
      <c r="AE17" s="33">
        <f>AE16</f>
        <v/>
      </c>
      <c r="AF17" s="33">
        <f>AF16</f>
        <v/>
      </c>
      <c r="AG17" s="33">
        <f>AG16</f>
        <v/>
      </c>
      <c r="AH17" s="33">
        <f>AH16</f>
        <v/>
      </c>
      <c r="AI17" s="33">
        <f>AI16</f>
        <v/>
      </c>
      <c r="AJ17" s="33">
        <f>AJ16</f>
        <v/>
      </c>
      <c r="AK17" s="33">
        <f>AK16</f>
        <v/>
      </c>
      <c r="AL17" s="33">
        <f>AL16</f>
        <v/>
      </c>
      <c r="AM17" s="33">
        <f>AM16</f>
        <v/>
      </c>
      <c r="AN17" s="33">
        <f>AN16</f>
        <v/>
      </c>
      <c r="AO17" s="33">
        <f>AO16</f>
        <v/>
      </c>
      <c r="AP17" s="33">
        <f>AP16</f>
        <v/>
      </c>
      <c r="AQ17" s="33">
        <f>AQ16</f>
        <v/>
      </c>
      <c r="AR17" s="33">
        <f>AR16</f>
        <v/>
      </c>
      <c r="AS17" s="33">
        <f>AS16</f>
        <v/>
      </c>
      <c r="AT17" s="33">
        <f>AT16</f>
        <v/>
      </c>
      <c r="AU17" s="33">
        <f>AU16</f>
        <v/>
      </c>
      <c r="AV17" s="33">
        <f>AV16</f>
        <v/>
      </c>
      <c r="AW17" s="33">
        <f>AW16</f>
        <v/>
      </c>
      <c r="AX17" s="33">
        <f>AX16</f>
        <v/>
      </c>
      <c r="AY17" s="33">
        <f>AY16</f>
        <v/>
      </c>
      <c r="AZ17" s="33">
        <f>AZ16</f>
        <v/>
      </c>
      <c r="BA17" s="33">
        <f>BA16</f>
        <v/>
      </c>
    </row>
    <row r="18" ht="14.25" customHeight="1" s="214"/>
    <row r="19" ht="14.25" customHeight="1" s="214">
      <c r="A19" s="2" t="inlineStr">
        <is>
          <t>NET CHANGE IN CASH</t>
        </is>
      </c>
      <c r="B19" s="33">
        <f>B9+B13+B17</f>
        <v/>
      </c>
      <c r="C19" s="33">
        <f>C9+C13+C17</f>
        <v/>
      </c>
      <c r="D19" s="33">
        <f>D9+D13+D17</f>
        <v/>
      </c>
      <c r="E19" s="33">
        <f>E9+E13+E17</f>
        <v/>
      </c>
      <c r="F19" s="33">
        <f>F9+F13+F17</f>
        <v/>
      </c>
      <c r="G19" s="33">
        <f>G9+G13+G17</f>
        <v/>
      </c>
      <c r="H19" s="33">
        <f>H9+H13+H17</f>
        <v/>
      </c>
      <c r="I19" s="33">
        <f>I9+I13+I17</f>
        <v/>
      </c>
      <c r="J19" s="33">
        <f>J9+J13+J17</f>
        <v/>
      </c>
      <c r="K19" s="33">
        <f>K9+K13+K17</f>
        <v/>
      </c>
      <c r="L19" s="33">
        <f>L9+L13+L17</f>
        <v/>
      </c>
      <c r="M19" s="33">
        <f>M9+M13+M17</f>
        <v/>
      </c>
      <c r="N19" s="33">
        <f>N9+N13+N17</f>
        <v/>
      </c>
      <c r="O19" s="33">
        <f>O9+O13+O17</f>
        <v/>
      </c>
      <c r="P19" s="33">
        <f>P9+P13+P17</f>
        <v/>
      </c>
      <c r="Q19" s="33">
        <f>Q9+Q13+Q17</f>
        <v/>
      </c>
      <c r="R19" s="33">
        <f>R9+R13+R17</f>
        <v/>
      </c>
      <c r="S19" s="33">
        <f>S9+S13+S17</f>
        <v/>
      </c>
      <c r="T19" s="33">
        <f>T9+T13+T17</f>
        <v/>
      </c>
      <c r="U19" s="33">
        <f>U9+U13+U17</f>
        <v/>
      </c>
      <c r="V19" s="33">
        <f>V9+V13+V17</f>
        <v/>
      </c>
      <c r="W19" s="33">
        <f>W9+W13+W17</f>
        <v/>
      </c>
      <c r="X19" s="33">
        <f>X9+X13+X17</f>
        <v/>
      </c>
      <c r="Y19" s="33">
        <f>Y9+Y13+Y17</f>
        <v/>
      </c>
      <c r="Z19" s="33">
        <f>Z9+Z13+Z17</f>
        <v/>
      </c>
      <c r="AA19" s="33">
        <f>AA9+AA13+AA17</f>
        <v/>
      </c>
      <c r="AB19" s="33">
        <f>AB9+AB13+AB17</f>
        <v/>
      </c>
      <c r="AC19" s="33">
        <f>AC9+AC13+AC17</f>
        <v/>
      </c>
      <c r="AD19" s="33">
        <f>AD9+AD13+AD17</f>
        <v/>
      </c>
      <c r="AE19" s="33">
        <f>AE9+AE13+AE17</f>
        <v/>
      </c>
      <c r="AF19" s="33">
        <f>AF9+AF13+AF17</f>
        <v/>
      </c>
      <c r="AG19" s="33">
        <f>AG9+AG13+AG17</f>
        <v/>
      </c>
      <c r="AH19" s="33">
        <f>AH9+AH13+AH17</f>
        <v/>
      </c>
      <c r="AI19" s="33">
        <f>AI9+AI13+AI17</f>
        <v/>
      </c>
      <c r="AJ19" s="33">
        <f>AJ9+AJ13+AJ17</f>
        <v/>
      </c>
      <c r="AK19" s="33">
        <f>AK9+AK13+AK17</f>
        <v/>
      </c>
      <c r="AL19" s="33">
        <f>AL9+AL13+AL17</f>
        <v/>
      </c>
      <c r="AM19" s="33">
        <f>AM9+AM13+AM17</f>
        <v/>
      </c>
      <c r="AN19" s="33">
        <f>AN9+AN13+AN17</f>
        <v/>
      </c>
      <c r="AO19" s="33">
        <f>AO9+AO13+AO17</f>
        <v/>
      </c>
      <c r="AP19" s="33">
        <f>AP9+AP13+AP17</f>
        <v/>
      </c>
      <c r="AQ19" s="33">
        <f>AQ9+AQ13+AQ17</f>
        <v/>
      </c>
      <c r="AR19" s="33">
        <f>AR9+AR13+AR17</f>
        <v/>
      </c>
      <c r="AS19" s="33">
        <f>AS9+AS13+AS17</f>
        <v/>
      </c>
      <c r="AT19" s="33">
        <f>AT9+AT13+AT17</f>
        <v/>
      </c>
      <c r="AU19" s="33">
        <f>AU9+AU13+AU17</f>
        <v/>
      </c>
      <c r="AV19" s="33">
        <f>AV9+AV13+AV17</f>
        <v/>
      </c>
      <c r="AW19" s="33">
        <f>AW9+AW13+AW17</f>
        <v/>
      </c>
      <c r="AX19" s="33">
        <f>AX9+AX13+AX17</f>
        <v/>
      </c>
      <c r="AY19" s="33">
        <f>AY9+AY13+AY17</f>
        <v/>
      </c>
      <c r="AZ19" s="33">
        <f>AZ9+AZ13+AZ17</f>
        <v/>
      </c>
      <c r="BA19" s="33">
        <f>BA9+BA13+BA17</f>
        <v/>
      </c>
    </row>
    <row r="20" ht="14.25" customHeight="1" s="214"/>
    <row r="21" ht="14.25" customHeight="1" s="214">
      <c r="A21" s="3" t="inlineStr">
        <is>
          <t>Beginning Cash Balance</t>
        </is>
      </c>
      <c r="B21" s="35" t="n">
        <v>0</v>
      </c>
      <c r="C21" s="35">
        <f>B23</f>
        <v/>
      </c>
      <c r="D21" s="35">
        <f>C23</f>
        <v/>
      </c>
      <c r="E21" s="35">
        <f>D23</f>
        <v/>
      </c>
      <c r="F21" s="35">
        <f>E23</f>
        <v/>
      </c>
      <c r="G21" s="35">
        <f>F23</f>
        <v/>
      </c>
      <c r="H21" s="35">
        <f>G23</f>
        <v/>
      </c>
      <c r="I21" s="35">
        <f>H23</f>
        <v/>
      </c>
      <c r="J21" s="35">
        <f>I23</f>
        <v/>
      </c>
      <c r="K21" s="35">
        <f>J23</f>
        <v/>
      </c>
      <c r="L21" s="35">
        <f>K23</f>
        <v/>
      </c>
      <c r="M21" s="35">
        <f>L23</f>
        <v/>
      </c>
      <c r="N21" s="35">
        <f>M23</f>
        <v/>
      </c>
      <c r="O21" s="35">
        <f>N23</f>
        <v/>
      </c>
      <c r="P21" s="35">
        <f>O23</f>
        <v/>
      </c>
      <c r="Q21" s="35">
        <f>P23</f>
        <v/>
      </c>
      <c r="R21" s="35">
        <f>Q23</f>
        <v/>
      </c>
      <c r="S21" s="35">
        <f>R23</f>
        <v/>
      </c>
      <c r="T21" s="35">
        <f>S23</f>
        <v/>
      </c>
      <c r="U21" s="35">
        <f>T23</f>
        <v/>
      </c>
      <c r="V21" s="35">
        <f>U23</f>
        <v/>
      </c>
      <c r="W21" s="35">
        <f>V23</f>
        <v/>
      </c>
      <c r="X21" s="35">
        <f>W23</f>
        <v/>
      </c>
      <c r="Y21" s="35">
        <f>X23</f>
        <v/>
      </c>
      <c r="Z21" s="35">
        <f>Y23</f>
        <v/>
      </c>
      <c r="AA21" s="35">
        <f>Z23</f>
        <v/>
      </c>
      <c r="AB21" s="35">
        <f>AA23</f>
        <v/>
      </c>
      <c r="AC21" s="35">
        <f>AB23</f>
        <v/>
      </c>
      <c r="AD21" s="35">
        <f>AC23</f>
        <v/>
      </c>
      <c r="AE21" s="35">
        <f>AD23</f>
        <v/>
      </c>
      <c r="AF21" s="35">
        <f>AE23</f>
        <v/>
      </c>
      <c r="AG21" s="35">
        <f>AF23</f>
        <v/>
      </c>
      <c r="AH21" s="35">
        <f>AG23</f>
        <v/>
      </c>
      <c r="AI21" s="35">
        <f>AH23</f>
        <v/>
      </c>
      <c r="AJ21" s="35">
        <f>AI23</f>
        <v/>
      </c>
      <c r="AK21" s="35">
        <f>AJ23</f>
        <v/>
      </c>
      <c r="AL21" s="35">
        <f>AK23</f>
        <v/>
      </c>
      <c r="AM21" s="35">
        <f>AL23</f>
        <v/>
      </c>
      <c r="AN21" s="35">
        <f>AM23</f>
        <v/>
      </c>
      <c r="AO21" s="35">
        <f>AN23</f>
        <v/>
      </c>
      <c r="AP21" s="35">
        <f>AO23</f>
        <v/>
      </c>
      <c r="AQ21" s="35">
        <f>AP23</f>
        <v/>
      </c>
      <c r="AR21" s="35">
        <f>AQ23</f>
        <v/>
      </c>
      <c r="AS21" s="35">
        <f>AR23</f>
        <v/>
      </c>
      <c r="AT21" s="35">
        <f>AS23</f>
        <v/>
      </c>
      <c r="AU21" s="35">
        <f>AT23</f>
        <v/>
      </c>
      <c r="AV21" s="35">
        <f>AU23</f>
        <v/>
      </c>
      <c r="AW21" s="35">
        <f>AV23</f>
        <v/>
      </c>
      <c r="AX21" s="35">
        <f>AW23</f>
        <v/>
      </c>
      <c r="AY21" s="35">
        <f>AX23</f>
        <v/>
      </c>
      <c r="AZ21" s="35">
        <f>AY23</f>
        <v/>
      </c>
      <c r="BA21" s="35">
        <f>AZ23</f>
        <v/>
      </c>
    </row>
    <row r="22" ht="14.25" customHeight="1" s="214">
      <c r="A22" s="3" t="inlineStr">
        <is>
          <t>Net Change</t>
        </is>
      </c>
      <c r="B22" s="35">
        <f>B19</f>
        <v/>
      </c>
      <c r="C22" s="35">
        <f>C19</f>
        <v/>
      </c>
      <c r="D22" s="35">
        <f>D19</f>
        <v/>
      </c>
      <c r="E22" s="35">
        <f>E19</f>
        <v/>
      </c>
      <c r="F22" s="35">
        <f>F19</f>
        <v/>
      </c>
      <c r="G22" s="35">
        <f>G19</f>
        <v/>
      </c>
      <c r="H22" s="35">
        <f>H19</f>
        <v/>
      </c>
      <c r="I22" s="35">
        <f>I19</f>
        <v/>
      </c>
      <c r="J22" s="35">
        <f>J19</f>
        <v/>
      </c>
      <c r="K22" s="35">
        <f>K19</f>
        <v/>
      </c>
      <c r="L22" s="35">
        <f>L19</f>
        <v/>
      </c>
      <c r="M22" s="35">
        <f>M19</f>
        <v/>
      </c>
      <c r="N22" s="35">
        <f>N19</f>
        <v/>
      </c>
      <c r="O22" s="35">
        <f>O19</f>
        <v/>
      </c>
      <c r="P22" s="35">
        <f>P19</f>
        <v/>
      </c>
      <c r="Q22" s="35">
        <f>Q19</f>
        <v/>
      </c>
      <c r="R22" s="35">
        <f>R19</f>
        <v/>
      </c>
      <c r="S22" s="35">
        <f>S19</f>
        <v/>
      </c>
      <c r="T22" s="35">
        <f>T19</f>
        <v/>
      </c>
      <c r="U22" s="35">
        <f>U19</f>
        <v/>
      </c>
      <c r="V22" s="35">
        <f>V19</f>
        <v/>
      </c>
      <c r="W22" s="35">
        <f>W19</f>
        <v/>
      </c>
      <c r="X22" s="35">
        <f>X19</f>
        <v/>
      </c>
      <c r="Y22" s="35">
        <f>Y19</f>
        <v/>
      </c>
      <c r="Z22" s="35">
        <f>Z19</f>
        <v/>
      </c>
      <c r="AA22" s="35">
        <f>AA19</f>
        <v/>
      </c>
      <c r="AB22" s="35">
        <f>AB19</f>
        <v/>
      </c>
      <c r="AC22" s="35">
        <f>AC19</f>
        <v/>
      </c>
      <c r="AD22" s="35">
        <f>AD19</f>
        <v/>
      </c>
      <c r="AE22" s="35">
        <f>AE19</f>
        <v/>
      </c>
      <c r="AF22" s="35">
        <f>AF19</f>
        <v/>
      </c>
      <c r="AG22" s="35">
        <f>AG19</f>
        <v/>
      </c>
      <c r="AH22" s="35">
        <f>AH19</f>
        <v/>
      </c>
      <c r="AI22" s="35">
        <f>AI19</f>
        <v/>
      </c>
      <c r="AJ22" s="35">
        <f>AJ19</f>
        <v/>
      </c>
      <c r="AK22" s="35">
        <f>AK19</f>
        <v/>
      </c>
      <c r="AL22" s="35">
        <f>AL19</f>
        <v/>
      </c>
      <c r="AM22" s="35">
        <f>AM19</f>
        <v/>
      </c>
      <c r="AN22" s="35">
        <f>AN19</f>
        <v/>
      </c>
      <c r="AO22" s="35">
        <f>AO19</f>
        <v/>
      </c>
      <c r="AP22" s="35">
        <f>AP19</f>
        <v/>
      </c>
      <c r="AQ22" s="35">
        <f>AQ19</f>
        <v/>
      </c>
      <c r="AR22" s="35">
        <f>AR19</f>
        <v/>
      </c>
      <c r="AS22" s="35">
        <f>AS19</f>
        <v/>
      </c>
      <c r="AT22" s="35">
        <f>AT19</f>
        <v/>
      </c>
      <c r="AU22" s="35">
        <f>AU19</f>
        <v/>
      </c>
      <c r="AV22" s="35">
        <f>AV19</f>
        <v/>
      </c>
      <c r="AW22" s="35">
        <f>AW19</f>
        <v/>
      </c>
      <c r="AX22" s="35">
        <f>AX19</f>
        <v/>
      </c>
      <c r="AY22" s="35">
        <f>AY19</f>
        <v/>
      </c>
      <c r="AZ22" s="35">
        <f>AZ19</f>
        <v/>
      </c>
      <c r="BA22" s="35">
        <f>BA19</f>
        <v/>
      </c>
    </row>
    <row r="23" ht="14.25" customHeight="1" s="214">
      <c r="A23" s="2" t="inlineStr">
        <is>
          <t>ENDING CASH BALANCE</t>
        </is>
      </c>
      <c r="B23" s="33">
        <f>B21+B22</f>
        <v/>
      </c>
      <c r="C23" s="33">
        <f>C21+C22</f>
        <v/>
      </c>
      <c r="D23" s="33">
        <f>D21+D22</f>
        <v/>
      </c>
      <c r="E23" s="33">
        <f>E21+E22</f>
        <v/>
      </c>
      <c r="F23" s="33">
        <f>F21+F22</f>
        <v/>
      </c>
      <c r="G23" s="33">
        <f>G21+G22</f>
        <v/>
      </c>
      <c r="H23" s="33">
        <f>H21+H22</f>
        <v/>
      </c>
      <c r="I23" s="33">
        <f>I21+I22</f>
        <v/>
      </c>
      <c r="J23" s="33">
        <f>J21+J22</f>
        <v/>
      </c>
      <c r="K23" s="33">
        <f>K21+K22</f>
        <v/>
      </c>
      <c r="L23" s="33">
        <f>L21+L22</f>
        <v/>
      </c>
      <c r="M23" s="33">
        <f>M21+M22</f>
        <v/>
      </c>
      <c r="N23" s="33">
        <f>N21+N22</f>
        <v/>
      </c>
      <c r="O23" s="33">
        <f>O21+O22</f>
        <v/>
      </c>
      <c r="P23" s="33">
        <f>P21+P22</f>
        <v/>
      </c>
      <c r="Q23" s="33">
        <f>Q21+Q22</f>
        <v/>
      </c>
      <c r="R23" s="33">
        <f>R21+R22</f>
        <v/>
      </c>
      <c r="S23" s="33">
        <f>S21+S22</f>
        <v/>
      </c>
      <c r="T23" s="33">
        <f>T21+T22</f>
        <v/>
      </c>
      <c r="U23" s="33">
        <f>U21+U22</f>
        <v/>
      </c>
      <c r="V23" s="33">
        <f>V21+V22</f>
        <v/>
      </c>
      <c r="W23" s="33">
        <f>W21+W22</f>
        <v/>
      </c>
      <c r="X23" s="33">
        <f>X21+X22</f>
        <v/>
      </c>
      <c r="Y23" s="33">
        <f>Y21+Y22</f>
        <v/>
      </c>
      <c r="Z23" s="33">
        <f>Z21+Z22</f>
        <v/>
      </c>
      <c r="AA23" s="33">
        <f>AA21+AA22</f>
        <v/>
      </c>
      <c r="AB23" s="33">
        <f>AB21+AB22</f>
        <v/>
      </c>
      <c r="AC23" s="33">
        <f>AC21+AC22</f>
        <v/>
      </c>
      <c r="AD23" s="33">
        <f>AD21+AD22</f>
        <v/>
      </c>
      <c r="AE23" s="33">
        <f>AE21+AE22</f>
        <v/>
      </c>
      <c r="AF23" s="33">
        <f>AF21+AF22</f>
        <v/>
      </c>
      <c r="AG23" s="33">
        <f>AG21+AG22</f>
        <v/>
      </c>
      <c r="AH23" s="33">
        <f>AH21+AH22</f>
        <v/>
      </c>
      <c r="AI23" s="33">
        <f>AI21+AI22</f>
        <v/>
      </c>
      <c r="AJ23" s="33">
        <f>AJ21+AJ22</f>
        <v/>
      </c>
      <c r="AK23" s="33">
        <f>AK21+AK22</f>
        <v/>
      </c>
      <c r="AL23" s="33">
        <f>AL21+AL22</f>
        <v/>
      </c>
      <c r="AM23" s="33">
        <f>AM21+AM22</f>
        <v/>
      </c>
      <c r="AN23" s="33">
        <f>AN21+AN22</f>
        <v/>
      </c>
      <c r="AO23" s="33">
        <f>AO21+AO22</f>
        <v/>
      </c>
      <c r="AP23" s="33">
        <f>AP21+AP22</f>
        <v/>
      </c>
      <c r="AQ23" s="33">
        <f>AQ21+AQ22</f>
        <v/>
      </c>
      <c r="AR23" s="33">
        <f>AR21+AR22</f>
        <v/>
      </c>
      <c r="AS23" s="33">
        <f>AS21+AS22</f>
        <v/>
      </c>
      <c r="AT23" s="33">
        <f>AT21+AT22</f>
        <v/>
      </c>
      <c r="AU23" s="33">
        <f>AU21+AU22</f>
        <v/>
      </c>
      <c r="AV23" s="33">
        <f>AV21+AV22</f>
        <v/>
      </c>
      <c r="AW23" s="33">
        <f>AW21+AW22</f>
        <v/>
      </c>
      <c r="AX23" s="33">
        <f>AX21+AX22</f>
        <v/>
      </c>
      <c r="AY23" s="33">
        <f>AY21+AY22</f>
        <v/>
      </c>
      <c r="AZ23" s="33">
        <f>AZ21+AZ22</f>
        <v/>
      </c>
      <c r="BA23" s="33">
        <f>BA21+BA22</f>
        <v/>
      </c>
    </row>
    <row r="24" ht="14.25" customHeight="1" s="214"/>
    <row r="25" ht="14.25" customHeight="1" s="214">
      <c r="A25" s="2" t="inlineStr">
        <is>
          <t>KEY METRICS</t>
        </is>
      </c>
    </row>
    <row r="26" ht="14.25" customHeight="1" s="214">
      <c r="A26" s="3" t="inlineStr">
        <is>
          <t>Monthly Burn Rate</t>
        </is>
      </c>
      <c r="B26" s="35">
        <f>IF(B19&lt;0,-B19,0)</f>
        <v/>
      </c>
      <c r="C26" s="35">
        <f>IF(C19&lt;0,-C19,0)</f>
        <v/>
      </c>
      <c r="D26" s="35">
        <f>IF(D19&lt;0,-D19,0)</f>
        <v/>
      </c>
      <c r="E26" s="35">
        <f>IF(E19&lt;0,-E19,0)</f>
        <v/>
      </c>
      <c r="F26" s="35">
        <f>IF(F19&lt;0,-F19,0)</f>
        <v/>
      </c>
      <c r="G26" s="35">
        <f>IF(G19&lt;0,-G19,0)</f>
        <v/>
      </c>
      <c r="H26" s="35">
        <f>IF(H19&lt;0,-H19,0)</f>
        <v/>
      </c>
      <c r="I26" s="35">
        <f>IF(I19&lt;0,-I19,0)</f>
        <v/>
      </c>
      <c r="J26" s="35">
        <f>IF(J19&lt;0,-J19,0)</f>
        <v/>
      </c>
      <c r="K26" s="35">
        <f>IF(K19&lt;0,-K19,0)</f>
        <v/>
      </c>
      <c r="L26" s="35">
        <f>IF(L19&lt;0,-L19,0)</f>
        <v/>
      </c>
      <c r="M26" s="35">
        <f>IF(M19&lt;0,-M19,0)</f>
        <v/>
      </c>
      <c r="N26" s="35">
        <f>IF(N19&lt;0,-N19,0)</f>
        <v/>
      </c>
      <c r="O26" s="35">
        <f>IF(O19&lt;0,-O19,0)</f>
        <v/>
      </c>
      <c r="P26" s="35">
        <f>IF(P19&lt;0,-P19,0)</f>
        <v/>
      </c>
      <c r="Q26" s="35">
        <f>IF(Q19&lt;0,-Q19,0)</f>
        <v/>
      </c>
      <c r="R26" s="35">
        <f>IF(R19&lt;0,-R19,0)</f>
        <v/>
      </c>
      <c r="S26" s="35">
        <f>IF(S19&lt;0,-S19,0)</f>
        <v/>
      </c>
      <c r="T26" s="35">
        <f>IF(T19&lt;0,-T19,0)</f>
        <v/>
      </c>
      <c r="U26" s="35">
        <f>IF(U19&lt;0,-U19,0)</f>
        <v/>
      </c>
      <c r="V26" s="35">
        <f>IF(V19&lt;0,-V19,0)</f>
        <v/>
      </c>
      <c r="W26" s="35">
        <f>IF(W19&lt;0,-W19,0)</f>
        <v/>
      </c>
      <c r="X26" s="35">
        <f>IF(X19&lt;0,-X19,0)</f>
        <v/>
      </c>
      <c r="Y26" s="35">
        <f>IF(Y19&lt;0,-Y19,0)</f>
        <v/>
      </c>
      <c r="Z26" s="35">
        <f>IF(Z19&lt;0,-Z19,0)</f>
        <v/>
      </c>
      <c r="AA26" s="35">
        <f>IF(AA19&lt;0,-AA19,0)</f>
        <v/>
      </c>
      <c r="AB26" s="35">
        <f>IF(AB19&lt;0,-AB19,0)</f>
        <v/>
      </c>
      <c r="AC26" s="35">
        <f>IF(AC19&lt;0,-AC19,0)</f>
        <v/>
      </c>
      <c r="AD26" s="35">
        <f>IF(AD19&lt;0,-AD19,0)</f>
        <v/>
      </c>
      <c r="AE26" s="35">
        <f>IF(AE19&lt;0,-AE19,0)</f>
        <v/>
      </c>
      <c r="AF26" s="35">
        <f>IF(AF19&lt;0,-AF19,0)</f>
        <v/>
      </c>
      <c r="AG26" s="35">
        <f>IF(AG19&lt;0,-AG19,0)</f>
        <v/>
      </c>
      <c r="AH26" s="35">
        <f>IF(AH19&lt;0,-AH19,0)</f>
        <v/>
      </c>
      <c r="AI26" s="35">
        <f>IF(AI19&lt;0,-AI19,0)</f>
        <v/>
      </c>
      <c r="AJ26" s="35">
        <f>IF(AJ19&lt;0,-AJ19,0)</f>
        <v/>
      </c>
      <c r="AK26" s="35">
        <f>IF(AK19&lt;0,-AK19,0)</f>
        <v/>
      </c>
      <c r="AL26" s="35">
        <f>IF(AL19&lt;0,-AL19,0)</f>
        <v/>
      </c>
      <c r="AM26" s="35">
        <f>IF(AM19&lt;0,-AM19,0)</f>
        <v/>
      </c>
      <c r="AN26" s="35">
        <f>IF(AN19&lt;0,-AN19,0)</f>
        <v/>
      </c>
      <c r="AO26" s="35">
        <f>IF(AO19&lt;0,-AO19,0)</f>
        <v/>
      </c>
      <c r="AP26" s="35">
        <f>IF(AP19&lt;0,-AP19,0)</f>
        <v/>
      </c>
      <c r="AQ26" s="35">
        <f>IF(AQ19&lt;0,-AQ19,0)</f>
        <v/>
      </c>
      <c r="AR26" s="35">
        <f>IF(AR19&lt;0,-AR19,0)</f>
        <v/>
      </c>
      <c r="AS26" s="35">
        <f>IF(AS19&lt;0,-AS19,0)</f>
        <v/>
      </c>
      <c r="AT26" s="35">
        <f>IF(AT19&lt;0,-AT19,0)</f>
        <v/>
      </c>
      <c r="AU26" s="35">
        <f>IF(AU19&lt;0,-AU19,0)</f>
        <v/>
      </c>
      <c r="AV26" s="35">
        <f>IF(AV19&lt;0,-AV19,0)</f>
        <v/>
      </c>
      <c r="AW26" s="35">
        <f>IF(AW19&lt;0,-AW19,0)</f>
        <v/>
      </c>
      <c r="AX26" s="35">
        <f>IF(AX19&lt;0,-AX19,0)</f>
        <v/>
      </c>
      <c r="AY26" s="35">
        <f>IF(AY19&lt;0,-AY19,0)</f>
        <v/>
      </c>
      <c r="AZ26" s="35">
        <f>IF(AZ19&lt;0,-AZ19,0)</f>
        <v/>
      </c>
      <c r="BA26" s="35">
        <f>IF(BA19&lt;0,-BA19,0)</f>
        <v/>
      </c>
    </row>
    <row r="27" ht="14.25" customHeight="1" s="214">
      <c r="A27" s="3" t="inlineStr">
        <is>
          <t>Runway (Months)</t>
        </is>
      </c>
      <c r="B27" s="40">
        <f>IFERROR(IF(B26&gt;0,B23/B26,"∞"),"∞")</f>
        <v/>
      </c>
      <c r="C27" s="40">
        <f>IFERROR(IF(C26&gt;0,C23/C26,"∞"),"∞")</f>
        <v/>
      </c>
      <c r="D27" s="40">
        <f>IFERROR(IF(D26&gt;0,D23/D26,"∞"),"∞")</f>
        <v/>
      </c>
      <c r="E27" s="40">
        <f>IFERROR(IF(E26&gt;0,E23/E26,"∞"),"∞")</f>
        <v/>
      </c>
      <c r="F27" s="40">
        <f>IFERROR(IF(F26&gt;0,F23/F26,"∞"),"∞")</f>
        <v/>
      </c>
      <c r="G27" s="40">
        <f>IFERROR(IF(G26&gt;0,G23/G26,"∞"),"∞")</f>
        <v/>
      </c>
      <c r="H27" s="40">
        <f>IFERROR(IF(H26&gt;0,H23/H26,"∞"),"∞")</f>
        <v/>
      </c>
      <c r="I27" s="40">
        <f>IFERROR(IF(I26&gt;0,I23/I26,"∞"),"∞")</f>
        <v/>
      </c>
      <c r="J27" s="40">
        <f>IFERROR(IF(J26&gt;0,J23/J26,"∞"),"∞")</f>
        <v/>
      </c>
      <c r="K27" s="40">
        <f>IFERROR(IF(K26&gt;0,K23/K26,"∞"),"∞")</f>
        <v/>
      </c>
      <c r="L27" s="40">
        <f>IFERROR(IF(L26&gt;0,L23/L26,"∞"),"∞")</f>
        <v/>
      </c>
      <c r="M27" s="40">
        <f>IFERROR(IF(M26&gt;0,M23/M26,"∞"),"∞")</f>
        <v/>
      </c>
      <c r="N27" s="40">
        <f>IFERROR(IF(N26&gt;0,N23/N26,"∞"),"∞")</f>
        <v/>
      </c>
      <c r="O27" s="40">
        <f>IFERROR(IF(O26&gt;0,O23/O26,"∞"),"∞")</f>
        <v/>
      </c>
      <c r="P27" s="40">
        <f>IFERROR(IF(P26&gt;0,P23/P26,"∞"),"∞")</f>
        <v/>
      </c>
      <c r="Q27" s="40">
        <f>IFERROR(IF(Q26&gt;0,Q23/Q26,"∞"),"∞")</f>
        <v/>
      </c>
      <c r="R27" s="40">
        <f>IFERROR(IF(R26&gt;0,R23/R26,"∞"),"∞")</f>
        <v/>
      </c>
      <c r="S27" s="40">
        <f>IFERROR(IF(S26&gt;0,S23/S26,"∞"),"∞")</f>
        <v/>
      </c>
      <c r="T27" s="40">
        <f>IFERROR(IF(T26&gt;0,T23/T26,"∞"),"∞")</f>
        <v/>
      </c>
      <c r="U27" s="40">
        <f>IFERROR(IF(U26&gt;0,U23/U26,"∞"),"∞")</f>
        <v/>
      </c>
      <c r="V27" s="40">
        <f>IFERROR(IF(V26&gt;0,V23/V26,"∞"),"∞")</f>
        <v/>
      </c>
      <c r="W27" s="40">
        <f>IFERROR(IF(W26&gt;0,W23/W26,"∞"),"∞")</f>
        <v/>
      </c>
      <c r="X27" s="40">
        <f>IFERROR(IF(X26&gt;0,X23/X26,"∞"),"∞")</f>
        <v/>
      </c>
      <c r="Y27" s="40">
        <f>IFERROR(IF(Y26&gt;0,Y23/Y26,"∞"),"∞")</f>
        <v/>
      </c>
      <c r="Z27" s="40">
        <f>IFERROR(IF(Z26&gt;0,Z23/Z26,"∞"),"∞")</f>
        <v/>
      </c>
      <c r="AA27" s="40">
        <f>IFERROR(IF(AA26&gt;0,AA23/AA26,"∞"),"∞")</f>
        <v/>
      </c>
      <c r="AB27" s="40">
        <f>IFERROR(IF(AB26&gt;0,AB23/AB26,"∞"),"∞")</f>
        <v/>
      </c>
      <c r="AC27" s="40">
        <f>IFERROR(IF(AC26&gt;0,AC23/AC26,"∞"),"∞")</f>
        <v/>
      </c>
      <c r="AD27" s="40">
        <f>IFERROR(IF(AD26&gt;0,AD23/AD26,"∞"),"∞")</f>
        <v/>
      </c>
      <c r="AE27" s="40">
        <f>IFERROR(IF(AE26&gt;0,AE23/AE26,"∞"),"∞")</f>
        <v/>
      </c>
      <c r="AF27" s="40">
        <f>IFERROR(IF(AF26&gt;0,AF23/AF26,"∞"),"∞")</f>
        <v/>
      </c>
      <c r="AG27" s="40">
        <f>IFERROR(IF(AG26&gt;0,AG23/AG26,"∞"),"∞")</f>
        <v/>
      </c>
      <c r="AH27" s="40">
        <f>IFERROR(IF(AH26&gt;0,AH23/AH26,"∞"),"∞")</f>
        <v/>
      </c>
      <c r="AI27" s="40">
        <f>IFERROR(IF(AI26&gt;0,AI23/AI26,"∞"),"∞")</f>
        <v/>
      </c>
      <c r="AJ27" s="40">
        <f>IFERROR(IF(AJ26&gt;0,AJ23/AJ26,"∞"),"∞")</f>
        <v/>
      </c>
      <c r="AK27" s="40">
        <f>IFERROR(IF(AK26&gt;0,AK23/AK26,"∞"),"∞")</f>
        <v/>
      </c>
      <c r="AL27" s="40">
        <f>IFERROR(IF(AL26&gt;0,AL23/AL26,"∞"),"∞")</f>
        <v/>
      </c>
      <c r="AM27" s="40">
        <f>IFERROR(IF(AM26&gt;0,AM23/AM26,"∞"),"∞")</f>
        <v/>
      </c>
      <c r="AN27" s="40">
        <f>IFERROR(IF(AN26&gt;0,AN23/AN26,"∞"),"∞")</f>
        <v/>
      </c>
      <c r="AO27" s="40">
        <f>IFERROR(IF(AO26&gt;0,AO23/AO26,"∞"),"∞")</f>
        <v/>
      </c>
      <c r="AP27" s="40">
        <f>IFERROR(IF(AP26&gt;0,AP23/AP26,"∞"),"∞")</f>
        <v/>
      </c>
      <c r="AQ27" s="40">
        <f>IFERROR(IF(AQ26&gt;0,AQ23/AQ26,"∞"),"∞")</f>
        <v/>
      </c>
      <c r="AR27" s="40">
        <f>IFERROR(IF(AR26&gt;0,AR23/AR26,"∞"),"∞")</f>
        <v/>
      </c>
      <c r="AS27" s="40">
        <f>IFERROR(IF(AS26&gt;0,AS23/AS26,"∞"),"∞")</f>
        <v/>
      </c>
      <c r="AT27" s="40">
        <f>IFERROR(IF(AT26&gt;0,AT23/AT26,"∞"),"∞")</f>
        <v/>
      </c>
      <c r="AU27" s="40">
        <f>IFERROR(IF(AU26&gt;0,AU23/AU26,"∞"),"∞")</f>
        <v/>
      </c>
      <c r="AV27" s="40">
        <f>IFERROR(IF(AV26&gt;0,AV23/AV26,"∞"),"∞")</f>
        <v/>
      </c>
      <c r="AW27" s="40">
        <f>IFERROR(IF(AW26&gt;0,AW23/AW26,"∞"),"∞")</f>
        <v/>
      </c>
      <c r="AX27" s="40">
        <f>IFERROR(IF(AX26&gt;0,AX23/AX26,"∞"),"∞")</f>
        <v/>
      </c>
      <c r="AY27" s="40">
        <f>IFERROR(IF(AY26&gt;0,AY23/AY26,"∞"),"∞")</f>
        <v/>
      </c>
      <c r="AZ27" s="40">
        <f>IFERROR(IF(AZ26&gt;0,AZ23/AZ26,"∞"),"∞")</f>
        <v/>
      </c>
      <c r="BA27" s="40">
        <f>IFERROR(IF(BA26&gt;0,BA23/BA26,"∞"),"∞")</f>
        <v/>
      </c>
    </row>
    <row r="28" ht="14.25" customHeight="1" s="214">
      <c r="A28" s="3" t="inlineStr">
        <is>
          <t>Cumulative Cash Position</t>
        </is>
      </c>
      <c r="B28" s="35">
        <f>B23</f>
        <v/>
      </c>
      <c r="C28" s="35">
        <f>C23</f>
        <v/>
      </c>
      <c r="D28" s="35">
        <f>D23</f>
        <v/>
      </c>
      <c r="E28" s="35">
        <f>E23</f>
        <v/>
      </c>
      <c r="F28" s="35">
        <f>F23</f>
        <v/>
      </c>
      <c r="G28" s="35">
        <f>G23</f>
        <v/>
      </c>
      <c r="H28" s="35">
        <f>H23</f>
        <v/>
      </c>
      <c r="I28" s="35">
        <f>I23</f>
        <v/>
      </c>
      <c r="J28" s="35">
        <f>J23</f>
        <v/>
      </c>
      <c r="K28" s="35">
        <f>K23</f>
        <v/>
      </c>
      <c r="L28" s="35">
        <f>L23</f>
        <v/>
      </c>
      <c r="M28" s="35">
        <f>M23</f>
        <v/>
      </c>
      <c r="N28" s="35">
        <f>N23</f>
        <v/>
      </c>
      <c r="O28" s="35">
        <f>O23</f>
        <v/>
      </c>
      <c r="P28" s="35">
        <f>P23</f>
        <v/>
      </c>
      <c r="Q28" s="35">
        <f>Q23</f>
        <v/>
      </c>
      <c r="R28" s="35">
        <f>R23</f>
        <v/>
      </c>
      <c r="S28" s="35">
        <f>S23</f>
        <v/>
      </c>
      <c r="T28" s="35">
        <f>T23</f>
        <v/>
      </c>
      <c r="U28" s="35">
        <f>U23</f>
        <v/>
      </c>
      <c r="V28" s="35">
        <f>V23</f>
        <v/>
      </c>
      <c r="W28" s="35">
        <f>W23</f>
        <v/>
      </c>
      <c r="X28" s="35">
        <f>X23</f>
        <v/>
      </c>
      <c r="Y28" s="35">
        <f>Y23</f>
        <v/>
      </c>
      <c r="Z28" s="35">
        <f>Z23</f>
        <v/>
      </c>
      <c r="AA28" s="35">
        <f>AA23</f>
        <v/>
      </c>
      <c r="AB28" s="35">
        <f>AB23</f>
        <v/>
      </c>
      <c r="AC28" s="35">
        <f>AC23</f>
        <v/>
      </c>
      <c r="AD28" s="35">
        <f>AD23</f>
        <v/>
      </c>
      <c r="AE28" s="35">
        <f>AE23</f>
        <v/>
      </c>
      <c r="AF28" s="35">
        <f>AF23</f>
        <v/>
      </c>
      <c r="AG28" s="35">
        <f>AG23</f>
        <v/>
      </c>
      <c r="AH28" s="35">
        <f>AH23</f>
        <v/>
      </c>
      <c r="AI28" s="35">
        <f>AI23</f>
        <v/>
      </c>
      <c r="AJ28" s="35">
        <f>AJ23</f>
        <v/>
      </c>
      <c r="AK28" s="35">
        <f>AK23</f>
        <v/>
      </c>
      <c r="AL28" s="35">
        <f>AL23</f>
        <v/>
      </c>
      <c r="AM28" s="35">
        <f>AM23</f>
        <v/>
      </c>
      <c r="AN28" s="35">
        <f>AN23</f>
        <v/>
      </c>
      <c r="AO28" s="35">
        <f>AO23</f>
        <v/>
      </c>
      <c r="AP28" s="35">
        <f>AP23</f>
        <v/>
      </c>
      <c r="AQ28" s="35">
        <f>AQ23</f>
        <v/>
      </c>
      <c r="AR28" s="35">
        <f>AR23</f>
        <v/>
      </c>
      <c r="AS28" s="35">
        <f>AS23</f>
        <v/>
      </c>
      <c r="AT28" s="35">
        <f>AT23</f>
        <v/>
      </c>
      <c r="AU28" s="35">
        <f>AU23</f>
        <v/>
      </c>
      <c r="AV28" s="35">
        <f>AV23</f>
        <v/>
      </c>
      <c r="AW28" s="35">
        <f>AW23</f>
        <v/>
      </c>
      <c r="AX28" s="35">
        <f>AX23</f>
        <v/>
      </c>
      <c r="AY28" s="35">
        <f>AY23</f>
        <v/>
      </c>
      <c r="AZ28" s="35">
        <f>AZ23</f>
        <v/>
      </c>
      <c r="BA28" s="35">
        <f>BA23</f>
        <v/>
      </c>
    </row>
    <row r="29" ht="14.25" customHeight="1" s="214">
      <c r="A29" s="2" t="inlineStr">
        <is>
          <t>Cash Runway Alert</t>
        </is>
      </c>
      <c r="B29" s="15">
        <f>IF(ISNUMBER(B27),IF(B27&lt;6,"WARNUNG: &lt;6 Monate!","OK"),"OK")</f>
        <v/>
      </c>
      <c r="C29" s="15">
        <f>IF(ISNUMBER(C27),IF(C27&lt;6,"WARNUNG: &lt;6 Monate!","OK"),"OK")</f>
        <v/>
      </c>
      <c r="D29" s="15">
        <f>IF(ISNUMBER(D27),IF(D27&lt;6,"WARNUNG: &lt;6 Monate!","OK"),"OK")</f>
        <v/>
      </c>
      <c r="E29" s="15">
        <f>IF(ISNUMBER(E27),IF(E27&lt;6,"WARNUNG: &lt;6 Monate!","OK"),"OK")</f>
        <v/>
      </c>
      <c r="F29" s="15">
        <f>IF(ISNUMBER(F27),IF(F27&lt;6,"WARNUNG: &lt;6 Monate!","OK"),"OK")</f>
        <v/>
      </c>
      <c r="G29" s="15">
        <f>IF(ISNUMBER(G27),IF(G27&lt;6,"WARNUNG: &lt;6 Monate!","OK"),"OK")</f>
        <v/>
      </c>
      <c r="H29" s="15">
        <f>IF(ISNUMBER(H27),IF(H27&lt;6,"WARNUNG: &lt;6 Monate!","OK"),"OK")</f>
        <v/>
      </c>
      <c r="I29" s="15">
        <f>IF(ISNUMBER(I27),IF(I27&lt;6,"WARNUNG: &lt;6 Monate!","OK"),"OK")</f>
        <v/>
      </c>
      <c r="J29" s="15">
        <f>IF(ISNUMBER(J27),IF(J27&lt;6,"WARNUNG: &lt;6 Monate!","OK"),"OK")</f>
        <v/>
      </c>
      <c r="K29" s="15">
        <f>IF(ISNUMBER(K27),IF(K27&lt;6,"WARNUNG: &lt;6 Monate!","OK"),"OK")</f>
        <v/>
      </c>
      <c r="L29" s="15">
        <f>IF(ISNUMBER(L27),IF(L27&lt;6,"WARNUNG: &lt;6 Monate!","OK"),"OK")</f>
        <v/>
      </c>
      <c r="M29" s="15">
        <f>IF(ISNUMBER(M27),IF(M27&lt;6,"WARNUNG: &lt;6 Monate!","OK"),"OK")</f>
        <v/>
      </c>
      <c r="N29" s="15">
        <f>IF(ISNUMBER(N27),IF(N27&lt;6,"WARNUNG: &lt;6 Monate!","OK"),"OK")</f>
        <v/>
      </c>
      <c r="O29" s="15">
        <f>IF(ISNUMBER(O27),IF(O27&lt;6,"WARNUNG: &lt;6 Monate!","OK"),"OK")</f>
        <v/>
      </c>
      <c r="P29" s="15">
        <f>IF(ISNUMBER(P27),IF(P27&lt;6,"WARNUNG: &lt;6 Monate!","OK"),"OK")</f>
        <v/>
      </c>
      <c r="Q29" s="15">
        <f>IF(ISNUMBER(Q27),IF(Q27&lt;6,"WARNUNG: &lt;6 Monate!","OK"),"OK")</f>
        <v/>
      </c>
      <c r="R29" s="15">
        <f>IF(ISNUMBER(R27),IF(R27&lt;6,"WARNUNG: &lt;6 Monate!","OK"),"OK")</f>
        <v/>
      </c>
      <c r="S29" s="15">
        <f>IF(ISNUMBER(S27),IF(S27&lt;6,"WARNUNG: &lt;6 Monate!","OK"),"OK")</f>
        <v/>
      </c>
      <c r="T29" s="15">
        <f>IF(ISNUMBER(T27),IF(T27&lt;6,"WARNUNG: &lt;6 Monate!","OK"),"OK")</f>
        <v/>
      </c>
      <c r="U29" s="15">
        <f>IF(ISNUMBER(U27),IF(U27&lt;6,"WARNUNG: &lt;6 Monate!","OK"),"OK")</f>
        <v/>
      </c>
      <c r="V29" s="15">
        <f>IF(ISNUMBER(V27),IF(V27&lt;6,"WARNUNG: &lt;6 Monate!","OK"),"OK")</f>
        <v/>
      </c>
      <c r="W29" s="15">
        <f>IF(ISNUMBER(W27),IF(W27&lt;6,"WARNUNG: &lt;6 Monate!","OK"),"OK")</f>
        <v/>
      </c>
      <c r="X29" s="15">
        <f>IF(ISNUMBER(X27),IF(X27&lt;6,"WARNUNG: &lt;6 Monate!","OK"),"OK")</f>
        <v/>
      </c>
      <c r="Y29" s="15">
        <f>IF(ISNUMBER(Y27),IF(Y27&lt;6,"WARNUNG: &lt;6 Monate!","OK"),"OK")</f>
        <v/>
      </c>
      <c r="Z29" s="15">
        <f>IF(ISNUMBER(Z27),IF(Z27&lt;6,"WARNUNG: &lt;6 Monate!","OK"),"OK")</f>
        <v/>
      </c>
      <c r="AA29" s="15">
        <f>IF(ISNUMBER(AA27),IF(AA27&lt;6,"WARNUNG: &lt;6 Monate!","OK"),"OK")</f>
        <v/>
      </c>
      <c r="AB29" s="15">
        <f>IF(ISNUMBER(AB27),IF(AB27&lt;6,"WARNUNG: &lt;6 Monate!","OK"),"OK")</f>
        <v/>
      </c>
      <c r="AC29" s="15">
        <f>IF(ISNUMBER(AC27),IF(AC27&lt;6,"WARNUNG: &lt;6 Monate!","OK"),"OK")</f>
        <v/>
      </c>
      <c r="AD29" s="15">
        <f>IF(ISNUMBER(AD27),IF(AD27&lt;6,"WARNUNG: &lt;6 Monate!","OK"),"OK")</f>
        <v/>
      </c>
      <c r="AE29" s="15">
        <f>IF(ISNUMBER(AE27),IF(AE27&lt;6,"WARNUNG: &lt;6 Monate!","OK"),"OK")</f>
        <v/>
      </c>
      <c r="AF29" s="15">
        <f>IF(ISNUMBER(AF27),IF(AF27&lt;6,"WARNUNG: &lt;6 Monate!","OK"),"OK")</f>
        <v/>
      </c>
      <c r="AG29" s="15">
        <f>IF(ISNUMBER(AG27),IF(AG27&lt;6,"WARNUNG: &lt;6 Monate!","OK"),"OK")</f>
        <v/>
      </c>
      <c r="AH29" s="15">
        <f>IF(ISNUMBER(AH27),IF(AH27&lt;6,"WARNUNG: &lt;6 Monate!","OK"),"OK")</f>
        <v/>
      </c>
      <c r="AI29" s="15">
        <f>IF(ISNUMBER(AI27),IF(AI27&lt;6,"WARNUNG: &lt;6 Monate!","OK"),"OK")</f>
        <v/>
      </c>
      <c r="AJ29" s="15">
        <f>IF(ISNUMBER(AJ27),IF(AJ27&lt;6,"WARNUNG: &lt;6 Monate!","OK"),"OK")</f>
        <v/>
      </c>
      <c r="AK29" s="15">
        <f>IF(ISNUMBER(AK27),IF(AK27&lt;6,"WARNUNG: &lt;6 Monate!","OK"),"OK")</f>
        <v/>
      </c>
      <c r="AL29" s="15">
        <f>IF(ISNUMBER(AL27),IF(AL27&lt;6,"WARNUNG: &lt;6 Monate!","OK"),"OK")</f>
        <v/>
      </c>
      <c r="AM29" s="15">
        <f>IF(ISNUMBER(AM27),IF(AM27&lt;6,"WARNUNG: &lt;6 Monate!","OK"),"OK")</f>
        <v/>
      </c>
      <c r="AN29" s="15">
        <f>IF(ISNUMBER(AN27),IF(AN27&lt;6,"WARNUNG: &lt;6 Monate!","OK"),"OK")</f>
        <v/>
      </c>
      <c r="AO29" s="15">
        <f>IF(ISNUMBER(AO27),IF(AO27&lt;6,"WARNUNG: &lt;6 Monate!","OK"),"OK")</f>
        <v/>
      </c>
      <c r="AP29" s="15">
        <f>IF(ISNUMBER(AP27),IF(AP27&lt;6,"WARNUNG: &lt;6 Monate!","OK"),"OK")</f>
        <v/>
      </c>
      <c r="AQ29" s="15">
        <f>IF(ISNUMBER(AQ27),IF(AQ27&lt;6,"WARNUNG: &lt;6 Monate!","OK"),"OK")</f>
        <v/>
      </c>
      <c r="AR29" s="15">
        <f>IF(ISNUMBER(AR27),IF(AR27&lt;6,"WARNUNG: &lt;6 Monate!","OK"),"OK")</f>
        <v/>
      </c>
      <c r="AS29" s="15">
        <f>IF(ISNUMBER(AS27),IF(AS27&lt;6,"WARNUNG: &lt;6 Monate!","OK"),"OK")</f>
        <v/>
      </c>
      <c r="AT29" s="15">
        <f>IF(ISNUMBER(AT27),IF(AT27&lt;6,"WARNUNG: &lt;6 Monate!","OK"),"OK")</f>
        <v/>
      </c>
      <c r="AU29" s="15">
        <f>IF(ISNUMBER(AU27),IF(AU27&lt;6,"WARNUNG: &lt;6 Monate!","OK"),"OK")</f>
        <v/>
      </c>
      <c r="AV29" s="15">
        <f>IF(ISNUMBER(AV27),IF(AV27&lt;6,"WARNUNG: &lt;6 Monate!","OK"),"OK")</f>
        <v/>
      </c>
      <c r="AW29" s="15">
        <f>IF(ISNUMBER(AW27),IF(AW27&lt;6,"WARNUNG: &lt;6 Monate!","OK"),"OK")</f>
        <v/>
      </c>
      <c r="AX29" s="15">
        <f>IF(ISNUMBER(AX27),IF(AX27&lt;6,"WARNUNG: &lt;6 Monate!","OK"),"OK")</f>
        <v/>
      </c>
      <c r="AY29" s="15">
        <f>IF(ISNUMBER(AY27),IF(AY27&lt;6,"WARNUNG: &lt;6 Monate!","OK"),"OK")</f>
        <v/>
      </c>
      <c r="AZ29" s="15">
        <f>IF(ISNUMBER(AZ27),IF(AZ27&lt;6,"WARNUNG: &lt;6 Monate!","OK"),"OK")</f>
        <v/>
      </c>
      <c r="BA29" s="15">
        <f>IF(ISNUMBER(BA27),IF(BA27&lt;6,"WARNUNG: &lt;6 Monate!","OK"),"OK")</f>
        <v/>
      </c>
    </row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41" workbookViewId="0">
      <selection activeCell="L4" sqref="L4"/>
    </sheetView>
  </sheetViews>
  <sheetFormatPr baseColWidth="10" defaultColWidth="8.7265625" defaultRowHeight="14.5"/>
  <cols>
    <col width="22" customWidth="1" style="214" min="1" max="1"/>
    <col width="28" customWidth="1" style="214" min="2" max="2"/>
    <col width="22" customWidth="1" style="214" min="3" max="4"/>
    <col width="60" customWidth="1" style="214" min="5" max="5"/>
  </cols>
  <sheetData>
    <row r="1" ht="40" customHeight="1" s="214">
      <c r="A1" s="232" t="inlineStr">
        <is>
          <t>LFL FINANCIAL PROJECTIONS — SZENARIO KONSERVATIV</t>
        </is>
      </c>
    </row>
    <row r="2" ht="20" customHeight="1" s="214">
      <c r="A2" s="235" t="inlineStr">
        <is>
          <t>Basis: 260304_LFL-Financial-Planning-and-Carbon-Case.pdf | Erstellt: 04.03.2026 23:13</t>
        </is>
      </c>
    </row>
    <row r="4" ht="15" customHeight="1" s="214">
      <c r="A4" s="239" t="inlineStr">
        <is>
          <t>HINTERGRUND</t>
        </is>
      </c>
    </row>
    <row r="5" ht="60" customHeight="1" s="214">
      <c r="A5" s="237" t="inlineStr">
        <is>
          <t>Dieses Szenario basiert auf dem LFL Financial Planning &amp; Carbon Case Dossier (260304_LFL-Financial-Planning-and-Carbon-Case.pdf, Stand 4. März 2026). Alle Parameter wurden aus den strategischen Meeting-Transkripten von Rene und dem Finanzmodellierer abgeleitet. Externe Annahmen wurden nicht hinzugefügt. Offene Punkte (TBD/OPEN) aus dem Dossier sind im Report-Sheet markiert.</t>
        </is>
      </c>
    </row>
    <row r="7">
      <c r="A7" s="41" t="inlineStr">
        <is>
          <t>Parameter</t>
        </is>
      </c>
      <c r="B7" s="41" t="inlineStr">
        <is>
          <t>Bezeichnung</t>
        </is>
      </c>
      <c r="C7" s="41" t="inlineStr">
        <is>
          <t>Baseline</t>
        </is>
      </c>
      <c r="D7" s="41" t="inlineStr">
        <is>
          <t>NEU (KONSERVATIV)</t>
        </is>
      </c>
      <c r="E7" s="41" t="inlineStr">
        <is>
          <t>Begründung / Zusammenhang</t>
        </is>
      </c>
    </row>
    <row r="8" ht="22" customHeight="1" s="214">
      <c r="A8" s="233" t="inlineStr">
        <is>
          <t>1. PREISGESTALTUNG — Konservative Positionierung</t>
        </is>
      </c>
    </row>
    <row r="9" ht="80" customHeight="1" s="214">
      <c r="A9" s="42" t="inlineStr">
        <is>
          <t>Sandbox D6</t>
        </is>
      </c>
      <c r="B9" s="43" t="inlineStr">
        <is>
          <t>Preis/Seat/Monat</t>
        </is>
      </c>
      <c r="C9" s="44" t="inlineStr">
        <is>
          <t>800 EUR (gering-Standard)</t>
        </is>
      </c>
      <c r="D9" s="45" t="inlineStr">
        <is>
          <t>200 EUR</t>
        </is>
      </c>
      <c r="E9" s="46" t="inlineStr">
        <is>
          <t>Das PDF nennt 350 EUR/Monat als Referenzpreis (→ 4.200 EUR/Seat/Jahr) und 200 EUR als benchmark_low. Im konservativen Szenario wählen wir den Benchmark-Tiefpunkt, um das Preisrisiko in der Marktvalidierung abzubilden. Ein zu hoher Einstiegspreis ohne bewiesenen ROI verlängert den Sales-Zyklus erheblich.</t>
        </is>
      </c>
    </row>
    <row r="10" ht="80" customHeight="1" s="214">
      <c r="A10" s="47" t="inlineStr">
        <is>
          <t>Inputs B21</t>
        </is>
      </c>
      <c r="B10" s="48" t="inlineStr">
        <is>
          <t>Preiserhöhung/Jahr</t>
        </is>
      </c>
      <c r="C10" s="49" t="inlineStr">
        <is>
          <t>8%</t>
        </is>
      </c>
      <c r="D10" s="45" t="inlineStr">
        <is>
          <t>5%</t>
        </is>
      </c>
      <c r="E10" s="50" t="inlineStr">
        <is>
          <t>Geringere jährliche Preissteigerung reflektiert schwächere Marktposition und Kundenwiderstand in der Frühphase. Packaging-Kunden (primärer Markt: 2.255 Unternehmen laut Rene) sind preissensitiv.</t>
        </is>
      </c>
    </row>
    <row r="11" ht="60" customHeight="1" s="214">
      <c r="A11" s="230" t="inlineStr">
        <is>
          <t>→ Auswirkung</t>
        </is>
      </c>
      <c r="B11" s="238" t="inlineStr">
        <is>
          <t>ARR pro Standardkunde (5 Seats): 200 EUR × 5 × 12 = 12.000 EUR/Jahr (vs. 21.000 EUR im PDF-Referenzpreis). Runway und Break-Even verschlechtern sich deutlich. Höheres Funding-Risiko.</t>
        </is>
      </c>
    </row>
    <row r="13" ht="22" customHeight="1" s="214">
      <c r="A13" s="233" t="inlineStr">
        <is>
          <t>2. KUNDEN-TIMING &amp; WACHSTUM — Langsame Marktdurchdringung</t>
        </is>
      </c>
    </row>
    <row r="14" ht="80" customHeight="1" s="214">
      <c r="A14" s="42" t="inlineStr">
        <is>
          <t>Sandbox D5</t>
        </is>
      </c>
      <c r="B14" s="43" t="inlineStr">
        <is>
          <t>Startmonat erste Kunden</t>
        </is>
      </c>
      <c r="C14" s="44" t="inlineStr">
        <is>
          <t>14</t>
        </is>
      </c>
      <c r="D14" s="45" t="inlineStr">
        <is>
          <t>17</t>
        </is>
      </c>
      <c r="E14" s="46" t="inlineStr">
        <is>
          <t>Das PDF nennt explizit '~17 months to first revenue'. Im konservativen Szenario halten wir an diesem Planwert fest. Die Pre-Seed-Phase (3-5 Kunden, Sept 2026-Sept 2027) dient reiner Validierung ohne Revenue-Fokus. First paying customer frühestens Monat 17 (September 2027, mit Seed-Close).</t>
        </is>
      </c>
    </row>
    <row r="15" ht="80" customHeight="1" s="214">
      <c r="A15" s="47" t="inlineStr">
        <is>
          <t>Inputs B23</t>
        </is>
      </c>
      <c r="B15" s="48" t="inlineStr">
        <is>
          <t>Initiale Seats</t>
        </is>
      </c>
      <c r="C15" s="49" t="inlineStr">
        <is>
          <t>5</t>
        </is>
      </c>
      <c r="D15" s="45" t="inlineStr">
        <is>
          <t>3</t>
        </is>
      </c>
      <c r="E15" s="50" t="inlineStr">
        <is>
          <t>PDF nennt 3-5 als Pre-Seed-Kundenzahl. Konservativ: 3 Piloten. Jeder Pilot mit 5 Seats = 15 Seats total.</t>
        </is>
      </c>
    </row>
    <row r="16" ht="80" customHeight="1" s="214">
      <c r="A16" s="42" t="inlineStr">
        <is>
          <t>Inputs B24</t>
        </is>
      </c>
      <c r="B16" s="43" t="inlineStr">
        <is>
          <t>Monatl. Seat-Wachstum</t>
        </is>
      </c>
      <c r="C16" s="44" t="inlineStr">
        <is>
          <t>5%</t>
        </is>
      </c>
      <c r="D16" s="45" t="inlineStr">
        <is>
          <t>3%</t>
        </is>
      </c>
      <c r="E16" s="46" t="inlineStr">
        <is>
          <t>Verlangsamtes Wachstum durch längere Sales-Zyklen (packaging/automotive lt. PDF: 'longer lead cycle in automotive'). 3% entspricht ca. 43% Jahreswachstum – konservativ aber realistisch für B2B-Manufacturing.</t>
        </is>
      </c>
    </row>
    <row r="17" ht="80" customHeight="1" s="214">
      <c r="A17" s="47" t="inlineStr">
        <is>
          <t>Inputs B25</t>
        </is>
      </c>
      <c r="B17" s="48" t="inlineStr">
        <is>
          <t>Enterprise-Deals ab Monat</t>
        </is>
      </c>
      <c r="C17" s="49" t="inlineStr">
        <is>
          <t>24</t>
        </is>
      </c>
      <c r="D17" s="45" t="inlineStr">
        <is>
          <t>30</t>
        </is>
      </c>
      <c r="E17" s="50" t="inlineStr">
        <is>
          <t>Enterprise-Deals starten erst nach Monat 30 – nach erstem erfolgreichen Track Record. PDF: deal_complexity höher als Standard, lead_cycle länger.</t>
        </is>
      </c>
    </row>
    <row r="18" ht="60" customHeight="1" s="214">
      <c r="A18" s="230" t="inlineStr">
        <is>
          <t>→ Auswirkung</t>
        </is>
      </c>
      <c r="B18" s="231" t="inlineStr">
        <is>
          <t>Seed-Ziel: 50-60 Kunden (PDF) → im Konservativ-Szenario realistisch 25-35 Kunden bis Monat 17-24. Gesamt-ARR M24: deutlich unter 500K EUR. Enterprise-Revenue startet erst ab M30.</t>
        </is>
      </c>
    </row>
    <row r="20" ht="22" customHeight="1" s="214">
      <c r="A20" s="233" t="inlineStr">
        <is>
          <t>3. CHURN &amp; KUNDENBINDUNG — Höheres Abwanderungsrisiko</t>
        </is>
      </c>
    </row>
    <row r="21" ht="80" customHeight="1" s="214">
      <c r="A21" s="42" t="inlineStr">
        <is>
          <t>Inputs B28</t>
        </is>
      </c>
      <c r="B21" s="43" t="inlineStr">
        <is>
          <t>Jährliche Churn Rate</t>
        </is>
      </c>
      <c r="C21" s="44" t="inlineStr">
        <is>
          <t>8%</t>
        </is>
      </c>
      <c r="D21" s="45" t="inlineStr">
        <is>
          <t>15%</t>
        </is>
      </c>
      <c r="E21" s="107" t="inlineStr">
        <is>
          <t>PDF: adoption_probability_low = 10%. Geringe Adoption bedeutet hohes Abwanderungsrisiko sobald Verträge auslaufen. 15% Churn entspricht einem 'gefährdeten' SaaS-Modell in der Early-Stage, typisch für Produkte ohne tiefen Workflow-Lock-in. Causal: Fehlende Onboarding-Qualität + unklarer ROI-Nachweis (wie Olaf betont) führen zu Abwanderung.</t>
        </is>
      </c>
    </row>
    <row r="22" ht="80" customHeight="1" s="214">
      <c r="A22" s="47" t="inlineStr">
        <is>
          <t>Inputs B29</t>
        </is>
      </c>
      <c r="B22" s="48" t="inlineStr">
        <is>
          <t>Net Revenue Retention</t>
        </is>
      </c>
      <c r="C22" s="49" t="inlineStr">
        <is>
          <t>118%</t>
        </is>
      </c>
      <c r="D22" s="45" t="inlineStr">
        <is>
          <t>105%</t>
        </is>
      </c>
      <c r="E22" s="50" t="inlineStr">
        <is>
          <t>Ohne starke Expansion durch Upsell oder neue Seats bleibt NRR knapp über 100%. PDF: Keine quantifizierten Upsell-Mechanismen – konservativ daher 105%.</t>
        </is>
      </c>
    </row>
    <row r="23" ht="60" customHeight="1" s="214">
      <c r="A23" s="230" t="inlineStr">
        <is>
          <t>→ Auswirkung</t>
        </is>
      </c>
      <c r="B23" s="231" t="inlineStr">
        <is>
          <t>ARR-Erosion durch Churn: Bei 100K ARR und 15% Churn verliert das Unternehmen 15K/Jahr. Ohne starkes Neuwachstum schrumpft der Revenue-Pool. NRR von 105% rettet knapp die Nettowachstum-Rate.</t>
        </is>
      </c>
    </row>
    <row r="25" ht="22" customHeight="1" s="214">
      <c r="A25" s="233" t="inlineStr">
        <is>
          <t>4. FUNDING — Konservative Kapitalstrategie</t>
        </is>
      </c>
    </row>
    <row r="26" ht="80" customHeight="1" s="214">
      <c r="A26" s="42" t="inlineStr">
        <is>
          <t>Inputs B12</t>
        </is>
      </c>
      <c r="B26" s="43" t="inlineStr">
        <is>
          <t>Pre-Seed Betrag</t>
        </is>
      </c>
      <c r="C26" s="44" t="inlineStr">
        <is>
          <t>1.500.000 EUR</t>
        </is>
      </c>
      <c r="D26" s="45" t="inlineStr">
        <is>
          <t>1.500.000 EUR</t>
        </is>
      </c>
      <c r="E26" s="107" t="inlineStr">
        <is>
          <t>PDF Lower End: 1,5M EUR. Im Konservativ-Szenario bleibt Pre-Seed beim Minimum. Runway: 12 Monate (Sept 2026 – Sept 2027). Reicht für MVP + 3-5 Pilotkunden.</t>
        </is>
      </c>
    </row>
    <row r="27" ht="80" customHeight="1" s="214">
      <c r="A27" s="47" t="inlineStr">
        <is>
          <t>Inputs B14</t>
        </is>
      </c>
      <c r="B27" s="48" t="inlineStr">
        <is>
          <t>Seed Betrag</t>
        </is>
      </c>
      <c r="C27" s="49" t="inlineStr">
        <is>
          <t>6.000.000 EUR</t>
        </is>
      </c>
      <c r="D27" s="45" t="inlineStr">
        <is>
          <t>4.000.000 EUR</t>
        </is>
      </c>
      <c r="E27" s="50" t="inlineStr">
        <is>
          <t>PDF Seed Lower End: 4M EUR. Konservativ, da langsameres Wachstum weniger Kapital verbraucht. Seed-Runway: 12 Monate (Sept 2027 – Sept 2028), für 50-60 Kunden.</t>
        </is>
      </c>
    </row>
    <row r="28" ht="80" customHeight="1" s="214">
      <c r="A28" s="42" t="inlineStr">
        <is>
          <t>Inputs B16</t>
        </is>
      </c>
      <c r="B28" s="43" t="inlineStr">
        <is>
          <t>Series A Betrag</t>
        </is>
      </c>
      <c r="C28" s="44" t="inlineStr">
        <is>
          <t>15.000.000 EUR</t>
        </is>
      </c>
      <c r="D28" s="45" t="inlineStr">
        <is>
          <t>10.000.000 EUR</t>
        </is>
      </c>
      <c r="E28" s="46" t="inlineStr">
        <is>
          <t>Reduzierte Series A durch geringeres Wachstumstempo. Schont Verwässerung.</t>
        </is>
      </c>
    </row>
    <row r="29" ht="80" customHeight="1" s="214">
      <c r="A29" s="47" t="inlineStr">
        <is>
          <t>Inputs B17</t>
        </is>
      </c>
      <c r="B29" s="48" t="inlineStr">
        <is>
          <t>Series A Monat</t>
        </is>
      </c>
      <c r="C29" s="49" t="inlineStr">
        <is>
          <t>35</t>
        </is>
      </c>
      <c r="D29" s="45" t="inlineStr">
        <is>
          <t>36</t>
        </is>
      </c>
      <c r="E29" s="50" t="inlineStr">
        <is>
          <t>Leicht später, da Meilensteine langsamer erreicht werden.</t>
        </is>
      </c>
    </row>
    <row r="30" ht="60" customHeight="1" s="214">
      <c r="A30" s="230" t="inlineStr">
        <is>
          <t>→ Auswirkung</t>
        </is>
      </c>
      <c r="B30" s="231" t="inlineStr">
        <is>
          <t>Gesamtfinanzierung: 15,5M EUR (vs. 23,5M im Aggressiv). Niedrigerer Cash-Verbrauch durch geringere Headcount- und Marketing-Ausgaben.</t>
        </is>
      </c>
    </row>
    <row r="32" ht="22" customHeight="1" s="214">
      <c r="A32" s="233" t="inlineStr">
        <is>
          <t>5. HEADCOUNT &amp; KI-HEBEL — Vollständige Personalplanung</t>
        </is>
      </c>
    </row>
    <row r="33" ht="80" customHeight="1" s="214">
      <c r="A33" s="42" t="inlineStr">
        <is>
          <t>Sandbox D10</t>
        </is>
      </c>
      <c r="B33" s="43" t="inlineStr">
        <is>
          <t>AI-Personal-Hebel</t>
        </is>
      </c>
      <c r="C33" s="44" t="inlineStr">
        <is>
          <t>0 Monate (Gering-Standard)</t>
        </is>
      </c>
      <c r="D33" s="45" t="inlineStr">
        <is>
          <t>0 Monate</t>
        </is>
      </c>
      <c r="E33" s="107" t="inlineStr">
        <is>
          <t>Konservativ: Kein KI-Delay beim Hiring. Alle Rollen werden zum ursprünglich geplanten Monat eingestellt. Begründung: KI-Werkzeuge sind in der Praxis in Monat 1-24 noch nicht produktionsreif genug, um Hiring zu verzögern. Das Unternehmen baut Standard-Kapazitäten auf.</t>
        </is>
      </c>
    </row>
    <row r="34" ht="80" customHeight="1" s="214">
      <c r="A34" s="47" t="inlineStr">
        <is>
          <t>Inputs B44</t>
        </is>
      </c>
      <c r="B34" s="48" t="inlineStr">
        <is>
          <t>Jährl. Gehaltserhöhung</t>
        </is>
      </c>
      <c r="C34" s="49" t="inlineStr">
        <is>
          <t>5%</t>
        </is>
      </c>
      <c r="D34" s="45" t="inlineStr">
        <is>
          <t>3%</t>
        </is>
      </c>
      <c r="E34" s="50" t="inlineStr">
        <is>
          <t>Geringere Lohnsteigerung reflektiert konservatives Budget und weniger Wettbewerb um Talent im konservativen Szenario (kleineres Unternehmen, Berlin-Markt).</t>
        </is>
      </c>
    </row>
    <row r="35" ht="60" customHeight="1" s="214">
      <c r="A35" s="230" t="inlineStr">
        <is>
          <t>→ Auswirkung</t>
        </is>
      </c>
      <c r="B35" s="231" t="inlineStr">
        <is>
          <t>Konservativ hat MEHR Mitarbeiter als Aggressiv (kein KI-Delay). Personalkosten sind der größte Kostenblock. Typische Entwicklung:
  M1-5: CEO + CTO (Founder, Eigenfinanzierung)
  M5-17: +2 Senior Engineers nach Pre-Seed
  M17-24: +CCO, +1 Sales, +1 Customer Success nach Seed
  M24-36: +Marketing, +Finance, +2 weitere Engineers
  M36-52: +2-3 Sales Reps, +2 CS, +1 weitere
  GESAMT M52: ~18-22 Mitarbeiter</t>
        </is>
      </c>
    </row>
    <row r="37" ht="22" customHeight="1" s="214">
      <c r="A37" s="233" t="inlineStr">
        <is>
          <t>6. MARKETING &amp; SALES — Budgetdisziplin</t>
        </is>
      </c>
    </row>
    <row r="38" ht="80" customHeight="1" s="214">
      <c r="A38" s="42" t="inlineStr">
        <is>
          <t>Inputs B125</t>
        </is>
      </c>
      <c r="B38" s="43" t="inlineStr">
        <is>
          <t>Events &amp; Messen/Jahr</t>
        </is>
      </c>
      <c r="C38" s="44" t="inlineStr">
        <is>
          <t>25.000 EUR</t>
        </is>
      </c>
      <c r="D38" s="45" t="inlineStr">
        <is>
          <t>25.000 EUR</t>
        </is>
      </c>
      <c r="E38" s="107" t="inlineStr">
        <is>
          <t>PDF-Placeholder-Wert beibehalten. Rene betont: Industrie-Konferenzen &gt; Software-Konferenzen. 25K EUR als Baseline für 2-3 Packaging/Machinery-Konferenzen. Im Konservativ-Szenario kein Aufschlag.</t>
        </is>
      </c>
    </row>
    <row r="39" ht="80" customHeight="1" s="214">
      <c r="A39" s="47" t="inlineStr">
        <is>
          <t>Inputs B122</t>
        </is>
      </c>
      <c r="B39" s="48" t="inlineStr">
        <is>
          <t>Paid Ads Initial</t>
        </is>
      </c>
      <c r="C39" s="49" t="inlineStr">
        <is>
          <t>500 EUR/Monat</t>
        </is>
      </c>
      <c r="D39" s="45" t="inlineStr">
        <is>
          <t>300 EUR/Monat</t>
        </is>
      </c>
      <c r="E39" s="50" t="inlineStr">
        <is>
          <t>Geringeres Ads-Budget in der Validierungsphase. B2B-Manufacturing kauft nicht über Ads.</t>
        </is>
      </c>
    </row>
    <row r="40" ht="80" customHeight="1" s="214">
      <c r="A40" s="42" t="inlineStr">
        <is>
          <t>Inputs B127</t>
        </is>
      </c>
      <c r="B40" s="43" t="inlineStr">
        <is>
          <t>Sales-Provision</t>
        </is>
      </c>
      <c r="C40" s="44" t="inlineStr">
        <is>
          <t>10%</t>
        </is>
      </c>
      <c r="D40" s="45" t="inlineStr">
        <is>
          <t>8%</t>
        </is>
      </c>
      <c r="E40" s="46" t="inlineStr">
        <is>
          <t>Etwas geringere Provision, da weniger aggressives Sales-Ziel.</t>
        </is>
      </c>
    </row>
    <row r="41" ht="60" customHeight="1" s="214">
      <c r="A41" s="230" t="inlineStr">
        <is>
          <t>→ Auswirkung</t>
        </is>
      </c>
      <c r="B41" s="231" t="inlineStr">
        <is>
          <t>Total Marketing-Spend M1-M52: ~30-40% geringer als Aggressiv. GTM über Konferenzen (primary), Content (sekundär), POCs (Conversion).</t>
        </is>
      </c>
    </row>
    <row r="43" ht="20" customHeight="1" s="214">
      <c r="A43" s="240" t="inlineStr">
        <is>
          <t>VERGLEICH: KONSERVATIV vs. AGGRESSIV</t>
        </is>
      </c>
    </row>
    <row r="44" ht="300" customHeight="1" s="214">
      <c r="A44" s="241" t="inlineStr">
        <is>
          <t xml:space="preserve">
╔══════════════════════════════════════════════════════════════════════╗
║         HAUPTUNTERSCHIEDE: KONSERVATIV vs. AGGRESSIV                ║
╠══════════════════════════════════════════════════════════════════════╣
║  Parameter          │ Konservativ  │ Aggressiv    │ Quelle          ║
╠══════════════════════════════════════════════════════════════════════╣
║  Preis/Seat/Monat   │ 200 EUR      │ 500 EUR      │ PDF benchmark   ║
║  Preis/Seat/Jahr    │ 2.400 EUR    │ 6.000 EUR    │ ×12             ║
║  First Revenue Mon. │ 17           │ 9            │ PDF + Anpassung ║
║  Initiale Seats     │ 3            │ 5            │ PDF avg         ║
║  Seat-Wachstum/Mo.  │ 3%           │ 8%           │ Scenario        ║
║  Enterprise ab Mon. │ 30           │ 18           │ Scenario        ║
║  Enterprise ARR     │ 25.000 EUR   │ 50.000 EUR   │ Scenario        ║
║  Deals/Quartal      │ 1            │ 2            │ Scenario        ║
║  Churn Rate/Jahr    │ 15%          │ 6%           │ PDF adoption    ║
║  NRR                │ 105%         │ 125%         │ Scenario        ║
║  Pre-Seed           │ 1,5M EUR     │ 2,0M EUR     │ PDF range       ║
║  Seed               │ 4,0M EUR     │ 6,0M EUR     │ PDF range       ║
║  Series A           │ 10M EUR      │ 20M EUR      │ Scenario        ║
║  Headcount M52      │ ~18-22       │ ~10-14       │ KI-Hebel-Effekt ║
║  Events/Jahr        │ 25.000 EUR   │ 50.000 EUR   │ PDF + ×2        ║
║  KI-Personal-Hebel  │ 0 Monate     │ 99 Monate    │ Maximaler Effekt║
║  ARR-Schätzung M24  │ 200-400K     │ 600K-1,2M    │ Modellschätzung ║
║  ARR-Schätzung M52  │ 500K-1M      │ 5-10M        │ Modellschätzung ║
╚══════════════════════════════════════════════════════════════════════╝
</t>
        </is>
      </c>
    </row>
    <row r="46" ht="20" customHeight="1" s="214">
      <c r="A46" s="234" t="inlineStr">
        <is>
          <t>OFFENE PUNKTE (aus PDF Decision Register Part G)</t>
        </is>
      </c>
    </row>
    <row r="47" ht="180" customHeight="1" s="214">
      <c r="A47" s="236" t="inlineStr">
        <is>
          <t xml:space="preserve">
OFFENE PUNKTE AUS DEM PDF (Decision Register Part G):
─────────────────────────────────────────────────────
G1.1 HIGH: Timeline-Varianten konsolidieren (Sept 2026 vs. April-Start)
G1.3 HIGH: First-Paying-Customer-Timing final festlegen (kritischste Variable)
G1.4 MED:  Deployment-Standard (Cloud/On-Prem/Hybrid) → beeinflusst Kostenstruktur
G1.7 MED:  KI-Rollensubstitution quantifizieren (direkt auf Personalkosten)
G2.2 HIGH: Conversion-Rate-Annahmen per Kanal definieren
G2.3 HIGH: Customer-Success-Skalierungsmodell planen (identifizierter Engpass)
G3.1 HIGH: Kausale CO₂-Wirkungskette präzise definieren
G3.3 HIGH: Baseline für CO₂-Berechnungen festlegen
</t>
        </is>
      </c>
    </row>
  </sheetData>
  <mergeCells count="26">
    <mergeCell ref="A35"/>
    <mergeCell ref="B30:E30"/>
    <mergeCell ref="A1:E1"/>
    <mergeCell ref="B41:E41"/>
    <mergeCell ref="B35:E35"/>
    <mergeCell ref="A30"/>
    <mergeCell ref="A25:E25"/>
    <mergeCell ref="A46:E46"/>
    <mergeCell ref="A37:E37"/>
    <mergeCell ref="A11"/>
    <mergeCell ref="B18:E18"/>
    <mergeCell ref="A2:E2"/>
    <mergeCell ref="A47:E47"/>
    <mergeCell ref="A5:E5"/>
    <mergeCell ref="B11:E11"/>
    <mergeCell ref="A32:E32"/>
    <mergeCell ref="A8:E8"/>
    <mergeCell ref="A41"/>
    <mergeCell ref="B23:E23"/>
    <mergeCell ref="A4:E4"/>
    <mergeCell ref="A18"/>
    <mergeCell ref="A20:E20"/>
    <mergeCell ref="A43:E43"/>
    <mergeCell ref="A13:E13"/>
    <mergeCell ref="A44:E44"/>
    <mergeCell ref="A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L4" sqref="L4"/>
    </sheetView>
  </sheetViews>
  <sheetFormatPr baseColWidth="10" defaultColWidth="8.7265625" defaultRowHeight="14.5"/>
  <cols>
    <col width="16" customWidth="1" style="214" min="1" max="1"/>
    <col width="28" customWidth="1" style="214" min="2" max="2"/>
    <col width="25" customWidth="1" style="214" min="3" max="3"/>
    <col width="35" customWidth="1" style="214" min="4" max="4"/>
    <col width="14" customWidth="1" style="214" min="5" max="5"/>
    <col width="40" customWidth="1" style="214" min="6" max="6"/>
  </cols>
  <sheetData>
    <row r="1" ht="28" customHeight="1" s="214">
      <c r="A1" s="242" t="inlineStr">
        <is>
          <t>LFL – Entwicklungs-Roadmap: Neue Treiber aus Treiber-Matrix (noch nicht modelliert)</t>
        </is>
      </c>
      <c r="B1" s="216" t="n"/>
      <c r="C1" s="216" t="n"/>
      <c r="D1" s="216" t="n"/>
      <c r="E1" s="216" t="n"/>
      <c r="F1" s="217" t="n"/>
    </row>
    <row r="2" ht="22" customHeight="1" s="214">
      <c r="A2" s="76" t="inlineStr">
        <is>
          <t>Kategorie</t>
        </is>
      </c>
      <c r="B2" s="76" t="inlineStr">
        <is>
          <t>Parameter / Treiber</t>
        </is>
      </c>
      <c r="C2" s="76" t="inlineStr">
        <is>
          <t>Mögliche Werte (G/N/S)</t>
        </is>
      </c>
      <c r="D2" s="76" t="inlineStr">
        <is>
          <t>Auswirkung</t>
        </is>
      </c>
      <c r="E2" s="76" t="inlineStr">
        <is>
          <t>Priorität</t>
        </is>
      </c>
      <c r="F2" s="76" t="inlineStr">
        <is>
          <t>Nächster Schritt</t>
        </is>
      </c>
    </row>
    <row r="3" ht="50" customHeight="1" s="214">
      <c r="A3" s="88" t="inlineStr">
        <is>
          <t>SaaS-Pricing</t>
        </is>
      </c>
      <c r="B3" s="88" t="inlineStr">
        <is>
          <t>Produkt-Tiers (Basic/Pro/Enterprise)</t>
        </is>
      </c>
      <c r="C3" s="88" t="inlineStr">
        <is>
          <t>Basic ~5K€/J | Pro ~12K€/J | Ent ~25K€/J</t>
        </is>
      </c>
      <c r="D3" s="88" t="inlineStr">
        <is>
          <t>Höhere Preisflexibilität, bessere Marktabdeckung → ARR ↑</t>
        </is>
      </c>
      <c r="E3" s="98" t="inlineStr">
        <is>
          <t>P1 HOCH</t>
        </is>
      </c>
      <c r="F3" s="88" t="inlineStr">
        <is>
          <t>Seat-Preis in Sandbox durch Tier-Verteilung ersetzen</t>
        </is>
      </c>
    </row>
    <row r="4" ht="50" customHeight="1" s="214">
      <c r="A4" s="99" t="inlineStr">
        <is>
          <t>SaaS-Umsatz</t>
        </is>
      </c>
      <c r="B4" s="99" t="inlineStr">
        <is>
          <t>NRR-Varianten (bereits integriert!)</t>
        </is>
      </c>
      <c r="C4" s="99" t="inlineStr">
        <is>
          <t>Gering=105% | Normal=115% | Stark=130%</t>
        </is>
      </c>
      <c r="D4" s="99" t="inlineStr">
        <is>
          <t>✓ In v6 implementiert — Sandbox Z.13 / Szenarien Z.9</t>
        </is>
      </c>
      <c r="E4" s="100" t="inlineStr">
        <is>
          <t>✓ ERLEDIGT</t>
        </is>
      </c>
      <c r="F4" s="99" t="inlineStr">
        <is>
          <t>—</t>
        </is>
      </c>
    </row>
    <row r="5" ht="50" customHeight="1" s="214">
      <c r="A5" s="88" t="inlineStr">
        <is>
          <t>SaaS-Umsatz</t>
        </is>
      </c>
      <c r="B5" s="88" t="inlineStr">
        <is>
          <t>Churn-Varianten (bereits integriert!)</t>
        </is>
      </c>
      <c r="C5" s="88" t="inlineStr">
        <is>
          <t>Gering=10% | Normal=6% | Stark=3%</t>
        </is>
      </c>
      <c r="D5" s="88" t="inlineStr">
        <is>
          <t>✓ In v6 implementiert — Sandbox Z.14 / Szenarien Z.10</t>
        </is>
      </c>
      <c r="E5" s="100" t="inlineStr">
        <is>
          <t>✓ ERLEDIGT</t>
        </is>
      </c>
      <c r="F5" s="88" t="inlineStr">
        <is>
          <t>—</t>
        </is>
      </c>
    </row>
    <row r="6" ht="50" customHeight="1" s="214">
      <c r="A6" s="99" t="inlineStr">
        <is>
          <t>Marktexpansion</t>
        </is>
      </c>
      <c r="B6" s="99" t="inlineStr">
        <is>
          <t>Internationalisierung</t>
        </is>
      </c>
      <c r="C6" s="99" t="inlineStr">
        <is>
          <t>Keine | EU Y2 | US Y3</t>
        </is>
      </c>
      <c r="D6" s="99" t="inlineStr">
        <is>
          <t>Multiplikator auf Kundenwachstum ab definiertem Monat → ARR ↑↑</t>
        </is>
      </c>
      <c r="E6" s="101" t="inlineStr">
        <is>
          <t>P2 MITTEL</t>
        </is>
      </c>
      <c r="F6" s="99" t="inlineStr">
        <is>
          <t>Revenue: Multiplikator-Zeile ab Monat X; Inputs: Expansion-Startmonat</t>
        </is>
      </c>
    </row>
    <row r="7" ht="50" customHeight="1" s="214">
      <c r="A7" s="88" t="inlineStr">
        <is>
          <t>Personal</t>
        </is>
      </c>
      <c r="B7" s="88" t="inlineStr">
        <is>
          <t>Gehaltsniveau-Faktor</t>
        </is>
      </c>
      <c r="C7" s="88" t="inlineStr">
        <is>
          <t>85% | 100% | 115% des Markts</t>
        </is>
      </c>
      <c r="D7" s="88" t="inlineStr">
        <is>
          <t>Direkter Hebel auf gesamte Personalkostenbasis → EBITDA ±</t>
        </is>
      </c>
      <c r="E7" s="101" t="inlineStr">
        <is>
          <t>P2 MITTEL</t>
        </is>
      </c>
      <c r="F7" s="88" t="inlineStr">
        <is>
          <t>Inputs: Faktor auf alle Gehälter in Einstellungsplan</t>
        </is>
      </c>
    </row>
    <row r="8" ht="50" customHeight="1" s="214">
      <c r="A8" s="99" t="inlineStr">
        <is>
          <t>Büro/Facilities</t>
        </is>
      </c>
      <c r="B8" s="99" t="inlineStr">
        <is>
          <t>Remote-Work-Strategie</t>
        </is>
      </c>
      <c r="C8" s="99" t="inlineStr">
        <is>
          <t>Office-First | Hybrid | Full-Remote</t>
        </is>
      </c>
      <c r="D8" s="99" t="inlineStr">
        <is>
          <t>Büromiete 0–4.500€/Monat → Burn Rate ↓ bei Remote</t>
        </is>
      </c>
      <c r="E8" s="102" t="inlineStr">
        <is>
          <t>P3 NIEDRIG</t>
        </is>
      </c>
      <c r="F8" s="99" t="inlineStr">
        <is>
          <t>Inputs: Büromiete durch Strategie-Faktor (0/0.5/1.0) steuern</t>
        </is>
      </c>
    </row>
    <row r="9" ht="50" customHeight="1" s="214">
      <c r="A9" s="88" t="inlineStr">
        <is>
          <t>Technologie</t>
        </is>
      </c>
      <c r="B9" s="88" t="inlineStr">
        <is>
          <t>Technologie-Stack-Strategie</t>
        </is>
      </c>
      <c r="C9" s="88" t="inlineStr">
        <is>
          <t>Open-Source -40% | Proprietär | Multi-Provider +15%</t>
        </is>
      </c>
      <c r="D9" s="88" t="inlineStr">
        <is>
          <t>AI/ML-API-Kosten direkt → COGS Margin ±</t>
        </is>
      </c>
      <c r="E9" s="101" t="inlineStr">
        <is>
          <t>P2 MITTEL</t>
        </is>
      </c>
      <c r="F9" s="88" t="inlineStr">
        <is>
          <t>Sandbox: Stack-Faktor auf AI/ML APIs Basis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 Inputs!A2:</t>
        </is>
      </c>
    </row>
    <row r="2">
      <c r="A2" t="inlineStr">
        <is>
          <t>To Do 10.3.26:
*   Den Begriff Consulting verändern in Implementierungs Support.
*   Checken ob die wesentlichen Parameter in Bezug auf Kostenhöhe et cetera abgeglichen worden sind mit den Informationen aus der Tabelle für den initialen Startpunkt Funding ideation Phase.
*   Einen anderen Kostensatz annehmen in Bezug auf Anwaltskosten.
*   Checken ob die absoluten Kostenhöhen so passen.
*   Checken welche Annahmen hinter den Produkt Feature Entwicklungen stecken können.
*   Wie es mit der entsprechenden Mannschaft eine Produktentwicklung und ein Rollout stattfinden kann wie er geplant ist.
*   Berücksichtigen dass einerseits Produkte gebaut andererseits aber auch Implementierung Projekte geleitet und umgesetzt werden müssen.
*   Diese Fragen auch auf das Thema Customer Success und Sales beziehungsweise Investor Relations ausrollen.
*   Prüfen ob Olaf René für diese Aufgaben ausreichend Zeit und Kapazität haben.
*   Mouaz in der Lage ist in dem verfügbaren Zeitrahmen diese Aufgaben umzusetzen, was realistischerweise berücksichtigt werden muss um diese Aufgaben tatsächlich auch umzusetzen.
*   Ziel sollte eine Szenario beschreibungs sein der besprochenen Vorgehensweise.
*   Ziel sollte auch sein hier die entsprechenden Bezüge zu den einzelnen Phasen herzustellen und genau zu beschreiben was in jeder Phase gemacht wird, was in jeder Phase kundenseitig und Revenue-seitig erreicht werden muss, welche Anforderungen damit verbunden sind und wie die Kunden gefunden werden sollen.
*   Also sprich wie viele Letters of Intent, wie viele Pilot-Kunden brauchen wir, in welchen Branchen und was bedeutet das Final für das Produkt.</t>
        </is>
      </c>
    </row>
    <row r="10">
      <c r="A10" t="inlineStr">
        <is>
          <t>Aus Costs!B1 (To-Do):</t>
        </is>
      </c>
    </row>
    <row r="11">
      <c r="A11" t="inlineStr">
        <is>
          <t>To do 10.3.2026
- Phasen einfügen anhand der Tabelle, die mit Rene und Mouaz abgesprochen worden ist.
- Meilensteine in den Spalten markieren, das heißt wann werden entsprechende Funding-Zahlungen hier fällig?
- Außerdem klar schauen ob der Aufwuchs an Personal modelliert werden kann oder ob er hier hart eingegeben werden muss.
- Auf jeden Fall deutlich machen wo hier Kostensteigerungen durch den Einsatz von Personal stattfinden.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IDEEN &amp; VORSCHLÄGE FÜR KÜNFTIGE ENTWICKLUNG</t>
        </is>
      </c>
    </row>
    <row r="2">
      <c r="A2" t="inlineStr">
        <is>
          <t>Stand: 11.03.2026</t>
        </is>
      </c>
    </row>
    <row r="4">
      <c r="A4" t="inlineStr">
        <is>
          <t>FEATURE 1: Automatisierte Kundenverteilung über Monate</t>
        </is>
      </c>
    </row>
    <row r="5">
      <c r="A5" t="inlineStr">
        <is>
          <t>Status: Vorgemerkt – noch nicht implementiert</t>
        </is>
      </c>
    </row>
    <row r="6">
      <c r="A6" t="inlineStr">
        <is>
          <t>Beschreibung:</t>
        </is>
      </c>
    </row>
    <row r="7">
      <c r="A7" t="inlineStr">
        <is>
          <t xml:space="preserve">  - Nutzer trägt in Inputs nur die GESAMTANZAHL neuer Kunden pro Phase (Ideation / Pre-Seed / Seed / Series A) ein</t>
        </is>
      </c>
    </row>
    <row r="8">
      <c r="A8" t="inlineStr">
        <is>
          <t xml:space="preserve">  - Für SME, Mid Company und Enterprise separat</t>
        </is>
      </c>
    </row>
    <row r="9">
      <c r="A9" t="inlineStr">
        <is>
          <t xml:space="preserve">  - Algorithmus verteilt die Kunden gleichmäßig (oder gewichtet) über die Monate der jeweiligen Phase</t>
        </is>
      </c>
    </row>
    <row r="10">
      <c r="A10" t="inlineStr">
        <is>
          <t xml:space="preserve">  - Implementierung: neue Zeilen in 00_Input_Sandbox oder Inputs, Verteilungsformel in Revenue-Sheet</t>
        </is>
      </c>
    </row>
    <row r="11">
      <c r="A11" t="inlineStr">
        <is>
          <t xml:space="preserve">  - Betrifft Sheets: Inputs, Revenue</t>
        </is>
      </c>
    </row>
    <row r="13">
      <c r="A13" t="inlineStr">
        <is>
          <t>FEATURE 2: [Platzhalter für weitere Ideen]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2026-03-04T23:13:35Z</dcterms:created>
  <dcterms:modified xsi:type="dcterms:W3CDTF">2026-03-11T07:38:24Z</dcterms:modified>
  <cp:lastModifiedBy>Olaf Pick</cp:lastModifiedBy>
</cp:coreProperties>
</file>