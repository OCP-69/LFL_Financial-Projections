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0;\(#,##0\)"/>
    <numFmt numFmtId="167" formatCode="0.0"/>
  </numFmts>
  <fonts count="40">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
      <name val="Calibri"/>
      <sz val="10"/>
    </font>
    <font>
      <name val="Calibri"/>
      <b val="1"/>
      <sz val="10"/>
    </font>
    <font>
      <name val="Calibri"/>
      <i val="1"/>
      <color rgb="00595959"/>
      <sz val="9"/>
    </font>
    <font>
      <name val="Calibri"/>
      <b val="1"/>
      <sz val="11"/>
    </font>
    <font>
      <name val="Calibri"/>
      <b val="1"/>
      <color rgb="00C55A11"/>
      <sz val="9"/>
    </font>
    <font>
      <name val="Calibri"/>
      <i val="1"/>
      <color rgb="001F3864"/>
      <sz val="10"/>
    </font>
    <font>
      <name val="Calibri"/>
      <i val="1"/>
      <color rgb="001F6B75"/>
      <sz val="9"/>
    </font>
    <font>
      <name val="Calibri"/>
      <b val="1"/>
      <color rgb="001F6B75"/>
      <sz val="10"/>
    </font>
    <font>
      <name val="Calibri"/>
      <i val="1"/>
      <color rgb="001F6B75"/>
      <sz val="8"/>
    </font>
  </fonts>
  <fills count="27">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
      <patternFill patternType="solid">
        <fgColor rgb="00E2EFDA"/>
      </patternFill>
    </fill>
    <fill>
      <patternFill patternType="solid">
        <fgColor rgb="001F6B75"/>
      </patternFill>
    </fill>
    <fill>
      <patternFill patternType="solid">
        <fgColor rgb="00BDD7EE"/>
      </patternFill>
    </fill>
    <fill>
      <patternFill patternType="solid">
        <fgColor rgb="00FCE4D6"/>
      </patternFill>
    </fill>
    <fill>
      <patternFill patternType="solid">
        <fgColor rgb="00F2F2F2"/>
      </patternFill>
    </fill>
    <fill>
      <patternFill patternType="solid">
        <fgColor rgb="00E9F7F8"/>
      </patternFill>
    </fill>
  </fills>
  <borders count="19">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s>
  <cellStyleXfs count="1">
    <xf numFmtId="0" fontId="0" fillId="0" borderId="0"/>
  </cellStyleXfs>
  <cellXfs count="13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xf numFmtId="0" fontId="23" fillId="22" borderId="14" applyAlignment="1" pivotButton="0" quotePrefix="0" xfId="0">
      <alignment horizontal="left" vertical="center"/>
    </xf>
    <xf numFmtId="0" fontId="7" fillId="22" borderId="14" applyAlignment="1" pivotButton="0" quotePrefix="0" xfId="0">
      <alignment wrapText="1"/>
    </xf>
    <xf numFmtId="0" fontId="11" fillId="22" borderId="14" applyAlignment="1" pivotButton="0" quotePrefix="0" xfId="0">
      <alignment wrapText="1"/>
    </xf>
    <xf numFmtId="0" fontId="32" fillId="0" borderId="14" applyAlignment="1" pivotButton="0" quotePrefix="0" xfId="0">
      <alignment horizontal="left" vertical="center" wrapText="1"/>
    </xf>
    <xf numFmtId="0" fontId="7" fillId="23" borderId="14" applyAlignment="1" pivotButton="0" quotePrefix="0" xfId="0">
      <alignment horizontal="right" vertical="center"/>
    </xf>
    <xf numFmtId="0" fontId="31" fillId="0" borderId="14" applyAlignment="1" pivotButton="0" quotePrefix="0" xfId="0">
      <alignment horizontal="left" vertical="center" wrapText="1"/>
    </xf>
    <xf numFmtId="0" fontId="33" fillId="0" borderId="14" applyAlignment="1" pivotButton="0" quotePrefix="0" xfId="0">
      <alignment vertical="top" wrapText="1"/>
    </xf>
    <xf numFmtId="9" fontId="7" fillId="23" borderId="14" applyAlignment="1" pivotButton="0" quotePrefix="0" xfId="0">
      <alignment horizontal="right" vertical="center"/>
    </xf>
    <xf numFmtId="0" fontId="31" fillId="21" borderId="14" applyAlignment="1" pivotButton="0" quotePrefix="0" xfId="0">
      <alignment horizontal="right" vertical="center"/>
    </xf>
    <xf numFmtId="0" fontId="32" fillId="21" borderId="14" applyAlignment="1" pivotButton="0" quotePrefix="0" xfId="0">
      <alignment horizontal="left" vertical="center"/>
    </xf>
    <xf numFmtId="3" fontId="0" fillId="21" borderId="14" applyAlignment="1" pivotButton="0" quotePrefix="0" xfId="0">
      <alignment horizontal="right" vertical="center"/>
    </xf>
    <xf numFmtId="0" fontId="0" fillId="22" borderId="14" pivotButton="0" quotePrefix="0" xfId="0"/>
    <xf numFmtId="0" fontId="28" fillId="19" borderId="14" applyAlignment="1" pivotButton="0" quotePrefix="0" xfId="0">
      <alignment horizontal="left" vertical="center"/>
    </xf>
    <xf numFmtId="0" fontId="0" fillId="19" borderId="14" applyAlignment="1" pivotButton="0" quotePrefix="0" xfId="0">
      <alignment horizontal="right" vertical="center"/>
    </xf>
    <xf numFmtId="0" fontId="28" fillId="21" borderId="14" applyAlignment="1" pivotButton="0" quotePrefix="0" xfId="0">
      <alignment horizontal="left" vertical="center"/>
    </xf>
    <xf numFmtId="0" fontId="35" fillId="24" borderId="0" applyAlignment="1" pivotButton="0" quotePrefix="0" xfId="0">
      <alignment vertical="top" wrapText="1"/>
    </xf>
    <xf numFmtId="0" fontId="38" fillId="26" borderId="0" applyAlignment="1" pivotButton="0" quotePrefix="0" xfId="0">
      <alignment wrapText="1"/>
    </xf>
    <xf numFmtId="9" fontId="34" fillId="19" borderId="0" applyAlignment="1" pivotButton="0" quotePrefix="0" xfId="0">
      <alignment horizontal="center" vertical="center"/>
    </xf>
    <xf numFmtId="0" fontId="39" fillId="0" borderId="0" applyAlignment="1" pivotButton="0" quotePrefix="0" xfId="0">
      <alignment horizontal="left" vertical="center"/>
    </xf>
    <xf numFmtId="0" fontId="38" fillId="26" borderId="14" applyAlignment="1" pivotButton="0" quotePrefix="0" xfId="0">
      <alignment horizontal="left" vertical="top" wrapText="1"/>
    </xf>
    <xf numFmtId="0" fontId="31" fillId="0" borderId="14" applyAlignment="1" pivotButton="0" quotePrefix="0" xfId="0">
      <alignment horizontal="left" vertical="top" wrapText="1"/>
    </xf>
    <xf numFmtId="0" fontId="34" fillId="19" borderId="14" applyAlignment="1" pivotButton="0" quotePrefix="0" xfId="0">
      <alignment horizontal="center" vertical="center"/>
    </xf>
    <xf numFmtId="0" fontId="37" fillId="26" borderId="14" applyAlignment="1" pivotButton="0" quotePrefix="0" xfId="0">
      <alignment vertical="center"/>
    </xf>
    <xf numFmtId="0" fontId="0" fillId="0" borderId="17" pivotButton="0" quotePrefix="0" xfId="0"/>
    <xf numFmtId="0" fontId="0" fillId="0" borderId="18" pivotButton="0" quotePrefix="0" xfId="0"/>
    <xf numFmtId="9" fontId="36" fillId="23" borderId="14" applyAlignment="1" pivotButton="0" quotePrefix="0" xfId="0">
      <alignment horizontal="right" vertical="center"/>
    </xf>
    <xf numFmtId="0" fontId="33" fillId="0" borderId="14" applyAlignment="1" pivotButton="0" quotePrefix="0" xfId="0">
      <alignment horizontal="left" vertical="top" wrapText="1"/>
    </xf>
    <xf numFmtId="0" fontId="36" fillId="23" borderId="14" applyAlignment="1" pivotButton="0" quotePrefix="0" xfId="0">
      <alignment horizontal="right" vertical="center"/>
    </xf>
    <xf numFmtId="0" fontId="31" fillId="25" borderId="14" applyAlignment="1" pivotButton="0" quotePrefix="0" xfId="0">
      <alignment horizontal="left" vertical="center" wrapText="1"/>
    </xf>
    <xf numFmtId="0" fontId="31" fillId="0" borderId="14" applyAlignment="1" pivotButton="0" quotePrefix="0" xfId="0">
      <alignment horizontal="center"/>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cols>
    <col width="20" customWidth="1" style="83" min="8" max="8"/>
    <col width="45" customWidth="1" style="83" min="9" max="9"/>
  </cols>
  <sheetData>
    <row r="1" ht="60" customHeight="1" s="83">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120" t="inlineStr">
        <is>
          <t>⚑ HINWEIS:
Werte in den Spalten C/D/E (Gering/Normal/Stark) sind direkt bearbeitbar.
Änderungen in DIESEM Blatt fließen automatisch über Sandbox → Inputs → Revenue/P&amp;L.</t>
        </is>
      </c>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ht="40" customHeight="1" s="83">
      <c r="A5" s="121" t="inlineStr">
        <is>
          <t>Consulting Anteil</t>
        </is>
      </c>
      <c r="B5" s="11" t="n">
        <v>0.2</v>
      </c>
      <c r="C5" s="122" t="n">
        <v>0.5</v>
      </c>
      <c r="D5" s="122" t="n">
        <v>0.35</v>
      </c>
      <c r="E5" s="122" t="n">
        <v>0.15</v>
      </c>
      <c r="F5" s="11">
        <f>E5-D5</f>
        <v/>
      </c>
      <c r="G5" s="13" t="inlineStr">
        <is>
          <t>Consulting ist Enabler für IT-Anbindung.</t>
        </is>
      </c>
      <c r="H5" s="123" t="inlineStr">
        <is>
          <t>→ Sandbox → Inputs</t>
        </is>
      </c>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ht="60" customHeight="1" s="83">
      <c r="A8" s="124" t="inlineStr">
        <is>
          <t>Consulting-Tage/Einsatz</t>
        </is>
      </c>
      <c r="B8" s="125" t="n">
        <v>5</v>
      </c>
      <c r="C8" s="126" t="n">
        <v>2</v>
      </c>
      <c r="D8" s="126" t="n">
        <v>5</v>
      </c>
      <c r="E8" s="126" t="n">
        <v>10</v>
      </c>
      <c r="F8" s="125">
        <f>E8-D8</f>
        <v/>
      </c>
      <c r="G8" s="125" t="inlineStr">
        <is>
          <t>Tage pro Beratungseinsatz je Kunde:
gering=2 (Basis-Einführung: Produktschulung, Systemcheck),
normal=5 (Implementierung + Anwenderschulung + Pilot-Begleitung),
stark=10 (spez. Datenbereinigung, Stammdaten-Harmonisierung, individuelle Sonderlösung).
→ Wert fließt über Sandbox in Inputs → Revenue automatisch.</t>
        </is>
      </c>
      <c r="H8" s="123" t="inlineStr">
        <is>
          <t>→ Sandbox → Inputs</t>
        </is>
      </c>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0.15</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1.05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800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600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0.03</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300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1000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0.08</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300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20" customHeight="1" s="83">
      <c r="A136" s="127" t="inlineStr">
        <is>
          <t>ℹ DATENFLUSS CONSULTING:  Szenarien_Analyse (Z.5 Anteil / Z.8 Tage)  →  Sandbox (Z.11 Tage / Z.12 Anteil)  →  Inputs (Z.138-140)  →  Revenue Z.28-29  →  P&amp;L</t>
        </is>
      </c>
      <c r="B136" s="128" t="n"/>
      <c r="C136" s="128" t="n"/>
      <c r="D136" s="128" t="n"/>
      <c r="E136" s="129"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105" t="inlineStr">
        <is>
          <t>CONSULTING REVENUE-PARAMETER</t>
        </is>
      </c>
      <c r="B137" s="106" t="n"/>
      <c r="C137" s="106" t="n"/>
      <c r="D137" s="107" t="n"/>
      <c r="E137" s="106"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60" customHeight="1" s="83">
      <c r="A138" s="108" t="inlineStr">
        <is>
          <t>Consulting Tagessatz (€/Tag)</t>
        </is>
      </c>
      <c r="B138" s="109">
        <f>VLOOKUP("Consulting-Tagessatz",'00_Input_Sandbox'!$B$3:$F$20,'00_Input_Sandbox'!$B$2-1,FALSE)</f>
        <v/>
      </c>
      <c r="C138" s="110" t="inlineStr">
        <is>
          <t>EUR pro Beratertag (szenarioabhängig aus Sandbox)</t>
        </is>
      </c>
      <c r="D138"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110" t="inlineStr">
        <is>
          <t>Fix (marktbasiert, durch Szenario gesteuert)</t>
        </is>
      </c>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60" customHeight="1" s="83">
      <c r="A139" s="108" t="inlineStr">
        <is>
          <t>Consulting-Anteil je Kunde (%)</t>
        </is>
      </c>
      <c r="B139" s="130">
        <f>VLOOKUP("Consulting-Anteil je Kunde",'00_Input_Sandbox'!$B$3:$F$20,'00_Input_Sandbox'!$B$2-1,FALSE)</f>
        <v/>
      </c>
      <c r="C139" s="110" t="inlineStr">
        <is>
          <t>% der Kunden mit Consulting-Einsatz (szenarioabhängig aus Sandbox/Szenarien_Analyse)</t>
        </is>
      </c>
      <c r="D139" s="131" t="inlineStr">
        <is>
          <t>Wert stammt aus Szenarien_Analyse (Zeile 5) via Sandbox. Gering (Automotive): 50 % – hoher IT-Aufwand &amp; Legacy-Anbindung. Normal (Hybrid): 35 %. Stark (Packaging): 15 % – einfache PLM-Integration. Kategorien: a) Implementierungsbegleitung  b) Schulung  c) Spez. Kundenanforderungen &amp; Datenbereinigung.</t>
        </is>
      </c>
      <c r="E139" s="110" t="inlineStr">
        <is>
          <t>Direkt anpassbar (kein Sandbox-Bezug)</t>
        </is>
      </c>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60" customHeight="1" s="83">
      <c r="A140" s="108" t="inlineStr">
        <is>
          <t>Consulting-Tage pro Einsatz</t>
        </is>
      </c>
      <c r="B140" s="109">
        <f>VLOOKUP("Consulting-Tage/Einsatz",'00_Input_Sandbox'!$B$3:$F$20,'00_Input_Sandbox'!$B$2-1,FALSE)</f>
        <v/>
      </c>
      <c r="C140" s="110" t="inlineStr">
        <is>
          <t>Tage je Kundeneinsatz (szenarioabhängig aus Sandbox)</t>
        </is>
      </c>
      <c r="D140"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110" t="inlineStr">
        <is>
          <t>Szenariogesteuert (Sandbox Zeile 11)</t>
        </is>
      </c>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mergeCells count="1">
    <mergeCell ref="A136:E136"/>
  </mergeCells>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63" t="n">
        <v>1200</v>
      </c>
      <c r="E7" s="63" t="n">
        <v>1500</v>
      </c>
      <c r="F7" s="63" t="n">
        <v>1800</v>
      </c>
      <c r="G7" s="62" t="inlineStr">
        <is>
          <t>Expertenstatus (Haag/Candemir).</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110" t="inlineStr">
        <is>
          <t>Consulting</t>
        </is>
      </c>
      <c r="B11" s="110" t="inlineStr">
        <is>
          <t>Consulting-Tage/Einsatz</t>
        </is>
      </c>
      <c r="C11" s="110" t="inlineStr">
        <is>
          <t>Tage/Einsatz</t>
        </is>
      </c>
      <c r="D11" s="132">
        <f>Szenarien_Analyse!C8</f>
        <v/>
      </c>
      <c r="E11" s="132">
        <f>Szenarien_Analyse!D8</f>
        <v/>
      </c>
      <c r="F11" s="132">
        <f>Szenarien_Analyse!E8</f>
        <v/>
      </c>
      <c r="G11" s="110" t="inlineStr">
        <is>
          <t>Referenziert Szenarien_Analyse Zeile 8 → dort bearbeitbar. Direkte Eingabe hier überschreibt die Referenz.</t>
        </is>
      </c>
      <c r="H11" s="43" t="n"/>
      <c r="I11" s="43" t="n"/>
      <c r="J11" s="43" t="n"/>
      <c r="K11" s="43" t="n"/>
      <c r="L11" s="43" t="n"/>
      <c r="M11" s="43" t="n"/>
      <c r="N11" s="43" t="n"/>
      <c r="O11" s="43" t="n"/>
      <c r="P11" s="43" t="n"/>
      <c r="Q11" s="43" t="n"/>
      <c r="R11" s="43" t="n"/>
      <c r="S11" s="43" t="n"/>
      <c r="T11" s="43" t="n"/>
      <c r="U11" s="43" t="n"/>
      <c r="V11" s="43" t="n"/>
      <c r="W11" s="43" t="n"/>
      <c r="X11" s="43" t="n"/>
      <c r="Y11" s="43" t="n"/>
      <c r="Z11" s="43" t="n"/>
    </row>
    <row r="12" ht="35" customHeight="1" s="83">
      <c r="A12" s="133" t="inlineStr">
        <is>
          <t>Consulting</t>
        </is>
      </c>
      <c r="B12" s="108" t="inlineStr">
        <is>
          <t>Consulting-Anteil je Kunde</t>
        </is>
      </c>
      <c r="C12" s="134" t="inlineStr">
        <is>
          <t>%</t>
        </is>
      </c>
      <c r="D12" s="132">
        <f>Szenarien_Analyse!C5</f>
        <v/>
      </c>
      <c r="E12" s="132">
        <f>Szenarien_Analyse!D5</f>
        <v/>
      </c>
      <c r="F12" s="132">
        <f>Szenarien_Analyse!E5</f>
        <v/>
      </c>
      <c r="G12" s="110" t="inlineStr">
        <is>
          <t>Referenziert Szenarien_Analyse Zeile 5 ('Consulting Anteil') → dort bearbeitbar. Anteil Kunden, die Consulting kaufen: gering=50% (viel IT-Aufwand), normal=35%, stark=15% (einfache Integration).</t>
        </is>
      </c>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B5+B6+B8</f>
        <v/>
      </c>
      <c r="C7" s="72">
        <f>C5+C6+C8</f>
        <v/>
      </c>
      <c r="D7" s="72">
        <f>D5+D6+D8</f>
        <v/>
      </c>
      <c r="E7" s="72">
        <f>E5+E6+E8</f>
        <v/>
      </c>
      <c r="F7" s="72">
        <f>F5+F6+F8</f>
        <v/>
      </c>
      <c r="G7" s="72">
        <f>G5+G6+G8</f>
        <v/>
      </c>
      <c r="H7" s="72">
        <f>H5+H6+H8</f>
        <v/>
      </c>
      <c r="I7" s="72">
        <f>I5+I6+I8</f>
        <v/>
      </c>
      <c r="J7" s="72">
        <f>J5+J6+J8</f>
        <v/>
      </c>
      <c r="K7" s="72">
        <f>K5+K6+K8</f>
        <v/>
      </c>
      <c r="L7" s="72">
        <f>L5+L6+L8</f>
        <v/>
      </c>
      <c r="M7" s="72">
        <f>M5+M6+M8</f>
        <v/>
      </c>
      <c r="N7" s="72">
        <f>N5+N6+N8</f>
        <v/>
      </c>
      <c r="O7" s="72">
        <f>O5+O6+O8</f>
        <v/>
      </c>
      <c r="P7" s="72">
        <f>P5+P6+P8</f>
        <v/>
      </c>
      <c r="Q7" s="72">
        <f>Q5+Q6+Q8</f>
        <v/>
      </c>
      <c r="R7" s="72">
        <f>R5+R6+R8</f>
        <v/>
      </c>
      <c r="S7" s="72">
        <f>S5+S6+S8</f>
        <v/>
      </c>
      <c r="T7" s="72">
        <f>T5+T6+T8</f>
        <v/>
      </c>
      <c r="U7" s="72">
        <f>U5+U6+U8</f>
        <v/>
      </c>
      <c r="V7" s="72">
        <f>V5+V6+V8</f>
        <v/>
      </c>
      <c r="W7" s="72">
        <f>W5+W6+W8</f>
        <v/>
      </c>
      <c r="X7" s="72">
        <f>X5+X6+X8</f>
        <v/>
      </c>
      <c r="Y7" s="72">
        <f>Y5+Y6+Y8</f>
        <v/>
      </c>
      <c r="Z7" s="72">
        <f>Z5+Z6+Z8</f>
        <v/>
      </c>
      <c r="AA7" s="72">
        <f>AA5+AA6+AA8</f>
        <v/>
      </c>
      <c r="AB7" s="72">
        <f>AB5+AB6+AB8</f>
        <v/>
      </c>
      <c r="AC7" s="72">
        <f>AC5+AC6+AC8</f>
        <v/>
      </c>
      <c r="AD7" s="72">
        <f>AD5+AD6+AD8</f>
        <v/>
      </c>
      <c r="AE7" s="72">
        <f>AE5+AE6+AE8</f>
        <v/>
      </c>
      <c r="AF7" s="72">
        <f>AF5+AF6+AF8</f>
        <v/>
      </c>
      <c r="AG7" s="72">
        <f>AG5+AG6+AG8</f>
        <v/>
      </c>
      <c r="AH7" s="72">
        <f>AH5+AH6+AH8</f>
        <v/>
      </c>
      <c r="AI7" s="72">
        <f>AI5+AI6+AI8</f>
        <v/>
      </c>
      <c r="AJ7" s="72">
        <f>AJ5+AJ6+AJ8</f>
        <v/>
      </c>
      <c r="AK7" s="72">
        <f>AK5+AK6+AK8</f>
        <v/>
      </c>
      <c r="AL7" s="72">
        <f>AL5+AL6+AL8</f>
        <v/>
      </c>
      <c r="AM7" s="72">
        <f>AM5+AM6+AM8</f>
        <v/>
      </c>
      <c r="AN7" s="72">
        <f>AN5+AN6+AN8</f>
        <v/>
      </c>
      <c r="AO7" s="72">
        <f>AO5+AO6+AO8</f>
        <v/>
      </c>
      <c r="AP7" s="72">
        <f>AP5+AP6+AP8</f>
        <v/>
      </c>
      <c r="AQ7" s="72">
        <f>AQ5+AQ6+AQ8</f>
        <v/>
      </c>
      <c r="AR7" s="72">
        <f>AR5+AR6+AR8</f>
        <v/>
      </c>
      <c r="AS7" s="72">
        <f>AS5+AS6+AS8</f>
        <v/>
      </c>
      <c r="AT7" s="72">
        <f>AT5+AT6+AT8</f>
        <v/>
      </c>
      <c r="AU7" s="72">
        <f>AU5+AU6+AU8</f>
        <v/>
      </c>
      <c r="AV7" s="72">
        <f>AV5+AV6+AV8</f>
        <v/>
      </c>
      <c r="AW7" s="72">
        <f>AW5+AW6+AW8</f>
        <v/>
      </c>
      <c r="AX7" s="72">
        <f>AX5+AX6+AX8</f>
        <v/>
      </c>
      <c r="AY7" s="72">
        <f>AY5+AY6+AY8</f>
        <v/>
      </c>
      <c r="AZ7" s="72">
        <f>AZ5+AZ6+AZ8</f>
        <v/>
      </c>
      <c r="BA7" s="72">
        <f>BA5+BA6+BA8</f>
        <v/>
      </c>
    </row>
    <row r="8" ht="14.25" customHeight="1" s="83">
      <c r="A8" s="114" t="inlineStr">
        <is>
          <t>Consulting Revenue</t>
        </is>
      </c>
      <c r="B8" s="115">
        <f>Revenue!B29</f>
        <v/>
      </c>
      <c r="C8" s="115">
        <f>Revenue!C29</f>
        <v/>
      </c>
      <c r="D8" s="115">
        <f>Revenue!D29</f>
        <v/>
      </c>
      <c r="E8" s="115">
        <f>Revenue!E29</f>
        <v/>
      </c>
      <c r="F8" s="115">
        <f>Revenue!F29</f>
        <v/>
      </c>
      <c r="G8" s="115">
        <f>Revenue!G29</f>
        <v/>
      </c>
      <c r="H8" s="115">
        <f>Revenue!H29</f>
        <v/>
      </c>
      <c r="I8" s="115">
        <f>Revenue!I29</f>
        <v/>
      </c>
      <c r="J8" s="115">
        <f>Revenue!J29</f>
        <v/>
      </c>
      <c r="K8" s="115">
        <f>Revenue!K29</f>
        <v/>
      </c>
      <c r="L8" s="115">
        <f>Revenue!L29</f>
        <v/>
      </c>
      <c r="M8" s="115">
        <f>Revenue!M29</f>
        <v/>
      </c>
      <c r="N8" s="115">
        <f>Revenue!N29</f>
        <v/>
      </c>
      <c r="O8" s="115">
        <f>Revenue!O29</f>
        <v/>
      </c>
      <c r="P8" s="115">
        <f>Revenue!P29</f>
        <v/>
      </c>
      <c r="Q8" s="115">
        <f>Revenue!Q29</f>
        <v/>
      </c>
      <c r="R8" s="115">
        <f>Revenue!R29</f>
        <v/>
      </c>
      <c r="S8" s="115">
        <f>Revenue!S29</f>
        <v/>
      </c>
      <c r="T8" s="115">
        <f>Revenue!T29</f>
        <v/>
      </c>
      <c r="U8" s="115">
        <f>Revenue!U29</f>
        <v/>
      </c>
      <c r="V8" s="115">
        <f>Revenue!V29</f>
        <v/>
      </c>
      <c r="W8" s="115">
        <f>Revenue!W29</f>
        <v/>
      </c>
      <c r="X8" s="115">
        <f>Revenue!X29</f>
        <v/>
      </c>
      <c r="Y8" s="115">
        <f>Revenue!Y29</f>
        <v/>
      </c>
      <c r="Z8" s="115">
        <f>Revenue!Z29</f>
        <v/>
      </c>
      <c r="AA8" s="115">
        <f>Revenue!AA29</f>
        <v/>
      </c>
      <c r="AB8" s="115">
        <f>Revenue!AB29</f>
        <v/>
      </c>
      <c r="AC8" s="115">
        <f>Revenue!AC29</f>
        <v/>
      </c>
      <c r="AD8" s="115">
        <f>Revenue!AD29</f>
        <v/>
      </c>
      <c r="AE8" s="115">
        <f>Revenue!AE29</f>
        <v/>
      </c>
      <c r="AF8" s="115">
        <f>Revenue!AF29</f>
        <v/>
      </c>
      <c r="AG8" s="115">
        <f>Revenue!AG29</f>
        <v/>
      </c>
      <c r="AH8" s="115">
        <f>Revenue!AH29</f>
        <v/>
      </c>
      <c r="AI8" s="115">
        <f>Revenue!AI29</f>
        <v/>
      </c>
      <c r="AJ8" s="115">
        <f>Revenue!AJ29</f>
        <v/>
      </c>
      <c r="AK8" s="115">
        <f>Revenue!AK29</f>
        <v/>
      </c>
      <c r="AL8" s="115">
        <f>Revenue!AL29</f>
        <v/>
      </c>
      <c r="AM8" s="115">
        <f>Revenue!AM29</f>
        <v/>
      </c>
      <c r="AN8" s="115">
        <f>Revenue!AN29</f>
        <v/>
      </c>
      <c r="AO8" s="115">
        <f>Revenue!AO29</f>
        <v/>
      </c>
      <c r="AP8" s="115">
        <f>Revenue!AP29</f>
        <v/>
      </c>
      <c r="AQ8" s="115">
        <f>Revenue!AQ29</f>
        <v/>
      </c>
      <c r="AR8" s="115">
        <f>Revenue!AR29</f>
        <v/>
      </c>
      <c r="AS8" s="115">
        <f>Revenue!AS29</f>
        <v/>
      </c>
      <c r="AT8" s="115">
        <f>Revenue!AT29</f>
        <v/>
      </c>
      <c r="AU8" s="115">
        <f>Revenue!AU29</f>
        <v/>
      </c>
      <c r="AV8" s="115">
        <f>Revenue!AV29</f>
        <v/>
      </c>
      <c r="AW8" s="115">
        <f>Revenue!AW29</f>
        <v/>
      </c>
      <c r="AX8" s="115">
        <f>Revenue!AX29</f>
        <v/>
      </c>
      <c r="AY8" s="115">
        <f>Revenue!AY29</f>
        <v/>
      </c>
      <c r="AZ8" s="115">
        <f>Revenue!AZ29</f>
        <v/>
      </c>
      <c r="BA8" s="115">
        <f>Revenue!BA29</f>
        <v/>
      </c>
    </row>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9"/>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c r="A25" s="105" t="inlineStr">
        <is>
          <t>── CONSULTING REVENUE ──</t>
        </is>
      </c>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c r="AB25" s="116"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6" t="n"/>
      <c r="AZ25" s="116" t="n"/>
      <c r="BA25" s="116" t="n"/>
    </row>
    <row r="26" ht="14.25" customHeight="1" s="83">
      <c r="A26" s="117" t="inlineStr">
        <is>
          <t>Active Subscription Customers</t>
        </is>
      </c>
      <c r="B26" s="118">
        <f>IF(B8&gt;0, MAX(1, ROUND(B8/Inputs!$B$23, 0)), 0)</f>
        <v/>
      </c>
      <c r="C26" s="118">
        <f>IF(C8&gt;0, MAX(1, ROUND(C8/Inputs!$B$23, 0)), 0)</f>
        <v/>
      </c>
      <c r="D26" s="118">
        <f>IF(D8&gt;0, MAX(1, ROUND(D8/Inputs!$B$23, 0)), 0)</f>
        <v/>
      </c>
      <c r="E26" s="118">
        <f>IF(E8&gt;0, MAX(1, ROUND(E8/Inputs!$B$23, 0)), 0)</f>
        <v/>
      </c>
      <c r="F26" s="118">
        <f>IF(F8&gt;0, MAX(1, ROUND(F8/Inputs!$B$23, 0)), 0)</f>
        <v/>
      </c>
      <c r="G26" s="118">
        <f>IF(G8&gt;0, MAX(1, ROUND(G8/Inputs!$B$23, 0)), 0)</f>
        <v/>
      </c>
      <c r="H26" s="118">
        <f>IF(H8&gt;0, MAX(1, ROUND(H8/Inputs!$B$23, 0)), 0)</f>
        <v/>
      </c>
      <c r="I26" s="118">
        <f>IF(I8&gt;0, MAX(1, ROUND(I8/Inputs!$B$23, 0)), 0)</f>
        <v/>
      </c>
      <c r="J26" s="118">
        <f>IF(J8&gt;0, MAX(1, ROUND(J8/Inputs!$B$23, 0)), 0)</f>
        <v/>
      </c>
      <c r="K26" s="118">
        <f>IF(K8&gt;0, MAX(1, ROUND(K8/Inputs!$B$23, 0)), 0)</f>
        <v/>
      </c>
      <c r="L26" s="118">
        <f>IF(L8&gt;0, MAX(1, ROUND(L8/Inputs!$B$23, 0)), 0)</f>
        <v/>
      </c>
      <c r="M26" s="118">
        <f>IF(M8&gt;0, MAX(1, ROUND(M8/Inputs!$B$23, 0)), 0)</f>
        <v/>
      </c>
      <c r="N26" s="118">
        <f>IF(N8&gt;0, MAX(1, ROUND(N8/Inputs!$B$23, 0)), 0)</f>
        <v/>
      </c>
      <c r="O26" s="118">
        <f>IF(O8&gt;0, MAX(1, ROUND(O8/Inputs!$B$23, 0)), 0)</f>
        <v/>
      </c>
      <c r="P26" s="118">
        <f>IF(P8&gt;0, MAX(1, ROUND(P8/Inputs!$B$23, 0)), 0)</f>
        <v/>
      </c>
      <c r="Q26" s="118">
        <f>IF(Q8&gt;0, MAX(1, ROUND(Q8/Inputs!$B$23, 0)), 0)</f>
        <v/>
      </c>
      <c r="R26" s="118">
        <f>IF(R8&gt;0, MAX(1, ROUND(R8/Inputs!$B$23, 0)), 0)</f>
        <v/>
      </c>
      <c r="S26" s="118">
        <f>IF(S8&gt;0, MAX(1, ROUND(S8/Inputs!$B$23, 0)), 0)</f>
        <v/>
      </c>
      <c r="T26" s="118">
        <f>IF(T8&gt;0, MAX(1, ROUND(T8/Inputs!$B$23, 0)), 0)</f>
        <v/>
      </c>
      <c r="U26" s="118">
        <f>IF(U8&gt;0, MAX(1, ROUND(U8/Inputs!$B$23, 0)), 0)</f>
        <v/>
      </c>
      <c r="V26" s="118">
        <f>IF(V8&gt;0, MAX(1, ROUND(V8/Inputs!$B$23, 0)), 0)</f>
        <v/>
      </c>
      <c r="W26" s="118">
        <f>IF(W8&gt;0, MAX(1, ROUND(W8/Inputs!$B$23, 0)), 0)</f>
        <v/>
      </c>
      <c r="X26" s="118">
        <f>IF(X8&gt;0, MAX(1, ROUND(X8/Inputs!$B$23, 0)), 0)</f>
        <v/>
      </c>
      <c r="Y26" s="118">
        <f>IF(Y8&gt;0, MAX(1, ROUND(Y8/Inputs!$B$23, 0)), 0)</f>
        <v/>
      </c>
      <c r="Z26" s="118">
        <f>IF(Z8&gt;0, MAX(1, ROUND(Z8/Inputs!$B$23, 0)), 0)</f>
        <v/>
      </c>
      <c r="AA26" s="118">
        <f>IF(AA8&gt;0, MAX(1, ROUND(AA8/Inputs!$B$23, 0)), 0)</f>
        <v/>
      </c>
      <c r="AB26" s="118">
        <f>IF(AB8&gt;0, MAX(1, ROUND(AB8/Inputs!$B$23, 0)), 0)</f>
        <v/>
      </c>
      <c r="AC26" s="118">
        <f>IF(AC8&gt;0, MAX(1, ROUND(AC8/Inputs!$B$23, 0)), 0)</f>
        <v/>
      </c>
      <c r="AD26" s="118">
        <f>IF(AD8&gt;0, MAX(1, ROUND(AD8/Inputs!$B$23, 0)), 0)</f>
        <v/>
      </c>
      <c r="AE26" s="118">
        <f>IF(AE8&gt;0, MAX(1, ROUND(AE8/Inputs!$B$23, 0)), 0)</f>
        <v/>
      </c>
      <c r="AF26" s="118">
        <f>IF(AF8&gt;0, MAX(1, ROUND(AF8/Inputs!$B$23, 0)), 0)</f>
        <v/>
      </c>
      <c r="AG26" s="118">
        <f>IF(AG8&gt;0, MAX(1, ROUND(AG8/Inputs!$B$23, 0)), 0)</f>
        <v/>
      </c>
      <c r="AH26" s="118">
        <f>IF(AH8&gt;0, MAX(1, ROUND(AH8/Inputs!$B$23, 0)), 0)</f>
        <v/>
      </c>
      <c r="AI26" s="118">
        <f>IF(AI8&gt;0, MAX(1, ROUND(AI8/Inputs!$B$23, 0)), 0)</f>
        <v/>
      </c>
      <c r="AJ26" s="118">
        <f>IF(AJ8&gt;0, MAX(1, ROUND(AJ8/Inputs!$B$23, 0)), 0)</f>
        <v/>
      </c>
      <c r="AK26" s="118">
        <f>IF(AK8&gt;0, MAX(1, ROUND(AK8/Inputs!$B$23, 0)), 0)</f>
        <v/>
      </c>
      <c r="AL26" s="118">
        <f>IF(AL8&gt;0, MAX(1, ROUND(AL8/Inputs!$B$23, 0)), 0)</f>
        <v/>
      </c>
      <c r="AM26" s="118">
        <f>IF(AM8&gt;0, MAX(1, ROUND(AM8/Inputs!$B$23, 0)), 0)</f>
        <v/>
      </c>
      <c r="AN26" s="118">
        <f>IF(AN8&gt;0, MAX(1, ROUND(AN8/Inputs!$B$23, 0)), 0)</f>
        <v/>
      </c>
      <c r="AO26" s="118">
        <f>IF(AO8&gt;0, MAX(1, ROUND(AO8/Inputs!$B$23, 0)), 0)</f>
        <v/>
      </c>
      <c r="AP26" s="118">
        <f>IF(AP8&gt;0, MAX(1, ROUND(AP8/Inputs!$B$23, 0)), 0)</f>
        <v/>
      </c>
      <c r="AQ26" s="118">
        <f>IF(AQ8&gt;0, MAX(1, ROUND(AQ8/Inputs!$B$23, 0)), 0)</f>
        <v/>
      </c>
      <c r="AR26" s="118">
        <f>IF(AR8&gt;0, MAX(1, ROUND(AR8/Inputs!$B$23, 0)), 0)</f>
        <v/>
      </c>
      <c r="AS26" s="118">
        <f>IF(AS8&gt;0, MAX(1, ROUND(AS8/Inputs!$B$23, 0)), 0)</f>
        <v/>
      </c>
      <c r="AT26" s="118">
        <f>IF(AT8&gt;0, MAX(1, ROUND(AT8/Inputs!$B$23, 0)), 0)</f>
        <v/>
      </c>
      <c r="AU26" s="118">
        <f>IF(AU8&gt;0, MAX(1, ROUND(AU8/Inputs!$B$23, 0)), 0)</f>
        <v/>
      </c>
      <c r="AV26" s="118">
        <f>IF(AV8&gt;0, MAX(1, ROUND(AV8/Inputs!$B$23, 0)), 0)</f>
        <v/>
      </c>
      <c r="AW26" s="118">
        <f>IF(AW8&gt;0, MAX(1, ROUND(AW8/Inputs!$B$23, 0)), 0)</f>
        <v/>
      </c>
      <c r="AX26" s="118">
        <f>IF(AX8&gt;0, MAX(1, ROUND(AX8/Inputs!$B$23, 0)), 0)</f>
        <v/>
      </c>
      <c r="AY26" s="118">
        <f>IF(AY8&gt;0, MAX(1, ROUND(AY8/Inputs!$B$23, 0)), 0)</f>
        <v/>
      </c>
      <c r="AZ26" s="118">
        <f>IF(AZ8&gt;0, MAX(1, ROUND(AZ8/Inputs!$B$23, 0)), 0)</f>
        <v/>
      </c>
      <c r="BA26" s="118">
        <f>IF(BA8&gt;0, MAX(1, ROUND(BA8/Inputs!$B$23, 0)), 0)</f>
        <v/>
      </c>
    </row>
    <row r="27" ht="14.25" customHeight="1" s="83">
      <c r="A27" s="117" t="inlineStr">
        <is>
          <t>Total Active Customers (inkl. Enterprise)</t>
        </is>
      </c>
      <c r="B27" s="118">
        <f>B26+B14</f>
        <v/>
      </c>
      <c r="C27" s="118">
        <f>C26+C14</f>
        <v/>
      </c>
      <c r="D27" s="118">
        <f>D26+D14</f>
        <v/>
      </c>
      <c r="E27" s="118">
        <f>E26+E14</f>
        <v/>
      </c>
      <c r="F27" s="118">
        <f>F26+F14</f>
        <v/>
      </c>
      <c r="G27" s="118">
        <f>G26+G14</f>
        <v/>
      </c>
      <c r="H27" s="118">
        <f>H26+H14</f>
        <v/>
      </c>
      <c r="I27" s="118">
        <f>I26+I14</f>
        <v/>
      </c>
      <c r="J27" s="118">
        <f>J26+J14</f>
        <v/>
      </c>
      <c r="K27" s="118">
        <f>K26+K14</f>
        <v/>
      </c>
      <c r="L27" s="118">
        <f>L26+L14</f>
        <v/>
      </c>
      <c r="M27" s="118">
        <f>M26+M14</f>
        <v/>
      </c>
      <c r="N27" s="118">
        <f>N26+N14</f>
        <v/>
      </c>
      <c r="O27" s="118">
        <f>O26+O14</f>
        <v/>
      </c>
      <c r="P27" s="118">
        <f>P26+P14</f>
        <v/>
      </c>
      <c r="Q27" s="118">
        <f>Q26+Q14</f>
        <v/>
      </c>
      <c r="R27" s="118">
        <f>R26+R14</f>
        <v/>
      </c>
      <c r="S27" s="118">
        <f>S26+S14</f>
        <v/>
      </c>
      <c r="T27" s="118">
        <f>T26+T14</f>
        <v/>
      </c>
      <c r="U27" s="118">
        <f>U26+U14</f>
        <v/>
      </c>
      <c r="V27" s="118">
        <f>V26+V14</f>
        <v/>
      </c>
      <c r="W27" s="118">
        <f>W26+W14</f>
        <v/>
      </c>
      <c r="X27" s="118">
        <f>X26+X14</f>
        <v/>
      </c>
      <c r="Y27" s="118">
        <f>Y26+Y14</f>
        <v/>
      </c>
      <c r="Z27" s="118">
        <f>Z26+Z14</f>
        <v/>
      </c>
      <c r="AA27" s="118">
        <f>AA26+AA14</f>
        <v/>
      </c>
      <c r="AB27" s="118">
        <f>AB26+AB14</f>
        <v/>
      </c>
      <c r="AC27" s="118">
        <f>AC26+AC14</f>
        <v/>
      </c>
      <c r="AD27" s="118">
        <f>AD26+AD14</f>
        <v/>
      </c>
      <c r="AE27" s="118">
        <f>AE26+AE14</f>
        <v/>
      </c>
      <c r="AF27" s="118">
        <f>AF26+AF14</f>
        <v/>
      </c>
      <c r="AG27" s="118">
        <f>AG26+AG14</f>
        <v/>
      </c>
      <c r="AH27" s="118">
        <f>AH26+AH14</f>
        <v/>
      </c>
      <c r="AI27" s="118">
        <f>AI26+AI14</f>
        <v/>
      </c>
      <c r="AJ27" s="118">
        <f>AJ26+AJ14</f>
        <v/>
      </c>
      <c r="AK27" s="118">
        <f>AK26+AK14</f>
        <v/>
      </c>
      <c r="AL27" s="118">
        <f>AL26+AL14</f>
        <v/>
      </c>
      <c r="AM27" s="118">
        <f>AM26+AM14</f>
        <v/>
      </c>
      <c r="AN27" s="118">
        <f>AN26+AN14</f>
        <v/>
      </c>
      <c r="AO27" s="118">
        <f>AO26+AO14</f>
        <v/>
      </c>
      <c r="AP27" s="118">
        <f>AP26+AP14</f>
        <v/>
      </c>
      <c r="AQ27" s="118">
        <f>AQ26+AQ14</f>
        <v/>
      </c>
      <c r="AR27" s="118">
        <f>AR26+AR14</f>
        <v/>
      </c>
      <c r="AS27" s="118">
        <f>AS26+AS14</f>
        <v/>
      </c>
      <c r="AT27" s="118">
        <f>AT26+AT14</f>
        <v/>
      </c>
      <c r="AU27" s="118">
        <f>AU26+AU14</f>
        <v/>
      </c>
      <c r="AV27" s="118">
        <f>AV26+AV14</f>
        <v/>
      </c>
      <c r="AW27" s="118">
        <f>AW26+AW14</f>
        <v/>
      </c>
      <c r="AX27" s="118">
        <f>AX26+AX14</f>
        <v/>
      </c>
      <c r="AY27" s="118">
        <f>AY26+AY14</f>
        <v/>
      </c>
      <c r="AZ27" s="118">
        <f>AZ26+AZ14</f>
        <v/>
      </c>
      <c r="BA27" s="118">
        <f>BA26+BA14</f>
        <v/>
      </c>
    </row>
    <row r="28" ht="14.25" customHeight="1" s="83">
      <c r="A28" s="117" t="inlineStr">
        <is>
          <t>Consulting-Tage/Monat</t>
        </is>
      </c>
      <c r="B28" s="118">
        <f>B27*Inputs!$B$139*Inputs!$B$140</f>
        <v/>
      </c>
      <c r="C28" s="118">
        <f>C27*Inputs!$B$139*Inputs!$B$140</f>
        <v/>
      </c>
      <c r="D28" s="118">
        <f>D27*Inputs!$B$139*Inputs!$B$140</f>
        <v/>
      </c>
      <c r="E28" s="118">
        <f>E27*Inputs!$B$139*Inputs!$B$140</f>
        <v/>
      </c>
      <c r="F28" s="118">
        <f>F27*Inputs!$B$139*Inputs!$B$140</f>
        <v/>
      </c>
      <c r="G28" s="118">
        <f>G27*Inputs!$B$139*Inputs!$B$140</f>
        <v/>
      </c>
      <c r="H28" s="118">
        <f>H27*Inputs!$B$139*Inputs!$B$140</f>
        <v/>
      </c>
      <c r="I28" s="118">
        <f>I27*Inputs!$B$139*Inputs!$B$140</f>
        <v/>
      </c>
      <c r="J28" s="118">
        <f>J27*Inputs!$B$139*Inputs!$B$140</f>
        <v/>
      </c>
      <c r="K28" s="118">
        <f>K27*Inputs!$B$139*Inputs!$B$140</f>
        <v/>
      </c>
      <c r="L28" s="118">
        <f>L27*Inputs!$B$139*Inputs!$B$140</f>
        <v/>
      </c>
      <c r="M28" s="118">
        <f>M27*Inputs!$B$139*Inputs!$B$140</f>
        <v/>
      </c>
      <c r="N28" s="118">
        <f>N27*Inputs!$B$139*Inputs!$B$140</f>
        <v/>
      </c>
      <c r="O28" s="118">
        <f>O27*Inputs!$B$139*Inputs!$B$140</f>
        <v/>
      </c>
      <c r="P28" s="118">
        <f>P27*Inputs!$B$139*Inputs!$B$140</f>
        <v/>
      </c>
      <c r="Q28" s="118">
        <f>Q27*Inputs!$B$139*Inputs!$B$140</f>
        <v/>
      </c>
      <c r="R28" s="118">
        <f>R27*Inputs!$B$139*Inputs!$B$140</f>
        <v/>
      </c>
      <c r="S28" s="118">
        <f>S27*Inputs!$B$139*Inputs!$B$140</f>
        <v/>
      </c>
      <c r="T28" s="118">
        <f>T27*Inputs!$B$139*Inputs!$B$140</f>
        <v/>
      </c>
      <c r="U28" s="118">
        <f>U27*Inputs!$B$139*Inputs!$B$140</f>
        <v/>
      </c>
      <c r="V28" s="118">
        <f>V27*Inputs!$B$139*Inputs!$B$140</f>
        <v/>
      </c>
      <c r="W28" s="118">
        <f>W27*Inputs!$B$139*Inputs!$B$140</f>
        <v/>
      </c>
      <c r="X28" s="118">
        <f>X27*Inputs!$B$139*Inputs!$B$140</f>
        <v/>
      </c>
      <c r="Y28" s="118">
        <f>Y27*Inputs!$B$139*Inputs!$B$140</f>
        <v/>
      </c>
      <c r="Z28" s="118">
        <f>Z27*Inputs!$B$139*Inputs!$B$140</f>
        <v/>
      </c>
      <c r="AA28" s="118">
        <f>AA27*Inputs!$B$139*Inputs!$B$140</f>
        <v/>
      </c>
      <c r="AB28" s="118">
        <f>AB27*Inputs!$B$139*Inputs!$B$140</f>
        <v/>
      </c>
      <c r="AC28" s="118">
        <f>AC27*Inputs!$B$139*Inputs!$B$140</f>
        <v/>
      </c>
      <c r="AD28" s="118">
        <f>AD27*Inputs!$B$139*Inputs!$B$140</f>
        <v/>
      </c>
      <c r="AE28" s="118">
        <f>AE27*Inputs!$B$139*Inputs!$B$140</f>
        <v/>
      </c>
      <c r="AF28" s="118">
        <f>AF27*Inputs!$B$139*Inputs!$B$140</f>
        <v/>
      </c>
      <c r="AG28" s="118">
        <f>AG27*Inputs!$B$139*Inputs!$B$140</f>
        <v/>
      </c>
      <c r="AH28" s="118">
        <f>AH27*Inputs!$B$139*Inputs!$B$140</f>
        <v/>
      </c>
      <c r="AI28" s="118">
        <f>AI27*Inputs!$B$139*Inputs!$B$140</f>
        <v/>
      </c>
      <c r="AJ28" s="118">
        <f>AJ27*Inputs!$B$139*Inputs!$B$140</f>
        <v/>
      </c>
      <c r="AK28" s="118">
        <f>AK27*Inputs!$B$139*Inputs!$B$140</f>
        <v/>
      </c>
      <c r="AL28" s="118">
        <f>AL27*Inputs!$B$139*Inputs!$B$140</f>
        <v/>
      </c>
      <c r="AM28" s="118">
        <f>AM27*Inputs!$B$139*Inputs!$B$140</f>
        <v/>
      </c>
      <c r="AN28" s="118">
        <f>AN27*Inputs!$B$139*Inputs!$B$140</f>
        <v/>
      </c>
      <c r="AO28" s="118">
        <f>AO27*Inputs!$B$139*Inputs!$B$140</f>
        <v/>
      </c>
      <c r="AP28" s="118">
        <f>AP27*Inputs!$B$139*Inputs!$B$140</f>
        <v/>
      </c>
      <c r="AQ28" s="118">
        <f>AQ27*Inputs!$B$139*Inputs!$B$140</f>
        <v/>
      </c>
      <c r="AR28" s="118">
        <f>AR27*Inputs!$B$139*Inputs!$B$140</f>
        <v/>
      </c>
      <c r="AS28" s="118">
        <f>AS27*Inputs!$B$139*Inputs!$B$140</f>
        <v/>
      </c>
      <c r="AT28" s="118">
        <f>AT27*Inputs!$B$139*Inputs!$B$140</f>
        <v/>
      </c>
      <c r="AU28" s="118">
        <f>AU27*Inputs!$B$139*Inputs!$B$140</f>
        <v/>
      </c>
      <c r="AV28" s="118">
        <f>AV27*Inputs!$B$139*Inputs!$B$140</f>
        <v/>
      </c>
      <c r="AW28" s="118">
        <f>AW27*Inputs!$B$139*Inputs!$B$140</f>
        <v/>
      </c>
      <c r="AX28" s="118">
        <f>AX27*Inputs!$B$139*Inputs!$B$140</f>
        <v/>
      </c>
      <c r="AY28" s="118">
        <f>AY27*Inputs!$B$139*Inputs!$B$140</f>
        <v/>
      </c>
      <c r="AZ28" s="118">
        <f>AZ27*Inputs!$B$139*Inputs!$B$140</f>
        <v/>
      </c>
      <c r="BA28" s="118">
        <f>BA27*Inputs!$B$139*Inputs!$B$140</f>
        <v/>
      </c>
    </row>
    <row r="29" ht="14.25" customHeight="1" s="83">
      <c r="A29" s="119" t="inlineStr">
        <is>
          <t>Consulting Revenue (€/Monat)</t>
        </is>
      </c>
      <c r="B29" s="115">
        <f>B28*Inputs!$B$138</f>
        <v/>
      </c>
      <c r="C29" s="115">
        <f>C28*Inputs!$B$138</f>
        <v/>
      </c>
      <c r="D29" s="115">
        <f>D28*Inputs!$B$138</f>
        <v/>
      </c>
      <c r="E29" s="115">
        <f>E28*Inputs!$B$138</f>
        <v/>
      </c>
      <c r="F29" s="115">
        <f>F28*Inputs!$B$138</f>
        <v/>
      </c>
      <c r="G29" s="115">
        <f>G28*Inputs!$B$138</f>
        <v/>
      </c>
      <c r="H29" s="115">
        <f>H28*Inputs!$B$138</f>
        <v/>
      </c>
      <c r="I29" s="115">
        <f>I28*Inputs!$B$138</f>
        <v/>
      </c>
      <c r="J29" s="115">
        <f>J28*Inputs!$B$138</f>
        <v/>
      </c>
      <c r="K29" s="115">
        <f>K28*Inputs!$B$138</f>
        <v/>
      </c>
      <c r="L29" s="115">
        <f>L28*Inputs!$B$138</f>
        <v/>
      </c>
      <c r="M29" s="115">
        <f>M28*Inputs!$B$138</f>
        <v/>
      </c>
      <c r="N29" s="115">
        <f>N28*Inputs!$B$138</f>
        <v/>
      </c>
      <c r="O29" s="115">
        <f>O28*Inputs!$B$138</f>
        <v/>
      </c>
      <c r="P29" s="115">
        <f>P28*Inputs!$B$138</f>
        <v/>
      </c>
      <c r="Q29" s="115">
        <f>Q28*Inputs!$B$138</f>
        <v/>
      </c>
      <c r="R29" s="115">
        <f>R28*Inputs!$B$138</f>
        <v/>
      </c>
      <c r="S29" s="115">
        <f>S28*Inputs!$B$138</f>
        <v/>
      </c>
      <c r="T29" s="115">
        <f>T28*Inputs!$B$138</f>
        <v/>
      </c>
      <c r="U29" s="115">
        <f>U28*Inputs!$B$138</f>
        <v/>
      </c>
      <c r="V29" s="115">
        <f>V28*Inputs!$B$138</f>
        <v/>
      </c>
      <c r="W29" s="115">
        <f>W28*Inputs!$B$138</f>
        <v/>
      </c>
      <c r="X29" s="115">
        <f>X28*Inputs!$B$138</f>
        <v/>
      </c>
      <c r="Y29" s="115">
        <f>Y28*Inputs!$B$138</f>
        <v/>
      </c>
      <c r="Z29" s="115">
        <f>Z28*Inputs!$B$138</f>
        <v/>
      </c>
      <c r="AA29" s="115">
        <f>AA28*Inputs!$B$138</f>
        <v/>
      </c>
      <c r="AB29" s="115">
        <f>AB28*Inputs!$B$138</f>
        <v/>
      </c>
      <c r="AC29" s="115">
        <f>AC28*Inputs!$B$138</f>
        <v/>
      </c>
      <c r="AD29" s="115">
        <f>AD28*Inputs!$B$138</f>
        <v/>
      </c>
      <c r="AE29" s="115">
        <f>AE28*Inputs!$B$138</f>
        <v/>
      </c>
      <c r="AF29" s="115">
        <f>AF28*Inputs!$B$138</f>
        <v/>
      </c>
      <c r="AG29" s="115">
        <f>AG28*Inputs!$B$138</f>
        <v/>
      </c>
      <c r="AH29" s="115">
        <f>AH28*Inputs!$B$138</f>
        <v/>
      </c>
      <c r="AI29" s="115">
        <f>AI28*Inputs!$B$138</f>
        <v/>
      </c>
      <c r="AJ29" s="115">
        <f>AJ28*Inputs!$B$138</f>
        <v/>
      </c>
      <c r="AK29" s="115">
        <f>AK28*Inputs!$B$138</f>
        <v/>
      </c>
      <c r="AL29" s="115">
        <f>AL28*Inputs!$B$138</f>
        <v/>
      </c>
      <c r="AM29" s="115">
        <f>AM28*Inputs!$B$138</f>
        <v/>
      </c>
      <c r="AN29" s="115">
        <f>AN28*Inputs!$B$138</f>
        <v/>
      </c>
      <c r="AO29" s="115">
        <f>AO28*Inputs!$B$138</f>
        <v/>
      </c>
      <c r="AP29" s="115">
        <f>AP28*Inputs!$B$138</f>
        <v/>
      </c>
      <c r="AQ29" s="115">
        <f>AQ28*Inputs!$B$138</f>
        <v/>
      </c>
      <c r="AR29" s="115">
        <f>AR28*Inputs!$B$138</f>
        <v/>
      </c>
      <c r="AS29" s="115">
        <f>AS28*Inputs!$B$138</f>
        <v/>
      </c>
      <c r="AT29" s="115">
        <f>AT28*Inputs!$B$138</f>
        <v/>
      </c>
      <c r="AU29" s="115">
        <f>AU28*Inputs!$B$138</f>
        <v/>
      </c>
      <c r="AV29" s="115">
        <f>AV28*Inputs!$B$138</f>
        <v/>
      </c>
      <c r="AW29" s="115">
        <f>AW28*Inputs!$B$138</f>
        <v/>
      </c>
      <c r="AX29" s="115">
        <f>AX28*Inputs!$B$138</f>
        <v/>
      </c>
      <c r="AY29" s="115">
        <f>AY28*Inputs!$B$138</f>
        <v/>
      </c>
      <c r="AZ29" s="115">
        <f>AZ28*Inputs!$B$138</f>
        <v/>
      </c>
      <c r="BA29" s="115">
        <f>BA28*Inputs!$B$138</f>
        <v/>
      </c>
    </row>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2026-03-05T21:36:56Z</dcterms:modified>
</cp:coreProperties>
</file>