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Anleitung" sheetId="1" state="visible" r:id="rId1"/>
    <sheet name="Treiber_Matrix" sheetId="2" state="visible" r:id="rId2"/>
    <sheet name="Szenarien_Analyse" sheetId="3" state="visible" r:id="rId3"/>
    <sheet name="Inputs" sheetId="4" state="visible" r:id="rId4"/>
    <sheet name="00_Input_Sandbox" sheetId="5" state="visible" r:id="rId5"/>
    <sheet name="P&amp;L" sheetId="6" state="visible" r:id="rId6"/>
    <sheet name="Revenue" sheetId="7" state="visible" r:id="rId7"/>
    <sheet name="Costs" sheetId="8" state="visible" r:id="rId8"/>
    <sheet name="Balance Sheet" sheetId="9" state="visible" r:id="rId9"/>
    <sheet name="Cash Flow" sheetId="10" state="visible" r:id="rId10"/>
    <sheet name="LFL_Szenario_Erklaerung" sheetId="11" state="visible" r:id="rId11"/>
    <sheet name="Entwicklungs_Roadmap" sheetId="12" state="visible" r:id="rId12"/>
  </sheets>
  <definedNames/>
  <calcPr calcId="124519" fullCalcOnLoad="1"/>
</workbook>
</file>

<file path=xl/styles.xml><?xml version="1.0" encoding="utf-8"?>
<styleSheet xmlns="http://schemas.openxmlformats.org/spreadsheetml/2006/main">
  <numFmts count="5">
    <numFmt numFmtId="164" formatCode="D/M/YYYY"/>
    <numFmt numFmtId="165" formatCode="0.0%"/>
    <numFmt numFmtId="166" formatCode="#,##0;\(#,##0\)"/>
    <numFmt numFmtId="167" formatCode="0.0"/>
    <numFmt numFmtId="168" formatCode="#,##0 &quot;€&quot;"/>
  </numFmts>
  <fonts count="45">
    <font>
      <name val="Calibri"/>
      <color theme="1"/>
      <sz val="11"/>
      <scheme val="minor"/>
    </font>
    <font>
      <name val="Arial"/>
      <b val="1"/>
      <color theme="1"/>
      <sz val="14"/>
    </font>
    <font>
      <name val="Arial"/>
      <b val="1"/>
      <color theme="1"/>
      <sz val="11"/>
    </font>
    <font>
      <name val="Arial"/>
      <color theme="1"/>
      <sz val="10"/>
    </font>
    <font>
      <name val="Arial"/>
      <color rgb="FF0000FF"/>
      <sz val="10"/>
    </font>
    <font>
      <name val="Arial"/>
      <color rgb="FF008000"/>
      <sz val="10"/>
    </font>
    <font>
      <name val="&quot;Google Sans Text&quot;"/>
      <b val="1"/>
      <color rgb="FF1F1F1F"/>
    </font>
    <font>
      <name val="Calibri"/>
      <color theme="1"/>
      <scheme val="minor"/>
    </font>
    <font>
      <name val="&quot;Google Sans Text&quot;"/>
      <color rgb="FF1F1F1F"/>
    </font>
    <font>
      <name val="Arial"/>
      <b val="1"/>
      <color theme="1"/>
      <sz val="10"/>
    </font>
    <font>
      <name val="Calibri"/>
      <b val="1"/>
      <color theme="1"/>
      <scheme val="minor"/>
    </font>
    <font>
      <name val="Calibri"/>
      <color theme="1"/>
      <sz val="11"/>
    </font>
    <font>
      <name val="Arial"/>
      <color rgb="FF666666"/>
      <sz val="9"/>
    </font>
    <font>
      <name val="Calibri"/>
      <b val="1"/>
      <color theme="1"/>
      <sz val="11"/>
    </font>
    <font>
      <name val="Arial"/>
      <strike val="1"/>
      <color theme="1"/>
      <sz val="10"/>
    </font>
    <font>
      <name val="Arial"/>
      <strike val="1"/>
      <color rgb="FF0000FF"/>
      <sz val="10"/>
    </font>
    <font>
      <name val="Arial"/>
      <strike val="1"/>
      <color rgb="FF666666"/>
      <sz val="9"/>
    </font>
    <font>
      <name val="&quot;Google Sans Text&quot;"/>
      <i val="1"/>
      <color rgb="FF1F1F1F"/>
    </font>
    <font>
      <name val="&quot;Google Sans Text&quot;"/>
      <b val="1"/>
      <i val="1"/>
      <color rgb="FF1F1F1F"/>
    </font>
    <font>
      <name val="Calibri"/>
      <b val="1"/>
      <color rgb="00FFFFFF"/>
      <sz val="16"/>
    </font>
    <font>
      <name val="Calibri"/>
      <i val="1"/>
      <color rgb="00CCCCCC"/>
      <sz val="10"/>
    </font>
    <font>
      <name val="Calibri"/>
      <b val="1"/>
      <color rgb="00FFFFFF"/>
      <sz val="12"/>
    </font>
    <font>
      <name val="Calibri"/>
      <i val="1"/>
      <color rgb="00000000"/>
      <sz val="11"/>
    </font>
    <font>
      <name val="Calibri"/>
      <b val="1"/>
      <color rgb="00FFFFFF"/>
      <sz val="10"/>
    </font>
    <font>
      <name val="Calibri"/>
      <b val="1"/>
      <color rgb="00FFFFFF"/>
      <sz val="11"/>
    </font>
    <font>
      <name val="Calibri"/>
      <color rgb="00000000"/>
      <sz val="9"/>
    </font>
    <font>
      <name val="Calibri"/>
      <b val="1"/>
      <color rgb="00000000"/>
      <sz val="9"/>
    </font>
    <font>
      <name val="Calibri"/>
      <i val="1"/>
      <color rgb="00000000"/>
      <sz val="9"/>
    </font>
    <font>
      <name val="Calibri"/>
      <b val="1"/>
      <color rgb="00000000"/>
      <sz val="10"/>
    </font>
    <font>
      <name val="Calibri"/>
      <b val="1"/>
      <i val="1"/>
      <color rgb="00000000"/>
      <sz val="9"/>
    </font>
    <font>
      <name val="Courier New"/>
      <sz val="8"/>
    </font>
    <font>
      <name val="Calibri"/>
      <sz val="10"/>
    </font>
    <font>
      <name val="Calibri"/>
      <b val="1"/>
      <sz val="10"/>
    </font>
    <font>
      <name val="Calibri"/>
      <i val="1"/>
      <color rgb="00595959"/>
      <sz val="9"/>
    </font>
    <font>
      <name val="Calibri"/>
      <b val="1"/>
      <sz val="11"/>
    </font>
    <font>
      <name val="Calibri"/>
      <b val="1"/>
      <color rgb="00C55A11"/>
      <sz val="9"/>
    </font>
    <font>
      <name val="Calibri"/>
      <i val="1"/>
      <color rgb="001F3864"/>
      <sz val="10"/>
    </font>
    <font>
      <name val="Calibri"/>
      <i val="1"/>
      <color rgb="001F6B75"/>
      <sz val="9"/>
    </font>
    <font>
      <name val="Calibri"/>
      <b val="1"/>
      <color rgb="001F6B75"/>
      <sz val="10"/>
    </font>
    <font>
      <name val="Calibri"/>
      <i val="1"/>
      <color rgb="001F6B75"/>
      <sz val="8"/>
    </font>
    <font>
      <name val="Calibri"/>
      <b val="1"/>
      <color rgb="00FFFFFF"/>
      <sz val="9"/>
    </font>
    <font>
      <name val="Calibri"/>
      <b val="1"/>
      <color rgb="00FFFFFF"/>
      <sz val="13"/>
    </font>
    <font>
      <name val="Calibri"/>
      <color rgb="007030A0"/>
      <sz val="9"/>
    </font>
    <font>
      <name val="Calibri"/>
      <i val="1"/>
      <color rgb="00595959"/>
      <sz val="8"/>
    </font>
    <font>
      <i val="1"/>
      <color rgb="001F6B75"/>
      <sz val="8"/>
    </font>
  </fonts>
  <fills count="41">
    <fill>
      <patternFill/>
    </fill>
    <fill>
      <patternFill patternType="lightGray"/>
    </fill>
    <fill>
      <patternFill patternType="solid">
        <fgColor rgb="FFFFFF00"/>
        <bgColor rgb="FFFFFF00"/>
      </patternFill>
    </fill>
    <fill>
      <patternFill patternType="solid">
        <fgColor rgb="FFFFD966"/>
        <bgColor rgb="FFFFD966"/>
      </patternFill>
    </fill>
    <fill>
      <patternFill patternType="solid">
        <fgColor rgb="FF6AA84F"/>
        <bgColor rgb="FF6AA84F"/>
      </patternFill>
    </fill>
    <fill>
      <patternFill patternType="solid">
        <fgColor rgb="FFD9D9D9"/>
        <bgColor rgb="FFD9D9D9"/>
      </patternFill>
    </fill>
    <fill>
      <patternFill patternType="solid">
        <fgColor rgb="FFFFC000"/>
        <bgColor rgb="FFFFC000"/>
      </patternFill>
    </fill>
    <fill>
      <patternFill patternType="solid">
        <fgColor rgb="FFFF0000"/>
        <bgColor rgb="FFFF0000"/>
      </patternFill>
    </fill>
    <fill>
      <patternFill patternType="solid">
        <fgColor rgb="FFE06666"/>
        <bgColor rgb="FFE06666"/>
      </patternFill>
    </fill>
    <fill>
      <patternFill patternType="solid">
        <fgColor rgb="FFEA9999"/>
        <bgColor rgb="FFEA9999"/>
      </patternFill>
    </fill>
    <fill>
      <patternFill patternType="solid">
        <fgColor rgb="FF4A86E8"/>
        <bgColor rgb="FF4A86E8"/>
      </patternFill>
    </fill>
    <fill>
      <patternFill patternType="solid">
        <fgColor rgb="FF93C47D"/>
        <bgColor rgb="FF93C47D"/>
      </patternFill>
    </fill>
    <fill>
      <patternFill patternType="solid">
        <fgColor rgb="FFB7B7B7"/>
        <bgColor rgb="FFB7B7B7"/>
      </patternFill>
    </fill>
    <fill>
      <patternFill patternType="solid">
        <fgColor rgb="FFFF9900"/>
        <bgColor rgb="FFFF9900"/>
      </patternFill>
    </fill>
    <fill>
      <patternFill patternType="solid">
        <fgColor rgb="001F4E79"/>
      </patternFill>
    </fill>
    <fill>
      <patternFill patternType="solid">
        <fgColor rgb="002E75B6"/>
      </patternFill>
    </fill>
    <fill>
      <patternFill patternType="solid">
        <fgColor rgb="00EBF3FA"/>
      </patternFill>
    </fill>
    <fill>
      <patternFill patternType="solid">
        <fgColor rgb="00FFFF00"/>
      </patternFill>
    </fill>
    <fill>
      <patternFill patternType="solid">
        <fgColor rgb="00FFFFFF"/>
      </patternFill>
    </fill>
    <fill>
      <patternFill patternType="solid">
        <fgColor rgb="00FFF2CC"/>
      </patternFill>
    </fill>
    <fill>
      <patternFill patternType="solid">
        <fgColor rgb="00FF0000"/>
      </patternFill>
    </fill>
    <fill>
      <patternFill patternType="solid">
        <fgColor rgb="00E2EFDA"/>
      </patternFill>
    </fill>
    <fill>
      <patternFill patternType="solid">
        <fgColor rgb="001F6B75"/>
      </patternFill>
    </fill>
    <fill>
      <patternFill patternType="solid">
        <fgColor rgb="00BDD7EE"/>
      </patternFill>
    </fill>
    <fill>
      <patternFill patternType="solid">
        <fgColor rgb="00FCE4D6"/>
      </patternFill>
    </fill>
    <fill>
      <patternFill patternType="solid">
        <fgColor rgb="00F2F2F2"/>
      </patternFill>
    </fill>
    <fill>
      <patternFill patternType="solid">
        <fgColor rgb="00E9F7F8"/>
      </patternFill>
    </fill>
    <fill>
      <patternFill patternType="solid">
        <fgColor rgb="00375623"/>
      </patternFill>
    </fill>
    <fill>
      <patternFill patternType="solid">
        <fgColor rgb="001F3864"/>
      </patternFill>
    </fill>
    <fill>
      <patternFill patternType="solid">
        <fgColor rgb="00DDEEFF"/>
      </patternFill>
    </fill>
    <fill>
      <patternFill patternType="solid">
        <fgColor rgb="00E8F5E9"/>
      </patternFill>
    </fill>
    <fill>
      <patternFill patternType="solid">
        <fgColor rgb="00F0F0F0"/>
      </patternFill>
    </fill>
    <fill>
      <patternFill patternType="solid">
        <fgColor rgb="00FFF3E0"/>
      </patternFill>
    </fill>
    <fill>
      <patternFill patternType="solid">
        <fgColor rgb="00F5F5DC"/>
      </patternFill>
    </fill>
    <fill>
      <patternFill patternType="solid">
        <fgColor rgb="00E8D5F5"/>
      </patternFill>
    </fill>
    <fill>
      <patternFill patternType="solid">
        <fgColor rgb="007030A0"/>
      </patternFill>
    </fill>
    <fill>
      <patternFill patternType="solid">
        <fgColor rgb="00FF6B6B"/>
      </patternFill>
    </fill>
    <fill>
      <patternFill patternType="solid">
        <fgColor rgb="00F0EAF8"/>
      </patternFill>
    </fill>
    <fill>
      <patternFill patternType="solid">
        <fgColor rgb="00C6EFCE"/>
      </patternFill>
    </fill>
    <fill>
      <patternFill patternType="solid">
        <fgColor rgb="00FFB347"/>
      </patternFill>
    </fill>
    <fill>
      <patternFill patternType="solid">
        <fgColor rgb="00FFD700"/>
      </patternFill>
    </fill>
  </fills>
  <borders count="19">
    <border/>
    <border>
      <left/>
      <right/>
      <top/>
      <bottom/>
    </border>
    <border>
      <left/>
      <right/>
      <top/>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ck">
        <color rgb="FF000000"/>
      </right>
      <top style="thick">
        <color rgb="FF000000"/>
      </top>
      <bottom style="thick">
        <color rgb="FF000000"/>
      </bottom>
    </border>
    <border>
      <left style="thin">
        <color rgb="00AAAAAA"/>
      </left>
      <right style="thin">
        <color rgb="00AAAAAA"/>
      </right>
      <top style="thin">
        <color rgb="00AAAAAA"/>
      </top>
      <bottom style="thin">
        <color rgb="00AAAAAA"/>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s>
  <cellStyleXfs count="1">
    <xf numFmtId="0" fontId="0" fillId="0" borderId="0"/>
  </cellStyleXfs>
  <cellXfs count="183">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3" fillId="2" borderId="1" pivotButton="0" quotePrefix="0" xfId="0"/>
    <xf numFmtId="0" fontId="6" fillId="3" borderId="0" applyAlignment="1" pivotButton="0" quotePrefix="0" xfId="0">
      <alignment wrapText="1"/>
    </xf>
    <xf numFmtId="0" fontId="6" fillId="4" borderId="0" applyAlignment="1" pivotButton="0" quotePrefix="0" xfId="0">
      <alignment wrapText="1"/>
    </xf>
    <xf numFmtId="0" fontId="7" fillId="0" borderId="0" applyAlignment="1" pivotButton="0" quotePrefix="0" xfId="0">
      <alignment wrapText="1"/>
    </xf>
    <xf numFmtId="0" fontId="6" fillId="0" borderId="0" applyAlignment="1" pivotButton="0" quotePrefix="0" xfId="0">
      <alignment wrapText="1"/>
    </xf>
    <xf numFmtId="9" fontId="8" fillId="0" borderId="0" applyAlignment="1" pivotButton="0" quotePrefix="0" xfId="0">
      <alignment wrapText="1"/>
    </xf>
    <xf numFmtId="9" fontId="6" fillId="0" borderId="0" applyAlignment="1" pivotButton="0" quotePrefix="0" xfId="0">
      <alignment wrapText="1"/>
    </xf>
    <xf numFmtId="0" fontId="8" fillId="0" borderId="0" applyAlignment="1" pivotButton="0" quotePrefix="0" xfId="0">
      <alignment wrapText="1"/>
    </xf>
    <xf numFmtId="0" fontId="6" fillId="0" borderId="0" applyAlignment="1" pivotButton="0" quotePrefix="0" xfId="0">
      <alignment wrapText="1"/>
    </xf>
    <xf numFmtId="0" fontId="9" fillId="5" borderId="2" applyAlignment="1" pivotButton="0" quotePrefix="0" xfId="0">
      <alignment wrapText="1"/>
    </xf>
    <xf numFmtId="0" fontId="9" fillId="6" borderId="1" applyAlignment="1" pivotButton="0" quotePrefix="0" xfId="0">
      <alignment wrapText="1"/>
    </xf>
    <xf numFmtId="0" fontId="9" fillId="5" borderId="2" applyAlignment="1" pivotButton="0" quotePrefix="0" xfId="0">
      <alignment wrapText="1"/>
    </xf>
    <xf numFmtId="0" fontId="10" fillId="7" borderId="0" applyAlignment="1" pivotButton="0" quotePrefix="0" xfId="0">
      <alignment wrapText="1"/>
    </xf>
    <xf numFmtId="0" fontId="11" fillId="0" borderId="0" applyAlignment="1" pivotButton="0" quotePrefix="0" xfId="0">
      <alignment wrapText="1"/>
    </xf>
    <xf numFmtId="0" fontId="7" fillId="0" borderId="0" pivotButton="0" quotePrefix="0" xfId="0"/>
    <xf numFmtId="0" fontId="2" fillId="5" borderId="1" applyAlignment="1" pivotButton="0" quotePrefix="0" xfId="0">
      <alignment wrapText="1"/>
    </xf>
    <xf numFmtId="0" fontId="11" fillId="5" borderId="1"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2" fillId="0" borderId="0" applyAlignment="1" pivotButton="0" quotePrefix="0" xfId="0">
      <alignment wrapText="1"/>
    </xf>
    <xf numFmtId="164" fontId="4" fillId="0" borderId="0" applyAlignment="1" pivotButton="0" quotePrefix="0" xfId="0">
      <alignment wrapText="1"/>
    </xf>
    <xf numFmtId="165" fontId="4" fillId="2" borderId="1" applyAlignment="1" pivotButton="0" quotePrefix="0" xfId="0">
      <alignment wrapText="1"/>
    </xf>
    <xf numFmtId="0" fontId="11" fillId="0" borderId="0" applyAlignment="1" pivotButton="0" quotePrefix="0" xfId="0">
      <alignment horizontal="left" vertical="top" wrapText="1"/>
    </xf>
    <xf numFmtId="3" fontId="4" fillId="0" borderId="0" applyAlignment="1" pivotButton="0" quotePrefix="0" xfId="0">
      <alignment wrapText="1"/>
    </xf>
    <xf numFmtId="0" fontId="7" fillId="0" borderId="0" applyAlignment="1" pivotButton="0" quotePrefix="0" xfId="0">
      <alignment wrapText="1"/>
    </xf>
    <xf numFmtId="0" fontId="7" fillId="2" borderId="0" applyAlignment="1" pivotButton="0" quotePrefix="0" xfId="0">
      <alignment wrapText="1"/>
    </xf>
    <xf numFmtId="0" fontId="11" fillId="0" borderId="0" applyAlignment="1" pivotButton="0" quotePrefix="0" xfId="0">
      <alignment wrapText="1"/>
    </xf>
    <xf numFmtId="165" fontId="4" fillId="0" borderId="0" applyAlignment="1" pivotButton="0" quotePrefix="0" xfId="0">
      <alignment wrapText="1"/>
    </xf>
    <xf numFmtId="0" fontId="7" fillId="2" borderId="0" applyAlignment="1" pivotButton="0" quotePrefix="0" xfId="0">
      <alignment wrapText="1"/>
    </xf>
    <xf numFmtId="0" fontId="12" fillId="0" borderId="0" applyAlignment="1" pivotButton="0" quotePrefix="1" xfId="0">
      <alignment wrapText="1"/>
    </xf>
    <xf numFmtId="3" fontId="11" fillId="0" borderId="0" applyAlignment="1" pivotButton="0" quotePrefix="0" xfId="0">
      <alignment horizontal="left" vertical="top" wrapText="1"/>
    </xf>
    <xf numFmtId="0" fontId="11" fillId="0" borderId="0" applyAlignment="1" pivotButton="0" quotePrefix="0" xfId="0">
      <alignment horizontal="left" vertical="top" wrapText="1"/>
    </xf>
    <xf numFmtId="0" fontId="3" fillId="0" borderId="0" applyAlignment="1" pivotButton="0" quotePrefix="0" xfId="0">
      <alignment wrapText="1"/>
    </xf>
    <xf numFmtId="0" fontId="13" fillId="5" borderId="1" applyAlignment="1" pivotButton="0" quotePrefix="0" xfId="0">
      <alignment wrapText="1"/>
    </xf>
    <xf numFmtId="0" fontId="13" fillId="8" borderId="1" applyAlignment="1" pivotButton="0" quotePrefix="0" xfId="0">
      <alignment wrapText="1"/>
    </xf>
    <xf numFmtId="0" fontId="13" fillId="5" borderId="1" applyAlignment="1" pivotButton="0" quotePrefix="0" xfId="0">
      <alignment wrapText="1"/>
    </xf>
    <xf numFmtId="0" fontId="13" fillId="2" borderId="1" applyAlignment="1" pivotButton="0" quotePrefix="0" xfId="0">
      <alignment wrapText="1"/>
    </xf>
    <xf numFmtId="0" fontId="7" fillId="0" borderId="0" applyAlignment="1" pivotButton="0" quotePrefix="0" xfId="0">
      <alignment wrapText="1"/>
    </xf>
    <xf numFmtId="0" fontId="7" fillId="0" borderId="0" pivotButton="0" quotePrefix="0" xfId="0"/>
    <xf numFmtId="0" fontId="14" fillId="9" borderId="0" applyAlignment="1" pivotButton="0" quotePrefix="0" xfId="0">
      <alignment wrapText="1"/>
    </xf>
    <xf numFmtId="0" fontId="15" fillId="9" borderId="0" applyAlignment="1" pivotButton="0" quotePrefix="0" xfId="0">
      <alignment wrapText="1"/>
    </xf>
    <xf numFmtId="0" fontId="12" fillId="9" borderId="0" applyAlignment="1" pivotButton="0" quotePrefix="0" xfId="0">
      <alignment wrapText="1"/>
    </xf>
    <xf numFmtId="0" fontId="11" fillId="9" borderId="0" applyAlignment="1" pivotButton="0" quotePrefix="0" xfId="0">
      <alignment horizontal="left" vertical="top" wrapText="1"/>
    </xf>
    <xf numFmtId="0" fontId="16" fillId="9" borderId="0" applyAlignment="1" pivotButton="0" quotePrefix="0" xfId="0">
      <alignment wrapText="1"/>
    </xf>
    <xf numFmtId="0" fontId="14" fillId="9" borderId="0" applyAlignment="1" pivotButton="0" quotePrefix="0" xfId="0">
      <alignment wrapText="1"/>
    </xf>
    <xf numFmtId="0" fontId="15" fillId="9" borderId="0" applyAlignment="1" pivotButton="0" quotePrefix="0" xfId="0">
      <alignment wrapText="1"/>
    </xf>
    <xf numFmtId="0" fontId="16" fillId="9" borderId="0" applyAlignment="1" pivotButton="0" quotePrefix="0" xfId="0">
      <alignment wrapText="1"/>
    </xf>
    <xf numFmtId="0" fontId="6" fillId="10" borderId="0" applyAlignment="1" pivotButton="0" quotePrefix="0" xfId="0">
      <alignment wrapText="1"/>
    </xf>
    <xf numFmtId="0" fontId="6" fillId="11" borderId="0" applyAlignment="1" pivotButton="0" quotePrefix="0" xfId="0">
      <alignment wrapText="1"/>
    </xf>
    <xf numFmtId="0" fontId="17" fillId="0" borderId="0" applyAlignment="1" pivotButton="0" quotePrefix="0" xfId="0">
      <alignment wrapText="1"/>
    </xf>
    <xf numFmtId="0" fontId="6" fillId="12" borderId="3" applyAlignment="1" pivotButton="0" quotePrefix="0" xfId="0">
      <alignment wrapText="1"/>
    </xf>
    <xf numFmtId="0" fontId="6" fillId="12" borderId="4" applyAlignment="1" pivotButton="0" quotePrefix="0" xfId="0">
      <alignment wrapText="1"/>
    </xf>
    <xf numFmtId="0" fontId="18" fillId="12" borderId="5" applyAlignment="1" pivotButton="0" quotePrefix="0" xfId="0">
      <alignment wrapText="1"/>
    </xf>
    <xf numFmtId="0" fontId="6" fillId="0" borderId="6" applyAlignment="1" pivotButton="0" quotePrefix="0" xfId="0">
      <alignment wrapText="1"/>
    </xf>
    <xf numFmtId="0" fontId="8" fillId="0" borderId="7" applyAlignment="1" pivotButton="0" quotePrefix="0" xfId="0">
      <alignment wrapText="1"/>
    </xf>
    <xf numFmtId="9" fontId="8" fillId="0" borderId="7" applyAlignment="1" pivotButton="0" quotePrefix="0" xfId="0">
      <alignment wrapText="1"/>
    </xf>
    <xf numFmtId="0" fontId="17" fillId="0" borderId="8" applyAlignment="1" pivotButton="0" quotePrefix="0" xfId="0">
      <alignment wrapText="1"/>
    </xf>
    <xf numFmtId="3" fontId="8" fillId="0" borderId="7" applyAlignment="1" pivotButton="0" quotePrefix="0" xfId="0">
      <alignment wrapText="1"/>
    </xf>
    <xf numFmtId="0" fontId="6" fillId="0" borderId="9" applyAlignment="1" pivotButton="0" quotePrefix="0" xfId="0">
      <alignment wrapText="1"/>
    </xf>
    <xf numFmtId="0" fontId="8" fillId="0" borderId="10" applyAlignment="1" pivotButton="0" quotePrefix="0" xfId="0">
      <alignment wrapText="1"/>
    </xf>
    <xf numFmtId="0" fontId="17" fillId="0" borderId="11" applyAlignment="1" pivotButton="0" quotePrefix="0" xfId="0">
      <alignment wrapText="1"/>
    </xf>
    <xf numFmtId="0" fontId="6" fillId="0" borderId="12" applyAlignment="1" pivotButton="0" quotePrefix="0" xfId="0">
      <alignment wrapText="1"/>
    </xf>
    <xf numFmtId="0" fontId="7" fillId="0" borderId="12" applyAlignment="1" pivotButton="0" quotePrefix="0" xfId="0">
      <alignment wrapText="1"/>
    </xf>
    <xf numFmtId="0" fontId="7" fillId="0" borderId="12" applyAlignment="1" pivotButton="0" quotePrefix="0" xfId="0">
      <alignment wrapText="1"/>
    </xf>
    <xf numFmtId="0" fontId="9" fillId="5" borderId="2" pivotButton="0" quotePrefix="0" xfId="0"/>
    <xf numFmtId="166" fontId="5" fillId="0" borderId="0" pivotButton="0" quotePrefix="0" xfId="0"/>
    <xf numFmtId="166" fontId="2" fillId="0" borderId="0" pivotButton="0" quotePrefix="0" xfId="0"/>
    <xf numFmtId="165" fontId="11" fillId="0" borderId="0" pivotButton="0" quotePrefix="0" xfId="0"/>
    <xf numFmtId="166" fontId="11" fillId="0" borderId="0" pivotButton="0" quotePrefix="0" xfId="0"/>
    <xf numFmtId="17" fontId="11" fillId="0" borderId="0" pivotButton="0" quotePrefix="0" xfId="0"/>
    <xf numFmtId="0" fontId="2" fillId="13" borderId="0" pivotButton="0" quotePrefix="0" xfId="0"/>
    <xf numFmtId="0" fontId="3" fillId="0" borderId="0" pivotButton="0" quotePrefix="0" xfId="0"/>
    <xf numFmtId="1" fontId="7" fillId="0" borderId="0" pivotButton="0" quotePrefix="0" xfId="0"/>
    <xf numFmtId="1" fontId="7" fillId="0" borderId="0" pivotButton="0" quotePrefix="0" xfId="0"/>
    <xf numFmtId="1" fontId="2" fillId="0" borderId="0" pivotButton="0" quotePrefix="0" xfId="0"/>
    <xf numFmtId="166" fontId="7" fillId="0" borderId="0" pivotButton="0" quotePrefix="0" xfId="0"/>
    <xf numFmtId="167" fontId="11" fillId="0" borderId="0" pivotButton="0" quotePrefix="0" xfId="0"/>
    <xf numFmtId="0" fontId="0" fillId="0" borderId="0" pivotButton="0" quotePrefix="0" xfId="0"/>
    <xf numFmtId="0" fontId="19" fillId="14" borderId="0" applyAlignment="1" pivotButton="0" quotePrefix="0" xfId="0">
      <alignment horizontal="center" vertical="center" wrapText="1"/>
    </xf>
    <xf numFmtId="0" fontId="20" fillId="14" borderId="0" applyAlignment="1" pivotButton="0" quotePrefix="0" xfId="0">
      <alignment horizontal="center" vertical="center" wrapText="1"/>
    </xf>
    <xf numFmtId="0" fontId="21" fillId="15" borderId="0" applyAlignment="1" pivotButton="0" quotePrefix="0" xfId="0">
      <alignment horizontal="left" vertical="center" wrapText="1"/>
    </xf>
    <xf numFmtId="0" fontId="22" fillId="0" borderId="0" applyAlignment="1" pivotButton="0" quotePrefix="0" xfId="0">
      <alignment vertical="top" wrapText="1"/>
    </xf>
    <xf numFmtId="0" fontId="23" fillId="14" borderId="13" applyAlignment="1" pivotButton="0" quotePrefix="0" xfId="0">
      <alignment horizontal="left" vertical="center" wrapText="1"/>
    </xf>
    <xf numFmtId="0" fontId="24" fillId="15" borderId="0" applyAlignment="1" pivotButton="0" quotePrefix="0" xfId="0">
      <alignment horizontal="left" vertical="center" wrapText="1"/>
    </xf>
    <xf numFmtId="0" fontId="25" fillId="16" borderId="13" applyAlignment="1" pivotButton="0" quotePrefix="0" xfId="0">
      <alignment horizontal="left" vertical="center" wrapText="1"/>
    </xf>
    <xf numFmtId="0" fontId="26" fillId="16" borderId="13" applyAlignment="1" pivotButton="0" quotePrefix="0" xfId="0">
      <alignment horizontal="left" vertical="center" wrapText="1"/>
    </xf>
    <xf numFmtId="0" fontId="27" fillId="16" borderId="13" applyAlignment="1" pivotButton="0" quotePrefix="0" xfId="0">
      <alignment horizontal="left" vertical="center" wrapText="1"/>
    </xf>
    <xf numFmtId="0" fontId="28" fillId="17" borderId="13" applyAlignment="1" pivotButton="0" quotePrefix="0" xfId="0">
      <alignment horizontal="left" vertical="center" wrapText="1"/>
    </xf>
    <xf numFmtId="0" fontId="25" fillId="16" borderId="13" applyAlignment="1" pivotButton="0" quotePrefix="0" xfId="0">
      <alignment vertical="top" wrapText="1"/>
    </xf>
    <xf numFmtId="0" fontId="25" fillId="18" borderId="13" applyAlignment="1" pivotButton="0" quotePrefix="0" xfId="0">
      <alignment horizontal="left" vertical="center" wrapText="1"/>
    </xf>
    <xf numFmtId="0" fontId="26" fillId="18" borderId="13" applyAlignment="1" pivotButton="0" quotePrefix="0" xfId="0">
      <alignment horizontal="left" vertical="center" wrapText="1"/>
    </xf>
    <xf numFmtId="0" fontId="27" fillId="18" borderId="13" applyAlignment="1" pivotButton="0" quotePrefix="0" xfId="0">
      <alignment horizontal="left" vertical="center" wrapText="1"/>
    </xf>
    <xf numFmtId="0" fontId="25" fillId="18" borderId="13" applyAlignment="1" pivotButton="0" quotePrefix="0" xfId="0">
      <alignment vertical="top" wrapText="1"/>
    </xf>
    <xf numFmtId="0" fontId="29" fillId="19" borderId="0" applyAlignment="1" pivotButton="0" quotePrefix="0" xfId="0">
      <alignment horizontal="left" vertical="center" wrapText="1"/>
    </xf>
    <xf numFmtId="0" fontId="27" fillId="19" borderId="0" applyAlignment="1" pivotButton="0" quotePrefix="0" xfId="0">
      <alignment vertical="top" wrapText="1"/>
    </xf>
    <xf numFmtId="0" fontId="21" fillId="14" borderId="0" applyAlignment="1" pivotButton="0" quotePrefix="0" xfId="0">
      <alignment horizontal="left" vertical="center" wrapText="1"/>
    </xf>
    <xf numFmtId="0" fontId="30" fillId="0" borderId="0" applyAlignment="1" pivotButton="0" quotePrefix="0" xfId="0">
      <alignment vertical="top" wrapText="1"/>
    </xf>
    <xf numFmtId="0" fontId="21" fillId="20" borderId="0" applyAlignment="1" pivotButton="0" quotePrefix="0" xfId="0">
      <alignment horizontal="left" vertical="center" wrapText="1"/>
    </xf>
    <xf numFmtId="0" fontId="27" fillId="0" borderId="0" applyAlignment="1" pivotButton="0" quotePrefix="0" xfId="0">
      <alignment vertical="top" wrapText="1"/>
    </xf>
    <xf numFmtId="0" fontId="23" fillId="22" borderId="14" applyAlignment="1" pivotButton="0" quotePrefix="0" xfId="0">
      <alignment horizontal="left" vertical="center"/>
    </xf>
    <xf numFmtId="0" fontId="7" fillId="22" borderId="14" applyAlignment="1" pivotButton="0" quotePrefix="0" xfId="0">
      <alignment wrapText="1"/>
    </xf>
    <xf numFmtId="0" fontId="11" fillId="22" borderId="14" applyAlignment="1" pivotButton="0" quotePrefix="0" xfId="0">
      <alignment wrapText="1"/>
    </xf>
    <xf numFmtId="0" fontId="32" fillId="0" borderId="14" applyAlignment="1" pivotButton="0" quotePrefix="0" xfId="0">
      <alignment horizontal="left" vertical="center" wrapText="1"/>
    </xf>
    <xf numFmtId="0" fontId="7" fillId="23" borderId="14" applyAlignment="1" pivotButton="0" quotePrefix="0" xfId="0">
      <alignment horizontal="right" vertical="center"/>
    </xf>
    <xf numFmtId="0" fontId="31" fillId="0" borderId="14" applyAlignment="1" pivotButton="0" quotePrefix="0" xfId="0">
      <alignment horizontal="left" vertical="center" wrapText="1"/>
    </xf>
    <xf numFmtId="0" fontId="33" fillId="0" borderId="14" applyAlignment="1" pivotButton="0" quotePrefix="0" xfId="0">
      <alignment vertical="top" wrapText="1"/>
    </xf>
    <xf numFmtId="9" fontId="7" fillId="23" borderId="14" applyAlignment="1" pivotButton="0" quotePrefix="0" xfId="0">
      <alignment horizontal="right" vertical="center"/>
    </xf>
    <xf numFmtId="0" fontId="31" fillId="21" borderId="14" applyAlignment="1" pivotButton="0" quotePrefix="0" xfId="0">
      <alignment horizontal="right" vertical="center"/>
    </xf>
    <xf numFmtId="0" fontId="32" fillId="21" borderId="14" applyAlignment="1" pivotButton="0" quotePrefix="0" xfId="0">
      <alignment horizontal="left" vertical="center"/>
    </xf>
    <xf numFmtId="3" fontId="0" fillId="21" borderId="14" applyAlignment="1" pivotButton="0" quotePrefix="0" xfId="0">
      <alignment horizontal="right" vertical="center"/>
    </xf>
    <xf numFmtId="0" fontId="0" fillId="22" borderId="14" pivotButton="0" quotePrefix="0" xfId="0"/>
    <xf numFmtId="0" fontId="28" fillId="19" borderId="14" applyAlignment="1" pivotButton="0" quotePrefix="0" xfId="0">
      <alignment horizontal="left" vertical="center"/>
    </xf>
    <xf numFmtId="0" fontId="0" fillId="19" borderId="14" applyAlignment="1" pivotButton="0" quotePrefix="0" xfId="0">
      <alignment horizontal="right" vertical="center"/>
    </xf>
    <xf numFmtId="0" fontId="28" fillId="21" borderId="14" applyAlignment="1" pivotButton="0" quotePrefix="0" xfId="0">
      <alignment horizontal="left" vertical="center"/>
    </xf>
    <xf numFmtId="0" fontId="35" fillId="24" borderId="0" applyAlignment="1" pivotButton="0" quotePrefix="0" xfId="0">
      <alignment vertical="top" wrapText="1"/>
    </xf>
    <xf numFmtId="0" fontId="38" fillId="26" borderId="0" applyAlignment="1" pivotButton="0" quotePrefix="0" xfId="0">
      <alignment wrapText="1"/>
    </xf>
    <xf numFmtId="9" fontId="34" fillId="19" borderId="0" applyAlignment="1" pivotButton="0" quotePrefix="0" xfId="0">
      <alignment horizontal="center" vertical="center"/>
    </xf>
    <xf numFmtId="0" fontId="39" fillId="0" borderId="0" applyAlignment="1" pivotButton="0" quotePrefix="0" xfId="0">
      <alignment horizontal="left" vertical="center"/>
    </xf>
    <xf numFmtId="0" fontId="38" fillId="26" borderId="14" applyAlignment="1" pivotButton="0" quotePrefix="0" xfId="0">
      <alignment horizontal="left" vertical="top" wrapText="1"/>
    </xf>
    <xf numFmtId="0" fontId="31" fillId="0" borderId="14" applyAlignment="1" pivotButton="0" quotePrefix="0" xfId="0">
      <alignment horizontal="left" vertical="top" wrapText="1"/>
    </xf>
    <xf numFmtId="0" fontId="34" fillId="19" borderId="14" applyAlignment="1" pivotButton="0" quotePrefix="0" xfId="0">
      <alignment horizontal="center" vertical="center"/>
    </xf>
    <xf numFmtId="0" fontId="37" fillId="26" borderId="14" applyAlignment="1" pivotButton="0" quotePrefix="0" xfId="0">
      <alignment vertical="center"/>
    </xf>
    <xf numFmtId="0" fontId="0" fillId="0" borderId="17" pivotButton="0" quotePrefix="0" xfId="0"/>
    <xf numFmtId="0" fontId="0" fillId="0" borderId="18" pivotButton="0" quotePrefix="0" xfId="0"/>
    <xf numFmtId="9" fontId="36" fillId="23" borderId="14" applyAlignment="1" pivotButton="0" quotePrefix="0" xfId="0">
      <alignment horizontal="right" vertical="center"/>
    </xf>
    <xf numFmtId="0" fontId="33" fillId="0" borderId="14" applyAlignment="1" pivotButton="0" quotePrefix="0" xfId="0">
      <alignment horizontal="left" vertical="top" wrapText="1"/>
    </xf>
    <xf numFmtId="0" fontId="36" fillId="23" borderId="14" applyAlignment="1" pivotButton="0" quotePrefix="0" xfId="0">
      <alignment horizontal="right" vertical="center"/>
    </xf>
    <xf numFmtId="0" fontId="31" fillId="25" borderId="14" applyAlignment="1" pivotButton="0" quotePrefix="0" xfId="0">
      <alignment horizontal="left" vertical="center" wrapText="1"/>
    </xf>
    <xf numFmtId="0" fontId="31" fillId="0" borderId="14" applyAlignment="1" pivotButton="0" quotePrefix="0" xfId="0">
      <alignment horizontal="center"/>
    </xf>
    <xf numFmtId="0" fontId="38" fillId="26" borderId="14" applyAlignment="1" pivotButton="0" quotePrefix="0" xfId="0">
      <alignment vertical="top" wrapText="1"/>
    </xf>
    <xf numFmtId="9" fontId="34" fillId="19" borderId="14" applyAlignment="1" pivotButton="0" quotePrefix="0" xfId="0">
      <alignment horizontal="center" vertical="center"/>
    </xf>
    <xf numFmtId="168" fontId="34" fillId="21" borderId="14" applyAlignment="1" pivotButton="0" quotePrefix="0" xfId="0">
      <alignment horizontal="center" vertical="center"/>
    </xf>
    <xf numFmtId="0" fontId="2" fillId="18" borderId="0" pivotButton="0" quotePrefix="0" xfId="0"/>
    <xf numFmtId="0" fontId="28" fillId="23" borderId="14" applyAlignment="1" pivotButton="0" quotePrefix="0" xfId="0">
      <alignment horizontal="left" vertical="center" wrapText="1"/>
    </xf>
    <xf numFmtId="0" fontId="40" fillId="22" borderId="14" applyAlignment="1" pivotButton="0" quotePrefix="0" xfId="0">
      <alignment horizontal="left" vertical="center"/>
    </xf>
    <xf numFmtId="0" fontId="23" fillId="27" borderId="14" applyAlignment="1" pivotButton="0" quotePrefix="0" xfId="0">
      <alignment horizontal="left" vertical="center" wrapText="1"/>
    </xf>
    <xf numFmtId="3" fontId="11" fillId="21" borderId="14" applyAlignment="1" pivotButton="0" quotePrefix="0" xfId="0">
      <alignment horizontal="right" vertical="center"/>
    </xf>
    <xf numFmtId="0" fontId="33" fillId="26" borderId="14" applyAlignment="1" pivotButton="0" quotePrefix="0" xfId="0">
      <alignment horizontal="left" vertical="center" wrapText="1"/>
    </xf>
    <xf numFmtId="0" fontId="41" fillId="28" borderId="14" applyAlignment="1" pivotButton="0" quotePrefix="0" xfId="0">
      <alignment horizontal="center" vertical="center"/>
    </xf>
    <xf numFmtId="0" fontId="40" fillId="28" borderId="14" applyAlignment="1" pivotButton="0" quotePrefix="0" xfId="0">
      <alignment horizontal="center" vertical="center" wrapText="1"/>
    </xf>
    <xf numFmtId="0" fontId="28" fillId="23" borderId="14" applyAlignment="1" pivotButton="0" quotePrefix="0" xfId="0">
      <alignment horizontal="left" vertical="center"/>
    </xf>
    <xf numFmtId="0" fontId="25" fillId="29" borderId="14" applyAlignment="1" pivotButton="0" quotePrefix="0" xfId="0">
      <alignment horizontal="left" vertical="center" wrapText="1"/>
    </xf>
    <xf numFmtId="0" fontId="25" fillId="23" borderId="14" applyAlignment="1" pivotButton="0" quotePrefix="0" xfId="0">
      <alignment horizontal="center" vertical="center" wrapText="1"/>
    </xf>
    <xf numFmtId="0" fontId="26" fillId="21" borderId="14" applyAlignment="1" pivotButton="0" quotePrefix="0" xfId="0">
      <alignment horizontal="center" vertical="center"/>
    </xf>
    <xf numFmtId="0" fontId="25" fillId="19" borderId="14" applyAlignment="1" pivotButton="0" quotePrefix="0" xfId="0">
      <alignment horizontal="left" vertical="center" wrapText="1"/>
    </xf>
    <xf numFmtId="0" fontId="25" fillId="25" borderId="14" applyAlignment="1" pivotButton="0" quotePrefix="0" xfId="0">
      <alignment horizontal="center" vertical="center" wrapText="1"/>
    </xf>
    <xf numFmtId="0" fontId="28" fillId="21" borderId="14" applyAlignment="1" pivotButton="0" quotePrefix="0" xfId="0">
      <alignment horizontal="left" vertical="center"/>
    </xf>
    <xf numFmtId="0" fontId="25" fillId="26" borderId="14" applyAlignment="1" pivotButton="0" quotePrefix="0" xfId="0">
      <alignment horizontal="center" vertical="center" wrapText="1"/>
    </xf>
    <xf numFmtId="0" fontId="26" fillId="24" borderId="14" applyAlignment="1" pivotButton="0" quotePrefix="0" xfId="0">
      <alignment horizontal="center" vertical="center" wrapText="1"/>
    </xf>
    <xf numFmtId="0" fontId="28" fillId="25" borderId="14" applyAlignment="1" pivotButton="0" quotePrefix="0" xfId="0">
      <alignment horizontal="left" vertical="center"/>
    </xf>
    <xf numFmtId="0" fontId="28" fillId="19" borderId="14" applyAlignment="1" pivotButton="0" quotePrefix="0" xfId="0">
      <alignment horizontal="left" vertical="center"/>
    </xf>
    <xf numFmtId="0" fontId="25" fillId="30" borderId="14" applyAlignment="1" pivotButton="0" quotePrefix="0" xfId="0">
      <alignment horizontal="left" vertical="center" wrapText="1"/>
    </xf>
    <xf numFmtId="0" fontId="28" fillId="26" borderId="14" applyAlignment="1" pivotButton="0" quotePrefix="0" xfId="0">
      <alignment horizontal="left" vertical="center"/>
    </xf>
    <xf numFmtId="0" fontId="25" fillId="21" borderId="14" applyAlignment="1" pivotButton="0" quotePrefix="0" xfId="0">
      <alignment horizontal="center" vertical="center" wrapText="1"/>
    </xf>
    <xf numFmtId="0" fontId="28" fillId="24" borderId="14" applyAlignment="1" pivotButton="0" quotePrefix="0" xfId="0">
      <alignment horizontal="left" vertical="center"/>
    </xf>
    <xf numFmtId="0" fontId="28" fillId="31" borderId="14" applyAlignment="1" pivotButton="0" quotePrefix="0" xfId="0">
      <alignment horizontal="left" vertical="center"/>
    </xf>
    <xf numFmtId="0" fontId="25" fillId="32" borderId="14" applyAlignment="1" pivotButton="0" quotePrefix="0" xfId="0">
      <alignment horizontal="left" vertical="center" wrapText="1"/>
    </xf>
    <xf numFmtId="0" fontId="28" fillId="33" borderId="14" applyAlignment="1" pivotButton="0" quotePrefix="0" xfId="0">
      <alignment horizontal="left" vertical="center"/>
    </xf>
    <xf numFmtId="0" fontId="28" fillId="34" borderId="14" applyAlignment="1" pivotButton="0" quotePrefix="0" xfId="0">
      <alignment horizontal="left" vertical="center"/>
    </xf>
    <xf numFmtId="0" fontId="26" fillId="34" borderId="14" applyAlignment="1" pivotButton="0" quotePrefix="0" xfId="0">
      <alignment horizontal="left" vertical="center" wrapText="1"/>
    </xf>
    <xf numFmtId="0" fontId="25" fillId="34" borderId="14" applyAlignment="1" pivotButton="0" quotePrefix="0" xfId="0">
      <alignment horizontal="left" vertical="center" wrapText="1"/>
    </xf>
    <xf numFmtId="0" fontId="42" fillId="34" borderId="14" applyAlignment="1" pivotButton="0" quotePrefix="0" xfId="0">
      <alignment horizontal="center" vertical="center" wrapText="1"/>
    </xf>
    <xf numFmtId="0" fontId="26" fillId="19" borderId="14" applyAlignment="1" pivotButton="0" quotePrefix="0" xfId="0">
      <alignment horizontal="center" vertical="center"/>
    </xf>
    <xf numFmtId="0" fontId="25" fillId="18" borderId="14" applyAlignment="1" pivotButton="0" quotePrefix="0" xfId="0">
      <alignment horizontal="left" vertical="center" wrapText="1"/>
    </xf>
    <xf numFmtId="0" fontId="25" fillId="18" borderId="14" applyAlignment="1" pivotButton="0" quotePrefix="0" xfId="0">
      <alignment horizontal="center" vertical="center" wrapText="1"/>
    </xf>
    <xf numFmtId="0" fontId="43" fillId="25" borderId="14" applyAlignment="1" pivotButton="0" quotePrefix="0" xfId="0">
      <alignment horizontal="left" vertical="center" wrapText="1"/>
    </xf>
    <xf numFmtId="0" fontId="7" fillId="0" borderId="14" applyAlignment="1" pivotButton="0" quotePrefix="0" xfId="0">
      <alignment wrapText="1"/>
    </xf>
    <xf numFmtId="0" fontId="44" fillId="0" borderId="0" applyAlignment="1" pivotButton="0" quotePrefix="0" xfId="0">
      <alignment wrapText="1"/>
    </xf>
    <xf numFmtId="9" fontId="4" fillId="2" borderId="1" applyAlignment="1" pivotButton="0" quotePrefix="0" xfId="0">
      <alignment wrapText="1"/>
    </xf>
    <xf numFmtId="9" fontId="4" fillId="0" borderId="0" applyAlignment="1" pivotButton="0" quotePrefix="0" xfId="0">
      <alignment wrapText="1"/>
    </xf>
    <xf numFmtId="0" fontId="32" fillId="0" borderId="14" applyAlignment="1" pivotButton="0" quotePrefix="0" xfId="0">
      <alignment wrapText="1"/>
    </xf>
    <xf numFmtId="0" fontId="21" fillId="35" borderId="14" applyAlignment="1" pivotButton="0" quotePrefix="0" xfId="0">
      <alignment horizontal="center" vertical="center"/>
    </xf>
    <xf numFmtId="0" fontId="40" fillId="36" borderId="14" applyAlignment="1" pivotButton="0" quotePrefix="0" xfId="0">
      <alignment horizontal="center" vertical="center" wrapText="1"/>
    </xf>
    <xf numFmtId="0" fontId="25" fillId="37" borderId="14" applyAlignment="1" pivotButton="0" quotePrefix="0" xfId="0">
      <alignment horizontal="left" vertical="center" wrapText="1"/>
    </xf>
    <xf numFmtId="0" fontId="26" fillId="38" borderId="14" applyAlignment="1" pivotButton="0" quotePrefix="0" xfId="0">
      <alignment horizontal="center" vertical="center" wrapText="1"/>
    </xf>
    <xf numFmtId="0" fontId="40" fillId="39" borderId="14" applyAlignment="1" pivotButton="0" quotePrefix="0" xfId="0">
      <alignment horizontal="center" vertical="center" wrapText="1"/>
    </xf>
    <xf numFmtId="0" fontId="40" fillId="40" borderId="14" applyAlignment="1" pivotButton="0" quotePrefix="0" xfId="0">
      <alignment horizontal="center" vertical="center" wrapText="1"/>
    </xf>
  </cellXfs>
  <cellStyles count="1">
    <cellStyle name="Normal" xfId="0" builtinId="0"/>
  </cellStyles>
  <dxfs count="3">
    <dxf>
      <font/>
      <fill>
        <patternFill patternType="solid">
          <fgColor rgb="FFFF9900"/>
          <bgColor rgb="FFFF9900"/>
        </patternFill>
      </fill>
      <border/>
    </dxf>
    <dxf>
      <font/>
      <fill>
        <patternFill patternType="solid">
          <fgColor rgb="FFB7E1CD"/>
          <bgColor rgb="FFB7E1CD"/>
        </patternFill>
      </fill>
      <border/>
    </dxf>
    <dxf>
      <font>
        <b val="1"/>
        <color theme="0"/>
      </font>
      <fill>
        <patternFill patternType="solid">
          <fgColor rgb="FF1155CC"/>
          <bgColor rgb="FF1155CC"/>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tc={218aae39-da89-4611-8c8e-e476e39f1d8f}</author>
    <author>tc={c8293c1e-810b-4ba5-b0ce-7becbb834cf8}</author>
    <author>tc={5080228d-04af-4183-a4df-d98ad1c518e0}</author>
  </authors>
  <commentList>
    <comment ref="D10" authorId="0" shapeId="0">
      <text>
        <t xml:space="preserve">[Threaded comment]
 Your version of Excel allows you to read this threaded comment; however, any edits to it will get removed if the file is opened in a newer version of Excel. Learn more: https://go.microsoft.com/fwlink/?linkid=870924
Comment:
	Plan bleibt wie er ist, Stelle kommt zum anvisierten Zielmonat
</t>
      </text>
    </comment>
    <comment ref="E10" authorId="1" shapeId="0">
      <text>
        <t xml:space="preserve">[Threaded comment]
 Your version of Excel allows you to read this threaded comment; however, any edits to it will get removed if the file is opened in a newer version of Excel. Learn more: https://go.microsoft.com/fwlink/?linkid=870924
Comment:
	AI kompensiert Aufgaben, dadurch verschiebt sich der Eintritt des neuen MA um 6 Monate
</t>
      </text>
    </comment>
    <comment ref="F10" authorId="2" shapeId="0">
      <text>
        <t xml:space="preserve">[Threaded comment]
 Your version of Excel allows you to read this threaded comment; however, any edits to it will get removed if the file is opened in a newer version of Excel. Learn more: https://go.microsoft.com/fwlink/?linkid=870924
Comment:
	Durch Einsatz von AI wird Stelle effektiv gestrichen, Eintrittswert wird daher auf 99 Monate hochgesetzt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FF4472C4"/>
    <outlinePr summaryBelow="1" summaryRight="1"/>
    <pageSetUpPr/>
  </sheetPr>
  <dimension ref="A1:B28"/>
  <sheetViews>
    <sheetView workbookViewId="0">
      <selection activeCell="A1" sqref="A1"/>
    </sheetView>
  </sheetViews>
  <sheetFormatPr baseColWidth="8" defaultColWidth="14.43" defaultRowHeight="15" customHeight="1"/>
  <cols>
    <col width="60" customWidth="1" style="83" min="1" max="1"/>
    <col width="40" customWidth="1" style="83" min="2" max="2"/>
    <col width="8.710000000000001" customWidth="1" style="83" min="3" max="26"/>
  </cols>
  <sheetData>
    <row r="1" ht="14.25" customHeight="1" s="83">
      <c r="A1" s="1" t="inlineStr">
        <is>
          <t>LoopforgeLab GmbH – Financial Projection Model</t>
        </is>
      </c>
    </row>
    <row r="2" ht="14.25" customHeight="1" s="83">
      <c r="A2" s="1" t="n"/>
    </row>
    <row r="3" ht="14.25" customHeight="1" s="83">
      <c r="A3" s="2" t="inlineStr">
        <is>
          <t>Projektionszeitraum: 52 Monate (ca. 4,3 Jahre)</t>
        </is>
      </c>
    </row>
    <row r="4" ht="14.25" customHeight="1" s="83"/>
    <row r="5" ht="14.25" customHeight="1" s="83">
      <c r="A5" s="2" t="inlineStr">
        <is>
          <t>INHALTSVERZEICHNIS</t>
        </is>
      </c>
    </row>
    <row r="6" ht="14.25" customHeight="1" s="83">
      <c r="A6" s="77" t="inlineStr">
        <is>
          <t>Sheet 1: Anleitung – Diese Seite mit Übersicht und Legende</t>
        </is>
      </c>
    </row>
    <row r="7" ht="14.25" customHeight="1" s="83">
      <c r="A7" s="77" t="inlineStr">
        <is>
          <t>Sheet 2: Inputs – Zentrale Eingabewerte (HIER STARTEN)</t>
        </is>
      </c>
    </row>
    <row r="8" ht="14.25" customHeight="1" s="83">
      <c r="A8" s="77" t="inlineStr">
        <is>
          <t>Sheet 3: P&amp;L – Gewinn- und Verlustrechnung (monatlich + jährlich)</t>
        </is>
      </c>
    </row>
    <row r="9" ht="14.25" customHeight="1" s="83">
      <c r="A9" s="77" t="inlineStr">
        <is>
          <t>Sheet 4: Revenue – Detaillierte Umsatzmodellierung</t>
        </is>
      </c>
    </row>
    <row r="10" ht="14.25" customHeight="1" s="83">
      <c r="A10" s="77" t="inlineStr">
        <is>
          <t>Sheet 5: Costs – Detaillierte Kostenaufschlüsselung</t>
        </is>
      </c>
    </row>
    <row r="11" ht="14.25" customHeight="1" s="83">
      <c r="A11" s="77" t="inlineStr">
        <is>
          <t>Sheet 6: Balance Sheet – Vereinfachte Bilanz</t>
        </is>
      </c>
    </row>
    <row r="12" ht="14.25" customHeight="1" s="83">
      <c r="A12" s="77" t="inlineStr">
        <is>
          <t>Sheet 7: Cash Flow – Kapitalflussrechnung mit Runway</t>
        </is>
      </c>
    </row>
    <row r="13" ht="14.25" customHeight="1" s="83"/>
    <row r="14" ht="14.25" customHeight="1" s="83">
      <c r="A14" s="2" t="inlineStr">
        <is>
          <t>FARBCODIERUNG</t>
        </is>
      </c>
    </row>
    <row r="15" ht="14.25" customHeight="1" s="83">
      <c r="A15" s="4" t="inlineStr">
        <is>
          <t>Blau</t>
        </is>
      </c>
      <c r="B15" s="77" t="inlineStr">
        <is>
          <t>Editierbare Eingabefelder</t>
        </is>
      </c>
    </row>
    <row r="16" ht="14.25" customHeight="1" s="83">
      <c r="A16" s="77" t="inlineStr">
        <is>
          <t>Schwarz</t>
        </is>
      </c>
      <c r="B16" s="77" t="inlineStr">
        <is>
          <t>Formeln – nicht manuell ändern</t>
        </is>
      </c>
    </row>
    <row r="17" ht="14.25" customHeight="1" s="83">
      <c r="A17" s="5" t="inlineStr">
        <is>
          <t>Grün</t>
        </is>
      </c>
      <c r="B17" s="77" t="inlineStr">
        <is>
          <t>Verweise auf andere Sheets</t>
        </is>
      </c>
    </row>
    <row r="18" ht="14.25" customHeight="1" s="83">
      <c r="A18" s="6" t="inlineStr">
        <is>
          <t>Gelb hinterlegt</t>
        </is>
      </c>
      <c r="B18" s="77" t="inlineStr">
        <is>
          <t>Kritische Annahmen</t>
        </is>
      </c>
    </row>
    <row r="19" ht="14.25" customHeight="1" s="83"/>
    <row r="20" ht="14.25" customHeight="1" s="83">
      <c r="A20" s="2" t="inlineStr">
        <is>
          <t>KURZANLEITUNG</t>
        </is>
      </c>
    </row>
    <row r="21" ht="14.25" customHeight="1" s="83">
      <c r="A21" s="77" t="inlineStr">
        <is>
          <t>1. Gehen Sie zum Sheet 'Inputs' und passen Sie alle blau markierten Werte an.</t>
        </is>
      </c>
    </row>
    <row r="22" ht="14.25" customHeight="1" s="83">
      <c r="A22" s="77" t="inlineStr">
        <is>
          <t>2. Alle anderen Sheets berechnen sich automatisch aus den Inputs.</t>
        </is>
      </c>
    </row>
    <row r="23" ht="14.25" customHeight="1" s="83">
      <c r="A23" s="77" t="inlineStr">
        <is>
          <t>3. Prüfen Sie die P&amp;L, Revenue und Cash Flow Sheets auf Plausibilität.</t>
        </is>
      </c>
    </row>
    <row r="24" ht="14.25" customHeight="1" s="83">
      <c r="A24" s="77" t="inlineStr">
        <is>
          <t>4. Achten Sie auf rot markierte Warnungen (z.B. Runway &lt; 6 Monate).</t>
        </is>
      </c>
    </row>
    <row r="25" ht="14.25" customHeight="1" s="83">
      <c r="A25" s="77" t="inlineStr">
        <is>
          <t>5. Exportieren Sie relevante Sheets als PDF für Investoren-Präsentationen.</t>
        </is>
      </c>
    </row>
    <row r="26" ht="14.25" customHeight="1" s="83">
      <c r="A26" s="77" t="n"/>
    </row>
    <row r="27" ht="14.25" customHeight="1" s="83">
      <c r="A27" s="77" t="inlineStr">
        <is>
          <t>DISCLAIMER: Diese Projektion dient ausschließlich der Planung.</t>
        </is>
      </c>
    </row>
    <row r="28" ht="14.25" customHeight="1" s="83">
      <c r="A28" s="77" t="inlineStr">
        <is>
          <t>Tatsächliche Ergebnisse können erheblich abweichen. Keine Garantie.</t>
        </is>
      </c>
    </row>
    <row r="29" ht="14.25" customHeight="1" s="83"/>
    <row r="30" ht="14.25" customHeight="1" s="83"/>
    <row r="31" ht="14.25" customHeight="1" s="83"/>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M7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4" customWidth="1" style="83" min="1" max="1"/>
    <col width="20" customWidth="1" style="83" min="2" max="2"/>
    <col width="30" customWidth="1" style="83" min="3" max="3"/>
    <col width="18" customWidth="1" style="83" min="4" max="4"/>
    <col width="14" customWidth="1" style="83" min="5" max="5"/>
    <col width="16" customWidth="1" style="83" min="6" max="6"/>
    <col width="14" customWidth="1" style="83" min="7" max="7"/>
    <col width="14" customWidth="1" style="83" min="8" max="8"/>
    <col width="14" customWidth="1" style="83" min="9" max="9"/>
    <col width="35" customWidth="1" style="83" min="10" max="10"/>
    <col width="35" customWidth="1" style="83" min="11" max="11"/>
    <col width="22" customWidth="1" style="83" min="12" max="12"/>
    <col width="22" customWidth="1" style="83" min="13" max="13"/>
  </cols>
  <sheetData>
    <row r="1" ht="30" customHeight="1" s="83">
      <c r="A1" s="144" t="inlineStr">
        <is>
          <t>LoopForgeLab – Treiber- &amp; Annahmen-Matrix (importiert aus 260305_LFL_Treiber_Matrix_v1.xlsx)</t>
        </is>
      </c>
    </row>
    <row r="2" ht="20" customHeight="1" s="83">
      <c r="A2" s="143" t="inlineStr">
        <is>
          <t>Alle Umsatz- und Kostentreiber | Szenarien: Gering · Normal · Stark | Spalten L &amp; M: Eigene Bewertungen und Alternativwerte | NEU-markierte Zeilen: noch nicht im Modell — Entwicklungspotenzial</t>
        </is>
      </c>
    </row>
    <row r="3" ht="30" customHeight="1" s="83">
      <c r="A3" s="145" t="inlineStr">
        <is>
          <t>Kategorie</t>
        </is>
      </c>
      <c r="B3" s="145" t="inlineStr">
        <is>
          <t>Unterkategorie</t>
        </is>
      </c>
      <c r="C3" s="145" t="inlineStr">
        <is>
          <t>Parameter / Treiber</t>
        </is>
      </c>
      <c r="D3" s="145" t="inlineStr">
        <is>
          <t>Aktueller Wert</t>
        </is>
      </c>
      <c r="E3" s="145" t="inlineStr">
        <is>
          <t>Einheit</t>
        </is>
      </c>
      <c r="F3" s="145" t="inlineStr">
        <is>
          <t>Szenario-Abhängigkeit</t>
        </is>
      </c>
      <c r="G3" s="145" t="inlineStr">
        <is>
          <t>Gering</t>
        </is>
      </c>
      <c r="H3" s="145" t="inlineStr">
        <is>
          <t>Normal</t>
        </is>
      </c>
      <c r="I3" s="145" t="inlineStr">
        <is>
          <t>Stark</t>
        </is>
      </c>
      <c r="J3" s="145" t="inlineStr">
        <is>
          <t>Einflussfaktor &amp; Wirkungslogik</t>
        </is>
      </c>
      <c r="K3" s="145" t="inlineStr">
        <is>
          <t>Annahmen &amp; Begründung</t>
        </is>
      </c>
      <c r="L3" s="145" t="inlineStr">
        <is>
          <t>► Ihre Bewertung</t>
        </is>
      </c>
      <c r="M3" s="145" t="inlineStr">
        <is>
          <t>► Neue Annahme</t>
        </is>
      </c>
    </row>
    <row r="4" ht="45" customHeight="1" s="83"/>
    <row r="5" ht="18" customHeight="1" s="83">
      <c r="A5" s="146" t="inlineStr">
        <is>
          <t>Revenue 1: SaaS / Lizenzen</t>
        </is>
      </c>
    </row>
    <row r="6" ht="45" customHeight="1" s="83">
      <c r="A6" s="147" t="inlineStr">
        <is>
          <t>UMSATZ</t>
        </is>
      </c>
      <c r="B6" s="147" t="inlineStr">
        <is>
          <t>SaaS / Lizenzen</t>
        </is>
      </c>
      <c r="C6" s="147" t="inlineStr">
        <is>
          <t>Startpreis pro Seat/Jahr</t>
        </is>
      </c>
      <c r="D6" s="147" t="inlineStr">
        <is>
          <t>9.600 – 12.000 €</t>
        </is>
      </c>
      <c r="E6" s="147" t="inlineStr">
        <is>
          <t>€/Jahr</t>
        </is>
      </c>
      <c r="F6" s="148" t="inlineStr">
        <is>
          <t>Szenario</t>
        </is>
      </c>
      <c r="G6" s="149" t="inlineStr">
        <is>
          <t>9.600 €</t>
        </is>
      </c>
      <c r="H6" s="149" t="inlineStr">
        <is>
          <t>12.000 €</t>
        </is>
      </c>
      <c r="I6" s="149" t="inlineStr">
        <is>
          <t>6.000 €</t>
        </is>
      </c>
      <c r="J6" s="147" t="inlineStr">
        <is>
          <t>Bestimmt den initialen Lizenzpreis je Nutzer-Seat. Direkter Multiplikator auf alle Lizenzerlöse.</t>
        </is>
      </c>
      <c r="K6" s="147" t="inlineStr">
        <is>
          <t>Automotive: höherer Preis durch Compliance-Wert (TISAX). Packaging: niedrigerer Einstiegspreis, Wachstum über Volumen &amp; NRR. Value-based Pricing orientiert sich am TCO-Einsparpotenzial.</t>
        </is>
      </c>
      <c r="L6" s="150" t="n"/>
      <c r="M6" s="150" t="n"/>
    </row>
    <row r="7" ht="45" customHeight="1" s="83">
      <c r="A7" s="147" t="inlineStr">
        <is>
          <t>UMSATZ</t>
        </is>
      </c>
      <c r="B7" s="147" t="inlineStr">
        <is>
          <t>SaaS / Lizenzen</t>
        </is>
      </c>
      <c r="C7" s="147" t="inlineStr">
        <is>
          <t>Jährliche Preiserhöhung</t>
        </is>
      </c>
      <c r="D7" s="147" t="inlineStr">
        <is>
          <t>10 %</t>
        </is>
      </c>
      <c r="E7" s="147" t="inlineStr">
        <is>
          <t>% p.a.</t>
        </is>
      </c>
      <c r="F7" s="151" t="inlineStr">
        <is>
          <t>Fest</t>
        </is>
      </c>
      <c r="G7" s="149" t="inlineStr">
        <is>
          <t>10 %</t>
        </is>
      </c>
      <c r="H7" s="149" t="inlineStr">
        <is>
          <t>10 %</t>
        </is>
      </c>
      <c r="I7" s="149" t="inlineStr">
        <is>
          <t>10 %</t>
        </is>
      </c>
      <c r="J7" s="147" t="inlineStr">
        <is>
          <t>Erhöht den Seat-Preis jährlich. Kompensiert Inflations- und Innovationskosten (Inferenz, neue Features).</t>
        </is>
      </c>
      <c r="K7" s="147" t="inlineStr">
        <is>
          <t>Standard für AI-SaaS 2026. Typisch: 3–10% p.a. Höherer Wert möglich bei starker Produktdifferenzierung.</t>
        </is>
      </c>
      <c r="L7" s="150" t="n"/>
      <c r="M7" s="150" t="n"/>
    </row>
    <row r="8" ht="45" customHeight="1" s="83">
      <c r="A8" s="147" t="inlineStr">
        <is>
          <t>UMSATZ</t>
        </is>
      </c>
      <c r="B8" s="147" t="inlineStr">
        <is>
          <t>SaaS / Lizenzen</t>
        </is>
      </c>
      <c r="C8" s="147" t="inlineStr">
        <is>
          <t>Erster Umsatzmonat (Kunden)</t>
        </is>
      </c>
      <c r="D8" s="147" t="inlineStr">
        <is>
          <t>Monat 8–14</t>
        </is>
      </c>
      <c r="E8" s="147" t="inlineStr">
        <is>
          <t>Monat</t>
        </is>
      </c>
      <c r="F8" s="148" t="inlineStr">
        <is>
          <t>Szenario</t>
        </is>
      </c>
      <c r="G8" s="149" t="inlineStr">
        <is>
          <t>Monat 14</t>
        </is>
      </c>
      <c r="H8" s="149" t="inlineStr">
        <is>
          <t>Monat 8</t>
        </is>
      </c>
      <c r="I8" s="149" t="inlineStr">
        <is>
          <t>Monat 9</t>
        </is>
      </c>
      <c r="J8" s="147" t="inlineStr">
        <is>
          <t>Verschiebt den gesamten SaaS-Umsatz-Stream. Jeder Monat Verzögerung = direkte Liquiditätslücke.</t>
        </is>
      </c>
      <c r="K8" s="147" t="inlineStr">
        <is>
          <t>Automotive (Gering): lange Sales-Zyklen (9–12 Mon.) + TISAX-Prüfung. Packaging (Stark): kürzere IT-Entscheidungswege, frühere Piloten möglich.</t>
        </is>
      </c>
      <c r="L8" s="150" t="n"/>
      <c r="M8" s="150" t="n"/>
    </row>
    <row r="9" ht="45" customHeight="1" s="83">
      <c r="A9" s="147" t="inlineStr">
        <is>
          <t>UMSATZ</t>
        </is>
      </c>
      <c r="B9" s="147" t="inlineStr">
        <is>
          <t>SaaS / Lizenzen</t>
        </is>
      </c>
      <c r="C9" s="147" t="inlineStr">
        <is>
          <t>Initiale Seats (1. Kunde)</t>
        </is>
      </c>
      <c r="D9" s="147" t="inlineStr">
        <is>
          <t>5</t>
        </is>
      </c>
      <c r="E9" s="147" t="inlineStr">
        <is>
          <t>Seats</t>
        </is>
      </c>
      <c r="F9" s="151" t="inlineStr">
        <is>
          <t>Fest</t>
        </is>
      </c>
      <c r="G9" s="149" t="inlineStr">
        <is>
          <t>5</t>
        </is>
      </c>
      <c r="H9" s="149" t="inlineStr">
        <is>
          <t>5</t>
        </is>
      </c>
      <c r="I9" s="149" t="inlineStr">
        <is>
          <t>5</t>
        </is>
      </c>
      <c r="J9" s="147" t="inlineStr">
        <is>
          <t>Anzahl der Seats beim ersten Kunden. Beeinflusst den initialen ARR-Wert und das Wachstums-Baseline.</t>
        </is>
      </c>
      <c r="K9" s="147" t="inlineStr">
        <is>
          <t>Konservative Annahme: 1–2 Pilotprojekte pro Werk. Land &amp; Expand-Strategie: erst 1 Werk, dann Roll-out.</t>
        </is>
      </c>
      <c r="L9" s="150" t="n"/>
      <c r="M9" s="150" t="n"/>
    </row>
    <row r="10" ht="45" customHeight="1" s="83">
      <c r="A10" s="147" t="inlineStr">
        <is>
          <t>UMSATZ</t>
        </is>
      </c>
      <c r="B10" s="147" t="inlineStr">
        <is>
          <t>SaaS / Lizenzen</t>
        </is>
      </c>
      <c r="C10" s="147" t="inlineStr">
        <is>
          <t>Monatliche Seat-Wachstumsrate</t>
        </is>
      </c>
      <c r="D10" s="147" t="inlineStr">
        <is>
          <t>8 %</t>
        </is>
      </c>
      <c r="E10" s="147" t="inlineStr">
        <is>
          <t>% / Monat</t>
        </is>
      </c>
      <c r="F10" s="151" t="inlineStr">
        <is>
          <t>Fest</t>
        </is>
      </c>
      <c r="G10" s="149" t="inlineStr">
        <is>
          <t>8 %</t>
        </is>
      </c>
      <c r="H10" s="149" t="inlineStr">
        <is>
          <t>8 %</t>
        </is>
      </c>
      <c r="I10" s="149" t="inlineStr">
        <is>
          <t>8 %</t>
        </is>
      </c>
      <c r="J10" s="147" t="inlineStr">
        <is>
          <t>Bestimmt, wie schnell neue Seats hinzukommen. Treiber für den kumulativen ARR-Aufbau.</t>
        </is>
      </c>
      <c r="K10" s="147" t="inlineStr">
        <is>
          <t>Alternative: Account-basierte Planung mit Stufenfunktion (Roll-out pro Werk statt linearer Rate). Realistischer Wert abhängig von Vertriebskapazität.</t>
        </is>
      </c>
      <c r="L10" s="150" t="n"/>
      <c r="M10" s="150" t="n"/>
    </row>
    <row r="11" ht="45" customHeight="1" s="83">
      <c r="A11" s="147" t="inlineStr">
        <is>
          <t>UMSATZ</t>
        </is>
      </c>
      <c r="B11" s="147" t="inlineStr">
        <is>
          <t>SaaS / Lizenzen</t>
        </is>
      </c>
      <c r="C11" s="147" t="inlineStr">
        <is>
          <t>Enterprise-Deals ab Monat</t>
        </is>
      </c>
      <c r="D11" s="147" t="inlineStr">
        <is>
          <t>Monat 18</t>
        </is>
      </c>
      <c r="E11" s="147" t="inlineStr">
        <is>
          <t>Monat</t>
        </is>
      </c>
      <c r="F11" s="151" t="inlineStr">
        <is>
          <t>Fest</t>
        </is>
      </c>
      <c r="G11" s="149" t="inlineStr">
        <is>
          <t>Monat 18</t>
        </is>
      </c>
      <c r="H11" s="149" t="inlineStr">
        <is>
          <t>Monat 18</t>
        </is>
      </c>
      <c r="I11" s="149" t="inlineStr">
        <is>
          <t>Monat 18</t>
        </is>
      </c>
      <c r="J11" s="147" t="inlineStr">
        <is>
          <t>Ab diesem Monat werden größere Enterprise-Verträge abgeschlossen. Erhöht den durchschnittlichen ARR pro Kunde sprunghaft.</t>
        </is>
      </c>
      <c r="K11" s="147" t="inlineStr">
        <is>
          <t>Automotive: Verschiebung durch Technical Validation + Compliance. Typisch: 50.000–200.000 €/Jahr pro Enterprise-Kunde.</t>
        </is>
      </c>
      <c r="L11" s="150" t="n"/>
      <c r="M11" s="150" t="n"/>
    </row>
    <row r="12" ht="45" customHeight="1" s="83">
      <c r="A12" s="147" t="inlineStr">
        <is>
          <t>UMSATZ</t>
        </is>
      </c>
      <c r="B12" s="147" t="inlineStr">
        <is>
          <t>SaaS / Lizenzen</t>
        </is>
      </c>
      <c r="C12" s="147" t="inlineStr">
        <is>
          <t>Durchschnittlicher Enterprise ARR</t>
        </is>
      </c>
      <c r="D12" s="147" t="inlineStr">
        <is>
          <t>50.000 €</t>
        </is>
      </c>
      <c r="E12" s="147" t="inlineStr">
        <is>
          <t>€/Jahr</t>
        </is>
      </c>
      <c r="F12" s="151" t="inlineStr">
        <is>
          <t>Fest</t>
        </is>
      </c>
      <c r="G12" s="149" t="inlineStr">
        <is>
          <t>50.000 €</t>
        </is>
      </c>
      <c r="H12" s="149" t="inlineStr">
        <is>
          <t>50.000 €</t>
        </is>
      </c>
      <c r="I12" s="149" t="inlineStr">
        <is>
          <t>50.000 €</t>
        </is>
      </c>
      <c r="J12" s="147" t="inlineStr">
        <is>
          <t>Erlös pro Enterprise-Vertrag. Beeinflusst den ARR-Sprung ab Monat 18 erheblich.</t>
        </is>
      </c>
      <c r="K12" s="147" t="inlineStr">
        <is>
          <t>Höheres Volumen durch tiefe Integration (DPP, Sustainability). Realistisch: 50.000–200.000 € je nach Kundentyp.</t>
        </is>
      </c>
      <c r="L12" s="150" t="n"/>
      <c r="M12" s="150" t="n"/>
    </row>
    <row r="13" ht="45" customHeight="1" s="83">
      <c r="A13" s="147" t="inlineStr">
        <is>
          <t>UMSATZ</t>
        </is>
      </c>
      <c r="B13" s="147" t="inlineStr">
        <is>
          <t>SaaS / Lizenzen</t>
        </is>
      </c>
      <c r="C13" s="147" t="inlineStr">
        <is>
          <t>Enterprise Deals pro Quartal</t>
        </is>
      </c>
      <c r="D13" s="147" t="inlineStr">
        <is>
          <t>2</t>
        </is>
      </c>
      <c r="E13" s="147" t="inlineStr">
        <is>
          <t>Deals/Quartal</t>
        </is>
      </c>
      <c r="F13" s="151" t="inlineStr">
        <is>
          <t>Fest</t>
        </is>
      </c>
      <c r="G13" s="149" t="inlineStr">
        <is>
          <t>2</t>
        </is>
      </c>
      <c r="H13" s="149" t="inlineStr">
        <is>
          <t>2</t>
        </is>
      </c>
      <c r="I13" s="149" t="inlineStr">
        <is>
          <t>2</t>
        </is>
      </c>
      <c r="J13" s="147" t="inlineStr">
        <is>
          <t>Anzahl neuer Enterprise-Verträge pro Quartal. Direkter Treiber für den ARR-Aufbau nach Monat 18.</t>
        </is>
      </c>
      <c r="K13" s="147" t="inlineStr">
        <is>
          <t>Abhängig von Vertriebskapazität und Sales-Zyklus-Länge. Sollte mit Einstellungsplan abgestimmt sein.</t>
        </is>
      </c>
      <c r="L13" s="150" t="n"/>
      <c r="M13" s="150" t="n"/>
    </row>
    <row r="14" ht="45" customHeight="1" s="83">
      <c r="A14" s="147" t="inlineStr">
        <is>
          <t>UMSATZ</t>
        </is>
      </c>
      <c r="B14" s="147" t="inlineStr">
        <is>
          <t>SaaS / Lizenzen</t>
        </is>
      </c>
      <c r="C14" s="147" t="inlineStr">
        <is>
          <t>Jährliche Churn Rate</t>
        </is>
      </c>
      <c r="D14" s="147" t="inlineStr">
        <is>
          <t>6 %</t>
        </is>
      </c>
      <c r="E14" s="147" t="inlineStr">
        <is>
          <t>% p.a.</t>
        </is>
      </c>
      <c r="F14" s="151" t="inlineStr">
        <is>
          <t>Fest</t>
        </is>
      </c>
      <c r="G14" s="149" t="inlineStr">
        <is>
          <t>6 %</t>
        </is>
      </c>
      <c r="H14" s="149" t="inlineStr">
        <is>
          <t>6 %</t>
        </is>
      </c>
      <c r="I14" s="149" t="inlineStr">
        <is>
          <t>6 %</t>
        </is>
      </c>
      <c r="J14" s="147" t="inlineStr">
        <is>
          <t>Anteil der Kunden, die jährlich abwandern. Reduziert den kumulativen ARR direkt.</t>
        </is>
      </c>
      <c r="K14" s="147" t="inlineStr">
        <is>
          <t>Konservative Planung für komplexe industrielle Buying Center. Typisch SaaS: 5–10%. Im Pilot-Jahr höher, ab Jahr 3 niedriger.</t>
        </is>
      </c>
      <c r="L14" s="150" t="n"/>
      <c r="M14" s="150" t="n"/>
    </row>
    <row r="15" ht="45" customHeight="1" s="83">
      <c r="A15" s="147" t="inlineStr">
        <is>
          <t>UMSATZ</t>
        </is>
      </c>
      <c r="B15" s="147" t="inlineStr">
        <is>
          <t>SaaS / Lizenzen</t>
        </is>
      </c>
      <c r="C15" s="147" t="inlineStr">
        <is>
          <t>Net Revenue Retention (NRR)</t>
        </is>
      </c>
      <c r="D15" s="147" t="inlineStr">
        <is>
          <t>125 %</t>
        </is>
      </c>
      <c r="E15" s="147" t="inlineStr">
        <is>
          <t>%</t>
        </is>
      </c>
      <c r="F15" s="151" t="inlineStr">
        <is>
          <t>Fest</t>
        </is>
      </c>
      <c r="G15" s="149" t="inlineStr">
        <is>
          <t>125 %</t>
        </is>
      </c>
      <c r="H15" s="149" t="inlineStr">
        <is>
          <t>125 %</t>
        </is>
      </c>
      <c r="I15" s="149" t="inlineStr">
        <is>
          <t>125 %</t>
        </is>
      </c>
      <c r="J15" s="147" t="inlineStr">
        <is>
          <t>Expansion-Umsatz minus Churn. NRR &gt; 100% bedeutet: Bestandskunden wachsen schneller als sie abwandern.</t>
        </is>
      </c>
      <c r="K15" s="147" t="inlineStr">
        <is>
          <t>Realisierbar durch DPP-Zusatzmodule und Material-Analytics-Upgrades. Typisch: 100–120%. 125% ist ambitioniert, aber bei starkem Upselling möglich.</t>
        </is>
      </c>
      <c r="L15" s="150" t="n"/>
      <c r="M15" s="150" t="n"/>
    </row>
    <row r="16" ht="18" customHeight="1" s="83">
      <c r="A16" s="152" t="inlineStr">
        <is>
          <t>Revenue 2: Consulting</t>
        </is>
      </c>
    </row>
    <row r="17" ht="45" customHeight="1" s="83">
      <c r="A17" s="147" t="inlineStr">
        <is>
          <t>UMSATZ</t>
        </is>
      </c>
      <c r="B17" s="147" t="inlineStr">
        <is>
          <t>Consulting</t>
        </is>
      </c>
      <c r="C17" s="147" t="inlineStr">
        <is>
          <t>Consulting-Tagessatz</t>
        </is>
      </c>
      <c r="D17" s="147" t="inlineStr">
        <is>
          <t>1.000 – 1.500 €</t>
        </is>
      </c>
      <c r="E17" s="147" t="inlineStr">
        <is>
          <t>€/Tag</t>
        </is>
      </c>
      <c r="F17" s="148" t="inlineStr">
        <is>
          <t>Szenario</t>
        </is>
      </c>
      <c r="G17" s="149" t="inlineStr">
        <is>
          <t>1.000 €</t>
        </is>
      </c>
      <c r="H17" s="149" t="inlineStr">
        <is>
          <t>1.200 €</t>
        </is>
      </c>
      <c r="I17" s="149" t="inlineStr">
        <is>
          <t>1.500 €</t>
        </is>
      </c>
      <c r="J17" s="147" t="inlineStr">
        <is>
          <t>Verrechnungssatz für Beratungsleistungen. Multipliziert mit Tagen/Kunde ergibt den Erlös je Projekt.</t>
        </is>
      </c>
      <c r="K17" s="147" t="inlineStr">
        <is>
          <t>Automotive: niedrigerer Satz durch Preisdruck im Mittelstand. Packaging: höherer Satz durch Expertenstatus und Integrationskomplexität. Quelle: Marktanalyse Lothar.bm / Candemir.</t>
        </is>
      </c>
      <c r="L17" s="150" t="n"/>
      <c r="M17" s="150" t="n"/>
    </row>
    <row r="18" ht="45" customHeight="1" s="83">
      <c r="A18" s="147" t="inlineStr">
        <is>
          <t>UMSATZ</t>
        </is>
      </c>
      <c r="B18" s="147" t="inlineStr">
        <is>
          <t>Consulting</t>
        </is>
      </c>
      <c r="C18" s="147" t="inlineStr">
        <is>
          <t>Consulting-Tage/Kunde</t>
        </is>
      </c>
      <c r="D18" s="147" t="inlineStr">
        <is>
          <t>4 – 20 Tage</t>
        </is>
      </c>
      <c r="E18" s="147" t="inlineStr">
        <is>
          <t>Tage/Kunde</t>
        </is>
      </c>
      <c r="F18" s="148" t="inlineStr">
        <is>
          <t>Szenario</t>
        </is>
      </c>
      <c r="G18" s="149" t="inlineStr">
        <is>
          <t>4 Tage</t>
        </is>
      </c>
      <c r="H18" s="149" t="inlineStr">
        <is>
          <t>10 Tage</t>
        </is>
      </c>
      <c r="I18" s="149" t="inlineStr">
        <is>
          <t>20 Tage</t>
        </is>
      </c>
      <c r="J18" s="147" t="inlineStr">
        <is>
          <t>Abrechnungsfähige Beratungstage je Kundenprojekt. Bestimmt zusammen mit dem Tagessatz den Erlös pro Consulting-Kunde.</t>
        </is>
      </c>
      <c r="K18" s="147" t="inlineStr">
        <is>
          <t>Gering: standardisierter Onboarding-Prozess (4 Tage). Stark: tiefe Prozessintegration im Packaging (20 Tage). Formel: Consulting-Umsatz/Kunde = Tagessatz × Tage/Kunde.</t>
        </is>
      </c>
      <c r="L18" s="150" t="n"/>
      <c r="M18" s="150" t="n"/>
    </row>
    <row r="19" ht="45" customHeight="1" s="83">
      <c r="A19" s="147" t="inlineStr">
        <is>
          <t>UMSATZ</t>
        </is>
      </c>
      <c r="B19" s="147" t="inlineStr">
        <is>
          <t>Consulting</t>
        </is>
      </c>
      <c r="C19" s="147" t="inlineStr">
        <is>
          <t>Consulting-Umsatz/Kunde</t>
        </is>
      </c>
      <c r="D19" s="147" t="inlineStr">
        <is>
          <t>4.000 – 30.000 €</t>
        </is>
      </c>
      <c r="E19" s="147" t="inlineStr">
        <is>
          <t>€/Kunde</t>
        </is>
      </c>
      <c r="F19" s="153" t="inlineStr">
        <is>
          <t>Berechnet</t>
        </is>
      </c>
      <c r="G19" s="149" t="inlineStr">
        <is>
          <t>4.000 €</t>
        </is>
      </c>
      <c r="H19" s="149" t="inlineStr">
        <is>
          <t>12.000 €</t>
        </is>
      </c>
      <c r="I19" s="149" t="inlineStr">
        <is>
          <t>30.000 €</t>
        </is>
      </c>
      <c r="J19" s="147" t="inlineStr">
        <is>
          <t>Erlös pro beauftragendem Kunden. Berechnung: Tagessatz × Tage/Kunde. Beeinflusst den gesamten Consulting-Umsatz-Stream.</t>
        </is>
      </c>
      <c r="K19" s="147" t="inlineStr">
        <is>
          <t>Gering: 1.000€ × 4 Tage = 4.000€/Kunde. Normal: 1.200€ × 10 Tage = 12.000€/Kunde. Stark: 1.500€ × 20 Tage = 30.000€/Kunde.</t>
        </is>
      </c>
      <c r="L19" s="150" t="n"/>
      <c r="M19" s="150" t="n"/>
    </row>
    <row r="20" ht="45" customHeight="1" s="83">
      <c r="A20" s="147" t="inlineStr">
        <is>
          <t>UMSATZ</t>
        </is>
      </c>
      <c r="B20" s="147" t="inlineStr">
        <is>
          <t>Consulting</t>
        </is>
      </c>
      <c r="C20" s="147" t="inlineStr">
        <is>
          <t>Consulting-Quote (% Kunden)</t>
        </is>
      </c>
      <c r="D20" s="147" t="inlineStr">
        <is>
          <t>20 – 100 %</t>
        </is>
      </c>
      <c r="E20" s="147" t="inlineStr">
        <is>
          <t>% Kunden</t>
        </is>
      </c>
      <c r="F20" s="154" t="inlineStr">
        <is>
          <t>Unabhängig</t>
        </is>
      </c>
      <c r="G20" s="149" t="inlineStr">
        <is>
          <t>20 % (Niedrig)</t>
        </is>
      </c>
      <c r="H20" s="149" t="inlineStr">
        <is>
          <t>50 % (Mittel)</t>
        </is>
      </c>
      <c r="I20" s="149" t="inlineStr">
        <is>
          <t>100 % (Hoch)</t>
        </is>
      </c>
      <c r="J20" s="147" t="inlineStr">
        <is>
          <t>Anteil der Neukunden, die Consulting beauftragen. UNABHÄNGIG vom strategischen Szenario einstellbar. Kombinierbar mit jedem der drei Szenarien (3×3-Matrix).</t>
        </is>
      </c>
      <c r="K20" s="147" t="inlineStr">
        <is>
          <t>Niedrig (20%): Self-Service-Kunden, minimaler Beratungsbedarf. Mittel (50%): Standardannahme, jeder zweite Kunde bucht Consulting. Hoch (100%): Alle Kunden benötigen Onboarding-Unterstützung.</t>
        </is>
      </c>
      <c r="L20" s="150" t="n"/>
      <c r="M20" s="150" t="n"/>
    </row>
    <row r="21" ht="45" customHeight="1" s="83">
      <c r="A21" s="147" t="inlineStr">
        <is>
          <t>UMSATZ</t>
        </is>
      </c>
      <c r="B21" s="147" t="inlineStr">
        <is>
          <t>Consulting</t>
        </is>
      </c>
      <c r="C21" s="147" t="inlineStr">
        <is>
          <t>Consulting-Startmonat</t>
        </is>
      </c>
      <c r="D21" s="147" t="inlineStr">
        <is>
          <t>Monat 3–6</t>
        </is>
      </c>
      <c r="E21" s="147" t="inlineStr">
        <is>
          <t>Monat</t>
        </is>
      </c>
      <c r="F21" s="148" t="inlineStr">
        <is>
          <t>Szenario</t>
        </is>
      </c>
      <c r="G21" s="149" t="inlineStr">
        <is>
          <t>Monat 3</t>
        </is>
      </c>
      <c r="H21" s="149" t="inlineStr">
        <is>
          <t>Monat 4</t>
        </is>
      </c>
      <c r="I21" s="149" t="inlineStr">
        <is>
          <t>Monat 6</t>
        </is>
      </c>
      <c r="J21" s="147" t="inlineStr">
        <is>
          <t>Monat des ersten Consulting-Umsatzes. Consulting startet als Enabler vor dem SaaS-Produkt.</t>
        </is>
      </c>
      <c r="K21" s="147" t="inlineStr">
        <is>
          <t>Gering: früher Start (Monat 3), da Automotive-Kunden sofort IT-Begleitung benötigen. Stark: späterer Start (Monat 6), da Packaging-Kunden länger Self-Service nutzen können.</t>
        </is>
      </c>
      <c r="L21" s="150" t="n"/>
      <c r="M21" s="150" t="n"/>
    </row>
    <row r="22" ht="18" customHeight="1" s="83">
      <c r="A22" s="155" t="inlineStr">
        <is>
          <t>KOSTEN (OpEx)</t>
        </is>
      </c>
    </row>
    <row r="23" ht="18" customHeight="1" s="83">
      <c r="A23" s="156" t="inlineStr">
        <is>
          <t>Personal &amp; Gehälter</t>
        </is>
      </c>
    </row>
    <row r="24" ht="45" customHeight="1" s="83">
      <c r="A24" s="157" t="inlineStr">
        <is>
          <t>KOSTEN</t>
        </is>
      </c>
      <c r="B24" s="157" t="inlineStr">
        <is>
          <t>Personal</t>
        </is>
      </c>
      <c r="C24" s="157" t="inlineStr">
        <is>
          <t>AI-Personal-Hebel</t>
        </is>
      </c>
      <c r="D24" s="157" t="inlineStr">
        <is>
          <t>0 / 6 / 99 Monate</t>
        </is>
      </c>
      <c r="E24" s="157" t="inlineStr">
        <is>
          <t>Monate Verzögerung</t>
        </is>
      </c>
      <c r="F24" s="148" t="inlineStr">
        <is>
          <t>Szenario</t>
        </is>
      </c>
      <c r="G24" s="149" t="inlineStr">
        <is>
          <t>0 (kein Effekt)</t>
        </is>
      </c>
      <c r="H24" s="149" t="inlineStr">
        <is>
          <t>+6 Monate</t>
        </is>
      </c>
      <c r="I24" s="149" t="inlineStr">
        <is>
          <t>Monat 99 (Elimination)</t>
        </is>
      </c>
      <c r="J24" s="157" t="inlineStr">
        <is>
          <t>Wichtigster Kostenhebel des Modells. Verschiebt den Einstellungszeitpunkt für KI-Hebel-Positionen oder eliminiert KI-Agent-Positionen vollständig.</t>
        </is>
      </c>
      <c r="K24" s="157" t="inlineStr">
        <is>
          <t>Fix-Positionen (CEO, CTO, Senior Eng. 1): immer zum Plantermin. KI-Hebel-Positionen (Junior Eng., Marketing): +6 Monate im Normal-Szenario. KI-Agent-Positionen (Sales Rep, Customer Success): Monat 99 im Stark-Szenario.</t>
        </is>
      </c>
      <c r="L24" s="150" t="n"/>
      <c r="M24" s="150" t="n"/>
    </row>
    <row r="25" ht="45" customHeight="1" s="83">
      <c r="A25" s="157" t="inlineStr">
        <is>
          <t>KOSTEN</t>
        </is>
      </c>
      <c r="B25" s="157" t="inlineStr">
        <is>
          <t>Personal</t>
        </is>
      </c>
      <c r="C25" s="157" t="inlineStr">
        <is>
          <t>CEO Gehalt (Brutto/Jahr)</t>
        </is>
      </c>
      <c r="D25" s="157" t="inlineStr">
        <is>
          <t>72.000 €</t>
        </is>
      </c>
      <c r="E25" s="157" t="inlineStr">
        <is>
          <t>€/Jahr</t>
        </is>
      </c>
      <c r="F25" s="151" t="inlineStr">
        <is>
          <t>Fest</t>
        </is>
      </c>
      <c r="G25" s="149" t="inlineStr">
        <is>
          <t>72.000 €</t>
        </is>
      </c>
      <c r="H25" s="149" t="inlineStr">
        <is>
          <t>72.000 €</t>
        </is>
      </c>
      <c r="I25" s="149" t="inlineStr">
        <is>
          <t>72.000 €</t>
        </is>
      </c>
      <c r="J25" s="157" t="inlineStr">
        <is>
          <t>Gründer-Gehalt in der Pre-Seed-Phase. Beeinflusst die monatliche Burn Rate direkt.</t>
        </is>
      </c>
      <c r="K25" s="157" t="inlineStr">
        <is>
          <t>Gründer-Satz Pre-Seed. Anpassung ab Seed-Runde auf Marktgehalt. Typisch Startup: 60.000–90.000 €/Jahr.</t>
        </is>
      </c>
      <c r="L25" s="150" t="n"/>
      <c r="M25" s="150" t="n"/>
    </row>
    <row r="26" ht="45" customHeight="1" s="83">
      <c r="A26" s="157" t="inlineStr">
        <is>
          <t>KOSTEN</t>
        </is>
      </c>
      <c r="B26" s="157" t="inlineStr">
        <is>
          <t>Personal</t>
        </is>
      </c>
      <c r="C26" s="157" t="inlineStr">
        <is>
          <t>CTO Gehalt (Brutto/Jahr)</t>
        </is>
      </c>
      <c r="D26" s="157" t="inlineStr">
        <is>
          <t>72.000 €</t>
        </is>
      </c>
      <c r="E26" s="157" t="inlineStr">
        <is>
          <t>€/Jahr</t>
        </is>
      </c>
      <c r="F26" s="151" t="inlineStr">
        <is>
          <t>Fest</t>
        </is>
      </c>
      <c r="G26" s="149" t="inlineStr">
        <is>
          <t>72.000 €</t>
        </is>
      </c>
      <c r="H26" s="149" t="inlineStr">
        <is>
          <t>72.000 €</t>
        </is>
      </c>
      <c r="I26" s="149" t="inlineStr">
        <is>
          <t>72.000 €</t>
        </is>
      </c>
      <c r="J26" s="157" t="inlineStr">
        <is>
          <t>Gründer-Gehalt in der Pre-Seed-Phase. Beeinflusst die monatliche Burn Rate direkt.</t>
        </is>
      </c>
      <c r="K26" s="157" t="inlineStr">
        <is>
          <t>Gründer-Satz Pre-Seed. Anpassung ab Seed-Runde auf Marktgehalt. Typisch Startup: 60.000–90.000 €/Jahr.</t>
        </is>
      </c>
      <c r="L26" s="150" t="n"/>
      <c r="M26" s="150" t="n"/>
    </row>
    <row r="27" ht="45" customHeight="1" s="83">
      <c r="A27" s="157" t="inlineStr">
        <is>
          <t>KOSTEN</t>
        </is>
      </c>
      <c r="B27" s="157" t="inlineStr">
        <is>
          <t>Personal</t>
        </is>
      </c>
      <c r="C27" s="157" t="inlineStr">
        <is>
          <t>Senior Engineer (1) Gehalt</t>
        </is>
      </c>
      <c r="D27" s="157" t="inlineStr">
        <is>
          <t>90.000 €</t>
        </is>
      </c>
      <c r="E27" s="157" t="inlineStr">
        <is>
          <t>€/Jahr</t>
        </is>
      </c>
      <c r="F27" s="151" t="inlineStr">
        <is>
          <t>Fest</t>
        </is>
      </c>
      <c r="G27" s="149" t="inlineStr">
        <is>
          <t>90.000 €</t>
        </is>
      </c>
      <c r="H27" s="149" t="inlineStr">
        <is>
          <t>90.000 €</t>
        </is>
      </c>
      <c r="I27" s="149" t="inlineStr">
        <is>
          <t>90.000 €</t>
        </is>
      </c>
      <c r="J27" s="157" t="inlineStr">
        <is>
          <t>Erste strategische Einstellung. Fix-Position, nicht durch AI-Personal-Hebel verzögerbar.</t>
        </is>
      </c>
      <c r="K27" s="157" t="inlineStr">
        <is>
          <t>Berliner Marktgehalt für Senior ML-Engineer. Typisch: 80.000–110.000 €/Jahr.</t>
        </is>
      </c>
      <c r="L27" s="150" t="n"/>
      <c r="M27" s="150" t="n"/>
    </row>
    <row r="28" ht="45" customHeight="1" s="83">
      <c r="A28" s="157" t="inlineStr">
        <is>
          <t>KOSTEN</t>
        </is>
      </c>
      <c r="B28" s="157" t="inlineStr">
        <is>
          <t>Personal</t>
        </is>
      </c>
      <c r="C28" s="157" t="inlineStr">
        <is>
          <t>Arbeitgeber-Nebenkosten</t>
        </is>
      </c>
      <c r="D28" s="157" t="inlineStr">
        <is>
          <t>20 %</t>
        </is>
      </c>
      <c r="E28" s="157" t="inlineStr">
        <is>
          <t>% auf Bruttogehalt</t>
        </is>
      </c>
      <c r="F28" s="151" t="inlineStr">
        <is>
          <t>Fest</t>
        </is>
      </c>
      <c r="G28" s="149" t="inlineStr">
        <is>
          <t>20 %</t>
        </is>
      </c>
      <c r="H28" s="149" t="inlineStr">
        <is>
          <t>20 %</t>
        </is>
      </c>
      <c r="I28" s="149" t="inlineStr">
        <is>
          <t>20 %</t>
        </is>
      </c>
      <c r="J28" s="157" t="inlineStr">
        <is>
          <t>Sozialversicherungsbeiträge des Arbeitgebers. Erhöht die effektiven Personalkosten um 20%.</t>
        </is>
      </c>
      <c r="K28" s="157" t="inlineStr">
        <is>
          <t>Standardsatz Deutschland 2026. Gesamtkosten pro MA = Bruttogehalt × 1,20.</t>
        </is>
      </c>
      <c r="L28" s="150" t="n"/>
      <c r="M28" s="150" t="n"/>
    </row>
    <row r="29" ht="45" customHeight="1" s="83">
      <c r="A29" s="157" t="inlineStr">
        <is>
          <t>KOSTEN</t>
        </is>
      </c>
      <c r="B29" s="157" t="inlineStr">
        <is>
          <t>Personal</t>
        </is>
      </c>
      <c r="C29" s="157" t="inlineStr">
        <is>
          <t>Onboarding-Aufwand</t>
        </is>
      </c>
      <c r="D29" s="157" t="inlineStr">
        <is>
          <t>30–120 Stunden</t>
        </is>
      </c>
      <c r="E29" s="157" t="inlineStr">
        <is>
          <t>Stunden/Kunde</t>
        </is>
      </c>
      <c r="F29" s="148" t="inlineStr">
        <is>
          <t>Szenario</t>
        </is>
      </c>
      <c r="G29" s="149" t="inlineStr">
        <is>
          <t>120 Stunden</t>
        </is>
      </c>
      <c r="H29" s="149" t="inlineStr">
        <is>
          <t>60 Stunden</t>
        </is>
      </c>
      <c r="I29" s="149" t="inlineStr">
        <is>
          <t>30 Stunden</t>
        </is>
      </c>
      <c r="J29" s="157" t="inlineStr">
        <is>
          <t>Interner Aufwand für das Kunden-Onboarding. Bindet Entwickler- und Support-Kapazität.</t>
        </is>
      </c>
      <c r="K29" s="157" t="inlineStr">
        <is>
          <t>Gering: hoher Aufwand bei alten IT-Systemen (Automotive). Stark: standardisierter Self-Service-Prozess (Packaging). Quelle: Lothar.bm-Transkripte.</t>
        </is>
      </c>
      <c r="L29" s="150" t="n"/>
      <c r="M29" s="150" t="n"/>
    </row>
    <row r="30" ht="18" customHeight="1" s="83">
      <c r="A30" s="158" t="inlineStr">
        <is>
          <t>Technologie &amp; Cloud</t>
        </is>
      </c>
    </row>
    <row r="31" ht="45" customHeight="1" s="83">
      <c r="A31" s="157" t="inlineStr">
        <is>
          <t>KOSTEN</t>
        </is>
      </c>
      <c r="B31" s="157" t="inlineStr">
        <is>
          <t>Technologie</t>
        </is>
      </c>
      <c r="C31" s="157" t="inlineStr">
        <is>
          <t>Cloud/Hosting Basis</t>
        </is>
      </c>
      <c r="D31" s="157" t="inlineStr">
        <is>
          <t>2.000 €</t>
        </is>
      </c>
      <c r="E31" s="157" t="inlineStr">
        <is>
          <t>€/Monat</t>
        </is>
      </c>
      <c r="F31" s="151" t="inlineStr">
        <is>
          <t>Fest</t>
        </is>
      </c>
      <c r="G31" s="149" t="inlineStr">
        <is>
          <t>2.000 €</t>
        </is>
      </c>
      <c r="H31" s="149" t="inlineStr">
        <is>
          <t>2.000 €</t>
        </is>
      </c>
      <c r="I31" s="149" t="inlineStr">
        <is>
          <t>2.000 €</t>
        </is>
      </c>
      <c r="J31" s="157" t="inlineStr">
        <is>
          <t>Fixe monatliche Grundkosten für Cloud-Infrastruktur. Unabhängig von der Kundenzahl.</t>
        </is>
      </c>
      <c r="K31" s="157" t="inlineStr">
        <is>
          <t>AWS/Azure/GCP Grundkonfiguration. Steigt mit Kundenzahl über den Skalierungsfaktor.</t>
        </is>
      </c>
      <c r="L31" s="150" t="n"/>
      <c r="M31" s="150" t="n"/>
    </row>
    <row r="32" ht="45" customHeight="1" s="83">
      <c r="A32" s="157" t="inlineStr">
        <is>
          <t>KOSTEN</t>
        </is>
      </c>
      <c r="B32" s="157" t="inlineStr">
        <is>
          <t>Technologie</t>
        </is>
      </c>
      <c r="C32" s="157" t="inlineStr">
        <is>
          <t>Cloud-Skalierung pro Seat</t>
        </is>
      </c>
      <c r="D32" s="157" t="inlineStr">
        <is>
          <t>80 €</t>
        </is>
      </c>
      <c r="E32" s="157" t="inlineStr">
        <is>
          <t>€/Seat/Monat</t>
        </is>
      </c>
      <c r="F32" s="159" t="inlineStr">
        <is>
          <t>Skalierend</t>
        </is>
      </c>
      <c r="G32" s="149" t="inlineStr">
        <is>
          <t>80 €</t>
        </is>
      </c>
      <c r="H32" s="149" t="inlineStr">
        <is>
          <t>80 €</t>
        </is>
      </c>
      <c r="I32" s="149" t="inlineStr">
        <is>
          <t>80 €</t>
        </is>
      </c>
      <c r="J32" s="157" t="inlineStr">
        <is>
          <t>Variable Cloud-Kosten pro aktivem Seat. Wächst proportional zur Kundenbasis (szenarioabhängig).</t>
        </is>
      </c>
      <c r="K32" s="157" t="inlineStr">
        <is>
          <t>Gesamte Cloud-Kosten = Basis + (Seats × 80€). Im Stark-Szenario entstehen durch mehr Seats höhere Gesamtkosten.</t>
        </is>
      </c>
      <c r="L32" s="150" t="n"/>
      <c r="M32" s="150" t="n"/>
    </row>
    <row r="33" ht="45" customHeight="1" s="83">
      <c r="A33" s="157" t="inlineStr">
        <is>
          <t>KOSTEN</t>
        </is>
      </c>
      <c r="B33" s="157" t="inlineStr">
        <is>
          <t>Technologie</t>
        </is>
      </c>
      <c r="C33" s="157" t="inlineStr">
        <is>
          <t>AI/ML APIs Basis</t>
        </is>
      </c>
      <c r="D33" s="157" t="inlineStr">
        <is>
          <t>2.000 €</t>
        </is>
      </c>
      <c r="E33" s="157" t="inlineStr">
        <is>
          <t>€/Monat</t>
        </is>
      </c>
      <c r="F33" s="151" t="inlineStr">
        <is>
          <t>Fest</t>
        </is>
      </c>
      <c r="G33" s="149" t="inlineStr">
        <is>
          <t>2.000 €</t>
        </is>
      </c>
      <c r="H33" s="149" t="inlineStr">
        <is>
          <t>2.000 €</t>
        </is>
      </c>
      <c r="I33" s="149" t="inlineStr">
        <is>
          <t>2.000 €</t>
        </is>
      </c>
      <c r="J33" s="157" t="inlineStr">
        <is>
          <t>Monatliche Grundkosten für KI-API-Nutzung (OpenAI/Anthropic/Frontier Models).</t>
        </is>
      </c>
      <c r="K33" s="157" t="inlineStr">
        <is>
          <t>Nutzung von GPT-5/Claude für Design-Logic. Wächst mit 8%/Monat proportional zur Nutzungsintensität.</t>
        </is>
      </c>
      <c r="L33" s="150" t="n"/>
      <c r="M33" s="150" t="n"/>
    </row>
    <row r="34" ht="45" customHeight="1" s="83">
      <c r="A34" s="157" t="inlineStr">
        <is>
          <t>KOSTEN</t>
        </is>
      </c>
      <c r="B34" s="157" t="inlineStr">
        <is>
          <t>Technologie</t>
        </is>
      </c>
      <c r="C34" s="157" t="inlineStr">
        <is>
          <t>AI-Kosten Wachstum/Monat</t>
        </is>
      </c>
      <c r="D34" s="157" t="inlineStr">
        <is>
          <t>8 %</t>
        </is>
      </c>
      <c r="E34" s="157" t="inlineStr">
        <is>
          <t>% / Monat</t>
        </is>
      </c>
      <c r="F34" s="151" t="inlineStr">
        <is>
          <t>Fest</t>
        </is>
      </c>
      <c r="G34" s="149" t="inlineStr">
        <is>
          <t>8 %</t>
        </is>
      </c>
      <c r="H34" s="149" t="inlineStr">
        <is>
          <t>8 %</t>
        </is>
      </c>
      <c r="I34" s="149" t="inlineStr">
        <is>
          <t>8 %</t>
        </is>
      </c>
      <c r="J34" s="157" t="inlineStr">
        <is>
          <t>Monatliche Steigerungsrate der AI/ML-API-Kosten. Skaliert proportional zur Nutzung und Datentiefe.</t>
        </is>
      </c>
      <c r="K34" s="157" t="inlineStr">
        <is>
          <t>Skalierung proportional zur Nutzung und Datentiefe. Kann durch Open-Source-Modelle reduziert werden.</t>
        </is>
      </c>
      <c r="L34" s="150" t="n"/>
      <c r="M34" s="150" t="n"/>
    </row>
    <row r="35" ht="45" customHeight="1" s="83">
      <c r="A35" s="157" t="inlineStr">
        <is>
          <t>KOSTEN</t>
        </is>
      </c>
      <c r="B35" s="157" t="inlineStr">
        <is>
          <t>Technologie</t>
        </is>
      </c>
      <c r="C35" s="157" t="inlineStr">
        <is>
          <t>SaaS Tools intern (Basis)</t>
        </is>
      </c>
      <c r="D35" s="157" t="inlineStr">
        <is>
          <t>400 €</t>
        </is>
      </c>
      <c r="E35" s="157" t="inlineStr">
        <is>
          <t>€/Monat</t>
        </is>
      </c>
      <c r="F35" s="151" t="inlineStr">
        <is>
          <t>Fest</t>
        </is>
      </c>
      <c r="G35" s="149" t="inlineStr">
        <is>
          <t>400 €</t>
        </is>
      </c>
      <c r="H35" s="149" t="inlineStr">
        <is>
          <t>400 €</t>
        </is>
      </c>
      <c r="I35" s="149" t="inlineStr">
        <is>
          <t>400 €</t>
        </is>
      </c>
      <c r="J35" s="157" t="inlineStr">
        <is>
          <t>Fixe monatliche Kosten für interne Tools (Slack, Notion, GitHub etc.).</t>
        </is>
      </c>
      <c r="K35" s="157" t="inlineStr">
        <is>
          <t>Standardpaket für Tech-Startups. Wächst mit Mitarbeiterzahl über den Pro-MA-Satz.</t>
        </is>
      </c>
      <c r="L35" s="150" t="n"/>
      <c r="M35" s="150" t="n"/>
    </row>
    <row r="36" ht="45" customHeight="1" s="83">
      <c r="A36" s="157" t="inlineStr">
        <is>
          <t>KOSTEN</t>
        </is>
      </c>
      <c r="B36" s="157" t="inlineStr">
        <is>
          <t>Technologie</t>
        </is>
      </c>
      <c r="C36" s="157" t="inlineStr">
        <is>
          <t>SaaS Tools pro Mitarbeiter</t>
        </is>
      </c>
      <c r="D36" s="157" t="inlineStr">
        <is>
          <t>100 €</t>
        </is>
      </c>
      <c r="E36" s="157" t="inlineStr">
        <is>
          <t>€/MA/Monat</t>
        </is>
      </c>
      <c r="F36" s="159" t="inlineStr">
        <is>
          <t>Skalierend</t>
        </is>
      </c>
      <c r="G36" s="149" t="inlineStr">
        <is>
          <t>100 €</t>
        </is>
      </c>
      <c r="H36" s="149" t="inlineStr">
        <is>
          <t>100 €</t>
        </is>
      </c>
      <c r="I36" s="149" t="inlineStr">
        <is>
          <t>100 €</t>
        </is>
      </c>
      <c r="J36" s="157" t="inlineStr">
        <is>
          <t>Variable Tool-Kosten pro Mitarbeiter. Inkl. KI-Coding-Tools (Copilot/Cursor).</t>
        </is>
      </c>
      <c r="K36" s="157" t="inlineStr">
        <is>
          <t>Gesamte Tool-Kosten = Basis + (MAs × 100€). Im Gering-Szenario (mehr MAs) entstehen höhere Gesamtkosten.</t>
        </is>
      </c>
      <c r="L36" s="150" t="n"/>
      <c r="M36" s="150" t="n"/>
    </row>
    <row r="37" ht="45" customHeight="1" s="83">
      <c r="A37" s="157" t="inlineStr">
        <is>
          <t>KOSTEN</t>
        </is>
      </c>
      <c r="B37" s="157" t="inlineStr">
        <is>
          <t>Technologie</t>
        </is>
      </c>
      <c r="C37" s="157" t="inlineStr">
        <is>
          <t>Sicherheit &amp; Compliance</t>
        </is>
      </c>
      <c r="D37" s="157" t="inlineStr">
        <is>
          <t>3.500 €</t>
        </is>
      </c>
      <c r="E37" s="157" t="inlineStr">
        <is>
          <t>€/Monat</t>
        </is>
      </c>
      <c r="F37" s="151" t="inlineStr">
        <is>
          <t>Fest</t>
        </is>
      </c>
      <c r="G37" s="149" t="inlineStr">
        <is>
          <t>3.500 €</t>
        </is>
      </c>
      <c r="H37" s="149" t="inlineStr">
        <is>
          <t>3.500 €</t>
        </is>
      </c>
      <c r="I37" s="149" t="inlineStr">
        <is>
          <t>3.500 €</t>
        </is>
      </c>
      <c r="J37" s="157" t="inlineStr">
        <is>
          <t>Monatliche Kosten für Security-Tools und Compliance-Monitoring. Kritisch für TISAX-Zertifizierung im Automotive-Bereich.</t>
        </is>
      </c>
      <c r="K37" s="157" t="inlineStr">
        <is>
          <t>Puffer für TISAX-Audits und laufendes Compliance-Monitoring. Besonders relevant im Gering-Szenario (Automotive-Fokus).</t>
        </is>
      </c>
      <c r="L37" s="150" t="n"/>
      <c r="M37" s="150" t="n"/>
    </row>
    <row r="38" ht="18" customHeight="1" s="83">
      <c r="A38" s="160" t="inlineStr">
        <is>
          <t>Marketing &amp; Vertrieb</t>
        </is>
      </c>
    </row>
    <row r="39" ht="45" customHeight="1" s="83">
      <c r="A39" s="157" t="inlineStr">
        <is>
          <t>KOSTEN</t>
        </is>
      </c>
      <c r="B39" s="157" t="inlineStr">
        <is>
          <t>Marketing &amp; Vertrieb</t>
        </is>
      </c>
      <c r="C39" s="157" t="inlineStr">
        <is>
          <t>Paid Ads Budget (Initial)</t>
        </is>
      </c>
      <c r="D39" s="157" t="inlineStr">
        <is>
          <t>1.000 €</t>
        </is>
      </c>
      <c r="E39" s="157" t="inlineStr">
        <is>
          <t>€/Monat</t>
        </is>
      </c>
      <c r="F39" s="151" t="inlineStr">
        <is>
          <t>Fest</t>
        </is>
      </c>
      <c r="G39" s="149" t="inlineStr">
        <is>
          <t>1.000 €</t>
        </is>
      </c>
      <c r="H39" s="149" t="inlineStr">
        <is>
          <t>1.000 €</t>
        </is>
      </c>
      <c r="I39" s="149" t="inlineStr">
        <is>
          <t>1.000 €</t>
        </is>
      </c>
      <c r="J39" s="157" t="inlineStr">
        <is>
          <t>Monatliches Startbudget für bezahlte Werbung (Google, LinkedIn). Wächst mit 8%/Monat.</t>
        </is>
      </c>
      <c r="K39" s="157" t="inlineStr">
        <is>
          <t>Fokus eher auf Content/SEO im Industrie-Vertrieb. Skalierung mit Marktbekanntheit.</t>
        </is>
      </c>
      <c r="L39" s="150" t="n"/>
      <c r="M39" s="150" t="n"/>
    </row>
    <row r="40" ht="45" customHeight="1" s="83">
      <c r="A40" s="157" t="inlineStr">
        <is>
          <t>KOSTEN</t>
        </is>
      </c>
      <c r="B40" s="157" t="inlineStr">
        <is>
          <t>Marketing &amp; Vertrieb</t>
        </is>
      </c>
      <c r="C40" s="157" t="inlineStr">
        <is>
          <t>Content &amp; SEO</t>
        </is>
      </c>
      <c r="D40" s="157" t="inlineStr">
        <is>
          <t>2.500 €</t>
        </is>
      </c>
      <c r="E40" s="157" t="inlineStr">
        <is>
          <t>€/Monat</t>
        </is>
      </c>
      <c r="F40" s="151" t="inlineStr">
        <is>
          <t>Fest</t>
        </is>
      </c>
      <c r="G40" s="149" t="inlineStr">
        <is>
          <t>2.500 €</t>
        </is>
      </c>
      <c r="H40" s="149" t="inlineStr">
        <is>
          <t>2.500 €</t>
        </is>
      </c>
      <c r="I40" s="149" t="inlineStr">
        <is>
          <t>2.500 €</t>
        </is>
      </c>
      <c r="J40" s="157" t="inlineStr">
        <is>
          <t>Monatliche Kosten für Content-Marketing und SEO. Fokus auf Whitepaper zu ROI, TCO und DPP-Compliance.</t>
        </is>
      </c>
      <c r="K40" s="157" t="inlineStr">
        <is>
          <t>Wichtiger Kanal für B2B-SaaS im Industriebereich. Langfristiger Aufbau von organischem Traffic.</t>
        </is>
      </c>
      <c r="L40" s="150" t="n"/>
      <c r="M40" s="150" t="n"/>
    </row>
    <row r="41" ht="45" customHeight="1" s="83">
      <c r="A41" s="157" t="inlineStr">
        <is>
          <t>KOSTEN</t>
        </is>
      </c>
      <c r="B41" s="157" t="inlineStr">
        <is>
          <t>Marketing &amp; Vertrieb</t>
        </is>
      </c>
      <c r="C41" s="157" t="inlineStr">
        <is>
          <t>Events &amp; Messen/Jahr</t>
        </is>
      </c>
      <c r="D41" s="157" t="inlineStr">
        <is>
          <t>50.000 €</t>
        </is>
      </c>
      <c r="E41" s="157" t="inlineStr">
        <is>
          <t>€/Jahr</t>
        </is>
      </c>
      <c r="F41" s="151" t="inlineStr">
        <is>
          <t>Fest</t>
        </is>
      </c>
      <c r="G41" s="149" t="inlineStr">
        <is>
          <t>50.000 €</t>
        </is>
      </c>
      <c r="H41" s="149" t="inlineStr">
        <is>
          <t>50.000 €</t>
        </is>
      </c>
      <c r="I41" s="149" t="inlineStr">
        <is>
          <t>50.000 €</t>
        </is>
      </c>
      <c r="J41" s="157" t="inlineStr">
        <is>
          <t>Jährliche Kosten für Messeauftritte und Events. Wichtiger Kanal für Enterprise-Kundenkontakte.</t>
        </is>
      </c>
      <c r="K41" s="157" t="inlineStr">
        <is>
          <t>Präsenz auf Leitmessen (Hannover Messe, SPS). Hoher Posten – Überprüfung der Priorität empfohlen.</t>
        </is>
      </c>
      <c r="L41" s="150" t="n"/>
      <c r="M41" s="150" t="n"/>
    </row>
    <row r="42" ht="45" customHeight="1" s="83">
      <c r="A42" s="157" t="inlineStr">
        <is>
          <t>KOSTEN</t>
        </is>
      </c>
      <c r="B42" s="157" t="inlineStr">
        <is>
          <t>Marketing &amp; Vertrieb</t>
        </is>
      </c>
      <c r="C42" s="157" t="inlineStr">
        <is>
          <t>Sales Provision</t>
        </is>
      </c>
      <c r="D42" s="157" t="inlineStr">
        <is>
          <t>12 %</t>
        </is>
      </c>
      <c r="E42" s="157" t="inlineStr">
        <is>
          <t>% vom neuen ARR</t>
        </is>
      </c>
      <c r="F42" s="159" t="inlineStr">
        <is>
          <t>Skalierend</t>
        </is>
      </c>
      <c r="G42" s="149" t="inlineStr">
        <is>
          <t>12 %</t>
        </is>
      </c>
      <c r="H42" s="149" t="inlineStr">
        <is>
          <t>12 %</t>
        </is>
      </c>
      <c r="I42" s="149" t="inlineStr">
        <is>
          <t>12 %</t>
        </is>
      </c>
      <c r="J42" s="157" t="inlineStr">
        <is>
          <t>Vertriebsprovision als Anteil am neu gewonnenen ARR. Skaliert direkt mit dem Umsatzwachstum.</t>
        </is>
      </c>
      <c r="K42" s="157" t="inlineStr">
        <is>
          <t>Anreiz für Verkäufer. Im Stark-Szenario (höherer ARR) entstehen höhere absolute Provisionskosten.</t>
        </is>
      </c>
      <c r="L42" s="150" t="n"/>
      <c r="M42" s="150" t="n"/>
    </row>
    <row r="43" ht="45" customHeight="1" s="83">
      <c r="A43" s="157" t="inlineStr">
        <is>
          <t>KOSTEN</t>
        </is>
      </c>
      <c r="B43" s="157" t="inlineStr">
        <is>
          <t>Marketing &amp; Vertrieb</t>
        </is>
      </c>
      <c r="C43" s="157" t="inlineStr">
        <is>
          <t>Reisekosten Sales/MA/Monat</t>
        </is>
      </c>
      <c r="D43" s="157" t="inlineStr">
        <is>
          <t>700 €</t>
        </is>
      </c>
      <c r="E43" s="157" t="inlineStr">
        <is>
          <t>€/MA/Monat</t>
        </is>
      </c>
      <c r="F43" s="159" t="inlineStr">
        <is>
          <t>Skalierend</t>
        </is>
      </c>
      <c r="G43" s="149" t="inlineStr">
        <is>
          <t>700 €</t>
        </is>
      </c>
      <c r="H43" s="149" t="inlineStr">
        <is>
          <t>700 €</t>
        </is>
      </c>
      <c r="I43" s="149" t="inlineStr">
        <is>
          <t>700 €</t>
        </is>
      </c>
      <c r="J43" s="157" t="inlineStr">
        <is>
          <t>Monatliche Reisekosten pro Sales-Mitarbeiter. Notwendig für Werksbegehungen und Kundenbesuche.</t>
        </is>
      </c>
      <c r="K43" s="157" t="inlineStr">
        <is>
          <t>Besonders relevant im Automotive-Szenario (Gering) mit physischen Vor-Ort-Terminen bei Tier-1-Zulieferern.</t>
        </is>
      </c>
      <c r="L43" s="150" t="n"/>
      <c r="M43" s="150" t="n"/>
    </row>
    <row r="44" ht="18" customHeight="1" s="83">
      <c r="A44" s="155" t="inlineStr">
        <is>
          <t>Professional Services &amp; Sonstiges</t>
        </is>
      </c>
    </row>
    <row r="45" ht="45" customHeight="1" s="83">
      <c r="A45" s="157" t="inlineStr">
        <is>
          <t>KOSTEN</t>
        </is>
      </c>
      <c r="B45" s="157" t="inlineStr">
        <is>
          <t>Professional Services</t>
        </is>
      </c>
      <c r="C45" s="157" t="inlineStr">
        <is>
          <t>Rechtsanwalt (Basis/Jahr)</t>
        </is>
      </c>
      <c r="D45" s="157" t="inlineStr">
        <is>
          <t>8.000 €</t>
        </is>
      </c>
      <c r="E45" s="157" t="inlineStr">
        <is>
          <t>€/Jahr</t>
        </is>
      </c>
      <c r="F45" s="151" t="inlineStr">
        <is>
          <t>Fest</t>
        </is>
      </c>
      <c r="G45" s="149" t="inlineStr">
        <is>
          <t>8.000 €</t>
        </is>
      </c>
      <c r="H45" s="149" t="inlineStr">
        <is>
          <t>8.000 €</t>
        </is>
      </c>
      <c r="I45" s="149" t="inlineStr">
        <is>
          <t>8.000 €</t>
        </is>
      </c>
      <c r="J45" s="157" t="inlineStr">
        <is>
          <t>Laufende Rechtsberatung (Verträge, IP, Arbeitsrecht). Basiskosten unabhängig von Finanzierungsrunden.</t>
        </is>
      </c>
      <c r="K45" s="157" t="inlineStr">
        <is>
          <t>Standard für Tech-Startups in Deutschland. Zusätzlich: 15.000€ pro Finanzierungsrunde.</t>
        </is>
      </c>
      <c r="L45" s="150" t="n"/>
      <c r="M45" s="150" t="n"/>
    </row>
    <row r="46" ht="45" customHeight="1" s="83">
      <c r="A46" s="157" t="inlineStr">
        <is>
          <t>KOSTEN</t>
        </is>
      </c>
      <c r="B46" s="157" t="inlineStr">
        <is>
          <t>Professional Services</t>
        </is>
      </c>
      <c r="C46" s="157" t="inlineStr">
        <is>
          <t>Steuerberater</t>
        </is>
      </c>
      <c r="D46" s="157" t="inlineStr">
        <is>
          <t>800 €</t>
        </is>
      </c>
      <c r="E46" s="157" t="inlineStr">
        <is>
          <t>€/Monat</t>
        </is>
      </c>
      <c r="F46" s="151" t="inlineStr">
        <is>
          <t>Fest</t>
        </is>
      </c>
      <c r="G46" s="149" t="inlineStr">
        <is>
          <t>800 €</t>
        </is>
      </c>
      <c r="H46" s="149" t="inlineStr">
        <is>
          <t>800 €</t>
        </is>
      </c>
      <c r="I46" s="149" t="inlineStr">
        <is>
          <t>800 €</t>
        </is>
      </c>
      <c r="J46" s="157" t="inlineStr">
        <is>
          <t>Monatliche Kosten für laufende Buchhaltung und Steuerberatung.</t>
        </is>
      </c>
      <c r="K46" s="157" t="inlineStr">
        <is>
          <t>Standard für GmbH in Deutschland. Steigt mit Komplexität der Finanzstruktur.</t>
        </is>
      </c>
      <c r="L46" s="150" t="n"/>
      <c r="M46" s="150" t="n"/>
    </row>
    <row r="47" ht="45" customHeight="1" s="83">
      <c r="A47" s="157" t="inlineStr">
        <is>
          <t>KOSTEN</t>
        </is>
      </c>
      <c r="B47" s="157" t="inlineStr">
        <is>
          <t>Professional Services</t>
        </is>
      </c>
      <c r="C47" s="157" t="inlineStr">
        <is>
          <t>Wirtschaftsprüfer (ab Monat 17)</t>
        </is>
      </c>
      <c r="D47" s="157" t="inlineStr">
        <is>
          <t>12.000 €</t>
        </is>
      </c>
      <c r="E47" s="157" t="inlineStr">
        <is>
          <t>€/Jahr</t>
        </is>
      </c>
      <c r="F47" s="151" t="inlineStr">
        <is>
          <t>Fest</t>
        </is>
      </c>
      <c r="G47" s="149" t="inlineStr">
        <is>
          <t>–</t>
        </is>
      </c>
      <c r="H47" s="149" t="inlineStr">
        <is>
          <t>12.000 €</t>
        </is>
      </c>
      <c r="I47" s="149" t="inlineStr">
        <is>
          <t>12.000 €</t>
        </is>
      </c>
      <c r="J47" s="157" t="inlineStr">
        <is>
          <t>Jährliche Kosten für Wirtschaftsprüfung. Pflicht ab Series A für institutionelle Investoren.</t>
        </is>
      </c>
      <c r="K47" s="157" t="inlineStr">
        <is>
          <t>Start mit tatsächlicher Seed-Phase (Mitte 2027). Erst ab Monat 17 relevant.</t>
        </is>
      </c>
      <c r="L47" s="150" t="n"/>
      <c r="M47" s="150" t="n"/>
    </row>
    <row r="48" ht="45" customHeight="1" s="83">
      <c r="A48" s="157" t="inlineStr">
        <is>
          <t>KOSTEN</t>
        </is>
      </c>
      <c r="B48" s="157" t="inlineStr">
        <is>
          <t>Sonstiges</t>
        </is>
      </c>
      <c r="C48" s="157" t="inlineStr">
        <is>
          <t>Weiterbildung/MA/Jahr</t>
        </is>
      </c>
      <c r="D48" s="157" t="inlineStr">
        <is>
          <t>1.500 €</t>
        </is>
      </c>
      <c r="E48" s="157" t="inlineStr">
        <is>
          <t>€/MA/Jahr</t>
        </is>
      </c>
      <c r="F48" s="159" t="inlineStr">
        <is>
          <t>Skalierend</t>
        </is>
      </c>
      <c r="G48" s="149" t="inlineStr">
        <is>
          <t>1.500 €</t>
        </is>
      </c>
      <c r="H48" s="149" t="inlineStr">
        <is>
          <t>1.500 €</t>
        </is>
      </c>
      <c r="I48" s="149" t="inlineStr">
        <is>
          <t>1.500 €</t>
        </is>
      </c>
      <c r="J48" s="157" t="inlineStr">
        <is>
          <t>Jährliche Weiterbildungskosten pro Mitarbeiter. Besonders wichtig im ML/KI-Bereich.</t>
        </is>
      </c>
      <c r="K48" s="157" t="inlineStr">
        <is>
          <t>Konferenzen, Online-Kurse, Zertifizierungen. Gesamtkosten skalieren mit Mitarbeiterzahl.</t>
        </is>
      </c>
      <c r="L48" s="150" t="n"/>
      <c r="M48" s="150" t="n"/>
    </row>
    <row r="49" ht="45" customHeight="1" s="83">
      <c r="A49" s="157" t="inlineStr">
        <is>
          <t>KOSTEN</t>
        </is>
      </c>
      <c r="B49" s="157" t="inlineStr">
        <is>
          <t>Sonstiges</t>
        </is>
      </c>
      <c r="C49" s="157" t="inlineStr">
        <is>
          <t>Sonstiges / Puffer</t>
        </is>
      </c>
      <c r="D49" s="157" t="inlineStr">
        <is>
          <t>5 %</t>
        </is>
      </c>
      <c r="E49" s="157" t="inlineStr">
        <is>
          <t>% der OpEx</t>
        </is>
      </c>
      <c r="F49" s="151" t="inlineStr">
        <is>
          <t>Fest</t>
        </is>
      </c>
      <c r="G49" s="149" t="inlineStr">
        <is>
          <t>5 %</t>
        </is>
      </c>
      <c r="H49" s="149" t="inlineStr">
        <is>
          <t>5 %</t>
        </is>
      </c>
      <c r="I49" s="149" t="inlineStr">
        <is>
          <t>5 %</t>
        </is>
      </c>
      <c r="J49" s="157" t="inlineStr">
        <is>
          <t>Puffer für ungeplante Ausgaben. Vorsichtsprinzip für unvorhergesehene Kosten.</t>
        </is>
      </c>
      <c r="K49" s="157" t="inlineStr">
        <is>
          <t>Standard-Puffer für Startup-Finanzplanung. Empfehlung: mindestens 5% der gesamten OpEx.</t>
        </is>
      </c>
      <c r="L49" s="150" t="n"/>
      <c r="M49" s="150" t="n"/>
    </row>
    <row r="50" ht="18" customHeight="1" s="83">
      <c r="A50" s="155" t="inlineStr">
        <is>
          <t>INVESTITIONEN (CapEx)</t>
        </is>
      </c>
    </row>
    <row r="51" ht="18" customHeight="1" s="83">
      <c r="A51" s="161" t="inlineStr">
        <is>
          <t>Hardware &amp; Ausstattung</t>
        </is>
      </c>
    </row>
    <row r="52" ht="45" customHeight="1" s="83">
      <c r="A52" s="162" t="inlineStr">
        <is>
          <t>CAPEX</t>
        </is>
      </c>
      <c r="B52" s="162" t="inlineStr">
        <is>
          <t>Hardware</t>
        </is>
      </c>
      <c r="C52" s="162" t="inlineStr">
        <is>
          <t>Laptop pro Mitarbeiter</t>
        </is>
      </c>
      <c r="D52" s="162" t="inlineStr">
        <is>
          <t>2.500 €</t>
        </is>
      </c>
      <c r="E52" s="162" t="inlineStr">
        <is>
          <t>€/MA (einmalig)</t>
        </is>
      </c>
      <c r="F52" s="159" t="inlineStr">
        <is>
          <t>Skalierend</t>
        </is>
      </c>
      <c r="G52" s="149" t="inlineStr">
        <is>
          <t>Hoch (mehr MAs)</t>
        </is>
      </c>
      <c r="H52" s="149" t="inlineStr">
        <is>
          <t>Mittel</t>
        </is>
      </c>
      <c r="I52" s="149" t="inlineStr">
        <is>
          <t>Niedrig (weniger MAs)</t>
        </is>
      </c>
      <c r="J52" s="162" t="inlineStr">
        <is>
          <t>Einmalige Investition bei jeder Neueinstellung. Gesamtvolumen skaliert direkt mit der Mitarbeiterzahl.</t>
        </is>
      </c>
      <c r="K52" s="162" t="inlineStr">
        <is>
          <t>High-End Hardware zwingend für KI-Entwicklung (lokale Inferenz). Im Stark-Szenario (KI-Agent-Positionen eliminiert) niedrigere Gesamtkosten.</t>
        </is>
      </c>
      <c r="L52" s="150" t="n"/>
      <c r="M52" s="150" t="n"/>
    </row>
    <row r="53" ht="45" customHeight="1" s="83">
      <c r="A53" s="162" t="inlineStr">
        <is>
          <t>CAPEX</t>
        </is>
      </c>
      <c r="B53" s="162" t="inlineStr">
        <is>
          <t>Hardware</t>
        </is>
      </c>
      <c r="C53" s="162" t="inlineStr">
        <is>
          <t>Monitor &amp; Peripherie pro MA</t>
        </is>
      </c>
      <c r="D53" s="162" t="inlineStr">
        <is>
          <t>800 €</t>
        </is>
      </c>
      <c r="E53" s="162" t="inlineStr">
        <is>
          <t>€/MA (einmalig)</t>
        </is>
      </c>
      <c r="F53" s="159" t="inlineStr">
        <is>
          <t>Skalierend</t>
        </is>
      </c>
      <c r="G53" s="149" t="inlineStr">
        <is>
          <t>Hoch (mehr MAs)</t>
        </is>
      </c>
      <c r="H53" s="149" t="inlineStr">
        <is>
          <t>Mittel</t>
        </is>
      </c>
      <c r="I53" s="149" t="inlineStr">
        <is>
          <t>Niedrig (weniger MAs)</t>
        </is>
      </c>
      <c r="J53" s="162" t="inlineStr">
        <is>
          <t>Einmalige Investition bei jeder Neueinstellung. Ergänzend zum Laptop-Budget.</t>
        </is>
      </c>
      <c r="K53" s="162" t="inlineStr">
        <is>
          <t>Standard-Setup für Tech-Mitarbeiter. Ersatz-Zyklus: 36 Monate.</t>
        </is>
      </c>
      <c r="L53" s="150" t="n"/>
      <c r="M53" s="150" t="n"/>
    </row>
    <row r="54" ht="45" customHeight="1" s="83">
      <c r="A54" s="162" t="inlineStr">
        <is>
          <t>CAPEX</t>
        </is>
      </c>
      <c r="B54" s="162" t="inlineStr">
        <is>
          <t>Hardware</t>
        </is>
      </c>
      <c r="C54" s="162" t="inlineStr">
        <is>
          <t>Ersatz-Zyklus</t>
        </is>
      </c>
      <c r="D54" s="162" t="inlineStr">
        <is>
          <t>36 Monate</t>
        </is>
      </c>
      <c r="E54" s="162" t="inlineStr">
        <is>
          <t>Monate</t>
        </is>
      </c>
      <c r="F54" s="151" t="inlineStr">
        <is>
          <t>Fest</t>
        </is>
      </c>
      <c r="G54" s="149" t="inlineStr">
        <is>
          <t>36 Monate</t>
        </is>
      </c>
      <c r="H54" s="149" t="inlineStr">
        <is>
          <t>36 Monate</t>
        </is>
      </c>
      <c r="I54" s="149" t="inlineStr">
        <is>
          <t>36 Monate</t>
        </is>
      </c>
      <c r="J54" s="162" t="inlineStr">
        <is>
          <t>Wiederkehrende Ersatzinvestition für Hardware. Gesamtvolumen skaliert mit der Mitarbeiterzahl.</t>
        </is>
      </c>
      <c r="K54" s="162" t="inlineStr">
        <is>
          <t>Branchenüblicher Turnus. Alternativ: 48 Monate bei geringerem Budget.</t>
        </is>
      </c>
      <c r="L54" s="150" t="n"/>
      <c r="M54" s="150" t="n"/>
    </row>
    <row r="55" ht="18" customHeight="1" s="83">
      <c r="A55" s="163" t="inlineStr">
        <is>
          <t>Büro &amp; Facilities</t>
        </is>
      </c>
    </row>
    <row r="56" ht="45" customHeight="1" s="83">
      <c r="A56" s="162" t="inlineStr">
        <is>
          <t>CAPEX</t>
        </is>
      </c>
      <c r="B56" s="162" t="inlineStr">
        <is>
          <t>Büro</t>
        </is>
      </c>
      <c r="C56" s="162" t="inlineStr">
        <is>
          <t>Büromiete (Initial)</t>
        </is>
      </c>
      <c r="D56" s="162" t="inlineStr">
        <is>
          <t>1.500 €</t>
        </is>
      </c>
      <c r="E56" s="162" t="inlineStr">
        <is>
          <t>€/Monat</t>
        </is>
      </c>
      <c r="F56" s="151" t="inlineStr">
        <is>
          <t>Fest</t>
        </is>
      </c>
      <c r="G56" s="149" t="inlineStr">
        <is>
          <t>1.500 €</t>
        </is>
      </c>
      <c r="H56" s="149" t="inlineStr">
        <is>
          <t>1.500 €</t>
        </is>
      </c>
      <c r="I56" s="149" t="inlineStr">
        <is>
          <t>1.500 €</t>
        </is>
      </c>
      <c r="J56" s="162" t="inlineStr">
        <is>
          <t>Monatliche Miete für Coworking-Space in der Anfangsphase. Wechselt ab Monat 18 auf größeres Büro.</t>
        </is>
      </c>
      <c r="K56" s="162" t="inlineStr">
        <is>
          <t>Coworking-Fokus in der ersten Phase (Berlin Mitte/Kreuzberg). Shift analog zur Einstellung von Solution Architects.</t>
        </is>
      </c>
      <c r="L56" s="150" t="n"/>
      <c r="M56" s="150" t="n"/>
    </row>
    <row r="57" ht="45" customHeight="1" s="83">
      <c r="A57" s="162" t="inlineStr">
        <is>
          <t>CAPEX</t>
        </is>
      </c>
      <c r="B57" s="162" t="inlineStr">
        <is>
          <t>Büro</t>
        </is>
      </c>
      <c r="C57" s="162" t="inlineStr">
        <is>
          <t>Büromiete (nach Upgrade, ab M18)</t>
        </is>
      </c>
      <c r="D57" s="162" t="inlineStr">
        <is>
          <t>4.500 €</t>
        </is>
      </c>
      <c r="E57" s="162" t="inlineStr">
        <is>
          <t>€/Monat</t>
        </is>
      </c>
      <c r="F57" s="151" t="inlineStr">
        <is>
          <t>Fest</t>
        </is>
      </c>
      <c r="G57" s="149" t="inlineStr">
        <is>
          <t>4.500 €</t>
        </is>
      </c>
      <c r="H57" s="149" t="inlineStr">
        <is>
          <t>4.500 €</t>
        </is>
      </c>
      <c r="I57" s="149" t="inlineStr">
        <is>
          <t>4.500 €</t>
        </is>
      </c>
      <c r="J57" s="162" t="inlineStr">
        <is>
          <t>Monatliche Miete nach dem Büro-Upgrade ab Monat 18. Für ca. 15–20 Personen ausgelegt.</t>
        </is>
      </c>
      <c r="K57" s="162" t="inlineStr">
        <is>
          <t>Berliner Marktpreise für Bürofläche. Upgrade-Zeitpunkt kann szenariospezifisch angepasst werden.</t>
        </is>
      </c>
      <c r="L57" s="150" t="n"/>
      <c r="M57" s="150" t="n"/>
    </row>
    <row r="58" ht="45" customHeight="1" s="83">
      <c r="A58" s="162" t="inlineStr">
        <is>
          <t>CAPEX</t>
        </is>
      </c>
      <c r="B58" s="162" t="inlineStr">
        <is>
          <t>Büro</t>
        </is>
      </c>
      <c r="C58" s="162" t="inlineStr">
        <is>
          <t>Büroausstattung (Initial)</t>
        </is>
      </c>
      <c r="D58" s="162" t="inlineStr">
        <is>
          <t>5.000 €</t>
        </is>
      </c>
      <c r="E58" s="162" t="inlineStr">
        <is>
          <t>€ (einmalig)</t>
        </is>
      </c>
      <c r="F58" s="151" t="inlineStr">
        <is>
          <t>Fest</t>
        </is>
      </c>
      <c r="G58" s="149" t="inlineStr">
        <is>
          <t>5.000 €</t>
        </is>
      </c>
      <c r="H58" s="149" t="inlineStr">
        <is>
          <t>5.000 €</t>
        </is>
      </c>
      <c r="I58" s="149" t="inlineStr">
        <is>
          <t>5.000 €</t>
        </is>
      </c>
      <c r="J58" s="162" t="inlineStr">
        <is>
          <t>Einmalige Investition für Möbel und IT-Grundausstattung. Fällt beim Start an.</t>
        </is>
      </c>
      <c r="K58" s="162" t="inlineStr">
        <is>
          <t>Standard-Erstausstattung für kleines Tech-Team. Kein szenarioabhängiger Einfluss.</t>
        </is>
      </c>
      <c r="L58" s="150" t="n"/>
      <c r="M58" s="150" t="n"/>
    </row>
    <row r="59" ht="18" customHeight="1" s="83">
      <c r="A59" s="164" t="inlineStr">
        <is>
          <t>NEUE / POTENZIELLE SZENARIEN</t>
        </is>
      </c>
    </row>
    <row r="60" ht="18" customHeight="1" s="83">
      <c r="A60" s="164" t="inlineStr">
        <is>
          <t>Umsatz – Neue Treiber</t>
        </is>
      </c>
    </row>
    <row r="61" ht="45" customHeight="1" s="83">
      <c r="A61" s="165" t="inlineStr">
        <is>
          <t>NEU</t>
        </is>
      </c>
      <c r="B61" s="166" t="inlineStr">
        <is>
          <t>SaaS-Pricing</t>
        </is>
      </c>
      <c r="C61" s="166" t="inlineStr">
        <is>
          <t>Produkt-Tiers (Basic/Pro/Enterprise)</t>
        </is>
      </c>
      <c r="D61" s="166" t="inlineStr">
        <is>
          <t>Noch nicht modelliert</t>
        </is>
      </c>
      <c r="E61" s="166" t="inlineStr">
        <is>
          <t>–</t>
        </is>
      </c>
      <c r="F61" s="167" t="inlineStr">
        <is>
          <t>Zu definieren</t>
        </is>
      </c>
      <c r="G61" s="168" t="inlineStr">
        <is>
          <t>Basic: ~5.000 €/J</t>
        </is>
      </c>
      <c r="H61" s="168" t="inlineStr">
        <is>
          <t>Pro: ~12.000 €/J</t>
        </is>
      </c>
      <c r="I61" s="168" t="inlineStr">
        <is>
          <t>Enterprise: ~25.000 €/J</t>
        </is>
      </c>
      <c r="J61" s="166" t="inlineStr">
        <is>
          <t>Gestaffelte Pakete mit unterschiedlichen Features und Preisen. Erhöht die Preisflexibilität und Marktabdeckung.</t>
        </is>
      </c>
      <c r="K61" s="166" t="inlineStr">
        <is>
          <t>Noch nicht im Modell. Würde den Startpreis-Parameter durch eine Tier-Verteilung ersetzen.</t>
        </is>
      </c>
      <c r="L61" s="150" t="n"/>
      <c r="M61" s="150" t="n"/>
    </row>
    <row r="62" ht="45" customHeight="1" s="83">
      <c r="A62" s="165" t="inlineStr">
        <is>
          <t>NEU</t>
        </is>
      </c>
      <c r="B62" s="166" t="inlineStr">
        <is>
          <t>SaaS-Umsatz</t>
        </is>
      </c>
      <c r="C62" s="166" t="inlineStr">
        <is>
          <t>Upselling-Effizienz (NRR-Varianten)</t>
        </is>
      </c>
      <c r="D62" s="166" t="inlineStr">
        <is>
          <t>NRR: 125 % (fest)</t>
        </is>
      </c>
      <c r="E62" s="166" t="inlineStr">
        <is>
          <t>%</t>
        </is>
      </c>
      <c r="F62" s="167" t="inlineStr">
        <is>
          <t>Zu definieren</t>
        </is>
      </c>
      <c r="G62" s="168" t="inlineStr">
        <is>
          <t>NRR: 105 %</t>
        </is>
      </c>
      <c r="H62" s="168" t="inlineStr">
        <is>
          <t>NRR: 115 %</t>
        </is>
      </c>
      <c r="I62" s="168" t="inlineStr">
        <is>
          <t>NRR: 130 %</t>
        </is>
      </c>
      <c r="J62" s="166" t="inlineStr">
        <is>
          <t>Unterschiedliche NRR-Szenarien je nach Upselling-Erfolg. Direkter Einfluss auf den langfristigen ARR.</t>
        </is>
      </c>
      <c r="K62" s="166" t="inlineStr">
        <is>
          <t>Aktuell als fester Wert (125%) modelliert. Szenariofähig machen würde die Sensitivitätsanalyse verbessern.</t>
        </is>
      </c>
      <c r="L62" s="150" t="n"/>
      <c r="M62" s="150" t="n"/>
    </row>
    <row r="63" ht="45" customHeight="1" s="83">
      <c r="A63" s="165" t="inlineStr">
        <is>
          <t>NEU</t>
        </is>
      </c>
      <c r="B63" s="166" t="inlineStr">
        <is>
          <t>SaaS-Umsatz</t>
        </is>
      </c>
      <c r="C63" s="166" t="inlineStr">
        <is>
          <t>Churn-Varianten</t>
        </is>
      </c>
      <c r="D63" s="166" t="inlineStr">
        <is>
          <t>Churn: 6 % (fest)</t>
        </is>
      </c>
      <c r="E63" s="166" t="inlineStr">
        <is>
          <t>% p.a.</t>
        </is>
      </c>
      <c r="F63" s="167" t="inlineStr">
        <is>
          <t>Zu definieren</t>
        </is>
      </c>
      <c r="G63" s="168" t="inlineStr">
        <is>
          <t>Hoher Churn: 10 %</t>
        </is>
      </c>
      <c r="H63" s="168" t="inlineStr">
        <is>
          <t>Normal: 6 %</t>
        </is>
      </c>
      <c r="I63" s="168" t="inlineStr">
        <is>
          <t>Niedriger Churn: 3 %</t>
        </is>
      </c>
      <c r="J63" s="166" t="inlineStr">
        <is>
          <t>Unterschiedliche Churn-Szenarien je nach Kundenbindung. Direkter Einfluss auf den kumulativen ARR.</t>
        </is>
      </c>
      <c r="K63" s="166" t="inlineStr">
        <is>
          <t>Aktuell als fester Wert (6%) modelliert. Besonders relevant für Langfristprojektionen (Jahr 3–5).</t>
        </is>
      </c>
      <c r="L63" s="150" t="n"/>
      <c r="M63" s="150" t="n"/>
    </row>
    <row r="64" ht="45" customHeight="1" s="83">
      <c r="A64" s="165" t="inlineStr">
        <is>
          <t>NEU</t>
        </is>
      </c>
      <c r="B64" s="166" t="inlineStr">
        <is>
          <t>Marktexpansion</t>
        </is>
      </c>
      <c r="C64" s="166" t="inlineStr">
        <is>
          <t>Internationalisierung</t>
        </is>
      </c>
      <c r="D64" s="166" t="inlineStr">
        <is>
          <t>Noch nicht modelliert</t>
        </is>
      </c>
      <c r="E64" s="166" t="inlineStr">
        <is>
          <t>–</t>
        </is>
      </c>
      <c r="F64" s="167" t="inlineStr">
        <is>
          <t>Zu definieren</t>
        </is>
      </c>
      <c r="G64" s="168" t="inlineStr">
        <is>
          <t>Keine Expansion</t>
        </is>
      </c>
      <c r="H64" s="168" t="inlineStr">
        <is>
          <t>EU-Expansion (Y2)</t>
        </is>
      </c>
      <c r="I64" s="168" t="inlineStr">
        <is>
          <t>US-Expansion (Y3)</t>
        </is>
      </c>
      <c r="J64" s="166" t="inlineStr">
        <is>
          <t>Multiplikator auf das Kundenwachstum ab einem definierten Monat. Erheblicher Einfluss auf ARR und Personalplanung.</t>
        </is>
      </c>
      <c r="K64" s="166" t="inlineStr">
        <is>
          <t>Noch nicht im Modell. Würde zusätzliche Kosten (Lokalisierung, Compliance, Personal) erfordern.</t>
        </is>
      </c>
      <c r="L64" s="150" t="n"/>
      <c r="M64" s="150" t="n"/>
    </row>
    <row r="65" ht="18" customHeight="1" s="83">
      <c r="A65" s="164" t="inlineStr">
        <is>
          <t>Kosten – Neue Treiber</t>
        </is>
      </c>
    </row>
    <row r="66" ht="45" customHeight="1" s="83">
      <c r="A66" s="165" t="inlineStr">
        <is>
          <t>NEU</t>
        </is>
      </c>
      <c r="B66" s="166" t="inlineStr">
        <is>
          <t>Personal</t>
        </is>
      </c>
      <c r="C66" s="166" t="inlineStr">
        <is>
          <t>Gehaltsniveau-Faktor</t>
        </is>
      </c>
      <c r="D66" s="166" t="inlineStr">
        <is>
          <t>Noch nicht modelliert</t>
        </is>
      </c>
      <c r="E66" s="166" t="inlineStr">
        <is>
          <t>Faktor</t>
        </is>
      </c>
      <c r="F66" s="167" t="inlineStr">
        <is>
          <t>Zu definieren</t>
        </is>
      </c>
      <c r="G66" s="168" t="inlineStr">
        <is>
          <t>85 % des Markts</t>
        </is>
      </c>
      <c r="H66" s="168" t="inlineStr">
        <is>
          <t>100 % des Markts</t>
        </is>
      </c>
      <c r="I66" s="168" t="inlineStr">
        <is>
          <t>115 % des Markts</t>
        </is>
      </c>
      <c r="J66" s="166" t="inlineStr">
        <is>
          <t>Prozentualer Faktor auf alle Gehälter im Einstellungsplan. Direkter Einfluss auf die gesamte Personalkostenbasis.</t>
        </is>
      </c>
      <c r="K66" s="166" t="inlineStr">
        <is>
          <t>Noch nicht im Modell. Besonders relevant für Talent-Wettbewerb im Berliner KI-Markt.</t>
        </is>
      </c>
      <c r="L66" s="150" t="n"/>
      <c r="M66" s="150" t="n"/>
    </row>
    <row r="67" ht="45" customHeight="1" s="83">
      <c r="A67" s="165" t="inlineStr">
        <is>
          <t>NEU</t>
        </is>
      </c>
      <c r="B67" s="166" t="inlineStr">
        <is>
          <t>Büro / Facilities</t>
        </is>
      </c>
      <c r="C67" s="166" t="inlineStr">
        <is>
          <t>Remote-Work-Strategie</t>
        </is>
      </c>
      <c r="D67" s="166" t="inlineStr">
        <is>
          <t>Noch nicht modelliert</t>
        </is>
      </c>
      <c r="E67" s="166" t="inlineStr">
        <is>
          <t>–</t>
        </is>
      </c>
      <c r="F67" s="167" t="inlineStr">
        <is>
          <t>Zu definieren</t>
        </is>
      </c>
      <c r="G67" s="168" t="inlineStr">
        <is>
          <t>Office-First</t>
        </is>
      </c>
      <c r="H67" s="168" t="inlineStr">
        <is>
          <t>Hybrid (50/50)</t>
        </is>
      </c>
      <c r="I67" s="168" t="inlineStr">
        <is>
          <t>Full-Remote</t>
        </is>
      </c>
      <c r="J67" s="166" t="inlineStr">
        <is>
          <t>Beeinflusst Büromiete und Facility-Kosten direkt. Full-Remote eliminiert die Bürokosten nahezu vollständig.</t>
        </is>
      </c>
      <c r="K67" s="166" t="inlineStr">
        <is>
          <t>Noch nicht im Modell. Würde Büromiete-Parameter durch einen Strategie-Faktor ersetzen.</t>
        </is>
      </c>
      <c r="L67" s="150" t="n"/>
      <c r="M67" s="150" t="n"/>
    </row>
    <row r="68" ht="45" customHeight="1" s="83">
      <c r="A68" s="165" t="inlineStr">
        <is>
          <t>NEU</t>
        </is>
      </c>
      <c r="B68" s="166" t="inlineStr">
        <is>
          <t>Technologie</t>
        </is>
      </c>
      <c r="C68" s="166" t="inlineStr">
        <is>
          <t>Technologie-Stack-Strategie</t>
        </is>
      </c>
      <c r="D68" s="166" t="inlineStr">
        <is>
          <t>Noch nicht modelliert</t>
        </is>
      </c>
      <c r="E68" s="166" t="inlineStr">
        <is>
          <t>–</t>
        </is>
      </c>
      <c r="F68" s="167" t="inlineStr">
        <is>
          <t>Zu definieren</t>
        </is>
      </c>
      <c r="G68" s="168" t="inlineStr">
        <is>
          <t>Open-Source: -40% API-Kosten</t>
        </is>
      </c>
      <c r="H68" s="168" t="inlineStr">
        <is>
          <t>Proprietär (aktuell)</t>
        </is>
      </c>
      <c r="I68" s="168" t="inlineStr">
        <is>
          <t>Multi-Provider: +15%</t>
        </is>
      </c>
      <c r="J68" s="166" t="inlineStr">
        <is>
          <t>Beeinflusst AI/ML-API-Kosten und Cloud-Kosten. Open-Source-Modelle reduzieren laufende API-Kosten erheblich.</t>
        </is>
      </c>
      <c r="K68" s="166" t="inlineStr">
        <is>
          <t>Noch nicht im Modell. Würde AI/ML-API-Basiskosten durch einen Stack-Faktor steuern.</t>
        </is>
      </c>
      <c r="L68" s="150" t="n"/>
      <c r="M68" s="150" t="n"/>
    </row>
    <row r="70" ht="18" customHeight="1" s="83">
      <c r="A70" s="155" t="inlineStr">
        <is>
          <t>LEGENDE – Szenario-Abhängigkeit</t>
        </is>
      </c>
    </row>
    <row r="71" ht="45" customHeight="1" s="83">
      <c r="A71" s="169" t="inlineStr">
        <is>
          <t>Szenario</t>
        </is>
      </c>
      <c r="B71" s="169" t="inlineStr">
        <is>
          <t>Wert ändert sich je nach aktivem Szenario (Gering/Normal/Stark) in der 00_Input_Sandbox</t>
        </is>
      </c>
      <c r="C71" s="169" t="n"/>
      <c r="D71" s="169" t="n"/>
      <c r="E71" s="169" t="n"/>
      <c r="F71" s="170" t="n"/>
      <c r="G71" s="149" t="n"/>
      <c r="H71" s="149" t="n"/>
      <c r="I71" s="149" t="n"/>
      <c r="J71" s="169" t="n"/>
      <c r="K71" s="169" t="n"/>
      <c r="L71" s="150" t="n"/>
      <c r="M71" s="150" t="n"/>
    </row>
    <row r="72" ht="45" customHeight="1" s="83">
      <c r="A72" s="169" t="inlineStr">
        <is>
          <t>Unabhängig</t>
        </is>
      </c>
      <c r="B72" s="169" t="inlineStr">
        <is>
          <t>Eigenständiger Schalter – unabhängig vom Szenario einstellbar (z.B. Consulting-Quote: 20%/50%/100%)</t>
        </is>
      </c>
      <c r="C72" s="169" t="n"/>
      <c r="D72" s="169" t="n"/>
      <c r="E72" s="169" t="n"/>
      <c r="F72" s="170" t="n"/>
      <c r="G72" s="149" t="n"/>
      <c r="H72" s="149" t="n"/>
      <c r="I72" s="149" t="n"/>
      <c r="J72" s="169" t="n"/>
      <c r="K72" s="169" t="n"/>
      <c r="L72" s="150" t="n"/>
      <c r="M72" s="150" t="n"/>
    </row>
    <row r="73" ht="45" customHeight="1" s="83">
      <c r="A73" s="169" t="inlineStr">
        <is>
          <t>Berechnet</t>
        </is>
      </c>
      <c r="B73" s="169" t="inlineStr">
        <is>
          <t>Abgeleiteter Wert – wird automatisch aus anderen Parametern berechnet (kein direkter Eingabewert)</t>
        </is>
      </c>
      <c r="C73" s="169" t="n"/>
      <c r="D73" s="169" t="n"/>
      <c r="E73" s="169" t="n"/>
      <c r="F73" s="170" t="n"/>
      <c r="G73" s="149" t="n"/>
      <c r="H73" s="149" t="n"/>
      <c r="I73" s="149" t="n"/>
      <c r="J73" s="169" t="n"/>
      <c r="K73" s="169" t="n"/>
      <c r="L73" s="150" t="n"/>
      <c r="M73" s="150" t="n"/>
    </row>
    <row r="74" ht="45" customHeight="1" s="83">
      <c r="A74" s="169" t="inlineStr">
        <is>
          <t>Skalierend</t>
        </is>
      </c>
      <c r="B74" s="169" t="inlineStr">
        <is>
          <t>Fester Satz, aber Gesamtbetrag skaliert mit Mitarbeiterzahl oder Kundenzahl</t>
        </is>
      </c>
      <c r="C74" s="169" t="n"/>
      <c r="D74" s="169" t="n"/>
      <c r="E74" s="169" t="n"/>
      <c r="F74" s="170" t="n"/>
      <c r="G74" s="149" t="n"/>
      <c r="H74" s="149" t="n"/>
      <c r="I74" s="149" t="n"/>
      <c r="J74" s="169" t="n"/>
      <c r="K74" s="169" t="n"/>
      <c r="L74" s="150" t="n"/>
      <c r="M74" s="150" t="n"/>
    </row>
    <row r="75" ht="45" customHeight="1" s="83">
      <c r="A75" s="169" t="inlineStr">
        <is>
          <t>Fest</t>
        </is>
      </c>
      <c r="B75" s="169" t="inlineStr">
        <is>
          <t>Fester Wert – unabhängig von Szenario und Unternehmensgröße</t>
        </is>
      </c>
      <c r="C75" s="169" t="n"/>
      <c r="D75" s="169" t="n"/>
      <c r="E75" s="169" t="n"/>
      <c r="F75" s="170" t="n"/>
      <c r="G75" s="149" t="n"/>
      <c r="H75" s="149" t="n"/>
      <c r="I75" s="149" t="n"/>
      <c r="J75" s="169" t="n"/>
      <c r="K75" s="169" t="n"/>
      <c r="L75" s="150" t="n"/>
      <c r="M75" s="150" t="n"/>
    </row>
    <row r="76" ht="45" customHeight="1" s="83">
      <c r="A76" s="169" t="inlineStr">
        <is>
          <t>Zu definieren</t>
        </is>
      </c>
      <c r="B76" s="169" t="inlineStr">
        <is>
          <t>Noch nicht im Modell – neuer Einflussfaktor, der entwickelt werden kann</t>
        </is>
      </c>
      <c r="C76" s="169" t="n"/>
      <c r="D76" s="169" t="n"/>
      <c r="E76" s="169" t="n"/>
      <c r="F76" s="170" t="n"/>
      <c r="G76" s="149" t="n"/>
      <c r="H76" s="149" t="n"/>
      <c r="I76" s="149" t="n"/>
      <c r="J76" s="169" t="n"/>
      <c r="K76" s="169" t="n"/>
      <c r="L76" s="150" t="n"/>
      <c r="M76" s="150" t="n"/>
    </row>
    <row r="78">
      <c r="A78" s="171" t="inlineStr">
        <is>
          <t>LEGENDE: Szenario=szenarioabhängig (Sandbox)  |  Unabhängig=eigenständiger Schalter (z.B. Consulting-Quote)  |  Berechnet=abgeleiteter Wert  |  Skalierend=fixer Satz, skaliert mit MA/Kunden  |  NEU (lila)=noch nicht im Modell</t>
        </is>
      </c>
    </row>
  </sheetData>
  <mergeCells count="17">
    <mergeCell ref="A60:M60"/>
    <mergeCell ref="A44:M44"/>
    <mergeCell ref="A1:M1"/>
    <mergeCell ref="A5:M5"/>
    <mergeCell ref="A23:M23"/>
    <mergeCell ref="A22:M22"/>
    <mergeCell ref="A50:M50"/>
    <mergeCell ref="A70:M70"/>
    <mergeCell ref="A78:M78"/>
    <mergeCell ref="A30:M30"/>
    <mergeCell ref="A55:M55"/>
    <mergeCell ref="A2:M2"/>
    <mergeCell ref="A65:M65"/>
    <mergeCell ref="A59:M59"/>
    <mergeCell ref="A38:M38"/>
    <mergeCell ref="A16:M16"/>
    <mergeCell ref="A51:M51"/>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8" defaultColWidth="14.43" defaultRowHeight="15" customHeight="1"/>
  <cols>
    <col width="20" customWidth="1" style="83" min="8" max="8"/>
    <col width="45" customWidth="1" style="83" min="9" max="9"/>
  </cols>
  <sheetData>
    <row r="1" ht="60" customHeight="1" s="83">
      <c r="A1" s="7" t="inlineStr">
        <is>
          <t>Faktor</t>
        </is>
      </c>
      <c r="B1" s="7" t="inlineStr">
        <is>
          <t>Referenz (Basis)</t>
        </is>
      </c>
      <c r="C1" s="7" t="inlineStr">
        <is>
          <t>Szenario: Gering</t>
        </is>
      </c>
      <c r="D1" s="7" t="inlineStr">
        <is>
          <t>Szenario: Normal</t>
        </is>
      </c>
      <c r="E1" s="7" t="inlineStr">
        <is>
          <t>Szenario: Stark</t>
        </is>
      </c>
      <c r="F1" s="8" t="inlineStr">
        <is>
          <t>DELTA: (Stark vs Nomal)</t>
        </is>
      </c>
      <c r="G1" s="7" t="inlineStr">
        <is>
          <t>Argumentation (Lothar.bm &amp; Transkripte)</t>
        </is>
      </c>
      <c r="H1" s="43" t="n"/>
      <c r="I1" s="120" t="inlineStr">
        <is>
          <t>⚑ HINWEIS:
Werte in den Spalten C/D/E (Gering/Normal/Stark) sind direkt bearbeitbar.
Änderungen in DIESEM Blatt fließen automatisch über Sandbox → Inputs → Revenue/P&amp;L.</t>
        </is>
      </c>
      <c r="J1" s="43" t="n"/>
      <c r="K1" s="43" t="n"/>
      <c r="L1" s="43" t="n"/>
      <c r="M1" s="43" t="n"/>
      <c r="N1" s="43" t="n"/>
      <c r="O1" s="43" t="n"/>
      <c r="P1" s="43" t="n"/>
      <c r="Q1" s="43" t="n"/>
      <c r="R1" s="43" t="n"/>
      <c r="S1" s="43" t="n"/>
      <c r="T1" s="43" t="n"/>
      <c r="U1" s="43" t="n"/>
      <c r="V1" s="43" t="n"/>
      <c r="W1" s="43" t="n"/>
      <c r="X1" s="43" t="n"/>
      <c r="Y1" s="43" t="n"/>
      <c r="Z1" s="43" t="n"/>
      <c r="AA1" s="43" t="n"/>
    </row>
    <row r="2">
      <c r="A2" s="14" t="inlineStr">
        <is>
          <t>Fokus: Packaging</t>
        </is>
      </c>
      <c r="B2" s="11" t="n">
        <v>0.3</v>
      </c>
      <c r="C2" s="11" t="n">
        <v>0.1</v>
      </c>
      <c r="D2" s="12" t="n">
        <v>0.6</v>
      </c>
      <c r="E2" s="11" t="n">
        <v>0.8</v>
      </c>
      <c r="F2" s="11">
        <f>E2-D2</f>
        <v/>
      </c>
      <c r="G2" s="13" t="inlineStr">
        <is>
          <t>Höhere Margen, schnellere Zyklen als Auto.</t>
        </is>
      </c>
      <c r="H2" s="43" t="n"/>
      <c r="I2" s="43" t="n"/>
      <c r="J2" s="43" t="n"/>
      <c r="K2" s="43" t="n"/>
      <c r="L2" s="43" t="n"/>
      <c r="M2" s="43" t="n"/>
      <c r="N2" s="43" t="n"/>
      <c r="O2" s="43" t="n"/>
      <c r="P2" s="43" t="n"/>
      <c r="Q2" s="43" t="n"/>
      <c r="R2" s="43" t="n"/>
      <c r="S2" s="43" t="n"/>
      <c r="T2" s="43" t="n"/>
      <c r="U2" s="43" t="n"/>
      <c r="V2" s="43" t="n"/>
      <c r="W2" s="43" t="n"/>
      <c r="X2" s="43" t="n"/>
      <c r="Y2" s="43" t="n"/>
      <c r="Z2" s="43" t="n"/>
      <c r="AA2" s="43" t="n"/>
    </row>
    <row r="3">
      <c r="A3" s="14" t="inlineStr">
        <is>
          <t>Fokus: Automotive</t>
        </is>
      </c>
      <c r="B3" s="11" t="n">
        <v>0.7</v>
      </c>
      <c r="C3" s="11" t="n">
        <v>0.9</v>
      </c>
      <c r="D3" s="12" t="n">
        <v>0.4</v>
      </c>
      <c r="E3" s="11" t="n">
        <v>0.2</v>
      </c>
      <c r="F3" s="11">
        <f>E3-D3</f>
        <v/>
      </c>
      <c r="G3" s="13" t="inlineStr">
        <is>
          <t>Hohe IT-Hürden und Margendruck (Lothar).</t>
        </is>
      </c>
      <c r="H3" s="43" t="n"/>
      <c r="I3" s="43" t="n"/>
      <c r="J3" s="43" t="n"/>
      <c r="K3" s="43" t="n"/>
      <c r="L3" s="43" t="n"/>
      <c r="M3" s="43" t="n"/>
      <c r="N3" s="43" t="n"/>
      <c r="O3" s="43" t="n"/>
      <c r="P3" s="43" t="n"/>
      <c r="Q3" s="43" t="n"/>
      <c r="R3" s="43" t="n"/>
      <c r="S3" s="43" t="n"/>
      <c r="T3" s="43" t="n"/>
      <c r="U3" s="43" t="n"/>
      <c r="V3" s="43" t="n"/>
      <c r="W3" s="43" t="n"/>
      <c r="X3" s="43" t="n"/>
      <c r="Y3" s="43" t="n"/>
      <c r="Z3" s="43" t="n"/>
      <c r="AA3" s="43" t="n"/>
    </row>
    <row r="4">
      <c r="A4" s="14" t="inlineStr">
        <is>
          <t>Erste zahlende Kunden Monat</t>
        </is>
      </c>
      <c r="B4" s="13" t="n">
        <v>6</v>
      </c>
      <c r="C4" s="13" t="n">
        <v>14</v>
      </c>
      <c r="D4" s="14" t="n">
        <v>8</v>
      </c>
      <c r="E4" s="13" t="n">
        <v>4</v>
      </c>
      <c r="F4" s="13">
        <f>E4-D4</f>
        <v/>
      </c>
      <c r="G4" s="13" t="inlineStr">
        <is>
          <t>IT-Integration ist der Flaschenhals.</t>
        </is>
      </c>
      <c r="H4" s="43" t="n"/>
      <c r="I4" s="43" t="n"/>
      <c r="J4" s="43" t="n"/>
      <c r="K4" s="43" t="n"/>
      <c r="L4" s="43" t="n"/>
      <c r="M4" s="43" t="n"/>
      <c r="N4" s="43" t="n"/>
      <c r="O4" s="43" t="n"/>
      <c r="P4" s="43" t="n"/>
      <c r="Q4" s="43" t="n"/>
      <c r="R4" s="43" t="n"/>
      <c r="S4" s="43" t="n"/>
      <c r="T4" s="43" t="n"/>
      <c r="U4" s="43" t="n"/>
      <c r="V4" s="43" t="n"/>
      <c r="W4" s="43" t="n"/>
      <c r="X4" s="43" t="n"/>
      <c r="Y4" s="43" t="n"/>
      <c r="Z4" s="43" t="n"/>
      <c r="AA4" s="43" t="n"/>
    </row>
    <row r="5" ht="70" customHeight="1" s="83">
      <c r="A5" s="135" t="inlineStr">
        <is>
          <t>Buchungs-Wahrscheinlichkeit Consulting je Kunde</t>
        </is>
      </c>
      <c r="B5" s="11" t="n">
        <v>0.5</v>
      </c>
      <c r="C5" s="136" t="n">
        <v>0.2</v>
      </c>
      <c r="D5" s="136" t="n">
        <v>0.5</v>
      </c>
      <c r="E5" s="136" t="n">
        <v>1</v>
      </c>
      <c r="F5" s="11">
        <f>E5-D5</f>
        <v/>
      </c>
      <c r="G5" s="13" t="inlineStr">
        <is>
          <t>Wahrscheinlichkeit, dass ein gewonnener Kunde Consulting bucht:
a) 20 % (gering) = jeder 5. Kunde – Automotive, wenig Beratungsbedarf
b) 50 % (normal) = jeder 2. Kunde – Hybrid-Markt
c) 100 % (stark) = jeder Kunde – Packaging, hohe Implementierungstiefe
→ Fließt über Sandbox Z.12 → Inputs Z.139 → Revenue Z.28</t>
        </is>
      </c>
      <c r="H5" s="123" t="inlineStr">
        <is>
          <t>→ Sandbox → Inputs</t>
        </is>
      </c>
      <c r="I5" s="43" t="n"/>
      <c r="J5" s="43" t="n"/>
      <c r="K5" s="43" t="n"/>
      <c r="L5" s="43" t="n"/>
      <c r="M5" s="43" t="n"/>
      <c r="N5" s="43" t="n"/>
      <c r="O5" s="43" t="n"/>
      <c r="P5" s="43" t="n"/>
      <c r="Q5" s="43" t="n"/>
      <c r="R5" s="43" t="n"/>
      <c r="S5" s="43" t="n"/>
      <c r="T5" s="43" t="n"/>
      <c r="U5" s="43" t="n"/>
      <c r="V5" s="43" t="n"/>
      <c r="W5" s="43" t="n"/>
      <c r="X5" s="43" t="n"/>
      <c r="Y5" s="43" t="n"/>
      <c r="Z5" s="43" t="n"/>
      <c r="AA5" s="43" t="n"/>
    </row>
    <row r="6">
      <c r="A6" s="14" t="inlineStr">
        <is>
          <t>Startpreis pro Seat/Jahr</t>
        </is>
      </c>
      <c r="B6" s="11" t="n">
        <v>1</v>
      </c>
      <c r="C6" s="11" t="n">
        <v>0.8</v>
      </c>
      <c r="D6" s="12" t="n">
        <v>1</v>
      </c>
      <c r="E6" s="11" t="n">
        <v>1.2</v>
      </c>
      <c r="F6" s="11">
        <f>E6-D6</f>
        <v/>
      </c>
      <c r="G6" s="13" t="inlineStr">
        <is>
          <t>Value-Pricing eher in Packaging möglich.</t>
        </is>
      </c>
      <c r="H6" s="43" t="n"/>
      <c r="I6" s="43" t="n"/>
      <c r="J6" s="43" t="n"/>
      <c r="K6" s="43" t="n"/>
      <c r="L6" s="43" t="n"/>
      <c r="M6" s="43" t="n"/>
      <c r="N6" s="43" t="n"/>
      <c r="O6" s="43" t="n"/>
      <c r="P6" s="43" t="n"/>
      <c r="Q6" s="43" t="n"/>
      <c r="R6" s="43" t="n"/>
      <c r="S6" s="43" t="n"/>
      <c r="T6" s="43" t="n"/>
      <c r="U6" s="43" t="n"/>
      <c r="V6" s="43" t="n"/>
      <c r="W6" s="43" t="n"/>
      <c r="X6" s="43" t="n"/>
      <c r="Y6" s="43" t="n"/>
      <c r="Z6" s="43" t="n"/>
      <c r="AA6" s="43" t="n"/>
    </row>
    <row r="7">
      <c r="A7" s="14" t="inlineStr">
        <is>
          <t>Personal (Experten)</t>
        </is>
      </c>
      <c r="B7" s="13" t="inlineStr">
        <is>
          <t>5 FTE</t>
        </is>
      </c>
      <c r="C7" s="13" t="inlineStr">
        <is>
          <t>3 FTE</t>
        </is>
      </c>
      <c r="D7" s="14" t="inlineStr">
        <is>
          <t>7 FTE</t>
        </is>
      </c>
      <c r="E7" s="13" t="inlineStr">
        <is>
          <t>12 FTE</t>
        </is>
      </c>
      <c r="F7" s="13">
        <f>E7-D7</f>
        <v/>
      </c>
      <c r="G7" s="13" t="inlineStr">
        <is>
          <t>Bedarf an "Übersetzern" für IT-Landschaft.</t>
        </is>
      </c>
      <c r="H7" s="43" t="n"/>
      <c r="I7" s="43" t="n"/>
      <c r="J7" s="43" t="n"/>
      <c r="K7" s="43" t="n"/>
      <c r="L7" s="43" t="n"/>
      <c r="M7" s="43" t="n"/>
      <c r="N7" s="43" t="n"/>
      <c r="O7" s="43" t="n"/>
      <c r="P7" s="43" t="n"/>
      <c r="Q7" s="43" t="n"/>
      <c r="R7" s="43" t="n"/>
      <c r="S7" s="43" t="n"/>
      <c r="T7" s="43" t="n"/>
      <c r="U7" s="43" t="n"/>
      <c r="V7" s="43" t="n"/>
      <c r="W7" s="43" t="n"/>
      <c r="X7" s="43" t="n"/>
      <c r="Y7" s="43" t="n"/>
      <c r="Z7" s="43" t="n"/>
      <c r="AA7" s="43" t="n"/>
    </row>
    <row r="8" ht="70" customHeight="1" s="83">
      <c r="A8" s="135" t="inlineStr">
        <is>
          <t>Consulting-Tage/Einsatz</t>
        </is>
      </c>
      <c r="B8" s="125" t="n">
        <v>10</v>
      </c>
      <c r="C8" s="126" t="n">
        <v>5</v>
      </c>
      <c r="D8" s="126" t="n">
        <v>10</v>
      </c>
      <c r="E8" s="126" t="n">
        <v>20</v>
      </c>
      <c r="F8" s="125">
        <f>E8-D8</f>
        <v/>
      </c>
      <c r="G8" s="125" t="inlineStr">
        <is>
          <t>Consulting-Tage pro Kunde je Einsatz:
gering=5  (Basisschulung + Systemcheck)
normal=10 (Implementierungsbegleitung + Anwenderschulung)
stark=20  (Spez. Anforderungen, Datenbereinigung, Stammdaten-Harmonisierung)
→ Fließt über Sandbox Z.11 → Inputs Z.140 → Revenue Z.28</t>
        </is>
      </c>
      <c r="H8" s="123" t="inlineStr">
        <is>
          <t>→ Sandbox → Inputs</t>
        </is>
      </c>
      <c r="I8" s="43" t="n"/>
      <c r="J8" s="43" t="n"/>
      <c r="K8" s="43" t="n"/>
      <c r="L8" s="43" t="n"/>
      <c r="M8" s="43" t="n"/>
      <c r="N8" s="43" t="n"/>
      <c r="O8" s="43" t="n"/>
      <c r="P8" s="43" t="n"/>
      <c r="Q8" s="43" t="n"/>
      <c r="R8" s="43" t="n"/>
      <c r="S8" s="43" t="n"/>
      <c r="T8" s="43" t="n"/>
      <c r="U8" s="43" t="n"/>
      <c r="V8" s="43" t="n"/>
      <c r="W8" s="43" t="n"/>
      <c r="X8" s="43" t="n"/>
      <c r="Y8" s="43" t="n"/>
      <c r="Z8" s="43" t="n"/>
      <c r="AA8" s="43" t="n"/>
    </row>
    <row r="9" ht="55" customHeight="1" s="83">
      <c r="A9" s="135" t="inlineStr">
        <is>
          <t>Net Revenue Retention (NRR)</t>
        </is>
      </c>
      <c r="B9" s="172" t="n">
        <v>1.15</v>
      </c>
      <c r="C9" s="136" t="n">
        <v>1.05</v>
      </c>
      <c r="D9" s="136" t="n">
        <v>1.15</v>
      </c>
      <c r="E9" s="136" t="n">
        <v>1.3</v>
      </c>
      <c r="F9" s="172">
        <f>E9-D9</f>
        <v/>
      </c>
      <c r="G9" s="172" t="inlineStr">
        <is>
          <t>Treiber-Matrix: NRR szenarioabhängig machen (bisher fest 125%).
Gering=105%: Automotive, wenig Upselling-Potenzial.
Normal=115%: Hybrid, DPP-Module.
Stark=130%: Packaging, Analytics-Premium + Multi-Werk-Rollouts.</t>
        </is>
      </c>
      <c r="H9" s="173" t="inlineStr">
        <is>
          <t>→ Sandbox → Inputs</t>
        </is>
      </c>
      <c r="I9" s="43" t="n"/>
      <c r="J9" s="43" t="n"/>
      <c r="K9" s="43" t="n"/>
      <c r="L9" s="43" t="n"/>
      <c r="M9" s="43" t="n"/>
      <c r="N9" s="43" t="n"/>
      <c r="O9" s="43" t="n"/>
      <c r="P9" s="43" t="n"/>
      <c r="Q9" s="43" t="n"/>
      <c r="R9" s="43" t="n"/>
      <c r="S9" s="43" t="n"/>
      <c r="T9" s="43" t="n"/>
      <c r="U9" s="43" t="n"/>
      <c r="V9" s="43" t="n"/>
      <c r="W9" s="43" t="n"/>
      <c r="X9" s="43" t="n"/>
      <c r="Y9" s="43" t="n"/>
      <c r="Z9" s="43" t="n"/>
      <c r="AA9" s="43" t="n"/>
    </row>
    <row r="10" ht="55" customHeight="1" s="83">
      <c r="A10" s="135" t="inlineStr">
        <is>
          <t>Jährliche Churn Rate</t>
        </is>
      </c>
      <c r="B10" s="172" t="n">
        <v>0.06</v>
      </c>
      <c r="C10" s="136" t="n">
        <v>0.1</v>
      </c>
      <c r="D10" s="136" t="n">
        <v>0.06</v>
      </c>
      <c r="E10" s="136" t="n">
        <v>0.03</v>
      </c>
      <c r="F10" s="172">
        <f>E10-D10</f>
        <v/>
      </c>
      <c r="G10" s="172" t="inlineStr">
        <is>
          <t>Treiber-Matrix: Churn szenarioabhängig (bisher fest 6%).
Gering=10%: Automotive-Budgetzyklen, höheres Abwanderungsrisiko.
Normal=6%: Standardwert (SaaS-Industrie).
Stark=3%: Packaging, tiefe API-Integration → hoher Switching-Cost.</t>
        </is>
      </c>
      <c r="H10" s="173" t="inlineStr">
        <is>
          <t>→ Sandbox → Inputs</t>
        </is>
      </c>
      <c r="I10" s="43" t="n"/>
      <c r="J10" s="43" t="n"/>
      <c r="K10" s="43" t="n"/>
      <c r="L10" s="43" t="n"/>
      <c r="M10" s="43" t="n"/>
      <c r="N10" s="43" t="n"/>
      <c r="O10" s="43" t="n"/>
      <c r="P10" s="43" t="n"/>
      <c r="Q10" s="43" t="n"/>
      <c r="R10" s="43" t="n"/>
      <c r="S10" s="43" t="n"/>
      <c r="T10" s="43" t="n"/>
      <c r="U10" s="43" t="n"/>
      <c r="V10" s="43" t="n"/>
      <c r="W10" s="43" t="n"/>
      <c r="X10" s="43" t="n"/>
      <c r="Y10" s="43" t="n"/>
      <c r="Z10" s="43" t="n"/>
      <c r="AA10" s="43" t="n"/>
    </row>
    <row r="11" ht="55" customHeight="1" s="83">
      <c r="A11" s="135" t="inlineStr">
        <is>
          <t>Consulting-Startmonat</t>
        </is>
      </c>
      <c r="B11" s="172" t="n">
        <v>4</v>
      </c>
      <c r="C11" s="126" t="n">
        <v>3</v>
      </c>
      <c r="D11" s="126" t="n">
        <v>4</v>
      </c>
      <c r="E11" s="126" t="n">
        <v>6</v>
      </c>
      <c r="F11" s="172">
        <f>E11-D11</f>
        <v/>
      </c>
      <c r="G11" s="172" t="inlineStr">
        <is>
          <t>Treiber-Matrix Z.21: Consulting startet als Enabler vor dem SaaS-Produkt.
Gering=Monat 3: Automotive benötigt sofort IT-Begleitung.
Stark=Monat 6: Packaging-Kunden länger Self-Service-fähig.</t>
        </is>
      </c>
      <c r="H11" s="173" t="inlineStr">
        <is>
          <t>→ Sandbox → Inputs</t>
        </is>
      </c>
      <c r="I11" s="43" t="n"/>
      <c r="J11" s="43" t="n"/>
      <c r="K11" s="43" t="n"/>
      <c r="L11" s="43" t="n"/>
      <c r="M11" s="43" t="n"/>
      <c r="N11" s="43" t="n"/>
      <c r="O11" s="43" t="n"/>
      <c r="P11" s="43" t="n"/>
      <c r="Q11" s="43" t="n"/>
      <c r="R11" s="43" t="n"/>
      <c r="S11" s="43" t="n"/>
      <c r="T11" s="43" t="n"/>
      <c r="U11" s="43" t="n"/>
      <c r="V11" s="43" t="n"/>
      <c r="W11" s="43" t="n"/>
      <c r="X11" s="43" t="n"/>
      <c r="Y11" s="43" t="n"/>
      <c r="Z11" s="43" t="n"/>
      <c r="AA11" s="43" t="n"/>
    </row>
    <row r="12">
      <c r="A12" s="43" t="n"/>
      <c r="B12" s="43" t="n"/>
      <c r="C12" s="43" t="n"/>
      <c r="D12" s="43" t="n"/>
      <c r="E12" s="43" t="n"/>
      <c r="F12" s="43" t="n"/>
      <c r="G12" s="43" t="n"/>
      <c r="H12" s="43" t="n"/>
      <c r="I12" s="43" t="n"/>
      <c r="J12" s="43" t="n"/>
      <c r="K12" s="43" t="n"/>
      <c r="L12" s="43" t="n"/>
      <c r="M12" s="43" t="n"/>
      <c r="N12" s="43" t="n"/>
      <c r="O12" s="43" t="n"/>
      <c r="P12" s="43" t="n"/>
      <c r="Q12" s="43" t="n"/>
      <c r="R12" s="43" t="n"/>
      <c r="S12" s="43" t="n"/>
      <c r="T12" s="43" t="n"/>
      <c r="U12" s="43" t="n"/>
      <c r="V12" s="43" t="n"/>
      <c r="W12" s="43" t="n"/>
      <c r="X12" s="43" t="n"/>
      <c r="Y12" s="43" t="n"/>
      <c r="Z12" s="43" t="n"/>
      <c r="AA12" s="43" t="n"/>
    </row>
    <row r="13">
      <c r="A13" s="43" t="n"/>
      <c r="B13" s="43" t="n"/>
      <c r="C13" s="43" t="n"/>
      <c r="D13" s="43" t="n"/>
      <c r="E13" s="43" t="n"/>
      <c r="F13" s="43" t="n"/>
      <c r="G13" s="43" t="n"/>
      <c r="H13" s="43" t="n"/>
      <c r="I13" s="43" t="n"/>
      <c r="J13" s="43" t="n"/>
      <c r="K13" s="43" t="n"/>
      <c r="L13" s="43" t="n"/>
      <c r="M13" s="43" t="n"/>
      <c r="N13" s="43" t="n"/>
      <c r="O13" s="43" t="n"/>
      <c r="P13" s="43" t="n"/>
      <c r="Q13" s="43" t="n"/>
      <c r="R13" s="43" t="n"/>
      <c r="S13" s="43" t="n"/>
      <c r="T13" s="43" t="n"/>
      <c r="U13" s="43" t="n"/>
      <c r="V13" s="43" t="n"/>
      <c r="W13" s="43" t="n"/>
      <c r="X13" s="43" t="n"/>
      <c r="Y13" s="43" t="n"/>
      <c r="Z13" s="43" t="n"/>
      <c r="AA13" s="43" t="n"/>
    </row>
    <row r="14">
      <c r="A14" s="43" t="n"/>
      <c r="B14" s="43" t="n"/>
      <c r="C14" s="43" t="n"/>
      <c r="D14" s="43" t="n"/>
      <c r="E14" s="43" t="n"/>
      <c r="F14" s="43" t="n"/>
      <c r="G14" s="43" t="n"/>
      <c r="H14" s="43" t="n"/>
      <c r="I14" s="43" t="n"/>
      <c r="J14" s="43" t="n"/>
      <c r="K14" s="43" t="n"/>
      <c r="L14" s="43" t="n"/>
      <c r="M14" s="43" t="n"/>
      <c r="N14" s="43" t="n"/>
      <c r="O14" s="43" t="n"/>
      <c r="P14" s="43" t="n"/>
      <c r="Q14" s="43" t="n"/>
      <c r="R14" s="43" t="n"/>
      <c r="S14" s="43" t="n"/>
      <c r="T14" s="43" t="n"/>
      <c r="U14" s="43" t="n"/>
      <c r="V14" s="43" t="n"/>
      <c r="W14" s="43" t="n"/>
      <c r="X14" s="43" t="n"/>
      <c r="Y14" s="43" t="n"/>
      <c r="Z14" s="43" t="n"/>
      <c r="AA14" s="43" t="n"/>
    </row>
    <row r="15">
      <c r="A15" s="43" t="n"/>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3" t="n"/>
      <c r="Y15" s="43" t="n"/>
      <c r="Z15" s="43" t="n"/>
      <c r="AA15" s="43" t="n"/>
    </row>
    <row r="16">
      <c r="A16" s="43" t="n"/>
      <c r="B16" s="43" t="n"/>
      <c r="C16" s="43" t="n"/>
      <c r="D16" s="43" t="n"/>
      <c r="E16" s="43" t="n"/>
      <c r="F16" s="43" t="n"/>
      <c r="G16" s="43" t="n"/>
      <c r="H16" s="43" t="n"/>
      <c r="I16" s="43" t="n"/>
      <c r="J16" s="43" t="n"/>
      <c r="K16" s="43" t="n"/>
      <c r="L16" s="43" t="n"/>
      <c r="M16" s="43" t="n"/>
      <c r="N16" s="43" t="n"/>
      <c r="O16" s="43" t="n"/>
      <c r="P16" s="43" t="n"/>
      <c r="Q16" s="43" t="n"/>
      <c r="R16" s="43" t="n"/>
      <c r="S16" s="43" t="n"/>
      <c r="T16" s="43" t="n"/>
      <c r="U16" s="43" t="n"/>
      <c r="V16" s="43" t="n"/>
      <c r="W16" s="43" t="n"/>
      <c r="X16" s="43" t="n"/>
      <c r="Y16" s="43" t="n"/>
      <c r="Z16" s="43" t="n"/>
      <c r="AA16" s="43" t="n"/>
    </row>
    <row r="17">
      <c r="A17" s="43" t="n"/>
      <c r="B17" s="43" t="n"/>
      <c r="C17" s="43" t="n"/>
      <c r="D17" s="43" t="n"/>
      <c r="E17" s="43" t="n"/>
      <c r="F17" s="43" t="n"/>
      <c r="G17" s="43" t="n"/>
      <c r="H17" s="43" t="n"/>
      <c r="I17" s="43" t="n"/>
      <c r="J17" s="43" t="n"/>
      <c r="K17" s="43" t="n"/>
      <c r="L17" s="43" t="n"/>
      <c r="M17" s="43" t="n"/>
      <c r="N17" s="43" t="n"/>
      <c r="O17" s="43" t="n"/>
      <c r="P17" s="43" t="n"/>
      <c r="Q17" s="43" t="n"/>
      <c r="R17" s="43" t="n"/>
      <c r="S17" s="43" t="n"/>
      <c r="T17" s="43" t="n"/>
      <c r="U17" s="43" t="n"/>
      <c r="V17" s="43" t="n"/>
      <c r="W17" s="43" t="n"/>
      <c r="X17" s="43" t="n"/>
      <c r="Y17" s="43" t="n"/>
      <c r="Z17" s="43" t="n"/>
      <c r="AA17" s="43" t="n"/>
    </row>
    <row r="18">
      <c r="A18" s="43" t="n"/>
      <c r="B18" s="43" t="n"/>
      <c r="C18" s="43" t="n"/>
      <c r="D18" s="43" t="n"/>
      <c r="E18" s="43" t="n"/>
      <c r="F18" s="43" t="n"/>
      <c r="G18" s="43" t="n"/>
      <c r="H18" s="43" t="n"/>
      <c r="I18" s="43" t="n"/>
      <c r="J18" s="43" t="n"/>
      <c r="K18" s="43" t="n"/>
      <c r="L18" s="43" t="n"/>
      <c r="M18" s="43" t="n"/>
      <c r="N18" s="43" t="n"/>
      <c r="O18" s="43" t="n"/>
      <c r="P18" s="43" t="n"/>
      <c r="Q18" s="43" t="n"/>
      <c r="R18" s="43" t="n"/>
      <c r="S18" s="43" t="n"/>
      <c r="T18" s="43" t="n"/>
      <c r="U18" s="43" t="n"/>
      <c r="V18" s="43" t="n"/>
      <c r="W18" s="43" t="n"/>
      <c r="X18" s="43" t="n"/>
      <c r="Y18" s="43" t="n"/>
      <c r="Z18" s="43" t="n"/>
      <c r="AA18" s="43" t="n"/>
    </row>
    <row r="19">
      <c r="A19" s="43" t="n"/>
      <c r="B19" s="43" t="n"/>
      <c r="C19" s="43" t="n"/>
      <c r="D19" s="43" t="n"/>
      <c r="E19" s="43" t="n"/>
      <c r="F19" s="43" t="n"/>
      <c r="G19" s="43" t="n"/>
      <c r="H19" s="43" t="n"/>
      <c r="I19" s="43" t="n"/>
      <c r="J19" s="43" t="n"/>
      <c r="K19" s="43" t="n"/>
      <c r="L19" s="43" t="n"/>
      <c r="M19" s="43" t="n"/>
      <c r="N19" s="43" t="n"/>
      <c r="O19" s="43" t="n"/>
      <c r="P19" s="43" t="n"/>
      <c r="Q19" s="43" t="n"/>
      <c r="R19" s="43" t="n"/>
      <c r="S19" s="43" t="n"/>
      <c r="T19" s="43" t="n"/>
      <c r="U19" s="43" t="n"/>
      <c r="V19" s="43" t="n"/>
      <c r="W19" s="43" t="n"/>
      <c r="X19" s="43" t="n"/>
      <c r="Y19" s="43" t="n"/>
      <c r="Z19" s="43" t="n"/>
      <c r="AA19" s="43" t="n"/>
    </row>
    <row r="20">
      <c r="A20" s="43" t="n"/>
      <c r="B20" s="43" t="n"/>
      <c r="C20" s="43" t="n"/>
      <c r="D20" s="43" t="n"/>
      <c r="E20" s="43" t="n"/>
      <c r="F20" s="43" t="n"/>
      <c r="G20" s="43" t="n"/>
      <c r="H20" s="43" t="n"/>
      <c r="I20" s="43" t="n"/>
      <c r="J20" s="43" t="n"/>
      <c r="K20" s="43" t="n"/>
      <c r="L20" s="43" t="n"/>
      <c r="M20" s="43" t="n"/>
      <c r="N20" s="43" t="n"/>
      <c r="O20" s="43" t="n"/>
      <c r="P20" s="43" t="n"/>
      <c r="Q20" s="43" t="n"/>
      <c r="R20" s="43" t="n"/>
      <c r="S20" s="43" t="n"/>
      <c r="T20" s="43" t="n"/>
      <c r="U20" s="43" t="n"/>
      <c r="V20" s="43" t="n"/>
      <c r="W20" s="43" t="n"/>
      <c r="X20" s="43" t="n"/>
      <c r="Y20" s="43" t="n"/>
      <c r="Z20" s="43" t="n"/>
      <c r="AA20" s="43" t="n"/>
    </row>
    <row r="21">
      <c r="A21" s="43" t="n"/>
      <c r="B21" s="43" t="n"/>
      <c r="C21" s="43" t="n"/>
      <c r="D21" s="43" t="n"/>
      <c r="E21" s="43" t="n"/>
      <c r="F21" s="43" t="n"/>
      <c r="G21" s="43" t="n"/>
      <c r="H21" s="43" t="n"/>
      <c r="I21" s="43" t="n"/>
      <c r="J21" s="43" t="n"/>
      <c r="K21" s="43" t="n"/>
      <c r="L21" s="43" t="n"/>
      <c r="M21" s="43" t="n"/>
      <c r="N21" s="43" t="n"/>
      <c r="O21" s="43" t="n"/>
      <c r="P21" s="43" t="n"/>
      <c r="Q21" s="43" t="n"/>
      <c r="R21" s="43" t="n"/>
      <c r="S21" s="43" t="n"/>
      <c r="T21" s="43" t="n"/>
      <c r="U21" s="43" t="n"/>
      <c r="V21" s="43" t="n"/>
      <c r="W21" s="43" t="n"/>
      <c r="X21" s="43" t="n"/>
      <c r="Y21" s="43" t="n"/>
      <c r="Z21" s="43" t="n"/>
      <c r="AA21" s="43" t="n"/>
    </row>
    <row r="22">
      <c r="A22" s="43" t="n"/>
      <c r="B22" s="43" t="n"/>
      <c r="C22" s="43" t="n"/>
      <c r="D22" s="43" t="n"/>
      <c r="E22" s="43" t="n"/>
      <c r="F22" s="43" t="n"/>
      <c r="G22" s="43" t="n"/>
      <c r="H22" s="43" t="n"/>
      <c r="I22" s="43" t="n"/>
      <c r="J22" s="43" t="n"/>
      <c r="K22" s="43" t="n"/>
      <c r="L22" s="43" t="n"/>
      <c r="M22" s="43" t="n"/>
      <c r="N22" s="43" t="n"/>
      <c r="O22" s="43" t="n"/>
      <c r="P22" s="43" t="n"/>
      <c r="Q22" s="43" t="n"/>
      <c r="R22" s="43" t="n"/>
      <c r="S22" s="43" t="n"/>
      <c r="T22" s="43" t="n"/>
      <c r="U22" s="43" t="n"/>
      <c r="V22" s="43" t="n"/>
      <c r="W22" s="43" t="n"/>
      <c r="X22" s="43" t="n"/>
      <c r="Y22" s="43" t="n"/>
      <c r="Z22" s="43" t="n"/>
      <c r="AA22" s="43" t="n"/>
    </row>
    <row r="23">
      <c r="A23" s="43" t="n"/>
      <c r="B23" s="43" t="n"/>
      <c r="C23" s="43" t="n"/>
      <c r="D23" s="43" t="n"/>
      <c r="E23" s="43" t="n"/>
      <c r="F23" s="43" t="n"/>
      <c r="G23" s="43" t="n"/>
      <c r="H23" s="43" t="n"/>
      <c r="I23" s="43" t="n"/>
      <c r="J23" s="43" t="n"/>
      <c r="K23" s="43" t="n"/>
      <c r="L23" s="43" t="n"/>
      <c r="M23" s="43" t="n"/>
      <c r="N23" s="43" t="n"/>
      <c r="O23" s="43" t="n"/>
      <c r="P23" s="43" t="n"/>
      <c r="Q23" s="43" t="n"/>
      <c r="R23" s="43" t="n"/>
      <c r="S23" s="43" t="n"/>
      <c r="T23" s="43" t="n"/>
      <c r="U23" s="43" t="n"/>
      <c r="V23" s="43" t="n"/>
      <c r="W23" s="43" t="n"/>
      <c r="X23" s="43" t="n"/>
      <c r="Y23" s="43" t="n"/>
      <c r="Z23" s="43" t="n"/>
      <c r="AA23" s="43" t="n"/>
    </row>
    <row r="24">
      <c r="A24" s="43" t="n"/>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3" t="n"/>
      <c r="Y24" s="43" t="n"/>
      <c r="Z24" s="43" t="n"/>
      <c r="AA24" s="43" t="n"/>
    </row>
    <row r="25">
      <c r="A25" s="43" t="n"/>
      <c r="B25" s="43" t="n"/>
      <c r="C25" s="43" t="n"/>
      <c r="D25" s="43" t="n"/>
      <c r="E25" s="43" t="n"/>
      <c r="F25" s="43" t="n"/>
      <c r="G25" s="43" t="n"/>
      <c r="H25" s="43" t="n"/>
      <c r="I25" s="43" t="n"/>
      <c r="J25" s="43" t="n"/>
      <c r="K25" s="43" t="n"/>
      <c r="L25" s="43" t="n"/>
      <c r="M25" s="43" t="n"/>
      <c r="N25" s="43" t="n"/>
      <c r="O25" s="43" t="n"/>
      <c r="P25" s="43" t="n"/>
      <c r="Q25" s="43" t="n"/>
      <c r="R25" s="43" t="n"/>
      <c r="S25" s="43" t="n"/>
      <c r="T25" s="43" t="n"/>
      <c r="U25" s="43" t="n"/>
      <c r="V25" s="43" t="n"/>
      <c r="W25" s="43" t="n"/>
      <c r="X25" s="43" t="n"/>
      <c r="Y25" s="43" t="n"/>
      <c r="Z25" s="43" t="n"/>
      <c r="AA25" s="43" t="n"/>
    </row>
    <row r="26">
      <c r="A26" s="43" t="n"/>
      <c r="B26" s="43" t="n"/>
      <c r="C26" s="43" t="n"/>
      <c r="D26" s="43" t="n"/>
      <c r="E26" s="43" t="n"/>
      <c r="F26" s="43" t="n"/>
      <c r="G26" s="43" t="n"/>
      <c r="H26" s="43" t="n"/>
      <c r="I26" s="43" t="n"/>
      <c r="J26" s="43" t="n"/>
      <c r="K26" s="43" t="n"/>
      <c r="L26" s="43" t="n"/>
      <c r="M26" s="43" t="n"/>
      <c r="N26" s="43" t="n"/>
      <c r="O26" s="43" t="n"/>
      <c r="P26" s="43" t="n"/>
      <c r="Q26" s="43" t="n"/>
      <c r="R26" s="43" t="n"/>
      <c r="S26" s="43" t="n"/>
      <c r="T26" s="43" t="n"/>
      <c r="U26" s="43" t="n"/>
      <c r="V26" s="43" t="n"/>
      <c r="W26" s="43" t="n"/>
      <c r="X26" s="43" t="n"/>
      <c r="Y26" s="43" t="n"/>
      <c r="Z26" s="43" t="n"/>
      <c r="AA26" s="43" t="n"/>
    </row>
    <row r="27">
      <c r="A27" s="43" t="n"/>
      <c r="B27" s="43" t="n"/>
      <c r="C27" s="43" t="n"/>
      <c r="D27" s="43" t="n"/>
      <c r="E27" s="43" t="n"/>
      <c r="F27" s="43" t="n"/>
      <c r="G27" s="43" t="n"/>
      <c r="H27" s="43" t="n"/>
      <c r="I27" s="43" t="n"/>
      <c r="J27" s="43" t="n"/>
      <c r="K27" s="43" t="n"/>
      <c r="L27" s="43" t="n"/>
      <c r="M27" s="43" t="n"/>
      <c r="N27" s="43" t="n"/>
      <c r="O27" s="43" t="n"/>
      <c r="P27" s="43" t="n"/>
      <c r="Q27" s="43" t="n"/>
      <c r="R27" s="43" t="n"/>
      <c r="S27" s="43" t="n"/>
      <c r="T27" s="43" t="n"/>
      <c r="U27" s="43" t="n"/>
      <c r="V27" s="43" t="n"/>
      <c r="W27" s="43" t="n"/>
      <c r="X27" s="43" t="n"/>
      <c r="Y27" s="43" t="n"/>
      <c r="Z27" s="43" t="n"/>
      <c r="AA27" s="43" t="n"/>
    </row>
    <row r="28">
      <c r="A28" s="43" t="n"/>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3" t="n"/>
      <c r="Y28" s="43" t="n"/>
      <c r="Z28" s="43" t="n"/>
      <c r="AA28" s="43" t="n"/>
    </row>
    <row r="29">
      <c r="A29" s="43" t="n"/>
      <c r="B29" s="43" t="n"/>
      <c r="C29" s="43" t="n"/>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3" t="n"/>
      <c r="Y29" s="43" t="n"/>
      <c r="Z29" s="43" t="n"/>
      <c r="AA29" s="43" t="n"/>
    </row>
    <row r="30">
      <c r="A30" s="43" t="n"/>
      <c r="B30" s="43" t="n"/>
      <c r="C30" s="43" t="n"/>
      <c r="D30" s="43" t="n"/>
      <c r="E30" s="43" t="n"/>
      <c r="F30" s="43" t="n"/>
      <c r="G30" s="43" t="n"/>
      <c r="H30" s="43" t="n"/>
      <c r="I30" s="43" t="n"/>
      <c r="J30" s="43" t="n"/>
      <c r="K30" s="43" t="n"/>
      <c r="L30" s="43" t="n"/>
      <c r="M30" s="43" t="n"/>
      <c r="N30" s="43" t="n"/>
      <c r="O30" s="43" t="n"/>
      <c r="P30" s="43" t="n"/>
      <c r="Q30" s="43" t="n"/>
      <c r="R30" s="43" t="n"/>
      <c r="S30" s="43" t="n"/>
      <c r="T30" s="43" t="n"/>
      <c r="U30" s="43" t="n"/>
      <c r="V30" s="43" t="n"/>
      <c r="W30" s="43" t="n"/>
      <c r="X30" s="43" t="n"/>
      <c r="Y30" s="43" t="n"/>
      <c r="Z30" s="43" t="n"/>
      <c r="AA30" s="43" t="n"/>
    </row>
    <row r="31">
      <c r="A31" s="43" t="n"/>
      <c r="B31" s="43" t="n"/>
      <c r="C31" s="43" t="n"/>
      <c r="D31" s="43" t="n"/>
      <c r="E31" s="43" t="n"/>
      <c r="F31" s="43" t="n"/>
      <c r="G31" s="43" t="n"/>
      <c r="H31" s="43" t="n"/>
      <c r="I31" s="43" t="n"/>
      <c r="J31" s="43" t="n"/>
      <c r="K31" s="43" t="n"/>
      <c r="L31" s="43" t="n"/>
      <c r="M31" s="43" t="n"/>
      <c r="N31" s="43" t="n"/>
      <c r="O31" s="43" t="n"/>
      <c r="P31" s="43" t="n"/>
      <c r="Q31" s="43" t="n"/>
      <c r="R31" s="43" t="n"/>
      <c r="S31" s="43" t="n"/>
      <c r="T31" s="43" t="n"/>
      <c r="U31" s="43" t="n"/>
      <c r="V31" s="43" t="n"/>
      <c r="W31" s="43" t="n"/>
      <c r="X31" s="43" t="n"/>
      <c r="Y31" s="43" t="n"/>
      <c r="Z31" s="43" t="n"/>
      <c r="AA31" s="43" t="n"/>
    </row>
    <row r="32">
      <c r="A32" s="43" t="n"/>
      <c r="B32" s="43" t="n"/>
      <c r="C32" s="43" t="n"/>
      <c r="D32" s="43" t="n"/>
      <c r="E32" s="43" t="n"/>
      <c r="F32" s="43" t="n"/>
      <c r="G32" s="43" t="n"/>
      <c r="H32" s="43" t="n"/>
      <c r="I32" s="43" t="n"/>
      <c r="J32" s="43" t="n"/>
      <c r="K32" s="43" t="n"/>
      <c r="L32" s="43" t="n"/>
      <c r="M32" s="43" t="n"/>
      <c r="N32" s="43" t="n"/>
      <c r="O32" s="43" t="n"/>
      <c r="P32" s="43" t="n"/>
      <c r="Q32" s="43" t="n"/>
      <c r="R32" s="43" t="n"/>
      <c r="S32" s="43" t="n"/>
      <c r="T32" s="43" t="n"/>
      <c r="U32" s="43" t="n"/>
      <c r="V32" s="43" t="n"/>
      <c r="W32" s="43" t="n"/>
      <c r="X32" s="43" t="n"/>
      <c r="Y32" s="43" t="n"/>
      <c r="Z32" s="43" t="n"/>
      <c r="AA32" s="43" t="n"/>
    </row>
    <row r="33">
      <c r="A33" s="43" t="n"/>
      <c r="B33" s="43" t="n"/>
      <c r="C33" s="43" t="n"/>
      <c r="D33" s="43" t="n"/>
      <c r="E33" s="43" t="n"/>
      <c r="F33" s="43" t="n"/>
      <c r="G33" s="43" t="n"/>
      <c r="H33" s="43" t="n"/>
      <c r="I33" s="43" t="n"/>
      <c r="J33" s="43" t="n"/>
      <c r="K33" s="43" t="n"/>
      <c r="L33" s="43" t="n"/>
      <c r="M33" s="43" t="n"/>
      <c r="N33" s="43" t="n"/>
      <c r="O33" s="43" t="n"/>
      <c r="P33" s="43" t="n"/>
      <c r="Q33" s="43" t="n"/>
      <c r="R33" s="43" t="n"/>
      <c r="S33" s="43" t="n"/>
      <c r="T33" s="43" t="n"/>
      <c r="U33" s="43" t="n"/>
      <c r="V33" s="43" t="n"/>
      <c r="W33" s="43" t="n"/>
      <c r="X33" s="43" t="n"/>
      <c r="Y33" s="43" t="n"/>
      <c r="Z33" s="43" t="n"/>
      <c r="AA33" s="43" t="n"/>
    </row>
    <row r="34">
      <c r="A34" s="43" t="n"/>
      <c r="B34" s="43" t="n"/>
      <c r="C34" s="43" t="n"/>
      <c r="D34" s="43" t="n"/>
      <c r="E34" s="43" t="n"/>
      <c r="F34" s="43" t="n"/>
      <c r="G34" s="43" t="n"/>
      <c r="H34" s="43" t="n"/>
      <c r="I34" s="43" t="n"/>
      <c r="J34" s="43" t="n"/>
      <c r="K34" s="43" t="n"/>
      <c r="L34" s="43" t="n"/>
      <c r="M34" s="43" t="n"/>
      <c r="N34" s="43" t="n"/>
      <c r="O34" s="43" t="n"/>
      <c r="P34" s="43" t="n"/>
      <c r="Q34" s="43" t="n"/>
      <c r="R34" s="43" t="n"/>
      <c r="S34" s="43" t="n"/>
      <c r="T34" s="43" t="n"/>
      <c r="U34" s="43" t="n"/>
      <c r="V34" s="43" t="n"/>
      <c r="W34" s="43" t="n"/>
      <c r="X34" s="43" t="n"/>
      <c r="Y34" s="43" t="n"/>
      <c r="Z34" s="43" t="n"/>
      <c r="AA34" s="43" t="n"/>
    </row>
    <row r="35">
      <c r="A35" s="43" t="n"/>
      <c r="B35" s="43" t="n"/>
      <c r="C35" s="43" t="n"/>
      <c r="D35" s="43" t="n"/>
      <c r="E35" s="43" t="n"/>
      <c r="F35" s="43" t="n"/>
      <c r="G35" s="43" t="n"/>
      <c r="H35" s="43" t="n"/>
      <c r="I35" s="43" t="n"/>
      <c r="J35" s="43" t="n"/>
      <c r="K35" s="43" t="n"/>
      <c r="L35" s="43" t="n"/>
      <c r="M35" s="43" t="n"/>
      <c r="N35" s="43" t="n"/>
      <c r="O35" s="43" t="n"/>
      <c r="P35" s="43" t="n"/>
      <c r="Q35" s="43" t="n"/>
      <c r="R35" s="43" t="n"/>
      <c r="S35" s="43" t="n"/>
      <c r="T35" s="43" t="n"/>
      <c r="U35" s="43" t="n"/>
      <c r="V35" s="43" t="n"/>
      <c r="W35" s="43" t="n"/>
      <c r="X35" s="43" t="n"/>
      <c r="Y35" s="43" t="n"/>
      <c r="Z35" s="43" t="n"/>
      <c r="AA35" s="43" t="n"/>
    </row>
    <row r="36">
      <c r="A36" s="43" t="n"/>
      <c r="B36" s="43" t="n"/>
      <c r="C36" s="43" t="n"/>
      <c r="D36" s="43" t="n"/>
      <c r="E36" s="43" t="n"/>
      <c r="F36" s="43" t="n"/>
      <c r="G36" s="43" t="n"/>
      <c r="H36" s="43" t="n"/>
      <c r="I36" s="43" t="n"/>
      <c r="J36" s="43" t="n"/>
      <c r="K36" s="43" t="n"/>
      <c r="L36" s="43" t="n"/>
      <c r="M36" s="43" t="n"/>
      <c r="N36" s="43" t="n"/>
      <c r="O36" s="43" t="n"/>
      <c r="P36" s="43" t="n"/>
      <c r="Q36" s="43" t="n"/>
      <c r="R36" s="43" t="n"/>
      <c r="S36" s="43" t="n"/>
      <c r="T36" s="43" t="n"/>
      <c r="U36" s="43" t="n"/>
      <c r="V36" s="43" t="n"/>
      <c r="W36" s="43" t="n"/>
      <c r="X36" s="43" t="n"/>
      <c r="Y36" s="43" t="n"/>
      <c r="Z36" s="43" t="n"/>
      <c r="AA36" s="43" t="n"/>
    </row>
    <row r="37">
      <c r="A37" s="43" t="n"/>
      <c r="B37" s="43" t="n"/>
      <c r="C37" s="43" t="n"/>
      <c r="D37" s="43" t="n"/>
      <c r="E37" s="43" t="n"/>
      <c r="F37" s="43" t="n"/>
      <c r="G37" s="43" t="n"/>
      <c r="H37" s="43" t="n"/>
      <c r="I37" s="43" t="n"/>
      <c r="J37" s="43" t="n"/>
      <c r="K37" s="43" t="n"/>
      <c r="L37" s="43" t="n"/>
      <c r="M37" s="43" t="n"/>
      <c r="N37" s="43" t="n"/>
      <c r="O37" s="43" t="n"/>
      <c r="P37" s="43" t="n"/>
      <c r="Q37" s="43" t="n"/>
      <c r="R37" s="43" t="n"/>
      <c r="S37" s="43" t="n"/>
      <c r="T37" s="43" t="n"/>
      <c r="U37" s="43" t="n"/>
      <c r="V37" s="43" t="n"/>
      <c r="W37" s="43" t="n"/>
      <c r="X37" s="43" t="n"/>
      <c r="Y37" s="43" t="n"/>
      <c r="Z37" s="43" t="n"/>
      <c r="AA37" s="43" t="n"/>
    </row>
    <row r="38">
      <c r="A38" s="43" t="n"/>
      <c r="B38" s="43" t="n"/>
      <c r="C38" s="43" t="n"/>
      <c r="D38" s="43" t="n"/>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n"/>
      <c r="AA38" s="43" t="n"/>
    </row>
    <row r="39">
      <c r="A39" s="43" t="n"/>
      <c r="B39" s="43" t="n"/>
      <c r="C39" s="43" t="n"/>
      <c r="D39" s="43" t="n"/>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c r="AA39" s="43" t="n"/>
    </row>
    <row r="40">
      <c r="A40" s="43" t="n"/>
      <c r="B40" s="43" t="n"/>
      <c r="C40" s="43" t="n"/>
      <c r="D40" s="43" t="n"/>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c r="AA40" s="43" t="n"/>
    </row>
    <row r="41">
      <c r="A41" s="43" t="n"/>
      <c r="B41" s="43" t="n"/>
      <c r="C41" s="43" t="n"/>
      <c r="D41" s="43" t="n"/>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c r="AA41" s="43" t="n"/>
    </row>
    <row r="42">
      <c r="A42" s="43" t="n"/>
      <c r="B42" s="43" t="n"/>
      <c r="C42" s="43" t="n"/>
      <c r="D42" s="43" t="n"/>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c r="AA42" s="43" t="n"/>
    </row>
    <row r="43">
      <c r="A43" s="43" t="n"/>
      <c r="B43" s="43" t="n"/>
      <c r="C43" s="43" t="n"/>
      <c r="D43" s="43"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c r="AA43" s="43" t="n"/>
    </row>
    <row r="44">
      <c r="A44" s="43" t="n"/>
      <c r="B44" s="43" t="n"/>
      <c r="C44" s="43" t="n"/>
      <c r="D44" s="43" t="n"/>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n"/>
      <c r="AA44" s="43" t="n"/>
    </row>
    <row r="45">
      <c r="A45" s="43" t="n"/>
      <c r="B45" s="43" t="n"/>
      <c r="C45" s="43" t="n"/>
      <c r="D45" s="43" t="n"/>
      <c r="E45" s="43" t="n"/>
      <c r="F45" s="43" t="n"/>
      <c r="G45" s="43" t="n"/>
      <c r="H45" s="43" t="n"/>
      <c r="I45" s="43" t="n"/>
      <c r="J45" s="43" t="n"/>
      <c r="K45" s="43" t="n"/>
      <c r="L45" s="43" t="n"/>
      <c r="M45" s="43" t="n"/>
      <c r="N45" s="43" t="n"/>
      <c r="O45" s="43" t="n"/>
      <c r="P45" s="43" t="n"/>
      <c r="Q45" s="43" t="n"/>
      <c r="R45" s="43" t="n"/>
      <c r="S45" s="43" t="n"/>
      <c r="T45" s="43" t="n"/>
      <c r="U45" s="43" t="n"/>
      <c r="V45" s="43" t="n"/>
      <c r="W45" s="43" t="n"/>
      <c r="X45" s="43" t="n"/>
      <c r="Y45" s="43" t="n"/>
      <c r="Z45" s="43" t="n"/>
      <c r="AA45" s="43" t="n"/>
    </row>
    <row r="46">
      <c r="A46" s="43" t="n"/>
      <c r="B46" s="43" t="n"/>
      <c r="C46" s="43" t="n"/>
      <c r="D46" s="43"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c r="AA46" s="43" t="n"/>
    </row>
    <row r="47">
      <c r="A47" s="43" t="n"/>
      <c r="B47" s="43" t="n"/>
      <c r="C47" s="43" t="n"/>
      <c r="D47" s="43" t="n"/>
      <c r="E47" s="43" t="n"/>
      <c r="F47" s="43" t="n"/>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c r="AA47" s="43" t="n"/>
    </row>
    <row r="48">
      <c r="A48" s="43" t="n"/>
      <c r="B48" s="43" t="n"/>
      <c r="C48" s="43" t="n"/>
      <c r="D48" s="43" t="n"/>
      <c r="E48" s="43" t="n"/>
      <c r="F48" s="43" t="n"/>
      <c r="G48" s="43" t="n"/>
      <c r="H48" s="43" t="n"/>
      <c r="I48" s="43" t="n"/>
      <c r="J48" s="43" t="n"/>
      <c r="K48" s="43" t="n"/>
      <c r="L48" s="43" t="n"/>
      <c r="M48" s="43" t="n"/>
      <c r="N48" s="43" t="n"/>
      <c r="O48" s="43" t="n"/>
      <c r="P48" s="43" t="n"/>
      <c r="Q48" s="43" t="n"/>
      <c r="R48" s="43" t="n"/>
      <c r="S48" s="43" t="n"/>
      <c r="T48" s="43" t="n"/>
      <c r="U48" s="43" t="n"/>
      <c r="V48" s="43" t="n"/>
      <c r="W48" s="43" t="n"/>
      <c r="X48" s="43" t="n"/>
      <c r="Y48" s="43" t="n"/>
      <c r="Z48" s="43" t="n"/>
      <c r="AA48" s="43" t="n"/>
    </row>
    <row r="49">
      <c r="A49" s="43" t="n"/>
      <c r="B49" s="43" t="n"/>
      <c r="C49" s="43" t="n"/>
      <c r="D49" s="43" t="n"/>
      <c r="E49" s="43" t="n"/>
      <c r="F49" s="43" t="n"/>
      <c r="G49" s="43" t="n"/>
      <c r="H49" s="43" t="n"/>
      <c r="I49" s="43" t="n"/>
      <c r="J49" s="43" t="n"/>
      <c r="K49" s="43" t="n"/>
      <c r="L49" s="43" t="n"/>
      <c r="M49" s="43" t="n"/>
      <c r="N49" s="43" t="n"/>
      <c r="O49" s="43" t="n"/>
      <c r="P49" s="43" t="n"/>
      <c r="Q49" s="43" t="n"/>
      <c r="R49" s="43" t="n"/>
      <c r="S49" s="43" t="n"/>
      <c r="T49" s="43" t="n"/>
      <c r="U49" s="43" t="n"/>
      <c r="V49" s="43" t="n"/>
      <c r="W49" s="43" t="n"/>
      <c r="X49" s="43" t="n"/>
      <c r="Y49" s="43" t="n"/>
      <c r="Z49" s="43" t="n"/>
      <c r="AA49" s="43" t="n"/>
    </row>
    <row r="50">
      <c r="A50" s="43" t="n"/>
      <c r="B50" s="43" t="n"/>
      <c r="C50" s="43" t="n"/>
      <c r="D50" s="43" t="n"/>
      <c r="E50" s="43" t="n"/>
      <c r="F50" s="43" t="n"/>
      <c r="G50" s="43" t="n"/>
      <c r="H50" s="43" t="n"/>
      <c r="I50" s="43" t="n"/>
      <c r="J50" s="43" t="n"/>
      <c r="K50" s="43" t="n"/>
      <c r="L50" s="43" t="n"/>
      <c r="M50" s="43" t="n"/>
      <c r="N50" s="43" t="n"/>
      <c r="O50" s="43" t="n"/>
      <c r="P50" s="43" t="n"/>
      <c r="Q50" s="43" t="n"/>
      <c r="R50" s="43" t="n"/>
      <c r="S50" s="43" t="n"/>
      <c r="T50" s="43" t="n"/>
      <c r="U50" s="43" t="n"/>
      <c r="V50" s="43" t="n"/>
      <c r="W50" s="43" t="n"/>
      <c r="X50" s="43" t="n"/>
      <c r="Y50" s="43" t="n"/>
      <c r="Z50" s="43" t="n"/>
      <c r="AA50" s="43" t="n"/>
    </row>
    <row r="51">
      <c r="A51" s="43" t="n"/>
      <c r="B51" s="43" t="n"/>
      <c r="C51" s="43" t="n"/>
      <c r="D51" s="43" t="n"/>
      <c r="E51" s="43" t="n"/>
      <c r="F51" s="43" t="n"/>
      <c r="G51" s="43" t="n"/>
      <c r="H51" s="43" t="n"/>
      <c r="I51" s="43" t="n"/>
      <c r="J51" s="43" t="n"/>
      <c r="K51" s="43" t="n"/>
      <c r="L51" s="43" t="n"/>
      <c r="M51" s="43" t="n"/>
      <c r="N51" s="43" t="n"/>
      <c r="O51" s="43" t="n"/>
      <c r="P51" s="43" t="n"/>
      <c r="Q51" s="43" t="n"/>
      <c r="R51" s="43" t="n"/>
      <c r="S51" s="43" t="n"/>
      <c r="T51" s="43" t="n"/>
      <c r="U51" s="43" t="n"/>
      <c r="V51" s="43" t="n"/>
      <c r="W51" s="43" t="n"/>
      <c r="X51" s="43" t="n"/>
      <c r="Y51" s="43" t="n"/>
      <c r="Z51" s="43" t="n"/>
      <c r="AA51" s="43" t="n"/>
    </row>
    <row r="52">
      <c r="A52" s="43" t="n"/>
      <c r="B52" s="43" t="n"/>
      <c r="C52" s="43" t="n"/>
      <c r="D52" s="43" t="n"/>
      <c r="E52" s="43" t="n"/>
      <c r="F52" s="43" t="n"/>
      <c r="G52" s="43" t="n"/>
      <c r="H52" s="43" t="n"/>
      <c r="I52" s="43" t="n"/>
      <c r="J52" s="43" t="n"/>
      <c r="K52" s="43" t="n"/>
      <c r="L52" s="43" t="n"/>
      <c r="M52" s="43" t="n"/>
      <c r="N52" s="43" t="n"/>
      <c r="O52" s="43" t="n"/>
      <c r="P52" s="43" t="n"/>
      <c r="Q52" s="43" t="n"/>
      <c r="R52" s="43" t="n"/>
      <c r="S52" s="43" t="n"/>
      <c r="T52" s="43" t="n"/>
      <c r="U52" s="43" t="n"/>
      <c r="V52" s="43" t="n"/>
      <c r="W52" s="43" t="n"/>
      <c r="X52" s="43" t="n"/>
      <c r="Y52" s="43" t="n"/>
      <c r="Z52" s="43" t="n"/>
      <c r="AA52" s="43" t="n"/>
    </row>
    <row r="53">
      <c r="A53" s="43" t="n"/>
      <c r="B53" s="43" t="n"/>
      <c r="C53" s="43" t="n"/>
      <c r="D53" s="43" t="n"/>
      <c r="E53" s="43" t="n"/>
      <c r="F53" s="43" t="n"/>
      <c r="G53" s="43" t="n"/>
      <c r="H53" s="43" t="n"/>
      <c r="I53" s="43" t="n"/>
      <c r="J53" s="43" t="n"/>
      <c r="K53" s="43" t="n"/>
      <c r="L53" s="43" t="n"/>
      <c r="M53" s="43" t="n"/>
      <c r="N53" s="43" t="n"/>
      <c r="O53" s="43" t="n"/>
      <c r="P53" s="43" t="n"/>
      <c r="Q53" s="43" t="n"/>
      <c r="R53" s="43" t="n"/>
      <c r="S53" s="43" t="n"/>
      <c r="T53" s="43" t="n"/>
      <c r="U53" s="43" t="n"/>
      <c r="V53" s="43" t="n"/>
      <c r="W53" s="43" t="n"/>
      <c r="X53" s="43" t="n"/>
      <c r="Y53" s="43" t="n"/>
      <c r="Z53" s="43" t="n"/>
      <c r="AA53" s="43" t="n"/>
    </row>
    <row r="54">
      <c r="A54" s="43" t="n"/>
      <c r="B54" s="43" t="n"/>
      <c r="C54" s="43" t="n"/>
      <c r="D54" s="43" t="n"/>
      <c r="E54" s="43" t="n"/>
      <c r="F54" s="43" t="n"/>
      <c r="G54" s="43" t="n"/>
      <c r="H54" s="43" t="n"/>
      <c r="I54" s="43" t="n"/>
      <c r="J54" s="43" t="n"/>
      <c r="K54" s="43" t="n"/>
      <c r="L54" s="43" t="n"/>
      <c r="M54" s="43" t="n"/>
      <c r="N54" s="43" t="n"/>
      <c r="O54" s="43" t="n"/>
      <c r="P54" s="43" t="n"/>
      <c r="Q54" s="43" t="n"/>
      <c r="R54" s="43" t="n"/>
      <c r="S54" s="43" t="n"/>
      <c r="T54" s="43" t="n"/>
      <c r="U54" s="43" t="n"/>
      <c r="V54" s="43" t="n"/>
      <c r="W54" s="43" t="n"/>
      <c r="X54" s="43" t="n"/>
      <c r="Y54" s="43" t="n"/>
      <c r="Z54" s="43" t="n"/>
      <c r="AA54" s="43" t="n"/>
    </row>
    <row r="55">
      <c r="A55" s="43" t="n"/>
      <c r="B55" s="43" t="n"/>
      <c r="C55" s="43" t="n"/>
      <c r="D55" s="43" t="n"/>
      <c r="E55" s="43" t="n"/>
      <c r="F55" s="43" t="n"/>
      <c r="G55" s="43" t="n"/>
      <c r="H55" s="43" t="n"/>
      <c r="I55" s="43" t="n"/>
      <c r="J55" s="43" t="n"/>
      <c r="K55" s="43" t="n"/>
      <c r="L55" s="43" t="n"/>
      <c r="M55" s="43" t="n"/>
      <c r="N55" s="43" t="n"/>
      <c r="O55" s="43" t="n"/>
      <c r="P55" s="43" t="n"/>
      <c r="Q55" s="43" t="n"/>
      <c r="R55" s="43" t="n"/>
      <c r="S55" s="43" t="n"/>
      <c r="T55" s="43" t="n"/>
      <c r="U55" s="43" t="n"/>
      <c r="V55" s="43" t="n"/>
      <c r="W55" s="43" t="n"/>
      <c r="X55" s="43" t="n"/>
      <c r="Y55" s="43" t="n"/>
      <c r="Z55" s="43" t="n"/>
      <c r="AA55" s="43" t="n"/>
    </row>
    <row r="56">
      <c r="A56" s="43" t="n"/>
      <c r="B56" s="43" t="n"/>
      <c r="C56" s="43" t="n"/>
      <c r="D56" s="43" t="n"/>
      <c r="E56" s="43" t="n"/>
      <c r="F56" s="43" t="n"/>
      <c r="G56" s="43" t="n"/>
      <c r="H56" s="43" t="n"/>
      <c r="I56" s="43" t="n"/>
      <c r="J56" s="43" t="n"/>
      <c r="K56" s="43" t="n"/>
      <c r="L56" s="43" t="n"/>
      <c r="M56" s="43" t="n"/>
      <c r="N56" s="43" t="n"/>
      <c r="O56" s="43" t="n"/>
      <c r="P56" s="43" t="n"/>
      <c r="Q56" s="43" t="n"/>
      <c r="R56" s="43" t="n"/>
      <c r="S56" s="43" t="n"/>
      <c r="T56" s="43" t="n"/>
      <c r="U56" s="43" t="n"/>
      <c r="V56" s="43" t="n"/>
      <c r="W56" s="43" t="n"/>
      <c r="X56" s="43" t="n"/>
      <c r="Y56" s="43" t="n"/>
      <c r="Z56" s="43" t="n"/>
      <c r="AA56" s="43" t="n"/>
    </row>
    <row r="57">
      <c r="A57" s="43" t="n"/>
      <c r="B57" s="43" t="n"/>
      <c r="C57" s="43" t="n"/>
      <c r="D57" s="43" t="n"/>
      <c r="E57" s="43" t="n"/>
      <c r="F57" s="43" t="n"/>
      <c r="G57" s="43" t="n"/>
      <c r="H57" s="43" t="n"/>
      <c r="I57" s="43" t="n"/>
      <c r="J57" s="43" t="n"/>
      <c r="K57" s="43" t="n"/>
      <c r="L57" s="43" t="n"/>
      <c r="M57" s="43" t="n"/>
      <c r="N57" s="43" t="n"/>
      <c r="O57" s="43" t="n"/>
      <c r="P57" s="43" t="n"/>
      <c r="Q57" s="43" t="n"/>
      <c r="R57" s="43" t="n"/>
      <c r="S57" s="43" t="n"/>
      <c r="T57" s="43" t="n"/>
      <c r="U57" s="43" t="n"/>
      <c r="V57" s="43" t="n"/>
      <c r="W57" s="43" t="n"/>
      <c r="X57" s="43" t="n"/>
      <c r="Y57" s="43" t="n"/>
      <c r="Z57" s="43" t="n"/>
      <c r="AA57" s="43" t="n"/>
    </row>
    <row r="58">
      <c r="A58" s="43" t="n"/>
      <c r="B58" s="43" t="n"/>
      <c r="C58" s="43" t="n"/>
      <c r="D58" s="43" t="n"/>
      <c r="E58" s="43" t="n"/>
      <c r="F58" s="43" t="n"/>
      <c r="G58" s="43" t="n"/>
      <c r="H58" s="43" t="n"/>
      <c r="I58" s="43" t="n"/>
      <c r="J58" s="43" t="n"/>
      <c r="K58" s="43" t="n"/>
      <c r="L58" s="43" t="n"/>
      <c r="M58" s="43" t="n"/>
      <c r="N58" s="43" t="n"/>
      <c r="O58" s="43" t="n"/>
      <c r="P58" s="43" t="n"/>
      <c r="Q58" s="43" t="n"/>
      <c r="R58" s="43" t="n"/>
      <c r="S58" s="43" t="n"/>
      <c r="T58" s="43" t="n"/>
      <c r="U58" s="43" t="n"/>
      <c r="V58" s="43" t="n"/>
      <c r="W58" s="43" t="n"/>
      <c r="X58" s="43" t="n"/>
      <c r="Y58" s="43" t="n"/>
      <c r="Z58" s="43" t="n"/>
      <c r="AA58" s="43" t="n"/>
    </row>
    <row r="59">
      <c r="A59" s="43" t="n"/>
      <c r="B59" s="43" t="n"/>
      <c r="C59" s="43" t="n"/>
      <c r="D59" s="43" t="n"/>
      <c r="E59" s="43" t="n"/>
      <c r="F59" s="43" t="n"/>
      <c r="G59" s="43" t="n"/>
      <c r="H59" s="43" t="n"/>
      <c r="I59" s="43" t="n"/>
      <c r="J59" s="43" t="n"/>
      <c r="K59" s="43" t="n"/>
      <c r="L59" s="43" t="n"/>
      <c r="M59" s="43" t="n"/>
      <c r="N59" s="43" t="n"/>
      <c r="O59" s="43" t="n"/>
      <c r="P59" s="43" t="n"/>
      <c r="Q59" s="43" t="n"/>
      <c r="R59" s="43" t="n"/>
      <c r="S59" s="43" t="n"/>
      <c r="T59" s="43" t="n"/>
      <c r="U59" s="43" t="n"/>
      <c r="V59" s="43" t="n"/>
      <c r="W59" s="43" t="n"/>
      <c r="X59" s="43" t="n"/>
      <c r="Y59" s="43" t="n"/>
      <c r="Z59" s="43" t="n"/>
      <c r="AA59" s="43" t="n"/>
    </row>
    <row r="60">
      <c r="A60" s="43" t="n"/>
      <c r="B60" s="43" t="n"/>
      <c r="C60" s="43" t="n"/>
      <c r="D60" s="43" t="n"/>
      <c r="E60" s="43" t="n"/>
      <c r="F60" s="43" t="n"/>
      <c r="G60" s="43" t="n"/>
      <c r="H60" s="43" t="n"/>
      <c r="I60" s="43" t="n"/>
      <c r="J60" s="43" t="n"/>
      <c r="K60" s="43" t="n"/>
      <c r="L60" s="43" t="n"/>
      <c r="M60" s="43" t="n"/>
      <c r="N60" s="43" t="n"/>
      <c r="O60" s="43" t="n"/>
      <c r="P60" s="43" t="n"/>
      <c r="Q60" s="43" t="n"/>
      <c r="R60" s="43" t="n"/>
      <c r="S60" s="43" t="n"/>
      <c r="T60" s="43" t="n"/>
      <c r="U60" s="43" t="n"/>
      <c r="V60" s="43" t="n"/>
      <c r="W60" s="43" t="n"/>
      <c r="X60" s="43" t="n"/>
      <c r="Y60" s="43" t="n"/>
      <c r="Z60" s="43" t="n"/>
      <c r="AA60" s="43" t="n"/>
    </row>
    <row r="61">
      <c r="A61" s="43" t="n"/>
      <c r="B61" s="43" t="n"/>
      <c r="C61" s="43" t="n"/>
      <c r="D61" s="43" t="n"/>
      <c r="E61" s="43" t="n"/>
      <c r="F61" s="43" t="n"/>
      <c r="G61" s="43" t="n"/>
      <c r="H61" s="43" t="n"/>
      <c r="I61" s="43" t="n"/>
      <c r="J61" s="43" t="n"/>
      <c r="K61" s="43" t="n"/>
      <c r="L61" s="43" t="n"/>
      <c r="M61" s="43" t="n"/>
      <c r="N61" s="43" t="n"/>
      <c r="O61" s="43" t="n"/>
      <c r="P61" s="43" t="n"/>
      <c r="Q61" s="43" t="n"/>
      <c r="R61" s="43" t="n"/>
      <c r="S61" s="43" t="n"/>
      <c r="T61" s="43" t="n"/>
      <c r="U61" s="43" t="n"/>
      <c r="V61" s="43" t="n"/>
      <c r="W61" s="43" t="n"/>
      <c r="X61" s="43" t="n"/>
      <c r="Y61" s="43" t="n"/>
      <c r="Z61" s="43" t="n"/>
      <c r="AA61" s="43" t="n"/>
    </row>
    <row r="62">
      <c r="A62" s="43" t="n"/>
      <c r="B62" s="43" t="n"/>
      <c r="C62" s="43" t="n"/>
      <c r="D62" s="43" t="n"/>
      <c r="E62" s="43" t="n"/>
      <c r="F62" s="43" t="n"/>
      <c r="G62" s="43" t="n"/>
      <c r="H62" s="43" t="n"/>
      <c r="I62" s="43" t="n"/>
      <c r="J62" s="43" t="n"/>
      <c r="K62" s="43" t="n"/>
      <c r="L62" s="43" t="n"/>
      <c r="M62" s="43" t="n"/>
      <c r="N62" s="43" t="n"/>
      <c r="O62" s="43" t="n"/>
      <c r="P62" s="43" t="n"/>
      <c r="Q62" s="43" t="n"/>
      <c r="R62" s="43" t="n"/>
      <c r="S62" s="43" t="n"/>
      <c r="T62" s="43" t="n"/>
      <c r="U62" s="43" t="n"/>
      <c r="V62" s="43" t="n"/>
      <c r="W62" s="43" t="n"/>
      <c r="X62" s="43" t="n"/>
      <c r="Y62" s="43" t="n"/>
      <c r="Z62" s="43" t="n"/>
      <c r="AA62" s="43" t="n"/>
    </row>
    <row r="63">
      <c r="A63" s="43" t="n"/>
      <c r="B63" s="43" t="n"/>
      <c r="C63" s="43" t="n"/>
      <c r="D63" s="43" t="n"/>
      <c r="E63" s="43" t="n"/>
      <c r="F63" s="43" t="n"/>
      <c r="G63" s="43" t="n"/>
      <c r="H63" s="43" t="n"/>
      <c r="I63" s="43" t="n"/>
      <c r="J63" s="43" t="n"/>
      <c r="K63" s="43" t="n"/>
      <c r="L63" s="43" t="n"/>
      <c r="M63" s="43" t="n"/>
      <c r="N63" s="43" t="n"/>
      <c r="O63" s="43" t="n"/>
      <c r="P63" s="43" t="n"/>
      <c r="Q63" s="43" t="n"/>
      <c r="R63" s="43" t="n"/>
      <c r="S63" s="43" t="n"/>
      <c r="T63" s="43" t="n"/>
      <c r="U63" s="43" t="n"/>
      <c r="V63" s="43" t="n"/>
      <c r="W63" s="43" t="n"/>
      <c r="X63" s="43" t="n"/>
      <c r="Y63" s="43" t="n"/>
      <c r="Z63" s="43" t="n"/>
      <c r="AA63" s="43" t="n"/>
    </row>
    <row r="64">
      <c r="A64" s="43" t="n"/>
      <c r="B64" s="43" t="n"/>
      <c r="C64" s="43" t="n"/>
      <c r="D64" s="43" t="n"/>
      <c r="E64" s="43" t="n"/>
      <c r="F64" s="43" t="n"/>
      <c r="G64" s="43" t="n"/>
      <c r="H64" s="43" t="n"/>
      <c r="I64" s="43" t="n"/>
      <c r="J64" s="43" t="n"/>
      <c r="K64" s="43" t="n"/>
      <c r="L64" s="43" t="n"/>
      <c r="M64" s="43" t="n"/>
      <c r="N64" s="43" t="n"/>
      <c r="O64" s="43" t="n"/>
      <c r="P64" s="43" t="n"/>
      <c r="Q64" s="43" t="n"/>
      <c r="R64" s="43" t="n"/>
      <c r="S64" s="43" t="n"/>
      <c r="T64" s="43" t="n"/>
      <c r="U64" s="43" t="n"/>
      <c r="V64" s="43" t="n"/>
      <c r="W64" s="43" t="n"/>
      <c r="X64" s="43" t="n"/>
      <c r="Y64" s="43" t="n"/>
      <c r="Z64" s="43" t="n"/>
      <c r="AA64" s="43" t="n"/>
    </row>
    <row r="65">
      <c r="A65" s="43" t="n"/>
      <c r="B65" s="43" t="n"/>
      <c r="C65" s="43" t="n"/>
      <c r="D65" s="43" t="n"/>
      <c r="E65" s="43" t="n"/>
      <c r="F65" s="43" t="n"/>
      <c r="G65" s="43" t="n"/>
      <c r="H65" s="43" t="n"/>
      <c r="I65" s="43" t="n"/>
      <c r="J65" s="43" t="n"/>
      <c r="K65" s="43" t="n"/>
      <c r="L65" s="43" t="n"/>
      <c r="M65" s="43" t="n"/>
      <c r="N65" s="43" t="n"/>
      <c r="O65" s="43" t="n"/>
      <c r="P65" s="43" t="n"/>
      <c r="Q65" s="43" t="n"/>
      <c r="R65" s="43" t="n"/>
      <c r="S65" s="43" t="n"/>
      <c r="T65" s="43" t="n"/>
      <c r="U65" s="43" t="n"/>
      <c r="V65" s="43" t="n"/>
      <c r="W65" s="43" t="n"/>
      <c r="X65" s="43" t="n"/>
      <c r="Y65" s="43" t="n"/>
      <c r="Z65" s="43" t="n"/>
      <c r="AA65" s="43" t="n"/>
    </row>
    <row r="66">
      <c r="A66" s="43" t="n"/>
      <c r="B66" s="43" t="n"/>
      <c r="C66" s="43" t="n"/>
      <c r="D66" s="43" t="n"/>
      <c r="E66" s="43" t="n"/>
      <c r="F66" s="43" t="n"/>
      <c r="G66" s="43" t="n"/>
      <c r="H66" s="43" t="n"/>
      <c r="I66" s="43" t="n"/>
      <c r="J66" s="43" t="n"/>
      <c r="K66" s="43" t="n"/>
      <c r="L66" s="43" t="n"/>
      <c r="M66" s="43" t="n"/>
      <c r="N66" s="43" t="n"/>
      <c r="O66" s="43" t="n"/>
      <c r="P66" s="43" t="n"/>
      <c r="Q66" s="43" t="n"/>
      <c r="R66" s="43" t="n"/>
      <c r="S66" s="43" t="n"/>
      <c r="T66" s="43" t="n"/>
      <c r="U66" s="43" t="n"/>
      <c r="V66" s="43" t="n"/>
      <c r="W66" s="43" t="n"/>
      <c r="X66" s="43" t="n"/>
      <c r="Y66" s="43" t="n"/>
      <c r="Z66" s="43" t="n"/>
      <c r="AA66" s="43" t="n"/>
    </row>
    <row r="67">
      <c r="A67" s="43" t="n"/>
      <c r="B67" s="43" t="n"/>
      <c r="C67" s="43" t="n"/>
      <c r="D67" s="43" t="n"/>
      <c r="E67" s="43" t="n"/>
      <c r="F67" s="43" t="n"/>
      <c r="G67" s="43" t="n"/>
      <c r="H67" s="43" t="n"/>
      <c r="I67" s="43" t="n"/>
      <c r="J67" s="43" t="n"/>
      <c r="K67" s="43" t="n"/>
      <c r="L67" s="43" t="n"/>
      <c r="M67" s="43" t="n"/>
      <c r="N67" s="43" t="n"/>
      <c r="O67" s="43" t="n"/>
      <c r="P67" s="43" t="n"/>
      <c r="Q67" s="43" t="n"/>
      <c r="R67" s="43" t="n"/>
      <c r="S67" s="43" t="n"/>
      <c r="T67" s="43" t="n"/>
      <c r="U67" s="43" t="n"/>
      <c r="V67" s="43" t="n"/>
      <c r="W67" s="43" t="n"/>
      <c r="X67" s="43" t="n"/>
      <c r="Y67" s="43" t="n"/>
      <c r="Z67" s="43" t="n"/>
      <c r="AA67" s="43" t="n"/>
    </row>
    <row r="68">
      <c r="A68" s="43" t="n"/>
      <c r="B68" s="43" t="n"/>
      <c r="C68" s="43" t="n"/>
      <c r="D68" s="43" t="n"/>
      <c r="E68" s="43" t="n"/>
      <c r="F68" s="43" t="n"/>
      <c r="G68" s="43" t="n"/>
      <c r="H68" s="43" t="n"/>
      <c r="I68" s="43" t="n"/>
      <c r="J68" s="43" t="n"/>
      <c r="K68" s="43" t="n"/>
      <c r="L68" s="43" t="n"/>
      <c r="M68" s="43" t="n"/>
      <c r="N68" s="43" t="n"/>
      <c r="O68" s="43" t="n"/>
      <c r="P68" s="43" t="n"/>
      <c r="Q68" s="43" t="n"/>
      <c r="R68" s="43" t="n"/>
      <c r="S68" s="43" t="n"/>
      <c r="T68" s="43" t="n"/>
      <c r="U68" s="43" t="n"/>
      <c r="V68" s="43" t="n"/>
      <c r="W68" s="43" t="n"/>
      <c r="X68" s="43" t="n"/>
      <c r="Y68" s="43" t="n"/>
      <c r="Z68" s="43" t="n"/>
      <c r="AA68" s="43" t="n"/>
    </row>
    <row r="69">
      <c r="A69" s="43" t="n"/>
      <c r="B69" s="43" t="n"/>
      <c r="C69" s="43" t="n"/>
      <c r="D69" s="43" t="n"/>
      <c r="E69" s="43" t="n"/>
      <c r="F69" s="43" t="n"/>
      <c r="G69" s="43" t="n"/>
      <c r="H69" s="43" t="n"/>
      <c r="I69" s="43" t="n"/>
      <c r="J69" s="43" t="n"/>
      <c r="K69" s="43" t="n"/>
      <c r="L69" s="43" t="n"/>
      <c r="M69" s="43" t="n"/>
      <c r="N69" s="43" t="n"/>
      <c r="O69" s="43" t="n"/>
      <c r="P69" s="43" t="n"/>
      <c r="Q69" s="43" t="n"/>
      <c r="R69" s="43" t="n"/>
      <c r="S69" s="43" t="n"/>
      <c r="T69" s="43" t="n"/>
      <c r="U69" s="43" t="n"/>
      <c r="V69" s="43" t="n"/>
      <c r="W69" s="43" t="n"/>
      <c r="X69" s="43" t="n"/>
      <c r="Y69" s="43" t="n"/>
      <c r="Z69" s="43" t="n"/>
      <c r="AA69" s="43" t="n"/>
    </row>
    <row r="70">
      <c r="A70" s="43" t="n"/>
      <c r="B70" s="43" t="n"/>
      <c r="C70" s="43" t="n"/>
      <c r="D70" s="43" t="n"/>
      <c r="E70" s="43" t="n"/>
      <c r="F70" s="43" t="n"/>
      <c r="G70" s="43" t="n"/>
      <c r="H70" s="43" t="n"/>
      <c r="I70" s="43" t="n"/>
      <c r="J70" s="43" t="n"/>
      <c r="K70" s="43" t="n"/>
      <c r="L70" s="43" t="n"/>
      <c r="M70" s="43" t="n"/>
      <c r="N70" s="43" t="n"/>
      <c r="O70" s="43" t="n"/>
      <c r="P70" s="43" t="n"/>
      <c r="Q70" s="43" t="n"/>
      <c r="R70" s="43" t="n"/>
      <c r="S70" s="43" t="n"/>
      <c r="T70" s="43" t="n"/>
      <c r="U70" s="43" t="n"/>
      <c r="V70" s="43" t="n"/>
      <c r="W70" s="43" t="n"/>
      <c r="X70" s="43" t="n"/>
      <c r="Y70" s="43" t="n"/>
      <c r="Z70" s="43" t="n"/>
      <c r="AA70" s="43" t="n"/>
    </row>
    <row r="71">
      <c r="A71" s="43" t="n"/>
      <c r="B71" s="43" t="n"/>
      <c r="C71" s="43" t="n"/>
      <c r="D71" s="43" t="n"/>
      <c r="E71" s="43" t="n"/>
      <c r="F71" s="43" t="n"/>
      <c r="G71" s="43" t="n"/>
      <c r="H71" s="43" t="n"/>
      <c r="I71" s="43" t="n"/>
      <c r="J71" s="43" t="n"/>
      <c r="K71" s="43" t="n"/>
      <c r="L71" s="43" t="n"/>
      <c r="M71" s="43" t="n"/>
      <c r="N71" s="43" t="n"/>
      <c r="O71" s="43" t="n"/>
      <c r="P71" s="43" t="n"/>
      <c r="Q71" s="43" t="n"/>
      <c r="R71" s="43" t="n"/>
      <c r="S71" s="43" t="n"/>
      <c r="T71" s="43" t="n"/>
      <c r="U71" s="43" t="n"/>
      <c r="V71" s="43" t="n"/>
      <c r="W71" s="43" t="n"/>
      <c r="X71" s="43" t="n"/>
      <c r="Y71" s="43" t="n"/>
      <c r="Z71" s="43" t="n"/>
      <c r="AA71" s="43" t="n"/>
    </row>
    <row r="72">
      <c r="A72" s="43" t="n"/>
      <c r="B72" s="43" t="n"/>
      <c r="C72" s="43" t="n"/>
      <c r="D72" s="43" t="n"/>
      <c r="E72" s="43" t="n"/>
      <c r="F72" s="43" t="n"/>
      <c r="G72" s="43" t="n"/>
      <c r="H72" s="43" t="n"/>
      <c r="I72" s="43" t="n"/>
      <c r="J72" s="43" t="n"/>
      <c r="K72" s="43" t="n"/>
      <c r="L72" s="43" t="n"/>
      <c r="M72" s="43" t="n"/>
      <c r="N72" s="43" t="n"/>
      <c r="O72" s="43" t="n"/>
      <c r="P72" s="43" t="n"/>
      <c r="Q72" s="43" t="n"/>
      <c r="R72" s="43" t="n"/>
      <c r="S72" s="43" t="n"/>
      <c r="T72" s="43" t="n"/>
      <c r="U72" s="43" t="n"/>
      <c r="V72" s="43" t="n"/>
      <c r="W72" s="43" t="n"/>
      <c r="X72" s="43" t="n"/>
      <c r="Y72" s="43" t="n"/>
      <c r="Z72" s="43" t="n"/>
      <c r="AA72" s="43" t="n"/>
    </row>
    <row r="73">
      <c r="A73" s="43" t="n"/>
      <c r="B73" s="43" t="n"/>
      <c r="C73" s="43" t="n"/>
      <c r="D73" s="43" t="n"/>
      <c r="E73" s="43" t="n"/>
      <c r="F73" s="43" t="n"/>
      <c r="G73" s="43" t="n"/>
      <c r="H73" s="43" t="n"/>
      <c r="I73" s="43" t="n"/>
      <c r="J73" s="43" t="n"/>
      <c r="K73" s="43" t="n"/>
      <c r="L73" s="43" t="n"/>
      <c r="M73" s="43" t="n"/>
      <c r="N73" s="43" t="n"/>
      <c r="O73" s="43" t="n"/>
      <c r="P73" s="43" t="n"/>
      <c r="Q73" s="43" t="n"/>
      <c r="R73" s="43" t="n"/>
      <c r="S73" s="43" t="n"/>
      <c r="T73" s="43" t="n"/>
      <c r="U73" s="43" t="n"/>
      <c r="V73" s="43" t="n"/>
      <c r="W73" s="43" t="n"/>
      <c r="X73" s="43" t="n"/>
      <c r="Y73" s="43" t="n"/>
      <c r="Z73" s="43" t="n"/>
      <c r="AA73" s="43" t="n"/>
    </row>
    <row r="74">
      <c r="A74" s="43" t="n"/>
      <c r="B74" s="43" t="n"/>
      <c r="C74" s="43" t="n"/>
      <c r="D74" s="43" t="n"/>
      <c r="E74" s="43" t="n"/>
      <c r="F74" s="43" t="n"/>
      <c r="G74" s="43" t="n"/>
      <c r="H74" s="43" t="n"/>
      <c r="I74" s="43" t="n"/>
      <c r="J74" s="43" t="n"/>
      <c r="K74" s="43" t="n"/>
      <c r="L74" s="43" t="n"/>
      <c r="M74" s="43" t="n"/>
      <c r="N74" s="43" t="n"/>
      <c r="O74" s="43" t="n"/>
      <c r="P74" s="43" t="n"/>
      <c r="Q74" s="43" t="n"/>
      <c r="R74" s="43" t="n"/>
      <c r="S74" s="43" t="n"/>
      <c r="T74" s="43" t="n"/>
      <c r="U74" s="43" t="n"/>
      <c r="V74" s="43" t="n"/>
      <c r="W74" s="43" t="n"/>
      <c r="X74" s="43" t="n"/>
      <c r="Y74" s="43" t="n"/>
      <c r="Z74" s="43" t="n"/>
      <c r="AA74" s="43" t="n"/>
    </row>
    <row r="75">
      <c r="A75" s="43" t="n"/>
      <c r="B75" s="43" t="n"/>
      <c r="C75" s="43" t="n"/>
      <c r="D75" s="43" t="n"/>
      <c r="E75" s="43" t="n"/>
      <c r="F75" s="43" t="n"/>
      <c r="G75" s="43" t="n"/>
      <c r="H75" s="43" t="n"/>
      <c r="I75" s="43" t="n"/>
      <c r="J75" s="43" t="n"/>
      <c r="K75" s="43" t="n"/>
      <c r="L75" s="43" t="n"/>
      <c r="M75" s="43" t="n"/>
      <c r="N75" s="43" t="n"/>
      <c r="O75" s="43" t="n"/>
      <c r="P75" s="43" t="n"/>
      <c r="Q75" s="43" t="n"/>
      <c r="R75" s="43" t="n"/>
      <c r="S75" s="43" t="n"/>
      <c r="T75" s="43" t="n"/>
      <c r="U75" s="43" t="n"/>
      <c r="V75" s="43" t="n"/>
      <c r="W75" s="43" t="n"/>
      <c r="X75" s="43" t="n"/>
      <c r="Y75" s="43" t="n"/>
      <c r="Z75" s="43" t="n"/>
      <c r="AA75" s="43" t="n"/>
    </row>
    <row r="76">
      <c r="A76" s="43" t="n"/>
      <c r="B76" s="43" t="n"/>
      <c r="C76" s="43" t="n"/>
      <c r="D76" s="43" t="n"/>
      <c r="E76" s="43" t="n"/>
      <c r="F76" s="43" t="n"/>
      <c r="G76" s="43" t="n"/>
      <c r="H76" s="43" t="n"/>
      <c r="I76" s="43" t="n"/>
      <c r="J76" s="43" t="n"/>
      <c r="K76" s="43" t="n"/>
      <c r="L76" s="43" t="n"/>
      <c r="M76" s="43" t="n"/>
      <c r="N76" s="43" t="n"/>
      <c r="O76" s="43" t="n"/>
      <c r="P76" s="43" t="n"/>
      <c r="Q76" s="43" t="n"/>
      <c r="R76" s="43" t="n"/>
      <c r="S76" s="43" t="n"/>
      <c r="T76" s="43" t="n"/>
      <c r="U76" s="43" t="n"/>
      <c r="V76" s="43" t="n"/>
      <c r="W76" s="43" t="n"/>
      <c r="X76" s="43" t="n"/>
      <c r="Y76" s="43" t="n"/>
      <c r="Z76" s="43" t="n"/>
      <c r="AA76" s="43" t="n"/>
    </row>
    <row r="77">
      <c r="A77" s="43" t="n"/>
      <c r="B77" s="43" t="n"/>
      <c r="C77" s="43" t="n"/>
      <c r="D77" s="43" t="n"/>
      <c r="E77" s="43" t="n"/>
      <c r="F77" s="43" t="n"/>
      <c r="G77" s="43" t="n"/>
      <c r="H77" s="43" t="n"/>
      <c r="I77" s="43" t="n"/>
      <c r="J77" s="43" t="n"/>
      <c r="K77" s="43" t="n"/>
      <c r="L77" s="43" t="n"/>
      <c r="M77" s="43" t="n"/>
      <c r="N77" s="43" t="n"/>
      <c r="O77" s="43" t="n"/>
      <c r="P77" s="43" t="n"/>
      <c r="Q77" s="43" t="n"/>
      <c r="R77" s="43" t="n"/>
      <c r="S77" s="43" t="n"/>
      <c r="T77" s="43" t="n"/>
      <c r="U77" s="43" t="n"/>
      <c r="V77" s="43" t="n"/>
      <c r="W77" s="43" t="n"/>
      <c r="X77" s="43" t="n"/>
      <c r="Y77" s="43" t="n"/>
      <c r="Z77" s="43" t="n"/>
      <c r="AA77" s="43" t="n"/>
    </row>
    <row r="78">
      <c r="A78" s="43" t="n"/>
      <c r="B78" s="43" t="n"/>
      <c r="C78" s="43" t="n"/>
      <c r="D78" s="43" t="n"/>
      <c r="E78" s="43" t="n"/>
      <c r="F78" s="43" t="n"/>
      <c r="G78" s="43" t="n"/>
      <c r="H78" s="43" t="n"/>
      <c r="I78" s="43" t="n"/>
      <c r="J78" s="43" t="n"/>
      <c r="K78" s="43" t="n"/>
      <c r="L78" s="43" t="n"/>
      <c r="M78" s="43" t="n"/>
      <c r="N78" s="43" t="n"/>
      <c r="O78" s="43" t="n"/>
      <c r="P78" s="43" t="n"/>
      <c r="Q78" s="43" t="n"/>
      <c r="R78" s="43" t="n"/>
      <c r="S78" s="43" t="n"/>
      <c r="T78" s="43" t="n"/>
      <c r="U78" s="43" t="n"/>
      <c r="V78" s="43" t="n"/>
      <c r="W78" s="43" t="n"/>
      <c r="X78" s="43" t="n"/>
      <c r="Y78" s="43" t="n"/>
      <c r="Z78" s="43" t="n"/>
      <c r="AA78" s="43" t="n"/>
    </row>
    <row r="79">
      <c r="A79" s="43" t="n"/>
      <c r="B79" s="43" t="n"/>
      <c r="C79" s="43" t="n"/>
      <c r="D79" s="43" t="n"/>
      <c r="E79" s="43" t="n"/>
      <c r="F79" s="43" t="n"/>
      <c r="G79" s="43" t="n"/>
      <c r="H79" s="43" t="n"/>
      <c r="I79" s="43" t="n"/>
      <c r="J79" s="43" t="n"/>
      <c r="K79" s="43" t="n"/>
      <c r="L79" s="43" t="n"/>
      <c r="M79" s="43" t="n"/>
      <c r="N79" s="43" t="n"/>
      <c r="O79" s="43" t="n"/>
      <c r="P79" s="43" t="n"/>
      <c r="Q79" s="43" t="n"/>
      <c r="R79" s="43" t="n"/>
      <c r="S79" s="43" t="n"/>
      <c r="T79" s="43" t="n"/>
      <c r="U79" s="43" t="n"/>
      <c r="V79" s="43" t="n"/>
      <c r="W79" s="43" t="n"/>
      <c r="X79" s="43" t="n"/>
      <c r="Y79" s="43" t="n"/>
      <c r="Z79" s="43" t="n"/>
      <c r="AA79" s="43" t="n"/>
    </row>
    <row r="80">
      <c r="A80" s="43" t="n"/>
      <c r="B80" s="43" t="n"/>
      <c r="C80" s="43" t="n"/>
      <c r="D80" s="43" t="n"/>
      <c r="E80" s="43" t="n"/>
      <c r="F80" s="43" t="n"/>
      <c r="G80" s="43" t="n"/>
      <c r="H80" s="43" t="n"/>
      <c r="I80" s="43" t="n"/>
      <c r="J80" s="43" t="n"/>
      <c r="K80" s="43" t="n"/>
      <c r="L80" s="43" t="n"/>
      <c r="M80" s="43" t="n"/>
      <c r="N80" s="43" t="n"/>
      <c r="O80" s="43" t="n"/>
      <c r="P80" s="43" t="n"/>
      <c r="Q80" s="43" t="n"/>
      <c r="R80" s="43" t="n"/>
      <c r="S80" s="43" t="n"/>
      <c r="T80" s="43" t="n"/>
      <c r="U80" s="43" t="n"/>
      <c r="V80" s="43" t="n"/>
      <c r="W80" s="43" t="n"/>
      <c r="X80" s="43" t="n"/>
      <c r="Y80" s="43" t="n"/>
      <c r="Z80" s="43" t="n"/>
      <c r="AA80" s="43" t="n"/>
    </row>
    <row r="81">
      <c r="A81" s="43" t="n"/>
      <c r="B81" s="43" t="n"/>
      <c r="C81" s="43" t="n"/>
      <c r="D81" s="43" t="n"/>
      <c r="E81" s="43" t="n"/>
      <c r="F81" s="43" t="n"/>
      <c r="G81" s="43" t="n"/>
      <c r="H81" s="43" t="n"/>
      <c r="I81" s="43" t="n"/>
      <c r="J81" s="43" t="n"/>
      <c r="K81" s="43" t="n"/>
      <c r="L81" s="43" t="n"/>
      <c r="M81" s="43" t="n"/>
      <c r="N81" s="43" t="n"/>
      <c r="O81" s="43" t="n"/>
      <c r="P81" s="43" t="n"/>
      <c r="Q81" s="43" t="n"/>
      <c r="R81" s="43" t="n"/>
      <c r="S81" s="43" t="n"/>
      <c r="T81" s="43" t="n"/>
      <c r="U81" s="43" t="n"/>
      <c r="V81" s="43" t="n"/>
      <c r="W81" s="43" t="n"/>
      <c r="X81" s="43" t="n"/>
      <c r="Y81" s="43" t="n"/>
      <c r="Z81" s="43" t="n"/>
      <c r="AA81" s="43" t="n"/>
    </row>
    <row r="82">
      <c r="A82" s="43" t="n"/>
      <c r="B82" s="43" t="n"/>
      <c r="C82" s="43" t="n"/>
      <c r="D82" s="43" t="n"/>
      <c r="E82" s="43" t="n"/>
      <c r="F82" s="43" t="n"/>
      <c r="G82" s="43" t="n"/>
      <c r="H82" s="43" t="n"/>
      <c r="I82" s="43" t="n"/>
      <c r="J82" s="43" t="n"/>
      <c r="K82" s="43" t="n"/>
      <c r="L82" s="43" t="n"/>
      <c r="M82" s="43" t="n"/>
      <c r="N82" s="43" t="n"/>
      <c r="O82" s="43" t="n"/>
      <c r="P82" s="43" t="n"/>
      <c r="Q82" s="43" t="n"/>
      <c r="R82" s="43" t="n"/>
      <c r="S82" s="43" t="n"/>
      <c r="T82" s="43" t="n"/>
      <c r="U82" s="43" t="n"/>
      <c r="V82" s="43" t="n"/>
      <c r="W82" s="43" t="n"/>
      <c r="X82" s="43" t="n"/>
      <c r="Y82" s="43" t="n"/>
      <c r="Z82" s="43" t="n"/>
      <c r="AA82" s="43" t="n"/>
    </row>
    <row r="83">
      <c r="A83" s="43" t="n"/>
      <c r="B83" s="43" t="n"/>
      <c r="C83" s="43" t="n"/>
      <c r="D83" s="43" t="n"/>
      <c r="E83" s="43" t="n"/>
      <c r="F83" s="43" t="n"/>
      <c r="G83" s="43" t="n"/>
      <c r="H83" s="43" t="n"/>
      <c r="I83" s="43" t="n"/>
      <c r="J83" s="43" t="n"/>
      <c r="K83" s="43" t="n"/>
      <c r="L83" s="43" t="n"/>
      <c r="M83" s="43" t="n"/>
      <c r="N83" s="43" t="n"/>
      <c r="O83" s="43" t="n"/>
      <c r="P83" s="43" t="n"/>
      <c r="Q83" s="43" t="n"/>
      <c r="R83" s="43" t="n"/>
      <c r="S83" s="43" t="n"/>
      <c r="T83" s="43" t="n"/>
      <c r="U83" s="43" t="n"/>
      <c r="V83" s="43" t="n"/>
      <c r="W83" s="43" t="n"/>
      <c r="X83" s="43" t="n"/>
      <c r="Y83" s="43" t="n"/>
      <c r="Z83" s="43" t="n"/>
      <c r="AA83" s="43" t="n"/>
    </row>
    <row r="84">
      <c r="A84" s="43" t="n"/>
      <c r="B84" s="43" t="n"/>
      <c r="C84" s="43" t="n"/>
      <c r="D84" s="43" t="n"/>
      <c r="E84" s="43" t="n"/>
      <c r="F84" s="43" t="n"/>
      <c r="G84" s="43" t="n"/>
      <c r="H84" s="43" t="n"/>
      <c r="I84" s="43" t="n"/>
      <c r="J84" s="43" t="n"/>
      <c r="K84" s="43" t="n"/>
      <c r="L84" s="43" t="n"/>
      <c r="M84" s="43" t="n"/>
      <c r="N84" s="43" t="n"/>
      <c r="O84" s="43" t="n"/>
      <c r="P84" s="43" t="n"/>
      <c r="Q84" s="43" t="n"/>
      <c r="R84" s="43" t="n"/>
      <c r="S84" s="43" t="n"/>
      <c r="T84" s="43" t="n"/>
      <c r="U84" s="43" t="n"/>
      <c r="V84" s="43" t="n"/>
      <c r="W84" s="43" t="n"/>
      <c r="X84" s="43" t="n"/>
      <c r="Y84" s="43" t="n"/>
      <c r="Z84" s="43" t="n"/>
      <c r="AA84" s="43" t="n"/>
    </row>
    <row r="85">
      <c r="A85" s="43" t="n"/>
      <c r="B85" s="43" t="n"/>
      <c r="C85" s="43" t="n"/>
      <c r="D85" s="43" t="n"/>
      <c r="E85" s="43" t="n"/>
      <c r="F85" s="43" t="n"/>
      <c r="G85" s="43" t="n"/>
      <c r="H85" s="43" t="n"/>
      <c r="I85" s="43" t="n"/>
      <c r="J85" s="43" t="n"/>
      <c r="K85" s="43" t="n"/>
      <c r="L85" s="43" t="n"/>
      <c r="M85" s="43" t="n"/>
      <c r="N85" s="43" t="n"/>
      <c r="O85" s="43" t="n"/>
      <c r="P85" s="43" t="n"/>
      <c r="Q85" s="43" t="n"/>
      <c r="R85" s="43" t="n"/>
      <c r="S85" s="43" t="n"/>
      <c r="T85" s="43" t="n"/>
      <c r="U85" s="43" t="n"/>
      <c r="V85" s="43" t="n"/>
      <c r="W85" s="43" t="n"/>
      <c r="X85" s="43" t="n"/>
      <c r="Y85" s="43" t="n"/>
      <c r="Z85" s="43" t="n"/>
      <c r="AA85" s="43" t="n"/>
    </row>
    <row r="86">
      <c r="A86" s="43" t="n"/>
      <c r="B86" s="43" t="n"/>
      <c r="C86" s="43" t="n"/>
      <c r="D86" s="43" t="n"/>
      <c r="E86" s="43" t="n"/>
      <c r="F86" s="43" t="n"/>
      <c r="G86" s="43" t="n"/>
      <c r="H86" s="43" t="n"/>
      <c r="I86" s="43" t="n"/>
      <c r="J86" s="43" t="n"/>
      <c r="K86" s="43" t="n"/>
      <c r="L86" s="43" t="n"/>
      <c r="M86" s="43" t="n"/>
      <c r="N86" s="43" t="n"/>
      <c r="O86" s="43" t="n"/>
      <c r="P86" s="43" t="n"/>
      <c r="Q86" s="43" t="n"/>
      <c r="R86" s="43" t="n"/>
      <c r="S86" s="43" t="n"/>
      <c r="T86" s="43" t="n"/>
      <c r="U86" s="43" t="n"/>
      <c r="V86" s="43" t="n"/>
      <c r="W86" s="43" t="n"/>
      <c r="X86" s="43" t="n"/>
      <c r="Y86" s="43" t="n"/>
      <c r="Z86" s="43" t="n"/>
      <c r="AA86" s="43" t="n"/>
    </row>
    <row r="87">
      <c r="A87" s="43" t="n"/>
      <c r="B87" s="43" t="n"/>
      <c r="C87" s="43" t="n"/>
      <c r="D87" s="43" t="n"/>
      <c r="E87" s="43" t="n"/>
      <c r="F87" s="43" t="n"/>
      <c r="G87" s="43" t="n"/>
      <c r="H87" s="43" t="n"/>
      <c r="I87" s="43" t="n"/>
      <c r="J87" s="43" t="n"/>
      <c r="K87" s="43" t="n"/>
      <c r="L87" s="43" t="n"/>
      <c r="M87" s="43" t="n"/>
      <c r="N87" s="43" t="n"/>
      <c r="O87" s="43" t="n"/>
      <c r="P87" s="43" t="n"/>
      <c r="Q87" s="43" t="n"/>
      <c r="R87" s="43" t="n"/>
      <c r="S87" s="43" t="n"/>
      <c r="T87" s="43" t="n"/>
      <c r="U87" s="43" t="n"/>
      <c r="V87" s="43" t="n"/>
      <c r="W87" s="43" t="n"/>
      <c r="X87" s="43" t="n"/>
      <c r="Y87" s="43" t="n"/>
      <c r="Z87" s="43" t="n"/>
      <c r="AA87" s="43" t="n"/>
    </row>
    <row r="88">
      <c r="A88" s="43" t="n"/>
      <c r="B88" s="43" t="n"/>
      <c r="C88" s="43" t="n"/>
      <c r="D88" s="43" t="n"/>
      <c r="E88" s="43" t="n"/>
      <c r="F88" s="43" t="n"/>
      <c r="G88" s="43" t="n"/>
      <c r="H88" s="43" t="n"/>
      <c r="I88" s="43" t="n"/>
      <c r="J88" s="43" t="n"/>
      <c r="K88" s="43" t="n"/>
      <c r="L88" s="43" t="n"/>
      <c r="M88" s="43" t="n"/>
      <c r="N88" s="43" t="n"/>
      <c r="O88" s="43" t="n"/>
      <c r="P88" s="43" t="n"/>
      <c r="Q88" s="43" t="n"/>
      <c r="R88" s="43" t="n"/>
      <c r="S88" s="43" t="n"/>
      <c r="T88" s="43" t="n"/>
      <c r="U88" s="43" t="n"/>
      <c r="V88" s="43" t="n"/>
      <c r="W88" s="43" t="n"/>
      <c r="X88" s="43" t="n"/>
      <c r="Y88" s="43" t="n"/>
      <c r="Z88" s="43" t="n"/>
      <c r="AA88" s="43" t="n"/>
    </row>
    <row r="89">
      <c r="A89" s="43" t="n"/>
      <c r="B89" s="43" t="n"/>
      <c r="C89" s="43" t="n"/>
      <c r="D89" s="43" t="n"/>
      <c r="E89" s="43" t="n"/>
      <c r="F89" s="43" t="n"/>
      <c r="G89" s="43" t="n"/>
      <c r="H89" s="43" t="n"/>
      <c r="I89" s="43" t="n"/>
      <c r="J89" s="43" t="n"/>
      <c r="K89" s="43" t="n"/>
      <c r="L89" s="43" t="n"/>
      <c r="M89" s="43" t="n"/>
      <c r="N89" s="43" t="n"/>
      <c r="O89" s="43" t="n"/>
      <c r="P89" s="43" t="n"/>
      <c r="Q89" s="43" t="n"/>
      <c r="R89" s="43" t="n"/>
      <c r="S89" s="43" t="n"/>
      <c r="T89" s="43" t="n"/>
      <c r="U89" s="43" t="n"/>
      <c r="V89" s="43" t="n"/>
      <c r="W89" s="43" t="n"/>
      <c r="X89" s="43" t="n"/>
      <c r="Y89" s="43" t="n"/>
      <c r="Z89" s="43" t="n"/>
      <c r="AA89" s="43" t="n"/>
    </row>
    <row r="90">
      <c r="A90" s="43" t="n"/>
      <c r="B90" s="43" t="n"/>
      <c r="C90" s="43" t="n"/>
      <c r="D90" s="43" t="n"/>
      <c r="E90" s="43" t="n"/>
      <c r="F90" s="43" t="n"/>
      <c r="G90" s="43" t="n"/>
      <c r="H90" s="43" t="n"/>
      <c r="I90" s="43" t="n"/>
      <c r="J90" s="43" t="n"/>
      <c r="K90" s="43" t="n"/>
      <c r="L90" s="43" t="n"/>
      <c r="M90" s="43" t="n"/>
      <c r="N90" s="43" t="n"/>
      <c r="O90" s="43" t="n"/>
      <c r="P90" s="43" t="n"/>
      <c r="Q90" s="43" t="n"/>
      <c r="R90" s="43" t="n"/>
      <c r="S90" s="43" t="n"/>
      <c r="T90" s="43" t="n"/>
      <c r="U90" s="43" t="n"/>
      <c r="V90" s="43" t="n"/>
      <c r="W90" s="43" t="n"/>
      <c r="X90" s="43" t="n"/>
      <c r="Y90" s="43" t="n"/>
      <c r="Z90" s="43" t="n"/>
      <c r="AA90" s="43" t="n"/>
    </row>
    <row r="91">
      <c r="A91" s="43" t="n"/>
      <c r="B91" s="43" t="n"/>
      <c r="C91" s="43" t="n"/>
      <c r="D91" s="43" t="n"/>
      <c r="E91" s="43" t="n"/>
      <c r="F91" s="43" t="n"/>
      <c r="G91" s="43" t="n"/>
      <c r="H91" s="43" t="n"/>
      <c r="I91" s="43" t="n"/>
      <c r="J91" s="43" t="n"/>
      <c r="K91" s="43" t="n"/>
      <c r="L91" s="43" t="n"/>
      <c r="M91" s="43" t="n"/>
      <c r="N91" s="43" t="n"/>
      <c r="O91" s="43" t="n"/>
      <c r="P91" s="43" t="n"/>
      <c r="Q91" s="43" t="n"/>
      <c r="R91" s="43" t="n"/>
      <c r="S91" s="43" t="n"/>
      <c r="T91" s="43" t="n"/>
      <c r="U91" s="43" t="n"/>
      <c r="V91" s="43" t="n"/>
      <c r="W91" s="43" t="n"/>
      <c r="X91" s="43" t="n"/>
      <c r="Y91" s="43" t="n"/>
      <c r="Z91" s="43" t="n"/>
      <c r="AA91" s="43" t="n"/>
    </row>
    <row r="92">
      <c r="A92" s="43" t="n"/>
      <c r="B92" s="43" t="n"/>
      <c r="C92" s="43" t="n"/>
      <c r="D92" s="43" t="n"/>
      <c r="E92" s="43" t="n"/>
      <c r="F92" s="43" t="n"/>
      <c r="G92" s="43" t="n"/>
      <c r="H92" s="43" t="n"/>
      <c r="I92" s="43" t="n"/>
      <c r="J92" s="43" t="n"/>
      <c r="K92" s="43" t="n"/>
      <c r="L92" s="43" t="n"/>
      <c r="M92" s="43" t="n"/>
      <c r="N92" s="43" t="n"/>
      <c r="O92" s="43" t="n"/>
      <c r="P92" s="43" t="n"/>
      <c r="Q92" s="43" t="n"/>
      <c r="R92" s="43" t="n"/>
      <c r="S92" s="43" t="n"/>
      <c r="T92" s="43" t="n"/>
      <c r="U92" s="43" t="n"/>
      <c r="V92" s="43" t="n"/>
      <c r="W92" s="43" t="n"/>
      <c r="X92" s="43" t="n"/>
      <c r="Y92" s="43" t="n"/>
      <c r="Z92" s="43" t="n"/>
      <c r="AA92" s="43" t="n"/>
    </row>
    <row r="93">
      <c r="A93" s="43" t="n"/>
      <c r="B93" s="43" t="n"/>
      <c r="C93" s="43" t="n"/>
      <c r="D93" s="43" t="n"/>
      <c r="E93" s="43" t="n"/>
      <c r="F93" s="43" t="n"/>
      <c r="G93" s="43" t="n"/>
      <c r="H93" s="43" t="n"/>
      <c r="I93" s="43" t="n"/>
      <c r="J93" s="43" t="n"/>
      <c r="K93" s="43" t="n"/>
      <c r="L93" s="43" t="n"/>
      <c r="M93" s="43" t="n"/>
      <c r="N93" s="43" t="n"/>
      <c r="O93" s="43" t="n"/>
      <c r="P93" s="43" t="n"/>
      <c r="Q93" s="43" t="n"/>
      <c r="R93" s="43" t="n"/>
      <c r="S93" s="43" t="n"/>
      <c r="T93" s="43" t="n"/>
      <c r="U93" s="43" t="n"/>
      <c r="V93" s="43" t="n"/>
      <c r="W93" s="43" t="n"/>
      <c r="X93" s="43" t="n"/>
      <c r="Y93" s="43" t="n"/>
      <c r="Z93" s="43" t="n"/>
      <c r="AA93" s="43" t="n"/>
    </row>
    <row r="94">
      <c r="A94" s="43" t="n"/>
      <c r="B94" s="43" t="n"/>
      <c r="C94" s="43" t="n"/>
      <c r="D94" s="43" t="n"/>
      <c r="E94" s="43" t="n"/>
      <c r="F94" s="43" t="n"/>
      <c r="G94" s="43" t="n"/>
      <c r="H94" s="43" t="n"/>
      <c r="I94" s="43" t="n"/>
      <c r="J94" s="43" t="n"/>
      <c r="K94" s="43" t="n"/>
      <c r="L94" s="43" t="n"/>
      <c r="M94" s="43" t="n"/>
      <c r="N94" s="43" t="n"/>
      <c r="O94" s="43" t="n"/>
      <c r="P94" s="43" t="n"/>
      <c r="Q94" s="43" t="n"/>
      <c r="R94" s="43" t="n"/>
      <c r="S94" s="43" t="n"/>
      <c r="T94" s="43" t="n"/>
      <c r="U94" s="43" t="n"/>
      <c r="V94" s="43" t="n"/>
      <c r="W94" s="43" t="n"/>
      <c r="X94" s="43" t="n"/>
      <c r="Y94" s="43" t="n"/>
      <c r="Z94" s="43" t="n"/>
      <c r="AA94" s="43" t="n"/>
    </row>
    <row r="95">
      <c r="A95" s="43" t="n"/>
      <c r="B95" s="43" t="n"/>
      <c r="C95" s="43" t="n"/>
      <c r="D95" s="43" t="n"/>
      <c r="E95" s="43" t="n"/>
      <c r="F95" s="43" t="n"/>
      <c r="G95" s="43" t="n"/>
      <c r="H95" s="43" t="n"/>
      <c r="I95" s="43" t="n"/>
      <c r="J95" s="43" t="n"/>
      <c r="K95" s="43" t="n"/>
      <c r="L95" s="43" t="n"/>
      <c r="M95" s="43" t="n"/>
      <c r="N95" s="43" t="n"/>
      <c r="O95" s="43" t="n"/>
      <c r="P95" s="43" t="n"/>
      <c r="Q95" s="43" t="n"/>
      <c r="R95" s="43" t="n"/>
      <c r="S95" s="43" t="n"/>
      <c r="T95" s="43" t="n"/>
      <c r="U95" s="43" t="n"/>
      <c r="V95" s="43" t="n"/>
      <c r="W95" s="43" t="n"/>
      <c r="X95" s="43" t="n"/>
      <c r="Y95" s="43" t="n"/>
      <c r="Z95" s="43" t="n"/>
      <c r="AA95" s="43" t="n"/>
    </row>
    <row r="96">
      <c r="A96" s="43" t="n"/>
      <c r="B96" s="43" t="n"/>
      <c r="C96" s="43" t="n"/>
      <c r="D96" s="43" t="n"/>
      <c r="E96" s="43" t="n"/>
      <c r="F96" s="43" t="n"/>
      <c r="G96" s="43" t="n"/>
      <c r="H96" s="43" t="n"/>
      <c r="I96" s="43" t="n"/>
      <c r="J96" s="43" t="n"/>
      <c r="K96" s="43" t="n"/>
      <c r="L96" s="43" t="n"/>
      <c r="M96" s="43" t="n"/>
      <c r="N96" s="43" t="n"/>
      <c r="O96" s="43" t="n"/>
      <c r="P96" s="43" t="n"/>
      <c r="Q96" s="43" t="n"/>
      <c r="R96" s="43" t="n"/>
      <c r="S96" s="43" t="n"/>
      <c r="T96" s="43" t="n"/>
      <c r="U96" s="43" t="n"/>
      <c r="V96" s="43" t="n"/>
      <c r="W96" s="43" t="n"/>
      <c r="X96" s="43" t="n"/>
      <c r="Y96" s="43" t="n"/>
      <c r="Z96" s="43" t="n"/>
      <c r="AA96" s="43" t="n"/>
    </row>
    <row r="97">
      <c r="A97" s="43" t="n"/>
      <c r="B97" s="43" t="n"/>
      <c r="C97" s="43" t="n"/>
      <c r="D97" s="43" t="n"/>
      <c r="E97" s="43" t="n"/>
      <c r="F97" s="43" t="n"/>
      <c r="G97" s="43" t="n"/>
      <c r="H97" s="43" t="n"/>
      <c r="I97" s="43" t="n"/>
      <c r="J97" s="43" t="n"/>
      <c r="K97" s="43" t="n"/>
      <c r="L97" s="43" t="n"/>
      <c r="M97" s="43" t="n"/>
      <c r="N97" s="43" t="n"/>
      <c r="O97" s="43" t="n"/>
      <c r="P97" s="43" t="n"/>
      <c r="Q97" s="43" t="n"/>
      <c r="R97" s="43" t="n"/>
      <c r="S97" s="43" t="n"/>
      <c r="T97" s="43" t="n"/>
      <c r="U97" s="43" t="n"/>
      <c r="V97" s="43" t="n"/>
      <c r="W97" s="43" t="n"/>
      <c r="X97" s="43" t="n"/>
      <c r="Y97" s="43" t="n"/>
      <c r="Z97" s="43" t="n"/>
      <c r="AA97" s="43" t="n"/>
    </row>
    <row r="98">
      <c r="A98" s="43" t="n"/>
      <c r="B98" s="43" t="n"/>
      <c r="C98" s="43" t="n"/>
      <c r="D98" s="43" t="n"/>
      <c r="E98" s="43" t="n"/>
      <c r="F98" s="43" t="n"/>
      <c r="G98" s="43" t="n"/>
      <c r="H98" s="43" t="n"/>
      <c r="I98" s="43" t="n"/>
      <c r="J98" s="43" t="n"/>
      <c r="K98" s="43" t="n"/>
      <c r="L98" s="43" t="n"/>
      <c r="M98" s="43" t="n"/>
      <c r="N98" s="43" t="n"/>
      <c r="O98" s="43" t="n"/>
      <c r="P98" s="43" t="n"/>
      <c r="Q98" s="43" t="n"/>
      <c r="R98" s="43" t="n"/>
      <c r="S98" s="43" t="n"/>
      <c r="T98" s="43" t="n"/>
      <c r="U98" s="43" t="n"/>
      <c r="V98" s="43" t="n"/>
      <c r="W98" s="43" t="n"/>
      <c r="X98" s="43" t="n"/>
      <c r="Y98" s="43" t="n"/>
      <c r="Z98" s="43" t="n"/>
      <c r="AA98" s="43" t="n"/>
    </row>
    <row r="99">
      <c r="A99" s="43" t="n"/>
      <c r="B99" s="43" t="n"/>
      <c r="C99" s="43" t="n"/>
      <c r="D99" s="43" t="n"/>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c r="AA99" s="43" t="n"/>
    </row>
    <row r="100">
      <c r="A100" s="43" t="n"/>
      <c r="B100" s="43" t="n"/>
      <c r="C100" s="43" t="n"/>
      <c r="D100" s="43" t="n"/>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c r="AA100" s="43" t="n"/>
    </row>
    <row r="101">
      <c r="A101" s="43" t="n"/>
      <c r="B101" s="43" t="n"/>
      <c r="C101" s="43" t="n"/>
      <c r="D101" s="43" t="n"/>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c r="AA101" s="43" t="n"/>
    </row>
    <row r="102">
      <c r="A102" s="43" t="n"/>
      <c r="B102" s="43" t="n"/>
      <c r="C102" s="43" t="n"/>
      <c r="D102" s="43" t="n"/>
      <c r="E102" s="43" t="n"/>
      <c r="F102" s="43" t="n"/>
      <c r="G102" s="43" t="n"/>
      <c r="H102" s="43" t="n"/>
      <c r="I102" s="43" t="n"/>
      <c r="J102" s="43" t="n"/>
      <c r="K102" s="43" t="n"/>
      <c r="L102" s="43" t="n"/>
      <c r="M102" s="43" t="n"/>
      <c r="N102" s="43" t="n"/>
      <c r="O102" s="43" t="n"/>
      <c r="P102" s="43" t="n"/>
      <c r="Q102" s="43" t="n"/>
      <c r="R102" s="43" t="n"/>
      <c r="S102" s="43" t="n"/>
      <c r="T102" s="43" t="n"/>
      <c r="U102" s="43" t="n"/>
      <c r="V102" s="43" t="n"/>
      <c r="W102" s="43" t="n"/>
      <c r="X102" s="43" t="n"/>
      <c r="Y102" s="43" t="n"/>
      <c r="Z102" s="43" t="n"/>
      <c r="AA102" s="43" t="n"/>
    </row>
    <row r="103">
      <c r="A103" s="43" t="n"/>
      <c r="B103" s="43" t="n"/>
      <c r="C103" s="43" t="n"/>
      <c r="D103" s="43" t="n"/>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c r="AA103" s="43" t="n"/>
    </row>
    <row r="104">
      <c r="A104" s="43" t="n"/>
      <c r="B104" s="43" t="n"/>
      <c r="C104" s="43" t="n"/>
      <c r="D104" s="43" t="n"/>
      <c r="E104" s="43" t="n"/>
      <c r="F104" s="43" t="n"/>
      <c r="G104" s="43" t="n"/>
      <c r="H104" s="43" t="n"/>
      <c r="I104" s="43" t="n"/>
      <c r="J104" s="43" t="n"/>
      <c r="K104" s="43" t="n"/>
      <c r="L104" s="43" t="n"/>
      <c r="M104" s="43" t="n"/>
      <c r="N104" s="43" t="n"/>
      <c r="O104" s="43" t="n"/>
      <c r="P104" s="43" t="n"/>
      <c r="Q104" s="43" t="n"/>
      <c r="R104" s="43" t="n"/>
      <c r="S104" s="43" t="n"/>
      <c r="T104" s="43" t="n"/>
      <c r="U104" s="43" t="n"/>
      <c r="V104" s="43" t="n"/>
      <c r="W104" s="43" t="n"/>
      <c r="X104" s="43" t="n"/>
      <c r="Y104" s="43" t="n"/>
      <c r="Z104" s="43" t="n"/>
      <c r="AA104" s="43" t="n"/>
    </row>
    <row r="105">
      <c r="A105" s="43" t="n"/>
      <c r="B105" s="43" t="n"/>
      <c r="C105" s="43" t="n"/>
      <c r="D105" s="43" t="n"/>
      <c r="E105" s="43" t="n"/>
      <c r="F105" s="43" t="n"/>
      <c r="G105" s="43" t="n"/>
      <c r="H105" s="43" t="n"/>
      <c r="I105" s="43" t="n"/>
      <c r="J105" s="43" t="n"/>
      <c r="K105" s="43" t="n"/>
      <c r="L105" s="43" t="n"/>
      <c r="M105" s="43" t="n"/>
      <c r="N105" s="43" t="n"/>
      <c r="O105" s="43" t="n"/>
      <c r="P105" s="43" t="n"/>
      <c r="Q105" s="43" t="n"/>
      <c r="R105" s="43" t="n"/>
      <c r="S105" s="43" t="n"/>
      <c r="T105" s="43" t="n"/>
      <c r="U105" s="43" t="n"/>
      <c r="V105" s="43" t="n"/>
      <c r="W105" s="43" t="n"/>
      <c r="X105" s="43" t="n"/>
      <c r="Y105" s="43" t="n"/>
      <c r="Z105" s="43" t="n"/>
      <c r="AA105" s="43" t="n"/>
    </row>
    <row r="106">
      <c r="A106" s="43" t="n"/>
      <c r="B106" s="43" t="n"/>
      <c r="C106" s="43" t="n"/>
      <c r="D106" s="43" t="n"/>
      <c r="E106" s="43" t="n"/>
      <c r="F106" s="43" t="n"/>
      <c r="G106" s="43" t="n"/>
      <c r="H106" s="43" t="n"/>
      <c r="I106" s="43" t="n"/>
      <c r="J106" s="43" t="n"/>
      <c r="K106" s="43" t="n"/>
      <c r="L106" s="43" t="n"/>
      <c r="M106" s="43" t="n"/>
      <c r="N106" s="43" t="n"/>
      <c r="O106" s="43" t="n"/>
      <c r="P106" s="43" t="n"/>
      <c r="Q106" s="43" t="n"/>
      <c r="R106" s="43" t="n"/>
      <c r="S106" s="43" t="n"/>
      <c r="T106" s="43" t="n"/>
      <c r="U106" s="43" t="n"/>
      <c r="V106" s="43" t="n"/>
      <c r="W106" s="43" t="n"/>
      <c r="X106" s="43" t="n"/>
      <c r="Y106" s="43" t="n"/>
      <c r="Z106" s="43" t="n"/>
      <c r="AA106" s="43" t="n"/>
    </row>
    <row r="107">
      <c r="A107" s="43" t="n"/>
      <c r="B107" s="43" t="n"/>
      <c r="C107" s="43" t="n"/>
      <c r="D107" s="43"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c r="AA107" s="43" t="n"/>
    </row>
    <row r="108">
      <c r="A108" s="43" t="n"/>
      <c r="B108" s="43" t="n"/>
      <c r="C108" s="43" t="n"/>
      <c r="D108" s="43" t="n"/>
      <c r="E108" s="43" t="n"/>
      <c r="F108" s="43" t="n"/>
      <c r="G108" s="43" t="n"/>
      <c r="H108" s="43" t="n"/>
      <c r="I108" s="43" t="n"/>
      <c r="J108" s="43" t="n"/>
      <c r="K108" s="43" t="n"/>
      <c r="L108" s="43" t="n"/>
      <c r="M108" s="43" t="n"/>
      <c r="N108" s="43" t="n"/>
      <c r="O108" s="43" t="n"/>
      <c r="P108" s="43" t="n"/>
      <c r="Q108" s="43" t="n"/>
      <c r="R108" s="43" t="n"/>
      <c r="S108" s="43" t="n"/>
      <c r="T108" s="43" t="n"/>
      <c r="U108" s="43" t="n"/>
      <c r="V108" s="43" t="n"/>
      <c r="W108" s="43" t="n"/>
      <c r="X108" s="43" t="n"/>
      <c r="Y108" s="43" t="n"/>
      <c r="Z108" s="43" t="n"/>
      <c r="AA108" s="43" t="n"/>
    </row>
    <row r="109">
      <c r="A109" s="43" t="n"/>
      <c r="B109" s="43" t="n"/>
      <c r="C109" s="43" t="n"/>
      <c r="D109" s="43" t="n"/>
      <c r="E109" s="43" t="n"/>
      <c r="F109" s="43" t="n"/>
      <c r="G109" s="43" t="n"/>
      <c r="H109" s="43" t="n"/>
      <c r="I109" s="43" t="n"/>
      <c r="J109" s="43" t="n"/>
      <c r="K109" s="43" t="n"/>
      <c r="L109" s="43" t="n"/>
      <c r="M109" s="43" t="n"/>
      <c r="N109" s="43" t="n"/>
      <c r="O109" s="43" t="n"/>
      <c r="P109" s="43" t="n"/>
      <c r="Q109" s="43" t="n"/>
      <c r="R109" s="43" t="n"/>
      <c r="S109" s="43" t="n"/>
      <c r="T109" s="43" t="n"/>
      <c r="U109" s="43" t="n"/>
      <c r="V109" s="43" t="n"/>
      <c r="W109" s="43" t="n"/>
      <c r="X109" s="43" t="n"/>
      <c r="Y109" s="43" t="n"/>
      <c r="Z109" s="43" t="n"/>
      <c r="AA109" s="43" t="n"/>
    </row>
    <row r="110">
      <c r="A110" s="43" t="n"/>
      <c r="B110" s="43" t="n"/>
      <c r="C110" s="43" t="n"/>
      <c r="D110" s="43" t="n"/>
      <c r="E110" s="43" t="n"/>
      <c r="F110" s="43" t="n"/>
      <c r="G110" s="43" t="n"/>
      <c r="H110" s="43" t="n"/>
      <c r="I110" s="43" t="n"/>
      <c r="J110" s="43" t="n"/>
      <c r="K110" s="43" t="n"/>
      <c r="L110" s="43" t="n"/>
      <c r="M110" s="43" t="n"/>
      <c r="N110" s="43" t="n"/>
      <c r="O110" s="43" t="n"/>
      <c r="P110" s="43" t="n"/>
      <c r="Q110" s="43" t="n"/>
      <c r="R110" s="43" t="n"/>
      <c r="S110" s="43" t="n"/>
      <c r="T110" s="43" t="n"/>
      <c r="U110" s="43" t="n"/>
      <c r="V110" s="43" t="n"/>
      <c r="W110" s="43" t="n"/>
      <c r="X110" s="43" t="n"/>
      <c r="Y110" s="43" t="n"/>
      <c r="Z110" s="43" t="n"/>
      <c r="AA110" s="43" t="n"/>
    </row>
    <row r="111">
      <c r="A111" s="43" t="n"/>
      <c r="B111" s="43" t="n"/>
      <c r="C111" s="43" t="n"/>
      <c r="D111" s="43" t="n"/>
      <c r="E111" s="43" t="n"/>
      <c r="F111" s="43" t="n"/>
      <c r="G111" s="43" t="n"/>
      <c r="H111" s="43" t="n"/>
      <c r="I111" s="43" t="n"/>
      <c r="J111" s="43" t="n"/>
      <c r="K111" s="43" t="n"/>
      <c r="L111" s="43" t="n"/>
      <c r="M111" s="43" t="n"/>
      <c r="N111" s="43" t="n"/>
      <c r="O111" s="43" t="n"/>
      <c r="P111" s="43" t="n"/>
      <c r="Q111" s="43" t="n"/>
      <c r="R111" s="43" t="n"/>
      <c r="S111" s="43" t="n"/>
      <c r="T111" s="43" t="n"/>
      <c r="U111" s="43" t="n"/>
      <c r="V111" s="43" t="n"/>
      <c r="W111" s="43" t="n"/>
      <c r="X111" s="43" t="n"/>
      <c r="Y111" s="43" t="n"/>
      <c r="Z111" s="43" t="n"/>
      <c r="AA111" s="43" t="n"/>
    </row>
    <row r="112">
      <c r="A112" s="43" t="n"/>
      <c r="B112" s="43" t="n"/>
      <c r="C112" s="43" t="n"/>
      <c r="D112" s="43" t="n"/>
      <c r="E112" s="43" t="n"/>
      <c r="F112" s="43" t="n"/>
      <c r="G112" s="43" t="n"/>
      <c r="H112" s="43" t="n"/>
      <c r="I112" s="43" t="n"/>
      <c r="J112" s="43" t="n"/>
      <c r="K112" s="43" t="n"/>
      <c r="L112" s="43" t="n"/>
      <c r="M112" s="43" t="n"/>
      <c r="N112" s="43" t="n"/>
      <c r="O112" s="43" t="n"/>
      <c r="P112" s="43" t="n"/>
      <c r="Q112" s="43" t="n"/>
      <c r="R112" s="43" t="n"/>
      <c r="S112" s="43" t="n"/>
      <c r="T112" s="43" t="n"/>
      <c r="U112" s="43" t="n"/>
      <c r="V112" s="43" t="n"/>
      <c r="W112" s="43" t="n"/>
      <c r="X112" s="43" t="n"/>
      <c r="Y112" s="43" t="n"/>
      <c r="Z112" s="43" t="n"/>
      <c r="AA112" s="43" t="n"/>
    </row>
    <row r="113">
      <c r="A113" s="43" t="n"/>
      <c r="B113" s="43" t="n"/>
      <c r="C113" s="43" t="n"/>
      <c r="D113" s="43" t="n"/>
      <c r="E113" s="43" t="n"/>
      <c r="F113" s="43" t="n"/>
      <c r="G113" s="43" t="n"/>
      <c r="H113" s="43" t="n"/>
      <c r="I113" s="43" t="n"/>
      <c r="J113" s="43" t="n"/>
      <c r="K113" s="43" t="n"/>
      <c r="L113" s="43" t="n"/>
      <c r="M113" s="43" t="n"/>
      <c r="N113" s="43" t="n"/>
      <c r="O113" s="43" t="n"/>
      <c r="P113" s="43" t="n"/>
      <c r="Q113" s="43" t="n"/>
      <c r="R113" s="43" t="n"/>
      <c r="S113" s="43" t="n"/>
      <c r="T113" s="43" t="n"/>
      <c r="U113" s="43" t="n"/>
      <c r="V113" s="43" t="n"/>
      <c r="W113" s="43" t="n"/>
      <c r="X113" s="43" t="n"/>
      <c r="Y113" s="43" t="n"/>
      <c r="Z113" s="43" t="n"/>
      <c r="AA113" s="43" t="n"/>
    </row>
    <row r="114">
      <c r="A114" s="43" t="n"/>
      <c r="B114" s="43" t="n"/>
      <c r="C114" s="43" t="n"/>
      <c r="D114" s="43" t="n"/>
      <c r="E114" s="43" t="n"/>
      <c r="F114" s="43" t="n"/>
      <c r="G114" s="43" t="n"/>
      <c r="H114" s="43" t="n"/>
      <c r="I114" s="43" t="n"/>
      <c r="J114" s="43" t="n"/>
      <c r="K114" s="43" t="n"/>
      <c r="L114" s="43" t="n"/>
      <c r="M114" s="43" t="n"/>
      <c r="N114" s="43" t="n"/>
      <c r="O114" s="43" t="n"/>
      <c r="P114" s="43" t="n"/>
      <c r="Q114" s="43" t="n"/>
      <c r="R114" s="43" t="n"/>
      <c r="S114" s="43" t="n"/>
      <c r="T114" s="43" t="n"/>
      <c r="U114" s="43" t="n"/>
      <c r="V114" s="43" t="n"/>
      <c r="W114" s="43" t="n"/>
      <c r="X114" s="43" t="n"/>
      <c r="Y114" s="43" t="n"/>
      <c r="Z114" s="43" t="n"/>
      <c r="AA114" s="43" t="n"/>
    </row>
    <row r="115">
      <c r="A115" s="43" t="n"/>
      <c r="B115" s="43" t="n"/>
      <c r="C115" s="43" t="n"/>
      <c r="D115" s="43" t="n"/>
      <c r="E115" s="43" t="n"/>
      <c r="F115" s="43" t="n"/>
      <c r="G115" s="43" t="n"/>
      <c r="H115" s="43" t="n"/>
      <c r="I115" s="43" t="n"/>
      <c r="J115" s="43" t="n"/>
      <c r="K115" s="43" t="n"/>
      <c r="L115" s="43" t="n"/>
      <c r="M115" s="43" t="n"/>
      <c r="N115" s="43" t="n"/>
      <c r="O115" s="43" t="n"/>
      <c r="P115" s="43" t="n"/>
      <c r="Q115" s="43" t="n"/>
      <c r="R115" s="43" t="n"/>
      <c r="S115" s="43" t="n"/>
      <c r="T115" s="43" t="n"/>
      <c r="U115" s="43" t="n"/>
      <c r="V115" s="43" t="n"/>
      <c r="W115" s="43" t="n"/>
      <c r="X115" s="43" t="n"/>
      <c r="Y115" s="43" t="n"/>
      <c r="Z115" s="43" t="n"/>
      <c r="AA115" s="43" t="n"/>
    </row>
    <row r="116">
      <c r="A116" s="43" t="n"/>
      <c r="B116" s="43" t="n"/>
      <c r="C116" s="43" t="n"/>
      <c r="D116" s="43" t="n"/>
      <c r="E116" s="43" t="n"/>
      <c r="F116" s="43" t="n"/>
      <c r="G116" s="43" t="n"/>
      <c r="H116" s="43" t="n"/>
      <c r="I116" s="43" t="n"/>
      <c r="J116" s="43" t="n"/>
      <c r="K116" s="43" t="n"/>
      <c r="L116" s="43" t="n"/>
      <c r="M116" s="43" t="n"/>
      <c r="N116" s="43" t="n"/>
      <c r="O116" s="43" t="n"/>
      <c r="P116" s="43" t="n"/>
      <c r="Q116" s="43" t="n"/>
      <c r="R116" s="43" t="n"/>
      <c r="S116" s="43" t="n"/>
      <c r="T116" s="43" t="n"/>
      <c r="U116" s="43" t="n"/>
      <c r="V116" s="43" t="n"/>
      <c r="W116" s="43" t="n"/>
      <c r="X116" s="43" t="n"/>
      <c r="Y116" s="43" t="n"/>
      <c r="Z116" s="43" t="n"/>
      <c r="AA116" s="43" t="n"/>
    </row>
    <row r="117">
      <c r="A117" s="43" t="n"/>
      <c r="B117" s="43" t="n"/>
      <c r="C117" s="43" t="n"/>
      <c r="D117" s="43"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c r="AA117" s="43" t="n"/>
    </row>
    <row r="118">
      <c r="A118" s="43" t="n"/>
      <c r="B118" s="43" t="n"/>
      <c r="C118" s="43" t="n"/>
      <c r="D118" s="43" t="n"/>
      <c r="E118" s="43" t="n"/>
      <c r="F118" s="43" t="n"/>
      <c r="G118" s="43" t="n"/>
      <c r="H118" s="43" t="n"/>
      <c r="I118" s="43" t="n"/>
      <c r="J118" s="43" t="n"/>
      <c r="K118" s="43" t="n"/>
      <c r="L118" s="43" t="n"/>
      <c r="M118" s="43" t="n"/>
      <c r="N118" s="43" t="n"/>
      <c r="O118" s="43" t="n"/>
      <c r="P118" s="43" t="n"/>
      <c r="Q118" s="43" t="n"/>
      <c r="R118" s="43" t="n"/>
      <c r="S118" s="43" t="n"/>
      <c r="T118" s="43" t="n"/>
      <c r="U118" s="43" t="n"/>
      <c r="V118" s="43" t="n"/>
      <c r="W118" s="43" t="n"/>
      <c r="X118" s="43" t="n"/>
      <c r="Y118" s="43" t="n"/>
      <c r="Z118" s="43" t="n"/>
      <c r="AA118" s="43" t="n"/>
    </row>
    <row r="119">
      <c r="A119" s="43" t="n"/>
      <c r="B119" s="43" t="n"/>
      <c r="C119" s="43" t="n"/>
      <c r="D119" s="43" t="n"/>
      <c r="E119" s="43" t="n"/>
      <c r="F119" s="43" t="n"/>
      <c r="G119" s="43" t="n"/>
      <c r="H119" s="43" t="n"/>
      <c r="I119" s="43" t="n"/>
      <c r="J119" s="43" t="n"/>
      <c r="K119" s="43" t="n"/>
      <c r="L119" s="43" t="n"/>
      <c r="M119" s="43" t="n"/>
      <c r="N119" s="43" t="n"/>
      <c r="O119" s="43" t="n"/>
      <c r="P119" s="43" t="n"/>
      <c r="Q119" s="43" t="n"/>
      <c r="R119" s="43" t="n"/>
      <c r="S119" s="43" t="n"/>
      <c r="T119" s="43" t="n"/>
      <c r="U119" s="43" t="n"/>
      <c r="V119" s="43" t="n"/>
      <c r="W119" s="43" t="n"/>
      <c r="X119" s="43" t="n"/>
      <c r="Y119" s="43" t="n"/>
      <c r="Z119" s="43" t="n"/>
      <c r="AA119" s="43" t="n"/>
    </row>
    <row r="120">
      <c r="A120" s="43" t="n"/>
      <c r="B120" s="43" t="n"/>
      <c r="C120" s="43" t="n"/>
      <c r="D120" s="43" t="n"/>
      <c r="E120" s="43" t="n"/>
      <c r="F120" s="43" t="n"/>
      <c r="G120" s="43" t="n"/>
      <c r="H120" s="43" t="n"/>
      <c r="I120" s="43" t="n"/>
      <c r="J120" s="43" t="n"/>
      <c r="K120" s="43" t="n"/>
      <c r="L120" s="43" t="n"/>
      <c r="M120" s="43" t="n"/>
      <c r="N120" s="43" t="n"/>
      <c r="O120" s="43" t="n"/>
      <c r="P120" s="43" t="n"/>
      <c r="Q120" s="43" t="n"/>
      <c r="R120" s="43" t="n"/>
      <c r="S120" s="43" t="n"/>
      <c r="T120" s="43" t="n"/>
      <c r="U120" s="43" t="n"/>
      <c r="V120" s="43" t="n"/>
      <c r="W120" s="43" t="n"/>
      <c r="X120" s="43" t="n"/>
      <c r="Y120" s="43" t="n"/>
      <c r="Z120" s="43" t="n"/>
      <c r="AA120" s="43" t="n"/>
    </row>
    <row r="121">
      <c r="A121" s="43" t="n"/>
      <c r="B121" s="43" t="n"/>
      <c r="C121" s="43" t="n"/>
      <c r="D121" s="43" t="n"/>
      <c r="E121" s="43" t="n"/>
      <c r="F121" s="43" t="n"/>
      <c r="G121" s="43" t="n"/>
      <c r="H121" s="43" t="n"/>
      <c r="I121" s="43" t="n"/>
      <c r="J121" s="43" t="n"/>
      <c r="K121" s="43" t="n"/>
      <c r="L121" s="43" t="n"/>
      <c r="M121" s="43" t="n"/>
      <c r="N121" s="43" t="n"/>
      <c r="O121" s="43" t="n"/>
      <c r="P121" s="43" t="n"/>
      <c r="Q121" s="43" t="n"/>
      <c r="R121" s="43" t="n"/>
      <c r="S121" s="43" t="n"/>
      <c r="T121" s="43" t="n"/>
      <c r="U121" s="43" t="n"/>
      <c r="V121" s="43" t="n"/>
      <c r="W121" s="43" t="n"/>
      <c r="X121" s="43" t="n"/>
      <c r="Y121" s="43" t="n"/>
      <c r="Z121" s="43" t="n"/>
      <c r="AA121" s="43" t="n"/>
    </row>
    <row r="122">
      <c r="A122" s="43" t="n"/>
      <c r="B122" s="43" t="n"/>
      <c r="C122" s="43" t="n"/>
      <c r="D122" s="43" t="n"/>
      <c r="E122" s="43" t="n"/>
      <c r="F122" s="43" t="n"/>
      <c r="G122" s="43" t="n"/>
      <c r="H122" s="43" t="n"/>
      <c r="I122" s="43" t="n"/>
      <c r="J122" s="43" t="n"/>
      <c r="K122" s="43" t="n"/>
      <c r="L122" s="43" t="n"/>
      <c r="M122" s="43" t="n"/>
      <c r="N122" s="43" t="n"/>
      <c r="O122" s="43" t="n"/>
      <c r="P122" s="43" t="n"/>
      <c r="Q122" s="43" t="n"/>
      <c r="R122" s="43" t="n"/>
      <c r="S122" s="43" t="n"/>
      <c r="T122" s="43" t="n"/>
      <c r="U122" s="43" t="n"/>
      <c r="V122" s="43" t="n"/>
      <c r="W122" s="43" t="n"/>
      <c r="X122" s="43" t="n"/>
      <c r="Y122" s="43" t="n"/>
      <c r="Z122" s="43" t="n"/>
      <c r="AA122" s="43" t="n"/>
    </row>
    <row r="123">
      <c r="A123" s="43" t="n"/>
      <c r="B123" s="43" t="n"/>
      <c r="C123" s="43" t="n"/>
      <c r="D123" s="43" t="n"/>
      <c r="E123" s="43" t="n"/>
      <c r="F123" s="43" t="n"/>
      <c r="G123" s="43" t="n"/>
      <c r="H123" s="43" t="n"/>
      <c r="I123" s="43" t="n"/>
      <c r="J123" s="43" t="n"/>
      <c r="K123" s="43" t="n"/>
      <c r="L123" s="43" t="n"/>
      <c r="M123" s="43" t="n"/>
      <c r="N123" s="43" t="n"/>
      <c r="O123" s="43" t="n"/>
      <c r="P123" s="43" t="n"/>
      <c r="Q123" s="43" t="n"/>
      <c r="R123" s="43" t="n"/>
      <c r="S123" s="43" t="n"/>
      <c r="T123" s="43" t="n"/>
      <c r="U123" s="43" t="n"/>
      <c r="V123" s="43" t="n"/>
      <c r="W123" s="43" t="n"/>
      <c r="X123" s="43" t="n"/>
      <c r="Y123" s="43" t="n"/>
      <c r="Z123" s="43" t="n"/>
      <c r="AA123" s="43" t="n"/>
    </row>
    <row r="124">
      <c r="A124" s="43" t="n"/>
      <c r="B124" s="43" t="n"/>
      <c r="C124" s="43" t="n"/>
      <c r="D124" s="43" t="n"/>
      <c r="E124" s="43" t="n"/>
      <c r="F124" s="43" t="n"/>
      <c r="G124" s="43" t="n"/>
      <c r="H124" s="43" t="n"/>
      <c r="I124" s="43" t="n"/>
      <c r="J124" s="43" t="n"/>
      <c r="K124" s="43" t="n"/>
      <c r="L124" s="43" t="n"/>
      <c r="M124" s="43" t="n"/>
      <c r="N124" s="43" t="n"/>
      <c r="O124" s="43" t="n"/>
      <c r="P124" s="43" t="n"/>
      <c r="Q124" s="43" t="n"/>
      <c r="R124" s="43" t="n"/>
      <c r="S124" s="43" t="n"/>
      <c r="T124" s="43" t="n"/>
      <c r="U124" s="43" t="n"/>
      <c r="V124" s="43" t="n"/>
      <c r="W124" s="43" t="n"/>
      <c r="X124" s="43" t="n"/>
      <c r="Y124" s="43" t="n"/>
      <c r="Z124" s="43" t="n"/>
      <c r="AA124" s="43" t="n"/>
    </row>
    <row r="125">
      <c r="A125" s="43" t="n"/>
      <c r="B125" s="43" t="n"/>
      <c r="C125" s="43" t="n"/>
      <c r="D125" s="43" t="n"/>
      <c r="E125" s="43" t="n"/>
      <c r="F125" s="43" t="n"/>
      <c r="G125" s="43" t="n"/>
      <c r="H125" s="43" t="n"/>
      <c r="I125" s="43" t="n"/>
      <c r="J125" s="43" t="n"/>
      <c r="K125" s="43" t="n"/>
      <c r="L125" s="43" t="n"/>
      <c r="M125" s="43" t="n"/>
      <c r="N125" s="43" t="n"/>
      <c r="O125" s="43" t="n"/>
      <c r="P125" s="43" t="n"/>
      <c r="Q125" s="43" t="n"/>
      <c r="R125" s="43" t="n"/>
      <c r="S125" s="43" t="n"/>
      <c r="T125" s="43" t="n"/>
      <c r="U125" s="43" t="n"/>
      <c r="V125" s="43" t="n"/>
      <c r="W125" s="43" t="n"/>
      <c r="X125" s="43" t="n"/>
      <c r="Y125" s="43" t="n"/>
      <c r="Z125" s="43" t="n"/>
      <c r="AA125" s="43" t="n"/>
    </row>
    <row r="126">
      <c r="A126" s="43" t="n"/>
      <c r="B126" s="43" t="n"/>
      <c r="C126" s="43" t="n"/>
      <c r="D126" s="43" t="n"/>
      <c r="E126" s="43" t="n"/>
      <c r="F126" s="43" t="n"/>
      <c r="G126" s="43" t="n"/>
      <c r="H126" s="43" t="n"/>
      <c r="I126" s="43" t="n"/>
      <c r="J126" s="43" t="n"/>
      <c r="K126" s="43" t="n"/>
      <c r="L126" s="43" t="n"/>
      <c r="M126" s="43" t="n"/>
      <c r="N126" s="43" t="n"/>
      <c r="O126" s="43" t="n"/>
      <c r="P126" s="43" t="n"/>
      <c r="Q126" s="43" t="n"/>
      <c r="R126" s="43" t="n"/>
      <c r="S126" s="43" t="n"/>
      <c r="T126" s="43" t="n"/>
      <c r="U126" s="43" t="n"/>
      <c r="V126" s="43" t="n"/>
      <c r="W126" s="43" t="n"/>
      <c r="X126" s="43" t="n"/>
      <c r="Y126" s="43" t="n"/>
      <c r="Z126" s="43" t="n"/>
      <c r="AA126" s="43" t="n"/>
    </row>
    <row r="127">
      <c r="A127" s="43" t="n"/>
      <c r="B127" s="43" t="n"/>
      <c r="C127" s="43" t="n"/>
      <c r="D127" s="43" t="n"/>
      <c r="E127" s="43" t="n"/>
      <c r="F127" s="43" t="n"/>
      <c r="G127" s="43" t="n"/>
      <c r="H127" s="43" t="n"/>
      <c r="I127" s="43" t="n"/>
      <c r="J127" s="43" t="n"/>
      <c r="K127" s="43" t="n"/>
      <c r="L127" s="43" t="n"/>
      <c r="M127" s="43" t="n"/>
      <c r="N127" s="43" t="n"/>
      <c r="O127" s="43" t="n"/>
      <c r="P127" s="43" t="n"/>
      <c r="Q127" s="43" t="n"/>
      <c r="R127" s="43" t="n"/>
      <c r="S127" s="43" t="n"/>
      <c r="T127" s="43" t="n"/>
      <c r="U127" s="43" t="n"/>
      <c r="V127" s="43" t="n"/>
      <c r="W127" s="43" t="n"/>
      <c r="X127" s="43" t="n"/>
      <c r="Y127" s="43" t="n"/>
      <c r="Z127" s="43" t="n"/>
      <c r="AA127" s="43" t="n"/>
    </row>
    <row r="128">
      <c r="A128" s="43" t="n"/>
      <c r="B128" s="43" t="n"/>
      <c r="C128" s="43" t="n"/>
      <c r="D128" s="43" t="n"/>
      <c r="E128" s="43" t="n"/>
      <c r="F128" s="43" t="n"/>
      <c r="G128" s="43" t="n"/>
      <c r="H128" s="43" t="n"/>
      <c r="I128" s="43" t="n"/>
      <c r="J128" s="43" t="n"/>
      <c r="K128" s="43" t="n"/>
      <c r="L128" s="43" t="n"/>
      <c r="M128" s="43" t="n"/>
      <c r="N128" s="43" t="n"/>
      <c r="O128" s="43" t="n"/>
      <c r="P128" s="43" t="n"/>
      <c r="Q128" s="43" t="n"/>
      <c r="R128" s="43" t="n"/>
      <c r="S128" s="43" t="n"/>
      <c r="T128" s="43" t="n"/>
      <c r="U128" s="43" t="n"/>
      <c r="V128" s="43" t="n"/>
      <c r="W128" s="43" t="n"/>
      <c r="X128" s="43" t="n"/>
      <c r="Y128" s="43" t="n"/>
      <c r="Z128" s="43" t="n"/>
      <c r="AA128" s="43" t="n"/>
    </row>
    <row r="129">
      <c r="A129" s="43" t="n"/>
      <c r="B129" s="43" t="n"/>
      <c r="C129" s="43" t="n"/>
      <c r="D129" s="43" t="n"/>
      <c r="E129" s="43" t="n"/>
      <c r="F129" s="43" t="n"/>
      <c r="G129" s="43" t="n"/>
      <c r="H129" s="43" t="n"/>
      <c r="I129" s="43" t="n"/>
      <c r="J129" s="43" t="n"/>
      <c r="K129" s="43" t="n"/>
      <c r="L129" s="43" t="n"/>
      <c r="M129" s="43" t="n"/>
      <c r="N129" s="43" t="n"/>
      <c r="O129" s="43" t="n"/>
      <c r="P129" s="43" t="n"/>
      <c r="Q129" s="43" t="n"/>
      <c r="R129" s="43" t="n"/>
      <c r="S129" s="43" t="n"/>
      <c r="T129" s="43" t="n"/>
      <c r="U129" s="43" t="n"/>
      <c r="V129" s="43" t="n"/>
      <c r="W129" s="43" t="n"/>
      <c r="X129" s="43" t="n"/>
      <c r="Y129" s="43" t="n"/>
      <c r="Z129" s="43" t="n"/>
      <c r="AA129" s="43" t="n"/>
    </row>
    <row r="130">
      <c r="A130" s="43" t="n"/>
      <c r="B130" s="43" t="n"/>
      <c r="C130" s="43" t="n"/>
      <c r="D130" s="43" t="n"/>
      <c r="E130" s="43" t="n"/>
      <c r="F130" s="43" t="n"/>
      <c r="G130" s="43" t="n"/>
      <c r="H130" s="43" t="n"/>
      <c r="I130" s="43" t="n"/>
      <c r="J130" s="43" t="n"/>
      <c r="K130" s="43" t="n"/>
      <c r="L130" s="43" t="n"/>
      <c r="M130" s="43" t="n"/>
      <c r="N130" s="43" t="n"/>
      <c r="O130" s="43" t="n"/>
      <c r="P130" s="43" t="n"/>
      <c r="Q130" s="43" t="n"/>
      <c r="R130" s="43" t="n"/>
      <c r="S130" s="43" t="n"/>
      <c r="T130" s="43" t="n"/>
      <c r="U130" s="43" t="n"/>
      <c r="V130" s="43" t="n"/>
      <c r="W130" s="43" t="n"/>
      <c r="X130" s="43" t="n"/>
      <c r="Y130" s="43" t="n"/>
      <c r="Z130" s="43" t="n"/>
      <c r="AA130" s="43" t="n"/>
    </row>
    <row r="131">
      <c r="A131" s="43" t="n"/>
      <c r="B131" s="43" t="n"/>
      <c r="C131" s="43" t="n"/>
      <c r="D131" s="43" t="n"/>
      <c r="E131" s="43" t="n"/>
      <c r="F131" s="43" t="n"/>
      <c r="G131" s="43" t="n"/>
      <c r="H131" s="43" t="n"/>
      <c r="I131" s="43" t="n"/>
      <c r="J131" s="43" t="n"/>
      <c r="K131" s="43" t="n"/>
      <c r="L131" s="43" t="n"/>
      <c r="M131" s="43" t="n"/>
      <c r="N131" s="43" t="n"/>
      <c r="O131" s="43" t="n"/>
      <c r="P131" s="43" t="n"/>
      <c r="Q131" s="43" t="n"/>
      <c r="R131" s="43" t="n"/>
      <c r="S131" s="43" t="n"/>
      <c r="T131" s="43" t="n"/>
      <c r="U131" s="43" t="n"/>
      <c r="V131" s="43" t="n"/>
      <c r="W131" s="43" t="n"/>
      <c r="X131" s="43" t="n"/>
      <c r="Y131" s="43" t="n"/>
      <c r="Z131" s="43" t="n"/>
      <c r="AA131" s="43" t="n"/>
    </row>
    <row r="132">
      <c r="A132" s="43" t="n"/>
      <c r="B132" s="43" t="n"/>
      <c r="C132" s="43" t="n"/>
      <c r="D132" s="43" t="n"/>
      <c r="E132" s="43" t="n"/>
      <c r="F132" s="43" t="n"/>
      <c r="G132" s="43" t="n"/>
      <c r="H132" s="43" t="n"/>
      <c r="I132" s="43" t="n"/>
      <c r="J132" s="43" t="n"/>
      <c r="K132" s="43" t="n"/>
      <c r="L132" s="43" t="n"/>
      <c r="M132" s="43" t="n"/>
      <c r="N132" s="43" t="n"/>
      <c r="O132" s="43" t="n"/>
      <c r="P132" s="43" t="n"/>
      <c r="Q132" s="43" t="n"/>
      <c r="R132" s="43" t="n"/>
      <c r="S132" s="43" t="n"/>
      <c r="T132" s="43" t="n"/>
      <c r="U132" s="43" t="n"/>
      <c r="V132" s="43" t="n"/>
      <c r="W132" s="43" t="n"/>
      <c r="X132" s="43" t="n"/>
      <c r="Y132" s="43" t="n"/>
      <c r="Z132" s="43" t="n"/>
      <c r="AA132" s="43" t="n"/>
    </row>
    <row r="133">
      <c r="A133" s="43" t="n"/>
      <c r="B133" s="43" t="n"/>
      <c r="C133" s="43" t="n"/>
      <c r="D133" s="43" t="n"/>
      <c r="E133" s="43" t="n"/>
      <c r="F133" s="43" t="n"/>
      <c r="G133" s="43" t="n"/>
      <c r="H133" s="43" t="n"/>
      <c r="I133" s="43" t="n"/>
      <c r="J133" s="43" t="n"/>
      <c r="K133" s="43" t="n"/>
      <c r="L133" s="43" t="n"/>
      <c r="M133" s="43" t="n"/>
      <c r="N133" s="43" t="n"/>
      <c r="O133" s="43" t="n"/>
      <c r="P133" s="43" t="n"/>
      <c r="Q133" s="43" t="n"/>
      <c r="R133" s="43" t="n"/>
      <c r="S133" s="43" t="n"/>
      <c r="T133" s="43" t="n"/>
      <c r="U133" s="43" t="n"/>
      <c r="V133" s="43" t="n"/>
      <c r="W133" s="43" t="n"/>
      <c r="X133" s="43" t="n"/>
      <c r="Y133" s="43" t="n"/>
      <c r="Z133" s="43" t="n"/>
      <c r="AA133" s="43" t="n"/>
    </row>
    <row r="134">
      <c r="A134" s="43" t="n"/>
      <c r="B134" s="43" t="n"/>
      <c r="C134" s="43" t="n"/>
      <c r="D134" s="43" t="n"/>
      <c r="E134" s="43" t="n"/>
      <c r="F134" s="43" t="n"/>
      <c r="G134" s="43" t="n"/>
      <c r="H134" s="43" t="n"/>
      <c r="I134" s="43" t="n"/>
      <c r="J134" s="43" t="n"/>
      <c r="K134" s="43" t="n"/>
      <c r="L134" s="43" t="n"/>
      <c r="M134" s="43" t="n"/>
      <c r="N134" s="43" t="n"/>
      <c r="O134" s="43" t="n"/>
      <c r="P134" s="43" t="n"/>
      <c r="Q134" s="43" t="n"/>
      <c r="R134" s="43" t="n"/>
      <c r="S134" s="43" t="n"/>
      <c r="T134" s="43" t="n"/>
      <c r="U134" s="43" t="n"/>
      <c r="V134" s="43" t="n"/>
      <c r="W134" s="43" t="n"/>
      <c r="X134" s="43" t="n"/>
      <c r="Y134" s="43" t="n"/>
      <c r="Z134" s="43" t="n"/>
      <c r="AA134" s="43" t="n"/>
    </row>
    <row r="135">
      <c r="A135" s="43" t="n"/>
      <c r="B135" s="43" t="n"/>
      <c r="C135" s="43" t="n"/>
      <c r="D135" s="43" t="n"/>
      <c r="E135" s="43" t="n"/>
      <c r="F135" s="43" t="n"/>
      <c r="G135" s="43" t="n"/>
      <c r="H135" s="43" t="n"/>
      <c r="I135" s="43" t="n"/>
      <c r="J135" s="43" t="n"/>
      <c r="K135" s="43" t="n"/>
      <c r="L135" s="43" t="n"/>
      <c r="M135" s="43" t="n"/>
      <c r="N135" s="43" t="n"/>
      <c r="O135" s="43" t="n"/>
      <c r="P135" s="43" t="n"/>
      <c r="Q135" s="43" t="n"/>
      <c r="R135" s="43" t="n"/>
      <c r="S135" s="43" t="n"/>
      <c r="T135" s="43" t="n"/>
      <c r="U135" s="43" t="n"/>
      <c r="V135" s="43" t="n"/>
      <c r="W135" s="43" t="n"/>
      <c r="X135" s="43" t="n"/>
      <c r="Y135" s="43" t="n"/>
      <c r="Z135" s="43" t="n"/>
      <c r="AA135" s="43" t="n"/>
    </row>
    <row r="136">
      <c r="A136" s="43" t="n"/>
      <c r="B136" s="43" t="n"/>
      <c r="C136" s="43" t="n"/>
      <c r="D136" s="43" t="n"/>
      <c r="E136" s="43" t="n"/>
      <c r="F136" s="43" t="n"/>
      <c r="G136" s="43" t="n"/>
      <c r="H136" s="43" t="n"/>
      <c r="I136" s="43" t="n"/>
      <c r="J136" s="43" t="n"/>
      <c r="K136" s="43" t="n"/>
      <c r="L136" s="43" t="n"/>
      <c r="M136" s="43" t="n"/>
      <c r="N136" s="43" t="n"/>
      <c r="O136" s="43" t="n"/>
      <c r="P136" s="43" t="n"/>
      <c r="Q136" s="43" t="n"/>
      <c r="R136" s="43" t="n"/>
      <c r="S136" s="43" t="n"/>
      <c r="T136" s="43" t="n"/>
      <c r="U136" s="43" t="n"/>
      <c r="V136" s="43" t="n"/>
      <c r="W136" s="43" t="n"/>
      <c r="X136" s="43" t="n"/>
      <c r="Y136" s="43" t="n"/>
      <c r="Z136" s="43" t="n"/>
      <c r="AA136" s="43" t="n"/>
    </row>
    <row r="137">
      <c r="A137" s="43" t="n"/>
      <c r="B137" s="43" t="n"/>
      <c r="C137" s="43" t="n"/>
      <c r="D137" s="43" t="n"/>
      <c r="E137" s="43" t="n"/>
      <c r="F137" s="43" t="n"/>
      <c r="G137" s="43" t="n"/>
      <c r="H137" s="43" t="n"/>
      <c r="I137" s="43" t="n"/>
      <c r="J137" s="43" t="n"/>
      <c r="K137" s="43" t="n"/>
      <c r="L137" s="43" t="n"/>
      <c r="M137" s="43" t="n"/>
      <c r="N137" s="43" t="n"/>
      <c r="O137" s="43" t="n"/>
      <c r="P137" s="43" t="n"/>
      <c r="Q137" s="43" t="n"/>
      <c r="R137" s="43" t="n"/>
      <c r="S137" s="43" t="n"/>
      <c r="T137" s="43" t="n"/>
      <c r="U137" s="43" t="n"/>
      <c r="V137" s="43" t="n"/>
      <c r="W137" s="43" t="n"/>
      <c r="X137" s="43" t="n"/>
      <c r="Y137" s="43" t="n"/>
      <c r="Z137" s="43" t="n"/>
      <c r="AA137" s="43" t="n"/>
    </row>
    <row r="138">
      <c r="A138" s="43" t="n"/>
      <c r="B138" s="43" t="n"/>
      <c r="C138" s="43" t="n"/>
      <c r="D138" s="43" t="n"/>
      <c r="E138" s="43" t="n"/>
      <c r="F138" s="43" t="n"/>
      <c r="G138" s="43" t="n"/>
      <c r="H138" s="43" t="n"/>
      <c r="I138" s="43" t="n"/>
      <c r="J138" s="43" t="n"/>
      <c r="K138" s="43" t="n"/>
      <c r="L138" s="43" t="n"/>
      <c r="M138" s="43" t="n"/>
      <c r="N138" s="43" t="n"/>
      <c r="O138" s="43" t="n"/>
      <c r="P138" s="43" t="n"/>
      <c r="Q138" s="43" t="n"/>
      <c r="R138" s="43" t="n"/>
      <c r="S138" s="43" t="n"/>
      <c r="T138" s="43" t="n"/>
      <c r="U138" s="43" t="n"/>
      <c r="V138" s="43" t="n"/>
      <c r="W138" s="43" t="n"/>
      <c r="X138" s="43" t="n"/>
      <c r="Y138" s="43" t="n"/>
      <c r="Z138" s="43" t="n"/>
      <c r="AA138" s="43" t="n"/>
    </row>
    <row r="139">
      <c r="A139" s="43" t="n"/>
      <c r="B139" s="43" t="n"/>
      <c r="C139" s="43" t="n"/>
      <c r="D139" s="43" t="n"/>
      <c r="E139" s="43" t="n"/>
      <c r="F139" s="43" t="n"/>
      <c r="G139" s="43" t="n"/>
      <c r="H139" s="43" t="n"/>
      <c r="I139" s="43" t="n"/>
      <c r="J139" s="43" t="n"/>
      <c r="K139" s="43" t="n"/>
      <c r="L139" s="43" t="n"/>
      <c r="M139" s="43" t="n"/>
      <c r="N139" s="43" t="n"/>
      <c r="O139" s="43" t="n"/>
      <c r="P139" s="43" t="n"/>
      <c r="Q139" s="43" t="n"/>
      <c r="R139" s="43" t="n"/>
      <c r="S139" s="43" t="n"/>
      <c r="T139" s="43" t="n"/>
      <c r="U139" s="43" t="n"/>
      <c r="V139" s="43" t="n"/>
      <c r="W139" s="43" t="n"/>
      <c r="X139" s="43" t="n"/>
      <c r="Y139" s="43" t="n"/>
      <c r="Z139" s="43" t="n"/>
      <c r="AA139" s="43" t="n"/>
    </row>
    <row r="140">
      <c r="A140" s="43" t="n"/>
      <c r="B140" s="43" t="n"/>
      <c r="C140" s="43" t="n"/>
      <c r="D140" s="43" t="n"/>
      <c r="E140" s="43" t="n"/>
      <c r="F140" s="43" t="n"/>
      <c r="G140" s="43" t="n"/>
      <c r="H140" s="43" t="n"/>
      <c r="I140" s="43" t="n"/>
      <c r="J140" s="43" t="n"/>
      <c r="K140" s="43" t="n"/>
      <c r="L140" s="43" t="n"/>
      <c r="M140" s="43" t="n"/>
      <c r="N140" s="43" t="n"/>
      <c r="O140" s="43" t="n"/>
      <c r="P140" s="43" t="n"/>
      <c r="Q140" s="43" t="n"/>
      <c r="R140" s="43" t="n"/>
      <c r="S140" s="43" t="n"/>
      <c r="T140" s="43" t="n"/>
      <c r="U140" s="43" t="n"/>
      <c r="V140" s="43" t="n"/>
      <c r="W140" s="43" t="n"/>
      <c r="X140" s="43" t="n"/>
      <c r="Y140" s="43" t="n"/>
      <c r="Z140" s="43" t="n"/>
      <c r="AA140" s="43" t="n"/>
    </row>
    <row r="141">
      <c r="A141" s="43" t="n"/>
      <c r="B141" s="43" t="n"/>
      <c r="C141" s="43" t="n"/>
      <c r="D141" s="43" t="n"/>
      <c r="E141" s="43" t="n"/>
      <c r="F141" s="43" t="n"/>
      <c r="G141" s="43" t="n"/>
      <c r="H141" s="43" t="n"/>
      <c r="I141" s="43" t="n"/>
      <c r="J141" s="43" t="n"/>
      <c r="K141" s="43" t="n"/>
      <c r="L141" s="43" t="n"/>
      <c r="M141" s="43" t="n"/>
      <c r="N141" s="43" t="n"/>
      <c r="O141" s="43" t="n"/>
      <c r="P141" s="43" t="n"/>
      <c r="Q141" s="43" t="n"/>
      <c r="R141" s="43" t="n"/>
      <c r="S141" s="43" t="n"/>
      <c r="T141" s="43" t="n"/>
      <c r="U141" s="43" t="n"/>
      <c r="V141" s="43" t="n"/>
      <c r="W141" s="43" t="n"/>
      <c r="X141" s="43" t="n"/>
      <c r="Y141" s="43" t="n"/>
      <c r="Z141" s="43" t="n"/>
      <c r="AA141" s="43" t="n"/>
    </row>
    <row r="142">
      <c r="A142" s="43" t="n"/>
      <c r="B142" s="43" t="n"/>
      <c r="C142" s="43" t="n"/>
      <c r="D142" s="43" t="n"/>
      <c r="E142" s="43" t="n"/>
      <c r="F142" s="43" t="n"/>
      <c r="G142" s="43" t="n"/>
      <c r="H142" s="43" t="n"/>
      <c r="I142" s="43" t="n"/>
      <c r="J142" s="43" t="n"/>
      <c r="K142" s="43" t="n"/>
      <c r="L142" s="43" t="n"/>
      <c r="M142" s="43" t="n"/>
      <c r="N142" s="43" t="n"/>
      <c r="O142" s="43" t="n"/>
      <c r="P142" s="43" t="n"/>
      <c r="Q142" s="43" t="n"/>
      <c r="R142" s="43" t="n"/>
      <c r="S142" s="43" t="n"/>
      <c r="T142" s="43" t="n"/>
      <c r="U142" s="43" t="n"/>
      <c r="V142" s="43" t="n"/>
      <c r="W142" s="43" t="n"/>
      <c r="X142" s="43" t="n"/>
      <c r="Y142" s="43" t="n"/>
      <c r="Z142" s="43" t="n"/>
      <c r="AA142" s="43" t="n"/>
    </row>
    <row r="143">
      <c r="A143" s="43" t="n"/>
      <c r="B143" s="43" t="n"/>
      <c r="C143" s="43" t="n"/>
      <c r="D143" s="43" t="n"/>
      <c r="E143" s="43" t="n"/>
      <c r="F143" s="43" t="n"/>
      <c r="G143" s="43" t="n"/>
      <c r="H143" s="43" t="n"/>
      <c r="I143" s="43" t="n"/>
      <c r="J143" s="43" t="n"/>
      <c r="K143" s="43" t="n"/>
      <c r="L143" s="43" t="n"/>
      <c r="M143" s="43" t="n"/>
      <c r="N143" s="43" t="n"/>
      <c r="O143" s="43" t="n"/>
      <c r="P143" s="43" t="n"/>
      <c r="Q143" s="43" t="n"/>
      <c r="R143" s="43" t="n"/>
      <c r="S143" s="43" t="n"/>
      <c r="T143" s="43" t="n"/>
      <c r="U143" s="43" t="n"/>
      <c r="V143" s="43" t="n"/>
      <c r="W143" s="43" t="n"/>
      <c r="X143" s="43" t="n"/>
      <c r="Y143" s="43" t="n"/>
      <c r="Z143" s="43" t="n"/>
      <c r="AA143" s="43" t="n"/>
    </row>
    <row r="144">
      <c r="A144" s="43" t="n"/>
      <c r="B144" s="43" t="n"/>
      <c r="C144" s="43" t="n"/>
      <c r="D144" s="43" t="n"/>
      <c r="E144" s="43" t="n"/>
      <c r="F144" s="43" t="n"/>
      <c r="G144" s="43" t="n"/>
      <c r="H144" s="43" t="n"/>
      <c r="I144" s="43" t="n"/>
      <c r="J144" s="43" t="n"/>
      <c r="K144" s="43" t="n"/>
      <c r="L144" s="43" t="n"/>
      <c r="M144" s="43" t="n"/>
      <c r="N144" s="43" t="n"/>
      <c r="O144" s="43" t="n"/>
      <c r="P144" s="43" t="n"/>
      <c r="Q144" s="43" t="n"/>
      <c r="R144" s="43" t="n"/>
      <c r="S144" s="43" t="n"/>
      <c r="T144" s="43" t="n"/>
      <c r="U144" s="43" t="n"/>
      <c r="V144" s="43" t="n"/>
      <c r="W144" s="43" t="n"/>
      <c r="X144" s="43" t="n"/>
      <c r="Y144" s="43" t="n"/>
      <c r="Z144" s="43" t="n"/>
      <c r="AA144" s="43" t="n"/>
    </row>
    <row r="145">
      <c r="A145" s="43" t="n"/>
      <c r="B145" s="43" t="n"/>
      <c r="C145" s="43" t="n"/>
      <c r="D145" s="43" t="n"/>
      <c r="E145" s="43" t="n"/>
      <c r="F145" s="43" t="n"/>
      <c r="G145" s="43" t="n"/>
      <c r="H145" s="43" t="n"/>
      <c r="I145" s="43" t="n"/>
      <c r="J145" s="43" t="n"/>
      <c r="K145" s="43" t="n"/>
      <c r="L145" s="43" t="n"/>
      <c r="M145" s="43" t="n"/>
      <c r="N145" s="43" t="n"/>
      <c r="O145" s="43" t="n"/>
      <c r="P145" s="43" t="n"/>
      <c r="Q145" s="43" t="n"/>
      <c r="R145" s="43" t="n"/>
      <c r="S145" s="43" t="n"/>
      <c r="T145" s="43" t="n"/>
      <c r="U145" s="43" t="n"/>
      <c r="V145" s="43" t="n"/>
      <c r="W145" s="43" t="n"/>
      <c r="X145" s="43" t="n"/>
      <c r="Y145" s="43" t="n"/>
      <c r="Z145" s="43" t="n"/>
      <c r="AA145" s="43" t="n"/>
    </row>
    <row r="146">
      <c r="A146" s="43" t="n"/>
      <c r="B146" s="43" t="n"/>
      <c r="C146" s="43" t="n"/>
      <c r="D146" s="43" t="n"/>
      <c r="E146" s="43" t="n"/>
      <c r="F146" s="43" t="n"/>
      <c r="G146" s="43" t="n"/>
      <c r="H146" s="43" t="n"/>
      <c r="I146" s="43" t="n"/>
      <c r="J146" s="43" t="n"/>
      <c r="K146" s="43" t="n"/>
      <c r="L146" s="43" t="n"/>
      <c r="M146" s="43" t="n"/>
      <c r="N146" s="43" t="n"/>
      <c r="O146" s="43" t="n"/>
      <c r="P146" s="43" t="n"/>
      <c r="Q146" s="43" t="n"/>
      <c r="R146" s="43" t="n"/>
      <c r="S146" s="43" t="n"/>
      <c r="T146" s="43" t="n"/>
      <c r="U146" s="43" t="n"/>
      <c r="V146" s="43" t="n"/>
      <c r="W146" s="43" t="n"/>
      <c r="X146" s="43" t="n"/>
      <c r="Y146" s="43" t="n"/>
      <c r="Z146" s="43" t="n"/>
      <c r="AA146" s="43" t="n"/>
    </row>
    <row r="147">
      <c r="A147" s="43" t="n"/>
      <c r="B147" s="43" t="n"/>
      <c r="C147" s="43" t="n"/>
      <c r="D147" s="43" t="n"/>
      <c r="E147" s="43" t="n"/>
      <c r="F147" s="43" t="n"/>
      <c r="G147" s="43" t="n"/>
      <c r="H147" s="43" t="n"/>
      <c r="I147" s="43" t="n"/>
      <c r="J147" s="43" t="n"/>
      <c r="K147" s="43" t="n"/>
      <c r="L147" s="43" t="n"/>
      <c r="M147" s="43" t="n"/>
      <c r="N147" s="43" t="n"/>
      <c r="O147" s="43" t="n"/>
      <c r="P147" s="43" t="n"/>
      <c r="Q147" s="43" t="n"/>
      <c r="R147" s="43" t="n"/>
      <c r="S147" s="43" t="n"/>
      <c r="T147" s="43" t="n"/>
      <c r="U147" s="43" t="n"/>
      <c r="V147" s="43" t="n"/>
      <c r="W147" s="43" t="n"/>
      <c r="X147" s="43" t="n"/>
      <c r="Y147" s="43" t="n"/>
      <c r="Z147" s="43" t="n"/>
      <c r="AA147" s="43" t="n"/>
    </row>
    <row r="148">
      <c r="A148" s="43" t="n"/>
      <c r="B148" s="43" t="n"/>
      <c r="C148" s="43" t="n"/>
      <c r="D148" s="43" t="n"/>
      <c r="E148" s="43" t="n"/>
      <c r="F148" s="43" t="n"/>
      <c r="G148" s="43" t="n"/>
      <c r="H148" s="43" t="n"/>
      <c r="I148" s="43" t="n"/>
      <c r="J148" s="43" t="n"/>
      <c r="K148" s="43" t="n"/>
      <c r="L148" s="43" t="n"/>
      <c r="M148" s="43" t="n"/>
      <c r="N148" s="43" t="n"/>
      <c r="O148" s="43" t="n"/>
      <c r="P148" s="43" t="n"/>
      <c r="Q148" s="43" t="n"/>
      <c r="R148" s="43" t="n"/>
      <c r="S148" s="43" t="n"/>
      <c r="T148" s="43" t="n"/>
      <c r="U148" s="43" t="n"/>
      <c r="V148" s="43" t="n"/>
      <c r="W148" s="43" t="n"/>
      <c r="X148" s="43" t="n"/>
      <c r="Y148" s="43" t="n"/>
      <c r="Z148" s="43" t="n"/>
      <c r="AA148" s="43" t="n"/>
    </row>
    <row r="149">
      <c r="A149" s="43" t="n"/>
      <c r="B149" s="43" t="n"/>
      <c r="C149" s="43" t="n"/>
      <c r="D149" s="43" t="n"/>
      <c r="E149" s="43" t="n"/>
      <c r="F149" s="43" t="n"/>
      <c r="G149" s="43" t="n"/>
      <c r="H149" s="43" t="n"/>
      <c r="I149" s="43" t="n"/>
      <c r="J149" s="43" t="n"/>
      <c r="K149" s="43" t="n"/>
      <c r="L149" s="43" t="n"/>
      <c r="M149" s="43" t="n"/>
      <c r="N149" s="43" t="n"/>
      <c r="O149" s="43" t="n"/>
      <c r="P149" s="43" t="n"/>
      <c r="Q149" s="43" t="n"/>
      <c r="R149" s="43" t="n"/>
      <c r="S149" s="43" t="n"/>
      <c r="T149" s="43" t="n"/>
      <c r="U149" s="43" t="n"/>
      <c r="V149" s="43" t="n"/>
      <c r="W149" s="43" t="n"/>
      <c r="X149" s="43" t="n"/>
      <c r="Y149" s="43" t="n"/>
      <c r="Z149" s="43" t="n"/>
      <c r="AA149" s="43" t="n"/>
    </row>
    <row r="150">
      <c r="A150" s="43" t="n"/>
      <c r="B150" s="43" t="n"/>
      <c r="C150" s="43" t="n"/>
      <c r="D150" s="43"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c r="AA150" s="43" t="n"/>
    </row>
    <row r="151">
      <c r="A151" s="43" t="n"/>
      <c r="B151" s="43" t="n"/>
      <c r="C151" s="43" t="n"/>
      <c r="D151" s="43" t="n"/>
      <c r="E151" s="43" t="n"/>
      <c r="F151" s="43" t="n"/>
      <c r="G151" s="43" t="n"/>
      <c r="H151" s="43" t="n"/>
      <c r="I151" s="43" t="n"/>
      <c r="J151" s="43" t="n"/>
      <c r="K151" s="43" t="n"/>
      <c r="L151" s="43" t="n"/>
      <c r="M151" s="43" t="n"/>
      <c r="N151" s="43" t="n"/>
      <c r="O151" s="43" t="n"/>
      <c r="P151" s="43" t="n"/>
      <c r="Q151" s="43" t="n"/>
      <c r="R151" s="43" t="n"/>
      <c r="S151" s="43" t="n"/>
      <c r="T151" s="43" t="n"/>
      <c r="U151" s="43" t="n"/>
      <c r="V151" s="43" t="n"/>
      <c r="W151" s="43" t="n"/>
      <c r="X151" s="43" t="n"/>
      <c r="Y151" s="43" t="n"/>
      <c r="Z151" s="43" t="n"/>
      <c r="AA151" s="43" t="n"/>
    </row>
    <row r="152">
      <c r="A152" s="43" t="n"/>
      <c r="B152" s="43" t="n"/>
      <c r="C152" s="43" t="n"/>
      <c r="D152" s="43" t="n"/>
      <c r="E152" s="43" t="n"/>
      <c r="F152" s="43" t="n"/>
      <c r="G152" s="43" t="n"/>
      <c r="H152" s="43" t="n"/>
      <c r="I152" s="43" t="n"/>
      <c r="J152" s="43" t="n"/>
      <c r="K152" s="43" t="n"/>
      <c r="L152" s="43" t="n"/>
      <c r="M152" s="43" t="n"/>
      <c r="N152" s="43" t="n"/>
      <c r="O152" s="43" t="n"/>
      <c r="P152" s="43" t="n"/>
      <c r="Q152" s="43" t="n"/>
      <c r="R152" s="43" t="n"/>
      <c r="S152" s="43" t="n"/>
      <c r="T152" s="43" t="n"/>
      <c r="U152" s="43" t="n"/>
      <c r="V152" s="43" t="n"/>
      <c r="W152" s="43" t="n"/>
      <c r="X152" s="43" t="n"/>
      <c r="Y152" s="43" t="n"/>
      <c r="Z152" s="43" t="n"/>
      <c r="AA152" s="43" t="n"/>
    </row>
    <row r="153">
      <c r="A153" s="43" t="n"/>
      <c r="B153" s="43" t="n"/>
      <c r="C153" s="43" t="n"/>
      <c r="D153" s="43" t="n"/>
      <c r="E153" s="43" t="n"/>
      <c r="F153" s="43" t="n"/>
      <c r="G153" s="43" t="n"/>
      <c r="H153" s="43" t="n"/>
      <c r="I153" s="43" t="n"/>
      <c r="J153" s="43" t="n"/>
      <c r="K153" s="43" t="n"/>
      <c r="L153" s="43" t="n"/>
      <c r="M153" s="43" t="n"/>
      <c r="N153" s="43" t="n"/>
      <c r="O153" s="43" t="n"/>
      <c r="P153" s="43" t="n"/>
      <c r="Q153" s="43" t="n"/>
      <c r="R153" s="43" t="n"/>
      <c r="S153" s="43" t="n"/>
      <c r="T153" s="43" t="n"/>
      <c r="U153" s="43" t="n"/>
      <c r="V153" s="43" t="n"/>
      <c r="W153" s="43" t="n"/>
      <c r="X153" s="43" t="n"/>
      <c r="Y153" s="43" t="n"/>
      <c r="Z153" s="43" t="n"/>
      <c r="AA153" s="43" t="n"/>
    </row>
    <row r="154">
      <c r="A154" s="43" t="n"/>
      <c r="B154" s="43" t="n"/>
      <c r="C154" s="43" t="n"/>
      <c r="D154" s="43" t="n"/>
      <c r="E154" s="43" t="n"/>
      <c r="F154" s="43" t="n"/>
      <c r="G154" s="43" t="n"/>
      <c r="H154" s="43" t="n"/>
      <c r="I154" s="43" t="n"/>
      <c r="J154" s="43" t="n"/>
      <c r="K154" s="43" t="n"/>
      <c r="L154" s="43" t="n"/>
      <c r="M154" s="43" t="n"/>
      <c r="N154" s="43" t="n"/>
      <c r="O154" s="43" t="n"/>
      <c r="P154" s="43" t="n"/>
      <c r="Q154" s="43" t="n"/>
      <c r="R154" s="43" t="n"/>
      <c r="S154" s="43" t="n"/>
      <c r="T154" s="43" t="n"/>
      <c r="U154" s="43" t="n"/>
      <c r="V154" s="43" t="n"/>
      <c r="W154" s="43" t="n"/>
      <c r="X154" s="43" t="n"/>
      <c r="Y154" s="43" t="n"/>
      <c r="Z154" s="43" t="n"/>
      <c r="AA154" s="43" t="n"/>
    </row>
    <row r="155">
      <c r="A155" s="43" t="n"/>
      <c r="B155" s="43" t="n"/>
      <c r="C155" s="43" t="n"/>
      <c r="D155" s="43" t="n"/>
      <c r="E155" s="43" t="n"/>
      <c r="F155" s="43" t="n"/>
      <c r="G155" s="43" t="n"/>
      <c r="H155" s="43" t="n"/>
      <c r="I155" s="43" t="n"/>
      <c r="J155" s="43" t="n"/>
      <c r="K155" s="43" t="n"/>
      <c r="L155" s="43" t="n"/>
      <c r="M155" s="43" t="n"/>
      <c r="N155" s="43" t="n"/>
      <c r="O155" s="43" t="n"/>
      <c r="P155" s="43" t="n"/>
      <c r="Q155" s="43" t="n"/>
      <c r="R155" s="43" t="n"/>
      <c r="S155" s="43" t="n"/>
      <c r="T155" s="43" t="n"/>
      <c r="U155" s="43" t="n"/>
      <c r="V155" s="43" t="n"/>
      <c r="W155" s="43" t="n"/>
      <c r="X155" s="43" t="n"/>
      <c r="Y155" s="43" t="n"/>
      <c r="Z155" s="43" t="n"/>
      <c r="AA155" s="43" t="n"/>
    </row>
    <row r="156">
      <c r="A156" s="43" t="n"/>
      <c r="B156" s="43" t="n"/>
      <c r="C156" s="43" t="n"/>
      <c r="D156" s="43" t="n"/>
      <c r="E156" s="43" t="n"/>
      <c r="F156" s="43" t="n"/>
      <c r="G156" s="43" t="n"/>
      <c r="H156" s="43" t="n"/>
      <c r="I156" s="43" t="n"/>
      <c r="J156" s="43" t="n"/>
      <c r="K156" s="43" t="n"/>
      <c r="L156" s="43" t="n"/>
      <c r="M156" s="43" t="n"/>
      <c r="N156" s="43" t="n"/>
      <c r="O156" s="43" t="n"/>
      <c r="P156" s="43" t="n"/>
      <c r="Q156" s="43" t="n"/>
      <c r="R156" s="43" t="n"/>
      <c r="S156" s="43" t="n"/>
      <c r="T156" s="43" t="n"/>
      <c r="U156" s="43" t="n"/>
      <c r="V156" s="43" t="n"/>
      <c r="W156" s="43" t="n"/>
      <c r="X156" s="43" t="n"/>
      <c r="Y156" s="43" t="n"/>
      <c r="Z156" s="43" t="n"/>
      <c r="AA156" s="43" t="n"/>
    </row>
    <row r="157">
      <c r="A157" s="43" t="n"/>
      <c r="B157" s="43" t="n"/>
      <c r="C157" s="43" t="n"/>
      <c r="D157" s="43" t="n"/>
      <c r="E157" s="43" t="n"/>
      <c r="F157" s="43" t="n"/>
      <c r="G157" s="43" t="n"/>
      <c r="H157" s="43" t="n"/>
      <c r="I157" s="43" t="n"/>
      <c r="J157" s="43" t="n"/>
      <c r="K157" s="43" t="n"/>
      <c r="L157" s="43" t="n"/>
      <c r="M157" s="43" t="n"/>
      <c r="N157" s="43" t="n"/>
      <c r="O157" s="43" t="n"/>
      <c r="P157" s="43" t="n"/>
      <c r="Q157" s="43" t="n"/>
      <c r="R157" s="43" t="n"/>
      <c r="S157" s="43" t="n"/>
      <c r="T157" s="43" t="n"/>
      <c r="U157" s="43" t="n"/>
      <c r="V157" s="43" t="n"/>
      <c r="W157" s="43" t="n"/>
      <c r="X157" s="43" t="n"/>
      <c r="Y157" s="43" t="n"/>
      <c r="Z157" s="43" t="n"/>
      <c r="AA157" s="43" t="n"/>
    </row>
    <row r="158">
      <c r="A158" s="43" t="n"/>
      <c r="B158" s="43" t="n"/>
      <c r="C158" s="43" t="n"/>
      <c r="D158" s="43" t="n"/>
      <c r="E158" s="43" t="n"/>
      <c r="F158" s="43" t="n"/>
      <c r="G158" s="43" t="n"/>
      <c r="H158" s="43" t="n"/>
      <c r="I158" s="43" t="n"/>
      <c r="J158" s="43" t="n"/>
      <c r="K158" s="43" t="n"/>
      <c r="L158" s="43" t="n"/>
      <c r="M158" s="43" t="n"/>
      <c r="N158" s="43" t="n"/>
      <c r="O158" s="43" t="n"/>
      <c r="P158" s="43" t="n"/>
      <c r="Q158" s="43" t="n"/>
      <c r="R158" s="43" t="n"/>
      <c r="S158" s="43" t="n"/>
      <c r="T158" s="43" t="n"/>
      <c r="U158" s="43" t="n"/>
      <c r="V158" s="43" t="n"/>
      <c r="W158" s="43" t="n"/>
      <c r="X158" s="43" t="n"/>
      <c r="Y158" s="43" t="n"/>
      <c r="Z158" s="43" t="n"/>
      <c r="AA158" s="43" t="n"/>
    </row>
    <row r="159">
      <c r="A159" s="43" t="n"/>
      <c r="B159" s="43" t="n"/>
      <c r="C159" s="43" t="n"/>
      <c r="D159" s="43" t="n"/>
      <c r="E159" s="43" t="n"/>
      <c r="F159" s="43" t="n"/>
      <c r="G159" s="43" t="n"/>
      <c r="H159" s="43" t="n"/>
      <c r="I159" s="43" t="n"/>
      <c r="J159" s="43" t="n"/>
      <c r="K159" s="43" t="n"/>
      <c r="L159" s="43" t="n"/>
      <c r="M159" s="43" t="n"/>
      <c r="N159" s="43" t="n"/>
      <c r="O159" s="43" t="n"/>
      <c r="P159" s="43" t="n"/>
      <c r="Q159" s="43" t="n"/>
      <c r="R159" s="43" t="n"/>
      <c r="S159" s="43" t="n"/>
      <c r="T159" s="43" t="n"/>
      <c r="U159" s="43" t="n"/>
      <c r="V159" s="43" t="n"/>
      <c r="W159" s="43" t="n"/>
      <c r="X159" s="43" t="n"/>
      <c r="Y159" s="43" t="n"/>
      <c r="Z159" s="43" t="n"/>
      <c r="AA159" s="43" t="n"/>
    </row>
    <row r="160">
      <c r="A160" s="43" t="n"/>
      <c r="B160" s="43" t="n"/>
      <c r="C160" s="43" t="n"/>
      <c r="D160" s="43" t="n"/>
      <c r="E160" s="43" t="n"/>
      <c r="F160" s="43" t="n"/>
      <c r="G160" s="43" t="n"/>
      <c r="H160" s="43" t="n"/>
      <c r="I160" s="43" t="n"/>
      <c r="J160" s="43" t="n"/>
      <c r="K160" s="43" t="n"/>
      <c r="L160" s="43" t="n"/>
      <c r="M160" s="43" t="n"/>
      <c r="N160" s="43" t="n"/>
      <c r="O160" s="43" t="n"/>
      <c r="P160" s="43" t="n"/>
      <c r="Q160" s="43" t="n"/>
      <c r="R160" s="43" t="n"/>
      <c r="S160" s="43" t="n"/>
      <c r="T160" s="43" t="n"/>
      <c r="U160" s="43" t="n"/>
      <c r="V160" s="43" t="n"/>
      <c r="W160" s="43" t="n"/>
      <c r="X160" s="43" t="n"/>
      <c r="Y160" s="43" t="n"/>
      <c r="Z160" s="43" t="n"/>
      <c r="AA160" s="43" t="n"/>
    </row>
    <row r="161">
      <c r="A161" s="43" t="n"/>
      <c r="B161" s="43" t="n"/>
      <c r="C161" s="43" t="n"/>
      <c r="D161" s="43" t="n"/>
      <c r="E161" s="43" t="n"/>
      <c r="F161" s="43" t="n"/>
      <c r="G161" s="43" t="n"/>
      <c r="H161" s="43" t="n"/>
      <c r="I161" s="43" t="n"/>
      <c r="J161" s="43" t="n"/>
      <c r="K161" s="43" t="n"/>
      <c r="L161" s="43" t="n"/>
      <c r="M161" s="43" t="n"/>
      <c r="N161" s="43" t="n"/>
      <c r="O161" s="43" t="n"/>
      <c r="P161" s="43" t="n"/>
      <c r="Q161" s="43" t="n"/>
      <c r="R161" s="43" t="n"/>
      <c r="S161" s="43" t="n"/>
      <c r="T161" s="43" t="n"/>
      <c r="U161" s="43" t="n"/>
      <c r="V161" s="43" t="n"/>
      <c r="W161" s="43" t="n"/>
      <c r="X161" s="43" t="n"/>
      <c r="Y161" s="43" t="n"/>
      <c r="Z161" s="43" t="n"/>
      <c r="AA161" s="43" t="n"/>
    </row>
    <row r="162">
      <c r="A162" s="43" t="n"/>
      <c r="B162" s="43" t="n"/>
      <c r="C162" s="43" t="n"/>
      <c r="D162" s="43" t="n"/>
      <c r="E162" s="43" t="n"/>
      <c r="F162" s="43" t="n"/>
      <c r="G162" s="43" t="n"/>
      <c r="H162" s="43" t="n"/>
      <c r="I162" s="43" t="n"/>
      <c r="J162" s="43" t="n"/>
      <c r="K162" s="43" t="n"/>
      <c r="L162" s="43" t="n"/>
      <c r="M162" s="43" t="n"/>
      <c r="N162" s="43" t="n"/>
      <c r="O162" s="43" t="n"/>
      <c r="P162" s="43" t="n"/>
      <c r="Q162" s="43" t="n"/>
      <c r="R162" s="43" t="n"/>
      <c r="S162" s="43" t="n"/>
      <c r="T162" s="43" t="n"/>
      <c r="U162" s="43" t="n"/>
      <c r="V162" s="43" t="n"/>
      <c r="W162" s="43" t="n"/>
      <c r="X162" s="43" t="n"/>
      <c r="Y162" s="43" t="n"/>
      <c r="Z162" s="43" t="n"/>
      <c r="AA162" s="43" t="n"/>
    </row>
    <row r="163">
      <c r="A163" s="43" t="n"/>
      <c r="B163" s="43" t="n"/>
      <c r="C163" s="43" t="n"/>
      <c r="D163" s="43" t="n"/>
      <c r="E163" s="43" t="n"/>
      <c r="F163" s="43" t="n"/>
      <c r="G163" s="43" t="n"/>
      <c r="H163" s="43" t="n"/>
      <c r="I163" s="43" t="n"/>
      <c r="J163" s="43" t="n"/>
      <c r="K163" s="43" t="n"/>
      <c r="L163" s="43" t="n"/>
      <c r="M163" s="43" t="n"/>
      <c r="N163" s="43" t="n"/>
      <c r="O163" s="43" t="n"/>
      <c r="P163" s="43" t="n"/>
      <c r="Q163" s="43" t="n"/>
      <c r="R163" s="43" t="n"/>
      <c r="S163" s="43" t="n"/>
      <c r="T163" s="43" t="n"/>
      <c r="U163" s="43" t="n"/>
      <c r="V163" s="43" t="n"/>
      <c r="W163" s="43" t="n"/>
      <c r="X163" s="43" t="n"/>
      <c r="Y163" s="43" t="n"/>
      <c r="Z163" s="43" t="n"/>
      <c r="AA163" s="43" t="n"/>
    </row>
    <row r="164">
      <c r="A164" s="43" t="n"/>
      <c r="B164" s="43" t="n"/>
      <c r="C164" s="43" t="n"/>
      <c r="D164" s="43" t="n"/>
      <c r="E164" s="43" t="n"/>
      <c r="F164" s="43" t="n"/>
      <c r="G164" s="43" t="n"/>
      <c r="H164" s="43" t="n"/>
      <c r="I164" s="43" t="n"/>
      <c r="J164" s="43" t="n"/>
      <c r="K164" s="43" t="n"/>
      <c r="L164" s="43" t="n"/>
      <c r="M164" s="43" t="n"/>
      <c r="N164" s="43" t="n"/>
      <c r="O164" s="43" t="n"/>
      <c r="P164" s="43" t="n"/>
      <c r="Q164" s="43" t="n"/>
      <c r="R164" s="43" t="n"/>
      <c r="S164" s="43" t="n"/>
      <c r="T164" s="43" t="n"/>
      <c r="U164" s="43" t="n"/>
      <c r="V164" s="43" t="n"/>
      <c r="W164" s="43" t="n"/>
      <c r="X164" s="43" t="n"/>
      <c r="Y164" s="43" t="n"/>
      <c r="Z164" s="43" t="n"/>
      <c r="AA164" s="43" t="n"/>
    </row>
    <row r="165">
      <c r="A165" s="43" t="n"/>
      <c r="B165" s="43" t="n"/>
      <c r="C165" s="43" t="n"/>
      <c r="D165" s="43" t="n"/>
      <c r="E165" s="43" t="n"/>
      <c r="F165" s="43" t="n"/>
      <c r="G165" s="43" t="n"/>
      <c r="H165" s="43" t="n"/>
      <c r="I165" s="43" t="n"/>
      <c r="J165" s="43" t="n"/>
      <c r="K165" s="43" t="n"/>
      <c r="L165" s="43" t="n"/>
      <c r="M165" s="43" t="n"/>
      <c r="N165" s="43" t="n"/>
      <c r="O165" s="43" t="n"/>
      <c r="P165" s="43" t="n"/>
      <c r="Q165" s="43" t="n"/>
      <c r="R165" s="43" t="n"/>
      <c r="S165" s="43" t="n"/>
      <c r="T165" s="43" t="n"/>
      <c r="U165" s="43" t="n"/>
      <c r="V165" s="43" t="n"/>
      <c r="W165" s="43" t="n"/>
      <c r="X165" s="43" t="n"/>
      <c r="Y165" s="43" t="n"/>
      <c r="Z165" s="43" t="n"/>
      <c r="AA165" s="43" t="n"/>
    </row>
    <row r="166">
      <c r="A166" s="43" t="n"/>
      <c r="B166" s="43" t="n"/>
      <c r="C166" s="43" t="n"/>
      <c r="D166" s="43" t="n"/>
      <c r="E166" s="43" t="n"/>
      <c r="F166" s="43" t="n"/>
      <c r="G166" s="43" t="n"/>
      <c r="H166" s="43" t="n"/>
      <c r="I166" s="43" t="n"/>
      <c r="J166" s="43" t="n"/>
      <c r="K166" s="43" t="n"/>
      <c r="L166" s="43" t="n"/>
      <c r="M166" s="43" t="n"/>
      <c r="N166" s="43" t="n"/>
      <c r="O166" s="43" t="n"/>
      <c r="P166" s="43" t="n"/>
      <c r="Q166" s="43" t="n"/>
      <c r="R166" s="43" t="n"/>
      <c r="S166" s="43" t="n"/>
      <c r="T166" s="43" t="n"/>
      <c r="U166" s="43" t="n"/>
      <c r="V166" s="43" t="n"/>
      <c r="W166" s="43" t="n"/>
      <c r="X166" s="43" t="n"/>
      <c r="Y166" s="43" t="n"/>
      <c r="Z166" s="43" t="n"/>
      <c r="AA166" s="43" t="n"/>
    </row>
    <row r="167">
      <c r="A167" s="43" t="n"/>
      <c r="B167" s="43" t="n"/>
      <c r="C167" s="43" t="n"/>
      <c r="D167" s="43" t="n"/>
      <c r="E167" s="43" t="n"/>
      <c r="F167" s="43" t="n"/>
      <c r="G167" s="43" t="n"/>
      <c r="H167" s="43" t="n"/>
      <c r="I167" s="43" t="n"/>
      <c r="J167" s="43" t="n"/>
      <c r="K167" s="43" t="n"/>
      <c r="L167" s="43" t="n"/>
      <c r="M167" s="43" t="n"/>
      <c r="N167" s="43" t="n"/>
      <c r="O167" s="43" t="n"/>
      <c r="P167" s="43" t="n"/>
      <c r="Q167" s="43" t="n"/>
      <c r="R167" s="43" t="n"/>
      <c r="S167" s="43" t="n"/>
      <c r="T167" s="43" t="n"/>
      <c r="U167" s="43" t="n"/>
      <c r="V167" s="43" t="n"/>
      <c r="W167" s="43" t="n"/>
      <c r="X167" s="43" t="n"/>
      <c r="Y167" s="43" t="n"/>
      <c r="Z167" s="43" t="n"/>
      <c r="AA167" s="43" t="n"/>
    </row>
    <row r="168">
      <c r="A168" s="43" t="n"/>
      <c r="B168" s="43" t="n"/>
      <c r="C168" s="43" t="n"/>
      <c r="D168" s="43" t="n"/>
      <c r="E168" s="43" t="n"/>
      <c r="F168" s="43" t="n"/>
      <c r="G168" s="43" t="n"/>
      <c r="H168" s="43" t="n"/>
      <c r="I168" s="43" t="n"/>
      <c r="J168" s="43" t="n"/>
      <c r="K168" s="43" t="n"/>
      <c r="L168" s="43" t="n"/>
      <c r="M168" s="43" t="n"/>
      <c r="N168" s="43" t="n"/>
      <c r="O168" s="43" t="n"/>
      <c r="P168" s="43" t="n"/>
      <c r="Q168" s="43" t="n"/>
      <c r="R168" s="43" t="n"/>
      <c r="S168" s="43" t="n"/>
      <c r="T168" s="43" t="n"/>
      <c r="U168" s="43" t="n"/>
      <c r="V168" s="43" t="n"/>
      <c r="W168" s="43" t="n"/>
      <c r="X168" s="43" t="n"/>
      <c r="Y168" s="43" t="n"/>
      <c r="Z168" s="43" t="n"/>
      <c r="AA168" s="43" t="n"/>
    </row>
    <row r="169">
      <c r="A169" s="43" t="n"/>
      <c r="B169" s="43" t="n"/>
      <c r="C169" s="43" t="n"/>
      <c r="D169" s="43" t="n"/>
      <c r="E169" s="43" t="n"/>
      <c r="F169" s="43" t="n"/>
      <c r="G169" s="43" t="n"/>
      <c r="H169" s="43" t="n"/>
      <c r="I169" s="43" t="n"/>
      <c r="J169" s="43" t="n"/>
      <c r="K169" s="43" t="n"/>
      <c r="L169" s="43" t="n"/>
      <c r="M169" s="43" t="n"/>
      <c r="N169" s="43" t="n"/>
      <c r="O169" s="43" t="n"/>
      <c r="P169" s="43" t="n"/>
      <c r="Q169" s="43" t="n"/>
      <c r="R169" s="43" t="n"/>
      <c r="S169" s="43" t="n"/>
      <c r="T169" s="43" t="n"/>
      <c r="U169" s="43" t="n"/>
      <c r="V169" s="43" t="n"/>
      <c r="W169" s="43" t="n"/>
      <c r="X169" s="43" t="n"/>
      <c r="Y169" s="43" t="n"/>
      <c r="Z169" s="43" t="n"/>
      <c r="AA169" s="43" t="n"/>
    </row>
    <row r="170">
      <c r="A170" s="43" t="n"/>
      <c r="B170" s="43" t="n"/>
      <c r="C170" s="43" t="n"/>
      <c r="D170" s="43" t="n"/>
      <c r="E170" s="43" t="n"/>
      <c r="F170" s="43" t="n"/>
      <c r="G170" s="43" t="n"/>
      <c r="H170" s="43" t="n"/>
      <c r="I170" s="43" t="n"/>
      <c r="J170" s="43" t="n"/>
      <c r="K170" s="43" t="n"/>
      <c r="L170" s="43" t="n"/>
      <c r="M170" s="43" t="n"/>
      <c r="N170" s="43" t="n"/>
      <c r="O170" s="43" t="n"/>
      <c r="P170" s="43" t="n"/>
      <c r="Q170" s="43" t="n"/>
      <c r="R170" s="43" t="n"/>
      <c r="S170" s="43" t="n"/>
      <c r="T170" s="43" t="n"/>
      <c r="U170" s="43" t="n"/>
      <c r="V170" s="43" t="n"/>
      <c r="W170" s="43" t="n"/>
      <c r="X170" s="43" t="n"/>
      <c r="Y170" s="43" t="n"/>
      <c r="Z170" s="43" t="n"/>
      <c r="AA170" s="43" t="n"/>
    </row>
    <row r="171">
      <c r="A171" s="43" t="n"/>
      <c r="B171" s="43" t="n"/>
      <c r="C171" s="43" t="n"/>
      <c r="D171" s="43" t="n"/>
      <c r="E171" s="43" t="n"/>
      <c r="F171" s="43" t="n"/>
      <c r="G171" s="43" t="n"/>
      <c r="H171" s="43" t="n"/>
      <c r="I171" s="43" t="n"/>
      <c r="J171" s="43" t="n"/>
      <c r="K171" s="43" t="n"/>
      <c r="L171" s="43" t="n"/>
      <c r="M171" s="43" t="n"/>
      <c r="N171" s="43" t="n"/>
      <c r="O171" s="43" t="n"/>
      <c r="P171" s="43" t="n"/>
      <c r="Q171" s="43" t="n"/>
      <c r="R171" s="43" t="n"/>
      <c r="S171" s="43" t="n"/>
      <c r="T171" s="43" t="n"/>
      <c r="U171" s="43" t="n"/>
      <c r="V171" s="43" t="n"/>
      <c r="W171" s="43" t="n"/>
      <c r="X171" s="43" t="n"/>
      <c r="Y171" s="43" t="n"/>
      <c r="Z171" s="43" t="n"/>
      <c r="AA171" s="43" t="n"/>
    </row>
    <row r="172">
      <c r="A172" s="43" t="n"/>
      <c r="B172" s="43" t="n"/>
      <c r="C172" s="43" t="n"/>
      <c r="D172" s="43" t="n"/>
      <c r="E172" s="43" t="n"/>
      <c r="F172" s="43" t="n"/>
      <c r="G172" s="43" t="n"/>
      <c r="H172" s="43" t="n"/>
      <c r="I172" s="43" t="n"/>
      <c r="J172" s="43" t="n"/>
      <c r="K172" s="43" t="n"/>
      <c r="L172" s="43" t="n"/>
      <c r="M172" s="43" t="n"/>
      <c r="N172" s="43" t="n"/>
      <c r="O172" s="43" t="n"/>
      <c r="P172" s="43" t="n"/>
      <c r="Q172" s="43" t="n"/>
      <c r="R172" s="43" t="n"/>
      <c r="S172" s="43" t="n"/>
      <c r="T172" s="43" t="n"/>
      <c r="U172" s="43" t="n"/>
      <c r="V172" s="43" t="n"/>
      <c r="W172" s="43" t="n"/>
      <c r="X172" s="43" t="n"/>
      <c r="Y172" s="43" t="n"/>
      <c r="Z172" s="43" t="n"/>
      <c r="AA172" s="43" t="n"/>
    </row>
    <row r="173">
      <c r="A173" s="43" t="n"/>
      <c r="B173" s="43" t="n"/>
      <c r="C173" s="43" t="n"/>
      <c r="D173" s="43" t="n"/>
      <c r="E173" s="43" t="n"/>
      <c r="F173" s="43" t="n"/>
      <c r="G173" s="43" t="n"/>
      <c r="H173" s="43" t="n"/>
      <c r="I173" s="43" t="n"/>
      <c r="J173" s="43" t="n"/>
      <c r="K173" s="43" t="n"/>
      <c r="L173" s="43" t="n"/>
      <c r="M173" s="43" t="n"/>
      <c r="N173" s="43" t="n"/>
      <c r="O173" s="43" t="n"/>
      <c r="P173" s="43" t="n"/>
      <c r="Q173" s="43" t="n"/>
      <c r="R173" s="43" t="n"/>
      <c r="S173" s="43" t="n"/>
      <c r="T173" s="43" t="n"/>
      <c r="U173" s="43" t="n"/>
      <c r="V173" s="43" t="n"/>
      <c r="W173" s="43" t="n"/>
      <c r="X173" s="43" t="n"/>
      <c r="Y173" s="43" t="n"/>
      <c r="Z173" s="43" t="n"/>
      <c r="AA173" s="43" t="n"/>
    </row>
    <row r="174">
      <c r="A174" s="43" t="n"/>
      <c r="B174" s="43" t="n"/>
      <c r="C174" s="43" t="n"/>
      <c r="D174" s="43" t="n"/>
      <c r="E174" s="43" t="n"/>
      <c r="F174" s="43" t="n"/>
      <c r="G174" s="43" t="n"/>
      <c r="H174" s="43" t="n"/>
      <c r="I174" s="43" t="n"/>
      <c r="J174" s="43" t="n"/>
      <c r="K174" s="43" t="n"/>
      <c r="L174" s="43" t="n"/>
      <c r="M174" s="43" t="n"/>
      <c r="N174" s="43" t="n"/>
      <c r="O174" s="43" t="n"/>
      <c r="P174" s="43" t="n"/>
      <c r="Q174" s="43" t="n"/>
      <c r="R174" s="43" t="n"/>
      <c r="S174" s="43" t="n"/>
      <c r="T174" s="43" t="n"/>
      <c r="U174" s="43" t="n"/>
      <c r="V174" s="43" t="n"/>
      <c r="W174" s="43" t="n"/>
      <c r="X174" s="43" t="n"/>
      <c r="Y174" s="43" t="n"/>
      <c r="Z174" s="43" t="n"/>
      <c r="AA174" s="43" t="n"/>
    </row>
    <row r="175">
      <c r="A175" s="43" t="n"/>
      <c r="B175" s="43" t="n"/>
      <c r="C175" s="43" t="n"/>
      <c r="D175" s="43" t="n"/>
      <c r="E175" s="43" t="n"/>
      <c r="F175" s="43" t="n"/>
      <c r="G175" s="43" t="n"/>
      <c r="H175" s="43" t="n"/>
      <c r="I175" s="43" t="n"/>
      <c r="J175" s="43" t="n"/>
      <c r="K175" s="43" t="n"/>
      <c r="L175" s="43" t="n"/>
      <c r="M175" s="43" t="n"/>
      <c r="N175" s="43" t="n"/>
      <c r="O175" s="43" t="n"/>
      <c r="P175" s="43" t="n"/>
      <c r="Q175" s="43" t="n"/>
      <c r="R175" s="43" t="n"/>
      <c r="S175" s="43" t="n"/>
      <c r="T175" s="43" t="n"/>
      <c r="U175" s="43" t="n"/>
      <c r="V175" s="43" t="n"/>
      <c r="W175" s="43" t="n"/>
      <c r="X175" s="43" t="n"/>
      <c r="Y175" s="43" t="n"/>
      <c r="Z175" s="43" t="n"/>
      <c r="AA175" s="43" t="n"/>
    </row>
    <row r="176">
      <c r="A176" s="43" t="n"/>
      <c r="B176" s="43" t="n"/>
      <c r="C176" s="43" t="n"/>
      <c r="D176" s="43" t="n"/>
      <c r="E176" s="43" t="n"/>
      <c r="F176" s="43" t="n"/>
      <c r="G176" s="43" t="n"/>
      <c r="H176" s="43" t="n"/>
      <c r="I176" s="43" t="n"/>
      <c r="J176" s="43" t="n"/>
      <c r="K176" s="43" t="n"/>
      <c r="L176" s="43" t="n"/>
      <c r="M176" s="43" t="n"/>
      <c r="N176" s="43" t="n"/>
      <c r="O176" s="43" t="n"/>
      <c r="P176" s="43" t="n"/>
      <c r="Q176" s="43" t="n"/>
      <c r="R176" s="43" t="n"/>
      <c r="S176" s="43" t="n"/>
      <c r="T176" s="43" t="n"/>
      <c r="U176" s="43" t="n"/>
      <c r="V176" s="43" t="n"/>
      <c r="W176" s="43" t="n"/>
      <c r="X176" s="43" t="n"/>
      <c r="Y176" s="43" t="n"/>
      <c r="Z176" s="43" t="n"/>
      <c r="AA176" s="43" t="n"/>
    </row>
    <row r="177">
      <c r="A177" s="43" t="n"/>
      <c r="B177" s="43" t="n"/>
      <c r="C177" s="43" t="n"/>
      <c r="D177" s="43" t="n"/>
      <c r="E177" s="43" t="n"/>
      <c r="F177" s="43" t="n"/>
      <c r="G177" s="43" t="n"/>
      <c r="H177" s="43" t="n"/>
      <c r="I177" s="43" t="n"/>
      <c r="J177" s="43" t="n"/>
      <c r="K177" s="43" t="n"/>
      <c r="L177" s="43" t="n"/>
      <c r="M177" s="43" t="n"/>
      <c r="N177" s="43" t="n"/>
      <c r="O177" s="43" t="n"/>
      <c r="P177" s="43" t="n"/>
      <c r="Q177" s="43" t="n"/>
      <c r="R177" s="43" t="n"/>
      <c r="S177" s="43" t="n"/>
      <c r="T177" s="43" t="n"/>
      <c r="U177" s="43" t="n"/>
      <c r="V177" s="43" t="n"/>
      <c r="W177" s="43" t="n"/>
      <c r="X177" s="43" t="n"/>
      <c r="Y177" s="43" t="n"/>
      <c r="Z177" s="43" t="n"/>
      <c r="AA177" s="43" t="n"/>
    </row>
    <row r="178">
      <c r="A178" s="43" t="n"/>
      <c r="B178" s="43" t="n"/>
      <c r="C178" s="43" t="n"/>
      <c r="D178" s="43" t="n"/>
      <c r="E178" s="43" t="n"/>
      <c r="F178" s="43" t="n"/>
      <c r="G178" s="43" t="n"/>
      <c r="H178" s="43" t="n"/>
      <c r="I178" s="43" t="n"/>
      <c r="J178" s="43" t="n"/>
      <c r="K178" s="43" t="n"/>
      <c r="L178" s="43" t="n"/>
      <c r="M178" s="43" t="n"/>
      <c r="N178" s="43" t="n"/>
      <c r="O178" s="43" t="n"/>
      <c r="P178" s="43" t="n"/>
      <c r="Q178" s="43" t="n"/>
      <c r="R178" s="43" t="n"/>
      <c r="S178" s="43" t="n"/>
      <c r="T178" s="43" t="n"/>
      <c r="U178" s="43" t="n"/>
      <c r="V178" s="43" t="n"/>
      <c r="W178" s="43" t="n"/>
      <c r="X178" s="43" t="n"/>
      <c r="Y178" s="43" t="n"/>
      <c r="Z178" s="43" t="n"/>
      <c r="AA178" s="43" t="n"/>
    </row>
    <row r="179">
      <c r="A179" s="43" t="n"/>
      <c r="B179" s="43" t="n"/>
      <c r="C179" s="43" t="n"/>
      <c r="D179" s="43" t="n"/>
      <c r="E179" s="43" t="n"/>
      <c r="F179" s="43" t="n"/>
      <c r="G179" s="43" t="n"/>
      <c r="H179" s="43" t="n"/>
      <c r="I179" s="43" t="n"/>
      <c r="J179" s="43" t="n"/>
      <c r="K179" s="43" t="n"/>
      <c r="L179" s="43" t="n"/>
      <c r="M179" s="43" t="n"/>
      <c r="N179" s="43" t="n"/>
      <c r="O179" s="43" t="n"/>
      <c r="P179" s="43" t="n"/>
      <c r="Q179" s="43" t="n"/>
      <c r="R179" s="43" t="n"/>
      <c r="S179" s="43" t="n"/>
      <c r="T179" s="43" t="n"/>
      <c r="U179" s="43" t="n"/>
      <c r="V179" s="43" t="n"/>
      <c r="W179" s="43" t="n"/>
      <c r="X179" s="43" t="n"/>
      <c r="Y179" s="43" t="n"/>
      <c r="Z179" s="43" t="n"/>
      <c r="AA179" s="43" t="n"/>
    </row>
    <row r="180">
      <c r="A180" s="43" t="n"/>
      <c r="B180" s="43" t="n"/>
      <c r="C180" s="43" t="n"/>
      <c r="D180" s="43" t="n"/>
      <c r="E180" s="43" t="n"/>
      <c r="F180" s="43" t="n"/>
      <c r="G180" s="43" t="n"/>
      <c r="H180" s="43" t="n"/>
      <c r="I180" s="43" t="n"/>
      <c r="J180" s="43" t="n"/>
      <c r="K180" s="43" t="n"/>
      <c r="L180" s="43" t="n"/>
      <c r="M180" s="43" t="n"/>
      <c r="N180" s="43" t="n"/>
      <c r="O180" s="43" t="n"/>
      <c r="P180" s="43" t="n"/>
      <c r="Q180" s="43" t="n"/>
      <c r="R180" s="43" t="n"/>
      <c r="S180" s="43" t="n"/>
      <c r="T180" s="43" t="n"/>
      <c r="U180" s="43" t="n"/>
      <c r="V180" s="43" t="n"/>
      <c r="W180" s="43" t="n"/>
      <c r="X180" s="43" t="n"/>
      <c r="Y180" s="43" t="n"/>
      <c r="Z180" s="43" t="n"/>
      <c r="AA180" s="43" t="n"/>
    </row>
    <row r="181">
      <c r="A181" s="43" t="n"/>
      <c r="B181" s="43" t="n"/>
      <c r="C181" s="43" t="n"/>
      <c r="D181" s="43" t="n"/>
      <c r="E181" s="43" t="n"/>
      <c r="F181" s="43" t="n"/>
      <c r="G181" s="43" t="n"/>
      <c r="H181" s="43" t="n"/>
      <c r="I181" s="43" t="n"/>
      <c r="J181" s="43" t="n"/>
      <c r="K181" s="43" t="n"/>
      <c r="L181" s="43" t="n"/>
      <c r="M181" s="43" t="n"/>
      <c r="N181" s="43" t="n"/>
      <c r="O181" s="43" t="n"/>
      <c r="P181" s="43" t="n"/>
      <c r="Q181" s="43" t="n"/>
      <c r="R181" s="43" t="n"/>
      <c r="S181" s="43" t="n"/>
      <c r="T181" s="43" t="n"/>
      <c r="U181" s="43" t="n"/>
      <c r="V181" s="43" t="n"/>
      <c r="W181" s="43" t="n"/>
      <c r="X181" s="43" t="n"/>
      <c r="Y181" s="43" t="n"/>
      <c r="Z181" s="43" t="n"/>
      <c r="AA181" s="43" t="n"/>
    </row>
    <row r="182">
      <c r="A182" s="43" t="n"/>
      <c r="B182" s="43" t="n"/>
      <c r="C182" s="43" t="n"/>
      <c r="D182" s="43" t="n"/>
      <c r="E182" s="43" t="n"/>
      <c r="F182" s="43" t="n"/>
      <c r="G182" s="43" t="n"/>
      <c r="H182" s="43" t="n"/>
      <c r="I182" s="43" t="n"/>
      <c r="J182" s="43" t="n"/>
      <c r="K182" s="43" t="n"/>
      <c r="L182" s="43" t="n"/>
      <c r="M182" s="43" t="n"/>
      <c r="N182" s="43" t="n"/>
      <c r="O182" s="43" t="n"/>
      <c r="P182" s="43" t="n"/>
      <c r="Q182" s="43" t="n"/>
      <c r="R182" s="43" t="n"/>
      <c r="S182" s="43" t="n"/>
      <c r="T182" s="43" t="n"/>
      <c r="U182" s="43" t="n"/>
      <c r="V182" s="43" t="n"/>
      <c r="W182" s="43" t="n"/>
      <c r="X182" s="43" t="n"/>
      <c r="Y182" s="43" t="n"/>
      <c r="Z182" s="43" t="n"/>
      <c r="AA182" s="43" t="n"/>
    </row>
    <row r="183">
      <c r="A183" s="43" t="n"/>
      <c r="B183" s="43" t="n"/>
      <c r="C183" s="43" t="n"/>
      <c r="D183" s="43" t="n"/>
      <c r="E183" s="43" t="n"/>
      <c r="F183" s="43" t="n"/>
      <c r="G183" s="43" t="n"/>
      <c r="H183" s="43" t="n"/>
      <c r="I183" s="43" t="n"/>
      <c r="J183" s="43" t="n"/>
      <c r="K183" s="43" t="n"/>
      <c r="L183" s="43" t="n"/>
      <c r="M183" s="43" t="n"/>
      <c r="N183" s="43" t="n"/>
      <c r="O183" s="43" t="n"/>
      <c r="P183" s="43" t="n"/>
      <c r="Q183" s="43" t="n"/>
      <c r="R183" s="43" t="n"/>
      <c r="S183" s="43" t="n"/>
      <c r="T183" s="43" t="n"/>
      <c r="U183" s="43" t="n"/>
      <c r="V183" s="43" t="n"/>
      <c r="W183" s="43" t="n"/>
      <c r="X183" s="43" t="n"/>
      <c r="Y183" s="43" t="n"/>
      <c r="Z183" s="43" t="n"/>
      <c r="AA183" s="43" t="n"/>
    </row>
    <row r="184">
      <c r="A184" s="43" t="n"/>
      <c r="B184" s="43" t="n"/>
      <c r="C184" s="43" t="n"/>
      <c r="D184" s="43" t="n"/>
      <c r="E184" s="43" t="n"/>
      <c r="F184" s="43" t="n"/>
      <c r="G184" s="43" t="n"/>
      <c r="H184" s="43" t="n"/>
      <c r="I184" s="43" t="n"/>
      <c r="J184" s="43" t="n"/>
      <c r="K184" s="43" t="n"/>
      <c r="L184" s="43" t="n"/>
      <c r="M184" s="43" t="n"/>
      <c r="N184" s="43" t="n"/>
      <c r="O184" s="43" t="n"/>
      <c r="P184" s="43" t="n"/>
      <c r="Q184" s="43" t="n"/>
      <c r="R184" s="43" t="n"/>
      <c r="S184" s="43" t="n"/>
      <c r="T184" s="43" t="n"/>
      <c r="U184" s="43" t="n"/>
      <c r="V184" s="43" t="n"/>
      <c r="W184" s="43" t="n"/>
      <c r="X184" s="43" t="n"/>
      <c r="Y184" s="43" t="n"/>
      <c r="Z184" s="43" t="n"/>
      <c r="AA184" s="43" t="n"/>
    </row>
    <row r="185">
      <c r="A185" s="43" t="n"/>
      <c r="B185" s="43" t="n"/>
      <c r="C185" s="43" t="n"/>
      <c r="D185" s="43"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c r="AA185" s="43" t="n"/>
    </row>
    <row r="186">
      <c r="A186" s="43" t="n"/>
      <c r="B186" s="43" t="n"/>
      <c r="C186" s="43" t="n"/>
      <c r="D186" s="43" t="n"/>
      <c r="E186" s="43" t="n"/>
      <c r="F186" s="43" t="n"/>
      <c r="G186" s="43" t="n"/>
      <c r="H186" s="43" t="n"/>
      <c r="I186" s="43" t="n"/>
      <c r="J186" s="43" t="n"/>
      <c r="K186" s="43" t="n"/>
      <c r="L186" s="43" t="n"/>
      <c r="M186" s="43" t="n"/>
      <c r="N186" s="43" t="n"/>
      <c r="O186" s="43" t="n"/>
      <c r="P186" s="43" t="n"/>
      <c r="Q186" s="43" t="n"/>
      <c r="R186" s="43" t="n"/>
      <c r="S186" s="43" t="n"/>
      <c r="T186" s="43" t="n"/>
      <c r="U186" s="43" t="n"/>
      <c r="V186" s="43" t="n"/>
      <c r="W186" s="43" t="n"/>
      <c r="X186" s="43" t="n"/>
      <c r="Y186" s="43" t="n"/>
      <c r="Z186" s="43" t="n"/>
      <c r="AA186" s="43" t="n"/>
    </row>
    <row r="187">
      <c r="A187" s="43" t="n"/>
      <c r="B187" s="43" t="n"/>
      <c r="C187" s="43" t="n"/>
      <c r="D187" s="43" t="n"/>
      <c r="E187" s="43" t="n"/>
      <c r="F187" s="43" t="n"/>
      <c r="G187" s="43" t="n"/>
      <c r="H187" s="43" t="n"/>
      <c r="I187" s="43" t="n"/>
      <c r="J187" s="43" t="n"/>
      <c r="K187" s="43" t="n"/>
      <c r="L187" s="43" t="n"/>
      <c r="M187" s="43" t="n"/>
      <c r="N187" s="43" t="n"/>
      <c r="O187" s="43" t="n"/>
      <c r="P187" s="43" t="n"/>
      <c r="Q187" s="43" t="n"/>
      <c r="R187" s="43" t="n"/>
      <c r="S187" s="43" t="n"/>
      <c r="T187" s="43" t="n"/>
      <c r="U187" s="43" t="n"/>
      <c r="V187" s="43" t="n"/>
      <c r="W187" s="43" t="n"/>
      <c r="X187" s="43" t="n"/>
      <c r="Y187" s="43" t="n"/>
      <c r="Z187" s="43" t="n"/>
      <c r="AA187" s="43" t="n"/>
    </row>
    <row r="188">
      <c r="A188" s="43" t="n"/>
      <c r="B188" s="43" t="n"/>
      <c r="C188" s="43" t="n"/>
      <c r="D188" s="43" t="n"/>
      <c r="E188" s="43" t="n"/>
      <c r="F188" s="43" t="n"/>
      <c r="G188" s="43" t="n"/>
      <c r="H188" s="43" t="n"/>
      <c r="I188" s="43" t="n"/>
      <c r="J188" s="43" t="n"/>
      <c r="K188" s="43" t="n"/>
      <c r="L188" s="43" t="n"/>
      <c r="M188" s="43" t="n"/>
      <c r="N188" s="43" t="n"/>
      <c r="O188" s="43" t="n"/>
      <c r="P188" s="43" t="n"/>
      <c r="Q188" s="43" t="n"/>
      <c r="R188" s="43" t="n"/>
      <c r="S188" s="43" t="n"/>
      <c r="T188" s="43" t="n"/>
      <c r="U188" s="43" t="n"/>
      <c r="V188" s="43" t="n"/>
      <c r="W188" s="43" t="n"/>
      <c r="X188" s="43" t="n"/>
      <c r="Y188" s="43" t="n"/>
      <c r="Z188" s="43" t="n"/>
      <c r="AA188" s="43" t="n"/>
    </row>
    <row r="189">
      <c r="A189" s="43" t="n"/>
      <c r="B189" s="43" t="n"/>
      <c r="C189" s="43" t="n"/>
      <c r="D189" s="43" t="n"/>
      <c r="E189" s="43" t="n"/>
      <c r="F189" s="43" t="n"/>
      <c r="G189" s="43" t="n"/>
      <c r="H189" s="43" t="n"/>
      <c r="I189" s="43" t="n"/>
      <c r="J189" s="43" t="n"/>
      <c r="K189" s="43" t="n"/>
      <c r="L189" s="43" t="n"/>
      <c r="M189" s="43" t="n"/>
      <c r="N189" s="43" t="n"/>
      <c r="O189" s="43" t="n"/>
      <c r="P189" s="43" t="n"/>
      <c r="Q189" s="43" t="n"/>
      <c r="R189" s="43" t="n"/>
      <c r="S189" s="43" t="n"/>
      <c r="T189" s="43" t="n"/>
      <c r="U189" s="43" t="n"/>
      <c r="V189" s="43" t="n"/>
      <c r="W189" s="43" t="n"/>
      <c r="X189" s="43" t="n"/>
      <c r="Y189" s="43" t="n"/>
      <c r="Z189" s="43" t="n"/>
      <c r="AA189" s="43" t="n"/>
    </row>
    <row r="190">
      <c r="A190" s="43" t="n"/>
      <c r="B190" s="43" t="n"/>
      <c r="C190" s="43" t="n"/>
      <c r="D190" s="43" t="n"/>
      <c r="E190" s="43" t="n"/>
      <c r="F190" s="43" t="n"/>
      <c r="G190" s="43" t="n"/>
      <c r="H190" s="43" t="n"/>
      <c r="I190" s="43" t="n"/>
      <c r="J190" s="43" t="n"/>
      <c r="K190" s="43" t="n"/>
      <c r="L190" s="43" t="n"/>
      <c r="M190" s="43" t="n"/>
      <c r="N190" s="43" t="n"/>
      <c r="O190" s="43" t="n"/>
      <c r="P190" s="43" t="n"/>
      <c r="Q190" s="43" t="n"/>
      <c r="R190" s="43" t="n"/>
      <c r="S190" s="43" t="n"/>
      <c r="T190" s="43" t="n"/>
      <c r="U190" s="43" t="n"/>
      <c r="V190" s="43" t="n"/>
      <c r="W190" s="43" t="n"/>
      <c r="X190" s="43" t="n"/>
      <c r="Y190" s="43" t="n"/>
      <c r="Z190" s="43" t="n"/>
      <c r="AA190" s="43" t="n"/>
    </row>
    <row r="191">
      <c r="A191" s="43" t="n"/>
      <c r="B191" s="43" t="n"/>
      <c r="C191" s="43" t="n"/>
      <c r="D191" s="43" t="n"/>
      <c r="E191" s="43" t="n"/>
      <c r="F191" s="43" t="n"/>
      <c r="G191" s="43" t="n"/>
      <c r="H191" s="43" t="n"/>
      <c r="I191" s="43" t="n"/>
      <c r="J191" s="43" t="n"/>
      <c r="K191" s="43" t="n"/>
      <c r="L191" s="43" t="n"/>
      <c r="M191" s="43" t="n"/>
      <c r="N191" s="43" t="n"/>
      <c r="O191" s="43" t="n"/>
      <c r="P191" s="43" t="n"/>
      <c r="Q191" s="43" t="n"/>
      <c r="R191" s="43" t="n"/>
      <c r="S191" s="43" t="n"/>
      <c r="T191" s="43" t="n"/>
      <c r="U191" s="43" t="n"/>
      <c r="V191" s="43" t="n"/>
      <c r="W191" s="43" t="n"/>
      <c r="X191" s="43" t="n"/>
      <c r="Y191" s="43" t="n"/>
      <c r="Z191" s="43" t="n"/>
      <c r="AA191" s="43" t="n"/>
    </row>
    <row r="192">
      <c r="A192" s="43" t="n"/>
      <c r="B192" s="43" t="n"/>
      <c r="C192" s="43" t="n"/>
      <c r="D192" s="43" t="n"/>
      <c r="E192" s="43" t="n"/>
      <c r="F192" s="43" t="n"/>
      <c r="G192" s="43" t="n"/>
      <c r="H192" s="43" t="n"/>
      <c r="I192" s="43" t="n"/>
      <c r="J192" s="43" t="n"/>
      <c r="K192" s="43" t="n"/>
      <c r="L192" s="43" t="n"/>
      <c r="M192" s="43" t="n"/>
      <c r="N192" s="43" t="n"/>
      <c r="O192" s="43" t="n"/>
      <c r="P192" s="43" t="n"/>
      <c r="Q192" s="43" t="n"/>
      <c r="R192" s="43" t="n"/>
      <c r="S192" s="43" t="n"/>
      <c r="T192" s="43" t="n"/>
      <c r="U192" s="43" t="n"/>
      <c r="V192" s="43" t="n"/>
      <c r="W192" s="43" t="n"/>
      <c r="X192" s="43" t="n"/>
      <c r="Y192" s="43" t="n"/>
      <c r="Z192" s="43" t="n"/>
      <c r="AA192" s="43" t="n"/>
    </row>
    <row r="193">
      <c r="A193" s="43" t="n"/>
      <c r="B193" s="43" t="n"/>
      <c r="C193" s="43" t="n"/>
      <c r="D193" s="43" t="n"/>
      <c r="E193" s="43" t="n"/>
      <c r="F193" s="43" t="n"/>
      <c r="G193" s="43" t="n"/>
      <c r="H193" s="43" t="n"/>
      <c r="I193" s="43" t="n"/>
      <c r="J193" s="43" t="n"/>
      <c r="K193" s="43" t="n"/>
      <c r="L193" s="43" t="n"/>
      <c r="M193" s="43" t="n"/>
      <c r="N193" s="43" t="n"/>
      <c r="O193" s="43" t="n"/>
      <c r="P193" s="43" t="n"/>
      <c r="Q193" s="43" t="n"/>
      <c r="R193" s="43" t="n"/>
      <c r="S193" s="43" t="n"/>
      <c r="T193" s="43" t="n"/>
      <c r="U193" s="43" t="n"/>
      <c r="V193" s="43" t="n"/>
      <c r="W193" s="43" t="n"/>
      <c r="X193" s="43" t="n"/>
      <c r="Y193" s="43" t="n"/>
      <c r="Z193" s="43" t="n"/>
      <c r="AA193" s="43" t="n"/>
    </row>
    <row r="194">
      <c r="A194" s="43" t="n"/>
      <c r="B194" s="43" t="n"/>
      <c r="C194" s="43" t="n"/>
      <c r="D194" s="43" t="n"/>
      <c r="E194" s="43" t="n"/>
      <c r="F194" s="43" t="n"/>
      <c r="G194" s="43" t="n"/>
      <c r="H194" s="43" t="n"/>
      <c r="I194" s="43" t="n"/>
      <c r="J194" s="43" t="n"/>
      <c r="K194" s="43" t="n"/>
      <c r="L194" s="43" t="n"/>
      <c r="M194" s="43" t="n"/>
      <c r="N194" s="43" t="n"/>
      <c r="O194" s="43" t="n"/>
      <c r="P194" s="43" t="n"/>
      <c r="Q194" s="43" t="n"/>
      <c r="R194" s="43" t="n"/>
      <c r="S194" s="43" t="n"/>
      <c r="T194" s="43" t="n"/>
      <c r="U194" s="43" t="n"/>
      <c r="V194" s="43" t="n"/>
      <c r="W194" s="43" t="n"/>
      <c r="X194" s="43" t="n"/>
      <c r="Y194" s="43" t="n"/>
      <c r="Z194" s="43" t="n"/>
      <c r="AA194" s="43" t="n"/>
    </row>
    <row r="195">
      <c r="A195" s="43" t="n"/>
      <c r="B195" s="43" t="n"/>
      <c r="C195" s="43" t="n"/>
      <c r="D195" s="43" t="n"/>
      <c r="E195" s="43" t="n"/>
      <c r="F195" s="43" t="n"/>
      <c r="G195" s="43" t="n"/>
      <c r="H195" s="43" t="n"/>
      <c r="I195" s="43" t="n"/>
      <c r="J195" s="43" t="n"/>
      <c r="K195" s="43" t="n"/>
      <c r="L195" s="43" t="n"/>
      <c r="M195" s="43" t="n"/>
      <c r="N195" s="43" t="n"/>
      <c r="O195" s="43" t="n"/>
      <c r="P195" s="43" t="n"/>
      <c r="Q195" s="43" t="n"/>
      <c r="R195" s="43" t="n"/>
      <c r="S195" s="43" t="n"/>
      <c r="T195" s="43" t="n"/>
      <c r="U195" s="43" t="n"/>
      <c r="V195" s="43" t="n"/>
      <c r="W195" s="43" t="n"/>
      <c r="X195" s="43" t="n"/>
      <c r="Y195" s="43" t="n"/>
      <c r="Z195" s="43" t="n"/>
      <c r="AA195" s="43" t="n"/>
    </row>
    <row r="196">
      <c r="A196" s="43" t="n"/>
      <c r="B196" s="43" t="n"/>
      <c r="C196" s="43" t="n"/>
      <c r="D196" s="43" t="n"/>
      <c r="E196" s="43" t="n"/>
      <c r="F196" s="43" t="n"/>
      <c r="G196" s="43" t="n"/>
      <c r="H196" s="43" t="n"/>
      <c r="I196" s="43" t="n"/>
      <c r="J196" s="43" t="n"/>
      <c r="K196" s="43" t="n"/>
      <c r="L196" s="43" t="n"/>
      <c r="M196" s="43" t="n"/>
      <c r="N196" s="43" t="n"/>
      <c r="O196" s="43" t="n"/>
      <c r="P196" s="43" t="n"/>
      <c r="Q196" s="43" t="n"/>
      <c r="R196" s="43" t="n"/>
      <c r="S196" s="43" t="n"/>
      <c r="T196" s="43" t="n"/>
      <c r="U196" s="43" t="n"/>
      <c r="V196" s="43" t="n"/>
      <c r="W196" s="43" t="n"/>
      <c r="X196" s="43" t="n"/>
      <c r="Y196" s="43" t="n"/>
      <c r="Z196" s="43" t="n"/>
      <c r="AA196" s="43" t="n"/>
    </row>
    <row r="197">
      <c r="A197" s="43" t="n"/>
      <c r="B197" s="43" t="n"/>
      <c r="C197" s="43" t="n"/>
      <c r="D197" s="43" t="n"/>
      <c r="E197" s="43" t="n"/>
      <c r="F197" s="43" t="n"/>
      <c r="G197" s="43" t="n"/>
      <c r="H197" s="43" t="n"/>
      <c r="I197" s="43" t="n"/>
      <c r="J197" s="43" t="n"/>
      <c r="K197" s="43" t="n"/>
      <c r="L197" s="43" t="n"/>
      <c r="M197" s="43" t="n"/>
      <c r="N197" s="43" t="n"/>
      <c r="O197" s="43" t="n"/>
      <c r="P197" s="43" t="n"/>
      <c r="Q197" s="43" t="n"/>
      <c r="R197" s="43" t="n"/>
      <c r="S197" s="43" t="n"/>
      <c r="T197" s="43" t="n"/>
      <c r="U197" s="43" t="n"/>
      <c r="V197" s="43" t="n"/>
      <c r="W197" s="43" t="n"/>
      <c r="X197" s="43" t="n"/>
      <c r="Y197" s="43" t="n"/>
      <c r="Z197" s="43" t="n"/>
      <c r="AA197" s="43" t="n"/>
    </row>
    <row r="198">
      <c r="A198" s="43" t="n"/>
      <c r="B198" s="43" t="n"/>
      <c r="C198" s="43" t="n"/>
      <c r="D198" s="43" t="n"/>
      <c r="E198" s="43" t="n"/>
      <c r="F198" s="43" t="n"/>
      <c r="G198" s="43" t="n"/>
      <c r="H198" s="43" t="n"/>
      <c r="I198" s="43" t="n"/>
      <c r="J198" s="43" t="n"/>
      <c r="K198" s="43" t="n"/>
      <c r="L198" s="43" t="n"/>
      <c r="M198" s="43" t="n"/>
      <c r="N198" s="43" t="n"/>
      <c r="O198" s="43" t="n"/>
      <c r="P198" s="43" t="n"/>
      <c r="Q198" s="43" t="n"/>
      <c r="R198" s="43" t="n"/>
      <c r="S198" s="43" t="n"/>
      <c r="T198" s="43" t="n"/>
      <c r="U198" s="43" t="n"/>
      <c r="V198" s="43" t="n"/>
      <c r="W198" s="43" t="n"/>
      <c r="X198" s="43" t="n"/>
      <c r="Y198" s="43" t="n"/>
      <c r="Z198" s="43" t="n"/>
      <c r="AA198" s="43" t="n"/>
    </row>
    <row r="199">
      <c r="A199" s="43" t="n"/>
      <c r="B199" s="43" t="n"/>
      <c r="C199" s="43" t="n"/>
      <c r="D199" s="43" t="n"/>
      <c r="E199" s="43" t="n"/>
      <c r="F199" s="43" t="n"/>
      <c r="G199" s="43" t="n"/>
      <c r="H199" s="43" t="n"/>
      <c r="I199" s="43" t="n"/>
      <c r="J199" s="43" t="n"/>
      <c r="K199" s="43" t="n"/>
      <c r="L199" s="43" t="n"/>
      <c r="M199" s="43" t="n"/>
      <c r="N199" s="43" t="n"/>
      <c r="O199" s="43" t="n"/>
      <c r="P199" s="43" t="n"/>
      <c r="Q199" s="43" t="n"/>
      <c r="R199" s="43" t="n"/>
      <c r="S199" s="43" t="n"/>
      <c r="T199" s="43" t="n"/>
      <c r="U199" s="43" t="n"/>
      <c r="V199" s="43" t="n"/>
      <c r="W199" s="43" t="n"/>
      <c r="X199" s="43" t="n"/>
      <c r="Y199" s="43" t="n"/>
      <c r="Z199" s="43" t="n"/>
      <c r="AA199" s="43" t="n"/>
    </row>
    <row r="200">
      <c r="A200" s="43" t="n"/>
      <c r="B200" s="43" t="n"/>
      <c r="C200" s="43" t="n"/>
      <c r="D200" s="43" t="n"/>
      <c r="E200" s="43" t="n"/>
      <c r="F200" s="43" t="n"/>
      <c r="G200" s="43" t="n"/>
      <c r="H200" s="43" t="n"/>
      <c r="I200" s="43" t="n"/>
      <c r="J200" s="43" t="n"/>
      <c r="K200" s="43" t="n"/>
      <c r="L200" s="43" t="n"/>
      <c r="M200" s="43" t="n"/>
      <c r="N200" s="43" t="n"/>
      <c r="O200" s="43" t="n"/>
      <c r="P200" s="43" t="n"/>
      <c r="Q200" s="43" t="n"/>
      <c r="R200" s="43" t="n"/>
      <c r="S200" s="43" t="n"/>
      <c r="T200" s="43" t="n"/>
      <c r="U200" s="43" t="n"/>
      <c r="V200" s="43" t="n"/>
      <c r="W200" s="43" t="n"/>
      <c r="X200" s="43" t="n"/>
      <c r="Y200" s="43" t="n"/>
      <c r="Z200" s="43" t="n"/>
      <c r="AA200" s="43" t="n"/>
    </row>
    <row r="201">
      <c r="A201" s="43" t="n"/>
      <c r="B201" s="43" t="n"/>
      <c r="C201" s="43" t="n"/>
      <c r="D201" s="43" t="n"/>
      <c r="E201" s="43" t="n"/>
      <c r="F201" s="43" t="n"/>
      <c r="G201" s="43" t="n"/>
      <c r="H201" s="43" t="n"/>
      <c r="I201" s="43" t="n"/>
      <c r="J201" s="43" t="n"/>
      <c r="K201" s="43" t="n"/>
      <c r="L201" s="43" t="n"/>
      <c r="M201" s="43" t="n"/>
      <c r="N201" s="43" t="n"/>
      <c r="O201" s="43" t="n"/>
      <c r="P201" s="43" t="n"/>
      <c r="Q201" s="43" t="n"/>
      <c r="R201" s="43" t="n"/>
      <c r="S201" s="43" t="n"/>
      <c r="T201" s="43" t="n"/>
      <c r="U201" s="43" t="n"/>
      <c r="V201" s="43" t="n"/>
      <c r="W201" s="43" t="n"/>
      <c r="X201" s="43" t="n"/>
      <c r="Y201" s="43" t="n"/>
      <c r="Z201" s="43" t="n"/>
      <c r="AA201" s="43" t="n"/>
    </row>
    <row r="202">
      <c r="A202" s="43" t="n"/>
      <c r="B202" s="43" t="n"/>
      <c r="C202" s="43" t="n"/>
      <c r="D202" s="43"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c r="AA202" s="43" t="n"/>
    </row>
    <row r="203">
      <c r="A203" s="43" t="n"/>
      <c r="B203" s="43" t="n"/>
      <c r="C203" s="43" t="n"/>
      <c r="D203" s="43" t="n"/>
      <c r="E203" s="43" t="n"/>
      <c r="F203" s="43" t="n"/>
      <c r="G203" s="43" t="n"/>
      <c r="H203" s="43" t="n"/>
      <c r="I203" s="43" t="n"/>
      <c r="J203" s="43" t="n"/>
      <c r="K203" s="43" t="n"/>
      <c r="L203" s="43" t="n"/>
      <c r="M203" s="43" t="n"/>
      <c r="N203" s="43" t="n"/>
      <c r="O203" s="43" t="n"/>
      <c r="P203" s="43" t="n"/>
      <c r="Q203" s="43" t="n"/>
      <c r="R203" s="43" t="n"/>
      <c r="S203" s="43" t="n"/>
      <c r="T203" s="43" t="n"/>
      <c r="U203" s="43" t="n"/>
      <c r="V203" s="43" t="n"/>
      <c r="W203" s="43" t="n"/>
      <c r="X203" s="43" t="n"/>
      <c r="Y203" s="43" t="n"/>
      <c r="Z203" s="43" t="n"/>
      <c r="AA203" s="43" t="n"/>
    </row>
    <row r="204">
      <c r="A204" s="43" t="n"/>
      <c r="B204" s="43" t="n"/>
      <c r="C204" s="43" t="n"/>
      <c r="D204" s="43" t="n"/>
      <c r="E204" s="43" t="n"/>
      <c r="F204" s="43" t="n"/>
      <c r="G204" s="43" t="n"/>
      <c r="H204" s="43" t="n"/>
      <c r="I204" s="43" t="n"/>
      <c r="J204" s="43" t="n"/>
      <c r="K204" s="43" t="n"/>
      <c r="L204" s="43" t="n"/>
      <c r="M204" s="43" t="n"/>
      <c r="N204" s="43" t="n"/>
      <c r="O204" s="43" t="n"/>
      <c r="P204" s="43" t="n"/>
      <c r="Q204" s="43" t="n"/>
      <c r="R204" s="43" t="n"/>
      <c r="S204" s="43" t="n"/>
      <c r="T204" s="43" t="n"/>
      <c r="U204" s="43" t="n"/>
      <c r="V204" s="43" t="n"/>
      <c r="W204" s="43" t="n"/>
      <c r="X204" s="43" t="n"/>
      <c r="Y204" s="43" t="n"/>
      <c r="Z204" s="43" t="n"/>
      <c r="AA204" s="43" t="n"/>
    </row>
    <row r="205">
      <c r="A205" s="43" t="n"/>
      <c r="B205" s="43" t="n"/>
      <c r="C205" s="43" t="n"/>
      <c r="D205" s="43" t="n"/>
      <c r="E205" s="43" t="n"/>
      <c r="F205" s="43" t="n"/>
      <c r="G205" s="43" t="n"/>
      <c r="H205" s="43" t="n"/>
      <c r="I205" s="43" t="n"/>
      <c r="J205" s="43" t="n"/>
      <c r="K205" s="43" t="n"/>
      <c r="L205" s="43" t="n"/>
      <c r="M205" s="43" t="n"/>
      <c r="N205" s="43" t="n"/>
      <c r="O205" s="43" t="n"/>
      <c r="P205" s="43" t="n"/>
      <c r="Q205" s="43" t="n"/>
      <c r="R205" s="43" t="n"/>
      <c r="S205" s="43" t="n"/>
      <c r="T205" s="43" t="n"/>
      <c r="U205" s="43" t="n"/>
      <c r="V205" s="43" t="n"/>
      <c r="W205" s="43" t="n"/>
      <c r="X205" s="43" t="n"/>
      <c r="Y205" s="43" t="n"/>
      <c r="Z205" s="43" t="n"/>
      <c r="AA205" s="43" t="n"/>
    </row>
    <row r="206">
      <c r="A206" s="43" t="n"/>
      <c r="B206" s="43" t="n"/>
      <c r="C206" s="43" t="n"/>
      <c r="D206" s="43" t="n"/>
      <c r="E206" s="43" t="n"/>
      <c r="F206" s="43" t="n"/>
      <c r="G206" s="43" t="n"/>
      <c r="H206" s="43" t="n"/>
      <c r="I206" s="43" t="n"/>
      <c r="J206" s="43" t="n"/>
      <c r="K206" s="43" t="n"/>
      <c r="L206" s="43" t="n"/>
      <c r="M206" s="43" t="n"/>
      <c r="N206" s="43" t="n"/>
      <c r="O206" s="43" t="n"/>
      <c r="P206" s="43" t="n"/>
      <c r="Q206" s="43" t="n"/>
      <c r="R206" s="43" t="n"/>
      <c r="S206" s="43" t="n"/>
      <c r="T206" s="43" t="n"/>
      <c r="U206" s="43" t="n"/>
      <c r="V206" s="43" t="n"/>
      <c r="W206" s="43" t="n"/>
      <c r="X206" s="43" t="n"/>
      <c r="Y206" s="43" t="n"/>
      <c r="Z206" s="43" t="n"/>
      <c r="AA206" s="43" t="n"/>
    </row>
    <row r="207">
      <c r="A207" s="43" t="n"/>
      <c r="B207" s="43" t="n"/>
      <c r="C207" s="43" t="n"/>
      <c r="D207" s="43" t="n"/>
      <c r="E207" s="43" t="n"/>
      <c r="F207" s="43" t="n"/>
      <c r="G207" s="43" t="n"/>
      <c r="H207" s="43" t="n"/>
      <c r="I207" s="43" t="n"/>
      <c r="J207" s="43" t="n"/>
      <c r="K207" s="43" t="n"/>
      <c r="L207" s="43" t="n"/>
      <c r="M207" s="43" t="n"/>
      <c r="N207" s="43" t="n"/>
      <c r="O207" s="43" t="n"/>
      <c r="P207" s="43" t="n"/>
      <c r="Q207" s="43" t="n"/>
      <c r="R207" s="43" t="n"/>
      <c r="S207" s="43" t="n"/>
      <c r="T207" s="43" t="n"/>
      <c r="U207" s="43" t="n"/>
      <c r="V207" s="43" t="n"/>
      <c r="W207" s="43" t="n"/>
      <c r="X207" s="43" t="n"/>
      <c r="Y207" s="43" t="n"/>
      <c r="Z207" s="43" t="n"/>
      <c r="AA207" s="43" t="n"/>
    </row>
    <row r="208">
      <c r="A208" s="43" t="n"/>
      <c r="B208" s="43" t="n"/>
      <c r="C208" s="43" t="n"/>
      <c r="D208" s="43" t="n"/>
      <c r="E208" s="43" t="n"/>
      <c r="F208" s="43" t="n"/>
      <c r="G208" s="43" t="n"/>
      <c r="H208" s="43" t="n"/>
      <c r="I208" s="43" t="n"/>
      <c r="J208" s="43" t="n"/>
      <c r="K208" s="43" t="n"/>
      <c r="L208" s="43" t="n"/>
      <c r="M208" s="43" t="n"/>
      <c r="N208" s="43" t="n"/>
      <c r="O208" s="43" t="n"/>
      <c r="P208" s="43" t="n"/>
      <c r="Q208" s="43" t="n"/>
      <c r="R208" s="43" t="n"/>
      <c r="S208" s="43" t="n"/>
      <c r="T208" s="43" t="n"/>
      <c r="U208" s="43" t="n"/>
      <c r="V208" s="43" t="n"/>
      <c r="W208" s="43" t="n"/>
      <c r="X208" s="43" t="n"/>
      <c r="Y208" s="43" t="n"/>
      <c r="Z208" s="43" t="n"/>
      <c r="AA208" s="43" t="n"/>
    </row>
    <row r="209">
      <c r="A209" s="43" t="n"/>
      <c r="B209" s="43" t="n"/>
      <c r="C209" s="43" t="n"/>
      <c r="D209" s="43" t="n"/>
      <c r="E209" s="43" t="n"/>
      <c r="F209" s="43" t="n"/>
      <c r="G209" s="43" t="n"/>
      <c r="H209" s="43" t="n"/>
      <c r="I209" s="43" t="n"/>
      <c r="J209" s="43" t="n"/>
      <c r="K209" s="43" t="n"/>
      <c r="L209" s="43" t="n"/>
      <c r="M209" s="43" t="n"/>
      <c r="N209" s="43" t="n"/>
      <c r="O209" s="43" t="n"/>
      <c r="P209" s="43" t="n"/>
      <c r="Q209" s="43" t="n"/>
      <c r="R209" s="43" t="n"/>
      <c r="S209" s="43" t="n"/>
      <c r="T209" s="43" t="n"/>
      <c r="U209" s="43" t="n"/>
      <c r="V209" s="43" t="n"/>
      <c r="W209" s="43" t="n"/>
      <c r="X209" s="43" t="n"/>
      <c r="Y209" s="43" t="n"/>
      <c r="Z209" s="43" t="n"/>
      <c r="AA209" s="43" t="n"/>
    </row>
    <row r="210">
      <c r="A210" s="43" t="n"/>
      <c r="B210" s="43" t="n"/>
      <c r="C210" s="43" t="n"/>
      <c r="D210" s="43" t="n"/>
      <c r="E210" s="43" t="n"/>
      <c r="F210" s="43" t="n"/>
      <c r="G210" s="43" t="n"/>
      <c r="H210" s="43" t="n"/>
      <c r="I210" s="43" t="n"/>
      <c r="J210" s="43" t="n"/>
      <c r="K210" s="43" t="n"/>
      <c r="L210" s="43" t="n"/>
      <c r="M210" s="43" t="n"/>
      <c r="N210" s="43" t="n"/>
      <c r="O210" s="43" t="n"/>
      <c r="P210" s="43" t="n"/>
      <c r="Q210" s="43" t="n"/>
      <c r="R210" s="43" t="n"/>
      <c r="S210" s="43" t="n"/>
      <c r="T210" s="43" t="n"/>
      <c r="U210" s="43" t="n"/>
      <c r="V210" s="43" t="n"/>
      <c r="W210" s="43" t="n"/>
      <c r="X210" s="43" t="n"/>
      <c r="Y210" s="43" t="n"/>
      <c r="Z210" s="43" t="n"/>
      <c r="AA210" s="43" t="n"/>
    </row>
    <row r="211">
      <c r="A211" s="43" t="n"/>
      <c r="B211" s="43" t="n"/>
      <c r="C211" s="43" t="n"/>
      <c r="D211" s="43" t="n"/>
      <c r="E211" s="43" t="n"/>
      <c r="F211" s="43" t="n"/>
      <c r="G211" s="43" t="n"/>
      <c r="H211" s="43" t="n"/>
      <c r="I211" s="43" t="n"/>
      <c r="J211" s="43" t="n"/>
      <c r="K211" s="43" t="n"/>
      <c r="L211" s="43" t="n"/>
      <c r="M211" s="43" t="n"/>
      <c r="N211" s="43" t="n"/>
      <c r="O211" s="43" t="n"/>
      <c r="P211" s="43" t="n"/>
      <c r="Q211" s="43" t="n"/>
      <c r="R211" s="43" t="n"/>
      <c r="S211" s="43" t="n"/>
      <c r="T211" s="43" t="n"/>
      <c r="U211" s="43" t="n"/>
      <c r="V211" s="43" t="n"/>
      <c r="W211" s="43" t="n"/>
      <c r="X211" s="43" t="n"/>
      <c r="Y211" s="43" t="n"/>
      <c r="Z211" s="43" t="n"/>
      <c r="AA211" s="43" t="n"/>
    </row>
    <row r="212">
      <c r="A212" s="43" t="n"/>
      <c r="B212" s="43" t="n"/>
      <c r="C212" s="43" t="n"/>
      <c r="D212" s="43" t="n"/>
      <c r="E212" s="43" t="n"/>
      <c r="F212" s="43" t="n"/>
      <c r="G212" s="43" t="n"/>
      <c r="H212" s="43" t="n"/>
      <c r="I212" s="43" t="n"/>
      <c r="J212" s="43" t="n"/>
      <c r="K212" s="43" t="n"/>
      <c r="L212" s="43" t="n"/>
      <c r="M212" s="43" t="n"/>
      <c r="N212" s="43" t="n"/>
      <c r="O212" s="43" t="n"/>
      <c r="P212" s="43" t="n"/>
      <c r="Q212" s="43" t="n"/>
      <c r="R212" s="43" t="n"/>
      <c r="S212" s="43" t="n"/>
      <c r="T212" s="43" t="n"/>
      <c r="U212" s="43" t="n"/>
      <c r="V212" s="43" t="n"/>
      <c r="W212" s="43" t="n"/>
      <c r="X212" s="43" t="n"/>
      <c r="Y212" s="43" t="n"/>
      <c r="Z212" s="43" t="n"/>
      <c r="AA212" s="43" t="n"/>
    </row>
    <row r="213">
      <c r="A213" s="43" t="n"/>
      <c r="B213" s="43" t="n"/>
      <c r="C213" s="43" t="n"/>
      <c r="D213" s="43" t="n"/>
      <c r="E213" s="43" t="n"/>
      <c r="F213" s="43" t="n"/>
      <c r="G213" s="43" t="n"/>
      <c r="H213" s="43" t="n"/>
      <c r="I213" s="43" t="n"/>
      <c r="J213" s="43" t="n"/>
      <c r="K213" s="43" t="n"/>
      <c r="L213" s="43" t="n"/>
      <c r="M213" s="43" t="n"/>
      <c r="N213" s="43" t="n"/>
      <c r="O213" s="43" t="n"/>
      <c r="P213" s="43" t="n"/>
      <c r="Q213" s="43" t="n"/>
      <c r="R213" s="43" t="n"/>
      <c r="S213" s="43" t="n"/>
      <c r="T213" s="43" t="n"/>
      <c r="U213" s="43" t="n"/>
      <c r="V213" s="43" t="n"/>
      <c r="W213" s="43" t="n"/>
      <c r="X213" s="43" t="n"/>
      <c r="Y213" s="43" t="n"/>
      <c r="Z213" s="43" t="n"/>
      <c r="AA213" s="43" t="n"/>
    </row>
    <row r="214">
      <c r="A214" s="43" t="n"/>
      <c r="B214" s="43" t="n"/>
      <c r="C214" s="43" t="n"/>
      <c r="D214" s="43" t="n"/>
      <c r="E214" s="43" t="n"/>
      <c r="F214" s="43" t="n"/>
      <c r="G214" s="43" t="n"/>
      <c r="H214" s="43" t="n"/>
      <c r="I214" s="43" t="n"/>
      <c r="J214" s="43" t="n"/>
      <c r="K214" s="43" t="n"/>
      <c r="L214" s="43" t="n"/>
      <c r="M214" s="43" t="n"/>
      <c r="N214" s="43" t="n"/>
      <c r="O214" s="43" t="n"/>
      <c r="P214" s="43" t="n"/>
      <c r="Q214" s="43" t="n"/>
      <c r="R214" s="43" t="n"/>
      <c r="S214" s="43" t="n"/>
      <c r="T214" s="43" t="n"/>
      <c r="U214" s="43" t="n"/>
      <c r="V214" s="43" t="n"/>
      <c r="W214" s="43" t="n"/>
      <c r="X214" s="43" t="n"/>
      <c r="Y214" s="43" t="n"/>
      <c r="Z214" s="43" t="n"/>
      <c r="AA214" s="43" t="n"/>
    </row>
    <row r="215">
      <c r="A215" s="43" t="n"/>
      <c r="B215" s="43" t="n"/>
      <c r="C215" s="43" t="n"/>
      <c r="D215" s="43" t="n"/>
      <c r="E215" s="43" t="n"/>
      <c r="F215" s="43" t="n"/>
      <c r="G215" s="43" t="n"/>
      <c r="H215" s="43" t="n"/>
      <c r="I215" s="43" t="n"/>
      <c r="J215" s="43" t="n"/>
      <c r="K215" s="43" t="n"/>
      <c r="L215" s="43" t="n"/>
      <c r="M215" s="43" t="n"/>
      <c r="N215" s="43" t="n"/>
      <c r="O215" s="43" t="n"/>
      <c r="P215" s="43" t="n"/>
      <c r="Q215" s="43" t="n"/>
      <c r="R215" s="43" t="n"/>
      <c r="S215" s="43" t="n"/>
      <c r="T215" s="43" t="n"/>
      <c r="U215" s="43" t="n"/>
      <c r="V215" s="43" t="n"/>
      <c r="W215" s="43" t="n"/>
      <c r="X215" s="43" t="n"/>
      <c r="Y215" s="43" t="n"/>
      <c r="Z215" s="43" t="n"/>
      <c r="AA215" s="43" t="n"/>
    </row>
    <row r="216">
      <c r="A216" s="43" t="n"/>
      <c r="B216" s="43" t="n"/>
      <c r="C216" s="43" t="n"/>
      <c r="D216" s="43" t="n"/>
      <c r="E216" s="43" t="n"/>
      <c r="F216" s="43" t="n"/>
      <c r="G216" s="43" t="n"/>
      <c r="H216" s="43" t="n"/>
      <c r="I216" s="43" t="n"/>
      <c r="J216" s="43" t="n"/>
      <c r="K216" s="43" t="n"/>
      <c r="L216" s="43" t="n"/>
      <c r="M216" s="43" t="n"/>
      <c r="N216" s="43" t="n"/>
      <c r="O216" s="43" t="n"/>
      <c r="P216" s="43" t="n"/>
      <c r="Q216" s="43" t="n"/>
      <c r="R216" s="43" t="n"/>
      <c r="S216" s="43" t="n"/>
      <c r="T216" s="43" t="n"/>
      <c r="U216" s="43" t="n"/>
      <c r="V216" s="43" t="n"/>
      <c r="W216" s="43" t="n"/>
      <c r="X216" s="43" t="n"/>
      <c r="Y216" s="43" t="n"/>
      <c r="Z216" s="43" t="n"/>
      <c r="AA216" s="43" t="n"/>
    </row>
    <row r="217">
      <c r="A217" s="43" t="n"/>
      <c r="B217" s="43" t="n"/>
      <c r="C217" s="43" t="n"/>
      <c r="D217" s="43" t="n"/>
      <c r="E217" s="43" t="n"/>
      <c r="F217" s="43" t="n"/>
      <c r="G217" s="43" t="n"/>
      <c r="H217" s="43" t="n"/>
      <c r="I217" s="43" t="n"/>
      <c r="J217" s="43" t="n"/>
      <c r="K217" s="43" t="n"/>
      <c r="L217" s="43" t="n"/>
      <c r="M217" s="43" t="n"/>
      <c r="N217" s="43" t="n"/>
      <c r="O217" s="43" t="n"/>
      <c r="P217" s="43" t="n"/>
      <c r="Q217" s="43" t="n"/>
      <c r="R217" s="43" t="n"/>
      <c r="S217" s="43" t="n"/>
      <c r="T217" s="43" t="n"/>
      <c r="U217" s="43" t="n"/>
      <c r="V217" s="43" t="n"/>
      <c r="W217" s="43" t="n"/>
      <c r="X217" s="43" t="n"/>
      <c r="Y217" s="43" t="n"/>
      <c r="Z217" s="43" t="n"/>
      <c r="AA217" s="43" t="n"/>
    </row>
    <row r="218">
      <c r="A218" s="43" t="n"/>
      <c r="B218" s="43" t="n"/>
      <c r="C218" s="43" t="n"/>
      <c r="D218" s="43" t="n"/>
      <c r="E218" s="43" t="n"/>
      <c r="F218" s="43" t="n"/>
      <c r="G218" s="43" t="n"/>
      <c r="H218" s="43" t="n"/>
      <c r="I218" s="43" t="n"/>
      <c r="J218" s="43" t="n"/>
      <c r="K218" s="43" t="n"/>
      <c r="L218" s="43" t="n"/>
      <c r="M218" s="43" t="n"/>
      <c r="N218" s="43" t="n"/>
      <c r="O218" s="43" t="n"/>
      <c r="P218" s="43" t="n"/>
      <c r="Q218" s="43" t="n"/>
      <c r="R218" s="43" t="n"/>
      <c r="S218" s="43" t="n"/>
      <c r="T218" s="43" t="n"/>
      <c r="U218" s="43" t="n"/>
      <c r="V218" s="43" t="n"/>
      <c r="W218" s="43" t="n"/>
      <c r="X218" s="43" t="n"/>
      <c r="Y218" s="43" t="n"/>
      <c r="Z218" s="43" t="n"/>
      <c r="AA218" s="43" t="n"/>
    </row>
    <row r="219">
      <c r="A219" s="43" t="n"/>
      <c r="B219" s="43" t="n"/>
      <c r="C219" s="43" t="n"/>
      <c r="D219" s="43" t="n"/>
      <c r="E219" s="43" t="n"/>
      <c r="F219" s="43" t="n"/>
      <c r="G219" s="43" t="n"/>
      <c r="H219" s="43" t="n"/>
      <c r="I219" s="43" t="n"/>
      <c r="J219" s="43" t="n"/>
      <c r="K219" s="43" t="n"/>
      <c r="L219" s="43" t="n"/>
      <c r="M219" s="43" t="n"/>
      <c r="N219" s="43" t="n"/>
      <c r="O219" s="43" t="n"/>
      <c r="P219" s="43" t="n"/>
      <c r="Q219" s="43" t="n"/>
      <c r="R219" s="43" t="n"/>
      <c r="S219" s="43" t="n"/>
      <c r="T219" s="43" t="n"/>
      <c r="U219" s="43" t="n"/>
      <c r="V219" s="43" t="n"/>
      <c r="W219" s="43" t="n"/>
      <c r="X219" s="43" t="n"/>
      <c r="Y219" s="43" t="n"/>
      <c r="Z219" s="43" t="n"/>
      <c r="AA219" s="43" t="n"/>
    </row>
    <row r="220">
      <c r="A220" s="43" t="n"/>
      <c r="B220" s="43" t="n"/>
      <c r="C220" s="43" t="n"/>
      <c r="D220" s="43" t="n"/>
      <c r="E220" s="43" t="n"/>
      <c r="F220" s="43" t="n"/>
      <c r="G220" s="43" t="n"/>
      <c r="H220" s="43" t="n"/>
      <c r="I220" s="43" t="n"/>
      <c r="J220" s="43" t="n"/>
      <c r="K220" s="43" t="n"/>
      <c r="L220" s="43" t="n"/>
      <c r="M220" s="43" t="n"/>
      <c r="N220" s="43" t="n"/>
      <c r="O220" s="43" t="n"/>
      <c r="P220" s="43" t="n"/>
      <c r="Q220" s="43" t="n"/>
      <c r="R220" s="43" t="n"/>
      <c r="S220" s="43" t="n"/>
      <c r="T220" s="43" t="n"/>
      <c r="U220" s="43" t="n"/>
      <c r="V220" s="43" t="n"/>
      <c r="W220" s="43" t="n"/>
      <c r="X220" s="43" t="n"/>
      <c r="Y220" s="43" t="n"/>
      <c r="Z220" s="43" t="n"/>
      <c r="AA220" s="43" t="n"/>
    </row>
    <row r="221">
      <c r="A221" s="43" t="n"/>
      <c r="B221" s="43" t="n"/>
      <c r="C221" s="43" t="n"/>
      <c r="D221" s="43"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c r="AA221" s="43" t="n"/>
    </row>
    <row r="222">
      <c r="A222" s="43" t="n"/>
      <c r="B222" s="43" t="n"/>
      <c r="C222" s="43" t="n"/>
      <c r="D222" s="43"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c r="AA222" s="43" t="n"/>
    </row>
    <row r="223">
      <c r="A223" s="43" t="n"/>
      <c r="B223" s="43" t="n"/>
      <c r="C223" s="43" t="n"/>
      <c r="D223" s="43"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c r="AA223" s="43" t="n"/>
    </row>
    <row r="224">
      <c r="A224" s="43" t="n"/>
      <c r="B224" s="43" t="n"/>
      <c r="C224" s="43" t="n"/>
      <c r="D224" s="43"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c r="AA224" s="43" t="n"/>
    </row>
    <row r="225">
      <c r="A225" s="43"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c r="AA225" s="43" t="n"/>
    </row>
    <row r="226">
      <c r="A226" s="43"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c r="AA226" s="43" t="n"/>
    </row>
    <row r="227">
      <c r="A227" s="43"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c r="AA227" s="43" t="n"/>
    </row>
    <row r="228">
      <c r="A228" s="43"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c r="AA228" s="43" t="n"/>
    </row>
    <row r="229">
      <c r="A229" s="43"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c r="AA229" s="43" t="n"/>
    </row>
    <row r="230">
      <c r="A230" s="43"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c r="AA230" s="43" t="n"/>
    </row>
    <row r="231">
      <c r="A231" s="43"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c r="AA231" s="43" t="n"/>
    </row>
    <row r="232">
      <c r="A232" s="43"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c r="AA232" s="43" t="n"/>
    </row>
    <row r="233">
      <c r="A233" s="43"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c r="AA233" s="43" t="n"/>
    </row>
    <row r="234">
      <c r="A234" s="43"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c r="AA234" s="43" t="n"/>
    </row>
    <row r="235">
      <c r="A235" s="43"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c r="AA235" s="43" t="n"/>
    </row>
    <row r="236">
      <c r="A236" s="43"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c r="AA236" s="43" t="n"/>
    </row>
    <row r="237">
      <c r="A237" s="43"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c r="AA237" s="43" t="n"/>
    </row>
    <row r="238">
      <c r="A238" s="43"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c r="AA238" s="43" t="n"/>
    </row>
    <row r="239">
      <c r="A239" s="43"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c r="AA239" s="43" t="n"/>
    </row>
    <row r="240">
      <c r="A240" s="43"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c r="AA240" s="43" t="n"/>
    </row>
    <row r="241">
      <c r="A241" s="43"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c r="AA241" s="43" t="n"/>
    </row>
    <row r="242">
      <c r="A242" s="43"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c r="AA242" s="43" t="n"/>
    </row>
    <row r="243">
      <c r="A243" s="43"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c r="AA243" s="43" t="n"/>
    </row>
    <row r="244">
      <c r="A244" s="43"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c r="AA244" s="43" t="n"/>
    </row>
    <row r="245">
      <c r="A245" s="43"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c r="AA245" s="43" t="n"/>
    </row>
    <row r="246">
      <c r="A246" s="43"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c r="AA246" s="43" t="n"/>
    </row>
    <row r="247">
      <c r="A247" s="43"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c r="AA247" s="43" t="n"/>
    </row>
    <row r="248">
      <c r="A248" s="43"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c r="AA248" s="43" t="n"/>
    </row>
    <row r="249">
      <c r="A249" s="43"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c r="AA249" s="43" t="n"/>
    </row>
    <row r="250">
      <c r="A250" s="43"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c r="AA250" s="43" t="n"/>
    </row>
    <row r="251">
      <c r="A251" s="43"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c r="AA251" s="43" t="n"/>
    </row>
    <row r="252">
      <c r="A252" s="43"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c r="AA252" s="43" t="n"/>
    </row>
    <row r="253">
      <c r="A253" s="43"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c r="AA253" s="43" t="n"/>
    </row>
    <row r="254">
      <c r="A254" s="43"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c r="AA254" s="43" t="n"/>
    </row>
    <row r="255">
      <c r="A255" s="43"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c r="AA255" s="43" t="n"/>
    </row>
    <row r="256">
      <c r="A256" s="43"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c r="AA256" s="43" t="n"/>
    </row>
    <row r="257">
      <c r="A257" s="43"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c r="AA257" s="43" t="n"/>
    </row>
    <row r="258">
      <c r="A258" s="43"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c r="AA258" s="43" t="n"/>
    </row>
    <row r="259">
      <c r="A259" s="43"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c r="AA259" s="43" t="n"/>
    </row>
    <row r="260">
      <c r="A260" s="43"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c r="AA260" s="43" t="n"/>
    </row>
    <row r="261">
      <c r="A261" s="43"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c r="AA261" s="43" t="n"/>
    </row>
    <row r="262">
      <c r="A262" s="43"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c r="AA262" s="43" t="n"/>
    </row>
    <row r="263">
      <c r="A263" s="43"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c r="AA263" s="43" t="n"/>
    </row>
    <row r="264">
      <c r="A264" s="43"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c r="AA264" s="43" t="n"/>
    </row>
    <row r="265">
      <c r="A265" s="43"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c r="AA265" s="43" t="n"/>
    </row>
    <row r="266">
      <c r="A266" s="43"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c r="AA266" s="43" t="n"/>
    </row>
    <row r="267">
      <c r="A267" s="43"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c r="AA267" s="43" t="n"/>
    </row>
    <row r="268">
      <c r="A268" s="43"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c r="AA268" s="43" t="n"/>
    </row>
    <row r="269">
      <c r="A269" s="43"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c r="AA269" s="43" t="n"/>
    </row>
    <row r="270">
      <c r="A270" s="43"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c r="AA270" s="43" t="n"/>
    </row>
    <row r="271">
      <c r="A271" s="43"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c r="AA271" s="43" t="n"/>
    </row>
    <row r="272">
      <c r="A272" s="43"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c r="AA272" s="43" t="n"/>
    </row>
    <row r="273">
      <c r="A273" s="43"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c r="AA273" s="43" t="n"/>
    </row>
    <row r="274">
      <c r="A274" s="43"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c r="AA274" s="43" t="n"/>
    </row>
    <row r="275">
      <c r="A275" s="43"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c r="AA275" s="43" t="n"/>
    </row>
    <row r="276">
      <c r="A276" s="43"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c r="AA276" s="43" t="n"/>
    </row>
    <row r="277">
      <c r="A277" s="43"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c r="AA277" s="43" t="n"/>
    </row>
    <row r="278">
      <c r="A278" s="43"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c r="AA278" s="43" t="n"/>
    </row>
    <row r="279">
      <c r="A279" s="43"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c r="AA279" s="43" t="n"/>
    </row>
    <row r="280">
      <c r="A280" s="43"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c r="AA280" s="43" t="n"/>
    </row>
    <row r="281">
      <c r="A281" s="43"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c r="AA281" s="43" t="n"/>
    </row>
    <row r="282">
      <c r="A282" s="43"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c r="AA282" s="43" t="n"/>
    </row>
    <row r="283">
      <c r="A283" s="43"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c r="AA283" s="43" t="n"/>
    </row>
    <row r="284">
      <c r="A284" s="43"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c r="AA284" s="43" t="n"/>
    </row>
    <row r="285">
      <c r="A285" s="43"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c r="AA285" s="43" t="n"/>
    </row>
    <row r="286">
      <c r="A286" s="43"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c r="AA286" s="43" t="n"/>
    </row>
    <row r="287">
      <c r="A287" s="43"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c r="AA287" s="43" t="n"/>
    </row>
    <row r="288">
      <c r="A288" s="43"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c r="AA288" s="43" t="n"/>
    </row>
    <row r="289">
      <c r="A289" s="43"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c r="AA289" s="43" t="n"/>
    </row>
    <row r="290">
      <c r="A290" s="43"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c r="AA290" s="43" t="n"/>
    </row>
    <row r="291">
      <c r="A291" s="43"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c r="AA291" s="43" t="n"/>
    </row>
    <row r="292">
      <c r="A292" s="43"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c r="AA292" s="43" t="n"/>
    </row>
    <row r="293">
      <c r="A293" s="43"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c r="AA293" s="43" t="n"/>
    </row>
    <row r="294">
      <c r="A294" s="43"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c r="AA294" s="43" t="n"/>
    </row>
    <row r="295">
      <c r="A295" s="43"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c r="AA295" s="43" t="n"/>
    </row>
    <row r="296">
      <c r="A296" s="43"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c r="AA296" s="43" t="n"/>
    </row>
    <row r="297">
      <c r="A297" s="43"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c r="AA297" s="43" t="n"/>
    </row>
    <row r="298">
      <c r="A298" s="43"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c r="AA298" s="43" t="n"/>
    </row>
    <row r="299">
      <c r="A299" s="43"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c r="AA299" s="43" t="n"/>
    </row>
    <row r="300">
      <c r="A300" s="43"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c r="AA300" s="43" t="n"/>
    </row>
    <row r="301">
      <c r="A301" s="43"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c r="AA301" s="43" t="n"/>
    </row>
    <row r="302">
      <c r="A302" s="43"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c r="AA302" s="43" t="n"/>
    </row>
    <row r="303">
      <c r="A303" s="43"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c r="AA303" s="43" t="n"/>
    </row>
    <row r="304">
      <c r="A304" s="43"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c r="AA304" s="43" t="n"/>
    </row>
    <row r="305">
      <c r="A305" s="43"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c r="AA305" s="43" t="n"/>
    </row>
    <row r="306">
      <c r="A306" s="43"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c r="AA306" s="43" t="n"/>
    </row>
    <row r="307">
      <c r="A307" s="43"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c r="AA307" s="43" t="n"/>
    </row>
    <row r="308">
      <c r="A308" s="43"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c r="AA308" s="43" t="n"/>
    </row>
    <row r="309">
      <c r="A309" s="43"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c r="AA309" s="43" t="n"/>
    </row>
    <row r="310">
      <c r="A310" s="43"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c r="AA310" s="43" t="n"/>
    </row>
    <row r="311">
      <c r="A311" s="43"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c r="AA311" s="43" t="n"/>
    </row>
    <row r="312">
      <c r="A312" s="43"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c r="AA312" s="43" t="n"/>
    </row>
    <row r="313">
      <c r="A313" s="43"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c r="AA313" s="43" t="n"/>
    </row>
    <row r="314">
      <c r="A314" s="43"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c r="AA314" s="43" t="n"/>
    </row>
    <row r="315">
      <c r="A315" s="43"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c r="AA315" s="43" t="n"/>
    </row>
    <row r="316">
      <c r="A316" s="43"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c r="AA316" s="43" t="n"/>
    </row>
    <row r="317">
      <c r="A317" s="43"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c r="AA317" s="43" t="n"/>
    </row>
    <row r="318">
      <c r="A318" s="43"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c r="AA318" s="43" t="n"/>
    </row>
    <row r="319">
      <c r="A319" s="43"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c r="AA319" s="43" t="n"/>
    </row>
    <row r="320">
      <c r="A320" s="43"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c r="AA320" s="43" t="n"/>
    </row>
    <row r="321">
      <c r="A321" s="43"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c r="AA321" s="43" t="n"/>
    </row>
    <row r="322">
      <c r="A322" s="43"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c r="AA322" s="43" t="n"/>
    </row>
    <row r="323">
      <c r="A323" s="43"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c r="AA323" s="43" t="n"/>
    </row>
    <row r="324">
      <c r="A324" s="43"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c r="AA324" s="43" t="n"/>
    </row>
    <row r="325">
      <c r="A325" s="43"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c r="AA325" s="43" t="n"/>
    </row>
    <row r="326">
      <c r="A326" s="43"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c r="AA326" s="43" t="n"/>
    </row>
    <row r="327">
      <c r="A327" s="43"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c r="AA327" s="43" t="n"/>
    </row>
    <row r="328">
      <c r="A328" s="43"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c r="AA328" s="43" t="n"/>
    </row>
    <row r="329">
      <c r="A329" s="43"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c r="AA329" s="43" t="n"/>
    </row>
    <row r="330">
      <c r="A330" s="43"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c r="AA330" s="43" t="n"/>
    </row>
    <row r="331">
      <c r="A331" s="43"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c r="AA331" s="43" t="n"/>
    </row>
    <row r="332">
      <c r="A332" s="43"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c r="AA332" s="43" t="n"/>
    </row>
    <row r="333">
      <c r="A333" s="43"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c r="AA333" s="43" t="n"/>
    </row>
    <row r="334">
      <c r="A334" s="43"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c r="AA334" s="43" t="n"/>
    </row>
    <row r="335">
      <c r="A335" s="43"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c r="AA335" s="43" t="n"/>
    </row>
    <row r="336">
      <c r="A336" s="43"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c r="AA336" s="43" t="n"/>
    </row>
    <row r="337">
      <c r="A337" s="43"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c r="AA337" s="43" t="n"/>
    </row>
    <row r="338">
      <c r="A338" s="43"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c r="AA338" s="43" t="n"/>
    </row>
    <row r="339">
      <c r="A339" s="43"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c r="AA339" s="43" t="n"/>
    </row>
    <row r="340">
      <c r="A340" s="43"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c r="AA340" s="43" t="n"/>
    </row>
    <row r="341">
      <c r="A341" s="43"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c r="AA341" s="43" t="n"/>
    </row>
    <row r="342">
      <c r="A342" s="43"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c r="AA342" s="43" t="n"/>
    </row>
    <row r="343">
      <c r="A343" s="43"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c r="AA343" s="43" t="n"/>
    </row>
    <row r="344">
      <c r="A344" s="43"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c r="AA344" s="43" t="n"/>
    </row>
    <row r="345">
      <c r="A345" s="43"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c r="AA345" s="43" t="n"/>
    </row>
    <row r="346">
      <c r="A346" s="43"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c r="AA346" s="43" t="n"/>
    </row>
    <row r="347">
      <c r="A347" s="43"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c r="AA347" s="43" t="n"/>
    </row>
    <row r="348">
      <c r="A348" s="43"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c r="AA348" s="43" t="n"/>
    </row>
    <row r="349">
      <c r="A349" s="43"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c r="AA349" s="43" t="n"/>
    </row>
    <row r="350">
      <c r="A350" s="43"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c r="AA350" s="43" t="n"/>
    </row>
    <row r="351">
      <c r="A351" s="43"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c r="AA351" s="43" t="n"/>
    </row>
    <row r="352">
      <c r="A352" s="43"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c r="AA352" s="43" t="n"/>
    </row>
    <row r="353">
      <c r="A353" s="43"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c r="AA353" s="43" t="n"/>
    </row>
    <row r="354">
      <c r="A354" s="43"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c r="AA354" s="43" t="n"/>
    </row>
    <row r="355">
      <c r="A355" s="43"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c r="AA355" s="43" t="n"/>
    </row>
    <row r="356">
      <c r="A356" s="43"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c r="AA356" s="43" t="n"/>
    </row>
    <row r="357">
      <c r="A357" s="43"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c r="AA357" s="43" t="n"/>
    </row>
    <row r="358">
      <c r="A358" s="43"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c r="AA358" s="43" t="n"/>
    </row>
    <row r="359">
      <c r="A359" s="43"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c r="AA359" s="43" t="n"/>
    </row>
    <row r="360">
      <c r="A360" s="43"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c r="AA360" s="43" t="n"/>
    </row>
    <row r="361">
      <c r="A361" s="43"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c r="AA361" s="43" t="n"/>
    </row>
    <row r="362">
      <c r="A362" s="43"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c r="AA362" s="43" t="n"/>
    </row>
    <row r="363">
      <c r="A363" s="43"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c r="AA363" s="43" t="n"/>
    </row>
    <row r="364">
      <c r="A364" s="43"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c r="AA364" s="43" t="n"/>
    </row>
    <row r="365">
      <c r="A365" s="43"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c r="AA365" s="43" t="n"/>
    </row>
    <row r="366">
      <c r="A366" s="43"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c r="AA366" s="43" t="n"/>
    </row>
    <row r="367">
      <c r="A367" s="43"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c r="AA367" s="43" t="n"/>
    </row>
    <row r="368">
      <c r="A368" s="43"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c r="AA368" s="43" t="n"/>
    </row>
    <row r="369">
      <c r="A369" s="43"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c r="AA369" s="43" t="n"/>
    </row>
    <row r="370">
      <c r="A370" s="43"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c r="AA370" s="43" t="n"/>
    </row>
    <row r="371">
      <c r="A371" s="43"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c r="AA371" s="43" t="n"/>
    </row>
    <row r="372">
      <c r="A372" s="43"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c r="AA372" s="43" t="n"/>
    </row>
    <row r="373">
      <c r="A373" s="43"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c r="AA373" s="43" t="n"/>
    </row>
    <row r="374">
      <c r="A374" s="43"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c r="AA374" s="43" t="n"/>
    </row>
    <row r="375">
      <c r="A375" s="43"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c r="AA375" s="43" t="n"/>
    </row>
    <row r="376">
      <c r="A376" s="43"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c r="AA376" s="43" t="n"/>
    </row>
    <row r="377">
      <c r="A377" s="43"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c r="AA377" s="43" t="n"/>
    </row>
    <row r="378">
      <c r="A378" s="43"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c r="AA378" s="43" t="n"/>
    </row>
    <row r="379">
      <c r="A379" s="43"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c r="AA379" s="43" t="n"/>
    </row>
    <row r="380">
      <c r="A380" s="43"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c r="AA380" s="43" t="n"/>
    </row>
    <row r="381">
      <c r="A381" s="43"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c r="AA381" s="43" t="n"/>
    </row>
    <row r="382">
      <c r="A382" s="43"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c r="AA382" s="43" t="n"/>
    </row>
    <row r="383">
      <c r="A383" s="43"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c r="AA383" s="43" t="n"/>
    </row>
    <row r="384">
      <c r="A384" s="43"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c r="AA384" s="43" t="n"/>
    </row>
    <row r="385">
      <c r="A385" s="43"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c r="AA385" s="43" t="n"/>
    </row>
    <row r="386">
      <c r="A386" s="43"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c r="AA386" s="43" t="n"/>
    </row>
    <row r="387">
      <c r="A387" s="43"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c r="AA387" s="43" t="n"/>
    </row>
    <row r="388">
      <c r="A388" s="43"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c r="AA388" s="43" t="n"/>
    </row>
    <row r="389">
      <c r="A389" s="43"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c r="AA389" s="43" t="n"/>
    </row>
    <row r="390">
      <c r="A390" s="43"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c r="AA390" s="43" t="n"/>
    </row>
    <row r="391">
      <c r="A391" s="43"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c r="AA391" s="43" t="n"/>
    </row>
    <row r="392">
      <c r="A392" s="43"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c r="AA392" s="43" t="n"/>
    </row>
    <row r="393">
      <c r="A393" s="43"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c r="AA393" s="43" t="n"/>
    </row>
    <row r="394">
      <c r="A394" s="43"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c r="AA394" s="43" t="n"/>
    </row>
    <row r="395">
      <c r="A395" s="43"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c r="AA395" s="43" t="n"/>
    </row>
    <row r="396">
      <c r="A396" s="43"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c r="AA396" s="43" t="n"/>
    </row>
    <row r="397">
      <c r="A397" s="43"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c r="AA397" s="43" t="n"/>
    </row>
    <row r="398">
      <c r="A398" s="43"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c r="AA398" s="43" t="n"/>
    </row>
    <row r="399">
      <c r="A399" s="43"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c r="AA399" s="43" t="n"/>
    </row>
    <row r="400">
      <c r="A400" s="43"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c r="AA400" s="43" t="n"/>
    </row>
    <row r="401">
      <c r="A401" s="43"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c r="AA401" s="43" t="n"/>
    </row>
    <row r="402">
      <c r="A402" s="43"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c r="AA402" s="43" t="n"/>
    </row>
    <row r="403">
      <c r="A403" s="43"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c r="AA403" s="43" t="n"/>
    </row>
    <row r="404">
      <c r="A404" s="43"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c r="AA404" s="43" t="n"/>
    </row>
    <row r="405">
      <c r="A405" s="43"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c r="AA405" s="43" t="n"/>
    </row>
    <row r="406">
      <c r="A406" s="43"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c r="AA406" s="43" t="n"/>
    </row>
    <row r="407">
      <c r="A407" s="43"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c r="AA407" s="43" t="n"/>
    </row>
    <row r="408">
      <c r="A408" s="43"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c r="AA408" s="43" t="n"/>
    </row>
    <row r="409">
      <c r="A409" s="43"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c r="AA409" s="43" t="n"/>
    </row>
    <row r="410">
      <c r="A410" s="43"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c r="AA410" s="43" t="n"/>
    </row>
    <row r="411">
      <c r="A411" s="43"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c r="AA411" s="43" t="n"/>
    </row>
    <row r="412">
      <c r="A412" s="43"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c r="AA412" s="43" t="n"/>
    </row>
    <row r="413">
      <c r="A413" s="43"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c r="AA413" s="43" t="n"/>
    </row>
    <row r="414">
      <c r="A414" s="43"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c r="AA414" s="43" t="n"/>
    </row>
    <row r="415">
      <c r="A415" s="43"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c r="AA415" s="43" t="n"/>
    </row>
    <row r="416">
      <c r="A416" s="43"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c r="AA416" s="43" t="n"/>
    </row>
    <row r="417">
      <c r="A417" s="43"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c r="AA417" s="43" t="n"/>
    </row>
    <row r="418">
      <c r="A418" s="43"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c r="AA418" s="43" t="n"/>
    </row>
    <row r="419">
      <c r="A419" s="43"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c r="AA419" s="43" t="n"/>
    </row>
    <row r="420">
      <c r="A420" s="43"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c r="AA420" s="43" t="n"/>
    </row>
    <row r="421">
      <c r="A421" s="43"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c r="AA421" s="43" t="n"/>
    </row>
    <row r="422">
      <c r="A422" s="43"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c r="AA422" s="43" t="n"/>
    </row>
    <row r="423">
      <c r="A423" s="43"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c r="AA423" s="43" t="n"/>
    </row>
    <row r="424">
      <c r="A424" s="43"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c r="AA424" s="43" t="n"/>
    </row>
    <row r="425">
      <c r="A425" s="43"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c r="AA425" s="43" t="n"/>
    </row>
    <row r="426">
      <c r="A426" s="43"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c r="AA426" s="43" t="n"/>
    </row>
    <row r="427">
      <c r="A427" s="43"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c r="AA427" s="43" t="n"/>
    </row>
    <row r="428">
      <c r="A428" s="43"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c r="AA428" s="43" t="n"/>
    </row>
    <row r="429">
      <c r="A429" s="43"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c r="AA429" s="43" t="n"/>
    </row>
    <row r="430">
      <c r="A430" s="43"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c r="AA430" s="43" t="n"/>
    </row>
    <row r="431">
      <c r="A431" s="43"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c r="AA431" s="43" t="n"/>
    </row>
    <row r="432">
      <c r="A432" s="43"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c r="AA432" s="43" t="n"/>
    </row>
    <row r="433">
      <c r="A433" s="43"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c r="AA433" s="43" t="n"/>
    </row>
    <row r="434">
      <c r="A434" s="43"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c r="AA434" s="43" t="n"/>
    </row>
    <row r="435">
      <c r="A435" s="43"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c r="AA435" s="43" t="n"/>
    </row>
    <row r="436">
      <c r="A436" s="43"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c r="AA436" s="43" t="n"/>
    </row>
    <row r="437">
      <c r="A437" s="43"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c r="AA437" s="43" t="n"/>
    </row>
    <row r="438">
      <c r="A438" s="43"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c r="AA438" s="43" t="n"/>
    </row>
    <row r="439">
      <c r="A439" s="43"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c r="AA439" s="43" t="n"/>
    </row>
    <row r="440">
      <c r="A440" s="43"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c r="AA440" s="43" t="n"/>
    </row>
    <row r="441">
      <c r="A441" s="43"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c r="AA441" s="43" t="n"/>
    </row>
    <row r="442">
      <c r="A442" s="43"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c r="AA442" s="43" t="n"/>
    </row>
    <row r="443">
      <c r="A443" s="43"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c r="AA443" s="43" t="n"/>
    </row>
    <row r="444">
      <c r="A444" s="43"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c r="AA444" s="43" t="n"/>
    </row>
    <row r="445">
      <c r="A445" s="43"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c r="AA445" s="43" t="n"/>
    </row>
    <row r="446">
      <c r="A446" s="43"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c r="AA446" s="43" t="n"/>
    </row>
    <row r="447">
      <c r="A447" s="43"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c r="AA447" s="43" t="n"/>
    </row>
    <row r="448">
      <c r="A448" s="43"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c r="AA448" s="43" t="n"/>
    </row>
    <row r="449">
      <c r="A449" s="43"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c r="AA449" s="43" t="n"/>
    </row>
    <row r="450">
      <c r="A450" s="43"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c r="AA450" s="43" t="n"/>
    </row>
    <row r="451">
      <c r="A451" s="43"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c r="AA451" s="43" t="n"/>
    </row>
    <row r="452">
      <c r="A452" s="43"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c r="AA452" s="43" t="n"/>
    </row>
    <row r="453">
      <c r="A453" s="43"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c r="AA453" s="43" t="n"/>
    </row>
    <row r="454">
      <c r="A454" s="43"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c r="AA454" s="43" t="n"/>
    </row>
    <row r="455">
      <c r="A455" s="43"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c r="AA455" s="43" t="n"/>
    </row>
    <row r="456">
      <c r="A456" s="43"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c r="AA456" s="43" t="n"/>
    </row>
    <row r="457">
      <c r="A457" s="43"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c r="AA457" s="43" t="n"/>
    </row>
    <row r="458">
      <c r="A458" s="43"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c r="AA458" s="43" t="n"/>
    </row>
    <row r="459">
      <c r="A459" s="43"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c r="AA459" s="43" t="n"/>
    </row>
    <row r="460">
      <c r="A460" s="43"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c r="AA460" s="43" t="n"/>
    </row>
    <row r="461">
      <c r="A461" s="43"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c r="AA461" s="43" t="n"/>
    </row>
    <row r="462">
      <c r="A462" s="43"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c r="AA462" s="43" t="n"/>
    </row>
    <row r="463">
      <c r="A463" s="43"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c r="AA463" s="43" t="n"/>
    </row>
    <row r="464">
      <c r="A464" s="43"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c r="AA464" s="43" t="n"/>
    </row>
    <row r="465">
      <c r="A465" s="43"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c r="AA465" s="43" t="n"/>
    </row>
    <row r="466">
      <c r="A466" s="43"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c r="AA466" s="43" t="n"/>
    </row>
    <row r="467">
      <c r="A467" s="43"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c r="AA467" s="43" t="n"/>
    </row>
    <row r="468">
      <c r="A468" s="43"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c r="AA468" s="43" t="n"/>
    </row>
    <row r="469">
      <c r="A469" s="43"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c r="AA469" s="43" t="n"/>
    </row>
    <row r="470">
      <c r="A470" s="43"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c r="AA470" s="43" t="n"/>
    </row>
    <row r="471">
      <c r="A471" s="43"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c r="AA471" s="43" t="n"/>
    </row>
    <row r="472">
      <c r="A472" s="43"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c r="AA472" s="43" t="n"/>
    </row>
    <row r="473">
      <c r="A473" s="43"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c r="AA473" s="43" t="n"/>
    </row>
    <row r="474">
      <c r="A474" s="43"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c r="AA474" s="43" t="n"/>
    </row>
    <row r="475">
      <c r="A475" s="43"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c r="AA475" s="43" t="n"/>
    </row>
    <row r="476">
      <c r="A476" s="43"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c r="AA476" s="43" t="n"/>
    </row>
    <row r="477">
      <c r="A477" s="43"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c r="AA477" s="43" t="n"/>
    </row>
    <row r="478">
      <c r="A478" s="43"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c r="AA478" s="43" t="n"/>
    </row>
    <row r="479">
      <c r="A479" s="43"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c r="AA479" s="43" t="n"/>
    </row>
    <row r="480">
      <c r="A480" s="43"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c r="AA480" s="43" t="n"/>
    </row>
    <row r="481">
      <c r="A481" s="43"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c r="AA481" s="43" t="n"/>
    </row>
    <row r="482">
      <c r="A482" s="43"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c r="AA482" s="43" t="n"/>
    </row>
    <row r="483">
      <c r="A483" s="43"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c r="AA483" s="43" t="n"/>
    </row>
    <row r="484">
      <c r="A484" s="43"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c r="AA484" s="43" t="n"/>
    </row>
    <row r="485">
      <c r="A485" s="43"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c r="AA485" s="43" t="n"/>
    </row>
    <row r="486">
      <c r="A486" s="43"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c r="AA486" s="43" t="n"/>
    </row>
    <row r="487">
      <c r="A487" s="43"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c r="AA487" s="43" t="n"/>
    </row>
    <row r="488">
      <c r="A488" s="43"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c r="AA488" s="43" t="n"/>
    </row>
    <row r="489">
      <c r="A489" s="43"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c r="AA489" s="43" t="n"/>
    </row>
    <row r="490">
      <c r="A490" s="43"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c r="AA490" s="43" t="n"/>
    </row>
    <row r="491">
      <c r="A491" s="43"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c r="AA491" s="43" t="n"/>
    </row>
    <row r="492">
      <c r="A492" s="43"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c r="AA492" s="43" t="n"/>
    </row>
    <row r="493">
      <c r="A493" s="43"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c r="AA493" s="43" t="n"/>
    </row>
    <row r="494">
      <c r="A494" s="43"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c r="AA494" s="43" t="n"/>
    </row>
    <row r="495">
      <c r="A495" s="43"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c r="AA495" s="43" t="n"/>
    </row>
    <row r="496">
      <c r="A496" s="43"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c r="AA496" s="43" t="n"/>
    </row>
    <row r="497">
      <c r="A497" s="43"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c r="AA497" s="43" t="n"/>
    </row>
    <row r="498">
      <c r="A498" s="43"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c r="AA498" s="43" t="n"/>
    </row>
    <row r="499">
      <c r="A499" s="43"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c r="AA499" s="43" t="n"/>
    </row>
    <row r="500">
      <c r="A500" s="43"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c r="AA500" s="43" t="n"/>
    </row>
    <row r="501">
      <c r="A501" s="43"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c r="AA501" s="43" t="n"/>
    </row>
    <row r="502">
      <c r="A502" s="43"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c r="AA502" s="43" t="n"/>
    </row>
    <row r="503">
      <c r="A503" s="43"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c r="AA503" s="43" t="n"/>
    </row>
    <row r="504">
      <c r="A504" s="43"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c r="AA504" s="43" t="n"/>
    </row>
    <row r="505">
      <c r="A505" s="43"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c r="AA505" s="43" t="n"/>
    </row>
    <row r="506">
      <c r="A506" s="43"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c r="AA506" s="43" t="n"/>
    </row>
    <row r="507">
      <c r="A507" s="43"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c r="AA507" s="43" t="n"/>
    </row>
    <row r="508">
      <c r="A508" s="43"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c r="AA508" s="43" t="n"/>
    </row>
    <row r="509">
      <c r="A509" s="43"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c r="AA509" s="43" t="n"/>
    </row>
    <row r="510">
      <c r="A510" s="43"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c r="AA510" s="43" t="n"/>
    </row>
    <row r="511">
      <c r="A511" s="43"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c r="AA511" s="43" t="n"/>
    </row>
    <row r="512">
      <c r="A512" s="43"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c r="AA512" s="43" t="n"/>
    </row>
    <row r="513">
      <c r="A513" s="43"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c r="AA513" s="43" t="n"/>
    </row>
    <row r="514">
      <c r="A514" s="43"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c r="AA514" s="43" t="n"/>
    </row>
    <row r="515">
      <c r="A515" s="43"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c r="AA515" s="43" t="n"/>
    </row>
    <row r="516">
      <c r="A516" s="43"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c r="AA516" s="43" t="n"/>
    </row>
    <row r="517">
      <c r="A517" s="43"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c r="AA517" s="43" t="n"/>
    </row>
    <row r="518">
      <c r="A518" s="43"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c r="AA518" s="43" t="n"/>
    </row>
    <row r="519">
      <c r="A519" s="43"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c r="AA519" s="43" t="n"/>
    </row>
    <row r="520">
      <c r="A520" s="43"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c r="AA520" s="43" t="n"/>
    </row>
    <row r="521">
      <c r="A521" s="43"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c r="AA521" s="43" t="n"/>
    </row>
    <row r="522">
      <c r="A522" s="43"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c r="AA522" s="43" t="n"/>
    </row>
    <row r="523">
      <c r="A523" s="43"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c r="AA523" s="43" t="n"/>
    </row>
    <row r="524">
      <c r="A524" s="43"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c r="AA524" s="43" t="n"/>
    </row>
    <row r="525">
      <c r="A525" s="43"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c r="AA525" s="43" t="n"/>
    </row>
    <row r="526">
      <c r="A526" s="43"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c r="AA526" s="43" t="n"/>
    </row>
    <row r="527">
      <c r="A527" s="43"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c r="AA527" s="43" t="n"/>
    </row>
    <row r="528">
      <c r="A528" s="43"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c r="AA528" s="43" t="n"/>
    </row>
    <row r="529">
      <c r="A529" s="43"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c r="AA529" s="43" t="n"/>
    </row>
    <row r="530">
      <c r="A530" s="43"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c r="AA530" s="43" t="n"/>
    </row>
    <row r="531">
      <c r="A531" s="43"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c r="AA531" s="43" t="n"/>
    </row>
    <row r="532">
      <c r="A532" s="43"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c r="AA532" s="43" t="n"/>
    </row>
    <row r="533">
      <c r="A533" s="43"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c r="AA533" s="43" t="n"/>
    </row>
    <row r="534">
      <c r="A534" s="43"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c r="AA534" s="43" t="n"/>
    </row>
    <row r="535">
      <c r="A535" s="43"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c r="AA535" s="43" t="n"/>
    </row>
    <row r="536">
      <c r="A536" s="43"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c r="AA536" s="43" t="n"/>
    </row>
    <row r="537">
      <c r="A537" s="43"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c r="AA537" s="43" t="n"/>
    </row>
    <row r="538">
      <c r="A538" s="43"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c r="AA538" s="43" t="n"/>
    </row>
    <row r="539">
      <c r="A539" s="43"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c r="AA539" s="43" t="n"/>
    </row>
    <row r="540">
      <c r="A540" s="43"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c r="AA540" s="43" t="n"/>
    </row>
    <row r="541">
      <c r="A541" s="43"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c r="AA541" s="43" t="n"/>
    </row>
    <row r="542">
      <c r="A542" s="43"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c r="AA542" s="43" t="n"/>
    </row>
    <row r="543">
      <c r="A543" s="43"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c r="AA543" s="43" t="n"/>
    </row>
    <row r="544">
      <c r="A544" s="43"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c r="AA544" s="43" t="n"/>
    </row>
    <row r="545">
      <c r="A545" s="43"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c r="AA545" s="43" t="n"/>
    </row>
    <row r="546">
      <c r="A546" s="43"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c r="AA546" s="43" t="n"/>
    </row>
    <row r="547">
      <c r="A547" s="43"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c r="AA547" s="43" t="n"/>
    </row>
    <row r="548">
      <c r="A548" s="43"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c r="AA548" s="43" t="n"/>
    </row>
    <row r="549">
      <c r="A549" s="43"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c r="AA549" s="43" t="n"/>
    </row>
    <row r="550">
      <c r="A550" s="43"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c r="AA550" s="43" t="n"/>
    </row>
    <row r="551">
      <c r="A551" s="43"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c r="AA551" s="43" t="n"/>
    </row>
    <row r="552">
      <c r="A552" s="43"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c r="AA552" s="43" t="n"/>
    </row>
    <row r="553">
      <c r="A553" s="43"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c r="AA553" s="43" t="n"/>
    </row>
    <row r="554">
      <c r="A554" s="43"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c r="AA554" s="43" t="n"/>
    </row>
    <row r="555">
      <c r="A555" s="43"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c r="AA555" s="43" t="n"/>
    </row>
    <row r="556">
      <c r="A556" s="43"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c r="AA556" s="43" t="n"/>
    </row>
    <row r="557">
      <c r="A557" s="43"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c r="AA557" s="43" t="n"/>
    </row>
    <row r="558">
      <c r="A558" s="43"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c r="AA558" s="43" t="n"/>
    </row>
    <row r="559">
      <c r="A559" s="43"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c r="AA559" s="43" t="n"/>
    </row>
    <row r="560">
      <c r="A560" s="43"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c r="AA560" s="43" t="n"/>
    </row>
    <row r="561">
      <c r="A561" s="43"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c r="AA561" s="43" t="n"/>
    </row>
    <row r="562">
      <c r="A562" s="43"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c r="AA562" s="43" t="n"/>
    </row>
    <row r="563">
      <c r="A563" s="43"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c r="AA563" s="43" t="n"/>
    </row>
    <row r="564">
      <c r="A564" s="43"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c r="AA564" s="43" t="n"/>
    </row>
    <row r="565">
      <c r="A565" s="43"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c r="AA565" s="43" t="n"/>
    </row>
    <row r="566">
      <c r="A566" s="43"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c r="AA566" s="43" t="n"/>
    </row>
    <row r="567">
      <c r="A567" s="43"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c r="AA567" s="43" t="n"/>
    </row>
    <row r="568">
      <c r="A568" s="43"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c r="AA568" s="43" t="n"/>
    </row>
    <row r="569">
      <c r="A569" s="43"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c r="AA569" s="43" t="n"/>
    </row>
    <row r="570">
      <c r="A570" s="43"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c r="AA570" s="43" t="n"/>
    </row>
    <row r="571">
      <c r="A571" s="43"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c r="AA571" s="43" t="n"/>
    </row>
    <row r="572">
      <c r="A572" s="43"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c r="AA572" s="43" t="n"/>
    </row>
    <row r="573">
      <c r="A573" s="43"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c r="AA573" s="43" t="n"/>
    </row>
    <row r="574">
      <c r="A574" s="43"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c r="AA574" s="43" t="n"/>
    </row>
    <row r="575">
      <c r="A575" s="43"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c r="AA575" s="43" t="n"/>
    </row>
    <row r="576">
      <c r="A576" s="43"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c r="AA576" s="43" t="n"/>
    </row>
    <row r="577">
      <c r="A577" s="43"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c r="AA577" s="43" t="n"/>
    </row>
    <row r="578">
      <c r="A578" s="43"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c r="AA578" s="43" t="n"/>
    </row>
    <row r="579">
      <c r="A579" s="43"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c r="AA579" s="43" t="n"/>
    </row>
    <row r="580">
      <c r="A580" s="43"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c r="AA580" s="43" t="n"/>
    </row>
    <row r="581">
      <c r="A581" s="43"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c r="AA581" s="43" t="n"/>
    </row>
    <row r="582">
      <c r="A582" s="43"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c r="AA582" s="43" t="n"/>
    </row>
    <row r="583">
      <c r="A583" s="43"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c r="AA583" s="43" t="n"/>
    </row>
    <row r="584">
      <c r="A584" s="43"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c r="AA584" s="43" t="n"/>
    </row>
    <row r="585">
      <c r="A585" s="43"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c r="AA585" s="43" t="n"/>
    </row>
    <row r="586">
      <c r="A586" s="43"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c r="AA586" s="43" t="n"/>
    </row>
    <row r="587">
      <c r="A587" s="43"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c r="AA587" s="43" t="n"/>
    </row>
    <row r="588">
      <c r="A588" s="43"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c r="AA588" s="43" t="n"/>
    </row>
    <row r="589">
      <c r="A589" s="43"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c r="AA589" s="43" t="n"/>
    </row>
    <row r="590">
      <c r="A590" s="43"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c r="AA590" s="43" t="n"/>
    </row>
    <row r="591">
      <c r="A591" s="43"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c r="AA591" s="43" t="n"/>
    </row>
    <row r="592">
      <c r="A592" s="43"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c r="AA592" s="43" t="n"/>
    </row>
    <row r="593">
      <c r="A593" s="43"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c r="AA593" s="43" t="n"/>
    </row>
    <row r="594">
      <c r="A594" s="43"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c r="AA594" s="43" t="n"/>
    </row>
    <row r="595">
      <c r="A595" s="43"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c r="AA595" s="43" t="n"/>
    </row>
    <row r="596">
      <c r="A596" s="43"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c r="AA596" s="43" t="n"/>
    </row>
    <row r="597">
      <c r="A597" s="43"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c r="AA597" s="43" t="n"/>
    </row>
    <row r="598">
      <c r="A598" s="43"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c r="AA598" s="43" t="n"/>
    </row>
    <row r="599">
      <c r="A599" s="43"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c r="AA599" s="43" t="n"/>
    </row>
    <row r="600">
      <c r="A600" s="43"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c r="AA600" s="43" t="n"/>
    </row>
    <row r="601">
      <c r="A601" s="43"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c r="AA601" s="43" t="n"/>
    </row>
    <row r="602">
      <c r="A602" s="43"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c r="AA602" s="43" t="n"/>
    </row>
    <row r="603">
      <c r="A603" s="43"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c r="AA603" s="43" t="n"/>
    </row>
    <row r="604">
      <c r="A604" s="43"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c r="AA604" s="43" t="n"/>
    </row>
    <row r="605">
      <c r="A605" s="43"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c r="AA605" s="43" t="n"/>
    </row>
    <row r="606">
      <c r="A606" s="43"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c r="AA606" s="43" t="n"/>
    </row>
    <row r="607">
      <c r="A607" s="43"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c r="AA607" s="43" t="n"/>
    </row>
    <row r="608">
      <c r="A608" s="43"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c r="AA608" s="43" t="n"/>
    </row>
    <row r="609">
      <c r="A609" s="43"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c r="AA609" s="43" t="n"/>
    </row>
    <row r="610">
      <c r="A610" s="43"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c r="AA610" s="43" t="n"/>
    </row>
    <row r="611">
      <c r="A611" s="43"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c r="AA611" s="43" t="n"/>
    </row>
    <row r="612">
      <c r="A612" s="43"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c r="AA612" s="43" t="n"/>
    </row>
    <row r="613">
      <c r="A613" s="43"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c r="AA613" s="43" t="n"/>
    </row>
    <row r="614">
      <c r="A614" s="43"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c r="AA614" s="43" t="n"/>
    </row>
    <row r="615">
      <c r="A615" s="43"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c r="AA615" s="43" t="n"/>
    </row>
    <row r="616">
      <c r="A616" s="43"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c r="AA616" s="43" t="n"/>
    </row>
    <row r="617">
      <c r="A617" s="43"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c r="AA617" s="43" t="n"/>
    </row>
    <row r="618">
      <c r="A618" s="43"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c r="AA618" s="43" t="n"/>
    </row>
    <row r="619">
      <c r="A619" s="43"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c r="AA619" s="43" t="n"/>
    </row>
    <row r="620">
      <c r="A620" s="43"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c r="AA620" s="43" t="n"/>
    </row>
    <row r="621">
      <c r="A621" s="43"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c r="AA621" s="43" t="n"/>
    </row>
    <row r="622">
      <c r="A622" s="43"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c r="AA622" s="43" t="n"/>
    </row>
    <row r="623">
      <c r="A623" s="43"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c r="AA623" s="43" t="n"/>
    </row>
    <row r="624">
      <c r="A624" s="43"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c r="AA624" s="43" t="n"/>
    </row>
    <row r="625">
      <c r="A625" s="43"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c r="AA625" s="43" t="n"/>
    </row>
    <row r="626">
      <c r="A626" s="43"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c r="AA626" s="43" t="n"/>
    </row>
    <row r="627">
      <c r="A627" s="43"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c r="AA627" s="43" t="n"/>
    </row>
    <row r="628">
      <c r="A628" s="43"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c r="AA628" s="43" t="n"/>
    </row>
    <row r="629">
      <c r="A629" s="43"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c r="AA629" s="43" t="n"/>
    </row>
    <row r="630">
      <c r="A630" s="43"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c r="AA630" s="43" t="n"/>
    </row>
    <row r="631">
      <c r="A631" s="43"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c r="AA631" s="43" t="n"/>
    </row>
    <row r="632">
      <c r="A632" s="43"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c r="AA632" s="43" t="n"/>
    </row>
    <row r="633">
      <c r="A633" s="43"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c r="AA633" s="43" t="n"/>
    </row>
    <row r="634">
      <c r="A634" s="43"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c r="AA634" s="43" t="n"/>
    </row>
    <row r="635">
      <c r="A635" s="43"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c r="AA635" s="43" t="n"/>
    </row>
    <row r="636">
      <c r="A636" s="43"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c r="AA636" s="43" t="n"/>
    </row>
    <row r="637">
      <c r="A637" s="43"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c r="AA637" s="43" t="n"/>
    </row>
    <row r="638">
      <c r="A638" s="43"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c r="AA638" s="43" t="n"/>
    </row>
    <row r="639">
      <c r="A639" s="43"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c r="AA639" s="43" t="n"/>
    </row>
    <row r="640">
      <c r="A640" s="43"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c r="AA640" s="43" t="n"/>
    </row>
    <row r="641">
      <c r="A641" s="43"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c r="AA641" s="43" t="n"/>
    </row>
    <row r="642">
      <c r="A642" s="43"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c r="AA642" s="43" t="n"/>
    </row>
    <row r="643">
      <c r="A643" s="43"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c r="AA643" s="43" t="n"/>
    </row>
    <row r="644">
      <c r="A644" s="43"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c r="AA644" s="43" t="n"/>
    </row>
    <row r="645">
      <c r="A645" s="43"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c r="AA645" s="43" t="n"/>
    </row>
    <row r="646">
      <c r="A646" s="43"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c r="AA646" s="43" t="n"/>
    </row>
    <row r="647">
      <c r="A647" s="43"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c r="AA647" s="43" t="n"/>
    </row>
    <row r="648">
      <c r="A648" s="43"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c r="AA648" s="43" t="n"/>
    </row>
    <row r="649">
      <c r="A649" s="43"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c r="AA649" s="43" t="n"/>
    </row>
    <row r="650">
      <c r="A650" s="43"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c r="AA650" s="43" t="n"/>
    </row>
    <row r="651">
      <c r="A651" s="43"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c r="AA651" s="43" t="n"/>
    </row>
    <row r="652">
      <c r="A652" s="43"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c r="AA652" s="43" t="n"/>
    </row>
    <row r="653">
      <c r="A653" s="43"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c r="AA653" s="43" t="n"/>
    </row>
    <row r="654">
      <c r="A654" s="43"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c r="AA654" s="43" t="n"/>
    </row>
    <row r="655">
      <c r="A655" s="43"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c r="AA655" s="43" t="n"/>
    </row>
    <row r="656">
      <c r="A656" s="43"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c r="AA656" s="43" t="n"/>
    </row>
    <row r="657">
      <c r="A657" s="43"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c r="AA657" s="43" t="n"/>
    </row>
    <row r="658">
      <c r="A658" s="43"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c r="AA658" s="43" t="n"/>
    </row>
    <row r="659">
      <c r="A659" s="43"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c r="AA659" s="43" t="n"/>
    </row>
    <row r="660">
      <c r="A660" s="43"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c r="AA660" s="43" t="n"/>
    </row>
    <row r="661">
      <c r="A661" s="43"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c r="AA661" s="43" t="n"/>
    </row>
    <row r="662">
      <c r="A662" s="43"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c r="AA662" s="43" t="n"/>
    </row>
    <row r="663">
      <c r="A663" s="43"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c r="AA663" s="43" t="n"/>
    </row>
    <row r="664">
      <c r="A664" s="43"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c r="AA664" s="43" t="n"/>
    </row>
    <row r="665">
      <c r="A665" s="43"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c r="AA665" s="43" t="n"/>
    </row>
    <row r="666">
      <c r="A666" s="43"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c r="AA666" s="43" t="n"/>
    </row>
    <row r="667">
      <c r="A667" s="43"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c r="AA667" s="43" t="n"/>
    </row>
    <row r="668">
      <c r="A668" s="43"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c r="AA668" s="43" t="n"/>
    </row>
    <row r="669">
      <c r="A669" s="43"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c r="AA669" s="43" t="n"/>
    </row>
    <row r="670">
      <c r="A670" s="43"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c r="AA670" s="43" t="n"/>
    </row>
    <row r="671">
      <c r="A671" s="43"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c r="AA671" s="43" t="n"/>
    </row>
    <row r="672">
      <c r="A672" s="43"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c r="AA672" s="43" t="n"/>
    </row>
    <row r="673">
      <c r="A673" s="43"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c r="AA673" s="43" t="n"/>
    </row>
    <row r="674">
      <c r="A674" s="43"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c r="AA674" s="43" t="n"/>
    </row>
    <row r="675">
      <c r="A675" s="43"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c r="AA675" s="43" t="n"/>
    </row>
    <row r="676">
      <c r="A676" s="43"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c r="AA676" s="43" t="n"/>
    </row>
    <row r="677">
      <c r="A677" s="43"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c r="AA677" s="43" t="n"/>
    </row>
    <row r="678">
      <c r="A678" s="43"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c r="AA678" s="43" t="n"/>
    </row>
    <row r="679">
      <c r="A679" s="43"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c r="AA679" s="43" t="n"/>
    </row>
    <row r="680">
      <c r="A680" s="43"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c r="AA680" s="43" t="n"/>
    </row>
    <row r="681">
      <c r="A681" s="43"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c r="AA681" s="43" t="n"/>
    </row>
    <row r="682">
      <c r="A682" s="43"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c r="AA682" s="43" t="n"/>
    </row>
    <row r="683">
      <c r="A683" s="43"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c r="AA683" s="43" t="n"/>
    </row>
    <row r="684">
      <c r="A684" s="43"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c r="AA684" s="43" t="n"/>
    </row>
    <row r="685">
      <c r="A685" s="43"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c r="AA685" s="43" t="n"/>
    </row>
    <row r="686">
      <c r="A686" s="43"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c r="AA686" s="43" t="n"/>
    </row>
    <row r="687">
      <c r="A687" s="43"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c r="AA687" s="43" t="n"/>
    </row>
    <row r="688">
      <c r="A688" s="43"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c r="AA688" s="43" t="n"/>
    </row>
    <row r="689">
      <c r="A689" s="43"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c r="AA689" s="43" t="n"/>
    </row>
    <row r="690">
      <c r="A690" s="43"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c r="AA690" s="43" t="n"/>
    </row>
    <row r="691">
      <c r="A691" s="43"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c r="AA691" s="43" t="n"/>
    </row>
    <row r="692">
      <c r="A692" s="43"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c r="AA692" s="43" t="n"/>
    </row>
    <row r="693">
      <c r="A693" s="43"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c r="AA693" s="43" t="n"/>
    </row>
    <row r="694">
      <c r="A694" s="43"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c r="AA694" s="43" t="n"/>
    </row>
    <row r="695">
      <c r="A695" s="43"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c r="AA695" s="43" t="n"/>
    </row>
    <row r="696">
      <c r="A696" s="43"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c r="AA696" s="43" t="n"/>
    </row>
    <row r="697">
      <c r="A697" s="43"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c r="AA697" s="43" t="n"/>
    </row>
    <row r="698">
      <c r="A698" s="43"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c r="AA698" s="43" t="n"/>
    </row>
    <row r="699">
      <c r="A699" s="43"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c r="AA699" s="43" t="n"/>
    </row>
    <row r="700">
      <c r="A700" s="43"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c r="AA700" s="43" t="n"/>
    </row>
    <row r="701">
      <c r="A701" s="43"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c r="AA701" s="43" t="n"/>
    </row>
    <row r="702">
      <c r="A702" s="43"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c r="AA702" s="43" t="n"/>
    </row>
    <row r="703">
      <c r="A703" s="43"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c r="AA703" s="43" t="n"/>
    </row>
    <row r="704">
      <c r="A704" s="43"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c r="AA704" s="43" t="n"/>
    </row>
    <row r="705">
      <c r="A705" s="43"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c r="AA705" s="43" t="n"/>
    </row>
    <row r="706">
      <c r="A706" s="43"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c r="AA706" s="43" t="n"/>
    </row>
    <row r="707">
      <c r="A707" s="43"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c r="AA707" s="43" t="n"/>
    </row>
    <row r="708">
      <c r="A708" s="43"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c r="AA708" s="43" t="n"/>
    </row>
    <row r="709">
      <c r="A709" s="43"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c r="AA709" s="43" t="n"/>
    </row>
    <row r="710">
      <c r="A710" s="43"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c r="AA710" s="43" t="n"/>
    </row>
    <row r="711">
      <c r="A711" s="43"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c r="AA711" s="43" t="n"/>
    </row>
    <row r="712">
      <c r="A712" s="43"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c r="AA712" s="43" t="n"/>
    </row>
    <row r="713">
      <c r="A713" s="43"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c r="AA713" s="43" t="n"/>
    </row>
    <row r="714">
      <c r="A714" s="43"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c r="AA714" s="43" t="n"/>
    </row>
    <row r="715">
      <c r="A715" s="43"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c r="AA715" s="43" t="n"/>
    </row>
    <row r="716">
      <c r="A716" s="43"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c r="AA716" s="43" t="n"/>
    </row>
    <row r="717">
      <c r="A717" s="43"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c r="AA717" s="43" t="n"/>
    </row>
    <row r="718">
      <c r="A718" s="43"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c r="AA718" s="43" t="n"/>
    </row>
    <row r="719">
      <c r="A719" s="43"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c r="AA719" s="43" t="n"/>
    </row>
    <row r="720">
      <c r="A720" s="43"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c r="AA720" s="43" t="n"/>
    </row>
    <row r="721">
      <c r="A721" s="43"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c r="AA721" s="43" t="n"/>
    </row>
    <row r="722">
      <c r="A722" s="43"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c r="AA722" s="43" t="n"/>
    </row>
    <row r="723">
      <c r="A723" s="43"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c r="AA723" s="43" t="n"/>
    </row>
    <row r="724">
      <c r="A724" s="43"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c r="AA724" s="43" t="n"/>
    </row>
    <row r="725">
      <c r="A725" s="43"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c r="AA725" s="43" t="n"/>
    </row>
    <row r="726">
      <c r="A726" s="43"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c r="AA726" s="43" t="n"/>
    </row>
    <row r="727">
      <c r="A727" s="43"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c r="AA727" s="43" t="n"/>
    </row>
    <row r="728">
      <c r="A728" s="43"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c r="AA728" s="43" t="n"/>
    </row>
    <row r="729">
      <c r="A729" s="43"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c r="AA729" s="43" t="n"/>
    </row>
    <row r="730">
      <c r="A730" s="43"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c r="AA730" s="43" t="n"/>
    </row>
    <row r="731">
      <c r="A731" s="43"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c r="AA731" s="43" t="n"/>
    </row>
    <row r="732">
      <c r="A732" s="43"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c r="AA732" s="43" t="n"/>
    </row>
    <row r="733">
      <c r="A733" s="43"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c r="AA733" s="43" t="n"/>
    </row>
    <row r="734">
      <c r="A734" s="43"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c r="AA734" s="43" t="n"/>
    </row>
    <row r="735">
      <c r="A735" s="43"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c r="AA735" s="43" t="n"/>
    </row>
    <row r="736">
      <c r="A736" s="43"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c r="AA736" s="43" t="n"/>
    </row>
    <row r="737">
      <c r="A737" s="43"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c r="AA737" s="43" t="n"/>
    </row>
    <row r="738">
      <c r="A738" s="43"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c r="AA738" s="43" t="n"/>
    </row>
    <row r="739">
      <c r="A739" s="43"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c r="AA739" s="43" t="n"/>
    </row>
    <row r="740">
      <c r="A740" s="43"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c r="AA740" s="43" t="n"/>
    </row>
    <row r="741">
      <c r="A741" s="43"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c r="AA741" s="43" t="n"/>
    </row>
    <row r="742">
      <c r="A742" s="43"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c r="AA742" s="43" t="n"/>
    </row>
    <row r="743">
      <c r="A743" s="43"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c r="AA743" s="43" t="n"/>
    </row>
    <row r="744">
      <c r="A744" s="43"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c r="AA744" s="43" t="n"/>
    </row>
    <row r="745">
      <c r="A745" s="43"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c r="AA745" s="43" t="n"/>
    </row>
    <row r="746">
      <c r="A746" s="43"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c r="AA746" s="43" t="n"/>
    </row>
    <row r="747">
      <c r="A747" s="43"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c r="AA747" s="43" t="n"/>
    </row>
    <row r="748">
      <c r="A748" s="43"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c r="AA748" s="43" t="n"/>
    </row>
    <row r="749">
      <c r="A749" s="43"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c r="AA749" s="43" t="n"/>
    </row>
    <row r="750">
      <c r="A750" s="43"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c r="AA750" s="43" t="n"/>
    </row>
    <row r="751">
      <c r="A751" s="43"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c r="AA751" s="43" t="n"/>
    </row>
    <row r="752">
      <c r="A752" s="43"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c r="AA752" s="43" t="n"/>
    </row>
    <row r="753">
      <c r="A753" s="43"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c r="AA753" s="43" t="n"/>
    </row>
    <row r="754">
      <c r="A754" s="43"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c r="AA754" s="43" t="n"/>
    </row>
    <row r="755">
      <c r="A755" s="43"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c r="AA755" s="43" t="n"/>
    </row>
    <row r="756">
      <c r="A756" s="43"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c r="AA756" s="43" t="n"/>
    </row>
    <row r="757">
      <c r="A757" s="43"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c r="AA757" s="43" t="n"/>
    </row>
    <row r="758">
      <c r="A758" s="43"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c r="AA758" s="43" t="n"/>
    </row>
    <row r="759">
      <c r="A759" s="43"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c r="AA759" s="43" t="n"/>
    </row>
    <row r="760">
      <c r="A760" s="43"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c r="AA760" s="43" t="n"/>
    </row>
    <row r="761">
      <c r="A761" s="43"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c r="AA761" s="43" t="n"/>
    </row>
    <row r="762">
      <c r="A762" s="43"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c r="AA762" s="43" t="n"/>
    </row>
    <row r="763">
      <c r="A763" s="43"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c r="AA763" s="43" t="n"/>
    </row>
    <row r="764">
      <c r="A764" s="43"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c r="AA764" s="43" t="n"/>
    </row>
    <row r="765">
      <c r="A765" s="43"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c r="AA765" s="43" t="n"/>
    </row>
    <row r="766">
      <c r="A766" s="43"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c r="AA766" s="43" t="n"/>
    </row>
    <row r="767">
      <c r="A767" s="43"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c r="AA767" s="43" t="n"/>
    </row>
    <row r="768">
      <c r="A768" s="43"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c r="AA768" s="43" t="n"/>
    </row>
    <row r="769">
      <c r="A769" s="43"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c r="AA769" s="43" t="n"/>
    </row>
    <row r="770">
      <c r="A770" s="43"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c r="AA770" s="43" t="n"/>
    </row>
    <row r="771">
      <c r="A771" s="43"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c r="AA771" s="43" t="n"/>
    </row>
    <row r="772">
      <c r="A772" s="43"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c r="AA772" s="43" t="n"/>
    </row>
    <row r="773">
      <c r="A773" s="43"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c r="AA773" s="43" t="n"/>
    </row>
    <row r="774">
      <c r="A774" s="43"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c r="AA774" s="43" t="n"/>
    </row>
    <row r="775">
      <c r="A775" s="43"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c r="AA775" s="43" t="n"/>
    </row>
    <row r="776">
      <c r="A776" s="43"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c r="AA776" s="43" t="n"/>
    </row>
    <row r="777">
      <c r="A777" s="43"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c r="AA777" s="43" t="n"/>
    </row>
    <row r="778">
      <c r="A778" s="43"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c r="AA778" s="43" t="n"/>
    </row>
    <row r="779">
      <c r="A779" s="43"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c r="AA779" s="43" t="n"/>
    </row>
    <row r="780">
      <c r="A780" s="43"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c r="AA780" s="43" t="n"/>
    </row>
    <row r="781">
      <c r="A781" s="43"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c r="AA781" s="43" t="n"/>
    </row>
    <row r="782">
      <c r="A782" s="43"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c r="AA782" s="43" t="n"/>
    </row>
    <row r="783">
      <c r="A783" s="43"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c r="AA783" s="43" t="n"/>
    </row>
    <row r="784">
      <c r="A784" s="43"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c r="AA784" s="43" t="n"/>
    </row>
    <row r="785">
      <c r="A785" s="43"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c r="AA785" s="43" t="n"/>
    </row>
    <row r="786">
      <c r="A786" s="43"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c r="AA786" s="43" t="n"/>
    </row>
    <row r="787">
      <c r="A787" s="43"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c r="AA787" s="43" t="n"/>
    </row>
    <row r="788">
      <c r="A788" s="43"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c r="AA788" s="43" t="n"/>
    </row>
    <row r="789">
      <c r="A789" s="43"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c r="AA789" s="43" t="n"/>
    </row>
    <row r="790">
      <c r="A790" s="43"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c r="AA790" s="43" t="n"/>
    </row>
    <row r="791">
      <c r="A791" s="43"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c r="AA791" s="43" t="n"/>
    </row>
    <row r="792">
      <c r="A792" s="43"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c r="AA792" s="43" t="n"/>
    </row>
    <row r="793">
      <c r="A793" s="43"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c r="AA793" s="43" t="n"/>
    </row>
    <row r="794">
      <c r="A794" s="43"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c r="AA794" s="43" t="n"/>
    </row>
    <row r="795">
      <c r="A795" s="43"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c r="AA795" s="43" t="n"/>
    </row>
    <row r="796">
      <c r="A796" s="43"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c r="AA796" s="43" t="n"/>
    </row>
    <row r="797">
      <c r="A797" s="43"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c r="AA797" s="43" t="n"/>
    </row>
    <row r="798">
      <c r="A798" s="43"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c r="AA798" s="43" t="n"/>
    </row>
    <row r="799">
      <c r="A799" s="43"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c r="AA799" s="43" t="n"/>
    </row>
    <row r="800">
      <c r="A800" s="43"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c r="AA800" s="43" t="n"/>
    </row>
    <row r="801">
      <c r="A801" s="43"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c r="AA801" s="43" t="n"/>
    </row>
    <row r="802">
      <c r="A802" s="43"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c r="AA802" s="43" t="n"/>
    </row>
    <row r="803">
      <c r="A803" s="43"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c r="AA803" s="43" t="n"/>
    </row>
    <row r="804">
      <c r="A804" s="43"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c r="AA804" s="43" t="n"/>
    </row>
    <row r="805">
      <c r="A805" s="43"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c r="AA805" s="43" t="n"/>
    </row>
    <row r="806">
      <c r="A806" s="43"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c r="AA806" s="43" t="n"/>
    </row>
    <row r="807">
      <c r="A807" s="43"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c r="AA807" s="43" t="n"/>
    </row>
    <row r="808">
      <c r="A808" s="43"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c r="AA808" s="43" t="n"/>
    </row>
    <row r="809">
      <c r="A809" s="43"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c r="AA809" s="43" t="n"/>
    </row>
    <row r="810">
      <c r="A810" s="43"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c r="AA810" s="43" t="n"/>
    </row>
    <row r="811">
      <c r="A811" s="43"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c r="AA811" s="43" t="n"/>
    </row>
    <row r="812">
      <c r="A812" s="43"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c r="AA812" s="43" t="n"/>
    </row>
    <row r="813">
      <c r="A813" s="43"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c r="AA813" s="43" t="n"/>
    </row>
    <row r="814">
      <c r="A814" s="43"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c r="AA814" s="43" t="n"/>
    </row>
    <row r="815">
      <c r="A815" s="43"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c r="AA815" s="43" t="n"/>
    </row>
    <row r="816">
      <c r="A816" s="43"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c r="AA816" s="43" t="n"/>
    </row>
    <row r="817">
      <c r="A817" s="43"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c r="AA817" s="43" t="n"/>
    </row>
    <row r="818">
      <c r="A818" s="43"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c r="AA818" s="43" t="n"/>
    </row>
    <row r="819">
      <c r="A819" s="43"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c r="AA819" s="43" t="n"/>
    </row>
    <row r="820">
      <c r="A820" s="43"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c r="AA820" s="43" t="n"/>
    </row>
    <row r="821">
      <c r="A821" s="43"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c r="AA821" s="43" t="n"/>
    </row>
    <row r="822">
      <c r="A822" s="43"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c r="AA822" s="43" t="n"/>
    </row>
    <row r="823">
      <c r="A823" s="43"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c r="AA823" s="43" t="n"/>
    </row>
    <row r="824">
      <c r="A824" s="43"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c r="AA824" s="43" t="n"/>
    </row>
    <row r="825">
      <c r="A825" s="43"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c r="AA825" s="43" t="n"/>
    </row>
    <row r="826">
      <c r="A826" s="43"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c r="AA826" s="43" t="n"/>
    </row>
    <row r="827">
      <c r="A827" s="43"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c r="AA827" s="43" t="n"/>
    </row>
    <row r="828">
      <c r="A828" s="43"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c r="AA828" s="43" t="n"/>
    </row>
    <row r="829">
      <c r="A829" s="43"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c r="AA829" s="43" t="n"/>
    </row>
    <row r="830">
      <c r="A830" s="43"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c r="AA830" s="43" t="n"/>
    </row>
    <row r="831">
      <c r="A831" s="43"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c r="AA831" s="43" t="n"/>
    </row>
    <row r="832">
      <c r="A832" s="43"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c r="AA832" s="43" t="n"/>
    </row>
    <row r="833">
      <c r="A833" s="43"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c r="AA833" s="43" t="n"/>
    </row>
    <row r="834">
      <c r="A834" s="43"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c r="AA834" s="43" t="n"/>
    </row>
    <row r="835">
      <c r="A835" s="43"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c r="AA835" s="43" t="n"/>
    </row>
    <row r="836">
      <c r="A836" s="43"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c r="AA836" s="43" t="n"/>
    </row>
    <row r="837">
      <c r="A837" s="43"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c r="AA837" s="43" t="n"/>
    </row>
    <row r="838">
      <c r="A838" s="43"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c r="AA838" s="43" t="n"/>
    </row>
    <row r="839">
      <c r="A839" s="43"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c r="AA839" s="43" t="n"/>
    </row>
    <row r="840">
      <c r="A840" s="43"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c r="AA840" s="43" t="n"/>
    </row>
    <row r="841">
      <c r="A841" s="43"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c r="AA841" s="43" t="n"/>
    </row>
    <row r="842">
      <c r="A842" s="43"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c r="AA842" s="43" t="n"/>
    </row>
    <row r="843">
      <c r="A843" s="43"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c r="AA843" s="43" t="n"/>
    </row>
    <row r="844">
      <c r="A844" s="43"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c r="AA844" s="43" t="n"/>
    </row>
    <row r="845">
      <c r="A845" s="43"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c r="AA845" s="43" t="n"/>
    </row>
    <row r="846">
      <c r="A846" s="43"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c r="AA846" s="43" t="n"/>
    </row>
    <row r="847">
      <c r="A847" s="43"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c r="AA847" s="43" t="n"/>
    </row>
    <row r="848">
      <c r="A848" s="43"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c r="AA848" s="43" t="n"/>
    </row>
    <row r="849">
      <c r="A849" s="43"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c r="AA849" s="43" t="n"/>
    </row>
    <row r="850">
      <c r="A850" s="43"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c r="AA850" s="43" t="n"/>
    </row>
    <row r="851">
      <c r="A851" s="43"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c r="AA851" s="43" t="n"/>
    </row>
    <row r="852">
      <c r="A852" s="43"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c r="AA852" s="43" t="n"/>
    </row>
    <row r="853">
      <c r="A853" s="43"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c r="AA853" s="43" t="n"/>
    </row>
    <row r="854">
      <c r="A854" s="43"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c r="AA854" s="43" t="n"/>
    </row>
    <row r="855">
      <c r="A855" s="43"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c r="AA855" s="43" t="n"/>
    </row>
    <row r="856">
      <c r="A856" s="43"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c r="AA856" s="43" t="n"/>
    </row>
    <row r="857">
      <c r="A857" s="43"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c r="AA857" s="43" t="n"/>
    </row>
    <row r="858">
      <c r="A858" s="43"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c r="AA858" s="43" t="n"/>
    </row>
    <row r="859">
      <c r="A859" s="43"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c r="AA859" s="43" t="n"/>
    </row>
    <row r="860">
      <c r="A860" s="43"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c r="AA860" s="43" t="n"/>
    </row>
    <row r="861">
      <c r="A861" s="43"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c r="AA861" s="43" t="n"/>
    </row>
    <row r="862">
      <c r="A862" s="43"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c r="AA862" s="43" t="n"/>
    </row>
    <row r="863">
      <c r="A863" s="43"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c r="AA863" s="43" t="n"/>
    </row>
    <row r="864">
      <c r="A864" s="43"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c r="AA864" s="43" t="n"/>
    </row>
    <row r="865">
      <c r="A865" s="43"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c r="AA865" s="43" t="n"/>
    </row>
    <row r="866">
      <c r="A866" s="43"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c r="AA866" s="43" t="n"/>
    </row>
    <row r="867">
      <c r="A867" s="43"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c r="AA867" s="43" t="n"/>
    </row>
    <row r="868">
      <c r="A868" s="43"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c r="AA868" s="43" t="n"/>
    </row>
    <row r="869">
      <c r="A869" s="43"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c r="AA869" s="43" t="n"/>
    </row>
    <row r="870">
      <c r="A870" s="43"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c r="AA870" s="43" t="n"/>
    </row>
    <row r="871">
      <c r="A871" s="43"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c r="AA871" s="43" t="n"/>
    </row>
    <row r="872">
      <c r="A872" s="43"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c r="AA872" s="43" t="n"/>
    </row>
    <row r="873">
      <c r="A873" s="43"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c r="AA873" s="43" t="n"/>
    </row>
    <row r="874">
      <c r="A874" s="43"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c r="AA874" s="43" t="n"/>
    </row>
    <row r="875">
      <c r="A875" s="43"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c r="AA875" s="43" t="n"/>
    </row>
    <row r="876">
      <c r="A876" s="43"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c r="AA876" s="43" t="n"/>
    </row>
    <row r="877">
      <c r="A877" s="43"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c r="AA877" s="43" t="n"/>
    </row>
    <row r="878">
      <c r="A878" s="43"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c r="AA878" s="43" t="n"/>
    </row>
    <row r="879">
      <c r="A879" s="43"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c r="AA879" s="43" t="n"/>
    </row>
    <row r="880">
      <c r="A880" s="43"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c r="AA880" s="43" t="n"/>
    </row>
    <row r="881">
      <c r="A881" s="43"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c r="AA881" s="43" t="n"/>
    </row>
    <row r="882">
      <c r="A882" s="43"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c r="AA882" s="43" t="n"/>
    </row>
    <row r="883">
      <c r="A883" s="43"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c r="AA883" s="43" t="n"/>
    </row>
    <row r="884">
      <c r="A884" s="43"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c r="AA884" s="43" t="n"/>
    </row>
    <row r="885">
      <c r="A885" s="43"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c r="AA885" s="43" t="n"/>
    </row>
    <row r="886">
      <c r="A886" s="43"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c r="AA886" s="43" t="n"/>
    </row>
    <row r="887">
      <c r="A887" s="43"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c r="AA887" s="43" t="n"/>
    </row>
    <row r="888">
      <c r="A888" s="43"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c r="AA888" s="43" t="n"/>
    </row>
    <row r="889">
      <c r="A889" s="43"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c r="AA889" s="43" t="n"/>
    </row>
    <row r="890">
      <c r="A890" s="43"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c r="AA890" s="43" t="n"/>
    </row>
    <row r="891">
      <c r="A891" s="43"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c r="AA891" s="43" t="n"/>
    </row>
    <row r="892">
      <c r="A892" s="43"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c r="AA892" s="43" t="n"/>
    </row>
    <row r="893">
      <c r="A893" s="43"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c r="AA893" s="43" t="n"/>
    </row>
    <row r="894">
      <c r="A894" s="43"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c r="AA894" s="43" t="n"/>
    </row>
    <row r="895">
      <c r="A895" s="43"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c r="AA895" s="43" t="n"/>
    </row>
    <row r="896">
      <c r="A896" s="43"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c r="AA896" s="43" t="n"/>
    </row>
    <row r="897">
      <c r="A897" s="43"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c r="AA897" s="43" t="n"/>
    </row>
    <row r="898">
      <c r="A898" s="43"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c r="AA898" s="43" t="n"/>
    </row>
    <row r="899">
      <c r="A899" s="43"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c r="AA899" s="43" t="n"/>
    </row>
    <row r="900">
      <c r="A900" s="43"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c r="AA900" s="43" t="n"/>
    </row>
    <row r="901">
      <c r="A901" s="43"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c r="AA901" s="43" t="n"/>
    </row>
    <row r="902">
      <c r="A902" s="43"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c r="AA902" s="43" t="n"/>
    </row>
    <row r="903">
      <c r="A903" s="43"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c r="AA903" s="43" t="n"/>
    </row>
    <row r="904">
      <c r="A904" s="43"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c r="AA904" s="43" t="n"/>
    </row>
    <row r="905">
      <c r="A905" s="43"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c r="AA905" s="43" t="n"/>
    </row>
    <row r="906">
      <c r="A906" s="43"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c r="AA906" s="43" t="n"/>
    </row>
    <row r="907">
      <c r="A907" s="43"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c r="AA907" s="43" t="n"/>
    </row>
    <row r="908">
      <c r="A908" s="43"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c r="AA908" s="43" t="n"/>
    </row>
    <row r="909">
      <c r="A909" s="43"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c r="AA909" s="43" t="n"/>
    </row>
    <row r="910">
      <c r="A910" s="43"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c r="AA910" s="43" t="n"/>
    </row>
    <row r="911">
      <c r="A911" s="43"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c r="AA911" s="43" t="n"/>
    </row>
    <row r="912">
      <c r="A912" s="43"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c r="AA912" s="43" t="n"/>
    </row>
    <row r="913">
      <c r="A913" s="43"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c r="AA913" s="43" t="n"/>
    </row>
    <row r="914">
      <c r="A914" s="43"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c r="AA914" s="43" t="n"/>
    </row>
    <row r="915">
      <c r="A915" s="43"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c r="AA915" s="43" t="n"/>
    </row>
    <row r="916">
      <c r="A916" s="43"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c r="AA916" s="43" t="n"/>
    </row>
    <row r="917">
      <c r="A917" s="43"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c r="AA917" s="43" t="n"/>
    </row>
    <row r="918">
      <c r="A918" s="43"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c r="AA918" s="43" t="n"/>
    </row>
    <row r="919">
      <c r="A919" s="43"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c r="AA919" s="43" t="n"/>
    </row>
    <row r="920">
      <c r="A920" s="43"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c r="AA920" s="43" t="n"/>
    </row>
    <row r="921">
      <c r="A921" s="43"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c r="AA921" s="43" t="n"/>
    </row>
    <row r="922">
      <c r="A922" s="43"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c r="AA922" s="43" t="n"/>
    </row>
    <row r="923">
      <c r="A923" s="43"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c r="AA923" s="43" t="n"/>
    </row>
    <row r="924">
      <c r="A924" s="43"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c r="AA924" s="43" t="n"/>
    </row>
    <row r="925">
      <c r="A925" s="43"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c r="AA925" s="43" t="n"/>
    </row>
    <row r="926">
      <c r="A926" s="43"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c r="AA926" s="43" t="n"/>
    </row>
    <row r="927">
      <c r="A927" s="43"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c r="AA927" s="43" t="n"/>
    </row>
    <row r="928">
      <c r="A928" s="43"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c r="AA928" s="43" t="n"/>
    </row>
    <row r="929">
      <c r="A929" s="43"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c r="AA929" s="43" t="n"/>
    </row>
    <row r="930">
      <c r="A930" s="43"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c r="AA930" s="43" t="n"/>
    </row>
    <row r="931">
      <c r="A931" s="43"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c r="AA931" s="43" t="n"/>
    </row>
    <row r="932">
      <c r="A932" s="43"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c r="AA932" s="43" t="n"/>
    </row>
    <row r="933">
      <c r="A933" s="43"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c r="AA933" s="43" t="n"/>
    </row>
    <row r="934">
      <c r="A934" s="43"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c r="AA934" s="43" t="n"/>
    </row>
    <row r="935">
      <c r="A935" s="43"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c r="AA935" s="43" t="n"/>
    </row>
    <row r="936">
      <c r="A936" s="43"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c r="AA936" s="43" t="n"/>
    </row>
    <row r="937">
      <c r="A937" s="43"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c r="AA937" s="43" t="n"/>
    </row>
    <row r="938">
      <c r="A938" s="43"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c r="AA938" s="43" t="n"/>
    </row>
    <row r="939">
      <c r="A939" s="43"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c r="AA939" s="43" t="n"/>
    </row>
    <row r="940">
      <c r="A940" s="43"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c r="AA940" s="43" t="n"/>
    </row>
    <row r="941">
      <c r="A941" s="43"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c r="AA941" s="43" t="n"/>
    </row>
    <row r="942">
      <c r="A942" s="43"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c r="AA942" s="43" t="n"/>
    </row>
    <row r="943">
      <c r="A943" s="43"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c r="AA943" s="43" t="n"/>
    </row>
    <row r="944">
      <c r="A944" s="43"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c r="AA944" s="43" t="n"/>
    </row>
    <row r="945">
      <c r="A945" s="43"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c r="AA945" s="43" t="n"/>
    </row>
    <row r="946">
      <c r="A946" s="43"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c r="AA946" s="43" t="n"/>
    </row>
    <row r="947">
      <c r="A947" s="43"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c r="AA947" s="43" t="n"/>
    </row>
    <row r="948">
      <c r="A948" s="43"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c r="AA948" s="43" t="n"/>
    </row>
    <row r="949">
      <c r="A949" s="43"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c r="AA949" s="43" t="n"/>
    </row>
    <row r="950">
      <c r="A950" s="43"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c r="AA950" s="43" t="n"/>
    </row>
    <row r="951">
      <c r="A951" s="43"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c r="AA951" s="43" t="n"/>
    </row>
    <row r="952">
      <c r="A952" s="43"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c r="AA952" s="43" t="n"/>
    </row>
    <row r="953">
      <c r="A953" s="43"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c r="AA953" s="43" t="n"/>
    </row>
    <row r="954">
      <c r="A954" s="43"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c r="AA954" s="43" t="n"/>
    </row>
    <row r="955">
      <c r="A955" s="43"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c r="AA955" s="43" t="n"/>
    </row>
    <row r="956">
      <c r="A956" s="43"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c r="AA956" s="43" t="n"/>
    </row>
    <row r="957">
      <c r="A957" s="43"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c r="AA957" s="43" t="n"/>
    </row>
    <row r="958">
      <c r="A958" s="43"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c r="AA958" s="43" t="n"/>
    </row>
    <row r="959">
      <c r="A959" s="43"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c r="AA959" s="43" t="n"/>
    </row>
    <row r="960">
      <c r="A960" s="43"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c r="AA960" s="43" t="n"/>
    </row>
    <row r="961">
      <c r="A961" s="43"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c r="AA961" s="43" t="n"/>
    </row>
    <row r="962">
      <c r="A962" s="43"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c r="AA962" s="43" t="n"/>
    </row>
    <row r="963">
      <c r="A963" s="43"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c r="AA963" s="43" t="n"/>
    </row>
    <row r="964">
      <c r="A964" s="43"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c r="AA964" s="43" t="n"/>
    </row>
    <row r="965">
      <c r="A965" s="43"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c r="AA965" s="43" t="n"/>
    </row>
    <row r="966">
      <c r="A966" s="43"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c r="AA966" s="43" t="n"/>
    </row>
    <row r="967">
      <c r="A967" s="43"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c r="AA967" s="43" t="n"/>
    </row>
    <row r="968">
      <c r="A968" s="43"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c r="AA968" s="43" t="n"/>
    </row>
    <row r="969">
      <c r="A969" s="43"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c r="AA969" s="43" t="n"/>
    </row>
    <row r="970">
      <c r="A970" s="43"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c r="AA970" s="43" t="n"/>
    </row>
    <row r="971">
      <c r="A971" s="43"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c r="AA971" s="43" t="n"/>
    </row>
    <row r="972">
      <c r="A972" s="43"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c r="AA972" s="43" t="n"/>
    </row>
    <row r="973">
      <c r="A973" s="43"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c r="AA973" s="43" t="n"/>
    </row>
    <row r="974">
      <c r="A974" s="43"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c r="AA974" s="43" t="n"/>
    </row>
    <row r="975">
      <c r="A975" s="43"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c r="AA975" s="43" t="n"/>
    </row>
    <row r="976">
      <c r="A976" s="43"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c r="AA976" s="43" t="n"/>
    </row>
    <row r="977">
      <c r="A977" s="43"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c r="AA977" s="43" t="n"/>
    </row>
    <row r="978">
      <c r="A978" s="43"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c r="AA978" s="43" t="n"/>
    </row>
    <row r="979">
      <c r="A979" s="43"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c r="AA979" s="43" t="n"/>
    </row>
    <row r="980">
      <c r="A980" s="43"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c r="AA980" s="43" t="n"/>
    </row>
    <row r="981">
      <c r="A981" s="43"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c r="AA981" s="43" t="n"/>
    </row>
    <row r="982">
      <c r="A982" s="43"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c r="AA982" s="43" t="n"/>
    </row>
    <row r="983">
      <c r="A983" s="43"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c r="AA983" s="43" t="n"/>
    </row>
    <row r="984">
      <c r="A984" s="43"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c r="AA984" s="43" t="n"/>
    </row>
    <row r="985">
      <c r="A985" s="43"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c r="AA985" s="43" t="n"/>
    </row>
    <row r="986">
      <c r="A986" s="43"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c r="AA986" s="43" t="n"/>
    </row>
    <row r="987">
      <c r="A987" s="43"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c r="AA987" s="43" t="n"/>
    </row>
    <row r="988">
      <c r="A988" s="43"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c r="AA988" s="43" t="n"/>
    </row>
    <row r="989">
      <c r="A989" s="43"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c r="AA989" s="43" t="n"/>
    </row>
    <row r="990">
      <c r="A990" s="43"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c r="AA990" s="43" t="n"/>
    </row>
    <row r="991">
      <c r="A991" s="43"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c r="AA991" s="43" t="n"/>
    </row>
    <row r="992">
      <c r="A992" s="43"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c r="AA992" s="43" t="n"/>
    </row>
    <row r="993">
      <c r="A993" s="43"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c r="AA993" s="43" t="n"/>
    </row>
    <row r="994">
      <c r="A994" s="43"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c r="AA994" s="43" t="n"/>
    </row>
    <row r="995">
      <c r="A995" s="43"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c r="AA995" s="43" t="n"/>
    </row>
    <row r="996">
      <c r="A996" s="43"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c r="AA996" s="43" t="n"/>
    </row>
    <row r="997">
      <c r="A997" s="43"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c r="AA997" s="43" t="n"/>
    </row>
    <row r="998">
      <c r="A998" s="43"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c r="AA998" s="43" t="n"/>
    </row>
    <row r="999">
      <c r="A999" s="43"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c r="AA999" s="43" t="n"/>
    </row>
    <row r="1000">
      <c r="A1000" s="43"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c r="AA1000" s="43" t="n"/>
    </row>
  </sheetData>
  <pageMargins left="0.75" right="0.75" top="1" bottom="1" header="0.5" footer="0.5"/>
</worksheet>
</file>

<file path=xl/worksheets/sheet4.xml><?xml version="1.0" encoding="utf-8"?>
<worksheet xmlns="http://schemas.openxmlformats.org/spreadsheetml/2006/main">
  <sheetPr>
    <tabColor rgb="FF0000FF"/>
    <outlinePr summaryBelow="1" summaryRight="1"/>
    <pageSetUpPr/>
  </sheetPr>
  <dimension ref="A1:AB1001"/>
  <sheetViews>
    <sheetView workbookViewId="0">
      <pane ySplit="1" topLeftCell="A2" activePane="bottomLeft" state="frozen"/>
      <selection pane="bottomLeft" activeCell="B3" sqref="B3"/>
    </sheetView>
  </sheetViews>
  <sheetFormatPr baseColWidth="8" defaultColWidth="14.43" defaultRowHeight="15" customHeight="1"/>
  <cols>
    <col width="30.14" customWidth="1" style="83" min="1" max="1"/>
    <col width="17.14" customWidth="1" style="83" min="2" max="2"/>
    <col width="30.14" customWidth="1" style="83" min="3" max="3"/>
    <col width="40.29" customWidth="1" style="83" min="4" max="4"/>
    <col width="42.43" customWidth="1" style="83" min="5" max="7"/>
    <col width="30.14" customWidth="1" style="83" min="8" max="28"/>
  </cols>
  <sheetData>
    <row r="1" ht="14.25" customHeight="1" s="83">
      <c r="A1" s="17" t="inlineStr">
        <is>
          <t>ZENTRALE EINGABEWERTE</t>
        </is>
      </c>
      <c r="B1" s="17" t="inlineStr">
        <is>
          <t>Wert</t>
        </is>
      </c>
      <c r="C1" s="17" t="inlineStr">
        <is>
          <t>Erklärung / Hinweis</t>
        </is>
      </c>
      <c r="D1" s="16" t="inlineStr">
        <is>
          <t>Bemerkungen</t>
        </is>
      </c>
      <c r="E1" s="17" t="inlineStr">
        <is>
          <t>Einstellungsplan: KI-Strategie</t>
        </is>
      </c>
      <c r="F1" s="18" t="inlineStr">
        <is>
          <t>Szenarioauswahl: gering, normal, stark</t>
        </is>
      </c>
      <c r="G1" s="43" t="n"/>
      <c r="H1" s="43" t="n"/>
      <c r="I1" s="43" t="n"/>
      <c r="J1" s="43" t="n"/>
      <c r="K1" s="43" t="n"/>
      <c r="L1" s="43" t="n"/>
      <c r="M1" s="43" t="n"/>
      <c r="N1" s="43" t="n"/>
      <c r="O1" s="43" t="n"/>
      <c r="P1" s="43" t="n"/>
      <c r="Q1" s="43" t="n"/>
      <c r="R1" s="43" t="n"/>
      <c r="S1" s="43" t="n"/>
      <c r="T1" s="43" t="n"/>
      <c r="U1" s="43" t="n"/>
      <c r="V1" s="43" t="n"/>
      <c r="W1" s="43" t="n"/>
      <c r="X1" s="43" t="n"/>
      <c r="Y1" s="43" t="n"/>
      <c r="Z1" s="43" t="n"/>
      <c r="AA1" s="43" t="n"/>
      <c r="AB1" s="43" t="n"/>
    </row>
    <row r="2" ht="14.25" customHeight="1" s="83">
      <c r="A2" s="43" t="n"/>
      <c r="B2" s="43" t="n"/>
      <c r="C2" s="43" t="n"/>
      <c r="D2" s="32" t="n"/>
      <c r="E2" s="43" t="n"/>
      <c r="F2" s="44">
        <f>'00_Input_Sandbox'!$B$2</f>
        <v/>
      </c>
      <c r="G2" s="43" t="n"/>
      <c r="H2" s="43" t="n"/>
      <c r="I2" s="43" t="n"/>
      <c r="J2" s="43" t="n"/>
      <c r="K2" s="43" t="n"/>
      <c r="L2" s="43" t="n"/>
      <c r="M2" s="43" t="n"/>
      <c r="N2" s="43" t="n"/>
      <c r="O2" s="43" t="n"/>
      <c r="P2" s="43" t="n"/>
      <c r="Q2" s="43" t="n"/>
      <c r="R2" s="43" t="n"/>
      <c r="S2" s="43" t="n"/>
      <c r="T2" s="43" t="n"/>
      <c r="U2" s="43" t="n"/>
      <c r="V2" s="43" t="n"/>
      <c r="W2" s="43" t="n"/>
      <c r="X2" s="43" t="n"/>
      <c r="Y2" s="43" t="n"/>
      <c r="Z2" s="43" t="n"/>
      <c r="AA2" s="43" t="n"/>
      <c r="AB2" s="43" t="n"/>
    </row>
    <row r="3" ht="14.25" customHeight="1" s="83">
      <c r="A3" s="21" t="inlineStr">
        <is>
          <t>ALLGEMEINE EINSTELLUNGEN</t>
        </is>
      </c>
      <c r="B3" s="22" t="n"/>
      <c r="C3" s="22" t="n"/>
      <c r="D3" s="22" t="n"/>
      <c r="E3" s="43" t="n"/>
      <c r="F3" s="43" t="n"/>
      <c r="G3" s="43" t="n"/>
      <c r="H3" s="43" t="n"/>
      <c r="I3" s="43" t="n"/>
      <c r="J3" s="43" t="n"/>
      <c r="K3" s="43" t="n"/>
      <c r="L3" s="43" t="n"/>
      <c r="M3" s="43" t="n"/>
      <c r="N3" s="43" t="n"/>
      <c r="O3" s="43" t="n"/>
      <c r="P3" s="43" t="n"/>
      <c r="Q3" s="43" t="n"/>
      <c r="R3" s="43" t="n"/>
      <c r="S3" s="43" t="n"/>
      <c r="T3" s="43" t="n"/>
      <c r="U3" s="43" t="n"/>
      <c r="V3" s="43" t="n"/>
      <c r="W3" s="43" t="n"/>
      <c r="X3" s="43" t="n"/>
      <c r="Y3" s="43" t="n"/>
      <c r="Z3" s="43" t="n"/>
      <c r="AA3" s="43" t="n"/>
      <c r="AB3" s="43" t="n"/>
    </row>
    <row r="4" ht="14.25" customHeight="1" s="83">
      <c r="A4" s="38" t="inlineStr">
        <is>
          <t>Firmenname</t>
        </is>
      </c>
      <c r="B4" s="24" t="inlineStr">
        <is>
          <t>LoopforgeLab GmbH</t>
        </is>
      </c>
      <c r="C4" s="25" t="inlineStr">
        <is>
          <t>Name des Unternehmens</t>
        </is>
      </c>
      <c r="D4" s="25" t="n"/>
      <c r="E4" s="43" t="n"/>
      <c r="F4" s="43" t="n"/>
      <c r="G4" s="43" t="n"/>
      <c r="H4" s="43" t="n"/>
      <c r="I4" s="43" t="n"/>
      <c r="J4" s="43" t="n"/>
      <c r="K4" s="43" t="n"/>
      <c r="L4" s="43" t="n"/>
      <c r="M4" s="43" t="n"/>
      <c r="N4" s="43" t="n"/>
      <c r="O4" s="43" t="n"/>
      <c r="P4" s="43" t="n"/>
      <c r="Q4" s="43" t="n"/>
      <c r="R4" s="43" t="n"/>
      <c r="S4" s="43" t="n"/>
      <c r="T4" s="43" t="n"/>
      <c r="U4" s="43" t="n"/>
      <c r="V4" s="43" t="n"/>
      <c r="W4" s="43" t="n"/>
      <c r="X4" s="43" t="n"/>
      <c r="Y4" s="43" t="n"/>
      <c r="Z4" s="43" t="n"/>
      <c r="AA4" s="43" t="n"/>
      <c r="AB4" s="43" t="n"/>
    </row>
    <row r="5" ht="14.25" customHeight="1" s="83">
      <c r="A5" s="38" t="inlineStr">
        <is>
          <t>Startdatum</t>
        </is>
      </c>
      <c r="B5" s="26" t="n">
        <v>46113</v>
      </c>
      <c r="C5" s="25" t="inlineStr">
        <is>
          <t>Beginn der Projektionen</t>
        </is>
      </c>
      <c r="D5" s="25" t="n"/>
      <c r="E5" s="43" t="n"/>
      <c r="F5" s="43" t="n"/>
      <c r="G5" s="43" t="n"/>
      <c r="H5" s="43" t="n"/>
      <c r="I5" s="43" t="n"/>
      <c r="J5" s="43" t="n"/>
      <c r="K5" s="43" t="n"/>
      <c r="L5" s="43" t="n"/>
      <c r="M5" s="43" t="n"/>
      <c r="N5" s="43" t="n"/>
      <c r="O5" s="43" t="n"/>
      <c r="P5" s="43" t="n"/>
      <c r="Q5" s="43" t="n"/>
      <c r="R5" s="43" t="n"/>
      <c r="S5" s="43" t="n"/>
      <c r="T5" s="43" t="n"/>
      <c r="U5" s="43" t="n"/>
      <c r="V5" s="43" t="n"/>
      <c r="W5" s="43" t="n"/>
      <c r="X5" s="43" t="n"/>
      <c r="Y5" s="43" t="n"/>
      <c r="Z5" s="43" t="n"/>
      <c r="AA5" s="43" t="n"/>
      <c r="AB5" s="43" t="n"/>
    </row>
    <row r="6" ht="14.25" customHeight="1" s="83">
      <c r="A6" s="38" t="inlineStr">
        <is>
          <t>Währung</t>
        </is>
      </c>
      <c r="B6" s="24" t="inlineStr">
        <is>
          <t>EUR</t>
        </is>
      </c>
      <c r="C6" s="25" t="inlineStr">
        <is>
          <t>EUR für DACH-Startups</t>
        </is>
      </c>
      <c r="D6" s="25" t="n"/>
      <c r="E6" s="43" t="n"/>
      <c r="F6" s="43" t="n"/>
      <c r="G6" s="43" t="n"/>
      <c r="H6" s="43" t="n"/>
      <c r="I6" s="43" t="n"/>
      <c r="J6" s="43" t="n"/>
      <c r="K6" s="43" t="n"/>
      <c r="L6" s="43" t="n"/>
      <c r="M6" s="43" t="n"/>
      <c r="N6" s="43" t="n"/>
      <c r="O6" s="43" t="n"/>
      <c r="P6" s="43" t="n"/>
      <c r="Q6" s="43" t="n"/>
      <c r="R6" s="43" t="n"/>
      <c r="S6" s="43" t="n"/>
      <c r="T6" s="43" t="n"/>
      <c r="U6" s="43" t="n"/>
      <c r="V6" s="43" t="n"/>
      <c r="W6" s="43" t="n"/>
      <c r="X6" s="43" t="n"/>
      <c r="Y6" s="43" t="n"/>
      <c r="Z6" s="43" t="n"/>
      <c r="AA6" s="43" t="n"/>
      <c r="AB6" s="43" t="n"/>
    </row>
    <row r="7" ht="14.25" customHeight="1" s="83">
      <c r="A7" s="38" t="inlineStr">
        <is>
          <t>Steuersatz</t>
        </is>
      </c>
      <c r="B7" s="27" t="n">
        <v>0.3</v>
      </c>
      <c r="C7" s="25" t="inlineStr">
        <is>
          <t>KSt + GewSt (~30% in DE)</t>
        </is>
      </c>
      <c r="D7" s="37" t="inlineStr">
        <is>
          <t>Übernahme des Standardsatzes (KSt + GewSt in Deutschland).</t>
        </is>
      </c>
      <c r="E7" s="43" t="n"/>
      <c r="F7" s="43" t="n"/>
      <c r="G7" s="43" t="n"/>
      <c r="H7" s="43" t="n"/>
      <c r="I7" s="43" t="n"/>
      <c r="J7" s="43" t="n"/>
      <c r="K7" s="43" t="n"/>
      <c r="L7" s="43" t="n"/>
      <c r="M7" s="43" t="n"/>
      <c r="N7" s="43" t="n"/>
      <c r="O7" s="43" t="n"/>
      <c r="P7" s="43" t="n"/>
      <c r="Q7" s="43" t="n"/>
      <c r="R7" s="43" t="n"/>
      <c r="S7" s="43" t="n"/>
      <c r="T7" s="43" t="n"/>
      <c r="U7" s="43" t="n"/>
      <c r="V7" s="43" t="n"/>
      <c r="W7" s="43" t="n"/>
      <c r="X7" s="43" t="n"/>
      <c r="Y7" s="43" t="n"/>
      <c r="Z7" s="43" t="n"/>
      <c r="AA7" s="43" t="n"/>
      <c r="AB7" s="43" t="n"/>
    </row>
    <row r="8" ht="14.25" customHeight="1" s="83">
      <c r="A8" s="43" t="n"/>
      <c r="B8" s="43" t="n"/>
      <c r="C8" s="43" t="n"/>
      <c r="D8" s="32" t="n"/>
      <c r="E8" s="43" t="n"/>
      <c r="F8" s="43" t="n"/>
      <c r="G8" s="43" t="n"/>
      <c r="H8" s="43" t="n"/>
      <c r="I8" s="43" t="n"/>
      <c r="J8" s="43" t="n"/>
      <c r="K8" s="43" t="n"/>
      <c r="L8" s="43" t="n"/>
      <c r="M8" s="43" t="n"/>
      <c r="N8" s="43" t="n"/>
      <c r="O8" s="43" t="n"/>
      <c r="P8" s="43" t="n"/>
      <c r="Q8" s="43" t="n"/>
      <c r="R8" s="43" t="n"/>
      <c r="S8" s="43" t="n"/>
      <c r="T8" s="43" t="n"/>
      <c r="U8" s="43" t="n"/>
      <c r="V8" s="43" t="n"/>
      <c r="W8" s="43" t="n"/>
      <c r="X8" s="43" t="n"/>
      <c r="Y8" s="43" t="n"/>
      <c r="Z8" s="43" t="n"/>
      <c r="AA8" s="43" t="n"/>
      <c r="AB8" s="43" t="n"/>
    </row>
    <row r="9" ht="14.25" customHeight="1" s="83">
      <c r="A9" s="21" t="inlineStr">
        <is>
          <t>FINANZIERUNGSRUNDEN</t>
        </is>
      </c>
      <c r="B9" s="22" t="n"/>
      <c r="C9" s="22" t="n"/>
      <c r="D9" s="22" t="n"/>
      <c r="E9" s="43" t="n"/>
      <c r="F9" s="43" t="n"/>
      <c r="G9" s="43" t="n"/>
      <c r="H9" s="43" t="n"/>
      <c r="I9" s="43" t="n"/>
      <c r="J9" s="43" t="n"/>
      <c r="K9" s="43" t="n"/>
      <c r="L9" s="43" t="n"/>
      <c r="M9" s="43" t="n"/>
      <c r="N9" s="43" t="n"/>
      <c r="O9" s="43" t="n"/>
      <c r="P9" s="43" t="n"/>
      <c r="Q9" s="43" t="n"/>
      <c r="R9" s="43" t="n"/>
      <c r="S9" s="43" t="n"/>
      <c r="T9" s="43" t="n"/>
      <c r="U9" s="43" t="n"/>
      <c r="V9" s="43" t="n"/>
      <c r="W9" s="43" t="n"/>
      <c r="X9" s="43" t="n"/>
      <c r="Y9" s="43" t="n"/>
      <c r="Z9" s="43" t="n"/>
      <c r="AA9" s="43" t="n"/>
      <c r="AB9" s="43" t="n"/>
    </row>
    <row r="10" ht="14.25" customHeight="1" s="83">
      <c r="A10" s="38" t="inlineStr">
        <is>
          <t>Ideation Phase</t>
        </is>
      </c>
      <c r="B10" s="29" t="n">
        <v>90000</v>
      </c>
      <c r="C10" s="25" t="inlineStr">
        <is>
          <t>Typisch: 100.000-500.000€</t>
        </is>
      </c>
      <c r="D10" s="37" t="inlineStr">
        <is>
          <t>Phase: 1.4.26 bis 15.7.2026
MVP-Anschubfinanzierung; stellt keine Unternehmensbewertung dar.</t>
        </is>
      </c>
      <c r="E10" s="43" t="n"/>
      <c r="F10" s="43" t="n"/>
      <c r="G10" s="43" t="n"/>
      <c r="H10" s="43" t="n"/>
      <c r="I10" s="43" t="n"/>
      <c r="J10" s="43" t="n"/>
      <c r="K10" s="43" t="n"/>
      <c r="L10" s="43" t="n"/>
      <c r="M10" s="43" t="n"/>
      <c r="N10" s="43" t="n"/>
      <c r="O10" s="43" t="n"/>
      <c r="P10" s="43" t="n"/>
      <c r="Q10" s="43" t="n"/>
      <c r="R10" s="43" t="n"/>
      <c r="S10" s="43" t="n"/>
      <c r="T10" s="43" t="n"/>
      <c r="U10" s="43" t="n"/>
      <c r="V10" s="43" t="n"/>
      <c r="W10" s="43" t="n"/>
      <c r="X10" s="43" t="n"/>
      <c r="Y10" s="43" t="n"/>
      <c r="Z10" s="43" t="n"/>
      <c r="AA10" s="43" t="n"/>
      <c r="AB10" s="43" t="n"/>
    </row>
    <row r="11" ht="14.25" customHeight="1" s="83">
      <c r="A11" s="38" t="inlineStr">
        <is>
          <t>Ideation Phase</t>
        </is>
      </c>
      <c r="B11" s="24" t="n">
        <v>1</v>
      </c>
      <c r="C11" s="25" t="inlineStr">
        <is>
          <t>Monat der Einzahlung</t>
        </is>
      </c>
      <c r="D11" s="37" t="inlineStr">
        <is>
          <t>MVP-Entwicklung und IP-Aufbau starten unmittelbar.</t>
        </is>
      </c>
      <c r="E11" s="43" t="n"/>
      <c r="F11" s="43" t="n"/>
      <c r="G11" s="43" t="n"/>
      <c r="H11" s="43" t="n"/>
      <c r="I11" s="43" t="n"/>
      <c r="J11" s="43" t="n"/>
      <c r="K11" s="43" t="n"/>
      <c r="L11" s="43" t="n"/>
      <c r="M11" s="43" t="n"/>
      <c r="N11" s="43" t="n"/>
      <c r="O11" s="43" t="n"/>
      <c r="P11" s="43" t="n"/>
      <c r="Q11" s="43" t="n"/>
      <c r="R11" s="43" t="n"/>
      <c r="S11" s="43" t="n"/>
      <c r="T11" s="43" t="n"/>
      <c r="U11" s="43" t="n"/>
      <c r="V11" s="43" t="n"/>
      <c r="W11" s="43" t="n"/>
      <c r="X11" s="43" t="n"/>
      <c r="Y11" s="43" t="n"/>
      <c r="Z11" s="43" t="n"/>
      <c r="AA11" s="43" t="n"/>
      <c r="AB11" s="43" t="n"/>
    </row>
    <row r="12" ht="14.25" customHeight="1" s="83">
      <c r="A12" s="38" t="inlineStr">
        <is>
          <t>Pre-Seed Betrag</t>
        </is>
      </c>
      <c r="B12" s="29" t="n">
        <v>1500000</v>
      </c>
      <c r="C12" s="25" t="inlineStr">
        <is>
          <t>Typisch: 500.000-2.000.000€</t>
        </is>
      </c>
      <c r="D12" s="37" t="inlineStr">
        <is>
          <t>Pre-Seed Phase ab VC Pitch im Juli '26 (1.5M-3M Bewertung).</t>
        </is>
      </c>
      <c r="E12" s="43" t="n"/>
      <c r="F12" s="43" t="n"/>
      <c r="G12" s="43" t="n"/>
      <c r="H12" s="43" t="n"/>
      <c r="I12" s="43" t="n"/>
      <c r="J12" s="43" t="n"/>
      <c r="K12" s="43" t="n"/>
      <c r="L12" s="43" t="n"/>
      <c r="M12" s="43" t="n"/>
      <c r="N12" s="43" t="n"/>
      <c r="O12" s="43" t="n"/>
      <c r="P12" s="43" t="n"/>
      <c r="Q12" s="43" t="n"/>
      <c r="R12" s="43" t="n"/>
      <c r="S12" s="43" t="n"/>
      <c r="T12" s="43" t="n"/>
      <c r="U12" s="43" t="n"/>
      <c r="V12" s="43" t="n"/>
      <c r="W12" s="43" t="n"/>
      <c r="X12" s="43" t="n"/>
      <c r="Y12" s="43" t="n"/>
      <c r="Z12" s="43" t="n"/>
      <c r="AA12" s="43" t="n"/>
      <c r="AB12" s="43" t="n"/>
    </row>
    <row r="13" ht="14.25" customHeight="1" s="83">
      <c r="A13" s="38" t="inlineStr">
        <is>
          <t>Pre-Seed Monat</t>
        </is>
      </c>
      <c r="B13" s="24" t="n">
        <v>5</v>
      </c>
      <c r="C13" s="25" t="inlineStr">
        <is>
          <t>Typisch: Monat 5</t>
        </is>
      </c>
      <c r="D13" s="37" t="inlineStr">
        <is>
          <t xml:space="preserve">Juli 2026 entspricht Monat 5 Fokus auf Pilot-Traction. </t>
        </is>
      </c>
      <c r="E13" s="43" t="n"/>
      <c r="F13" s="43" t="n"/>
      <c r="G13" s="43" t="n"/>
      <c r="H13" s="43" t="n"/>
      <c r="I13" s="43" t="n"/>
      <c r="J13" s="43" t="n"/>
      <c r="K13" s="43" t="n"/>
      <c r="L13" s="43" t="n"/>
      <c r="M13" s="43" t="n"/>
      <c r="N13" s="43" t="n"/>
      <c r="O13" s="43" t="n"/>
      <c r="P13" s="43" t="n"/>
      <c r="Q13" s="43" t="n"/>
      <c r="R13" s="43" t="n"/>
      <c r="S13" s="43" t="n"/>
      <c r="T13" s="43" t="n"/>
      <c r="U13" s="43" t="n"/>
      <c r="V13" s="43" t="n"/>
      <c r="W13" s="43" t="n"/>
      <c r="X13" s="43" t="n"/>
      <c r="Y13" s="43" t="n"/>
      <c r="Z13" s="43" t="n"/>
      <c r="AA13" s="43" t="n"/>
      <c r="AB13" s="43" t="n"/>
    </row>
    <row r="14" ht="14.25" customHeight="1" s="83">
      <c r="A14" s="38" t="inlineStr">
        <is>
          <t>Seed Betrag</t>
        </is>
      </c>
      <c r="B14" s="29" t="n">
        <v>4000000</v>
      </c>
      <c r="C14" s="25" t="inlineStr">
        <is>
          <t>Typisch: 3.000.000-10.000.000€</t>
        </is>
      </c>
      <c r="D14" s="37" t="inlineStr">
        <is>
          <t>Abhängig von Pilotprojekten und Reife des Produktes</t>
        </is>
      </c>
      <c r="E14" s="43" t="n"/>
      <c r="F14" s="43" t="n"/>
      <c r="G14" s="43" t="n"/>
      <c r="H14" s="43" t="n"/>
      <c r="I14" s="43" t="n"/>
      <c r="J14" s="43" t="n"/>
      <c r="K14" s="43" t="n"/>
      <c r="L14" s="43" t="n"/>
      <c r="M14" s="43" t="n"/>
      <c r="N14" s="43" t="n"/>
      <c r="O14" s="43" t="n"/>
      <c r="P14" s="43" t="n"/>
      <c r="Q14" s="43" t="n"/>
      <c r="R14" s="43" t="n"/>
      <c r="S14" s="43" t="n"/>
      <c r="T14" s="43" t="n"/>
      <c r="U14" s="43" t="n"/>
      <c r="V14" s="43" t="n"/>
      <c r="W14" s="43" t="n"/>
      <c r="X14" s="43" t="n"/>
      <c r="Y14" s="43" t="n"/>
      <c r="Z14" s="43" t="n"/>
      <c r="AA14" s="43" t="n"/>
      <c r="AB14" s="43" t="n"/>
    </row>
    <row r="15" ht="14.25" customHeight="1" s="83">
      <c r="A15" s="38" t="inlineStr">
        <is>
          <t>Seed Monat</t>
        </is>
      </c>
      <c r="B15" s="24" t="n">
        <v>17</v>
      </c>
      <c r="C15" s="25" t="inlineStr">
        <is>
          <t>Typisch: Monat 17</t>
        </is>
      </c>
      <c r="D15" s="37" t="inlineStr">
        <is>
          <t>Geplant für Mitte 2027.</t>
        </is>
      </c>
      <c r="E15" s="43" t="n"/>
      <c r="F15" s="43" t="n"/>
      <c r="G15" s="43" t="n"/>
      <c r="H15" s="43" t="n"/>
      <c r="I15" s="43" t="n"/>
      <c r="J15" s="43" t="n"/>
      <c r="K15" s="43" t="n"/>
      <c r="L15" s="43" t="n"/>
      <c r="M15" s="43" t="n"/>
      <c r="N15" s="43" t="n"/>
      <c r="O15" s="43" t="n"/>
      <c r="P15" s="43" t="n"/>
      <c r="Q15" s="43" t="n"/>
      <c r="R15" s="43" t="n"/>
      <c r="S15" s="43" t="n"/>
      <c r="T15" s="43" t="n"/>
      <c r="U15" s="43" t="n"/>
      <c r="V15" s="43" t="n"/>
      <c r="W15" s="43" t="n"/>
      <c r="X15" s="43" t="n"/>
      <c r="Y15" s="43" t="n"/>
      <c r="Z15" s="43" t="n"/>
      <c r="AA15" s="43" t="n"/>
      <c r="AB15" s="43" t="n"/>
    </row>
    <row r="16" ht="14.25" customHeight="1" s="83">
      <c r="A16" s="38" t="inlineStr">
        <is>
          <t>Series A Betrag</t>
        </is>
      </c>
      <c r="B16" s="29" t="n">
        <v>10000000</v>
      </c>
      <c r="C16" s="25" t="inlineStr">
        <is>
          <t>Typisch: 10.000.000-25.000.000€</t>
        </is>
      </c>
      <c r="D16" s="37" t="inlineStr">
        <is>
          <t>Vorerst unverändert als langfristige Wachstumsambition.</t>
        </is>
      </c>
      <c r="E16" s="43" t="n"/>
      <c r="F16" s="43" t="n"/>
      <c r="G16" s="43" t="n"/>
      <c r="H16" s="43" t="n"/>
      <c r="I16" s="43" t="n"/>
      <c r="J16" s="43" t="n"/>
      <c r="K16" s="43" t="n"/>
      <c r="L16" s="43" t="n"/>
      <c r="M16" s="43" t="n"/>
      <c r="N16" s="43" t="n"/>
      <c r="O16" s="43" t="n"/>
      <c r="P16" s="43" t="n"/>
      <c r="Q16" s="43" t="n"/>
      <c r="R16" s="43" t="n"/>
      <c r="S16" s="43" t="n"/>
      <c r="T16" s="43" t="n"/>
      <c r="U16" s="43" t="n"/>
      <c r="V16" s="43" t="n"/>
      <c r="W16" s="43" t="n"/>
      <c r="X16" s="43" t="n"/>
      <c r="Y16" s="43" t="n"/>
      <c r="Z16" s="43" t="n"/>
      <c r="AA16" s="43" t="n"/>
      <c r="AB16" s="43" t="n"/>
    </row>
    <row r="17" ht="14.25" customHeight="1" s="83">
      <c r="A17" s="38" t="inlineStr">
        <is>
          <t>Series A Monat</t>
        </is>
      </c>
      <c r="B17" s="24" t="n">
        <v>36</v>
      </c>
      <c r="C17" s="25" t="inlineStr">
        <is>
          <t>Typisch: Monat 35</t>
        </is>
      </c>
      <c r="D17" s="37" t="inlineStr">
        <is>
          <t>Geplant für Herbst 2028.</t>
        </is>
      </c>
      <c r="E17" s="43" t="n"/>
      <c r="F17" s="43" t="n"/>
      <c r="G17" s="43" t="n"/>
      <c r="H17" s="43" t="n"/>
      <c r="I17" s="43" t="n"/>
      <c r="J17" s="43" t="n"/>
      <c r="K17" s="43" t="n"/>
      <c r="L17" s="43" t="n"/>
      <c r="M17" s="43" t="n"/>
      <c r="N17" s="43" t="n"/>
      <c r="O17" s="43" t="n"/>
      <c r="P17" s="43" t="n"/>
      <c r="Q17" s="43" t="n"/>
      <c r="R17" s="43" t="n"/>
      <c r="S17" s="43" t="n"/>
      <c r="T17" s="43" t="n"/>
      <c r="U17" s="43" t="n"/>
      <c r="V17" s="43" t="n"/>
      <c r="W17" s="43" t="n"/>
      <c r="X17" s="43" t="n"/>
      <c r="Y17" s="43" t="n"/>
      <c r="Z17" s="43" t="n"/>
      <c r="AA17" s="43" t="n"/>
      <c r="AB17" s="43" t="n"/>
    </row>
    <row r="18" ht="14.25" customHeight="1" s="83">
      <c r="A18" s="43" t="n"/>
      <c r="B18" s="43" t="n"/>
      <c r="C18" s="43" t="n"/>
      <c r="D18" s="32" t="n"/>
      <c r="E18" s="43" t="n"/>
      <c r="F18" s="43" t="n"/>
      <c r="G18" s="43" t="n"/>
      <c r="H18" s="43" t="n"/>
      <c r="I18" s="43" t="n"/>
      <c r="J18" s="43" t="n"/>
      <c r="K18" s="43" t="n"/>
      <c r="L18" s="43" t="n"/>
      <c r="M18" s="43" t="n"/>
      <c r="N18" s="43" t="n"/>
      <c r="O18" s="43" t="n"/>
      <c r="P18" s="43" t="n"/>
      <c r="Q18" s="43" t="n"/>
      <c r="R18" s="43" t="n"/>
      <c r="S18" s="43" t="n"/>
      <c r="T18" s="43" t="n"/>
      <c r="U18" s="43" t="n"/>
      <c r="V18" s="43" t="n"/>
      <c r="W18" s="43" t="n"/>
      <c r="X18" s="43" t="n"/>
      <c r="Y18" s="43" t="n"/>
      <c r="Z18" s="43" t="n"/>
      <c r="AA18" s="43" t="n"/>
      <c r="AB18" s="43" t="n"/>
    </row>
    <row r="19" ht="14.25" customHeight="1" s="83">
      <c r="A19" s="21" t="inlineStr">
        <is>
          <t>REVENUE-ANNAHMEN (SaaS/ARR)</t>
        </is>
      </c>
      <c r="B19" s="22" t="n"/>
      <c r="C19" s="22" t="n"/>
      <c r="D19" s="22" t="n"/>
      <c r="E19" s="43" t="n"/>
      <c r="F19" s="43" t="n"/>
      <c r="G19" s="43" t="n"/>
      <c r="H19" s="43" t="n"/>
      <c r="I19" s="43" t="n"/>
      <c r="J19" s="43" t="n"/>
      <c r="K19" s="43" t="n"/>
      <c r="L19" s="43" t="n"/>
      <c r="M19" s="43" t="n"/>
      <c r="N19" s="43" t="n"/>
      <c r="O19" s="43" t="n"/>
      <c r="P19" s="43" t="n"/>
      <c r="Q19" s="43" t="n"/>
      <c r="R19" s="43" t="n"/>
      <c r="S19" s="43" t="n"/>
      <c r="T19" s="43" t="n"/>
      <c r="U19" s="43" t="n"/>
      <c r="V19" s="43" t="n"/>
      <c r="W19" s="43" t="n"/>
      <c r="X19" s="43" t="n"/>
      <c r="Y19" s="43" t="n"/>
      <c r="Z19" s="43" t="n"/>
      <c r="AA19" s="43" t="n"/>
      <c r="AB19" s="43" t="n"/>
    </row>
    <row r="20" ht="14.25" customHeight="1" s="83">
      <c r="A20" s="38" t="inlineStr">
        <is>
          <t>Startpreis pro Seat/Jahr</t>
        </is>
      </c>
      <c r="B20" s="34">
        <f>VLOOKUP("Startpreis Seat/Jahr", '00_Input_Sandbox'!$B$3:$F$20, '00_Input_Sandbox'!$B$2-1, FALSE) * 12</f>
        <v/>
      </c>
      <c r="C20" s="25" t="inlineStr">
        <is>
          <t>Jährliche Lizenzgebühr pro Nutzer</t>
        </is>
      </c>
      <c r="D20" s="25" t="inlineStr">
        <is>
          <t>1. Realistisch? Hängt auch ab vom Business Modell..Pricing basierend auf Wettbewerb oder auf voraussichtlichem Einsparpotential?
2. weitere Erlösquellen? Beratung? Implementierungsaufwand?
Hybrid-Modell: Deckt Fixkosten und partizipiert am TCO-Einsparwert. [1]</t>
        </is>
      </c>
      <c r="E20" s="32" t="n"/>
      <c r="F20" s="32" t="n"/>
      <c r="G20" s="32" t="inlineStr">
        <is>
          <t>2. Regulatory Moat (DPP): JE nach Branche (hier: Annahme von neuen Zielbranche in Bezuf auf DPP Verpflichtung) Die Zielbranchen Batterien und Elektronik unterliegen ab 2027 der DPP-Pflicht. Dies rechtfertigt höhere Preise und eine stärkere NRR, da LFL hiermit zur "Compliance Engine" des Kunden wird. --&gt;"Compliance" könnte aber auch durch andere Benefits ersetzt werden</t>
        </is>
      </c>
      <c r="H20" s="43" t="n"/>
      <c r="I20" s="43" t="n"/>
      <c r="J20" s="43" t="n"/>
      <c r="K20" s="43" t="n"/>
      <c r="L20" s="43" t="n"/>
      <c r="M20" s="43" t="n"/>
      <c r="N20" s="43" t="n"/>
      <c r="O20" s="43" t="n"/>
      <c r="P20" s="43" t="n"/>
      <c r="Q20" s="43" t="n"/>
      <c r="R20" s="43" t="n"/>
      <c r="S20" s="43" t="n"/>
      <c r="T20" s="43" t="n"/>
      <c r="U20" s="43" t="n"/>
      <c r="V20" s="43" t="n"/>
      <c r="W20" s="43" t="n"/>
      <c r="X20" s="43" t="n"/>
      <c r="Y20" s="43" t="n"/>
      <c r="Z20" s="43" t="n"/>
      <c r="AA20" s="43" t="n"/>
      <c r="AB20" s="43" t="n"/>
    </row>
    <row r="21" ht="14.25" customHeight="1" s="83">
      <c r="A21" s="38" t="inlineStr">
        <is>
          <t>Preiserhöhung/Jahr</t>
        </is>
      </c>
      <c r="B21" s="33" t="n">
        <v>0.05</v>
      </c>
      <c r="C21" s="25" t="inlineStr">
        <is>
          <t>Typisch: 3-5% p.a.</t>
        </is>
      </c>
      <c r="D21" s="37" t="inlineStr">
        <is>
          <t>Standard für AI-SaaS 2026 (Kompensation Inferenz/Innovation). [4]</t>
        </is>
      </c>
      <c r="E21" s="37" t="n"/>
      <c r="F21" s="37" t="n"/>
      <c r="G21" s="37" t="n"/>
      <c r="H21" s="43" t="n"/>
      <c r="I21" s="43" t="n"/>
      <c r="J21" s="43" t="n"/>
      <c r="K21" s="43" t="n"/>
      <c r="L21" s="43" t="n"/>
      <c r="M21" s="43" t="n"/>
      <c r="N21" s="43" t="n"/>
      <c r="O21" s="43" t="n"/>
      <c r="P21" s="43" t="n"/>
      <c r="Q21" s="43" t="n"/>
      <c r="R21" s="43" t="n"/>
      <c r="S21" s="43" t="n"/>
      <c r="T21" s="43" t="n"/>
      <c r="U21" s="43" t="n"/>
      <c r="V21" s="43" t="n"/>
      <c r="W21" s="43" t="n"/>
      <c r="X21" s="43" t="n"/>
      <c r="Y21" s="43" t="n"/>
      <c r="Z21" s="43" t="n"/>
      <c r="AA21" s="43" t="n"/>
      <c r="AB21" s="43" t="n"/>
    </row>
    <row r="22" ht="14.25" customHeight="1" s="83">
      <c r="A22" s="38" t="inlineStr">
        <is>
          <t>Erste zahlende Kunden Monat</t>
        </is>
      </c>
      <c r="B22" s="34">
        <f>VLOOKUP("Startmonat Kunden", '00_Input_Sandbox'!$B$3:$F$20, '00_Input_Sandbox'!$B$2-1, FALSE)</f>
        <v/>
      </c>
      <c r="C22" s="25" t="inlineStr">
        <is>
          <t>Wann erster Umsatz?</t>
        </is>
      </c>
      <c r="D22" s="25" t="inlineStr">
        <is>
          <t>Erster Umsatz in Monat 8 (Start: 04/26)…Realistisch? Wie lange Lead-Time? Zielkunden? Beachhead-Market?
Weitere Begründung: wenn im Automotivebereich: Puffer für Sales-Zyklen (9-12 Mon.) und TISAX im Mittelstand. [1</t>
        </is>
      </c>
      <c r="E22" s="37" t="n"/>
      <c r="F22" s="37" t="n"/>
      <c r="G22" s="37" t="n"/>
      <c r="H22" s="43" t="n"/>
      <c r="I22" s="43" t="n"/>
      <c r="J22" s="43" t="n"/>
      <c r="K22" s="43" t="n"/>
      <c r="L22" s="43" t="n"/>
      <c r="M22" s="43" t="n"/>
      <c r="N22" s="43" t="n"/>
      <c r="O22" s="43" t="n"/>
      <c r="P22" s="43" t="n"/>
      <c r="Q22" s="43" t="n"/>
      <c r="R22" s="43" t="n"/>
      <c r="S22" s="43" t="n"/>
      <c r="T22" s="43" t="n"/>
      <c r="U22" s="43" t="n"/>
      <c r="V22" s="43" t="n"/>
      <c r="W22" s="43" t="n"/>
      <c r="X22" s="43" t="n"/>
      <c r="Y22" s="43" t="n"/>
      <c r="Z22" s="43" t="n"/>
      <c r="AA22" s="43" t="n"/>
      <c r="AB22" s="43" t="n"/>
    </row>
    <row r="23" ht="14.25" customHeight="1" s="83">
      <c r="A23" s="38" t="inlineStr">
        <is>
          <t>Initiale Seats</t>
        </is>
      </c>
      <c r="B23" s="24" t="n">
        <v>3</v>
      </c>
      <c r="C23" s="25" t="inlineStr">
        <is>
          <t>Anzahl Seats beim ersten Kunden</t>
        </is>
      </c>
      <c r="D23" s="25" t="inlineStr">
        <is>
          <t>Realistisch? Hängt von Kundengrösse ab. Implementierungsaufwand je Kunde mit einkalkulieren
weitere Aspekte: Kalkulieren mit 1-2 Projekten/ Start mit Pilotprojekten (Werke) zur ROI-Validierung ("Land&amp;Expand")</t>
        </is>
      </c>
      <c r="E23" s="37" t="n"/>
      <c r="F23" s="37" t="n"/>
      <c r="G23" s="37" t="n"/>
      <c r="H23" s="43" t="n"/>
      <c r="I23" s="43" t="n"/>
      <c r="J23" s="43" t="n"/>
      <c r="K23" s="43" t="n"/>
      <c r="L23" s="43" t="n"/>
      <c r="M23" s="43" t="n"/>
      <c r="N23" s="43" t="n"/>
      <c r="O23" s="43" t="n"/>
      <c r="P23" s="43" t="n"/>
      <c r="Q23" s="43" t="n"/>
      <c r="R23" s="43" t="n"/>
      <c r="S23" s="43" t="n"/>
      <c r="T23" s="43" t="n"/>
      <c r="U23" s="43" t="n"/>
      <c r="V23" s="43" t="n"/>
      <c r="W23" s="43" t="n"/>
      <c r="X23" s="43" t="n"/>
      <c r="Y23" s="43" t="n"/>
      <c r="Z23" s="43" t="n"/>
      <c r="AA23" s="43" t="n"/>
      <c r="AB23" s="43" t="n"/>
    </row>
    <row r="24" ht="14.25" customHeight="1" s="83">
      <c r="A24" s="38" t="inlineStr">
        <is>
          <t>Monatliche Seat-Wachstumsrate</t>
        </is>
      </c>
      <c r="B24" s="27" t="n">
        <v>0.03</v>
      </c>
      <c r="C24" s="25" t="inlineStr">
        <is>
          <t>Wachstum neue Seats/Monat</t>
        </is>
      </c>
      <c r="D24" s="35" t="inlineStr">
        <is>
          <t>--&gt;hier eine Annahme bzgll Vertriebsplanung treffen. Wie hoch ist die Zahl der Verkauften Sitze nach 1, 2, 3 Jahren? Gibt es noch andere Erlösströme?
ALTERNATIVE: Account-basierte Planng: Wechsel auf "Stufenfunktion" beim Aufbau des Geschäfts (Roll-out pro Werk statt linearer Rate)</t>
        </is>
      </c>
      <c r="E24" s="37" t="n"/>
      <c r="F24" s="37" t="n"/>
      <c r="G24" s="37" t="n"/>
      <c r="H24" s="43" t="n"/>
      <c r="I24" s="43" t="n"/>
      <c r="J24" s="43" t="n"/>
      <c r="K24" s="43" t="n"/>
      <c r="L24" s="43" t="n"/>
      <c r="M24" s="43" t="n"/>
      <c r="N24" s="43" t="n"/>
      <c r="O24" s="43" t="n"/>
      <c r="P24" s="43" t="n"/>
      <c r="Q24" s="43" t="n"/>
      <c r="R24" s="43" t="n"/>
      <c r="S24" s="43" t="n"/>
      <c r="T24" s="43" t="n"/>
      <c r="U24" s="43" t="n"/>
      <c r="V24" s="43" t="n"/>
      <c r="W24" s="43" t="n"/>
      <c r="X24" s="43" t="n"/>
      <c r="Y24" s="43" t="n"/>
      <c r="Z24" s="43" t="n"/>
      <c r="AA24" s="43" t="n"/>
      <c r="AB24" s="43" t="n"/>
    </row>
    <row r="25" ht="14.25" customHeight="1" s="83">
      <c r="A25" s="38" t="inlineStr">
        <is>
          <t>Enterprise-Deals ab Monat</t>
        </is>
      </c>
      <c r="B25" s="24" t="n">
        <v>30</v>
      </c>
      <c r="C25" s="25" t="inlineStr">
        <is>
          <t xml:space="preserve">Wann starten große Verträge?
Wenn Automotive: Verschiebung durch längere Technical Validation und Compliance-Hürden. </t>
        </is>
      </c>
      <c r="D25" s="25" t="n"/>
      <c r="E25" s="37" t="n"/>
      <c r="F25" s="37" t="n"/>
      <c r="G25" s="37" t="inlineStr">
        <is>
          <t>3. Vertriebsrealismus: Der Start des Umsatzes wurde nach hinten geschoben da der industrielle Mittelstand ("Hidden Champions") langsame Entscheidungsprozesse und hohe Sicherheitsanforderungen (TISAX) hat. Die Zeit bis zum Juli 2026 wird für die Validierung der TCO-Einsparungen (Ausschuss-Reduktion) bei Pilotkunden genutzt.</t>
        </is>
      </c>
      <c r="H25" s="43" t="n"/>
      <c r="I25" s="43" t="n"/>
      <c r="J25" s="43" t="n"/>
      <c r="K25" s="43" t="n"/>
      <c r="L25" s="43" t="n"/>
      <c r="M25" s="43" t="n"/>
      <c r="N25" s="43" t="n"/>
      <c r="O25" s="43" t="n"/>
      <c r="P25" s="43" t="n"/>
      <c r="Q25" s="43" t="n"/>
      <c r="R25" s="43" t="n"/>
      <c r="S25" s="43" t="n"/>
      <c r="T25" s="43" t="n"/>
      <c r="U25" s="43" t="n"/>
      <c r="V25" s="43" t="n"/>
      <c r="W25" s="43" t="n"/>
      <c r="X25" s="43" t="n"/>
      <c r="Y25" s="43" t="n"/>
      <c r="Z25" s="43" t="n"/>
      <c r="AA25" s="43" t="n"/>
      <c r="AB25" s="43" t="n"/>
    </row>
    <row r="26" ht="14.25" customHeight="1" s="83">
      <c r="A26" s="38" t="inlineStr">
        <is>
          <t>Durchschnitt Enterprise ARR</t>
        </is>
      </c>
      <c r="B26" s="29" t="n">
        <v>25000</v>
      </c>
      <c r="C26" s="25" t="inlineStr">
        <is>
          <t>Typisch: 50.000-200.000€/Jahr</t>
        </is>
      </c>
      <c r="D26" s="37" t="inlineStr">
        <is>
          <t>Höheres Volumen durch Tiefe der Integration: hier Annahme von weiteren Benefits wie Einbeziehung von DPP &amp; Sustainability</t>
        </is>
      </c>
      <c r="E26" s="36" t="n"/>
      <c r="F26" s="36" t="n"/>
      <c r="G26" s="36" t="n"/>
      <c r="H26" s="43" t="n"/>
      <c r="I26" s="43" t="n"/>
      <c r="J26" s="43" t="n"/>
      <c r="K26" s="43" t="n"/>
      <c r="L26" s="43" t="n"/>
      <c r="M26" s="43" t="n"/>
      <c r="N26" s="43" t="n"/>
      <c r="O26" s="43" t="n"/>
      <c r="P26" s="43" t="n"/>
      <c r="Q26" s="43" t="n"/>
      <c r="R26" s="43" t="n"/>
      <c r="S26" s="43" t="n"/>
      <c r="T26" s="43" t="n"/>
      <c r="U26" s="43" t="n"/>
      <c r="V26" s="43" t="n"/>
      <c r="W26" s="43" t="n"/>
      <c r="X26" s="43" t="n"/>
      <c r="Y26" s="43" t="n"/>
      <c r="Z26" s="43" t="n"/>
      <c r="AA26" s="43" t="n"/>
      <c r="AB26" s="43" t="n"/>
    </row>
    <row r="27" ht="14.25" customHeight="1" s="83">
      <c r="A27" s="38" t="inlineStr">
        <is>
          <t>Enterprise Deals pro Quartal</t>
        </is>
      </c>
      <c r="B27" s="24" t="n">
        <v>1</v>
      </c>
      <c r="C27" s="25" t="inlineStr">
        <is>
          <t>Neue Enterprise-Deals pro Quartal</t>
        </is>
      </c>
      <c r="D27" s="25" t="n"/>
      <c r="E27" s="37" t="n"/>
      <c r="F27" s="37" t="n"/>
      <c r="G27" s="37" t="n"/>
      <c r="H27" s="43" t="n"/>
      <c r="I27" s="43" t="n"/>
      <c r="J27" s="43" t="n"/>
      <c r="K27" s="43" t="n"/>
      <c r="L27" s="43" t="n"/>
      <c r="M27" s="43" t="n"/>
      <c r="N27" s="43" t="n"/>
      <c r="O27" s="43" t="n"/>
      <c r="P27" s="43" t="n"/>
      <c r="Q27" s="43" t="n"/>
      <c r="R27" s="43" t="n"/>
      <c r="S27" s="43" t="n"/>
      <c r="T27" s="43" t="n"/>
      <c r="U27" s="43" t="n"/>
      <c r="V27" s="43" t="n"/>
      <c r="W27" s="43" t="n"/>
      <c r="X27" s="43" t="n"/>
      <c r="Y27" s="43" t="n"/>
      <c r="Z27" s="43" t="n"/>
      <c r="AA27" s="43" t="n"/>
      <c r="AB27" s="43" t="n"/>
    </row>
    <row r="28" ht="14.25" customHeight="1" s="83">
      <c r="A28" s="38" t="inlineStr">
        <is>
          <t>Jährliche Churn Rate</t>
        </is>
      </c>
      <c r="B28" s="174">
        <f>VLOOKUP("Churn Rate",'00_Input_Sandbox'!$B$3:$F$20,'00_Input_Sandbox'!$B$2-1,FALSE)</f>
        <v/>
      </c>
      <c r="C28" s="25" t="inlineStr">
        <is>
          <t>Jährliche Churn Rate (szenarioabhängig): Gering=10% | Normal=6% | Stark=3%</t>
        </is>
      </c>
      <c r="D28" s="25" t="inlineStr">
        <is>
          <t>Treiber-Matrix: Churn jetzt szenarioabhängig (vorher fest 15%). Automotive: 10% (Budgetzyklen). Packaging: 3% (hoher Switching-Cost).</t>
        </is>
      </c>
      <c r="E28" s="37" t="n"/>
      <c r="F28" s="37" t="n"/>
      <c r="G28" s="37" t="n"/>
      <c r="H28" s="43" t="n"/>
      <c r="I28" s="43" t="n"/>
      <c r="J28" s="43" t="n"/>
      <c r="K28" s="43" t="n"/>
      <c r="L28" s="43" t="n"/>
      <c r="M28" s="43" t="n"/>
      <c r="N28" s="43" t="n"/>
      <c r="O28" s="43" t="n"/>
      <c r="P28" s="43" t="n"/>
      <c r="Q28" s="43" t="n"/>
      <c r="R28" s="43" t="n"/>
      <c r="S28" s="43" t="n"/>
      <c r="T28" s="43" t="n"/>
      <c r="U28" s="43" t="n"/>
      <c r="V28" s="43" t="n"/>
      <c r="W28" s="43" t="n"/>
      <c r="X28" s="43" t="n"/>
      <c r="Y28" s="43" t="n"/>
      <c r="Z28" s="43" t="n"/>
      <c r="AA28" s="43" t="n"/>
      <c r="AB28" s="43" t="n"/>
    </row>
    <row r="29" ht="14.25" customHeight="1" s="83">
      <c r="A29" s="38" t="inlineStr">
        <is>
          <t>Net Revenue Retention</t>
        </is>
      </c>
      <c r="B29" s="175">
        <f>VLOOKUP("Net Revenue Retention (NRR)",'00_Input_Sandbox'!$B$3:$F$20,'00_Input_Sandbox'!$B$2-1,FALSE)</f>
        <v/>
      </c>
      <c r="C29" s="25" t="inlineStr">
        <is>
          <t>Net Revenue Retention (szenarioabhängig): Gering=105% | Normal=115% | Stark=130%</t>
        </is>
      </c>
      <c r="D29" s="25" t="inlineStr">
        <is>
          <t>Treiber-Matrix: NRR jetzt szenarioabhängig (vorher fest 125%). Expansion-Umsatz minus Churn. NRR&gt;100%=Bestandskunden wachsen.</t>
        </is>
      </c>
      <c r="E29" s="37" t="n"/>
      <c r="F29" s="37" t="inlineStr">
        <is>
          <t xml:space="preserve"> das ist schon wieder falsch. Die Gehälter für die Executive-Funktionen stehen nicht in den von dir genannten Zellen B26 bis B28 </t>
        </is>
      </c>
      <c r="G29" s="37" t="n"/>
      <c r="H29" s="43" t="n"/>
      <c r="I29" s="43" t="n"/>
      <c r="J29" s="43" t="n"/>
      <c r="K29" s="43" t="n"/>
      <c r="L29" s="43" t="n"/>
      <c r="M29" s="43" t="n"/>
      <c r="N29" s="43" t="n"/>
      <c r="O29" s="43" t="n"/>
      <c r="P29" s="43" t="n"/>
      <c r="Q29" s="43" t="n"/>
      <c r="R29" s="43" t="n"/>
      <c r="S29" s="43" t="n"/>
      <c r="T29" s="43" t="n"/>
      <c r="U29" s="43" t="n"/>
      <c r="V29" s="43" t="n"/>
      <c r="W29" s="43" t="n"/>
      <c r="X29" s="43" t="n"/>
      <c r="Y29" s="43" t="n"/>
      <c r="Z29" s="43" t="n"/>
      <c r="AA29" s="43" t="n"/>
      <c r="AB29" s="43" t="n"/>
    </row>
    <row r="30" ht="14.25" customHeight="1" s="83">
      <c r="A30" s="43" t="n"/>
      <c r="B30" s="43" t="n"/>
      <c r="C30" s="43" t="n"/>
      <c r="D30" s="32" t="n"/>
      <c r="E30" s="43" t="n"/>
      <c r="F30" s="43" t="n"/>
      <c r="G30" s="43" t="n"/>
      <c r="H30" s="43" t="n"/>
      <c r="I30" s="43" t="n"/>
      <c r="J30" s="43" t="n"/>
      <c r="K30" s="43" t="n"/>
      <c r="L30" s="43" t="n"/>
      <c r="M30" s="43" t="n"/>
      <c r="N30" s="43" t="n"/>
      <c r="O30" s="43" t="n"/>
      <c r="P30" s="43" t="n"/>
      <c r="Q30" s="43" t="n"/>
      <c r="R30" s="43" t="n"/>
      <c r="S30" s="43" t="n"/>
      <c r="T30" s="43" t="n"/>
      <c r="U30" s="43" t="n"/>
      <c r="V30" s="43" t="n"/>
      <c r="W30" s="43" t="n"/>
      <c r="X30" s="43" t="n"/>
      <c r="Y30" s="43" t="n"/>
      <c r="Z30" s="43" t="n"/>
      <c r="AA30" s="43" t="n"/>
      <c r="AB30" s="43" t="n"/>
    </row>
    <row r="31" ht="14.25" customHeight="1" s="83">
      <c r="A31" s="21" t="inlineStr">
        <is>
          <t>GEHÄLTER (Brutto/Jahr)</t>
        </is>
      </c>
      <c r="B31" s="22" t="n"/>
      <c r="C31" s="22" t="n"/>
      <c r="D31" s="22" t="n"/>
      <c r="E31" s="43" t="n"/>
      <c r="F31" s="43" t="n"/>
      <c r="G31" s="43" t="n"/>
      <c r="H31" s="43" t="n"/>
      <c r="I31" s="43" t="n"/>
      <c r="J31" s="43" t="n"/>
      <c r="K31" s="43" t="n"/>
      <c r="L31" s="43" t="n"/>
      <c r="M31" s="43" t="n"/>
      <c r="N31" s="43" t="n"/>
      <c r="O31" s="43" t="n"/>
      <c r="P31" s="43" t="n"/>
      <c r="Q31" s="43" t="n"/>
      <c r="R31" s="43" t="n"/>
      <c r="S31" s="43" t="n"/>
      <c r="T31" s="43" t="n"/>
      <c r="U31" s="43" t="n"/>
      <c r="V31" s="43" t="n"/>
      <c r="W31" s="43" t="n"/>
      <c r="X31" s="43" t="n"/>
      <c r="Y31" s="43" t="n"/>
      <c r="Z31" s="43" t="n"/>
      <c r="AA31" s="43" t="n"/>
      <c r="AB31" s="43" t="n"/>
    </row>
    <row r="32" ht="14.25" customHeight="1" s="83">
      <c r="A32" s="38" t="inlineStr">
        <is>
          <t>CEO Gehalt</t>
        </is>
      </c>
      <c r="B32" s="29" t="n">
        <v>72000</v>
      </c>
      <c r="C32" s="25" t="inlineStr">
        <is>
          <t>Typisch Startup: 60.000-90.000€</t>
        </is>
      </c>
      <c r="D32" s="25" t="inlineStr">
        <is>
          <t>Gründer-Satz Pre-Seed); Anpassung ab Seed-Runde.
Muss noch genauer präzisiert werden</t>
        </is>
      </c>
      <c r="E32" s="43" t="n"/>
      <c r="F32" s="43" t="n"/>
      <c r="G32" s="43" t="n"/>
      <c r="H32" s="43" t="n"/>
      <c r="I32" s="43" t="n"/>
      <c r="J32" s="43" t="n"/>
      <c r="K32" s="43" t="n"/>
      <c r="L32" s="43" t="n"/>
      <c r="M32" s="43" t="n"/>
      <c r="N32" s="43" t="n"/>
      <c r="O32" s="43" t="n"/>
      <c r="P32" s="43" t="n"/>
      <c r="Q32" s="43" t="n"/>
      <c r="R32" s="43" t="n"/>
      <c r="S32" s="43" t="n"/>
      <c r="T32" s="43" t="n"/>
      <c r="U32" s="43" t="n"/>
      <c r="V32" s="43" t="n"/>
      <c r="W32" s="43" t="n"/>
      <c r="X32" s="43" t="n"/>
      <c r="Y32" s="43" t="n"/>
      <c r="Z32" s="43" t="n"/>
      <c r="AA32" s="43" t="n"/>
      <c r="AB32" s="43" t="n"/>
    </row>
    <row r="33" ht="14.25" customHeight="1" s="83">
      <c r="A33" s="38" t="inlineStr">
        <is>
          <t>CTO Gehalt</t>
        </is>
      </c>
      <c r="B33" s="29" t="n">
        <v>72000</v>
      </c>
      <c r="C33" s="25" t="inlineStr">
        <is>
          <t>Typisch Startup: 60.000-90.000€</t>
        </is>
      </c>
      <c r="D33" s="25" t="inlineStr">
        <is>
          <t>Gründer-Satz Pre-Seed); Anpassung ab Seed-Runde.
Muss noch genauer präzisiert werden</t>
        </is>
      </c>
      <c r="E33" s="43" t="n"/>
      <c r="F33" s="43" t="n"/>
      <c r="G33" s="43" t="n"/>
      <c r="H33" s="43" t="n"/>
      <c r="I33" s="43" t="n"/>
      <c r="J33" s="43" t="n"/>
      <c r="K33" s="43" t="n"/>
      <c r="L33" s="43" t="n"/>
      <c r="M33" s="43" t="n"/>
      <c r="N33" s="43" t="n"/>
      <c r="O33" s="43" t="n"/>
      <c r="P33" s="43" t="n"/>
      <c r="Q33" s="43" t="n"/>
      <c r="R33" s="43" t="n"/>
      <c r="S33" s="43" t="n"/>
      <c r="T33" s="43" t="n"/>
      <c r="U33" s="43" t="n"/>
      <c r="V33" s="43" t="n"/>
      <c r="W33" s="43" t="n"/>
      <c r="X33" s="43" t="n"/>
      <c r="Y33" s="43" t="n"/>
      <c r="Z33" s="43" t="n"/>
      <c r="AA33" s="43" t="n"/>
      <c r="AB33" s="43" t="n"/>
    </row>
    <row r="34" ht="14.25" customHeight="1" s="83">
      <c r="A34" s="38" t="inlineStr">
        <is>
          <t>CCO Gehalt</t>
        </is>
      </c>
      <c r="B34" s="29" t="n">
        <v>72000</v>
      </c>
      <c r="C34" s="25" t="inlineStr">
        <is>
          <t>Typisch Startup: 60.000-90.000€</t>
        </is>
      </c>
      <c r="D34" s="25" t="inlineStr">
        <is>
          <t>Gründer-Satz Pre-Seed); Anpassung ab Seed-Runde.
Muss noch genauer präzisiert werden</t>
        </is>
      </c>
      <c r="E34" s="43" t="n"/>
      <c r="F34" s="43" t="n"/>
      <c r="G34" s="43" t="n"/>
      <c r="H34" s="43" t="n"/>
      <c r="I34" s="43" t="n"/>
      <c r="J34" s="43" t="n"/>
      <c r="K34" s="43" t="n"/>
      <c r="L34" s="43" t="n"/>
      <c r="M34" s="43" t="n"/>
      <c r="N34" s="43" t="n"/>
      <c r="O34" s="43" t="n"/>
      <c r="P34" s="43" t="n"/>
      <c r="Q34" s="43" t="n"/>
      <c r="R34" s="43" t="n"/>
      <c r="S34" s="43" t="n"/>
      <c r="T34" s="43" t="n"/>
      <c r="U34" s="43" t="n"/>
      <c r="V34" s="43" t="n"/>
      <c r="W34" s="43" t="n"/>
      <c r="X34" s="43" t="n"/>
      <c r="Y34" s="43" t="n"/>
      <c r="Z34" s="43" t="n"/>
      <c r="AA34" s="43" t="n"/>
      <c r="AB34" s="43" t="n"/>
    </row>
    <row r="35" ht="14.25" customHeight="1" s="83">
      <c r="A35" s="38" t="inlineStr">
        <is>
          <t>Senior Engineer Gehalt</t>
        </is>
      </c>
      <c r="B35" s="29" t="n">
        <v>90000</v>
      </c>
      <c r="C35" s="25" t="inlineStr">
        <is>
          <t>Typisch: 70.000-90.000€</t>
        </is>
      </c>
      <c r="D35" s="37" t="inlineStr">
        <is>
          <t>Berliner Tech-Benchmark 2025/26 für Senior-Fullstack/Backends. [9]</t>
        </is>
      </c>
      <c r="E35" s="43" t="n"/>
      <c r="F35" s="43" t="n"/>
      <c r="G35" s="43" t="n"/>
      <c r="H35" s="43" t="n"/>
      <c r="I35" s="43" t="n"/>
      <c r="J35" s="43" t="n"/>
      <c r="K35" s="43" t="n"/>
      <c r="L35" s="43" t="n"/>
      <c r="M35" s="43" t="n"/>
      <c r="N35" s="43" t="n"/>
      <c r="O35" s="43" t="n"/>
      <c r="P35" s="43" t="n"/>
      <c r="Q35" s="43" t="n"/>
      <c r="R35" s="43" t="n"/>
      <c r="S35" s="43" t="n"/>
      <c r="T35" s="43" t="n"/>
      <c r="U35" s="43" t="n"/>
      <c r="V35" s="43" t="n"/>
      <c r="W35" s="43" t="n"/>
      <c r="X35" s="43" t="n"/>
      <c r="Y35" s="43" t="n"/>
      <c r="Z35" s="43" t="n"/>
      <c r="AA35" s="43" t="n"/>
      <c r="AB35" s="43" t="n"/>
    </row>
    <row r="36" ht="14.25" customHeight="1" s="83">
      <c r="A36" s="38" t="inlineStr">
        <is>
          <t>Junior Engineer Gehalt</t>
        </is>
      </c>
      <c r="B36" s="29" t="n">
        <v>60000</v>
      </c>
      <c r="C36" s="25" t="inlineStr">
        <is>
          <t>Typisch: 45.000-60.000€</t>
        </is>
      </c>
      <c r="D36" s="37" t="inlineStr">
        <is>
          <t>Anpassung an gestiegene Einstiegsgehälter für Top-Tech-Talente. [9]</t>
        </is>
      </c>
      <c r="E36" s="43" t="n"/>
      <c r="F36" s="43" t="n"/>
      <c r="G36" s="43" t="n"/>
      <c r="H36" s="43" t="n"/>
      <c r="I36" s="43" t="n"/>
      <c r="J36" s="43" t="n"/>
      <c r="K36" s="43" t="n"/>
      <c r="L36" s="43" t="n"/>
      <c r="M36" s="43" t="n"/>
      <c r="N36" s="43" t="n"/>
      <c r="O36" s="43" t="n"/>
      <c r="P36" s="43" t="n"/>
      <c r="Q36" s="43" t="n"/>
      <c r="R36" s="43" t="n"/>
      <c r="S36" s="43" t="n"/>
      <c r="T36" s="43" t="n"/>
      <c r="U36" s="43" t="n"/>
      <c r="V36" s="43" t="n"/>
      <c r="W36" s="43" t="n"/>
      <c r="X36" s="43" t="n"/>
      <c r="Y36" s="43" t="n"/>
      <c r="Z36" s="43" t="n"/>
      <c r="AA36" s="43" t="n"/>
      <c r="AB36" s="43" t="n"/>
    </row>
    <row r="37" ht="14.25" customHeight="1" s="83">
      <c r="A37" s="38" t="inlineStr">
        <is>
          <t>ML/AI Engineer Gehalt</t>
        </is>
      </c>
      <c r="B37" s="29" t="n">
        <v>110000</v>
      </c>
      <c r="C37" s="25" t="inlineStr">
        <is>
          <t>Typisch: 75.000-100.000€</t>
        </is>
      </c>
      <c r="D37" s="37" t="inlineStr">
        <is>
          <t>Höchste Marktnachfrage; KI-Experten in Berlin deutlich über SWE-Schnitt. [10]</t>
        </is>
      </c>
      <c r="E37" s="43" t="n"/>
      <c r="F37" s="43" t="n"/>
      <c r="G37" s="43" t="n"/>
      <c r="H37" s="43" t="n"/>
      <c r="I37" s="43" t="n"/>
      <c r="J37" s="43" t="n"/>
      <c r="K37" s="43" t="n"/>
      <c r="L37" s="43" t="n"/>
      <c r="M37" s="43" t="n"/>
      <c r="N37" s="43" t="n"/>
      <c r="O37" s="43" t="n"/>
      <c r="P37" s="43" t="n"/>
      <c r="Q37" s="43" t="n"/>
      <c r="R37" s="43" t="n"/>
      <c r="S37" s="43" t="n"/>
      <c r="T37" s="43" t="n"/>
      <c r="U37" s="43" t="n"/>
      <c r="V37" s="43" t="n"/>
      <c r="W37" s="43" t="n"/>
      <c r="X37" s="43" t="n"/>
      <c r="Y37" s="43" t="n"/>
      <c r="Z37" s="43" t="n"/>
      <c r="AA37" s="43" t="n"/>
      <c r="AB37" s="43" t="n"/>
    </row>
    <row r="38" ht="14.25" customHeight="1" s="83">
      <c r="A38" s="38" t="inlineStr">
        <is>
          <t>Product Manager Gehalt</t>
        </is>
      </c>
      <c r="B38" s="29" t="n">
        <v>80000</v>
      </c>
      <c r="C38" s="25" t="inlineStr">
        <is>
          <t>Typisch: 65.000-85.000€</t>
        </is>
      </c>
      <c r="D38" s="37" t="inlineStr">
        <is>
          <t>Durchschnitt für Technical PMs (Industrial AI) am Standort Berlin</t>
        </is>
      </c>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n"/>
      <c r="AA38" s="43" t="n"/>
      <c r="AB38" s="43" t="n"/>
    </row>
    <row r="39" ht="14.25" customHeight="1" s="83">
      <c r="A39" s="38" t="inlineStr">
        <is>
          <t>Sales Representative Gehalt</t>
        </is>
      </c>
      <c r="B39" s="29" t="n">
        <v>130000</v>
      </c>
      <c r="C39" s="25" t="inlineStr">
        <is>
          <t>Typisch: 50.000-70.000€ + Provision</t>
        </is>
      </c>
      <c r="D39" s="37" t="inlineStr">
        <is>
          <t>Split 50/50 (65k fix + 65k var); zwingend für Enterprise-Vertrieb. [12</t>
        </is>
      </c>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c r="AA39" s="43" t="n"/>
      <c r="AB39" s="43" t="n"/>
    </row>
    <row r="40" ht="14.25" customHeight="1" s="83">
      <c r="A40" s="38" t="inlineStr">
        <is>
          <t>Marketing Manager Gehalt</t>
        </is>
      </c>
      <c r="B40" s="29" t="n">
        <v>65000</v>
      </c>
      <c r="C40" s="25" t="inlineStr">
        <is>
          <t>Typisch: 55.000-75.000€</t>
        </is>
      </c>
      <c r="D40" s="37" t="inlineStr">
        <is>
          <t>Anpassung an Marktniveau für B2B-Industrie-Spezialisten.</t>
        </is>
      </c>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c r="AA40" s="43" t="n"/>
      <c r="AB40" s="43" t="n"/>
    </row>
    <row r="41" ht="14.25" customHeight="1" s="83">
      <c r="A41" s="38" t="inlineStr">
        <is>
          <t>Customer Success Gehalt</t>
        </is>
      </c>
      <c r="B41" s="29" t="n">
        <v>65000</v>
      </c>
      <c r="C41" s="25" t="inlineStr">
        <is>
          <t>Typisch: 45.000-60.000€</t>
        </is>
      </c>
      <c r="D41" s="37" t="inlineStr">
        <is>
          <t>Shift hin zu Solution Architect Profil (techn. Implementierung). [13]</t>
        </is>
      </c>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c r="AA41" s="43" t="n"/>
      <c r="AB41" s="43" t="n"/>
    </row>
    <row r="42" ht="14.25" customHeight="1" s="83">
      <c r="A42" s="38" t="inlineStr">
        <is>
          <t>Office/Admin Gehalt</t>
        </is>
      </c>
      <c r="B42" s="29" t="n">
        <v>45000</v>
      </c>
      <c r="C42" s="25" t="inlineStr">
        <is>
          <t>Typisch: 40.000-50.000€</t>
        </is>
      </c>
      <c r="D42" s="25" t="inlineStr">
        <is>
          <t>(marktüblich für Berlin).</t>
        </is>
      </c>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c r="AA42" s="43" t="n"/>
      <c r="AB42" s="43" t="n"/>
    </row>
    <row r="43" ht="14.25" customHeight="1" s="83">
      <c r="A43" s="38" t="inlineStr">
        <is>
          <t>Finance Manager</t>
        </is>
      </c>
      <c r="B43" s="29" t="n">
        <v>80000</v>
      </c>
      <c r="C43" s="25" t="n"/>
      <c r="D43" s="37"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c r="AA43" s="43" t="n"/>
      <c r="AB43" s="43" t="n"/>
    </row>
    <row r="44" ht="14.25" customHeight="1" s="83">
      <c r="A44" s="38" t="inlineStr">
        <is>
          <t>Jährliche Gehaltserhöhung</t>
        </is>
      </c>
      <c r="B44" s="33" t="n">
        <v>0.03</v>
      </c>
      <c r="C44" s="25" t="inlineStr">
        <is>
          <t>Typisch: 3-5%</t>
        </is>
      </c>
      <c r="D44" s="37" t="inlineStr">
        <is>
          <t>Berücksichtigt Inflations- und Kompetenzentwicklung im Tech-Sektor.</t>
        </is>
      </c>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n"/>
      <c r="AA44" s="43" t="n"/>
      <c r="AB44" s="43" t="n"/>
    </row>
    <row r="45" ht="14.25" customHeight="1" s="83">
      <c r="A45" s="38" t="inlineStr">
        <is>
          <t>Lohnnebenkosten</t>
        </is>
      </c>
      <c r="B45" s="27" t="n">
        <v>0.21</v>
      </c>
      <c r="C45" s="25" t="inlineStr">
        <is>
          <t>AG-Anteil Sozialversicherung ~20-21%</t>
        </is>
      </c>
      <c r="D45" s="37" t="inlineStr">
        <is>
          <t>Übernahme des gesetzlichen AG-Anteils.</t>
        </is>
      </c>
      <c r="E45" s="43" t="n"/>
      <c r="F45" s="43" t="n"/>
      <c r="G45" s="43" t="n"/>
      <c r="H45" s="43" t="n"/>
      <c r="I45" s="43" t="n"/>
      <c r="J45" s="43" t="n"/>
      <c r="K45" s="43" t="n"/>
      <c r="L45" s="43" t="n"/>
      <c r="M45" s="43" t="n"/>
      <c r="N45" s="43" t="n"/>
      <c r="O45" s="43" t="n"/>
      <c r="P45" s="43" t="n"/>
      <c r="Q45" s="43" t="n"/>
      <c r="R45" s="43" t="n"/>
      <c r="S45" s="43" t="n"/>
      <c r="T45" s="43" t="n"/>
      <c r="U45" s="43" t="n"/>
      <c r="V45" s="43" t="n"/>
      <c r="W45" s="43" t="n"/>
      <c r="X45" s="43" t="n"/>
      <c r="Y45" s="43" t="n"/>
      <c r="Z45" s="43" t="n"/>
      <c r="AA45" s="43" t="n"/>
      <c r="AB45" s="43" t="n"/>
    </row>
    <row r="46" ht="14.25" customHeight="1" s="83">
      <c r="A46" s="43" t="n"/>
      <c r="B46" s="43" t="n"/>
      <c r="C46" s="43" t="n"/>
      <c r="D46" s="32"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c r="AA46" s="43" t="n"/>
      <c r="AB46" s="43" t="n"/>
    </row>
    <row r="47" ht="14.25" customHeight="1" s="83">
      <c r="A47" s="21" t="inlineStr">
        <is>
          <t>EINSTELLUNGSPLAN (Eintrittsmonat)</t>
        </is>
      </c>
      <c r="B47" s="41" t="inlineStr">
        <is>
          <t>geplanter Bedarf/ Zeitpunkt des geplanten Eintritts</t>
        </is>
      </c>
      <c r="C47" s="40" t="inlineStr">
        <is>
          <t>WICHTIG: KEINE Zeilen löschen. Wenn nicht benötigt, einfach SPALTE B nicht befüllen</t>
        </is>
      </c>
      <c r="D47" s="41" t="n"/>
      <c r="E47" s="41" t="inlineStr">
        <is>
          <t>KI Strategie</t>
        </is>
      </c>
      <c r="F47" s="42" t="inlineStr">
        <is>
          <t>Tatsächlicher Eintritt ins Unternehmen</t>
        </is>
      </c>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c r="AA47" s="43" t="n"/>
      <c r="AB47" s="43" t="n"/>
    </row>
    <row r="48" ht="14.25" customHeight="1" s="83">
      <c r="A48" s="38" t="inlineStr">
        <is>
          <t>1. Senior Engineer</t>
        </is>
      </c>
      <c r="B48" s="43">
        <f>7 + VLOOKUP("AI-Personal-Hebel", '00_Input_Sandbox'!$B$4:$F$10, '00_Input_Sandbox'!$B$2-1, FALSE)</f>
        <v/>
      </c>
      <c r="C48" s="25" t="inlineStr">
        <is>
          <t>Erste technische Verstärkung</t>
        </is>
      </c>
      <c r="D48" s="37" t="inlineStr">
        <is>
          <t>Kern-Dev für MVP-Finalisierung und Deep IP.</t>
        </is>
      </c>
      <c r="E48" s="37" t="inlineStr">
        <is>
          <t>Fix (Strategische Rolle, kein Effekt durch KI Einsatz)</t>
        </is>
      </c>
      <c r="F48" s="44">
        <f>IF(COUNTIF(E48,"*Fix*")&gt;0, B48, IF(COUNTIF(E48,"*KI-Agent*")&gt;0, 99, B48 + VLOOKUP("AI-Personal-Hebel", '00_Input_Sandbox'!$B$4:$F$20, '00_Input_Sandbox'!$B$2-1, FALSE)))</f>
        <v/>
      </c>
      <c r="G48" s="37" t="n"/>
      <c r="H48" s="43" t="n"/>
      <c r="I48" s="43" t="n"/>
      <c r="J48" s="43" t="n"/>
      <c r="K48" s="43" t="n"/>
      <c r="L48" s="43" t="n"/>
      <c r="M48" s="43" t="n"/>
      <c r="N48" s="43" t="n"/>
      <c r="O48" s="43" t="n"/>
      <c r="P48" s="43" t="n"/>
      <c r="Q48" s="43" t="n"/>
      <c r="R48" s="43" t="n"/>
      <c r="S48" s="43" t="n"/>
      <c r="T48" s="43" t="n"/>
      <c r="U48" s="43" t="n"/>
      <c r="V48" s="43" t="n"/>
      <c r="W48" s="43" t="n"/>
      <c r="X48" s="43" t="n"/>
      <c r="Y48" s="43" t="n"/>
      <c r="Z48" s="43" t="n"/>
      <c r="AA48" s="43" t="n"/>
      <c r="AB48" s="43" t="n"/>
    </row>
    <row r="49" ht="14.25" customHeight="1" s="83">
      <c r="A49" s="38" t="inlineStr">
        <is>
          <t>2. Senior Engineer</t>
        </is>
      </c>
      <c r="B49" s="24" t="n">
        <v>10</v>
      </c>
      <c r="C49" s="25" t="inlineStr">
        <is>
          <t>Zweite technische Verstärkung</t>
        </is>
      </c>
      <c r="D49" s="37" t="inlineStr">
        <is>
          <t>Skalierung der Kern-Architektur.</t>
        </is>
      </c>
      <c r="E49" s="37" t="inlineStr">
        <is>
          <t>KI-Hebel (KI-Position kann durch KI-Einsatz später eingestellt werden)</t>
        </is>
      </c>
      <c r="F49" s="44">
        <f>IF(COUNTIF(E49,"*Fix*")&gt;0, B49, IF(COUNTIF(E49,"*KI-Agent*")&gt;0, 99, B49 + VLOOKUP("AI-Personal-Hebel", '00_Input_Sandbox'!$B$4:$F$20, '00_Input_Sandbox'!$B$2-1, FALSE)))</f>
        <v/>
      </c>
      <c r="G49" s="37" t="n"/>
      <c r="H49" s="43" t="n"/>
      <c r="I49" s="43" t="n"/>
      <c r="J49" s="43" t="n"/>
      <c r="K49" s="43" t="n"/>
      <c r="L49" s="43" t="n"/>
      <c r="M49" s="43" t="n"/>
      <c r="N49" s="43" t="n"/>
      <c r="O49" s="43" t="n"/>
      <c r="P49" s="43" t="n"/>
      <c r="Q49" s="43" t="n"/>
      <c r="R49" s="43" t="n"/>
      <c r="S49" s="43" t="n"/>
      <c r="T49" s="43" t="n"/>
      <c r="U49" s="43" t="n"/>
      <c r="V49" s="43" t="n"/>
      <c r="W49" s="43" t="n"/>
      <c r="X49" s="43" t="n"/>
      <c r="Y49" s="43" t="n"/>
      <c r="Z49" s="43" t="n"/>
      <c r="AA49" s="43" t="n"/>
      <c r="AB49" s="43" t="n"/>
    </row>
    <row r="50" ht="14.25" customHeight="1" s="83">
      <c r="A50" s="38" t="inlineStr">
        <is>
          <t>1. Junior Engineer</t>
        </is>
      </c>
      <c r="B50" s="24" t="n">
        <v>9</v>
      </c>
      <c r="C50" s="25" t="inlineStr">
        <is>
          <t>Junior Developer</t>
        </is>
      </c>
      <c r="D50" s="37" t="inlineStr">
        <is>
          <t>Support bei Feature-Entwicklung. Mit KI Hebel könnte Effizienz auf 1,5 Jun Eng angehoben werden</t>
        </is>
      </c>
      <c r="E50" s="37" t="inlineStr">
        <is>
          <t>KI-Hebel (KI-Position kann durch KI-Einsatz später eingestellt werden)</t>
        </is>
      </c>
      <c r="F50" s="44">
        <f>IF(COUNTIF(E50,"*Fix*")&gt;0, B50, IF(COUNTIF(E50,"*KI-Agent*")&gt;0, 99, B50 + VLOOKUP("AI-Personal-Hebel", '00_Input_Sandbox'!$B$4:$F$20, '00_Input_Sandbox'!$B$2-1, FALSE)))</f>
        <v/>
      </c>
      <c r="G50" s="37" t="n"/>
      <c r="H50" s="43" t="n"/>
      <c r="I50" s="43" t="n"/>
      <c r="J50" s="43" t="n"/>
      <c r="K50" s="43" t="n"/>
      <c r="L50" s="43" t="n"/>
      <c r="M50" s="43" t="n"/>
      <c r="N50" s="43" t="n"/>
      <c r="O50" s="43" t="n"/>
      <c r="P50" s="43" t="n"/>
      <c r="Q50" s="43" t="n"/>
      <c r="R50" s="43" t="n"/>
      <c r="S50" s="43" t="n"/>
      <c r="T50" s="43" t="n"/>
      <c r="U50" s="43" t="n"/>
      <c r="V50" s="43" t="n"/>
      <c r="W50" s="43" t="n"/>
      <c r="X50" s="43" t="n"/>
      <c r="Y50" s="43" t="n"/>
      <c r="Z50" s="43" t="n"/>
      <c r="AA50" s="43" t="n"/>
      <c r="AB50" s="43" t="n"/>
    </row>
    <row r="51" ht="14.25" customHeight="1" s="83">
      <c r="A51" s="38" t="inlineStr">
        <is>
          <t>1. ML/AI Engineer</t>
        </is>
      </c>
      <c r="B51" s="24" t="n">
        <v>8</v>
      </c>
      <c r="C51" s="25" t="inlineStr">
        <is>
          <t>ML/AI Spezialist</t>
        </is>
      </c>
      <c r="D51" s="37" t="inlineStr">
        <is>
          <t>Fokus auf agentische Systeme und Design-Algorithmen.</t>
        </is>
      </c>
      <c r="E51" s="37" t="inlineStr">
        <is>
          <t>Fix (Strategische Rolle, kein Effekt durch KI Einsatz)</t>
        </is>
      </c>
      <c r="F51" s="44">
        <f>IF(COUNTIF(E51,"*Fix*")&gt;0, B51, IF(COUNTIF(E51,"*KI-Agent*")&gt;0, 99, B51 + VLOOKUP("AI-Personal-Hebel", '00_Input_Sandbox'!$B$4:$F$20, '00_Input_Sandbox'!$B$2-1, FALSE)))</f>
        <v/>
      </c>
      <c r="G51" s="37" t="n"/>
      <c r="H51" s="43" t="n"/>
      <c r="I51" s="43" t="n"/>
      <c r="J51" s="43" t="n"/>
      <c r="K51" s="43" t="n"/>
      <c r="L51" s="43" t="n"/>
      <c r="M51" s="43" t="n"/>
      <c r="N51" s="43" t="n"/>
      <c r="O51" s="43" t="n"/>
      <c r="P51" s="43" t="n"/>
      <c r="Q51" s="43" t="n"/>
      <c r="R51" s="43" t="n"/>
      <c r="S51" s="43" t="n"/>
      <c r="T51" s="43" t="n"/>
      <c r="U51" s="43" t="n"/>
      <c r="V51" s="43" t="n"/>
      <c r="W51" s="43" t="n"/>
      <c r="X51" s="43" t="n"/>
      <c r="Y51" s="43" t="n"/>
      <c r="Z51" s="43" t="n"/>
      <c r="AA51" s="43" t="n"/>
      <c r="AB51" s="43" t="n"/>
    </row>
    <row r="52" ht="14.25" customHeight="1" s="83">
      <c r="A52" s="38" t="inlineStr">
        <is>
          <t>2. ML/AI Engineer</t>
        </is>
      </c>
      <c r="B52" s="24" t="n">
        <v>14</v>
      </c>
      <c r="C52" s="25" t="inlineStr">
        <is>
          <t>Zweiter ML Engineer</t>
        </is>
      </c>
      <c r="D52" s="37" t="inlineStr">
        <is>
          <t>Vertiefung der Material-Analytics-Funktionen.</t>
        </is>
      </c>
      <c r="E52" s="37" t="inlineStr">
        <is>
          <t>KI-Hebel (KI-Position kann durch KI-Einsatz später eingestellt werden)</t>
        </is>
      </c>
      <c r="F52" s="44">
        <f>IF(COUNTIF(E52,"*Fix*")&gt;0, B52, IF(COUNTIF(E52,"*KI-Agent*")&gt;0, 99, B52 + VLOOKUP("AI-Personal-Hebel", '00_Input_Sandbox'!$B$4:$F$20, '00_Input_Sandbox'!$B$2-1, FALSE)))</f>
        <v/>
      </c>
      <c r="G52" s="37" t="n"/>
      <c r="H52" s="43" t="n"/>
      <c r="I52" s="43" t="n"/>
      <c r="J52" s="43" t="n"/>
      <c r="K52" s="43" t="n"/>
      <c r="L52" s="43" t="n"/>
      <c r="M52" s="43" t="n"/>
      <c r="N52" s="43" t="n"/>
      <c r="O52" s="43" t="n"/>
      <c r="P52" s="43" t="n"/>
      <c r="Q52" s="43" t="n"/>
      <c r="R52" s="43" t="n"/>
      <c r="S52" s="43" t="n"/>
      <c r="T52" s="43" t="n"/>
      <c r="U52" s="43" t="n"/>
      <c r="V52" s="43" t="n"/>
      <c r="W52" s="43" t="n"/>
      <c r="X52" s="43" t="n"/>
      <c r="Y52" s="43" t="n"/>
      <c r="Z52" s="43" t="n"/>
      <c r="AA52" s="43" t="n"/>
      <c r="AB52" s="43" t="n"/>
    </row>
    <row r="53" ht="14.25" customHeight="1" s="83">
      <c r="A53" s="50" t="inlineStr">
        <is>
          <t>1. Sales Rep</t>
        </is>
      </c>
      <c r="B53" s="51" t="n">
        <v>3</v>
      </c>
      <c r="C53" s="47" t="inlineStr">
        <is>
          <t>Erster Vertriebsmitarbeiter</t>
        </is>
      </c>
      <c r="D53" s="48" t="inlineStr">
        <is>
          <t>KI-AGENT
Substitution durch AI-SDR (Lead Gen/Outbound) @ ca. 500 EUR/Mo. [14</t>
        </is>
      </c>
      <c r="E53" s="37" t="inlineStr">
        <is>
          <t>KI-Agent (Position kann durch KI-Agenten ersetzt werden/ Hiring wenn überhaupt in ferner Zukunft)</t>
        </is>
      </c>
      <c r="F53" s="44">
        <f>IF(COUNTIF(E53,"*Fix*")&gt;0, B53, IF(COUNTIF(E53,"*KI-Agent*")&gt;0, 99, B53 + VLOOKUP("AI-Personal-Hebel", '00_Input_Sandbox'!$B$4:$F$20, '00_Input_Sandbox'!$B$2-1, FALSE)))</f>
        <v/>
      </c>
      <c r="G53" s="32" t="inlineStr">
        <is>
          <t>1. AI-First Economics: Durch den Einsatz von KI-Agenten in der Akquise (SDR) und im Support senken wir die Fixkosten (Burn Rate), müssen aber die variablen Cloud-Kosten (COGS) höher gewichten. Dies führt zu einer realistischeren Bruttomarge von ca. 70 % im Vergleich zu den klassischen 90 % bei Standard-SaaS.</t>
        </is>
      </c>
      <c r="H53" s="43" t="n"/>
      <c r="I53" s="43" t="n"/>
      <c r="J53" s="43" t="n"/>
      <c r="K53" s="43" t="n"/>
      <c r="L53" s="43" t="n"/>
      <c r="M53" s="43" t="n"/>
      <c r="N53" s="43" t="n"/>
      <c r="O53" s="43" t="n"/>
      <c r="P53" s="43" t="n"/>
      <c r="Q53" s="43" t="n"/>
      <c r="R53" s="43" t="n"/>
      <c r="S53" s="43" t="n"/>
      <c r="T53" s="43" t="n"/>
      <c r="U53" s="43" t="n"/>
      <c r="V53" s="43" t="n"/>
      <c r="W53" s="43" t="n"/>
      <c r="X53" s="43" t="n"/>
      <c r="Y53" s="43" t="n"/>
      <c r="Z53" s="43" t="n"/>
      <c r="AA53" s="43" t="n"/>
      <c r="AB53" s="43" t="n"/>
    </row>
    <row r="54" ht="14.25" customHeight="1" s="83">
      <c r="A54" s="38" t="inlineStr">
        <is>
          <t>2. Sales Rep</t>
        </is>
      </c>
      <c r="B54" s="24" t="n">
        <v>18</v>
      </c>
      <c r="C54" s="25" t="inlineStr">
        <is>
          <t>Zweiter Vertrieb</t>
        </is>
      </c>
      <c r="D54" s="37" t="inlineStr">
        <is>
          <t>Human-in-the-Loop für komplexe Enterprise-Abschlüsse.</t>
        </is>
      </c>
      <c r="E54" s="37" t="inlineStr">
        <is>
          <t>KI-Hebel (KI-Position kann durch KI-Einsatz später eingestellt werden)</t>
        </is>
      </c>
      <c r="F54" s="44">
        <f>IF(COUNTIF(E54,"*Fix*")&gt;0, B54, IF(COUNTIF(E54,"*KI-Agent*")&gt;0, 99, B54 + VLOOKUP("AI-Personal-Hebel", '00_Input_Sandbox'!$B$4:$F$20, '00_Input_Sandbox'!$B$2-1, FALSE)))</f>
        <v/>
      </c>
      <c r="G54" s="37" t="n"/>
      <c r="H54" s="43" t="n"/>
      <c r="I54" s="43" t="n"/>
      <c r="J54" s="43" t="n"/>
      <c r="K54" s="43" t="n"/>
      <c r="L54" s="43" t="n"/>
      <c r="M54" s="43" t="n"/>
      <c r="N54" s="43" t="n"/>
      <c r="O54" s="43" t="n"/>
      <c r="P54" s="43" t="n"/>
      <c r="Q54" s="43" t="n"/>
      <c r="R54" s="43" t="n"/>
      <c r="S54" s="43" t="n"/>
      <c r="T54" s="43" t="n"/>
      <c r="U54" s="43" t="n"/>
      <c r="V54" s="43" t="n"/>
      <c r="W54" s="43" t="n"/>
      <c r="X54" s="43" t="n"/>
      <c r="Y54" s="43" t="n"/>
      <c r="Z54" s="43" t="n"/>
      <c r="AA54" s="43" t="n"/>
      <c r="AB54" s="43" t="n"/>
    </row>
    <row r="55" ht="14.25" customHeight="1" s="83">
      <c r="A55" s="50" t="inlineStr">
        <is>
          <t>1. Customer Success</t>
        </is>
      </c>
      <c r="B55" s="51" t="n">
        <v>12</v>
      </c>
      <c r="C55" s="52" t="inlineStr">
        <is>
          <t>Erster CS Manager</t>
        </is>
      </c>
      <c r="D55" s="48" t="inlineStr">
        <is>
          <t>KI-AGENT
Substitution durch Wissens-Agent (RAG) für Support &amp; Doku. [15]</t>
        </is>
      </c>
      <c r="E55" s="37" t="n"/>
      <c r="F55" s="44">
        <f>IF(COUNTIF(E55,"*Fix*")&gt;0, B55, IF(COUNTIF(E55,"*KI-Agent*")&gt;0, 99, B55 + VLOOKUP("AI-Personal-Hebel", '00_Input_Sandbox'!$B$4:$F$20, '00_Input_Sandbox'!$B$2-1, FALSE)))</f>
        <v/>
      </c>
      <c r="G55" s="37" t="n"/>
      <c r="H55" s="43" t="n"/>
      <c r="I55" s="43" t="n"/>
      <c r="J55" s="43" t="n"/>
      <c r="K55" s="43" t="n"/>
      <c r="L55" s="43" t="n"/>
      <c r="M55" s="43" t="n"/>
      <c r="N55" s="43" t="n"/>
      <c r="O55" s="43" t="n"/>
      <c r="P55" s="43" t="n"/>
      <c r="Q55" s="43" t="n"/>
      <c r="R55" s="43" t="n"/>
      <c r="S55" s="43" t="n"/>
      <c r="T55" s="43" t="n"/>
      <c r="U55" s="43" t="n"/>
      <c r="V55" s="43" t="n"/>
      <c r="W55" s="43" t="n"/>
      <c r="X55" s="43" t="n"/>
      <c r="Y55" s="43" t="n"/>
      <c r="Z55" s="43" t="n"/>
      <c r="AA55" s="43" t="n"/>
      <c r="AB55" s="43" t="n"/>
    </row>
    <row r="56" ht="14.25" customHeight="1" s="83">
      <c r="A56" s="38" t="inlineStr">
        <is>
          <t>1. Marketing Manager</t>
        </is>
      </c>
      <c r="B56" s="24" t="n">
        <v>11</v>
      </c>
      <c r="C56" s="25" t="inlineStr">
        <is>
          <t>Marketing</t>
        </is>
      </c>
      <c r="D56" s="37" t="inlineStr">
        <is>
          <t>Fokus auf Content (ROI-Case Studies) und Industry-Partner.</t>
        </is>
      </c>
      <c r="E56" s="37" t="inlineStr">
        <is>
          <t>KI-Hebel (KI-Position kann durch KI-Einsatz später eingestellt werden)</t>
        </is>
      </c>
      <c r="F56" s="44">
        <f>IF(COUNTIF(E56,"*Fix*")&gt;0, B56, IF(COUNTIF(E56,"*KI-Agent*")&gt;0, 99, B56 + VLOOKUP("AI-Personal-Hebel", '00_Input_Sandbox'!$B$4:$F$20, '00_Input_Sandbox'!$B$2-1, FALSE)))</f>
        <v/>
      </c>
      <c r="G56" s="37" t="n"/>
      <c r="H56" s="43" t="n"/>
      <c r="I56" s="43" t="n"/>
      <c r="J56" s="43" t="n"/>
      <c r="K56" s="43" t="n"/>
      <c r="L56" s="43" t="n"/>
      <c r="M56" s="43" t="n"/>
      <c r="N56" s="43" t="n"/>
      <c r="O56" s="43" t="n"/>
      <c r="P56" s="43" t="n"/>
      <c r="Q56" s="43" t="n"/>
      <c r="R56" s="43" t="n"/>
      <c r="S56" s="43" t="n"/>
      <c r="T56" s="43" t="n"/>
      <c r="U56" s="43" t="n"/>
      <c r="V56" s="43" t="n"/>
      <c r="W56" s="43" t="n"/>
      <c r="X56" s="43" t="n"/>
      <c r="Y56" s="43" t="n"/>
      <c r="Z56" s="43" t="n"/>
      <c r="AA56" s="43" t="n"/>
      <c r="AB56" s="43" t="n"/>
    </row>
    <row r="57" ht="14.25" customHeight="1" s="83">
      <c r="A57" s="38" t="inlineStr">
        <is>
          <t>1. Product Manager</t>
        </is>
      </c>
      <c r="B57" s="24" t="n">
        <v>13</v>
      </c>
      <c r="C57" s="25" t="inlineStr">
        <is>
          <t>Product Management</t>
        </is>
      </c>
      <c r="D57" s="37" t="inlineStr">
        <is>
          <t>Überführung der Pilot-Learnings in das Kernprodukt.</t>
        </is>
      </c>
      <c r="E57" s="37" t="inlineStr">
        <is>
          <t>KI-Hebel (KI-Position kann durch KI-Einsatz später eingestellt werden)</t>
        </is>
      </c>
      <c r="F57" s="44">
        <f>IF(COUNTIF(E57,"*Fix*")&gt;0, B57, IF(COUNTIF(E57,"*KI-Agent*")&gt;0, 99, B57 + VLOOKUP("AI-Personal-Hebel", '00_Input_Sandbox'!$B$4:$F$20, '00_Input_Sandbox'!$B$2-1, FALSE)))</f>
        <v/>
      </c>
      <c r="G57" s="37" t="n"/>
      <c r="H57" s="43" t="n"/>
      <c r="I57" s="43" t="n"/>
      <c r="J57" s="43" t="n"/>
      <c r="K57" s="43" t="n"/>
      <c r="L57" s="43" t="n"/>
      <c r="M57" s="43" t="n"/>
      <c r="N57" s="43" t="n"/>
      <c r="O57" s="43" t="n"/>
      <c r="P57" s="43" t="n"/>
      <c r="Q57" s="43" t="n"/>
      <c r="R57" s="43" t="n"/>
      <c r="S57" s="43" t="n"/>
      <c r="T57" s="43" t="n"/>
      <c r="U57" s="43" t="n"/>
      <c r="V57" s="43" t="n"/>
      <c r="W57" s="43" t="n"/>
      <c r="X57" s="43" t="n"/>
      <c r="Y57" s="43" t="n"/>
      <c r="Z57" s="43" t="n"/>
      <c r="AA57" s="43" t="n"/>
      <c r="AB57" s="43" t="n"/>
    </row>
    <row r="58" ht="14.25" customHeight="1" s="83">
      <c r="A58" s="38" t="inlineStr">
        <is>
          <t>1. Office Manager</t>
        </is>
      </c>
      <c r="B58" s="24" t="n">
        <v>14</v>
      </c>
      <c r="C58" s="25" t="inlineStr">
        <is>
          <t>Admin/Office</t>
        </is>
      </c>
      <c r="D58" s="37" t="inlineStr">
        <is>
          <t>Übernahme zur administrativen Entlastung der Gründer.</t>
        </is>
      </c>
      <c r="E58" s="37" t="inlineStr">
        <is>
          <t>Fix (Strategische Rolle, kein Effekt durch KI Einsatz)</t>
        </is>
      </c>
      <c r="F58" s="44">
        <f>IF(COUNTIF(E58,"*Fix*")&gt;0, B58, IF(COUNTIF(E58,"*KI-Agent*")&gt;0, 99, B58 + VLOOKUP("AI-Personal-Hebel", '00_Input_Sandbox'!$B$4:$F$20, '00_Input_Sandbox'!$B$2-1, FALSE)))</f>
        <v/>
      </c>
      <c r="G58" s="37" t="n"/>
      <c r="H58" s="43" t="n"/>
      <c r="I58" s="43" t="n"/>
      <c r="J58" s="43" t="n"/>
      <c r="K58" s="43" t="n"/>
      <c r="L58" s="43" t="n"/>
      <c r="M58" s="43" t="n"/>
      <c r="N58" s="43" t="n"/>
      <c r="O58" s="43" t="n"/>
      <c r="P58" s="43" t="n"/>
      <c r="Q58" s="43" t="n"/>
      <c r="R58" s="43" t="n"/>
      <c r="S58" s="43" t="n"/>
      <c r="T58" s="43" t="n"/>
      <c r="U58" s="43" t="n"/>
      <c r="V58" s="43" t="n"/>
      <c r="W58" s="43" t="n"/>
      <c r="X58" s="43" t="n"/>
      <c r="Y58" s="43" t="n"/>
      <c r="Z58" s="43" t="n"/>
      <c r="AA58" s="43" t="n"/>
      <c r="AB58" s="43" t="n"/>
    </row>
    <row r="59" ht="14.25" customHeight="1" s="83">
      <c r="A59" s="38" t="inlineStr">
        <is>
          <t>3. Senior Engineer</t>
        </is>
      </c>
      <c r="B59" s="24" t="n">
        <v>18</v>
      </c>
      <c r="C59" s="25" t="inlineStr">
        <is>
          <t>Dritter Senior Engineer</t>
        </is>
      </c>
      <c r="D59" s="37" t="inlineStr">
        <is>
          <t>Ausbau der Enterprise-Readiness (SSO; Audit Logs).</t>
        </is>
      </c>
      <c r="E59" s="37" t="inlineStr">
        <is>
          <t>Fix (Strategische Rolle, kein Effekt durch KI Einsatz)</t>
        </is>
      </c>
      <c r="F59" s="44">
        <f>IF(COUNTIF(E59,"*Fix*")&gt;0, B59, IF(COUNTIF(E59,"*KI-Agent*")&gt;0, 99, B59 + VLOOKUP("AI-Personal-Hebel", '00_Input_Sandbox'!$B$4:$F$20, '00_Input_Sandbox'!$B$2-1, FALSE)))</f>
        <v/>
      </c>
      <c r="G59" s="37" t="n"/>
      <c r="H59" s="43" t="n"/>
      <c r="I59" s="43" t="n"/>
      <c r="J59" s="43" t="n"/>
      <c r="K59" s="43" t="n"/>
      <c r="L59" s="43" t="n"/>
      <c r="M59" s="43" t="n"/>
      <c r="N59" s="43" t="n"/>
      <c r="O59" s="43" t="n"/>
      <c r="P59" s="43" t="n"/>
      <c r="Q59" s="43" t="n"/>
      <c r="R59" s="43" t="n"/>
      <c r="S59" s="43" t="n"/>
      <c r="T59" s="43" t="n"/>
      <c r="U59" s="43" t="n"/>
      <c r="V59" s="43" t="n"/>
      <c r="W59" s="43" t="n"/>
      <c r="X59" s="43" t="n"/>
      <c r="Y59" s="43" t="n"/>
      <c r="Z59" s="43" t="n"/>
      <c r="AA59" s="43" t="n"/>
      <c r="AB59" s="43" t="n"/>
    </row>
    <row r="60" ht="14.25" customHeight="1" s="83">
      <c r="A60" s="38" t="inlineStr">
        <is>
          <t>4. Senior Engineer</t>
        </is>
      </c>
      <c r="B60" s="24" t="n">
        <v>24</v>
      </c>
      <c r="C60" s="25" t="inlineStr">
        <is>
          <t>Vierter Senior Engineer</t>
        </is>
      </c>
      <c r="D60" s="37" t="inlineStr">
        <is>
          <t>Zweite Dev-Squad zur Skalierung.</t>
        </is>
      </c>
      <c r="E60" s="37" t="inlineStr">
        <is>
          <t>KI-Agent (Position kann durch KI-Agenten ersetzt werden/ Hiring wenn überhaupt in ferner Zukunft)</t>
        </is>
      </c>
      <c r="F60" s="44">
        <f>IF(COUNTIF(E60,"*Fix*")&gt;0, B60, IF(COUNTIF(E60,"*KI-Agent*")&gt;0, 99, B60 + VLOOKUP("AI-Personal-Hebel", '00_Input_Sandbox'!$B$4:$F$20, '00_Input_Sandbox'!$B$2-1, FALSE)))</f>
        <v/>
      </c>
      <c r="G60" s="37" t="n"/>
      <c r="H60" s="43" t="n"/>
      <c r="I60" s="43" t="n"/>
      <c r="J60" s="43" t="n"/>
      <c r="K60" s="43" t="n"/>
      <c r="L60" s="43" t="n"/>
      <c r="M60" s="43" t="n"/>
      <c r="N60" s="43" t="n"/>
      <c r="O60" s="43" t="n"/>
      <c r="P60" s="43" t="n"/>
      <c r="Q60" s="43" t="n"/>
      <c r="R60" s="43" t="n"/>
      <c r="S60" s="43" t="n"/>
      <c r="T60" s="43" t="n"/>
      <c r="U60" s="43" t="n"/>
      <c r="V60" s="43" t="n"/>
      <c r="W60" s="43" t="n"/>
      <c r="X60" s="43" t="n"/>
      <c r="Y60" s="43" t="n"/>
      <c r="Z60" s="43" t="n"/>
      <c r="AA60" s="43" t="n"/>
      <c r="AB60" s="43" t="n"/>
    </row>
    <row r="61" ht="14.25" customHeight="1" s="83">
      <c r="A61" s="38" t="inlineStr">
        <is>
          <t>2. Junior Engineer</t>
        </is>
      </c>
      <c r="B61" s="24" t="n">
        <v>20</v>
      </c>
      <c r="C61" s="25" t="inlineStr">
        <is>
          <t>Zweiter Junior</t>
        </is>
      </c>
      <c r="D61" s="37" t="inlineStr">
        <is>
          <t>Team-Erweiterung.</t>
        </is>
      </c>
      <c r="E61" s="37" t="inlineStr">
        <is>
          <t>KI-Hebel (KI-Position kann durch KI-Einsatz später eingestellt werden)</t>
        </is>
      </c>
      <c r="F61" s="44">
        <f>IF(COUNTIF(E61,"*Fix*")&gt;0, B61, IF(COUNTIF(E61,"*KI-Agent*")&gt;0, 99, B61 + VLOOKUP("AI-Personal-Hebel", '00_Input_Sandbox'!$B$4:$F$20, '00_Input_Sandbox'!$B$2-1, FALSE)))</f>
        <v/>
      </c>
      <c r="G61" s="37" t="n"/>
      <c r="H61" s="43" t="n"/>
      <c r="I61" s="43" t="n"/>
      <c r="J61" s="43" t="n"/>
      <c r="K61" s="43" t="n"/>
      <c r="L61" s="43" t="n"/>
      <c r="M61" s="43" t="n"/>
      <c r="N61" s="43" t="n"/>
      <c r="O61" s="43" t="n"/>
      <c r="P61" s="43" t="n"/>
      <c r="Q61" s="43" t="n"/>
      <c r="R61" s="43" t="n"/>
      <c r="S61" s="43" t="n"/>
      <c r="T61" s="43" t="n"/>
      <c r="U61" s="43" t="n"/>
      <c r="V61" s="43" t="n"/>
      <c r="W61" s="43" t="n"/>
      <c r="X61" s="43" t="n"/>
      <c r="Y61" s="43" t="n"/>
      <c r="Z61" s="43" t="n"/>
      <c r="AA61" s="43" t="n"/>
      <c r="AB61" s="43" t="n"/>
    </row>
    <row r="62" ht="14.25" customHeight="1" s="83">
      <c r="A62" s="38" t="inlineStr">
        <is>
          <t>3. ML/AI Engineer</t>
        </is>
      </c>
      <c r="B62" s="24" t="n">
        <v>22</v>
      </c>
      <c r="C62" s="25" t="inlineStr">
        <is>
          <t>Dritter ML Engineer</t>
        </is>
      </c>
      <c r="D62" s="37" t="inlineStr">
        <is>
          <t>Optimierung der Inferenzkosten (COGS-Effizienz).</t>
        </is>
      </c>
      <c r="E62" s="37" t="inlineStr">
        <is>
          <t>KI-Hebel (KI-Position kann durch KI-Einsatz später eingestellt werden)</t>
        </is>
      </c>
      <c r="F62" s="44">
        <f>IF(COUNTIF(E62,"*Fix*")&gt;0, B62, IF(COUNTIF(E62,"*KI-Agent*")&gt;0, 99, B62 + VLOOKUP("AI-Personal-Hebel", '00_Input_Sandbox'!$B$4:$F$20, '00_Input_Sandbox'!$B$2-1, FALSE)))</f>
        <v/>
      </c>
      <c r="G62" s="37" t="n"/>
      <c r="H62" s="43" t="n"/>
      <c r="I62" s="43" t="n"/>
      <c r="J62" s="43" t="n"/>
      <c r="K62" s="43" t="n"/>
      <c r="L62" s="43" t="n"/>
      <c r="M62" s="43" t="n"/>
      <c r="N62" s="43" t="n"/>
      <c r="O62" s="43" t="n"/>
      <c r="P62" s="43" t="n"/>
      <c r="Q62" s="43" t="n"/>
      <c r="R62" s="43" t="n"/>
      <c r="S62" s="43" t="n"/>
      <c r="T62" s="43" t="n"/>
      <c r="U62" s="43" t="n"/>
      <c r="V62" s="43" t="n"/>
      <c r="W62" s="43" t="n"/>
      <c r="X62" s="43" t="n"/>
      <c r="Y62" s="43" t="n"/>
      <c r="Z62" s="43" t="n"/>
      <c r="AA62" s="43" t="n"/>
      <c r="AB62" s="43" t="n"/>
    </row>
    <row r="63" ht="14.25" customHeight="1" s="83">
      <c r="A63" s="38" t="inlineStr">
        <is>
          <t>3. Sales Rep</t>
        </is>
      </c>
      <c r="B63" s="24" t="n">
        <v>26</v>
      </c>
      <c r="C63" s="25" t="inlineStr">
        <is>
          <t>Dritter Vertrieb</t>
        </is>
      </c>
      <c r="D63" s="37" t="inlineStr">
        <is>
          <t>Marktausweitung (Batterie- &amp; Elektronik-Sektor).</t>
        </is>
      </c>
      <c r="E63" s="37" t="inlineStr">
        <is>
          <t>KI-Agent (Position kann durch KI-Agenten ersetzt werden/ Hiring wenn überhaupt in ferner Zukunft)</t>
        </is>
      </c>
      <c r="F63" s="44">
        <f>IF(COUNTIF(E63,"*Fix*")&gt;0, B63, IF(COUNTIF(E63,"*KI-Agent*")&gt;0, 99, B63 + VLOOKUP("AI-Personal-Hebel", '00_Input_Sandbox'!$B$4:$F$20, '00_Input_Sandbox'!$B$2-1, FALSE)))</f>
        <v/>
      </c>
      <c r="G63" s="37" t="n"/>
      <c r="H63" s="43" t="n"/>
      <c r="I63" s="43" t="n"/>
      <c r="J63" s="43" t="n"/>
      <c r="K63" s="43" t="n"/>
      <c r="L63" s="43" t="n"/>
      <c r="M63" s="43" t="n"/>
      <c r="N63" s="43" t="n"/>
      <c r="O63" s="43" t="n"/>
      <c r="P63" s="43" t="n"/>
      <c r="Q63" s="43" t="n"/>
      <c r="R63" s="43" t="n"/>
      <c r="S63" s="43" t="n"/>
      <c r="T63" s="43" t="n"/>
      <c r="U63" s="43" t="n"/>
      <c r="V63" s="43" t="n"/>
      <c r="W63" s="43" t="n"/>
      <c r="X63" s="43" t="n"/>
      <c r="Y63" s="43" t="n"/>
      <c r="Z63" s="43" t="n"/>
      <c r="AA63" s="43" t="n"/>
      <c r="AB63" s="43" t="n"/>
    </row>
    <row r="64" ht="14.25" customHeight="1" s="83">
      <c r="A64" s="38" t="inlineStr">
        <is>
          <t>2. Customer Success</t>
        </is>
      </c>
      <c r="B64" s="24" t="n">
        <v>24</v>
      </c>
      <c r="C64" s="25" t="inlineStr">
        <is>
          <t>Zweiter CS Manager</t>
        </is>
      </c>
      <c r="D64" s="37" t="inlineStr">
        <is>
          <t>First Hire für komplexes Solution Architecting vor Ort. [13]</t>
        </is>
      </c>
      <c r="E64" s="37" t="inlineStr">
        <is>
          <t>Fix (Strategische Rolle, kein Effekt durch KI Einsatz)</t>
        </is>
      </c>
      <c r="F64" s="44">
        <f>IF(COUNTIF(E64,"*Fix*")&gt;0, B64, IF(COUNTIF(E64,"*KI-Agent*")&gt;0, 99, B64 + VLOOKUP("AI-Personal-Hebel", '00_Input_Sandbox'!$B$4:$F$20, '00_Input_Sandbox'!$B$2-1, FALSE)))</f>
        <v/>
      </c>
      <c r="G64" s="37" t="n"/>
      <c r="H64" s="43" t="n"/>
      <c r="I64" s="43" t="n"/>
      <c r="J64" s="43" t="n"/>
      <c r="K64" s="43" t="n"/>
      <c r="L64" s="43" t="n"/>
      <c r="M64" s="43" t="n"/>
      <c r="N64" s="43" t="n"/>
      <c r="O64" s="43" t="n"/>
      <c r="P64" s="43" t="n"/>
      <c r="Q64" s="43" t="n"/>
      <c r="R64" s="43" t="n"/>
      <c r="S64" s="43" t="n"/>
      <c r="T64" s="43" t="n"/>
      <c r="U64" s="43" t="n"/>
      <c r="V64" s="43" t="n"/>
      <c r="W64" s="43" t="n"/>
      <c r="X64" s="43" t="n"/>
      <c r="Y64" s="43" t="n"/>
      <c r="Z64" s="43" t="n"/>
      <c r="AA64" s="43" t="n"/>
      <c r="AB64" s="43" t="n"/>
    </row>
    <row r="65" ht="14.25" customHeight="1" s="83">
      <c r="A65" s="38" t="inlineStr">
        <is>
          <t>2. Marketing Manager</t>
        </is>
      </c>
      <c r="B65" s="24" t="n">
        <v>28</v>
      </c>
      <c r="C65" s="25" t="inlineStr">
        <is>
          <t>Zweiter Marketing</t>
        </is>
      </c>
      <c r="D65" s="37" t="inlineStr">
        <is>
          <t>Expansion des Partner-Netzwerks (Engineering Services).</t>
        </is>
      </c>
      <c r="E65" s="37" t="inlineStr">
        <is>
          <t>KI-Hebel (KI-Position kann durch KI-Einsatz später eingestellt werden)</t>
        </is>
      </c>
      <c r="F65" s="44">
        <f>IF(COUNTIF(E65,"*Fix*")&gt;0, B65, IF(COUNTIF(E65,"*KI-Agent*")&gt;0, 99, B65 + VLOOKUP("AI-Personal-Hebel", '00_Input_Sandbox'!$B$4:$F$20, '00_Input_Sandbox'!$B$2-1, FALSE)))</f>
        <v/>
      </c>
      <c r="G65" s="37" t="n"/>
      <c r="H65" s="43" t="n"/>
      <c r="I65" s="43" t="n"/>
      <c r="J65" s="43" t="n"/>
      <c r="K65" s="43" t="n"/>
      <c r="L65" s="43" t="n"/>
      <c r="M65" s="43" t="n"/>
      <c r="N65" s="43" t="n"/>
      <c r="O65" s="43" t="n"/>
      <c r="P65" s="43" t="n"/>
      <c r="Q65" s="43" t="n"/>
      <c r="R65" s="43" t="n"/>
      <c r="S65" s="43" t="n"/>
      <c r="T65" s="43" t="n"/>
      <c r="U65" s="43" t="n"/>
      <c r="V65" s="43" t="n"/>
      <c r="W65" s="43" t="n"/>
      <c r="X65" s="43" t="n"/>
      <c r="Y65" s="43" t="n"/>
      <c r="Z65" s="43" t="n"/>
      <c r="AA65" s="43" t="n"/>
      <c r="AB65" s="43" t="n"/>
    </row>
    <row r="66" ht="14.25" customHeight="1" s="83">
      <c r="A66" s="38" t="inlineStr">
        <is>
          <t>5. Senior Engineer</t>
        </is>
      </c>
      <c r="B66" s="24" t="n">
        <v>30</v>
      </c>
      <c r="C66" s="25" t="inlineStr">
        <is>
          <t>Fünfter Senior Engineer</t>
        </is>
      </c>
      <c r="D66" s="37" t="inlineStr">
        <is>
          <t>Übernahme.</t>
        </is>
      </c>
      <c r="E66" s="37" t="inlineStr">
        <is>
          <t>KI-Agent (Position kann durch KI-Agenten ersetzt werden/ Hiring wenn überhaupt in ferner Zukunft)</t>
        </is>
      </c>
      <c r="F66" s="44">
        <f>IF(COUNTIF(E66,"*Fix*")&gt;0, B66, IF(COUNTIF(E66,"*KI-Agent*")&gt;0, 99, B66 + VLOOKUP("AI-Personal-Hebel", '00_Input_Sandbox'!$B$4:$F$20, '00_Input_Sandbox'!$B$2-1, FALSE)))</f>
        <v/>
      </c>
      <c r="G66" s="37" t="n"/>
      <c r="H66" s="43" t="n"/>
      <c r="I66" s="43" t="n"/>
      <c r="J66" s="43" t="n"/>
      <c r="K66" s="43" t="n"/>
      <c r="L66" s="43" t="n"/>
      <c r="M66" s="43" t="n"/>
      <c r="N66" s="43" t="n"/>
      <c r="O66" s="43" t="n"/>
      <c r="P66" s="43" t="n"/>
      <c r="Q66" s="43" t="n"/>
      <c r="R66" s="43" t="n"/>
      <c r="S66" s="43" t="n"/>
      <c r="T66" s="43" t="n"/>
      <c r="U66" s="43" t="n"/>
      <c r="V66" s="43" t="n"/>
      <c r="W66" s="43" t="n"/>
      <c r="X66" s="43" t="n"/>
      <c r="Y66" s="43" t="n"/>
      <c r="Z66" s="43" t="n"/>
      <c r="AA66" s="43" t="n"/>
      <c r="AB66" s="43" t="n"/>
    </row>
    <row r="67" ht="14.25" customHeight="1" s="83">
      <c r="A67" s="38" t="inlineStr">
        <is>
          <t>3. Junior Engineer</t>
        </is>
      </c>
      <c r="B67" s="24" t="n">
        <v>32</v>
      </c>
      <c r="C67" s="25" t="inlineStr">
        <is>
          <t>Dritter Junior</t>
        </is>
      </c>
      <c r="D67" s="37" t="inlineStr">
        <is>
          <t>Übernahme.</t>
        </is>
      </c>
      <c r="E67" s="37" t="inlineStr">
        <is>
          <t>KI-Agent (Position kann durch KI-Agenten ersetzt werden/ Hiring wenn überhaupt in ferner Zukunft)</t>
        </is>
      </c>
      <c r="F67" s="44">
        <f>IF(COUNTIF(E67,"*Fix*")&gt;0, B67, IF(COUNTIF(E67,"*KI-Agent*")&gt;0, 99, B67 + VLOOKUP("AI-Personal-Hebel", '00_Input_Sandbox'!$B$4:$F$20, '00_Input_Sandbox'!$B$2-1, FALSE)))</f>
        <v/>
      </c>
      <c r="G67" s="37" t="n"/>
      <c r="H67" s="43" t="n"/>
      <c r="I67" s="43" t="n"/>
      <c r="J67" s="43" t="n"/>
      <c r="K67" s="43" t="n"/>
      <c r="L67" s="43" t="n"/>
      <c r="M67" s="43" t="n"/>
      <c r="N67" s="43" t="n"/>
      <c r="O67" s="43" t="n"/>
      <c r="P67" s="43" t="n"/>
      <c r="Q67" s="43" t="n"/>
      <c r="R67" s="43" t="n"/>
      <c r="S67" s="43" t="n"/>
      <c r="T67" s="43" t="n"/>
      <c r="U67" s="43" t="n"/>
      <c r="V67" s="43" t="n"/>
      <c r="W67" s="43" t="n"/>
      <c r="X67" s="43" t="n"/>
      <c r="Y67" s="43" t="n"/>
      <c r="Z67" s="43" t="n"/>
      <c r="AA67" s="43" t="n"/>
      <c r="AB67" s="43" t="n"/>
    </row>
    <row r="68" ht="14.25" customHeight="1" s="83">
      <c r="A68" s="38" t="inlineStr">
        <is>
          <t>4. ML/AI Engineer</t>
        </is>
      </c>
      <c r="B68" s="24" t="n">
        <v>34</v>
      </c>
      <c r="C68" s="25" t="inlineStr">
        <is>
          <t>Vierter ML Engineer</t>
        </is>
      </c>
      <c r="D68" s="37" t="inlineStr">
        <is>
          <t>Fokus auf prädiktive Sustainability-Modelle (DPP).</t>
        </is>
      </c>
      <c r="E68" s="37" t="inlineStr">
        <is>
          <t>KI-Agent (Position kann durch KI-Agenten ersetzt werden/ Hiring wenn überhaupt in ferner Zukunft)</t>
        </is>
      </c>
      <c r="F68" s="44">
        <f>IF(COUNTIF(E68,"*Fix*")&gt;0, B68, IF(COUNTIF(E68,"*KI-Agent*")&gt;0, 99, B68 + VLOOKUP("AI-Personal-Hebel", '00_Input_Sandbox'!$B$4:$F$20, '00_Input_Sandbox'!$B$2-1, FALSE)))</f>
        <v/>
      </c>
      <c r="G68" s="37" t="n"/>
      <c r="H68" s="43" t="n"/>
      <c r="I68" s="43" t="n"/>
      <c r="J68" s="43" t="n"/>
      <c r="K68" s="43" t="n"/>
      <c r="L68" s="43" t="n"/>
      <c r="M68" s="43" t="n"/>
      <c r="N68" s="43" t="n"/>
      <c r="O68" s="43" t="n"/>
      <c r="P68" s="43" t="n"/>
      <c r="Q68" s="43" t="n"/>
      <c r="R68" s="43" t="n"/>
      <c r="S68" s="43" t="n"/>
      <c r="T68" s="43" t="n"/>
      <c r="U68" s="43" t="n"/>
      <c r="V68" s="43" t="n"/>
      <c r="W68" s="43" t="n"/>
      <c r="X68" s="43" t="n"/>
      <c r="Y68" s="43" t="n"/>
      <c r="Z68" s="43" t="n"/>
      <c r="AA68" s="43" t="n"/>
      <c r="AB68" s="43" t="n"/>
    </row>
    <row r="69" ht="14.25" customHeight="1" s="83">
      <c r="A69" s="38" t="inlineStr">
        <is>
          <t>2. Product Manager</t>
        </is>
      </c>
      <c r="B69" s="24" t="n">
        <v>30</v>
      </c>
      <c r="C69" s="25" t="inlineStr">
        <is>
          <t>Zweiter PM</t>
        </is>
      </c>
      <c r="D69" s="37" t="inlineStr">
        <is>
          <t>Erweiterung für modulare Produktlinien.</t>
        </is>
      </c>
      <c r="E69" s="37" t="inlineStr">
        <is>
          <t>KI-Hebel (KI-Position kann durch KI-Einsatz später eingestellt werden)</t>
        </is>
      </c>
      <c r="F69" s="44">
        <f>IF(COUNTIF(E69,"*Fix*")&gt;0, B69, IF(COUNTIF(E69,"*KI-Agent*")&gt;0, 99, B69 + VLOOKUP("AI-Personal-Hebel", '00_Input_Sandbox'!$B$4:$F$20, '00_Input_Sandbox'!$B$2-1, FALSE)))</f>
        <v/>
      </c>
      <c r="G69" s="37" t="n"/>
      <c r="H69" s="43" t="n"/>
      <c r="I69" s="43" t="n"/>
      <c r="J69" s="43" t="n"/>
      <c r="K69" s="43" t="n"/>
      <c r="L69" s="43" t="n"/>
      <c r="M69" s="43" t="n"/>
      <c r="N69" s="43" t="n"/>
      <c r="O69" s="43" t="n"/>
      <c r="P69" s="43" t="n"/>
      <c r="Q69" s="43" t="n"/>
      <c r="R69" s="43" t="n"/>
      <c r="S69" s="43" t="n"/>
      <c r="T69" s="43" t="n"/>
      <c r="U69" s="43" t="n"/>
      <c r="V69" s="43" t="n"/>
      <c r="W69" s="43" t="n"/>
      <c r="X69" s="43" t="n"/>
      <c r="Y69" s="43" t="n"/>
      <c r="Z69" s="43" t="n"/>
      <c r="AA69" s="43" t="n"/>
      <c r="AB69" s="43" t="n"/>
    </row>
    <row r="70" ht="14.25" customHeight="1" s="83">
      <c r="A70" s="38" t="inlineStr">
        <is>
          <t>4. Sales Rep</t>
        </is>
      </c>
      <c r="B70" s="24" t="n">
        <v>36</v>
      </c>
      <c r="C70" s="25" t="inlineStr">
        <is>
          <t>Vierter Vertrieb</t>
        </is>
      </c>
      <c r="D70" s="37" t="inlineStr">
        <is>
          <t>Vertriebsskalierung.</t>
        </is>
      </c>
      <c r="E70" s="37" t="inlineStr">
        <is>
          <t>KI-Hebel (KI-Position kann durch KI-Einsatz später eingestellt werden)</t>
        </is>
      </c>
      <c r="F70" s="44">
        <f>IF(COUNTIF(E70,"*Fix*")&gt;0, B70, IF(COUNTIF(E70,"*KI-Agent*")&gt;0, 99, B70 + VLOOKUP("AI-Personal-Hebel", '00_Input_Sandbox'!$B$4:$F$20, '00_Input_Sandbox'!$B$2-1, FALSE)))</f>
        <v/>
      </c>
      <c r="G70" s="37" t="n"/>
      <c r="H70" s="43" t="n"/>
      <c r="I70" s="43" t="n"/>
      <c r="J70" s="43" t="n"/>
      <c r="K70" s="43" t="n"/>
      <c r="L70" s="43" t="n"/>
      <c r="M70" s="43" t="n"/>
      <c r="N70" s="43" t="n"/>
      <c r="O70" s="43" t="n"/>
      <c r="P70" s="43" t="n"/>
      <c r="Q70" s="43" t="n"/>
      <c r="R70" s="43" t="n"/>
      <c r="S70" s="43" t="n"/>
      <c r="T70" s="43" t="n"/>
      <c r="U70" s="43" t="n"/>
      <c r="V70" s="43" t="n"/>
      <c r="W70" s="43" t="n"/>
      <c r="X70" s="43" t="n"/>
      <c r="Y70" s="43" t="n"/>
      <c r="Z70" s="43" t="n"/>
      <c r="AA70" s="43" t="n"/>
      <c r="AB70" s="43" t="n"/>
    </row>
    <row r="71" ht="14.25" customHeight="1" s="83">
      <c r="A71" s="38" t="inlineStr">
        <is>
          <t>3. Customer Success</t>
        </is>
      </c>
      <c r="B71" s="24" t="n">
        <v>36</v>
      </c>
      <c r="C71" s="25" t="inlineStr">
        <is>
          <t>Dritter CS</t>
        </is>
      </c>
      <c r="D71" s="25" t="n"/>
      <c r="E71" s="37" t="inlineStr">
        <is>
          <t>KI-Agent (Position kann durch KI-Agenten ersetzt werden/ Hiring wenn überhaupt in ferner Zukunft)</t>
        </is>
      </c>
      <c r="F71" s="44">
        <f>IF(COUNTIF(E71,"*Fix*")&gt;0, B71, IF(COUNTIF(E71,"*KI-Agent*")&gt;0, 99, B71 + VLOOKUP("AI-Personal-Hebel", '00_Input_Sandbox'!$B$4:$F$20, '00_Input_Sandbox'!$B$2-1, FALSE)))</f>
        <v/>
      </c>
      <c r="G71" s="37" t="n"/>
      <c r="H71" s="43" t="n"/>
      <c r="I71" s="43" t="n"/>
      <c r="J71" s="43" t="n"/>
      <c r="K71" s="43" t="n"/>
      <c r="L71" s="43" t="n"/>
      <c r="M71" s="43" t="n"/>
      <c r="N71" s="43" t="n"/>
      <c r="O71" s="43" t="n"/>
      <c r="P71" s="43" t="n"/>
      <c r="Q71" s="43" t="n"/>
      <c r="R71" s="43" t="n"/>
      <c r="S71" s="43" t="n"/>
      <c r="T71" s="43" t="n"/>
      <c r="U71" s="43" t="n"/>
      <c r="V71" s="43" t="n"/>
      <c r="W71" s="43" t="n"/>
      <c r="X71" s="43" t="n"/>
      <c r="Y71" s="43" t="n"/>
      <c r="Z71" s="43" t="n"/>
      <c r="AA71" s="43" t="n"/>
      <c r="AB71" s="43" t="n"/>
    </row>
    <row r="72" ht="14.25" customHeight="1" s="83">
      <c r="A72" s="38" t="inlineStr">
        <is>
          <t>Finance Manager</t>
        </is>
      </c>
      <c r="B72" s="24" t="n">
        <v>18</v>
      </c>
      <c r="C72" s="25" t="inlineStr">
        <is>
          <t>Finance/Controlling</t>
        </is>
      </c>
      <c r="D72" s="37" t="inlineStr">
        <is>
          <t>Notwendig für professionelles Reporting ab Seed-Phase.</t>
        </is>
      </c>
      <c r="E72" s="37" t="inlineStr">
        <is>
          <t>Fix (Strategische Rolle, kein Effekt durch KI Einsatz)</t>
        </is>
      </c>
      <c r="F72" s="44">
        <f>IF(COUNTIF(E72,"*Fix*")&gt;0, B72, IF(COUNTIF(E72,"*KI-Agent*")&gt;0, 99, B72 + VLOOKUP("AI-Personal-Hebel", '00_Input_Sandbox'!$B$4:$F$20, '00_Input_Sandbox'!$B$2-1, FALSE)))</f>
        <v/>
      </c>
      <c r="G72" s="37" t="n"/>
      <c r="H72" s="43" t="n"/>
      <c r="I72" s="43" t="n"/>
      <c r="J72" s="43" t="n"/>
      <c r="K72" s="43" t="n"/>
      <c r="L72" s="43" t="n"/>
      <c r="M72" s="43" t="n"/>
      <c r="N72" s="43" t="n"/>
      <c r="O72" s="43" t="n"/>
      <c r="P72" s="43" t="n"/>
      <c r="Q72" s="43" t="n"/>
      <c r="R72" s="43" t="n"/>
      <c r="S72" s="43" t="n"/>
      <c r="T72" s="43" t="n"/>
      <c r="U72" s="43" t="n"/>
      <c r="V72" s="43" t="n"/>
      <c r="W72" s="43" t="n"/>
      <c r="X72" s="43" t="n"/>
      <c r="Y72" s="43" t="n"/>
      <c r="Z72" s="43" t="n"/>
      <c r="AA72" s="43" t="n"/>
      <c r="AB72" s="43" t="n"/>
    </row>
    <row r="73" ht="14.25" customHeight="1" s="83">
      <c r="A73" s="50" t="inlineStr">
        <is>
          <t>6. Senior Engineer</t>
        </is>
      </c>
      <c r="B73" s="51" t="n">
        <v>30</v>
      </c>
      <c r="C73" s="52" t="inlineStr">
        <is>
          <t>Sechster Senior</t>
        </is>
      </c>
      <c r="D73" s="52" t="n"/>
      <c r="E73" s="37" t="inlineStr">
        <is>
          <t>KI-Agent (Position kann durch KI-Agenten ersetzt werden/ Hiring wenn überhaupt in ferner Zukunft)</t>
        </is>
      </c>
      <c r="F73" s="44">
        <f>IF(COUNTIF(E73,"*Fix*")&gt;0, B73, IF(COUNTIF(E73,"*KI-Agent*")&gt;0, 99, B73 + VLOOKUP("AI-Personal-Hebel", '00_Input_Sandbox'!$B$4:$F$20, '00_Input_Sandbox'!$B$2-1, FALSE)))</f>
        <v/>
      </c>
      <c r="G73" s="37" t="n"/>
      <c r="H73" s="43" t="n"/>
      <c r="I73" s="43" t="n"/>
      <c r="J73" s="43" t="n"/>
      <c r="K73" s="43" t="n"/>
      <c r="L73" s="43" t="n"/>
      <c r="M73" s="43" t="n"/>
      <c r="N73" s="43" t="n"/>
      <c r="O73" s="43" t="n"/>
      <c r="P73" s="43" t="n"/>
      <c r="Q73" s="43" t="n"/>
      <c r="R73" s="43" t="n"/>
      <c r="S73" s="43" t="n"/>
      <c r="T73" s="43" t="n"/>
      <c r="U73" s="43" t="n"/>
      <c r="V73" s="43" t="n"/>
      <c r="W73" s="43" t="n"/>
      <c r="X73" s="43" t="n"/>
      <c r="Y73" s="43" t="n"/>
      <c r="Z73" s="43" t="n"/>
      <c r="AA73" s="43" t="n"/>
      <c r="AB73" s="43" t="n"/>
    </row>
    <row r="74" ht="14.25" customHeight="1" s="83">
      <c r="A74" s="50" t="inlineStr">
        <is>
          <t>7. Senior Engineer</t>
        </is>
      </c>
      <c r="B74" s="51" t="n">
        <v>36</v>
      </c>
      <c r="C74" s="52" t="inlineStr">
        <is>
          <t>Siebter Senior</t>
        </is>
      </c>
      <c r="D74" s="52" t="n"/>
      <c r="E74" s="37" t="inlineStr">
        <is>
          <t>KI-Agent (Position kann durch KI-Agenten ersetzt werden/ Hiring wenn überhaupt in ferner Zukunft)</t>
        </is>
      </c>
      <c r="F74" s="44">
        <f>IF(COUNTIF(E74,"*Fix*")&gt;0, B74, IF(COUNTIF(E74,"*KI-Agent*")&gt;0, 99, B74 + VLOOKUP("AI-Personal-Hebel", '00_Input_Sandbox'!$B$4:$F$20, '00_Input_Sandbox'!$B$2-1, FALSE)))</f>
        <v/>
      </c>
      <c r="G74" s="37" t="n"/>
      <c r="H74" s="43" t="n"/>
      <c r="I74" s="43" t="n"/>
      <c r="J74" s="43" t="n"/>
      <c r="K74" s="43" t="n"/>
      <c r="L74" s="43" t="n"/>
      <c r="M74" s="43" t="n"/>
      <c r="N74" s="43" t="n"/>
      <c r="O74" s="43" t="n"/>
      <c r="P74" s="43" t="n"/>
      <c r="Q74" s="43" t="n"/>
      <c r="R74" s="43" t="n"/>
      <c r="S74" s="43" t="n"/>
      <c r="T74" s="43" t="n"/>
      <c r="U74" s="43" t="n"/>
      <c r="V74" s="43" t="n"/>
      <c r="W74" s="43" t="n"/>
      <c r="X74" s="43" t="n"/>
      <c r="Y74" s="43" t="n"/>
      <c r="Z74" s="43" t="n"/>
      <c r="AA74" s="43" t="n"/>
      <c r="AB74" s="43" t="n"/>
    </row>
    <row r="75" ht="14.25" customHeight="1" s="83">
      <c r="A75" s="50" t="inlineStr">
        <is>
          <t>4. Junior Engineer</t>
        </is>
      </c>
      <c r="B75" s="51" t="n">
        <v>30</v>
      </c>
      <c r="C75" s="52" t="inlineStr">
        <is>
          <t>Vierter Junior</t>
        </is>
      </c>
      <c r="D75" s="52" t="n"/>
      <c r="E75" s="37" t="inlineStr">
        <is>
          <t>KI-Agent (Position kann durch KI-Agenten ersetzt werden/ Hiring wenn überhaupt in ferner Zukunft)</t>
        </is>
      </c>
      <c r="F75" s="44">
        <f>IF(COUNTIF(E75,"*Fix*")&gt;0, B75, IF(COUNTIF(E75,"*KI-Agent*")&gt;0, 99, B75 + VLOOKUP("AI-Personal-Hebel", '00_Input_Sandbox'!$B$4:$F$20, '00_Input_Sandbox'!$B$2-1, FALSE)))</f>
        <v/>
      </c>
      <c r="G75" s="37" t="n"/>
      <c r="H75" s="43" t="n"/>
      <c r="I75" s="43" t="n"/>
      <c r="J75" s="43" t="n"/>
      <c r="K75" s="43" t="n"/>
      <c r="L75" s="43" t="n"/>
      <c r="M75" s="43" t="n"/>
      <c r="N75" s="43" t="n"/>
      <c r="O75" s="43" t="n"/>
      <c r="P75" s="43" t="n"/>
      <c r="Q75" s="43" t="n"/>
      <c r="R75" s="43" t="n"/>
      <c r="S75" s="43" t="n"/>
      <c r="T75" s="43" t="n"/>
      <c r="U75" s="43" t="n"/>
      <c r="V75" s="43" t="n"/>
      <c r="W75" s="43" t="n"/>
      <c r="X75" s="43" t="n"/>
      <c r="Y75" s="43" t="n"/>
      <c r="Z75" s="43" t="n"/>
      <c r="AA75" s="43" t="n"/>
      <c r="AB75" s="43" t="n"/>
    </row>
    <row r="76" ht="14.25" customHeight="1" s="83">
      <c r="A76" s="50" t="inlineStr">
        <is>
          <t>5. ML/AI Engineer</t>
        </is>
      </c>
      <c r="B76" s="51" t="n">
        <v>30</v>
      </c>
      <c r="C76" s="52" t="inlineStr">
        <is>
          <t>Fünfter ML Engineer</t>
        </is>
      </c>
      <c r="D76" s="52" t="n"/>
      <c r="E76" s="37" t="inlineStr">
        <is>
          <t>KI-Agent (Position kann durch KI-Agenten ersetzt werden/ Hiring wenn überhaupt in ferner Zukunft)</t>
        </is>
      </c>
      <c r="F76" s="44">
        <f>IF(COUNTIF(E76,"*Fix*")&gt;0, B76, IF(COUNTIF(E76,"*KI-Agent*")&gt;0, 99, B76 + VLOOKUP("AI-Personal-Hebel", '00_Input_Sandbox'!$B$4:$F$20, '00_Input_Sandbox'!$B$2-1, FALSE)))</f>
        <v/>
      </c>
      <c r="G76" s="37" t="n"/>
      <c r="H76" s="43" t="n"/>
      <c r="I76" s="43" t="n"/>
      <c r="J76" s="43" t="n"/>
      <c r="K76" s="43" t="n"/>
      <c r="L76" s="43" t="n"/>
      <c r="M76" s="43" t="n"/>
      <c r="N76" s="43" t="n"/>
      <c r="O76" s="43" t="n"/>
      <c r="P76" s="43" t="n"/>
      <c r="Q76" s="43" t="n"/>
      <c r="R76" s="43" t="n"/>
      <c r="S76" s="43" t="n"/>
      <c r="T76" s="43" t="n"/>
      <c r="U76" s="43" t="n"/>
      <c r="V76" s="43" t="n"/>
      <c r="W76" s="43" t="n"/>
      <c r="X76" s="43" t="n"/>
      <c r="Y76" s="43" t="n"/>
      <c r="Z76" s="43" t="n"/>
      <c r="AA76" s="43" t="n"/>
      <c r="AB76" s="43" t="n"/>
    </row>
    <row r="77" ht="14.25" customHeight="1" s="83">
      <c r="A77" s="50" t="inlineStr">
        <is>
          <t>5. Sales Rep</t>
        </is>
      </c>
      <c r="B77" s="51" t="n">
        <v>34</v>
      </c>
      <c r="C77" s="52" t="inlineStr">
        <is>
          <t>Fünfter Vertrieb</t>
        </is>
      </c>
      <c r="D77" s="52" t="n"/>
      <c r="E77" s="37" t="inlineStr">
        <is>
          <t>KI-Agent (Position kann durch KI-Agenten ersetzt werden/ Hiring wenn überhaupt in ferner Zukunft)</t>
        </is>
      </c>
      <c r="F77" s="44">
        <f>IF(COUNTIF(E77,"*Fix*")&gt;0, B77, IF(COUNTIF(E77,"*KI-Agent*")&gt;0, 99, B77 + VLOOKUP("AI-Personal-Hebel", '00_Input_Sandbox'!$B$4:$F$20, '00_Input_Sandbox'!$B$2-1, FALSE)))</f>
        <v/>
      </c>
      <c r="G77" s="37" t="n"/>
      <c r="H77" s="43" t="n"/>
      <c r="I77" s="43" t="n"/>
      <c r="J77" s="43" t="n"/>
      <c r="K77" s="43" t="n"/>
      <c r="L77" s="43" t="n"/>
      <c r="M77" s="43" t="n"/>
      <c r="N77" s="43" t="n"/>
      <c r="O77" s="43" t="n"/>
      <c r="P77" s="43" t="n"/>
      <c r="Q77" s="43" t="n"/>
      <c r="R77" s="43" t="n"/>
      <c r="S77" s="43" t="n"/>
      <c r="T77" s="43" t="n"/>
      <c r="U77" s="43" t="n"/>
      <c r="V77" s="43" t="n"/>
      <c r="W77" s="43" t="n"/>
      <c r="X77" s="43" t="n"/>
      <c r="Y77" s="43" t="n"/>
      <c r="Z77" s="43" t="n"/>
      <c r="AA77" s="43" t="n"/>
      <c r="AB77" s="43" t="n"/>
    </row>
    <row r="78" ht="14.25" customHeight="1" s="83">
      <c r="A78" s="50" t="inlineStr">
        <is>
          <t>4. Customer Success</t>
        </is>
      </c>
      <c r="B78" s="51" t="n">
        <v>34</v>
      </c>
      <c r="C78" s="52" t="inlineStr">
        <is>
          <t>Vierter CS</t>
        </is>
      </c>
      <c r="D78" s="52" t="n"/>
      <c r="E78" s="37" t="inlineStr">
        <is>
          <t>KI-Agent (Position kann durch KI-Agenten ersetzt werden/ Hiring wenn überhaupt in ferner Zukunft)</t>
        </is>
      </c>
      <c r="F78" s="44">
        <f>IF(COUNTIF(E78,"*Fix*")&gt;0, B78, IF(COUNTIF(E78,"*KI-Agent*")&gt;0, 99, B78 + VLOOKUP("AI-Personal-Hebel", '00_Input_Sandbox'!$B$4:$F$20, '00_Input_Sandbox'!$B$2-1, FALSE)))</f>
        <v/>
      </c>
      <c r="G78" s="37" t="n"/>
      <c r="H78" s="43" t="n"/>
      <c r="I78" s="43" t="n"/>
      <c r="J78" s="43" t="n"/>
      <c r="K78" s="43" t="n"/>
      <c r="L78" s="43" t="n"/>
      <c r="M78" s="43" t="n"/>
      <c r="N78" s="43" t="n"/>
      <c r="O78" s="43" t="n"/>
      <c r="P78" s="43" t="n"/>
      <c r="Q78" s="43" t="n"/>
      <c r="R78" s="43" t="n"/>
      <c r="S78" s="43" t="n"/>
      <c r="T78" s="43" t="n"/>
      <c r="U78" s="43" t="n"/>
      <c r="V78" s="43" t="n"/>
      <c r="W78" s="43" t="n"/>
      <c r="X78" s="43" t="n"/>
      <c r="Y78" s="43" t="n"/>
      <c r="Z78" s="43" t="n"/>
      <c r="AA78" s="43" t="n"/>
      <c r="AB78" s="43" t="n"/>
    </row>
    <row r="79" ht="14.25" customHeight="1" s="83">
      <c r="A79" s="50" t="inlineStr">
        <is>
          <t>3. Marketing Manager</t>
        </is>
      </c>
      <c r="B79" s="51" t="n">
        <v>30</v>
      </c>
      <c r="C79" s="52" t="inlineStr">
        <is>
          <t>Dritter Marketing</t>
        </is>
      </c>
      <c r="D79" s="52" t="n"/>
      <c r="E79" s="37" t="inlineStr">
        <is>
          <t>KI-Agent (Position kann durch KI-Agenten ersetzt werden/ Hiring wenn überhaupt in ferner Zukunft)</t>
        </is>
      </c>
      <c r="F79" s="44">
        <f>IF(COUNTIF(E79,"*Fix*")&gt;0, B79, IF(COUNTIF(E79,"*KI-Agent*")&gt;0, 99, B79 + VLOOKUP("AI-Personal-Hebel", '00_Input_Sandbox'!$B$4:$F$20, '00_Input_Sandbox'!$B$2-1, FALSE)))</f>
        <v/>
      </c>
      <c r="G79" s="37" t="n"/>
      <c r="H79" s="43" t="n"/>
      <c r="I79" s="43" t="n"/>
      <c r="J79" s="43" t="n"/>
      <c r="K79" s="43" t="n"/>
      <c r="L79" s="43" t="n"/>
      <c r="M79" s="43" t="n"/>
      <c r="N79" s="43" t="n"/>
      <c r="O79" s="43" t="n"/>
      <c r="P79" s="43" t="n"/>
      <c r="Q79" s="43" t="n"/>
      <c r="R79" s="43" t="n"/>
      <c r="S79" s="43" t="n"/>
      <c r="T79" s="43" t="n"/>
      <c r="U79" s="43" t="n"/>
      <c r="V79" s="43" t="n"/>
      <c r="W79" s="43" t="n"/>
      <c r="X79" s="43" t="n"/>
      <c r="Y79" s="43" t="n"/>
      <c r="Z79" s="43" t="n"/>
      <c r="AA79" s="43" t="n"/>
      <c r="AB79" s="43" t="n"/>
    </row>
    <row r="80" ht="14.25" customHeight="1" s="83">
      <c r="A80" s="43" t="n"/>
      <c r="B80" s="43" t="n"/>
      <c r="C80" s="43" t="n"/>
      <c r="D80" s="32" t="n"/>
      <c r="E80" s="43" t="n"/>
      <c r="F80" s="43" t="n"/>
      <c r="G80" s="43" t="n"/>
      <c r="H80" s="43" t="n"/>
      <c r="I80" s="43" t="n"/>
      <c r="J80" s="43" t="n"/>
      <c r="K80" s="43" t="n"/>
      <c r="L80" s="43" t="n"/>
      <c r="M80" s="43" t="n"/>
      <c r="N80" s="43" t="n"/>
      <c r="O80" s="43" t="n"/>
      <c r="P80" s="43" t="n"/>
      <c r="Q80" s="43" t="n"/>
      <c r="R80" s="43" t="n"/>
      <c r="S80" s="43" t="n"/>
      <c r="T80" s="43" t="n"/>
      <c r="U80" s="43" t="n"/>
      <c r="V80" s="43" t="n"/>
      <c r="W80" s="43" t="n"/>
      <c r="X80" s="43" t="n"/>
      <c r="Y80" s="43" t="n"/>
      <c r="Z80" s="43" t="n"/>
      <c r="AA80" s="43" t="n"/>
      <c r="AB80" s="43" t="n"/>
    </row>
    <row r="81" ht="14.25" customHeight="1" s="83">
      <c r="A81" s="21" t="inlineStr">
        <is>
          <t>TECHNOLOGIE &amp; CLOUD KOSTEN</t>
        </is>
      </c>
      <c r="B81" s="22" t="n"/>
      <c r="C81" s="22" t="n"/>
      <c r="D81" s="22" t="n"/>
      <c r="E81" s="43" t="n"/>
      <c r="F81" s="43" t="n"/>
      <c r="G81" s="43" t="n"/>
      <c r="H81" s="43" t="n"/>
      <c r="I81" s="43" t="n"/>
      <c r="J81" s="43" t="n"/>
      <c r="K81" s="43" t="n"/>
      <c r="L81" s="43" t="n"/>
      <c r="M81" s="43" t="n"/>
      <c r="N81" s="43" t="n"/>
      <c r="O81" s="43" t="n"/>
      <c r="P81" s="43" t="n"/>
      <c r="Q81" s="43" t="n"/>
      <c r="R81" s="43" t="n"/>
      <c r="S81" s="43" t="n"/>
      <c r="T81" s="43" t="n"/>
      <c r="U81" s="43" t="n"/>
      <c r="V81" s="43" t="n"/>
      <c r="W81" s="43" t="n"/>
      <c r="X81" s="43" t="n"/>
      <c r="Y81" s="43" t="n"/>
      <c r="Z81" s="43" t="n"/>
      <c r="AA81" s="43" t="n"/>
      <c r="AB81" s="43" t="n"/>
    </row>
    <row r="82" ht="14.25" customHeight="1" s="83">
      <c r="A82" s="38" t="inlineStr">
        <is>
          <t>Cloud/Hosting Basis</t>
        </is>
      </c>
      <c r="B82" s="29" t="n">
        <v>2000</v>
      </c>
      <c r="C82" s="25" t="inlineStr">
        <is>
          <t>AWS/Azure/GCP Grundkosten €/Monat</t>
        </is>
      </c>
      <c r="D82" s="37" t="inlineStr">
        <is>
          <t>Höhere Last durch GPU-Inferenz und Vektordatenbanken. 
800→2.000 €/Monat (Treiber-Matrix)</t>
        </is>
      </c>
      <c r="E82" s="43" t="n"/>
      <c r="F82" s="43" t="n"/>
      <c r="G82" s="43" t="n"/>
      <c r="H82" s="43" t="n"/>
      <c r="I82" s="43" t="n"/>
      <c r="J82" s="43" t="n"/>
      <c r="K82" s="43" t="n"/>
      <c r="L82" s="43" t="n"/>
      <c r="M82" s="43" t="n"/>
      <c r="N82" s="43" t="n"/>
      <c r="O82" s="43" t="n"/>
      <c r="P82" s="43" t="n"/>
      <c r="Q82" s="43" t="n"/>
      <c r="R82" s="43" t="n"/>
      <c r="S82" s="43" t="n"/>
      <c r="T82" s="43" t="n"/>
      <c r="U82" s="43" t="n"/>
      <c r="V82" s="43" t="n"/>
      <c r="W82" s="43" t="n"/>
      <c r="X82" s="43" t="n"/>
      <c r="Y82" s="43" t="n"/>
      <c r="Z82" s="43" t="n"/>
      <c r="AA82" s="43" t="n"/>
      <c r="AB82" s="43" t="n"/>
    </row>
    <row r="83" ht="14.25" customHeight="1" s="83">
      <c r="A83" s="38" t="inlineStr">
        <is>
          <t>Cloud Skalierung pro Seat</t>
        </is>
      </c>
      <c r="B83" s="29" t="n">
        <v>80</v>
      </c>
      <c r="C83" s="25" t="inlineStr">
        <is>
          <t>Variable Kosten €/Seat/Monat</t>
        </is>
      </c>
      <c r="D83" s="37" t="inlineStr">
        <is>
          <t>Wechsel von Seat- auf Projekt-Basis (AI-intensive Rechenlast). 
50→80 €/Seat/Monat (Treiber-Matrix)</t>
        </is>
      </c>
      <c r="E83" s="43" t="n"/>
      <c r="F83" s="43" t="n"/>
      <c r="G83" s="43" t="n"/>
      <c r="H83" s="43" t="n"/>
      <c r="I83" s="43" t="n"/>
      <c r="J83" s="43" t="n"/>
      <c r="K83" s="43" t="n"/>
      <c r="L83" s="43" t="n"/>
      <c r="M83" s="43" t="n"/>
      <c r="N83" s="43" t="n"/>
      <c r="O83" s="43" t="n"/>
      <c r="P83" s="43" t="n"/>
      <c r="Q83" s="43" t="n"/>
      <c r="R83" s="43" t="n"/>
      <c r="S83" s="43" t="n"/>
      <c r="T83" s="43" t="n"/>
      <c r="U83" s="43" t="n"/>
      <c r="V83" s="43" t="n"/>
      <c r="W83" s="43" t="n"/>
      <c r="X83" s="43" t="n"/>
      <c r="Y83" s="43" t="n"/>
      <c r="Z83" s="43" t="n"/>
      <c r="AA83" s="43" t="n"/>
      <c r="AB83" s="43" t="n"/>
    </row>
    <row r="84" ht="14.25" customHeight="1" s="83">
      <c r="A84" s="38" t="inlineStr">
        <is>
          <t>AI/ML APIs Basis</t>
        </is>
      </c>
      <c r="B84" s="29" t="n">
        <v>2000</v>
      </c>
      <c r="C84" s="25" t="inlineStr">
        <is>
          <t>OpenAI/Anthropic etc. €/Monat</t>
        </is>
      </c>
      <c r="D84" s="25" t="inlineStr">
        <is>
          <t>Nutzung von Frontier Models (GPT-5/Claude) für Design-Logic. 
600→2.000 €/Monat (Treiber-Matrix)</t>
        </is>
      </c>
      <c r="E84" s="43" t="n"/>
      <c r="F84" s="43" t="n"/>
      <c r="G84" s="43" t="n"/>
      <c r="H84" s="43" t="n"/>
      <c r="I84" s="43" t="n"/>
      <c r="J84" s="43" t="n"/>
      <c r="K84" s="43" t="n"/>
      <c r="L84" s="43" t="n"/>
      <c r="M84" s="43" t="n"/>
      <c r="N84" s="43" t="n"/>
      <c r="O84" s="43" t="n"/>
      <c r="P84" s="43" t="n"/>
      <c r="Q84" s="43" t="n"/>
      <c r="R84" s="43" t="n"/>
      <c r="S84" s="43" t="n"/>
      <c r="T84" s="43" t="n"/>
      <c r="U84" s="43" t="n"/>
      <c r="V84" s="43" t="n"/>
      <c r="W84" s="43" t="n"/>
      <c r="X84" s="43" t="n"/>
      <c r="Y84" s="43" t="n"/>
      <c r="Z84" s="43" t="n"/>
      <c r="AA84" s="43" t="n"/>
      <c r="AB84" s="43" t="n"/>
    </row>
    <row r="85" ht="14.25" customHeight="1" s="83">
      <c r="A85" s="38" t="inlineStr">
        <is>
          <t>AI Kosten Wachstum/Monat</t>
        </is>
      </c>
      <c r="B85" s="33" t="n">
        <v>0.08</v>
      </c>
      <c r="C85" s="25" t="inlineStr">
        <is>
          <t>Steigerung mit Nutzung</t>
        </is>
      </c>
      <c r="D85" s="37" t="inlineStr">
        <is>
          <t>Skalierung proportional zur Nutzung und Datentiefe.
3%→8%/Monat (Treiber-Matrix)</t>
        </is>
      </c>
      <c r="E85" s="43" t="n"/>
      <c r="F85" s="43" t="n"/>
      <c r="G85" s="43" t="n"/>
      <c r="H85" s="43" t="n"/>
      <c r="I85" s="43" t="n"/>
      <c r="J85" s="43" t="n"/>
      <c r="K85" s="43" t="n"/>
      <c r="L85" s="43" t="n"/>
      <c r="M85" s="43" t="n"/>
      <c r="N85" s="43" t="n"/>
      <c r="O85" s="43" t="n"/>
      <c r="P85" s="43" t="n"/>
      <c r="Q85" s="43" t="n"/>
      <c r="R85" s="43" t="n"/>
      <c r="S85" s="43" t="n"/>
      <c r="T85" s="43" t="n"/>
      <c r="U85" s="43" t="n"/>
      <c r="V85" s="43" t="n"/>
      <c r="W85" s="43" t="n"/>
      <c r="X85" s="43" t="n"/>
      <c r="Y85" s="43" t="n"/>
      <c r="Z85" s="43" t="n"/>
      <c r="AA85" s="43" t="n"/>
      <c r="AB85" s="43" t="n"/>
    </row>
    <row r="86" ht="14.25" customHeight="1" s="83">
      <c r="A86" s="38" t="inlineStr">
        <is>
          <t>SaaS Tools intern Basis</t>
        </is>
      </c>
      <c r="B86" s="29" t="n">
        <v>400</v>
      </c>
      <c r="C86" s="25" t="inlineStr">
        <is>
          <t>Slack, Notion, GitHub etc. €/Monat</t>
        </is>
      </c>
      <c r="D86" s="37" t="inlineStr">
        <is>
          <t>Slack; Notion; GitHub etc. (unverändert).</t>
        </is>
      </c>
      <c r="E86" s="43" t="n"/>
      <c r="F86" s="43" t="n"/>
      <c r="G86" s="43" t="n"/>
      <c r="H86" s="43" t="n"/>
      <c r="I86" s="43" t="n"/>
      <c r="J86" s="43" t="n"/>
      <c r="K86" s="43" t="n"/>
      <c r="L86" s="43" t="n"/>
      <c r="M86" s="43" t="n"/>
      <c r="N86" s="43" t="n"/>
      <c r="O86" s="43" t="n"/>
      <c r="P86" s="43" t="n"/>
      <c r="Q86" s="43" t="n"/>
      <c r="R86" s="43" t="n"/>
      <c r="S86" s="43" t="n"/>
      <c r="T86" s="43" t="n"/>
      <c r="U86" s="43" t="n"/>
      <c r="V86" s="43" t="n"/>
      <c r="W86" s="43" t="n"/>
      <c r="X86" s="43" t="n"/>
      <c r="Y86" s="43" t="n"/>
      <c r="Z86" s="43" t="n"/>
      <c r="AA86" s="43" t="n"/>
      <c r="AB86" s="43" t="n"/>
    </row>
    <row r="87" ht="14.25" customHeight="1" s="83">
      <c r="A87" s="38" t="inlineStr">
        <is>
          <t>SaaS Tools pro MA</t>
        </is>
      </c>
      <c r="B87" s="29" t="n">
        <v>100</v>
      </c>
      <c r="C87" s="25" t="inlineStr">
        <is>
          <t>Zusätzliche Lizenzen €/MA/Monat</t>
        </is>
      </c>
      <c r="D87" s="37" t="inlineStr">
        <is>
          <t>Inklusive KI-Coding-Tools (Copilot/Cursor) für Dev-Effizienz.</t>
        </is>
      </c>
      <c r="E87" s="43" t="n"/>
      <c r="F87" s="43" t="n"/>
      <c r="G87" s="43" t="n"/>
      <c r="H87" s="43" t="n"/>
      <c r="I87" s="43" t="n"/>
      <c r="J87" s="43" t="n"/>
      <c r="K87" s="43" t="n"/>
      <c r="L87" s="43" t="n"/>
      <c r="M87" s="43" t="n"/>
      <c r="N87" s="43" t="n"/>
      <c r="O87" s="43" t="n"/>
      <c r="P87" s="43" t="n"/>
      <c r="Q87" s="43" t="n"/>
      <c r="R87" s="43" t="n"/>
      <c r="S87" s="43" t="n"/>
      <c r="T87" s="43" t="n"/>
      <c r="U87" s="43" t="n"/>
      <c r="V87" s="43" t="n"/>
      <c r="W87" s="43" t="n"/>
      <c r="X87" s="43" t="n"/>
      <c r="Y87" s="43" t="n"/>
      <c r="Z87" s="43" t="n"/>
      <c r="AA87" s="43" t="n"/>
      <c r="AB87" s="43" t="n"/>
    </row>
    <row r="88" ht="14.25" customHeight="1" s="83">
      <c r="A88" s="38" t="inlineStr">
        <is>
          <t>Software-Lizenzen Dev</t>
        </is>
      </c>
      <c r="B88" s="29" t="n">
        <v>5000</v>
      </c>
      <c r="C88" s="25" t="inlineStr">
        <is>
          <t>IDE, Frameworks €/Jahr</t>
        </is>
      </c>
      <c r="D88" s="37" t="inlineStr">
        <is>
          <t>Spezialisierte Engineering-Tools und Frameworks (IDE).</t>
        </is>
      </c>
      <c r="E88" s="43" t="n"/>
      <c r="F88" s="43" t="n"/>
      <c r="G88" s="43" t="n"/>
      <c r="H88" s="43" t="n"/>
      <c r="I88" s="43" t="n"/>
      <c r="J88" s="43" t="n"/>
      <c r="K88" s="43" t="n"/>
      <c r="L88" s="43" t="n"/>
      <c r="M88" s="43" t="n"/>
      <c r="N88" s="43" t="n"/>
      <c r="O88" s="43" t="n"/>
      <c r="P88" s="43" t="n"/>
      <c r="Q88" s="43" t="n"/>
      <c r="R88" s="43" t="n"/>
      <c r="S88" s="43" t="n"/>
      <c r="T88" s="43" t="n"/>
      <c r="U88" s="43" t="n"/>
      <c r="V88" s="43" t="n"/>
      <c r="W88" s="43" t="n"/>
      <c r="X88" s="43" t="n"/>
      <c r="Y88" s="43" t="n"/>
      <c r="Z88" s="43" t="n"/>
      <c r="AA88" s="43" t="n"/>
      <c r="AB88" s="43" t="n"/>
    </row>
    <row r="89" ht="14.25" customHeight="1" s="83">
      <c r="A89" s="38" t="inlineStr">
        <is>
          <t>Sicherheit &amp; Compliance</t>
        </is>
      </c>
      <c r="B89" s="29" t="n">
        <v>3500</v>
      </c>
      <c r="C89" s="25" t="inlineStr">
        <is>
          <t>Security Tools €/Monat</t>
        </is>
      </c>
      <c r="D89" s="37" t="inlineStr">
        <is>
          <t>Puffer für TISAX-Audits und laufendes Compliance-Monitoring. [17</t>
        </is>
      </c>
      <c r="E89" s="43" t="n"/>
      <c r="F89" s="43" t="n"/>
      <c r="G89" s="43" t="n"/>
      <c r="H89" s="43" t="n"/>
      <c r="I89" s="43" t="n"/>
      <c r="J89" s="43" t="n"/>
      <c r="K89" s="43" t="n"/>
      <c r="L89" s="43" t="n"/>
      <c r="M89" s="43" t="n"/>
      <c r="N89" s="43" t="n"/>
      <c r="O89" s="43" t="n"/>
      <c r="P89" s="43" t="n"/>
      <c r="Q89" s="43" t="n"/>
      <c r="R89" s="43" t="n"/>
      <c r="S89" s="43" t="n"/>
      <c r="T89" s="43" t="n"/>
      <c r="U89" s="43" t="n"/>
      <c r="V89" s="43" t="n"/>
      <c r="W89" s="43" t="n"/>
      <c r="X89" s="43" t="n"/>
      <c r="Y89" s="43" t="n"/>
      <c r="Z89" s="43" t="n"/>
      <c r="AA89" s="43" t="n"/>
      <c r="AB89" s="43" t="n"/>
    </row>
    <row r="90" ht="14.25" customHeight="1" s="83">
      <c r="A90" s="43" t="n"/>
      <c r="B90" s="43" t="n"/>
      <c r="C90" s="43" t="n"/>
      <c r="D90" s="32" t="n"/>
      <c r="E90" s="43" t="n"/>
      <c r="F90" s="43" t="n"/>
      <c r="G90" s="43" t="n"/>
      <c r="H90" s="43" t="n"/>
      <c r="I90" s="43" t="n"/>
      <c r="J90" s="43" t="n"/>
      <c r="K90" s="43" t="n"/>
      <c r="L90" s="43" t="n"/>
      <c r="M90" s="43" t="n"/>
      <c r="N90" s="43" t="n"/>
      <c r="O90" s="43" t="n"/>
      <c r="P90" s="43" t="n"/>
      <c r="Q90" s="43" t="n"/>
      <c r="R90" s="43" t="n"/>
      <c r="S90" s="43" t="n"/>
      <c r="T90" s="43" t="n"/>
      <c r="U90" s="43" t="n"/>
      <c r="V90" s="43" t="n"/>
      <c r="W90" s="43" t="n"/>
      <c r="X90" s="43" t="n"/>
      <c r="Y90" s="43" t="n"/>
      <c r="Z90" s="43" t="n"/>
      <c r="AA90" s="43" t="n"/>
      <c r="AB90" s="43" t="n"/>
    </row>
    <row r="91" ht="14.25" customHeight="1" s="83">
      <c r="A91" s="21" t="inlineStr">
        <is>
          <t>HARDWARE &amp; EQUIPMENT</t>
        </is>
      </c>
      <c r="B91" s="22" t="n"/>
      <c r="C91" s="22" t="n"/>
      <c r="D91" s="22" t="n"/>
      <c r="E91" s="43" t="n"/>
      <c r="F91" s="43" t="n"/>
      <c r="G91" s="43" t="n"/>
      <c r="H91" s="43" t="n"/>
      <c r="I91" s="43" t="n"/>
      <c r="J91" s="43" t="n"/>
      <c r="K91" s="43" t="n"/>
      <c r="L91" s="43" t="n"/>
      <c r="M91" s="43" t="n"/>
      <c r="N91" s="43" t="n"/>
      <c r="O91" s="43" t="n"/>
      <c r="P91" s="43" t="n"/>
      <c r="Q91" s="43" t="n"/>
      <c r="R91" s="43" t="n"/>
      <c r="S91" s="43" t="n"/>
      <c r="T91" s="43" t="n"/>
      <c r="U91" s="43" t="n"/>
      <c r="V91" s="43" t="n"/>
      <c r="W91" s="43" t="n"/>
      <c r="X91" s="43" t="n"/>
      <c r="Y91" s="43" t="n"/>
      <c r="Z91" s="43" t="n"/>
      <c r="AA91" s="43" t="n"/>
      <c r="AB91" s="43" t="n"/>
    </row>
    <row r="92" ht="14.25" customHeight="1" s="83">
      <c r="A92" s="38" t="inlineStr">
        <is>
          <t>Laptop pro MA</t>
        </is>
      </c>
      <c r="B92" s="29" t="n">
        <v>2500</v>
      </c>
      <c r="C92" s="25" t="inlineStr">
        <is>
          <t>Typisch: 1.500-3.000€</t>
        </is>
      </c>
      <c r="D92" s="37" t="inlineStr">
        <is>
          <t>High-End Hardware zwingend für KI-Entwicklung (lokale Inferenz).</t>
        </is>
      </c>
      <c r="E92" s="43" t="n"/>
      <c r="F92" s="43" t="n"/>
      <c r="G92" s="43" t="n"/>
      <c r="H92" s="43" t="n"/>
      <c r="I92" s="43" t="n"/>
      <c r="J92" s="43" t="n"/>
      <c r="K92" s="43" t="n"/>
      <c r="L92" s="43" t="n"/>
      <c r="M92" s="43" t="n"/>
      <c r="N92" s="43" t="n"/>
      <c r="O92" s="43" t="n"/>
      <c r="P92" s="43" t="n"/>
      <c r="Q92" s="43" t="n"/>
      <c r="R92" s="43" t="n"/>
      <c r="S92" s="43" t="n"/>
      <c r="T92" s="43" t="n"/>
      <c r="U92" s="43" t="n"/>
      <c r="V92" s="43" t="n"/>
      <c r="W92" s="43" t="n"/>
      <c r="X92" s="43" t="n"/>
      <c r="Y92" s="43" t="n"/>
      <c r="Z92" s="43" t="n"/>
      <c r="AA92" s="43" t="n"/>
      <c r="AB92" s="43" t="n"/>
    </row>
    <row r="93" ht="14.25" customHeight="1" s="83">
      <c r="A93" s="38" t="inlineStr">
        <is>
          <t>Monitor &amp; Peripherie</t>
        </is>
      </c>
      <c r="B93" s="29" t="n">
        <v>800</v>
      </c>
      <c r="C93" s="25" t="inlineStr">
        <is>
          <t>Typisch: 500-1.000€</t>
        </is>
      </c>
      <c r="D93" s="37" t="inlineStr">
        <is>
          <t>Standard-Setup für Tech-Mitarbeiter.</t>
        </is>
      </c>
      <c r="E93" s="43" t="n"/>
      <c r="F93" s="43" t="n"/>
      <c r="G93" s="43" t="n"/>
      <c r="H93" s="43" t="n"/>
      <c r="I93" s="43" t="n"/>
      <c r="J93" s="43" t="n"/>
      <c r="K93" s="43" t="n"/>
      <c r="L93" s="43" t="n"/>
      <c r="M93" s="43" t="n"/>
      <c r="N93" s="43" t="n"/>
      <c r="O93" s="43" t="n"/>
      <c r="P93" s="43" t="n"/>
      <c r="Q93" s="43" t="n"/>
      <c r="R93" s="43" t="n"/>
      <c r="S93" s="43" t="n"/>
      <c r="T93" s="43" t="n"/>
      <c r="U93" s="43" t="n"/>
      <c r="V93" s="43" t="n"/>
      <c r="W93" s="43" t="n"/>
      <c r="X93" s="43" t="n"/>
      <c r="Y93" s="43" t="n"/>
      <c r="Z93" s="43" t="n"/>
      <c r="AA93" s="43" t="n"/>
      <c r="AB93" s="43" t="n"/>
    </row>
    <row r="94" ht="14.25" customHeight="1" s="83">
      <c r="A94" s="38" t="inlineStr">
        <is>
          <t>Ersatz-Zyklus Monate</t>
        </is>
      </c>
      <c r="B94" s="24" t="n">
        <v>36</v>
      </c>
      <c r="C94" s="25" t="inlineStr">
        <is>
          <t>Typisch: 36-48 Monate</t>
        </is>
      </c>
      <c r="D94" s="37" t="inlineStr">
        <is>
          <t>Branchenüblicher Turnus.</t>
        </is>
      </c>
      <c r="E94" s="43" t="n"/>
      <c r="F94" s="43" t="n"/>
      <c r="G94" s="43" t="n"/>
      <c r="H94" s="43" t="n"/>
      <c r="I94" s="43" t="n"/>
      <c r="J94" s="43" t="n"/>
      <c r="K94" s="43" t="n"/>
      <c r="L94" s="43" t="n"/>
      <c r="M94" s="43" t="n"/>
      <c r="N94" s="43" t="n"/>
      <c r="O94" s="43" t="n"/>
      <c r="P94" s="43" t="n"/>
      <c r="Q94" s="43" t="n"/>
      <c r="R94" s="43" t="n"/>
      <c r="S94" s="43" t="n"/>
      <c r="T94" s="43" t="n"/>
      <c r="U94" s="43" t="n"/>
      <c r="V94" s="43" t="n"/>
      <c r="W94" s="43" t="n"/>
      <c r="X94" s="43" t="n"/>
      <c r="Y94" s="43" t="n"/>
      <c r="Z94" s="43" t="n"/>
      <c r="AA94" s="43" t="n"/>
      <c r="AB94" s="43" t="n"/>
    </row>
    <row r="95" ht="14.25" customHeight="1" s="83">
      <c r="A95" s="38" t="inlineStr">
        <is>
          <t>Sonstige IT-Ausstattung/Jahr</t>
        </is>
      </c>
      <c r="B95" s="29" t="n">
        <v>2000</v>
      </c>
      <c r="C95" s="25" t="inlineStr">
        <is>
          <t>Server, Netzwerk etc.</t>
        </is>
      </c>
      <c r="D95" s="37" t="inlineStr">
        <is>
          <t>Puffer für Serverkomponenten/Netzwerk.</t>
        </is>
      </c>
      <c r="E95" s="43" t="n"/>
      <c r="F95" s="43" t="n"/>
      <c r="G95" s="43" t="n"/>
      <c r="H95" s="43" t="n"/>
      <c r="I95" s="43" t="n"/>
      <c r="J95" s="43" t="n"/>
      <c r="K95" s="43" t="n"/>
      <c r="L95" s="43" t="n"/>
      <c r="M95" s="43" t="n"/>
      <c r="N95" s="43" t="n"/>
      <c r="O95" s="43" t="n"/>
      <c r="P95" s="43" t="n"/>
      <c r="Q95" s="43" t="n"/>
      <c r="R95" s="43" t="n"/>
      <c r="S95" s="43" t="n"/>
      <c r="T95" s="43" t="n"/>
      <c r="U95" s="43" t="n"/>
      <c r="V95" s="43" t="n"/>
      <c r="W95" s="43" t="n"/>
      <c r="X95" s="43" t="n"/>
      <c r="Y95" s="43" t="n"/>
      <c r="Z95" s="43" t="n"/>
      <c r="AA95" s="43" t="n"/>
      <c r="AB95" s="43" t="n"/>
    </row>
    <row r="96" ht="14.25" customHeight="1" s="83">
      <c r="A96" s="43" t="n"/>
      <c r="B96" s="43" t="n"/>
      <c r="C96" s="43" t="n"/>
      <c r="D96" s="32" t="n"/>
      <c r="E96" s="43" t="n"/>
      <c r="F96" s="43" t="n"/>
      <c r="G96" s="43" t="n"/>
      <c r="H96" s="43" t="n"/>
      <c r="I96" s="43" t="n"/>
      <c r="J96" s="43" t="n"/>
      <c r="K96" s="43" t="n"/>
      <c r="L96" s="43" t="n"/>
      <c r="M96" s="43" t="n"/>
      <c r="N96" s="43" t="n"/>
      <c r="O96" s="43" t="n"/>
      <c r="P96" s="43" t="n"/>
      <c r="Q96" s="43" t="n"/>
      <c r="R96" s="43" t="n"/>
      <c r="S96" s="43" t="n"/>
      <c r="T96" s="43" t="n"/>
      <c r="U96" s="43" t="n"/>
      <c r="V96" s="43" t="n"/>
      <c r="W96" s="43" t="n"/>
      <c r="X96" s="43" t="n"/>
      <c r="Y96" s="43" t="n"/>
      <c r="Z96" s="43" t="n"/>
      <c r="AA96" s="43" t="n"/>
      <c r="AB96" s="43" t="n"/>
    </row>
    <row r="97" ht="14.25" customHeight="1" s="83">
      <c r="A97" s="21" t="inlineStr">
        <is>
          <t>BÜRO &amp; FACILITIES</t>
        </is>
      </c>
      <c r="B97" s="22" t="n"/>
      <c r="C97" s="22" t="n"/>
      <c r="D97" s="22" t="n"/>
      <c r="E97" s="43" t="n"/>
      <c r="F97" s="43" t="n"/>
      <c r="G97" s="43" t="n"/>
      <c r="H97" s="43" t="n"/>
      <c r="I97" s="43" t="n"/>
      <c r="J97" s="43" t="n"/>
      <c r="K97" s="43" t="n"/>
      <c r="L97" s="43" t="n"/>
      <c r="M97" s="43" t="n"/>
      <c r="N97" s="43" t="n"/>
      <c r="O97" s="43" t="n"/>
      <c r="P97" s="43" t="n"/>
      <c r="Q97" s="43" t="n"/>
      <c r="R97" s="43" t="n"/>
      <c r="S97" s="43" t="n"/>
      <c r="T97" s="43" t="n"/>
      <c r="U97" s="43" t="n"/>
      <c r="V97" s="43" t="n"/>
      <c r="W97" s="43" t="n"/>
      <c r="X97" s="43" t="n"/>
      <c r="Y97" s="43" t="n"/>
      <c r="Z97" s="43" t="n"/>
      <c r="AA97" s="43" t="n"/>
      <c r="AB97" s="43" t="n"/>
    </row>
    <row r="98" ht="14.25" customHeight="1" s="83">
      <c r="A98" s="38" t="inlineStr">
        <is>
          <t>Büromiete</t>
        </is>
      </c>
      <c r="B98" s="29" t="n">
        <v>1500</v>
      </c>
      <c r="C98" s="25" t="inlineStr">
        <is>
          <t>Coworking anfangs €/Monat</t>
        </is>
      </c>
      <c r="D98" s="37" t="inlineStr">
        <is>
          <t>Coworking-Fokus in der ersten Phase (Berlin Mitte/Kreuzberg).</t>
        </is>
      </c>
      <c r="E98" s="43" t="n"/>
      <c r="F98" s="43" t="n"/>
      <c r="G98" s="43" t="n"/>
      <c r="H98" s="43" t="n"/>
      <c r="I98" s="43" t="n"/>
      <c r="J98" s="43" t="n"/>
      <c r="K98" s="43" t="n"/>
      <c r="L98" s="43" t="n"/>
      <c r="M98" s="43" t="n"/>
      <c r="N98" s="43" t="n"/>
      <c r="O98" s="43" t="n"/>
      <c r="P98" s="43" t="n"/>
      <c r="Q98" s="43" t="n"/>
      <c r="R98" s="43" t="n"/>
      <c r="S98" s="43" t="n"/>
      <c r="T98" s="43" t="n"/>
      <c r="U98" s="43" t="n"/>
      <c r="V98" s="43" t="n"/>
      <c r="W98" s="43" t="n"/>
      <c r="X98" s="43" t="n"/>
      <c r="Y98" s="43" t="n"/>
      <c r="Z98" s="43" t="n"/>
      <c r="AA98" s="43" t="n"/>
      <c r="AB98" s="43" t="n"/>
    </row>
    <row r="99" ht="14.25" customHeight="1" s="83">
      <c r="A99" s="38" t="inlineStr">
        <is>
          <t>Büro-Upgrade ab Monat</t>
        </is>
      </c>
      <c r="B99" s="24" t="n">
        <v>18</v>
      </c>
      <c r="C99" s="25" t="inlineStr">
        <is>
          <t>Wann größeres Büro?</t>
        </is>
      </c>
      <c r="D99" s="37" t="inlineStr">
        <is>
          <t>Shift analog zur Einstellung von Solution Architects (Teamgröße).</t>
        </is>
      </c>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c r="AA99" s="43" t="n"/>
      <c r="AB99" s="43" t="n"/>
    </row>
    <row r="100" ht="14.25" customHeight="1" s="83">
      <c r="A100" s="38" t="inlineStr">
        <is>
          <t>Neue Büromiete</t>
        </is>
      </c>
      <c r="B100" s="29" t="n">
        <v>4500</v>
      </c>
      <c r="C100" s="25" t="inlineStr">
        <is>
          <t>Kosten nach Upgrade €/Monat</t>
        </is>
      </c>
      <c r="D100" s="37" t="inlineStr">
        <is>
          <t>Anpassung an Berliner Marktpreise für ca. 15-20 Personen.</t>
        </is>
      </c>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c r="AA100" s="43" t="n"/>
      <c r="AB100" s="43" t="n"/>
    </row>
    <row r="101" ht="14.25" customHeight="1" s="83">
      <c r="A101" s="38" t="inlineStr">
        <is>
          <t>Nebenkosten</t>
        </is>
      </c>
      <c r="B101" s="29" t="n">
        <v>300</v>
      </c>
      <c r="C101" s="25" t="inlineStr">
        <is>
          <t>Strom, Wasser, Heizung €/Monat</t>
        </is>
      </c>
      <c r="D101" s="37" t="inlineStr">
        <is>
          <t>Übernahme.</t>
        </is>
      </c>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c r="AA101" s="43" t="n"/>
      <c r="AB101" s="43" t="n"/>
    </row>
    <row r="102" ht="14.25" customHeight="1" s="83">
      <c r="A102" s="38" t="inlineStr">
        <is>
          <t>Internet &amp; Telefon</t>
        </is>
      </c>
      <c r="B102" s="29" t="n">
        <v>150</v>
      </c>
      <c r="C102" s="25" t="inlineStr">
        <is>
          <t>€/Monat</t>
        </is>
      </c>
      <c r="D102" s="37" t="inlineStr">
        <is>
          <t>Übernahme.</t>
        </is>
      </c>
      <c r="E102" s="43" t="n"/>
      <c r="F102" s="43" t="n"/>
      <c r="G102" s="43" t="n"/>
      <c r="H102" s="43" t="n"/>
      <c r="I102" s="43" t="n"/>
      <c r="J102" s="43" t="n"/>
      <c r="K102" s="43" t="n"/>
      <c r="L102" s="43" t="n"/>
      <c r="M102" s="43" t="n"/>
      <c r="N102" s="43" t="n"/>
      <c r="O102" s="43" t="n"/>
      <c r="P102" s="43" t="n"/>
      <c r="Q102" s="43" t="n"/>
      <c r="R102" s="43" t="n"/>
      <c r="S102" s="43" t="n"/>
      <c r="T102" s="43" t="n"/>
      <c r="U102" s="43" t="n"/>
      <c r="V102" s="43" t="n"/>
      <c r="W102" s="43" t="n"/>
      <c r="X102" s="43" t="n"/>
      <c r="Y102" s="43" t="n"/>
      <c r="Z102" s="43" t="n"/>
      <c r="AA102" s="43" t="n"/>
      <c r="AB102" s="43" t="n"/>
    </row>
    <row r="103" ht="14.25" customHeight="1" s="83">
      <c r="A103" s="38" t="inlineStr">
        <is>
          <t>Büroausstattung Initial</t>
        </is>
      </c>
      <c r="B103" s="29" t="n">
        <v>5000</v>
      </c>
      <c r="C103" s="25" t="inlineStr">
        <is>
          <t>Möbel, Einrichtung €</t>
        </is>
      </c>
      <c r="D103" s="37" t="inlineStr">
        <is>
          <t>Möbel und IT-Grundausstattung für Erst-Team.</t>
        </is>
      </c>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c r="AA103" s="43" t="n"/>
      <c r="AB103" s="43" t="n"/>
    </row>
    <row r="104" ht="14.25" customHeight="1" s="83">
      <c r="A104" s="38" t="inlineStr">
        <is>
          <t>Bürobedarf pro MA</t>
        </is>
      </c>
      <c r="B104" s="29" t="n">
        <v>30</v>
      </c>
      <c r="C104" s="25" t="inlineStr">
        <is>
          <t>Verbrauchsmaterial €/MA/Monat</t>
        </is>
      </c>
      <c r="D104" s="37" t="inlineStr">
        <is>
          <t>Verbrauchsmaterial (unverändert).</t>
        </is>
      </c>
      <c r="E104" s="43" t="n"/>
      <c r="F104" s="43" t="n"/>
      <c r="G104" s="43" t="n"/>
      <c r="H104" s="43" t="n"/>
      <c r="I104" s="43" t="n"/>
      <c r="J104" s="43" t="n"/>
      <c r="K104" s="43" t="n"/>
      <c r="L104" s="43" t="n"/>
      <c r="M104" s="43" t="n"/>
      <c r="N104" s="43" t="n"/>
      <c r="O104" s="43" t="n"/>
      <c r="P104" s="43" t="n"/>
      <c r="Q104" s="43" t="n"/>
      <c r="R104" s="43" t="n"/>
      <c r="S104" s="43" t="n"/>
      <c r="T104" s="43" t="n"/>
      <c r="U104" s="43" t="n"/>
      <c r="V104" s="43" t="n"/>
      <c r="W104" s="43" t="n"/>
      <c r="X104" s="43" t="n"/>
      <c r="Y104" s="43" t="n"/>
      <c r="Z104" s="43" t="n"/>
      <c r="AA104" s="43" t="n"/>
      <c r="AB104" s="43" t="n"/>
    </row>
    <row r="105" ht="14.25" customHeight="1" s="83">
      <c r="A105" s="43" t="n"/>
      <c r="B105" s="43" t="n"/>
      <c r="C105" s="43" t="n"/>
      <c r="D105" s="32" t="n"/>
      <c r="E105" s="43" t="n"/>
      <c r="F105" s="43" t="n"/>
      <c r="G105" s="43" t="n"/>
      <c r="H105" s="43" t="n"/>
      <c r="I105" s="43" t="n"/>
      <c r="J105" s="43" t="n"/>
      <c r="K105" s="43" t="n"/>
      <c r="L105" s="43" t="n"/>
      <c r="M105" s="43" t="n"/>
      <c r="N105" s="43" t="n"/>
      <c r="O105" s="43" t="n"/>
      <c r="P105" s="43" t="n"/>
      <c r="Q105" s="43" t="n"/>
      <c r="R105" s="43" t="n"/>
      <c r="S105" s="43" t="n"/>
      <c r="T105" s="43" t="n"/>
      <c r="U105" s="43" t="n"/>
      <c r="V105" s="43" t="n"/>
      <c r="W105" s="43" t="n"/>
      <c r="X105" s="43" t="n"/>
      <c r="Y105" s="43" t="n"/>
      <c r="Z105" s="43" t="n"/>
      <c r="AA105" s="43" t="n"/>
      <c r="AB105" s="43" t="n"/>
    </row>
    <row r="106" ht="14.25" customHeight="1" s="83">
      <c r="A106" s="21" t="inlineStr">
        <is>
          <t>PROFESSIONAL SERVICES</t>
        </is>
      </c>
      <c r="B106" s="22" t="n"/>
      <c r="C106" s="22" t="n"/>
      <c r="D106" s="22" t="n"/>
      <c r="E106" s="43" t="n"/>
      <c r="F106" s="43" t="n"/>
      <c r="G106" s="43" t="n"/>
      <c r="H106" s="43" t="n"/>
      <c r="I106" s="43" t="n"/>
      <c r="J106" s="43" t="n"/>
      <c r="K106" s="43" t="n"/>
      <c r="L106" s="43" t="n"/>
      <c r="M106" s="43" t="n"/>
      <c r="N106" s="43" t="n"/>
      <c r="O106" s="43" t="n"/>
      <c r="P106" s="43" t="n"/>
      <c r="Q106" s="43" t="n"/>
      <c r="R106" s="43" t="n"/>
      <c r="S106" s="43" t="n"/>
      <c r="T106" s="43" t="n"/>
      <c r="U106" s="43" t="n"/>
      <c r="V106" s="43" t="n"/>
      <c r="W106" s="43" t="n"/>
      <c r="X106" s="43" t="n"/>
      <c r="Y106" s="43" t="n"/>
      <c r="Z106" s="43" t="n"/>
      <c r="AA106" s="43" t="n"/>
      <c r="AB106" s="43" t="n"/>
    </row>
    <row r="107" ht="14.25" customHeight="1" s="83">
      <c r="A107" s="38" t="inlineStr">
        <is>
          <t>Rechtsanwalt Basis/Jahr</t>
        </is>
      </c>
      <c r="B107" s="29" t="n">
        <v>8000</v>
      </c>
      <c r="C107" s="25" t="inlineStr">
        <is>
          <t>Laufende Beratung €/Jahr</t>
        </is>
      </c>
      <c r="D107" s="25"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c r="AA107" s="43" t="n"/>
      <c r="AB107" s="43" t="n"/>
    </row>
    <row r="108" ht="14.25" customHeight="1" s="83">
      <c r="A108" s="38" t="inlineStr">
        <is>
          <t>RA pro Finanzierung</t>
        </is>
      </c>
      <c r="B108" s="29" t="n">
        <v>15000</v>
      </c>
      <c r="C108" s="25" t="inlineStr">
        <is>
          <t>Zusätzlich bei Funding €</t>
        </is>
      </c>
      <c r="D108" s="25" t="n"/>
      <c r="E108" s="43" t="n"/>
      <c r="F108" s="43" t="n"/>
      <c r="G108" s="43" t="n"/>
      <c r="H108" s="43" t="n"/>
      <c r="I108" s="43" t="n"/>
      <c r="J108" s="43" t="n"/>
      <c r="K108" s="43" t="n"/>
      <c r="L108" s="43" t="n"/>
      <c r="M108" s="43" t="n"/>
      <c r="N108" s="43" t="n"/>
      <c r="O108" s="43" t="n"/>
      <c r="P108" s="43" t="n"/>
      <c r="Q108" s="43" t="n"/>
      <c r="R108" s="43" t="n"/>
      <c r="S108" s="43" t="n"/>
      <c r="T108" s="43" t="n"/>
      <c r="U108" s="43" t="n"/>
      <c r="V108" s="43" t="n"/>
      <c r="W108" s="43" t="n"/>
      <c r="X108" s="43" t="n"/>
      <c r="Y108" s="43" t="n"/>
      <c r="Z108" s="43" t="n"/>
      <c r="AA108" s="43" t="n"/>
      <c r="AB108" s="43" t="n"/>
    </row>
    <row r="109" ht="14.25" customHeight="1" s="83">
      <c r="A109" s="38" t="inlineStr">
        <is>
          <t>Steuerberater</t>
        </is>
      </c>
      <c r="B109" s="29" t="n">
        <v>800</v>
      </c>
      <c r="C109" s="25" t="inlineStr">
        <is>
          <t>Laufende Buchhaltung €/Monat</t>
        </is>
      </c>
      <c r="D109" s="25" t="n"/>
      <c r="E109" s="43" t="n"/>
      <c r="F109" s="43" t="n"/>
      <c r="G109" s="43" t="n"/>
      <c r="H109" s="43" t="n"/>
      <c r="I109" s="43" t="n"/>
      <c r="J109" s="43" t="n"/>
      <c r="K109" s="43" t="n"/>
      <c r="L109" s="43" t="n"/>
      <c r="M109" s="43" t="n"/>
      <c r="N109" s="43" t="n"/>
      <c r="O109" s="43" t="n"/>
      <c r="P109" s="43" t="n"/>
      <c r="Q109" s="43" t="n"/>
      <c r="R109" s="43" t="n"/>
      <c r="S109" s="43" t="n"/>
      <c r="T109" s="43" t="n"/>
      <c r="U109" s="43" t="n"/>
      <c r="V109" s="43" t="n"/>
      <c r="W109" s="43" t="n"/>
      <c r="X109" s="43" t="n"/>
      <c r="Y109" s="43" t="n"/>
      <c r="Z109" s="43" t="n"/>
      <c r="AA109" s="43" t="n"/>
      <c r="AB109" s="43" t="n"/>
    </row>
    <row r="110" ht="14.25" customHeight="1" s="83">
      <c r="A110" s="38" t="inlineStr">
        <is>
          <t>Wirtschaftsprüfer/Jahr</t>
        </is>
      </c>
      <c r="B110" s="29" t="n">
        <v>12000</v>
      </c>
      <c r="C110" s="25" t="inlineStr">
        <is>
          <t>Ab Series A €/Jahr</t>
        </is>
      </c>
      <c r="D110" s="25" t="n"/>
      <c r="E110" s="43" t="n"/>
      <c r="F110" s="43" t="n"/>
      <c r="G110" s="43" t="n"/>
      <c r="H110" s="43" t="n"/>
      <c r="I110" s="43" t="n"/>
      <c r="J110" s="43" t="n"/>
      <c r="K110" s="43" t="n"/>
      <c r="L110" s="43" t="n"/>
      <c r="M110" s="43" t="n"/>
      <c r="N110" s="43" t="n"/>
      <c r="O110" s="43" t="n"/>
      <c r="P110" s="43" t="n"/>
      <c r="Q110" s="43" t="n"/>
      <c r="R110" s="43" t="n"/>
      <c r="S110" s="43" t="n"/>
      <c r="T110" s="43" t="n"/>
      <c r="U110" s="43" t="n"/>
      <c r="V110" s="43" t="n"/>
      <c r="W110" s="43" t="n"/>
      <c r="X110" s="43" t="n"/>
      <c r="Y110" s="43" t="n"/>
      <c r="Z110" s="43" t="n"/>
      <c r="AA110" s="43" t="n"/>
      <c r="AB110" s="43" t="n"/>
    </row>
    <row r="111" ht="14.25" customHeight="1" s="83">
      <c r="A111" s="38" t="inlineStr">
        <is>
          <t>WP ab Monat</t>
        </is>
      </c>
      <c r="B111" s="24" t="n">
        <v>17</v>
      </c>
      <c r="C111" s="25" t="inlineStr">
        <is>
          <t>Ab wann Wirtschaftsprüfer?
Start mit tatsächlicher Seed-Phase Mitte 2027.</t>
        </is>
      </c>
      <c r="D111" s="25" t="n"/>
      <c r="E111" s="43" t="n"/>
      <c r="F111" s="43" t="n"/>
      <c r="G111" s="43" t="n"/>
      <c r="H111" s="43" t="n"/>
      <c r="I111" s="43" t="n"/>
      <c r="J111" s="43" t="n"/>
      <c r="K111" s="43" t="n"/>
      <c r="L111" s="43" t="n"/>
      <c r="M111" s="43" t="n"/>
      <c r="N111" s="43" t="n"/>
      <c r="O111" s="43" t="n"/>
      <c r="P111" s="43" t="n"/>
      <c r="Q111" s="43" t="n"/>
      <c r="R111" s="43" t="n"/>
      <c r="S111" s="43" t="n"/>
      <c r="T111" s="43" t="n"/>
      <c r="U111" s="43" t="n"/>
      <c r="V111" s="43" t="n"/>
      <c r="W111" s="43" t="n"/>
      <c r="X111" s="43" t="n"/>
      <c r="Y111" s="43" t="n"/>
      <c r="Z111" s="43" t="n"/>
      <c r="AA111" s="43" t="n"/>
      <c r="AB111" s="43" t="n"/>
    </row>
    <row r="112" ht="14.25" customHeight="1" s="83">
      <c r="A112" s="38" t="inlineStr">
        <is>
          <t>Unternehmensberater/Jahr</t>
        </is>
      </c>
      <c r="B112" s="29" t="n">
        <v>5000</v>
      </c>
      <c r="C112" s="25" t="inlineStr">
        <is>
          <t>Optional €/Jahr
Optionaler Puffer für Spezialberatung (DPP/MDR).</t>
        </is>
      </c>
      <c r="D112" s="25" t="n"/>
      <c r="E112" s="43" t="n"/>
      <c r="F112" s="43" t="n"/>
      <c r="G112" s="43" t="n"/>
      <c r="H112" s="43" t="n"/>
      <c r="I112" s="43" t="n"/>
      <c r="J112" s="43" t="n"/>
      <c r="K112" s="43" t="n"/>
      <c r="L112" s="43" t="n"/>
      <c r="M112" s="43" t="n"/>
      <c r="N112" s="43" t="n"/>
      <c r="O112" s="43" t="n"/>
      <c r="P112" s="43" t="n"/>
      <c r="Q112" s="43" t="n"/>
      <c r="R112" s="43" t="n"/>
      <c r="S112" s="43" t="n"/>
      <c r="T112" s="43" t="n"/>
      <c r="U112" s="43" t="n"/>
      <c r="V112" s="43" t="n"/>
      <c r="W112" s="43" t="n"/>
      <c r="X112" s="43" t="n"/>
      <c r="Y112" s="43" t="n"/>
      <c r="Z112" s="43" t="n"/>
      <c r="AA112" s="43" t="n"/>
      <c r="AB112" s="43" t="n"/>
    </row>
    <row r="113" ht="14.25" customHeight="1" s="83">
      <c r="A113" s="43" t="n"/>
      <c r="B113" s="43" t="n"/>
      <c r="C113" s="43" t="n"/>
      <c r="D113" s="32" t="n"/>
      <c r="E113" s="43" t="n"/>
      <c r="F113" s="43" t="n"/>
      <c r="G113" s="43" t="n"/>
      <c r="H113" s="43" t="n"/>
      <c r="I113" s="43" t="n"/>
      <c r="J113" s="43" t="n"/>
      <c r="K113" s="43" t="n"/>
      <c r="L113" s="43" t="n"/>
      <c r="M113" s="43" t="n"/>
      <c r="N113" s="43" t="n"/>
      <c r="O113" s="43" t="n"/>
      <c r="P113" s="43" t="n"/>
      <c r="Q113" s="43" t="n"/>
      <c r="R113" s="43" t="n"/>
      <c r="S113" s="43" t="n"/>
      <c r="T113" s="43" t="n"/>
      <c r="U113" s="43" t="n"/>
      <c r="V113" s="43" t="n"/>
      <c r="W113" s="43" t="n"/>
      <c r="X113" s="43" t="n"/>
      <c r="Y113" s="43" t="n"/>
      <c r="Z113" s="43" t="n"/>
      <c r="AA113" s="43" t="n"/>
      <c r="AB113" s="43" t="n"/>
    </row>
    <row r="114" ht="14.25" customHeight="1" s="83">
      <c r="A114" s="21" t="inlineStr">
        <is>
          <t>VERSICHERUNGEN &amp; BANK</t>
        </is>
      </c>
      <c r="B114" s="22" t="n"/>
      <c r="C114" s="22" t="n"/>
      <c r="D114" s="22" t="n"/>
      <c r="E114" s="43" t="n"/>
      <c r="F114" s="43" t="n"/>
      <c r="G114" s="43" t="n"/>
      <c r="H114" s="43" t="n"/>
      <c r="I114" s="43" t="n"/>
      <c r="J114" s="43" t="n"/>
      <c r="K114" s="43" t="n"/>
      <c r="L114" s="43" t="n"/>
      <c r="M114" s="43" t="n"/>
      <c r="N114" s="43" t="n"/>
      <c r="O114" s="43" t="n"/>
      <c r="P114" s="43" t="n"/>
      <c r="Q114" s="43" t="n"/>
      <c r="R114" s="43" t="n"/>
      <c r="S114" s="43" t="n"/>
      <c r="T114" s="43" t="n"/>
      <c r="U114" s="43" t="n"/>
      <c r="V114" s="43" t="n"/>
      <c r="W114" s="43" t="n"/>
      <c r="X114" s="43" t="n"/>
      <c r="Y114" s="43" t="n"/>
      <c r="Z114" s="43" t="n"/>
      <c r="AA114" s="43" t="n"/>
      <c r="AB114" s="43" t="n"/>
    </row>
    <row r="115" ht="14.25" customHeight="1" s="83">
      <c r="A115" s="38" t="inlineStr">
        <is>
          <t>D&amp;O Versicherung/Jahr</t>
        </is>
      </c>
      <c r="B115" s="29" t="n">
        <v>3000</v>
      </c>
      <c r="C115" s="25" t="inlineStr">
        <is>
          <t>Directors &amp; Officers €/Jahr
Schutz für Management (Standard-Satz).</t>
        </is>
      </c>
      <c r="D115" s="25" t="n"/>
      <c r="E115" s="43" t="n"/>
      <c r="F115" s="43" t="n"/>
      <c r="G115" s="43" t="n"/>
      <c r="H115" s="43" t="n"/>
      <c r="I115" s="43" t="n"/>
      <c r="J115" s="43" t="n"/>
      <c r="K115" s="43" t="n"/>
      <c r="L115" s="43" t="n"/>
      <c r="M115" s="43" t="n"/>
      <c r="N115" s="43" t="n"/>
      <c r="O115" s="43" t="n"/>
      <c r="P115" s="43" t="n"/>
      <c r="Q115" s="43" t="n"/>
      <c r="R115" s="43" t="n"/>
      <c r="S115" s="43" t="n"/>
      <c r="T115" s="43" t="n"/>
      <c r="U115" s="43" t="n"/>
      <c r="V115" s="43" t="n"/>
      <c r="W115" s="43" t="n"/>
      <c r="X115" s="43" t="n"/>
      <c r="Y115" s="43" t="n"/>
      <c r="Z115" s="43" t="n"/>
      <c r="AA115" s="43" t="n"/>
      <c r="AB115" s="43" t="n"/>
    </row>
    <row r="116" ht="14.25" customHeight="1" s="83">
      <c r="A116" s="38" t="inlineStr">
        <is>
          <t>Betriebshaftpflicht/Jahr</t>
        </is>
      </c>
      <c r="B116" s="29" t="n">
        <v>1500</v>
      </c>
      <c r="C116" s="25" t="inlineStr">
        <is>
          <t>€/Jahr
Deckung für industrielle Software-Einsätze.</t>
        </is>
      </c>
      <c r="D116" s="25" t="n"/>
      <c r="E116" s="43" t="n"/>
      <c r="F116" s="43" t="n"/>
      <c r="G116" s="43" t="n"/>
      <c r="H116" s="43" t="n"/>
      <c r="I116" s="43" t="n"/>
      <c r="J116" s="43" t="n"/>
      <c r="K116" s="43" t="n"/>
      <c r="L116" s="43" t="n"/>
      <c r="M116" s="43" t="n"/>
      <c r="N116" s="43" t="n"/>
      <c r="O116" s="43" t="n"/>
      <c r="P116" s="43" t="n"/>
      <c r="Q116" s="43" t="n"/>
      <c r="R116" s="43" t="n"/>
      <c r="S116" s="43" t="n"/>
      <c r="T116" s="43" t="n"/>
      <c r="U116" s="43" t="n"/>
      <c r="V116" s="43" t="n"/>
      <c r="W116" s="43" t="n"/>
      <c r="X116" s="43" t="n"/>
      <c r="Y116" s="43" t="n"/>
      <c r="Z116" s="43" t="n"/>
      <c r="AA116" s="43" t="n"/>
      <c r="AB116" s="43" t="n"/>
    </row>
    <row r="117" ht="14.25" customHeight="1" s="83">
      <c r="A117" s="38" t="inlineStr">
        <is>
          <t>Cyber-Versicherung/Jahr</t>
        </is>
      </c>
      <c r="B117" s="29" t="n">
        <v>2000</v>
      </c>
      <c r="C117" s="25" t="inlineStr">
        <is>
          <t>€/Jahr
Kritisch bei Verarbeitung von Kundendaten (IP-Schutz).</t>
        </is>
      </c>
      <c r="D117" s="25"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c r="AA117" s="43" t="n"/>
      <c r="AB117" s="43" t="n"/>
    </row>
    <row r="118" ht="14.25" customHeight="1" s="83">
      <c r="A118" s="38" t="inlineStr">
        <is>
          <t>Bankgebühren</t>
        </is>
      </c>
      <c r="B118" s="29" t="n">
        <v>50</v>
      </c>
      <c r="C118" s="25" t="inlineStr">
        <is>
          <t>Kontoführung €/Monat</t>
        </is>
      </c>
      <c r="D118" s="25" t="n"/>
      <c r="E118" s="43" t="n"/>
      <c r="F118" s="43" t="n"/>
      <c r="G118" s="43" t="n"/>
      <c r="H118" s="43" t="n"/>
      <c r="I118" s="43" t="n"/>
      <c r="J118" s="43" t="n"/>
      <c r="K118" s="43" t="n"/>
      <c r="L118" s="43" t="n"/>
      <c r="M118" s="43" t="n"/>
      <c r="N118" s="43" t="n"/>
      <c r="O118" s="43" t="n"/>
      <c r="P118" s="43" t="n"/>
      <c r="Q118" s="43" t="n"/>
      <c r="R118" s="43" t="n"/>
      <c r="S118" s="43" t="n"/>
      <c r="T118" s="43" t="n"/>
      <c r="U118" s="43" t="n"/>
      <c r="V118" s="43" t="n"/>
      <c r="W118" s="43" t="n"/>
      <c r="X118" s="43" t="n"/>
      <c r="Y118" s="43" t="n"/>
      <c r="Z118" s="43" t="n"/>
      <c r="AA118" s="43" t="n"/>
      <c r="AB118" s="43" t="n"/>
    </row>
    <row r="119" ht="14.25" customHeight="1" s="83">
      <c r="A119" s="38" t="inlineStr">
        <is>
          <t>Payment Processing</t>
        </is>
      </c>
      <c r="B119" s="33" t="n">
        <v>0.025</v>
      </c>
      <c r="C119" s="25" t="inlineStr">
        <is>
          <t>Stripe/PayPal ~2-3% vom Umsatz
Anteil am Umsatz für SaaS-Billing-Systeme (Stripe etc.).</t>
        </is>
      </c>
      <c r="D119" s="25" t="n"/>
      <c r="E119" s="43" t="n"/>
      <c r="F119" s="43" t="n"/>
      <c r="G119" s="43" t="n"/>
      <c r="H119" s="43" t="n"/>
      <c r="I119" s="43" t="n"/>
      <c r="J119" s="43" t="n"/>
      <c r="K119" s="43" t="n"/>
      <c r="L119" s="43" t="n"/>
      <c r="M119" s="43" t="n"/>
      <c r="N119" s="43" t="n"/>
      <c r="O119" s="43" t="n"/>
      <c r="P119" s="43" t="n"/>
      <c r="Q119" s="43" t="n"/>
      <c r="R119" s="43" t="n"/>
      <c r="S119" s="43" t="n"/>
      <c r="T119" s="43" t="n"/>
      <c r="U119" s="43" t="n"/>
      <c r="V119" s="43" t="n"/>
      <c r="W119" s="43" t="n"/>
      <c r="X119" s="43" t="n"/>
      <c r="Y119" s="43" t="n"/>
      <c r="Z119" s="43" t="n"/>
      <c r="AA119" s="43" t="n"/>
      <c r="AB119" s="43" t="n"/>
    </row>
    <row r="120" ht="14.25" customHeight="1" s="83">
      <c r="A120" s="43" t="n"/>
      <c r="B120" s="43" t="n"/>
      <c r="C120" s="43" t="n"/>
      <c r="D120" s="32" t="n"/>
      <c r="E120" s="43" t="n"/>
      <c r="F120" s="43" t="n"/>
      <c r="G120" s="43" t="n"/>
      <c r="H120" s="43" t="n"/>
      <c r="I120" s="43" t="n"/>
      <c r="J120" s="43" t="n"/>
      <c r="K120" s="43" t="n"/>
      <c r="L120" s="43" t="n"/>
      <c r="M120" s="43" t="n"/>
      <c r="N120" s="43" t="n"/>
      <c r="O120" s="43" t="n"/>
      <c r="P120" s="43" t="n"/>
      <c r="Q120" s="43" t="n"/>
      <c r="R120" s="43" t="n"/>
      <c r="S120" s="43" t="n"/>
      <c r="T120" s="43" t="n"/>
      <c r="U120" s="43" t="n"/>
      <c r="V120" s="43" t="n"/>
      <c r="W120" s="43" t="n"/>
      <c r="X120" s="43" t="n"/>
      <c r="Y120" s="43" t="n"/>
      <c r="Z120" s="43" t="n"/>
      <c r="AA120" s="43" t="n"/>
      <c r="AB120" s="43" t="n"/>
    </row>
    <row r="121" ht="14.25" customHeight="1" s="83">
      <c r="A121" s="21" t="inlineStr">
        <is>
          <t>MARKETING &amp; SALES</t>
        </is>
      </c>
      <c r="B121" s="22" t="n"/>
      <c r="C121" s="22" t="n"/>
      <c r="D121" s="22" t="n"/>
      <c r="E121" s="43" t="n"/>
      <c r="F121" s="43" t="n"/>
      <c r="G121" s="43" t="n"/>
      <c r="H121" s="43" t="n"/>
      <c r="I121" s="43" t="n"/>
      <c r="J121" s="43" t="n"/>
      <c r="K121" s="43" t="n"/>
      <c r="L121" s="43" t="n"/>
      <c r="M121" s="43" t="n"/>
      <c r="N121" s="43" t="n"/>
      <c r="O121" s="43" t="n"/>
      <c r="P121" s="43" t="n"/>
      <c r="Q121" s="43" t="n"/>
      <c r="R121" s="43" t="n"/>
      <c r="S121" s="43" t="n"/>
      <c r="T121" s="43" t="n"/>
      <c r="U121" s="43" t="n"/>
      <c r="V121" s="43" t="n"/>
      <c r="W121" s="43" t="n"/>
      <c r="X121" s="43" t="n"/>
      <c r="Y121" s="43" t="n"/>
      <c r="Z121" s="43" t="n"/>
      <c r="AA121" s="43" t="n"/>
      <c r="AB121" s="43" t="n"/>
    </row>
    <row r="122" ht="14.25" customHeight="1" s="83">
      <c r="A122" s="38" t="inlineStr">
        <is>
          <t>Paid Ads Budget Initial</t>
        </is>
      </c>
      <c r="B122" s="29" t="n">
        <v>1000</v>
      </c>
      <c r="C122" s="25" t="inlineStr">
        <is>
          <t>Google, LinkedIn etc. €/Monat
Fokus eher auf Content/SEO (Industrie-Vertrieb).</t>
        </is>
      </c>
      <c r="D122" s="25" t="inlineStr">
        <is>
          <t>300→1.000 €/Monat (Treiber-Matrix)</t>
        </is>
      </c>
      <c r="E122" s="43" t="n"/>
      <c r="F122" s="43" t="n"/>
      <c r="G122" s="43" t="n"/>
      <c r="H122" s="43" t="n"/>
      <c r="I122" s="43" t="n"/>
      <c r="J122" s="43" t="n"/>
      <c r="K122" s="43" t="n"/>
      <c r="L122" s="43" t="n"/>
      <c r="M122" s="43" t="n"/>
      <c r="N122" s="43" t="n"/>
      <c r="O122" s="43" t="n"/>
      <c r="P122" s="43" t="n"/>
      <c r="Q122" s="43" t="n"/>
      <c r="R122" s="43" t="n"/>
      <c r="S122" s="43" t="n"/>
      <c r="T122" s="43" t="n"/>
      <c r="U122" s="43" t="n"/>
      <c r="V122" s="43" t="n"/>
      <c r="W122" s="43" t="n"/>
      <c r="X122" s="43" t="n"/>
      <c r="Y122" s="43" t="n"/>
      <c r="Z122" s="43" t="n"/>
      <c r="AA122" s="43" t="n"/>
      <c r="AB122" s="43" t="n"/>
    </row>
    <row r="123" ht="14.25" customHeight="1" s="83">
      <c r="A123" s="38" t="inlineStr">
        <is>
          <t>Ads Budget Wachstum/Monat</t>
        </is>
      </c>
      <c r="B123" s="33" t="n">
        <v>0.03</v>
      </c>
      <c r="C123" s="25" t="inlineStr">
        <is>
          <t>Monatliche Steigerung
Skalierung mit Marktbekanntheit.</t>
        </is>
      </c>
      <c r="D123" s="25" t="n"/>
      <c r="E123" s="43" t="n"/>
      <c r="F123" s="43" t="n"/>
      <c r="G123" s="43" t="n"/>
      <c r="H123" s="43" t="n"/>
      <c r="I123" s="43" t="n"/>
      <c r="J123" s="43" t="n"/>
      <c r="K123" s="43" t="n"/>
      <c r="L123" s="43" t="n"/>
      <c r="M123" s="43" t="n"/>
      <c r="N123" s="43" t="n"/>
      <c r="O123" s="43" t="n"/>
      <c r="P123" s="43" t="n"/>
      <c r="Q123" s="43" t="n"/>
      <c r="R123" s="43" t="n"/>
      <c r="S123" s="43" t="n"/>
      <c r="T123" s="43" t="n"/>
      <c r="U123" s="43" t="n"/>
      <c r="V123" s="43" t="n"/>
      <c r="W123" s="43" t="n"/>
      <c r="X123" s="43" t="n"/>
      <c r="Y123" s="43" t="n"/>
      <c r="Z123" s="43" t="n"/>
      <c r="AA123" s="43" t="n"/>
      <c r="AB123" s="43" t="n"/>
    </row>
    <row r="124" ht="14.25" customHeight="1" s="83">
      <c r="A124" s="38" t="inlineStr">
        <is>
          <t>Content &amp; SEO</t>
        </is>
      </c>
      <c r="B124" s="29" t="n">
        <v>2500</v>
      </c>
      <c r="C124" s="25" t="inlineStr">
        <is>
          <t>€/Monat
Fokus auf Whitepaper zu ROI; TCO und DPP-Compliance.</t>
        </is>
      </c>
      <c r="D124" s="25" t="inlineStr">
        <is>
          <t>1.000→2.500 €/Monat (Treiber-Matrix)</t>
        </is>
      </c>
      <c r="E124" s="43" t="n"/>
      <c r="F124" s="43" t="n"/>
      <c r="G124" s="43" t="n"/>
      <c r="H124" s="43" t="n"/>
      <c r="I124" s="43" t="n"/>
      <c r="J124" s="43" t="n"/>
      <c r="K124" s="43" t="n"/>
      <c r="L124" s="43" t="n"/>
      <c r="M124" s="43" t="n"/>
      <c r="N124" s="43" t="n"/>
      <c r="O124" s="43" t="n"/>
      <c r="P124" s="43" t="n"/>
      <c r="Q124" s="43" t="n"/>
      <c r="R124" s="43" t="n"/>
      <c r="S124" s="43" t="n"/>
      <c r="T124" s="43" t="n"/>
      <c r="U124" s="43" t="n"/>
      <c r="V124" s="43" t="n"/>
      <c r="W124" s="43" t="n"/>
      <c r="X124" s="43" t="n"/>
      <c r="Y124" s="43" t="n"/>
      <c r="Z124" s="43" t="n"/>
      <c r="AA124" s="43" t="n"/>
      <c r="AB124" s="43" t="n"/>
    </row>
    <row r="125" ht="14.25" customHeight="1" s="83">
      <c r="A125" s="38" t="inlineStr">
        <is>
          <t>Events &amp; Messen/Jahr</t>
        </is>
      </c>
      <c r="B125" s="29" t="n">
        <v>50000</v>
      </c>
      <c r="C125" s="25" t="inlineStr">
        <is>
          <t>Teilnahme, Stände €/Jahr
Präsenz auf Leitmessen (Hannover Messe; SPS) ??.</t>
        </is>
      </c>
      <c r="D125" s="25" t="inlineStr">
        <is>
          <t>25.000→50.000 €/Jahr (Treiber-Matrix)</t>
        </is>
      </c>
      <c r="E125" s="43" t="n"/>
      <c r="F125" s="43" t="n"/>
      <c r="G125" s="43" t="n"/>
      <c r="H125" s="43" t="n"/>
      <c r="I125" s="43" t="n"/>
      <c r="J125" s="43" t="n"/>
      <c r="K125" s="43" t="n"/>
      <c r="L125" s="43" t="n"/>
      <c r="M125" s="43" t="n"/>
      <c r="N125" s="43" t="n"/>
      <c r="O125" s="43" t="n"/>
      <c r="P125" s="43" t="n"/>
      <c r="Q125" s="43" t="n"/>
      <c r="R125" s="43" t="n"/>
      <c r="S125" s="43" t="n"/>
      <c r="T125" s="43" t="n"/>
      <c r="U125" s="43" t="n"/>
      <c r="V125" s="43" t="n"/>
      <c r="W125" s="43" t="n"/>
      <c r="X125" s="43" t="n"/>
      <c r="Y125" s="43" t="n"/>
      <c r="Z125" s="43" t="n"/>
      <c r="AA125" s="43" t="n"/>
      <c r="AB125" s="43" t="n"/>
    </row>
    <row r="126" ht="14.25" customHeight="1" s="83">
      <c r="A126" s="38" t="inlineStr">
        <is>
          <t>Sales Tools</t>
        </is>
      </c>
      <c r="B126" s="29" t="n">
        <v>300</v>
      </c>
      <c r="C126" s="25" t="inlineStr">
        <is>
          <t>CRM, Outreach €/Monat
CRM und Sales Intelligence (unverändert).</t>
        </is>
      </c>
      <c r="D126" s="25" t="n"/>
      <c r="E126" s="43" t="n"/>
      <c r="F126" s="43" t="n"/>
      <c r="G126" s="43" t="n"/>
      <c r="H126" s="43" t="n"/>
      <c r="I126" s="43" t="n"/>
      <c r="J126" s="43" t="n"/>
      <c r="K126" s="43" t="n"/>
      <c r="L126" s="43" t="n"/>
      <c r="M126" s="43" t="n"/>
      <c r="N126" s="43" t="n"/>
      <c r="O126" s="43" t="n"/>
      <c r="P126" s="43" t="n"/>
      <c r="Q126" s="43" t="n"/>
      <c r="R126" s="43" t="n"/>
      <c r="S126" s="43" t="n"/>
      <c r="T126" s="43" t="n"/>
      <c r="U126" s="43" t="n"/>
      <c r="V126" s="43" t="n"/>
      <c r="W126" s="43" t="n"/>
      <c r="X126" s="43" t="n"/>
      <c r="Y126" s="43" t="n"/>
      <c r="Z126" s="43" t="n"/>
      <c r="AA126" s="43" t="n"/>
      <c r="AB126" s="43" t="n"/>
    </row>
    <row r="127" ht="14.25" customHeight="1" s="83">
      <c r="A127" s="38" t="inlineStr">
        <is>
          <t>Sales Provision</t>
        </is>
      </c>
      <c r="B127" s="33" t="n">
        <v>0.12</v>
      </c>
      <c r="C127" s="25" t="inlineStr">
        <is>
          <t>Vertriebsprovision % vom neuen ARR
Anteil am neuen ARR als Anreiz für Verkäufer (AEs).</t>
        </is>
      </c>
      <c r="D127" s="25" t="inlineStr">
        <is>
          <t>8%→12% vom neuen ARR (Treiber-Matrix)</t>
        </is>
      </c>
      <c r="E127" s="43" t="n"/>
      <c r="F127" s="43" t="n"/>
      <c r="G127" s="43" t="n"/>
      <c r="H127" s="43" t="n"/>
      <c r="I127" s="43" t="n"/>
      <c r="J127" s="43" t="n"/>
      <c r="K127" s="43" t="n"/>
      <c r="L127" s="43" t="n"/>
      <c r="M127" s="43" t="n"/>
      <c r="N127" s="43" t="n"/>
      <c r="O127" s="43" t="n"/>
      <c r="P127" s="43" t="n"/>
      <c r="Q127" s="43" t="n"/>
      <c r="R127" s="43" t="n"/>
      <c r="S127" s="43" t="n"/>
      <c r="T127" s="43" t="n"/>
      <c r="U127" s="43" t="n"/>
      <c r="V127" s="43" t="n"/>
      <c r="W127" s="43" t="n"/>
      <c r="X127" s="43" t="n"/>
      <c r="Y127" s="43" t="n"/>
      <c r="Z127" s="43" t="n"/>
      <c r="AA127" s="43" t="n"/>
      <c r="AB127" s="43" t="n"/>
    </row>
    <row r="128" ht="14.25" customHeight="1" s="83">
      <c r="A128" s="38" t="inlineStr">
        <is>
          <t>Reisekosten Sales/MA/Monat</t>
        </is>
      </c>
      <c r="B128" s="29" t="n">
        <v>700</v>
      </c>
      <c r="C128" s="25" t="inlineStr">
        <is>
          <t>€/MA/Monat
Notwendig für Werksbegehungen und Kundenbesuche.</t>
        </is>
      </c>
      <c r="D128" s="25" t="inlineStr">
        <is>
          <t>300→700 €/MA/Monat (Treiber-Matrix)</t>
        </is>
      </c>
      <c r="E128" s="43" t="n"/>
      <c r="F128" s="43" t="n"/>
      <c r="G128" s="43" t="n"/>
      <c r="H128" s="43" t="n"/>
      <c r="I128" s="43" t="n"/>
      <c r="J128" s="43" t="n"/>
      <c r="K128" s="43" t="n"/>
      <c r="L128" s="43" t="n"/>
      <c r="M128" s="43" t="n"/>
      <c r="N128" s="43" t="n"/>
      <c r="O128" s="43" t="n"/>
      <c r="P128" s="43" t="n"/>
      <c r="Q128" s="43" t="n"/>
      <c r="R128" s="43" t="n"/>
      <c r="S128" s="43" t="n"/>
      <c r="T128" s="43" t="n"/>
      <c r="U128" s="43" t="n"/>
      <c r="V128" s="43" t="n"/>
      <c r="W128" s="43" t="n"/>
      <c r="X128" s="43" t="n"/>
      <c r="Y128" s="43" t="n"/>
      <c r="Z128" s="43" t="n"/>
      <c r="AA128" s="43" t="n"/>
      <c r="AB128" s="43" t="n"/>
    </row>
    <row r="129" ht="14.25" customHeight="1" s="83">
      <c r="A129" s="43" t="n"/>
      <c r="B129" s="43" t="n"/>
      <c r="C129" s="43" t="n"/>
      <c r="D129" s="32" t="n"/>
      <c r="E129" s="43" t="n"/>
      <c r="F129" s="43" t="n"/>
      <c r="G129" s="43" t="n"/>
      <c r="H129" s="43" t="n"/>
      <c r="I129" s="43" t="n"/>
      <c r="J129" s="43" t="n"/>
      <c r="K129" s="43" t="n"/>
      <c r="L129" s="43" t="n"/>
      <c r="M129" s="43" t="n"/>
      <c r="N129" s="43" t="n"/>
      <c r="O129" s="43" t="n"/>
      <c r="P129" s="43" t="n"/>
      <c r="Q129" s="43" t="n"/>
      <c r="R129" s="43" t="n"/>
      <c r="S129" s="43" t="n"/>
      <c r="T129" s="43" t="n"/>
      <c r="U129" s="43" t="n"/>
      <c r="V129" s="43" t="n"/>
      <c r="W129" s="43" t="n"/>
      <c r="X129" s="43" t="n"/>
      <c r="Y129" s="43" t="n"/>
      <c r="Z129" s="43" t="n"/>
      <c r="AA129" s="43" t="n"/>
      <c r="AB129" s="43" t="n"/>
    </row>
    <row r="130" ht="14.25" customHeight="1" s="83">
      <c r="A130" s="21" t="inlineStr">
        <is>
          <t>SONSTIGE KOSTEN</t>
        </is>
      </c>
      <c r="B130" s="22" t="n"/>
      <c r="C130" s="22" t="n"/>
      <c r="D130" s="22" t="n"/>
      <c r="E130" s="43" t="n"/>
      <c r="F130" s="43" t="n"/>
      <c r="G130" s="43" t="n"/>
      <c r="H130" s="43" t="n"/>
      <c r="I130" s="43" t="n"/>
      <c r="J130" s="43" t="n"/>
      <c r="K130" s="43" t="n"/>
      <c r="L130" s="43" t="n"/>
      <c r="M130" s="43" t="n"/>
      <c r="N130" s="43" t="n"/>
      <c r="O130" s="43" t="n"/>
      <c r="P130" s="43" t="n"/>
      <c r="Q130" s="43" t="n"/>
      <c r="R130" s="43" t="n"/>
      <c r="S130" s="43" t="n"/>
      <c r="T130" s="43" t="n"/>
      <c r="U130" s="43" t="n"/>
      <c r="V130" s="43" t="n"/>
      <c r="W130" s="43" t="n"/>
      <c r="X130" s="43" t="n"/>
      <c r="Y130" s="43" t="n"/>
      <c r="Z130" s="43" t="n"/>
      <c r="AA130" s="43" t="n"/>
      <c r="AB130" s="43" t="n"/>
    </row>
    <row r="131" ht="14.25" customHeight="1" s="83">
      <c r="A131" s="38" t="inlineStr">
        <is>
          <t>Reisekosten allgemein/MA/Jahr</t>
        </is>
      </c>
      <c r="B131" s="29" t="n">
        <v>2000</v>
      </c>
      <c r="C131" s="25" t="inlineStr">
        <is>
          <t>€/MA/Jahr</t>
        </is>
      </c>
      <c r="D131" s="37" t="inlineStr">
        <is>
          <t>Team-Mobilität und Kooperationen.</t>
        </is>
      </c>
      <c r="E131" s="43" t="n"/>
      <c r="F131" s="43" t="n"/>
      <c r="G131" s="43" t="n"/>
      <c r="H131" s="43" t="n"/>
      <c r="I131" s="43" t="n"/>
      <c r="J131" s="43" t="n"/>
      <c r="K131" s="43" t="n"/>
      <c r="L131" s="43" t="n"/>
      <c r="M131" s="43" t="n"/>
      <c r="N131" s="43" t="n"/>
      <c r="O131" s="43" t="n"/>
      <c r="P131" s="43" t="n"/>
      <c r="Q131" s="43" t="n"/>
      <c r="R131" s="43" t="n"/>
      <c r="S131" s="43" t="n"/>
      <c r="T131" s="43" t="n"/>
      <c r="U131" s="43" t="n"/>
      <c r="V131" s="43" t="n"/>
      <c r="W131" s="43" t="n"/>
      <c r="X131" s="43" t="n"/>
      <c r="Y131" s="43" t="n"/>
      <c r="Z131" s="43" t="n"/>
      <c r="AA131" s="43" t="n"/>
      <c r="AB131" s="43" t="n"/>
    </row>
    <row r="132" ht="14.25" customHeight="1" s="83">
      <c r="A132" s="38" t="inlineStr">
        <is>
          <t>Weiterbildung/MA/Jahr</t>
        </is>
      </c>
      <c r="B132" s="29" t="n">
        <v>1500</v>
      </c>
      <c r="C132" s="25" t="inlineStr">
        <is>
          <t>€/MA/Jahr</t>
        </is>
      </c>
      <c r="D132" s="37" t="inlineStr">
        <is>
          <t>Besonders wichtig im ML-Bereich (Konferenzen/Kurse).</t>
        </is>
      </c>
      <c r="E132" s="43" t="n"/>
      <c r="F132" s="43" t="n"/>
      <c r="G132" s="43" t="n"/>
      <c r="H132" s="43" t="n"/>
      <c r="I132" s="43" t="n"/>
      <c r="J132" s="43" t="n"/>
      <c r="K132" s="43" t="n"/>
      <c r="L132" s="43" t="n"/>
      <c r="M132" s="43" t="n"/>
      <c r="N132" s="43" t="n"/>
      <c r="O132" s="43" t="n"/>
      <c r="P132" s="43" t="n"/>
      <c r="Q132" s="43" t="n"/>
      <c r="R132" s="43" t="n"/>
      <c r="S132" s="43" t="n"/>
      <c r="T132" s="43" t="n"/>
      <c r="U132" s="43" t="n"/>
      <c r="V132" s="43" t="n"/>
      <c r="W132" s="43" t="n"/>
      <c r="X132" s="43" t="n"/>
      <c r="Y132" s="43" t="n"/>
      <c r="Z132" s="43" t="n"/>
      <c r="AA132" s="43" t="n"/>
      <c r="AB132" s="43" t="n"/>
    </row>
    <row r="133" ht="14.25" customHeight="1" s="83">
      <c r="A133" s="38" t="inlineStr">
        <is>
          <t>Team Events/MA/Jahr</t>
        </is>
      </c>
      <c r="B133" s="29" t="n">
        <v>1000</v>
      </c>
      <c r="C133" s="25" t="inlineStr">
        <is>
          <t>€/MA/Jahr</t>
        </is>
      </c>
      <c r="D133" s="37" t="inlineStr">
        <is>
          <t>Mitarbeiterbindung im kompetitiven Berliner Markt.</t>
        </is>
      </c>
      <c r="E133" s="43" t="n"/>
      <c r="F133" s="43" t="n"/>
      <c r="G133" s="43" t="n"/>
      <c r="H133" s="43" t="n"/>
      <c r="I133" s="43" t="n"/>
      <c r="J133" s="43" t="n"/>
      <c r="K133" s="43" t="n"/>
      <c r="L133" s="43" t="n"/>
      <c r="M133" s="43" t="n"/>
      <c r="N133" s="43" t="n"/>
      <c r="O133" s="43" t="n"/>
      <c r="P133" s="43" t="n"/>
      <c r="Q133" s="43" t="n"/>
      <c r="R133" s="43" t="n"/>
      <c r="S133" s="43" t="n"/>
      <c r="T133" s="43" t="n"/>
      <c r="U133" s="43" t="n"/>
      <c r="V133" s="43" t="n"/>
      <c r="W133" s="43" t="n"/>
      <c r="X133" s="43" t="n"/>
      <c r="Y133" s="43" t="n"/>
      <c r="Z133" s="43" t="n"/>
      <c r="AA133" s="43" t="n"/>
      <c r="AB133" s="43" t="n"/>
    </row>
    <row r="134" ht="14.25" customHeight="1" s="83">
      <c r="A134" s="38" t="inlineStr">
        <is>
          <t>Sonstiges/Puffer</t>
        </is>
      </c>
      <c r="B134" s="33" t="n">
        <v>0.05</v>
      </c>
      <c r="C134" s="25" t="inlineStr">
        <is>
          <t>% der OpEx, Unvorhergesehenes</t>
        </is>
      </c>
      <c r="D134" s="37" t="inlineStr">
        <is>
          <t>Vorsichtsprinzip für ungeplante Ausgaben (OpEx).</t>
        </is>
      </c>
      <c r="E134" s="43" t="n"/>
      <c r="F134" s="43" t="n"/>
      <c r="G134" s="43" t="n"/>
      <c r="H134" s="43" t="n"/>
      <c r="I134" s="43" t="n"/>
      <c r="J134" s="43" t="n"/>
      <c r="K134" s="43" t="n"/>
      <c r="L134" s="43" t="n"/>
      <c r="M134" s="43" t="n"/>
      <c r="N134" s="43" t="n"/>
      <c r="O134" s="43" t="n"/>
      <c r="P134" s="43" t="n"/>
      <c r="Q134" s="43" t="n"/>
      <c r="R134" s="43" t="n"/>
      <c r="S134" s="43" t="n"/>
      <c r="T134" s="43" t="n"/>
      <c r="U134" s="43" t="n"/>
      <c r="V134" s="43" t="n"/>
      <c r="W134" s="43" t="n"/>
      <c r="X134" s="43" t="n"/>
      <c r="Y134" s="43" t="n"/>
      <c r="Z134" s="43" t="n"/>
      <c r="AA134" s="43" t="n"/>
      <c r="AB134" s="43" t="n"/>
    </row>
    <row r="135" ht="14.25" customHeight="1" s="83">
      <c r="A135" s="38" t="inlineStr">
        <is>
          <t>Abschreibungsdauer Jahre</t>
        </is>
      </c>
      <c r="B135" s="24" t="n">
        <v>3</v>
      </c>
      <c r="C135" s="25" t="inlineStr">
        <is>
          <t>Für CapEx, typisch 3-5 Jahre</t>
        </is>
      </c>
      <c r="D135" s="37" t="inlineStr">
        <is>
          <t>Standard für Hardware und Lizenzen (CapEx).</t>
        </is>
      </c>
      <c r="E135" s="43" t="n"/>
      <c r="F135" s="43" t="n"/>
      <c r="G135" s="43" t="n"/>
      <c r="H135" s="43" t="n"/>
      <c r="I135" s="43" t="n"/>
      <c r="J135" s="43" t="n"/>
      <c r="K135" s="43" t="n"/>
      <c r="L135" s="43" t="n"/>
      <c r="M135" s="43" t="n"/>
      <c r="N135" s="43" t="n"/>
      <c r="O135" s="43" t="n"/>
      <c r="P135" s="43" t="n"/>
      <c r="Q135" s="43" t="n"/>
      <c r="R135" s="43" t="n"/>
      <c r="S135" s="43" t="n"/>
      <c r="T135" s="43" t="n"/>
      <c r="U135" s="43" t="n"/>
      <c r="V135" s="43" t="n"/>
      <c r="W135" s="43" t="n"/>
      <c r="X135" s="43" t="n"/>
      <c r="Y135" s="43" t="n"/>
      <c r="Z135" s="43" t="n"/>
      <c r="AA135" s="43" t="n"/>
      <c r="AB135" s="43" t="n"/>
    </row>
    <row r="136" ht="20" customHeight="1" s="83">
      <c r="A136" s="127" t="inlineStr">
        <is>
          <t>ℹ DATENFLUSS CONSULTING:  Szenarien_Analyse (Z.5 Wskt. / Z.8 Tage / Z.11 Startmonat)  →  Sandbox (Z.11 Tage / Z.12 Wskt. / Z.15 Startmonat)  →  Inputs (Z.138 Tagessatz / Z.139 Wskt. / Z.140 Tage / Z.141 Startmonat)  →  Revenue Z.28-29 → P&amp;L</t>
        </is>
      </c>
      <c r="B136" s="128" t="n"/>
      <c r="C136" s="128" t="n"/>
      <c r="D136" s="128" t="n"/>
      <c r="E136" s="129" t="n"/>
      <c r="F136" s="43" t="n"/>
      <c r="G136" s="43" t="n"/>
      <c r="H136" s="43" t="n"/>
      <c r="I136" s="43" t="n"/>
      <c r="J136" s="43" t="n"/>
      <c r="K136" s="43" t="n"/>
      <c r="L136" s="43" t="n"/>
      <c r="M136" s="43" t="n"/>
      <c r="N136" s="43" t="n"/>
      <c r="O136" s="43" t="n"/>
      <c r="P136" s="43" t="n"/>
      <c r="Q136" s="43" t="n"/>
      <c r="R136" s="43" t="n"/>
      <c r="S136" s="43" t="n"/>
      <c r="T136" s="43" t="n"/>
      <c r="U136" s="43" t="n"/>
      <c r="V136" s="43" t="n"/>
      <c r="W136" s="43" t="n"/>
      <c r="X136" s="43" t="n"/>
      <c r="Y136" s="43" t="n"/>
      <c r="Z136" s="43" t="n"/>
      <c r="AA136" s="43" t="n"/>
      <c r="AB136" s="43" t="n"/>
    </row>
    <row r="137" ht="14.25" customHeight="1" s="83">
      <c r="A137" s="105" t="inlineStr">
        <is>
          <t>CONSULTING REVENUE-PARAMETER</t>
        </is>
      </c>
      <c r="B137" s="106" t="n"/>
      <c r="C137" s="106" t="n"/>
      <c r="D137" s="107" t="n"/>
      <c r="E137" s="106" t="n"/>
      <c r="F137" s="43" t="n"/>
      <c r="G137" s="43" t="n"/>
      <c r="H137" s="43" t="n"/>
      <c r="I137" s="43" t="n"/>
      <c r="J137" s="43" t="n"/>
      <c r="K137" s="43" t="n"/>
      <c r="L137" s="43" t="n"/>
      <c r="M137" s="43" t="n"/>
      <c r="N137" s="43" t="n"/>
      <c r="O137" s="43" t="n"/>
      <c r="P137" s="43" t="n"/>
      <c r="Q137" s="43" t="n"/>
      <c r="R137" s="43" t="n"/>
      <c r="S137" s="43" t="n"/>
      <c r="T137" s="43" t="n"/>
      <c r="U137" s="43" t="n"/>
      <c r="V137" s="43" t="n"/>
      <c r="W137" s="43" t="n"/>
      <c r="X137" s="43" t="n"/>
      <c r="Y137" s="43" t="n"/>
      <c r="Z137" s="43" t="n"/>
      <c r="AA137" s="43" t="n"/>
      <c r="AB137" s="43" t="n"/>
    </row>
    <row r="138" ht="60" customHeight="1" s="83">
      <c r="A138" s="108" t="inlineStr">
        <is>
          <t>Consulting Tagessatz (€/Tag)</t>
        </is>
      </c>
      <c r="B138" s="109">
        <f>VLOOKUP("Consulting-Tagessatz",'00_Input_Sandbox'!$B$3:$F$20,'00_Input_Sandbox'!$B$2-1,FALSE)</f>
        <v/>
      </c>
      <c r="C138" s="110" t="inlineStr">
        <is>
          <t>EUR pro Beratertag je Szenario: gering=1.000€ | normal=1.200€ | stark=1.500€</t>
        </is>
      </c>
      <c r="D138" s="111" t="inlineStr">
        <is>
          <t>Umfasst:
  a) Implementierungsbegleitung: Einführung &amp; technische Integration vor Ort
  b) Schulung: Anwenderschulung und Train-the-Trainer-Programme
  c) Spezielle Kundenanforderungen &amp; Datenbereinigung: Datenmigration, Stammdaten-Harmonisierung und kundenspez. Anpassungen</t>
        </is>
      </c>
      <c r="E138" s="110" t="inlineStr">
        <is>
          <t>Fix (marktbasiert, durch Szenario gesteuert)</t>
        </is>
      </c>
      <c r="F138" s="43" t="n"/>
      <c r="G138" s="43" t="n"/>
      <c r="H138" s="43" t="n"/>
      <c r="I138" s="43" t="n"/>
      <c r="J138" s="43" t="n"/>
      <c r="K138" s="43" t="n"/>
      <c r="L138" s="43" t="n"/>
      <c r="M138" s="43" t="n"/>
      <c r="N138" s="43" t="n"/>
      <c r="O138" s="43" t="n"/>
      <c r="P138" s="43" t="n"/>
      <c r="Q138" s="43" t="n"/>
      <c r="R138" s="43" t="n"/>
      <c r="S138" s="43" t="n"/>
      <c r="T138" s="43" t="n"/>
      <c r="U138" s="43" t="n"/>
      <c r="V138" s="43" t="n"/>
      <c r="W138" s="43" t="n"/>
      <c r="X138" s="43" t="n"/>
      <c r="Y138" s="43" t="n"/>
      <c r="Z138" s="43" t="n"/>
      <c r="AA138" s="43" t="n"/>
      <c r="AB138" s="43" t="n"/>
    </row>
    <row r="139" ht="90" customHeight="1" s="83">
      <c r="A139" s="108" t="inlineStr">
        <is>
          <t>Buchungs-Wahrscheinlichkeit Consulting je Kunde (%)</t>
        </is>
      </c>
      <c r="B139" s="130">
        <f>VLOOKUP("Buchungs-Wahrscheinlichkeit Consulting",'00_Input_Sandbox'!$B$3:$F$20,'00_Input_Sandbox'!$B$2-1,FALSE)</f>
        <v/>
      </c>
      <c r="C139" s="110" t="inlineStr">
        <is>
          <t>Wahrscheinlichkeit je Szenario (aus Szenarien_Analyse/Sandbox): gering=20% | normal=50% | stark=100%</t>
        </is>
      </c>
      <c r="D139" s="111" t="inlineStr">
        <is>
          <t>Steuerung der Buchungsquote:
a) 20 % (gering) = Konservativ – 1 von 5 Kunden kauft Consulting
b) 50 % (normal) = Realistisch  – jeder 2. Kunde kauft Consulting
c) 100 % (stark) = Voll-Auslastung – jeder Kunde kauft Consulting
Kategorien Consulting-Leistung:
  • Implementierungsbegleitung: techn. Integration vor Ort
  • Schulung: Anwenderschulung, Train-the-Trainer
  • Spez. Kundenanforderungen &amp; Datenbereinigung: Datenmigration, Stammdaten, individuelle Anpassungen</t>
        </is>
      </c>
      <c r="E139" s="110" t="inlineStr">
        <is>
          <t>Direkt anpassbar (kein Sandbox-Bezug)</t>
        </is>
      </c>
      <c r="F139" s="43" t="n"/>
      <c r="G139" s="43" t="n"/>
      <c r="H139" s="43" t="n"/>
      <c r="I139" s="43" t="n"/>
      <c r="J139" s="43" t="n"/>
      <c r="K139" s="43" t="n"/>
      <c r="L139" s="43" t="n"/>
      <c r="M139" s="43" t="n"/>
      <c r="N139" s="43" t="n"/>
      <c r="O139" s="43" t="n"/>
      <c r="P139" s="43" t="n"/>
      <c r="Q139" s="43" t="n"/>
      <c r="R139" s="43" t="n"/>
      <c r="S139" s="43" t="n"/>
      <c r="T139" s="43" t="n"/>
      <c r="U139" s="43" t="n"/>
      <c r="V139" s="43" t="n"/>
      <c r="W139" s="43" t="n"/>
      <c r="X139" s="43" t="n"/>
      <c r="Y139" s="43" t="n"/>
      <c r="Z139" s="43" t="n"/>
      <c r="AA139" s="43" t="n"/>
      <c r="AB139" s="43" t="n"/>
    </row>
    <row r="140" ht="60" customHeight="1" s="83">
      <c r="A140" s="108" t="inlineStr">
        <is>
          <t>Consulting-Tage pro Einsatz</t>
        </is>
      </c>
      <c r="B140" s="109">
        <f>VLOOKUP("Consulting-Tage/Einsatz",'00_Input_Sandbox'!$B$3:$F$20,'00_Input_Sandbox'!$B$2-1,FALSE)</f>
        <v/>
      </c>
      <c r="C140" s="110" t="inlineStr">
        <is>
          <t>Consulting-Tage je Einsatz/Kunde (aus Szenarien_Analyse/Sandbox): gering=5 | normal=10 | stark=20 Tage</t>
        </is>
      </c>
      <c r="D140" s="111" t="inlineStr">
        <is>
          <t>Umfasst:
  a) Implementierungsbegleitung: Einführung &amp; technische Integration vor Ort
  b) Schulung: Anwenderschulung und Train-the-Trainer-Programme
  c) Spezielle Kundenanforderungen &amp; Datenbereinigung: Datenmigration, Stammdaten-Harmonisierung und kundenspez. Anpassungen</t>
        </is>
      </c>
      <c r="E140" s="110" t="inlineStr">
        <is>
          <t>Szenariogesteuert (Sandbox Zeile 11)</t>
        </is>
      </c>
      <c r="F140" s="43" t="n"/>
      <c r="G140" s="43" t="n"/>
      <c r="H140" s="43" t="n"/>
      <c r="I140" s="43" t="n"/>
      <c r="J140" s="43" t="n"/>
      <c r="K140" s="43" t="n"/>
      <c r="L140" s="43" t="n"/>
      <c r="M140" s="43" t="n"/>
      <c r="N140" s="43" t="n"/>
      <c r="O140" s="43" t="n"/>
      <c r="P140" s="43" t="n"/>
      <c r="Q140" s="43" t="n"/>
      <c r="R140" s="43" t="n"/>
      <c r="S140" s="43" t="n"/>
      <c r="T140" s="43" t="n"/>
      <c r="U140" s="43" t="n"/>
      <c r="V140" s="43" t="n"/>
      <c r="W140" s="43" t="n"/>
      <c r="X140" s="43" t="n"/>
      <c r="Y140" s="43" t="n"/>
      <c r="Z140" s="43" t="n"/>
      <c r="AA140" s="43" t="n"/>
      <c r="AB140" s="43" t="n"/>
    </row>
    <row r="141" ht="55" customHeight="1" s="83">
      <c r="A141" s="176" t="inlineStr">
        <is>
          <t>Consulting-Startmonat</t>
        </is>
      </c>
      <c r="B141" s="109">
        <f>VLOOKUP("Consulting-Startmonat",'00_Input_Sandbox'!$B$3:$F$20,'00_Input_Sandbox'!$B$2-1,FALSE)</f>
        <v/>
      </c>
      <c r="C141" s="43" t="inlineStr">
        <is>
          <t>Monat des ersten Consulting-Umsatzes (aus Sandbox/Szenarien_Analyse)</t>
        </is>
      </c>
      <c r="D141" s="111" t="inlineStr">
        <is>
          <t>Treiber-Matrix Z.21: Consulting startet als Enabler vor dem SaaS-Produkt. Gering=Monat 3 | Normal=Monat 4 | Stark=Monat 6. Revenue-Formel prüft: IF(Monat &gt;= Consulting-Startmonat, Umsatz, 0).</t>
        </is>
      </c>
      <c r="E141" s="43" t="inlineStr">
        <is>
          <t>Szenariogesteuert (Sandbox Z.15)</t>
        </is>
      </c>
      <c r="F141" s="43" t="n"/>
      <c r="G141" s="43" t="n"/>
      <c r="H141" s="43" t="n"/>
      <c r="I141" s="43" t="n"/>
      <c r="J141" s="43" t="n"/>
      <c r="K141" s="43" t="n"/>
      <c r="L141" s="43" t="n"/>
      <c r="M141" s="43" t="n"/>
      <c r="N141" s="43" t="n"/>
      <c r="O141" s="43" t="n"/>
      <c r="P141" s="43" t="n"/>
      <c r="Q141" s="43" t="n"/>
      <c r="R141" s="43" t="n"/>
      <c r="S141" s="43" t="n"/>
      <c r="T141" s="43" t="n"/>
      <c r="U141" s="43" t="n"/>
      <c r="V141" s="43" t="n"/>
      <c r="W141" s="43" t="n"/>
      <c r="X141" s="43" t="n"/>
      <c r="Y141" s="43" t="n"/>
      <c r="Z141" s="43" t="n"/>
      <c r="AA141" s="43" t="n"/>
      <c r="AB141" s="43" t="n"/>
    </row>
    <row r="142" ht="14.25" customHeight="1" s="83">
      <c r="A142" s="43" t="n"/>
      <c r="B142" s="43" t="n"/>
      <c r="C142" s="43" t="n"/>
      <c r="D142" s="32" t="n"/>
      <c r="E142" s="43" t="n"/>
      <c r="F142" s="43" t="n"/>
      <c r="G142" s="43" t="n"/>
      <c r="H142" s="43" t="n"/>
      <c r="I142" s="43" t="n"/>
      <c r="J142" s="43" t="n"/>
      <c r="K142" s="43" t="n"/>
      <c r="L142" s="43" t="n"/>
      <c r="M142" s="43" t="n"/>
      <c r="N142" s="43" t="n"/>
      <c r="O142" s="43" t="n"/>
      <c r="P142" s="43" t="n"/>
      <c r="Q142" s="43" t="n"/>
      <c r="R142" s="43" t="n"/>
      <c r="S142" s="43" t="n"/>
      <c r="T142" s="43" t="n"/>
      <c r="U142" s="43" t="n"/>
      <c r="V142" s="43" t="n"/>
      <c r="W142" s="43" t="n"/>
      <c r="X142" s="43" t="n"/>
      <c r="Y142" s="43" t="n"/>
      <c r="Z142" s="43" t="n"/>
      <c r="AA142" s="43" t="n"/>
      <c r="AB142" s="43" t="n"/>
    </row>
    <row r="143" ht="14.25" customHeight="1" s="83">
      <c r="A143" s="43" t="n"/>
      <c r="B143" s="43" t="n"/>
      <c r="C143" s="43" t="n"/>
      <c r="D143" s="32" t="n"/>
      <c r="E143" s="43" t="n"/>
      <c r="F143" s="43" t="n"/>
      <c r="G143" s="43" t="n"/>
      <c r="H143" s="43" t="n"/>
      <c r="I143" s="43" t="n"/>
      <c r="J143" s="43" t="n"/>
      <c r="K143" s="43" t="n"/>
      <c r="L143" s="43" t="n"/>
      <c r="M143" s="43" t="n"/>
      <c r="N143" s="43" t="n"/>
      <c r="O143" s="43" t="n"/>
      <c r="P143" s="43" t="n"/>
      <c r="Q143" s="43" t="n"/>
      <c r="R143" s="43" t="n"/>
      <c r="S143" s="43" t="n"/>
      <c r="T143" s="43" t="n"/>
      <c r="U143" s="43" t="n"/>
      <c r="V143" s="43" t="n"/>
      <c r="W143" s="43" t="n"/>
      <c r="X143" s="43" t="n"/>
      <c r="Y143" s="43" t="n"/>
      <c r="Z143" s="43" t="n"/>
      <c r="AA143" s="43" t="n"/>
      <c r="AB143" s="43" t="n"/>
    </row>
    <row r="144" ht="14.25" customHeight="1" s="83">
      <c r="A144" s="43" t="n"/>
      <c r="B144" s="43" t="n"/>
      <c r="C144" s="43" t="n"/>
      <c r="D144" s="32" t="n"/>
      <c r="E144" s="43" t="n"/>
      <c r="F144" s="43" t="n"/>
      <c r="G144" s="43" t="n"/>
      <c r="H144" s="43" t="n"/>
      <c r="I144" s="43" t="n"/>
      <c r="J144" s="43" t="n"/>
      <c r="K144" s="43" t="n"/>
      <c r="L144" s="43" t="n"/>
      <c r="M144" s="43" t="n"/>
      <c r="N144" s="43" t="n"/>
      <c r="O144" s="43" t="n"/>
      <c r="P144" s="43" t="n"/>
      <c r="Q144" s="43" t="n"/>
      <c r="R144" s="43" t="n"/>
      <c r="S144" s="43" t="n"/>
      <c r="T144" s="43" t="n"/>
      <c r="U144" s="43" t="n"/>
      <c r="V144" s="43" t="n"/>
      <c r="W144" s="43" t="n"/>
      <c r="X144" s="43" t="n"/>
      <c r="Y144" s="43" t="n"/>
      <c r="Z144" s="43" t="n"/>
      <c r="AA144" s="43" t="n"/>
      <c r="AB144" s="43" t="n"/>
    </row>
    <row r="145" ht="14.25" customHeight="1" s="83">
      <c r="A145" s="43" t="n"/>
      <c r="B145" s="43" t="n"/>
      <c r="C145" s="43" t="n"/>
      <c r="D145" s="32" t="n"/>
      <c r="E145" s="43" t="n"/>
      <c r="F145" s="43" t="n"/>
      <c r="G145" s="43" t="n"/>
      <c r="H145" s="43" t="n"/>
      <c r="I145" s="43" t="n"/>
      <c r="J145" s="43" t="n"/>
      <c r="K145" s="43" t="n"/>
      <c r="L145" s="43" t="n"/>
      <c r="M145" s="43" t="n"/>
      <c r="N145" s="43" t="n"/>
      <c r="O145" s="43" t="n"/>
      <c r="P145" s="43" t="n"/>
      <c r="Q145" s="43" t="n"/>
      <c r="R145" s="43" t="n"/>
      <c r="S145" s="43" t="n"/>
      <c r="T145" s="43" t="n"/>
      <c r="U145" s="43" t="n"/>
      <c r="V145" s="43" t="n"/>
      <c r="W145" s="43" t="n"/>
      <c r="X145" s="43" t="n"/>
      <c r="Y145" s="43" t="n"/>
      <c r="Z145" s="43" t="n"/>
      <c r="AA145" s="43" t="n"/>
      <c r="AB145" s="43" t="n"/>
    </row>
    <row r="146" ht="14.25" customHeight="1" s="83">
      <c r="A146" s="43" t="n"/>
      <c r="B146" s="43" t="n"/>
      <c r="C146" s="43" t="n"/>
      <c r="D146" s="32" t="n"/>
      <c r="E146" s="43" t="n"/>
      <c r="F146" s="43" t="n"/>
      <c r="G146" s="43" t="n"/>
      <c r="H146" s="43" t="n"/>
      <c r="I146" s="43" t="n"/>
      <c r="J146" s="43" t="n"/>
      <c r="K146" s="43" t="n"/>
      <c r="L146" s="43" t="n"/>
      <c r="M146" s="43" t="n"/>
      <c r="N146" s="43" t="n"/>
      <c r="O146" s="43" t="n"/>
      <c r="P146" s="43" t="n"/>
      <c r="Q146" s="43" t="n"/>
      <c r="R146" s="43" t="n"/>
      <c r="S146" s="43" t="n"/>
      <c r="T146" s="43" t="n"/>
      <c r="U146" s="43" t="n"/>
      <c r="V146" s="43" t="n"/>
      <c r="W146" s="43" t="n"/>
      <c r="X146" s="43" t="n"/>
      <c r="Y146" s="43" t="n"/>
      <c r="Z146" s="43" t="n"/>
      <c r="AA146" s="43" t="n"/>
      <c r="AB146" s="43" t="n"/>
    </row>
    <row r="147" ht="14.25" customHeight="1" s="83">
      <c r="A147" s="43" t="n"/>
      <c r="B147" s="43" t="n"/>
      <c r="C147" s="43" t="n"/>
      <c r="D147" s="32" t="n"/>
      <c r="E147" s="43" t="n"/>
      <c r="F147" s="43" t="n"/>
      <c r="G147" s="43" t="n"/>
      <c r="H147" s="43" t="n"/>
      <c r="I147" s="43" t="n"/>
      <c r="J147" s="43" t="n"/>
      <c r="K147" s="43" t="n"/>
      <c r="L147" s="43" t="n"/>
      <c r="M147" s="43" t="n"/>
      <c r="N147" s="43" t="n"/>
      <c r="O147" s="43" t="n"/>
      <c r="P147" s="43" t="n"/>
      <c r="Q147" s="43" t="n"/>
      <c r="R147" s="43" t="n"/>
      <c r="S147" s="43" t="n"/>
      <c r="T147" s="43" t="n"/>
      <c r="U147" s="43" t="n"/>
      <c r="V147" s="43" t="n"/>
      <c r="W147" s="43" t="n"/>
      <c r="X147" s="43" t="n"/>
      <c r="Y147" s="43" t="n"/>
      <c r="Z147" s="43" t="n"/>
      <c r="AA147" s="43" t="n"/>
      <c r="AB147" s="43" t="n"/>
    </row>
    <row r="148" ht="14.25" customHeight="1" s="83">
      <c r="A148" s="43" t="n"/>
      <c r="B148" s="43" t="n"/>
      <c r="C148" s="43" t="n"/>
      <c r="D148" s="32" t="n"/>
      <c r="E148" s="43" t="n"/>
      <c r="F148" s="43" t="n"/>
      <c r="G148" s="43" t="n"/>
      <c r="H148" s="43" t="n"/>
      <c r="I148" s="43" t="n"/>
      <c r="J148" s="43" t="n"/>
      <c r="K148" s="43" t="n"/>
      <c r="L148" s="43" t="n"/>
      <c r="M148" s="43" t="n"/>
      <c r="N148" s="43" t="n"/>
      <c r="O148" s="43" t="n"/>
      <c r="P148" s="43" t="n"/>
      <c r="Q148" s="43" t="n"/>
      <c r="R148" s="43" t="n"/>
      <c r="S148" s="43" t="n"/>
      <c r="T148" s="43" t="n"/>
      <c r="U148" s="43" t="n"/>
      <c r="V148" s="43" t="n"/>
      <c r="W148" s="43" t="n"/>
      <c r="X148" s="43" t="n"/>
      <c r="Y148" s="43" t="n"/>
      <c r="Z148" s="43" t="n"/>
      <c r="AA148" s="43" t="n"/>
      <c r="AB148" s="43" t="n"/>
    </row>
    <row r="149" ht="14.25" customHeight="1" s="83">
      <c r="A149" s="43" t="n"/>
      <c r="B149" s="43" t="n"/>
      <c r="C149" s="43" t="n"/>
      <c r="D149" s="32" t="n"/>
      <c r="E149" s="43" t="n"/>
      <c r="F149" s="43" t="n"/>
      <c r="G149" s="43" t="n"/>
      <c r="H149" s="43" t="n"/>
      <c r="I149" s="43" t="n"/>
      <c r="J149" s="43" t="n"/>
      <c r="K149" s="43" t="n"/>
      <c r="L149" s="43" t="n"/>
      <c r="M149" s="43" t="n"/>
      <c r="N149" s="43" t="n"/>
      <c r="O149" s="43" t="n"/>
      <c r="P149" s="43" t="n"/>
      <c r="Q149" s="43" t="n"/>
      <c r="R149" s="43" t="n"/>
      <c r="S149" s="43" t="n"/>
      <c r="T149" s="43" t="n"/>
      <c r="U149" s="43" t="n"/>
      <c r="V149" s="43" t="n"/>
      <c r="W149" s="43" t="n"/>
      <c r="X149" s="43" t="n"/>
      <c r="Y149" s="43" t="n"/>
      <c r="Z149" s="43" t="n"/>
      <c r="AA149" s="43" t="n"/>
      <c r="AB149" s="43" t="n"/>
    </row>
    <row r="150" ht="14.25" customHeight="1" s="83">
      <c r="A150" s="43" t="n"/>
      <c r="B150" s="43" t="n"/>
      <c r="C150" s="43" t="n"/>
      <c r="D150" s="32"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c r="AA150" s="43" t="n"/>
      <c r="AB150" s="43" t="n"/>
    </row>
    <row r="151" ht="14.25" customHeight="1" s="83">
      <c r="A151" s="43" t="n"/>
      <c r="B151" s="43" t="n"/>
      <c r="C151" s="43" t="n"/>
      <c r="D151" s="32" t="n"/>
      <c r="E151" s="43" t="n"/>
      <c r="F151" s="43" t="n"/>
      <c r="G151" s="43" t="n"/>
      <c r="H151" s="43" t="n"/>
      <c r="I151" s="43" t="n"/>
      <c r="J151" s="43" t="n"/>
      <c r="K151" s="43" t="n"/>
      <c r="L151" s="43" t="n"/>
      <c r="M151" s="43" t="n"/>
      <c r="N151" s="43" t="n"/>
      <c r="O151" s="43" t="n"/>
      <c r="P151" s="43" t="n"/>
      <c r="Q151" s="43" t="n"/>
      <c r="R151" s="43" t="n"/>
      <c r="S151" s="43" t="n"/>
      <c r="T151" s="43" t="n"/>
      <c r="U151" s="43" t="n"/>
      <c r="V151" s="43" t="n"/>
      <c r="W151" s="43" t="n"/>
      <c r="X151" s="43" t="n"/>
      <c r="Y151" s="43" t="n"/>
      <c r="Z151" s="43" t="n"/>
      <c r="AA151" s="43" t="n"/>
      <c r="AB151" s="43" t="n"/>
    </row>
    <row r="152" ht="14.25" customHeight="1" s="83">
      <c r="A152" s="43" t="n"/>
      <c r="B152" s="43" t="n"/>
      <c r="C152" s="43" t="n"/>
      <c r="D152" s="32" t="n"/>
      <c r="E152" s="43" t="n"/>
      <c r="F152" s="43" t="n"/>
      <c r="G152" s="43" t="n"/>
      <c r="H152" s="43" t="n"/>
      <c r="I152" s="43" t="n"/>
      <c r="J152" s="43" t="n"/>
      <c r="K152" s="43" t="n"/>
      <c r="L152" s="43" t="n"/>
      <c r="M152" s="43" t="n"/>
      <c r="N152" s="43" t="n"/>
      <c r="O152" s="43" t="n"/>
      <c r="P152" s="43" t="n"/>
      <c r="Q152" s="43" t="n"/>
      <c r="R152" s="43" t="n"/>
      <c r="S152" s="43" t="n"/>
      <c r="T152" s="43" t="n"/>
      <c r="U152" s="43" t="n"/>
      <c r="V152" s="43" t="n"/>
      <c r="W152" s="43" t="n"/>
      <c r="X152" s="43" t="n"/>
      <c r="Y152" s="43" t="n"/>
      <c r="Z152" s="43" t="n"/>
      <c r="AA152" s="43" t="n"/>
      <c r="AB152" s="43" t="n"/>
    </row>
    <row r="153" ht="14.25" customHeight="1" s="83">
      <c r="A153" s="43" t="n"/>
      <c r="B153" s="43" t="n"/>
      <c r="C153" s="43" t="n"/>
      <c r="D153" s="32" t="n"/>
      <c r="E153" s="43" t="n"/>
      <c r="F153" s="43" t="n"/>
      <c r="G153" s="43" t="n"/>
      <c r="H153" s="43" t="n"/>
      <c r="I153" s="43" t="n"/>
      <c r="J153" s="43" t="n"/>
      <c r="K153" s="43" t="n"/>
      <c r="L153" s="43" t="n"/>
      <c r="M153" s="43" t="n"/>
      <c r="N153" s="43" t="n"/>
      <c r="O153" s="43" t="n"/>
      <c r="P153" s="43" t="n"/>
      <c r="Q153" s="43" t="n"/>
      <c r="R153" s="43" t="n"/>
      <c r="S153" s="43" t="n"/>
      <c r="T153" s="43" t="n"/>
      <c r="U153" s="43" t="n"/>
      <c r="V153" s="43" t="n"/>
      <c r="W153" s="43" t="n"/>
      <c r="X153" s="43" t="n"/>
      <c r="Y153" s="43" t="n"/>
      <c r="Z153" s="43" t="n"/>
      <c r="AA153" s="43" t="n"/>
      <c r="AB153" s="43" t="n"/>
    </row>
    <row r="154" ht="14.25" customHeight="1" s="83">
      <c r="A154" s="43" t="n"/>
      <c r="B154" s="43" t="n"/>
      <c r="C154" s="43" t="n"/>
      <c r="D154" s="32" t="n"/>
      <c r="E154" s="43" t="n"/>
      <c r="F154" s="43" t="n"/>
      <c r="G154" s="43" t="n"/>
      <c r="H154" s="43" t="n"/>
      <c r="I154" s="43" t="n"/>
      <c r="J154" s="43" t="n"/>
      <c r="K154" s="43" t="n"/>
      <c r="L154" s="43" t="n"/>
      <c r="M154" s="43" t="n"/>
      <c r="N154" s="43" t="n"/>
      <c r="O154" s="43" t="n"/>
      <c r="P154" s="43" t="n"/>
      <c r="Q154" s="43" t="n"/>
      <c r="R154" s="43" t="n"/>
      <c r="S154" s="43" t="n"/>
      <c r="T154" s="43" t="n"/>
      <c r="U154" s="43" t="n"/>
      <c r="V154" s="43" t="n"/>
      <c r="W154" s="43" t="n"/>
      <c r="X154" s="43" t="n"/>
      <c r="Y154" s="43" t="n"/>
      <c r="Z154" s="43" t="n"/>
      <c r="AA154" s="43" t="n"/>
      <c r="AB154" s="43" t="n"/>
    </row>
    <row r="155" ht="14.25" customHeight="1" s="83">
      <c r="A155" s="43" t="n"/>
      <c r="B155" s="43" t="n"/>
      <c r="C155" s="43" t="n"/>
      <c r="D155" s="32" t="n"/>
      <c r="E155" s="43" t="n"/>
      <c r="F155" s="43" t="n"/>
      <c r="G155" s="43" t="n"/>
      <c r="H155" s="43" t="n"/>
      <c r="I155" s="43" t="n"/>
      <c r="J155" s="43" t="n"/>
      <c r="K155" s="43" t="n"/>
      <c r="L155" s="43" t="n"/>
      <c r="M155" s="43" t="n"/>
      <c r="N155" s="43" t="n"/>
      <c r="O155" s="43" t="n"/>
      <c r="P155" s="43" t="n"/>
      <c r="Q155" s="43" t="n"/>
      <c r="R155" s="43" t="n"/>
      <c r="S155" s="43" t="n"/>
      <c r="T155" s="43" t="n"/>
      <c r="U155" s="43" t="n"/>
      <c r="V155" s="43" t="n"/>
      <c r="W155" s="43" t="n"/>
      <c r="X155" s="43" t="n"/>
      <c r="Y155" s="43" t="n"/>
      <c r="Z155" s="43" t="n"/>
      <c r="AA155" s="43" t="n"/>
      <c r="AB155" s="43" t="n"/>
    </row>
    <row r="156" ht="14.25" customHeight="1" s="83">
      <c r="A156" s="43" t="n"/>
      <c r="B156" s="43" t="n"/>
      <c r="C156" s="43" t="n"/>
      <c r="D156" s="32" t="n"/>
      <c r="E156" s="43" t="n"/>
      <c r="F156" s="43" t="n"/>
      <c r="G156" s="43" t="n"/>
      <c r="H156" s="43" t="n"/>
      <c r="I156" s="43" t="n"/>
      <c r="J156" s="43" t="n"/>
      <c r="K156" s="43" t="n"/>
      <c r="L156" s="43" t="n"/>
      <c r="M156" s="43" t="n"/>
      <c r="N156" s="43" t="n"/>
      <c r="O156" s="43" t="n"/>
      <c r="P156" s="43" t="n"/>
      <c r="Q156" s="43" t="n"/>
      <c r="R156" s="43" t="n"/>
      <c r="S156" s="43" t="n"/>
      <c r="T156" s="43" t="n"/>
      <c r="U156" s="43" t="n"/>
      <c r="V156" s="43" t="n"/>
      <c r="W156" s="43" t="n"/>
      <c r="X156" s="43" t="n"/>
      <c r="Y156" s="43" t="n"/>
      <c r="Z156" s="43" t="n"/>
      <c r="AA156" s="43" t="n"/>
      <c r="AB156" s="43" t="n"/>
    </row>
    <row r="157" ht="14.25" customHeight="1" s="83">
      <c r="A157" s="43" t="n"/>
      <c r="B157" s="43" t="n"/>
      <c r="C157" s="43" t="n"/>
      <c r="D157" s="32" t="n"/>
      <c r="E157" s="43" t="n"/>
      <c r="F157" s="43" t="n"/>
      <c r="G157" s="43" t="n"/>
      <c r="H157" s="43" t="n"/>
      <c r="I157" s="43" t="n"/>
      <c r="J157" s="43" t="n"/>
      <c r="K157" s="43" t="n"/>
      <c r="L157" s="43" t="n"/>
      <c r="M157" s="43" t="n"/>
      <c r="N157" s="43" t="n"/>
      <c r="O157" s="43" t="n"/>
      <c r="P157" s="43" t="n"/>
      <c r="Q157" s="43" t="n"/>
      <c r="R157" s="43" t="n"/>
      <c r="S157" s="43" t="n"/>
      <c r="T157" s="43" t="n"/>
      <c r="U157" s="43" t="n"/>
      <c r="V157" s="43" t="n"/>
      <c r="W157" s="43" t="n"/>
      <c r="X157" s="43" t="n"/>
      <c r="Y157" s="43" t="n"/>
      <c r="Z157" s="43" t="n"/>
      <c r="AA157" s="43" t="n"/>
      <c r="AB157" s="43" t="n"/>
    </row>
    <row r="158" ht="14.25" customHeight="1" s="83">
      <c r="A158" s="43" t="n"/>
      <c r="B158" s="43" t="n"/>
      <c r="C158" s="43" t="n"/>
      <c r="D158" s="32" t="n"/>
      <c r="E158" s="43" t="n"/>
      <c r="F158" s="43" t="n"/>
      <c r="G158" s="43" t="n"/>
      <c r="H158" s="43" t="n"/>
      <c r="I158" s="43" t="n"/>
      <c r="J158" s="43" t="n"/>
      <c r="K158" s="43" t="n"/>
      <c r="L158" s="43" t="n"/>
      <c r="M158" s="43" t="n"/>
      <c r="N158" s="43" t="n"/>
      <c r="O158" s="43" t="n"/>
      <c r="P158" s="43" t="n"/>
      <c r="Q158" s="43" t="n"/>
      <c r="R158" s="43" t="n"/>
      <c r="S158" s="43" t="n"/>
      <c r="T158" s="43" t="n"/>
      <c r="U158" s="43" t="n"/>
      <c r="V158" s="43" t="n"/>
      <c r="W158" s="43" t="n"/>
      <c r="X158" s="43" t="n"/>
      <c r="Y158" s="43" t="n"/>
      <c r="Z158" s="43" t="n"/>
      <c r="AA158" s="43" t="n"/>
      <c r="AB158" s="43" t="n"/>
    </row>
    <row r="159" ht="14.25" customHeight="1" s="83">
      <c r="A159" s="43" t="n"/>
      <c r="B159" s="43" t="n"/>
      <c r="C159" s="43" t="n"/>
      <c r="D159" s="32" t="n"/>
      <c r="E159" s="43" t="n"/>
      <c r="F159" s="43" t="n"/>
      <c r="G159" s="43" t="n"/>
      <c r="H159" s="43" t="n"/>
      <c r="I159" s="43" t="n"/>
      <c r="J159" s="43" t="n"/>
      <c r="K159" s="43" t="n"/>
      <c r="L159" s="43" t="n"/>
      <c r="M159" s="43" t="n"/>
      <c r="N159" s="43" t="n"/>
      <c r="O159" s="43" t="n"/>
      <c r="P159" s="43" t="n"/>
      <c r="Q159" s="43" t="n"/>
      <c r="R159" s="43" t="n"/>
      <c r="S159" s="43" t="n"/>
      <c r="T159" s="43" t="n"/>
      <c r="U159" s="43" t="n"/>
      <c r="V159" s="43" t="n"/>
      <c r="W159" s="43" t="n"/>
      <c r="X159" s="43" t="n"/>
      <c r="Y159" s="43" t="n"/>
      <c r="Z159" s="43" t="n"/>
      <c r="AA159" s="43" t="n"/>
      <c r="AB159" s="43" t="n"/>
    </row>
    <row r="160" ht="14.25" customHeight="1" s="83">
      <c r="A160" s="43" t="n"/>
      <c r="B160" s="43" t="n"/>
      <c r="C160" s="43" t="n"/>
      <c r="D160" s="32" t="n"/>
      <c r="E160" s="43" t="n"/>
      <c r="F160" s="43" t="n"/>
      <c r="G160" s="43" t="n"/>
      <c r="H160" s="43" t="n"/>
      <c r="I160" s="43" t="n"/>
      <c r="J160" s="43" t="n"/>
      <c r="K160" s="43" t="n"/>
      <c r="L160" s="43" t="n"/>
      <c r="M160" s="43" t="n"/>
      <c r="N160" s="43" t="n"/>
      <c r="O160" s="43" t="n"/>
      <c r="P160" s="43" t="n"/>
      <c r="Q160" s="43" t="n"/>
      <c r="R160" s="43" t="n"/>
      <c r="S160" s="43" t="n"/>
      <c r="T160" s="43" t="n"/>
      <c r="U160" s="43" t="n"/>
      <c r="V160" s="43" t="n"/>
      <c r="W160" s="43" t="n"/>
      <c r="X160" s="43" t="n"/>
      <c r="Y160" s="43" t="n"/>
      <c r="Z160" s="43" t="n"/>
      <c r="AA160" s="43" t="n"/>
      <c r="AB160" s="43" t="n"/>
    </row>
    <row r="161" ht="14.25" customHeight="1" s="83">
      <c r="A161" s="43" t="n"/>
      <c r="B161" s="43" t="n"/>
      <c r="C161" s="43" t="n"/>
      <c r="D161" s="32" t="n"/>
      <c r="E161" s="43" t="n"/>
      <c r="F161" s="43" t="n"/>
      <c r="G161" s="43" t="n"/>
      <c r="H161" s="43" t="n"/>
      <c r="I161" s="43" t="n"/>
      <c r="J161" s="43" t="n"/>
      <c r="K161" s="43" t="n"/>
      <c r="L161" s="43" t="n"/>
      <c r="M161" s="43" t="n"/>
      <c r="N161" s="43" t="n"/>
      <c r="O161" s="43" t="n"/>
      <c r="P161" s="43" t="n"/>
      <c r="Q161" s="43" t="n"/>
      <c r="R161" s="43" t="n"/>
      <c r="S161" s="43" t="n"/>
      <c r="T161" s="43" t="n"/>
      <c r="U161" s="43" t="n"/>
      <c r="V161" s="43" t="n"/>
      <c r="W161" s="43" t="n"/>
      <c r="X161" s="43" t="n"/>
      <c r="Y161" s="43" t="n"/>
      <c r="Z161" s="43" t="n"/>
      <c r="AA161" s="43" t="n"/>
      <c r="AB161" s="43" t="n"/>
    </row>
    <row r="162" ht="14.25" customHeight="1" s="83">
      <c r="A162" s="43" t="n"/>
      <c r="B162" s="43" t="n"/>
      <c r="C162" s="43" t="n"/>
      <c r="D162" s="32" t="n"/>
      <c r="E162" s="43" t="n"/>
      <c r="F162" s="43" t="n"/>
      <c r="G162" s="43" t="n"/>
      <c r="H162" s="43" t="n"/>
      <c r="I162" s="43" t="n"/>
      <c r="J162" s="43" t="n"/>
      <c r="K162" s="43" t="n"/>
      <c r="L162" s="43" t="n"/>
      <c r="M162" s="43" t="n"/>
      <c r="N162" s="43" t="n"/>
      <c r="O162" s="43" t="n"/>
      <c r="P162" s="43" t="n"/>
      <c r="Q162" s="43" t="n"/>
      <c r="R162" s="43" t="n"/>
      <c r="S162" s="43" t="n"/>
      <c r="T162" s="43" t="n"/>
      <c r="U162" s="43" t="n"/>
      <c r="V162" s="43" t="n"/>
      <c r="W162" s="43" t="n"/>
      <c r="X162" s="43" t="n"/>
      <c r="Y162" s="43" t="n"/>
      <c r="Z162" s="43" t="n"/>
      <c r="AA162" s="43" t="n"/>
      <c r="AB162" s="43" t="n"/>
    </row>
    <row r="163" ht="14.25" customHeight="1" s="83">
      <c r="A163" s="43" t="n"/>
      <c r="B163" s="43" t="n"/>
      <c r="C163" s="43" t="n"/>
      <c r="D163" s="32" t="n"/>
      <c r="E163" s="43" t="n"/>
      <c r="F163" s="43" t="n"/>
      <c r="G163" s="43" t="n"/>
      <c r="H163" s="43" t="n"/>
      <c r="I163" s="43" t="n"/>
      <c r="J163" s="43" t="n"/>
      <c r="K163" s="43" t="n"/>
      <c r="L163" s="43" t="n"/>
      <c r="M163" s="43" t="n"/>
      <c r="N163" s="43" t="n"/>
      <c r="O163" s="43" t="n"/>
      <c r="P163" s="43" t="n"/>
      <c r="Q163" s="43" t="n"/>
      <c r="R163" s="43" t="n"/>
      <c r="S163" s="43" t="n"/>
      <c r="T163" s="43" t="n"/>
      <c r="U163" s="43" t="n"/>
      <c r="V163" s="43" t="n"/>
      <c r="W163" s="43" t="n"/>
      <c r="X163" s="43" t="n"/>
      <c r="Y163" s="43" t="n"/>
      <c r="Z163" s="43" t="n"/>
      <c r="AA163" s="43" t="n"/>
      <c r="AB163" s="43" t="n"/>
    </row>
    <row r="164" ht="14.25" customHeight="1" s="83">
      <c r="A164" s="43" t="n"/>
      <c r="B164" s="43" t="n"/>
      <c r="C164" s="43" t="n"/>
      <c r="D164" s="32" t="n"/>
      <c r="E164" s="43" t="n"/>
      <c r="F164" s="43" t="n"/>
      <c r="G164" s="43" t="n"/>
      <c r="H164" s="43" t="n"/>
      <c r="I164" s="43" t="n"/>
      <c r="J164" s="43" t="n"/>
      <c r="K164" s="43" t="n"/>
      <c r="L164" s="43" t="n"/>
      <c r="M164" s="43" t="n"/>
      <c r="N164" s="43" t="n"/>
      <c r="O164" s="43" t="n"/>
      <c r="P164" s="43" t="n"/>
      <c r="Q164" s="43" t="n"/>
      <c r="R164" s="43" t="n"/>
      <c r="S164" s="43" t="n"/>
      <c r="T164" s="43" t="n"/>
      <c r="U164" s="43" t="n"/>
      <c r="V164" s="43" t="n"/>
      <c r="W164" s="43" t="n"/>
      <c r="X164" s="43" t="n"/>
      <c r="Y164" s="43" t="n"/>
      <c r="Z164" s="43" t="n"/>
      <c r="AA164" s="43" t="n"/>
      <c r="AB164" s="43" t="n"/>
    </row>
    <row r="165" ht="14.25" customHeight="1" s="83">
      <c r="A165" s="43" t="n"/>
      <c r="B165" s="43" t="n"/>
      <c r="C165" s="43" t="n"/>
      <c r="D165" s="32" t="n"/>
      <c r="E165" s="43" t="n"/>
      <c r="F165" s="43" t="n"/>
      <c r="G165" s="43" t="n"/>
      <c r="H165" s="43" t="n"/>
      <c r="I165" s="43" t="n"/>
      <c r="J165" s="43" t="n"/>
      <c r="K165" s="43" t="n"/>
      <c r="L165" s="43" t="n"/>
      <c r="M165" s="43" t="n"/>
      <c r="N165" s="43" t="n"/>
      <c r="O165" s="43" t="n"/>
      <c r="P165" s="43" t="n"/>
      <c r="Q165" s="43" t="n"/>
      <c r="R165" s="43" t="n"/>
      <c r="S165" s="43" t="n"/>
      <c r="T165" s="43" t="n"/>
      <c r="U165" s="43" t="n"/>
      <c r="V165" s="43" t="n"/>
      <c r="W165" s="43" t="n"/>
      <c r="X165" s="43" t="n"/>
      <c r="Y165" s="43" t="n"/>
      <c r="Z165" s="43" t="n"/>
      <c r="AA165" s="43" t="n"/>
      <c r="AB165" s="43" t="n"/>
    </row>
    <row r="166" ht="14.25" customHeight="1" s="83">
      <c r="A166" s="43" t="n"/>
      <c r="B166" s="43" t="n"/>
      <c r="C166" s="43" t="n"/>
      <c r="D166" s="32" t="n"/>
      <c r="E166" s="43" t="n"/>
      <c r="F166" s="43" t="n"/>
      <c r="G166" s="43" t="n"/>
      <c r="H166" s="43" t="n"/>
      <c r="I166" s="43" t="n"/>
      <c r="J166" s="43" t="n"/>
      <c r="K166" s="43" t="n"/>
      <c r="L166" s="43" t="n"/>
      <c r="M166" s="43" t="n"/>
      <c r="N166" s="43" t="n"/>
      <c r="O166" s="43" t="n"/>
      <c r="P166" s="43" t="n"/>
      <c r="Q166" s="43" t="n"/>
      <c r="R166" s="43" t="n"/>
      <c r="S166" s="43" t="n"/>
      <c r="T166" s="43" t="n"/>
      <c r="U166" s="43" t="n"/>
      <c r="V166" s="43" t="n"/>
      <c r="W166" s="43" t="n"/>
      <c r="X166" s="43" t="n"/>
      <c r="Y166" s="43" t="n"/>
      <c r="Z166" s="43" t="n"/>
      <c r="AA166" s="43" t="n"/>
      <c r="AB166" s="43" t="n"/>
    </row>
    <row r="167" ht="14.25" customHeight="1" s="83">
      <c r="A167" s="43" t="n"/>
      <c r="B167" s="43" t="n"/>
      <c r="C167" s="43" t="n"/>
      <c r="D167" s="32" t="n"/>
      <c r="E167" s="43" t="n"/>
      <c r="F167" s="43" t="n"/>
      <c r="G167" s="43" t="n"/>
      <c r="H167" s="43" t="n"/>
      <c r="I167" s="43" t="n"/>
      <c r="J167" s="43" t="n"/>
      <c r="K167" s="43" t="n"/>
      <c r="L167" s="43" t="n"/>
      <c r="M167" s="43" t="n"/>
      <c r="N167" s="43" t="n"/>
      <c r="O167" s="43" t="n"/>
      <c r="P167" s="43" t="n"/>
      <c r="Q167" s="43" t="n"/>
      <c r="R167" s="43" t="n"/>
      <c r="S167" s="43" t="n"/>
      <c r="T167" s="43" t="n"/>
      <c r="U167" s="43" t="n"/>
      <c r="V167" s="43" t="n"/>
      <c r="W167" s="43" t="n"/>
      <c r="X167" s="43" t="n"/>
      <c r="Y167" s="43" t="n"/>
      <c r="Z167" s="43" t="n"/>
      <c r="AA167" s="43" t="n"/>
      <c r="AB167" s="43" t="n"/>
    </row>
    <row r="168" ht="14.25" customHeight="1" s="83">
      <c r="A168" s="43" t="n"/>
      <c r="B168" s="43" t="n"/>
      <c r="C168" s="43" t="n"/>
      <c r="D168" s="32" t="n"/>
      <c r="E168" s="43" t="n"/>
      <c r="F168" s="43" t="n"/>
      <c r="G168" s="43" t="n"/>
      <c r="H168" s="43" t="n"/>
      <c r="I168" s="43" t="n"/>
      <c r="J168" s="43" t="n"/>
      <c r="K168" s="43" t="n"/>
      <c r="L168" s="43" t="n"/>
      <c r="M168" s="43" t="n"/>
      <c r="N168" s="43" t="n"/>
      <c r="O168" s="43" t="n"/>
      <c r="P168" s="43" t="n"/>
      <c r="Q168" s="43" t="n"/>
      <c r="R168" s="43" t="n"/>
      <c r="S168" s="43" t="n"/>
      <c r="T168" s="43" t="n"/>
      <c r="U168" s="43" t="n"/>
      <c r="V168" s="43" t="n"/>
      <c r="W168" s="43" t="n"/>
      <c r="X168" s="43" t="n"/>
      <c r="Y168" s="43" t="n"/>
      <c r="Z168" s="43" t="n"/>
      <c r="AA168" s="43" t="n"/>
      <c r="AB168" s="43" t="n"/>
    </row>
    <row r="169" ht="14.25" customHeight="1" s="83">
      <c r="A169" s="43" t="n"/>
      <c r="B169" s="43" t="n"/>
      <c r="C169" s="43" t="n"/>
      <c r="D169" s="32" t="n"/>
      <c r="E169" s="43" t="n"/>
      <c r="F169" s="43" t="n"/>
      <c r="G169" s="43" t="n"/>
      <c r="H169" s="43" t="n"/>
      <c r="I169" s="43" t="n"/>
      <c r="J169" s="43" t="n"/>
      <c r="K169" s="43" t="n"/>
      <c r="L169" s="43" t="n"/>
      <c r="M169" s="43" t="n"/>
      <c r="N169" s="43" t="n"/>
      <c r="O169" s="43" t="n"/>
      <c r="P169" s="43" t="n"/>
      <c r="Q169" s="43" t="n"/>
      <c r="R169" s="43" t="n"/>
      <c r="S169" s="43" t="n"/>
      <c r="T169" s="43" t="n"/>
      <c r="U169" s="43" t="n"/>
      <c r="V169" s="43" t="n"/>
      <c r="W169" s="43" t="n"/>
      <c r="X169" s="43" t="n"/>
      <c r="Y169" s="43" t="n"/>
      <c r="Z169" s="43" t="n"/>
      <c r="AA169" s="43" t="n"/>
      <c r="AB169" s="43" t="n"/>
    </row>
    <row r="170" ht="14.25" customHeight="1" s="83">
      <c r="A170" s="43" t="n"/>
      <c r="B170" s="43" t="n"/>
      <c r="C170" s="43" t="n"/>
      <c r="D170" s="32" t="n"/>
      <c r="E170" s="43" t="n"/>
      <c r="F170" s="43" t="n"/>
      <c r="G170" s="43" t="n"/>
      <c r="H170" s="43" t="n"/>
      <c r="I170" s="43" t="n"/>
      <c r="J170" s="43" t="n"/>
      <c r="K170" s="43" t="n"/>
      <c r="L170" s="43" t="n"/>
      <c r="M170" s="43" t="n"/>
      <c r="N170" s="43" t="n"/>
      <c r="O170" s="43" t="n"/>
      <c r="P170" s="43" t="n"/>
      <c r="Q170" s="43" t="n"/>
      <c r="R170" s="43" t="n"/>
      <c r="S170" s="43" t="n"/>
      <c r="T170" s="43" t="n"/>
      <c r="U170" s="43" t="n"/>
      <c r="V170" s="43" t="n"/>
      <c r="W170" s="43" t="n"/>
      <c r="X170" s="43" t="n"/>
      <c r="Y170" s="43" t="n"/>
      <c r="Z170" s="43" t="n"/>
      <c r="AA170" s="43" t="n"/>
      <c r="AB170" s="43" t="n"/>
    </row>
    <row r="171" ht="14.25" customHeight="1" s="83">
      <c r="A171" s="43" t="n"/>
      <c r="B171" s="43" t="n"/>
      <c r="C171" s="43" t="n"/>
      <c r="D171" s="32" t="n"/>
      <c r="E171" s="43" t="n"/>
      <c r="F171" s="43" t="n"/>
      <c r="G171" s="43" t="n"/>
      <c r="H171" s="43" t="n"/>
      <c r="I171" s="43" t="n"/>
      <c r="J171" s="43" t="n"/>
      <c r="K171" s="43" t="n"/>
      <c r="L171" s="43" t="n"/>
      <c r="M171" s="43" t="n"/>
      <c r="N171" s="43" t="n"/>
      <c r="O171" s="43" t="n"/>
      <c r="P171" s="43" t="n"/>
      <c r="Q171" s="43" t="n"/>
      <c r="R171" s="43" t="n"/>
      <c r="S171" s="43" t="n"/>
      <c r="T171" s="43" t="n"/>
      <c r="U171" s="43" t="n"/>
      <c r="V171" s="43" t="n"/>
      <c r="W171" s="43" t="n"/>
      <c r="X171" s="43" t="n"/>
      <c r="Y171" s="43" t="n"/>
      <c r="Z171" s="43" t="n"/>
      <c r="AA171" s="43" t="n"/>
      <c r="AB171" s="43" t="n"/>
    </row>
    <row r="172" ht="14.25" customHeight="1" s="83">
      <c r="A172" s="43" t="n"/>
      <c r="B172" s="43" t="n"/>
      <c r="C172" s="43" t="n"/>
      <c r="D172" s="32" t="n"/>
      <c r="E172" s="43" t="n"/>
      <c r="F172" s="43" t="n"/>
      <c r="G172" s="43" t="n"/>
      <c r="H172" s="43" t="n"/>
      <c r="I172" s="43" t="n"/>
      <c r="J172" s="43" t="n"/>
      <c r="K172" s="43" t="n"/>
      <c r="L172" s="43" t="n"/>
      <c r="M172" s="43" t="n"/>
      <c r="N172" s="43" t="n"/>
      <c r="O172" s="43" t="n"/>
      <c r="P172" s="43" t="n"/>
      <c r="Q172" s="43" t="n"/>
      <c r="R172" s="43" t="n"/>
      <c r="S172" s="43" t="n"/>
      <c r="T172" s="43" t="n"/>
      <c r="U172" s="43" t="n"/>
      <c r="V172" s="43" t="n"/>
      <c r="W172" s="43" t="n"/>
      <c r="X172" s="43" t="n"/>
      <c r="Y172" s="43" t="n"/>
      <c r="Z172" s="43" t="n"/>
      <c r="AA172" s="43" t="n"/>
      <c r="AB172" s="43" t="n"/>
    </row>
    <row r="173" ht="14.25" customHeight="1" s="83">
      <c r="A173" s="43" t="n"/>
      <c r="B173" s="43" t="n"/>
      <c r="C173" s="43" t="n"/>
      <c r="D173" s="32" t="n"/>
      <c r="E173" s="43" t="n"/>
      <c r="F173" s="43" t="n"/>
      <c r="G173" s="43" t="n"/>
      <c r="H173" s="43" t="n"/>
      <c r="I173" s="43" t="n"/>
      <c r="J173" s="43" t="n"/>
      <c r="K173" s="43" t="n"/>
      <c r="L173" s="43" t="n"/>
      <c r="M173" s="43" t="n"/>
      <c r="N173" s="43" t="n"/>
      <c r="O173" s="43" t="n"/>
      <c r="P173" s="43" t="n"/>
      <c r="Q173" s="43" t="n"/>
      <c r="R173" s="43" t="n"/>
      <c r="S173" s="43" t="n"/>
      <c r="T173" s="43" t="n"/>
      <c r="U173" s="43" t="n"/>
      <c r="V173" s="43" t="n"/>
      <c r="W173" s="43" t="n"/>
      <c r="X173" s="43" t="n"/>
      <c r="Y173" s="43" t="n"/>
      <c r="Z173" s="43" t="n"/>
      <c r="AA173" s="43" t="n"/>
      <c r="AB173" s="43" t="n"/>
    </row>
    <row r="174" ht="14.25" customHeight="1" s="83">
      <c r="A174" s="43" t="n"/>
      <c r="B174" s="43" t="n"/>
      <c r="C174" s="43" t="n"/>
      <c r="D174" s="32" t="n"/>
      <c r="E174" s="43" t="n"/>
      <c r="F174" s="43" t="n"/>
      <c r="G174" s="43" t="n"/>
      <c r="H174" s="43" t="n"/>
      <c r="I174" s="43" t="n"/>
      <c r="J174" s="43" t="n"/>
      <c r="K174" s="43" t="n"/>
      <c r="L174" s="43" t="n"/>
      <c r="M174" s="43" t="n"/>
      <c r="N174" s="43" t="n"/>
      <c r="O174" s="43" t="n"/>
      <c r="P174" s="43" t="n"/>
      <c r="Q174" s="43" t="n"/>
      <c r="R174" s="43" t="n"/>
      <c r="S174" s="43" t="n"/>
      <c r="T174" s="43" t="n"/>
      <c r="U174" s="43" t="n"/>
      <c r="V174" s="43" t="n"/>
      <c r="W174" s="43" t="n"/>
      <c r="X174" s="43" t="n"/>
      <c r="Y174" s="43" t="n"/>
      <c r="Z174" s="43" t="n"/>
      <c r="AA174" s="43" t="n"/>
      <c r="AB174" s="43" t="n"/>
    </row>
    <row r="175" ht="14.25" customHeight="1" s="83">
      <c r="A175" s="43" t="n"/>
      <c r="B175" s="43" t="n"/>
      <c r="C175" s="43" t="n"/>
      <c r="D175" s="32" t="n"/>
      <c r="E175" s="43" t="n"/>
      <c r="F175" s="43" t="n"/>
      <c r="G175" s="43" t="n"/>
      <c r="H175" s="43" t="n"/>
      <c r="I175" s="43" t="n"/>
      <c r="J175" s="43" t="n"/>
      <c r="K175" s="43" t="n"/>
      <c r="L175" s="43" t="n"/>
      <c r="M175" s="43" t="n"/>
      <c r="N175" s="43" t="n"/>
      <c r="O175" s="43" t="n"/>
      <c r="P175" s="43" t="n"/>
      <c r="Q175" s="43" t="n"/>
      <c r="R175" s="43" t="n"/>
      <c r="S175" s="43" t="n"/>
      <c r="T175" s="43" t="n"/>
      <c r="U175" s="43" t="n"/>
      <c r="V175" s="43" t="n"/>
      <c r="W175" s="43" t="n"/>
      <c r="X175" s="43" t="n"/>
      <c r="Y175" s="43" t="n"/>
      <c r="Z175" s="43" t="n"/>
      <c r="AA175" s="43" t="n"/>
      <c r="AB175" s="43" t="n"/>
    </row>
    <row r="176" ht="14.25" customHeight="1" s="83">
      <c r="A176" s="43" t="n"/>
      <c r="B176" s="43" t="n"/>
      <c r="C176" s="43" t="n"/>
      <c r="D176" s="32" t="n"/>
      <c r="E176" s="43" t="n"/>
      <c r="F176" s="43" t="n"/>
      <c r="G176" s="43" t="n"/>
      <c r="H176" s="43" t="n"/>
      <c r="I176" s="43" t="n"/>
      <c r="J176" s="43" t="n"/>
      <c r="K176" s="43" t="n"/>
      <c r="L176" s="43" t="n"/>
      <c r="M176" s="43" t="n"/>
      <c r="N176" s="43" t="n"/>
      <c r="O176" s="43" t="n"/>
      <c r="P176" s="43" t="n"/>
      <c r="Q176" s="43" t="n"/>
      <c r="R176" s="43" t="n"/>
      <c r="S176" s="43" t="n"/>
      <c r="T176" s="43" t="n"/>
      <c r="U176" s="43" t="n"/>
      <c r="V176" s="43" t="n"/>
      <c r="W176" s="43" t="n"/>
      <c r="X176" s="43" t="n"/>
      <c r="Y176" s="43" t="n"/>
      <c r="Z176" s="43" t="n"/>
      <c r="AA176" s="43" t="n"/>
      <c r="AB176" s="43" t="n"/>
    </row>
    <row r="177" ht="14.25" customHeight="1" s="83">
      <c r="A177" s="43" t="n"/>
      <c r="B177" s="43" t="n"/>
      <c r="C177" s="43" t="n"/>
      <c r="D177" s="32" t="n"/>
      <c r="E177" s="43" t="n"/>
      <c r="F177" s="43" t="n"/>
      <c r="G177" s="43" t="n"/>
      <c r="H177" s="43" t="n"/>
      <c r="I177" s="43" t="n"/>
      <c r="J177" s="43" t="n"/>
      <c r="K177" s="43" t="n"/>
      <c r="L177" s="43" t="n"/>
      <c r="M177" s="43" t="n"/>
      <c r="N177" s="43" t="n"/>
      <c r="O177" s="43" t="n"/>
      <c r="P177" s="43" t="n"/>
      <c r="Q177" s="43" t="n"/>
      <c r="R177" s="43" t="n"/>
      <c r="S177" s="43" t="n"/>
      <c r="T177" s="43" t="n"/>
      <c r="U177" s="43" t="n"/>
      <c r="V177" s="43" t="n"/>
      <c r="W177" s="43" t="n"/>
      <c r="X177" s="43" t="n"/>
      <c r="Y177" s="43" t="n"/>
      <c r="Z177" s="43" t="n"/>
      <c r="AA177" s="43" t="n"/>
      <c r="AB177" s="43" t="n"/>
    </row>
    <row r="178" ht="14.25" customHeight="1" s="83">
      <c r="A178" s="43" t="n"/>
      <c r="B178" s="43" t="n"/>
      <c r="C178" s="43" t="n"/>
      <c r="D178" s="32" t="n"/>
      <c r="E178" s="43" t="n"/>
      <c r="F178" s="43" t="n"/>
      <c r="G178" s="43" t="n"/>
      <c r="H178" s="43" t="n"/>
      <c r="I178" s="43" t="n"/>
      <c r="J178" s="43" t="n"/>
      <c r="K178" s="43" t="n"/>
      <c r="L178" s="43" t="n"/>
      <c r="M178" s="43" t="n"/>
      <c r="N178" s="43" t="n"/>
      <c r="O178" s="43" t="n"/>
      <c r="P178" s="43" t="n"/>
      <c r="Q178" s="43" t="n"/>
      <c r="R178" s="43" t="n"/>
      <c r="S178" s="43" t="n"/>
      <c r="T178" s="43" t="n"/>
      <c r="U178" s="43" t="n"/>
      <c r="V178" s="43" t="n"/>
      <c r="W178" s="43" t="n"/>
      <c r="X178" s="43" t="n"/>
      <c r="Y178" s="43" t="n"/>
      <c r="Z178" s="43" t="n"/>
      <c r="AA178" s="43" t="n"/>
      <c r="AB178" s="43" t="n"/>
    </row>
    <row r="179" ht="14.25" customHeight="1" s="83">
      <c r="A179" s="43" t="n"/>
      <c r="B179" s="43" t="n"/>
      <c r="C179" s="43" t="n"/>
      <c r="D179" s="32" t="n"/>
      <c r="E179" s="43" t="n"/>
      <c r="F179" s="43" t="n"/>
      <c r="G179" s="43" t="n"/>
      <c r="H179" s="43" t="n"/>
      <c r="I179" s="43" t="n"/>
      <c r="J179" s="43" t="n"/>
      <c r="K179" s="43" t="n"/>
      <c r="L179" s="43" t="n"/>
      <c r="M179" s="43" t="n"/>
      <c r="N179" s="43" t="n"/>
      <c r="O179" s="43" t="n"/>
      <c r="P179" s="43" t="n"/>
      <c r="Q179" s="43" t="n"/>
      <c r="R179" s="43" t="n"/>
      <c r="S179" s="43" t="n"/>
      <c r="T179" s="43" t="n"/>
      <c r="U179" s="43" t="n"/>
      <c r="V179" s="43" t="n"/>
      <c r="W179" s="43" t="n"/>
      <c r="X179" s="43" t="n"/>
      <c r="Y179" s="43" t="n"/>
      <c r="Z179" s="43" t="n"/>
      <c r="AA179" s="43" t="n"/>
      <c r="AB179" s="43" t="n"/>
    </row>
    <row r="180" ht="14.25" customHeight="1" s="83">
      <c r="A180" s="43" t="n"/>
      <c r="B180" s="43" t="n"/>
      <c r="C180" s="43" t="n"/>
      <c r="D180" s="32" t="n"/>
      <c r="E180" s="43" t="n"/>
      <c r="F180" s="43" t="n"/>
      <c r="G180" s="43" t="n"/>
      <c r="H180" s="43" t="n"/>
      <c r="I180" s="43" t="n"/>
      <c r="J180" s="43" t="n"/>
      <c r="K180" s="43" t="n"/>
      <c r="L180" s="43" t="n"/>
      <c r="M180" s="43" t="n"/>
      <c r="N180" s="43" t="n"/>
      <c r="O180" s="43" t="n"/>
      <c r="P180" s="43" t="n"/>
      <c r="Q180" s="43" t="n"/>
      <c r="R180" s="43" t="n"/>
      <c r="S180" s="43" t="n"/>
      <c r="T180" s="43" t="n"/>
      <c r="U180" s="43" t="n"/>
      <c r="V180" s="43" t="n"/>
      <c r="W180" s="43" t="n"/>
      <c r="X180" s="43" t="n"/>
      <c r="Y180" s="43" t="n"/>
      <c r="Z180" s="43" t="n"/>
      <c r="AA180" s="43" t="n"/>
      <c r="AB180" s="43" t="n"/>
    </row>
    <row r="181" ht="14.25" customHeight="1" s="83">
      <c r="A181" s="43" t="n"/>
      <c r="B181" s="43" t="n"/>
      <c r="C181" s="43" t="n"/>
      <c r="D181" s="32" t="n"/>
      <c r="E181" s="43" t="n"/>
      <c r="F181" s="43" t="n"/>
      <c r="G181" s="43" t="n"/>
      <c r="H181" s="43" t="n"/>
      <c r="I181" s="43" t="n"/>
      <c r="J181" s="43" t="n"/>
      <c r="K181" s="43" t="n"/>
      <c r="L181" s="43" t="n"/>
      <c r="M181" s="43" t="n"/>
      <c r="N181" s="43" t="n"/>
      <c r="O181" s="43" t="n"/>
      <c r="P181" s="43" t="n"/>
      <c r="Q181" s="43" t="n"/>
      <c r="R181" s="43" t="n"/>
      <c r="S181" s="43" t="n"/>
      <c r="T181" s="43" t="n"/>
      <c r="U181" s="43" t="n"/>
      <c r="V181" s="43" t="n"/>
      <c r="W181" s="43" t="n"/>
      <c r="X181" s="43" t="n"/>
      <c r="Y181" s="43" t="n"/>
      <c r="Z181" s="43" t="n"/>
      <c r="AA181" s="43" t="n"/>
      <c r="AB181" s="43" t="n"/>
    </row>
    <row r="182" ht="14.25" customHeight="1" s="83">
      <c r="A182" s="43" t="n"/>
      <c r="B182" s="43" t="n"/>
      <c r="C182" s="43" t="n"/>
      <c r="D182" s="32" t="n"/>
      <c r="E182" s="43" t="n"/>
      <c r="F182" s="43" t="n"/>
      <c r="G182" s="43" t="n"/>
      <c r="H182" s="43" t="n"/>
      <c r="I182" s="43" t="n"/>
      <c r="J182" s="43" t="n"/>
      <c r="K182" s="43" t="n"/>
      <c r="L182" s="43" t="n"/>
      <c r="M182" s="43" t="n"/>
      <c r="N182" s="43" t="n"/>
      <c r="O182" s="43" t="n"/>
      <c r="P182" s="43" t="n"/>
      <c r="Q182" s="43" t="n"/>
      <c r="R182" s="43" t="n"/>
      <c r="S182" s="43" t="n"/>
      <c r="T182" s="43" t="n"/>
      <c r="U182" s="43" t="n"/>
      <c r="V182" s="43" t="n"/>
      <c r="W182" s="43" t="n"/>
      <c r="X182" s="43" t="n"/>
      <c r="Y182" s="43" t="n"/>
      <c r="Z182" s="43" t="n"/>
      <c r="AA182" s="43" t="n"/>
      <c r="AB182" s="43" t="n"/>
    </row>
    <row r="183" ht="14.25" customHeight="1" s="83">
      <c r="A183" s="43" t="n"/>
      <c r="B183" s="43" t="n"/>
      <c r="C183" s="43" t="n"/>
      <c r="D183" s="32" t="n"/>
      <c r="E183" s="43" t="n"/>
      <c r="F183" s="43" t="n"/>
      <c r="G183" s="43" t="n"/>
      <c r="H183" s="43" t="n"/>
      <c r="I183" s="43" t="n"/>
      <c r="J183" s="43" t="n"/>
      <c r="K183" s="43" t="n"/>
      <c r="L183" s="43" t="n"/>
      <c r="M183" s="43" t="n"/>
      <c r="N183" s="43" t="n"/>
      <c r="O183" s="43" t="n"/>
      <c r="P183" s="43" t="n"/>
      <c r="Q183" s="43" t="n"/>
      <c r="R183" s="43" t="n"/>
      <c r="S183" s="43" t="n"/>
      <c r="T183" s="43" t="n"/>
      <c r="U183" s="43" t="n"/>
      <c r="V183" s="43" t="n"/>
      <c r="W183" s="43" t="n"/>
      <c r="X183" s="43" t="n"/>
      <c r="Y183" s="43" t="n"/>
      <c r="Z183" s="43" t="n"/>
      <c r="AA183" s="43" t="n"/>
      <c r="AB183" s="43" t="n"/>
    </row>
    <row r="184" ht="14.25" customHeight="1" s="83">
      <c r="A184" s="43" t="n"/>
      <c r="B184" s="43" t="n"/>
      <c r="C184" s="43" t="n"/>
      <c r="D184" s="32" t="n"/>
      <c r="E184" s="43" t="n"/>
      <c r="F184" s="43" t="n"/>
      <c r="G184" s="43" t="n"/>
      <c r="H184" s="43" t="n"/>
      <c r="I184" s="43" t="n"/>
      <c r="J184" s="43" t="n"/>
      <c r="K184" s="43" t="n"/>
      <c r="L184" s="43" t="n"/>
      <c r="M184" s="43" t="n"/>
      <c r="N184" s="43" t="n"/>
      <c r="O184" s="43" t="n"/>
      <c r="P184" s="43" t="n"/>
      <c r="Q184" s="43" t="n"/>
      <c r="R184" s="43" t="n"/>
      <c r="S184" s="43" t="n"/>
      <c r="T184" s="43" t="n"/>
      <c r="U184" s="43" t="n"/>
      <c r="V184" s="43" t="n"/>
      <c r="W184" s="43" t="n"/>
      <c r="X184" s="43" t="n"/>
      <c r="Y184" s="43" t="n"/>
      <c r="Z184" s="43" t="n"/>
      <c r="AA184" s="43" t="n"/>
      <c r="AB184" s="43" t="n"/>
    </row>
    <row r="185" ht="14.25" customHeight="1" s="83">
      <c r="A185" s="43" t="n"/>
      <c r="B185" s="43" t="n"/>
      <c r="C185" s="43" t="n"/>
      <c r="D185" s="32"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c r="AA185" s="43" t="n"/>
      <c r="AB185" s="43" t="n"/>
    </row>
    <row r="186" ht="14.25" customHeight="1" s="83">
      <c r="A186" s="43" t="n"/>
      <c r="B186" s="43" t="n"/>
      <c r="C186" s="43" t="n"/>
      <c r="D186" s="32" t="n"/>
      <c r="E186" s="43" t="n"/>
      <c r="F186" s="43" t="n"/>
      <c r="G186" s="43" t="n"/>
      <c r="H186" s="43" t="n"/>
      <c r="I186" s="43" t="n"/>
      <c r="J186" s="43" t="n"/>
      <c r="K186" s="43" t="n"/>
      <c r="L186" s="43" t="n"/>
      <c r="M186" s="43" t="n"/>
      <c r="N186" s="43" t="n"/>
      <c r="O186" s="43" t="n"/>
      <c r="P186" s="43" t="n"/>
      <c r="Q186" s="43" t="n"/>
      <c r="R186" s="43" t="n"/>
      <c r="S186" s="43" t="n"/>
      <c r="T186" s="43" t="n"/>
      <c r="U186" s="43" t="n"/>
      <c r="V186" s="43" t="n"/>
      <c r="W186" s="43" t="n"/>
      <c r="X186" s="43" t="n"/>
      <c r="Y186" s="43" t="n"/>
      <c r="Z186" s="43" t="n"/>
      <c r="AA186" s="43" t="n"/>
      <c r="AB186" s="43" t="n"/>
    </row>
    <row r="187" ht="14.25" customHeight="1" s="83">
      <c r="A187" s="43" t="n"/>
      <c r="B187" s="43" t="n"/>
      <c r="C187" s="43" t="n"/>
      <c r="D187" s="32" t="n"/>
      <c r="E187" s="43" t="n"/>
      <c r="F187" s="43" t="n"/>
      <c r="G187" s="43" t="n"/>
      <c r="H187" s="43" t="n"/>
      <c r="I187" s="43" t="n"/>
      <c r="J187" s="43" t="n"/>
      <c r="K187" s="43" t="n"/>
      <c r="L187" s="43" t="n"/>
      <c r="M187" s="43" t="n"/>
      <c r="N187" s="43" t="n"/>
      <c r="O187" s="43" t="n"/>
      <c r="P187" s="43" t="n"/>
      <c r="Q187" s="43" t="n"/>
      <c r="R187" s="43" t="n"/>
      <c r="S187" s="43" t="n"/>
      <c r="T187" s="43" t="n"/>
      <c r="U187" s="43" t="n"/>
      <c r="V187" s="43" t="n"/>
      <c r="W187" s="43" t="n"/>
      <c r="X187" s="43" t="n"/>
      <c r="Y187" s="43" t="n"/>
      <c r="Z187" s="43" t="n"/>
      <c r="AA187" s="43" t="n"/>
      <c r="AB187" s="43" t="n"/>
    </row>
    <row r="188" ht="14.25" customHeight="1" s="83">
      <c r="A188" s="43" t="n"/>
      <c r="B188" s="43" t="n"/>
      <c r="C188" s="43" t="n"/>
      <c r="D188" s="32" t="n"/>
      <c r="E188" s="43" t="n"/>
      <c r="F188" s="43" t="n"/>
      <c r="G188" s="43" t="n"/>
      <c r="H188" s="43" t="n"/>
      <c r="I188" s="43" t="n"/>
      <c r="J188" s="43" t="n"/>
      <c r="K188" s="43" t="n"/>
      <c r="L188" s="43" t="n"/>
      <c r="M188" s="43" t="n"/>
      <c r="N188" s="43" t="n"/>
      <c r="O188" s="43" t="n"/>
      <c r="P188" s="43" t="n"/>
      <c r="Q188" s="43" t="n"/>
      <c r="R188" s="43" t="n"/>
      <c r="S188" s="43" t="n"/>
      <c r="T188" s="43" t="n"/>
      <c r="U188" s="43" t="n"/>
      <c r="V188" s="43" t="n"/>
      <c r="W188" s="43" t="n"/>
      <c r="X188" s="43" t="n"/>
      <c r="Y188" s="43" t="n"/>
      <c r="Z188" s="43" t="n"/>
      <c r="AA188" s="43" t="n"/>
      <c r="AB188" s="43" t="n"/>
    </row>
    <row r="189" ht="14.25" customHeight="1" s="83">
      <c r="A189" s="43" t="n"/>
      <c r="B189" s="43" t="n"/>
      <c r="C189" s="43" t="n"/>
      <c r="D189" s="32" t="n"/>
      <c r="E189" s="43" t="n"/>
      <c r="F189" s="43" t="n"/>
      <c r="G189" s="43" t="n"/>
      <c r="H189" s="43" t="n"/>
      <c r="I189" s="43" t="n"/>
      <c r="J189" s="43" t="n"/>
      <c r="K189" s="43" t="n"/>
      <c r="L189" s="43" t="n"/>
      <c r="M189" s="43" t="n"/>
      <c r="N189" s="43" t="n"/>
      <c r="O189" s="43" t="n"/>
      <c r="P189" s="43" t="n"/>
      <c r="Q189" s="43" t="n"/>
      <c r="R189" s="43" t="n"/>
      <c r="S189" s="43" t="n"/>
      <c r="T189" s="43" t="n"/>
      <c r="U189" s="43" t="n"/>
      <c r="V189" s="43" t="n"/>
      <c r="W189" s="43" t="n"/>
      <c r="X189" s="43" t="n"/>
      <c r="Y189" s="43" t="n"/>
      <c r="Z189" s="43" t="n"/>
      <c r="AA189" s="43" t="n"/>
      <c r="AB189" s="43" t="n"/>
    </row>
    <row r="190" ht="14.25" customHeight="1" s="83">
      <c r="A190" s="43" t="n"/>
      <c r="B190" s="43" t="n"/>
      <c r="C190" s="43" t="n"/>
      <c r="D190" s="32" t="n"/>
      <c r="E190" s="43" t="n"/>
      <c r="F190" s="43" t="n"/>
      <c r="G190" s="43" t="n"/>
      <c r="H190" s="43" t="n"/>
      <c r="I190" s="43" t="n"/>
      <c r="J190" s="43" t="n"/>
      <c r="K190" s="43" t="n"/>
      <c r="L190" s="43" t="n"/>
      <c r="M190" s="43" t="n"/>
      <c r="N190" s="43" t="n"/>
      <c r="O190" s="43" t="n"/>
      <c r="P190" s="43" t="n"/>
      <c r="Q190" s="43" t="n"/>
      <c r="R190" s="43" t="n"/>
      <c r="S190" s="43" t="n"/>
      <c r="T190" s="43" t="n"/>
      <c r="U190" s="43" t="n"/>
      <c r="V190" s="43" t="n"/>
      <c r="W190" s="43" t="n"/>
      <c r="X190" s="43" t="n"/>
      <c r="Y190" s="43" t="n"/>
      <c r="Z190" s="43" t="n"/>
      <c r="AA190" s="43" t="n"/>
      <c r="AB190" s="43" t="n"/>
    </row>
    <row r="191" ht="14.25" customHeight="1" s="83">
      <c r="A191" s="43" t="n"/>
      <c r="B191" s="43" t="n"/>
      <c r="C191" s="43" t="n"/>
      <c r="D191" s="32" t="n"/>
      <c r="E191" s="43" t="n"/>
      <c r="F191" s="43" t="n"/>
      <c r="G191" s="43" t="n"/>
      <c r="H191" s="43" t="n"/>
      <c r="I191" s="43" t="n"/>
      <c r="J191" s="43" t="n"/>
      <c r="K191" s="43" t="n"/>
      <c r="L191" s="43" t="n"/>
      <c r="M191" s="43" t="n"/>
      <c r="N191" s="43" t="n"/>
      <c r="O191" s="43" t="n"/>
      <c r="P191" s="43" t="n"/>
      <c r="Q191" s="43" t="n"/>
      <c r="R191" s="43" t="n"/>
      <c r="S191" s="43" t="n"/>
      <c r="T191" s="43" t="n"/>
      <c r="U191" s="43" t="n"/>
      <c r="V191" s="43" t="n"/>
      <c r="W191" s="43" t="n"/>
      <c r="X191" s="43" t="n"/>
      <c r="Y191" s="43" t="n"/>
      <c r="Z191" s="43" t="n"/>
      <c r="AA191" s="43" t="n"/>
      <c r="AB191" s="43" t="n"/>
    </row>
    <row r="192" ht="14.25" customHeight="1" s="83">
      <c r="A192" s="43" t="n"/>
      <c r="B192" s="43" t="n"/>
      <c r="C192" s="43" t="n"/>
      <c r="D192" s="32" t="n"/>
      <c r="E192" s="43" t="n"/>
      <c r="F192" s="43" t="n"/>
      <c r="G192" s="43" t="n"/>
      <c r="H192" s="43" t="n"/>
      <c r="I192" s="43" t="n"/>
      <c r="J192" s="43" t="n"/>
      <c r="K192" s="43" t="n"/>
      <c r="L192" s="43" t="n"/>
      <c r="M192" s="43" t="n"/>
      <c r="N192" s="43" t="n"/>
      <c r="O192" s="43" t="n"/>
      <c r="P192" s="43" t="n"/>
      <c r="Q192" s="43" t="n"/>
      <c r="R192" s="43" t="n"/>
      <c r="S192" s="43" t="n"/>
      <c r="T192" s="43" t="n"/>
      <c r="U192" s="43" t="n"/>
      <c r="V192" s="43" t="n"/>
      <c r="W192" s="43" t="n"/>
      <c r="X192" s="43" t="n"/>
      <c r="Y192" s="43" t="n"/>
      <c r="Z192" s="43" t="n"/>
      <c r="AA192" s="43" t="n"/>
      <c r="AB192" s="43" t="n"/>
    </row>
    <row r="193" ht="14.25" customHeight="1" s="83">
      <c r="A193" s="43" t="n"/>
      <c r="B193" s="43" t="n"/>
      <c r="C193" s="43" t="n"/>
      <c r="D193" s="32" t="n"/>
      <c r="E193" s="43" t="n"/>
      <c r="F193" s="43" t="n"/>
      <c r="G193" s="43" t="n"/>
      <c r="H193" s="43" t="n"/>
      <c r="I193" s="43" t="n"/>
      <c r="J193" s="43" t="n"/>
      <c r="K193" s="43" t="n"/>
      <c r="L193" s="43" t="n"/>
      <c r="M193" s="43" t="n"/>
      <c r="N193" s="43" t="n"/>
      <c r="O193" s="43" t="n"/>
      <c r="P193" s="43" t="n"/>
      <c r="Q193" s="43" t="n"/>
      <c r="R193" s="43" t="n"/>
      <c r="S193" s="43" t="n"/>
      <c r="T193" s="43" t="n"/>
      <c r="U193" s="43" t="n"/>
      <c r="V193" s="43" t="n"/>
      <c r="W193" s="43" t="n"/>
      <c r="X193" s="43" t="n"/>
      <c r="Y193" s="43" t="n"/>
      <c r="Z193" s="43" t="n"/>
      <c r="AA193" s="43" t="n"/>
      <c r="AB193" s="43" t="n"/>
    </row>
    <row r="194" ht="14.25" customHeight="1" s="83">
      <c r="A194" s="43" t="n"/>
      <c r="B194" s="43" t="n"/>
      <c r="C194" s="43" t="n"/>
      <c r="D194" s="32" t="n"/>
      <c r="E194" s="43" t="n"/>
      <c r="F194" s="43" t="n"/>
      <c r="G194" s="43" t="n"/>
      <c r="H194" s="43" t="n"/>
      <c r="I194" s="43" t="n"/>
      <c r="J194" s="43" t="n"/>
      <c r="K194" s="43" t="n"/>
      <c r="L194" s="43" t="n"/>
      <c r="M194" s="43" t="n"/>
      <c r="N194" s="43" t="n"/>
      <c r="O194" s="43" t="n"/>
      <c r="P194" s="43" t="n"/>
      <c r="Q194" s="43" t="n"/>
      <c r="R194" s="43" t="n"/>
      <c r="S194" s="43" t="n"/>
      <c r="T194" s="43" t="n"/>
      <c r="U194" s="43" t="n"/>
      <c r="V194" s="43" t="n"/>
      <c r="W194" s="43" t="n"/>
      <c r="X194" s="43" t="n"/>
      <c r="Y194" s="43" t="n"/>
      <c r="Z194" s="43" t="n"/>
      <c r="AA194" s="43" t="n"/>
      <c r="AB194" s="43" t="n"/>
    </row>
    <row r="195" ht="14.25" customHeight="1" s="83">
      <c r="A195" s="43" t="n"/>
      <c r="B195" s="43" t="n"/>
      <c r="C195" s="43" t="n"/>
      <c r="D195" s="32" t="n"/>
      <c r="E195" s="43" t="n"/>
      <c r="F195" s="43" t="n"/>
      <c r="G195" s="43" t="n"/>
      <c r="H195" s="43" t="n"/>
      <c r="I195" s="43" t="n"/>
      <c r="J195" s="43" t="n"/>
      <c r="K195" s="43" t="n"/>
      <c r="L195" s="43" t="n"/>
      <c r="M195" s="43" t="n"/>
      <c r="N195" s="43" t="n"/>
      <c r="O195" s="43" t="n"/>
      <c r="P195" s="43" t="n"/>
      <c r="Q195" s="43" t="n"/>
      <c r="R195" s="43" t="n"/>
      <c r="S195" s="43" t="n"/>
      <c r="T195" s="43" t="n"/>
      <c r="U195" s="43" t="n"/>
      <c r="V195" s="43" t="n"/>
      <c r="W195" s="43" t="n"/>
      <c r="X195" s="43" t="n"/>
      <c r="Y195" s="43" t="n"/>
      <c r="Z195" s="43" t="n"/>
      <c r="AA195" s="43" t="n"/>
      <c r="AB195" s="43" t="n"/>
    </row>
    <row r="196" ht="14.25" customHeight="1" s="83">
      <c r="A196" s="43" t="n"/>
      <c r="B196" s="43" t="n"/>
      <c r="C196" s="43" t="n"/>
      <c r="D196" s="32" t="n"/>
      <c r="E196" s="43" t="n"/>
      <c r="F196" s="43" t="n"/>
      <c r="G196" s="43" t="n"/>
      <c r="H196" s="43" t="n"/>
      <c r="I196" s="43" t="n"/>
      <c r="J196" s="43" t="n"/>
      <c r="K196" s="43" t="n"/>
      <c r="L196" s="43" t="n"/>
      <c r="M196" s="43" t="n"/>
      <c r="N196" s="43" t="n"/>
      <c r="O196" s="43" t="n"/>
      <c r="P196" s="43" t="n"/>
      <c r="Q196" s="43" t="n"/>
      <c r="R196" s="43" t="n"/>
      <c r="S196" s="43" t="n"/>
      <c r="T196" s="43" t="n"/>
      <c r="U196" s="43" t="n"/>
      <c r="V196" s="43" t="n"/>
      <c r="W196" s="43" t="n"/>
      <c r="X196" s="43" t="n"/>
      <c r="Y196" s="43" t="n"/>
      <c r="Z196" s="43" t="n"/>
      <c r="AA196" s="43" t="n"/>
      <c r="AB196" s="43" t="n"/>
    </row>
    <row r="197" ht="14.25" customHeight="1" s="83">
      <c r="A197" s="43" t="n"/>
      <c r="B197" s="43" t="n"/>
      <c r="C197" s="43" t="n"/>
      <c r="D197" s="32" t="n"/>
      <c r="E197" s="43" t="n"/>
      <c r="F197" s="43" t="n"/>
      <c r="G197" s="43" t="n"/>
      <c r="H197" s="43" t="n"/>
      <c r="I197" s="43" t="n"/>
      <c r="J197" s="43" t="n"/>
      <c r="K197" s="43" t="n"/>
      <c r="L197" s="43" t="n"/>
      <c r="M197" s="43" t="n"/>
      <c r="N197" s="43" t="n"/>
      <c r="O197" s="43" t="n"/>
      <c r="P197" s="43" t="n"/>
      <c r="Q197" s="43" t="n"/>
      <c r="R197" s="43" t="n"/>
      <c r="S197" s="43" t="n"/>
      <c r="T197" s="43" t="n"/>
      <c r="U197" s="43" t="n"/>
      <c r="V197" s="43" t="n"/>
      <c r="W197" s="43" t="n"/>
      <c r="X197" s="43" t="n"/>
      <c r="Y197" s="43" t="n"/>
      <c r="Z197" s="43" t="n"/>
      <c r="AA197" s="43" t="n"/>
      <c r="AB197" s="43" t="n"/>
    </row>
    <row r="198" ht="14.25" customHeight="1" s="83">
      <c r="A198" s="43" t="n"/>
      <c r="B198" s="43" t="n"/>
      <c r="C198" s="43" t="n"/>
      <c r="D198" s="32" t="n"/>
      <c r="E198" s="43" t="n"/>
      <c r="F198" s="43" t="n"/>
      <c r="G198" s="43" t="n"/>
      <c r="H198" s="43" t="n"/>
      <c r="I198" s="43" t="n"/>
      <c r="J198" s="43" t="n"/>
      <c r="K198" s="43" t="n"/>
      <c r="L198" s="43" t="n"/>
      <c r="M198" s="43" t="n"/>
      <c r="N198" s="43" t="n"/>
      <c r="O198" s="43" t="n"/>
      <c r="P198" s="43" t="n"/>
      <c r="Q198" s="43" t="n"/>
      <c r="R198" s="43" t="n"/>
      <c r="S198" s="43" t="n"/>
      <c r="T198" s="43" t="n"/>
      <c r="U198" s="43" t="n"/>
      <c r="V198" s="43" t="n"/>
      <c r="W198" s="43" t="n"/>
      <c r="X198" s="43" t="n"/>
      <c r="Y198" s="43" t="n"/>
      <c r="Z198" s="43" t="n"/>
      <c r="AA198" s="43" t="n"/>
      <c r="AB198" s="43" t="n"/>
    </row>
    <row r="199" ht="14.25" customHeight="1" s="83">
      <c r="A199" s="43" t="n"/>
      <c r="B199" s="43" t="n"/>
      <c r="C199" s="43" t="n"/>
      <c r="D199" s="32" t="n"/>
      <c r="E199" s="43" t="n"/>
      <c r="F199" s="43" t="n"/>
      <c r="G199" s="43" t="n"/>
      <c r="H199" s="43" t="n"/>
      <c r="I199" s="43" t="n"/>
      <c r="J199" s="43" t="n"/>
      <c r="K199" s="43" t="n"/>
      <c r="L199" s="43" t="n"/>
      <c r="M199" s="43" t="n"/>
      <c r="N199" s="43" t="n"/>
      <c r="O199" s="43" t="n"/>
      <c r="P199" s="43" t="n"/>
      <c r="Q199" s="43" t="n"/>
      <c r="R199" s="43" t="n"/>
      <c r="S199" s="43" t="n"/>
      <c r="T199" s="43" t="n"/>
      <c r="U199" s="43" t="n"/>
      <c r="V199" s="43" t="n"/>
      <c r="W199" s="43" t="n"/>
      <c r="X199" s="43" t="n"/>
      <c r="Y199" s="43" t="n"/>
      <c r="Z199" s="43" t="n"/>
      <c r="AA199" s="43" t="n"/>
      <c r="AB199" s="43" t="n"/>
    </row>
    <row r="200" ht="14.25" customHeight="1" s="83">
      <c r="A200" s="43" t="n"/>
      <c r="B200" s="43" t="n"/>
      <c r="C200" s="43" t="n"/>
      <c r="D200" s="32" t="n"/>
      <c r="E200" s="43" t="n"/>
      <c r="F200" s="43" t="n"/>
      <c r="G200" s="43" t="n"/>
      <c r="H200" s="43" t="n"/>
      <c r="I200" s="43" t="n"/>
      <c r="J200" s="43" t="n"/>
      <c r="K200" s="43" t="n"/>
      <c r="L200" s="43" t="n"/>
      <c r="M200" s="43" t="n"/>
      <c r="N200" s="43" t="n"/>
      <c r="O200" s="43" t="n"/>
      <c r="P200" s="43" t="n"/>
      <c r="Q200" s="43" t="n"/>
      <c r="R200" s="43" t="n"/>
      <c r="S200" s="43" t="n"/>
      <c r="T200" s="43" t="n"/>
      <c r="U200" s="43" t="n"/>
      <c r="V200" s="43" t="n"/>
      <c r="W200" s="43" t="n"/>
      <c r="X200" s="43" t="n"/>
      <c r="Y200" s="43" t="n"/>
      <c r="Z200" s="43" t="n"/>
      <c r="AA200" s="43" t="n"/>
      <c r="AB200" s="43" t="n"/>
    </row>
    <row r="201" ht="14.25" customHeight="1" s="83">
      <c r="A201" s="43" t="n"/>
      <c r="B201" s="43" t="n"/>
      <c r="C201" s="43" t="n"/>
      <c r="D201" s="32" t="n"/>
      <c r="E201" s="43" t="n"/>
      <c r="F201" s="43" t="n"/>
      <c r="G201" s="43" t="n"/>
      <c r="H201" s="43" t="n"/>
      <c r="I201" s="43" t="n"/>
      <c r="J201" s="43" t="n"/>
      <c r="K201" s="43" t="n"/>
      <c r="L201" s="43" t="n"/>
      <c r="M201" s="43" t="n"/>
      <c r="N201" s="43" t="n"/>
      <c r="O201" s="43" t="n"/>
      <c r="P201" s="43" t="n"/>
      <c r="Q201" s="43" t="n"/>
      <c r="R201" s="43" t="n"/>
      <c r="S201" s="43" t="n"/>
      <c r="T201" s="43" t="n"/>
      <c r="U201" s="43" t="n"/>
      <c r="V201" s="43" t="n"/>
      <c r="W201" s="43" t="n"/>
      <c r="X201" s="43" t="n"/>
      <c r="Y201" s="43" t="n"/>
      <c r="Z201" s="43" t="n"/>
      <c r="AA201" s="43" t="n"/>
      <c r="AB201" s="43" t="n"/>
    </row>
    <row r="202" ht="14.25" customHeight="1" s="83">
      <c r="A202" s="43" t="n"/>
      <c r="B202" s="43" t="n"/>
      <c r="C202" s="43" t="n"/>
      <c r="D202" s="32"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c r="AA202" s="43" t="n"/>
      <c r="AB202" s="43" t="n"/>
    </row>
    <row r="203" ht="14.25" customHeight="1" s="83">
      <c r="A203" s="43" t="n"/>
      <c r="B203" s="43" t="n"/>
      <c r="C203" s="43" t="n"/>
      <c r="D203" s="32" t="n"/>
      <c r="E203" s="43" t="n"/>
      <c r="F203" s="43" t="n"/>
      <c r="G203" s="43" t="n"/>
      <c r="H203" s="43" t="n"/>
      <c r="I203" s="43" t="n"/>
      <c r="J203" s="43" t="n"/>
      <c r="K203" s="43" t="n"/>
      <c r="L203" s="43" t="n"/>
      <c r="M203" s="43" t="n"/>
      <c r="N203" s="43" t="n"/>
      <c r="O203" s="43" t="n"/>
      <c r="P203" s="43" t="n"/>
      <c r="Q203" s="43" t="n"/>
      <c r="R203" s="43" t="n"/>
      <c r="S203" s="43" t="n"/>
      <c r="T203" s="43" t="n"/>
      <c r="U203" s="43" t="n"/>
      <c r="V203" s="43" t="n"/>
      <c r="W203" s="43" t="n"/>
      <c r="X203" s="43" t="n"/>
      <c r="Y203" s="43" t="n"/>
      <c r="Z203" s="43" t="n"/>
      <c r="AA203" s="43" t="n"/>
      <c r="AB203" s="43" t="n"/>
    </row>
    <row r="204" ht="14.25" customHeight="1" s="83">
      <c r="A204" s="43" t="n"/>
      <c r="B204" s="43" t="n"/>
      <c r="C204" s="43" t="n"/>
      <c r="D204" s="32" t="n"/>
      <c r="E204" s="43" t="n"/>
      <c r="F204" s="43" t="n"/>
      <c r="G204" s="43" t="n"/>
      <c r="H204" s="43" t="n"/>
      <c r="I204" s="43" t="n"/>
      <c r="J204" s="43" t="n"/>
      <c r="K204" s="43" t="n"/>
      <c r="L204" s="43" t="n"/>
      <c r="M204" s="43" t="n"/>
      <c r="N204" s="43" t="n"/>
      <c r="O204" s="43" t="n"/>
      <c r="P204" s="43" t="n"/>
      <c r="Q204" s="43" t="n"/>
      <c r="R204" s="43" t="n"/>
      <c r="S204" s="43" t="n"/>
      <c r="T204" s="43" t="n"/>
      <c r="U204" s="43" t="n"/>
      <c r="V204" s="43" t="n"/>
      <c r="W204" s="43" t="n"/>
      <c r="X204" s="43" t="n"/>
      <c r="Y204" s="43" t="n"/>
      <c r="Z204" s="43" t="n"/>
      <c r="AA204" s="43" t="n"/>
      <c r="AB204" s="43" t="n"/>
    </row>
    <row r="205" ht="14.25" customHeight="1" s="83">
      <c r="A205" s="43" t="n"/>
      <c r="B205" s="43" t="n"/>
      <c r="C205" s="43" t="n"/>
      <c r="D205" s="32" t="n"/>
      <c r="E205" s="43" t="n"/>
      <c r="F205" s="43" t="n"/>
      <c r="G205" s="43" t="n"/>
      <c r="H205" s="43" t="n"/>
      <c r="I205" s="43" t="n"/>
      <c r="J205" s="43" t="n"/>
      <c r="K205" s="43" t="n"/>
      <c r="L205" s="43" t="n"/>
      <c r="M205" s="43" t="n"/>
      <c r="N205" s="43" t="n"/>
      <c r="O205" s="43" t="n"/>
      <c r="P205" s="43" t="n"/>
      <c r="Q205" s="43" t="n"/>
      <c r="R205" s="43" t="n"/>
      <c r="S205" s="43" t="n"/>
      <c r="T205" s="43" t="n"/>
      <c r="U205" s="43" t="n"/>
      <c r="V205" s="43" t="n"/>
      <c r="W205" s="43" t="n"/>
      <c r="X205" s="43" t="n"/>
      <c r="Y205" s="43" t="n"/>
      <c r="Z205" s="43" t="n"/>
      <c r="AA205" s="43" t="n"/>
      <c r="AB205" s="43" t="n"/>
    </row>
    <row r="206" ht="14.25" customHeight="1" s="83">
      <c r="A206" s="43" t="n"/>
      <c r="B206" s="43" t="n"/>
      <c r="C206" s="43" t="n"/>
      <c r="D206" s="32" t="n"/>
      <c r="E206" s="43" t="n"/>
      <c r="F206" s="43" t="n"/>
      <c r="G206" s="43" t="n"/>
      <c r="H206" s="43" t="n"/>
      <c r="I206" s="43" t="n"/>
      <c r="J206" s="43" t="n"/>
      <c r="K206" s="43" t="n"/>
      <c r="L206" s="43" t="n"/>
      <c r="M206" s="43" t="n"/>
      <c r="N206" s="43" t="n"/>
      <c r="O206" s="43" t="n"/>
      <c r="P206" s="43" t="n"/>
      <c r="Q206" s="43" t="n"/>
      <c r="R206" s="43" t="n"/>
      <c r="S206" s="43" t="n"/>
      <c r="T206" s="43" t="n"/>
      <c r="U206" s="43" t="n"/>
      <c r="V206" s="43" t="n"/>
      <c r="W206" s="43" t="n"/>
      <c r="X206" s="43" t="n"/>
      <c r="Y206" s="43" t="n"/>
      <c r="Z206" s="43" t="n"/>
      <c r="AA206" s="43" t="n"/>
      <c r="AB206" s="43" t="n"/>
    </row>
    <row r="207" ht="14.25" customHeight="1" s="83">
      <c r="A207" s="43" t="n"/>
      <c r="B207" s="43" t="n"/>
      <c r="C207" s="43" t="n"/>
      <c r="D207" s="32" t="n"/>
      <c r="E207" s="43" t="n"/>
      <c r="F207" s="43" t="n"/>
      <c r="G207" s="43" t="n"/>
      <c r="H207" s="43" t="n"/>
      <c r="I207" s="43" t="n"/>
      <c r="J207" s="43" t="n"/>
      <c r="K207" s="43" t="n"/>
      <c r="L207" s="43" t="n"/>
      <c r="M207" s="43" t="n"/>
      <c r="N207" s="43" t="n"/>
      <c r="O207" s="43" t="n"/>
      <c r="P207" s="43" t="n"/>
      <c r="Q207" s="43" t="n"/>
      <c r="R207" s="43" t="n"/>
      <c r="S207" s="43" t="n"/>
      <c r="T207" s="43" t="n"/>
      <c r="U207" s="43" t="n"/>
      <c r="V207" s="43" t="n"/>
      <c r="W207" s="43" t="n"/>
      <c r="X207" s="43" t="n"/>
      <c r="Y207" s="43" t="n"/>
      <c r="Z207" s="43" t="n"/>
      <c r="AA207" s="43" t="n"/>
      <c r="AB207" s="43" t="n"/>
    </row>
    <row r="208" ht="14.25" customHeight="1" s="83">
      <c r="A208" s="43" t="n"/>
      <c r="B208" s="43" t="n"/>
      <c r="C208" s="43" t="n"/>
      <c r="D208" s="32" t="n"/>
      <c r="E208" s="43" t="n"/>
      <c r="F208" s="43" t="n"/>
      <c r="G208" s="43" t="n"/>
      <c r="H208" s="43" t="n"/>
      <c r="I208" s="43" t="n"/>
      <c r="J208" s="43" t="n"/>
      <c r="K208" s="43" t="n"/>
      <c r="L208" s="43" t="n"/>
      <c r="M208" s="43" t="n"/>
      <c r="N208" s="43" t="n"/>
      <c r="O208" s="43" t="n"/>
      <c r="P208" s="43" t="n"/>
      <c r="Q208" s="43" t="n"/>
      <c r="R208" s="43" t="n"/>
      <c r="S208" s="43" t="n"/>
      <c r="T208" s="43" t="n"/>
      <c r="U208" s="43" t="n"/>
      <c r="V208" s="43" t="n"/>
      <c r="W208" s="43" t="n"/>
      <c r="X208" s="43" t="n"/>
      <c r="Y208" s="43" t="n"/>
      <c r="Z208" s="43" t="n"/>
      <c r="AA208" s="43" t="n"/>
      <c r="AB208" s="43" t="n"/>
    </row>
    <row r="209" ht="14.25" customHeight="1" s="83">
      <c r="A209" s="43" t="n"/>
      <c r="B209" s="43" t="n"/>
      <c r="C209" s="43" t="n"/>
      <c r="D209" s="32" t="n"/>
      <c r="E209" s="43" t="n"/>
      <c r="F209" s="43" t="n"/>
      <c r="G209" s="43" t="n"/>
      <c r="H209" s="43" t="n"/>
      <c r="I209" s="43" t="n"/>
      <c r="J209" s="43" t="n"/>
      <c r="K209" s="43" t="n"/>
      <c r="L209" s="43" t="n"/>
      <c r="M209" s="43" t="n"/>
      <c r="N209" s="43" t="n"/>
      <c r="O209" s="43" t="n"/>
      <c r="P209" s="43" t="n"/>
      <c r="Q209" s="43" t="n"/>
      <c r="R209" s="43" t="n"/>
      <c r="S209" s="43" t="n"/>
      <c r="T209" s="43" t="n"/>
      <c r="U209" s="43" t="n"/>
      <c r="V209" s="43" t="n"/>
      <c r="W209" s="43" t="n"/>
      <c r="X209" s="43" t="n"/>
      <c r="Y209" s="43" t="n"/>
      <c r="Z209" s="43" t="n"/>
      <c r="AA209" s="43" t="n"/>
      <c r="AB209" s="43" t="n"/>
    </row>
    <row r="210" ht="14.25" customHeight="1" s="83">
      <c r="A210" s="43" t="n"/>
      <c r="B210" s="43" t="n"/>
      <c r="C210" s="43" t="n"/>
      <c r="D210" s="32" t="n"/>
      <c r="E210" s="43" t="n"/>
      <c r="F210" s="43" t="n"/>
      <c r="G210" s="43" t="n"/>
      <c r="H210" s="43" t="n"/>
      <c r="I210" s="43" t="n"/>
      <c r="J210" s="43" t="n"/>
      <c r="K210" s="43" t="n"/>
      <c r="L210" s="43" t="n"/>
      <c r="M210" s="43" t="n"/>
      <c r="N210" s="43" t="n"/>
      <c r="O210" s="43" t="n"/>
      <c r="P210" s="43" t="n"/>
      <c r="Q210" s="43" t="n"/>
      <c r="R210" s="43" t="n"/>
      <c r="S210" s="43" t="n"/>
      <c r="T210" s="43" t="n"/>
      <c r="U210" s="43" t="n"/>
      <c r="V210" s="43" t="n"/>
      <c r="W210" s="43" t="n"/>
      <c r="X210" s="43" t="n"/>
      <c r="Y210" s="43" t="n"/>
      <c r="Z210" s="43" t="n"/>
      <c r="AA210" s="43" t="n"/>
      <c r="AB210" s="43" t="n"/>
    </row>
    <row r="211" ht="14.25" customHeight="1" s="83">
      <c r="A211" s="43" t="n"/>
      <c r="B211" s="43" t="n"/>
      <c r="C211" s="43" t="n"/>
      <c r="D211" s="32" t="n"/>
      <c r="E211" s="43" t="n"/>
      <c r="F211" s="43" t="n"/>
      <c r="G211" s="43" t="n"/>
      <c r="H211" s="43" t="n"/>
      <c r="I211" s="43" t="n"/>
      <c r="J211" s="43" t="n"/>
      <c r="K211" s="43" t="n"/>
      <c r="L211" s="43" t="n"/>
      <c r="M211" s="43" t="n"/>
      <c r="N211" s="43" t="n"/>
      <c r="O211" s="43" t="n"/>
      <c r="P211" s="43" t="n"/>
      <c r="Q211" s="43" t="n"/>
      <c r="R211" s="43" t="n"/>
      <c r="S211" s="43" t="n"/>
      <c r="T211" s="43" t="n"/>
      <c r="U211" s="43" t="n"/>
      <c r="V211" s="43" t="n"/>
      <c r="W211" s="43" t="n"/>
      <c r="X211" s="43" t="n"/>
      <c r="Y211" s="43" t="n"/>
      <c r="Z211" s="43" t="n"/>
      <c r="AA211" s="43" t="n"/>
      <c r="AB211" s="43" t="n"/>
    </row>
    <row r="212" ht="14.25" customHeight="1" s="83">
      <c r="A212" s="43" t="n"/>
      <c r="B212" s="43" t="n"/>
      <c r="C212" s="43" t="n"/>
      <c r="D212" s="32" t="n"/>
      <c r="E212" s="43" t="n"/>
      <c r="F212" s="43" t="n"/>
      <c r="G212" s="43" t="n"/>
      <c r="H212" s="43" t="n"/>
      <c r="I212" s="43" t="n"/>
      <c r="J212" s="43" t="n"/>
      <c r="K212" s="43" t="n"/>
      <c r="L212" s="43" t="n"/>
      <c r="M212" s="43" t="n"/>
      <c r="N212" s="43" t="n"/>
      <c r="O212" s="43" t="n"/>
      <c r="P212" s="43" t="n"/>
      <c r="Q212" s="43" t="n"/>
      <c r="R212" s="43" t="n"/>
      <c r="S212" s="43" t="n"/>
      <c r="T212" s="43" t="n"/>
      <c r="U212" s="43" t="n"/>
      <c r="V212" s="43" t="n"/>
      <c r="W212" s="43" t="n"/>
      <c r="X212" s="43" t="n"/>
      <c r="Y212" s="43" t="n"/>
      <c r="Z212" s="43" t="n"/>
      <c r="AA212" s="43" t="n"/>
      <c r="AB212" s="43" t="n"/>
    </row>
    <row r="213" ht="14.25" customHeight="1" s="83">
      <c r="A213" s="43" t="n"/>
      <c r="B213" s="43" t="n"/>
      <c r="C213" s="43" t="n"/>
      <c r="D213" s="32" t="n"/>
      <c r="E213" s="43" t="n"/>
      <c r="F213" s="43" t="n"/>
      <c r="G213" s="43" t="n"/>
      <c r="H213" s="43" t="n"/>
      <c r="I213" s="43" t="n"/>
      <c r="J213" s="43" t="n"/>
      <c r="K213" s="43" t="n"/>
      <c r="L213" s="43" t="n"/>
      <c r="M213" s="43" t="n"/>
      <c r="N213" s="43" t="n"/>
      <c r="O213" s="43" t="n"/>
      <c r="P213" s="43" t="n"/>
      <c r="Q213" s="43" t="n"/>
      <c r="R213" s="43" t="n"/>
      <c r="S213" s="43" t="n"/>
      <c r="T213" s="43" t="n"/>
      <c r="U213" s="43" t="n"/>
      <c r="V213" s="43" t="n"/>
      <c r="W213" s="43" t="n"/>
      <c r="X213" s="43" t="n"/>
      <c r="Y213" s="43" t="n"/>
      <c r="Z213" s="43" t="n"/>
      <c r="AA213" s="43" t="n"/>
      <c r="AB213" s="43" t="n"/>
    </row>
    <row r="214" ht="14.25" customHeight="1" s="83">
      <c r="A214" s="43" t="n"/>
      <c r="B214" s="43" t="n"/>
      <c r="C214" s="43" t="n"/>
      <c r="D214" s="32" t="n"/>
      <c r="E214" s="43" t="n"/>
      <c r="F214" s="43" t="n"/>
      <c r="G214" s="43" t="n"/>
      <c r="H214" s="43" t="n"/>
      <c r="I214" s="43" t="n"/>
      <c r="J214" s="43" t="n"/>
      <c r="K214" s="43" t="n"/>
      <c r="L214" s="43" t="n"/>
      <c r="M214" s="43" t="n"/>
      <c r="N214" s="43" t="n"/>
      <c r="O214" s="43" t="n"/>
      <c r="P214" s="43" t="n"/>
      <c r="Q214" s="43" t="n"/>
      <c r="R214" s="43" t="n"/>
      <c r="S214" s="43" t="n"/>
      <c r="T214" s="43" t="n"/>
      <c r="U214" s="43" t="n"/>
      <c r="V214" s="43" t="n"/>
      <c r="W214" s="43" t="n"/>
      <c r="X214" s="43" t="n"/>
      <c r="Y214" s="43" t="n"/>
      <c r="Z214" s="43" t="n"/>
      <c r="AA214" s="43" t="n"/>
      <c r="AB214" s="43" t="n"/>
    </row>
    <row r="215" ht="14.25" customHeight="1" s="83">
      <c r="A215" s="43" t="n"/>
      <c r="B215" s="43" t="n"/>
      <c r="C215" s="43" t="n"/>
      <c r="D215" s="32" t="n"/>
      <c r="E215" s="43" t="n"/>
      <c r="F215" s="43" t="n"/>
      <c r="G215" s="43" t="n"/>
      <c r="H215" s="43" t="n"/>
      <c r="I215" s="43" t="n"/>
      <c r="J215" s="43" t="n"/>
      <c r="K215" s="43" t="n"/>
      <c r="L215" s="43" t="n"/>
      <c r="M215" s="43" t="n"/>
      <c r="N215" s="43" t="n"/>
      <c r="O215" s="43" t="n"/>
      <c r="P215" s="43" t="n"/>
      <c r="Q215" s="43" t="n"/>
      <c r="R215" s="43" t="n"/>
      <c r="S215" s="43" t="n"/>
      <c r="T215" s="43" t="n"/>
      <c r="U215" s="43" t="n"/>
      <c r="V215" s="43" t="n"/>
      <c r="W215" s="43" t="n"/>
      <c r="X215" s="43" t="n"/>
      <c r="Y215" s="43" t="n"/>
      <c r="Z215" s="43" t="n"/>
      <c r="AA215" s="43" t="n"/>
      <c r="AB215" s="43" t="n"/>
    </row>
    <row r="216" ht="14.25" customHeight="1" s="83">
      <c r="A216" s="43" t="n"/>
      <c r="B216" s="43" t="n"/>
      <c r="C216" s="43" t="n"/>
      <c r="D216" s="32" t="n"/>
      <c r="E216" s="43" t="n"/>
      <c r="F216" s="43" t="n"/>
      <c r="G216" s="43" t="n"/>
      <c r="H216" s="43" t="n"/>
      <c r="I216" s="43" t="n"/>
      <c r="J216" s="43" t="n"/>
      <c r="K216" s="43" t="n"/>
      <c r="L216" s="43" t="n"/>
      <c r="M216" s="43" t="n"/>
      <c r="N216" s="43" t="n"/>
      <c r="O216" s="43" t="n"/>
      <c r="P216" s="43" t="n"/>
      <c r="Q216" s="43" t="n"/>
      <c r="R216" s="43" t="n"/>
      <c r="S216" s="43" t="n"/>
      <c r="T216" s="43" t="n"/>
      <c r="U216" s="43" t="n"/>
      <c r="V216" s="43" t="n"/>
      <c r="W216" s="43" t="n"/>
      <c r="X216" s="43" t="n"/>
      <c r="Y216" s="43" t="n"/>
      <c r="Z216" s="43" t="n"/>
      <c r="AA216" s="43" t="n"/>
      <c r="AB216" s="43" t="n"/>
    </row>
    <row r="217" ht="14.25" customHeight="1" s="83">
      <c r="A217" s="43" t="n"/>
      <c r="B217" s="43" t="n"/>
      <c r="C217" s="43" t="n"/>
      <c r="D217" s="32" t="n"/>
      <c r="E217" s="43" t="n"/>
      <c r="F217" s="43" t="n"/>
      <c r="G217" s="43" t="n"/>
      <c r="H217" s="43" t="n"/>
      <c r="I217" s="43" t="n"/>
      <c r="J217" s="43" t="n"/>
      <c r="K217" s="43" t="n"/>
      <c r="L217" s="43" t="n"/>
      <c r="M217" s="43" t="n"/>
      <c r="N217" s="43" t="n"/>
      <c r="O217" s="43" t="n"/>
      <c r="P217" s="43" t="n"/>
      <c r="Q217" s="43" t="n"/>
      <c r="R217" s="43" t="n"/>
      <c r="S217" s="43" t="n"/>
      <c r="T217" s="43" t="n"/>
      <c r="U217" s="43" t="n"/>
      <c r="V217" s="43" t="n"/>
      <c r="W217" s="43" t="n"/>
      <c r="X217" s="43" t="n"/>
      <c r="Y217" s="43" t="n"/>
      <c r="Z217" s="43" t="n"/>
      <c r="AA217" s="43" t="n"/>
      <c r="AB217" s="43" t="n"/>
    </row>
    <row r="218" ht="14.25" customHeight="1" s="83">
      <c r="A218" s="43" t="n"/>
      <c r="B218" s="43" t="n"/>
      <c r="C218" s="43" t="n"/>
      <c r="D218" s="32" t="n"/>
      <c r="E218" s="43" t="n"/>
      <c r="F218" s="43" t="n"/>
      <c r="G218" s="43" t="n"/>
      <c r="H218" s="43" t="n"/>
      <c r="I218" s="43" t="n"/>
      <c r="J218" s="43" t="n"/>
      <c r="K218" s="43" t="n"/>
      <c r="L218" s="43" t="n"/>
      <c r="M218" s="43" t="n"/>
      <c r="N218" s="43" t="n"/>
      <c r="O218" s="43" t="n"/>
      <c r="P218" s="43" t="n"/>
      <c r="Q218" s="43" t="n"/>
      <c r="R218" s="43" t="n"/>
      <c r="S218" s="43" t="n"/>
      <c r="T218" s="43" t="n"/>
      <c r="U218" s="43" t="n"/>
      <c r="V218" s="43" t="n"/>
      <c r="W218" s="43" t="n"/>
      <c r="X218" s="43" t="n"/>
      <c r="Y218" s="43" t="n"/>
      <c r="Z218" s="43" t="n"/>
      <c r="AA218" s="43" t="n"/>
      <c r="AB218" s="43" t="n"/>
    </row>
    <row r="219" ht="14.25" customHeight="1" s="83">
      <c r="A219" s="43" t="n"/>
      <c r="B219" s="43" t="n"/>
      <c r="C219" s="43" t="n"/>
      <c r="D219" s="32" t="n"/>
      <c r="E219" s="43" t="n"/>
      <c r="F219" s="43" t="n"/>
      <c r="G219" s="43" t="n"/>
      <c r="H219" s="43" t="n"/>
      <c r="I219" s="43" t="n"/>
      <c r="J219" s="43" t="n"/>
      <c r="K219" s="43" t="n"/>
      <c r="L219" s="43" t="n"/>
      <c r="M219" s="43" t="n"/>
      <c r="N219" s="43" t="n"/>
      <c r="O219" s="43" t="n"/>
      <c r="P219" s="43" t="n"/>
      <c r="Q219" s="43" t="n"/>
      <c r="R219" s="43" t="n"/>
      <c r="S219" s="43" t="n"/>
      <c r="T219" s="43" t="n"/>
      <c r="U219" s="43" t="n"/>
      <c r="V219" s="43" t="n"/>
      <c r="W219" s="43" t="n"/>
      <c r="X219" s="43" t="n"/>
      <c r="Y219" s="43" t="n"/>
      <c r="Z219" s="43" t="n"/>
      <c r="AA219" s="43" t="n"/>
      <c r="AB219" s="43" t="n"/>
    </row>
    <row r="220" ht="14.25" customHeight="1" s="83">
      <c r="A220" s="43" t="n"/>
      <c r="B220" s="43" t="n"/>
      <c r="C220" s="43" t="n"/>
      <c r="D220" s="32" t="n"/>
      <c r="E220" s="43" t="n"/>
      <c r="F220" s="43" t="n"/>
      <c r="G220" s="43" t="n"/>
      <c r="H220" s="43" t="n"/>
      <c r="I220" s="43" t="n"/>
      <c r="J220" s="43" t="n"/>
      <c r="K220" s="43" t="n"/>
      <c r="L220" s="43" t="n"/>
      <c r="M220" s="43" t="n"/>
      <c r="N220" s="43" t="n"/>
      <c r="O220" s="43" t="n"/>
      <c r="P220" s="43" t="n"/>
      <c r="Q220" s="43" t="n"/>
      <c r="R220" s="43" t="n"/>
      <c r="S220" s="43" t="n"/>
      <c r="T220" s="43" t="n"/>
      <c r="U220" s="43" t="n"/>
      <c r="V220" s="43" t="n"/>
      <c r="W220" s="43" t="n"/>
      <c r="X220" s="43" t="n"/>
      <c r="Y220" s="43" t="n"/>
      <c r="Z220" s="43" t="n"/>
      <c r="AA220" s="43" t="n"/>
      <c r="AB220" s="43" t="n"/>
    </row>
    <row r="221" ht="14.25" customHeight="1" s="83">
      <c r="A221" s="43" t="n"/>
      <c r="B221" s="43" t="n"/>
      <c r="C221" s="43" t="n"/>
      <c r="D221" s="32"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c r="AA221" s="43" t="n"/>
      <c r="AB221" s="43" t="n"/>
    </row>
    <row r="222" ht="14.25" customHeight="1" s="83">
      <c r="A222" s="43" t="n"/>
      <c r="B222" s="43" t="n"/>
      <c r="C222" s="43" t="n"/>
      <c r="D222" s="32"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c r="AA222" s="43" t="n"/>
      <c r="AB222" s="43" t="n"/>
    </row>
    <row r="223" ht="14.25" customHeight="1" s="83">
      <c r="A223" s="43" t="n"/>
      <c r="B223" s="43" t="n"/>
      <c r="C223" s="43" t="n"/>
      <c r="D223" s="32"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c r="AA223" s="43" t="n"/>
      <c r="AB223" s="43" t="n"/>
    </row>
    <row r="224" ht="14.25" customHeight="1" s="83">
      <c r="A224" s="43" t="n"/>
      <c r="B224" s="43" t="n"/>
      <c r="C224" s="43" t="n"/>
      <c r="D224" s="32"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c r="AA224" s="43" t="n"/>
      <c r="AB224" s="43" t="n"/>
    </row>
    <row r="225" ht="14.25" customHeight="1" s="83">
      <c r="A225" s="43" t="n"/>
      <c r="B225" s="43" t="n"/>
      <c r="C225" s="43" t="n"/>
      <c r="D225" s="32"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c r="AA225" s="43" t="n"/>
      <c r="AB225" s="43" t="n"/>
    </row>
    <row r="226" ht="14.25" customHeight="1" s="83">
      <c r="A226" s="43" t="n"/>
      <c r="B226" s="43" t="n"/>
      <c r="C226" s="43" t="n"/>
      <c r="D226" s="32"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c r="AA226" s="43" t="n"/>
      <c r="AB226" s="43" t="n"/>
    </row>
    <row r="227" ht="14.25" customHeight="1" s="83">
      <c r="A227" s="43" t="n"/>
      <c r="B227" s="43" t="n"/>
      <c r="C227" s="43" t="n"/>
      <c r="D227" s="32"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c r="AA227" s="43" t="n"/>
      <c r="AB227" s="43" t="n"/>
    </row>
    <row r="228" ht="14.25" customHeight="1" s="83">
      <c r="A228" s="43" t="n"/>
      <c r="B228" s="43" t="n"/>
      <c r="C228" s="43" t="n"/>
      <c r="D228" s="32"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c r="AA228" s="43" t="n"/>
      <c r="AB228" s="43" t="n"/>
    </row>
    <row r="229" ht="14.25" customHeight="1" s="83">
      <c r="A229" s="43" t="n"/>
      <c r="B229" s="43" t="n"/>
      <c r="C229" s="43" t="n"/>
      <c r="D229" s="32"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c r="AA229" s="43" t="n"/>
      <c r="AB229" s="43" t="n"/>
    </row>
    <row r="230" ht="14.25" customHeight="1" s="83">
      <c r="A230" s="43" t="n"/>
      <c r="B230" s="43" t="n"/>
      <c r="C230" s="43" t="n"/>
      <c r="D230" s="32"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c r="AA230" s="43" t="n"/>
      <c r="AB230" s="43" t="n"/>
    </row>
    <row r="231" ht="14.25" customHeight="1" s="83">
      <c r="A231" s="43" t="n"/>
      <c r="B231" s="43" t="n"/>
      <c r="C231" s="43" t="n"/>
      <c r="D231" s="32"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c r="AA231" s="43" t="n"/>
      <c r="AB231" s="43" t="n"/>
    </row>
    <row r="232" ht="14.25" customHeight="1" s="83">
      <c r="A232" s="43" t="n"/>
      <c r="B232" s="43" t="n"/>
      <c r="C232" s="43" t="n"/>
      <c r="D232" s="32"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c r="AA232" s="43" t="n"/>
      <c r="AB232" s="43" t="n"/>
    </row>
    <row r="233" ht="14.25" customHeight="1" s="83">
      <c r="A233" s="43" t="n"/>
      <c r="B233" s="43" t="n"/>
      <c r="C233" s="43" t="n"/>
      <c r="D233" s="32"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c r="AA233" s="43" t="n"/>
      <c r="AB233" s="43" t="n"/>
    </row>
    <row r="234" ht="14.25" customHeight="1" s="83">
      <c r="A234" s="43" t="n"/>
      <c r="B234" s="43" t="n"/>
      <c r="C234" s="43" t="n"/>
      <c r="D234" s="32"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c r="AA234" s="43" t="n"/>
      <c r="AB234" s="43" t="n"/>
    </row>
    <row r="235" ht="14.25" customHeight="1" s="83">
      <c r="A235" s="43" t="n"/>
      <c r="B235" s="43" t="n"/>
      <c r="C235" s="43" t="n"/>
      <c r="D235" s="32"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c r="AA235" s="43" t="n"/>
      <c r="AB235" s="43" t="n"/>
    </row>
    <row r="236" ht="14.25" customHeight="1" s="83">
      <c r="A236" s="43" t="n"/>
      <c r="B236" s="43" t="n"/>
      <c r="C236" s="43" t="n"/>
      <c r="D236" s="32"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c r="AA236" s="43" t="n"/>
      <c r="AB236" s="43" t="n"/>
    </row>
    <row r="237" ht="14.25" customHeight="1" s="83">
      <c r="A237" s="43" t="n"/>
      <c r="B237" s="43" t="n"/>
      <c r="C237" s="43" t="n"/>
      <c r="D237" s="32"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c r="AA237" s="43" t="n"/>
      <c r="AB237" s="43" t="n"/>
    </row>
    <row r="238" ht="14.25" customHeight="1" s="83">
      <c r="A238" s="43" t="n"/>
      <c r="B238" s="43" t="n"/>
      <c r="C238" s="43" t="n"/>
      <c r="D238" s="32"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c r="AA238" s="43" t="n"/>
      <c r="AB238" s="43" t="n"/>
    </row>
    <row r="239" ht="14.25" customHeight="1" s="83">
      <c r="A239" s="43" t="n"/>
      <c r="B239" s="43" t="n"/>
      <c r="C239" s="43" t="n"/>
      <c r="D239" s="32"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c r="AA239" s="43" t="n"/>
      <c r="AB239" s="43" t="n"/>
    </row>
    <row r="240" ht="14.25" customHeight="1" s="83">
      <c r="A240" s="43" t="n"/>
      <c r="B240" s="43" t="n"/>
      <c r="C240" s="43" t="n"/>
      <c r="D240" s="32"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c r="AA240" s="43" t="n"/>
      <c r="AB240" s="43" t="n"/>
    </row>
    <row r="241" ht="14.25" customHeight="1" s="83">
      <c r="A241" s="43" t="n"/>
      <c r="B241" s="43" t="n"/>
      <c r="C241" s="43" t="n"/>
      <c r="D241" s="32"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c r="AA241" s="43" t="n"/>
      <c r="AB241" s="43" t="n"/>
    </row>
    <row r="242" ht="14.25" customHeight="1" s="83">
      <c r="A242" s="43" t="n"/>
      <c r="B242" s="43" t="n"/>
      <c r="C242" s="43" t="n"/>
      <c r="D242" s="32"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c r="AA242" s="43" t="n"/>
      <c r="AB242" s="43" t="n"/>
    </row>
    <row r="243" ht="14.25" customHeight="1" s="83">
      <c r="A243" s="43" t="n"/>
      <c r="B243" s="43" t="n"/>
      <c r="C243" s="43" t="n"/>
      <c r="D243" s="32"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c r="AA243" s="43" t="n"/>
      <c r="AB243" s="43" t="n"/>
    </row>
    <row r="244" ht="14.25" customHeight="1" s="83">
      <c r="A244" s="43" t="n"/>
      <c r="B244" s="43" t="n"/>
      <c r="C244" s="43" t="n"/>
      <c r="D244" s="32"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c r="AA244" s="43" t="n"/>
      <c r="AB244" s="43" t="n"/>
    </row>
    <row r="245" ht="14.25" customHeight="1" s="83">
      <c r="A245" s="43" t="n"/>
      <c r="B245" s="43" t="n"/>
      <c r="C245" s="43" t="n"/>
      <c r="D245" s="32"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c r="AA245" s="43" t="n"/>
      <c r="AB245" s="43" t="n"/>
    </row>
    <row r="246" ht="14.25" customHeight="1" s="83">
      <c r="A246" s="43" t="n"/>
      <c r="B246" s="43" t="n"/>
      <c r="C246" s="43" t="n"/>
      <c r="D246" s="32"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c r="AA246" s="43" t="n"/>
      <c r="AB246" s="43" t="n"/>
    </row>
    <row r="247" ht="14.25" customHeight="1" s="83">
      <c r="A247" s="43" t="n"/>
      <c r="B247" s="43" t="n"/>
      <c r="C247" s="43" t="n"/>
      <c r="D247" s="32"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c r="AA247" s="43" t="n"/>
      <c r="AB247" s="43" t="n"/>
    </row>
    <row r="248" ht="14.25" customHeight="1" s="83">
      <c r="A248" s="43" t="n"/>
      <c r="B248" s="43" t="n"/>
      <c r="C248" s="43" t="n"/>
      <c r="D248" s="32"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c r="AA248" s="43" t="n"/>
      <c r="AB248" s="43" t="n"/>
    </row>
    <row r="249" ht="14.25" customHeight="1" s="83">
      <c r="A249" s="43" t="n"/>
      <c r="B249" s="43" t="n"/>
      <c r="C249" s="43" t="n"/>
      <c r="D249" s="32"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c r="AA249" s="43" t="n"/>
      <c r="AB249" s="43" t="n"/>
    </row>
    <row r="250" ht="14.25" customHeight="1" s="83">
      <c r="A250" s="43" t="n"/>
      <c r="B250" s="43" t="n"/>
      <c r="C250" s="43" t="n"/>
      <c r="D250" s="32"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c r="AA250" s="43" t="n"/>
      <c r="AB250" s="43" t="n"/>
    </row>
    <row r="251" ht="14.25" customHeight="1" s="83">
      <c r="A251" s="43" t="n"/>
      <c r="B251" s="43" t="n"/>
      <c r="C251" s="43" t="n"/>
      <c r="D251" s="32"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c r="AA251" s="43" t="n"/>
      <c r="AB251" s="43" t="n"/>
    </row>
    <row r="252" ht="14.25" customHeight="1" s="83">
      <c r="A252" s="43" t="n"/>
      <c r="B252" s="43" t="n"/>
      <c r="C252" s="43" t="n"/>
      <c r="D252" s="32"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c r="AA252" s="43" t="n"/>
      <c r="AB252" s="43" t="n"/>
    </row>
    <row r="253" ht="14.25" customHeight="1" s="83">
      <c r="A253" s="43" t="n"/>
      <c r="B253" s="43" t="n"/>
      <c r="C253" s="43" t="n"/>
      <c r="D253" s="32"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c r="AA253" s="43" t="n"/>
      <c r="AB253" s="43" t="n"/>
    </row>
    <row r="254" ht="14.25" customHeight="1" s="83">
      <c r="A254" s="43" t="n"/>
      <c r="B254" s="43" t="n"/>
      <c r="C254" s="43" t="n"/>
      <c r="D254" s="32"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c r="AA254" s="43" t="n"/>
      <c r="AB254" s="43" t="n"/>
    </row>
    <row r="255" ht="14.25" customHeight="1" s="83">
      <c r="A255" s="43" t="n"/>
      <c r="B255" s="43" t="n"/>
      <c r="C255" s="43" t="n"/>
      <c r="D255" s="32"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c r="AA255" s="43" t="n"/>
      <c r="AB255" s="43" t="n"/>
    </row>
    <row r="256" ht="14.25" customHeight="1" s="83">
      <c r="A256" s="43" t="n"/>
      <c r="B256" s="43" t="n"/>
      <c r="C256" s="43" t="n"/>
      <c r="D256" s="32"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c r="AA256" s="43" t="n"/>
      <c r="AB256" s="43" t="n"/>
    </row>
    <row r="257" ht="14.25" customHeight="1" s="83">
      <c r="A257" s="43" t="n"/>
      <c r="B257" s="43" t="n"/>
      <c r="C257" s="43" t="n"/>
      <c r="D257" s="32"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c r="AA257" s="43" t="n"/>
      <c r="AB257" s="43" t="n"/>
    </row>
    <row r="258" ht="14.25" customHeight="1" s="83">
      <c r="A258" s="43" t="n"/>
      <c r="B258" s="43" t="n"/>
      <c r="C258" s="43" t="n"/>
      <c r="D258" s="32"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c r="AA258" s="43" t="n"/>
      <c r="AB258" s="43" t="n"/>
    </row>
    <row r="259" ht="14.25" customHeight="1" s="83">
      <c r="A259" s="43" t="n"/>
      <c r="B259" s="43" t="n"/>
      <c r="C259" s="43" t="n"/>
      <c r="D259" s="32"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c r="AA259" s="43" t="n"/>
      <c r="AB259" s="43" t="n"/>
    </row>
    <row r="260" ht="14.25" customHeight="1" s="83">
      <c r="A260" s="43" t="n"/>
      <c r="B260" s="43" t="n"/>
      <c r="C260" s="43" t="n"/>
      <c r="D260" s="32"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c r="AA260" s="43" t="n"/>
      <c r="AB260" s="43" t="n"/>
    </row>
    <row r="261" ht="14.25" customHeight="1" s="83">
      <c r="A261" s="43" t="n"/>
      <c r="B261" s="43" t="n"/>
      <c r="C261" s="43" t="n"/>
      <c r="D261" s="32"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c r="AA261" s="43" t="n"/>
      <c r="AB261" s="43" t="n"/>
    </row>
    <row r="262" ht="14.25" customHeight="1" s="83">
      <c r="A262" s="43" t="n"/>
      <c r="B262" s="43" t="n"/>
      <c r="C262" s="43" t="n"/>
      <c r="D262" s="32"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c r="AA262" s="43" t="n"/>
      <c r="AB262" s="43" t="n"/>
    </row>
    <row r="263" ht="14.25" customHeight="1" s="83">
      <c r="A263" s="43" t="n"/>
      <c r="B263" s="43" t="n"/>
      <c r="C263" s="43" t="n"/>
      <c r="D263" s="32"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c r="AA263" s="43" t="n"/>
      <c r="AB263" s="43" t="n"/>
    </row>
    <row r="264" ht="14.25" customHeight="1" s="83">
      <c r="A264" s="43" t="n"/>
      <c r="B264" s="43" t="n"/>
      <c r="C264" s="43" t="n"/>
      <c r="D264" s="32"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c r="AA264" s="43" t="n"/>
      <c r="AB264" s="43" t="n"/>
    </row>
    <row r="265" ht="14.25" customHeight="1" s="83">
      <c r="A265" s="43" t="n"/>
      <c r="B265" s="43" t="n"/>
      <c r="C265" s="43" t="n"/>
      <c r="D265" s="32"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c r="AA265" s="43" t="n"/>
      <c r="AB265" s="43" t="n"/>
    </row>
    <row r="266" ht="14.25" customHeight="1" s="83">
      <c r="A266" s="43" t="n"/>
      <c r="B266" s="43" t="n"/>
      <c r="C266" s="43" t="n"/>
      <c r="D266" s="32"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c r="AA266" s="43" t="n"/>
      <c r="AB266" s="43" t="n"/>
    </row>
    <row r="267" ht="14.25" customHeight="1" s="83">
      <c r="A267" s="43" t="n"/>
      <c r="B267" s="43" t="n"/>
      <c r="C267" s="43" t="n"/>
      <c r="D267" s="32"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c r="AA267" s="43" t="n"/>
      <c r="AB267" s="43" t="n"/>
    </row>
    <row r="268" ht="14.25" customHeight="1" s="83">
      <c r="A268" s="43" t="n"/>
      <c r="B268" s="43" t="n"/>
      <c r="C268" s="43" t="n"/>
      <c r="D268" s="32"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c r="AA268" s="43" t="n"/>
      <c r="AB268" s="43" t="n"/>
    </row>
    <row r="269" ht="14.25" customHeight="1" s="83">
      <c r="A269" s="43" t="n"/>
      <c r="B269" s="43" t="n"/>
      <c r="C269" s="43" t="n"/>
      <c r="D269" s="32"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c r="AA269" s="43" t="n"/>
      <c r="AB269" s="43" t="n"/>
    </row>
    <row r="270" ht="14.25" customHeight="1" s="83">
      <c r="A270" s="43" t="n"/>
      <c r="B270" s="43" t="n"/>
      <c r="C270" s="43" t="n"/>
      <c r="D270" s="32"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c r="AA270" s="43" t="n"/>
      <c r="AB270" s="43" t="n"/>
    </row>
    <row r="271" ht="14.25" customHeight="1" s="83">
      <c r="A271" s="43" t="n"/>
      <c r="B271" s="43" t="n"/>
      <c r="C271" s="43" t="n"/>
      <c r="D271" s="32"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c r="AA271" s="43" t="n"/>
      <c r="AB271" s="43" t="n"/>
    </row>
    <row r="272" ht="14.25" customHeight="1" s="83">
      <c r="A272" s="43" t="n"/>
      <c r="B272" s="43" t="n"/>
      <c r="C272" s="43" t="n"/>
      <c r="D272" s="32"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c r="AA272" s="43" t="n"/>
      <c r="AB272" s="43" t="n"/>
    </row>
    <row r="273" ht="14.25" customHeight="1" s="83">
      <c r="A273" s="43" t="n"/>
      <c r="B273" s="43" t="n"/>
      <c r="C273" s="43" t="n"/>
      <c r="D273" s="32"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c r="AA273" s="43" t="n"/>
      <c r="AB273" s="43" t="n"/>
    </row>
    <row r="274" ht="14.25" customHeight="1" s="83">
      <c r="A274" s="43" t="n"/>
      <c r="B274" s="43" t="n"/>
      <c r="C274" s="43" t="n"/>
      <c r="D274" s="32"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c r="AA274" s="43" t="n"/>
      <c r="AB274" s="43" t="n"/>
    </row>
    <row r="275" ht="14.25" customHeight="1" s="83">
      <c r="A275" s="43" t="n"/>
      <c r="B275" s="43" t="n"/>
      <c r="C275" s="43" t="n"/>
      <c r="D275" s="32"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c r="AA275" s="43" t="n"/>
      <c r="AB275" s="43" t="n"/>
    </row>
    <row r="276" ht="14.25" customHeight="1" s="83">
      <c r="A276" s="43" t="n"/>
      <c r="B276" s="43" t="n"/>
      <c r="C276" s="43" t="n"/>
      <c r="D276" s="32"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c r="AA276" s="43" t="n"/>
      <c r="AB276" s="43" t="n"/>
    </row>
    <row r="277" ht="14.25" customHeight="1" s="83">
      <c r="A277" s="43" t="n"/>
      <c r="B277" s="43" t="n"/>
      <c r="C277" s="43" t="n"/>
      <c r="D277" s="32"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c r="AA277" s="43" t="n"/>
      <c r="AB277" s="43" t="n"/>
    </row>
    <row r="278" ht="14.25" customHeight="1" s="83">
      <c r="A278" s="43" t="n"/>
      <c r="B278" s="43" t="n"/>
      <c r="C278" s="43" t="n"/>
      <c r="D278" s="32"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c r="AA278" s="43" t="n"/>
      <c r="AB278" s="43" t="n"/>
    </row>
    <row r="279" ht="14.25" customHeight="1" s="83">
      <c r="A279" s="43" t="n"/>
      <c r="B279" s="43" t="n"/>
      <c r="C279" s="43" t="n"/>
      <c r="D279" s="32"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c r="AA279" s="43" t="n"/>
      <c r="AB279" s="43" t="n"/>
    </row>
    <row r="280" ht="14.25" customHeight="1" s="83">
      <c r="A280" s="43" t="n"/>
      <c r="B280" s="43" t="n"/>
      <c r="C280" s="43" t="n"/>
      <c r="D280" s="32"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c r="AA280" s="43" t="n"/>
      <c r="AB280" s="43" t="n"/>
    </row>
    <row r="281" ht="14.25" customHeight="1" s="83">
      <c r="A281" s="43" t="n"/>
      <c r="B281" s="43" t="n"/>
      <c r="C281" s="43" t="n"/>
      <c r="D281" s="32"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c r="AA281" s="43" t="n"/>
      <c r="AB281" s="43" t="n"/>
    </row>
    <row r="282" ht="14.25" customHeight="1" s="83">
      <c r="A282" s="43" t="n"/>
      <c r="B282" s="43" t="n"/>
      <c r="C282" s="43" t="n"/>
      <c r="D282" s="32"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c r="AA282" s="43" t="n"/>
      <c r="AB282" s="43" t="n"/>
    </row>
    <row r="283" ht="14.25" customHeight="1" s="83">
      <c r="A283" s="43" t="n"/>
      <c r="B283" s="43" t="n"/>
      <c r="C283" s="43" t="n"/>
      <c r="D283" s="32"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c r="AA283" s="43" t="n"/>
      <c r="AB283" s="43" t="n"/>
    </row>
    <row r="284" ht="14.25" customHeight="1" s="83">
      <c r="A284" s="43" t="n"/>
      <c r="B284" s="43" t="n"/>
      <c r="C284" s="43" t="n"/>
      <c r="D284" s="32"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c r="AA284" s="43" t="n"/>
      <c r="AB284" s="43" t="n"/>
    </row>
    <row r="285" ht="14.25" customHeight="1" s="83">
      <c r="A285" s="43" t="n"/>
      <c r="B285" s="43" t="n"/>
      <c r="C285" s="43" t="n"/>
      <c r="D285" s="32"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c r="AA285" s="43" t="n"/>
      <c r="AB285" s="43" t="n"/>
    </row>
    <row r="286" ht="14.25" customHeight="1" s="83">
      <c r="A286" s="43" t="n"/>
      <c r="B286" s="43" t="n"/>
      <c r="C286" s="43" t="n"/>
      <c r="D286" s="32"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c r="AA286" s="43" t="n"/>
      <c r="AB286" s="43" t="n"/>
    </row>
    <row r="287" ht="14.25" customHeight="1" s="83">
      <c r="A287" s="43" t="n"/>
      <c r="B287" s="43" t="n"/>
      <c r="C287" s="43" t="n"/>
      <c r="D287" s="32"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c r="AA287" s="43" t="n"/>
      <c r="AB287" s="43" t="n"/>
    </row>
    <row r="288" ht="14.25" customHeight="1" s="83">
      <c r="A288" s="43" t="n"/>
      <c r="B288" s="43" t="n"/>
      <c r="C288" s="43" t="n"/>
      <c r="D288" s="32"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c r="AA288" s="43" t="n"/>
      <c r="AB288" s="43" t="n"/>
    </row>
    <row r="289" ht="14.25" customHeight="1" s="83">
      <c r="A289" s="43" t="n"/>
      <c r="B289" s="43" t="n"/>
      <c r="C289" s="43" t="n"/>
      <c r="D289" s="32"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c r="AA289" s="43" t="n"/>
      <c r="AB289" s="43" t="n"/>
    </row>
    <row r="290" ht="14.25" customHeight="1" s="83">
      <c r="A290" s="43" t="n"/>
      <c r="B290" s="43" t="n"/>
      <c r="C290" s="43" t="n"/>
      <c r="D290" s="32"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c r="AA290" s="43" t="n"/>
      <c r="AB290" s="43" t="n"/>
    </row>
    <row r="291" ht="14.25" customHeight="1" s="83">
      <c r="A291" s="43" t="n"/>
      <c r="B291" s="43" t="n"/>
      <c r="C291" s="43" t="n"/>
      <c r="D291" s="32"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c r="AA291" s="43" t="n"/>
      <c r="AB291" s="43" t="n"/>
    </row>
    <row r="292" ht="14.25" customHeight="1" s="83">
      <c r="A292" s="43" t="n"/>
      <c r="B292" s="43" t="n"/>
      <c r="C292" s="43" t="n"/>
      <c r="D292" s="32"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c r="AA292" s="43" t="n"/>
      <c r="AB292" s="43" t="n"/>
    </row>
    <row r="293" ht="14.25" customHeight="1" s="83">
      <c r="A293" s="43" t="n"/>
      <c r="B293" s="43" t="n"/>
      <c r="C293" s="43" t="n"/>
      <c r="D293" s="32"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c r="AA293" s="43" t="n"/>
      <c r="AB293" s="43" t="n"/>
    </row>
    <row r="294" ht="14.25" customHeight="1" s="83">
      <c r="A294" s="43" t="n"/>
      <c r="B294" s="43" t="n"/>
      <c r="C294" s="43" t="n"/>
      <c r="D294" s="32"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c r="AA294" s="43" t="n"/>
      <c r="AB294" s="43" t="n"/>
    </row>
    <row r="295" ht="14.25" customHeight="1" s="83">
      <c r="A295" s="43" t="n"/>
      <c r="B295" s="43" t="n"/>
      <c r="C295" s="43" t="n"/>
      <c r="D295" s="32"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c r="AA295" s="43" t="n"/>
      <c r="AB295" s="43" t="n"/>
    </row>
    <row r="296" ht="14.25" customHeight="1" s="83">
      <c r="A296" s="43" t="n"/>
      <c r="B296" s="43" t="n"/>
      <c r="C296" s="43" t="n"/>
      <c r="D296" s="32"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c r="AA296" s="43" t="n"/>
      <c r="AB296" s="43" t="n"/>
    </row>
    <row r="297" ht="14.25" customHeight="1" s="83">
      <c r="A297" s="43" t="n"/>
      <c r="B297" s="43" t="n"/>
      <c r="C297" s="43" t="n"/>
      <c r="D297" s="32"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c r="AA297" s="43" t="n"/>
      <c r="AB297" s="43" t="n"/>
    </row>
    <row r="298" ht="14.25" customHeight="1" s="83">
      <c r="A298" s="43" t="n"/>
      <c r="B298" s="43" t="n"/>
      <c r="C298" s="43" t="n"/>
      <c r="D298" s="32"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c r="AA298" s="43" t="n"/>
      <c r="AB298" s="43" t="n"/>
    </row>
    <row r="299" ht="14.25" customHeight="1" s="83">
      <c r="A299" s="43" t="n"/>
      <c r="B299" s="43" t="n"/>
      <c r="C299" s="43" t="n"/>
      <c r="D299" s="32"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c r="AA299" s="43" t="n"/>
      <c r="AB299" s="43" t="n"/>
    </row>
    <row r="300" ht="14.25" customHeight="1" s="83">
      <c r="A300" s="43" t="n"/>
      <c r="B300" s="43" t="n"/>
      <c r="C300" s="43" t="n"/>
      <c r="D300" s="32"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c r="AA300" s="43" t="n"/>
      <c r="AB300" s="43" t="n"/>
    </row>
    <row r="301" ht="14.25" customHeight="1" s="83">
      <c r="A301" s="43" t="n"/>
      <c r="B301" s="43" t="n"/>
      <c r="C301" s="43" t="n"/>
      <c r="D301" s="32"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c r="AA301" s="43" t="n"/>
      <c r="AB301" s="43" t="n"/>
    </row>
    <row r="302" ht="14.25" customHeight="1" s="83">
      <c r="A302" s="43" t="n"/>
      <c r="B302" s="43" t="n"/>
      <c r="C302" s="43" t="n"/>
      <c r="D302" s="32"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c r="AA302" s="43" t="n"/>
      <c r="AB302" s="43" t="n"/>
    </row>
    <row r="303" ht="14.25" customHeight="1" s="83">
      <c r="A303" s="43" t="n"/>
      <c r="B303" s="43" t="n"/>
      <c r="C303" s="43" t="n"/>
      <c r="D303" s="32"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c r="AA303" s="43" t="n"/>
      <c r="AB303" s="43" t="n"/>
    </row>
    <row r="304" ht="14.25" customHeight="1" s="83">
      <c r="A304" s="43" t="n"/>
      <c r="B304" s="43" t="n"/>
      <c r="C304" s="43" t="n"/>
      <c r="D304" s="32"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c r="AA304" s="43" t="n"/>
      <c r="AB304" s="43" t="n"/>
    </row>
    <row r="305" ht="14.25" customHeight="1" s="83">
      <c r="A305" s="43" t="n"/>
      <c r="B305" s="43" t="n"/>
      <c r="C305" s="43" t="n"/>
      <c r="D305" s="32"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c r="AA305" s="43" t="n"/>
      <c r="AB305" s="43" t="n"/>
    </row>
    <row r="306" ht="14.25" customHeight="1" s="83">
      <c r="A306" s="43" t="n"/>
      <c r="B306" s="43" t="n"/>
      <c r="C306" s="43" t="n"/>
      <c r="D306" s="32"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c r="AA306" s="43" t="n"/>
      <c r="AB306" s="43" t="n"/>
    </row>
    <row r="307" ht="14.25" customHeight="1" s="83">
      <c r="A307" s="43" t="n"/>
      <c r="B307" s="43" t="n"/>
      <c r="C307" s="43" t="n"/>
      <c r="D307" s="32"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c r="AA307" s="43" t="n"/>
      <c r="AB307" s="43" t="n"/>
    </row>
    <row r="308" ht="14.25" customHeight="1" s="83">
      <c r="A308" s="43" t="n"/>
      <c r="B308" s="43" t="n"/>
      <c r="C308" s="43" t="n"/>
      <c r="D308" s="32"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c r="AA308" s="43" t="n"/>
      <c r="AB308" s="43" t="n"/>
    </row>
    <row r="309" ht="14.25" customHeight="1" s="83">
      <c r="A309" s="43" t="n"/>
      <c r="B309" s="43" t="n"/>
      <c r="C309" s="43" t="n"/>
      <c r="D309" s="32"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c r="AA309" s="43" t="n"/>
      <c r="AB309" s="43" t="n"/>
    </row>
    <row r="310" ht="14.25" customHeight="1" s="83">
      <c r="A310" s="43" t="n"/>
      <c r="B310" s="43" t="n"/>
      <c r="C310" s="43" t="n"/>
      <c r="D310" s="32"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c r="AA310" s="43" t="n"/>
      <c r="AB310" s="43" t="n"/>
    </row>
    <row r="311" ht="14.25" customHeight="1" s="83">
      <c r="A311" s="43" t="n"/>
      <c r="B311" s="43" t="n"/>
      <c r="C311" s="43" t="n"/>
      <c r="D311" s="32"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c r="AA311" s="43" t="n"/>
      <c r="AB311" s="43" t="n"/>
    </row>
    <row r="312" ht="14.25" customHeight="1" s="83">
      <c r="A312" s="43" t="n"/>
      <c r="B312" s="43" t="n"/>
      <c r="C312" s="43" t="n"/>
      <c r="D312" s="32"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c r="AA312" s="43" t="n"/>
      <c r="AB312" s="43" t="n"/>
    </row>
    <row r="313" ht="14.25" customHeight="1" s="83">
      <c r="A313" s="43" t="n"/>
      <c r="B313" s="43" t="n"/>
      <c r="C313" s="43" t="n"/>
      <c r="D313" s="32"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c r="AA313" s="43" t="n"/>
      <c r="AB313" s="43" t="n"/>
    </row>
    <row r="314" ht="14.25" customHeight="1" s="83">
      <c r="A314" s="43" t="n"/>
      <c r="B314" s="43" t="n"/>
      <c r="C314" s="43" t="n"/>
      <c r="D314" s="32"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c r="AA314" s="43" t="n"/>
      <c r="AB314" s="43" t="n"/>
    </row>
    <row r="315" ht="14.25" customHeight="1" s="83">
      <c r="A315" s="43" t="n"/>
      <c r="B315" s="43" t="n"/>
      <c r="C315" s="43" t="n"/>
      <c r="D315" s="32"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c r="AA315" s="43" t="n"/>
      <c r="AB315" s="43" t="n"/>
    </row>
    <row r="316" ht="14.25" customHeight="1" s="83">
      <c r="A316" s="43" t="n"/>
      <c r="B316" s="43" t="n"/>
      <c r="C316" s="43" t="n"/>
      <c r="D316" s="32"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c r="AA316" s="43" t="n"/>
      <c r="AB316" s="43" t="n"/>
    </row>
    <row r="317" ht="14.25" customHeight="1" s="83">
      <c r="A317" s="43" t="n"/>
      <c r="B317" s="43" t="n"/>
      <c r="C317" s="43" t="n"/>
      <c r="D317" s="32"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c r="AA317" s="43" t="n"/>
      <c r="AB317" s="43" t="n"/>
    </row>
    <row r="318" ht="14.25" customHeight="1" s="83">
      <c r="A318" s="43" t="n"/>
      <c r="B318" s="43" t="n"/>
      <c r="C318" s="43" t="n"/>
      <c r="D318" s="32"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c r="AA318" s="43" t="n"/>
      <c r="AB318" s="43" t="n"/>
    </row>
    <row r="319" ht="14.25" customHeight="1" s="83">
      <c r="A319" s="43" t="n"/>
      <c r="B319" s="43" t="n"/>
      <c r="C319" s="43" t="n"/>
      <c r="D319" s="32"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c r="AA319" s="43" t="n"/>
      <c r="AB319" s="43" t="n"/>
    </row>
    <row r="320" ht="14.25" customHeight="1" s="83">
      <c r="A320" s="43" t="n"/>
      <c r="B320" s="43" t="n"/>
      <c r="C320" s="43" t="n"/>
      <c r="D320" s="32"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c r="AA320" s="43" t="n"/>
      <c r="AB320" s="43" t="n"/>
    </row>
    <row r="321" ht="14.25" customHeight="1" s="83">
      <c r="A321" s="43" t="n"/>
      <c r="B321" s="43" t="n"/>
      <c r="C321" s="43" t="n"/>
      <c r="D321" s="32"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c r="AA321" s="43" t="n"/>
      <c r="AB321" s="43" t="n"/>
    </row>
    <row r="322" ht="14.25" customHeight="1" s="83">
      <c r="A322" s="43" t="n"/>
      <c r="B322" s="43" t="n"/>
      <c r="C322" s="43" t="n"/>
      <c r="D322" s="32"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c r="AA322" s="43" t="n"/>
      <c r="AB322" s="43" t="n"/>
    </row>
    <row r="323" ht="14.25" customHeight="1" s="83">
      <c r="A323" s="43" t="n"/>
      <c r="B323" s="43" t="n"/>
      <c r="C323" s="43" t="n"/>
      <c r="D323" s="32"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c r="AA323" s="43" t="n"/>
      <c r="AB323" s="43" t="n"/>
    </row>
    <row r="324" ht="14.25" customHeight="1" s="83">
      <c r="A324" s="43" t="n"/>
      <c r="B324" s="43" t="n"/>
      <c r="C324" s="43" t="n"/>
      <c r="D324" s="32"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c r="AA324" s="43" t="n"/>
      <c r="AB324" s="43" t="n"/>
    </row>
    <row r="325" ht="14.25" customHeight="1" s="83">
      <c r="A325" s="43" t="n"/>
      <c r="B325" s="43" t="n"/>
      <c r="C325" s="43" t="n"/>
      <c r="D325" s="32"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c r="AA325" s="43" t="n"/>
      <c r="AB325" s="43" t="n"/>
    </row>
    <row r="326" ht="14.25" customHeight="1" s="83">
      <c r="A326" s="43" t="n"/>
      <c r="B326" s="43" t="n"/>
      <c r="C326" s="43" t="n"/>
      <c r="D326" s="32"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c r="AA326" s="43" t="n"/>
      <c r="AB326" s="43" t="n"/>
    </row>
    <row r="327" ht="14.25" customHeight="1" s="83">
      <c r="A327" s="43" t="n"/>
      <c r="B327" s="43" t="n"/>
      <c r="C327" s="43" t="n"/>
      <c r="D327" s="32"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c r="AA327" s="43" t="n"/>
      <c r="AB327" s="43" t="n"/>
    </row>
    <row r="328" ht="14.25" customHeight="1" s="83">
      <c r="A328" s="43" t="n"/>
      <c r="B328" s="43" t="n"/>
      <c r="C328" s="43" t="n"/>
      <c r="D328" s="32"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c r="AA328" s="43" t="n"/>
      <c r="AB328" s="43" t="n"/>
    </row>
    <row r="329" ht="14.25" customHeight="1" s="83">
      <c r="A329" s="43" t="n"/>
      <c r="B329" s="43" t="n"/>
      <c r="C329" s="43" t="n"/>
      <c r="D329" s="32"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c r="AA329" s="43" t="n"/>
      <c r="AB329" s="43" t="n"/>
    </row>
    <row r="330" ht="14.25" customHeight="1" s="83">
      <c r="A330" s="43" t="n"/>
      <c r="B330" s="43" t="n"/>
      <c r="C330" s="43" t="n"/>
      <c r="D330" s="32"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c r="AA330" s="43" t="n"/>
      <c r="AB330" s="43" t="n"/>
    </row>
    <row r="331" ht="14.25" customHeight="1" s="83">
      <c r="A331" s="43" t="n"/>
      <c r="B331" s="43" t="n"/>
      <c r="C331" s="43" t="n"/>
      <c r="D331" s="32"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c r="AA331" s="43" t="n"/>
      <c r="AB331" s="43" t="n"/>
    </row>
    <row r="332" ht="14.25" customHeight="1" s="83">
      <c r="A332" s="43" t="n"/>
      <c r="B332" s="43" t="n"/>
      <c r="C332" s="43" t="n"/>
      <c r="D332" s="32"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c r="AA332" s="43" t="n"/>
      <c r="AB332" s="43" t="n"/>
    </row>
    <row r="333" ht="14.25" customHeight="1" s="83">
      <c r="A333" s="43" t="n"/>
      <c r="B333" s="43" t="n"/>
      <c r="C333" s="43" t="n"/>
      <c r="D333" s="32"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c r="AA333" s="43" t="n"/>
      <c r="AB333" s="43" t="n"/>
    </row>
    <row r="334" ht="14.25" customHeight="1" s="83">
      <c r="A334" s="43" t="n"/>
      <c r="B334" s="43" t="n"/>
      <c r="C334" s="43" t="n"/>
      <c r="D334" s="32"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c r="AA334" s="43" t="n"/>
      <c r="AB334" s="43" t="n"/>
    </row>
    <row r="335" ht="14.25" customHeight="1" s="83">
      <c r="A335" s="43" t="n"/>
      <c r="B335" s="43" t="n"/>
      <c r="C335" s="43" t="n"/>
      <c r="D335" s="32"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c r="AA335" s="43" t="n"/>
      <c r="AB335" s="43" t="n"/>
    </row>
    <row r="336" ht="14.25" customHeight="1" s="83">
      <c r="A336" s="43" t="n"/>
      <c r="B336" s="43" t="n"/>
      <c r="C336" s="43" t="n"/>
      <c r="D336" s="32"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c r="AA336" s="43" t="n"/>
      <c r="AB336" s="43" t="n"/>
    </row>
    <row r="337" ht="14.25" customHeight="1" s="83">
      <c r="A337" s="43" t="n"/>
      <c r="B337" s="43" t="n"/>
      <c r="C337" s="43" t="n"/>
      <c r="D337" s="32"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c r="AA337" s="43" t="n"/>
      <c r="AB337" s="43" t="n"/>
    </row>
    <row r="338" ht="14.25" customHeight="1" s="83">
      <c r="A338" s="43" t="n"/>
      <c r="B338" s="43" t="n"/>
      <c r="C338" s="43" t="n"/>
      <c r="D338" s="32"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c r="AA338" s="43" t="n"/>
      <c r="AB338" s="43" t="n"/>
    </row>
    <row r="339" ht="14.25" customHeight="1" s="83">
      <c r="A339" s="43" t="n"/>
      <c r="B339" s="43" t="n"/>
      <c r="C339" s="43" t="n"/>
      <c r="D339" s="32"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c r="AA339" s="43" t="n"/>
      <c r="AB339" s="43" t="n"/>
    </row>
    <row r="340" ht="14.25" customHeight="1" s="83">
      <c r="A340" s="43" t="n"/>
      <c r="B340" s="43" t="n"/>
      <c r="C340" s="43" t="n"/>
      <c r="D340" s="32"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c r="AA340" s="43" t="n"/>
      <c r="AB340" s="43" t="n"/>
    </row>
    <row r="341" ht="14.25" customHeight="1" s="83">
      <c r="A341" s="43" t="n"/>
      <c r="B341" s="43" t="n"/>
      <c r="C341" s="43" t="n"/>
      <c r="D341" s="32"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c r="AA341" s="43" t="n"/>
      <c r="AB341" s="43" t="n"/>
    </row>
    <row r="342" ht="14.25" customHeight="1" s="83">
      <c r="A342" s="43" t="n"/>
      <c r="B342" s="43" t="n"/>
      <c r="C342" s="43" t="n"/>
      <c r="D342" s="32"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c r="AA342" s="43" t="n"/>
      <c r="AB342" s="43" t="n"/>
    </row>
    <row r="343" ht="14.25" customHeight="1" s="83">
      <c r="A343" s="43" t="n"/>
      <c r="B343" s="43" t="n"/>
      <c r="C343" s="43" t="n"/>
      <c r="D343" s="32"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c r="AA343" s="43" t="n"/>
      <c r="AB343" s="43" t="n"/>
    </row>
    <row r="344" ht="14.25" customHeight="1" s="83">
      <c r="A344" s="43" t="n"/>
      <c r="B344" s="43" t="n"/>
      <c r="C344" s="43" t="n"/>
      <c r="D344" s="32"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c r="AA344" s="43" t="n"/>
      <c r="AB344" s="43" t="n"/>
    </row>
    <row r="345" ht="14.25" customHeight="1" s="83">
      <c r="A345" s="43" t="n"/>
      <c r="B345" s="43" t="n"/>
      <c r="C345" s="43" t="n"/>
      <c r="D345" s="32"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c r="AA345" s="43" t="n"/>
      <c r="AB345" s="43" t="n"/>
    </row>
    <row r="346" ht="14.25" customHeight="1" s="83">
      <c r="A346" s="43" t="n"/>
      <c r="B346" s="43" t="n"/>
      <c r="C346" s="43" t="n"/>
      <c r="D346" s="32"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c r="AA346" s="43" t="n"/>
      <c r="AB346" s="43" t="n"/>
    </row>
    <row r="347" ht="14.25" customHeight="1" s="83">
      <c r="A347" s="43" t="n"/>
      <c r="B347" s="43" t="n"/>
      <c r="C347" s="43" t="n"/>
      <c r="D347" s="32"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c r="AA347" s="43" t="n"/>
      <c r="AB347" s="43" t="n"/>
    </row>
    <row r="348" ht="14.25" customHeight="1" s="83">
      <c r="A348" s="43" t="n"/>
      <c r="B348" s="43" t="n"/>
      <c r="C348" s="43" t="n"/>
      <c r="D348" s="32"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c r="AA348" s="43" t="n"/>
      <c r="AB348" s="43" t="n"/>
    </row>
    <row r="349" ht="14.25" customHeight="1" s="83">
      <c r="A349" s="43" t="n"/>
      <c r="B349" s="43" t="n"/>
      <c r="C349" s="43" t="n"/>
      <c r="D349" s="32"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c r="AA349" s="43" t="n"/>
      <c r="AB349" s="43" t="n"/>
    </row>
    <row r="350" ht="14.25" customHeight="1" s="83">
      <c r="A350" s="43" t="n"/>
      <c r="B350" s="43" t="n"/>
      <c r="C350" s="43" t="n"/>
      <c r="D350" s="32"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c r="AA350" s="43" t="n"/>
      <c r="AB350" s="43" t="n"/>
    </row>
    <row r="351" ht="14.25" customHeight="1" s="83">
      <c r="A351" s="43" t="n"/>
      <c r="B351" s="43" t="n"/>
      <c r="C351" s="43" t="n"/>
      <c r="D351" s="32"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c r="AA351" s="43" t="n"/>
      <c r="AB351" s="43" t="n"/>
    </row>
    <row r="352" ht="14.25" customHeight="1" s="83">
      <c r="A352" s="43" t="n"/>
      <c r="B352" s="43" t="n"/>
      <c r="C352" s="43" t="n"/>
      <c r="D352" s="32"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c r="AA352" s="43" t="n"/>
      <c r="AB352" s="43" t="n"/>
    </row>
    <row r="353" ht="14.25" customHeight="1" s="83">
      <c r="A353" s="43" t="n"/>
      <c r="B353" s="43" t="n"/>
      <c r="C353" s="43" t="n"/>
      <c r="D353" s="32"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c r="AA353" s="43" t="n"/>
      <c r="AB353" s="43" t="n"/>
    </row>
    <row r="354" ht="14.25" customHeight="1" s="83">
      <c r="A354" s="43" t="n"/>
      <c r="B354" s="43" t="n"/>
      <c r="C354" s="43" t="n"/>
      <c r="D354" s="32"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c r="AA354" s="43" t="n"/>
      <c r="AB354" s="43" t="n"/>
    </row>
    <row r="355" ht="14.25" customHeight="1" s="83">
      <c r="A355" s="43" t="n"/>
      <c r="B355" s="43" t="n"/>
      <c r="C355" s="43" t="n"/>
      <c r="D355" s="32"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c r="AA355" s="43" t="n"/>
      <c r="AB355" s="43" t="n"/>
    </row>
    <row r="356" ht="14.25" customHeight="1" s="83">
      <c r="A356" s="43" t="n"/>
      <c r="B356" s="43" t="n"/>
      <c r="C356" s="43" t="n"/>
      <c r="D356" s="32"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c r="AA356" s="43" t="n"/>
      <c r="AB356" s="43" t="n"/>
    </row>
    <row r="357" ht="14.25" customHeight="1" s="83">
      <c r="A357" s="43" t="n"/>
      <c r="B357" s="43" t="n"/>
      <c r="C357" s="43" t="n"/>
      <c r="D357" s="32"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c r="AA357" s="43" t="n"/>
      <c r="AB357" s="43" t="n"/>
    </row>
    <row r="358" ht="14.25" customHeight="1" s="83">
      <c r="A358" s="43" t="n"/>
      <c r="B358" s="43" t="n"/>
      <c r="C358" s="43" t="n"/>
      <c r="D358" s="32"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c r="AA358" s="43" t="n"/>
      <c r="AB358" s="43" t="n"/>
    </row>
    <row r="359" ht="14.25" customHeight="1" s="83">
      <c r="A359" s="43" t="n"/>
      <c r="B359" s="43" t="n"/>
      <c r="C359" s="43" t="n"/>
      <c r="D359" s="32"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c r="AA359" s="43" t="n"/>
      <c r="AB359" s="43" t="n"/>
    </row>
    <row r="360" ht="14.25" customHeight="1" s="83">
      <c r="A360" s="43" t="n"/>
      <c r="B360" s="43" t="n"/>
      <c r="C360" s="43" t="n"/>
      <c r="D360" s="32"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c r="AA360" s="43" t="n"/>
      <c r="AB360" s="43" t="n"/>
    </row>
    <row r="361" ht="14.25" customHeight="1" s="83">
      <c r="A361" s="43" t="n"/>
      <c r="B361" s="43" t="n"/>
      <c r="C361" s="43" t="n"/>
      <c r="D361" s="32"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c r="AA361" s="43" t="n"/>
      <c r="AB361" s="43" t="n"/>
    </row>
    <row r="362" ht="14.25" customHeight="1" s="83">
      <c r="A362" s="43" t="n"/>
      <c r="B362" s="43" t="n"/>
      <c r="C362" s="43" t="n"/>
      <c r="D362" s="32"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c r="AA362" s="43" t="n"/>
      <c r="AB362" s="43" t="n"/>
    </row>
    <row r="363" ht="14.25" customHeight="1" s="83">
      <c r="A363" s="43" t="n"/>
      <c r="B363" s="43" t="n"/>
      <c r="C363" s="43" t="n"/>
      <c r="D363" s="32"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c r="AA363" s="43" t="n"/>
      <c r="AB363" s="43" t="n"/>
    </row>
    <row r="364" ht="14.25" customHeight="1" s="83">
      <c r="A364" s="43" t="n"/>
      <c r="B364" s="43" t="n"/>
      <c r="C364" s="43" t="n"/>
      <c r="D364" s="32"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c r="AA364" s="43" t="n"/>
      <c r="AB364" s="43" t="n"/>
    </row>
    <row r="365" ht="14.25" customHeight="1" s="83">
      <c r="A365" s="43" t="n"/>
      <c r="B365" s="43" t="n"/>
      <c r="C365" s="43" t="n"/>
      <c r="D365" s="32"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c r="AA365" s="43" t="n"/>
      <c r="AB365" s="43" t="n"/>
    </row>
    <row r="366" ht="14.25" customHeight="1" s="83">
      <c r="A366" s="43" t="n"/>
      <c r="B366" s="43" t="n"/>
      <c r="C366" s="43" t="n"/>
      <c r="D366" s="32"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c r="AA366" s="43" t="n"/>
      <c r="AB366" s="43" t="n"/>
    </row>
    <row r="367" ht="14.25" customHeight="1" s="83">
      <c r="A367" s="43" t="n"/>
      <c r="B367" s="43" t="n"/>
      <c r="C367" s="43" t="n"/>
      <c r="D367" s="32"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c r="AA367" s="43" t="n"/>
      <c r="AB367" s="43" t="n"/>
    </row>
    <row r="368" ht="14.25" customHeight="1" s="83">
      <c r="A368" s="43" t="n"/>
      <c r="B368" s="43" t="n"/>
      <c r="C368" s="43" t="n"/>
      <c r="D368" s="32"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c r="AA368" s="43" t="n"/>
      <c r="AB368" s="43" t="n"/>
    </row>
    <row r="369" ht="14.25" customHeight="1" s="83">
      <c r="A369" s="43" t="n"/>
      <c r="B369" s="43" t="n"/>
      <c r="C369" s="43" t="n"/>
      <c r="D369" s="32"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c r="AA369" s="43" t="n"/>
      <c r="AB369" s="43" t="n"/>
    </row>
    <row r="370" ht="14.25" customHeight="1" s="83">
      <c r="A370" s="43" t="n"/>
      <c r="B370" s="43" t="n"/>
      <c r="C370" s="43" t="n"/>
      <c r="D370" s="32"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c r="AA370" s="43" t="n"/>
      <c r="AB370" s="43" t="n"/>
    </row>
    <row r="371" ht="14.25" customHeight="1" s="83">
      <c r="A371" s="43" t="n"/>
      <c r="B371" s="43" t="n"/>
      <c r="C371" s="43" t="n"/>
      <c r="D371" s="32"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c r="AA371" s="43" t="n"/>
      <c r="AB371" s="43" t="n"/>
    </row>
    <row r="372" ht="14.25" customHeight="1" s="83">
      <c r="A372" s="43" t="n"/>
      <c r="B372" s="43" t="n"/>
      <c r="C372" s="43" t="n"/>
      <c r="D372" s="32"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c r="AA372" s="43" t="n"/>
      <c r="AB372" s="43" t="n"/>
    </row>
    <row r="373" ht="14.25" customHeight="1" s="83">
      <c r="A373" s="43" t="n"/>
      <c r="B373" s="43" t="n"/>
      <c r="C373" s="43" t="n"/>
      <c r="D373" s="32"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c r="AA373" s="43" t="n"/>
      <c r="AB373" s="43" t="n"/>
    </row>
    <row r="374" ht="14.25" customHeight="1" s="83">
      <c r="A374" s="43" t="n"/>
      <c r="B374" s="43" t="n"/>
      <c r="C374" s="43" t="n"/>
      <c r="D374" s="32"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c r="AA374" s="43" t="n"/>
      <c r="AB374" s="43" t="n"/>
    </row>
    <row r="375" ht="14.25" customHeight="1" s="83">
      <c r="A375" s="43" t="n"/>
      <c r="B375" s="43" t="n"/>
      <c r="C375" s="43" t="n"/>
      <c r="D375" s="32"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c r="AA375" s="43" t="n"/>
      <c r="AB375" s="43" t="n"/>
    </row>
    <row r="376" ht="14.25" customHeight="1" s="83">
      <c r="A376" s="43" t="n"/>
      <c r="B376" s="43" t="n"/>
      <c r="C376" s="43" t="n"/>
      <c r="D376" s="32"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c r="AA376" s="43" t="n"/>
      <c r="AB376" s="43" t="n"/>
    </row>
    <row r="377" ht="14.25" customHeight="1" s="83">
      <c r="A377" s="43" t="n"/>
      <c r="B377" s="43" t="n"/>
      <c r="C377" s="43" t="n"/>
      <c r="D377" s="32"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c r="AA377" s="43" t="n"/>
      <c r="AB377" s="43" t="n"/>
    </row>
    <row r="378" ht="14.25" customHeight="1" s="83">
      <c r="A378" s="43" t="n"/>
      <c r="B378" s="43" t="n"/>
      <c r="C378" s="43" t="n"/>
      <c r="D378" s="32"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c r="AA378" s="43" t="n"/>
      <c r="AB378" s="43" t="n"/>
    </row>
    <row r="379" ht="14.25" customHeight="1" s="83">
      <c r="A379" s="43" t="n"/>
      <c r="B379" s="43" t="n"/>
      <c r="C379" s="43" t="n"/>
      <c r="D379" s="32"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c r="AA379" s="43" t="n"/>
      <c r="AB379" s="43" t="n"/>
    </row>
    <row r="380" ht="14.25" customHeight="1" s="83">
      <c r="A380" s="43" t="n"/>
      <c r="B380" s="43" t="n"/>
      <c r="C380" s="43" t="n"/>
      <c r="D380" s="32"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c r="AA380" s="43" t="n"/>
      <c r="AB380" s="43" t="n"/>
    </row>
    <row r="381" ht="14.25" customHeight="1" s="83">
      <c r="A381" s="43" t="n"/>
      <c r="B381" s="43" t="n"/>
      <c r="C381" s="43" t="n"/>
      <c r="D381" s="32"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c r="AA381" s="43" t="n"/>
      <c r="AB381" s="43" t="n"/>
    </row>
    <row r="382" ht="14.25" customHeight="1" s="83">
      <c r="A382" s="43" t="n"/>
      <c r="B382" s="43" t="n"/>
      <c r="C382" s="43" t="n"/>
      <c r="D382" s="32"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c r="AA382" s="43" t="n"/>
      <c r="AB382" s="43" t="n"/>
    </row>
    <row r="383" ht="14.25" customHeight="1" s="83">
      <c r="A383" s="43" t="n"/>
      <c r="B383" s="43" t="n"/>
      <c r="C383" s="43" t="n"/>
      <c r="D383" s="32"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c r="AA383" s="43" t="n"/>
      <c r="AB383" s="43" t="n"/>
    </row>
    <row r="384" ht="14.25" customHeight="1" s="83">
      <c r="A384" s="43" t="n"/>
      <c r="B384" s="43" t="n"/>
      <c r="C384" s="43" t="n"/>
      <c r="D384" s="32"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c r="AA384" s="43" t="n"/>
      <c r="AB384" s="43" t="n"/>
    </row>
    <row r="385" ht="14.25" customHeight="1" s="83">
      <c r="A385" s="43" t="n"/>
      <c r="B385" s="43" t="n"/>
      <c r="C385" s="43" t="n"/>
      <c r="D385" s="32"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c r="AA385" s="43" t="n"/>
      <c r="AB385" s="43" t="n"/>
    </row>
    <row r="386" ht="14.25" customHeight="1" s="83">
      <c r="A386" s="43" t="n"/>
      <c r="B386" s="43" t="n"/>
      <c r="C386" s="43" t="n"/>
      <c r="D386" s="32"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c r="AA386" s="43" t="n"/>
      <c r="AB386" s="43" t="n"/>
    </row>
    <row r="387" ht="14.25" customHeight="1" s="83">
      <c r="A387" s="43" t="n"/>
      <c r="B387" s="43" t="n"/>
      <c r="C387" s="43" t="n"/>
      <c r="D387" s="32"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c r="AA387" s="43" t="n"/>
      <c r="AB387" s="43" t="n"/>
    </row>
    <row r="388" ht="14.25" customHeight="1" s="83">
      <c r="A388" s="43" t="n"/>
      <c r="B388" s="43" t="n"/>
      <c r="C388" s="43" t="n"/>
      <c r="D388" s="32"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c r="AA388" s="43" t="n"/>
      <c r="AB388" s="43" t="n"/>
    </row>
    <row r="389" ht="14.25" customHeight="1" s="83">
      <c r="A389" s="43" t="n"/>
      <c r="B389" s="43" t="n"/>
      <c r="C389" s="43" t="n"/>
      <c r="D389" s="32"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c r="AA389" s="43" t="n"/>
      <c r="AB389" s="43" t="n"/>
    </row>
    <row r="390" ht="14.25" customHeight="1" s="83">
      <c r="A390" s="43" t="n"/>
      <c r="B390" s="43" t="n"/>
      <c r="C390" s="43" t="n"/>
      <c r="D390" s="32"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c r="AA390" s="43" t="n"/>
      <c r="AB390" s="43" t="n"/>
    </row>
    <row r="391" ht="14.25" customHeight="1" s="83">
      <c r="A391" s="43" t="n"/>
      <c r="B391" s="43" t="n"/>
      <c r="C391" s="43" t="n"/>
      <c r="D391" s="32"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c r="AA391" s="43" t="n"/>
      <c r="AB391" s="43" t="n"/>
    </row>
    <row r="392" ht="14.25" customHeight="1" s="83">
      <c r="A392" s="43" t="n"/>
      <c r="B392" s="43" t="n"/>
      <c r="C392" s="43" t="n"/>
      <c r="D392" s="32"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c r="AA392" s="43" t="n"/>
      <c r="AB392" s="43" t="n"/>
    </row>
    <row r="393" ht="14.25" customHeight="1" s="83">
      <c r="A393" s="43" t="n"/>
      <c r="B393" s="43" t="n"/>
      <c r="C393" s="43" t="n"/>
      <c r="D393" s="32"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c r="AA393" s="43" t="n"/>
      <c r="AB393" s="43" t="n"/>
    </row>
    <row r="394" ht="14.25" customHeight="1" s="83">
      <c r="A394" s="43" t="n"/>
      <c r="B394" s="43" t="n"/>
      <c r="C394" s="43" t="n"/>
      <c r="D394" s="32"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c r="AA394" s="43" t="n"/>
      <c r="AB394" s="43" t="n"/>
    </row>
    <row r="395" ht="14.25" customHeight="1" s="83">
      <c r="A395" s="43" t="n"/>
      <c r="B395" s="43" t="n"/>
      <c r="C395" s="43" t="n"/>
      <c r="D395" s="32"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c r="AA395" s="43" t="n"/>
      <c r="AB395" s="43" t="n"/>
    </row>
    <row r="396" ht="14.25" customHeight="1" s="83">
      <c r="A396" s="43" t="n"/>
      <c r="B396" s="43" t="n"/>
      <c r="C396" s="43" t="n"/>
      <c r="D396" s="32"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c r="AA396" s="43" t="n"/>
      <c r="AB396" s="43" t="n"/>
    </row>
    <row r="397" ht="14.25" customHeight="1" s="83">
      <c r="A397" s="43" t="n"/>
      <c r="B397" s="43" t="n"/>
      <c r="C397" s="43" t="n"/>
      <c r="D397" s="32"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c r="AA397" s="43" t="n"/>
      <c r="AB397" s="43" t="n"/>
    </row>
    <row r="398" ht="14.25" customHeight="1" s="83">
      <c r="A398" s="43" t="n"/>
      <c r="B398" s="43" t="n"/>
      <c r="C398" s="43" t="n"/>
      <c r="D398" s="32"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c r="AA398" s="43" t="n"/>
      <c r="AB398" s="43" t="n"/>
    </row>
    <row r="399" ht="14.25" customHeight="1" s="83">
      <c r="A399" s="43" t="n"/>
      <c r="B399" s="43" t="n"/>
      <c r="C399" s="43" t="n"/>
      <c r="D399" s="32"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c r="AA399" s="43" t="n"/>
      <c r="AB399" s="43" t="n"/>
    </row>
    <row r="400" ht="14.25" customHeight="1" s="83">
      <c r="A400" s="43" t="n"/>
      <c r="B400" s="43" t="n"/>
      <c r="C400" s="43" t="n"/>
      <c r="D400" s="32"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c r="AA400" s="43" t="n"/>
      <c r="AB400" s="43" t="n"/>
    </row>
    <row r="401" ht="14.25" customHeight="1" s="83">
      <c r="A401" s="43" t="n"/>
      <c r="B401" s="43" t="n"/>
      <c r="C401" s="43" t="n"/>
      <c r="D401" s="32"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c r="AA401" s="43" t="n"/>
      <c r="AB401" s="43" t="n"/>
    </row>
    <row r="402" ht="14.25" customHeight="1" s="83">
      <c r="A402" s="43" t="n"/>
      <c r="B402" s="43" t="n"/>
      <c r="C402" s="43" t="n"/>
      <c r="D402" s="32"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c r="AA402" s="43" t="n"/>
      <c r="AB402" s="43" t="n"/>
    </row>
    <row r="403" ht="14.25" customHeight="1" s="83">
      <c r="A403" s="43" t="n"/>
      <c r="B403" s="43" t="n"/>
      <c r="C403" s="43" t="n"/>
      <c r="D403" s="32"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c r="AA403" s="43" t="n"/>
      <c r="AB403" s="43" t="n"/>
    </row>
    <row r="404" ht="14.25" customHeight="1" s="83">
      <c r="A404" s="43" t="n"/>
      <c r="B404" s="43" t="n"/>
      <c r="C404" s="43" t="n"/>
      <c r="D404" s="32"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c r="AA404" s="43" t="n"/>
      <c r="AB404" s="43" t="n"/>
    </row>
    <row r="405" ht="14.25" customHeight="1" s="83">
      <c r="A405" s="43" t="n"/>
      <c r="B405" s="43" t="n"/>
      <c r="C405" s="43" t="n"/>
      <c r="D405" s="32"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c r="AA405" s="43" t="n"/>
      <c r="AB405" s="43" t="n"/>
    </row>
    <row r="406" ht="14.25" customHeight="1" s="83">
      <c r="A406" s="43" t="n"/>
      <c r="B406" s="43" t="n"/>
      <c r="C406" s="43" t="n"/>
      <c r="D406" s="32"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c r="AA406" s="43" t="n"/>
      <c r="AB406" s="43" t="n"/>
    </row>
    <row r="407" ht="14.25" customHeight="1" s="83">
      <c r="A407" s="43" t="n"/>
      <c r="B407" s="43" t="n"/>
      <c r="C407" s="43" t="n"/>
      <c r="D407" s="32"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c r="AA407" s="43" t="n"/>
      <c r="AB407" s="43" t="n"/>
    </row>
    <row r="408" ht="14.25" customHeight="1" s="83">
      <c r="A408" s="43" t="n"/>
      <c r="B408" s="43" t="n"/>
      <c r="C408" s="43" t="n"/>
      <c r="D408" s="32"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c r="AA408" s="43" t="n"/>
      <c r="AB408" s="43" t="n"/>
    </row>
    <row r="409" ht="14.25" customHeight="1" s="83">
      <c r="A409" s="43" t="n"/>
      <c r="B409" s="43" t="n"/>
      <c r="C409" s="43" t="n"/>
      <c r="D409" s="32"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c r="AA409" s="43" t="n"/>
      <c r="AB409" s="43" t="n"/>
    </row>
    <row r="410" ht="14.25" customHeight="1" s="83">
      <c r="A410" s="43" t="n"/>
      <c r="B410" s="43" t="n"/>
      <c r="C410" s="43" t="n"/>
      <c r="D410" s="32"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c r="AA410" s="43" t="n"/>
      <c r="AB410" s="43" t="n"/>
    </row>
    <row r="411" ht="14.25" customHeight="1" s="83">
      <c r="A411" s="43" t="n"/>
      <c r="B411" s="43" t="n"/>
      <c r="C411" s="43" t="n"/>
      <c r="D411" s="32"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c r="AA411" s="43" t="n"/>
      <c r="AB411" s="43" t="n"/>
    </row>
    <row r="412" ht="14.25" customHeight="1" s="83">
      <c r="A412" s="43" t="n"/>
      <c r="B412" s="43" t="n"/>
      <c r="C412" s="43" t="n"/>
      <c r="D412" s="32"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c r="AA412" s="43" t="n"/>
      <c r="AB412" s="43" t="n"/>
    </row>
    <row r="413" ht="14.25" customHeight="1" s="83">
      <c r="A413" s="43" t="n"/>
      <c r="B413" s="43" t="n"/>
      <c r="C413" s="43" t="n"/>
      <c r="D413" s="32"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c r="AA413" s="43" t="n"/>
      <c r="AB413" s="43" t="n"/>
    </row>
    <row r="414" ht="14.25" customHeight="1" s="83">
      <c r="A414" s="43" t="n"/>
      <c r="B414" s="43" t="n"/>
      <c r="C414" s="43" t="n"/>
      <c r="D414" s="32"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c r="AA414" s="43" t="n"/>
      <c r="AB414" s="43" t="n"/>
    </row>
    <row r="415" ht="14.25" customHeight="1" s="83">
      <c r="A415" s="43" t="n"/>
      <c r="B415" s="43" t="n"/>
      <c r="C415" s="43" t="n"/>
      <c r="D415" s="32"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c r="AA415" s="43" t="n"/>
      <c r="AB415" s="43" t="n"/>
    </row>
    <row r="416" ht="14.25" customHeight="1" s="83">
      <c r="A416" s="43" t="n"/>
      <c r="B416" s="43" t="n"/>
      <c r="C416" s="43" t="n"/>
      <c r="D416" s="32"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c r="AA416" s="43" t="n"/>
      <c r="AB416" s="43" t="n"/>
    </row>
    <row r="417" ht="14.25" customHeight="1" s="83">
      <c r="A417" s="43" t="n"/>
      <c r="B417" s="43" t="n"/>
      <c r="C417" s="43" t="n"/>
      <c r="D417" s="32"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c r="AA417" s="43" t="n"/>
      <c r="AB417" s="43" t="n"/>
    </row>
    <row r="418" ht="14.25" customHeight="1" s="83">
      <c r="A418" s="43" t="n"/>
      <c r="B418" s="43" t="n"/>
      <c r="C418" s="43" t="n"/>
      <c r="D418" s="32"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c r="AA418" s="43" t="n"/>
      <c r="AB418" s="43" t="n"/>
    </row>
    <row r="419" ht="14.25" customHeight="1" s="83">
      <c r="A419" s="43" t="n"/>
      <c r="B419" s="43" t="n"/>
      <c r="C419" s="43" t="n"/>
      <c r="D419" s="32"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c r="AA419" s="43" t="n"/>
      <c r="AB419" s="43" t="n"/>
    </row>
    <row r="420" ht="14.25" customHeight="1" s="83">
      <c r="A420" s="43" t="n"/>
      <c r="B420" s="43" t="n"/>
      <c r="C420" s="43" t="n"/>
      <c r="D420" s="32"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c r="AA420" s="43" t="n"/>
      <c r="AB420" s="43" t="n"/>
    </row>
    <row r="421" ht="14.25" customHeight="1" s="83">
      <c r="A421" s="43" t="n"/>
      <c r="B421" s="43" t="n"/>
      <c r="C421" s="43" t="n"/>
      <c r="D421" s="32"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c r="AA421" s="43" t="n"/>
      <c r="AB421" s="43" t="n"/>
    </row>
    <row r="422" ht="14.25" customHeight="1" s="83">
      <c r="A422" s="43" t="n"/>
      <c r="B422" s="43" t="n"/>
      <c r="C422" s="43" t="n"/>
      <c r="D422" s="32"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c r="AA422" s="43" t="n"/>
      <c r="AB422" s="43" t="n"/>
    </row>
    <row r="423" ht="14.25" customHeight="1" s="83">
      <c r="A423" s="43" t="n"/>
      <c r="B423" s="43" t="n"/>
      <c r="C423" s="43" t="n"/>
      <c r="D423" s="32"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c r="AA423" s="43" t="n"/>
      <c r="AB423" s="43" t="n"/>
    </row>
    <row r="424" ht="14.25" customHeight="1" s="83">
      <c r="A424" s="43" t="n"/>
      <c r="B424" s="43" t="n"/>
      <c r="C424" s="43" t="n"/>
      <c r="D424" s="32"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c r="AA424" s="43" t="n"/>
      <c r="AB424" s="43" t="n"/>
    </row>
    <row r="425" ht="14.25" customHeight="1" s="83">
      <c r="A425" s="43" t="n"/>
      <c r="B425" s="43" t="n"/>
      <c r="C425" s="43" t="n"/>
      <c r="D425" s="32"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c r="AA425" s="43" t="n"/>
      <c r="AB425" s="43" t="n"/>
    </row>
    <row r="426" ht="14.25" customHeight="1" s="83">
      <c r="A426" s="43" t="n"/>
      <c r="B426" s="43" t="n"/>
      <c r="C426" s="43" t="n"/>
      <c r="D426" s="32"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c r="AA426" s="43" t="n"/>
      <c r="AB426" s="43" t="n"/>
    </row>
    <row r="427" ht="14.25" customHeight="1" s="83">
      <c r="A427" s="43" t="n"/>
      <c r="B427" s="43" t="n"/>
      <c r="C427" s="43" t="n"/>
      <c r="D427" s="32"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c r="AA427" s="43" t="n"/>
      <c r="AB427" s="43" t="n"/>
    </row>
    <row r="428" ht="14.25" customHeight="1" s="83">
      <c r="A428" s="43" t="n"/>
      <c r="B428" s="43" t="n"/>
      <c r="C428" s="43" t="n"/>
      <c r="D428" s="32"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c r="AA428" s="43" t="n"/>
      <c r="AB428" s="43" t="n"/>
    </row>
    <row r="429" ht="14.25" customHeight="1" s="83">
      <c r="A429" s="43" t="n"/>
      <c r="B429" s="43" t="n"/>
      <c r="C429" s="43" t="n"/>
      <c r="D429" s="32"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c r="AA429" s="43" t="n"/>
      <c r="AB429" s="43" t="n"/>
    </row>
    <row r="430" ht="14.25" customHeight="1" s="83">
      <c r="A430" s="43" t="n"/>
      <c r="B430" s="43" t="n"/>
      <c r="C430" s="43" t="n"/>
      <c r="D430" s="32"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c r="AA430" s="43" t="n"/>
      <c r="AB430" s="43" t="n"/>
    </row>
    <row r="431" ht="14.25" customHeight="1" s="83">
      <c r="A431" s="43" t="n"/>
      <c r="B431" s="43" t="n"/>
      <c r="C431" s="43" t="n"/>
      <c r="D431" s="32"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c r="AA431" s="43" t="n"/>
      <c r="AB431" s="43" t="n"/>
    </row>
    <row r="432" ht="14.25" customHeight="1" s="83">
      <c r="A432" s="43" t="n"/>
      <c r="B432" s="43" t="n"/>
      <c r="C432" s="43" t="n"/>
      <c r="D432" s="32"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c r="AA432" s="43" t="n"/>
      <c r="AB432" s="43" t="n"/>
    </row>
    <row r="433" ht="14.25" customHeight="1" s="83">
      <c r="A433" s="43" t="n"/>
      <c r="B433" s="43" t="n"/>
      <c r="C433" s="43" t="n"/>
      <c r="D433" s="32"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c r="AA433" s="43" t="n"/>
      <c r="AB433" s="43" t="n"/>
    </row>
    <row r="434" ht="14.25" customHeight="1" s="83">
      <c r="A434" s="43" t="n"/>
      <c r="B434" s="43" t="n"/>
      <c r="C434" s="43" t="n"/>
      <c r="D434" s="32"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c r="AA434" s="43" t="n"/>
      <c r="AB434" s="43" t="n"/>
    </row>
    <row r="435" ht="14.25" customHeight="1" s="83">
      <c r="A435" s="43" t="n"/>
      <c r="B435" s="43" t="n"/>
      <c r="C435" s="43" t="n"/>
      <c r="D435" s="32"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c r="AA435" s="43" t="n"/>
      <c r="AB435" s="43" t="n"/>
    </row>
    <row r="436" ht="14.25" customHeight="1" s="83">
      <c r="A436" s="43" t="n"/>
      <c r="B436" s="43" t="n"/>
      <c r="C436" s="43" t="n"/>
      <c r="D436" s="32"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c r="AA436" s="43" t="n"/>
      <c r="AB436" s="43" t="n"/>
    </row>
    <row r="437" ht="14.25" customHeight="1" s="83">
      <c r="A437" s="43" t="n"/>
      <c r="B437" s="43" t="n"/>
      <c r="C437" s="43" t="n"/>
      <c r="D437" s="32"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c r="AA437" s="43" t="n"/>
      <c r="AB437" s="43" t="n"/>
    </row>
    <row r="438" ht="14.25" customHeight="1" s="83">
      <c r="A438" s="43" t="n"/>
      <c r="B438" s="43" t="n"/>
      <c r="C438" s="43" t="n"/>
      <c r="D438" s="32"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c r="AA438" s="43" t="n"/>
      <c r="AB438" s="43" t="n"/>
    </row>
    <row r="439" ht="14.25" customHeight="1" s="83">
      <c r="A439" s="43" t="n"/>
      <c r="B439" s="43" t="n"/>
      <c r="C439" s="43" t="n"/>
      <c r="D439" s="32"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c r="AA439" s="43" t="n"/>
      <c r="AB439" s="43" t="n"/>
    </row>
    <row r="440" ht="14.25" customHeight="1" s="83">
      <c r="A440" s="43" t="n"/>
      <c r="B440" s="43" t="n"/>
      <c r="C440" s="43" t="n"/>
      <c r="D440" s="32"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c r="AA440" s="43" t="n"/>
      <c r="AB440" s="43" t="n"/>
    </row>
    <row r="441" ht="14.25" customHeight="1" s="83">
      <c r="A441" s="43" t="n"/>
      <c r="B441" s="43" t="n"/>
      <c r="C441" s="43" t="n"/>
      <c r="D441" s="32"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c r="AA441" s="43" t="n"/>
      <c r="AB441" s="43" t="n"/>
    </row>
    <row r="442" ht="14.25" customHeight="1" s="83">
      <c r="A442" s="43" t="n"/>
      <c r="B442" s="43" t="n"/>
      <c r="C442" s="43" t="n"/>
      <c r="D442" s="32"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c r="AA442" s="43" t="n"/>
      <c r="AB442" s="43" t="n"/>
    </row>
    <row r="443" ht="14.25" customHeight="1" s="83">
      <c r="A443" s="43" t="n"/>
      <c r="B443" s="43" t="n"/>
      <c r="C443" s="43" t="n"/>
      <c r="D443" s="32"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c r="AA443" s="43" t="n"/>
      <c r="AB443" s="43" t="n"/>
    </row>
    <row r="444" ht="14.25" customHeight="1" s="83">
      <c r="A444" s="43" t="n"/>
      <c r="B444" s="43" t="n"/>
      <c r="C444" s="43" t="n"/>
      <c r="D444" s="32"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c r="AA444" s="43" t="n"/>
      <c r="AB444" s="43" t="n"/>
    </row>
    <row r="445" ht="14.25" customHeight="1" s="83">
      <c r="A445" s="43" t="n"/>
      <c r="B445" s="43" t="n"/>
      <c r="C445" s="43" t="n"/>
      <c r="D445" s="32"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c r="AA445" s="43" t="n"/>
      <c r="AB445" s="43" t="n"/>
    </row>
    <row r="446" ht="14.25" customHeight="1" s="83">
      <c r="A446" s="43" t="n"/>
      <c r="B446" s="43" t="n"/>
      <c r="C446" s="43" t="n"/>
      <c r="D446" s="32"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c r="AA446" s="43" t="n"/>
      <c r="AB446" s="43" t="n"/>
    </row>
    <row r="447" ht="14.25" customHeight="1" s="83">
      <c r="A447" s="43" t="n"/>
      <c r="B447" s="43" t="n"/>
      <c r="C447" s="43" t="n"/>
      <c r="D447" s="32"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c r="AA447" s="43" t="n"/>
      <c r="AB447" s="43" t="n"/>
    </row>
    <row r="448" ht="14.25" customHeight="1" s="83">
      <c r="A448" s="43" t="n"/>
      <c r="B448" s="43" t="n"/>
      <c r="C448" s="43" t="n"/>
      <c r="D448" s="32"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c r="AA448" s="43" t="n"/>
      <c r="AB448" s="43" t="n"/>
    </row>
    <row r="449" ht="14.25" customHeight="1" s="83">
      <c r="A449" s="43" t="n"/>
      <c r="B449" s="43" t="n"/>
      <c r="C449" s="43" t="n"/>
      <c r="D449" s="32"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c r="AA449" s="43" t="n"/>
      <c r="AB449" s="43" t="n"/>
    </row>
    <row r="450" ht="14.25" customHeight="1" s="83">
      <c r="A450" s="43" t="n"/>
      <c r="B450" s="43" t="n"/>
      <c r="C450" s="43" t="n"/>
      <c r="D450" s="32"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c r="AA450" s="43" t="n"/>
      <c r="AB450" s="43" t="n"/>
    </row>
    <row r="451" ht="14.25" customHeight="1" s="83">
      <c r="A451" s="43" t="n"/>
      <c r="B451" s="43" t="n"/>
      <c r="C451" s="43" t="n"/>
      <c r="D451" s="32"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c r="AA451" s="43" t="n"/>
      <c r="AB451" s="43" t="n"/>
    </row>
    <row r="452" ht="14.25" customHeight="1" s="83">
      <c r="A452" s="43" t="n"/>
      <c r="B452" s="43" t="n"/>
      <c r="C452" s="43" t="n"/>
      <c r="D452" s="32"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c r="AA452" s="43" t="n"/>
      <c r="AB452" s="43" t="n"/>
    </row>
    <row r="453" ht="14.25" customHeight="1" s="83">
      <c r="A453" s="43" t="n"/>
      <c r="B453" s="43" t="n"/>
      <c r="C453" s="43" t="n"/>
      <c r="D453" s="32"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c r="AA453" s="43" t="n"/>
      <c r="AB453" s="43" t="n"/>
    </row>
    <row r="454" ht="14.25" customHeight="1" s="83">
      <c r="A454" s="43" t="n"/>
      <c r="B454" s="43" t="n"/>
      <c r="C454" s="43" t="n"/>
      <c r="D454" s="32"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c r="AA454" s="43" t="n"/>
      <c r="AB454" s="43" t="n"/>
    </row>
    <row r="455" ht="14.25" customHeight="1" s="83">
      <c r="A455" s="43" t="n"/>
      <c r="B455" s="43" t="n"/>
      <c r="C455" s="43" t="n"/>
      <c r="D455" s="32"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c r="AA455" s="43" t="n"/>
      <c r="AB455" s="43" t="n"/>
    </row>
    <row r="456" ht="14.25" customHeight="1" s="83">
      <c r="A456" s="43" t="n"/>
      <c r="B456" s="43" t="n"/>
      <c r="C456" s="43" t="n"/>
      <c r="D456" s="32"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c r="AA456" s="43" t="n"/>
      <c r="AB456" s="43" t="n"/>
    </row>
    <row r="457" ht="14.25" customHeight="1" s="83">
      <c r="A457" s="43" t="n"/>
      <c r="B457" s="43" t="n"/>
      <c r="C457" s="43" t="n"/>
      <c r="D457" s="32"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c r="AA457" s="43" t="n"/>
      <c r="AB457" s="43" t="n"/>
    </row>
    <row r="458" ht="14.25" customHeight="1" s="83">
      <c r="A458" s="43" t="n"/>
      <c r="B458" s="43" t="n"/>
      <c r="C458" s="43" t="n"/>
      <c r="D458" s="32"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c r="AA458" s="43" t="n"/>
      <c r="AB458" s="43" t="n"/>
    </row>
    <row r="459" ht="14.25" customHeight="1" s="83">
      <c r="A459" s="43" t="n"/>
      <c r="B459" s="43" t="n"/>
      <c r="C459" s="43" t="n"/>
      <c r="D459" s="32"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c r="AA459" s="43" t="n"/>
      <c r="AB459" s="43" t="n"/>
    </row>
    <row r="460" ht="14.25" customHeight="1" s="83">
      <c r="A460" s="43" t="n"/>
      <c r="B460" s="43" t="n"/>
      <c r="C460" s="43" t="n"/>
      <c r="D460" s="32"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c r="AA460" s="43" t="n"/>
      <c r="AB460" s="43" t="n"/>
    </row>
    <row r="461" ht="14.25" customHeight="1" s="83">
      <c r="A461" s="43" t="n"/>
      <c r="B461" s="43" t="n"/>
      <c r="C461" s="43" t="n"/>
      <c r="D461" s="32"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c r="AA461" s="43" t="n"/>
      <c r="AB461" s="43" t="n"/>
    </row>
    <row r="462" ht="14.25" customHeight="1" s="83">
      <c r="A462" s="43" t="n"/>
      <c r="B462" s="43" t="n"/>
      <c r="C462" s="43" t="n"/>
      <c r="D462" s="32"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c r="AA462" s="43" t="n"/>
      <c r="AB462" s="43" t="n"/>
    </row>
    <row r="463" ht="14.25" customHeight="1" s="83">
      <c r="A463" s="43" t="n"/>
      <c r="B463" s="43" t="n"/>
      <c r="C463" s="43" t="n"/>
      <c r="D463" s="32"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c r="AA463" s="43" t="n"/>
      <c r="AB463" s="43" t="n"/>
    </row>
    <row r="464" ht="14.25" customHeight="1" s="83">
      <c r="A464" s="43" t="n"/>
      <c r="B464" s="43" t="n"/>
      <c r="C464" s="43" t="n"/>
      <c r="D464" s="32"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c r="AA464" s="43" t="n"/>
      <c r="AB464" s="43" t="n"/>
    </row>
    <row r="465" ht="14.25" customHeight="1" s="83">
      <c r="A465" s="43" t="n"/>
      <c r="B465" s="43" t="n"/>
      <c r="C465" s="43" t="n"/>
      <c r="D465" s="32"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c r="AA465" s="43" t="n"/>
      <c r="AB465" s="43" t="n"/>
    </row>
    <row r="466" ht="14.25" customHeight="1" s="83">
      <c r="A466" s="43" t="n"/>
      <c r="B466" s="43" t="n"/>
      <c r="C466" s="43" t="n"/>
      <c r="D466" s="32"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c r="AA466" s="43" t="n"/>
      <c r="AB466" s="43" t="n"/>
    </row>
    <row r="467" ht="14.25" customHeight="1" s="83">
      <c r="A467" s="43" t="n"/>
      <c r="B467" s="43" t="n"/>
      <c r="C467" s="43" t="n"/>
      <c r="D467" s="32"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c r="AA467" s="43" t="n"/>
      <c r="AB467" s="43" t="n"/>
    </row>
    <row r="468" ht="14.25" customHeight="1" s="83">
      <c r="A468" s="43" t="n"/>
      <c r="B468" s="43" t="n"/>
      <c r="C468" s="43" t="n"/>
      <c r="D468" s="32"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c r="AA468" s="43" t="n"/>
      <c r="AB468" s="43" t="n"/>
    </row>
    <row r="469" ht="14.25" customHeight="1" s="83">
      <c r="A469" s="43" t="n"/>
      <c r="B469" s="43" t="n"/>
      <c r="C469" s="43" t="n"/>
      <c r="D469" s="32"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c r="AA469" s="43" t="n"/>
      <c r="AB469" s="43" t="n"/>
    </row>
    <row r="470" ht="14.25" customHeight="1" s="83">
      <c r="A470" s="43" t="n"/>
      <c r="B470" s="43" t="n"/>
      <c r="C470" s="43" t="n"/>
      <c r="D470" s="32"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c r="AA470" s="43" t="n"/>
      <c r="AB470" s="43" t="n"/>
    </row>
    <row r="471" ht="14.25" customHeight="1" s="83">
      <c r="A471" s="43" t="n"/>
      <c r="B471" s="43" t="n"/>
      <c r="C471" s="43" t="n"/>
      <c r="D471" s="32"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c r="AA471" s="43" t="n"/>
      <c r="AB471" s="43" t="n"/>
    </row>
    <row r="472" ht="14.25" customHeight="1" s="83">
      <c r="A472" s="43" t="n"/>
      <c r="B472" s="43" t="n"/>
      <c r="C472" s="43" t="n"/>
      <c r="D472" s="32"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c r="AA472" s="43" t="n"/>
      <c r="AB472" s="43" t="n"/>
    </row>
    <row r="473" ht="14.25" customHeight="1" s="83">
      <c r="A473" s="43" t="n"/>
      <c r="B473" s="43" t="n"/>
      <c r="C473" s="43" t="n"/>
      <c r="D473" s="32"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c r="AA473" s="43" t="n"/>
      <c r="AB473" s="43" t="n"/>
    </row>
    <row r="474" ht="14.25" customHeight="1" s="83">
      <c r="A474" s="43" t="n"/>
      <c r="B474" s="43" t="n"/>
      <c r="C474" s="43" t="n"/>
      <c r="D474" s="32"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c r="AA474" s="43" t="n"/>
      <c r="AB474" s="43" t="n"/>
    </row>
    <row r="475" ht="14.25" customHeight="1" s="83">
      <c r="A475" s="43" t="n"/>
      <c r="B475" s="43" t="n"/>
      <c r="C475" s="43" t="n"/>
      <c r="D475" s="32"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c r="AA475" s="43" t="n"/>
      <c r="AB475" s="43" t="n"/>
    </row>
    <row r="476" ht="14.25" customHeight="1" s="83">
      <c r="A476" s="43" t="n"/>
      <c r="B476" s="43" t="n"/>
      <c r="C476" s="43" t="n"/>
      <c r="D476" s="32"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c r="AA476" s="43" t="n"/>
      <c r="AB476" s="43" t="n"/>
    </row>
    <row r="477" ht="14.25" customHeight="1" s="83">
      <c r="A477" s="43" t="n"/>
      <c r="B477" s="43" t="n"/>
      <c r="C477" s="43" t="n"/>
      <c r="D477" s="32"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c r="AA477" s="43" t="n"/>
      <c r="AB477" s="43" t="n"/>
    </row>
    <row r="478" ht="14.25" customHeight="1" s="83">
      <c r="A478" s="43" t="n"/>
      <c r="B478" s="43" t="n"/>
      <c r="C478" s="43" t="n"/>
      <c r="D478" s="32"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c r="AA478" s="43" t="n"/>
      <c r="AB478" s="43" t="n"/>
    </row>
    <row r="479" ht="14.25" customHeight="1" s="83">
      <c r="A479" s="43" t="n"/>
      <c r="B479" s="43" t="n"/>
      <c r="C479" s="43" t="n"/>
      <c r="D479" s="32"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c r="AA479" s="43" t="n"/>
      <c r="AB479" s="43" t="n"/>
    </row>
    <row r="480" ht="14.25" customHeight="1" s="83">
      <c r="A480" s="43" t="n"/>
      <c r="B480" s="43" t="n"/>
      <c r="C480" s="43" t="n"/>
      <c r="D480" s="32"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c r="AA480" s="43" t="n"/>
      <c r="AB480" s="43" t="n"/>
    </row>
    <row r="481" ht="14.25" customHeight="1" s="83">
      <c r="A481" s="43" t="n"/>
      <c r="B481" s="43" t="n"/>
      <c r="C481" s="43" t="n"/>
      <c r="D481" s="32"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c r="AA481" s="43" t="n"/>
      <c r="AB481" s="43" t="n"/>
    </row>
    <row r="482" ht="14.25" customHeight="1" s="83">
      <c r="A482" s="43" t="n"/>
      <c r="B482" s="43" t="n"/>
      <c r="C482" s="43" t="n"/>
      <c r="D482" s="32"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c r="AA482" s="43" t="n"/>
      <c r="AB482" s="43" t="n"/>
    </row>
    <row r="483" ht="14.25" customHeight="1" s="83">
      <c r="A483" s="43" t="n"/>
      <c r="B483" s="43" t="n"/>
      <c r="C483" s="43" t="n"/>
      <c r="D483" s="32"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c r="AA483" s="43" t="n"/>
      <c r="AB483" s="43" t="n"/>
    </row>
    <row r="484" ht="14.25" customHeight="1" s="83">
      <c r="A484" s="43" t="n"/>
      <c r="B484" s="43" t="n"/>
      <c r="C484" s="43" t="n"/>
      <c r="D484" s="32"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c r="AA484" s="43" t="n"/>
      <c r="AB484" s="43" t="n"/>
    </row>
    <row r="485" ht="14.25" customHeight="1" s="83">
      <c r="A485" s="43" t="n"/>
      <c r="B485" s="43" t="n"/>
      <c r="C485" s="43" t="n"/>
      <c r="D485" s="32"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c r="AA485" s="43" t="n"/>
      <c r="AB485" s="43" t="n"/>
    </row>
    <row r="486" ht="14.25" customHeight="1" s="83">
      <c r="A486" s="43" t="n"/>
      <c r="B486" s="43" t="n"/>
      <c r="C486" s="43" t="n"/>
      <c r="D486" s="32"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c r="AA486" s="43" t="n"/>
      <c r="AB486" s="43" t="n"/>
    </row>
    <row r="487" ht="14.25" customHeight="1" s="83">
      <c r="A487" s="43" t="n"/>
      <c r="B487" s="43" t="n"/>
      <c r="C487" s="43" t="n"/>
      <c r="D487" s="32"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c r="AA487" s="43" t="n"/>
      <c r="AB487" s="43" t="n"/>
    </row>
    <row r="488" ht="14.25" customHeight="1" s="83">
      <c r="A488" s="43" t="n"/>
      <c r="B488" s="43" t="n"/>
      <c r="C488" s="43" t="n"/>
      <c r="D488" s="32"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c r="AA488" s="43" t="n"/>
      <c r="AB488" s="43" t="n"/>
    </row>
    <row r="489" ht="14.25" customHeight="1" s="83">
      <c r="A489" s="43" t="n"/>
      <c r="B489" s="43" t="n"/>
      <c r="C489" s="43" t="n"/>
      <c r="D489" s="32"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c r="AA489" s="43" t="n"/>
      <c r="AB489" s="43" t="n"/>
    </row>
    <row r="490" ht="14.25" customHeight="1" s="83">
      <c r="A490" s="43" t="n"/>
      <c r="B490" s="43" t="n"/>
      <c r="C490" s="43" t="n"/>
      <c r="D490" s="32"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c r="AA490" s="43" t="n"/>
      <c r="AB490" s="43" t="n"/>
    </row>
    <row r="491" ht="14.25" customHeight="1" s="83">
      <c r="A491" s="43" t="n"/>
      <c r="B491" s="43" t="n"/>
      <c r="C491" s="43" t="n"/>
      <c r="D491" s="32"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c r="AA491" s="43" t="n"/>
      <c r="AB491" s="43" t="n"/>
    </row>
    <row r="492" ht="14.25" customHeight="1" s="83">
      <c r="A492" s="43" t="n"/>
      <c r="B492" s="43" t="n"/>
      <c r="C492" s="43" t="n"/>
      <c r="D492" s="32"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c r="AA492" s="43" t="n"/>
      <c r="AB492" s="43" t="n"/>
    </row>
    <row r="493" ht="14.25" customHeight="1" s="83">
      <c r="A493" s="43" t="n"/>
      <c r="B493" s="43" t="n"/>
      <c r="C493" s="43" t="n"/>
      <c r="D493" s="32"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c r="AA493" s="43" t="n"/>
      <c r="AB493" s="43" t="n"/>
    </row>
    <row r="494" ht="14.25" customHeight="1" s="83">
      <c r="A494" s="43" t="n"/>
      <c r="B494" s="43" t="n"/>
      <c r="C494" s="43" t="n"/>
      <c r="D494" s="32"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c r="AA494" s="43" t="n"/>
      <c r="AB494" s="43" t="n"/>
    </row>
    <row r="495" ht="14.25" customHeight="1" s="83">
      <c r="A495" s="43" t="n"/>
      <c r="B495" s="43" t="n"/>
      <c r="C495" s="43" t="n"/>
      <c r="D495" s="32"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c r="AA495" s="43" t="n"/>
      <c r="AB495" s="43" t="n"/>
    </row>
    <row r="496" ht="14.25" customHeight="1" s="83">
      <c r="A496" s="43" t="n"/>
      <c r="B496" s="43" t="n"/>
      <c r="C496" s="43" t="n"/>
      <c r="D496" s="32"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c r="AA496" s="43" t="n"/>
      <c r="AB496" s="43" t="n"/>
    </row>
    <row r="497" ht="14.25" customHeight="1" s="83">
      <c r="A497" s="43" t="n"/>
      <c r="B497" s="43" t="n"/>
      <c r="C497" s="43" t="n"/>
      <c r="D497" s="32"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c r="AA497" s="43" t="n"/>
      <c r="AB497" s="43" t="n"/>
    </row>
    <row r="498" ht="14.25" customHeight="1" s="83">
      <c r="A498" s="43" t="n"/>
      <c r="B498" s="43" t="n"/>
      <c r="C498" s="43" t="n"/>
      <c r="D498" s="32"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c r="AA498" s="43" t="n"/>
      <c r="AB498" s="43" t="n"/>
    </row>
    <row r="499" ht="14.25" customHeight="1" s="83">
      <c r="A499" s="43" t="n"/>
      <c r="B499" s="43" t="n"/>
      <c r="C499" s="43" t="n"/>
      <c r="D499" s="32"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c r="AA499" s="43" t="n"/>
      <c r="AB499" s="43" t="n"/>
    </row>
    <row r="500" ht="14.25" customHeight="1" s="83">
      <c r="A500" s="43" t="n"/>
      <c r="B500" s="43" t="n"/>
      <c r="C500" s="43" t="n"/>
      <c r="D500" s="32"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c r="AA500" s="43" t="n"/>
      <c r="AB500" s="43" t="n"/>
    </row>
    <row r="501" ht="14.25" customHeight="1" s="83">
      <c r="A501" s="43" t="n"/>
      <c r="B501" s="43" t="n"/>
      <c r="C501" s="43" t="n"/>
      <c r="D501" s="32"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c r="AA501" s="43" t="n"/>
      <c r="AB501" s="43" t="n"/>
    </row>
    <row r="502" ht="14.25" customHeight="1" s="83">
      <c r="A502" s="43" t="n"/>
      <c r="B502" s="43" t="n"/>
      <c r="C502" s="43" t="n"/>
      <c r="D502" s="32"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c r="AA502" s="43" t="n"/>
      <c r="AB502" s="43" t="n"/>
    </row>
    <row r="503" ht="14.25" customHeight="1" s="83">
      <c r="A503" s="43" t="n"/>
      <c r="B503" s="43" t="n"/>
      <c r="C503" s="43" t="n"/>
      <c r="D503" s="32"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c r="AA503" s="43" t="n"/>
      <c r="AB503" s="43" t="n"/>
    </row>
    <row r="504" ht="14.25" customHeight="1" s="83">
      <c r="A504" s="43" t="n"/>
      <c r="B504" s="43" t="n"/>
      <c r="C504" s="43" t="n"/>
      <c r="D504" s="32"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c r="AA504" s="43" t="n"/>
      <c r="AB504" s="43" t="n"/>
    </row>
    <row r="505" ht="14.25" customHeight="1" s="83">
      <c r="A505" s="43" t="n"/>
      <c r="B505" s="43" t="n"/>
      <c r="C505" s="43" t="n"/>
      <c r="D505" s="32"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c r="AA505" s="43" t="n"/>
      <c r="AB505" s="43" t="n"/>
    </row>
    <row r="506" ht="14.25" customHeight="1" s="83">
      <c r="A506" s="43" t="n"/>
      <c r="B506" s="43" t="n"/>
      <c r="C506" s="43" t="n"/>
      <c r="D506" s="32"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c r="AA506" s="43" t="n"/>
      <c r="AB506" s="43" t="n"/>
    </row>
    <row r="507" ht="14.25" customHeight="1" s="83">
      <c r="A507" s="43" t="n"/>
      <c r="B507" s="43" t="n"/>
      <c r="C507" s="43" t="n"/>
      <c r="D507" s="32"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c r="AA507" s="43" t="n"/>
      <c r="AB507" s="43" t="n"/>
    </row>
    <row r="508" ht="14.25" customHeight="1" s="83">
      <c r="A508" s="43" t="n"/>
      <c r="B508" s="43" t="n"/>
      <c r="C508" s="43" t="n"/>
      <c r="D508" s="32"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c r="AA508" s="43" t="n"/>
      <c r="AB508" s="43" t="n"/>
    </row>
    <row r="509" ht="14.25" customHeight="1" s="83">
      <c r="A509" s="43" t="n"/>
      <c r="B509" s="43" t="n"/>
      <c r="C509" s="43" t="n"/>
      <c r="D509" s="32"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c r="AA509" s="43" t="n"/>
      <c r="AB509" s="43" t="n"/>
    </row>
    <row r="510" ht="14.25" customHeight="1" s="83">
      <c r="A510" s="43" t="n"/>
      <c r="B510" s="43" t="n"/>
      <c r="C510" s="43" t="n"/>
      <c r="D510" s="32"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c r="AA510" s="43" t="n"/>
      <c r="AB510" s="43" t="n"/>
    </row>
    <row r="511" ht="14.25" customHeight="1" s="83">
      <c r="A511" s="43" t="n"/>
      <c r="B511" s="43" t="n"/>
      <c r="C511" s="43" t="n"/>
      <c r="D511" s="32"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c r="AA511" s="43" t="n"/>
      <c r="AB511" s="43" t="n"/>
    </row>
    <row r="512" ht="14.25" customHeight="1" s="83">
      <c r="A512" s="43" t="n"/>
      <c r="B512" s="43" t="n"/>
      <c r="C512" s="43" t="n"/>
      <c r="D512" s="32"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c r="AA512" s="43" t="n"/>
      <c r="AB512" s="43" t="n"/>
    </row>
    <row r="513" ht="14.25" customHeight="1" s="83">
      <c r="A513" s="43" t="n"/>
      <c r="B513" s="43" t="n"/>
      <c r="C513" s="43" t="n"/>
      <c r="D513" s="32"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c r="AA513" s="43" t="n"/>
      <c r="AB513" s="43" t="n"/>
    </row>
    <row r="514" ht="14.25" customHeight="1" s="83">
      <c r="A514" s="43" t="n"/>
      <c r="B514" s="43" t="n"/>
      <c r="C514" s="43" t="n"/>
      <c r="D514" s="32"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c r="AA514" s="43" t="n"/>
      <c r="AB514" s="43" t="n"/>
    </row>
    <row r="515" ht="14.25" customHeight="1" s="83">
      <c r="A515" s="43" t="n"/>
      <c r="B515" s="43" t="n"/>
      <c r="C515" s="43" t="n"/>
      <c r="D515" s="32"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c r="AA515" s="43" t="n"/>
      <c r="AB515" s="43" t="n"/>
    </row>
    <row r="516" ht="14.25" customHeight="1" s="83">
      <c r="A516" s="43" t="n"/>
      <c r="B516" s="43" t="n"/>
      <c r="C516" s="43" t="n"/>
      <c r="D516" s="32"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c r="AA516" s="43" t="n"/>
      <c r="AB516" s="43" t="n"/>
    </row>
    <row r="517" ht="14.25" customHeight="1" s="83">
      <c r="A517" s="43" t="n"/>
      <c r="B517" s="43" t="n"/>
      <c r="C517" s="43" t="n"/>
      <c r="D517" s="32"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c r="AA517" s="43" t="n"/>
      <c r="AB517" s="43" t="n"/>
    </row>
    <row r="518" ht="14.25" customHeight="1" s="83">
      <c r="A518" s="43" t="n"/>
      <c r="B518" s="43" t="n"/>
      <c r="C518" s="43" t="n"/>
      <c r="D518" s="32"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c r="AA518" s="43" t="n"/>
      <c r="AB518" s="43" t="n"/>
    </row>
    <row r="519" ht="14.25" customHeight="1" s="83">
      <c r="A519" s="43" t="n"/>
      <c r="B519" s="43" t="n"/>
      <c r="C519" s="43" t="n"/>
      <c r="D519" s="32"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c r="AA519" s="43" t="n"/>
      <c r="AB519" s="43" t="n"/>
    </row>
    <row r="520" ht="14.25" customHeight="1" s="83">
      <c r="A520" s="43" t="n"/>
      <c r="B520" s="43" t="n"/>
      <c r="C520" s="43" t="n"/>
      <c r="D520" s="32"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c r="AA520" s="43" t="n"/>
      <c r="AB520" s="43" t="n"/>
    </row>
    <row r="521" ht="14.25" customHeight="1" s="83">
      <c r="A521" s="43" t="n"/>
      <c r="B521" s="43" t="n"/>
      <c r="C521" s="43" t="n"/>
      <c r="D521" s="32"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c r="AA521" s="43" t="n"/>
      <c r="AB521" s="43" t="n"/>
    </row>
    <row r="522" ht="14.25" customHeight="1" s="83">
      <c r="A522" s="43" t="n"/>
      <c r="B522" s="43" t="n"/>
      <c r="C522" s="43" t="n"/>
      <c r="D522" s="32"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c r="AA522" s="43" t="n"/>
      <c r="AB522" s="43" t="n"/>
    </row>
    <row r="523" ht="14.25" customHeight="1" s="83">
      <c r="A523" s="43" t="n"/>
      <c r="B523" s="43" t="n"/>
      <c r="C523" s="43" t="n"/>
      <c r="D523" s="32"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c r="AA523" s="43" t="n"/>
      <c r="AB523" s="43" t="n"/>
    </row>
    <row r="524" ht="14.25" customHeight="1" s="83">
      <c r="A524" s="43" t="n"/>
      <c r="B524" s="43" t="n"/>
      <c r="C524" s="43" t="n"/>
      <c r="D524" s="32"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c r="AA524" s="43" t="n"/>
      <c r="AB524" s="43" t="n"/>
    </row>
    <row r="525" ht="14.25" customHeight="1" s="83">
      <c r="A525" s="43" t="n"/>
      <c r="B525" s="43" t="n"/>
      <c r="C525" s="43" t="n"/>
      <c r="D525" s="32"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c r="AA525" s="43" t="n"/>
      <c r="AB525" s="43" t="n"/>
    </row>
    <row r="526" ht="14.25" customHeight="1" s="83">
      <c r="A526" s="43" t="n"/>
      <c r="B526" s="43" t="n"/>
      <c r="C526" s="43" t="n"/>
      <c r="D526" s="32"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c r="AA526" s="43" t="n"/>
      <c r="AB526" s="43" t="n"/>
    </row>
    <row r="527" ht="14.25" customHeight="1" s="83">
      <c r="A527" s="43" t="n"/>
      <c r="B527" s="43" t="n"/>
      <c r="C527" s="43" t="n"/>
      <c r="D527" s="32"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c r="AA527" s="43" t="n"/>
      <c r="AB527" s="43" t="n"/>
    </row>
    <row r="528" ht="14.25" customHeight="1" s="83">
      <c r="A528" s="43" t="n"/>
      <c r="B528" s="43" t="n"/>
      <c r="C528" s="43" t="n"/>
      <c r="D528" s="32"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c r="AA528" s="43" t="n"/>
      <c r="AB528" s="43" t="n"/>
    </row>
    <row r="529" ht="14.25" customHeight="1" s="83">
      <c r="A529" s="43" t="n"/>
      <c r="B529" s="43" t="n"/>
      <c r="C529" s="43" t="n"/>
      <c r="D529" s="32"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c r="AA529" s="43" t="n"/>
      <c r="AB529" s="43" t="n"/>
    </row>
    <row r="530" ht="14.25" customHeight="1" s="83">
      <c r="A530" s="43" t="n"/>
      <c r="B530" s="43" t="n"/>
      <c r="C530" s="43" t="n"/>
      <c r="D530" s="32"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c r="AA530" s="43" t="n"/>
      <c r="AB530" s="43" t="n"/>
    </row>
    <row r="531" ht="14.25" customHeight="1" s="83">
      <c r="A531" s="43" t="n"/>
      <c r="B531" s="43" t="n"/>
      <c r="C531" s="43" t="n"/>
      <c r="D531" s="32"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c r="AA531" s="43" t="n"/>
      <c r="AB531" s="43" t="n"/>
    </row>
    <row r="532" ht="14.25" customHeight="1" s="83">
      <c r="A532" s="43" t="n"/>
      <c r="B532" s="43" t="n"/>
      <c r="C532" s="43" t="n"/>
      <c r="D532" s="32"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c r="AA532" s="43" t="n"/>
      <c r="AB532" s="43" t="n"/>
    </row>
    <row r="533" ht="14.25" customHeight="1" s="83">
      <c r="A533" s="43" t="n"/>
      <c r="B533" s="43" t="n"/>
      <c r="C533" s="43" t="n"/>
      <c r="D533" s="32"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c r="AA533" s="43" t="n"/>
      <c r="AB533" s="43" t="n"/>
    </row>
    <row r="534" ht="14.25" customHeight="1" s="83">
      <c r="A534" s="43" t="n"/>
      <c r="B534" s="43" t="n"/>
      <c r="C534" s="43" t="n"/>
      <c r="D534" s="32"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c r="AA534" s="43" t="n"/>
      <c r="AB534" s="43" t="n"/>
    </row>
    <row r="535" ht="14.25" customHeight="1" s="83">
      <c r="A535" s="43" t="n"/>
      <c r="B535" s="43" t="n"/>
      <c r="C535" s="43" t="n"/>
      <c r="D535" s="32"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c r="AA535" s="43" t="n"/>
      <c r="AB535" s="43" t="n"/>
    </row>
    <row r="536" ht="14.25" customHeight="1" s="83">
      <c r="A536" s="43" t="n"/>
      <c r="B536" s="43" t="n"/>
      <c r="C536" s="43" t="n"/>
      <c r="D536" s="32"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c r="AA536" s="43" t="n"/>
      <c r="AB536" s="43" t="n"/>
    </row>
    <row r="537" ht="14.25" customHeight="1" s="83">
      <c r="A537" s="43" t="n"/>
      <c r="B537" s="43" t="n"/>
      <c r="C537" s="43" t="n"/>
      <c r="D537" s="32"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c r="AA537" s="43" t="n"/>
      <c r="AB537" s="43" t="n"/>
    </row>
    <row r="538" ht="14.25" customHeight="1" s="83">
      <c r="A538" s="43" t="n"/>
      <c r="B538" s="43" t="n"/>
      <c r="C538" s="43" t="n"/>
      <c r="D538" s="32"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c r="AA538" s="43" t="n"/>
      <c r="AB538" s="43" t="n"/>
    </row>
    <row r="539" ht="14.25" customHeight="1" s="83">
      <c r="A539" s="43" t="n"/>
      <c r="B539" s="43" t="n"/>
      <c r="C539" s="43" t="n"/>
      <c r="D539" s="32"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c r="AA539" s="43" t="n"/>
      <c r="AB539" s="43" t="n"/>
    </row>
    <row r="540" ht="14.25" customHeight="1" s="83">
      <c r="A540" s="43" t="n"/>
      <c r="B540" s="43" t="n"/>
      <c r="C540" s="43" t="n"/>
      <c r="D540" s="32"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c r="AA540" s="43" t="n"/>
      <c r="AB540" s="43" t="n"/>
    </row>
    <row r="541" ht="14.25" customHeight="1" s="83">
      <c r="A541" s="43" t="n"/>
      <c r="B541" s="43" t="n"/>
      <c r="C541" s="43" t="n"/>
      <c r="D541" s="32"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c r="AA541" s="43" t="n"/>
      <c r="AB541" s="43" t="n"/>
    </row>
    <row r="542" ht="14.25" customHeight="1" s="83">
      <c r="A542" s="43" t="n"/>
      <c r="B542" s="43" t="n"/>
      <c r="C542" s="43" t="n"/>
      <c r="D542" s="32"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c r="AA542" s="43" t="n"/>
      <c r="AB542" s="43" t="n"/>
    </row>
    <row r="543" ht="14.25" customHeight="1" s="83">
      <c r="A543" s="43" t="n"/>
      <c r="B543" s="43" t="n"/>
      <c r="C543" s="43" t="n"/>
      <c r="D543" s="32"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c r="AA543" s="43" t="n"/>
      <c r="AB543" s="43" t="n"/>
    </row>
    <row r="544" ht="14.25" customHeight="1" s="83">
      <c r="A544" s="43" t="n"/>
      <c r="B544" s="43" t="n"/>
      <c r="C544" s="43" t="n"/>
      <c r="D544" s="32"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c r="AA544" s="43" t="n"/>
      <c r="AB544" s="43" t="n"/>
    </row>
    <row r="545" ht="14.25" customHeight="1" s="83">
      <c r="A545" s="43" t="n"/>
      <c r="B545" s="43" t="n"/>
      <c r="C545" s="43" t="n"/>
      <c r="D545" s="32"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c r="AA545" s="43" t="n"/>
      <c r="AB545" s="43" t="n"/>
    </row>
    <row r="546" ht="14.25" customHeight="1" s="83">
      <c r="A546" s="43" t="n"/>
      <c r="B546" s="43" t="n"/>
      <c r="C546" s="43" t="n"/>
      <c r="D546" s="32"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c r="AA546" s="43" t="n"/>
      <c r="AB546" s="43" t="n"/>
    </row>
    <row r="547" ht="14.25" customHeight="1" s="83">
      <c r="A547" s="43" t="n"/>
      <c r="B547" s="43" t="n"/>
      <c r="C547" s="43" t="n"/>
      <c r="D547" s="32"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c r="AA547" s="43" t="n"/>
      <c r="AB547" s="43" t="n"/>
    </row>
    <row r="548" ht="14.25" customHeight="1" s="83">
      <c r="A548" s="43" t="n"/>
      <c r="B548" s="43" t="n"/>
      <c r="C548" s="43" t="n"/>
      <c r="D548" s="32"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c r="AA548" s="43" t="n"/>
      <c r="AB548" s="43" t="n"/>
    </row>
    <row r="549" ht="14.25" customHeight="1" s="83">
      <c r="A549" s="43" t="n"/>
      <c r="B549" s="43" t="n"/>
      <c r="C549" s="43" t="n"/>
      <c r="D549" s="32"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c r="AA549" s="43" t="n"/>
      <c r="AB549" s="43" t="n"/>
    </row>
    <row r="550" ht="14.25" customHeight="1" s="83">
      <c r="A550" s="43" t="n"/>
      <c r="B550" s="43" t="n"/>
      <c r="C550" s="43" t="n"/>
      <c r="D550" s="32"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c r="AA550" s="43" t="n"/>
      <c r="AB550" s="43" t="n"/>
    </row>
    <row r="551" ht="14.25" customHeight="1" s="83">
      <c r="A551" s="43" t="n"/>
      <c r="B551" s="43" t="n"/>
      <c r="C551" s="43" t="n"/>
      <c r="D551" s="32"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c r="AA551" s="43" t="n"/>
      <c r="AB551" s="43" t="n"/>
    </row>
    <row r="552" ht="14.25" customHeight="1" s="83">
      <c r="A552" s="43" t="n"/>
      <c r="B552" s="43" t="n"/>
      <c r="C552" s="43" t="n"/>
      <c r="D552" s="32"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c r="AA552" s="43" t="n"/>
      <c r="AB552" s="43" t="n"/>
    </row>
    <row r="553" ht="14.25" customHeight="1" s="83">
      <c r="A553" s="43" t="n"/>
      <c r="B553" s="43" t="n"/>
      <c r="C553" s="43" t="n"/>
      <c r="D553" s="32"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c r="AA553" s="43" t="n"/>
      <c r="AB553" s="43" t="n"/>
    </row>
    <row r="554" ht="14.25" customHeight="1" s="83">
      <c r="A554" s="43" t="n"/>
      <c r="B554" s="43" t="n"/>
      <c r="C554" s="43" t="n"/>
      <c r="D554" s="32"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c r="AA554" s="43" t="n"/>
      <c r="AB554" s="43" t="n"/>
    </row>
    <row r="555" ht="14.25" customHeight="1" s="83">
      <c r="A555" s="43" t="n"/>
      <c r="B555" s="43" t="n"/>
      <c r="C555" s="43" t="n"/>
      <c r="D555" s="32"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c r="AA555" s="43" t="n"/>
      <c r="AB555" s="43" t="n"/>
    </row>
    <row r="556" ht="14.25" customHeight="1" s="83">
      <c r="A556" s="43" t="n"/>
      <c r="B556" s="43" t="n"/>
      <c r="C556" s="43" t="n"/>
      <c r="D556" s="32"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c r="AA556" s="43" t="n"/>
      <c r="AB556" s="43" t="n"/>
    </row>
    <row r="557" ht="14.25" customHeight="1" s="83">
      <c r="A557" s="43" t="n"/>
      <c r="B557" s="43" t="n"/>
      <c r="C557" s="43" t="n"/>
      <c r="D557" s="32"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c r="AA557" s="43" t="n"/>
      <c r="AB557" s="43" t="n"/>
    </row>
    <row r="558" ht="14.25" customHeight="1" s="83">
      <c r="A558" s="43" t="n"/>
      <c r="B558" s="43" t="n"/>
      <c r="C558" s="43" t="n"/>
      <c r="D558" s="32"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c r="AA558" s="43" t="n"/>
      <c r="AB558" s="43" t="n"/>
    </row>
    <row r="559" ht="14.25" customHeight="1" s="83">
      <c r="A559" s="43" t="n"/>
      <c r="B559" s="43" t="n"/>
      <c r="C559" s="43" t="n"/>
      <c r="D559" s="32"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c r="AA559" s="43" t="n"/>
      <c r="AB559" s="43" t="n"/>
    </row>
    <row r="560" ht="14.25" customHeight="1" s="83">
      <c r="A560" s="43" t="n"/>
      <c r="B560" s="43" t="n"/>
      <c r="C560" s="43" t="n"/>
      <c r="D560" s="32"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c r="AA560" s="43" t="n"/>
      <c r="AB560" s="43" t="n"/>
    </row>
    <row r="561" ht="14.25" customHeight="1" s="83">
      <c r="A561" s="43" t="n"/>
      <c r="B561" s="43" t="n"/>
      <c r="C561" s="43" t="n"/>
      <c r="D561" s="32"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c r="AA561" s="43" t="n"/>
      <c r="AB561" s="43" t="n"/>
    </row>
    <row r="562" ht="14.25" customHeight="1" s="83">
      <c r="A562" s="43" t="n"/>
      <c r="B562" s="43" t="n"/>
      <c r="C562" s="43" t="n"/>
      <c r="D562" s="32"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c r="AA562" s="43" t="n"/>
      <c r="AB562" s="43" t="n"/>
    </row>
    <row r="563" ht="14.25" customHeight="1" s="83">
      <c r="A563" s="43" t="n"/>
      <c r="B563" s="43" t="n"/>
      <c r="C563" s="43" t="n"/>
      <c r="D563" s="32"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c r="AA563" s="43" t="n"/>
      <c r="AB563" s="43" t="n"/>
    </row>
    <row r="564" ht="14.25" customHeight="1" s="83">
      <c r="A564" s="43" t="n"/>
      <c r="B564" s="43" t="n"/>
      <c r="C564" s="43" t="n"/>
      <c r="D564" s="32"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c r="AA564" s="43" t="n"/>
      <c r="AB564" s="43" t="n"/>
    </row>
    <row r="565" ht="14.25" customHeight="1" s="83">
      <c r="A565" s="43" t="n"/>
      <c r="B565" s="43" t="n"/>
      <c r="C565" s="43" t="n"/>
      <c r="D565" s="32"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c r="AA565" s="43" t="n"/>
      <c r="AB565" s="43" t="n"/>
    </row>
    <row r="566" ht="14.25" customHeight="1" s="83">
      <c r="A566" s="43" t="n"/>
      <c r="B566" s="43" t="n"/>
      <c r="C566" s="43" t="n"/>
      <c r="D566" s="32"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c r="AA566" s="43" t="n"/>
      <c r="AB566" s="43" t="n"/>
    </row>
    <row r="567" ht="14.25" customHeight="1" s="83">
      <c r="A567" s="43" t="n"/>
      <c r="B567" s="43" t="n"/>
      <c r="C567" s="43" t="n"/>
      <c r="D567" s="32"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c r="AA567" s="43" t="n"/>
      <c r="AB567" s="43" t="n"/>
    </row>
    <row r="568" ht="14.25" customHeight="1" s="83">
      <c r="A568" s="43" t="n"/>
      <c r="B568" s="43" t="n"/>
      <c r="C568" s="43" t="n"/>
      <c r="D568" s="32"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c r="AA568" s="43" t="n"/>
      <c r="AB568" s="43" t="n"/>
    </row>
    <row r="569" ht="14.25" customHeight="1" s="83">
      <c r="A569" s="43" t="n"/>
      <c r="B569" s="43" t="n"/>
      <c r="C569" s="43" t="n"/>
      <c r="D569" s="32"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c r="AA569" s="43" t="n"/>
      <c r="AB569" s="43" t="n"/>
    </row>
    <row r="570" ht="14.25" customHeight="1" s="83">
      <c r="A570" s="43" t="n"/>
      <c r="B570" s="43" t="n"/>
      <c r="C570" s="43" t="n"/>
      <c r="D570" s="32"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c r="AA570" s="43" t="n"/>
      <c r="AB570" s="43" t="n"/>
    </row>
    <row r="571" ht="14.25" customHeight="1" s="83">
      <c r="A571" s="43" t="n"/>
      <c r="B571" s="43" t="n"/>
      <c r="C571" s="43" t="n"/>
      <c r="D571" s="32"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c r="AA571" s="43" t="n"/>
      <c r="AB571" s="43" t="n"/>
    </row>
    <row r="572" ht="14.25" customHeight="1" s="83">
      <c r="A572" s="43" t="n"/>
      <c r="B572" s="43" t="n"/>
      <c r="C572" s="43" t="n"/>
      <c r="D572" s="32"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c r="AA572" s="43" t="n"/>
      <c r="AB572" s="43" t="n"/>
    </row>
    <row r="573" ht="14.25" customHeight="1" s="83">
      <c r="A573" s="43" t="n"/>
      <c r="B573" s="43" t="n"/>
      <c r="C573" s="43" t="n"/>
      <c r="D573" s="32"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c r="AA573" s="43" t="n"/>
      <c r="AB573" s="43" t="n"/>
    </row>
    <row r="574" ht="14.25" customHeight="1" s="83">
      <c r="A574" s="43" t="n"/>
      <c r="B574" s="43" t="n"/>
      <c r="C574" s="43" t="n"/>
      <c r="D574" s="32"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c r="AA574" s="43" t="n"/>
      <c r="AB574" s="43" t="n"/>
    </row>
    <row r="575" ht="14.25" customHeight="1" s="83">
      <c r="A575" s="43" t="n"/>
      <c r="B575" s="43" t="n"/>
      <c r="C575" s="43" t="n"/>
      <c r="D575" s="32"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c r="AA575" s="43" t="n"/>
      <c r="AB575" s="43" t="n"/>
    </row>
    <row r="576" ht="14.25" customHeight="1" s="83">
      <c r="A576" s="43" t="n"/>
      <c r="B576" s="43" t="n"/>
      <c r="C576" s="43" t="n"/>
      <c r="D576" s="32"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c r="AA576" s="43" t="n"/>
      <c r="AB576" s="43" t="n"/>
    </row>
    <row r="577" ht="14.25" customHeight="1" s="83">
      <c r="A577" s="43" t="n"/>
      <c r="B577" s="43" t="n"/>
      <c r="C577" s="43" t="n"/>
      <c r="D577" s="32"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c r="AA577" s="43" t="n"/>
      <c r="AB577" s="43" t="n"/>
    </row>
    <row r="578" ht="14.25" customHeight="1" s="83">
      <c r="A578" s="43" t="n"/>
      <c r="B578" s="43" t="n"/>
      <c r="C578" s="43" t="n"/>
      <c r="D578" s="32"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c r="AA578" s="43" t="n"/>
      <c r="AB578" s="43" t="n"/>
    </row>
    <row r="579" ht="14.25" customHeight="1" s="83">
      <c r="A579" s="43" t="n"/>
      <c r="B579" s="43" t="n"/>
      <c r="C579" s="43" t="n"/>
      <c r="D579" s="32"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c r="AA579" s="43" t="n"/>
      <c r="AB579" s="43" t="n"/>
    </row>
    <row r="580" ht="14.25" customHeight="1" s="83">
      <c r="A580" s="43" t="n"/>
      <c r="B580" s="43" t="n"/>
      <c r="C580" s="43" t="n"/>
      <c r="D580" s="32"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c r="AA580" s="43" t="n"/>
      <c r="AB580" s="43" t="n"/>
    </row>
    <row r="581" ht="14.25" customHeight="1" s="83">
      <c r="A581" s="43" t="n"/>
      <c r="B581" s="43" t="n"/>
      <c r="C581" s="43" t="n"/>
      <c r="D581" s="32"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c r="AA581" s="43" t="n"/>
      <c r="AB581" s="43" t="n"/>
    </row>
    <row r="582" ht="14.25" customHeight="1" s="83">
      <c r="A582" s="43" t="n"/>
      <c r="B582" s="43" t="n"/>
      <c r="C582" s="43" t="n"/>
      <c r="D582" s="32"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c r="AA582" s="43" t="n"/>
      <c r="AB582" s="43" t="n"/>
    </row>
    <row r="583" ht="14.25" customHeight="1" s="83">
      <c r="A583" s="43" t="n"/>
      <c r="B583" s="43" t="n"/>
      <c r="C583" s="43" t="n"/>
      <c r="D583" s="32"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c r="AA583" s="43" t="n"/>
      <c r="AB583" s="43" t="n"/>
    </row>
    <row r="584" ht="14.25" customHeight="1" s="83">
      <c r="A584" s="43" t="n"/>
      <c r="B584" s="43" t="n"/>
      <c r="C584" s="43" t="n"/>
      <c r="D584" s="32"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c r="AA584" s="43" t="n"/>
      <c r="AB584" s="43" t="n"/>
    </row>
    <row r="585" ht="14.25" customHeight="1" s="83">
      <c r="A585" s="43" t="n"/>
      <c r="B585" s="43" t="n"/>
      <c r="C585" s="43" t="n"/>
      <c r="D585" s="32"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c r="AA585" s="43" t="n"/>
      <c r="AB585" s="43" t="n"/>
    </row>
    <row r="586" ht="14.25" customHeight="1" s="83">
      <c r="A586" s="43" t="n"/>
      <c r="B586" s="43" t="n"/>
      <c r="C586" s="43" t="n"/>
      <c r="D586" s="32"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c r="AA586" s="43" t="n"/>
      <c r="AB586" s="43" t="n"/>
    </row>
    <row r="587" ht="14.25" customHeight="1" s="83">
      <c r="A587" s="43" t="n"/>
      <c r="B587" s="43" t="n"/>
      <c r="C587" s="43" t="n"/>
      <c r="D587" s="32"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c r="AA587" s="43" t="n"/>
      <c r="AB587" s="43" t="n"/>
    </row>
    <row r="588" ht="14.25" customHeight="1" s="83">
      <c r="A588" s="43" t="n"/>
      <c r="B588" s="43" t="n"/>
      <c r="C588" s="43" t="n"/>
      <c r="D588" s="32"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c r="AA588" s="43" t="n"/>
      <c r="AB588" s="43" t="n"/>
    </row>
    <row r="589" ht="14.25" customHeight="1" s="83">
      <c r="A589" s="43" t="n"/>
      <c r="B589" s="43" t="n"/>
      <c r="C589" s="43" t="n"/>
      <c r="D589" s="32"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c r="AA589" s="43" t="n"/>
      <c r="AB589" s="43" t="n"/>
    </row>
    <row r="590" ht="14.25" customHeight="1" s="83">
      <c r="A590" s="43" t="n"/>
      <c r="B590" s="43" t="n"/>
      <c r="C590" s="43" t="n"/>
      <c r="D590" s="32"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c r="AA590" s="43" t="n"/>
      <c r="AB590" s="43" t="n"/>
    </row>
    <row r="591" ht="14.25" customHeight="1" s="83">
      <c r="A591" s="43" t="n"/>
      <c r="B591" s="43" t="n"/>
      <c r="C591" s="43" t="n"/>
      <c r="D591" s="32"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c r="AA591" s="43" t="n"/>
      <c r="AB591" s="43" t="n"/>
    </row>
    <row r="592" ht="14.25" customHeight="1" s="83">
      <c r="A592" s="43" t="n"/>
      <c r="B592" s="43" t="n"/>
      <c r="C592" s="43" t="n"/>
      <c r="D592" s="32"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c r="AA592" s="43" t="n"/>
      <c r="AB592" s="43" t="n"/>
    </row>
    <row r="593" ht="14.25" customHeight="1" s="83">
      <c r="A593" s="43" t="n"/>
      <c r="B593" s="43" t="n"/>
      <c r="C593" s="43" t="n"/>
      <c r="D593" s="32"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c r="AA593" s="43" t="n"/>
      <c r="AB593" s="43" t="n"/>
    </row>
    <row r="594" ht="14.25" customHeight="1" s="83">
      <c r="A594" s="43" t="n"/>
      <c r="B594" s="43" t="n"/>
      <c r="C594" s="43" t="n"/>
      <c r="D594" s="32"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c r="AA594" s="43" t="n"/>
      <c r="AB594" s="43" t="n"/>
    </row>
    <row r="595" ht="14.25" customHeight="1" s="83">
      <c r="A595" s="43" t="n"/>
      <c r="B595" s="43" t="n"/>
      <c r="C595" s="43" t="n"/>
      <c r="D595" s="32"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c r="AA595" s="43" t="n"/>
      <c r="AB595" s="43" t="n"/>
    </row>
    <row r="596" ht="14.25" customHeight="1" s="83">
      <c r="A596" s="43" t="n"/>
      <c r="B596" s="43" t="n"/>
      <c r="C596" s="43" t="n"/>
      <c r="D596" s="32"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c r="AA596" s="43" t="n"/>
      <c r="AB596" s="43" t="n"/>
    </row>
    <row r="597" ht="14.25" customHeight="1" s="83">
      <c r="A597" s="43" t="n"/>
      <c r="B597" s="43" t="n"/>
      <c r="C597" s="43" t="n"/>
      <c r="D597" s="32"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c r="AA597" s="43" t="n"/>
      <c r="AB597" s="43" t="n"/>
    </row>
    <row r="598" ht="14.25" customHeight="1" s="83">
      <c r="A598" s="43" t="n"/>
      <c r="B598" s="43" t="n"/>
      <c r="C598" s="43" t="n"/>
      <c r="D598" s="32"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c r="AA598" s="43" t="n"/>
      <c r="AB598" s="43" t="n"/>
    </row>
    <row r="599" ht="14.25" customHeight="1" s="83">
      <c r="A599" s="43" t="n"/>
      <c r="B599" s="43" t="n"/>
      <c r="C599" s="43" t="n"/>
      <c r="D599" s="32"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c r="AA599" s="43" t="n"/>
      <c r="AB599" s="43" t="n"/>
    </row>
    <row r="600" ht="14.25" customHeight="1" s="83">
      <c r="A600" s="43" t="n"/>
      <c r="B600" s="43" t="n"/>
      <c r="C600" s="43" t="n"/>
      <c r="D600" s="32"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c r="AA600" s="43" t="n"/>
      <c r="AB600" s="43" t="n"/>
    </row>
    <row r="601" ht="14.25" customHeight="1" s="83">
      <c r="A601" s="43" t="n"/>
      <c r="B601" s="43" t="n"/>
      <c r="C601" s="43" t="n"/>
      <c r="D601" s="32"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c r="AA601" s="43" t="n"/>
      <c r="AB601" s="43" t="n"/>
    </row>
    <row r="602" ht="14.25" customHeight="1" s="83">
      <c r="A602" s="43" t="n"/>
      <c r="B602" s="43" t="n"/>
      <c r="C602" s="43" t="n"/>
      <c r="D602" s="32"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c r="AA602" s="43" t="n"/>
      <c r="AB602" s="43" t="n"/>
    </row>
    <row r="603" ht="14.25" customHeight="1" s="83">
      <c r="A603" s="43" t="n"/>
      <c r="B603" s="43" t="n"/>
      <c r="C603" s="43" t="n"/>
      <c r="D603" s="32"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c r="AA603" s="43" t="n"/>
      <c r="AB603" s="43" t="n"/>
    </row>
    <row r="604" ht="14.25" customHeight="1" s="83">
      <c r="A604" s="43" t="n"/>
      <c r="B604" s="43" t="n"/>
      <c r="C604" s="43" t="n"/>
      <c r="D604" s="32"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c r="AA604" s="43" t="n"/>
      <c r="AB604" s="43" t="n"/>
    </row>
    <row r="605" ht="14.25" customHeight="1" s="83">
      <c r="A605" s="43" t="n"/>
      <c r="B605" s="43" t="n"/>
      <c r="C605" s="43" t="n"/>
      <c r="D605" s="32"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c r="AA605" s="43" t="n"/>
      <c r="AB605" s="43" t="n"/>
    </row>
    <row r="606" ht="14.25" customHeight="1" s="83">
      <c r="A606" s="43" t="n"/>
      <c r="B606" s="43" t="n"/>
      <c r="C606" s="43" t="n"/>
      <c r="D606" s="32"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c r="AA606" s="43" t="n"/>
      <c r="AB606" s="43" t="n"/>
    </row>
    <row r="607" ht="14.25" customHeight="1" s="83">
      <c r="A607" s="43" t="n"/>
      <c r="B607" s="43" t="n"/>
      <c r="C607" s="43" t="n"/>
      <c r="D607" s="32"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c r="AA607" s="43" t="n"/>
      <c r="AB607" s="43" t="n"/>
    </row>
    <row r="608" ht="14.25" customHeight="1" s="83">
      <c r="A608" s="43" t="n"/>
      <c r="B608" s="43" t="n"/>
      <c r="C608" s="43" t="n"/>
      <c r="D608" s="32"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c r="AA608" s="43" t="n"/>
      <c r="AB608" s="43" t="n"/>
    </row>
    <row r="609" ht="14.25" customHeight="1" s="83">
      <c r="A609" s="43" t="n"/>
      <c r="B609" s="43" t="n"/>
      <c r="C609" s="43" t="n"/>
      <c r="D609" s="32"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c r="AA609" s="43" t="n"/>
      <c r="AB609" s="43" t="n"/>
    </row>
    <row r="610" ht="14.25" customHeight="1" s="83">
      <c r="A610" s="43" t="n"/>
      <c r="B610" s="43" t="n"/>
      <c r="C610" s="43" t="n"/>
      <c r="D610" s="32"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c r="AA610" s="43" t="n"/>
      <c r="AB610" s="43" t="n"/>
    </row>
    <row r="611" ht="14.25" customHeight="1" s="83">
      <c r="A611" s="43" t="n"/>
      <c r="B611" s="43" t="n"/>
      <c r="C611" s="43" t="n"/>
      <c r="D611" s="32"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c r="AA611" s="43" t="n"/>
      <c r="AB611" s="43" t="n"/>
    </row>
    <row r="612" ht="14.25" customHeight="1" s="83">
      <c r="A612" s="43" t="n"/>
      <c r="B612" s="43" t="n"/>
      <c r="C612" s="43" t="n"/>
      <c r="D612" s="32"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c r="AA612" s="43" t="n"/>
      <c r="AB612" s="43" t="n"/>
    </row>
    <row r="613" ht="14.25" customHeight="1" s="83">
      <c r="A613" s="43" t="n"/>
      <c r="B613" s="43" t="n"/>
      <c r="C613" s="43" t="n"/>
      <c r="D613" s="32"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c r="AA613" s="43" t="n"/>
      <c r="AB613" s="43" t="n"/>
    </row>
    <row r="614" ht="14.25" customHeight="1" s="83">
      <c r="A614" s="43" t="n"/>
      <c r="B614" s="43" t="n"/>
      <c r="C614" s="43" t="n"/>
      <c r="D614" s="32"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c r="AA614" s="43" t="n"/>
      <c r="AB614" s="43" t="n"/>
    </row>
    <row r="615" ht="14.25" customHeight="1" s="83">
      <c r="A615" s="43" t="n"/>
      <c r="B615" s="43" t="n"/>
      <c r="C615" s="43" t="n"/>
      <c r="D615" s="32"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c r="AA615" s="43" t="n"/>
      <c r="AB615" s="43" t="n"/>
    </row>
    <row r="616" ht="14.25" customHeight="1" s="83">
      <c r="A616" s="43" t="n"/>
      <c r="B616" s="43" t="n"/>
      <c r="C616" s="43" t="n"/>
      <c r="D616" s="32"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c r="AA616" s="43" t="n"/>
      <c r="AB616" s="43" t="n"/>
    </row>
    <row r="617" ht="14.25" customHeight="1" s="83">
      <c r="A617" s="43" t="n"/>
      <c r="B617" s="43" t="n"/>
      <c r="C617" s="43" t="n"/>
      <c r="D617" s="32"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c r="AA617" s="43" t="n"/>
      <c r="AB617" s="43" t="n"/>
    </row>
    <row r="618" ht="14.25" customHeight="1" s="83">
      <c r="A618" s="43" t="n"/>
      <c r="B618" s="43" t="n"/>
      <c r="C618" s="43" t="n"/>
      <c r="D618" s="32"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c r="AA618" s="43" t="n"/>
      <c r="AB618" s="43" t="n"/>
    </row>
    <row r="619" ht="14.25" customHeight="1" s="83">
      <c r="A619" s="43" t="n"/>
      <c r="B619" s="43" t="n"/>
      <c r="C619" s="43" t="n"/>
      <c r="D619" s="32"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c r="AA619" s="43" t="n"/>
      <c r="AB619" s="43" t="n"/>
    </row>
    <row r="620" ht="14.25" customHeight="1" s="83">
      <c r="A620" s="43" t="n"/>
      <c r="B620" s="43" t="n"/>
      <c r="C620" s="43" t="n"/>
      <c r="D620" s="32"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c r="AA620" s="43" t="n"/>
      <c r="AB620" s="43" t="n"/>
    </row>
    <row r="621" ht="14.25" customHeight="1" s="83">
      <c r="A621" s="43" t="n"/>
      <c r="B621" s="43" t="n"/>
      <c r="C621" s="43" t="n"/>
      <c r="D621" s="32"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c r="AA621" s="43" t="n"/>
      <c r="AB621" s="43" t="n"/>
    </row>
    <row r="622" ht="14.25" customHeight="1" s="83">
      <c r="A622" s="43" t="n"/>
      <c r="B622" s="43" t="n"/>
      <c r="C622" s="43" t="n"/>
      <c r="D622" s="32"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c r="AA622" s="43" t="n"/>
      <c r="AB622" s="43" t="n"/>
    </row>
    <row r="623" ht="14.25" customHeight="1" s="83">
      <c r="A623" s="43" t="n"/>
      <c r="B623" s="43" t="n"/>
      <c r="C623" s="43" t="n"/>
      <c r="D623" s="32"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c r="AA623" s="43" t="n"/>
      <c r="AB623" s="43" t="n"/>
    </row>
    <row r="624" ht="14.25" customHeight="1" s="83">
      <c r="A624" s="43" t="n"/>
      <c r="B624" s="43" t="n"/>
      <c r="C624" s="43" t="n"/>
      <c r="D624" s="32"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c r="AA624" s="43" t="n"/>
      <c r="AB624" s="43" t="n"/>
    </row>
    <row r="625" ht="14.25" customHeight="1" s="83">
      <c r="A625" s="43" t="n"/>
      <c r="B625" s="43" t="n"/>
      <c r="C625" s="43" t="n"/>
      <c r="D625" s="32"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c r="AA625" s="43" t="n"/>
      <c r="AB625" s="43" t="n"/>
    </row>
    <row r="626" ht="14.25" customHeight="1" s="83">
      <c r="A626" s="43" t="n"/>
      <c r="B626" s="43" t="n"/>
      <c r="C626" s="43" t="n"/>
      <c r="D626" s="32"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c r="AA626" s="43" t="n"/>
      <c r="AB626" s="43" t="n"/>
    </row>
    <row r="627" ht="14.25" customHeight="1" s="83">
      <c r="A627" s="43" t="n"/>
      <c r="B627" s="43" t="n"/>
      <c r="C627" s="43" t="n"/>
      <c r="D627" s="32"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c r="AA627" s="43" t="n"/>
      <c r="AB627" s="43" t="n"/>
    </row>
    <row r="628" ht="14.25" customHeight="1" s="83">
      <c r="A628" s="43" t="n"/>
      <c r="B628" s="43" t="n"/>
      <c r="C628" s="43" t="n"/>
      <c r="D628" s="32"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c r="AA628" s="43" t="n"/>
      <c r="AB628" s="43" t="n"/>
    </row>
    <row r="629" ht="14.25" customHeight="1" s="83">
      <c r="A629" s="43" t="n"/>
      <c r="B629" s="43" t="n"/>
      <c r="C629" s="43" t="n"/>
      <c r="D629" s="32"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c r="AA629" s="43" t="n"/>
      <c r="AB629" s="43" t="n"/>
    </row>
    <row r="630" ht="14.25" customHeight="1" s="83">
      <c r="A630" s="43" t="n"/>
      <c r="B630" s="43" t="n"/>
      <c r="C630" s="43" t="n"/>
      <c r="D630" s="32"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c r="AA630" s="43" t="n"/>
      <c r="AB630" s="43" t="n"/>
    </row>
    <row r="631" ht="14.25" customHeight="1" s="83">
      <c r="A631" s="43" t="n"/>
      <c r="B631" s="43" t="n"/>
      <c r="C631" s="43" t="n"/>
      <c r="D631" s="32"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c r="AA631" s="43" t="n"/>
      <c r="AB631" s="43" t="n"/>
    </row>
    <row r="632" ht="14.25" customHeight="1" s="83">
      <c r="A632" s="43" t="n"/>
      <c r="B632" s="43" t="n"/>
      <c r="C632" s="43" t="n"/>
      <c r="D632" s="32"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c r="AA632" s="43" t="n"/>
      <c r="AB632" s="43" t="n"/>
    </row>
    <row r="633" ht="14.25" customHeight="1" s="83">
      <c r="A633" s="43" t="n"/>
      <c r="B633" s="43" t="n"/>
      <c r="C633" s="43" t="n"/>
      <c r="D633" s="32"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c r="AA633" s="43" t="n"/>
      <c r="AB633" s="43" t="n"/>
    </row>
    <row r="634" ht="14.25" customHeight="1" s="83">
      <c r="A634" s="43" t="n"/>
      <c r="B634" s="43" t="n"/>
      <c r="C634" s="43" t="n"/>
      <c r="D634" s="32"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c r="AA634" s="43" t="n"/>
      <c r="AB634" s="43" t="n"/>
    </row>
    <row r="635" ht="14.25" customHeight="1" s="83">
      <c r="A635" s="43" t="n"/>
      <c r="B635" s="43" t="n"/>
      <c r="C635" s="43" t="n"/>
      <c r="D635" s="32"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c r="AA635" s="43" t="n"/>
      <c r="AB635" s="43" t="n"/>
    </row>
    <row r="636" ht="14.25" customHeight="1" s="83">
      <c r="A636" s="43" t="n"/>
      <c r="B636" s="43" t="n"/>
      <c r="C636" s="43" t="n"/>
      <c r="D636" s="32"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c r="AA636" s="43" t="n"/>
      <c r="AB636" s="43" t="n"/>
    </row>
    <row r="637" ht="14.25" customHeight="1" s="83">
      <c r="A637" s="43" t="n"/>
      <c r="B637" s="43" t="n"/>
      <c r="C637" s="43" t="n"/>
      <c r="D637" s="32"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c r="AA637" s="43" t="n"/>
      <c r="AB637" s="43" t="n"/>
    </row>
    <row r="638" ht="14.25" customHeight="1" s="83">
      <c r="A638" s="43" t="n"/>
      <c r="B638" s="43" t="n"/>
      <c r="C638" s="43" t="n"/>
      <c r="D638" s="32"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c r="AA638" s="43" t="n"/>
      <c r="AB638" s="43" t="n"/>
    </row>
    <row r="639" ht="14.25" customHeight="1" s="83">
      <c r="A639" s="43" t="n"/>
      <c r="B639" s="43" t="n"/>
      <c r="C639" s="43" t="n"/>
      <c r="D639" s="32"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c r="AA639" s="43" t="n"/>
      <c r="AB639" s="43" t="n"/>
    </row>
    <row r="640" ht="14.25" customHeight="1" s="83">
      <c r="A640" s="43" t="n"/>
      <c r="B640" s="43" t="n"/>
      <c r="C640" s="43" t="n"/>
      <c r="D640" s="32"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c r="AA640" s="43" t="n"/>
      <c r="AB640" s="43" t="n"/>
    </row>
    <row r="641" ht="14.25" customHeight="1" s="83">
      <c r="A641" s="43" t="n"/>
      <c r="B641" s="43" t="n"/>
      <c r="C641" s="43" t="n"/>
      <c r="D641" s="32"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c r="AA641" s="43" t="n"/>
      <c r="AB641" s="43" t="n"/>
    </row>
    <row r="642" ht="14.25" customHeight="1" s="83">
      <c r="A642" s="43" t="n"/>
      <c r="B642" s="43" t="n"/>
      <c r="C642" s="43" t="n"/>
      <c r="D642" s="32"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c r="AA642" s="43" t="n"/>
      <c r="AB642" s="43" t="n"/>
    </row>
    <row r="643" ht="14.25" customHeight="1" s="83">
      <c r="A643" s="43" t="n"/>
      <c r="B643" s="43" t="n"/>
      <c r="C643" s="43" t="n"/>
      <c r="D643" s="32"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c r="AA643" s="43" t="n"/>
      <c r="AB643" s="43" t="n"/>
    </row>
    <row r="644" ht="14.25" customHeight="1" s="83">
      <c r="A644" s="43" t="n"/>
      <c r="B644" s="43" t="n"/>
      <c r="C644" s="43" t="n"/>
      <c r="D644" s="32"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c r="AA644" s="43" t="n"/>
      <c r="AB644" s="43" t="n"/>
    </row>
    <row r="645" ht="14.25" customHeight="1" s="83">
      <c r="A645" s="43" t="n"/>
      <c r="B645" s="43" t="n"/>
      <c r="C645" s="43" t="n"/>
      <c r="D645" s="32"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c r="AA645" s="43" t="n"/>
      <c r="AB645" s="43" t="n"/>
    </row>
    <row r="646" ht="14.25" customHeight="1" s="83">
      <c r="A646" s="43" t="n"/>
      <c r="B646" s="43" t="n"/>
      <c r="C646" s="43" t="n"/>
      <c r="D646" s="32"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c r="AA646" s="43" t="n"/>
      <c r="AB646" s="43" t="n"/>
    </row>
    <row r="647" ht="14.25" customHeight="1" s="83">
      <c r="A647" s="43" t="n"/>
      <c r="B647" s="43" t="n"/>
      <c r="C647" s="43" t="n"/>
      <c r="D647" s="32"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c r="AA647" s="43" t="n"/>
      <c r="AB647" s="43" t="n"/>
    </row>
    <row r="648" ht="14.25" customHeight="1" s="83">
      <c r="A648" s="43" t="n"/>
      <c r="B648" s="43" t="n"/>
      <c r="C648" s="43" t="n"/>
      <c r="D648" s="32"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c r="AA648" s="43" t="n"/>
      <c r="AB648" s="43" t="n"/>
    </row>
    <row r="649" ht="14.25" customHeight="1" s="83">
      <c r="A649" s="43" t="n"/>
      <c r="B649" s="43" t="n"/>
      <c r="C649" s="43" t="n"/>
      <c r="D649" s="32"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c r="AA649" s="43" t="n"/>
      <c r="AB649" s="43" t="n"/>
    </row>
    <row r="650" ht="14.25" customHeight="1" s="83">
      <c r="A650" s="43" t="n"/>
      <c r="B650" s="43" t="n"/>
      <c r="C650" s="43" t="n"/>
      <c r="D650" s="32"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c r="AA650" s="43" t="n"/>
      <c r="AB650" s="43" t="n"/>
    </row>
    <row r="651" ht="14.25" customHeight="1" s="83">
      <c r="A651" s="43" t="n"/>
      <c r="B651" s="43" t="n"/>
      <c r="C651" s="43" t="n"/>
      <c r="D651" s="32"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c r="AA651" s="43" t="n"/>
      <c r="AB651" s="43" t="n"/>
    </row>
    <row r="652" ht="14.25" customHeight="1" s="83">
      <c r="A652" s="43" t="n"/>
      <c r="B652" s="43" t="n"/>
      <c r="C652" s="43" t="n"/>
      <c r="D652" s="32"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c r="AA652" s="43" t="n"/>
      <c r="AB652" s="43" t="n"/>
    </row>
    <row r="653" ht="14.25" customHeight="1" s="83">
      <c r="A653" s="43" t="n"/>
      <c r="B653" s="43" t="n"/>
      <c r="C653" s="43" t="n"/>
      <c r="D653" s="32"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c r="AA653" s="43" t="n"/>
      <c r="AB653" s="43" t="n"/>
    </row>
    <row r="654" ht="14.25" customHeight="1" s="83">
      <c r="A654" s="43" t="n"/>
      <c r="B654" s="43" t="n"/>
      <c r="C654" s="43" t="n"/>
      <c r="D654" s="32"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c r="AA654" s="43" t="n"/>
      <c r="AB654" s="43" t="n"/>
    </row>
    <row r="655" ht="14.25" customHeight="1" s="83">
      <c r="A655" s="43" t="n"/>
      <c r="B655" s="43" t="n"/>
      <c r="C655" s="43" t="n"/>
      <c r="D655" s="32"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c r="AA655" s="43" t="n"/>
      <c r="AB655" s="43" t="n"/>
    </row>
    <row r="656" ht="14.25" customHeight="1" s="83">
      <c r="A656" s="43" t="n"/>
      <c r="B656" s="43" t="n"/>
      <c r="C656" s="43" t="n"/>
      <c r="D656" s="32"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c r="AA656" s="43" t="n"/>
      <c r="AB656" s="43" t="n"/>
    </row>
    <row r="657" ht="14.25" customHeight="1" s="83">
      <c r="A657" s="43" t="n"/>
      <c r="B657" s="43" t="n"/>
      <c r="C657" s="43" t="n"/>
      <c r="D657" s="32"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c r="AA657" s="43" t="n"/>
      <c r="AB657" s="43" t="n"/>
    </row>
    <row r="658" ht="14.25" customHeight="1" s="83">
      <c r="A658" s="43" t="n"/>
      <c r="B658" s="43" t="n"/>
      <c r="C658" s="43" t="n"/>
      <c r="D658" s="32"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c r="AA658" s="43" t="n"/>
      <c r="AB658" s="43" t="n"/>
    </row>
    <row r="659" ht="14.25" customHeight="1" s="83">
      <c r="A659" s="43" t="n"/>
      <c r="B659" s="43" t="n"/>
      <c r="C659" s="43" t="n"/>
      <c r="D659" s="32"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c r="AA659" s="43" t="n"/>
      <c r="AB659" s="43" t="n"/>
    </row>
    <row r="660" ht="14.25" customHeight="1" s="83">
      <c r="A660" s="43" t="n"/>
      <c r="B660" s="43" t="n"/>
      <c r="C660" s="43" t="n"/>
      <c r="D660" s="32"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c r="AA660" s="43" t="n"/>
      <c r="AB660" s="43" t="n"/>
    </row>
    <row r="661" ht="14.25" customHeight="1" s="83">
      <c r="A661" s="43" t="n"/>
      <c r="B661" s="43" t="n"/>
      <c r="C661" s="43" t="n"/>
      <c r="D661" s="32"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c r="AA661" s="43" t="n"/>
      <c r="AB661" s="43" t="n"/>
    </row>
    <row r="662" ht="14.25" customHeight="1" s="83">
      <c r="A662" s="43" t="n"/>
      <c r="B662" s="43" t="n"/>
      <c r="C662" s="43" t="n"/>
      <c r="D662" s="32"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c r="AA662" s="43" t="n"/>
      <c r="AB662" s="43" t="n"/>
    </row>
    <row r="663" ht="14.25" customHeight="1" s="83">
      <c r="A663" s="43" t="n"/>
      <c r="B663" s="43" t="n"/>
      <c r="C663" s="43" t="n"/>
      <c r="D663" s="32"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c r="AA663" s="43" t="n"/>
      <c r="AB663" s="43" t="n"/>
    </row>
    <row r="664" ht="14.25" customHeight="1" s="83">
      <c r="A664" s="43" t="n"/>
      <c r="B664" s="43" t="n"/>
      <c r="C664" s="43" t="n"/>
      <c r="D664" s="32"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c r="AA664" s="43" t="n"/>
      <c r="AB664" s="43" t="n"/>
    </row>
    <row r="665" ht="14.25" customHeight="1" s="83">
      <c r="A665" s="43" t="n"/>
      <c r="B665" s="43" t="n"/>
      <c r="C665" s="43" t="n"/>
      <c r="D665" s="32"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c r="AA665" s="43" t="n"/>
      <c r="AB665" s="43" t="n"/>
    </row>
    <row r="666" ht="14.25" customHeight="1" s="83">
      <c r="A666" s="43" t="n"/>
      <c r="B666" s="43" t="n"/>
      <c r="C666" s="43" t="n"/>
      <c r="D666" s="32"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c r="AA666" s="43" t="n"/>
      <c r="AB666" s="43" t="n"/>
    </row>
    <row r="667" ht="14.25" customHeight="1" s="83">
      <c r="A667" s="43" t="n"/>
      <c r="B667" s="43" t="n"/>
      <c r="C667" s="43" t="n"/>
      <c r="D667" s="32"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c r="AA667" s="43" t="n"/>
      <c r="AB667" s="43" t="n"/>
    </row>
    <row r="668" ht="14.25" customHeight="1" s="83">
      <c r="A668" s="43" t="n"/>
      <c r="B668" s="43" t="n"/>
      <c r="C668" s="43" t="n"/>
      <c r="D668" s="32"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c r="AA668" s="43" t="n"/>
      <c r="AB668" s="43" t="n"/>
    </row>
    <row r="669" ht="14.25" customHeight="1" s="83">
      <c r="A669" s="43" t="n"/>
      <c r="B669" s="43" t="n"/>
      <c r="C669" s="43" t="n"/>
      <c r="D669" s="32"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c r="AA669" s="43" t="n"/>
      <c r="AB669" s="43" t="n"/>
    </row>
    <row r="670" ht="14.25" customHeight="1" s="83">
      <c r="A670" s="43" t="n"/>
      <c r="B670" s="43" t="n"/>
      <c r="C670" s="43" t="n"/>
      <c r="D670" s="32"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c r="AA670" s="43" t="n"/>
      <c r="AB670" s="43" t="n"/>
    </row>
    <row r="671" ht="14.25" customHeight="1" s="83">
      <c r="A671" s="43" t="n"/>
      <c r="B671" s="43" t="n"/>
      <c r="C671" s="43" t="n"/>
      <c r="D671" s="32"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c r="AA671" s="43" t="n"/>
      <c r="AB671" s="43" t="n"/>
    </row>
    <row r="672" ht="14.25" customHeight="1" s="83">
      <c r="A672" s="43" t="n"/>
      <c r="B672" s="43" t="n"/>
      <c r="C672" s="43" t="n"/>
      <c r="D672" s="32"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c r="AA672" s="43" t="n"/>
      <c r="AB672" s="43" t="n"/>
    </row>
    <row r="673" ht="14.25" customHeight="1" s="83">
      <c r="A673" s="43" t="n"/>
      <c r="B673" s="43" t="n"/>
      <c r="C673" s="43" t="n"/>
      <c r="D673" s="32"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c r="AA673" s="43" t="n"/>
      <c r="AB673" s="43" t="n"/>
    </row>
    <row r="674" ht="14.25" customHeight="1" s="83">
      <c r="A674" s="43" t="n"/>
      <c r="B674" s="43" t="n"/>
      <c r="C674" s="43" t="n"/>
      <c r="D674" s="32"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c r="AA674" s="43" t="n"/>
      <c r="AB674" s="43" t="n"/>
    </row>
    <row r="675" ht="14.25" customHeight="1" s="83">
      <c r="A675" s="43" t="n"/>
      <c r="B675" s="43" t="n"/>
      <c r="C675" s="43" t="n"/>
      <c r="D675" s="32"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c r="AA675" s="43" t="n"/>
      <c r="AB675" s="43" t="n"/>
    </row>
    <row r="676" ht="14.25" customHeight="1" s="83">
      <c r="A676" s="43" t="n"/>
      <c r="B676" s="43" t="n"/>
      <c r="C676" s="43" t="n"/>
      <c r="D676" s="32"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c r="AA676" s="43" t="n"/>
      <c r="AB676" s="43" t="n"/>
    </row>
    <row r="677" ht="14.25" customHeight="1" s="83">
      <c r="A677" s="43" t="n"/>
      <c r="B677" s="43" t="n"/>
      <c r="C677" s="43" t="n"/>
      <c r="D677" s="32"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c r="AA677" s="43" t="n"/>
      <c r="AB677" s="43" t="n"/>
    </row>
    <row r="678" ht="14.25" customHeight="1" s="83">
      <c r="A678" s="43" t="n"/>
      <c r="B678" s="43" t="n"/>
      <c r="C678" s="43" t="n"/>
      <c r="D678" s="32"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c r="AA678" s="43" t="n"/>
      <c r="AB678" s="43" t="n"/>
    </row>
    <row r="679" ht="14.25" customHeight="1" s="83">
      <c r="A679" s="43" t="n"/>
      <c r="B679" s="43" t="n"/>
      <c r="C679" s="43" t="n"/>
      <c r="D679" s="32"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c r="AA679" s="43" t="n"/>
      <c r="AB679" s="43" t="n"/>
    </row>
    <row r="680" ht="14.25" customHeight="1" s="83">
      <c r="A680" s="43" t="n"/>
      <c r="B680" s="43" t="n"/>
      <c r="C680" s="43" t="n"/>
      <c r="D680" s="32"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c r="AA680" s="43" t="n"/>
      <c r="AB680" s="43" t="n"/>
    </row>
    <row r="681" ht="14.25" customHeight="1" s="83">
      <c r="A681" s="43" t="n"/>
      <c r="B681" s="43" t="n"/>
      <c r="C681" s="43" t="n"/>
      <c r="D681" s="32"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c r="AA681" s="43" t="n"/>
      <c r="AB681" s="43" t="n"/>
    </row>
    <row r="682" ht="14.25" customHeight="1" s="83">
      <c r="A682" s="43" t="n"/>
      <c r="B682" s="43" t="n"/>
      <c r="C682" s="43" t="n"/>
      <c r="D682" s="32"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c r="AA682" s="43" t="n"/>
      <c r="AB682" s="43" t="n"/>
    </row>
    <row r="683" ht="14.25" customHeight="1" s="83">
      <c r="A683" s="43" t="n"/>
      <c r="B683" s="43" t="n"/>
      <c r="C683" s="43" t="n"/>
      <c r="D683" s="32"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c r="AA683" s="43" t="n"/>
      <c r="AB683" s="43" t="n"/>
    </row>
    <row r="684" ht="14.25" customHeight="1" s="83">
      <c r="A684" s="43" t="n"/>
      <c r="B684" s="43" t="n"/>
      <c r="C684" s="43" t="n"/>
      <c r="D684" s="32"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c r="AA684" s="43" t="n"/>
      <c r="AB684" s="43" t="n"/>
    </row>
    <row r="685" ht="14.25" customHeight="1" s="83">
      <c r="A685" s="43" t="n"/>
      <c r="B685" s="43" t="n"/>
      <c r="C685" s="43" t="n"/>
      <c r="D685" s="32"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c r="AA685" s="43" t="n"/>
      <c r="AB685" s="43" t="n"/>
    </row>
    <row r="686" ht="14.25" customHeight="1" s="83">
      <c r="A686" s="43" t="n"/>
      <c r="B686" s="43" t="n"/>
      <c r="C686" s="43" t="n"/>
      <c r="D686" s="32"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c r="AA686" s="43" t="n"/>
      <c r="AB686" s="43" t="n"/>
    </row>
    <row r="687" ht="14.25" customHeight="1" s="83">
      <c r="A687" s="43" t="n"/>
      <c r="B687" s="43" t="n"/>
      <c r="C687" s="43" t="n"/>
      <c r="D687" s="32"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c r="AA687" s="43" t="n"/>
      <c r="AB687" s="43" t="n"/>
    </row>
    <row r="688" ht="14.25" customHeight="1" s="83">
      <c r="A688" s="43" t="n"/>
      <c r="B688" s="43" t="n"/>
      <c r="C688" s="43" t="n"/>
      <c r="D688" s="32"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c r="AA688" s="43" t="n"/>
      <c r="AB688" s="43" t="n"/>
    </row>
    <row r="689" ht="14.25" customHeight="1" s="83">
      <c r="A689" s="43" t="n"/>
      <c r="B689" s="43" t="n"/>
      <c r="C689" s="43" t="n"/>
      <c r="D689" s="32"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c r="AA689" s="43" t="n"/>
      <c r="AB689" s="43" t="n"/>
    </row>
    <row r="690" ht="14.25" customHeight="1" s="83">
      <c r="A690" s="43" t="n"/>
      <c r="B690" s="43" t="n"/>
      <c r="C690" s="43" t="n"/>
      <c r="D690" s="32"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c r="AA690" s="43" t="n"/>
      <c r="AB690" s="43" t="n"/>
    </row>
    <row r="691" ht="14.25" customHeight="1" s="83">
      <c r="A691" s="43" t="n"/>
      <c r="B691" s="43" t="n"/>
      <c r="C691" s="43" t="n"/>
      <c r="D691" s="32"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c r="AA691" s="43" t="n"/>
      <c r="AB691" s="43" t="n"/>
    </row>
    <row r="692" ht="14.25" customHeight="1" s="83">
      <c r="A692" s="43" t="n"/>
      <c r="B692" s="43" t="n"/>
      <c r="C692" s="43" t="n"/>
      <c r="D692" s="32"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c r="AA692" s="43" t="n"/>
      <c r="AB692" s="43" t="n"/>
    </row>
    <row r="693" ht="14.25" customHeight="1" s="83">
      <c r="A693" s="43" t="n"/>
      <c r="B693" s="43" t="n"/>
      <c r="C693" s="43" t="n"/>
      <c r="D693" s="32"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c r="AA693" s="43" t="n"/>
      <c r="AB693" s="43" t="n"/>
    </row>
    <row r="694" ht="14.25" customHeight="1" s="83">
      <c r="A694" s="43" t="n"/>
      <c r="B694" s="43" t="n"/>
      <c r="C694" s="43" t="n"/>
      <c r="D694" s="32"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c r="AA694" s="43" t="n"/>
      <c r="AB694" s="43" t="n"/>
    </row>
    <row r="695" ht="14.25" customHeight="1" s="83">
      <c r="A695" s="43" t="n"/>
      <c r="B695" s="43" t="n"/>
      <c r="C695" s="43" t="n"/>
      <c r="D695" s="32"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c r="AA695" s="43" t="n"/>
      <c r="AB695" s="43" t="n"/>
    </row>
    <row r="696" ht="14.25" customHeight="1" s="83">
      <c r="A696" s="43" t="n"/>
      <c r="B696" s="43" t="n"/>
      <c r="C696" s="43" t="n"/>
      <c r="D696" s="32"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c r="AA696" s="43" t="n"/>
      <c r="AB696" s="43" t="n"/>
    </row>
    <row r="697" ht="14.25" customHeight="1" s="83">
      <c r="A697" s="43" t="n"/>
      <c r="B697" s="43" t="n"/>
      <c r="C697" s="43" t="n"/>
      <c r="D697" s="32"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c r="AA697" s="43" t="n"/>
      <c r="AB697" s="43" t="n"/>
    </row>
    <row r="698" ht="14.25" customHeight="1" s="83">
      <c r="A698" s="43" t="n"/>
      <c r="B698" s="43" t="n"/>
      <c r="C698" s="43" t="n"/>
      <c r="D698" s="32"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c r="AA698" s="43" t="n"/>
      <c r="AB698" s="43" t="n"/>
    </row>
    <row r="699" ht="14.25" customHeight="1" s="83">
      <c r="A699" s="43" t="n"/>
      <c r="B699" s="43" t="n"/>
      <c r="C699" s="43" t="n"/>
      <c r="D699" s="32"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c r="AA699" s="43" t="n"/>
      <c r="AB699" s="43" t="n"/>
    </row>
    <row r="700" ht="14.25" customHeight="1" s="83">
      <c r="A700" s="43" t="n"/>
      <c r="B700" s="43" t="n"/>
      <c r="C700" s="43" t="n"/>
      <c r="D700" s="32"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c r="AA700" s="43" t="n"/>
      <c r="AB700" s="43" t="n"/>
    </row>
    <row r="701" ht="14.25" customHeight="1" s="83">
      <c r="A701" s="43" t="n"/>
      <c r="B701" s="43" t="n"/>
      <c r="C701" s="43" t="n"/>
      <c r="D701" s="32"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c r="AA701" s="43" t="n"/>
      <c r="AB701" s="43" t="n"/>
    </row>
    <row r="702" ht="14.25" customHeight="1" s="83">
      <c r="A702" s="43" t="n"/>
      <c r="B702" s="43" t="n"/>
      <c r="C702" s="43" t="n"/>
      <c r="D702" s="32"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c r="AA702" s="43" t="n"/>
      <c r="AB702" s="43" t="n"/>
    </row>
    <row r="703" ht="14.25" customHeight="1" s="83">
      <c r="A703" s="43" t="n"/>
      <c r="B703" s="43" t="n"/>
      <c r="C703" s="43" t="n"/>
      <c r="D703" s="32"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c r="AA703" s="43" t="n"/>
      <c r="AB703" s="43" t="n"/>
    </row>
    <row r="704" ht="14.25" customHeight="1" s="83">
      <c r="A704" s="43" t="n"/>
      <c r="B704" s="43" t="n"/>
      <c r="C704" s="43" t="n"/>
      <c r="D704" s="32"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c r="AA704" s="43" t="n"/>
      <c r="AB704" s="43" t="n"/>
    </row>
    <row r="705" ht="14.25" customHeight="1" s="83">
      <c r="A705" s="43" t="n"/>
      <c r="B705" s="43" t="n"/>
      <c r="C705" s="43" t="n"/>
      <c r="D705" s="32"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c r="AA705" s="43" t="n"/>
      <c r="AB705" s="43" t="n"/>
    </row>
    <row r="706" ht="14.25" customHeight="1" s="83">
      <c r="A706" s="43" t="n"/>
      <c r="B706" s="43" t="n"/>
      <c r="C706" s="43" t="n"/>
      <c r="D706" s="32"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c r="AA706" s="43" t="n"/>
      <c r="AB706" s="43" t="n"/>
    </row>
    <row r="707" ht="14.25" customHeight="1" s="83">
      <c r="A707" s="43" t="n"/>
      <c r="B707" s="43" t="n"/>
      <c r="C707" s="43" t="n"/>
      <c r="D707" s="32"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c r="AA707" s="43" t="n"/>
      <c r="AB707" s="43" t="n"/>
    </row>
    <row r="708" ht="14.25" customHeight="1" s="83">
      <c r="A708" s="43" t="n"/>
      <c r="B708" s="43" t="n"/>
      <c r="C708" s="43" t="n"/>
      <c r="D708" s="32"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c r="AA708" s="43" t="n"/>
      <c r="AB708" s="43" t="n"/>
    </row>
    <row r="709" ht="14.25" customHeight="1" s="83">
      <c r="A709" s="43" t="n"/>
      <c r="B709" s="43" t="n"/>
      <c r="C709" s="43" t="n"/>
      <c r="D709" s="32"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c r="AA709" s="43" t="n"/>
      <c r="AB709" s="43" t="n"/>
    </row>
    <row r="710" ht="14.25" customHeight="1" s="83">
      <c r="A710" s="43" t="n"/>
      <c r="B710" s="43" t="n"/>
      <c r="C710" s="43" t="n"/>
      <c r="D710" s="32"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c r="AA710" s="43" t="n"/>
      <c r="AB710" s="43" t="n"/>
    </row>
    <row r="711" ht="14.25" customHeight="1" s="83">
      <c r="A711" s="43" t="n"/>
      <c r="B711" s="43" t="n"/>
      <c r="C711" s="43" t="n"/>
      <c r="D711" s="32"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c r="AA711" s="43" t="n"/>
      <c r="AB711" s="43" t="n"/>
    </row>
    <row r="712" ht="14.25" customHeight="1" s="83">
      <c r="A712" s="43" t="n"/>
      <c r="B712" s="43" t="n"/>
      <c r="C712" s="43" t="n"/>
      <c r="D712" s="32"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c r="AA712" s="43" t="n"/>
      <c r="AB712" s="43" t="n"/>
    </row>
    <row r="713" ht="14.25" customHeight="1" s="83">
      <c r="A713" s="43" t="n"/>
      <c r="B713" s="43" t="n"/>
      <c r="C713" s="43" t="n"/>
      <c r="D713" s="32"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c r="AA713" s="43" t="n"/>
      <c r="AB713" s="43" t="n"/>
    </row>
    <row r="714" ht="14.25" customHeight="1" s="83">
      <c r="A714" s="43" t="n"/>
      <c r="B714" s="43" t="n"/>
      <c r="C714" s="43" t="n"/>
      <c r="D714" s="32"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c r="AA714" s="43" t="n"/>
      <c r="AB714" s="43" t="n"/>
    </row>
    <row r="715" ht="14.25" customHeight="1" s="83">
      <c r="A715" s="43" t="n"/>
      <c r="B715" s="43" t="n"/>
      <c r="C715" s="43" t="n"/>
      <c r="D715" s="32"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c r="AA715" s="43" t="n"/>
      <c r="AB715" s="43" t="n"/>
    </row>
    <row r="716" ht="14.25" customHeight="1" s="83">
      <c r="A716" s="43" t="n"/>
      <c r="B716" s="43" t="n"/>
      <c r="C716" s="43" t="n"/>
      <c r="D716" s="32"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c r="AA716" s="43" t="n"/>
      <c r="AB716" s="43" t="n"/>
    </row>
    <row r="717" ht="14.25" customHeight="1" s="83">
      <c r="A717" s="43" t="n"/>
      <c r="B717" s="43" t="n"/>
      <c r="C717" s="43" t="n"/>
      <c r="D717" s="32"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c r="AA717" s="43" t="n"/>
      <c r="AB717" s="43" t="n"/>
    </row>
    <row r="718" ht="14.25" customHeight="1" s="83">
      <c r="A718" s="43" t="n"/>
      <c r="B718" s="43" t="n"/>
      <c r="C718" s="43" t="n"/>
      <c r="D718" s="32"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c r="AA718" s="43" t="n"/>
      <c r="AB718" s="43" t="n"/>
    </row>
    <row r="719" ht="14.25" customHeight="1" s="83">
      <c r="A719" s="43" t="n"/>
      <c r="B719" s="43" t="n"/>
      <c r="C719" s="43" t="n"/>
      <c r="D719" s="32"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c r="AA719" s="43" t="n"/>
      <c r="AB719" s="43" t="n"/>
    </row>
    <row r="720" ht="14.25" customHeight="1" s="83">
      <c r="A720" s="43" t="n"/>
      <c r="B720" s="43" t="n"/>
      <c r="C720" s="43" t="n"/>
      <c r="D720" s="32"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c r="AA720" s="43" t="n"/>
      <c r="AB720" s="43" t="n"/>
    </row>
    <row r="721" ht="14.25" customHeight="1" s="83">
      <c r="A721" s="43" t="n"/>
      <c r="B721" s="43" t="n"/>
      <c r="C721" s="43" t="n"/>
      <c r="D721" s="32"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c r="AA721" s="43" t="n"/>
      <c r="AB721" s="43" t="n"/>
    </row>
    <row r="722" ht="14.25" customHeight="1" s="83">
      <c r="A722" s="43" t="n"/>
      <c r="B722" s="43" t="n"/>
      <c r="C722" s="43" t="n"/>
      <c r="D722" s="32"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c r="AA722" s="43" t="n"/>
      <c r="AB722" s="43" t="n"/>
    </row>
    <row r="723" ht="14.25" customHeight="1" s="83">
      <c r="A723" s="43" t="n"/>
      <c r="B723" s="43" t="n"/>
      <c r="C723" s="43" t="n"/>
      <c r="D723" s="32"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c r="AA723" s="43" t="n"/>
      <c r="AB723" s="43" t="n"/>
    </row>
    <row r="724" ht="14.25" customHeight="1" s="83">
      <c r="A724" s="43" t="n"/>
      <c r="B724" s="43" t="n"/>
      <c r="C724" s="43" t="n"/>
      <c r="D724" s="32"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c r="AA724" s="43" t="n"/>
      <c r="AB724" s="43" t="n"/>
    </row>
    <row r="725" ht="14.25" customHeight="1" s="83">
      <c r="A725" s="43" t="n"/>
      <c r="B725" s="43" t="n"/>
      <c r="C725" s="43" t="n"/>
      <c r="D725" s="32"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c r="AA725" s="43" t="n"/>
      <c r="AB725" s="43" t="n"/>
    </row>
    <row r="726" ht="14.25" customHeight="1" s="83">
      <c r="A726" s="43" t="n"/>
      <c r="B726" s="43" t="n"/>
      <c r="C726" s="43" t="n"/>
      <c r="D726" s="32"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c r="AA726" s="43" t="n"/>
      <c r="AB726" s="43" t="n"/>
    </row>
    <row r="727" ht="14.25" customHeight="1" s="83">
      <c r="A727" s="43" t="n"/>
      <c r="B727" s="43" t="n"/>
      <c r="C727" s="43" t="n"/>
      <c r="D727" s="32"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c r="AA727" s="43" t="n"/>
      <c r="AB727" s="43" t="n"/>
    </row>
    <row r="728" ht="14.25" customHeight="1" s="83">
      <c r="A728" s="43" t="n"/>
      <c r="B728" s="43" t="n"/>
      <c r="C728" s="43" t="n"/>
      <c r="D728" s="32"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c r="AA728" s="43" t="n"/>
      <c r="AB728" s="43" t="n"/>
    </row>
    <row r="729" ht="14.25" customHeight="1" s="83">
      <c r="A729" s="43" t="n"/>
      <c r="B729" s="43" t="n"/>
      <c r="C729" s="43" t="n"/>
      <c r="D729" s="32"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c r="AA729" s="43" t="n"/>
      <c r="AB729" s="43" t="n"/>
    </row>
    <row r="730" ht="14.25" customHeight="1" s="83">
      <c r="A730" s="43" t="n"/>
      <c r="B730" s="43" t="n"/>
      <c r="C730" s="43" t="n"/>
      <c r="D730" s="32"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c r="AA730" s="43" t="n"/>
      <c r="AB730" s="43" t="n"/>
    </row>
    <row r="731" ht="14.25" customHeight="1" s="83">
      <c r="A731" s="43" t="n"/>
      <c r="B731" s="43" t="n"/>
      <c r="C731" s="43" t="n"/>
      <c r="D731" s="32"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c r="AA731" s="43" t="n"/>
      <c r="AB731" s="43" t="n"/>
    </row>
    <row r="732" ht="14.25" customHeight="1" s="83">
      <c r="A732" s="43" t="n"/>
      <c r="B732" s="43" t="n"/>
      <c r="C732" s="43" t="n"/>
      <c r="D732" s="32"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c r="AA732" s="43" t="n"/>
      <c r="AB732" s="43" t="n"/>
    </row>
    <row r="733" ht="14.25" customHeight="1" s="83">
      <c r="A733" s="43" t="n"/>
      <c r="B733" s="43" t="n"/>
      <c r="C733" s="43" t="n"/>
      <c r="D733" s="32"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c r="AA733" s="43" t="n"/>
      <c r="AB733" s="43" t="n"/>
    </row>
    <row r="734" ht="14.25" customHeight="1" s="83">
      <c r="A734" s="43" t="n"/>
      <c r="B734" s="43" t="n"/>
      <c r="C734" s="43" t="n"/>
      <c r="D734" s="32"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c r="AA734" s="43" t="n"/>
      <c r="AB734" s="43" t="n"/>
    </row>
    <row r="735" ht="14.25" customHeight="1" s="83">
      <c r="A735" s="43" t="n"/>
      <c r="B735" s="43" t="n"/>
      <c r="C735" s="43" t="n"/>
      <c r="D735" s="32"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c r="AA735" s="43" t="n"/>
      <c r="AB735" s="43" t="n"/>
    </row>
    <row r="736" ht="14.25" customHeight="1" s="83">
      <c r="A736" s="43" t="n"/>
      <c r="B736" s="43" t="n"/>
      <c r="C736" s="43" t="n"/>
      <c r="D736" s="32"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c r="AA736" s="43" t="n"/>
      <c r="AB736" s="43" t="n"/>
    </row>
    <row r="737" ht="14.25" customHeight="1" s="83">
      <c r="A737" s="43" t="n"/>
      <c r="B737" s="43" t="n"/>
      <c r="C737" s="43" t="n"/>
      <c r="D737" s="32"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c r="AA737" s="43" t="n"/>
      <c r="AB737" s="43" t="n"/>
    </row>
    <row r="738" ht="14.25" customHeight="1" s="83">
      <c r="A738" s="43" t="n"/>
      <c r="B738" s="43" t="n"/>
      <c r="C738" s="43" t="n"/>
      <c r="D738" s="32"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c r="AA738" s="43" t="n"/>
      <c r="AB738" s="43" t="n"/>
    </row>
    <row r="739" ht="14.25" customHeight="1" s="83">
      <c r="A739" s="43" t="n"/>
      <c r="B739" s="43" t="n"/>
      <c r="C739" s="43" t="n"/>
      <c r="D739" s="32"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c r="AA739" s="43" t="n"/>
      <c r="AB739" s="43" t="n"/>
    </row>
    <row r="740" ht="14.25" customHeight="1" s="83">
      <c r="A740" s="43" t="n"/>
      <c r="B740" s="43" t="n"/>
      <c r="C740" s="43" t="n"/>
      <c r="D740" s="32"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c r="AA740" s="43" t="n"/>
      <c r="AB740" s="43" t="n"/>
    </row>
    <row r="741" ht="14.25" customHeight="1" s="83">
      <c r="A741" s="43" t="n"/>
      <c r="B741" s="43" t="n"/>
      <c r="C741" s="43" t="n"/>
      <c r="D741" s="32"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c r="AA741" s="43" t="n"/>
      <c r="AB741" s="43" t="n"/>
    </row>
    <row r="742" ht="14.25" customHeight="1" s="83">
      <c r="A742" s="43" t="n"/>
      <c r="B742" s="43" t="n"/>
      <c r="C742" s="43" t="n"/>
      <c r="D742" s="32"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c r="AA742" s="43" t="n"/>
      <c r="AB742" s="43" t="n"/>
    </row>
    <row r="743" ht="14.25" customHeight="1" s="83">
      <c r="A743" s="43" t="n"/>
      <c r="B743" s="43" t="n"/>
      <c r="C743" s="43" t="n"/>
      <c r="D743" s="32"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c r="AA743" s="43" t="n"/>
      <c r="AB743" s="43" t="n"/>
    </row>
    <row r="744" ht="14.25" customHeight="1" s="83">
      <c r="A744" s="43" t="n"/>
      <c r="B744" s="43" t="n"/>
      <c r="C744" s="43" t="n"/>
      <c r="D744" s="32"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c r="AA744" s="43" t="n"/>
      <c r="AB744" s="43" t="n"/>
    </row>
    <row r="745" ht="14.25" customHeight="1" s="83">
      <c r="A745" s="43" t="n"/>
      <c r="B745" s="43" t="n"/>
      <c r="C745" s="43" t="n"/>
      <c r="D745" s="32"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c r="AA745" s="43" t="n"/>
      <c r="AB745" s="43" t="n"/>
    </row>
    <row r="746" ht="14.25" customHeight="1" s="83">
      <c r="A746" s="43" t="n"/>
      <c r="B746" s="43" t="n"/>
      <c r="C746" s="43" t="n"/>
      <c r="D746" s="32"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c r="AA746" s="43" t="n"/>
      <c r="AB746" s="43" t="n"/>
    </row>
    <row r="747" ht="14.25" customHeight="1" s="83">
      <c r="A747" s="43" t="n"/>
      <c r="B747" s="43" t="n"/>
      <c r="C747" s="43" t="n"/>
      <c r="D747" s="32"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c r="AA747" s="43" t="n"/>
      <c r="AB747" s="43" t="n"/>
    </row>
    <row r="748" ht="14.25" customHeight="1" s="83">
      <c r="A748" s="43" t="n"/>
      <c r="B748" s="43" t="n"/>
      <c r="C748" s="43" t="n"/>
      <c r="D748" s="32"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c r="AA748" s="43" t="n"/>
      <c r="AB748" s="43" t="n"/>
    </row>
    <row r="749" ht="14.25" customHeight="1" s="83">
      <c r="A749" s="43" t="n"/>
      <c r="B749" s="43" t="n"/>
      <c r="C749" s="43" t="n"/>
      <c r="D749" s="32"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c r="AA749" s="43" t="n"/>
      <c r="AB749" s="43" t="n"/>
    </row>
    <row r="750" ht="14.25" customHeight="1" s="83">
      <c r="A750" s="43" t="n"/>
      <c r="B750" s="43" t="n"/>
      <c r="C750" s="43" t="n"/>
      <c r="D750" s="32"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c r="AA750" s="43" t="n"/>
      <c r="AB750" s="43" t="n"/>
    </row>
    <row r="751" ht="14.25" customHeight="1" s="83">
      <c r="A751" s="43" t="n"/>
      <c r="B751" s="43" t="n"/>
      <c r="C751" s="43" t="n"/>
      <c r="D751" s="32"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c r="AA751" s="43" t="n"/>
      <c r="AB751" s="43" t="n"/>
    </row>
    <row r="752" ht="14.25" customHeight="1" s="83">
      <c r="A752" s="43" t="n"/>
      <c r="B752" s="43" t="n"/>
      <c r="C752" s="43" t="n"/>
      <c r="D752" s="32"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c r="AA752" s="43" t="n"/>
      <c r="AB752" s="43" t="n"/>
    </row>
    <row r="753" ht="14.25" customHeight="1" s="83">
      <c r="A753" s="43" t="n"/>
      <c r="B753" s="43" t="n"/>
      <c r="C753" s="43" t="n"/>
      <c r="D753" s="32"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c r="AA753" s="43" t="n"/>
      <c r="AB753" s="43" t="n"/>
    </row>
    <row r="754" ht="14.25" customHeight="1" s="83">
      <c r="A754" s="43" t="n"/>
      <c r="B754" s="43" t="n"/>
      <c r="C754" s="43" t="n"/>
      <c r="D754" s="32"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c r="AA754" s="43" t="n"/>
      <c r="AB754" s="43" t="n"/>
    </row>
    <row r="755" ht="14.25" customHeight="1" s="83">
      <c r="A755" s="43" t="n"/>
      <c r="B755" s="43" t="n"/>
      <c r="C755" s="43" t="n"/>
      <c r="D755" s="32"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c r="AA755" s="43" t="n"/>
      <c r="AB755" s="43" t="n"/>
    </row>
    <row r="756" ht="14.25" customHeight="1" s="83">
      <c r="A756" s="43" t="n"/>
      <c r="B756" s="43" t="n"/>
      <c r="C756" s="43" t="n"/>
      <c r="D756" s="32"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c r="AA756" s="43" t="n"/>
      <c r="AB756" s="43" t="n"/>
    </row>
    <row r="757" ht="14.25" customHeight="1" s="83">
      <c r="A757" s="43" t="n"/>
      <c r="B757" s="43" t="n"/>
      <c r="C757" s="43" t="n"/>
      <c r="D757" s="32"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c r="AA757" s="43" t="n"/>
      <c r="AB757" s="43" t="n"/>
    </row>
    <row r="758" ht="14.25" customHeight="1" s="83">
      <c r="A758" s="43" t="n"/>
      <c r="B758" s="43" t="n"/>
      <c r="C758" s="43" t="n"/>
      <c r="D758" s="32"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c r="AA758" s="43" t="n"/>
      <c r="AB758" s="43" t="n"/>
    </row>
    <row r="759" ht="14.25" customHeight="1" s="83">
      <c r="A759" s="43" t="n"/>
      <c r="B759" s="43" t="n"/>
      <c r="C759" s="43" t="n"/>
      <c r="D759" s="32"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c r="AA759" s="43" t="n"/>
      <c r="AB759" s="43" t="n"/>
    </row>
    <row r="760" ht="14.25" customHeight="1" s="83">
      <c r="A760" s="43" t="n"/>
      <c r="B760" s="43" t="n"/>
      <c r="C760" s="43" t="n"/>
      <c r="D760" s="32"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c r="AA760" s="43" t="n"/>
      <c r="AB760" s="43" t="n"/>
    </row>
    <row r="761" ht="14.25" customHeight="1" s="83">
      <c r="A761" s="43" t="n"/>
      <c r="B761" s="43" t="n"/>
      <c r="C761" s="43" t="n"/>
      <c r="D761" s="32"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c r="AA761" s="43" t="n"/>
      <c r="AB761" s="43" t="n"/>
    </row>
    <row r="762" ht="14.25" customHeight="1" s="83">
      <c r="A762" s="43" t="n"/>
      <c r="B762" s="43" t="n"/>
      <c r="C762" s="43" t="n"/>
      <c r="D762" s="32"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c r="AA762" s="43" t="n"/>
      <c r="AB762" s="43" t="n"/>
    </row>
    <row r="763" ht="14.25" customHeight="1" s="83">
      <c r="A763" s="43" t="n"/>
      <c r="B763" s="43" t="n"/>
      <c r="C763" s="43" t="n"/>
      <c r="D763" s="32"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c r="AA763" s="43" t="n"/>
      <c r="AB763" s="43" t="n"/>
    </row>
    <row r="764" ht="14.25" customHeight="1" s="83">
      <c r="A764" s="43" t="n"/>
      <c r="B764" s="43" t="n"/>
      <c r="C764" s="43" t="n"/>
      <c r="D764" s="32"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c r="AA764" s="43" t="n"/>
      <c r="AB764" s="43" t="n"/>
    </row>
    <row r="765" ht="14.25" customHeight="1" s="83">
      <c r="A765" s="43" t="n"/>
      <c r="B765" s="43" t="n"/>
      <c r="C765" s="43" t="n"/>
      <c r="D765" s="32"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c r="AA765" s="43" t="n"/>
      <c r="AB765" s="43" t="n"/>
    </row>
    <row r="766" ht="14.25" customHeight="1" s="83">
      <c r="A766" s="43" t="n"/>
      <c r="B766" s="43" t="n"/>
      <c r="C766" s="43" t="n"/>
      <c r="D766" s="32"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c r="AA766" s="43" t="n"/>
      <c r="AB766" s="43" t="n"/>
    </row>
    <row r="767" ht="14.25" customHeight="1" s="83">
      <c r="A767" s="43" t="n"/>
      <c r="B767" s="43" t="n"/>
      <c r="C767" s="43" t="n"/>
      <c r="D767" s="32"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c r="AA767" s="43" t="n"/>
      <c r="AB767" s="43" t="n"/>
    </row>
    <row r="768" ht="14.25" customHeight="1" s="83">
      <c r="A768" s="43" t="n"/>
      <c r="B768" s="43" t="n"/>
      <c r="C768" s="43" t="n"/>
      <c r="D768" s="32"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c r="AA768" s="43" t="n"/>
      <c r="AB768" s="43" t="n"/>
    </row>
    <row r="769" ht="14.25" customHeight="1" s="83">
      <c r="A769" s="43" t="n"/>
      <c r="B769" s="43" t="n"/>
      <c r="C769" s="43" t="n"/>
      <c r="D769" s="32"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c r="AA769" s="43" t="n"/>
      <c r="AB769" s="43" t="n"/>
    </row>
    <row r="770" ht="14.25" customHeight="1" s="83">
      <c r="A770" s="43" t="n"/>
      <c r="B770" s="43" t="n"/>
      <c r="C770" s="43" t="n"/>
      <c r="D770" s="32"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c r="AA770" s="43" t="n"/>
      <c r="AB770" s="43" t="n"/>
    </row>
    <row r="771" ht="14.25" customHeight="1" s="83">
      <c r="A771" s="43" t="n"/>
      <c r="B771" s="43" t="n"/>
      <c r="C771" s="43" t="n"/>
      <c r="D771" s="32"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c r="AA771" s="43" t="n"/>
      <c r="AB771" s="43" t="n"/>
    </row>
    <row r="772" ht="14.25" customHeight="1" s="83">
      <c r="A772" s="43" t="n"/>
      <c r="B772" s="43" t="n"/>
      <c r="C772" s="43" t="n"/>
      <c r="D772" s="32"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c r="AA772" s="43" t="n"/>
      <c r="AB772" s="43" t="n"/>
    </row>
    <row r="773" ht="14.25" customHeight="1" s="83">
      <c r="A773" s="43" t="n"/>
      <c r="B773" s="43" t="n"/>
      <c r="C773" s="43" t="n"/>
      <c r="D773" s="32"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c r="AA773" s="43" t="n"/>
      <c r="AB773" s="43" t="n"/>
    </row>
    <row r="774" ht="14.25" customHeight="1" s="83">
      <c r="A774" s="43" t="n"/>
      <c r="B774" s="43" t="n"/>
      <c r="C774" s="43" t="n"/>
      <c r="D774" s="32"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c r="AA774" s="43" t="n"/>
      <c r="AB774" s="43" t="n"/>
    </row>
    <row r="775" ht="14.25" customHeight="1" s="83">
      <c r="A775" s="43" t="n"/>
      <c r="B775" s="43" t="n"/>
      <c r="C775" s="43" t="n"/>
      <c r="D775" s="32"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c r="AA775" s="43" t="n"/>
      <c r="AB775" s="43" t="n"/>
    </row>
    <row r="776" ht="14.25" customHeight="1" s="83">
      <c r="A776" s="43" t="n"/>
      <c r="B776" s="43" t="n"/>
      <c r="C776" s="43" t="n"/>
      <c r="D776" s="32"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c r="AA776" s="43" t="n"/>
      <c r="AB776" s="43" t="n"/>
    </row>
    <row r="777" ht="14.25" customHeight="1" s="83">
      <c r="A777" s="43" t="n"/>
      <c r="B777" s="43" t="n"/>
      <c r="C777" s="43" t="n"/>
      <c r="D777" s="32"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c r="AA777" s="43" t="n"/>
      <c r="AB777" s="43" t="n"/>
    </row>
    <row r="778" ht="14.25" customHeight="1" s="83">
      <c r="A778" s="43" t="n"/>
      <c r="B778" s="43" t="n"/>
      <c r="C778" s="43" t="n"/>
      <c r="D778" s="32"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c r="AA778" s="43" t="n"/>
      <c r="AB778" s="43" t="n"/>
    </row>
    <row r="779" ht="14.25" customHeight="1" s="83">
      <c r="A779" s="43" t="n"/>
      <c r="B779" s="43" t="n"/>
      <c r="C779" s="43" t="n"/>
      <c r="D779" s="32"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c r="AA779" s="43" t="n"/>
      <c r="AB779" s="43" t="n"/>
    </row>
    <row r="780" ht="14.25" customHeight="1" s="83">
      <c r="A780" s="43" t="n"/>
      <c r="B780" s="43" t="n"/>
      <c r="C780" s="43" t="n"/>
      <c r="D780" s="32"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c r="AA780" s="43" t="n"/>
      <c r="AB780" s="43" t="n"/>
    </row>
    <row r="781" ht="14.25" customHeight="1" s="83">
      <c r="A781" s="43" t="n"/>
      <c r="B781" s="43" t="n"/>
      <c r="C781" s="43" t="n"/>
      <c r="D781" s="32"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c r="AA781" s="43" t="n"/>
      <c r="AB781" s="43" t="n"/>
    </row>
    <row r="782" ht="14.25" customHeight="1" s="83">
      <c r="A782" s="43" t="n"/>
      <c r="B782" s="43" t="n"/>
      <c r="C782" s="43" t="n"/>
      <c r="D782" s="32"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c r="AA782" s="43" t="n"/>
      <c r="AB782" s="43" t="n"/>
    </row>
    <row r="783" ht="14.25" customHeight="1" s="83">
      <c r="A783" s="43" t="n"/>
      <c r="B783" s="43" t="n"/>
      <c r="C783" s="43" t="n"/>
      <c r="D783" s="32"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c r="AA783" s="43" t="n"/>
      <c r="AB783" s="43" t="n"/>
    </row>
    <row r="784" ht="14.25" customHeight="1" s="83">
      <c r="A784" s="43" t="n"/>
      <c r="B784" s="43" t="n"/>
      <c r="C784" s="43" t="n"/>
      <c r="D784" s="32"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c r="AA784" s="43" t="n"/>
      <c r="AB784" s="43" t="n"/>
    </row>
    <row r="785" ht="14.25" customHeight="1" s="83">
      <c r="A785" s="43" t="n"/>
      <c r="B785" s="43" t="n"/>
      <c r="C785" s="43" t="n"/>
      <c r="D785" s="32"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c r="AA785" s="43" t="n"/>
      <c r="AB785" s="43" t="n"/>
    </row>
    <row r="786" ht="14.25" customHeight="1" s="83">
      <c r="A786" s="43" t="n"/>
      <c r="B786" s="43" t="n"/>
      <c r="C786" s="43" t="n"/>
      <c r="D786" s="32"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c r="AA786" s="43" t="n"/>
      <c r="AB786" s="43" t="n"/>
    </row>
    <row r="787" ht="14.25" customHeight="1" s="83">
      <c r="A787" s="43" t="n"/>
      <c r="B787" s="43" t="n"/>
      <c r="C787" s="43" t="n"/>
      <c r="D787" s="32"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c r="AA787" s="43" t="n"/>
      <c r="AB787" s="43" t="n"/>
    </row>
    <row r="788" ht="14.25" customHeight="1" s="83">
      <c r="A788" s="43" t="n"/>
      <c r="B788" s="43" t="n"/>
      <c r="C788" s="43" t="n"/>
      <c r="D788" s="32"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c r="AA788" s="43" t="n"/>
      <c r="AB788" s="43" t="n"/>
    </row>
    <row r="789" ht="14.25" customHeight="1" s="83">
      <c r="A789" s="43" t="n"/>
      <c r="B789" s="43" t="n"/>
      <c r="C789" s="43" t="n"/>
      <c r="D789" s="32"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c r="AA789" s="43" t="n"/>
      <c r="AB789" s="43" t="n"/>
    </row>
    <row r="790" ht="14.25" customHeight="1" s="83">
      <c r="A790" s="43" t="n"/>
      <c r="B790" s="43" t="n"/>
      <c r="C790" s="43" t="n"/>
      <c r="D790" s="32"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c r="AA790" s="43" t="n"/>
      <c r="AB790" s="43" t="n"/>
    </row>
    <row r="791" ht="14.25" customHeight="1" s="83">
      <c r="A791" s="43" t="n"/>
      <c r="B791" s="43" t="n"/>
      <c r="C791" s="43" t="n"/>
      <c r="D791" s="32"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c r="AA791" s="43" t="n"/>
      <c r="AB791" s="43" t="n"/>
    </row>
    <row r="792" ht="14.25" customHeight="1" s="83">
      <c r="A792" s="43" t="n"/>
      <c r="B792" s="43" t="n"/>
      <c r="C792" s="43" t="n"/>
      <c r="D792" s="32"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c r="AA792" s="43" t="n"/>
      <c r="AB792" s="43" t="n"/>
    </row>
    <row r="793" ht="14.25" customHeight="1" s="83">
      <c r="A793" s="43" t="n"/>
      <c r="B793" s="43" t="n"/>
      <c r="C793" s="43" t="n"/>
      <c r="D793" s="32"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c r="AA793" s="43" t="n"/>
      <c r="AB793" s="43" t="n"/>
    </row>
    <row r="794" ht="14.25" customHeight="1" s="83">
      <c r="A794" s="43" t="n"/>
      <c r="B794" s="43" t="n"/>
      <c r="C794" s="43" t="n"/>
      <c r="D794" s="32"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c r="AA794" s="43" t="n"/>
      <c r="AB794" s="43" t="n"/>
    </row>
    <row r="795" ht="14.25" customHeight="1" s="83">
      <c r="A795" s="43" t="n"/>
      <c r="B795" s="43" t="n"/>
      <c r="C795" s="43" t="n"/>
      <c r="D795" s="32"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c r="AA795" s="43" t="n"/>
      <c r="AB795" s="43" t="n"/>
    </row>
    <row r="796" ht="14.25" customHeight="1" s="83">
      <c r="A796" s="43" t="n"/>
      <c r="B796" s="43" t="n"/>
      <c r="C796" s="43" t="n"/>
      <c r="D796" s="32"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c r="AA796" s="43" t="n"/>
      <c r="AB796" s="43" t="n"/>
    </row>
    <row r="797" ht="14.25" customHeight="1" s="83">
      <c r="A797" s="43" t="n"/>
      <c r="B797" s="43" t="n"/>
      <c r="C797" s="43" t="n"/>
      <c r="D797" s="32"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c r="AA797" s="43" t="n"/>
      <c r="AB797" s="43" t="n"/>
    </row>
    <row r="798" ht="14.25" customHeight="1" s="83">
      <c r="A798" s="43" t="n"/>
      <c r="B798" s="43" t="n"/>
      <c r="C798" s="43" t="n"/>
      <c r="D798" s="32"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c r="AA798" s="43" t="n"/>
      <c r="AB798" s="43" t="n"/>
    </row>
    <row r="799" ht="14.25" customHeight="1" s="83">
      <c r="A799" s="43" t="n"/>
      <c r="B799" s="43" t="n"/>
      <c r="C799" s="43" t="n"/>
      <c r="D799" s="32"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c r="AA799" s="43" t="n"/>
      <c r="AB799" s="43" t="n"/>
    </row>
    <row r="800" ht="14.25" customHeight="1" s="83">
      <c r="A800" s="43" t="n"/>
      <c r="B800" s="43" t="n"/>
      <c r="C800" s="43" t="n"/>
      <c r="D800" s="32"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c r="AA800" s="43" t="n"/>
      <c r="AB800" s="43" t="n"/>
    </row>
    <row r="801" ht="14.25" customHeight="1" s="83">
      <c r="A801" s="43" t="n"/>
      <c r="B801" s="43" t="n"/>
      <c r="C801" s="43" t="n"/>
      <c r="D801" s="32"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c r="AA801" s="43" t="n"/>
      <c r="AB801" s="43" t="n"/>
    </row>
    <row r="802" ht="14.25" customHeight="1" s="83">
      <c r="A802" s="43" t="n"/>
      <c r="B802" s="43" t="n"/>
      <c r="C802" s="43" t="n"/>
      <c r="D802" s="32"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c r="AA802" s="43" t="n"/>
      <c r="AB802" s="43" t="n"/>
    </row>
    <row r="803" ht="14.25" customHeight="1" s="83">
      <c r="A803" s="43" t="n"/>
      <c r="B803" s="43" t="n"/>
      <c r="C803" s="43" t="n"/>
      <c r="D803" s="32"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c r="AA803" s="43" t="n"/>
      <c r="AB803" s="43" t="n"/>
    </row>
    <row r="804" ht="14.25" customHeight="1" s="83">
      <c r="A804" s="43" t="n"/>
      <c r="B804" s="43" t="n"/>
      <c r="C804" s="43" t="n"/>
      <c r="D804" s="32"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c r="AA804" s="43" t="n"/>
      <c r="AB804" s="43" t="n"/>
    </row>
    <row r="805" ht="14.25" customHeight="1" s="83">
      <c r="A805" s="43" t="n"/>
      <c r="B805" s="43" t="n"/>
      <c r="C805" s="43" t="n"/>
      <c r="D805" s="32"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c r="AA805" s="43" t="n"/>
      <c r="AB805" s="43" t="n"/>
    </row>
    <row r="806" ht="14.25" customHeight="1" s="83">
      <c r="A806" s="43" t="n"/>
      <c r="B806" s="43" t="n"/>
      <c r="C806" s="43" t="n"/>
      <c r="D806" s="32"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c r="AA806" s="43" t="n"/>
      <c r="AB806" s="43" t="n"/>
    </row>
    <row r="807" ht="14.25" customHeight="1" s="83">
      <c r="A807" s="43" t="n"/>
      <c r="B807" s="43" t="n"/>
      <c r="C807" s="43" t="n"/>
      <c r="D807" s="32"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c r="AA807" s="43" t="n"/>
      <c r="AB807" s="43" t="n"/>
    </row>
    <row r="808" ht="14.25" customHeight="1" s="83">
      <c r="A808" s="43" t="n"/>
      <c r="B808" s="43" t="n"/>
      <c r="C808" s="43" t="n"/>
      <c r="D808" s="32"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c r="AA808" s="43" t="n"/>
      <c r="AB808" s="43" t="n"/>
    </row>
    <row r="809" ht="14.25" customHeight="1" s="83">
      <c r="A809" s="43" t="n"/>
      <c r="B809" s="43" t="n"/>
      <c r="C809" s="43" t="n"/>
      <c r="D809" s="32"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c r="AA809" s="43" t="n"/>
      <c r="AB809" s="43" t="n"/>
    </row>
    <row r="810" ht="14.25" customHeight="1" s="83">
      <c r="A810" s="43" t="n"/>
      <c r="B810" s="43" t="n"/>
      <c r="C810" s="43" t="n"/>
      <c r="D810" s="32"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c r="AA810" s="43" t="n"/>
      <c r="AB810" s="43" t="n"/>
    </row>
    <row r="811" ht="14.25" customHeight="1" s="83">
      <c r="A811" s="43" t="n"/>
      <c r="B811" s="43" t="n"/>
      <c r="C811" s="43" t="n"/>
      <c r="D811" s="32"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c r="AA811" s="43" t="n"/>
      <c r="AB811" s="43" t="n"/>
    </row>
    <row r="812" ht="14.25" customHeight="1" s="83">
      <c r="A812" s="43" t="n"/>
      <c r="B812" s="43" t="n"/>
      <c r="C812" s="43" t="n"/>
      <c r="D812" s="32"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c r="AA812" s="43" t="n"/>
      <c r="AB812" s="43" t="n"/>
    </row>
    <row r="813" ht="14.25" customHeight="1" s="83">
      <c r="A813" s="43" t="n"/>
      <c r="B813" s="43" t="n"/>
      <c r="C813" s="43" t="n"/>
      <c r="D813" s="32"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c r="AA813" s="43" t="n"/>
      <c r="AB813" s="43" t="n"/>
    </row>
    <row r="814" ht="14.25" customHeight="1" s="83">
      <c r="A814" s="43" t="n"/>
      <c r="B814" s="43" t="n"/>
      <c r="C814" s="43" t="n"/>
      <c r="D814" s="32"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c r="AA814" s="43" t="n"/>
      <c r="AB814" s="43" t="n"/>
    </row>
    <row r="815" ht="14.25" customHeight="1" s="83">
      <c r="A815" s="43" t="n"/>
      <c r="B815" s="43" t="n"/>
      <c r="C815" s="43" t="n"/>
      <c r="D815" s="32"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c r="AA815" s="43" t="n"/>
      <c r="AB815" s="43" t="n"/>
    </row>
    <row r="816" ht="14.25" customHeight="1" s="83">
      <c r="A816" s="43" t="n"/>
      <c r="B816" s="43" t="n"/>
      <c r="C816" s="43" t="n"/>
      <c r="D816" s="32"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c r="AA816" s="43" t="n"/>
      <c r="AB816" s="43" t="n"/>
    </row>
    <row r="817" ht="14.25" customHeight="1" s="83">
      <c r="A817" s="43" t="n"/>
      <c r="B817" s="43" t="n"/>
      <c r="C817" s="43" t="n"/>
      <c r="D817" s="32"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c r="AA817" s="43" t="n"/>
      <c r="AB817" s="43" t="n"/>
    </row>
    <row r="818" ht="14.25" customHeight="1" s="83">
      <c r="A818" s="43" t="n"/>
      <c r="B818" s="43" t="n"/>
      <c r="C818" s="43" t="n"/>
      <c r="D818" s="32"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c r="AA818" s="43" t="n"/>
      <c r="AB818" s="43" t="n"/>
    </row>
    <row r="819" ht="14.25" customHeight="1" s="83">
      <c r="A819" s="43" t="n"/>
      <c r="B819" s="43" t="n"/>
      <c r="C819" s="43" t="n"/>
      <c r="D819" s="32"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c r="AA819" s="43" t="n"/>
      <c r="AB819" s="43" t="n"/>
    </row>
    <row r="820" ht="14.25" customHeight="1" s="83">
      <c r="A820" s="43" t="n"/>
      <c r="B820" s="43" t="n"/>
      <c r="C820" s="43" t="n"/>
      <c r="D820" s="32"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c r="AA820" s="43" t="n"/>
      <c r="AB820" s="43" t="n"/>
    </row>
    <row r="821" ht="14.25" customHeight="1" s="83">
      <c r="A821" s="43" t="n"/>
      <c r="B821" s="43" t="n"/>
      <c r="C821" s="43" t="n"/>
      <c r="D821" s="32"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c r="AA821" s="43" t="n"/>
      <c r="AB821" s="43" t="n"/>
    </row>
    <row r="822" ht="14.25" customHeight="1" s="83">
      <c r="A822" s="43" t="n"/>
      <c r="B822" s="43" t="n"/>
      <c r="C822" s="43" t="n"/>
      <c r="D822" s="32"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c r="AA822" s="43" t="n"/>
      <c r="AB822" s="43" t="n"/>
    </row>
    <row r="823" ht="14.25" customHeight="1" s="83">
      <c r="A823" s="43" t="n"/>
      <c r="B823" s="43" t="n"/>
      <c r="C823" s="43" t="n"/>
      <c r="D823" s="32"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c r="AA823" s="43" t="n"/>
      <c r="AB823" s="43" t="n"/>
    </row>
    <row r="824" ht="14.25" customHeight="1" s="83">
      <c r="A824" s="43" t="n"/>
      <c r="B824" s="43" t="n"/>
      <c r="C824" s="43" t="n"/>
      <c r="D824" s="32"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c r="AA824" s="43" t="n"/>
      <c r="AB824" s="43" t="n"/>
    </row>
    <row r="825" ht="14.25" customHeight="1" s="83">
      <c r="A825" s="43" t="n"/>
      <c r="B825" s="43" t="n"/>
      <c r="C825" s="43" t="n"/>
      <c r="D825" s="32"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c r="AA825" s="43" t="n"/>
      <c r="AB825" s="43" t="n"/>
    </row>
    <row r="826" ht="14.25" customHeight="1" s="83">
      <c r="A826" s="43" t="n"/>
      <c r="B826" s="43" t="n"/>
      <c r="C826" s="43" t="n"/>
      <c r="D826" s="32"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c r="AA826" s="43" t="n"/>
      <c r="AB826" s="43" t="n"/>
    </row>
    <row r="827" ht="14.25" customHeight="1" s="83">
      <c r="A827" s="43" t="n"/>
      <c r="B827" s="43" t="n"/>
      <c r="C827" s="43" t="n"/>
      <c r="D827" s="32"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c r="AA827" s="43" t="n"/>
      <c r="AB827" s="43" t="n"/>
    </row>
    <row r="828" ht="14.25" customHeight="1" s="83">
      <c r="A828" s="43" t="n"/>
      <c r="B828" s="43" t="n"/>
      <c r="C828" s="43" t="n"/>
      <c r="D828" s="32"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c r="AA828" s="43" t="n"/>
      <c r="AB828" s="43" t="n"/>
    </row>
    <row r="829" ht="14.25" customHeight="1" s="83">
      <c r="A829" s="43" t="n"/>
      <c r="B829" s="43" t="n"/>
      <c r="C829" s="43" t="n"/>
      <c r="D829" s="32"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c r="AA829" s="43" t="n"/>
      <c r="AB829" s="43" t="n"/>
    </row>
    <row r="830" ht="14.25" customHeight="1" s="83">
      <c r="A830" s="43" t="n"/>
      <c r="B830" s="43" t="n"/>
      <c r="C830" s="43" t="n"/>
      <c r="D830" s="32"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c r="AA830" s="43" t="n"/>
      <c r="AB830" s="43" t="n"/>
    </row>
    <row r="831" ht="14.25" customHeight="1" s="83">
      <c r="A831" s="43" t="n"/>
      <c r="B831" s="43" t="n"/>
      <c r="C831" s="43" t="n"/>
      <c r="D831" s="32"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c r="AA831" s="43" t="n"/>
      <c r="AB831" s="43" t="n"/>
    </row>
    <row r="832" ht="14.25" customHeight="1" s="83">
      <c r="A832" s="43" t="n"/>
      <c r="B832" s="43" t="n"/>
      <c r="C832" s="43" t="n"/>
      <c r="D832" s="32"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c r="AA832" s="43" t="n"/>
      <c r="AB832" s="43" t="n"/>
    </row>
    <row r="833" ht="14.25" customHeight="1" s="83">
      <c r="A833" s="43" t="n"/>
      <c r="B833" s="43" t="n"/>
      <c r="C833" s="43" t="n"/>
      <c r="D833" s="32"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c r="AA833" s="43" t="n"/>
      <c r="AB833" s="43" t="n"/>
    </row>
    <row r="834" ht="14.25" customHeight="1" s="83">
      <c r="A834" s="43" t="n"/>
      <c r="B834" s="43" t="n"/>
      <c r="C834" s="43" t="n"/>
      <c r="D834" s="32"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c r="AA834" s="43" t="n"/>
      <c r="AB834" s="43" t="n"/>
    </row>
    <row r="835" ht="14.25" customHeight="1" s="83">
      <c r="A835" s="43" t="n"/>
      <c r="B835" s="43" t="n"/>
      <c r="C835" s="43" t="n"/>
      <c r="D835" s="32"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c r="AA835" s="43" t="n"/>
      <c r="AB835" s="43" t="n"/>
    </row>
    <row r="836" ht="14.25" customHeight="1" s="83">
      <c r="A836" s="43" t="n"/>
      <c r="B836" s="43" t="n"/>
      <c r="C836" s="43" t="n"/>
      <c r="D836" s="32"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c r="AA836" s="43" t="n"/>
      <c r="AB836" s="43" t="n"/>
    </row>
    <row r="837" ht="14.25" customHeight="1" s="83">
      <c r="A837" s="43" t="n"/>
      <c r="B837" s="43" t="n"/>
      <c r="C837" s="43" t="n"/>
      <c r="D837" s="32"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c r="AA837" s="43" t="n"/>
      <c r="AB837" s="43" t="n"/>
    </row>
    <row r="838" ht="14.25" customHeight="1" s="83">
      <c r="A838" s="43" t="n"/>
      <c r="B838" s="43" t="n"/>
      <c r="C838" s="43" t="n"/>
      <c r="D838" s="32"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c r="AA838" s="43" t="n"/>
      <c r="AB838" s="43" t="n"/>
    </row>
    <row r="839" ht="14.25" customHeight="1" s="83">
      <c r="A839" s="43" t="n"/>
      <c r="B839" s="43" t="n"/>
      <c r="C839" s="43" t="n"/>
      <c r="D839" s="32"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c r="AA839" s="43" t="n"/>
      <c r="AB839" s="43" t="n"/>
    </row>
    <row r="840" ht="14.25" customHeight="1" s="83">
      <c r="A840" s="43" t="n"/>
      <c r="B840" s="43" t="n"/>
      <c r="C840" s="43" t="n"/>
      <c r="D840" s="32"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c r="AA840" s="43" t="n"/>
      <c r="AB840" s="43" t="n"/>
    </row>
    <row r="841" ht="14.25" customHeight="1" s="83">
      <c r="A841" s="43" t="n"/>
      <c r="B841" s="43" t="n"/>
      <c r="C841" s="43" t="n"/>
      <c r="D841" s="32"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c r="AA841" s="43" t="n"/>
      <c r="AB841" s="43" t="n"/>
    </row>
    <row r="842" ht="14.25" customHeight="1" s="83">
      <c r="A842" s="43" t="n"/>
      <c r="B842" s="43" t="n"/>
      <c r="C842" s="43" t="n"/>
      <c r="D842" s="32"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c r="AA842" s="43" t="n"/>
      <c r="AB842" s="43" t="n"/>
    </row>
    <row r="843" ht="14.25" customHeight="1" s="83">
      <c r="A843" s="43" t="n"/>
      <c r="B843" s="43" t="n"/>
      <c r="C843" s="43" t="n"/>
      <c r="D843" s="32"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c r="AA843" s="43" t="n"/>
      <c r="AB843" s="43" t="n"/>
    </row>
    <row r="844" ht="14.25" customHeight="1" s="83">
      <c r="A844" s="43" t="n"/>
      <c r="B844" s="43" t="n"/>
      <c r="C844" s="43" t="n"/>
      <c r="D844" s="32"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c r="AA844" s="43" t="n"/>
      <c r="AB844" s="43" t="n"/>
    </row>
    <row r="845" ht="14.25" customHeight="1" s="83">
      <c r="A845" s="43" t="n"/>
      <c r="B845" s="43" t="n"/>
      <c r="C845" s="43" t="n"/>
      <c r="D845" s="32"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c r="AA845" s="43" t="n"/>
      <c r="AB845" s="43" t="n"/>
    </row>
    <row r="846" ht="14.25" customHeight="1" s="83">
      <c r="A846" s="43" t="n"/>
      <c r="B846" s="43" t="n"/>
      <c r="C846" s="43" t="n"/>
      <c r="D846" s="32"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c r="AA846" s="43" t="n"/>
      <c r="AB846" s="43" t="n"/>
    </row>
    <row r="847" ht="14.25" customHeight="1" s="83">
      <c r="A847" s="43" t="n"/>
      <c r="B847" s="43" t="n"/>
      <c r="C847" s="43" t="n"/>
      <c r="D847" s="32"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c r="AA847" s="43" t="n"/>
      <c r="AB847" s="43" t="n"/>
    </row>
    <row r="848" ht="14.25" customHeight="1" s="83">
      <c r="A848" s="43" t="n"/>
      <c r="B848" s="43" t="n"/>
      <c r="C848" s="43" t="n"/>
      <c r="D848" s="32"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c r="AA848" s="43" t="n"/>
      <c r="AB848" s="43" t="n"/>
    </row>
    <row r="849" ht="14.25" customHeight="1" s="83">
      <c r="A849" s="43" t="n"/>
      <c r="B849" s="43" t="n"/>
      <c r="C849" s="43" t="n"/>
      <c r="D849" s="32"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c r="AA849" s="43" t="n"/>
      <c r="AB849" s="43" t="n"/>
    </row>
    <row r="850" ht="14.25" customHeight="1" s="83">
      <c r="A850" s="43" t="n"/>
      <c r="B850" s="43" t="n"/>
      <c r="C850" s="43" t="n"/>
      <c r="D850" s="32"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c r="AA850" s="43" t="n"/>
      <c r="AB850" s="43" t="n"/>
    </row>
    <row r="851" ht="14.25" customHeight="1" s="83">
      <c r="A851" s="43" t="n"/>
      <c r="B851" s="43" t="n"/>
      <c r="C851" s="43" t="n"/>
      <c r="D851" s="32"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c r="AA851" s="43" t="n"/>
      <c r="AB851" s="43" t="n"/>
    </row>
    <row r="852" ht="14.25" customHeight="1" s="83">
      <c r="A852" s="43" t="n"/>
      <c r="B852" s="43" t="n"/>
      <c r="C852" s="43" t="n"/>
      <c r="D852" s="32"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c r="AA852" s="43" t="n"/>
      <c r="AB852" s="43" t="n"/>
    </row>
    <row r="853" ht="14.25" customHeight="1" s="83">
      <c r="A853" s="43" t="n"/>
      <c r="B853" s="43" t="n"/>
      <c r="C853" s="43" t="n"/>
      <c r="D853" s="32"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c r="AA853" s="43" t="n"/>
      <c r="AB853" s="43" t="n"/>
    </row>
    <row r="854" ht="14.25" customHeight="1" s="83">
      <c r="A854" s="43" t="n"/>
      <c r="B854" s="43" t="n"/>
      <c r="C854" s="43" t="n"/>
      <c r="D854" s="32"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c r="AA854" s="43" t="n"/>
      <c r="AB854" s="43" t="n"/>
    </row>
    <row r="855" ht="14.25" customHeight="1" s="83">
      <c r="A855" s="43" t="n"/>
      <c r="B855" s="43" t="n"/>
      <c r="C855" s="43" t="n"/>
      <c r="D855" s="32"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c r="AA855" s="43" t="n"/>
      <c r="AB855" s="43" t="n"/>
    </row>
    <row r="856" ht="14.25" customHeight="1" s="83">
      <c r="A856" s="43" t="n"/>
      <c r="B856" s="43" t="n"/>
      <c r="C856" s="43" t="n"/>
      <c r="D856" s="32"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c r="AA856" s="43" t="n"/>
      <c r="AB856" s="43" t="n"/>
    </row>
    <row r="857" ht="14.25" customHeight="1" s="83">
      <c r="A857" s="43" t="n"/>
      <c r="B857" s="43" t="n"/>
      <c r="C857" s="43" t="n"/>
      <c r="D857" s="32"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c r="AA857" s="43" t="n"/>
      <c r="AB857" s="43" t="n"/>
    </row>
    <row r="858" ht="14.25" customHeight="1" s="83">
      <c r="A858" s="43" t="n"/>
      <c r="B858" s="43" t="n"/>
      <c r="C858" s="43" t="n"/>
      <c r="D858" s="32"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c r="AA858" s="43" t="n"/>
      <c r="AB858" s="43" t="n"/>
    </row>
    <row r="859" ht="14.25" customHeight="1" s="83">
      <c r="A859" s="43" t="n"/>
      <c r="B859" s="43" t="n"/>
      <c r="C859" s="43" t="n"/>
      <c r="D859" s="32"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c r="AA859" s="43" t="n"/>
      <c r="AB859" s="43" t="n"/>
    </row>
    <row r="860" ht="14.25" customHeight="1" s="83">
      <c r="A860" s="43" t="n"/>
      <c r="B860" s="43" t="n"/>
      <c r="C860" s="43" t="n"/>
      <c r="D860" s="32"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c r="AA860" s="43" t="n"/>
      <c r="AB860" s="43" t="n"/>
    </row>
    <row r="861" ht="14.25" customHeight="1" s="83">
      <c r="A861" s="43" t="n"/>
      <c r="B861" s="43" t="n"/>
      <c r="C861" s="43" t="n"/>
      <c r="D861" s="32"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c r="AA861" s="43" t="n"/>
      <c r="AB861" s="43" t="n"/>
    </row>
    <row r="862" ht="14.25" customHeight="1" s="83">
      <c r="A862" s="43" t="n"/>
      <c r="B862" s="43" t="n"/>
      <c r="C862" s="43" t="n"/>
      <c r="D862" s="32"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c r="AA862" s="43" t="n"/>
      <c r="AB862" s="43" t="n"/>
    </row>
    <row r="863" ht="14.25" customHeight="1" s="83">
      <c r="A863" s="43" t="n"/>
      <c r="B863" s="43" t="n"/>
      <c r="C863" s="43" t="n"/>
      <c r="D863" s="32"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c r="AA863" s="43" t="n"/>
      <c r="AB863" s="43" t="n"/>
    </row>
    <row r="864" ht="14.25" customHeight="1" s="83">
      <c r="A864" s="43" t="n"/>
      <c r="B864" s="43" t="n"/>
      <c r="C864" s="43" t="n"/>
      <c r="D864" s="32"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c r="AA864" s="43" t="n"/>
      <c r="AB864" s="43" t="n"/>
    </row>
    <row r="865" ht="14.25" customHeight="1" s="83">
      <c r="A865" s="43" t="n"/>
      <c r="B865" s="43" t="n"/>
      <c r="C865" s="43" t="n"/>
      <c r="D865" s="32"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c r="AA865" s="43" t="n"/>
      <c r="AB865" s="43" t="n"/>
    </row>
    <row r="866" ht="14.25" customHeight="1" s="83">
      <c r="A866" s="43" t="n"/>
      <c r="B866" s="43" t="n"/>
      <c r="C866" s="43" t="n"/>
      <c r="D866" s="32"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c r="AA866" s="43" t="n"/>
      <c r="AB866" s="43" t="n"/>
    </row>
    <row r="867" ht="14.25" customHeight="1" s="83">
      <c r="A867" s="43" t="n"/>
      <c r="B867" s="43" t="n"/>
      <c r="C867" s="43" t="n"/>
      <c r="D867" s="32"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c r="AA867" s="43" t="n"/>
      <c r="AB867" s="43" t="n"/>
    </row>
    <row r="868" ht="14.25" customHeight="1" s="83">
      <c r="A868" s="43" t="n"/>
      <c r="B868" s="43" t="n"/>
      <c r="C868" s="43" t="n"/>
      <c r="D868" s="32"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c r="AA868" s="43" t="n"/>
      <c r="AB868" s="43" t="n"/>
    </row>
    <row r="869" ht="14.25" customHeight="1" s="83">
      <c r="A869" s="43" t="n"/>
      <c r="B869" s="43" t="n"/>
      <c r="C869" s="43" t="n"/>
      <c r="D869" s="32"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c r="AA869" s="43" t="n"/>
      <c r="AB869" s="43" t="n"/>
    </row>
    <row r="870" ht="14.25" customHeight="1" s="83">
      <c r="A870" s="43" t="n"/>
      <c r="B870" s="43" t="n"/>
      <c r="C870" s="43" t="n"/>
      <c r="D870" s="32"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c r="AA870" s="43" t="n"/>
      <c r="AB870" s="43" t="n"/>
    </row>
    <row r="871" ht="14.25" customHeight="1" s="83">
      <c r="A871" s="43" t="n"/>
      <c r="B871" s="43" t="n"/>
      <c r="C871" s="43" t="n"/>
      <c r="D871" s="32"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c r="AA871" s="43" t="n"/>
      <c r="AB871" s="43" t="n"/>
    </row>
    <row r="872" ht="14.25" customHeight="1" s="83">
      <c r="A872" s="43" t="n"/>
      <c r="B872" s="43" t="n"/>
      <c r="C872" s="43" t="n"/>
      <c r="D872" s="32"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c r="AA872" s="43" t="n"/>
      <c r="AB872" s="43" t="n"/>
    </row>
    <row r="873" ht="14.25" customHeight="1" s="83">
      <c r="A873" s="43" t="n"/>
      <c r="B873" s="43" t="n"/>
      <c r="C873" s="43" t="n"/>
      <c r="D873" s="32"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c r="AA873" s="43" t="n"/>
      <c r="AB873" s="43" t="n"/>
    </row>
    <row r="874" ht="14.25" customHeight="1" s="83">
      <c r="A874" s="43" t="n"/>
      <c r="B874" s="43" t="n"/>
      <c r="C874" s="43" t="n"/>
      <c r="D874" s="32"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c r="AA874" s="43" t="n"/>
      <c r="AB874" s="43" t="n"/>
    </row>
    <row r="875" ht="14.25" customHeight="1" s="83">
      <c r="A875" s="43" t="n"/>
      <c r="B875" s="43" t="n"/>
      <c r="C875" s="43" t="n"/>
      <c r="D875" s="32"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c r="AA875" s="43" t="n"/>
      <c r="AB875" s="43" t="n"/>
    </row>
    <row r="876" ht="14.25" customHeight="1" s="83">
      <c r="A876" s="43" t="n"/>
      <c r="B876" s="43" t="n"/>
      <c r="C876" s="43" t="n"/>
      <c r="D876" s="32"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c r="AA876" s="43" t="n"/>
      <c r="AB876" s="43" t="n"/>
    </row>
    <row r="877" ht="14.25" customHeight="1" s="83">
      <c r="A877" s="43" t="n"/>
      <c r="B877" s="43" t="n"/>
      <c r="C877" s="43" t="n"/>
      <c r="D877" s="32"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c r="AA877" s="43" t="n"/>
      <c r="AB877" s="43" t="n"/>
    </row>
    <row r="878" ht="14.25" customHeight="1" s="83">
      <c r="A878" s="43" t="n"/>
      <c r="B878" s="43" t="n"/>
      <c r="C878" s="43" t="n"/>
      <c r="D878" s="32"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c r="AA878" s="43" t="n"/>
      <c r="AB878" s="43" t="n"/>
    </row>
    <row r="879" ht="14.25" customHeight="1" s="83">
      <c r="A879" s="43" t="n"/>
      <c r="B879" s="43" t="n"/>
      <c r="C879" s="43" t="n"/>
      <c r="D879" s="32"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c r="AA879" s="43" t="n"/>
      <c r="AB879" s="43" t="n"/>
    </row>
    <row r="880" ht="14.25" customHeight="1" s="83">
      <c r="A880" s="43" t="n"/>
      <c r="B880" s="43" t="n"/>
      <c r="C880" s="43" t="n"/>
      <c r="D880" s="32"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c r="AA880" s="43" t="n"/>
      <c r="AB880" s="43" t="n"/>
    </row>
    <row r="881" ht="14.25" customHeight="1" s="83">
      <c r="A881" s="43" t="n"/>
      <c r="B881" s="43" t="n"/>
      <c r="C881" s="43" t="n"/>
      <c r="D881" s="32"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c r="AA881" s="43" t="n"/>
      <c r="AB881" s="43" t="n"/>
    </row>
    <row r="882" ht="14.25" customHeight="1" s="83">
      <c r="A882" s="43" t="n"/>
      <c r="B882" s="43" t="n"/>
      <c r="C882" s="43" t="n"/>
      <c r="D882" s="32"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c r="AA882" s="43" t="n"/>
      <c r="AB882" s="43" t="n"/>
    </row>
    <row r="883" ht="14.25" customHeight="1" s="83">
      <c r="A883" s="43" t="n"/>
      <c r="B883" s="43" t="n"/>
      <c r="C883" s="43" t="n"/>
      <c r="D883" s="32"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c r="AA883" s="43" t="n"/>
      <c r="AB883" s="43" t="n"/>
    </row>
    <row r="884" ht="14.25" customHeight="1" s="83">
      <c r="A884" s="43" t="n"/>
      <c r="B884" s="43" t="n"/>
      <c r="C884" s="43" t="n"/>
      <c r="D884" s="32"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c r="AA884" s="43" t="n"/>
      <c r="AB884" s="43" t="n"/>
    </row>
    <row r="885" ht="14.25" customHeight="1" s="83">
      <c r="A885" s="43" t="n"/>
      <c r="B885" s="43" t="n"/>
      <c r="C885" s="43" t="n"/>
      <c r="D885" s="32"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c r="AA885" s="43" t="n"/>
      <c r="AB885" s="43" t="n"/>
    </row>
    <row r="886" ht="14.25" customHeight="1" s="83">
      <c r="A886" s="43" t="n"/>
      <c r="B886" s="43" t="n"/>
      <c r="C886" s="43" t="n"/>
      <c r="D886" s="32"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c r="AA886" s="43" t="n"/>
      <c r="AB886" s="43" t="n"/>
    </row>
    <row r="887" ht="14.25" customHeight="1" s="83">
      <c r="A887" s="43" t="n"/>
      <c r="B887" s="43" t="n"/>
      <c r="C887" s="43" t="n"/>
      <c r="D887" s="32"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c r="AA887" s="43" t="n"/>
      <c r="AB887" s="43" t="n"/>
    </row>
    <row r="888" ht="14.25" customHeight="1" s="83">
      <c r="A888" s="43" t="n"/>
      <c r="B888" s="43" t="n"/>
      <c r="C888" s="43" t="n"/>
      <c r="D888" s="32"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c r="AA888" s="43" t="n"/>
      <c r="AB888" s="43" t="n"/>
    </row>
    <row r="889" ht="14.25" customHeight="1" s="83">
      <c r="A889" s="43" t="n"/>
      <c r="B889" s="43" t="n"/>
      <c r="C889" s="43" t="n"/>
      <c r="D889" s="32"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c r="AA889" s="43" t="n"/>
      <c r="AB889" s="43" t="n"/>
    </row>
    <row r="890" ht="14.25" customHeight="1" s="83">
      <c r="A890" s="43" t="n"/>
      <c r="B890" s="43" t="n"/>
      <c r="C890" s="43" t="n"/>
      <c r="D890" s="32"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c r="AA890" s="43" t="n"/>
      <c r="AB890" s="43" t="n"/>
    </row>
    <row r="891" ht="14.25" customHeight="1" s="83">
      <c r="A891" s="43" t="n"/>
      <c r="B891" s="43" t="n"/>
      <c r="C891" s="43" t="n"/>
      <c r="D891" s="32"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c r="AA891" s="43" t="n"/>
      <c r="AB891" s="43" t="n"/>
    </row>
    <row r="892" ht="14.25" customHeight="1" s="83">
      <c r="A892" s="43" t="n"/>
      <c r="B892" s="43" t="n"/>
      <c r="C892" s="43" t="n"/>
      <c r="D892" s="32"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c r="AA892" s="43" t="n"/>
      <c r="AB892" s="43" t="n"/>
    </row>
    <row r="893" ht="14.25" customHeight="1" s="83">
      <c r="A893" s="43" t="n"/>
      <c r="B893" s="43" t="n"/>
      <c r="C893" s="43" t="n"/>
      <c r="D893" s="32"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c r="AA893" s="43" t="n"/>
      <c r="AB893" s="43" t="n"/>
    </row>
    <row r="894" ht="14.25" customHeight="1" s="83">
      <c r="A894" s="43" t="n"/>
      <c r="B894" s="43" t="n"/>
      <c r="C894" s="43" t="n"/>
      <c r="D894" s="32"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c r="AA894" s="43" t="n"/>
      <c r="AB894" s="43" t="n"/>
    </row>
    <row r="895" ht="14.25" customHeight="1" s="83">
      <c r="A895" s="43" t="n"/>
      <c r="B895" s="43" t="n"/>
      <c r="C895" s="43" t="n"/>
      <c r="D895" s="32"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c r="AA895" s="43" t="n"/>
      <c r="AB895" s="43" t="n"/>
    </row>
    <row r="896" ht="14.25" customHeight="1" s="83">
      <c r="A896" s="43" t="n"/>
      <c r="B896" s="43" t="n"/>
      <c r="C896" s="43" t="n"/>
      <c r="D896" s="32"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c r="AA896" s="43" t="n"/>
      <c r="AB896" s="43" t="n"/>
    </row>
    <row r="897" ht="14.25" customHeight="1" s="83">
      <c r="A897" s="43" t="n"/>
      <c r="B897" s="43" t="n"/>
      <c r="C897" s="43" t="n"/>
      <c r="D897" s="32"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c r="AA897" s="43" t="n"/>
      <c r="AB897" s="43" t="n"/>
    </row>
    <row r="898" ht="14.25" customHeight="1" s="83">
      <c r="A898" s="43" t="n"/>
      <c r="B898" s="43" t="n"/>
      <c r="C898" s="43" t="n"/>
      <c r="D898" s="32"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c r="AA898" s="43" t="n"/>
      <c r="AB898" s="43" t="n"/>
    </row>
    <row r="899" ht="14.25" customHeight="1" s="83">
      <c r="A899" s="43" t="n"/>
      <c r="B899" s="43" t="n"/>
      <c r="C899" s="43" t="n"/>
      <c r="D899" s="32"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c r="AA899" s="43" t="n"/>
      <c r="AB899" s="43" t="n"/>
    </row>
    <row r="900" ht="14.25" customHeight="1" s="83">
      <c r="A900" s="43" t="n"/>
      <c r="B900" s="43" t="n"/>
      <c r="C900" s="43" t="n"/>
      <c r="D900" s="32"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c r="AA900" s="43" t="n"/>
      <c r="AB900" s="43" t="n"/>
    </row>
    <row r="901" ht="14.25" customHeight="1" s="83">
      <c r="A901" s="43" t="n"/>
      <c r="B901" s="43" t="n"/>
      <c r="C901" s="43" t="n"/>
      <c r="D901" s="32"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c r="AA901" s="43" t="n"/>
      <c r="AB901" s="43" t="n"/>
    </row>
    <row r="902" ht="14.25" customHeight="1" s="83">
      <c r="A902" s="43" t="n"/>
      <c r="B902" s="43" t="n"/>
      <c r="C902" s="43" t="n"/>
      <c r="D902" s="32"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c r="AA902" s="43" t="n"/>
      <c r="AB902" s="43" t="n"/>
    </row>
    <row r="903" ht="14.25" customHeight="1" s="83">
      <c r="A903" s="43" t="n"/>
      <c r="B903" s="43" t="n"/>
      <c r="C903" s="43" t="n"/>
      <c r="D903" s="32"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c r="AA903" s="43" t="n"/>
      <c r="AB903" s="43" t="n"/>
    </row>
    <row r="904" ht="14.25" customHeight="1" s="83">
      <c r="A904" s="43" t="n"/>
      <c r="B904" s="43" t="n"/>
      <c r="C904" s="43" t="n"/>
      <c r="D904" s="32"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c r="AA904" s="43" t="n"/>
      <c r="AB904" s="43" t="n"/>
    </row>
    <row r="905" ht="14.25" customHeight="1" s="83">
      <c r="A905" s="43" t="n"/>
      <c r="B905" s="43" t="n"/>
      <c r="C905" s="43" t="n"/>
      <c r="D905" s="32"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c r="AA905" s="43" t="n"/>
      <c r="AB905" s="43" t="n"/>
    </row>
    <row r="906" ht="14.25" customHeight="1" s="83">
      <c r="A906" s="43" t="n"/>
      <c r="B906" s="43" t="n"/>
      <c r="C906" s="43" t="n"/>
      <c r="D906" s="32"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c r="AA906" s="43" t="n"/>
      <c r="AB906" s="43" t="n"/>
    </row>
    <row r="907" ht="14.25" customHeight="1" s="83">
      <c r="A907" s="43" t="n"/>
      <c r="B907" s="43" t="n"/>
      <c r="C907" s="43" t="n"/>
      <c r="D907" s="32"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c r="AA907" s="43" t="n"/>
      <c r="AB907" s="43" t="n"/>
    </row>
    <row r="908" ht="14.25" customHeight="1" s="83">
      <c r="A908" s="43" t="n"/>
      <c r="B908" s="43" t="n"/>
      <c r="C908" s="43" t="n"/>
      <c r="D908" s="32"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c r="AA908" s="43" t="n"/>
      <c r="AB908" s="43" t="n"/>
    </row>
    <row r="909" ht="14.25" customHeight="1" s="83">
      <c r="A909" s="43" t="n"/>
      <c r="B909" s="43" t="n"/>
      <c r="C909" s="43" t="n"/>
      <c r="D909" s="32"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c r="AA909" s="43" t="n"/>
      <c r="AB909" s="43" t="n"/>
    </row>
    <row r="910" ht="14.25" customHeight="1" s="83">
      <c r="A910" s="43" t="n"/>
      <c r="B910" s="43" t="n"/>
      <c r="C910" s="43" t="n"/>
      <c r="D910" s="32"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c r="AA910" s="43" t="n"/>
      <c r="AB910" s="43" t="n"/>
    </row>
    <row r="911" ht="14.25" customHeight="1" s="83">
      <c r="A911" s="43" t="n"/>
      <c r="B911" s="43" t="n"/>
      <c r="C911" s="43" t="n"/>
      <c r="D911" s="32"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c r="AA911" s="43" t="n"/>
      <c r="AB911" s="43" t="n"/>
    </row>
    <row r="912" ht="14.25" customHeight="1" s="83">
      <c r="A912" s="43" t="n"/>
      <c r="B912" s="43" t="n"/>
      <c r="C912" s="43" t="n"/>
      <c r="D912" s="32"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c r="AA912" s="43" t="n"/>
      <c r="AB912" s="43" t="n"/>
    </row>
    <row r="913" ht="14.25" customHeight="1" s="83">
      <c r="A913" s="43" t="n"/>
      <c r="B913" s="43" t="n"/>
      <c r="C913" s="43" t="n"/>
      <c r="D913" s="32"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c r="AA913" s="43" t="n"/>
      <c r="AB913" s="43" t="n"/>
    </row>
    <row r="914" ht="14.25" customHeight="1" s="83">
      <c r="A914" s="43" t="n"/>
      <c r="B914" s="43" t="n"/>
      <c r="C914" s="43" t="n"/>
      <c r="D914" s="32"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c r="AA914" s="43" t="n"/>
      <c r="AB914" s="43" t="n"/>
    </row>
    <row r="915" ht="14.25" customHeight="1" s="83">
      <c r="A915" s="43" t="n"/>
      <c r="B915" s="43" t="n"/>
      <c r="C915" s="43" t="n"/>
      <c r="D915" s="32"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c r="AA915" s="43" t="n"/>
      <c r="AB915" s="43" t="n"/>
    </row>
    <row r="916" ht="14.25" customHeight="1" s="83">
      <c r="A916" s="43" t="n"/>
      <c r="B916" s="43" t="n"/>
      <c r="C916" s="43" t="n"/>
      <c r="D916" s="32"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c r="AA916" s="43" t="n"/>
      <c r="AB916" s="43" t="n"/>
    </row>
    <row r="917" ht="14.25" customHeight="1" s="83">
      <c r="A917" s="43" t="n"/>
      <c r="B917" s="43" t="n"/>
      <c r="C917" s="43" t="n"/>
      <c r="D917" s="32"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c r="AA917" s="43" t="n"/>
      <c r="AB917" s="43" t="n"/>
    </row>
    <row r="918" ht="14.25" customHeight="1" s="83">
      <c r="A918" s="43" t="n"/>
      <c r="B918" s="43" t="n"/>
      <c r="C918" s="43" t="n"/>
      <c r="D918" s="32"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c r="AA918" s="43" t="n"/>
      <c r="AB918" s="43" t="n"/>
    </row>
    <row r="919" ht="14.25" customHeight="1" s="83">
      <c r="A919" s="43" t="n"/>
      <c r="B919" s="43" t="n"/>
      <c r="C919" s="43" t="n"/>
      <c r="D919" s="32"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c r="AA919" s="43" t="n"/>
      <c r="AB919" s="43" t="n"/>
    </row>
    <row r="920" ht="14.25" customHeight="1" s="83">
      <c r="A920" s="43" t="n"/>
      <c r="B920" s="43" t="n"/>
      <c r="C920" s="43" t="n"/>
      <c r="D920" s="32"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c r="AA920" s="43" t="n"/>
      <c r="AB920" s="43" t="n"/>
    </row>
    <row r="921" ht="14.25" customHeight="1" s="83">
      <c r="A921" s="43" t="n"/>
      <c r="B921" s="43" t="n"/>
      <c r="C921" s="43" t="n"/>
      <c r="D921" s="32"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c r="AA921" s="43" t="n"/>
      <c r="AB921" s="43" t="n"/>
    </row>
    <row r="922" ht="14.25" customHeight="1" s="83">
      <c r="A922" s="43" t="n"/>
      <c r="B922" s="43" t="n"/>
      <c r="C922" s="43" t="n"/>
      <c r="D922" s="32"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c r="AA922" s="43" t="n"/>
      <c r="AB922" s="43" t="n"/>
    </row>
    <row r="923" ht="14.25" customHeight="1" s="83">
      <c r="A923" s="43" t="n"/>
      <c r="B923" s="43" t="n"/>
      <c r="C923" s="43" t="n"/>
      <c r="D923" s="32"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c r="AA923" s="43" t="n"/>
      <c r="AB923" s="43" t="n"/>
    </row>
    <row r="924" ht="14.25" customHeight="1" s="83">
      <c r="A924" s="43" t="n"/>
      <c r="B924" s="43" t="n"/>
      <c r="C924" s="43" t="n"/>
      <c r="D924" s="32"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c r="AA924" s="43" t="n"/>
      <c r="AB924" s="43" t="n"/>
    </row>
    <row r="925" ht="14.25" customHeight="1" s="83">
      <c r="A925" s="43" t="n"/>
      <c r="B925" s="43" t="n"/>
      <c r="C925" s="43" t="n"/>
      <c r="D925" s="32"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c r="AA925" s="43" t="n"/>
      <c r="AB925" s="43" t="n"/>
    </row>
    <row r="926" ht="14.25" customHeight="1" s="83">
      <c r="A926" s="43" t="n"/>
      <c r="B926" s="43" t="n"/>
      <c r="C926" s="43" t="n"/>
      <c r="D926" s="32"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c r="AA926" s="43" t="n"/>
      <c r="AB926" s="43" t="n"/>
    </row>
    <row r="927" ht="14.25" customHeight="1" s="83">
      <c r="A927" s="43" t="n"/>
      <c r="B927" s="43" t="n"/>
      <c r="C927" s="43" t="n"/>
      <c r="D927" s="32"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c r="AA927" s="43" t="n"/>
      <c r="AB927" s="43" t="n"/>
    </row>
    <row r="928" ht="14.25" customHeight="1" s="83">
      <c r="A928" s="43" t="n"/>
      <c r="B928" s="43" t="n"/>
      <c r="C928" s="43" t="n"/>
      <c r="D928" s="32"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c r="AA928" s="43" t="n"/>
      <c r="AB928" s="43" t="n"/>
    </row>
    <row r="929" ht="14.25" customHeight="1" s="83">
      <c r="A929" s="43" t="n"/>
      <c r="B929" s="43" t="n"/>
      <c r="C929" s="43" t="n"/>
      <c r="D929" s="32"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c r="AA929" s="43" t="n"/>
      <c r="AB929" s="43" t="n"/>
    </row>
    <row r="930" ht="14.25" customHeight="1" s="83">
      <c r="A930" s="43" t="n"/>
      <c r="B930" s="43" t="n"/>
      <c r="C930" s="43" t="n"/>
      <c r="D930" s="32"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c r="AA930" s="43" t="n"/>
      <c r="AB930" s="43" t="n"/>
    </row>
    <row r="931" ht="14.25" customHeight="1" s="83">
      <c r="A931" s="43" t="n"/>
      <c r="B931" s="43" t="n"/>
      <c r="C931" s="43" t="n"/>
      <c r="D931" s="32"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c r="AA931" s="43" t="n"/>
      <c r="AB931" s="43" t="n"/>
    </row>
    <row r="932" ht="14.25" customHeight="1" s="83">
      <c r="A932" s="43" t="n"/>
      <c r="B932" s="43" t="n"/>
      <c r="C932" s="43" t="n"/>
      <c r="D932" s="32"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c r="AA932" s="43" t="n"/>
      <c r="AB932" s="43" t="n"/>
    </row>
    <row r="933" ht="14.25" customHeight="1" s="83">
      <c r="A933" s="43" t="n"/>
      <c r="B933" s="43" t="n"/>
      <c r="C933" s="43" t="n"/>
      <c r="D933" s="32"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c r="AA933" s="43" t="n"/>
      <c r="AB933" s="43" t="n"/>
    </row>
    <row r="934" ht="14.25" customHeight="1" s="83">
      <c r="A934" s="43" t="n"/>
      <c r="B934" s="43" t="n"/>
      <c r="C934" s="43" t="n"/>
      <c r="D934" s="32"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c r="AA934" s="43" t="n"/>
      <c r="AB934" s="43" t="n"/>
    </row>
    <row r="935" ht="14.25" customHeight="1" s="83">
      <c r="A935" s="43" t="n"/>
      <c r="B935" s="43" t="n"/>
      <c r="C935" s="43" t="n"/>
      <c r="D935" s="32"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c r="AA935" s="43" t="n"/>
      <c r="AB935" s="43" t="n"/>
    </row>
    <row r="936" ht="14.25" customHeight="1" s="83">
      <c r="A936" s="43" t="n"/>
      <c r="B936" s="43" t="n"/>
      <c r="C936" s="43" t="n"/>
      <c r="D936" s="32"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c r="AA936" s="43" t="n"/>
      <c r="AB936" s="43" t="n"/>
    </row>
    <row r="937" ht="14.25" customHeight="1" s="83">
      <c r="A937" s="43" t="n"/>
      <c r="B937" s="43" t="n"/>
      <c r="C937" s="43" t="n"/>
      <c r="D937" s="32"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c r="AA937" s="43" t="n"/>
      <c r="AB937" s="43" t="n"/>
    </row>
    <row r="938" ht="14.25" customHeight="1" s="83">
      <c r="A938" s="43" t="n"/>
      <c r="B938" s="43" t="n"/>
      <c r="C938" s="43" t="n"/>
      <c r="D938" s="32"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c r="AA938" s="43" t="n"/>
      <c r="AB938" s="43" t="n"/>
    </row>
    <row r="939" ht="14.25" customHeight="1" s="83">
      <c r="A939" s="43" t="n"/>
      <c r="B939" s="43" t="n"/>
      <c r="C939" s="43" t="n"/>
      <c r="D939" s="32"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c r="AA939" s="43" t="n"/>
      <c r="AB939" s="43" t="n"/>
    </row>
    <row r="940" ht="14.25" customHeight="1" s="83">
      <c r="A940" s="43" t="n"/>
      <c r="B940" s="43" t="n"/>
      <c r="C940" s="43" t="n"/>
      <c r="D940" s="32"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c r="AA940" s="43" t="n"/>
      <c r="AB940" s="43" t="n"/>
    </row>
    <row r="941" ht="14.25" customHeight="1" s="83">
      <c r="A941" s="43" t="n"/>
      <c r="B941" s="43" t="n"/>
      <c r="C941" s="43" t="n"/>
      <c r="D941" s="32"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c r="AA941" s="43" t="n"/>
      <c r="AB941" s="43" t="n"/>
    </row>
    <row r="942" ht="14.25" customHeight="1" s="83">
      <c r="A942" s="43" t="n"/>
      <c r="B942" s="43" t="n"/>
      <c r="C942" s="43" t="n"/>
      <c r="D942" s="32"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c r="AA942" s="43" t="n"/>
      <c r="AB942" s="43" t="n"/>
    </row>
    <row r="943" ht="14.25" customHeight="1" s="83">
      <c r="A943" s="43" t="n"/>
      <c r="B943" s="43" t="n"/>
      <c r="C943" s="43" t="n"/>
      <c r="D943" s="32"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c r="AA943" s="43" t="n"/>
      <c r="AB943" s="43" t="n"/>
    </row>
    <row r="944" ht="14.25" customHeight="1" s="83">
      <c r="A944" s="43" t="n"/>
      <c r="B944" s="43" t="n"/>
      <c r="C944" s="43" t="n"/>
      <c r="D944" s="32"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c r="AA944" s="43" t="n"/>
      <c r="AB944" s="43" t="n"/>
    </row>
    <row r="945" ht="14.25" customHeight="1" s="83">
      <c r="A945" s="43" t="n"/>
      <c r="B945" s="43" t="n"/>
      <c r="C945" s="43" t="n"/>
      <c r="D945" s="32"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c r="AA945" s="43" t="n"/>
      <c r="AB945" s="43" t="n"/>
    </row>
    <row r="946" ht="14.25" customHeight="1" s="83">
      <c r="A946" s="43" t="n"/>
      <c r="B946" s="43" t="n"/>
      <c r="C946" s="43" t="n"/>
      <c r="D946" s="32"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c r="AA946" s="43" t="n"/>
      <c r="AB946" s="43" t="n"/>
    </row>
    <row r="947" ht="14.25" customHeight="1" s="83">
      <c r="A947" s="43" t="n"/>
      <c r="B947" s="43" t="n"/>
      <c r="C947" s="43" t="n"/>
      <c r="D947" s="32"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c r="AA947" s="43" t="n"/>
      <c r="AB947" s="43" t="n"/>
    </row>
    <row r="948" ht="14.25" customHeight="1" s="83">
      <c r="A948" s="43" t="n"/>
      <c r="B948" s="43" t="n"/>
      <c r="C948" s="43" t="n"/>
      <c r="D948" s="32"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c r="AA948" s="43" t="n"/>
      <c r="AB948" s="43" t="n"/>
    </row>
    <row r="949" ht="14.25" customHeight="1" s="83">
      <c r="A949" s="43" t="n"/>
      <c r="B949" s="43" t="n"/>
      <c r="C949" s="43" t="n"/>
      <c r="D949" s="32"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c r="AA949" s="43" t="n"/>
      <c r="AB949" s="43" t="n"/>
    </row>
    <row r="950" ht="14.25" customHeight="1" s="83">
      <c r="A950" s="43" t="n"/>
      <c r="B950" s="43" t="n"/>
      <c r="C950" s="43" t="n"/>
      <c r="D950" s="32"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c r="AA950" s="43" t="n"/>
      <c r="AB950" s="43" t="n"/>
    </row>
    <row r="951" ht="14.25" customHeight="1" s="83">
      <c r="A951" s="43" t="n"/>
      <c r="B951" s="43" t="n"/>
      <c r="C951" s="43" t="n"/>
      <c r="D951" s="32"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c r="AA951" s="43" t="n"/>
      <c r="AB951" s="43" t="n"/>
    </row>
    <row r="952" ht="14.25" customHeight="1" s="83">
      <c r="A952" s="43" t="n"/>
      <c r="B952" s="43" t="n"/>
      <c r="C952" s="43" t="n"/>
      <c r="D952" s="32"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c r="AA952" s="43" t="n"/>
      <c r="AB952" s="43" t="n"/>
    </row>
    <row r="953" ht="14.25" customHeight="1" s="83">
      <c r="A953" s="43" t="n"/>
      <c r="B953" s="43" t="n"/>
      <c r="C953" s="43" t="n"/>
      <c r="D953" s="32"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c r="AA953" s="43" t="n"/>
      <c r="AB953" s="43" t="n"/>
    </row>
    <row r="954" ht="14.25" customHeight="1" s="83">
      <c r="A954" s="43" t="n"/>
      <c r="B954" s="43" t="n"/>
      <c r="C954" s="43" t="n"/>
      <c r="D954" s="32"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c r="AA954" s="43" t="n"/>
      <c r="AB954" s="43" t="n"/>
    </row>
    <row r="955" ht="14.25" customHeight="1" s="83">
      <c r="A955" s="43" t="n"/>
      <c r="B955" s="43" t="n"/>
      <c r="C955" s="43" t="n"/>
      <c r="D955" s="32"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c r="AA955" s="43" t="n"/>
      <c r="AB955" s="43" t="n"/>
    </row>
    <row r="956" ht="14.25" customHeight="1" s="83">
      <c r="A956" s="43" t="n"/>
      <c r="B956" s="43" t="n"/>
      <c r="C956" s="43" t="n"/>
      <c r="D956" s="32"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c r="AA956" s="43" t="n"/>
      <c r="AB956" s="43" t="n"/>
    </row>
    <row r="957" ht="14.25" customHeight="1" s="83">
      <c r="A957" s="43" t="n"/>
      <c r="B957" s="43" t="n"/>
      <c r="C957" s="43" t="n"/>
      <c r="D957" s="32"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c r="AA957" s="43" t="n"/>
      <c r="AB957" s="43" t="n"/>
    </row>
    <row r="958" ht="14.25" customHeight="1" s="83">
      <c r="A958" s="43" t="n"/>
      <c r="B958" s="43" t="n"/>
      <c r="C958" s="43" t="n"/>
      <c r="D958" s="32"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c r="AA958" s="43" t="n"/>
      <c r="AB958" s="43" t="n"/>
    </row>
    <row r="959" ht="14.25" customHeight="1" s="83">
      <c r="A959" s="43" t="n"/>
      <c r="B959" s="43" t="n"/>
      <c r="C959" s="43" t="n"/>
      <c r="D959" s="32"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c r="AA959" s="43" t="n"/>
      <c r="AB959" s="43" t="n"/>
    </row>
    <row r="960" ht="14.25" customHeight="1" s="83">
      <c r="A960" s="43" t="n"/>
      <c r="B960" s="43" t="n"/>
      <c r="C960" s="43" t="n"/>
      <c r="D960" s="32"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c r="AA960" s="43" t="n"/>
      <c r="AB960" s="43" t="n"/>
    </row>
    <row r="961" ht="14.25" customHeight="1" s="83">
      <c r="A961" s="43" t="n"/>
      <c r="B961" s="43" t="n"/>
      <c r="C961" s="43" t="n"/>
      <c r="D961" s="32"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c r="AA961" s="43" t="n"/>
      <c r="AB961" s="43" t="n"/>
    </row>
    <row r="962" ht="14.25" customHeight="1" s="83">
      <c r="A962" s="43" t="n"/>
      <c r="B962" s="43" t="n"/>
      <c r="C962" s="43" t="n"/>
      <c r="D962" s="32"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c r="AA962" s="43" t="n"/>
      <c r="AB962" s="43" t="n"/>
    </row>
    <row r="963" ht="14.25" customHeight="1" s="83">
      <c r="A963" s="43" t="n"/>
      <c r="B963" s="43" t="n"/>
      <c r="C963" s="43" t="n"/>
      <c r="D963" s="32"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c r="AA963" s="43" t="n"/>
      <c r="AB963" s="43" t="n"/>
    </row>
    <row r="964" ht="14.25" customHeight="1" s="83">
      <c r="A964" s="43" t="n"/>
      <c r="B964" s="43" t="n"/>
      <c r="C964" s="43" t="n"/>
      <c r="D964" s="32"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c r="AA964" s="43" t="n"/>
      <c r="AB964" s="43" t="n"/>
    </row>
    <row r="965" ht="14.25" customHeight="1" s="83">
      <c r="A965" s="43" t="n"/>
      <c r="B965" s="43" t="n"/>
      <c r="C965" s="43" t="n"/>
      <c r="D965" s="32"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c r="AA965" s="43" t="n"/>
      <c r="AB965" s="43" t="n"/>
    </row>
    <row r="966" ht="14.25" customHeight="1" s="83">
      <c r="A966" s="43" t="n"/>
      <c r="B966" s="43" t="n"/>
      <c r="C966" s="43" t="n"/>
      <c r="D966" s="32"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c r="AA966" s="43" t="n"/>
      <c r="AB966" s="43" t="n"/>
    </row>
    <row r="967" ht="14.25" customHeight="1" s="83">
      <c r="A967" s="43" t="n"/>
      <c r="B967" s="43" t="n"/>
      <c r="C967" s="43" t="n"/>
      <c r="D967" s="32"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c r="AA967" s="43" t="n"/>
      <c r="AB967" s="43" t="n"/>
    </row>
    <row r="968" ht="14.25" customHeight="1" s="83">
      <c r="A968" s="43" t="n"/>
      <c r="B968" s="43" t="n"/>
      <c r="C968" s="43" t="n"/>
      <c r="D968" s="32"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c r="AA968" s="43" t="n"/>
      <c r="AB968" s="43" t="n"/>
    </row>
    <row r="969" ht="14.25" customHeight="1" s="83">
      <c r="A969" s="43" t="n"/>
      <c r="B969" s="43" t="n"/>
      <c r="C969" s="43" t="n"/>
      <c r="D969" s="32"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c r="AA969" s="43" t="n"/>
      <c r="AB969" s="43" t="n"/>
    </row>
    <row r="970" ht="14.25" customHeight="1" s="83">
      <c r="A970" s="43" t="n"/>
      <c r="B970" s="43" t="n"/>
      <c r="C970" s="43" t="n"/>
      <c r="D970" s="32"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c r="AA970" s="43" t="n"/>
      <c r="AB970" s="43" t="n"/>
    </row>
    <row r="971" ht="14.25" customHeight="1" s="83">
      <c r="A971" s="43" t="n"/>
      <c r="B971" s="43" t="n"/>
      <c r="C971" s="43" t="n"/>
      <c r="D971" s="32"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c r="AA971" s="43" t="n"/>
      <c r="AB971" s="43" t="n"/>
    </row>
    <row r="972" ht="14.25" customHeight="1" s="83">
      <c r="A972" s="43" t="n"/>
      <c r="B972" s="43" t="n"/>
      <c r="C972" s="43" t="n"/>
      <c r="D972" s="32"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c r="AA972" s="43" t="n"/>
      <c r="AB972" s="43" t="n"/>
    </row>
    <row r="973" ht="14.25" customHeight="1" s="83">
      <c r="A973" s="43" t="n"/>
      <c r="B973" s="43" t="n"/>
      <c r="C973" s="43" t="n"/>
      <c r="D973" s="32"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c r="AA973" s="43" t="n"/>
      <c r="AB973" s="43" t="n"/>
    </row>
    <row r="974" ht="14.25" customHeight="1" s="83">
      <c r="A974" s="43" t="n"/>
      <c r="B974" s="43" t="n"/>
      <c r="C974" s="43" t="n"/>
      <c r="D974" s="32"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c r="AA974" s="43" t="n"/>
      <c r="AB974" s="43" t="n"/>
    </row>
    <row r="975" ht="14.25" customHeight="1" s="83">
      <c r="A975" s="43" t="n"/>
      <c r="B975" s="43" t="n"/>
      <c r="C975" s="43" t="n"/>
      <c r="D975" s="32"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c r="AA975" s="43" t="n"/>
      <c r="AB975" s="43" t="n"/>
    </row>
    <row r="976" ht="14.25" customHeight="1" s="83">
      <c r="A976" s="43" t="n"/>
      <c r="B976" s="43" t="n"/>
      <c r="C976" s="43" t="n"/>
      <c r="D976" s="32"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c r="AA976" s="43" t="n"/>
      <c r="AB976" s="43" t="n"/>
    </row>
    <row r="977" ht="14.25" customHeight="1" s="83">
      <c r="A977" s="43" t="n"/>
      <c r="B977" s="43" t="n"/>
      <c r="C977" s="43" t="n"/>
      <c r="D977" s="32"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c r="AA977" s="43" t="n"/>
      <c r="AB977" s="43" t="n"/>
    </row>
    <row r="978" ht="14.25" customHeight="1" s="83">
      <c r="A978" s="43" t="n"/>
      <c r="B978" s="43" t="n"/>
      <c r="C978" s="43" t="n"/>
      <c r="D978" s="32"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c r="AA978" s="43" t="n"/>
      <c r="AB978" s="43" t="n"/>
    </row>
    <row r="979" ht="14.25" customHeight="1" s="83">
      <c r="A979" s="43" t="n"/>
      <c r="B979" s="43" t="n"/>
      <c r="C979" s="43" t="n"/>
      <c r="D979" s="32"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c r="AA979" s="43" t="n"/>
      <c r="AB979" s="43" t="n"/>
    </row>
    <row r="980" ht="14.25" customHeight="1" s="83">
      <c r="A980" s="43" t="n"/>
      <c r="B980" s="43" t="n"/>
      <c r="C980" s="43" t="n"/>
      <c r="D980" s="32"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c r="AA980" s="43" t="n"/>
      <c r="AB980" s="43" t="n"/>
    </row>
    <row r="981" ht="14.25" customHeight="1" s="83">
      <c r="A981" s="43" t="n"/>
      <c r="B981" s="43" t="n"/>
      <c r="C981" s="43" t="n"/>
      <c r="D981" s="32"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c r="AA981" s="43" t="n"/>
      <c r="AB981" s="43" t="n"/>
    </row>
    <row r="982" ht="14.25" customHeight="1" s="83">
      <c r="A982" s="43" t="n"/>
      <c r="B982" s="43" t="n"/>
      <c r="C982" s="43" t="n"/>
      <c r="D982" s="32"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c r="AA982" s="43" t="n"/>
      <c r="AB982" s="43" t="n"/>
    </row>
    <row r="983" ht="14.25" customHeight="1" s="83">
      <c r="A983" s="43" t="n"/>
      <c r="B983" s="43" t="n"/>
      <c r="C983" s="43" t="n"/>
      <c r="D983" s="32"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c r="AA983" s="43" t="n"/>
      <c r="AB983" s="43" t="n"/>
    </row>
    <row r="984" ht="14.25" customHeight="1" s="83">
      <c r="A984" s="43" t="n"/>
      <c r="B984" s="43" t="n"/>
      <c r="C984" s="43" t="n"/>
      <c r="D984" s="32"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c r="AA984" s="43" t="n"/>
      <c r="AB984" s="43" t="n"/>
    </row>
    <row r="985" ht="14.25" customHeight="1" s="83">
      <c r="A985" s="43" t="n"/>
      <c r="B985" s="43" t="n"/>
      <c r="C985" s="43" t="n"/>
      <c r="D985" s="32"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c r="AA985" s="43" t="n"/>
      <c r="AB985" s="43" t="n"/>
    </row>
    <row r="986" ht="14.25" customHeight="1" s="83">
      <c r="A986" s="43" t="n"/>
      <c r="B986" s="43" t="n"/>
      <c r="C986" s="43" t="n"/>
      <c r="D986" s="32"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c r="AA986" s="43" t="n"/>
      <c r="AB986" s="43" t="n"/>
    </row>
    <row r="987" ht="14.25" customHeight="1" s="83">
      <c r="A987" s="43" t="n"/>
      <c r="B987" s="43" t="n"/>
      <c r="C987" s="43" t="n"/>
      <c r="D987" s="32"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c r="AA987" s="43" t="n"/>
      <c r="AB987" s="43" t="n"/>
    </row>
    <row r="988" ht="14.25" customHeight="1" s="83">
      <c r="A988" s="43" t="n"/>
      <c r="B988" s="43" t="n"/>
      <c r="C988" s="43" t="n"/>
      <c r="D988" s="32"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c r="AA988" s="43" t="n"/>
      <c r="AB988" s="43" t="n"/>
    </row>
    <row r="989" ht="14.25" customHeight="1" s="83">
      <c r="A989" s="43" t="n"/>
      <c r="B989" s="43" t="n"/>
      <c r="C989" s="43" t="n"/>
      <c r="D989" s="32"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c r="AA989" s="43" t="n"/>
      <c r="AB989" s="43" t="n"/>
    </row>
    <row r="990" ht="14.25" customHeight="1" s="83">
      <c r="A990" s="43" t="n"/>
      <c r="B990" s="43" t="n"/>
      <c r="C990" s="43" t="n"/>
      <c r="D990" s="32"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c r="AA990" s="43" t="n"/>
      <c r="AB990" s="43" t="n"/>
    </row>
    <row r="991" ht="14.25" customHeight="1" s="83">
      <c r="A991" s="43" t="n"/>
      <c r="B991" s="43" t="n"/>
      <c r="C991" s="43" t="n"/>
      <c r="D991" s="32"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c r="AA991" s="43" t="n"/>
      <c r="AB991" s="43" t="n"/>
    </row>
    <row r="992" ht="14.25" customHeight="1" s="83">
      <c r="A992" s="43" t="n"/>
      <c r="B992" s="43" t="n"/>
      <c r="C992" s="43" t="n"/>
      <c r="D992" s="32"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c r="AA992" s="43" t="n"/>
      <c r="AB992" s="43" t="n"/>
    </row>
    <row r="993" ht="14.25" customHeight="1" s="83">
      <c r="A993" s="43" t="n"/>
      <c r="B993" s="43" t="n"/>
      <c r="C993" s="43" t="n"/>
      <c r="D993" s="32"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c r="AA993" s="43" t="n"/>
      <c r="AB993" s="43" t="n"/>
    </row>
    <row r="994" ht="14.25" customHeight="1" s="83">
      <c r="A994" s="43" t="n"/>
      <c r="B994" s="43" t="n"/>
      <c r="C994" s="43" t="n"/>
      <c r="D994" s="32"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c r="AA994" s="43" t="n"/>
      <c r="AB994" s="43" t="n"/>
    </row>
    <row r="995" ht="14.25" customHeight="1" s="83">
      <c r="A995" s="43" t="n"/>
      <c r="B995" s="43" t="n"/>
      <c r="C995" s="43" t="n"/>
      <c r="D995" s="32"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c r="AA995" s="43" t="n"/>
      <c r="AB995" s="43" t="n"/>
    </row>
    <row r="996" ht="14.25" customHeight="1" s="83">
      <c r="A996" s="43" t="n"/>
      <c r="B996" s="43" t="n"/>
      <c r="C996" s="43" t="n"/>
      <c r="D996" s="32"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c r="AA996" s="43" t="n"/>
      <c r="AB996" s="43" t="n"/>
    </row>
    <row r="997" ht="14.25" customHeight="1" s="83">
      <c r="A997" s="43" t="n"/>
      <c r="B997" s="43" t="n"/>
      <c r="C997" s="43" t="n"/>
      <c r="D997" s="32"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c r="AA997" s="43" t="n"/>
      <c r="AB997" s="43" t="n"/>
    </row>
    <row r="998" ht="14.25" customHeight="1" s="83">
      <c r="A998" s="43" t="n"/>
      <c r="B998" s="43" t="n"/>
      <c r="C998" s="43" t="n"/>
      <c r="D998" s="32"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c r="AA998" s="43" t="n"/>
      <c r="AB998" s="43" t="n"/>
    </row>
    <row r="999" ht="14.25" customHeight="1" s="83">
      <c r="A999" s="43" t="n"/>
      <c r="B999" s="43" t="n"/>
      <c r="C999" s="43" t="n"/>
      <c r="D999" s="32"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c r="AA999" s="43" t="n"/>
      <c r="AB999" s="43" t="n"/>
    </row>
    <row r="1000" ht="14.25" customHeight="1" s="83">
      <c r="A1000" s="43" t="n"/>
      <c r="B1000" s="43" t="n"/>
      <c r="C1000" s="43" t="n"/>
      <c r="D1000" s="32"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c r="AA1000" s="43" t="n"/>
      <c r="AB1000" s="43" t="n"/>
    </row>
    <row r="1001" ht="14.25" customHeight="1" s="83">
      <c r="A1001" s="43" t="n"/>
      <c r="B1001" s="43" t="n"/>
      <c r="C1001" s="43" t="n"/>
      <c r="D1001" s="32" t="n"/>
      <c r="E1001" s="43" t="n"/>
      <c r="F1001" s="43" t="n"/>
      <c r="G1001" s="43" t="n"/>
      <c r="H1001" s="43" t="n"/>
      <c r="I1001" s="43" t="n"/>
      <c r="J1001" s="43" t="n"/>
      <c r="K1001" s="43" t="n"/>
      <c r="L1001" s="43" t="n"/>
      <c r="M1001" s="43" t="n"/>
      <c r="N1001" s="43" t="n"/>
      <c r="O1001" s="43" t="n"/>
      <c r="P1001" s="43" t="n"/>
      <c r="Q1001" s="43" t="n"/>
      <c r="R1001" s="43" t="n"/>
      <c r="S1001" s="43" t="n"/>
      <c r="T1001" s="43" t="n"/>
      <c r="U1001" s="43" t="n"/>
      <c r="V1001" s="43" t="n"/>
      <c r="W1001" s="43" t="n"/>
      <c r="X1001" s="43" t="n"/>
      <c r="Y1001" s="43" t="n"/>
      <c r="Z1001" s="43" t="n"/>
      <c r="AA1001" s="43" t="n"/>
      <c r="AB1001" s="43" t="n"/>
    </row>
  </sheetData>
  <mergeCells count="1">
    <mergeCell ref="A136:E136"/>
  </mergeCells>
  <conditionalFormatting sqref="F2">
    <cfRule type="cellIs" priority="1" operator="equal" dxfId="0">
      <formula>4</formula>
    </cfRule>
    <cfRule type="cellIs" priority="2" operator="equal" dxfId="1">
      <formula>5</formula>
    </cfRule>
    <cfRule type="cellIs" priority="3" operator="equal" dxfId="2">
      <formula>6</formula>
    </cfRule>
  </conditionalFormatting>
  <dataValidations count="1">
    <dataValidation sqref="E48:E79" showDropDown="0" showInputMessage="0" showErrorMessage="1" allowBlank="1" type="list">
      <formula1>"Fix (Strategische Rolle, kein Effekt durch KI Einsatz),KI-Hebel (KI-Position kann durch KI-Einsatz später eingestellt werden),KI-Agent (Position kann durch KI-Agenten ersetzt werden/ Hiring wenn überhaupt in ferner Zukunft)"</formula1>
    </dataValidation>
  </dataValidations>
  <pageMargins left="0.75" right="0.75" top="1" bottom="1" header="0" footer="0"/>
  <pageSetup orientation="landscape"/>
</worksheet>
</file>

<file path=xl/worksheets/sheet5.xml><?xml version="1.0" encoding="utf-8"?>
<worksheet xmlns="http://schemas.openxmlformats.org/spreadsheetml/2006/main">
  <sheetPr>
    <outlinePr summaryBelow="0" summaryRight="0"/>
    <pageSetUpPr/>
  </sheetPr>
  <dimension ref="A1:Z1002"/>
  <sheetViews>
    <sheetView workbookViewId="0">
      <selection activeCell="A1" sqref="A1"/>
    </sheetView>
  </sheetViews>
  <sheetFormatPr baseColWidth="8" defaultColWidth="14.43" defaultRowHeight="15" customHeight="1"/>
  <cols>
    <col width="18.14" customWidth="1" style="83" min="1" max="1"/>
    <col width="29.14" customWidth="1" style="83" min="7" max="7"/>
  </cols>
  <sheetData>
    <row r="1">
      <c r="A1" s="7" t="inlineStr">
        <is>
          <t>Aktives Szenario</t>
        </is>
      </c>
      <c r="B1" s="7" t="inlineStr">
        <is>
          <t>gering</t>
        </is>
      </c>
      <c r="C1" s="7" t="inlineStr">
        <is>
          <t>Einheit</t>
        </is>
      </c>
      <c r="D1" s="53" t="inlineStr">
        <is>
          <t>Gering (Auto-Fokus)</t>
        </is>
      </c>
      <c r="E1" s="7" t="inlineStr">
        <is>
          <t>Normal (Hybrid)</t>
        </is>
      </c>
      <c r="F1" s="54" t="inlineStr">
        <is>
          <t>Stark (Pack-Fokus)</t>
        </is>
      </c>
      <c r="G1" s="7" t="inlineStr">
        <is>
          <t>Argumentation / Quelle</t>
        </is>
      </c>
      <c r="H1" s="43" t="n"/>
      <c r="I1" s="43" t="n"/>
      <c r="J1" s="43" t="n"/>
      <c r="K1" s="43" t="n"/>
      <c r="L1" s="43" t="n"/>
      <c r="M1" s="43" t="n"/>
      <c r="N1" s="43" t="n"/>
      <c r="O1" s="43" t="n"/>
      <c r="P1" s="43" t="n"/>
      <c r="Q1" s="43" t="n"/>
      <c r="R1" s="43" t="n"/>
      <c r="S1" s="43" t="n"/>
      <c r="T1" s="43" t="n"/>
      <c r="U1" s="43" t="n"/>
      <c r="V1" s="43" t="n"/>
      <c r="W1" s="43" t="n"/>
      <c r="X1" s="43" t="n"/>
      <c r="Y1" s="43" t="n"/>
      <c r="Z1" s="43" t="n"/>
    </row>
    <row r="2">
      <c r="A2" s="14" t="inlineStr">
        <is>
          <t>Spalten-Index (intern)</t>
        </is>
      </c>
      <c r="B2" s="13">
        <f>IF(B1="gering", 4, IF(B1="normal", 5, 6))</f>
        <v/>
      </c>
      <c r="C2" s="13" t="n"/>
      <c r="D2" s="11" t="n"/>
      <c r="E2" s="11" t="n"/>
      <c r="F2" s="11" t="n"/>
      <c r="G2" s="55" t="n"/>
      <c r="H2" s="43" t="n"/>
      <c r="I2" s="43" t="n"/>
      <c r="J2" s="43" t="n"/>
      <c r="K2" s="43" t="n"/>
      <c r="L2" s="43" t="n"/>
      <c r="M2" s="43" t="n"/>
      <c r="N2" s="43" t="n"/>
      <c r="O2" s="43" t="n"/>
      <c r="P2" s="43" t="n"/>
      <c r="Q2" s="43" t="n"/>
      <c r="R2" s="43" t="n"/>
      <c r="S2" s="43" t="n"/>
      <c r="T2" s="43" t="n"/>
      <c r="U2" s="43" t="n"/>
      <c r="V2" s="43" t="n"/>
      <c r="W2" s="43" t="n"/>
      <c r="X2" s="43" t="n"/>
      <c r="Y2" s="43" t="n"/>
      <c r="Z2" s="43" t="n"/>
    </row>
    <row r="3">
      <c r="A3" s="56" t="inlineStr">
        <is>
          <t>Kategorie</t>
        </is>
      </c>
      <c r="B3" s="57" t="inlineStr">
        <is>
          <t>Variable</t>
        </is>
      </c>
      <c r="C3" s="57" t="inlineStr">
        <is>
          <t>Einheit</t>
        </is>
      </c>
      <c r="D3" s="57" t="inlineStr">
        <is>
          <t>Gering</t>
        </is>
      </c>
      <c r="E3" s="57" t="inlineStr">
        <is>
          <t>Normal</t>
        </is>
      </c>
      <c r="F3" s="57" t="inlineStr">
        <is>
          <t>Stark</t>
        </is>
      </c>
      <c r="G3" s="58" t="inlineStr">
        <is>
          <t>Quelle</t>
        </is>
      </c>
      <c r="H3" s="43" t="n"/>
      <c r="I3" s="43" t="n"/>
      <c r="J3" s="43" t="n"/>
      <c r="K3" s="43" t="n"/>
      <c r="L3" s="43" t="n"/>
      <c r="M3" s="43" t="n"/>
      <c r="N3" s="43" t="n"/>
      <c r="O3" s="43" t="n"/>
      <c r="P3" s="43" t="n"/>
      <c r="Q3" s="43" t="n"/>
      <c r="R3" s="43" t="n"/>
      <c r="S3" s="43" t="n"/>
      <c r="T3" s="43" t="n"/>
      <c r="U3" s="43" t="n"/>
      <c r="V3" s="43" t="n"/>
      <c r="W3" s="43" t="n"/>
      <c r="X3" s="43" t="n"/>
      <c r="Y3" s="43" t="n"/>
      <c r="Z3" s="43" t="n"/>
    </row>
    <row r="4">
      <c r="A4" s="59" t="inlineStr">
        <is>
          <t>Markt-Mix</t>
        </is>
      </c>
      <c r="B4" s="60" t="inlineStr">
        <is>
          <t>Anteil Packaging</t>
        </is>
      </c>
      <c r="C4" s="60" t="inlineStr">
        <is>
          <t>%</t>
        </is>
      </c>
      <c r="D4" s="61" t="n">
        <v>0.1</v>
      </c>
      <c r="E4" s="61" t="n">
        <v>0.6</v>
      </c>
      <c r="F4" s="61" t="n">
        <v>0.8</v>
      </c>
      <c r="G4" s="62" t="inlineStr">
        <is>
          <t>Lothar.bm: Packaging hat schnellere Zyklen.</t>
        </is>
      </c>
      <c r="H4" s="43" t="n"/>
      <c r="I4" s="43" t="n"/>
      <c r="J4" s="43" t="n"/>
      <c r="K4" s="43" t="n"/>
      <c r="L4" s="43" t="n"/>
      <c r="M4" s="43" t="n"/>
      <c r="N4" s="43" t="n"/>
      <c r="O4" s="43" t="n"/>
      <c r="P4" s="43" t="n"/>
      <c r="Q4" s="43" t="n"/>
      <c r="R4" s="43" t="n"/>
      <c r="S4" s="43" t="n"/>
      <c r="T4" s="43" t="n"/>
      <c r="U4" s="43" t="n"/>
      <c r="V4" s="43" t="n"/>
      <c r="W4" s="43" t="n"/>
      <c r="X4" s="43" t="n"/>
      <c r="Y4" s="43" t="n"/>
      <c r="Z4" s="43" t="n"/>
    </row>
    <row r="5">
      <c r="A5" s="59" t="inlineStr">
        <is>
          <t>Vertrieb</t>
        </is>
      </c>
      <c r="B5" s="60" t="inlineStr">
        <is>
          <t>Startmonat Kunden</t>
        </is>
      </c>
      <c r="C5" s="60" t="inlineStr">
        <is>
          <t>Monate</t>
        </is>
      </c>
      <c r="D5" s="60" t="n">
        <v>17</v>
      </c>
      <c r="E5" s="60" t="n">
        <v>8</v>
      </c>
      <c r="F5" s="60" t="n">
        <v>4</v>
      </c>
      <c r="G5" s="62" t="inlineStr">
        <is>
          <t>Lothar.bm: IT-Hürden bei Automotive Tier-1.</t>
        </is>
      </c>
      <c r="H5" s="43" t="n"/>
      <c r="I5" s="43" t="n"/>
      <c r="J5" s="43" t="n"/>
      <c r="K5" s="43" t="n"/>
      <c r="L5" s="43" t="n"/>
      <c r="M5" s="43" t="n"/>
      <c r="N5" s="43" t="n"/>
      <c r="O5" s="43" t="n"/>
      <c r="P5" s="43" t="n"/>
      <c r="Q5" s="43" t="n"/>
      <c r="R5" s="43" t="n"/>
      <c r="S5" s="43" t="n"/>
      <c r="T5" s="43" t="n"/>
      <c r="U5" s="43" t="n"/>
      <c r="V5" s="43" t="n"/>
      <c r="W5" s="43" t="n"/>
      <c r="X5" s="43" t="n"/>
      <c r="Y5" s="43" t="n"/>
      <c r="Z5" s="43" t="n"/>
    </row>
    <row r="6">
      <c r="A6" s="59" t="inlineStr">
        <is>
          <t>Revenue 1</t>
        </is>
      </c>
      <c r="B6" s="60" t="inlineStr">
        <is>
          <t>Startpreis Seat/Jahr</t>
        </is>
      </c>
      <c r="C6" s="60" t="inlineStr">
        <is>
          <t>€/Monat</t>
        </is>
      </c>
      <c r="D6" s="60" t="n">
        <v>200</v>
      </c>
      <c r="E6" s="63" t="n">
        <v>1000</v>
      </c>
      <c r="F6" s="63" t="n">
        <v>1200</v>
      </c>
      <c r="G6" s="62" t="inlineStr">
        <is>
          <t>Value-based Pricing in Packaging (White Paper).</t>
        </is>
      </c>
      <c r="H6" s="43" t="n"/>
      <c r="I6" s="43" t="n"/>
      <c r="J6" s="43" t="n"/>
      <c r="K6" s="43" t="n"/>
      <c r="L6" s="43" t="n"/>
      <c r="M6" s="43" t="n"/>
      <c r="N6" s="43" t="n"/>
      <c r="O6" s="43" t="n"/>
      <c r="P6" s="43" t="n"/>
      <c r="Q6" s="43" t="n"/>
      <c r="R6" s="43" t="n"/>
      <c r="S6" s="43" t="n"/>
      <c r="T6" s="43" t="n"/>
      <c r="U6" s="43" t="n"/>
      <c r="V6" s="43" t="n"/>
      <c r="W6" s="43" t="n"/>
      <c r="X6" s="43" t="n"/>
      <c r="Y6" s="43" t="n"/>
      <c r="Z6" s="43" t="n"/>
    </row>
    <row r="7">
      <c r="A7" s="59" t="inlineStr">
        <is>
          <t>Revenue 2</t>
        </is>
      </c>
      <c r="B7" s="60" t="inlineStr">
        <is>
          <t>Consulting-Tagessatz</t>
        </is>
      </c>
      <c r="C7" s="60" t="inlineStr">
        <is>
          <t>€/Tag</t>
        </is>
      </c>
      <c r="D7" s="137" t="n">
        <v>1000</v>
      </c>
      <c r="E7" s="137" t="n">
        <v>1200</v>
      </c>
      <c r="F7" s="137" t="n">
        <v>1500</v>
      </c>
      <c r="G7" s="62" t="inlineStr">
        <is>
          <t>Consulting-Tagessatz: gering=1.000 €/Tag | normal=1.200 €/Tag | stark=1.500 €/Tag. Basiert auf Expertenstatus (Haag/Candemir) und Marktniveau B2B Industrie.</t>
        </is>
      </c>
      <c r="H7" s="43" t="n"/>
      <c r="I7" s="43" t="n"/>
      <c r="J7" s="43" t="n"/>
      <c r="K7" s="43" t="n"/>
      <c r="L7" s="43" t="n"/>
      <c r="M7" s="43" t="n"/>
      <c r="N7" s="43" t="n"/>
      <c r="O7" s="43" t="n"/>
      <c r="P7" s="43" t="n"/>
      <c r="Q7" s="43" t="n"/>
      <c r="R7" s="43" t="n"/>
      <c r="S7" s="43" t="n"/>
      <c r="T7" s="43" t="n"/>
      <c r="U7" s="43" t="n"/>
      <c r="V7" s="43" t="n"/>
      <c r="W7" s="43" t="n"/>
      <c r="X7" s="43" t="n"/>
      <c r="Y7" s="43" t="n"/>
      <c r="Z7" s="43" t="n"/>
    </row>
    <row r="8">
      <c r="A8" s="59" t="inlineStr">
        <is>
          <t>Effizienz</t>
        </is>
      </c>
      <c r="B8" s="60" t="inlineStr">
        <is>
          <t>Iterations-Reduktion</t>
        </is>
      </c>
      <c r="C8" s="60" t="inlineStr">
        <is>
          <t>Faktor</t>
        </is>
      </c>
      <c r="D8" s="60" t="inlineStr">
        <is>
          <t>1,2x</t>
        </is>
      </c>
      <c r="E8" s="60" t="inlineStr">
        <is>
          <t>2,0x</t>
        </is>
      </c>
      <c r="F8" s="60" t="inlineStr">
        <is>
          <t>3,0x</t>
        </is>
      </c>
      <c r="G8" s="62" t="inlineStr">
        <is>
          <t>White Paper: Redesign Trap vermeiden.</t>
        </is>
      </c>
      <c r="H8" s="43" t="n"/>
      <c r="I8" s="43" t="n"/>
      <c r="J8" s="43" t="n"/>
      <c r="K8" s="43" t="n"/>
      <c r="L8" s="43" t="n"/>
      <c r="M8" s="43" t="n"/>
      <c r="N8" s="43" t="n"/>
      <c r="O8" s="43" t="n"/>
      <c r="P8" s="43" t="n"/>
      <c r="Q8" s="43" t="n"/>
      <c r="R8" s="43" t="n"/>
      <c r="S8" s="43" t="n"/>
      <c r="T8" s="43" t="n"/>
      <c r="U8" s="43" t="n"/>
      <c r="V8" s="43" t="n"/>
      <c r="W8" s="43" t="n"/>
      <c r="X8" s="43" t="n"/>
      <c r="Y8" s="43" t="n"/>
      <c r="Z8" s="43" t="n"/>
    </row>
    <row r="9">
      <c r="A9" s="64" t="inlineStr">
        <is>
          <t>Kosten</t>
        </is>
      </c>
      <c r="B9" s="65" t="inlineStr">
        <is>
          <t>Onboarding-Aufwand</t>
        </is>
      </c>
      <c r="C9" s="65" t="inlineStr">
        <is>
          <t>Stunden</t>
        </is>
      </c>
      <c r="D9" s="65" t="n">
        <v>120</v>
      </c>
      <c r="E9" s="65" t="n">
        <v>60</v>
      </c>
      <c r="F9" s="65" t="n">
        <v>30</v>
      </c>
      <c r="G9" s="66" t="inlineStr">
        <is>
          <t>Lothar.bm: Hoher Aufwand bei alten IT-Systemen.</t>
        </is>
      </c>
      <c r="H9" s="43" t="n"/>
      <c r="I9" s="43" t="n"/>
      <c r="J9" s="43" t="n"/>
      <c r="K9" s="43" t="n"/>
      <c r="L9" s="43" t="n"/>
      <c r="M9" s="43" t="n"/>
      <c r="N9" s="43" t="n"/>
      <c r="O9" s="43" t="n"/>
      <c r="P9" s="43" t="n"/>
      <c r="Q9" s="43" t="n"/>
      <c r="R9" s="43" t="n"/>
      <c r="S9" s="43" t="n"/>
      <c r="T9" s="43" t="n"/>
      <c r="U9" s="43" t="n"/>
      <c r="V9" s="43" t="n"/>
      <c r="W9" s="43" t="n"/>
      <c r="X9" s="43" t="n"/>
      <c r="Y9" s="43" t="n"/>
      <c r="Z9" s="43" t="n"/>
    </row>
    <row r="10">
      <c r="A10" s="67" t="inlineStr">
        <is>
          <t>Effizienz</t>
        </is>
      </c>
      <c r="B10" s="69" t="inlineStr">
        <is>
          <t>AI-Personal-Hebel</t>
        </is>
      </c>
      <c r="C10" s="69" t="n"/>
      <c r="D10" s="69" t="n">
        <v>0</v>
      </c>
      <c r="E10" s="69" t="n">
        <v>6</v>
      </c>
      <c r="F10" s="69" t="n">
        <v>99</v>
      </c>
      <c r="G10" s="69" t="n"/>
      <c r="H10" s="43" t="n"/>
      <c r="I10" s="43" t="n"/>
      <c r="J10" s="43" t="n"/>
      <c r="K10" s="43" t="n"/>
      <c r="L10" s="43" t="n"/>
      <c r="M10" s="43" t="n"/>
      <c r="N10" s="43" t="n"/>
      <c r="O10" s="43" t="n"/>
      <c r="P10" s="43" t="n"/>
      <c r="Q10" s="43" t="n"/>
      <c r="R10" s="43" t="n"/>
      <c r="S10" s="43" t="n"/>
      <c r="T10" s="43" t="n"/>
      <c r="U10" s="43" t="n"/>
      <c r="V10" s="43" t="n"/>
      <c r="W10" s="43" t="n"/>
      <c r="X10" s="43" t="n"/>
      <c r="Y10" s="43" t="n"/>
      <c r="Z10" s="43" t="n"/>
    </row>
    <row r="11">
      <c r="A11" s="110" t="inlineStr">
        <is>
          <t>Consulting</t>
        </is>
      </c>
      <c r="B11" s="110" t="inlineStr">
        <is>
          <t>Consulting-Tage/Einsatz</t>
        </is>
      </c>
      <c r="C11" s="110" t="inlineStr">
        <is>
          <t>Tage/Einsatz</t>
        </is>
      </c>
      <c r="D11" s="132">
        <f>Szenarien_Analyse!C8</f>
        <v/>
      </c>
      <c r="E11" s="132">
        <f>Szenarien_Analyse!D8</f>
        <v/>
      </c>
      <c r="F11" s="132">
        <f>Szenarien_Analyse!E8</f>
        <v/>
      </c>
      <c r="G11" s="110" t="inlineStr">
        <is>
          <t>Referenziert Szenarien_Analyse Z.8 (dort bearbeitbar). gering=5 Tage | normal=10 Tage | stark=20 Tage. Direkte Eingabe hier überschreibt die Szenarien-Referenz.</t>
        </is>
      </c>
      <c r="H11" s="43" t="n"/>
      <c r="I11" s="43" t="n"/>
      <c r="J11" s="43" t="n"/>
      <c r="K11" s="43" t="n"/>
      <c r="L11" s="43" t="n"/>
      <c r="M11" s="43" t="n"/>
      <c r="N11" s="43" t="n"/>
      <c r="O11" s="43" t="n"/>
      <c r="P11" s="43" t="n"/>
      <c r="Q11" s="43" t="n"/>
      <c r="R11" s="43" t="n"/>
      <c r="S11" s="43" t="n"/>
      <c r="T11" s="43" t="n"/>
      <c r="U11" s="43" t="n"/>
      <c r="V11" s="43" t="n"/>
      <c r="W11" s="43" t="n"/>
      <c r="X11" s="43" t="n"/>
      <c r="Y11" s="43" t="n"/>
      <c r="Z11" s="43" t="n"/>
    </row>
    <row r="12" ht="35" customHeight="1" s="83">
      <c r="A12" s="133" t="inlineStr">
        <is>
          <t>Consulting</t>
        </is>
      </c>
      <c r="B12" s="108" t="inlineStr">
        <is>
          <t>Buchungs-Wahrscheinlichkeit Consulting</t>
        </is>
      </c>
      <c r="C12" s="134" t="inlineStr">
        <is>
          <t>%</t>
        </is>
      </c>
      <c r="D12" s="132">
        <f>Szenarien_Analyse!C5</f>
        <v/>
      </c>
      <c r="E12" s="132">
        <f>Szenarien_Analyse!D5</f>
        <v/>
      </c>
      <c r="F12" s="132">
        <f>Szenarien_Analyse!E5</f>
        <v/>
      </c>
      <c r="G12" s="110" t="inlineStr">
        <is>
          <t>Referenziert Szenarien_Analyse Z.5 (dort bearbeitbar). a) gering=20% – jeder 5. Kunde kauft Consulting, b) normal=50% – jeder 2. Kunde, c) stark=100% – jeder Kunde kauft Consulting-Tage.</t>
        </is>
      </c>
      <c r="H12" s="43" t="n"/>
      <c r="I12" s="43" t="n"/>
      <c r="J12" s="43" t="n"/>
      <c r="K12" s="43" t="n"/>
      <c r="L12" s="43" t="n"/>
      <c r="M12" s="43" t="n"/>
      <c r="N12" s="43" t="n"/>
      <c r="O12" s="43" t="n"/>
      <c r="P12" s="43" t="n"/>
      <c r="Q12" s="43" t="n"/>
      <c r="R12" s="43" t="n"/>
      <c r="S12" s="43" t="n"/>
      <c r="T12" s="43" t="n"/>
      <c r="U12" s="43" t="n"/>
      <c r="V12" s="43" t="n"/>
      <c r="W12" s="43" t="n"/>
      <c r="X12" s="43" t="n"/>
      <c r="Y12" s="43" t="n"/>
      <c r="Z12" s="43" t="n"/>
    </row>
    <row r="13" ht="30" customHeight="1" s="83">
      <c r="A13" s="110" t="inlineStr">
        <is>
          <t>Retention</t>
        </is>
      </c>
      <c r="B13" s="110" t="inlineStr">
        <is>
          <t>Net Revenue Retention (NRR)</t>
        </is>
      </c>
      <c r="C13" s="110" t="inlineStr">
        <is>
          <t>%</t>
        </is>
      </c>
      <c r="D13" s="132">
        <f>Szenarien_Analyse!C9</f>
        <v/>
      </c>
      <c r="E13" s="132">
        <f>Szenarien_Analyse!D9</f>
        <v/>
      </c>
      <c r="F13" s="132">
        <f>Szenarien_Analyse!E9</f>
        <v/>
      </c>
      <c r="G13" s="110" t="inlineStr">
        <is>
          <t>Szenarioabhängig (Szenarien_Analyse Z.9). Gering=105% | Normal=115% | Stark=130%.</t>
        </is>
      </c>
      <c r="H13" s="43" t="n"/>
      <c r="I13" s="43" t="n"/>
      <c r="J13" s="43" t="n"/>
      <c r="K13" s="43" t="n"/>
      <c r="L13" s="43" t="n"/>
      <c r="M13" s="43" t="n"/>
      <c r="N13" s="43" t="n"/>
      <c r="O13" s="43" t="n"/>
      <c r="P13" s="43" t="n"/>
      <c r="Q13" s="43" t="n"/>
      <c r="R13" s="43" t="n"/>
      <c r="S13" s="43" t="n"/>
      <c r="T13" s="43" t="n"/>
      <c r="U13" s="43" t="n"/>
      <c r="V13" s="43" t="n"/>
      <c r="W13" s="43" t="n"/>
      <c r="X13" s="43" t="n"/>
      <c r="Y13" s="43" t="n"/>
      <c r="Z13" s="43" t="n"/>
    </row>
    <row r="14" ht="30" customHeight="1" s="83">
      <c r="A14" s="110" t="inlineStr">
        <is>
          <t>Retention</t>
        </is>
      </c>
      <c r="B14" s="110" t="inlineStr">
        <is>
          <t>Churn Rate</t>
        </is>
      </c>
      <c r="C14" s="110" t="inlineStr">
        <is>
          <t>%/Jahr</t>
        </is>
      </c>
      <c r="D14" s="132">
        <f>Szenarien_Analyse!C10</f>
        <v/>
      </c>
      <c r="E14" s="132">
        <f>Szenarien_Analyse!D10</f>
        <v/>
      </c>
      <c r="F14" s="132">
        <f>Szenarien_Analyse!E10</f>
        <v/>
      </c>
      <c r="G14" s="110" t="inlineStr">
        <is>
          <t>Szenarioabhängig (Szenarien_Analyse Z.10). Gering=10% | Normal=6% | Stark=3%.</t>
        </is>
      </c>
      <c r="H14" s="43" t="n"/>
      <c r="I14" s="43" t="n"/>
      <c r="J14" s="43" t="n"/>
      <c r="K14" s="43" t="n"/>
      <c r="L14" s="43" t="n"/>
      <c r="M14" s="43" t="n"/>
      <c r="N14" s="43" t="n"/>
      <c r="O14" s="43" t="n"/>
      <c r="P14" s="43" t="n"/>
      <c r="Q14" s="43" t="n"/>
      <c r="R14" s="43" t="n"/>
      <c r="S14" s="43" t="n"/>
      <c r="T14" s="43" t="n"/>
      <c r="U14" s="43" t="n"/>
      <c r="V14" s="43" t="n"/>
      <c r="W14" s="43" t="n"/>
      <c r="X14" s="43" t="n"/>
      <c r="Y14" s="43" t="n"/>
      <c r="Z14" s="43" t="n"/>
    </row>
    <row r="15" ht="30" customHeight="1" s="83">
      <c r="A15" s="110" t="inlineStr">
        <is>
          <t>Consulting</t>
        </is>
      </c>
      <c r="B15" s="110" t="inlineStr">
        <is>
          <t>Consulting-Startmonat</t>
        </is>
      </c>
      <c r="C15" s="110" t="inlineStr">
        <is>
          <t>Monat</t>
        </is>
      </c>
      <c r="D15" s="132">
        <f>Szenarien_Analyse!C11</f>
        <v/>
      </c>
      <c r="E15" s="132">
        <f>Szenarien_Analyse!D11</f>
        <v/>
      </c>
      <c r="F15" s="132">
        <f>Szenarien_Analyse!E11</f>
        <v/>
      </c>
      <c r="G15" s="110" t="inlineStr">
        <is>
          <t>Szenarioabhängig (Szenarien_Analyse Z.11). Gering=3 | Normal=4 | Stark=6.</t>
        </is>
      </c>
      <c r="H15" s="43" t="n"/>
      <c r="I15" s="43" t="n"/>
      <c r="J15" s="43" t="n"/>
      <c r="K15" s="43" t="n"/>
      <c r="L15" s="43" t="n"/>
      <c r="M15" s="43" t="n"/>
      <c r="N15" s="43" t="n"/>
      <c r="O15" s="43" t="n"/>
      <c r="P15" s="43" t="n"/>
      <c r="Q15" s="43" t="n"/>
      <c r="R15" s="43" t="n"/>
      <c r="S15" s="43" t="n"/>
      <c r="T15" s="43" t="n"/>
      <c r="U15" s="43" t="n"/>
      <c r="V15" s="43" t="n"/>
      <c r="W15" s="43" t="n"/>
      <c r="X15" s="43" t="n"/>
      <c r="Y15" s="43" t="n"/>
      <c r="Z15" s="43" t="n"/>
    </row>
    <row r="16">
      <c r="A16" s="43" t="n"/>
      <c r="B16" s="43" t="n"/>
      <c r="C16" s="43" t="n"/>
      <c r="D16" s="43" t="n"/>
      <c r="E16" s="43" t="n"/>
      <c r="F16" s="43" t="n"/>
      <c r="G16" s="43" t="n"/>
      <c r="H16" s="43" t="n"/>
      <c r="I16" s="43" t="n"/>
      <c r="J16" s="43" t="n"/>
      <c r="K16" s="43" t="n"/>
      <c r="L16" s="43" t="n"/>
      <c r="M16" s="43" t="n"/>
      <c r="N16" s="43" t="n"/>
      <c r="O16" s="43" t="n"/>
      <c r="P16" s="43" t="n"/>
      <c r="Q16" s="43" t="n"/>
      <c r="R16" s="43" t="n"/>
      <c r="S16" s="43" t="n"/>
      <c r="T16" s="43" t="n"/>
      <c r="U16" s="43" t="n"/>
      <c r="V16" s="43" t="n"/>
      <c r="W16" s="43" t="n"/>
      <c r="X16" s="43" t="n"/>
      <c r="Y16" s="43" t="n"/>
      <c r="Z16" s="43" t="n"/>
    </row>
    <row r="17">
      <c r="A17" s="43" t="n"/>
      <c r="B17" s="43" t="n"/>
      <c r="C17" s="43" t="n"/>
      <c r="D17" s="43" t="n"/>
      <c r="E17" s="43" t="n"/>
      <c r="F17" s="43" t="n"/>
      <c r="G17" s="43" t="n"/>
      <c r="H17" s="43" t="n"/>
      <c r="I17" s="43" t="n"/>
      <c r="J17" s="43" t="n"/>
      <c r="K17" s="43" t="n"/>
      <c r="L17" s="43" t="n"/>
      <c r="M17" s="43" t="n"/>
      <c r="N17" s="43" t="n"/>
      <c r="O17" s="43" t="n"/>
      <c r="P17" s="43" t="n"/>
      <c r="Q17" s="43" t="n"/>
      <c r="R17" s="43" t="n"/>
      <c r="S17" s="43" t="n"/>
      <c r="T17" s="43" t="n"/>
      <c r="U17" s="43" t="n"/>
      <c r="V17" s="43" t="n"/>
      <c r="W17" s="43" t="n"/>
      <c r="X17" s="43" t="n"/>
      <c r="Y17" s="43" t="n"/>
      <c r="Z17" s="43" t="n"/>
    </row>
    <row r="18">
      <c r="A18" s="43" t="n"/>
      <c r="B18" s="43" t="n"/>
      <c r="C18" s="43" t="n"/>
      <c r="D18" s="43" t="n"/>
      <c r="E18" s="43" t="n"/>
      <c r="F18" s="43" t="n"/>
      <c r="G18" s="43" t="n"/>
      <c r="H18" s="43" t="n"/>
      <c r="I18" s="43" t="n"/>
      <c r="J18" s="43" t="n"/>
      <c r="K18" s="43" t="n"/>
      <c r="L18" s="43" t="n"/>
      <c r="M18" s="43" t="n"/>
      <c r="N18" s="43" t="n"/>
      <c r="O18" s="43" t="n"/>
      <c r="P18" s="43" t="n"/>
      <c r="Q18" s="43" t="n"/>
      <c r="R18" s="43" t="n"/>
      <c r="S18" s="43" t="n"/>
      <c r="T18" s="43" t="n"/>
      <c r="U18" s="43" t="n"/>
      <c r="V18" s="43" t="n"/>
      <c r="W18" s="43" t="n"/>
      <c r="X18" s="43" t="n"/>
      <c r="Y18" s="43" t="n"/>
      <c r="Z18" s="43" t="n"/>
    </row>
    <row r="19">
      <c r="A19" s="43" t="n"/>
      <c r="B19" s="43" t="n"/>
      <c r="C19" s="43" t="n"/>
      <c r="D19" s="43" t="n"/>
      <c r="E19" s="43" t="n"/>
      <c r="F19" s="43" t="n"/>
      <c r="G19" s="43" t="n"/>
      <c r="H19" s="43" t="n"/>
      <c r="I19" s="43" t="n"/>
      <c r="J19" s="43" t="n"/>
      <c r="K19" s="43" t="n"/>
      <c r="L19" s="43" t="n"/>
      <c r="M19" s="43" t="n"/>
      <c r="N19" s="43" t="n"/>
      <c r="O19" s="43" t="n"/>
      <c r="P19" s="43" t="n"/>
      <c r="Q19" s="43" t="n"/>
      <c r="R19" s="43" t="n"/>
      <c r="S19" s="43" t="n"/>
      <c r="T19" s="43" t="n"/>
      <c r="U19" s="43" t="n"/>
      <c r="V19" s="43" t="n"/>
      <c r="W19" s="43" t="n"/>
      <c r="X19" s="43" t="n"/>
      <c r="Y19" s="43" t="n"/>
      <c r="Z19" s="43" t="n"/>
    </row>
    <row r="20">
      <c r="A20" s="43" t="n"/>
      <c r="B20" s="43" t="n"/>
      <c r="C20" s="43" t="n"/>
      <c r="D20" s="43" t="n"/>
      <c r="E20" s="43" t="n"/>
      <c r="F20" s="43" t="n"/>
      <c r="G20" s="43" t="n"/>
      <c r="H20" s="43" t="n"/>
      <c r="I20" s="43" t="n"/>
      <c r="J20" s="43" t="n"/>
      <c r="K20" s="43" t="n"/>
      <c r="L20" s="43" t="n"/>
      <c r="M20" s="43" t="n"/>
      <c r="N20" s="43" t="n"/>
      <c r="O20" s="43" t="n"/>
      <c r="P20" s="43" t="n"/>
      <c r="Q20" s="43" t="n"/>
      <c r="R20" s="43" t="n"/>
      <c r="S20" s="43" t="n"/>
      <c r="T20" s="43" t="n"/>
      <c r="U20" s="43" t="n"/>
      <c r="V20" s="43" t="n"/>
      <c r="W20" s="43" t="n"/>
      <c r="X20" s="43" t="n"/>
      <c r="Y20" s="43" t="n"/>
      <c r="Z20" s="43" t="n"/>
    </row>
    <row r="21">
      <c r="A21" s="43" t="n"/>
      <c r="B21" s="43" t="n"/>
      <c r="C21" s="43" t="n"/>
      <c r="D21" s="43" t="n"/>
      <c r="E21" s="43" t="n"/>
      <c r="F21" s="43" t="n"/>
      <c r="G21" s="43" t="n"/>
      <c r="H21" s="43" t="n"/>
      <c r="I21" s="43" t="n"/>
      <c r="J21" s="43" t="n"/>
      <c r="K21" s="43" t="n"/>
      <c r="L21" s="43" t="n"/>
      <c r="M21" s="43" t="n"/>
      <c r="N21" s="43" t="n"/>
      <c r="O21" s="43" t="n"/>
      <c r="P21" s="43" t="n"/>
      <c r="Q21" s="43" t="n"/>
      <c r="R21" s="43" t="n"/>
      <c r="S21" s="43" t="n"/>
      <c r="T21" s="43" t="n"/>
      <c r="U21" s="43" t="n"/>
      <c r="V21" s="43" t="n"/>
      <c r="W21" s="43" t="n"/>
      <c r="X21" s="43" t="n"/>
      <c r="Y21" s="43" t="n"/>
      <c r="Z21" s="43" t="n"/>
    </row>
    <row r="22">
      <c r="A22" s="43" t="n"/>
      <c r="B22" s="43" t="n"/>
      <c r="C22" s="43" t="n"/>
      <c r="D22" s="43" t="n"/>
      <c r="E22" s="43" t="n"/>
      <c r="F22" s="43" t="n"/>
      <c r="G22" s="43" t="n"/>
      <c r="H22" s="43" t="n"/>
      <c r="I22" s="43" t="n"/>
      <c r="J22" s="43" t="n"/>
      <c r="K22" s="43" t="n"/>
      <c r="L22" s="43" t="n"/>
      <c r="M22" s="43" t="n"/>
      <c r="N22" s="43" t="n"/>
      <c r="O22" s="43" t="n"/>
      <c r="P22" s="43" t="n"/>
      <c r="Q22" s="43" t="n"/>
      <c r="R22" s="43" t="n"/>
      <c r="S22" s="43" t="n"/>
      <c r="T22" s="43" t="n"/>
      <c r="U22" s="43" t="n"/>
      <c r="V22" s="43" t="n"/>
      <c r="W22" s="43" t="n"/>
      <c r="X22" s="43" t="n"/>
      <c r="Y22" s="43" t="n"/>
      <c r="Z22" s="43" t="n"/>
    </row>
    <row r="23">
      <c r="A23" s="43" t="n"/>
      <c r="B23" s="43" t="n"/>
      <c r="C23" s="43" t="n"/>
      <c r="D23" s="43" t="n"/>
      <c r="E23" s="43" t="n"/>
      <c r="F23" s="43" t="n"/>
      <c r="G23" s="43" t="n"/>
      <c r="H23" s="43" t="n"/>
      <c r="I23" s="43" t="n"/>
      <c r="J23" s="43" t="n"/>
      <c r="K23" s="43" t="n"/>
      <c r="L23" s="43" t="n"/>
      <c r="M23" s="43" t="n"/>
      <c r="N23" s="43" t="n"/>
      <c r="O23" s="43" t="n"/>
      <c r="P23" s="43" t="n"/>
      <c r="Q23" s="43" t="n"/>
      <c r="R23" s="43" t="n"/>
      <c r="S23" s="43" t="n"/>
      <c r="T23" s="43" t="n"/>
      <c r="U23" s="43" t="n"/>
      <c r="V23" s="43" t="n"/>
      <c r="W23" s="43" t="n"/>
      <c r="X23" s="43" t="n"/>
      <c r="Y23" s="43" t="n"/>
      <c r="Z23" s="43" t="n"/>
    </row>
    <row r="24">
      <c r="A24" s="43" t="n"/>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3" t="n"/>
      <c r="Y24" s="43" t="n"/>
      <c r="Z24" s="43" t="n"/>
    </row>
    <row r="25">
      <c r="A25" s="43" t="n"/>
      <c r="B25" s="43" t="n"/>
      <c r="C25" s="43" t="n"/>
      <c r="D25" s="43" t="n"/>
      <c r="E25" s="43" t="n"/>
      <c r="F25" s="43" t="n"/>
      <c r="G25" s="43" t="n"/>
      <c r="H25" s="43" t="n"/>
      <c r="I25" s="43" t="n"/>
      <c r="J25" s="43" t="n"/>
      <c r="K25" s="43" t="n"/>
      <c r="L25" s="43" t="n"/>
      <c r="M25" s="43" t="n"/>
      <c r="N25" s="43" t="n"/>
      <c r="O25" s="43" t="n"/>
      <c r="P25" s="43" t="n"/>
      <c r="Q25" s="43" t="n"/>
      <c r="R25" s="43" t="n"/>
      <c r="S25" s="43" t="n"/>
      <c r="T25" s="43" t="n"/>
      <c r="U25" s="43" t="n"/>
      <c r="V25" s="43" t="n"/>
      <c r="W25" s="43" t="n"/>
      <c r="X25" s="43" t="n"/>
      <c r="Y25" s="43" t="n"/>
      <c r="Z25" s="43" t="n"/>
    </row>
    <row r="26">
      <c r="A26" s="43" t="n"/>
      <c r="B26" s="43" t="n"/>
      <c r="C26" s="43" t="n"/>
      <c r="D26" s="43" t="n"/>
      <c r="E26" s="43" t="n"/>
      <c r="F26" s="43" t="n"/>
      <c r="G26" s="43" t="n"/>
      <c r="H26" s="43" t="n"/>
      <c r="I26" s="43" t="n"/>
      <c r="J26" s="43" t="n"/>
      <c r="K26" s="43" t="n"/>
      <c r="L26" s="43" t="n"/>
      <c r="M26" s="43" t="n"/>
      <c r="N26" s="43" t="n"/>
      <c r="O26" s="43" t="n"/>
      <c r="P26" s="43" t="n"/>
      <c r="Q26" s="43" t="n"/>
      <c r="R26" s="43" t="n"/>
      <c r="S26" s="43" t="n"/>
      <c r="T26" s="43" t="n"/>
      <c r="U26" s="43" t="n"/>
      <c r="V26" s="43" t="n"/>
      <c r="W26" s="43" t="n"/>
      <c r="X26" s="43" t="n"/>
      <c r="Y26" s="43" t="n"/>
      <c r="Z26" s="43" t="n"/>
    </row>
    <row r="27">
      <c r="A27" s="43" t="n"/>
      <c r="B27" s="43" t="n"/>
      <c r="C27" s="43" t="n"/>
      <c r="D27" s="43" t="n"/>
      <c r="E27" s="43" t="n"/>
      <c r="F27" s="43" t="n"/>
      <c r="G27" s="43" t="n"/>
      <c r="H27" s="43" t="n"/>
      <c r="I27" s="43" t="n"/>
      <c r="J27" s="43" t="n"/>
      <c r="K27" s="43" t="n"/>
      <c r="L27" s="43" t="n"/>
      <c r="M27" s="43" t="n"/>
      <c r="N27" s="43" t="n"/>
      <c r="O27" s="43" t="n"/>
      <c r="P27" s="43" t="n"/>
      <c r="Q27" s="43" t="n"/>
      <c r="R27" s="43" t="n"/>
      <c r="S27" s="43" t="n"/>
      <c r="T27" s="43" t="n"/>
      <c r="U27" s="43" t="n"/>
      <c r="V27" s="43" t="n"/>
      <c r="W27" s="43" t="n"/>
      <c r="X27" s="43" t="n"/>
      <c r="Y27" s="43" t="n"/>
      <c r="Z27" s="43" t="n"/>
    </row>
    <row r="28">
      <c r="A28" s="43" t="n"/>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3" t="n"/>
      <c r="Y28" s="43" t="n"/>
      <c r="Z28" s="43" t="n"/>
    </row>
    <row r="29">
      <c r="A29" s="43" t="n"/>
      <c r="B29" s="43" t="n"/>
      <c r="C29" s="43" t="n"/>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3" t="n"/>
      <c r="Y29" s="43" t="n"/>
      <c r="Z29" s="43" t="n"/>
    </row>
    <row r="30">
      <c r="A30" s="43" t="n"/>
      <c r="B30" s="43" t="n"/>
      <c r="C30" s="43" t="n"/>
      <c r="D30" s="43" t="n"/>
      <c r="E30" s="43" t="n"/>
      <c r="F30" s="43" t="n"/>
      <c r="G30" s="43" t="n"/>
      <c r="H30" s="43" t="n"/>
      <c r="I30" s="43" t="n"/>
      <c r="J30" s="43" t="n"/>
      <c r="K30" s="43" t="n"/>
      <c r="L30" s="43" t="n"/>
      <c r="M30" s="43" t="n"/>
      <c r="N30" s="43" t="n"/>
      <c r="O30" s="43" t="n"/>
      <c r="P30" s="43" t="n"/>
      <c r="Q30" s="43" t="n"/>
      <c r="R30" s="43" t="n"/>
      <c r="S30" s="43" t="n"/>
      <c r="T30" s="43" t="n"/>
      <c r="U30" s="43" t="n"/>
      <c r="V30" s="43" t="n"/>
      <c r="W30" s="43" t="n"/>
      <c r="X30" s="43" t="n"/>
      <c r="Y30" s="43" t="n"/>
      <c r="Z30" s="43" t="n"/>
    </row>
    <row r="31">
      <c r="A31" s="43" t="n"/>
      <c r="B31" s="43" t="n"/>
      <c r="C31" s="43" t="n"/>
      <c r="D31" s="43" t="n"/>
      <c r="E31" s="43" t="n"/>
      <c r="F31" s="43" t="n"/>
      <c r="G31" s="43" t="n"/>
      <c r="H31" s="43" t="n"/>
      <c r="I31" s="43" t="n"/>
      <c r="J31" s="43" t="n"/>
      <c r="K31" s="43" t="n"/>
      <c r="L31" s="43" t="n"/>
      <c r="M31" s="43" t="n"/>
      <c r="N31" s="43" t="n"/>
      <c r="O31" s="43" t="n"/>
      <c r="P31" s="43" t="n"/>
      <c r="Q31" s="43" t="n"/>
      <c r="R31" s="43" t="n"/>
      <c r="S31" s="43" t="n"/>
      <c r="T31" s="43" t="n"/>
      <c r="U31" s="43" t="n"/>
      <c r="V31" s="43" t="n"/>
      <c r="W31" s="43" t="n"/>
      <c r="X31" s="43" t="n"/>
      <c r="Y31" s="43" t="n"/>
      <c r="Z31" s="43" t="n"/>
    </row>
    <row r="32">
      <c r="A32" s="43" t="n"/>
      <c r="B32" s="43" t="n"/>
      <c r="C32" s="43" t="n"/>
      <c r="D32" s="43" t="n"/>
      <c r="E32" s="43" t="n"/>
      <c r="F32" s="43" t="n"/>
      <c r="G32" s="43" t="n"/>
      <c r="H32" s="43" t="n"/>
      <c r="I32" s="43" t="n"/>
      <c r="J32" s="43" t="n"/>
      <c r="K32" s="43" t="n"/>
      <c r="L32" s="43" t="n"/>
      <c r="M32" s="43" t="n"/>
      <c r="N32" s="43" t="n"/>
      <c r="O32" s="43" t="n"/>
      <c r="P32" s="43" t="n"/>
      <c r="Q32" s="43" t="n"/>
      <c r="R32" s="43" t="n"/>
      <c r="S32" s="43" t="n"/>
      <c r="T32" s="43" t="n"/>
      <c r="U32" s="43" t="n"/>
      <c r="V32" s="43" t="n"/>
      <c r="W32" s="43" t="n"/>
      <c r="X32" s="43" t="n"/>
      <c r="Y32" s="43" t="n"/>
      <c r="Z32" s="43" t="n"/>
    </row>
    <row r="33">
      <c r="A33" s="43" t="n"/>
      <c r="B33" s="43" t="n"/>
      <c r="C33" s="43" t="n"/>
      <c r="D33" s="43" t="n"/>
      <c r="E33" s="43" t="n"/>
      <c r="F33" s="43" t="n"/>
      <c r="G33" s="43" t="n"/>
      <c r="H33" s="43" t="n"/>
      <c r="I33" s="43" t="n"/>
      <c r="J33" s="43" t="n"/>
      <c r="K33" s="43" t="n"/>
      <c r="L33" s="43" t="n"/>
      <c r="M33" s="43" t="n"/>
      <c r="N33" s="43" t="n"/>
      <c r="O33" s="43" t="n"/>
      <c r="P33" s="43" t="n"/>
      <c r="Q33" s="43" t="n"/>
      <c r="R33" s="43" t="n"/>
      <c r="S33" s="43" t="n"/>
      <c r="T33" s="43" t="n"/>
      <c r="U33" s="43" t="n"/>
      <c r="V33" s="43" t="n"/>
      <c r="W33" s="43" t="n"/>
      <c r="X33" s="43" t="n"/>
      <c r="Y33" s="43" t="n"/>
      <c r="Z33" s="43" t="n"/>
    </row>
    <row r="34">
      <c r="A34" s="43" t="n"/>
      <c r="B34" s="43" t="n"/>
      <c r="C34" s="43" t="n"/>
      <c r="D34" s="43" t="n"/>
      <c r="E34" s="43" t="n"/>
      <c r="F34" s="43" t="n"/>
      <c r="G34" s="43" t="n"/>
      <c r="H34" s="43" t="n"/>
      <c r="I34" s="43" t="n"/>
      <c r="J34" s="43" t="n"/>
      <c r="K34" s="43" t="n"/>
      <c r="L34" s="43" t="n"/>
      <c r="M34" s="43" t="n"/>
      <c r="N34" s="43" t="n"/>
      <c r="O34" s="43" t="n"/>
      <c r="P34" s="43" t="n"/>
      <c r="Q34" s="43" t="n"/>
      <c r="R34" s="43" t="n"/>
      <c r="S34" s="43" t="n"/>
      <c r="T34" s="43" t="n"/>
      <c r="U34" s="43" t="n"/>
      <c r="V34" s="43" t="n"/>
      <c r="W34" s="43" t="n"/>
      <c r="X34" s="43" t="n"/>
      <c r="Y34" s="43" t="n"/>
      <c r="Z34" s="43" t="n"/>
    </row>
    <row r="35">
      <c r="A35" s="43" t="n"/>
      <c r="B35" s="43" t="n"/>
      <c r="C35" s="43" t="n"/>
      <c r="D35" s="43" t="n"/>
      <c r="E35" s="43" t="n"/>
      <c r="F35" s="43" t="n"/>
      <c r="G35" s="43" t="n"/>
      <c r="H35" s="43" t="n"/>
      <c r="I35" s="43" t="n"/>
      <c r="J35" s="43" t="n"/>
      <c r="K35" s="43" t="n"/>
      <c r="L35" s="43" t="n"/>
      <c r="M35" s="43" t="n"/>
      <c r="N35" s="43" t="n"/>
      <c r="O35" s="43" t="n"/>
      <c r="P35" s="43" t="n"/>
      <c r="Q35" s="43" t="n"/>
      <c r="R35" s="43" t="n"/>
      <c r="S35" s="43" t="n"/>
      <c r="T35" s="43" t="n"/>
      <c r="U35" s="43" t="n"/>
      <c r="V35" s="43" t="n"/>
      <c r="W35" s="43" t="n"/>
      <c r="X35" s="43" t="n"/>
      <c r="Y35" s="43" t="n"/>
      <c r="Z35" s="43" t="n"/>
    </row>
    <row r="36">
      <c r="A36" s="43" t="n"/>
      <c r="B36" s="43" t="n"/>
      <c r="C36" s="43" t="n"/>
      <c r="D36" s="43" t="n"/>
      <c r="E36" s="43" t="n"/>
      <c r="F36" s="43" t="n"/>
      <c r="G36" s="43" t="n"/>
      <c r="H36" s="43" t="n"/>
      <c r="I36" s="43" t="n"/>
      <c r="J36" s="43" t="n"/>
      <c r="K36" s="43" t="n"/>
      <c r="L36" s="43" t="n"/>
      <c r="M36" s="43" t="n"/>
      <c r="N36" s="43" t="n"/>
      <c r="O36" s="43" t="n"/>
      <c r="P36" s="43" t="n"/>
      <c r="Q36" s="43" t="n"/>
      <c r="R36" s="43" t="n"/>
      <c r="S36" s="43" t="n"/>
      <c r="T36" s="43" t="n"/>
      <c r="U36" s="43" t="n"/>
      <c r="V36" s="43" t="n"/>
      <c r="W36" s="43" t="n"/>
      <c r="X36" s="43" t="n"/>
      <c r="Y36" s="43" t="n"/>
      <c r="Z36" s="43" t="n"/>
    </row>
    <row r="37">
      <c r="A37" s="43" t="n"/>
      <c r="B37" s="43" t="n"/>
      <c r="C37" s="43" t="n"/>
      <c r="D37" s="43" t="n"/>
      <c r="E37" s="43" t="n"/>
      <c r="F37" s="43" t="n"/>
      <c r="G37" s="43" t="n"/>
      <c r="H37" s="43" t="n"/>
      <c r="I37" s="43" t="n"/>
      <c r="J37" s="43" t="n"/>
      <c r="K37" s="43" t="n"/>
      <c r="L37" s="43" t="n"/>
      <c r="M37" s="43" t="n"/>
      <c r="N37" s="43" t="n"/>
      <c r="O37" s="43" t="n"/>
      <c r="P37" s="43" t="n"/>
      <c r="Q37" s="43" t="n"/>
      <c r="R37" s="43" t="n"/>
      <c r="S37" s="43" t="n"/>
      <c r="T37" s="43" t="n"/>
      <c r="U37" s="43" t="n"/>
      <c r="V37" s="43" t="n"/>
      <c r="W37" s="43" t="n"/>
      <c r="X37" s="43" t="n"/>
      <c r="Y37" s="43" t="n"/>
      <c r="Z37" s="43" t="n"/>
    </row>
    <row r="38">
      <c r="A38" s="43" t="n"/>
      <c r="B38" s="43" t="n"/>
      <c r="C38" s="43" t="n"/>
      <c r="D38" s="43" t="n"/>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n"/>
    </row>
    <row r="39">
      <c r="A39" s="43" t="n"/>
      <c r="B39" s="43" t="n"/>
      <c r="C39" s="43" t="n"/>
      <c r="D39" s="43" t="n"/>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row>
    <row r="40">
      <c r="A40" s="43" t="n"/>
      <c r="B40" s="43" t="n"/>
      <c r="C40" s="43" t="n"/>
      <c r="D40" s="43" t="n"/>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row>
    <row r="41">
      <c r="A41" s="43" t="n"/>
      <c r="B41" s="43" t="n"/>
      <c r="C41" s="43" t="n"/>
      <c r="D41" s="43" t="n"/>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row>
    <row r="42">
      <c r="A42" s="43" t="n"/>
      <c r="B42" s="43" t="n"/>
      <c r="C42" s="43" t="n"/>
      <c r="D42" s="43" t="n"/>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row>
    <row r="43">
      <c r="A43" s="43" t="n"/>
      <c r="B43" s="43" t="n"/>
      <c r="C43" s="43" t="n"/>
      <c r="D43" s="43"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row>
    <row r="44">
      <c r="A44" s="43" t="n"/>
      <c r="B44" s="43" t="n"/>
      <c r="C44" s="43" t="n"/>
      <c r="D44" s="43" t="n"/>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n"/>
    </row>
    <row r="45">
      <c r="A45" s="43" t="n"/>
      <c r="B45" s="43" t="n"/>
      <c r="C45" s="43" t="n"/>
      <c r="D45" s="43" t="n"/>
      <c r="E45" s="43" t="n"/>
      <c r="F45" s="43" t="n"/>
      <c r="G45" s="43" t="n"/>
      <c r="H45" s="43" t="n"/>
      <c r="I45" s="43" t="n"/>
      <c r="J45" s="43" t="n"/>
      <c r="K45" s="43" t="n"/>
      <c r="L45" s="43" t="n"/>
      <c r="M45" s="43" t="n"/>
      <c r="N45" s="43" t="n"/>
      <c r="O45" s="43" t="n"/>
      <c r="P45" s="43" t="n"/>
      <c r="Q45" s="43" t="n"/>
      <c r="R45" s="43" t="n"/>
      <c r="S45" s="43" t="n"/>
      <c r="T45" s="43" t="n"/>
      <c r="U45" s="43" t="n"/>
      <c r="V45" s="43" t="n"/>
      <c r="W45" s="43" t="n"/>
      <c r="X45" s="43" t="n"/>
      <c r="Y45" s="43" t="n"/>
      <c r="Z45" s="43" t="n"/>
    </row>
    <row r="46">
      <c r="A46" s="43" t="n"/>
      <c r="B46" s="43" t="n"/>
      <c r="C46" s="43" t="n"/>
      <c r="D46" s="43"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row>
    <row r="47">
      <c r="A47" s="43" t="n"/>
      <c r="B47" s="43" t="n"/>
      <c r="C47" s="43" t="n"/>
      <c r="D47" s="43" t="n"/>
      <c r="E47" s="43" t="n"/>
      <c r="F47" s="43" t="n"/>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row>
    <row r="48">
      <c r="A48" s="43" t="n"/>
      <c r="B48" s="43" t="n"/>
      <c r="C48" s="43" t="n"/>
      <c r="D48" s="43" t="n"/>
      <c r="E48" s="43" t="n"/>
      <c r="F48" s="43" t="n"/>
      <c r="G48" s="43" t="n"/>
      <c r="H48" s="43" t="n"/>
      <c r="I48" s="43" t="n"/>
      <c r="J48" s="43" t="n"/>
      <c r="K48" s="43" t="n"/>
      <c r="L48" s="43" t="n"/>
      <c r="M48" s="43" t="n"/>
      <c r="N48" s="43" t="n"/>
      <c r="O48" s="43" t="n"/>
      <c r="P48" s="43" t="n"/>
      <c r="Q48" s="43" t="n"/>
      <c r="R48" s="43" t="n"/>
      <c r="S48" s="43" t="n"/>
      <c r="T48" s="43" t="n"/>
      <c r="U48" s="43" t="n"/>
      <c r="V48" s="43" t="n"/>
      <c r="W48" s="43" t="n"/>
      <c r="X48" s="43" t="n"/>
      <c r="Y48" s="43" t="n"/>
      <c r="Z48" s="43" t="n"/>
    </row>
    <row r="49">
      <c r="A49" s="43" t="n"/>
      <c r="B49" s="43" t="n"/>
      <c r="C49" s="43" t="n"/>
      <c r="D49" s="43" t="n"/>
      <c r="E49" s="43" t="n"/>
      <c r="F49" s="43" t="n"/>
      <c r="G49" s="43" t="n"/>
      <c r="H49" s="43" t="n"/>
      <c r="I49" s="43" t="n"/>
      <c r="J49" s="43" t="n"/>
      <c r="K49" s="43" t="n"/>
      <c r="L49" s="43" t="n"/>
      <c r="M49" s="43" t="n"/>
      <c r="N49" s="43" t="n"/>
      <c r="O49" s="43" t="n"/>
      <c r="P49" s="43" t="n"/>
      <c r="Q49" s="43" t="n"/>
      <c r="R49" s="43" t="n"/>
      <c r="S49" s="43" t="n"/>
      <c r="T49" s="43" t="n"/>
      <c r="U49" s="43" t="n"/>
      <c r="V49" s="43" t="n"/>
      <c r="W49" s="43" t="n"/>
      <c r="X49" s="43" t="n"/>
      <c r="Y49" s="43" t="n"/>
      <c r="Z49" s="43" t="n"/>
    </row>
    <row r="50">
      <c r="A50" s="43" t="n"/>
      <c r="B50" s="43" t="n"/>
      <c r="C50" s="43" t="n"/>
      <c r="D50" s="43" t="n"/>
      <c r="E50" s="43" t="n"/>
      <c r="F50" s="43" t="n"/>
      <c r="G50" s="43" t="n"/>
      <c r="H50" s="43" t="n"/>
      <c r="I50" s="43" t="n"/>
      <c r="J50" s="43" t="n"/>
      <c r="K50" s="43" t="n"/>
      <c r="L50" s="43" t="n"/>
      <c r="M50" s="43" t="n"/>
      <c r="N50" s="43" t="n"/>
      <c r="O50" s="43" t="n"/>
      <c r="P50" s="43" t="n"/>
      <c r="Q50" s="43" t="n"/>
      <c r="R50" s="43" t="n"/>
      <c r="S50" s="43" t="n"/>
      <c r="T50" s="43" t="n"/>
      <c r="U50" s="43" t="n"/>
      <c r="V50" s="43" t="n"/>
      <c r="W50" s="43" t="n"/>
      <c r="X50" s="43" t="n"/>
      <c r="Y50" s="43" t="n"/>
      <c r="Z50" s="43" t="n"/>
    </row>
    <row r="51">
      <c r="A51" s="43" t="n"/>
      <c r="B51" s="43" t="n"/>
      <c r="C51" s="43" t="n"/>
      <c r="D51" s="43" t="n"/>
      <c r="E51" s="43" t="n"/>
      <c r="F51" s="43" t="n"/>
      <c r="G51" s="43" t="n"/>
      <c r="H51" s="43" t="n"/>
      <c r="I51" s="43" t="n"/>
      <c r="J51" s="43" t="n"/>
      <c r="K51" s="43" t="n"/>
      <c r="L51" s="43" t="n"/>
      <c r="M51" s="43" t="n"/>
      <c r="N51" s="43" t="n"/>
      <c r="O51" s="43" t="n"/>
      <c r="P51" s="43" t="n"/>
      <c r="Q51" s="43" t="n"/>
      <c r="R51" s="43" t="n"/>
      <c r="S51" s="43" t="n"/>
      <c r="T51" s="43" t="n"/>
      <c r="U51" s="43" t="n"/>
      <c r="V51" s="43" t="n"/>
      <c r="W51" s="43" t="n"/>
      <c r="X51" s="43" t="n"/>
      <c r="Y51" s="43" t="n"/>
      <c r="Z51" s="43" t="n"/>
    </row>
    <row r="52">
      <c r="A52" s="43" t="n"/>
      <c r="B52" s="43" t="n"/>
      <c r="C52" s="43" t="n"/>
      <c r="D52" s="43" t="n"/>
      <c r="E52" s="43" t="n"/>
      <c r="F52" s="43" t="n"/>
      <c r="G52" s="43" t="n"/>
      <c r="H52" s="43" t="n"/>
      <c r="I52" s="43" t="n"/>
      <c r="J52" s="43" t="n"/>
      <c r="K52" s="43" t="n"/>
      <c r="L52" s="43" t="n"/>
      <c r="M52" s="43" t="n"/>
      <c r="N52" s="43" t="n"/>
      <c r="O52" s="43" t="n"/>
      <c r="P52" s="43" t="n"/>
      <c r="Q52" s="43" t="n"/>
      <c r="R52" s="43" t="n"/>
      <c r="S52" s="43" t="n"/>
      <c r="T52" s="43" t="n"/>
      <c r="U52" s="43" t="n"/>
      <c r="V52" s="43" t="n"/>
      <c r="W52" s="43" t="n"/>
      <c r="X52" s="43" t="n"/>
      <c r="Y52" s="43" t="n"/>
      <c r="Z52" s="43" t="n"/>
    </row>
    <row r="53">
      <c r="A53" s="43" t="n"/>
      <c r="B53" s="43" t="n"/>
      <c r="C53" s="43" t="n"/>
      <c r="D53" s="43" t="n"/>
      <c r="E53" s="43" t="n"/>
      <c r="F53" s="43" t="n"/>
      <c r="G53" s="43" t="n"/>
      <c r="H53" s="43" t="n"/>
      <c r="I53" s="43" t="n"/>
      <c r="J53" s="43" t="n"/>
      <c r="K53" s="43" t="n"/>
      <c r="L53" s="43" t="n"/>
      <c r="M53" s="43" t="n"/>
      <c r="N53" s="43" t="n"/>
      <c r="O53" s="43" t="n"/>
      <c r="P53" s="43" t="n"/>
      <c r="Q53" s="43" t="n"/>
      <c r="R53" s="43" t="n"/>
      <c r="S53" s="43" t="n"/>
      <c r="T53" s="43" t="n"/>
      <c r="U53" s="43" t="n"/>
      <c r="V53" s="43" t="n"/>
      <c r="W53" s="43" t="n"/>
      <c r="X53" s="43" t="n"/>
      <c r="Y53" s="43" t="n"/>
      <c r="Z53" s="43" t="n"/>
    </row>
    <row r="54">
      <c r="A54" s="43" t="n"/>
      <c r="B54" s="43" t="n"/>
      <c r="C54" s="43" t="n"/>
      <c r="D54" s="43" t="n"/>
      <c r="E54" s="43" t="n"/>
      <c r="F54" s="43" t="n"/>
      <c r="G54" s="43" t="n"/>
      <c r="H54" s="43" t="n"/>
      <c r="I54" s="43" t="n"/>
      <c r="J54" s="43" t="n"/>
      <c r="K54" s="43" t="n"/>
      <c r="L54" s="43" t="n"/>
      <c r="M54" s="43" t="n"/>
      <c r="N54" s="43" t="n"/>
      <c r="O54" s="43" t="n"/>
      <c r="P54" s="43" t="n"/>
      <c r="Q54" s="43" t="n"/>
      <c r="R54" s="43" t="n"/>
      <c r="S54" s="43" t="n"/>
      <c r="T54" s="43" t="n"/>
      <c r="U54" s="43" t="n"/>
      <c r="V54" s="43" t="n"/>
      <c r="W54" s="43" t="n"/>
      <c r="X54" s="43" t="n"/>
      <c r="Y54" s="43" t="n"/>
      <c r="Z54" s="43" t="n"/>
    </row>
    <row r="55">
      <c r="A55" s="43" t="n"/>
      <c r="B55" s="43" t="n"/>
      <c r="C55" s="43" t="n"/>
      <c r="D55" s="43" t="n"/>
      <c r="E55" s="43" t="n"/>
      <c r="F55" s="43" t="n"/>
      <c r="G55" s="43" t="n"/>
      <c r="H55" s="43" t="n"/>
      <c r="I55" s="43" t="n"/>
      <c r="J55" s="43" t="n"/>
      <c r="K55" s="43" t="n"/>
      <c r="L55" s="43" t="n"/>
      <c r="M55" s="43" t="n"/>
      <c r="N55" s="43" t="n"/>
      <c r="O55" s="43" t="n"/>
      <c r="P55" s="43" t="n"/>
      <c r="Q55" s="43" t="n"/>
      <c r="R55" s="43" t="n"/>
      <c r="S55" s="43" t="n"/>
      <c r="T55" s="43" t="n"/>
      <c r="U55" s="43" t="n"/>
      <c r="V55" s="43" t="n"/>
      <c r="W55" s="43" t="n"/>
      <c r="X55" s="43" t="n"/>
      <c r="Y55" s="43" t="n"/>
      <c r="Z55" s="43" t="n"/>
    </row>
    <row r="56">
      <c r="A56" s="43" t="n"/>
      <c r="B56" s="43" t="n"/>
      <c r="C56" s="43" t="n"/>
      <c r="D56" s="43" t="n"/>
      <c r="E56" s="43" t="n"/>
      <c r="F56" s="43" t="n"/>
      <c r="G56" s="43" t="n"/>
      <c r="H56" s="43" t="n"/>
      <c r="I56" s="43" t="n"/>
      <c r="J56" s="43" t="n"/>
      <c r="K56" s="43" t="n"/>
      <c r="L56" s="43" t="n"/>
      <c r="M56" s="43" t="n"/>
      <c r="N56" s="43" t="n"/>
      <c r="O56" s="43" t="n"/>
      <c r="P56" s="43" t="n"/>
      <c r="Q56" s="43" t="n"/>
      <c r="R56" s="43" t="n"/>
      <c r="S56" s="43" t="n"/>
      <c r="T56" s="43" t="n"/>
      <c r="U56" s="43" t="n"/>
      <c r="V56" s="43" t="n"/>
      <c r="W56" s="43" t="n"/>
      <c r="X56" s="43" t="n"/>
      <c r="Y56" s="43" t="n"/>
      <c r="Z56" s="43" t="n"/>
    </row>
    <row r="57">
      <c r="A57" s="43" t="n"/>
      <c r="B57" s="43" t="n"/>
      <c r="C57" s="43" t="n"/>
      <c r="D57" s="43" t="n"/>
      <c r="E57" s="43" t="n"/>
      <c r="F57" s="43" t="n"/>
      <c r="G57" s="43" t="n"/>
      <c r="H57" s="43" t="n"/>
      <c r="I57" s="43" t="n"/>
      <c r="J57" s="43" t="n"/>
      <c r="K57" s="43" t="n"/>
      <c r="L57" s="43" t="n"/>
      <c r="M57" s="43" t="n"/>
      <c r="N57" s="43" t="n"/>
      <c r="O57" s="43" t="n"/>
      <c r="P57" s="43" t="n"/>
      <c r="Q57" s="43" t="n"/>
      <c r="R57" s="43" t="n"/>
      <c r="S57" s="43" t="n"/>
      <c r="T57" s="43" t="n"/>
      <c r="U57" s="43" t="n"/>
      <c r="V57" s="43" t="n"/>
      <c r="W57" s="43" t="n"/>
      <c r="X57" s="43" t="n"/>
      <c r="Y57" s="43" t="n"/>
      <c r="Z57" s="43" t="n"/>
    </row>
    <row r="58">
      <c r="A58" s="43" t="n"/>
      <c r="B58" s="43" t="n"/>
      <c r="C58" s="43" t="n"/>
      <c r="D58" s="43" t="n"/>
      <c r="E58" s="43" t="n"/>
      <c r="F58" s="43" t="n"/>
      <c r="G58" s="43" t="n"/>
      <c r="H58" s="43" t="n"/>
      <c r="I58" s="43" t="n"/>
      <c r="J58" s="43" t="n"/>
      <c r="K58" s="43" t="n"/>
      <c r="L58" s="43" t="n"/>
      <c r="M58" s="43" t="n"/>
      <c r="N58" s="43" t="n"/>
      <c r="O58" s="43" t="n"/>
      <c r="P58" s="43" t="n"/>
      <c r="Q58" s="43" t="n"/>
      <c r="R58" s="43" t="n"/>
      <c r="S58" s="43" t="n"/>
      <c r="T58" s="43" t="n"/>
      <c r="U58" s="43" t="n"/>
      <c r="V58" s="43" t="n"/>
      <c r="W58" s="43" t="n"/>
      <c r="X58" s="43" t="n"/>
      <c r="Y58" s="43" t="n"/>
      <c r="Z58" s="43" t="n"/>
    </row>
    <row r="59">
      <c r="A59" s="43" t="n"/>
      <c r="B59" s="43" t="n"/>
      <c r="C59" s="43" t="n"/>
      <c r="D59" s="43" t="n"/>
      <c r="E59" s="43" t="n"/>
      <c r="F59" s="43" t="n"/>
      <c r="G59" s="43" t="n"/>
      <c r="H59" s="43" t="n"/>
      <c r="I59" s="43" t="n"/>
      <c r="J59" s="43" t="n"/>
      <c r="K59" s="43" t="n"/>
      <c r="L59" s="43" t="n"/>
      <c r="M59" s="43" t="n"/>
      <c r="N59" s="43" t="n"/>
      <c r="O59" s="43" t="n"/>
      <c r="P59" s="43" t="n"/>
      <c r="Q59" s="43" t="n"/>
      <c r="R59" s="43" t="n"/>
      <c r="S59" s="43" t="n"/>
      <c r="T59" s="43" t="n"/>
      <c r="U59" s="43" t="n"/>
      <c r="V59" s="43" t="n"/>
      <c r="W59" s="43" t="n"/>
      <c r="X59" s="43" t="n"/>
      <c r="Y59" s="43" t="n"/>
      <c r="Z59" s="43" t="n"/>
    </row>
    <row r="60">
      <c r="A60" s="43" t="n"/>
      <c r="B60" s="43" t="n"/>
      <c r="C60" s="43" t="n"/>
      <c r="D60" s="43" t="n"/>
      <c r="E60" s="43" t="n"/>
      <c r="F60" s="43" t="n"/>
      <c r="G60" s="43" t="n"/>
      <c r="H60" s="43" t="n"/>
      <c r="I60" s="43" t="n"/>
      <c r="J60" s="43" t="n"/>
      <c r="K60" s="43" t="n"/>
      <c r="L60" s="43" t="n"/>
      <c r="M60" s="43" t="n"/>
      <c r="N60" s="43" t="n"/>
      <c r="O60" s="43" t="n"/>
      <c r="P60" s="43" t="n"/>
      <c r="Q60" s="43" t="n"/>
      <c r="R60" s="43" t="n"/>
      <c r="S60" s="43" t="n"/>
      <c r="T60" s="43" t="n"/>
      <c r="U60" s="43" t="n"/>
      <c r="V60" s="43" t="n"/>
      <c r="W60" s="43" t="n"/>
      <c r="X60" s="43" t="n"/>
      <c r="Y60" s="43" t="n"/>
      <c r="Z60" s="43" t="n"/>
    </row>
    <row r="61">
      <c r="A61" s="43" t="n"/>
      <c r="B61" s="43" t="n"/>
      <c r="C61" s="43" t="n"/>
      <c r="D61" s="43" t="n"/>
      <c r="E61" s="43" t="n"/>
      <c r="F61" s="43" t="n"/>
      <c r="G61" s="43" t="n"/>
      <c r="H61" s="43" t="n"/>
      <c r="I61" s="43" t="n"/>
      <c r="J61" s="43" t="n"/>
      <c r="K61" s="43" t="n"/>
      <c r="L61" s="43" t="n"/>
      <c r="M61" s="43" t="n"/>
      <c r="N61" s="43" t="n"/>
      <c r="O61" s="43" t="n"/>
      <c r="P61" s="43" t="n"/>
      <c r="Q61" s="43" t="n"/>
      <c r="R61" s="43" t="n"/>
      <c r="S61" s="43" t="n"/>
      <c r="T61" s="43" t="n"/>
      <c r="U61" s="43" t="n"/>
      <c r="V61" s="43" t="n"/>
      <c r="W61" s="43" t="n"/>
      <c r="X61" s="43" t="n"/>
      <c r="Y61" s="43" t="n"/>
      <c r="Z61" s="43" t="n"/>
    </row>
    <row r="62">
      <c r="A62" s="43" t="n"/>
      <c r="B62" s="43" t="n"/>
      <c r="C62" s="43" t="n"/>
      <c r="D62" s="43" t="n"/>
      <c r="E62" s="43" t="n"/>
      <c r="F62" s="43" t="n"/>
      <c r="G62" s="43" t="n"/>
      <c r="H62" s="43" t="n"/>
      <c r="I62" s="43" t="n"/>
      <c r="J62" s="43" t="n"/>
      <c r="K62" s="43" t="n"/>
      <c r="L62" s="43" t="n"/>
      <c r="M62" s="43" t="n"/>
      <c r="N62" s="43" t="n"/>
      <c r="O62" s="43" t="n"/>
      <c r="P62" s="43" t="n"/>
      <c r="Q62" s="43" t="n"/>
      <c r="R62" s="43" t="n"/>
      <c r="S62" s="43" t="n"/>
      <c r="T62" s="43" t="n"/>
      <c r="U62" s="43" t="n"/>
      <c r="V62" s="43" t="n"/>
      <c r="W62" s="43" t="n"/>
      <c r="X62" s="43" t="n"/>
      <c r="Y62" s="43" t="n"/>
      <c r="Z62" s="43" t="n"/>
    </row>
    <row r="63">
      <c r="A63" s="43" t="n"/>
      <c r="B63" s="43" t="n"/>
      <c r="C63" s="43" t="n"/>
      <c r="D63" s="43" t="n"/>
      <c r="E63" s="43" t="n"/>
      <c r="F63" s="43" t="n"/>
      <c r="G63" s="43" t="n"/>
      <c r="H63" s="43" t="n"/>
      <c r="I63" s="43" t="n"/>
      <c r="J63" s="43" t="n"/>
      <c r="K63" s="43" t="n"/>
      <c r="L63" s="43" t="n"/>
      <c r="M63" s="43" t="n"/>
      <c r="N63" s="43" t="n"/>
      <c r="O63" s="43" t="n"/>
      <c r="P63" s="43" t="n"/>
      <c r="Q63" s="43" t="n"/>
      <c r="R63" s="43" t="n"/>
      <c r="S63" s="43" t="n"/>
      <c r="T63" s="43" t="n"/>
      <c r="U63" s="43" t="n"/>
      <c r="V63" s="43" t="n"/>
      <c r="W63" s="43" t="n"/>
      <c r="X63" s="43" t="n"/>
      <c r="Y63" s="43" t="n"/>
      <c r="Z63" s="43" t="n"/>
    </row>
    <row r="64">
      <c r="A64" s="43" t="n"/>
      <c r="B64" s="43" t="n"/>
      <c r="C64" s="43" t="n"/>
      <c r="D64" s="43" t="n"/>
      <c r="E64" s="43" t="n"/>
      <c r="F64" s="43" t="n"/>
      <c r="G64" s="43" t="n"/>
      <c r="H64" s="43" t="n"/>
      <c r="I64" s="43" t="n"/>
      <c r="J64" s="43" t="n"/>
      <c r="K64" s="43" t="n"/>
      <c r="L64" s="43" t="n"/>
      <c r="M64" s="43" t="n"/>
      <c r="N64" s="43" t="n"/>
      <c r="O64" s="43" t="n"/>
      <c r="P64" s="43" t="n"/>
      <c r="Q64" s="43" t="n"/>
      <c r="R64" s="43" t="n"/>
      <c r="S64" s="43" t="n"/>
      <c r="T64" s="43" t="n"/>
      <c r="U64" s="43" t="n"/>
      <c r="V64" s="43" t="n"/>
      <c r="W64" s="43" t="n"/>
      <c r="X64" s="43" t="n"/>
      <c r="Y64" s="43" t="n"/>
      <c r="Z64" s="43" t="n"/>
    </row>
    <row r="65">
      <c r="A65" s="43" t="n"/>
      <c r="B65" s="43" t="n"/>
      <c r="C65" s="43" t="n"/>
      <c r="D65" s="43" t="n"/>
      <c r="E65" s="43" t="n"/>
      <c r="F65" s="43" t="n"/>
      <c r="G65" s="43" t="n"/>
      <c r="H65" s="43" t="n"/>
      <c r="I65" s="43" t="n"/>
      <c r="J65" s="43" t="n"/>
      <c r="K65" s="43" t="n"/>
      <c r="L65" s="43" t="n"/>
      <c r="M65" s="43" t="n"/>
      <c r="N65" s="43" t="n"/>
      <c r="O65" s="43" t="n"/>
      <c r="P65" s="43" t="n"/>
      <c r="Q65" s="43" t="n"/>
      <c r="R65" s="43" t="n"/>
      <c r="S65" s="43" t="n"/>
      <c r="T65" s="43" t="n"/>
      <c r="U65" s="43" t="n"/>
      <c r="V65" s="43" t="n"/>
      <c r="W65" s="43" t="n"/>
      <c r="X65" s="43" t="n"/>
      <c r="Y65" s="43" t="n"/>
      <c r="Z65" s="43" t="n"/>
    </row>
    <row r="66">
      <c r="A66" s="43" t="n"/>
      <c r="B66" s="43" t="n"/>
      <c r="C66" s="43" t="n"/>
      <c r="D66" s="43" t="n"/>
      <c r="E66" s="43" t="n"/>
      <c r="F66" s="43" t="n"/>
      <c r="G66" s="43" t="n"/>
      <c r="H66" s="43" t="n"/>
      <c r="I66" s="43" t="n"/>
      <c r="J66" s="43" t="n"/>
      <c r="K66" s="43" t="n"/>
      <c r="L66" s="43" t="n"/>
      <c r="M66" s="43" t="n"/>
      <c r="N66" s="43" t="n"/>
      <c r="O66" s="43" t="n"/>
      <c r="P66" s="43" t="n"/>
      <c r="Q66" s="43" t="n"/>
      <c r="R66" s="43" t="n"/>
      <c r="S66" s="43" t="n"/>
      <c r="T66" s="43" t="n"/>
      <c r="U66" s="43" t="n"/>
      <c r="V66" s="43" t="n"/>
      <c r="W66" s="43" t="n"/>
      <c r="X66" s="43" t="n"/>
      <c r="Y66" s="43" t="n"/>
      <c r="Z66" s="43" t="n"/>
    </row>
    <row r="67">
      <c r="A67" s="43" t="n"/>
      <c r="B67" s="43" t="n"/>
      <c r="C67" s="43" t="n"/>
      <c r="D67" s="43" t="n"/>
      <c r="E67" s="43" t="n"/>
      <c r="F67" s="43" t="n"/>
      <c r="G67" s="43" t="n"/>
      <c r="H67" s="43" t="n"/>
      <c r="I67" s="43" t="n"/>
      <c r="J67" s="43" t="n"/>
      <c r="K67" s="43" t="n"/>
      <c r="L67" s="43" t="n"/>
      <c r="M67" s="43" t="n"/>
      <c r="N67" s="43" t="n"/>
      <c r="O67" s="43" t="n"/>
      <c r="P67" s="43" t="n"/>
      <c r="Q67" s="43" t="n"/>
      <c r="R67" s="43" t="n"/>
      <c r="S67" s="43" t="n"/>
      <c r="T67" s="43" t="n"/>
      <c r="U67" s="43" t="n"/>
      <c r="V67" s="43" t="n"/>
      <c r="W67" s="43" t="n"/>
      <c r="X67" s="43" t="n"/>
      <c r="Y67" s="43" t="n"/>
      <c r="Z67" s="43" t="n"/>
    </row>
    <row r="68">
      <c r="A68" s="43" t="n"/>
      <c r="B68" s="43" t="n"/>
      <c r="C68" s="43" t="n"/>
      <c r="D68" s="43" t="n"/>
      <c r="E68" s="43" t="n"/>
      <c r="F68" s="43" t="n"/>
      <c r="G68" s="43" t="n"/>
      <c r="H68" s="43" t="n"/>
      <c r="I68" s="43" t="n"/>
      <c r="J68" s="43" t="n"/>
      <c r="K68" s="43" t="n"/>
      <c r="L68" s="43" t="n"/>
      <c r="M68" s="43" t="n"/>
      <c r="N68" s="43" t="n"/>
      <c r="O68" s="43" t="n"/>
      <c r="P68" s="43" t="n"/>
      <c r="Q68" s="43" t="n"/>
      <c r="R68" s="43" t="n"/>
      <c r="S68" s="43" t="n"/>
      <c r="T68" s="43" t="n"/>
      <c r="U68" s="43" t="n"/>
      <c r="V68" s="43" t="n"/>
      <c r="W68" s="43" t="n"/>
      <c r="X68" s="43" t="n"/>
      <c r="Y68" s="43" t="n"/>
      <c r="Z68" s="43" t="n"/>
    </row>
    <row r="69">
      <c r="A69" s="43" t="n"/>
      <c r="B69" s="43" t="n"/>
      <c r="C69" s="43" t="n"/>
      <c r="D69" s="43" t="n"/>
      <c r="E69" s="43" t="n"/>
      <c r="F69" s="43" t="n"/>
      <c r="G69" s="43" t="n"/>
      <c r="H69" s="43" t="n"/>
      <c r="I69" s="43" t="n"/>
      <c r="J69" s="43" t="n"/>
      <c r="K69" s="43" t="n"/>
      <c r="L69" s="43" t="n"/>
      <c r="M69" s="43" t="n"/>
      <c r="N69" s="43" t="n"/>
      <c r="O69" s="43" t="n"/>
      <c r="P69" s="43" t="n"/>
      <c r="Q69" s="43" t="n"/>
      <c r="R69" s="43" t="n"/>
      <c r="S69" s="43" t="n"/>
      <c r="T69" s="43" t="n"/>
      <c r="U69" s="43" t="n"/>
      <c r="V69" s="43" t="n"/>
      <c r="W69" s="43" t="n"/>
      <c r="X69" s="43" t="n"/>
      <c r="Y69" s="43" t="n"/>
      <c r="Z69" s="43" t="n"/>
    </row>
    <row r="70">
      <c r="A70" s="43" t="n"/>
      <c r="B70" s="43" t="n"/>
      <c r="C70" s="43" t="n"/>
      <c r="D70" s="43" t="n"/>
      <c r="E70" s="43" t="n"/>
      <c r="F70" s="43" t="n"/>
      <c r="G70" s="43" t="n"/>
      <c r="H70" s="43" t="n"/>
      <c r="I70" s="43" t="n"/>
      <c r="J70" s="43" t="n"/>
      <c r="K70" s="43" t="n"/>
      <c r="L70" s="43" t="n"/>
      <c r="M70" s="43" t="n"/>
      <c r="N70" s="43" t="n"/>
      <c r="O70" s="43" t="n"/>
      <c r="P70" s="43" t="n"/>
      <c r="Q70" s="43" t="n"/>
      <c r="R70" s="43" t="n"/>
      <c r="S70" s="43" t="n"/>
      <c r="T70" s="43" t="n"/>
      <c r="U70" s="43" t="n"/>
      <c r="V70" s="43" t="n"/>
      <c r="W70" s="43" t="n"/>
      <c r="X70" s="43" t="n"/>
      <c r="Y70" s="43" t="n"/>
      <c r="Z70" s="43" t="n"/>
    </row>
    <row r="71">
      <c r="A71" s="43" t="n"/>
      <c r="B71" s="43" t="n"/>
      <c r="C71" s="43" t="n"/>
      <c r="D71" s="43" t="n"/>
      <c r="E71" s="43" t="n"/>
      <c r="F71" s="43" t="n"/>
      <c r="G71" s="43" t="n"/>
      <c r="H71" s="43" t="n"/>
      <c r="I71" s="43" t="n"/>
      <c r="J71" s="43" t="n"/>
      <c r="K71" s="43" t="n"/>
      <c r="L71" s="43" t="n"/>
      <c r="M71" s="43" t="n"/>
      <c r="N71" s="43" t="n"/>
      <c r="O71" s="43" t="n"/>
      <c r="P71" s="43" t="n"/>
      <c r="Q71" s="43" t="n"/>
      <c r="R71" s="43" t="n"/>
      <c r="S71" s="43" t="n"/>
      <c r="T71" s="43" t="n"/>
      <c r="U71" s="43" t="n"/>
      <c r="V71" s="43" t="n"/>
      <c r="W71" s="43" t="n"/>
      <c r="X71" s="43" t="n"/>
      <c r="Y71" s="43" t="n"/>
      <c r="Z71" s="43" t="n"/>
    </row>
    <row r="72">
      <c r="A72" s="43" t="n"/>
      <c r="B72" s="43" t="n"/>
      <c r="C72" s="43" t="n"/>
      <c r="D72" s="43" t="n"/>
      <c r="E72" s="43" t="n"/>
      <c r="F72" s="43" t="n"/>
      <c r="G72" s="43" t="n"/>
      <c r="H72" s="43" t="n"/>
      <c r="I72" s="43" t="n"/>
      <c r="J72" s="43" t="n"/>
      <c r="K72" s="43" t="n"/>
      <c r="L72" s="43" t="n"/>
      <c r="M72" s="43" t="n"/>
      <c r="N72" s="43" t="n"/>
      <c r="O72" s="43" t="n"/>
      <c r="P72" s="43" t="n"/>
      <c r="Q72" s="43" t="n"/>
      <c r="R72" s="43" t="n"/>
      <c r="S72" s="43" t="n"/>
      <c r="T72" s="43" t="n"/>
      <c r="U72" s="43" t="n"/>
      <c r="V72" s="43" t="n"/>
      <c r="W72" s="43" t="n"/>
      <c r="X72" s="43" t="n"/>
      <c r="Y72" s="43" t="n"/>
      <c r="Z72" s="43" t="n"/>
    </row>
    <row r="73">
      <c r="A73" s="43" t="n"/>
      <c r="B73" s="43" t="n"/>
      <c r="C73" s="43" t="n"/>
      <c r="D73" s="43" t="n"/>
      <c r="E73" s="43" t="n"/>
      <c r="F73" s="43" t="n"/>
      <c r="G73" s="43" t="n"/>
      <c r="H73" s="43" t="n"/>
      <c r="I73" s="43" t="n"/>
      <c r="J73" s="43" t="n"/>
      <c r="K73" s="43" t="n"/>
      <c r="L73" s="43" t="n"/>
      <c r="M73" s="43" t="n"/>
      <c r="N73" s="43" t="n"/>
      <c r="O73" s="43" t="n"/>
      <c r="P73" s="43" t="n"/>
      <c r="Q73" s="43" t="n"/>
      <c r="R73" s="43" t="n"/>
      <c r="S73" s="43" t="n"/>
      <c r="T73" s="43" t="n"/>
      <c r="U73" s="43" t="n"/>
      <c r="V73" s="43" t="n"/>
      <c r="W73" s="43" t="n"/>
      <c r="X73" s="43" t="n"/>
      <c r="Y73" s="43" t="n"/>
      <c r="Z73" s="43" t="n"/>
    </row>
    <row r="74">
      <c r="A74" s="43" t="n"/>
      <c r="B74" s="43" t="n"/>
      <c r="C74" s="43" t="n"/>
      <c r="D74" s="43" t="n"/>
      <c r="E74" s="43" t="n"/>
      <c r="F74" s="43" t="n"/>
      <c r="G74" s="43" t="n"/>
      <c r="H74" s="43" t="n"/>
      <c r="I74" s="43" t="n"/>
      <c r="J74" s="43" t="n"/>
      <c r="K74" s="43" t="n"/>
      <c r="L74" s="43" t="n"/>
      <c r="M74" s="43" t="n"/>
      <c r="N74" s="43" t="n"/>
      <c r="O74" s="43" t="n"/>
      <c r="P74" s="43" t="n"/>
      <c r="Q74" s="43" t="n"/>
      <c r="R74" s="43" t="n"/>
      <c r="S74" s="43" t="n"/>
      <c r="T74" s="43" t="n"/>
      <c r="U74" s="43" t="n"/>
      <c r="V74" s="43" t="n"/>
      <c r="W74" s="43" t="n"/>
      <c r="X74" s="43" t="n"/>
      <c r="Y74" s="43" t="n"/>
      <c r="Z74" s="43" t="n"/>
    </row>
    <row r="75">
      <c r="A75" s="43" t="n"/>
      <c r="B75" s="43" t="n"/>
      <c r="C75" s="43" t="n"/>
      <c r="D75" s="43" t="n"/>
      <c r="E75" s="43" t="n"/>
      <c r="F75" s="43" t="n"/>
      <c r="G75" s="43" t="n"/>
      <c r="H75" s="43" t="n"/>
      <c r="I75" s="43" t="n"/>
      <c r="J75" s="43" t="n"/>
      <c r="K75" s="43" t="n"/>
      <c r="L75" s="43" t="n"/>
      <c r="M75" s="43" t="n"/>
      <c r="N75" s="43" t="n"/>
      <c r="O75" s="43" t="n"/>
      <c r="P75" s="43" t="n"/>
      <c r="Q75" s="43" t="n"/>
      <c r="R75" s="43" t="n"/>
      <c r="S75" s="43" t="n"/>
      <c r="T75" s="43" t="n"/>
      <c r="U75" s="43" t="n"/>
      <c r="V75" s="43" t="n"/>
      <c r="W75" s="43" t="n"/>
      <c r="X75" s="43" t="n"/>
      <c r="Y75" s="43" t="n"/>
      <c r="Z75" s="43" t="n"/>
    </row>
    <row r="76">
      <c r="A76" s="43" t="n"/>
      <c r="B76" s="43" t="n"/>
      <c r="C76" s="43" t="n"/>
      <c r="D76" s="43" t="n"/>
      <c r="E76" s="43" t="n"/>
      <c r="F76" s="43" t="n"/>
      <c r="G76" s="43" t="n"/>
      <c r="H76" s="43" t="n"/>
      <c r="I76" s="43" t="n"/>
      <c r="J76" s="43" t="n"/>
      <c r="K76" s="43" t="n"/>
      <c r="L76" s="43" t="n"/>
      <c r="M76" s="43" t="n"/>
      <c r="N76" s="43" t="n"/>
      <c r="O76" s="43" t="n"/>
      <c r="P76" s="43" t="n"/>
      <c r="Q76" s="43" t="n"/>
      <c r="R76" s="43" t="n"/>
      <c r="S76" s="43" t="n"/>
      <c r="T76" s="43" t="n"/>
      <c r="U76" s="43" t="n"/>
      <c r="V76" s="43" t="n"/>
      <c r="W76" s="43" t="n"/>
      <c r="X76" s="43" t="n"/>
      <c r="Y76" s="43" t="n"/>
      <c r="Z76" s="43" t="n"/>
    </row>
    <row r="77">
      <c r="A77" s="43" t="n"/>
      <c r="B77" s="43" t="n"/>
      <c r="C77" s="43" t="n"/>
      <c r="D77" s="43" t="n"/>
      <c r="E77" s="43" t="n"/>
      <c r="F77" s="43" t="n"/>
      <c r="G77" s="43" t="n"/>
      <c r="H77" s="43" t="n"/>
      <c r="I77" s="43" t="n"/>
      <c r="J77" s="43" t="n"/>
      <c r="K77" s="43" t="n"/>
      <c r="L77" s="43" t="n"/>
      <c r="M77" s="43" t="n"/>
      <c r="N77" s="43" t="n"/>
      <c r="O77" s="43" t="n"/>
      <c r="P77" s="43" t="n"/>
      <c r="Q77" s="43" t="n"/>
      <c r="R77" s="43" t="n"/>
      <c r="S77" s="43" t="n"/>
      <c r="T77" s="43" t="n"/>
      <c r="U77" s="43" t="n"/>
      <c r="V77" s="43" t="n"/>
      <c r="W77" s="43" t="n"/>
      <c r="X77" s="43" t="n"/>
      <c r="Y77" s="43" t="n"/>
      <c r="Z77" s="43" t="n"/>
    </row>
    <row r="78">
      <c r="A78" s="43" t="n"/>
      <c r="B78" s="43" t="n"/>
      <c r="C78" s="43" t="n"/>
      <c r="D78" s="43" t="n"/>
      <c r="E78" s="43" t="n"/>
      <c r="F78" s="43" t="n"/>
      <c r="G78" s="43" t="n"/>
      <c r="H78" s="43" t="n"/>
      <c r="I78" s="43" t="n"/>
      <c r="J78" s="43" t="n"/>
      <c r="K78" s="43" t="n"/>
      <c r="L78" s="43" t="n"/>
      <c r="M78" s="43" t="n"/>
      <c r="N78" s="43" t="n"/>
      <c r="O78" s="43" t="n"/>
      <c r="P78" s="43" t="n"/>
      <c r="Q78" s="43" t="n"/>
      <c r="R78" s="43" t="n"/>
      <c r="S78" s="43" t="n"/>
      <c r="T78" s="43" t="n"/>
      <c r="U78" s="43" t="n"/>
      <c r="V78" s="43" t="n"/>
      <c r="W78" s="43" t="n"/>
      <c r="X78" s="43" t="n"/>
      <c r="Y78" s="43" t="n"/>
      <c r="Z78" s="43" t="n"/>
    </row>
    <row r="79">
      <c r="A79" s="43" t="n"/>
      <c r="B79" s="43" t="n"/>
      <c r="C79" s="43" t="n"/>
      <c r="D79" s="43" t="n"/>
      <c r="E79" s="43" t="n"/>
      <c r="F79" s="43" t="n"/>
      <c r="G79" s="43" t="n"/>
      <c r="H79" s="43" t="n"/>
      <c r="I79" s="43" t="n"/>
      <c r="J79" s="43" t="n"/>
      <c r="K79" s="43" t="n"/>
      <c r="L79" s="43" t="n"/>
      <c r="M79" s="43" t="n"/>
      <c r="N79" s="43" t="n"/>
      <c r="O79" s="43" t="n"/>
      <c r="P79" s="43" t="n"/>
      <c r="Q79" s="43" t="n"/>
      <c r="R79" s="43" t="n"/>
      <c r="S79" s="43" t="n"/>
      <c r="T79" s="43" t="n"/>
      <c r="U79" s="43" t="n"/>
      <c r="V79" s="43" t="n"/>
      <c r="W79" s="43" t="n"/>
      <c r="X79" s="43" t="n"/>
      <c r="Y79" s="43" t="n"/>
      <c r="Z79" s="43" t="n"/>
    </row>
    <row r="80">
      <c r="A80" s="43" t="n"/>
      <c r="B80" s="43" t="n"/>
      <c r="C80" s="43" t="n"/>
      <c r="D80" s="43" t="n"/>
      <c r="E80" s="43" t="n"/>
      <c r="F80" s="43" t="n"/>
      <c r="G80" s="43" t="n"/>
      <c r="H80" s="43" t="n"/>
      <c r="I80" s="43" t="n"/>
      <c r="J80" s="43" t="n"/>
      <c r="K80" s="43" t="n"/>
      <c r="L80" s="43" t="n"/>
      <c r="M80" s="43" t="n"/>
      <c r="N80" s="43" t="n"/>
      <c r="O80" s="43" t="n"/>
      <c r="P80" s="43" t="n"/>
      <c r="Q80" s="43" t="n"/>
      <c r="R80" s="43" t="n"/>
      <c r="S80" s="43" t="n"/>
      <c r="T80" s="43" t="n"/>
      <c r="U80" s="43" t="n"/>
      <c r="V80" s="43" t="n"/>
      <c r="W80" s="43" t="n"/>
      <c r="X80" s="43" t="n"/>
      <c r="Y80" s="43" t="n"/>
      <c r="Z80" s="43" t="n"/>
    </row>
    <row r="81">
      <c r="A81" s="43" t="n"/>
      <c r="B81" s="43" t="n"/>
      <c r="C81" s="43" t="n"/>
      <c r="D81" s="43" t="n"/>
      <c r="E81" s="43" t="n"/>
      <c r="F81" s="43" t="n"/>
      <c r="G81" s="43" t="n"/>
      <c r="H81" s="43" t="n"/>
      <c r="I81" s="43" t="n"/>
      <c r="J81" s="43" t="n"/>
      <c r="K81" s="43" t="n"/>
      <c r="L81" s="43" t="n"/>
      <c r="M81" s="43" t="n"/>
      <c r="N81" s="43" t="n"/>
      <c r="O81" s="43" t="n"/>
      <c r="P81" s="43" t="n"/>
      <c r="Q81" s="43" t="n"/>
      <c r="R81" s="43" t="n"/>
      <c r="S81" s="43" t="n"/>
      <c r="T81" s="43" t="n"/>
      <c r="U81" s="43" t="n"/>
      <c r="V81" s="43" t="n"/>
      <c r="W81" s="43" t="n"/>
      <c r="X81" s="43" t="n"/>
      <c r="Y81" s="43" t="n"/>
      <c r="Z81" s="43" t="n"/>
    </row>
    <row r="82">
      <c r="A82" s="43" t="n"/>
      <c r="B82" s="43" t="n"/>
      <c r="C82" s="43" t="n"/>
      <c r="D82" s="43" t="n"/>
      <c r="E82" s="43" t="n"/>
      <c r="F82" s="43" t="n"/>
      <c r="G82" s="43" t="n"/>
      <c r="H82" s="43" t="n"/>
      <c r="I82" s="43" t="n"/>
      <c r="J82" s="43" t="n"/>
      <c r="K82" s="43" t="n"/>
      <c r="L82" s="43" t="n"/>
      <c r="M82" s="43" t="n"/>
      <c r="N82" s="43" t="n"/>
      <c r="O82" s="43" t="n"/>
      <c r="P82" s="43" t="n"/>
      <c r="Q82" s="43" t="n"/>
      <c r="R82" s="43" t="n"/>
      <c r="S82" s="43" t="n"/>
      <c r="T82" s="43" t="n"/>
      <c r="U82" s="43" t="n"/>
      <c r="V82" s="43" t="n"/>
      <c r="W82" s="43" t="n"/>
      <c r="X82" s="43" t="n"/>
      <c r="Y82" s="43" t="n"/>
      <c r="Z82" s="43" t="n"/>
    </row>
    <row r="83">
      <c r="A83" s="43" t="n"/>
      <c r="B83" s="43" t="n"/>
      <c r="C83" s="43" t="n"/>
      <c r="D83" s="43" t="n"/>
      <c r="E83" s="43" t="n"/>
      <c r="F83" s="43" t="n"/>
      <c r="G83" s="43" t="n"/>
      <c r="H83" s="43" t="n"/>
      <c r="I83" s="43" t="n"/>
      <c r="J83" s="43" t="n"/>
      <c r="K83" s="43" t="n"/>
      <c r="L83" s="43" t="n"/>
      <c r="M83" s="43" t="n"/>
      <c r="N83" s="43" t="n"/>
      <c r="O83" s="43" t="n"/>
      <c r="P83" s="43" t="n"/>
      <c r="Q83" s="43" t="n"/>
      <c r="R83" s="43" t="n"/>
      <c r="S83" s="43" t="n"/>
      <c r="T83" s="43" t="n"/>
      <c r="U83" s="43" t="n"/>
      <c r="V83" s="43" t="n"/>
      <c r="W83" s="43" t="n"/>
      <c r="X83" s="43" t="n"/>
      <c r="Y83" s="43" t="n"/>
      <c r="Z83" s="43" t="n"/>
    </row>
    <row r="84">
      <c r="A84" s="43" t="n"/>
      <c r="B84" s="43" t="n"/>
      <c r="C84" s="43" t="n"/>
      <c r="D84" s="43" t="n"/>
      <c r="E84" s="43" t="n"/>
      <c r="F84" s="43" t="n"/>
      <c r="G84" s="43" t="n"/>
      <c r="H84" s="43" t="n"/>
      <c r="I84" s="43" t="n"/>
      <c r="J84" s="43" t="n"/>
      <c r="K84" s="43" t="n"/>
      <c r="L84" s="43" t="n"/>
      <c r="M84" s="43" t="n"/>
      <c r="N84" s="43" t="n"/>
      <c r="O84" s="43" t="n"/>
      <c r="P84" s="43" t="n"/>
      <c r="Q84" s="43" t="n"/>
      <c r="R84" s="43" t="n"/>
      <c r="S84" s="43" t="n"/>
      <c r="T84" s="43" t="n"/>
      <c r="U84" s="43" t="n"/>
      <c r="V84" s="43" t="n"/>
      <c r="W84" s="43" t="n"/>
      <c r="X84" s="43" t="n"/>
      <c r="Y84" s="43" t="n"/>
      <c r="Z84" s="43" t="n"/>
    </row>
    <row r="85">
      <c r="A85" s="43" t="n"/>
      <c r="B85" s="43" t="n"/>
      <c r="C85" s="43" t="n"/>
      <c r="D85" s="43" t="n"/>
      <c r="E85" s="43" t="n"/>
      <c r="F85" s="43" t="n"/>
      <c r="G85" s="43" t="n"/>
      <c r="H85" s="43" t="n"/>
      <c r="I85" s="43" t="n"/>
      <c r="J85" s="43" t="n"/>
      <c r="K85" s="43" t="n"/>
      <c r="L85" s="43" t="n"/>
      <c r="M85" s="43" t="n"/>
      <c r="N85" s="43" t="n"/>
      <c r="O85" s="43" t="n"/>
      <c r="P85" s="43" t="n"/>
      <c r="Q85" s="43" t="n"/>
      <c r="R85" s="43" t="n"/>
      <c r="S85" s="43" t="n"/>
      <c r="T85" s="43" t="n"/>
      <c r="U85" s="43" t="n"/>
      <c r="V85" s="43" t="n"/>
      <c r="W85" s="43" t="n"/>
      <c r="X85" s="43" t="n"/>
      <c r="Y85" s="43" t="n"/>
      <c r="Z85" s="43" t="n"/>
    </row>
    <row r="86">
      <c r="A86" s="43" t="n"/>
      <c r="B86" s="43" t="n"/>
      <c r="C86" s="43" t="n"/>
      <c r="D86" s="43" t="n"/>
      <c r="E86" s="43" t="n"/>
      <c r="F86" s="43" t="n"/>
      <c r="G86" s="43" t="n"/>
      <c r="H86" s="43" t="n"/>
      <c r="I86" s="43" t="n"/>
      <c r="J86" s="43" t="n"/>
      <c r="K86" s="43" t="n"/>
      <c r="L86" s="43" t="n"/>
      <c r="M86" s="43" t="n"/>
      <c r="N86" s="43" t="n"/>
      <c r="O86" s="43" t="n"/>
      <c r="P86" s="43" t="n"/>
      <c r="Q86" s="43" t="n"/>
      <c r="R86" s="43" t="n"/>
      <c r="S86" s="43" t="n"/>
      <c r="T86" s="43" t="n"/>
      <c r="U86" s="43" t="n"/>
      <c r="V86" s="43" t="n"/>
      <c r="W86" s="43" t="n"/>
      <c r="X86" s="43" t="n"/>
      <c r="Y86" s="43" t="n"/>
      <c r="Z86" s="43" t="n"/>
    </row>
    <row r="87">
      <c r="A87" s="43" t="n"/>
      <c r="B87" s="43" t="n"/>
      <c r="C87" s="43" t="n"/>
      <c r="D87" s="43" t="n"/>
      <c r="E87" s="43" t="n"/>
      <c r="F87" s="43" t="n"/>
      <c r="G87" s="43" t="n"/>
      <c r="H87" s="43" t="n"/>
      <c r="I87" s="43" t="n"/>
      <c r="J87" s="43" t="n"/>
      <c r="K87" s="43" t="n"/>
      <c r="L87" s="43" t="n"/>
      <c r="M87" s="43" t="n"/>
      <c r="N87" s="43" t="n"/>
      <c r="O87" s="43" t="n"/>
      <c r="P87" s="43" t="n"/>
      <c r="Q87" s="43" t="n"/>
      <c r="R87" s="43" t="n"/>
      <c r="S87" s="43" t="n"/>
      <c r="T87" s="43" t="n"/>
      <c r="U87" s="43" t="n"/>
      <c r="V87" s="43" t="n"/>
      <c r="W87" s="43" t="n"/>
      <c r="X87" s="43" t="n"/>
      <c r="Y87" s="43" t="n"/>
      <c r="Z87" s="43" t="n"/>
    </row>
    <row r="88">
      <c r="A88" s="43" t="n"/>
      <c r="B88" s="43" t="n"/>
      <c r="C88" s="43" t="n"/>
      <c r="D88" s="43" t="n"/>
      <c r="E88" s="43" t="n"/>
      <c r="F88" s="43" t="n"/>
      <c r="G88" s="43" t="n"/>
      <c r="H88" s="43" t="n"/>
      <c r="I88" s="43" t="n"/>
      <c r="J88" s="43" t="n"/>
      <c r="K88" s="43" t="n"/>
      <c r="L88" s="43" t="n"/>
      <c r="M88" s="43" t="n"/>
      <c r="N88" s="43" t="n"/>
      <c r="O88" s="43" t="n"/>
      <c r="P88" s="43" t="n"/>
      <c r="Q88" s="43" t="n"/>
      <c r="R88" s="43" t="n"/>
      <c r="S88" s="43" t="n"/>
      <c r="T88" s="43" t="n"/>
      <c r="U88" s="43" t="n"/>
      <c r="V88" s="43" t="n"/>
      <c r="W88" s="43" t="n"/>
      <c r="X88" s="43" t="n"/>
      <c r="Y88" s="43" t="n"/>
      <c r="Z88" s="43" t="n"/>
    </row>
    <row r="89">
      <c r="A89" s="43" t="n"/>
      <c r="B89" s="43" t="n"/>
      <c r="C89" s="43" t="n"/>
      <c r="D89" s="43" t="n"/>
      <c r="E89" s="43" t="n"/>
      <c r="F89" s="43" t="n"/>
      <c r="G89" s="43" t="n"/>
      <c r="H89" s="43" t="n"/>
      <c r="I89" s="43" t="n"/>
      <c r="J89" s="43" t="n"/>
      <c r="K89" s="43" t="n"/>
      <c r="L89" s="43" t="n"/>
      <c r="M89" s="43" t="n"/>
      <c r="N89" s="43" t="n"/>
      <c r="O89" s="43" t="n"/>
      <c r="P89" s="43" t="n"/>
      <c r="Q89" s="43" t="n"/>
      <c r="R89" s="43" t="n"/>
      <c r="S89" s="43" t="n"/>
      <c r="T89" s="43" t="n"/>
      <c r="U89" s="43" t="n"/>
      <c r="V89" s="43" t="n"/>
      <c r="W89" s="43" t="n"/>
      <c r="X89" s="43" t="n"/>
      <c r="Y89" s="43" t="n"/>
      <c r="Z89" s="43" t="n"/>
    </row>
    <row r="90">
      <c r="A90" s="43" t="n"/>
      <c r="B90" s="43" t="n"/>
      <c r="C90" s="43" t="n"/>
      <c r="D90" s="43" t="n"/>
      <c r="E90" s="43" t="n"/>
      <c r="F90" s="43" t="n"/>
      <c r="G90" s="43" t="n"/>
      <c r="H90" s="43" t="n"/>
      <c r="I90" s="43" t="n"/>
      <c r="J90" s="43" t="n"/>
      <c r="K90" s="43" t="n"/>
      <c r="L90" s="43" t="n"/>
      <c r="M90" s="43" t="n"/>
      <c r="N90" s="43" t="n"/>
      <c r="O90" s="43" t="n"/>
      <c r="P90" s="43" t="n"/>
      <c r="Q90" s="43" t="n"/>
      <c r="R90" s="43" t="n"/>
      <c r="S90" s="43" t="n"/>
      <c r="T90" s="43" t="n"/>
      <c r="U90" s="43" t="n"/>
      <c r="V90" s="43" t="n"/>
      <c r="W90" s="43" t="n"/>
      <c r="X90" s="43" t="n"/>
      <c r="Y90" s="43" t="n"/>
      <c r="Z90" s="43" t="n"/>
    </row>
    <row r="91">
      <c r="A91" s="43" t="n"/>
      <c r="B91" s="43" t="n"/>
      <c r="C91" s="43" t="n"/>
      <c r="D91" s="43" t="n"/>
      <c r="E91" s="43" t="n"/>
      <c r="F91" s="43" t="n"/>
      <c r="G91" s="43" t="n"/>
      <c r="H91" s="43" t="n"/>
      <c r="I91" s="43" t="n"/>
      <c r="J91" s="43" t="n"/>
      <c r="K91" s="43" t="n"/>
      <c r="L91" s="43" t="n"/>
      <c r="M91" s="43" t="n"/>
      <c r="N91" s="43" t="n"/>
      <c r="O91" s="43" t="n"/>
      <c r="P91" s="43" t="n"/>
      <c r="Q91" s="43" t="n"/>
      <c r="R91" s="43" t="n"/>
      <c r="S91" s="43" t="n"/>
      <c r="T91" s="43" t="n"/>
      <c r="U91" s="43" t="n"/>
      <c r="V91" s="43" t="n"/>
      <c r="W91" s="43" t="n"/>
      <c r="X91" s="43" t="n"/>
      <c r="Y91" s="43" t="n"/>
      <c r="Z91" s="43" t="n"/>
    </row>
    <row r="92">
      <c r="A92" s="43" t="n"/>
      <c r="B92" s="43" t="n"/>
      <c r="C92" s="43" t="n"/>
      <c r="D92" s="43" t="n"/>
      <c r="E92" s="43" t="n"/>
      <c r="F92" s="43" t="n"/>
      <c r="G92" s="43" t="n"/>
      <c r="H92" s="43" t="n"/>
      <c r="I92" s="43" t="n"/>
      <c r="J92" s="43" t="n"/>
      <c r="K92" s="43" t="n"/>
      <c r="L92" s="43" t="n"/>
      <c r="M92" s="43" t="n"/>
      <c r="N92" s="43" t="n"/>
      <c r="O92" s="43" t="n"/>
      <c r="P92" s="43" t="n"/>
      <c r="Q92" s="43" t="n"/>
      <c r="R92" s="43" t="n"/>
      <c r="S92" s="43" t="n"/>
      <c r="T92" s="43" t="n"/>
      <c r="U92" s="43" t="n"/>
      <c r="V92" s="43" t="n"/>
      <c r="W92" s="43" t="n"/>
      <c r="X92" s="43" t="n"/>
      <c r="Y92" s="43" t="n"/>
      <c r="Z92" s="43" t="n"/>
    </row>
    <row r="93">
      <c r="A93" s="43" t="n"/>
      <c r="B93" s="43" t="n"/>
      <c r="C93" s="43" t="n"/>
      <c r="D93" s="43" t="n"/>
      <c r="E93" s="43" t="n"/>
      <c r="F93" s="43" t="n"/>
      <c r="G93" s="43" t="n"/>
      <c r="H93" s="43" t="n"/>
      <c r="I93" s="43" t="n"/>
      <c r="J93" s="43" t="n"/>
      <c r="K93" s="43" t="n"/>
      <c r="L93" s="43" t="n"/>
      <c r="M93" s="43" t="n"/>
      <c r="N93" s="43" t="n"/>
      <c r="O93" s="43" t="n"/>
      <c r="P93" s="43" t="n"/>
      <c r="Q93" s="43" t="n"/>
      <c r="R93" s="43" t="n"/>
      <c r="S93" s="43" t="n"/>
      <c r="T93" s="43" t="n"/>
      <c r="U93" s="43" t="n"/>
      <c r="V93" s="43" t="n"/>
      <c r="W93" s="43" t="n"/>
      <c r="X93" s="43" t="n"/>
      <c r="Y93" s="43" t="n"/>
      <c r="Z93" s="43" t="n"/>
    </row>
    <row r="94">
      <c r="A94" s="43" t="n"/>
      <c r="B94" s="43" t="n"/>
      <c r="C94" s="43" t="n"/>
      <c r="D94" s="43" t="n"/>
      <c r="E94" s="43" t="n"/>
      <c r="F94" s="43" t="n"/>
      <c r="G94" s="43" t="n"/>
      <c r="H94" s="43" t="n"/>
      <c r="I94" s="43" t="n"/>
      <c r="J94" s="43" t="n"/>
      <c r="K94" s="43" t="n"/>
      <c r="L94" s="43" t="n"/>
      <c r="M94" s="43" t="n"/>
      <c r="N94" s="43" t="n"/>
      <c r="O94" s="43" t="n"/>
      <c r="P94" s="43" t="n"/>
      <c r="Q94" s="43" t="n"/>
      <c r="R94" s="43" t="n"/>
      <c r="S94" s="43" t="n"/>
      <c r="T94" s="43" t="n"/>
      <c r="U94" s="43" t="n"/>
      <c r="V94" s="43" t="n"/>
      <c r="W94" s="43" t="n"/>
      <c r="X94" s="43" t="n"/>
      <c r="Y94" s="43" t="n"/>
      <c r="Z94" s="43" t="n"/>
    </row>
    <row r="95">
      <c r="A95" s="43" t="n"/>
      <c r="B95" s="43" t="n"/>
      <c r="C95" s="43" t="n"/>
      <c r="D95" s="43" t="n"/>
      <c r="E95" s="43" t="n"/>
      <c r="F95" s="43" t="n"/>
      <c r="G95" s="43" t="n"/>
      <c r="H95" s="43" t="n"/>
      <c r="I95" s="43" t="n"/>
      <c r="J95" s="43" t="n"/>
      <c r="K95" s="43" t="n"/>
      <c r="L95" s="43" t="n"/>
      <c r="M95" s="43" t="n"/>
      <c r="N95" s="43" t="n"/>
      <c r="O95" s="43" t="n"/>
      <c r="P95" s="43" t="n"/>
      <c r="Q95" s="43" t="n"/>
      <c r="R95" s="43" t="n"/>
      <c r="S95" s="43" t="n"/>
      <c r="T95" s="43" t="n"/>
      <c r="U95" s="43" t="n"/>
      <c r="V95" s="43" t="n"/>
      <c r="W95" s="43" t="n"/>
      <c r="X95" s="43" t="n"/>
      <c r="Y95" s="43" t="n"/>
      <c r="Z95" s="43" t="n"/>
    </row>
    <row r="96">
      <c r="A96" s="43" t="n"/>
      <c r="B96" s="43" t="n"/>
      <c r="C96" s="43" t="n"/>
      <c r="D96" s="43" t="n"/>
      <c r="E96" s="43" t="n"/>
      <c r="F96" s="43" t="n"/>
      <c r="G96" s="43" t="n"/>
      <c r="H96" s="43" t="n"/>
      <c r="I96" s="43" t="n"/>
      <c r="J96" s="43" t="n"/>
      <c r="K96" s="43" t="n"/>
      <c r="L96" s="43" t="n"/>
      <c r="M96" s="43" t="n"/>
      <c r="N96" s="43" t="n"/>
      <c r="O96" s="43" t="n"/>
      <c r="P96" s="43" t="n"/>
      <c r="Q96" s="43" t="n"/>
      <c r="R96" s="43" t="n"/>
      <c r="S96" s="43" t="n"/>
      <c r="T96" s="43" t="n"/>
      <c r="U96" s="43" t="n"/>
      <c r="V96" s="43" t="n"/>
      <c r="W96" s="43" t="n"/>
      <c r="X96" s="43" t="n"/>
      <c r="Y96" s="43" t="n"/>
      <c r="Z96" s="43" t="n"/>
    </row>
    <row r="97">
      <c r="A97" s="43" t="n"/>
      <c r="B97" s="43" t="n"/>
      <c r="C97" s="43" t="n"/>
      <c r="D97" s="43" t="n"/>
      <c r="E97" s="43" t="n"/>
      <c r="F97" s="43" t="n"/>
      <c r="G97" s="43" t="n"/>
      <c r="H97" s="43" t="n"/>
      <c r="I97" s="43" t="n"/>
      <c r="J97" s="43" t="n"/>
      <c r="K97" s="43" t="n"/>
      <c r="L97" s="43" t="n"/>
      <c r="M97" s="43" t="n"/>
      <c r="N97" s="43" t="n"/>
      <c r="O97" s="43" t="n"/>
      <c r="P97" s="43" t="n"/>
      <c r="Q97" s="43" t="n"/>
      <c r="R97" s="43" t="n"/>
      <c r="S97" s="43" t="n"/>
      <c r="T97" s="43" t="n"/>
      <c r="U97" s="43" t="n"/>
      <c r="V97" s="43" t="n"/>
      <c r="W97" s="43" t="n"/>
      <c r="X97" s="43" t="n"/>
      <c r="Y97" s="43" t="n"/>
      <c r="Z97" s="43" t="n"/>
    </row>
    <row r="98">
      <c r="A98" s="43" t="n"/>
      <c r="B98" s="43" t="n"/>
      <c r="C98" s="43" t="n"/>
      <c r="D98" s="43" t="n"/>
      <c r="E98" s="43" t="n"/>
      <c r="F98" s="43" t="n"/>
      <c r="G98" s="43" t="n"/>
      <c r="H98" s="43" t="n"/>
      <c r="I98" s="43" t="n"/>
      <c r="J98" s="43" t="n"/>
      <c r="K98" s="43" t="n"/>
      <c r="L98" s="43" t="n"/>
      <c r="M98" s="43" t="n"/>
      <c r="N98" s="43" t="n"/>
      <c r="O98" s="43" t="n"/>
      <c r="P98" s="43" t="n"/>
      <c r="Q98" s="43" t="n"/>
      <c r="R98" s="43" t="n"/>
      <c r="S98" s="43" t="n"/>
      <c r="T98" s="43" t="n"/>
      <c r="U98" s="43" t="n"/>
      <c r="V98" s="43" t="n"/>
      <c r="W98" s="43" t="n"/>
      <c r="X98" s="43" t="n"/>
      <c r="Y98" s="43" t="n"/>
      <c r="Z98" s="43" t="n"/>
    </row>
    <row r="99">
      <c r="A99" s="43" t="n"/>
      <c r="B99" s="43" t="n"/>
      <c r="C99" s="43" t="n"/>
      <c r="D99" s="43" t="n"/>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row>
    <row r="100">
      <c r="A100" s="43" t="n"/>
      <c r="B100" s="43" t="n"/>
      <c r="C100" s="43" t="n"/>
      <c r="D100" s="43" t="n"/>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row>
    <row r="101">
      <c r="A101" s="43" t="n"/>
      <c r="B101" s="43" t="n"/>
      <c r="C101" s="43" t="n"/>
      <c r="D101" s="43" t="n"/>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row>
    <row r="102">
      <c r="A102" s="43" t="n"/>
      <c r="B102" s="43" t="n"/>
      <c r="C102" s="43" t="n"/>
      <c r="D102" s="43" t="n"/>
      <c r="E102" s="43" t="n"/>
      <c r="F102" s="43" t="n"/>
      <c r="G102" s="43" t="n"/>
      <c r="H102" s="43" t="n"/>
      <c r="I102" s="43" t="n"/>
      <c r="J102" s="43" t="n"/>
      <c r="K102" s="43" t="n"/>
      <c r="L102" s="43" t="n"/>
      <c r="M102" s="43" t="n"/>
      <c r="N102" s="43" t="n"/>
      <c r="O102" s="43" t="n"/>
      <c r="P102" s="43" t="n"/>
      <c r="Q102" s="43" t="n"/>
      <c r="R102" s="43" t="n"/>
      <c r="S102" s="43" t="n"/>
      <c r="T102" s="43" t="n"/>
      <c r="U102" s="43" t="n"/>
      <c r="V102" s="43" t="n"/>
      <c r="W102" s="43" t="n"/>
      <c r="X102" s="43" t="n"/>
      <c r="Y102" s="43" t="n"/>
      <c r="Z102" s="43" t="n"/>
    </row>
    <row r="103">
      <c r="A103" s="43" t="n"/>
      <c r="B103" s="43" t="n"/>
      <c r="C103" s="43" t="n"/>
      <c r="D103" s="43" t="n"/>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row>
    <row r="104">
      <c r="A104" s="43" t="n"/>
      <c r="B104" s="43" t="n"/>
      <c r="C104" s="43" t="n"/>
      <c r="D104" s="43" t="n"/>
      <c r="E104" s="43" t="n"/>
      <c r="F104" s="43" t="n"/>
      <c r="G104" s="43" t="n"/>
      <c r="H104" s="43" t="n"/>
      <c r="I104" s="43" t="n"/>
      <c r="J104" s="43" t="n"/>
      <c r="K104" s="43" t="n"/>
      <c r="L104" s="43" t="n"/>
      <c r="M104" s="43" t="n"/>
      <c r="N104" s="43" t="n"/>
      <c r="O104" s="43" t="n"/>
      <c r="P104" s="43" t="n"/>
      <c r="Q104" s="43" t="n"/>
      <c r="R104" s="43" t="n"/>
      <c r="S104" s="43" t="n"/>
      <c r="T104" s="43" t="n"/>
      <c r="U104" s="43" t="n"/>
      <c r="V104" s="43" t="n"/>
      <c r="W104" s="43" t="n"/>
      <c r="X104" s="43" t="n"/>
      <c r="Y104" s="43" t="n"/>
      <c r="Z104" s="43" t="n"/>
    </row>
    <row r="105">
      <c r="A105" s="43" t="n"/>
      <c r="B105" s="43" t="n"/>
      <c r="C105" s="43" t="n"/>
      <c r="D105" s="43" t="n"/>
      <c r="E105" s="43" t="n"/>
      <c r="F105" s="43" t="n"/>
      <c r="G105" s="43" t="n"/>
      <c r="H105" s="43" t="n"/>
      <c r="I105" s="43" t="n"/>
      <c r="J105" s="43" t="n"/>
      <c r="K105" s="43" t="n"/>
      <c r="L105" s="43" t="n"/>
      <c r="M105" s="43" t="n"/>
      <c r="N105" s="43" t="n"/>
      <c r="O105" s="43" t="n"/>
      <c r="P105" s="43" t="n"/>
      <c r="Q105" s="43" t="n"/>
      <c r="R105" s="43" t="n"/>
      <c r="S105" s="43" t="n"/>
      <c r="T105" s="43" t="n"/>
      <c r="U105" s="43" t="n"/>
      <c r="V105" s="43" t="n"/>
      <c r="W105" s="43" t="n"/>
      <c r="X105" s="43" t="n"/>
      <c r="Y105" s="43" t="n"/>
      <c r="Z105" s="43" t="n"/>
    </row>
    <row r="106">
      <c r="A106" s="43" t="n"/>
      <c r="B106" s="43" t="n"/>
      <c r="C106" s="43" t="n"/>
      <c r="D106" s="43" t="n"/>
      <c r="E106" s="43" t="n"/>
      <c r="F106" s="43" t="n"/>
      <c r="G106" s="43" t="n"/>
      <c r="H106" s="43" t="n"/>
      <c r="I106" s="43" t="n"/>
      <c r="J106" s="43" t="n"/>
      <c r="K106" s="43" t="n"/>
      <c r="L106" s="43" t="n"/>
      <c r="M106" s="43" t="n"/>
      <c r="N106" s="43" t="n"/>
      <c r="O106" s="43" t="n"/>
      <c r="P106" s="43" t="n"/>
      <c r="Q106" s="43" t="n"/>
      <c r="R106" s="43" t="n"/>
      <c r="S106" s="43" t="n"/>
      <c r="T106" s="43" t="n"/>
      <c r="U106" s="43" t="n"/>
      <c r="V106" s="43" t="n"/>
      <c r="W106" s="43" t="n"/>
      <c r="X106" s="43" t="n"/>
      <c r="Y106" s="43" t="n"/>
      <c r="Z106" s="43" t="n"/>
    </row>
    <row r="107">
      <c r="A107" s="43" t="n"/>
      <c r="B107" s="43" t="n"/>
      <c r="C107" s="43" t="n"/>
      <c r="D107" s="43"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row>
    <row r="108">
      <c r="A108" s="43" t="n"/>
      <c r="B108" s="43" t="n"/>
      <c r="C108" s="43" t="n"/>
      <c r="D108" s="43" t="n"/>
      <c r="E108" s="43" t="n"/>
      <c r="F108" s="43" t="n"/>
      <c r="G108" s="43" t="n"/>
      <c r="H108" s="43" t="n"/>
      <c r="I108" s="43" t="n"/>
      <c r="J108" s="43" t="n"/>
      <c r="K108" s="43" t="n"/>
      <c r="L108" s="43" t="n"/>
      <c r="M108" s="43" t="n"/>
      <c r="N108" s="43" t="n"/>
      <c r="O108" s="43" t="n"/>
      <c r="P108" s="43" t="n"/>
      <c r="Q108" s="43" t="n"/>
      <c r="R108" s="43" t="n"/>
      <c r="S108" s="43" t="n"/>
      <c r="T108" s="43" t="n"/>
      <c r="U108" s="43" t="n"/>
      <c r="V108" s="43" t="n"/>
      <c r="W108" s="43" t="n"/>
      <c r="X108" s="43" t="n"/>
      <c r="Y108" s="43" t="n"/>
      <c r="Z108" s="43" t="n"/>
    </row>
    <row r="109">
      <c r="A109" s="43" t="n"/>
      <c r="B109" s="43" t="n"/>
      <c r="C109" s="43" t="n"/>
      <c r="D109" s="43" t="n"/>
      <c r="E109" s="43" t="n"/>
      <c r="F109" s="43" t="n"/>
      <c r="G109" s="43" t="n"/>
      <c r="H109" s="43" t="n"/>
      <c r="I109" s="43" t="n"/>
      <c r="J109" s="43" t="n"/>
      <c r="K109" s="43" t="n"/>
      <c r="L109" s="43" t="n"/>
      <c r="M109" s="43" t="n"/>
      <c r="N109" s="43" t="n"/>
      <c r="O109" s="43" t="n"/>
      <c r="P109" s="43" t="n"/>
      <c r="Q109" s="43" t="n"/>
      <c r="R109" s="43" t="n"/>
      <c r="S109" s="43" t="n"/>
      <c r="T109" s="43" t="n"/>
      <c r="U109" s="43" t="n"/>
      <c r="V109" s="43" t="n"/>
      <c r="W109" s="43" t="n"/>
      <c r="X109" s="43" t="n"/>
      <c r="Y109" s="43" t="n"/>
      <c r="Z109" s="43" t="n"/>
    </row>
    <row r="110">
      <c r="A110" s="43" t="n"/>
      <c r="B110" s="43" t="n"/>
      <c r="C110" s="43" t="n"/>
      <c r="D110" s="43" t="n"/>
      <c r="E110" s="43" t="n"/>
      <c r="F110" s="43" t="n"/>
      <c r="G110" s="43" t="n"/>
      <c r="H110" s="43" t="n"/>
      <c r="I110" s="43" t="n"/>
      <c r="J110" s="43" t="n"/>
      <c r="K110" s="43" t="n"/>
      <c r="L110" s="43" t="n"/>
      <c r="M110" s="43" t="n"/>
      <c r="N110" s="43" t="n"/>
      <c r="O110" s="43" t="n"/>
      <c r="P110" s="43" t="n"/>
      <c r="Q110" s="43" t="n"/>
      <c r="R110" s="43" t="n"/>
      <c r="S110" s="43" t="n"/>
      <c r="T110" s="43" t="n"/>
      <c r="U110" s="43" t="n"/>
      <c r="V110" s="43" t="n"/>
      <c r="W110" s="43" t="n"/>
      <c r="X110" s="43" t="n"/>
      <c r="Y110" s="43" t="n"/>
      <c r="Z110" s="43" t="n"/>
    </row>
    <row r="111">
      <c r="A111" s="43" t="n"/>
      <c r="B111" s="43" t="n"/>
      <c r="C111" s="43" t="n"/>
      <c r="D111" s="43" t="n"/>
      <c r="E111" s="43" t="n"/>
      <c r="F111" s="43" t="n"/>
      <c r="G111" s="43" t="n"/>
      <c r="H111" s="43" t="n"/>
      <c r="I111" s="43" t="n"/>
      <c r="J111" s="43" t="n"/>
      <c r="K111" s="43" t="n"/>
      <c r="L111" s="43" t="n"/>
      <c r="M111" s="43" t="n"/>
      <c r="N111" s="43" t="n"/>
      <c r="O111" s="43" t="n"/>
      <c r="P111" s="43" t="n"/>
      <c r="Q111" s="43" t="n"/>
      <c r="R111" s="43" t="n"/>
      <c r="S111" s="43" t="n"/>
      <c r="T111" s="43" t="n"/>
      <c r="U111" s="43" t="n"/>
      <c r="V111" s="43" t="n"/>
      <c r="W111" s="43" t="n"/>
      <c r="X111" s="43" t="n"/>
      <c r="Y111" s="43" t="n"/>
      <c r="Z111" s="43" t="n"/>
    </row>
    <row r="112">
      <c r="A112" s="43" t="n"/>
      <c r="B112" s="43" t="n"/>
      <c r="C112" s="43" t="n"/>
      <c r="D112" s="43" t="n"/>
      <c r="E112" s="43" t="n"/>
      <c r="F112" s="43" t="n"/>
      <c r="G112" s="43" t="n"/>
      <c r="H112" s="43" t="n"/>
      <c r="I112" s="43" t="n"/>
      <c r="J112" s="43" t="n"/>
      <c r="K112" s="43" t="n"/>
      <c r="L112" s="43" t="n"/>
      <c r="M112" s="43" t="n"/>
      <c r="N112" s="43" t="n"/>
      <c r="O112" s="43" t="n"/>
      <c r="P112" s="43" t="n"/>
      <c r="Q112" s="43" t="n"/>
      <c r="R112" s="43" t="n"/>
      <c r="S112" s="43" t="n"/>
      <c r="T112" s="43" t="n"/>
      <c r="U112" s="43" t="n"/>
      <c r="V112" s="43" t="n"/>
      <c r="W112" s="43" t="n"/>
      <c r="X112" s="43" t="n"/>
      <c r="Y112" s="43" t="n"/>
      <c r="Z112" s="43" t="n"/>
    </row>
    <row r="113">
      <c r="A113" s="43" t="n"/>
      <c r="B113" s="43" t="n"/>
      <c r="C113" s="43" t="n"/>
      <c r="D113" s="43" t="n"/>
      <c r="E113" s="43" t="n"/>
      <c r="F113" s="43" t="n"/>
      <c r="G113" s="43" t="n"/>
      <c r="H113" s="43" t="n"/>
      <c r="I113" s="43" t="n"/>
      <c r="J113" s="43" t="n"/>
      <c r="K113" s="43" t="n"/>
      <c r="L113" s="43" t="n"/>
      <c r="M113" s="43" t="n"/>
      <c r="N113" s="43" t="n"/>
      <c r="O113" s="43" t="n"/>
      <c r="P113" s="43" t="n"/>
      <c r="Q113" s="43" t="n"/>
      <c r="R113" s="43" t="n"/>
      <c r="S113" s="43" t="n"/>
      <c r="T113" s="43" t="n"/>
      <c r="U113" s="43" t="n"/>
      <c r="V113" s="43" t="n"/>
      <c r="W113" s="43" t="n"/>
      <c r="X113" s="43" t="n"/>
      <c r="Y113" s="43" t="n"/>
      <c r="Z113" s="43" t="n"/>
    </row>
    <row r="114">
      <c r="A114" s="43" t="n"/>
      <c r="B114" s="43" t="n"/>
      <c r="C114" s="43" t="n"/>
      <c r="D114" s="43" t="n"/>
      <c r="E114" s="43" t="n"/>
      <c r="F114" s="43" t="n"/>
      <c r="G114" s="43" t="n"/>
      <c r="H114" s="43" t="n"/>
      <c r="I114" s="43" t="n"/>
      <c r="J114" s="43" t="n"/>
      <c r="K114" s="43" t="n"/>
      <c r="L114" s="43" t="n"/>
      <c r="M114" s="43" t="n"/>
      <c r="N114" s="43" t="n"/>
      <c r="O114" s="43" t="n"/>
      <c r="P114" s="43" t="n"/>
      <c r="Q114" s="43" t="n"/>
      <c r="R114" s="43" t="n"/>
      <c r="S114" s="43" t="n"/>
      <c r="T114" s="43" t="n"/>
      <c r="U114" s="43" t="n"/>
      <c r="V114" s="43" t="n"/>
      <c r="W114" s="43" t="n"/>
      <c r="X114" s="43" t="n"/>
      <c r="Y114" s="43" t="n"/>
      <c r="Z114" s="43" t="n"/>
    </row>
    <row r="115">
      <c r="A115" s="43" t="n"/>
      <c r="B115" s="43" t="n"/>
      <c r="C115" s="43" t="n"/>
      <c r="D115" s="43" t="n"/>
      <c r="E115" s="43" t="n"/>
      <c r="F115" s="43" t="n"/>
      <c r="G115" s="43" t="n"/>
      <c r="H115" s="43" t="n"/>
      <c r="I115" s="43" t="n"/>
      <c r="J115" s="43" t="n"/>
      <c r="K115" s="43" t="n"/>
      <c r="L115" s="43" t="n"/>
      <c r="M115" s="43" t="n"/>
      <c r="N115" s="43" t="n"/>
      <c r="O115" s="43" t="n"/>
      <c r="P115" s="43" t="n"/>
      <c r="Q115" s="43" t="n"/>
      <c r="R115" s="43" t="n"/>
      <c r="S115" s="43" t="n"/>
      <c r="T115" s="43" t="n"/>
      <c r="U115" s="43" t="n"/>
      <c r="V115" s="43" t="n"/>
      <c r="W115" s="43" t="n"/>
      <c r="X115" s="43" t="n"/>
      <c r="Y115" s="43" t="n"/>
      <c r="Z115" s="43" t="n"/>
    </row>
    <row r="116">
      <c r="A116" s="43" t="n"/>
      <c r="B116" s="43" t="n"/>
      <c r="C116" s="43" t="n"/>
      <c r="D116" s="43" t="n"/>
      <c r="E116" s="43" t="n"/>
      <c r="F116" s="43" t="n"/>
      <c r="G116" s="43" t="n"/>
      <c r="H116" s="43" t="n"/>
      <c r="I116" s="43" t="n"/>
      <c r="J116" s="43" t="n"/>
      <c r="K116" s="43" t="n"/>
      <c r="L116" s="43" t="n"/>
      <c r="M116" s="43" t="n"/>
      <c r="N116" s="43" t="n"/>
      <c r="O116" s="43" t="n"/>
      <c r="P116" s="43" t="n"/>
      <c r="Q116" s="43" t="n"/>
      <c r="R116" s="43" t="n"/>
      <c r="S116" s="43" t="n"/>
      <c r="T116" s="43" t="n"/>
      <c r="U116" s="43" t="n"/>
      <c r="V116" s="43" t="n"/>
      <c r="W116" s="43" t="n"/>
      <c r="X116" s="43" t="n"/>
      <c r="Y116" s="43" t="n"/>
      <c r="Z116" s="43" t="n"/>
    </row>
    <row r="117">
      <c r="A117" s="43" t="n"/>
      <c r="B117" s="43" t="n"/>
      <c r="C117" s="43" t="n"/>
      <c r="D117" s="43"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row>
    <row r="118">
      <c r="A118" s="43" t="n"/>
      <c r="B118" s="43" t="n"/>
      <c r="C118" s="43" t="n"/>
      <c r="D118" s="43" t="n"/>
      <c r="E118" s="43" t="n"/>
      <c r="F118" s="43" t="n"/>
      <c r="G118" s="43" t="n"/>
      <c r="H118" s="43" t="n"/>
      <c r="I118" s="43" t="n"/>
      <c r="J118" s="43" t="n"/>
      <c r="K118" s="43" t="n"/>
      <c r="L118" s="43" t="n"/>
      <c r="M118" s="43" t="n"/>
      <c r="N118" s="43" t="n"/>
      <c r="O118" s="43" t="n"/>
      <c r="P118" s="43" t="n"/>
      <c r="Q118" s="43" t="n"/>
      <c r="R118" s="43" t="n"/>
      <c r="S118" s="43" t="n"/>
      <c r="T118" s="43" t="n"/>
      <c r="U118" s="43" t="n"/>
      <c r="V118" s="43" t="n"/>
      <c r="W118" s="43" t="n"/>
      <c r="X118" s="43" t="n"/>
      <c r="Y118" s="43" t="n"/>
      <c r="Z118" s="43" t="n"/>
    </row>
    <row r="119">
      <c r="A119" s="43" t="n"/>
      <c r="B119" s="43" t="n"/>
      <c r="C119" s="43" t="n"/>
      <c r="D119" s="43" t="n"/>
      <c r="E119" s="43" t="n"/>
      <c r="F119" s="43" t="n"/>
      <c r="G119" s="43" t="n"/>
      <c r="H119" s="43" t="n"/>
      <c r="I119" s="43" t="n"/>
      <c r="J119" s="43" t="n"/>
      <c r="K119" s="43" t="n"/>
      <c r="L119" s="43" t="n"/>
      <c r="M119" s="43" t="n"/>
      <c r="N119" s="43" t="n"/>
      <c r="O119" s="43" t="n"/>
      <c r="P119" s="43" t="n"/>
      <c r="Q119" s="43" t="n"/>
      <c r="R119" s="43" t="n"/>
      <c r="S119" s="43" t="n"/>
      <c r="T119" s="43" t="n"/>
      <c r="U119" s="43" t="n"/>
      <c r="V119" s="43" t="n"/>
      <c r="W119" s="43" t="n"/>
      <c r="X119" s="43" t="n"/>
      <c r="Y119" s="43" t="n"/>
      <c r="Z119" s="43" t="n"/>
    </row>
    <row r="120">
      <c r="A120" s="43" t="n"/>
      <c r="B120" s="43" t="n"/>
      <c r="C120" s="43" t="n"/>
      <c r="D120" s="43" t="n"/>
      <c r="E120" s="43" t="n"/>
      <c r="F120" s="43" t="n"/>
      <c r="G120" s="43" t="n"/>
      <c r="H120" s="43" t="n"/>
      <c r="I120" s="43" t="n"/>
      <c r="J120" s="43" t="n"/>
      <c r="K120" s="43" t="n"/>
      <c r="L120" s="43" t="n"/>
      <c r="M120" s="43" t="n"/>
      <c r="N120" s="43" t="n"/>
      <c r="O120" s="43" t="n"/>
      <c r="P120" s="43" t="n"/>
      <c r="Q120" s="43" t="n"/>
      <c r="R120" s="43" t="n"/>
      <c r="S120" s="43" t="n"/>
      <c r="T120" s="43" t="n"/>
      <c r="U120" s="43" t="n"/>
      <c r="V120" s="43" t="n"/>
      <c r="W120" s="43" t="n"/>
      <c r="X120" s="43" t="n"/>
      <c r="Y120" s="43" t="n"/>
      <c r="Z120" s="43" t="n"/>
    </row>
    <row r="121">
      <c r="A121" s="43" t="n"/>
      <c r="B121" s="43" t="n"/>
      <c r="C121" s="43" t="n"/>
      <c r="D121" s="43" t="n"/>
      <c r="E121" s="43" t="n"/>
      <c r="F121" s="43" t="n"/>
      <c r="G121" s="43" t="n"/>
      <c r="H121" s="43" t="n"/>
      <c r="I121" s="43" t="n"/>
      <c r="J121" s="43" t="n"/>
      <c r="K121" s="43" t="n"/>
      <c r="L121" s="43" t="n"/>
      <c r="M121" s="43" t="n"/>
      <c r="N121" s="43" t="n"/>
      <c r="O121" s="43" t="n"/>
      <c r="P121" s="43" t="n"/>
      <c r="Q121" s="43" t="n"/>
      <c r="R121" s="43" t="n"/>
      <c r="S121" s="43" t="n"/>
      <c r="T121" s="43" t="n"/>
      <c r="U121" s="43" t="n"/>
      <c r="V121" s="43" t="n"/>
      <c r="W121" s="43" t="n"/>
      <c r="X121" s="43" t="n"/>
      <c r="Y121" s="43" t="n"/>
      <c r="Z121" s="43" t="n"/>
    </row>
    <row r="122">
      <c r="A122" s="43" t="n"/>
      <c r="B122" s="43" t="n"/>
      <c r="C122" s="43" t="n"/>
      <c r="D122" s="43" t="n"/>
      <c r="E122" s="43" t="n"/>
      <c r="F122" s="43" t="n"/>
      <c r="G122" s="43" t="n"/>
      <c r="H122" s="43" t="n"/>
      <c r="I122" s="43" t="n"/>
      <c r="J122" s="43" t="n"/>
      <c r="K122" s="43" t="n"/>
      <c r="L122" s="43" t="n"/>
      <c r="M122" s="43" t="n"/>
      <c r="N122" s="43" t="n"/>
      <c r="O122" s="43" t="n"/>
      <c r="P122" s="43" t="n"/>
      <c r="Q122" s="43" t="n"/>
      <c r="R122" s="43" t="n"/>
      <c r="S122" s="43" t="n"/>
      <c r="T122" s="43" t="n"/>
      <c r="U122" s="43" t="n"/>
      <c r="V122" s="43" t="n"/>
      <c r="W122" s="43" t="n"/>
      <c r="X122" s="43" t="n"/>
      <c r="Y122" s="43" t="n"/>
      <c r="Z122" s="43" t="n"/>
    </row>
    <row r="123">
      <c r="A123" s="43" t="n"/>
      <c r="B123" s="43" t="n"/>
      <c r="C123" s="43" t="n"/>
      <c r="D123" s="43" t="n"/>
      <c r="E123" s="43" t="n"/>
      <c r="F123" s="43" t="n"/>
      <c r="G123" s="43" t="n"/>
      <c r="H123" s="43" t="n"/>
      <c r="I123" s="43" t="n"/>
      <c r="J123" s="43" t="n"/>
      <c r="K123" s="43" t="n"/>
      <c r="L123" s="43" t="n"/>
      <c r="M123" s="43" t="n"/>
      <c r="N123" s="43" t="n"/>
      <c r="O123" s="43" t="n"/>
      <c r="P123" s="43" t="n"/>
      <c r="Q123" s="43" t="n"/>
      <c r="R123" s="43" t="n"/>
      <c r="S123" s="43" t="n"/>
      <c r="T123" s="43" t="n"/>
      <c r="U123" s="43" t="n"/>
      <c r="V123" s="43" t="n"/>
      <c r="W123" s="43" t="n"/>
      <c r="X123" s="43" t="n"/>
      <c r="Y123" s="43" t="n"/>
      <c r="Z123" s="43" t="n"/>
    </row>
    <row r="124">
      <c r="A124" s="43" t="n"/>
      <c r="B124" s="43" t="n"/>
      <c r="C124" s="43" t="n"/>
      <c r="D124" s="43" t="n"/>
      <c r="E124" s="43" t="n"/>
      <c r="F124" s="43" t="n"/>
      <c r="G124" s="43" t="n"/>
      <c r="H124" s="43" t="n"/>
      <c r="I124" s="43" t="n"/>
      <c r="J124" s="43" t="n"/>
      <c r="K124" s="43" t="n"/>
      <c r="L124" s="43" t="n"/>
      <c r="M124" s="43" t="n"/>
      <c r="N124" s="43" t="n"/>
      <c r="O124" s="43" t="n"/>
      <c r="P124" s="43" t="n"/>
      <c r="Q124" s="43" t="n"/>
      <c r="R124" s="43" t="n"/>
      <c r="S124" s="43" t="n"/>
      <c r="T124" s="43" t="n"/>
      <c r="U124" s="43" t="n"/>
      <c r="V124" s="43" t="n"/>
      <c r="W124" s="43" t="n"/>
      <c r="X124" s="43" t="n"/>
      <c r="Y124" s="43" t="n"/>
      <c r="Z124" s="43" t="n"/>
    </row>
    <row r="125">
      <c r="A125" s="43" t="n"/>
      <c r="B125" s="43" t="n"/>
      <c r="C125" s="43" t="n"/>
      <c r="D125" s="43" t="n"/>
      <c r="E125" s="43" t="n"/>
      <c r="F125" s="43" t="n"/>
      <c r="G125" s="43" t="n"/>
      <c r="H125" s="43" t="n"/>
      <c r="I125" s="43" t="n"/>
      <c r="J125" s="43" t="n"/>
      <c r="K125" s="43" t="n"/>
      <c r="L125" s="43" t="n"/>
      <c r="M125" s="43" t="n"/>
      <c r="N125" s="43" t="n"/>
      <c r="O125" s="43" t="n"/>
      <c r="P125" s="43" t="n"/>
      <c r="Q125" s="43" t="n"/>
      <c r="R125" s="43" t="n"/>
      <c r="S125" s="43" t="n"/>
      <c r="T125" s="43" t="n"/>
      <c r="U125" s="43" t="n"/>
      <c r="V125" s="43" t="n"/>
      <c r="W125" s="43" t="n"/>
      <c r="X125" s="43" t="n"/>
      <c r="Y125" s="43" t="n"/>
      <c r="Z125" s="43" t="n"/>
    </row>
    <row r="126">
      <c r="A126" s="43" t="n"/>
      <c r="B126" s="43" t="n"/>
      <c r="C126" s="43" t="n"/>
      <c r="D126" s="43" t="n"/>
      <c r="E126" s="43" t="n"/>
      <c r="F126" s="43" t="n"/>
      <c r="G126" s="43" t="n"/>
      <c r="H126" s="43" t="n"/>
      <c r="I126" s="43" t="n"/>
      <c r="J126" s="43" t="n"/>
      <c r="K126" s="43" t="n"/>
      <c r="L126" s="43" t="n"/>
      <c r="M126" s="43" t="n"/>
      <c r="N126" s="43" t="n"/>
      <c r="O126" s="43" t="n"/>
      <c r="P126" s="43" t="n"/>
      <c r="Q126" s="43" t="n"/>
      <c r="R126" s="43" t="n"/>
      <c r="S126" s="43" t="n"/>
      <c r="T126" s="43" t="n"/>
      <c r="U126" s="43" t="n"/>
      <c r="V126" s="43" t="n"/>
      <c r="W126" s="43" t="n"/>
      <c r="X126" s="43" t="n"/>
      <c r="Y126" s="43" t="n"/>
      <c r="Z126" s="43" t="n"/>
    </row>
    <row r="127">
      <c r="A127" s="43" t="n"/>
      <c r="B127" s="43" t="n"/>
      <c r="C127" s="43" t="n"/>
      <c r="D127" s="43" t="n"/>
      <c r="E127" s="43" t="n"/>
      <c r="F127" s="43" t="n"/>
      <c r="G127" s="43" t="n"/>
      <c r="H127" s="43" t="n"/>
      <c r="I127" s="43" t="n"/>
      <c r="J127" s="43" t="n"/>
      <c r="K127" s="43" t="n"/>
      <c r="L127" s="43" t="n"/>
      <c r="M127" s="43" t="n"/>
      <c r="N127" s="43" t="n"/>
      <c r="O127" s="43" t="n"/>
      <c r="P127" s="43" t="n"/>
      <c r="Q127" s="43" t="n"/>
      <c r="R127" s="43" t="n"/>
      <c r="S127" s="43" t="n"/>
      <c r="T127" s="43" t="n"/>
      <c r="U127" s="43" t="n"/>
      <c r="V127" s="43" t="n"/>
      <c r="W127" s="43" t="n"/>
      <c r="X127" s="43" t="n"/>
      <c r="Y127" s="43" t="n"/>
      <c r="Z127" s="43" t="n"/>
    </row>
    <row r="128">
      <c r="A128" s="43" t="n"/>
      <c r="B128" s="43" t="n"/>
      <c r="C128" s="43" t="n"/>
      <c r="D128" s="43" t="n"/>
      <c r="E128" s="43" t="n"/>
      <c r="F128" s="43" t="n"/>
      <c r="G128" s="43" t="n"/>
      <c r="H128" s="43" t="n"/>
      <c r="I128" s="43" t="n"/>
      <c r="J128" s="43" t="n"/>
      <c r="K128" s="43" t="n"/>
      <c r="L128" s="43" t="n"/>
      <c r="M128" s="43" t="n"/>
      <c r="N128" s="43" t="n"/>
      <c r="O128" s="43" t="n"/>
      <c r="P128" s="43" t="n"/>
      <c r="Q128" s="43" t="n"/>
      <c r="R128" s="43" t="n"/>
      <c r="S128" s="43" t="n"/>
      <c r="T128" s="43" t="n"/>
      <c r="U128" s="43" t="n"/>
      <c r="V128" s="43" t="n"/>
      <c r="W128" s="43" t="n"/>
      <c r="X128" s="43" t="n"/>
      <c r="Y128" s="43" t="n"/>
      <c r="Z128" s="43" t="n"/>
    </row>
    <row r="129">
      <c r="A129" s="43" t="n"/>
      <c r="B129" s="43" t="n"/>
      <c r="C129" s="43" t="n"/>
      <c r="D129" s="43" t="n"/>
      <c r="E129" s="43" t="n"/>
      <c r="F129" s="43" t="n"/>
      <c r="G129" s="43" t="n"/>
      <c r="H129" s="43" t="n"/>
      <c r="I129" s="43" t="n"/>
      <c r="J129" s="43" t="n"/>
      <c r="K129" s="43" t="n"/>
      <c r="L129" s="43" t="n"/>
      <c r="M129" s="43" t="n"/>
      <c r="N129" s="43" t="n"/>
      <c r="O129" s="43" t="n"/>
      <c r="P129" s="43" t="n"/>
      <c r="Q129" s="43" t="n"/>
      <c r="R129" s="43" t="n"/>
      <c r="S129" s="43" t="n"/>
      <c r="T129" s="43" t="n"/>
      <c r="U129" s="43" t="n"/>
      <c r="V129" s="43" t="n"/>
      <c r="W129" s="43" t="n"/>
      <c r="X129" s="43" t="n"/>
      <c r="Y129" s="43" t="n"/>
      <c r="Z129" s="43" t="n"/>
    </row>
    <row r="130">
      <c r="A130" s="43" t="n"/>
      <c r="B130" s="43" t="n"/>
      <c r="C130" s="43" t="n"/>
      <c r="D130" s="43" t="n"/>
      <c r="E130" s="43" t="n"/>
      <c r="F130" s="43" t="n"/>
      <c r="G130" s="43" t="n"/>
      <c r="H130" s="43" t="n"/>
      <c r="I130" s="43" t="n"/>
      <c r="J130" s="43" t="n"/>
      <c r="K130" s="43" t="n"/>
      <c r="L130" s="43" t="n"/>
      <c r="M130" s="43" t="n"/>
      <c r="N130" s="43" t="n"/>
      <c r="O130" s="43" t="n"/>
      <c r="P130" s="43" t="n"/>
      <c r="Q130" s="43" t="n"/>
      <c r="R130" s="43" t="n"/>
      <c r="S130" s="43" t="n"/>
      <c r="T130" s="43" t="n"/>
      <c r="U130" s="43" t="n"/>
      <c r="V130" s="43" t="n"/>
      <c r="W130" s="43" t="n"/>
      <c r="X130" s="43" t="n"/>
      <c r="Y130" s="43" t="n"/>
      <c r="Z130" s="43" t="n"/>
    </row>
    <row r="131">
      <c r="A131" s="43" t="n"/>
      <c r="B131" s="43" t="n"/>
      <c r="C131" s="43" t="n"/>
      <c r="D131" s="43" t="n"/>
      <c r="E131" s="43" t="n"/>
      <c r="F131" s="43" t="n"/>
      <c r="G131" s="43" t="n"/>
      <c r="H131" s="43" t="n"/>
      <c r="I131" s="43" t="n"/>
      <c r="J131" s="43" t="n"/>
      <c r="K131" s="43" t="n"/>
      <c r="L131" s="43" t="n"/>
      <c r="M131" s="43" t="n"/>
      <c r="N131" s="43" t="n"/>
      <c r="O131" s="43" t="n"/>
      <c r="P131" s="43" t="n"/>
      <c r="Q131" s="43" t="n"/>
      <c r="R131" s="43" t="n"/>
      <c r="S131" s="43" t="n"/>
      <c r="T131" s="43" t="n"/>
      <c r="U131" s="43" t="n"/>
      <c r="V131" s="43" t="n"/>
      <c r="W131" s="43" t="n"/>
      <c r="X131" s="43" t="n"/>
      <c r="Y131" s="43" t="n"/>
      <c r="Z131" s="43" t="n"/>
    </row>
    <row r="132">
      <c r="A132" s="43" t="n"/>
      <c r="B132" s="43" t="n"/>
      <c r="C132" s="43" t="n"/>
      <c r="D132" s="43" t="n"/>
      <c r="E132" s="43" t="n"/>
      <c r="F132" s="43" t="n"/>
      <c r="G132" s="43" t="n"/>
      <c r="H132" s="43" t="n"/>
      <c r="I132" s="43" t="n"/>
      <c r="J132" s="43" t="n"/>
      <c r="K132" s="43" t="n"/>
      <c r="L132" s="43" t="n"/>
      <c r="M132" s="43" t="n"/>
      <c r="N132" s="43" t="n"/>
      <c r="O132" s="43" t="n"/>
      <c r="P132" s="43" t="n"/>
      <c r="Q132" s="43" t="n"/>
      <c r="R132" s="43" t="n"/>
      <c r="S132" s="43" t="n"/>
      <c r="T132" s="43" t="n"/>
      <c r="U132" s="43" t="n"/>
      <c r="V132" s="43" t="n"/>
      <c r="W132" s="43" t="n"/>
      <c r="X132" s="43" t="n"/>
      <c r="Y132" s="43" t="n"/>
      <c r="Z132" s="43" t="n"/>
    </row>
    <row r="133">
      <c r="A133" s="43" t="n"/>
      <c r="B133" s="43" t="n"/>
      <c r="C133" s="43" t="n"/>
      <c r="D133" s="43" t="n"/>
      <c r="E133" s="43" t="n"/>
      <c r="F133" s="43" t="n"/>
      <c r="G133" s="43" t="n"/>
      <c r="H133" s="43" t="n"/>
      <c r="I133" s="43" t="n"/>
      <c r="J133" s="43" t="n"/>
      <c r="K133" s="43" t="n"/>
      <c r="L133" s="43" t="n"/>
      <c r="M133" s="43" t="n"/>
      <c r="N133" s="43" t="n"/>
      <c r="O133" s="43" t="n"/>
      <c r="P133" s="43" t="n"/>
      <c r="Q133" s="43" t="n"/>
      <c r="R133" s="43" t="n"/>
      <c r="S133" s="43" t="n"/>
      <c r="T133" s="43" t="n"/>
      <c r="U133" s="43" t="n"/>
      <c r="V133" s="43" t="n"/>
      <c r="W133" s="43" t="n"/>
      <c r="X133" s="43" t="n"/>
      <c r="Y133" s="43" t="n"/>
      <c r="Z133" s="43" t="n"/>
    </row>
    <row r="134">
      <c r="A134" s="43" t="n"/>
      <c r="B134" s="43" t="n"/>
      <c r="C134" s="43" t="n"/>
      <c r="D134" s="43" t="n"/>
      <c r="E134" s="43" t="n"/>
      <c r="F134" s="43" t="n"/>
      <c r="G134" s="43" t="n"/>
      <c r="H134" s="43" t="n"/>
      <c r="I134" s="43" t="n"/>
      <c r="J134" s="43" t="n"/>
      <c r="K134" s="43" t="n"/>
      <c r="L134" s="43" t="n"/>
      <c r="M134" s="43" t="n"/>
      <c r="N134" s="43" t="n"/>
      <c r="O134" s="43" t="n"/>
      <c r="P134" s="43" t="n"/>
      <c r="Q134" s="43" t="n"/>
      <c r="R134" s="43" t="n"/>
      <c r="S134" s="43" t="n"/>
      <c r="T134" s="43" t="n"/>
      <c r="U134" s="43" t="n"/>
      <c r="V134" s="43" t="n"/>
      <c r="W134" s="43" t="n"/>
      <c r="X134" s="43" t="n"/>
      <c r="Y134" s="43" t="n"/>
      <c r="Z134" s="43" t="n"/>
    </row>
    <row r="135">
      <c r="A135" s="43" t="n"/>
      <c r="B135" s="43" t="n"/>
      <c r="C135" s="43" t="n"/>
      <c r="D135" s="43" t="n"/>
      <c r="E135" s="43" t="n"/>
      <c r="F135" s="43" t="n"/>
      <c r="G135" s="43" t="n"/>
      <c r="H135" s="43" t="n"/>
      <c r="I135" s="43" t="n"/>
      <c r="J135" s="43" t="n"/>
      <c r="K135" s="43" t="n"/>
      <c r="L135" s="43" t="n"/>
      <c r="M135" s="43" t="n"/>
      <c r="N135" s="43" t="n"/>
      <c r="O135" s="43" t="n"/>
      <c r="P135" s="43" t="n"/>
      <c r="Q135" s="43" t="n"/>
      <c r="R135" s="43" t="n"/>
      <c r="S135" s="43" t="n"/>
      <c r="T135" s="43" t="n"/>
      <c r="U135" s="43" t="n"/>
      <c r="V135" s="43" t="n"/>
      <c r="W135" s="43" t="n"/>
      <c r="X135" s="43" t="n"/>
      <c r="Y135" s="43" t="n"/>
      <c r="Z135" s="43" t="n"/>
    </row>
    <row r="136">
      <c r="A136" s="43" t="n"/>
      <c r="B136" s="43" t="n"/>
      <c r="C136" s="43" t="n"/>
      <c r="D136" s="43" t="n"/>
      <c r="E136" s="43" t="n"/>
      <c r="F136" s="43" t="n"/>
      <c r="G136" s="43" t="n"/>
      <c r="H136" s="43" t="n"/>
      <c r="I136" s="43" t="n"/>
      <c r="J136" s="43" t="n"/>
      <c r="K136" s="43" t="n"/>
      <c r="L136" s="43" t="n"/>
      <c r="M136" s="43" t="n"/>
      <c r="N136" s="43" t="n"/>
      <c r="O136" s="43" t="n"/>
      <c r="P136" s="43" t="n"/>
      <c r="Q136" s="43" t="n"/>
      <c r="R136" s="43" t="n"/>
      <c r="S136" s="43" t="n"/>
      <c r="T136" s="43" t="n"/>
      <c r="U136" s="43" t="n"/>
      <c r="V136" s="43" t="n"/>
      <c r="W136" s="43" t="n"/>
      <c r="X136" s="43" t="n"/>
      <c r="Y136" s="43" t="n"/>
      <c r="Z136" s="43" t="n"/>
    </row>
    <row r="137">
      <c r="A137" s="43" t="n"/>
      <c r="B137" s="43" t="n"/>
      <c r="C137" s="43" t="n"/>
      <c r="D137" s="43" t="n"/>
      <c r="E137" s="43" t="n"/>
      <c r="F137" s="43" t="n"/>
      <c r="G137" s="43" t="n"/>
      <c r="H137" s="43" t="n"/>
      <c r="I137" s="43" t="n"/>
      <c r="J137" s="43" t="n"/>
      <c r="K137" s="43" t="n"/>
      <c r="L137" s="43" t="n"/>
      <c r="M137" s="43" t="n"/>
      <c r="N137" s="43" t="n"/>
      <c r="O137" s="43" t="n"/>
      <c r="P137" s="43" t="n"/>
      <c r="Q137" s="43" t="n"/>
      <c r="R137" s="43" t="n"/>
      <c r="S137" s="43" t="n"/>
      <c r="T137" s="43" t="n"/>
      <c r="U137" s="43" t="n"/>
      <c r="V137" s="43" t="n"/>
      <c r="W137" s="43" t="n"/>
      <c r="X137" s="43" t="n"/>
      <c r="Y137" s="43" t="n"/>
      <c r="Z137" s="43" t="n"/>
    </row>
    <row r="138">
      <c r="A138" s="43" t="n"/>
      <c r="B138" s="43" t="n"/>
      <c r="C138" s="43" t="n"/>
      <c r="D138" s="43" t="n"/>
      <c r="E138" s="43" t="n"/>
      <c r="F138" s="43" t="n"/>
      <c r="G138" s="43" t="n"/>
      <c r="H138" s="43" t="n"/>
      <c r="I138" s="43" t="n"/>
      <c r="J138" s="43" t="n"/>
      <c r="K138" s="43" t="n"/>
      <c r="L138" s="43" t="n"/>
      <c r="M138" s="43" t="n"/>
      <c r="N138" s="43" t="n"/>
      <c r="O138" s="43" t="n"/>
      <c r="P138" s="43" t="n"/>
      <c r="Q138" s="43" t="n"/>
      <c r="R138" s="43" t="n"/>
      <c r="S138" s="43" t="n"/>
      <c r="T138" s="43" t="n"/>
      <c r="U138" s="43" t="n"/>
      <c r="V138" s="43" t="n"/>
      <c r="W138" s="43" t="n"/>
      <c r="X138" s="43" t="n"/>
      <c r="Y138" s="43" t="n"/>
      <c r="Z138" s="43" t="n"/>
    </row>
    <row r="139">
      <c r="A139" s="43" t="n"/>
      <c r="B139" s="43" t="n"/>
      <c r="C139" s="43" t="n"/>
      <c r="D139" s="43" t="n"/>
      <c r="E139" s="43" t="n"/>
      <c r="F139" s="43" t="n"/>
      <c r="G139" s="43" t="n"/>
      <c r="H139" s="43" t="n"/>
      <c r="I139" s="43" t="n"/>
      <c r="J139" s="43" t="n"/>
      <c r="K139" s="43" t="n"/>
      <c r="L139" s="43" t="n"/>
      <c r="M139" s="43" t="n"/>
      <c r="N139" s="43" t="n"/>
      <c r="O139" s="43" t="n"/>
      <c r="P139" s="43" t="n"/>
      <c r="Q139" s="43" t="n"/>
      <c r="R139" s="43" t="n"/>
      <c r="S139" s="43" t="n"/>
      <c r="T139" s="43" t="n"/>
      <c r="U139" s="43" t="n"/>
      <c r="V139" s="43" t="n"/>
      <c r="W139" s="43" t="n"/>
      <c r="X139" s="43" t="n"/>
      <c r="Y139" s="43" t="n"/>
      <c r="Z139" s="43" t="n"/>
    </row>
    <row r="140">
      <c r="A140" s="43" t="n"/>
      <c r="B140" s="43" t="n"/>
      <c r="C140" s="43" t="n"/>
      <c r="D140" s="43" t="n"/>
      <c r="E140" s="43" t="n"/>
      <c r="F140" s="43" t="n"/>
      <c r="G140" s="43" t="n"/>
      <c r="H140" s="43" t="n"/>
      <c r="I140" s="43" t="n"/>
      <c r="J140" s="43" t="n"/>
      <c r="K140" s="43" t="n"/>
      <c r="L140" s="43" t="n"/>
      <c r="M140" s="43" t="n"/>
      <c r="N140" s="43" t="n"/>
      <c r="O140" s="43" t="n"/>
      <c r="P140" s="43" t="n"/>
      <c r="Q140" s="43" t="n"/>
      <c r="R140" s="43" t="n"/>
      <c r="S140" s="43" t="n"/>
      <c r="T140" s="43" t="n"/>
      <c r="U140" s="43" t="n"/>
      <c r="V140" s="43" t="n"/>
      <c r="W140" s="43" t="n"/>
      <c r="X140" s="43" t="n"/>
      <c r="Y140" s="43" t="n"/>
      <c r="Z140" s="43" t="n"/>
    </row>
    <row r="141">
      <c r="A141" s="43" t="n"/>
      <c r="B141" s="43" t="n"/>
      <c r="C141" s="43" t="n"/>
      <c r="D141" s="43" t="n"/>
      <c r="E141" s="43" t="n"/>
      <c r="F141" s="43" t="n"/>
      <c r="G141" s="43" t="n"/>
      <c r="H141" s="43" t="n"/>
      <c r="I141" s="43" t="n"/>
      <c r="J141" s="43" t="n"/>
      <c r="K141" s="43" t="n"/>
      <c r="L141" s="43" t="n"/>
      <c r="M141" s="43" t="n"/>
      <c r="N141" s="43" t="n"/>
      <c r="O141" s="43" t="n"/>
      <c r="P141" s="43" t="n"/>
      <c r="Q141" s="43" t="n"/>
      <c r="R141" s="43" t="n"/>
      <c r="S141" s="43" t="n"/>
      <c r="T141" s="43" t="n"/>
      <c r="U141" s="43" t="n"/>
      <c r="V141" s="43" t="n"/>
      <c r="W141" s="43" t="n"/>
      <c r="X141" s="43" t="n"/>
      <c r="Y141" s="43" t="n"/>
      <c r="Z141" s="43" t="n"/>
    </row>
    <row r="142">
      <c r="A142" s="43" t="n"/>
      <c r="B142" s="43" t="n"/>
      <c r="C142" s="43" t="n"/>
      <c r="D142" s="43" t="n"/>
      <c r="E142" s="43" t="n"/>
      <c r="F142" s="43" t="n"/>
      <c r="G142" s="43" t="n"/>
      <c r="H142" s="43" t="n"/>
      <c r="I142" s="43" t="n"/>
      <c r="J142" s="43" t="n"/>
      <c r="K142" s="43" t="n"/>
      <c r="L142" s="43" t="n"/>
      <c r="M142" s="43" t="n"/>
      <c r="N142" s="43" t="n"/>
      <c r="O142" s="43" t="n"/>
      <c r="P142" s="43" t="n"/>
      <c r="Q142" s="43" t="n"/>
      <c r="R142" s="43" t="n"/>
      <c r="S142" s="43" t="n"/>
      <c r="T142" s="43" t="n"/>
      <c r="U142" s="43" t="n"/>
      <c r="V142" s="43" t="n"/>
      <c r="W142" s="43" t="n"/>
      <c r="X142" s="43" t="n"/>
      <c r="Y142" s="43" t="n"/>
      <c r="Z142" s="43" t="n"/>
    </row>
    <row r="143">
      <c r="A143" s="43" t="n"/>
      <c r="B143" s="43" t="n"/>
      <c r="C143" s="43" t="n"/>
      <c r="D143" s="43" t="n"/>
      <c r="E143" s="43" t="n"/>
      <c r="F143" s="43" t="n"/>
      <c r="G143" s="43" t="n"/>
      <c r="H143" s="43" t="n"/>
      <c r="I143" s="43" t="n"/>
      <c r="J143" s="43" t="n"/>
      <c r="K143" s="43" t="n"/>
      <c r="L143" s="43" t="n"/>
      <c r="M143" s="43" t="n"/>
      <c r="N143" s="43" t="n"/>
      <c r="O143" s="43" t="n"/>
      <c r="P143" s="43" t="n"/>
      <c r="Q143" s="43" t="n"/>
      <c r="R143" s="43" t="n"/>
      <c r="S143" s="43" t="n"/>
      <c r="T143" s="43" t="n"/>
      <c r="U143" s="43" t="n"/>
      <c r="V143" s="43" t="n"/>
      <c r="W143" s="43" t="n"/>
      <c r="X143" s="43" t="n"/>
      <c r="Y143" s="43" t="n"/>
      <c r="Z143" s="43" t="n"/>
    </row>
    <row r="144">
      <c r="A144" s="43" t="n"/>
      <c r="B144" s="43" t="n"/>
      <c r="C144" s="43" t="n"/>
      <c r="D144" s="43" t="n"/>
      <c r="E144" s="43" t="n"/>
      <c r="F144" s="43" t="n"/>
      <c r="G144" s="43" t="n"/>
      <c r="H144" s="43" t="n"/>
      <c r="I144" s="43" t="n"/>
      <c r="J144" s="43" t="n"/>
      <c r="K144" s="43" t="n"/>
      <c r="L144" s="43" t="n"/>
      <c r="M144" s="43" t="n"/>
      <c r="N144" s="43" t="n"/>
      <c r="O144" s="43" t="n"/>
      <c r="P144" s="43" t="n"/>
      <c r="Q144" s="43" t="n"/>
      <c r="R144" s="43" t="n"/>
      <c r="S144" s="43" t="n"/>
      <c r="T144" s="43" t="n"/>
      <c r="U144" s="43" t="n"/>
      <c r="V144" s="43" t="n"/>
      <c r="W144" s="43" t="n"/>
      <c r="X144" s="43" t="n"/>
      <c r="Y144" s="43" t="n"/>
      <c r="Z144" s="43" t="n"/>
    </row>
    <row r="145">
      <c r="A145" s="43" t="n"/>
      <c r="B145" s="43" t="n"/>
      <c r="C145" s="43" t="n"/>
      <c r="D145" s="43" t="n"/>
      <c r="E145" s="43" t="n"/>
      <c r="F145" s="43" t="n"/>
      <c r="G145" s="43" t="n"/>
      <c r="H145" s="43" t="n"/>
      <c r="I145" s="43" t="n"/>
      <c r="J145" s="43" t="n"/>
      <c r="K145" s="43" t="n"/>
      <c r="L145" s="43" t="n"/>
      <c r="M145" s="43" t="n"/>
      <c r="N145" s="43" t="n"/>
      <c r="O145" s="43" t="n"/>
      <c r="P145" s="43" t="n"/>
      <c r="Q145" s="43" t="n"/>
      <c r="R145" s="43" t="n"/>
      <c r="S145" s="43" t="n"/>
      <c r="T145" s="43" t="n"/>
      <c r="U145" s="43" t="n"/>
      <c r="V145" s="43" t="n"/>
      <c r="W145" s="43" t="n"/>
      <c r="X145" s="43" t="n"/>
      <c r="Y145" s="43" t="n"/>
      <c r="Z145" s="43" t="n"/>
    </row>
    <row r="146">
      <c r="A146" s="43" t="n"/>
      <c r="B146" s="43" t="n"/>
      <c r="C146" s="43" t="n"/>
      <c r="D146" s="43" t="n"/>
      <c r="E146" s="43" t="n"/>
      <c r="F146" s="43" t="n"/>
      <c r="G146" s="43" t="n"/>
      <c r="H146" s="43" t="n"/>
      <c r="I146" s="43" t="n"/>
      <c r="J146" s="43" t="n"/>
      <c r="K146" s="43" t="n"/>
      <c r="L146" s="43" t="n"/>
      <c r="M146" s="43" t="n"/>
      <c r="N146" s="43" t="n"/>
      <c r="O146" s="43" t="n"/>
      <c r="P146" s="43" t="n"/>
      <c r="Q146" s="43" t="n"/>
      <c r="R146" s="43" t="n"/>
      <c r="S146" s="43" t="n"/>
      <c r="T146" s="43" t="n"/>
      <c r="U146" s="43" t="n"/>
      <c r="V146" s="43" t="n"/>
      <c r="W146" s="43" t="n"/>
      <c r="X146" s="43" t="n"/>
      <c r="Y146" s="43" t="n"/>
      <c r="Z146" s="43" t="n"/>
    </row>
    <row r="147">
      <c r="A147" s="43" t="n"/>
      <c r="B147" s="43" t="n"/>
      <c r="C147" s="43" t="n"/>
      <c r="D147" s="43" t="n"/>
      <c r="E147" s="43" t="n"/>
      <c r="F147" s="43" t="n"/>
      <c r="G147" s="43" t="n"/>
      <c r="H147" s="43" t="n"/>
      <c r="I147" s="43" t="n"/>
      <c r="J147" s="43" t="n"/>
      <c r="K147" s="43" t="n"/>
      <c r="L147" s="43" t="n"/>
      <c r="M147" s="43" t="n"/>
      <c r="N147" s="43" t="n"/>
      <c r="O147" s="43" t="n"/>
      <c r="P147" s="43" t="n"/>
      <c r="Q147" s="43" t="n"/>
      <c r="R147" s="43" t="n"/>
      <c r="S147" s="43" t="n"/>
      <c r="T147" s="43" t="n"/>
      <c r="U147" s="43" t="n"/>
      <c r="V147" s="43" t="n"/>
      <c r="W147" s="43" t="n"/>
      <c r="X147" s="43" t="n"/>
      <c r="Y147" s="43" t="n"/>
      <c r="Z147" s="43" t="n"/>
    </row>
    <row r="148">
      <c r="A148" s="43" t="n"/>
      <c r="B148" s="43" t="n"/>
      <c r="C148" s="43" t="n"/>
      <c r="D148" s="43" t="n"/>
      <c r="E148" s="43" t="n"/>
      <c r="F148" s="43" t="n"/>
      <c r="G148" s="43" t="n"/>
      <c r="H148" s="43" t="n"/>
      <c r="I148" s="43" t="n"/>
      <c r="J148" s="43" t="n"/>
      <c r="K148" s="43" t="n"/>
      <c r="L148" s="43" t="n"/>
      <c r="M148" s="43" t="n"/>
      <c r="N148" s="43" t="n"/>
      <c r="O148" s="43" t="n"/>
      <c r="P148" s="43" t="n"/>
      <c r="Q148" s="43" t="n"/>
      <c r="R148" s="43" t="n"/>
      <c r="S148" s="43" t="n"/>
      <c r="T148" s="43" t="n"/>
      <c r="U148" s="43" t="n"/>
      <c r="V148" s="43" t="n"/>
      <c r="W148" s="43" t="n"/>
      <c r="X148" s="43" t="n"/>
      <c r="Y148" s="43" t="n"/>
      <c r="Z148" s="43" t="n"/>
    </row>
    <row r="149">
      <c r="A149" s="43" t="n"/>
      <c r="B149" s="43" t="n"/>
      <c r="C149" s="43" t="n"/>
      <c r="D149" s="43" t="n"/>
      <c r="E149" s="43" t="n"/>
      <c r="F149" s="43" t="n"/>
      <c r="G149" s="43" t="n"/>
      <c r="H149" s="43" t="n"/>
      <c r="I149" s="43" t="n"/>
      <c r="J149" s="43" t="n"/>
      <c r="K149" s="43" t="n"/>
      <c r="L149" s="43" t="n"/>
      <c r="M149" s="43" t="n"/>
      <c r="N149" s="43" t="n"/>
      <c r="O149" s="43" t="n"/>
      <c r="P149" s="43" t="n"/>
      <c r="Q149" s="43" t="n"/>
      <c r="R149" s="43" t="n"/>
      <c r="S149" s="43" t="n"/>
      <c r="T149" s="43" t="n"/>
      <c r="U149" s="43" t="n"/>
      <c r="V149" s="43" t="n"/>
      <c r="W149" s="43" t="n"/>
      <c r="X149" s="43" t="n"/>
      <c r="Y149" s="43" t="n"/>
      <c r="Z149" s="43" t="n"/>
    </row>
    <row r="150">
      <c r="A150" s="43" t="n"/>
      <c r="B150" s="43" t="n"/>
      <c r="C150" s="43" t="n"/>
      <c r="D150" s="43"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row>
    <row r="151">
      <c r="A151" s="43" t="n"/>
      <c r="B151" s="43" t="n"/>
      <c r="C151" s="43" t="n"/>
      <c r="D151" s="43" t="n"/>
      <c r="E151" s="43" t="n"/>
      <c r="F151" s="43" t="n"/>
      <c r="G151" s="43" t="n"/>
      <c r="H151" s="43" t="n"/>
      <c r="I151" s="43" t="n"/>
      <c r="J151" s="43" t="n"/>
      <c r="K151" s="43" t="n"/>
      <c r="L151" s="43" t="n"/>
      <c r="M151" s="43" t="n"/>
      <c r="N151" s="43" t="n"/>
      <c r="O151" s="43" t="n"/>
      <c r="P151" s="43" t="n"/>
      <c r="Q151" s="43" t="n"/>
      <c r="R151" s="43" t="n"/>
      <c r="S151" s="43" t="n"/>
      <c r="T151" s="43" t="n"/>
      <c r="U151" s="43" t="n"/>
      <c r="V151" s="43" t="n"/>
      <c r="W151" s="43" t="n"/>
      <c r="X151" s="43" t="n"/>
      <c r="Y151" s="43" t="n"/>
      <c r="Z151" s="43" t="n"/>
    </row>
    <row r="152">
      <c r="A152" s="43" t="n"/>
      <c r="B152" s="43" t="n"/>
      <c r="C152" s="43" t="n"/>
      <c r="D152" s="43" t="n"/>
      <c r="E152" s="43" t="n"/>
      <c r="F152" s="43" t="n"/>
      <c r="G152" s="43" t="n"/>
      <c r="H152" s="43" t="n"/>
      <c r="I152" s="43" t="n"/>
      <c r="J152" s="43" t="n"/>
      <c r="K152" s="43" t="n"/>
      <c r="L152" s="43" t="n"/>
      <c r="M152" s="43" t="n"/>
      <c r="N152" s="43" t="n"/>
      <c r="O152" s="43" t="n"/>
      <c r="P152" s="43" t="n"/>
      <c r="Q152" s="43" t="n"/>
      <c r="R152" s="43" t="n"/>
      <c r="S152" s="43" t="n"/>
      <c r="T152" s="43" t="n"/>
      <c r="U152" s="43" t="n"/>
      <c r="V152" s="43" t="n"/>
      <c r="W152" s="43" t="n"/>
      <c r="X152" s="43" t="n"/>
      <c r="Y152" s="43" t="n"/>
      <c r="Z152" s="43" t="n"/>
    </row>
    <row r="153">
      <c r="A153" s="43" t="n"/>
      <c r="B153" s="43" t="n"/>
      <c r="C153" s="43" t="n"/>
      <c r="D153" s="43" t="n"/>
      <c r="E153" s="43" t="n"/>
      <c r="F153" s="43" t="n"/>
      <c r="G153" s="43" t="n"/>
      <c r="H153" s="43" t="n"/>
      <c r="I153" s="43" t="n"/>
      <c r="J153" s="43" t="n"/>
      <c r="K153" s="43" t="n"/>
      <c r="L153" s="43" t="n"/>
      <c r="M153" s="43" t="n"/>
      <c r="N153" s="43" t="n"/>
      <c r="O153" s="43" t="n"/>
      <c r="P153" s="43" t="n"/>
      <c r="Q153" s="43" t="n"/>
      <c r="R153" s="43" t="n"/>
      <c r="S153" s="43" t="n"/>
      <c r="T153" s="43" t="n"/>
      <c r="U153" s="43" t="n"/>
      <c r="V153" s="43" t="n"/>
      <c r="W153" s="43" t="n"/>
      <c r="X153" s="43" t="n"/>
      <c r="Y153" s="43" t="n"/>
      <c r="Z153" s="43" t="n"/>
    </row>
    <row r="154">
      <c r="A154" s="43" t="n"/>
      <c r="B154" s="43" t="n"/>
      <c r="C154" s="43" t="n"/>
      <c r="D154" s="43" t="n"/>
      <c r="E154" s="43" t="n"/>
      <c r="F154" s="43" t="n"/>
      <c r="G154" s="43" t="n"/>
      <c r="H154" s="43" t="n"/>
      <c r="I154" s="43" t="n"/>
      <c r="J154" s="43" t="n"/>
      <c r="K154" s="43" t="n"/>
      <c r="L154" s="43" t="n"/>
      <c r="M154" s="43" t="n"/>
      <c r="N154" s="43" t="n"/>
      <c r="O154" s="43" t="n"/>
      <c r="P154" s="43" t="n"/>
      <c r="Q154" s="43" t="n"/>
      <c r="R154" s="43" t="n"/>
      <c r="S154" s="43" t="n"/>
      <c r="T154" s="43" t="n"/>
      <c r="U154" s="43" t="n"/>
      <c r="V154" s="43" t="n"/>
      <c r="W154" s="43" t="n"/>
      <c r="X154" s="43" t="n"/>
      <c r="Y154" s="43" t="n"/>
      <c r="Z154" s="43" t="n"/>
    </row>
    <row r="155">
      <c r="A155" s="43" t="n"/>
      <c r="B155" s="43" t="n"/>
      <c r="C155" s="43" t="n"/>
      <c r="D155" s="43" t="n"/>
      <c r="E155" s="43" t="n"/>
      <c r="F155" s="43" t="n"/>
      <c r="G155" s="43" t="n"/>
      <c r="H155" s="43" t="n"/>
      <c r="I155" s="43" t="n"/>
      <c r="J155" s="43" t="n"/>
      <c r="K155" s="43" t="n"/>
      <c r="L155" s="43" t="n"/>
      <c r="M155" s="43" t="n"/>
      <c r="N155" s="43" t="n"/>
      <c r="O155" s="43" t="n"/>
      <c r="P155" s="43" t="n"/>
      <c r="Q155" s="43" t="n"/>
      <c r="R155" s="43" t="n"/>
      <c r="S155" s="43" t="n"/>
      <c r="T155" s="43" t="n"/>
      <c r="U155" s="43" t="n"/>
      <c r="V155" s="43" t="n"/>
      <c r="W155" s="43" t="n"/>
      <c r="X155" s="43" t="n"/>
      <c r="Y155" s="43" t="n"/>
      <c r="Z155" s="43" t="n"/>
    </row>
    <row r="156">
      <c r="A156" s="43" t="n"/>
      <c r="B156" s="43" t="n"/>
      <c r="C156" s="43" t="n"/>
      <c r="D156" s="43" t="n"/>
      <c r="E156" s="43" t="n"/>
      <c r="F156" s="43" t="n"/>
      <c r="G156" s="43" t="n"/>
      <c r="H156" s="43" t="n"/>
      <c r="I156" s="43" t="n"/>
      <c r="J156" s="43" t="n"/>
      <c r="K156" s="43" t="n"/>
      <c r="L156" s="43" t="n"/>
      <c r="M156" s="43" t="n"/>
      <c r="N156" s="43" t="n"/>
      <c r="O156" s="43" t="n"/>
      <c r="P156" s="43" t="n"/>
      <c r="Q156" s="43" t="n"/>
      <c r="R156" s="43" t="n"/>
      <c r="S156" s="43" t="n"/>
      <c r="T156" s="43" t="n"/>
      <c r="U156" s="43" t="n"/>
      <c r="V156" s="43" t="n"/>
      <c r="W156" s="43" t="n"/>
      <c r="X156" s="43" t="n"/>
      <c r="Y156" s="43" t="n"/>
      <c r="Z156" s="43" t="n"/>
    </row>
    <row r="157">
      <c r="A157" s="43" t="n"/>
      <c r="B157" s="43" t="n"/>
      <c r="C157" s="43" t="n"/>
      <c r="D157" s="43" t="n"/>
      <c r="E157" s="43" t="n"/>
      <c r="F157" s="43" t="n"/>
      <c r="G157" s="43" t="n"/>
      <c r="H157" s="43" t="n"/>
      <c r="I157" s="43" t="n"/>
      <c r="J157" s="43" t="n"/>
      <c r="K157" s="43" t="n"/>
      <c r="L157" s="43" t="n"/>
      <c r="M157" s="43" t="n"/>
      <c r="N157" s="43" t="n"/>
      <c r="O157" s="43" t="n"/>
      <c r="P157" s="43" t="n"/>
      <c r="Q157" s="43" t="n"/>
      <c r="R157" s="43" t="n"/>
      <c r="S157" s="43" t="n"/>
      <c r="T157" s="43" t="n"/>
      <c r="U157" s="43" t="n"/>
      <c r="V157" s="43" t="n"/>
      <c r="W157" s="43" t="n"/>
      <c r="X157" s="43" t="n"/>
      <c r="Y157" s="43" t="n"/>
      <c r="Z157" s="43" t="n"/>
    </row>
    <row r="158">
      <c r="A158" s="43" t="n"/>
      <c r="B158" s="43" t="n"/>
      <c r="C158" s="43" t="n"/>
      <c r="D158" s="43" t="n"/>
      <c r="E158" s="43" t="n"/>
      <c r="F158" s="43" t="n"/>
      <c r="G158" s="43" t="n"/>
      <c r="H158" s="43" t="n"/>
      <c r="I158" s="43" t="n"/>
      <c r="J158" s="43" t="n"/>
      <c r="K158" s="43" t="n"/>
      <c r="L158" s="43" t="n"/>
      <c r="M158" s="43" t="n"/>
      <c r="N158" s="43" t="n"/>
      <c r="O158" s="43" t="n"/>
      <c r="P158" s="43" t="n"/>
      <c r="Q158" s="43" t="n"/>
      <c r="R158" s="43" t="n"/>
      <c r="S158" s="43" t="n"/>
      <c r="T158" s="43" t="n"/>
      <c r="U158" s="43" t="n"/>
      <c r="V158" s="43" t="n"/>
      <c r="W158" s="43" t="n"/>
      <c r="X158" s="43" t="n"/>
      <c r="Y158" s="43" t="n"/>
      <c r="Z158" s="43" t="n"/>
    </row>
    <row r="159">
      <c r="A159" s="43" t="n"/>
      <c r="B159" s="43" t="n"/>
      <c r="C159" s="43" t="n"/>
      <c r="D159" s="43" t="n"/>
      <c r="E159" s="43" t="n"/>
      <c r="F159" s="43" t="n"/>
      <c r="G159" s="43" t="n"/>
      <c r="H159" s="43" t="n"/>
      <c r="I159" s="43" t="n"/>
      <c r="J159" s="43" t="n"/>
      <c r="K159" s="43" t="n"/>
      <c r="L159" s="43" t="n"/>
      <c r="M159" s="43" t="n"/>
      <c r="N159" s="43" t="n"/>
      <c r="O159" s="43" t="n"/>
      <c r="P159" s="43" t="n"/>
      <c r="Q159" s="43" t="n"/>
      <c r="R159" s="43" t="n"/>
      <c r="S159" s="43" t="n"/>
      <c r="T159" s="43" t="n"/>
      <c r="U159" s="43" t="n"/>
      <c r="V159" s="43" t="n"/>
      <c r="W159" s="43" t="n"/>
      <c r="X159" s="43" t="n"/>
      <c r="Y159" s="43" t="n"/>
      <c r="Z159" s="43" t="n"/>
    </row>
    <row r="160">
      <c r="A160" s="43" t="n"/>
      <c r="B160" s="43" t="n"/>
      <c r="C160" s="43" t="n"/>
      <c r="D160" s="43" t="n"/>
      <c r="E160" s="43" t="n"/>
      <c r="F160" s="43" t="n"/>
      <c r="G160" s="43" t="n"/>
      <c r="H160" s="43" t="n"/>
      <c r="I160" s="43" t="n"/>
      <c r="J160" s="43" t="n"/>
      <c r="K160" s="43" t="n"/>
      <c r="L160" s="43" t="n"/>
      <c r="M160" s="43" t="n"/>
      <c r="N160" s="43" t="n"/>
      <c r="O160" s="43" t="n"/>
      <c r="P160" s="43" t="n"/>
      <c r="Q160" s="43" t="n"/>
      <c r="R160" s="43" t="n"/>
      <c r="S160" s="43" t="n"/>
      <c r="T160" s="43" t="n"/>
      <c r="U160" s="43" t="n"/>
      <c r="V160" s="43" t="n"/>
      <c r="W160" s="43" t="n"/>
      <c r="X160" s="43" t="n"/>
      <c r="Y160" s="43" t="n"/>
      <c r="Z160" s="43" t="n"/>
    </row>
    <row r="161">
      <c r="A161" s="43" t="n"/>
      <c r="B161" s="43" t="n"/>
      <c r="C161" s="43" t="n"/>
      <c r="D161" s="43" t="n"/>
      <c r="E161" s="43" t="n"/>
      <c r="F161" s="43" t="n"/>
      <c r="G161" s="43" t="n"/>
      <c r="H161" s="43" t="n"/>
      <c r="I161" s="43" t="n"/>
      <c r="J161" s="43" t="n"/>
      <c r="K161" s="43" t="n"/>
      <c r="L161" s="43" t="n"/>
      <c r="M161" s="43" t="n"/>
      <c r="N161" s="43" t="n"/>
      <c r="O161" s="43" t="n"/>
      <c r="P161" s="43" t="n"/>
      <c r="Q161" s="43" t="n"/>
      <c r="R161" s="43" t="n"/>
      <c r="S161" s="43" t="n"/>
      <c r="T161" s="43" t="n"/>
      <c r="U161" s="43" t="n"/>
      <c r="V161" s="43" t="n"/>
      <c r="W161" s="43" t="n"/>
      <c r="X161" s="43" t="n"/>
      <c r="Y161" s="43" t="n"/>
      <c r="Z161" s="43" t="n"/>
    </row>
    <row r="162">
      <c r="A162" s="43" t="n"/>
      <c r="B162" s="43" t="n"/>
      <c r="C162" s="43" t="n"/>
      <c r="D162" s="43" t="n"/>
      <c r="E162" s="43" t="n"/>
      <c r="F162" s="43" t="n"/>
      <c r="G162" s="43" t="n"/>
      <c r="H162" s="43" t="n"/>
      <c r="I162" s="43" t="n"/>
      <c r="J162" s="43" t="n"/>
      <c r="K162" s="43" t="n"/>
      <c r="L162" s="43" t="n"/>
      <c r="M162" s="43" t="n"/>
      <c r="N162" s="43" t="n"/>
      <c r="O162" s="43" t="n"/>
      <c r="P162" s="43" t="n"/>
      <c r="Q162" s="43" t="n"/>
      <c r="R162" s="43" t="n"/>
      <c r="S162" s="43" t="n"/>
      <c r="T162" s="43" t="n"/>
      <c r="U162" s="43" t="n"/>
      <c r="V162" s="43" t="n"/>
      <c r="W162" s="43" t="n"/>
      <c r="X162" s="43" t="n"/>
      <c r="Y162" s="43" t="n"/>
      <c r="Z162" s="43" t="n"/>
    </row>
    <row r="163">
      <c r="A163" s="43" t="n"/>
      <c r="B163" s="43" t="n"/>
      <c r="C163" s="43" t="n"/>
      <c r="D163" s="43" t="n"/>
      <c r="E163" s="43" t="n"/>
      <c r="F163" s="43" t="n"/>
      <c r="G163" s="43" t="n"/>
      <c r="H163" s="43" t="n"/>
      <c r="I163" s="43" t="n"/>
      <c r="J163" s="43" t="n"/>
      <c r="K163" s="43" t="n"/>
      <c r="L163" s="43" t="n"/>
      <c r="M163" s="43" t="n"/>
      <c r="N163" s="43" t="n"/>
      <c r="O163" s="43" t="n"/>
      <c r="P163" s="43" t="n"/>
      <c r="Q163" s="43" t="n"/>
      <c r="R163" s="43" t="n"/>
      <c r="S163" s="43" t="n"/>
      <c r="T163" s="43" t="n"/>
      <c r="U163" s="43" t="n"/>
      <c r="V163" s="43" t="n"/>
      <c r="W163" s="43" t="n"/>
      <c r="X163" s="43" t="n"/>
      <c r="Y163" s="43" t="n"/>
      <c r="Z163" s="43" t="n"/>
    </row>
    <row r="164">
      <c r="A164" s="43" t="n"/>
      <c r="B164" s="43" t="n"/>
      <c r="C164" s="43" t="n"/>
      <c r="D164" s="43" t="n"/>
      <c r="E164" s="43" t="n"/>
      <c r="F164" s="43" t="n"/>
      <c r="G164" s="43" t="n"/>
      <c r="H164" s="43" t="n"/>
      <c r="I164" s="43" t="n"/>
      <c r="J164" s="43" t="n"/>
      <c r="K164" s="43" t="n"/>
      <c r="L164" s="43" t="n"/>
      <c r="M164" s="43" t="n"/>
      <c r="N164" s="43" t="n"/>
      <c r="O164" s="43" t="n"/>
      <c r="P164" s="43" t="n"/>
      <c r="Q164" s="43" t="n"/>
      <c r="R164" s="43" t="n"/>
      <c r="S164" s="43" t="n"/>
      <c r="T164" s="43" t="n"/>
      <c r="U164" s="43" t="n"/>
      <c r="V164" s="43" t="n"/>
      <c r="W164" s="43" t="n"/>
      <c r="X164" s="43" t="n"/>
      <c r="Y164" s="43" t="n"/>
      <c r="Z164" s="43" t="n"/>
    </row>
    <row r="165">
      <c r="A165" s="43" t="n"/>
      <c r="B165" s="43" t="n"/>
      <c r="C165" s="43" t="n"/>
      <c r="D165" s="43" t="n"/>
      <c r="E165" s="43" t="n"/>
      <c r="F165" s="43" t="n"/>
      <c r="G165" s="43" t="n"/>
      <c r="H165" s="43" t="n"/>
      <c r="I165" s="43" t="n"/>
      <c r="J165" s="43" t="n"/>
      <c r="K165" s="43" t="n"/>
      <c r="L165" s="43" t="n"/>
      <c r="M165" s="43" t="n"/>
      <c r="N165" s="43" t="n"/>
      <c r="O165" s="43" t="n"/>
      <c r="P165" s="43" t="n"/>
      <c r="Q165" s="43" t="n"/>
      <c r="R165" s="43" t="n"/>
      <c r="S165" s="43" t="n"/>
      <c r="T165" s="43" t="n"/>
      <c r="U165" s="43" t="n"/>
      <c r="V165" s="43" t="n"/>
      <c r="W165" s="43" t="n"/>
      <c r="X165" s="43" t="n"/>
      <c r="Y165" s="43" t="n"/>
      <c r="Z165" s="43" t="n"/>
    </row>
    <row r="166">
      <c r="A166" s="43" t="n"/>
      <c r="B166" s="43" t="n"/>
      <c r="C166" s="43" t="n"/>
      <c r="D166" s="43" t="n"/>
      <c r="E166" s="43" t="n"/>
      <c r="F166" s="43" t="n"/>
      <c r="G166" s="43" t="n"/>
      <c r="H166" s="43" t="n"/>
      <c r="I166" s="43" t="n"/>
      <c r="J166" s="43" t="n"/>
      <c r="K166" s="43" t="n"/>
      <c r="L166" s="43" t="n"/>
      <c r="M166" s="43" t="n"/>
      <c r="N166" s="43" t="n"/>
      <c r="O166" s="43" t="n"/>
      <c r="P166" s="43" t="n"/>
      <c r="Q166" s="43" t="n"/>
      <c r="R166" s="43" t="n"/>
      <c r="S166" s="43" t="n"/>
      <c r="T166" s="43" t="n"/>
      <c r="U166" s="43" t="n"/>
      <c r="V166" s="43" t="n"/>
      <c r="W166" s="43" t="n"/>
      <c r="X166" s="43" t="n"/>
      <c r="Y166" s="43" t="n"/>
      <c r="Z166" s="43" t="n"/>
    </row>
    <row r="167">
      <c r="A167" s="43" t="n"/>
      <c r="B167" s="43" t="n"/>
      <c r="C167" s="43" t="n"/>
      <c r="D167" s="43" t="n"/>
      <c r="E167" s="43" t="n"/>
      <c r="F167" s="43" t="n"/>
      <c r="G167" s="43" t="n"/>
      <c r="H167" s="43" t="n"/>
      <c r="I167" s="43" t="n"/>
      <c r="J167" s="43" t="n"/>
      <c r="K167" s="43" t="n"/>
      <c r="L167" s="43" t="n"/>
      <c r="M167" s="43" t="n"/>
      <c r="N167" s="43" t="n"/>
      <c r="O167" s="43" t="n"/>
      <c r="P167" s="43" t="n"/>
      <c r="Q167" s="43" t="n"/>
      <c r="R167" s="43" t="n"/>
      <c r="S167" s="43" t="n"/>
      <c r="T167" s="43" t="n"/>
      <c r="U167" s="43" t="n"/>
      <c r="V167" s="43" t="n"/>
      <c r="W167" s="43" t="n"/>
      <c r="X167" s="43" t="n"/>
      <c r="Y167" s="43" t="n"/>
      <c r="Z167" s="43" t="n"/>
    </row>
    <row r="168">
      <c r="A168" s="43" t="n"/>
      <c r="B168" s="43" t="n"/>
      <c r="C168" s="43" t="n"/>
      <c r="D168" s="43" t="n"/>
      <c r="E168" s="43" t="n"/>
      <c r="F168" s="43" t="n"/>
      <c r="G168" s="43" t="n"/>
      <c r="H168" s="43" t="n"/>
      <c r="I168" s="43" t="n"/>
      <c r="J168" s="43" t="n"/>
      <c r="K168" s="43" t="n"/>
      <c r="L168" s="43" t="n"/>
      <c r="M168" s="43" t="n"/>
      <c r="N168" s="43" t="n"/>
      <c r="O168" s="43" t="n"/>
      <c r="P168" s="43" t="n"/>
      <c r="Q168" s="43" t="n"/>
      <c r="R168" s="43" t="n"/>
      <c r="S168" s="43" t="n"/>
      <c r="T168" s="43" t="n"/>
      <c r="U168" s="43" t="n"/>
      <c r="V168" s="43" t="n"/>
      <c r="W168" s="43" t="n"/>
      <c r="X168" s="43" t="n"/>
      <c r="Y168" s="43" t="n"/>
      <c r="Z168" s="43" t="n"/>
    </row>
    <row r="169">
      <c r="A169" s="43" t="n"/>
      <c r="B169" s="43" t="n"/>
      <c r="C169" s="43" t="n"/>
      <c r="D169" s="43" t="n"/>
      <c r="E169" s="43" t="n"/>
      <c r="F169" s="43" t="n"/>
      <c r="G169" s="43" t="n"/>
      <c r="H169" s="43" t="n"/>
      <c r="I169" s="43" t="n"/>
      <c r="J169" s="43" t="n"/>
      <c r="K169" s="43" t="n"/>
      <c r="L169" s="43" t="n"/>
      <c r="M169" s="43" t="n"/>
      <c r="N169" s="43" t="n"/>
      <c r="O169" s="43" t="n"/>
      <c r="P169" s="43" t="n"/>
      <c r="Q169" s="43" t="n"/>
      <c r="R169" s="43" t="n"/>
      <c r="S169" s="43" t="n"/>
      <c r="T169" s="43" t="n"/>
      <c r="U169" s="43" t="n"/>
      <c r="V169" s="43" t="n"/>
      <c r="W169" s="43" t="n"/>
      <c r="X169" s="43" t="n"/>
      <c r="Y169" s="43" t="n"/>
      <c r="Z169" s="43" t="n"/>
    </row>
    <row r="170">
      <c r="A170" s="43" t="n"/>
      <c r="B170" s="43" t="n"/>
      <c r="C170" s="43" t="n"/>
      <c r="D170" s="43" t="n"/>
      <c r="E170" s="43" t="n"/>
      <c r="F170" s="43" t="n"/>
      <c r="G170" s="43" t="n"/>
      <c r="H170" s="43" t="n"/>
      <c r="I170" s="43" t="n"/>
      <c r="J170" s="43" t="n"/>
      <c r="K170" s="43" t="n"/>
      <c r="L170" s="43" t="n"/>
      <c r="M170" s="43" t="n"/>
      <c r="N170" s="43" t="n"/>
      <c r="O170" s="43" t="n"/>
      <c r="P170" s="43" t="n"/>
      <c r="Q170" s="43" t="n"/>
      <c r="R170" s="43" t="n"/>
      <c r="S170" s="43" t="n"/>
      <c r="T170" s="43" t="n"/>
      <c r="U170" s="43" t="n"/>
      <c r="V170" s="43" t="n"/>
      <c r="W170" s="43" t="n"/>
      <c r="X170" s="43" t="n"/>
      <c r="Y170" s="43" t="n"/>
      <c r="Z170" s="43" t="n"/>
    </row>
    <row r="171">
      <c r="A171" s="43" t="n"/>
      <c r="B171" s="43" t="n"/>
      <c r="C171" s="43" t="n"/>
      <c r="D171" s="43" t="n"/>
      <c r="E171" s="43" t="n"/>
      <c r="F171" s="43" t="n"/>
      <c r="G171" s="43" t="n"/>
      <c r="H171" s="43" t="n"/>
      <c r="I171" s="43" t="n"/>
      <c r="J171" s="43" t="n"/>
      <c r="K171" s="43" t="n"/>
      <c r="L171" s="43" t="n"/>
      <c r="M171" s="43" t="n"/>
      <c r="N171" s="43" t="n"/>
      <c r="O171" s="43" t="n"/>
      <c r="P171" s="43" t="n"/>
      <c r="Q171" s="43" t="n"/>
      <c r="R171" s="43" t="n"/>
      <c r="S171" s="43" t="n"/>
      <c r="T171" s="43" t="n"/>
      <c r="U171" s="43" t="n"/>
      <c r="V171" s="43" t="n"/>
      <c r="W171" s="43" t="n"/>
      <c r="X171" s="43" t="n"/>
      <c r="Y171" s="43" t="n"/>
      <c r="Z171" s="43" t="n"/>
    </row>
    <row r="172">
      <c r="A172" s="43" t="n"/>
      <c r="B172" s="43" t="n"/>
      <c r="C172" s="43" t="n"/>
      <c r="D172" s="43" t="n"/>
      <c r="E172" s="43" t="n"/>
      <c r="F172" s="43" t="n"/>
      <c r="G172" s="43" t="n"/>
      <c r="H172" s="43" t="n"/>
      <c r="I172" s="43" t="n"/>
      <c r="J172" s="43" t="n"/>
      <c r="K172" s="43" t="n"/>
      <c r="L172" s="43" t="n"/>
      <c r="M172" s="43" t="n"/>
      <c r="N172" s="43" t="n"/>
      <c r="O172" s="43" t="n"/>
      <c r="P172" s="43" t="n"/>
      <c r="Q172" s="43" t="n"/>
      <c r="R172" s="43" t="n"/>
      <c r="S172" s="43" t="n"/>
      <c r="T172" s="43" t="n"/>
      <c r="U172" s="43" t="n"/>
      <c r="V172" s="43" t="n"/>
      <c r="W172" s="43" t="n"/>
      <c r="X172" s="43" t="n"/>
      <c r="Y172" s="43" t="n"/>
      <c r="Z172" s="43" t="n"/>
    </row>
    <row r="173">
      <c r="A173" s="43" t="n"/>
      <c r="B173" s="43" t="n"/>
      <c r="C173" s="43" t="n"/>
      <c r="D173" s="43" t="n"/>
      <c r="E173" s="43" t="n"/>
      <c r="F173" s="43" t="n"/>
      <c r="G173" s="43" t="n"/>
      <c r="H173" s="43" t="n"/>
      <c r="I173" s="43" t="n"/>
      <c r="J173" s="43" t="n"/>
      <c r="K173" s="43" t="n"/>
      <c r="L173" s="43" t="n"/>
      <c r="M173" s="43" t="n"/>
      <c r="N173" s="43" t="n"/>
      <c r="O173" s="43" t="n"/>
      <c r="P173" s="43" t="n"/>
      <c r="Q173" s="43" t="n"/>
      <c r="R173" s="43" t="n"/>
      <c r="S173" s="43" t="n"/>
      <c r="T173" s="43" t="n"/>
      <c r="U173" s="43" t="n"/>
      <c r="V173" s="43" t="n"/>
      <c r="W173" s="43" t="n"/>
      <c r="X173" s="43" t="n"/>
      <c r="Y173" s="43" t="n"/>
      <c r="Z173" s="43" t="n"/>
    </row>
    <row r="174">
      <c r="A174" s="43" t="n"/>
      <c r="B174" s="43" t="n"/>
      <c r="C174" s="43" t="n"/>
      <c r="D174" s="43" t="n"/>
      <c r="E174" s="43" t="n"/>
      <c r="F174" s="43" t="n"/>
      <c r="G174" s="43" t="n"/>
      <c r="H174" s="43" t="n"/>
      <c r="I174" s="43" t="n"/>
      <c r="J174" s="43" t="n"/>
      <c r="K174" s="43" t="n"/>
      <c r="L174" s="43" t="n"/>
      <c r="M174" s="43" t="n"/>
      <c r="N174" s="43" t="n"/>
      <c r="O174" s="43" t="n"/>
      <c r="P174" s="43" t="n"/>
      <c r="Q174" s="43" t="n"/>
      <c r="R174" s="43" t="n"/>
      <c r="S174" s="43" t="n"/>
      <c r="T174" s="43" t="n"/>
      <c r="U174" s="43" t="n"/>
      <c r="V174" s="43" t="n"/>
      <c r="W174" s="43" t="n"/>
      <c r="X174" s="43" t="n"/>
      <c r="Y174" s="43" t="n"/>
      <c r="Z174" s="43" t="n"/>
    </row>
    <row r="175">
      <c r="A175" s="43" t="n"/>
      <c r="B175" s="43" t="n"/>
      <c r="C175" s="43" t="n"/>
      <c r="D175" s="43" t="n"/>
      <c r="E175" s="43" t="n"/>
      <c r="F175" s="43" t="n"/>
      <c r="G175" s="43" t="n"/>
      <c r="H175" s="43" t="n"/>
      <c r="I175" s="43" t="n"/>
      <c r="J175" s="43" t="n"/>
      <c r="K175" s="43" t="n"/>
      <c r="L175" s="43" t="n"/>
      <c r="M175" s="43" t="n"/>
      <c r="N175" s="43" t="n"/>
      <c r="O175" s="43" t="n"/>
      <c r="P175" s="43" t="n"/>
      <c r="Q175" s="43" t="n"/>
      <c r="R175" s="43" t="n"/>
      <c r="S175" s="43" t="n"/>
      <c r="T175" s="43" t="n"/>
      <c r="U175" s="43" t="n"/>
      <c r="V175" s="43" t="n"/>
      <c r="W175" s="43" t="n"/>
      <c r="X175" s="43" t="n"/>
      <c r="Y175" s="43" t="n"/>
      <c r="Z175" s="43" t="n"/>
    </row>
    <row r="176">
      <c r="A176" s="43" t="n"/>
      <c r="B176" s="43" t="n"/>
      <c r="C176" s="43" t="n"/>
      <c r="D176" s="43" t="n"/>
      <c r="E176" s="43" t="n"/>
      <c r="F176" s="43" t="n"/>
      <c r="G176" s="43" t="n"/>
      <c r="H176" s="43" t="n"/>
      <c r="I176" s="43" t="n"/>
      <c r="J176" s="43" t="n"/>
      <c r="K176" s="43" t="n"/>
      <c r="L176" s="43" t="n"/>
      <c r="M176" s="43" t="n"/>
      <c r="N176" s="43" t="n"/>
      <c r="O176" s="43" t="n"/>
      <c r="P176" s="43" t="n"/>
      <c r="Q176" s="43" t="n"/>
      <c r="R176" s="43" t="n"/>
      <c r="S176" s="43" t="n"/>
      <c r="T176" s="43" t="n"/>
      <c r="U176" s="43" t="n"/>
      <c r="V176" s="43" t="n"/>
      <c r="W176" s="43" t="n"/>
      <c r="X176" s="43" t="n"/>
      <c r="Y176" s="43" t="n"/>
      <c r="Z176" s="43" t="n"/>
    </row>
    <row r="177">
      <c r="A177" s="43" t="n"/>
      <c r="B177" s="43" t="n"/>
      <c r="C177" s="43" t="n"/>
      <c r="D177" s="43" t="n"/>
      <c r="E177" s="43" t="n"/>
      <c r="F177" s="43" t="n"/>
      <c r="G177" s="43" t="n"/>
      <c r="H177" s="43" t="n"/>
      <c r="I177" s="43" t="n"/>
      <c r="J177" s="43" t="n"/>
      <c r="K177" s="43" t="n"/>
      <c r="L177" s="43" t="n"/>
      <c r="M177" s="43" t="n"/>
      <c r="N177" s="43" t="n"/>
      <c r="O177" s="43" t="n"/>
      <c r="P177" s="43" t="n"/>
      <c r="Q177" s="43" t="n"/>
      <c r="R177" s="43" t="n"/>
      <c r="S177" s="43" t="n"/>
      <c r="T177" s="43" t="n"/>
      <c r="U177" s="43" t="n"/>
      <c r="V177" s="43" t="n"/>
      <c r="W177" s="43" t="n"/>
      <c r="X177" s="43" t="n"/>
      <c r="Y177" s="43" t="n"/>
      <c r="Z177" s="43" t="n"/>
    </row>
    <row r="178">
      <c r="A178" s="43" t="n"/>
      <c r="B178" s="43" t="n"/>
      <c r="C178" s="43" t="n"/>
      <c r="D178" s="43" t="n"/>
      <c r="E178" s="43" t="n"/>
      <c r="F178" s="43" t="n"/>
      <c r="G178" s="43" t="n"/>
      <c r="H178" s="43" t="n"/>
      <c r="I178" s="43" t="n"/>
      <c r="J178" s="43" t="n"/>
      <c r="K178" s="43" t="n"/>
      <c r="L178" s="43" t="n"/>
      <c r="M178" s="43" t="n"/>
      <c r="N178" s="43" t="n"/>
      <c r="O178" s="43" t="n"/>
      <c r="P178" s="43" t="n"/>
      <c r="Q178" s="43" t="n"/>
      <c r="R178" s="43" t="n"/>
      <c r="S178" s="43" t="n"/>
      <c r="T178" s="43" t="n"/>
      <c r="U178" s="43" t="n"/>
      <c r="V178" s="43" t="n"/>
      <c r="W178" s="43" t="n"/>
      <c r="X178" s="43" t="n"/>
      <c r="Y178" s="43" t="n"/>
      <c r="Z178" s="43" t="n"/>
    </row>
    <row r="179">
      <c r="A179" s="43" t="n"/>
      <c r="B179" s="43" t="n"/>
      <c r="C179" s="43" t="n"/>
      <c r="D179" s="43" t="n"/>
      <c r="E179" s="43" t="n"/>
      <c r="F179" s="43" t="n"/>
      <c r="G179" s="43" t="n"/>
      <c r="H179" s="43" t="n"/>
      <c r="I179" s="43" t="n"/>
      <c r="J179" s="43" t="n"/>
      <c r="K179" s="43" t="n"/>
      <c r="L179" s="43" t="n"/>
      <c r="M179" s="43" t="n"/>
      <c r="N179" s="43" t="n"/>
      <c r="O179" s="43" t="n"/>
      <c r="P179" s="43" t="n"/>
      <c r="Q179" s="43" t="n"/>
      <c r="R179" s="43" t="n"/>
      <c r="S179" s="43" t="n"/>
      <c r="T179" s="43" t="n"/>
      <c r="U179" s="43" t="n"/>
      <c r="V179" s="43" t="n"/>
      <c r="W179" s="43" t="n"/>
      <c r="X179" s="43" t="n"/>
      <c r="Y179" s="43" t="n"/>
      <c r="Z179" s="43" t="n"/>
    </row>
    <row r="180">
      <c r="A180" s="43" t="n"/>
      <c r="B180" s="43" t="n"/>
      <c r="C180" s="43" t="n"/>
      <c r="D180" s="43" t="n"/>
      <c r="E180" s="43" t="n"/>
      <c r="F180" s="43" t="n"/>
      <c r="G180" s="43" t="n"/>
      <c r="H180" s="43" t="n"/>
      <c r="I180" s="43" t="n"/>
      <c r="J180" s="43" t="n"/>
      <c r="K180" s="43" t="n"/>
      <c r="L180" s="43" t="n"/>
      <c r="M180" s="43" t="n"/>
      <c r="N180" s="43" t="n"/>
      <c r="O180" s="43" t="n"/>
      <c r="P180" s="43" t="n"/>
      <c r="Q180" s="43" t="n"/>
      <c r="R180" s="43" t="n"/>
      <c r="S180" s="43" t="n"/>
      <c r="T180" s="43" t="n"/>
      <c r="U180" s="43" t="n"/>
      <c r="V180" s="43" t="n"/>
      <c r="W180" s="43" t="n"/>
      <c r="X180" s="43" t="n"/>
      <c r="Y180" s="43" t="n"/>
      <c r="Z180" s="43" t="n"/>
    </row>
    <row r="181">
      <c r="A181" s="43" t="n"/>
      <c r="B181" s="43" t="n"/>
      <c r="C181" s="43" t="n"/>
      <c r="D181" s="43" t="n"/>
      <c r="E181" s="43" t="n"/>
      <c r="F181" s="43" t="n"/>
      <c r="G181" s="43" t="n"/>
      <c r="H181" s="43" t="n"/>
      <c r="I181" s="43" t="n"/>
      <c r="J181" s="43" t="n"/>
      <c r="K181" s="43" t="n"/>
      <c r="L181" s="43" t="n"/>
      <c r="M181" s="43" t="n"/>
      <c r="N181" s="43" t="n"/>
      <c r="O181" s="43" t="n"/>
      <c r="P181" s="43" t="n"/>
      <c r="Q181" s="43" t="n"/>
      <c r="R181" s="43" t="n"/>
      <c r="S181" s="43" t="n"/>
      <c r="T181" s="43" t="n"/>
      <c r="U181" s="43" t="n"/>
      <c r="V181" s="43" t="n"/>
      <c r="W181" s="43" t="n"/>
      <c r="X181" s="43" t="n"/>
      <c r="Y181" s="43" t="n"/>
      <c r="Z181" s="43" t="n"/>
    </row>
    <row r="182">
      <c r="A182" s="43" t="n"/>
      <c r="B182" s="43" t="n"/>
      <c r="C182" s="43" t="n"/>
      <c r="D182" s="43" t="n"/>
      <c r="E182" s="43" t="n"/>
      <c r="F182" s="43" t="n"/>
      <c r="G182" s="43" t="n"/>
      <c r="H182" s="43" t="n"/>
      <c r="I182" s="43" t="n"/>
      <c r="J182" s="43" t="n"/>
      <c r="K182" s="43" t="n"/>
      <c r="L182" s="43" t="n"/>
      <c r="M182" s="43" t="n"/>
      <c r="N182" s="43" t="n"/>
      <c r="O182" s="43" t="n"/>
      <c r="P182" s="43" t="n"/>
      <c r="Q182" s="43" t="n"/>
      <c r="R182" s="43" t="n"/>
      <c r="S182" s="43" t="n"/>
      <c r="T182" s="43" t="n"/>
      <c r="U182" s="43" t="n"/>
      <c r="V182" s="43" t="n"/>
      <c r="W182" s="43" t="n"/>
      <c r="X182" s="43" t="n"/>
      <c r="Y182" s="43" t="n"/>
      <c r="Z182" s="43" t="n"/>
    </row>
    <row r="183">
      <c r="A183" s="43" t="n"/>
      <c r="B183" s="43" t="n"/>
      <c r="C183" s="43" t="n"/>
      <c r="D183" s="43" t="n"/>
      <c r="E183" s="43" t="n"/>
      <c r="F183" s="43" t="n"/>
      <c r="G183" s="43" t="n"/>
      <c r="H183" s="43" t="n"/>
      <c r="I183" s="43" t="n"/>
      <c r="J183" s="43" t="n"/>
      <c r="K183" s="43" t="n"/>
      <c r="L183" s="43" t="n"/>
      <c r="M183" s="43" t="n"/>
      <c r="N183" s="43" t="n"/>
      <c r="O183" s="43" t="n"/>
      <c r="P183" s="43" t="n"/>
      <c r="Q183" s="43" t="n"/>
      <c r="R183" s="43" t="n"/>
      <c r="S183" s="43" t="n"/>
      <c r="T183" s="43" t="n"/>
      <c r="U183" s="43" t="n"/>
      <c r="V183" s="43" t="n"/>
      <c r="W183" s="43" t="n"/>
      <c r="X183" s="43" t="n"/>
      <c r="Y183" s="43" t="n"/>
      <c r="Z183" s="43" t="n"/>
    </row>
    <row r="184">
      <c r="A184" s="43" t="n"/>
      <c r="B184" s="43" t="n"/>
      <c r="C184" s="43" t="n"/>
      <c r="D184" s="43" t="n"/>
      <c r="E184" s="43" t="n"/>
      <c r="F184" s="43" t="n"/>
      <c r="G184" s="43" t="n"/>
      <c r="H184" s="43" t="n"/>
      <c r="I184" s="43" t="n"/>
      <c r="J184" s="43" t="n"/>
      <c r="K184" s="43" t="n"/>
      <c r="L184" s="43" t="n"/>
      <c r="M184" s="43" t="n"/>
      <c r="N184" s="43" t="n"/>
      <c r="O184" s="43" t="n"/>
      <c r="P184" s="43" t="n"/>
      <c r="Q184" s="43" t="n"/>
      <c r="R184" s="43" t="n"/>
      <c r="S184" s="43" t="n"/>
      <c r="T184" s="43" t="n"/>
      <c r="U184" s="43" t="n"/>
      <c r="V184" s="43" t="n"/>
      <c r="W184" s="43" t="n"/>
      <c r="X184" s="43" t="n"/>
      <c r="Y184" s="43" t="n"/>
      <c r="Z184" s="43" t="n"/>
    </row>
    <row r="185">
      <c r="A185" s="43" t="n"/>
      <c r="B185" s="43" t="n"/>
      <c r="C185" s="43" t="n"/>
      <c r="D185" s="43"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row>
    <row r="186">
      <c r="A186" s="43" t="n"/>
      <c r="B186" s="43" t="n"/>
      <c r="C186" s="43" t="n"/>
      <c r="D186" s="43" t="n"/>
      <c r="E186" s="43" t="n"/>
      <c r="F186" s="43" t="n"/>
      <c r="G186" s="43" t="n"/>
      <c r="H186" s="43" t="n"/>
      <c r="I186" s="43" t="n"/>
      <c r="J186" s="43" t="n"/>
      <c r="K186" s="43" t="n"/>
      <c r="L186" s="43" t="n"/>
      <c r="M186" s="43" t="n"/>
      <c r="N186" s="43" t="n"/>
      <c r="O186" s="43" t="n"/>
      <c r="P186" s="43" t="n"/>
      <c r="Q186" s="43" t="n"/>
      <c r="R186" s="43" t="n"/>
      <c r="S186" s="43" t="n"/>
      <c r="T186" s="43" t="n"/>
      <c r="U186" s="43" t="n"/>
      <c r="V186" s="43" t="n"/>
      <c r="W186" s="43" t="n"/>
      <c r="X186" s="43" t="n"/>
      <c r="Y186" s="43" t="n"/>
      <c r="Z186" s="43" t="n"/>
    </row>
    <row r="187">
      <c r="A187" s="43" t="n"/>
      <c r="B187" s="43" t="n"/>
      <c r="C187" s="43" t="n"/>
      <c r="D187" s="43" t="n"/>
      <c r="E187" s="43" t="n"/>
      <c r="F187" s="43" t="n"/>
      <c r="G187" s="43" t="n"/>
      <c r="H187" s="43" t="n"/>
      <c r="I187" s="43" t="n"/>
      <c r="J187" s="43" t="n"/>
      <c r="K187" s="43" t="n"/>
      <c r="L187" s="43" t="n"/>
      <c r="M187" s="43" t="n"/>
      <c r="N187" s="43" t="n"/>
      <c r="O187" s="43" t="n"/>
      <c r="P187" s="43" t="n"/>
      <c r="Q187" s="43" t="n"/>
      <c r="R187" s="43" t="n"/>
      <c r="S187" s="43" t="n"/>
      <c r="T187" s="43" t="n"/>
      <c r="U187" s="43" t="n"/>
      <c r="V187" s="43" t="n"/>
      <c r="W187" s="43" t="n"/>
      <c r="X187" s="43" t="n"/>
      <c r="Y187" s="43" t="n"/>
      <c r="Z187" s="43" t="n"/>
    </row>
    <row r="188">
      <c r="A188" s="43" t="n"/>
      <c r="B188" s="43" t="n"/>
      <c r="C188" s="43" t="n"/>
      <c r="D188" s="43" t="n"/>
      <c r="E188" s="43" t="n"/>
      <c r="F188" s="43" t="n"/>
      <c r="G188" s="43" t="n"/>
      <c r="H188" s="43" t="n"/>
      <c r="I188" s="43" t="n"/>
      <c r="J188" s="43" t="n"/>
      <c r="K188" s="43" t="n"/>
      <c r="L188" s="43" t="n"/>
      <c r="M188" s="43" t="n"/>
      <c r="N188" s="43" t="n"/>
      <c r="O188" s="43" t="n"/>
      <c r="P188" s="43" t="n"/>
      <c r="Q188" s="43" t="n"/>
      <c r="R188" s="43" t="n"/>
      <c r="S188" s="43" t="n"/>
      <c r="T188" s="43" t="n"/>
      <c r="U188" s="43" t="n"/>
      <c r="V188" s="43" t="n"/>
      <c r="W188" s="43" t="n"/>
      <c r="X188" s="43" t="n"/>
      <c r="Y188" s="43" t="n"/>
      <c r="Z188" s="43" t="n"/>
    </row>
    <row r="189">
      <c r="A189" s="43" t="n"/>
      <c r="B189" s="43" t="n"/>
      <c r="C189" s="43" t="n"/>
      <c r="D189" s="43" t="n"/>
      <c r="E189" s="43" t="n"/>
      <c r="F189" s="43" t="n"/>
      <c r="G189" s="43" t="n"/>
      <c r="H189" s="43" t="n"/>
      <c r="I189" s="43" t="n"/>
      <c r="J189" s="43" t="n"/>
      <c r="K189" s="43" t="n"/>
      <c r="L189" s="43" t="n"/>
      <c r="M189" s="43" t="n"/>
      <c r="N189" s="43" t="n"/>
      <c r="O189" s="43" t="n"/>
      <c r="P189" s="43" t="n"/>
      <c r="Q189" s="43" t="n"/>
      <c r="R189" s="43" t="n"/>
      <c r="S189" s="43" t="n"/>
      <c r="T189" s="43" t="n"/>
      <c r="U189" s="43" t="n"/>
      <c r="V189" s="43" t="n"/>
      <c r="W189" s="43" t="n"/>
      <c r="X189" s="43" t="n"/>
      <c r="Y189" s="43" t="n"/>
      <c r="Z189" s="43" t="n"/>
    </row>
    <row r="190">
      <c r="A190" s="43" t="n"/>
      <c r="B190" s="43" t="n"/>
      <c r="C190" s="43" t="n"/>
      <c r="D190" s="43" t="n"/>
      <c r="E190" s="43" t="n"/>
      <c r="F190" s="43" t="n"/>
      <c r="G190" s="43" t="n"/>
      <c r="H190" s="43" t="n"/>
      <c r="I190" s="43" t="n"/>
      <c r="J190" s="43" t="n"/>
      <c r="K190" s="43" t="n"/>
      <c r="L190" s="43" t="n"/>
      <c r="M190" s="43" t="n"/>
      <c r="N190" s="43" t="n"/>
      <c r="O190" s="43" t="n"/>
      <c r="P190" s="43" t="n"/>
      <c r="Q190" s="43" t="n"/>
      <c r="R190" s="43" t="n"/>
      <c r="S190" s="43" t="n"/>
      <c r="T190" s="43" t="n"/>
      <c r="U190" s="43" t="n"/>
      <c r="V190" s="43" t="n"/>
      <c r="W190" s="43" t="n"/>
      <c r="X190" s="43" t="n"/>
      <c r="Y190" s="43" t="n"/>
      <c r="Z190" s="43" t="n"/>
    </row>
    <row r="191">
      <c r="A191" s="43" t="n"/>
      <c r="B191" s="43" t="n"/>
      <c r="C191" s="43" t="n"/>
      <c r="D191" s="43" t="n"/>
      <c r="E191" s="43" t="n"/>
      <c r="F191" s="43" t="n"/>
      <c r="G191" s="43" t="n"/>
      <c r="H191" s="43" t="n"/>
      <c r="I191" s="43" t="n"/>
      <c r="J191" s="43" t="n"/>
      <c r="K191" s="43" t="n"/>
      <c r="L191" s="43" t="n"/>
      <c r="M191" s="43" t="n"/>
      <c r="N191" s="43" t="n"/>
      <c r="O191" s="43" t="n"/>
      <c r="P191" s="43" t="n"/>
      <c r="Q191" s="43" t="n"/>
      <c r="R191" s="43" t="n"/>
      <c r="S191" s="43" t="n"/>
      <c r="T191" s="43" t="n"/>
      <c r="U191" s="43" t="n"/>
      <c r="V191" s="43" t="n"/>
      <c r="W191" s="43" t="n"/>
      <c r="X191" s="43" t="n"/>
      <c r="Y191" s="43" t="n"/>
      <c r="Z191" s="43" t="n"/>
    </row>
    <row r="192">
      <c r="A192" s="43" t="n"/>
      <c r="B192" s="43" t="n"/>
      <c r="C192" s="43" t="n"/>
      <c r="D192" s="43" t="n"/>
      <c r="E192" s="43" t="n"/>
      <c r="F192" s="43" t="n"/>
      <c r="G192" s="43" t="n"/>
      <c r="H192" s="43" t="n"/>
      <c r="I192" s="43" t="n"/>
      <c r="J192" s="43" t="n"/>
      <c r="K192" s="43" t="n"/>
      <c r="L192" s="43" t="n"/>
      <c r="M192" s="43" t="n"/>
      <c r="N192" s="43" t="n"/>
      <c r="O192" s="43" t="n"/>
      <c r="P192" s="43" t="n"/>
      <c r="Q192" s="43" t="n"/>
      <c r="R192" s="43" t="n"/>
      <c r="S192" s="43" t="n"/>
      <c r="T192" s="43" t="n"/>
      <c r="U192" s="43" t="n"/>
      <c r="V192" s="43" t="n"/>
      <c r="W192" s="43" t="n"/>
      <c r="X192" s="43" t="n"/>
      <c r="Y192" s="43" t="n"/>
      <c r="Z192" s="43" t="n"/>
    </row>
    <row r="193">
      <c r="A193" s="43" t="n"/>
      <c r="B193" s="43" t="n"/>
      <c r="C193" s="43" t="n"/>
      <c r="D193" s="43" t="n"/>
      <c r="E193" s="43" t="n"/>
      <c r="F193" s="43" t="n"/>
      <c r="G193" s="43" t="n"/>
      <c r="H193" s="43" t="n"/>
      <c r="I193" s="43" t="n"/>
      <c r="J193" s="43" t="n"/>
      <c r="K193" s="43" t="n"/>
      <c r="L193" s="43" t="n"/>
      <c r="M193" s="43" t="n"/>
      <c r="N193" s="43" t="n"/>
      <c r="O193" s="43" t="n"/>
      <c r="P193" s="43" t="n"/>
      <c r="Q193" s="43" t="n"/>
      <c r="R193" s="43" t="n"/>
      <c r="S193" s="43" t="n"/>
      <c r="T193" s="43" t="n"/>
      <c r="U193" s="43" t="n"/>
      <c r="V193" s="43" t="n"/>
      <c r="W193" s="43" t="n"/>
      <c r="X193" s="43" t="n"/>
      <c r="Y193" s="43" t="n"/>
      <c r="Z193" s="43" t="n"/>
    </row>
    <row r="194">
      <c r="A194" s="43" t="n"/>
      <c r="B194" s="43" t="n"/>
      <c r="C194" s="43" t="n"/>
      <c r="D194" s="43" t="n"/>
      <c r="E194" s="43" t="n"/>
      <c r="F194" s="43" t="n"/>
      <c r="G194" s="43" t="n"/>
      <c r="H194" s="43" t="n"/>
      <c r="I194" s="43" t="n"/>
      <c r="J194" s="43" t="n"/>
      <c r="K194" s="43" t="n"/>
      <c r="L194" s="43" t="n"/>
      <c r="M194" s="43" t="n"/>
      <c r="N194" s="43" t="n"/>
      <c r="O194" s="43" t="n"/>
      <c r="P194" s="43" t="n"/>
      <c r="Q194" s="43" t="n"/>
      <c r="R194" s="43" t="n"/>
      <c r="S194" s="43" t="n"/>
      <c r="T194" s="43" t="n"/>
      <c r="U194" s="43" t="n"/>
      <c r="V194" s="43" t="n"/>
      <c r="W194" s="43" t="n"/>
      <c r="X194" s="43" t="n"/>
      <c r="Y194" s="43" t="n"/>
      <c r="Z194" s="43" t="n"/>
    </row>
    <row r="195">
      <c r="A195" s="43" t="n"/>
      <c r="B195" s="43" t="n"/>
      <c r="C195" s="43" t="n"/>
      <c r="D195" s="43" t="n"/>
      <c r="E195" s="43" t="n"/>
      <c r="F195" s="43" t="n"/>
      <c r="G195" s="43" t="n"/>
      <c r="H195" s="43" t="n"/>
      <c r="I195" s="43" t="n"/>
      <c r="J195" s="43" t="n"/>
      <c r="K195" s="43" t="n"/>
      <c r="L195" s="43" t="n"/>
      <c r="M195" s="43" t="n"/>
      <c r="N195" s="43" t="n"/>
      <c r="O195" s="43" t="n"/>
      <c r="P195" s="43" t="n"/>
      <c r="Q195" s="43" t="n"/>
      <c r="R195" s="43" t="n"/>
      <c r="S195" s="43" t="n"/>
      <c r="T195" s="43" t="n"/>
      <c r="U195" s="43" t="n"/>
      <c r="V195" s="43" t="n"/>
      <c r="W195" s="43" t="n"/>
      <c r="X195" s="43" t="n"/>
      <c r="Y195" s="43" t="n"/>
      <c r="Z195" s="43" t="n"/>
    </row>
    <row r="196">
      <c r="A196" s="43" t="n"/>
      <c r="B196" s="43" t="n"/>
      <c r="C196" s="43" t="n"/>
      <c r="D196" s="43" t="n"/>
      <c r="E196" s="43" t="n"/>
      <c r="F196" s="43" t="n"/>
      <c r="G196" s="43" t="n"/>
      <c r="H196" s="43" t="n"/>
      <c r="I196" s="43" t="n"/>
      <c r="J196" s="43" t="n"/>
      <c r="K196" s="43" t="n"/>
      <c r="L196" s="43" t="n"/>
      <c r="M196" s="43" t="n"/>
      <c r="N196" s="43" t="n"/>
      <c r="O196" s="43" t="n"/>
      <c r="P196" s="43" t="n"/>
      <c r="Q196" s="43" t="n"/>
      <c r="R196" s="43" t="n"/>
      <c r="S196" s="43" t="n"/>
      <c r="T196" s="43" t="n"/>
      <c r="U196" s="43" t="n"/>
      <c r="V196" s="43" t="n"/>
      <c r="W196" s="43" t="n"/>
      <c r="X196" s="43" t="n"/>
      <c r="Y196" s="43" t="n"/>
      <c r="Z196" s="43" t="n"/>
    </row>
    <row r="197">
      <c r="A197" s="43" t="n"/>
      <c r="B197" s="43" t="n"/>
      <c r="C197" s="43" t="n"/>
      <c r="D197" s="43" t="n"/>
      <c r="E197" s="43" t="n"/>
      <c r="F197" s="43" t="n"/>
      <c r="G197" s="43" t="n"/>
      <c r="H197" s="43" t="n"/>
      <c r="I197" s="43" t="n"/>
      <c r="J197" s="43" t="n"/>
      <c r="K197" s="43" t="n"/>
      <c r="L197" s="43" t="n"/>
      <c r="M197" s="43" t="n"/>
      <c r="N197" s="43" t="n"/>
      <c r="O197" s="43" t="n"/>
      <c r="P197" s="43" t="n"/>
      <c r="Q197" s="43" t="n"/>
      <c r="R197" s="43" t="n"/>
      <c r="S197" s="43" t="n"/>
      <c r="T197" s="43" t="n"/>
      <c r="U197" s="43" t="n"/>
      <c r="V197" s="43" t="n"/>
      <c r="W197" s="43" t="n"/>
      <c r="X197" s="43" t="n"/>
      <c r="Y197" s="43" t="n"/>
      <c r="Z197" s="43" t="n"/>
    </row>
    <row r="198">
      <c r="A198" s="43" t="n"/>
      <c r="B198" s="43" t="n"/>
      <c r="C198" s="43" t="n"/>
      <c r="D198" s="43" t="n"/>
      <c r="E198" s="43" t="n"/>
      <c r="F198" s="43" t="n"/>
      <c r="G198" s="43" t="n"/>
      <c r="H198" s="43" t="n"/>
      <c r="I198" s="43" t="n"/>
      <c r="J198" s="43" t="n"/>
      <c r="K198" s="43" t="n"/>
      <c r="L198" s="43" t="n"/>
      <c r="M198" s="43" t="n"/>
      <c r="N198" s="43" t="n"/>
      <c r="O198" s="43" t="n"/>
      <c r="P198" s="43" t="n"/>
      <c r="Q198" s="43" t="n"/>
      <c r="R198" s="43" t="n"/>
      <c r="S198" s="43" t="n"/>
      <c r="T198" s="43" t="n"/>
      <c r="U198" s="43" t="n"/>
      <c r="V198" s="43" t="n"/>
      <c r="W198" s="43" t="n"/>
      <c r="X198" s="43" t="n"/>
      <c r="Y198" s="43" t="n"/>
      <c r="Z198" s="43" t="n"/>
    </row>
    <row r="199">
      <c r="A199" s="43" t="n"/>
      <c r="B199" s="43" t="n"/>
      <c r="C199" s="43" t="n"/>
      <c r="D199" s="43" t="n"/>
      <c r="E199" s="43" t="n"/>
      <c r="F199" s="43" t="n"/>
      <c r="G199" s="43" t="n"/>
      <c r="H199" s="43" t="n"/>
      <c r="I199" s="43" t="n"/>
      <c r="J199" s="43" t="n"/>
      <c r="K199" s="43" t="n"/>
      <c r="L199" s="43" t="n"/>
      <c r="M199" s="43" t="n"/>
      <c r="N199" s="43" t="n"/>
      <c r="O199" s="43" t="n"/>
      <c r="P199" s="43" t="n"/>
      <c r="Q199" s="43" t="n"/>
      <c r="R199" s="43" t="n"/>
      <c r="S199" s="43" t="n"/>
      <c r="T199" s="43" t="n"/>
      <c r="U199" s="43" t="n"/>
      <c r="V199" s="43" t="n"/>
      <c r="W199" s="43" t="n"/>
      <c r="X199" s="43" t="n"/>
      <c r="Y199" s="43" t="n"/>
      <c r="Z199" s="43" t="n"/>
    </row>
    <row r="200">
      <c r="A200" s="43" t="n"/>
      <c r="B200" s="43" t="n"/>
      <c r="C200" s="43" t="n"/>
      <c r="D200" s="43" t="n"/>
      <c r="E200" s="43" t="n"/>
      <c r="F200" s="43" t="n"/>
      <c r="G200" s="43" t="n"/>
      <c r="H200" s="43" t="n"/>
      <c r="I200" s="43" t="n"/>
      <c r="J200" s="43" t="n"/>
      <c r="K200" s="43" t="n"/>
      <c r="L200" s="43" t="n"/>
      <c r="M200" s="43" t="n"/>
      <c r="N200" s="43" t="n"/>
      <c r="O200" s="43" t="n"/>
      <c r="P200" s="43" t="n"/>
      <c r="Q200" s="43" t="n"/>
      <c r="R200" s="43" t="n"/>
      <c r="S200" s="43" t="n"/>
      <c r="T200" s="43" t="n"/>
      <c r="U200" s="43" t="n"/>
      <c r="V200" s="43" t="n"/>
      <c r="W200" s="43" t="n"/>
      <c r="X200" s="43" t="n"/>
      <c r="Y200" s="43" t="n"/>
      <c r="Z200" s="43" t="n"/>
    </row>
    <row r="201">
      <c r="A201" s="43" t="n"/>
      <c r="B201" s="43" t="n"/>
      <c r="C201" s="43" t="n"/>
      <c r="D201" s="43" t="n"/>
      <c r="E201" s="43" t="n"/>
      <c r="F201" s="43" t="n"/>
      <c r="G201" s="43" t="n"/>
      <c r="H201" s="43" t="n"/>
      <c r="I201" s="43" t="n"/>
      <c r="J201" s="43" t="n"/>
      <c r="K201" s="43" t="n"/>
      <c r="L201" s="43" t="n"/>
      <c r="M201" s="43" t="n"/>
      <c r="N201" s="43" t="n"/>
      <c r="O201" s="43" t="n"/>
      <c r="P201" s="43" t="n"/>
      <c r="Q201" s="43" t="n"/>
      <c r="R201" s="43" t="n"/>
      <c r="S201" s="43" t="n"/>
      <c r="T201" s="43" t="n"/>
      <c r="U201" s="43" t="n"/>
      <c r="V201" s="43" t="n"/>
      <c r="W201" s="43" t="n"/>
      <c r="X201" s="43" t="n"/>
      <c r="Y201" s="43" t="n"/>
      <c r="Z201" s="43" t="n"/>
    </row>
    <row r="202">
      <c r="A202" s="43" t="n"/>
      <c r="B202" s="43" t="n"/>
      <c r="C202" s="43" t="n"/>
      <c r="D202" s="43"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row>
    <row r="203">
      <c r="A203" s="43" t="n"/>
      <c r="B203" s="43" t="n"/>
      <c r="C203" s="43" t="n"/>
      <c r="D203" s="43" t="n"/>
      <c r="E203" s="43" t="n"/>
      <c r="F203" s="43" t="n"/>
      <c r="G203" s="43" t="n"/>
      <c r="H203" s="43" t="n"/>
      <c r="I203" s="43" t="n"/>
      <c r="J203" s="43" t="n"/>
      <c r="K203" s="43" t="n"/>
      <c r="L203" s="43" t="n"/>
      <c r="M203" s="43" t="n"/>
      <c r="N203" s="43" t="n"/>
      <c r="O203" s="43" t="n"/>
      <c r="P203" s="43" t="n"/>
      <c r="Q203" s="43" t="n"/>
      <c r="R203" s="43" t="n"/>
      <c r="S203" s="43" t="n"/>
      <c r="T203" s="43" t="n"/>
      <c r="U203" s="43" t="n"/>
      <c r="V203" s="43" t="n"/>
      <c r="W203" s="43" t="n"/>
      <c r="X203" s="43" t="n"/>
      <c r="Y203" s="43" t="n"/>
      <c r="Z203" s="43" t="n"/>
    </row>
    <row r="204">
      <c r="A204" s="43" t="n"/>
      <c r="B204" s="43" t="n"/>
      <c r="C204" s="43" t="n"/>
      <c r="D204" s="43" t="n"/>
      <c r="E204" s="43" t="n"/>
      <c r="F204" s="43" t="n"/>
      <c r="G204" s="43" t="n"/>
      <c r="H204" s="43" t="n"/>
      <c r="I204" s="43" t="n"/>
      <c r="J204" s="43" t="n"/>
      <c r="K204" s="43" t="n"/>
      <c r="L204" s="43" t="n"/>
      <c r="M204" s="43" t="n"/>
      <c r="N204" s="43" t="n"/>
      <c r="O204" s="43" t="n"/>
      <c r="P204" s="43" t="n"/>
      <c r="Q204" s="43" t="n"/>
      <c r="R204" s="43" t="n"/>
      <c r="S204" s="43" t="n"/>
      <c r="T204" s="43" t="n"/>
      <c r="U204" s="43" t="n"/>
      <c r="V204" s="43" t="n"/>
      <c r="W204" s="43" t="n"/>
      <c r="X204" s="43" t="n"/>
      <c r="Y204" s="43" t="n"/>
      <c r="Z204" s="43" t="n"/>
    </row>
    <row r="205">
      <c r="A205" s="43" t="n"/>
      <c r="B205" s="43" t="n"/>
      <c r="C205" s="43" t="n"/>
      <c r="D205" s="43" t="n"/>
      <c r="E205" s="43" t="n"/>
      <c r="F205" s="43" t="n"/>
      <c r="G205" s="43" t="n"/>
      <c r="H205" s="43" t="n"/>
      <c r="I205" s="43" t="n"/>
      <c r="J205" s="43" t="n"/>
      <c r="K205" s="43" t="n"/>
      <c r="L205" s="43" t="n"/>
      <c r="M205" s="43" t="n"/>
      <c r="N205" s="43" t="n"/>
      <c r="O205" s="43" t="n"/>
      <c r="P205" s="43" t="n"/>
      <c r="Q205" s="43" t="n"/>
      <c r="R205" s="43" t="n"/>
      <c r="S205" s="43" t="n"/>
      <c r="T205" s="43" t="n"/>
      <c r="U205" s="43" t="n"/>
      <c r="V205" s="43" t="n"/>
      <c r="W205" s="43" t="n"/>
      <c r="X205" s="43" t="n"/>
      <c r="Y205" s="43" t="n"/>
      <c r="Z205" s="43" t="n"/>
    </row>
    <row r="206">
      <c r="A206" s="43" t="n"/>
      <c r="B206" s="43" t="n"/>
      <c r="C206" s="43" t="n"/>
      <c r="D206" s="43" t="n"/>
      <c r="E206" s="43" t="n"/>
      <c r="F206" s="43" t="n"/>
      <c r="G206" s="43" t="n"/>
      <c r="H206" s="43" t="n"/>
      <c r="I206" s="43" t="n"/>
      <c r="J206" s="43" t="n"/>
      <c r="K206" s="43" t="n"/>
      <c r="L206" s="43" t="n"/>
      <c r="M206" s="43" t="n"/>
      <c r="N206" s="43" t="n"/>
      <c r="O206" s="43" t="n"/>
      <c r="P206" s="43" t="n"/>
      <c r="Q206" s="43" t="n"/>
      <c r="R206" s="43" t="n"/>
      <c r="S206" s="43" t="n"/>
      <c r="T206" s="43" t="n"/>
      <c r="U206" s="43" t="n"/>
      <c r="V206" s="43" t="n"/>
      <c r="W206" s="43" t="n"/>
      <c r="X206" s="43" t="n"/>
      <c r="Y206" s="43" t="n"/>
      <c r="Z206" s="43" t="n"/>
    </row>
    <row r="207">
      <c r="A207" s="43" t="n"/>
      <c r="B207" s="43" t="n"/>
      <c r="C207" s="43" t="n"/>
      <c r="D207" s="43" t="n"/>
      <c r="E207" s="43" t="n"/>
      <c r="F207" s="43" t="n"/>
      <c r="G207" s="43" t="n"/>
      <c r="H207" s="43" t="n"/>
      <c r="I207" s="43" t="n"/>
      <c r="J207" s="43" t="n"/>
      <c r="K207" s="43" t="n"/>
      <c r="L207" s="43" t="n"/>
      <c r="M207" s="43" t="n"/>
      <c r="N207" s="43" t="n"/>
      <c r="O207" s="43" t="n"/>
      <c r="P207" s="43" t="n"/>
      <c r="Q207" s="43" t="n"/>
      <c r="R207" s="43" t="n"/>
      <c r="S207" s="43" t="n"/>
      <c r="T207" s="43" t="n"/>
      <c r="U207" s="43" t="n"/>
      <c r="V207" s="43" t="n"/>
      <c r="W207" s="43" t="n"/>
      <c r="X207" s="43" t="n"/>
      <c r="Y207" s="43" t="n"/>
      <c r="Z207" s="43" t="n"/>
    </row>
    <row r="208">
      <c r="A208" s="43" t="n"/>
      <c r="B208" s="43" t="n"/>
      <c r="C208" s="43" t="n"/>
      <c r="D208" s="43" t="n"/>
      <c r="E208" s="43" t="n"/>
      <c r="F208" s="43" t="n"/>
      <c r="G208" s="43" t="n"/>
      <c r="H208" s="43" t="n"/>
      <c r="I208" s="43" t="n"/>
      <c r="J208" s="43" t="n"/>
      <c r="K208" s="43" t="n"/>
      <c r="L208" s="43" t="n"/>
      <c r="M208" s="43" t="n"/>
      <c r="N208" s="43" t="n"/>
      <c r="O208" s="43" t="n"/>
      <c r="P208" s="43" t="n"/>
      <c r="Q208" s="43" t="n"/>
      <c r="R208" s="43" t="n"/>
      <c r="S208" s="43" t="n"/>
      <c r="T208" s="43" t="n"/>
      <c r="U208" s="43" t="n"/>
      <c r="V208" s="43" t="n"/>
      <c r="W208" s="43" t="n"/>
      <c r="X208" s="43" t="n"/>
      <c r="Y208" s="43" t="n"/>
      <c r="Z208" s="43" t="n"/>
    </row>
    <row r="209">
      <c r="A209" s="43" t="n"/>
      <c r="B209" s="43" t="n"/>
      <c r="C209" s="43" t="n"/>
      <c r="D209" s="43" t="n"/>
      <c r="E209" s="43" t="n"/>
      <c r="F209" s="43" t="n"/>
      <c r="G209" s="43" t="n"/>
      <c r="H209" s="43" t="n"/>
      <c r="I209" s="43" t="n"/>
      <c r="J209" s="43" t="n"/>
      <c r="K209" s="43" t="n"/>
      <c r="L209" s="43" t="n"/>
      <c r="M209" s="43" t="n"/>
      <c r="N209" s="43" t="n"/>
      <c r="O209" s="43" t="n"/>
      <c r="P209" s="43" t="n"/>
      <c r="Q209" s="43" t="n"/>
      <c r="R209" s="43" t="n"/>
      <c r="S209" s="43" t="n"/>
      <c r="T209" s="43" t="n"/>
      <c r="U209" s="43" t="n"/>
      <c r="V209" s="43" t="n"/>
      <c r="W209" s="43" t="n"/>
      <c r="X209" s="43" t="n"/>
      <c r="Y209" s="43" t="n"/>
      <c r="Z209" s="43" t="n"/>
    </row>
    <row r="210">
      <c r="A210" s="43" t="n"/>
      <c r="B210" s="43" t="n"/>
      <c r="C210" s="43" t="n"/>
      <c r="D210" s="43" t="n"/>
      <c r="E210" s="43" t="n"/>
      <c r="F210" s="43" t="n"/>
      <c r="G210" s="43" t="n"/>
      <c r="H210" s="43" t="n"/>
      <c r="I210" s="43" t="n"/>
      <c r="J210" s="43" t="n"/>
      <c r="K210" s="43" t="n"/>
      <c r="L210" s="43" t="n"/>
      <c r="M210" s="43" t="n"/>
      <c r="N210" s="43" t="n"/>
      <c r="O210" s="43" t="n"/>
      <c r="P210" s="43" t="n"/>
      <c r="Q210" s="43" t="n"/>
      <c r="R210" s="43" t="n"/>
      <c r="S210" s="43" t="n"/>
      <c r="T210" s="43" t="n"/>
      <c r="U210" s="43" t="n"/>
      <c r="V210" s="43" t="n"/>
      <c r="W210" s="43" t="n"/>
      <c r="X210" s="43" t="n"/>
      <c r="Y210" s="43" t="n"/>
      <c r="Z210" s="43" t="n"/>
    </row>
    <row r="211">
      <c r="A211" s="43" t="n"/>
      <c r="B211" s="43" t="n"/>
      <c r="C211" s="43" t="n"/>
      <c r="D211" s="43" t="n"/>
      <c r="E211" s="43" t="n"/>
      <c r="F211" s="43" t="n"/>
      <c r="G211" s="43" t="n"/>
      <c r="H211" s="43" t="n"/>
      <c r="I211" s="43" t="n"/>
      <c r="J211" s="43" t="n"/>
      <c r="K211" s="43" t="n"/>
      <c r="L211" s="43" t="n"/>
      <c r="M211" s="43" t="n"/>
      <c r="N211" s="43" t="n"/>
      <c r="O211" s="43" t="n"/>
      <c r="P211" s="43" t="n"/>
      <c r="Q211" s="43" t="n"/>
      <c r="R211" s="43" t="n"/>
      <c r="S211" s="43" t="n"/>
      <c r="T211" s="43" t="n"/>
      <c r="U211" s="43" t="n"/>
      <c r="V211" s="43" t="n"/>
      <c r="W211" s="43" t="n"/>
      <c r="X211" s="43" t="n"/>
      <c r="Y211" s="43" t="n"/>
      <c r="Z211" s="43" t="n"/>
    </row>
    <row r="212">
      <c r="A212" s="43" t="n"/>
      <c r="B212" s="43" t="n"/>
      <c r="C212" s="43" t="n"/>
      <c r="D212" s="43" t="n"/>
      <c r="E212" s="43" t="n"/>
      <c r="F212" s="43" t="n"/>
      <c r="G212" s="43" t="n"/>
      <c r="H212" s="43" t="n"/>
      <c r="I212" s="43" t="n"/>
      <c r="J212" s="43" t="n"/>
      <c r="K212" s="43" t="n"/>
      <c r="L212" s="43" t="n"/>
      <c r="M212" s="43" t="n"/>
      <c r="N212" s="43" t="n"/>
      <c r="O212" s="43" t="n"/>
      <c r="P212" s="43" t="n"/>
      <c r="Q212" s="43" t="n"/>
      <c r="R212" s="43" t="n"/>
      <c r="S212" s="43" t="n"/>
      <c r="T212" s="43" t="n"/>
      <c r="U212" s="43" t="n"/>
      <c r="V212" s="43" t="n"/>
      <c r="W212" s="43" t="n"/>
      <c r="X212" s="43" t="n"/>
      <c r="Y212" s="43" t="n"/>
      <c r="Z212" s="43" t="n"/>
    </row>
    <row r="213">
      <c r="A213" s="43" t="n"/>
      <c r="B213" s="43" t="n"/>
      <c r="C213" s="43" t="n"/>
      <c r="D213" s="43" t="n"/>
      <c r="E213" s="43" t="n"/>
      <c r="F213" s="43" t="n"/>
      <c r="G213" s="43" t="n"/>
      <c r="H213" s="43" t="n"/>
      <c r="I213" s="43" t="n"/>
      <c r="J213" s="43" t="n"/>
      <c r="K213" s="43" t="n"/>
      <c r="L213" s="43" t="n"/>
      <c r="M213" s="43" t="n"/>
      <c r="N213" s="43" t="n"/>
      <c r="O213" s="43" t="n"/>
      <c r="P213" s="43" t="n"/>
      <c r="Q213" s="43" t="n"/>
      <c r="R213" s="43" t="n"/>
      <c r="S213" s="43" t="n"/>
      <c r="T213" s="43" t="n"/>
      <c r="U213" s="43" t="n"/>
      <c r="V213" s="43" t="n"/>
      <c r="W213" s="43" t="n"/>
      <c r="X213" s="43" t="n"/>
      <c r="Y213" s="43" t="n"/>
      <c r="Z213" s="43" t="n"/>
    </row>
    <row r="214">
      <c r="A214" s="43" t="n"/>
      <c r="B214" s="43" t="n"/>
      <c r="C214" s="43" t="n"/>
      <c r="D214" s="43" t="n"/>
      <c r="E214" s="43" t="n"/>
      <c r="F214" s="43" t="n"/>
      <c r="G214" s="43" t="n"/>
      <c r="H214" s="43" t="n"/>
      <c r="I214" s="43" t="n"/>
      <c r="J214" s="43" t="n"/>
      <c r="K214" s="43" t="n"/>
      <c r="L214" s="43" t="n"/>
      <c r="M214" s="43" t="n"/>
      <c r="N214" s="43" t="n"/>
      <c r="O214" s="43" t="n"/>
      <c r="P214" s="43" t="n"/>
      <c r="Q214" s="43" t="n"/>
      <c r="R214" s="43" t="n"/>
      <c r="S214" s="43" t="n"/>
      <c r="T214" s="43" t="n"/>
      <c r="U214" s="43" t="n"/>
      <c r="V214" s="43" t="n"/>
      <c r="W214" s="43" t="n"/>
      <c r="X214" s="43" t="n"/>
      <c r="Y214" s="43" t="n"/>
      <c r="Z214" s="43" t="n"/>
    </row>
    <row r="215">
      <c r="A215" s="43" t="n"/>
      <c r="B215" s="43" t="n"/>
      <c r="C215" s="43" t="n"/>
      <c r="D215" s="43" t="n"/>
      <c r="E215" s="43" t="n"/>
      <c r="F215" s="43" t="n"/>
      <c r="G215" s="43" t="n"/>
      <c r="H215" s="43" t="n"/>
      <c r="I215" s="43" t="n"/>
      <c r="J215" s="43" t="n"/>
      <c r="K215" s="43" t="n"/>
      <c r="L215" s="43" t="n"/>
      <c r="M215" s="43" t="n"/>
      <c r="N215" s="43" t="n"/>
      <c r="O215" s="43" t="n"/>
      <c r="P215" s="43" t="n"/>
      <c r="Q215" s="43" t="n"/>
      <c r="R215" s="43" t="n"/>
      <c r="S215" s="43" t="n"/>
      <c r="T215" s="43" t="n"/>
      <c r="U215" s="43" t="n"/>
      <c r="V215" s="43" t="n"/>
      <c r="W215" s="43" t="n"/>
      <c r="X215" s="43" t="n"/>
      <c r="Y215" s="43" t="n"/>
      <c r="Z215" s="43" t="n"/>
    </row>
    <row r="216">
      <c r="A216" s="43" t="n"/>
      <c r="B216" s="43" t="n"/>
      <c r="C216" s="43" t="n"/>
      <c r="D216" s="43" t="n"/>
      <c r="E216" s="43" t="n"/>
      <c r="F216" s="43" t="n"/>
      <c r="G216" s="43" t="n"/>
      <c r="H216" s="43" t="n"/>
      <c r="I216" s="43" t="n"/>
      <c r="J216" s="43" t="n"/>
      <c r="K216" s="43" t="n"/>
      <c r="L216" s="43" t="n"/>
      <c r="M216" s="43" t="n"/>
      <c r="N216" s="43" t="n"/>
      <c r="O216" s="43" t="n"/>
      <c r="P216" s="43" t="n"/>
      <c r="Q216" s="43" t="n"/>
      <c r="R216" s="43" t="n"/>
      <c r="S216" s="43" t="n"/>
      <c r="T216" s="43" t="n"/>
      <c r="U216" s="43" t="n"/>
      <c r="V216" s="43" t="n"/>
      <c r="W216" s="43" t="n"/>
      <c r="X216" s="43" t="n"/>
      <c r="Y216" s="43" t="n"/>
      <c r="Z216" s="43" t="n"/>
    </row>
    <row r="217">
      <c r="A217" s="43" t="n"/>
      <c r="B217" s="43" t="n"/>
      <c r="C217" s="43" t="n"/>
      <c r="D217" s="43" t="n"/>
      <c r="E217" s="43" t="n"/>
      <c r="F217" s="43" t="n"/>
      <c r="G217" s="43" t="n"/>
      <c r="H217" s="43" t="n"/>
      <c r="I217" s="43" t="n"/>
      <c r="J217" s="43" t="n"/>
      <c r="K217" s="43" t="n"/>
      <c r="L217" s="43" t="n"/>
      <c r="M217" s="43" t="n"/>
      <c r="N217" s="43" t="n"/>
      <c r="O217" s="43" t="n"/>
      <c r="P217" s="43" t="n"/>
      <c r="Q217" s="43" t="n"/>
      <c r="R217" s="43" t="n"/>
      <c r="S217" s="43" t="n"/>
      <c r="T217" s="43" t="n"/>
      <c r="U217" s="43" t="n"/>
      <c r="V217" s="43" t="n"/>
      <c r="W217" s="43" t="n"/>
      <c r="X217" s="43" t="n"/>
      <c r="Y217" s="43" t="n"/>
      <c r="Z217" s="43" t="n"/>
    </row>
    <row r="218">
      <c r="A218" s="43" t="n"/>
      <c r="B218" s="43" t="n"/>
      <c r="C218" s="43" t="n"/>
      <c r="D218" s="43" t="n"/>
      <c r="E218" s="43" t="n"/>
      <c r="F218" s="43" t="n"/>
      <c r="G218" s="43" t="n"/>
      <c r="H218" s="43" t="n"/>
      <c r="I218" s="43" t="n"/>
      <c r="J218" s="43" t="n"/>
      <c r="K218" s="43" t="n"/>
      <c r="L218" s="43" t="n"/>
      <c r="M218" s="43" t="n"/>
      <c r="N218" s="43" t="n"/>
      <c r="O218" s="43" t="n"/>
      <c r="P218" s="43" t="n"/>
      <c r="Q218" s="43" t="n"/>
      <c r="R218" s="43" t="n"/>
      <c r="S218" s="43" t="n"/>
      <c r="T218" s="43" t="n"/>
      <c r="U218" s="43" t="n"/>
      <c r="V218" s="43" t="n"/>
      <c r="W218" s="43" t="n"/>
      <c r="X218" s="43" t="n"/>
      <c r="Y218" s="43" t="n"/>
      <c r="Z218" s="43" t="n"/>
    </row>
    <row r="219">
      <c r="A219" s="43" t="n"/>
      <c r="B219" s="43" t="n"/>
      <c r="C219" s="43" t="n"/>
      <c r="D219" s="43" t="n"/>
      <c r="E219" s="43" t="n"/>
      <c r="F219" s="43" t="n"/>
      <c r="G219" s="43" t="n"/>
      <c r="H219" s="43" t="n"/>
      <c r="I219" s="43" t="n"/>
      <c r="J219" s="43" t="n"/>
      <c r="K219" s="43" t="n"/>
      <c r="L219" s="43" t="n"/>
      <c r="M219" s="43" t="n"/>
      <c r="N219" s="43" t="n"/>
      <c r="O219" s="43" t="n"/>
      <c r="P219" s="43" t="n"/>
      <c r="Q219" s="43" t="n"/>
      <c r="R219" s="43" t="n"/>
      <c r="S219" s="43" t="n"/>
      <c r="T219" s="43" t="n"/>
      <c r="U219" s="43" t="n"/>
      <c r="V219" s="43" t="n"/>
      <c r="W219" s="43" t="n"/>
      <c r="X219" s="43" t="n"/>
      <c r="Y219" s="43" t="n"/>
      <c r="Z219" s="43" t="n"/>
    </row>
    <row r="220">
      <c r="A220" s="43" t="n"/>
      <c r="B220" s="43" t="n"/>
      <c r="C220" s="43" t="n"/>
      <c r="D220" s="43" t="n"/>
      <c r="E220" s="43" t="n"/>
      <c r="F220" s="43" t="n"/>
      <c r="G220" s="43" t="n"/>
      <c r="H220" s="43" t="n"/>
      <c r="I220" s="43" t="n"/>
      <c r="J220" s="43" t="n"/>
      <c r="K220" s="43" t="n"/>
      <c r="L220" s="43" t="n"/>
      <c r="M220" s="43" t="n"/>
      <c r="N220" s="43" t="n"/>
      <c r="O220" s="43" t="n"/>
      <c r="P220" s="43" t="n"/>
      <c r="Q220" s="43" t="n"/>
      <c r="R220" s="43" t="n"/>
      <c r="S220" s="43" t="n"/>
      <c r="T220" s="43" t="n"/>
      <c r="U220" s="43" t="n"/>
      <c r="V220" s="43" t="n"/>
      <c r="W220" s="43" t="n"/>
      <c r="X220" s="43" t="n"/>
      <c r="Y220" s="43" t="n"/>
      <c r="Z220" s="43" t="n"/>
    </row>
    <row r="221">
      <c r="A221" s="43" t="n"/>
      <c r="B221" s="43" t="n"/>
      <c r="C221" s="43" t="n"/>
      <c r="D221" s="43"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row>
    <row r="222">
      <c r="A222" s="43" t="n"/>
      <c r="B222" s="43" t="n"/>
      <c r="C222" s="43" t="n"/>
      <c r="D222" s="43"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row>
    <row r="223">
      <c r="A223" s="43" t="n"/>
      <c r="B223" s="43" t="n"/>
      <c r="C223" s="43" t="n"/>
      <c r="D223" s="43"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row>
    <row r="224">
      <c r="A224" s="43" t="n"/>
      <c r="B224" s="43" t="n"/>
      <c r="C224" s="43" t="n"/>
      <c r="D224" s="43"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row>
    <row r="225">
      <c r="A225" s="43"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row>
    <row r="226">
      <c r="A226" s="43"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row>
    <row r="227">
      <c r="A227" s="43"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row>
    <row r="228">
      <c r="A228" s="43"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row>
    <row r="229">
      <c r="A229" s="43"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row>
    <row r="230">
      <c r="A230" s="43"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row>
    <row r="231">
      <c r="A231" s="43"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row>
    <row r="232">
      <c r="A232" s="43"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row>
    <row r="233">
      <c r="A233" s="43"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row>
    <row r="234">
      <c r="A234" s="43"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row>
    <row r="235">
      <c r="A235" s="43"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row>
    <row r="236">
      <c r="A236" s="43"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row>
    <row r="237">
      <c r="A237" s="43"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row>
    <row r="238">
      <c r="A238" s="43"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row>
    <row r="239">
      <c r="A239" s="43"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row>
    <row r="240">
      <c r="A240" s="43"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row>
    <row r="241">
      <c r="A241" s="43"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row>
    <row r="242">
      <c r="A242" s="43"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row>
    <row r="243">
      <c r="A243" s="43"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row>
    <row r="244">
      <c r="A244" s="43"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row>
    <row r="245">
      <c r="A245" s="43"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row>
    <row r="246">
      <c r="A246" s="43"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row>
    <row r="247">
      <c r="A247" s="43"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row>
    <row r="248">
      <c r="A248" s="43"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row>
    <row r="249">
      <c r="A249" s="43"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row>
    <row r="250">
      <c r="A250" s="43"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row>
    <row r="251">
      <c r="A251" s="43"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row>
    <row r="252">
      <c r="A252" s="43"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row>
    <row r="253">
      <c r="A253" s="43"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row>
    <row r="254">
      <c r="A254" s="43"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row>
    <row r="255">
      <c r="A255" s="43"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row>
    <row r="256">
      <c r="A256" s="43"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row>
    <row r="257">
      <c r="A257" s="43"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row>
    <row r="258">
      <c r="A258" s="43"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row>
    <row r="259">
      <c r="A259" s="43"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row>
    <row r="260">
      <c r="A260" s="43"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row>
    <row r="261">
      <c r="A261" s="43"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row>
    <row r="262">
      <c r="A262" s="43"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row>
    <row r="263">
      <c r="A263" s="43"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row>
    <row r="264">
      <c r="A264" s="43"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row>
    <row r="265">
      <c r="A265" s="43"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row>
    <row r="266">
      <c r="A266" s="43"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row>
    <row r="267">
      <c r="A267" s="43"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row>
    <row r="268">
      <c r="A268" s="43"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row>
    <row r="269">
      <c r="A269" s="43"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row>
    <row r="270">
      <c r="A270" s="43"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row>
    <row r="271">
      <c r="A271" s="43"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row>
    <row r="272">
      <c r="A272" s="43"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row>
    <row r="273">
      <c r="A273" s="43"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row>
    <row r="274">
      <c r="A274" s="43"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row>
    <row r="275">
      <c r="A275" s="43"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row>
    <row r="276">
      <c r="A276" s="43"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row>
    <row r="277">
      <c r="A277" s="43"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row>
    <row r="278">
      <c r="A278" s="43"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row>
    <row r="279">
      <c r="A279" s="43"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row>
    <row r="280">
      <c r="A280" s="43"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row>
    <row r="281">
      <c r="A281" s="43"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row>
    <row r="282">
      <c r="A282" s="43"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row>
    <row r="283">
      <c r="A283" s="43"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row>
    <row r="284">
      <c r="A284" s="43"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row>
    <row r="285">
      <c r="A285" s="43"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row>
    <row r="286">
      <c r="A286" s="43"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row>
    <row r="287">
      <c r="A287" s="43"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row>
    <row r="288">
      <c r="A288" s="43"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row>
    <row r="289">
      <c r="A289" s="43"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row>
    <row r="290">
      <c r="A290" s="43"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row>
    <row r="291">
      <c r="A291" s="43"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row>
    <row r="292">
      <c r="A292" s="43"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row>
    <row r="293">
      <c r="A293" s="43"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row>
    <row r="294">
      <c r="A294" s="43"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row>
    <row r="295">
      <c r="A295" s="43"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row>
    <row r="296">
      <c r="A296" s="43"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row>
    <row r="297">
      <c r="A297" s="43"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row>
    <row r="298">
      <c r="A298" s="43"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row>
    <row r="299">
      <c r="A299" s="43"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row>
    <row r="300">
      <c r="A300" s="43"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row>
    <row r="301">
      <c r="A301" s="43"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row>
    <row r="302">
      <c r="A302" s="43"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row>
    <row r="303">
      <c r="A303" s="43"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row>
    <row r="304">
      <c r="A304" s="43"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row>
    <row r="305">
      <c r="A305" s="43"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row>
    <row r="306">
      <c r="A306" s="43"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row>
    <row r="307">
      <c r="A307" s="43"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row>
    <row r="308">
      <c r="A308" s="43"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row>
    <row r="309">
      <c r="A309" s="43"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row>
    <row r="310">
      <c r="A310" s="43"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row>
    <row r="311">
      <c r="A311" s="43"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row>
    <row r="312">
      <c r="A312" s="43"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row>
    <row r="313">
      <c r="A313" s="43"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row>
    <row r="314">
      <c r="A314" s="43"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row>
    <row r="315">
      <c r="A315" s="43"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row>
    <row r="316">
      <c r="A316" s="43"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row>
    <row r="317">
      <c r="A317" s="43"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row>
    <row r="318">
      <c r="A318" s="43"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row>
    <row r="319">
      <c r="A319" s="43"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row>
    <row r="320">
      <c r="A320" s="43"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row>
    <row r="321">
      <c r="A321" s="43"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row>
    <row r="322">
      <c r="A322" s="43"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row>
    <row r="323">
      <c r="A323" s="43"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row>
    <row r="324">
      <c r="A324" s="43"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row>
    <row r="325">
      <c r="A325" s="43"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row>
    <row r="326">
      <c r="A326" s="43"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row>
    <row r="327">
      <c r="A327" s="43"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row>
    <row r="328">
      <c r="A328" s="43"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row>
    <row r="329">
      <c r="A329" s="43"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row>
    <row r="330">
      <c r="A330" s="43"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row>
    <row r="331">
      <c r="A331" s="43"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row>
    <row r="332">
      <c r="A332" s="43"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row>
    <row r="333">
      <c r="A333" s="43"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row>
    <row r="334">
      <c r="A334" s="43"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row>
    <row r="335">
      <c r="A335" s="43"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row>
    <row r="336">
      <c r="A336" s="43"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row>
    <row r="337">
      <c r="A337" s="43"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row>
    <row r="338">
      <c r="A338" s="43"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row>
    <row r="339">
      <c r="A339" s="43"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row>
    <row r="340">
      <c r="A340" s="43"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row>
    <row r="341">
      <c r="A341" s="43"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row>
    <row r="342">
      <c r="A342" s="43"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row>
    <row r="343">
      <c r="A343" s="43"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row>
    <row r="344">
      <c r="A344" s="43"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row>
    <row r="345">
      <c r="A345" s="43"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row>
    <row r="346">
      <c r="A346" s="43"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row>
    <row r="347">
      <c r="A347" s="43"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row>
    <row r="348">
      <c r="A348" s="43"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row>
    <row r="349">
      <c r="A349" s="43"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row>
    <row r="350">
      <c r="A350" s="43"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row>
    <row r="351">
      <c r="A351" s="43"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row>
    <row r="352">
      <c r="A352" s="43"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row>
    <row r="353">
      <c r="A353" s="43"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row>
    <row r="354">
      <c r="A354" s="43"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row>
    <row r="355">
      <c r="A355" s="43"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row>
    <row r="356">
      <c r="A356" s="43"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row>
    <row r="357">
      <c r="A357" s="43"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row>
    <row r="358">
      <c r="A358" s="43"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row>
    <row r="359">
      <c r="A359" s="43"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row>
    <row r="360">
      <c r="A360" s="43"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row>
    <row r="361">
      <c r="A361" s="43"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row>
    <row r="362">
      <c r="A362" s="43"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row>
    <row r="363">
      <c r="A363" s="43"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row>
    <row r="364">
      <c r="A364" s="43"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row>
    <row r="365">
      <c r="A365" s="43"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row>
    <row r="366">
      <c r="A366" s="43"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row>
    <row r="367">
      <c r="A367" s="43"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row>
    <row r="368">
      <c r="A368" s="43"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row>
    <row r="369">
      <c r="A369" s="43"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row>
    <row r="370">
      <c r="A370" s="43"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row>
    <row r="371">
      <c r="A371" s="43"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row>
    <row r="372">
      <c r="A372" s="43"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row>
    <row r="373">
      <c r="A373" s="43"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row>
    <row r="374">
      <c r="A374" s="43"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row>
    <row r="375">
      <c r="A375" s="43"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row>
    <row r="376">
      <c r="A376" s="43"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row>
    <row r="377">
      <c r="A377" s="43"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row>
    <row r="378">
      <c r="A378" s="43"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row>
    <row r="379">
      <c r="A379" s="43"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row>
    <row r="380">
      <c r="A380" s="43"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row>
    <row r="381">
      <c r="A381" s="43"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row>
    <row r="382">
      <c r="A382" s="43"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row>
    <row r="383">
      <c r="A383" s="43"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row>
    <row r="384">
      <c r="A384" s="43"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row>
    <row r="385">
      <c r="A385" s="43"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row>
    <row r="386">
      <c r="A386" s="43"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row>
    <row r="387">
      <c r="A387" s="43"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row>
    <row r="388">
      <c r="A388" s="43"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row>
    <row r="389">
      <c r="A389" s="43"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row>
    <row r="390">
      <c r="A390" s="43"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row>
    <row r="391">
      <c r="A391" s="43"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row>
    <row r="392">
      <c r="A392" s="43"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row>
    <row r="393">
      <c r="A393" s="43"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row>
    <row r="394">
      <c r="A394" s="43"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row>
    <row r="395">
      <c r="A395" s="43"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row>
    <row r="396">
      <c r="A396" s="43"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row>
    <row r="397">
      <c r="A397" s="43"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row>
    <row r="398">
      <c r="A398" s="43"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row>
    <row r="399">
      <c r="A399" s="43"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row>
    <row r="400">
      <c r="A400" s="43"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row>
    <row r="401">
      <c r="A401" s="43"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row>
    <row r="402">
      <c r="A402" s="43"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row>
    <row r="403">
      <c r="A403" s="43"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row>
    <row r="404">
      <c r="A404" s="43"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row>
    <row r="405">
      <c r="A405" s="43"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row>
    <row r="406">
      <c r="A406" s="43"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row>
    <row r="407">
      <c r="A407" s="43"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row>
    <row r="408">
      <c r="A408" s="43"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row>
    <row r="409">
      <c r="A409" s="43"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row>
    <row r="410">
      <c r="A410" s="43"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row>
    <row r="411">
      <c r="A411" s="43"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row>
    <row r="412">
      <c r="A412" s="43"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row>
    <row r="413">
      <c r="A413" s="43"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row>
    <row r="414">
      <c r="A414" s="43"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row>
    <row r="415">
      <c r="A415" s="43"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row>
    <row r="416">
      <c r="A416" s="43"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row>
    <row r="417">
      <c r="A417" s="43"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row>
    <row r="418">
      <c r="A418" s="43"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row>
    <row r="419">
      <c r="A419" s="43"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row>
    <row r="420">
      <c r="A420" s="43"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row>
    <row r="421">
      <c r="A421" s="43"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row>
    <row r="422">
      <c r="A422" s="43"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row>
    <row r="423">
      <c r="A423" s="43"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row>
    <row r="424">
      <c r="A424" s="43"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row>
    <row r="425">
      <c r="A425" s="43"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row>
    <row r="426">
      <c r="A426" s="43"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row>
    <row r="427">
      <c r="A427" s="43"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row>
    <row r="428">
      <c r="A428" s="43"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row>
    <row r="429">
      <c r="A429" s="43"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row>
    <row r="430">
      <c r="A430" s="43"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row>
    <row r="431">
      <c r="A431" s="43"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row>
    <row r="432">
      <c r="A432" s="43"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row>
    <row r="433">
      <c r="A433" s="43"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row>
    <row r="434">
      <c r="A434" s="43"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row>
    <row r="435">
      <c r="A435" s="43"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row>
    <row r="436">
      <c r="A436" s="43"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row>
    <row r="437">
      <c r="A437" s="43"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row>
    <row r="438">
      <c r="A438" s="43"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row>
    <row r="439">
      <c r="A439" s="43"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row>
    <row r="440">
      <c r="A440" s="43"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row>
    <row r="441">
      <c r="A441" s="43"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row>
    <row r="442">
      <c r="A442" s="43"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row>
    <row r="443">
      <c r="A443" s="43"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row>
    <row r="444">
      <c r="A444" s="43"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row>
    <row r="445">
      <c r="A445" s="43"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row>
    <row r="446">
      <c r="A446" s="43"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row>
    <row r="447">
      <c r="A447" s="43"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row>
    <row r="448">
      <c r="A448" s="43"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row>
    <row r="449">
      <c r="A449" s="43"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row>
    <row r="450">
      <c r="A450" s="43"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row>
    <row r="451">
      <c r="A451" s="43"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row>
    <row r="452">
      <c r="A452" s="43"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row>
    <row r="453">
      <c r="A453" s="43"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row>
    <row r="454">
      <c r="A454" s="43"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row>
    <row r="455">
      <c r="A455" s="43"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row>
    <row r="456">
      <c r="A456" s="43"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row>
    <row r="457">
      <c r="A457" s="43"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row>
    <row r="458">
      <c r="A458" s="43"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row>
    <row r="459">
      <c r="A459" s="43"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row>
    <row r="460">
      <c r="A460" s="43"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row>
    <row r="461">
      <c r="A461" s="43"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row>
    <row r="462">
      <c r="A462" s="43"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row>
    <row r="463">
      <c r="A463" s="43"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row>
    <row r="464">
      <c r="A464" s="43"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row>
    <row r="465">
      <c r="A465" s="43"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row>
    <row r="466">
      <c r="A466" s="43"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row>
    <row r="467">
      <c r="A467" s="43"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row>
    <row r="468">
      <c r="A468" s="43"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row>
    <row r="469">
      <c r="A469" s="43"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row>
    <row r="470">
      <c r="A470" s="43"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row>
    <row r="471">
      <c r="A471" s="43"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row>
    <row r="472">
      <c r="A472" s="43"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row>
    <row r="473">
      <c r="A473" s="43"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row>
    <row r="474">
      <c r="A474" s="43"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row>
    <row r="475">
      <c r="A475" s="43"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row>
    <row r="476">
      <c r="A476" s="43"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row>
    <row r="477">
      <c r="A477" s="43"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row>
    <row r="478">
      <c r="A478" s="43"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row>
    <row r="479">
      <c r="A479" s="43"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row>
    <row r="480">
      <c r="A480" s="43"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row>
    <row r="481">
      <c r="A481" s="43"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row>
    <row r="482">
      <c r="A482" s="43"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row>
    <row r="483">
      <c r="A483" s="43"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row>
    <row r="484">
      <c r="A484" s="43"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row>
    <row r="485">
      <c r="A485" s="43"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row>
    <row r="486">
      <c r="A486" s="43"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row>
    <row r="487">
      <c r="A487" s="43"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row>
    <row r="488">
      <c r="A488" s="43"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row>
    <row r="489">
      <c r="A489" s="43"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row>
    <row r="490">
      <c r="A490" s="43"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row>
    <row r="491">
      <c r="A491" s="43"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row>
    <row r="492">
      <c r="A492" s="43"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row>
    <row r="493">
      <c r="A493" s="43"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row>
    <row r="494">
      <c r="A494" s="43"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row>
    <row r="495">
      <c r="A495" s="43"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row>
    <row r="496">
      <c r="A496" s="43"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row>
    <row r="497">
      <c r="A497" s="43"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row>
    <row r="498">
      <c r="A498" s="43"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row>
    <row r="499">
      <c r="A499" s="43"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row>
    <row r="500">
      <c r="A500" s="43"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row>
    <row r="501">
      <c r="A501" s="43"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row>
    <row r="502">
      <c r="A502" s="43"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row>
    <row r="503">
      <c r="A503" s="43"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row>
    <row r="504">
      <c r="A504" s="43"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row>
    <row r="505">
      <c r="A505" s="43"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row>
    <row r="506">
      <c r="A506" s="43"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row>
    <row r="507">
      <c r="A507" s="43"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row>
    <row r="508">
      <c r="A508" s="43"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row>
    <row r="509">
      <c r="A509" s="43"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row>
    <row r="510">
      <c r="A510" s="43"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row>
    <row r="511">
      <c r="A511" s="43"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row>
    <row r="512">
      <c r="A512" s="43"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row>
    <row r="513">
      <c r="A513" s="43"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row>
    <row r="514">
      <c r="A514" s="43"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row>
    <row r="515">
      <c r="A515" s="43"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row>
    <row r="516">
      <c r="A516" s="43"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row>
    <row r="517">
      <c r="A517" s="43"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row>
    <row r="518">
      <c r="A518" s="43"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row>
    <row r="519">
      <c r="A519" s="43"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row>
    <row r="520">
      <c r="A520" s="43"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row>
    <row r="521">
      <c r="A521" s="43"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row>
    <row r="522">
      <c r="A522" s="43"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row>
    <row r="523">
      <c r="A523" s="43"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row>
    <row r="524">
      <c r="A524" s="43"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row>
    <row r="525">
      <c r="A525" s="43"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row>
    <row r="526">
      <c r="A526" s="43"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row>
    <row r="527">
      <c r="A527" s="43"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row>
    <row r="528">
      <c r="A528" s="43"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row>
    <row r="529">
      <c r="A529" s="43"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row>
    <row r="530">
      <c r="A530" s="43"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row>
    <row r="531">
      <c r="A531" s="43"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row>
    <row r="532">
      <c r="A532" s="43"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row>
    <row r="533">
      <c r="A533" s="43"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row>
    <row r="534">
      <c r="A534" s="43"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row>
    <row r="535">
      <c r="A535" s="43"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row>
    <row r="536">
      <c r="A536" s="43"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row>
    <row r="537">
      <c r="A537" s="43"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row>
    <row r="538">
      <c r="A538" s="43"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row>
    <row r="539">
      <c r="A539" s="43"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row>
    <row r="540">
      <c r="A540" s="43"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row>
    <row r="541">
      <c r="A541" s="43"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row>
    <row r="542">
      <c r="A542" s="43"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row>
    <row r="543">
      <c r="A543" s="43"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row>
    <row r="544">
      <c r="A544" s="43"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row>
    <row r="545">
      <c r="A545" s="43"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row>
    <row r="546">
      <c r="A546" s="43"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row>
    <row r="547">
      <c r="A547" s="43"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row>
    <row r="548">
      <c r="A548" s="43"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row>
    <row r="549">
      <c r="A549" s="43"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row>
    <row r="550">
      <c r="A550" s="43"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row>
    <row r="551">
      <c r="A551" s="43"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row>
    <row r="552">
      <c r="A552" s="43"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row>
    <row r="553">
      <c r="A553" s="43"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row>
    <row r="554">
      <c r="A554" s="43"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row>
    <row r="555">
      <c r="A555" s="43"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row>
    <row r="556">
      <c r="A556" s="43"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row>
    <row r="557">
      <c r="A557" s="43"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row>
    <row r="558">
      <c r="A558" s="43"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row>
    <row r="559">
      <c r="A559" s="43"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row>
    <row r="560">
      <c r="A560" s="43"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row>
    <row r="561">
      <c r="A561" s="43"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row>
    <row r="562">
      <c r="A562" s="43"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row>
    <row r="563">
      <c r="A563" s="43"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row>
    <row r="564">
      <c r="A564" s="43"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row>
    <row r="565">
      <c r="A565" s="43"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row>
    <row r="566">
      <c r="A566" s="43"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row>
    <row r="567">
      <c r="A567" s="43"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row>
    <row r="568">
      <c r="A568" s="43"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row>
    <row r="569">
      <c r="A569" s="43"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row>
    <row r="570">
      <c r="A570" s="43"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row>
    <row r="571">
      <c r="A571" s="43"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row>
    <row r="572">
      <c r="A572" s="43"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row>
    <row r="573">
      <c r="A573" s="43"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row>
    <row r="574">
      <c r="A574" s="43"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row>
    <row r="575">
      <c r="A575" s="43"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row>
    <row r="576">
      <c r="A576" s="43"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row>
    <row r="577">
      <c r="A577" s="43"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row>
    <row r="578">
      <c r="A578" s="43"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row>
    <row r="579">
      <c r="A579" s="43"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row>
    <row r="580">
      <c r="A580" s="43"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row>
    <row r="581">
      <c r="A581" s="43"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row>
    <row r="582">
      <c r="A582" s="43"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row>
    <row r="583">
      <c r="A583" s="43"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row>
    <row r="584">
      <c r="A584" s="43"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row>
    <row r="585">
      <c r="A585" s="43"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row>
    <row r="586">
      <c r="A586" s="43"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row>
    <row r="587">
      <c r="A587" s="43"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row>
    <row r="588">
      <c r="A588" s="43"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row>
    <row r="589">
      <c r="A589" s="43"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row>
    <row r="590">
      <c r="A590" s="43"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row>
    <row r="591">
      <c r="A591" s="43"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row>
    <row r="592">
      <c r="A592" s="43"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row>
    <row r="593">
      <c r="A593" s="43"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row>
    <row r="594">
      <c r="A594" s="43"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row>
    <row r="595">
      <c r="A595" s="43"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row>
    <row r="596">
      <c r="A596" s="43"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row>
    <row r="597">
      <c r="A597" s="43"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row>
    <row r="598">
      <c r="A598" s="43"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row>
    <row r="599">
      <c r="A599" s="43"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row>
    <row r="600">
      <c r="A600" s="43"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row>
    <row r="601">
      <c r="A601" s="43"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row>
    <row r="602">
      <c r="A602" s="43"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row>
    <row r="603">
      <c r="A603" s="43"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row>
    <row r="604">
      <c r="A604" s="43"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row>
    <row r="605">
      <c r="A605" s="43"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row>
    <row r="606">
      <c r="A606" s="43"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row>
    <row r="607">
      <c r="A607" s="43"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row>
    <row r="608">
      <c r="A608" s="43"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row>
    <row r="609">
      <c r="A609" s="43"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row>
    <row r="610">
      <c r="A610" s="43"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row>
    <row r="611">
      <c r="A611" s="43"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row>
    <row r="612">
      <c r="A612" s="43"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row>
    <row r="613">
      <c r="A613" s="43"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row>
    <row r="614">
      <c r="A614" s="43"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row>
    <row r="615">
      <c r="A615" s="43"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row>
    <row r="616">
      <c r="A616" s="43"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row>
    <row r="617">
      <c r="A617" s="43"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row>
    <row r="618">
      <c r="A618" s="43"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row>
    <row r="619">
      <c r="A619" s="43"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row>
    <row r="620">
      <c r="A620" s="43"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row>
    <row r="621">
      <c r="A621" s="43"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row>
    <row r="622">
      <c r="A622" s="43"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row>
    <row r="623">
      <c r="A623" s="43"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row>
    <row r="624">
      <c r="A624" s="43"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row>
    <row r="625">
      <c r="A625" s="43"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row>
    <row r="626">
      <c r="A626" s="43"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row>
    <row r="627">
      <c r="A627" s="43"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row>
    <row r="628">
      <c r="A628" s="43"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row>
    <row r="629">
      <c r="A629" s="43"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row>
    <row r="630">
      <c r="A630" s="43"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row>
    <row r="631">
      <c r="A631" s="43"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row>
    <row r="632">
      <c r="A632" s="43"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row>
    <row r="633">
      <c r="A633" s="43"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row>
    <row r="634">
      <c r="A634" s="43"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row>
    <row r="635">
      <c r="A635" s="43"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row>
    <row r="636">
      <c r="A636" s="43"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row>
    <row r="637">
      <c r="A637" s="43"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row>
    <row r="638">
      <c r="A638" s="43"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row>
    <row r="639">
      <c r="A639" s="43"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row>
    <row r="640">
      <c r="A640" s="43"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row>
    <row r="641">
      <c r="A641" s="43"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row>
    <row r="642">
      <c r="A642" s="43"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row>
    <row r="643">
      <c r="A643" s="43"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row>
    <row r="644">
      <c r="A644" s="43"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row>
    <row r="645">
      <c r="A645" s="43"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row>
    <row r="646">
      <c r="A646" s="43"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row>
    <row r="647">
      <c r="A647" s="43"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row>
    <row r="648">
      <c r="A648" s="43"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row>
    <row r="649">
      <c r="A649" s="43"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row>
    <row r="650">
      <c r="A650" s="43"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row>
    <row r="651">
      <c r="A651" s="43"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row>
    <row r="652">
      <c r="A652" s="43"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row>
    <row r="653">
      <c r="A653" s="43"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row>
    <row r="654">
      <c r="A654" s="43"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row>
    <row r="655">
      <c r="A655" s="43"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row>
    <row r="656">
      <c r="A656" s="43"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row>
    <row r="657">
      <c r="A657" s="43"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row>
    <row r="658">
      <c r="A658" s="43"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row>
    <row r="659">
      <c r="A659" s="43"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row>
    <row r="660">
      <c r="A660" s="43"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row>
    <row r="661">
      <c r="A661" s="43"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row>
    <row r="662">
      <c r="A662" s="43"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row>
    <row r="663">
      <c r="A663" s="43"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row>
    <row r="664">
      <c r="A664" s="43"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row>
    <row r="665">
      <c r="A665" s="43"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row>
    <row r="666">
      <c r="A666" s="43"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row>
    <row r="667">
      <c r="A667" s="43"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row>
    <row r="668">
      <c r="A668" s="43"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row>
    <row r="669">
      <c r="A669" s="43"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row>
    <row r="670">
      <c r="A670" s="43"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row>
    <row r="671">
      <c r="A671" s="43"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row>
    <row r="672">
      <c r="A672" s="43"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row>
    <row r="673">
      <c r="A673" s="43"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row>
    <row r="674">
      <c r="A674" s="43"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row>
    <row r="675">
      <c r="A675" s="43"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row>
    <row r="676">
      <c r="A676" s="43"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row>
    <row r="677">
      <c r="A677" s="43"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row>
    <row r="678">
      <c r="A678" s="43"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row>
    <row r="679">
      <c r="A679" s="43"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row>
    <row r="680">
      <c r="A680" s="43"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row>
    <row r="681">
      <c r="A681" s="43"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row>
    <row r="682">
      <c r="A682" s="43"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row>
    <row r="683">
      <c r="A683" s="43"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row>
    <row r="684">
      <c r="A684" s="43"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row>
    <row r="685">
      <c r="A685" s="43"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row>
    <row r="686">
      <c r="A686" s="43"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row>
    <row r="687">
      <c r="A687" s="43"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row>
    <row r="688">
      <c r="A688" s="43"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row>
    <row r="689">
      <c r="A689" s="43"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row>
    <row r="690">
      <c r="A690" s="43"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row>
    <row r="691">
      <c r="A691" s="43"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row>
    <row r="692">
      <c r="A692" s="43"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row>
    <row r="693">
      <c r="A693" s="43"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row>
    <row r="694">
      <c r="A694" s="43"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row>
    <row r="695">
      <c r="A695" s="43"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row>
    <row r="696">
      <c r="A696" s="43"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row>
    <row r="697">
      <c r="A697" s="43"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row>
    <row r="698">
      <c r="A698" s="43"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row>
    <row r="699">
      <c r="A699" s="43"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row>
    <row r="700">
      <c r="A700" s="43"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row>
    <row r="701">
      <c r="A701" s="43"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row>
    <row r="702">
      <c r="A702" s="43"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row>
    <row r="703">
      <c r="A703" s="43"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row>
    <row r="704">
      <c r="A704" s="43"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row>
    <row r="705">
      <c r="A705" s="43"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row>
    <row r="706">
      <c r="A706" s="43"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row>
    <row r="707">
      <c r="A707" s="43"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row>
    <row r="708">
      <c r="A708" s="43"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row>
    <row r="709">
      <c r="A709" s="43"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row>
    <row r="710">
      <c r="A710" s="43"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row>
    <row r="711">
      <c r="A711" s="43"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row>
    <row r="712">
      <c r="A712" s="43"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row>
    <row r="713">
      <c r="A713" s="43"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row>
    <row r="714">
      <c r="A714" s="43"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row>
    <row r="715">
      <c r="A715" s="43"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row>
    <row r="716">
      <c r="A716" s="43"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row>
    <row r="717">
      <c r="A717" s="43"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row>
    <row r="718">
      <c r="A718" s="43"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row>
    <row r="719">
      <c r="A719" s="43"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row>
    <row r="720">
      <c r="A720" s="43"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row>
    <row r="721">
      <c r="A721" s="43"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row>
    <row r="722">
      <c r="A722" s="43"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row>
    <row r="723">
      <c r="A723" s="43"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row>
    <row r="724">
      <c r="A724" s="43"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row>
    <row r="725">
      <c r="A725" s="43"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row>
    <row r="726">
      <c r="A726" s="43"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row>
    <row r="727">
      <c r="A727" s="43"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row>
    <row r="728">
      <c r="A728" s="43"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row>
    <row r="729">
      <c r="A729" s="43"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row>
    <row r="730">
      <c r="A730" s="43"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row>
    <row r="731">
      <c r="A731" s="43"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row>
    <row r="732">
      <c r="A732" s="43"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row>
    <row r="733">
      <c r="A733" s="43"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row>
    <row r="734">
      <c r="A734" s="43"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row>
    <row r="735">
      <c r="A735" s="43"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row>
    <row r="736">
      <c r="A736" s="43"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row>
    <row r="737">
      <c r="A737" s="43"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row>
    <row r="738">
      <c r="A738" s="43"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row>
    <row r="739">
      <c r="A739" s="43"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row>
    <row r="740">
      <c r="A740" s="43"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row>
    <row r="741">
      <c r="A741" s="43"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row>
    <row r="742">
      <c r="A742" s="43"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row>
    <row r="743">
      <c r="A743" s="43"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row>
    <row r="744">
      <c r="A744" s="43"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row>
    <row r="745">
      <c r="A745" s="43"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row>
    <row r="746">
      <c r="A746" s="43"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row>
    <row r="747">
      <c r="A747" s="43"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row>
    <row r="748">
      <c r="A748" s="43"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row>
    <row r="749">
      <c r="A749" s="43"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row>
    <row r="750">
      <c r="A750" s="43"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row>
    <row r="751">
      <c r="A751" s="43"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row>
    <row r="752">
      <c r="A752" s="43"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row>
    <row r="753">
      <c r="A753" s="43"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row>
    <row r="754">
      <c r="A754" s="43"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row>
    <row r="755">
      <c r="A755" s="43"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row>
    <row r="756">
      <c r="A756" s="43"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row>
    <row r="757">
      <c r="A757" s="43"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row>
    <row r="758">
      <c r="A758" s="43"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row>
    <row r="759">
      <c r="A759" s="43"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row>
    <row r="760">
      <c r="A760" s="43"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row>
    <row r="761">
      <c r="A761" s="43"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row>
    <row r="762">
      <c r="A762" s="43"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row>
    <row r="763">
      <c r="A763" s="43"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row>
    <row r="764">
      <c r="A764" s="43"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row>
    <row r="765">
      <c r="A765" s="43"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row>
    <row r="766">
      <c r="A766" s="43"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row>
    <row r="767">
      <c r="A767" s="43"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row>
    <row r="768">
      <c r="A768" s="43"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row>
    <row r="769">
      <c r="A769" s="43"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row>
    <row r="770">
      <c r="A770" s="43"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row>
    <row r="771">
      <c r="A771" s="43"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row>
    <row r="772">
      <c r="A772" s="43"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row>
    <row r="773">
      <c r="A773" s="43"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row>
    <row r="774">
      <c r="A774" s="43"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row>
    <row r="775">
      <c r="A775" s="43"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row>
    <row r="776">
      <c r="A776" s="43"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row>
    <row r="777">
      <c r="A777" s="43"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row>
    <row r="778">
      <c r="A778" s="43"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row>
    <row r="779">
      <c r="A779" s="43"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row>
    <row r="780">
      <c r="A780" s="43"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row>
    <row r="781">
      <c r="A781" s="43"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row>
    <row r="782">
      <c r="A782" s="43"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row>
    <row r="783">
      <c r="A783" s="43"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row>
    <row r="784">
      <c r="A784" s="43"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row>
    <row r="785">
      <c r="A785" s="43"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row>
    <row r="786">
      <c r="A786" s="43"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row>
    <row r="787">
      <c r="A787" s="43"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row>
    <row r="788">
      <c r="A788" s="43"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row>
    <row r="789">
      <c r="A789" s="43"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row>
    <row r="790">
      <c r="A790" s="43"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row>
    <row r="791">
      <c r="A791" s="43"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row>
    <row r="792">
      <c r="A792" s="43"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row>
    <row r="793">
      <c r="A793" s="43"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row>
    <row r="794">
      <c r="A794" s="43"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row>
    <row r="795">
      <c r="A795" s="43"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row>
    <row r="796">
      <c r="A796" s="43"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row>
    <row r="797">
      <c r="A797" s="43"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row>
    <row r="798">
      <c r="A798" s="43"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row>
    <row r="799">
      <c r="A799" s="43"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row>
    <row r="800">
      <c r="A800" s="43"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row>
    <row r="801">
      <c r="A801" s="43"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row>
    <row r="802">
      <c r="A802" s="43"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row>
    <row r="803">
      <c r="A803" s="43"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row>
    <row r="804">
      <c r="A804" s="43"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row>
    <row r="805">
      <c r="A805" s="43"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row>
    <row r="806">
      <c r="A806" s="43"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row>
    <row r="807">
      <c r="A807" s="43"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row>
    <row r="808">
      <c r="A808" s="43"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row>
    <row r="809">
      <c r="A809" s="43"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row>
    <row r="810">
      <c r="A810" s="43"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row>
    <row r="811">
      <c r="A811" s="43"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row>
    <row r="812">
      <c r="A812" s="43"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row>
    <row r="813">
      <c r="A813" s="43"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row>
    <row r="814">
      <c r="A814" s="43"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row>
    <row r="815">
      <c r="A815" s="43"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row>
    <row r="816">
      <c r="A816" s="43"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row>
    <row r="817">
      <c r="A817" s="43"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row>
    <row r="818">
      <c r="A818" s="43"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row>
    <row r="819">
      <c r="A819" s="43"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row>
    <row r="820">
      <c r="A820" s="43"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row>
    <row r="821">
      <c r="A821" s="43"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row>
    <row r="822">
      <c r="A822" s="43"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row>
    <row r="823">
      <c r="A823" s="43"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row>
    <row r="824">
      <c r="A824" s="43"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row>
    <row r="825">
      <c r="A825" s="43"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row>
    <row r="826">
      <c r="A826" s="43"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row>
    <row r="827">
      <c r="A827" s="43"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row>
    <row r="828">
      <c r="A828" s="43"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row>
    <row r="829">
      <c r="A829" s="43"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row>
    <row r="830">
      <c r="A830" s="43"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row>
    <row r="831">
      <c r="A831" s="43"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row>
    <row r="832">
      <c r="A832" s="43"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row>
    <row r="833">
      <c r="A833" s="43"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row>
    <row r="834">
      <c r="A834" s="43"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row>
    <row r="835">
      <c r="A835" s="43"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row>
    <row r="836">
      <c r="A836" s="43"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row>
    <row r="837">
      <c r="A837" s="43"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row>
    <row r="838">
      <c r="A838" s="43"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row>
    <row r="839">
      <c r="A839" s="43"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row>
    <row r="840">
      <c r="A840" s="43"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row>
    <row r="841">
      <c r="A841" s="43"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row>
    <row r="842">
      <c r="A842" s="43"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row>
    <row r="843">
      <c r="A843" s="43"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row>
    <row r="844">
      <c r="A844" s="43"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row>
    <row r="845">
      <c r="A845" s="43"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row>
    <row r="846">
      <c r="A846" s="43"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row>
    <row r="847">
      <c r="A847" s="43"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row>
    <row r="848">
      <c r="A848" s="43"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row>
    <row r="849">
      <c r="A849" s="43"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row>
    <row r="850">
      <c r="A850" s="43"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row>
    <row r="851">
      <c r="A851" s="43"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row>
    <row r="852">
      <c r="A852" s="43"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row>
    <row r="853">
      <c r="A853" s="43"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row>
    <row r="854">
      <c r="A854" s="43"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row>
    <row r="855">
      <c r="A855" s="43"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row>
    <row r="856">
      <c r="A856" s="43"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row>
    <row r="857">
      <c r="A857" s="43"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row>
    <row r="858">
      <c r="A858" s="43"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row>
    <row r="859">
      <c r="A859" s="43"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row>
    <row r="860">
      <c r="A860" s="43"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row>
    <row r="861">
      <c r="A861" s="43"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row>
    <row r="862">
      <c r="A862" s="43"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row>
    <row r="863">
      <c r="A863" s="43"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row>
    <row r="864">
      <c r="A864" s="43"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row>
    <row r="865">
      <c r="A865" s="43"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row>
    <row r="866">
      <c r="A866" s="43"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row>
    <row r="867">
      <c r="A867" s="43"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row>
    <row r="868">
      <c r="A868" s="43"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row>
    <row r="869">
      <c r="A869" s="43"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row>
    <row r="870">
      <c r="A870" s="43"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row>
    <row r="871">
      <c r="A871" s="43"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row>
    <row r="872">
      <c r="A872" s="43"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row>
    <row r="873">
      <c r="A873" s="43"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row>
    <row r="874">
      <c r="A874" s="43"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row>
    <row r="875">
      <c r="A875" s="43"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row>
    <row r="876">
      <c r="A876" s="43"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row>
    <row r="877">
      <c r="A877" s="43"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row>
    <row r="878">
      <c r="A878" s="43"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row>
    <row r="879">
      <c r="A879" s="43"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row>
    <row r="880">
      <c r="A880" s="43"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row>
    <row r="881">
      <c r="A881" s="43"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row>
    <row r="882">
      <c r="A882" s="43"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row>
    <row r="883">
      <c r="A883" s="43"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row>
    <row r="884">
      <c r="A884" s="43"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row>
    <row r="885">
      <c r="A885" s="43"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row>
    <row r="886">
      <c r="A886" s="43"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row>
    <row r="887">
      <c r="A887" s="43"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row>
    <row r="888">
      <c r="A888" s="43"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row>
    <row r="889">
      <c r="A889" s="43"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row>
    <row r="890">
      <c r="A890" s="43"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row>
    <row r="891">
      <c r="A891" s="43"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row>
    <row r="892">
      <c r="A892" s="43"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row>
    <row r="893">
      <c r="A893" s="43"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row>
    <row r="894">
      <c r="A894" s="43"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row>
    <row r="895">
      <c r="A895" s="43"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row>
    <row r="896">
      <c r="A896" s="43"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row>
    <row r="897">
      <c r="A897" s="43"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row>
    <row r="898">
      <c r="A898" s="43"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row>
    <row r="899">
      <c r="A899" s="43"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row>
    <row r="900">
      <c r="A900" s="43"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row>
    <row r="901">
      <c r="A901" s="43"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row>
    <row r="902">
      <c r="A902" s="43"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row>
    <row r="903">
      <c r="A903" s="43"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row>
    <row r="904">
      <c r="A904" s="43"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row>
    <row r="905">
      <c r="A905" s="43"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row>
    <row r="906">
      <c r="A906" s="43"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row>
    <row r="907">
      <c r="A907" s="43"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row>
    <row r="908">
      <c r="A908" s="43"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row>
    <row r="909">
      <c r="A909" s="43"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row>
    <row r="910">
      <c r="A910" s="43"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row>
    <row r="911">
      <c r="A911" s="43"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row>
    <row r="912">
      <c r="A912" s="43"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row>
    <row r="913">
      <c r="A913" s="43"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row>
    <row r="914">
      <c r="A914" s="43"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row>
    <row r="915">
      <c r="A915" s="43"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row>
    <row r="916">
      <c r="A916" s="43"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row>
    <row r="917">
      <c r="A917" s="43"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row>
    <row r="918">
      <c r="A918" s="43"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row>
    <row r="919">
      <c r="A919" s="43"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row>
    <row r="920">
      <c r="A920" s="43"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row>
    <row r="921">
      <c r="A921" s="43"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row>
    <row r="922">
      <c r="A922" s="43"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row>
    <row r="923">
      <c r="A923" s="43"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row>
    <row r="924">
      <c r="A924" s="43"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row>
    <row r="925">
      <c r="A925" s="43"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row>
    <row r="926">
      <c r="A926" s="43"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row>
    <row r="927">
      <c r="A927" s="43"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row>
    <row r="928">
      <c r="A928" s="43"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row>
    <row r="929">
      <c r="A929" s="43"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row>
    <row r="930">
      <c r="A930" s="43"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row>
    <row r="931">
      <c r="A931" s="43"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row>
    <row r="932">
      <c r="A932" s="43"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row>
    <row r="933">
      <c r="A933" s="43"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row>
    <row r="934">
      <c r="A934" s="43"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row>
    <row r="935">
      <c r="A935" s="43"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row>
    <row r="936">
      <c r="A936" s="43"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row>
    <row r="937">
      <c r="A937" s="43"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row>
    <row r="938">
      <c r="A938" s="43"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row>
    <row r="939">
      <c r="A939" s="43"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row>
    <row r="940">
      <c r="A940" s="43"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row>
    <row r="941">
      <c r="A941" s="43"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row>
    <row r="942">
      <c r="A942" s="43"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row>
    <row r="943">
      <c r="A943" s="43"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row>
    <row r="944">
      <c r="A944" s="43"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row>
    <row r="945">
      <c r="A945" s="43"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row>
    <row r="946">
      <c r="A946" s="43"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row>
    <row r="947">
      <c r="A947" s="43"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row>
    <row r="948">
      <c r="A948" s="43"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row>
    <row r="949">
      <c r="A949" s="43"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row>
    <row r="950">
      <c r="A950" s="43"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row>
    <row r="951">
      <c r="A951" s="43"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row>
    <row r="952">
      <c r="A952" s="43"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row>
    <row r="953">
      <c r="A953" s="43"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row>
    <row r="954">
      <c r="A954" s="43"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row>
    <row r="955">
      <c r="A955" s="43"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row>
    <row r="956">
      <c r="A956" s="43"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row>
    <row r="957">
      <c r="A957" s="43"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row>
    <row r="958">
      <c r="A958" s="43"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row>
    <row r="959">
      <c r="A959" s="43"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row>
    <row r="960">
      <c r="A960" s="43"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row>
    <row r="961">
      <c r="A961" s="43"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row>
    <row r="962">
      <c r="A962" s="43"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row>
    <row r="963">
      <c r="A963" s="43"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row>
    <row r="964">
      <c r="A964" s="43"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row>
    <row r="965">
      <c r="A965" s="43"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row>
    <row r="966">
      <c r="A966" s="43"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row>
    <row r="967">
      <c r="A967" s="43"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row>
    <row r="968">
      <c r="A968" s="43"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row>
    <row r="969">
      <c r="A969" s="43"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row>
    <row r="970">
      <c r="A970" s="43"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row>
    <row r="971">
      <c r="A971" s="43"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row>
    <row r="972">
      <c r="A972" s="43"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row>
    <row r="973">
      <c r="A973" s="43"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row>
    <row r="974">
      <c r="A974" s="43"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row>
    <row r="975">
      <c r="A975" s="43"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row>
    <row r="976">
      <c r="A976" s="43"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row>
    <row r="977">
      <c r="A977" s="43"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row>
    <row r="978">
      <c r="A978" s="43"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row>
    <row r="979">
      <c r="A979" s="43"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row>
    <row r="980">
      <c r="A980" s="43"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row>
    <row r="981">
      <c r="A981" s="43"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row>
    <row r="982">
      <c r="A982" s="43"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row>
    <row r="983">
      <c r="A983" s="43"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row>
    <row r="984">
      <c r="A984" s="43"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row>
    <row r="985">
      <c r="A985" s="43"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row>
    <row r="986">
      <c r="A986" s="43"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row>
    <row r="987">
      <c r="A987" s="43"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row>
    <row r="988">
      <c r="A988" s="43"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row>
    <row r="989">
      <c r="A989" s="43"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row>
    <row r="990">
      <c r="A990" s="43"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row>
    <row r="991">
      <c r="A991" s="43"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row>
    <row r="992">
      <c r="A992" s="43"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row>
    <row r="993">
      <c r="A993" s="43"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row>
    <row r="994">
      <c r="A994" s="43"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row>
    <row r="995">
      <c r="A995" s="43"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row>
    <row r="996">
      <c r="A996" s="43"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row>
    <row r="997">
      <c r="A997" s="43"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row>
    <row r="998">
      <c r="A998" s="43"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row>
    <row r="999">
      <c r="A999" s="43"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row>
    <row r="1000">
      <c r="A1000" s="43"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row>
    <row r="1001">
      <c r="A1001" s="43" t="n"/>
      <c r="B1001" s="43" t="n"/>
      <c r="C1001" s="43" t="n"/>
      <c r="D1001" s="43" t="n"/>
      <c r="E1001" s="43" t="n"/>
      <c r="F1001" s="43" t="n"/>
      <c r="G1001" s="43" t="n"/>
      <c r="H1001" s="43" t="n"/>
      <c r="I1001" s="43" t="n"/>
      <c r="J1001" s="43" t="n"/>
      <c r="K1001" s="43" t="n"/>
      <c r="L1001" s="43" t="n"/>
      <c r="M1001" s="43" t="n"/>
      <c r="N1001" s="43" t="n"/>
      <c r="O1001" s="43" t="n"/>
      <c r="P1001" s="43" t="n"/>
      <c r="Q1001" s="43" t="n"/>
      <c r="R1001" s="43" t="n"/>
      <c r="S1001" s="43" t="n"/>
      <c r="T1001" s="43" t="n"/>
      <c r="U1001" s="43" t="n"/>
      <c r="V1001" s="43" t="n"/>
      <c r="W1001" s="43" t="n"/>
      <c r="X1001" s="43" t="n"/>
      <c r="Y1001" s="43" t="n"/>
      <c r="Z1001" s="43" t="n"/>
    </row>
    <row r="1002">
      <c r="A1002" s="43" t="n"/>
      <c r="B1002" s="43" t="n"/>
      <c r="C1002" s="43" t="n"/>
      <c r="D1002" s="43" t="n"/>
      <c r="E1002" s="43" t="n"/>
      <c r="F1002" s="43" t="n"/>
      <c r="G1002" s="43" t="n"/>
      <c r="H1002" s="43" t="n"/>
      <c r="I1002" s="43" t="n"/>
      <c r="J1002" s="43" t="n"/>
      <c r="K1002" s="43" t="n"/>
      <c r="L1002" s="43" t="n"/>
      <c r="M1002" s="43" t="n"/>
      <c r="N1002" s="43" t="n"/>
      <c r="O1002" s="43" t="n"/>
      <c r="P1002" s="43" t="n"/>
      <c r="Q1002" s="43" t="n"/>
      <c r="R1002" s="43" t="n"/>
      <c r="S1002" s="43" t="n"/>
      <c r="T1002" s="43" t="n"/>
      <c r="U1002" s="43" t="n"/>
      <c r="V1002" s="43" t="n"/>
      <c r="W1002" s="43" t="n"/>
      <c r="X1002" s="43" t="n"/>
      <c r="Y1002" s="43" t="n"/>
      <c r="Z1002" s="43" t="n"/>
    </row>
  </sheetData>
  <dataValidations count="1">
    <dataValidation sqref="B1" showDropDown="0" showInputMessage="0" showErrorMessage="1" allowBlank="1" type="list">
      <formula1>"gering,normal,stark"</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FF7030A0"/>
    <outlinePr summaryBelow="1" summaryRight="1"/>
    <pageSetUpPr/>
  </sheetPr>
  <dimension ref="A1:BA4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GEWINN- UND VERLUSTRECHNUNG (P&amp;L)</t>
        </is>
      </c>
    </row>
    <row r="2" ht="14.25" customHeight="1" s="83"/>
    <row r="3" ht="14.25" customHeight="1" s="83">
      <c r="A3" s="70" t="inlineStr">
        <is>
          <t>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REVENUE</t>
        </is>
      </c>
    </row>
    <row r="5" ht="14.25" customHeight="1" s="83">
      <c r="A5" s="77" t="inlineStr">
        <is>
          <t>Subscription Revenue</t>
        </is>
      </c>
      <c r="B5" s="71">
        <f>Revenue!B9</f>
        <v/>
      </c>
      <c r="C5" s="71">
        <f>Revenue!C9</f>
        <v/>
      </c>
      <c r="D5" s="71">
        <f>Revenue!D9</f>
        <v/>
      </c>
      <c r="E5" s="71">
        <f>Revenue!E9</f>
        <v/>
      </c>
      <c r="F5" s="71">
        <f>Revenue!F9</f>
        <v/>
      </c>
      <c r="G5" s="71">
        <f>Revenue!G9</f>
        <v/>
      </c>
      <c r="H5" s="71">
        <f>Revenue!H9</f>
        <v/>
      </c>
      <c r="I5" s="71">
        <f>Revenue!I9</f>
        <v/>
      </c>
      <c r="J5" s="71">
        <f>Revenue!J9</f>
        <v/>
      </c>
      <c r="K5" s="71">
        <f>Revenue!K9</f>
        <v/>
      </c>
      <c r="L5" s="71">
        <f>Revenue!L9</f>
        <v/>
      </c>
      <c r="M5" s="71">
        <f>Revenue!M9</f>
        <v/>
      </c>
      <c r="N5" s="71">
        <f>Revenue!N9</f>
        <v/>
      </c>
      <c r="O5" s="71">
        <f>Revenue!O9</f>
        <v/>
      </c>
      <c r="P5" s="71">
        <f>Revenue!P9</f>
        <v/>
      </c>
      <c r="Q5" s="71">
        <f>Revenue!Q9</f>
        <v/>
      </c>
      <c r="R5" s="71">
        <f>Revenue!R9</f>
        <v/>
      </c>
      <c r="S5" s="71">
        <f>Revenue!S9</f>
        <v/>
      </c>
      <c r="T5" s="71">
        <f>Revenue!T9</f>
        <v/>
      </c>
      <c r="U5" s="71">
        <f>Revenue!U9</f>
        <v/>
      </c>
      <c r="V5" s="71">
        <f>Revenue!V9</f>
        <v/>
      </c>
      <c r="W5" s="71">
        <f>Revenue!W9</f>
        <v/>
      </c>
      <c r="X5" s="71">
        <f>Revenue!X9</f>
        <v/>
      </c>
      <c r="Y5" s="71">
        <f>Revenue!Y9</f>
        <v/>
      </c>
      <c r="Z5" s="71">
        <f>Revenue!Z9</f>
        <v/>
      </c>
      <c r="AA5" s="71">
        <f>Revenue!AA9</f>
        <v/>
      </c>
      <c r="AB5" s="71">
        <f>Revenue!AB9</f>
        <v/>
      </c>
      <c r="AC5" s="71">
        <f>Revenue!AC9</f>
        <v/>
      </c>
      <c r="AD5" s="71">
        <f>Revenue!AD9</f>
        <v/>
      </c>
      <c r="AE5" s="71">
        <f>Revenue!AE9</f>
        <v/>
      </c>
      <c r="AF5" s="71">
        <f>Revenue!AF9</f>
        <v/>
      </c>
      <c r="AG5" s="71">
        <f>Revenue!AG9</f>
        <v/>
      </c>
      <c r="AH5" s="71">
        <f>Revenue!AH9</f>
        <v/>
      </c>
      <c r="AI5" s="71">
        <f>Revenue!AI9</f>
        <v/>
      </c>
      <c r="AJ5" s="71">
        <f>Revenue!AJ9</f>
        <v/>
      </c>
      <c r="AK5" s="71">
        <f>Revenue!AK9</f>
        <v/>
      </c>
      <c r="AL5" s="71">
        <f>Revenue!AL9</f>
        <v/>
      </c>
      <c r="AM5" s="71">
        <f>Revenue!AM9</f>
        <v/>
      </c>
      <c r="AN5" s="71">
        <f>Revenue!AN9</f>
        <v/>
      </c>
      <c r="AO5" s="71">
        <f>Revenue!AO9</f>
        <v/>
      </c>
      <c r="AP5" s="71">
        <f>Revenue!AP9</f>
        <v/>
      </c>
      <c r="AQ5" s="71">
        <f>Revenue!AQ9</f>
        <v/>
      </c>
      <c r="AR5" s="71">
        <f>Revenue!AR9</f>
        <v/>
      </c>
      <c r="AS5" s="71">
        <f>Revenue!AS9</f>
        <v/>
      </c>
      <c r="AT5" s="71">
        <f>Revenue!AT9</f>
        <v/>
      </c>
      <c r="AU5" s="71">
        <f>Revenue!AU9</f>
        <v/>
      </c>
      <c r="AV5" s="71">
        <f>Revenue!AV9</f>
        <v/>
      </c>
      <c r="AW5" s="71">
        <f>Revenue!AW9</f>
        <v/>
      </c>
      <c r="AX5" s="71">
        <f>Revenue!AX9</f>
        <v/>
      </c>
      <c r="AY5" s="71">
        <f>Revenue!AY9</f>
        <v/>
      </c>
      <c r="AZ5" s="71">
        <f>Revenue!AZ9</f>
        <v/>
      </c>
      <c r="BA5" s="71">
        <f>Revenue!BA9</f>
        <v/>
      </c>
    </row>
    <row r="6" ht="14.25" customHeight="1" s="83">
      <c r="A6" s="77" t="inlineStr">
        <is>
          <t>Enterprise Revenue</t>
        </is>
      </c>
      <c r="B6" s="71">
        <f>Revenue!B16</f>
        <v/>
      </c>
      <c r="C6" s="71">
        <f>Revenue!C16</f>
        <v/>
      </c>
      <c r="D6" s="71">
        <f>Revenue!D16</f>
        <v/>
      </c>
      <c r="E6" s="71">
        <f>Revenue!E16</f>
        <v/>
      </c>
      <c r="F6" s="71">
        <f>Revenue!F16</f>
        <v/>
      </c>
      <c r="G6" s="71">
        <f>Revenue!G16</f>
        <v/>
      </c>
      <c r="H6" s="71">
        <f>Revenue!H16</f>
        <v/>
      </c>
      <c r="I6" s="71">
        <f>Revenue!I16</f>
        <v/>
      </c>
      <c r="J6" s="71">
        <f>Revenue!J16</f>
        <v/>
      </c>
      <c r="K6" s="71">
        <f>Revenue!K16</f>
        <v/>
      </c>
      <c r="L6" s="71">
        <f>Revenue!L16</f>
        <v/>
      </c>
      <c r="M6" s="71">
        <f>Revenue!M16</f>
        <v/>
      </c>
      <c r="N6" s="71">
        <f>Revenue!N16</f>
        <v/>
      </c>
      <c r="O6" s="71">
        <f>Revenue!O16</f>
        <v/>
      </c>
      <c r="P6" s="71">
        <f>Revenue!P16</f>
        <v/>
      </c>
      <c r="Q6" s="71">
        <f>Revenue!Q16</f>
        <v/>
      </c>
      <c r="R6" s="71">
        <f>Revenue!R16</f>
        <v/>
      </c>
      <c r="S6" s="71">
        <f>Revenue!S16</f>
        <v/>
      </c>
      <c r="T6" s="71">
        <f>Revenue!T16</f>
        <v/>
      </c>
      <c r="U6" s="71">
        <f>Revenue!U16</f>
        <v/>
      </c>
      <c r="V6" s="71">
        <f>Revenue!V16</f>
        <v/>
      </c>
      <c r="W6" s="71">
        <f>Revenue!W16</f>
        <v/>
      </c>
      <c r="X6" s="71">
        <f>Revenue!X16</f>
        <v/>
      </c>
      <c r="Y6" s="71">
        <f>Revenue!Y16</f>
        <v/>
      </c>
      <c r="Z6" s="71">
        <f>Revenue!Z16</f>
        <v/>
      </c>
      <c r="AA6" s="71">
        <f>Revenue!AA16</f>
        <v/>
      </c>
      <c r="AB6" s="71">
        <f>Revenue!AB16</f>
        <v/>
      </c>
      <c r="AC6" s="71">
        <f>Revenue!AC16</f>
        <v/>
      </c>
      <c r="AD6" s="71">
        <f>Revenue!AD16</f>
        <v/>
      </c>
      <c r="AE6" s="71">
        <f>Revenue!AE16</f>
        <v/>
      </c>
      <c r="AF6" s="71">
        <f>Revenue!AF16</f>
        <v/>
      </c>
      <c r="AG6" s="71">
        <f>Revenue!AG16</f>
        <v/>
      </c>
      <c r="AH6" s="71">
        <f>Revenue!AH16</f>
        <v/>
      </c>
      <c r="AI6" s="71">
        <f>Revenue!AI16</f>
        <v/>
      </c>
      <c r="AJ6" s="71">
        <f>Revenue!AJ16</f>
        <v/>
      </c>
      <c r="AK6" s="71">
        <f>Revenue!AK16</f>
        <v/>
      </c>
      <c r="AL6" s="71">
        <f>Revenue!AL16</f>
        <v/>
      </c>
      <c r="AM6" s="71">
        <f>Revenue!AM16</f>
        <v/>
      </c>
      <c r="AN6" s="71">
        <f>Revenue!AN16</f>
        <v/>
      </c>
      <c r="AO6" s="71">
        <f>Revenue!AO16</f>
        <v/>
      </c>
      <c r="AP6" s="71">
        <f>Revenue!AP16</f>
        <v/>
      </c>
      <c r="AQ6" s="71">
        <f>Revenue!AQ16</f>
        <v/>
      </c>
      <c r="AR6" s="71">
        <f>Revenue!AR16</f>
        <v/>
      </c>
      <c r="AS6" s="71">
        <f>Revenue!AS16</f>
        <v/>
      </c>
      <c r="AT6" s="71">
        <f>Revenue!AT16</f>
        <v/>
      </c>
      <c r="AU6" s="71">
        <f>Revenue!AU16</f>
        <v/>
      </c>
      <c r="AV6" s="71">
        <f>Revenue!AV16</f>
        <v/>
      </c>
      <c r="AW6" s="71">
        <f>Revenue!AW16</f>
        <v/>
      </c>
      <c r="AX6" s="71">
        <f>Revenue!AX16</f>
        <v/>
      </c>
      <c r="AY6" s="71">
        <f>Revenue!AY16</f>
        <v/>
      </c>
      <c r="AZ6" s="71">
        <f>Revenue!AZ16</f>
        <v/>
      </c>
      <c r="BA6" s="71">
        <f>Revenue!BA16</f>
        <v/>
      </c>
    </row>
    <row r="7" ht="14.25" customHeight="1" s="83">
      <c r="A7" s="2" t="inlineStr">
        <is>
          <t>TOTAL REVENUE</t>
        </is>
      </c>
      <c r="B7" s="72">
        <f>B5+B6+B8</f>
        <v/>
      </c>
      <c r="C7" s="72">
        <f>C5+C6+C8</f>
        <v/>
      </c>
      <c r="D7" s="72">
        <f>D5+D6+D8</f>
        <v/>
      </c>
      <c r="E7" s="72">
        <f>E5+E6+E8</f>
        <v/>
      </c>
      <c r="F7" s="72">
        <f>F5+F6+F8</f>
        <v/>
      </c>
      <c r="G7" s="72">
        <f>G5+G6+G8</f>
        <v/>
      </c>
      <c r="H7" s="72">
        <f>H5+H6+H8</f>
        <v/>
      </c>
      <c r="I7" s="72">
        <f>I5+I6+I8</f>
        <v/>
      </c>
      <c r="J7" s="72">
        <f>J5+J6+J8</f>
        <v/>
      </c>
      <c r="K7" s="72">
        <f>K5+K6+K8</f>
        <v/>
      </c>
      <c r="L7" s="72">
        <f>L5+L6+L8</f>
        <v/>
      </c>
      <c r="M7" s="72">
        <f>M5+M6+M8</f>
        <v/>
      </c>
      <c r="N7" s="72">
        <f>N5+N6+N8</f>
        <v/>
      </c>
      <c r="O7" s="72">
        <f>O5+O6+O8</f>
        <v/>
      </c>
      <c r="P7" s="72">
        <f>P5+P6+P8</f>
        <v/>
      </c>
      <c r="Q7" s="72">
        <f>Q5+Q6+Q8</f>
        <v/>
      </c>
      <c r="R7" s="72">
        <f>R5+R6+R8</f>
        <v/>
      </c>
      <c r="S7" s="72">
        <f>S5+S6+S8</f>
        <v/>
      </c>
      <c r="T7" s="72">
        <f>T5+T6+T8</f>
        <v/>
      </c>
      <c r="U7" s="72">
        <f>U5+U6+U8</f>
        <v/>
      </c>
      <c r="V7" s="72">
        <f>V5+V6+V8</f>
        <v/>
      </c>
      <c r="W7" s="72">
        <f>W5+W6+W8</f>
        <v/>
      </c>
      <c r="X7" s="72">
        <f>X5+X6+X8</f>
        <v/>
      </c>
      <c r="Y7" s="72">
        <f>Y5+Y6+Y8</f>
        <v/>
      </c>
      <c r="Z7" s="72">
        <f>Z5+Z6+Z8</f>
        <v/>
      </c>
      <c r="AA7" s="72">
        <f>AA5+AA6+AA8</f>
        <v/>
      </c>
      <c r="AB7" s="72">
        <f>AB5+AB6+AB8</f>
        <v/>
      </c>
      <c r="AC7" s="72">
        <f>AC5+AC6+AC8</f>
        <v/>
      </c>
      <c r="AD7" s="72">
        <f>AD5+AD6+AD8</f>
        <v/>
      </c>
      <c r="AE7" s="72">
        <f>AE5+AE6+AE8</f>
        <v/>
      </c>
      <c r="AF7" s="72">
        <f>AF5+AF6+AF8</f>
        <v/>
      </c>
      <c r="AG7" s="72">
        <f>AG5+AG6+AG8</f>
        <v/>
      </c>
      <c r="AH7" s="72">
        <f>AH5+AH6+AH8</f>
        <v/>
      </c>
      <c r="AI7" s="72">
        <f>AI5+AI6+AI8</f>
        <v/>
      </c>
      <c r="AJ7" s="72">
        <f>AJ5+AJ6+AJ8</f>
        <v/>
      </c>
      <c r="AK7" s="72">
        <f>AK5+AK6+AK8</f>
        <v/>
      </c>
      <c r="AL7" s="72">
        <f>AL5+AL6+AL8</f>
        <v/>
      </c>
      <c r="AM7" s="72">
        <f>AM5+AM6+AM8</f>
        <v/>
      </c>
      <c r="AN7" s="72">
        <f>AN5+AN6+AN8</f>
        <v/>
      </c>
      <c r="AO7" s="72">
        <f>AO5+AO6+AO8</f>
        <v/>
      </c>
      <c r="AP7" s="72">
        <f>AP5+AP6+AP8</f>
        <v/>
      </c>
      <c r="AQ7" s="72">
        <f>AQ5+AQ6+AQ8</f>
        <v/>
      </c>
      <c r="AR7" s="72">
        <f>AR5+AR6+AR8</f>
        <v/>
      </c>
      <c r="AS7" s="72">
        <f>AS5+AS6+AS8</f>
        <v/>
      </c>
      <c r="AT7" s="72">
        <f>AT5+AT6+AT8</f>
        <v/>
      </c>
      <c r="AU7" s="72">
        <f>AU5+AU6+AU8</f>
        <v/>
      </c>
      <c r="AV7" s="72">
        <f>AV5+AV6+AV8</f>
        <v/>
      </c>
      <c r="AW7" s="72">
        <f>AW5+AW6+AW8</f>
        <v/>
      </c>
      <c r="AX7" s="72">
        <f>AX5+AX6+AX8</f>
        <v/>
      </c>
      <c r="AY7" s="72">
        <f>AY5+AY6+AY8</f>
        <v/>
      </c>
      <c r="AZ7" s="72">
        <f>AZ5+AZ6+AZ8</f>
        <v/>
      </c>
      <c r="BA7" s="72">
        <f>BA5+BA6+BA8</f>
        <v/>
      </c>
    </row>
    <row r="8" ht="14.25" customHeight="1" s="83">
      <c r="A8" s="114" t="inlineStr">
        <is>
          <t>Consulting Revenue</t>
        </is>
      </c>
      <c r="B8" s="115">
        <f>Revenue!B29</f>
        <v/>
      </c>
      <c r="C8" s="115">
        <f>Revenue!C29</f>
        <v/>
      </c>
      <c r="D8" s="115">
        <f>Revenue!D29</f>
        <v/>
      </c>
      <c r="E8" s="115">
        <f>Revenue!E29</f>
        <v/>
      </c>
      <c r="F8" s="115">
        <f>Revenue!F29</f>
        <v/>
      </c>
      <c r="G8" s="115">
        <f>Revenue!G29</f>
        <v/>
      </c>
      <c r="H8" s="115">
        <f>Revenue!H29</f>
        <v/>
      </c>
      <c r="I8" s="115">
        <f>Revenue!I29</f>
        <v/>
      </c>
      <c r="J8" s="115">
        <f>Revenue!J29</f>
        <v/>
      </c>
      <c r="K8" s="115">
        <f>Revenue!K29</f>
        <v/>
      </c>
      <c r="L8" s="115">
        <f>Revenue!L29</f>
        <v/>
      </c>
      <c r="M8" s="115">
        <f>Revenue!M29</f>
        <v/>
      </c>
      <c r="N8" s="115">
        <f>Revenue!N29</f>
        <v/>
      </c>
      <c r="O8" s="115">
        <f>Revenue!O29</f>
        <v/>
      </c>
      <c r="P8" s="115">
        <f>Revenue!P29</f>
        <v/>
      </c>
      <c r="Q8" s="115">
        <f>Revenue!Q29</f>
        <v/>
      </c>
      <c r="R8" s="115">
        <f>Revenue!R29</f>
        <v/>
      </c>
      <c r="S8" s="115">
        <f>Revenue!S29</f>
        <v/>
      </c>
      <c r="T8" s="115">
        <f>Revenue!T29</f>
        <v/>
      </c>
      <c r="U8" s="115">
        <f>Revenue!U29</f>
        <v/>
      </c>
      <c r="V8" s="115">
        <f>Revenue!V29</f>
        <v/>
      </c>
      <c r="W8" s="115">
        <f>Revenue!W29</f>
        <v/>
      </c>
      <c r="X8" s="115">
        <f>Revenue!X29</f>
        <v/>
      </c>
      <c r="Y8" s="115">
        <f>Revenue!Y29</f>
        <v/>
      </c>
      <c r="Z8" s="115">
        <f>Revenue!Z29</f>
        <v/>
      </c>
      <c r="AA8" s="115">
        <f>Revenue!AA29</f>
        <v/>
      </c>
      <c r="AB8" s="115">
        <f>Revenue!AB29</f>
        <v/>
      </c>
      <c r="AC8" s="115">
        <f>Revenue!AC29</f>
        <v/>
      </c>
      <c r="AD8" s="115">
        <f>Revenue!AD29</f>
        <v/>
      </c>
      <c r="AE8" s="115">
        <f>Revenue!AE29</f>
        <v/>
      </c>
      <c r="AF8" s="115">
        <f>Revenue!AF29</f>
        <v/>
      </c>
      <c r="AG8" s="115">
        <f>Revenue!AG29</f>
        <v/>
      </c>
      <c r="AH8" s="115">
        <f>Revenue!AH29</f>
        <v/>
      </c>
      <c r="AI8" s="115">
        <f>Revenue!AI29</f>
        <v/>
      </c>
      <c r="AJ8" s="115">
        <f>Revenue!AJ29</f>
        <v/>
      </c>
      <c r="AK8" s="115">
        <f>Revenue!AK29</f>
        <v/>
      </c>
      <c r="AL8" s="115">
        <f>Revenue!AL29</f>
        <v/>
      </c>
      <c r="AM8" s="115">
        <f>Revenue!AM29</f>
        <v/>
      </c>
      <c r="AN8" s="115">
        <f>Revenue!AN29</f>
        <v/>
      </c>
      <c r="AO8" s="115">
        <f>Revenue!AO29</f>
        <v/>
      </c>
      <c r="AP8" s="115">
        <f>Revenue!AP29</f>
        <v/>
      </c>
      <c r="AQ8" s="115">
        <f>Revenue!AQ29</f>
        <v/>
      </c>
      <c r="AR8" s="115">
        <f>Revenue!AR29</f>
        <v/>
      </c>
      <c r="AS8" s="115">
        <f>Revenue!AS29</f>
        <v/>
      </c>
      <c r="AT8" s="115">
        <f>Revenue!AT29</f>
        <v/>
      </c>
      <c r="AU8" s="115">
        <f>Revenue!AU29</f>
        <v/>
      </c>
      <c r="AV8" s="115">
        <f>Revenue!AV29</f>
        <v/>
      </c>
      <c r="AW8" s="115">
        <f>Revenue!AW29</f>
        <v/>
      </c>
      <c r="AX8" s="115">
        <f>Revenue!AX29</f>
        <v/>
      </c>
      <c r="AY8" s="115">
        <f>Revenue!AY29</f>
        <v/>
      </c>
      <c r="AZ8" s="115">
        <f>Revenue!AZ29</f>
        <v/>
      </c>
      <c r="BA8" s="115">
        <f>Revenue!BA29</f>
        <v/>
      </c>
    </row>
    <row r="9" ht="14.25" customHeight="1" s="83">
      <c r="A9" s="2" t="inlineStr">
        <is>
          <t>COST OF GOODS SOLD (COGS)</t>
        </is>
      </c>
    </row>
    <row r="10" ht="14.25" customHeight="1" s="83">
      <c r="A10" s="77" t="inlineStr">
        <is>
          <t>Cloud Hosting (variable)</t>
        </is>
      </c>
      <c r="B10" s="71">
        <f>Costs!B82</f>
        <v/>
      </c>
      <c r="C10" s="71">
        <f>Costs!C82</f>
        <v/>
      </c>
      <c r="D10" s="71">
        <f>Costs!D82</f>
        <v/>
      </c>
      <c r="E10" s="71">
        <f>Costs!E82</f>
        <v/>
      </c>
      <c r="F10" s="71">
        <f>Costs!F82</f>
        <v/>
      </c>
      <c r="G10" s="71">
        <f>Costs!G82</f>
        <v/>
      </c>
      <c r="H10" s="71">
        <f>Costs!H82</f>
        <v/>
      </c>
      <c r="I10" s="71">
        <f>Costs!I82</f>
        <v/>
      </c>
      <c r="J10" s="71">
        <f>Costs!J82</f>
        <v/>
      </c>
      <c r="K10" s="71">
        <f>Costs!K82</f>
        <v/>
      </c>
      <c r="L10" s="71">
        <f>Costs!L82</f>
        <v/>
      </c>
      <c r="M10" s="71">
        <f>Costs!M82</f>
        <v/>
      </c>
      <c r="N10" s="71">
        <f>Costs!N82</f>
        <v/>
      </c>
      <c r="O10" s="71">
        <f>Costs!O82</f>
        <v/>
      </c>
      <c r="P10" s="71">
        <f>Costs!P82</f>
        <v/>
      </c>
      <c r="Q10" s="71">
        <f>Costs!Q82</f>
        <v/>
      </c>
      <c r="R10" s="71">
        <f>Costs!R82</f>
        <v/>
      </c>
      <c r="S10" s="71">
        <f>Costs!S82</f>
        <v/>
      </c>
      <c r="T10" s="71">
        <f>Costs!T82</f>
        <v/>
      </c>
      <c r="U10" s="71">
        <f>Costs!U82</f>
        <v/>
      </c>
      <c r="V10" s="71">
        <f>Costs!V82</f>
        <v/>
      </c>
      <c r="W10" s="71">
        <f>Costs!W82</f>
        <v/>
      </c>
      <c r="X10" s="71">
        <f>Costs!X82</f>
        <v/>
      </c>
      <c r="Y10" s="71">
        <f>Costs!Y82</f>
        <v/>
      </c>
      <c r="Z10" s="71">
        <f>Costs!Z82</f>
        <v/>
      </c>
      <c r="AA10" s="71">
        <f>Costs!AA82</f>
        <v/>
      </c>
      <c r="AB10" s="71">
        <f>Costs!AB82</f>
        <v/>
      </c>
      <c r="AC10" s="71">
        <f>Costs!AC82</f>
        <v/>
      </c>
      <c r="AD10" s="71">
        <f>Costs!AD82</f>
        <v/>
      </c>
      <c r="AE10" s="71">
        <f>Costs!AE82</f>
        <v/>
      </c>
      <c r="AF10" s="71">
        <f>Costs!AF82</f>
        <v/>
      </c>
      <c r="AG10" s="71">
        <f>Costs!AG82</f>
        <v/>
      </c>
      <c r="AH10" s="71">
        <f>Costs!AH82</f>
        <v/>
      </c>
      <c r="AI10" s="71">
        <f>Costs!AI82</f>
        <v/>
      </c>
      <c r="AJ10" s="71">
        <f>Costs!AJ82</f>
        <v/>
      </c>
      <c r="AK10" s="71">
        <f>Costs!AK82</f>
        <v/>
      </c>
      <c r="AL10" s="71">
        <f>Costs!AL82</f>
        <v/>
      </c>
      <c r="AM10" s="71">
        <f>Costs!AM82</f>
        <v/>
      </c>
      <c r="AN10" s="71">
        <f>Costs!AN82</f>
        <v/>
      </c>
      <c r="AO10" s="71">
        <f>Costs!AO82</f>
        <v/>
      </c>
      <c r="AP10" s="71">
        <f>Costs!AP82</f>
        <v/>
      </c>
      <c r="AQ10" s="71">
        <f>Costs!AQ82</f>
        <v/>
      </c>
      <c r="AR10" s="71">
        <f>Costs!AR82</f>
        <v/>
      </c>
      <c r="AS10" s="71">
        <f>Costs!AS82</f>
        <v/>
      </c>
      <c r="AT10" s="71">
        <f>Costs!AT82</f>
        <v/>
      </c>
      <c r="AU10" s="71">
        <f>Costs!AU82</f>
        <v/>
      </c>
      <c r="AV10" s="71">
        <f>Costs!AV82</f>
        <v/>
      </c>
      <c r="AW10" s="71">
        <f>Costs!AW82</f>
        <v/>
      </c>
      <c r="AX10" s="71">
        <f>Costs!AX82</f>
        <v/>
      </c>
      <c r="AY10" s="71">
        <f>Costs!AY82</f>
        <v/>
      </c>
      <c r="AZ10" s="71">
        <f>Costs!AZ82</f>
        <v/>
      </c>
      <c r="BA10" s="71">
        <f>Costs!BA82</f>
        <v/>
      </c>
    </row>
    <row r="11" ht="14.25" customHeight="1" s="83">
      <c r="A11" s="77" t="inlineStr">
        <is>
          <t>AI/ML API Kosten</t>
        </is>
      </c>
      <c r="B11" s="71">
        <f>Costs!B83</f>
        <v/>
      </c>
      <c r="C11" s="71">
        <f>Costs!C83</f>
        <v/>
      </c>
      <c r="D11" s="71">
        <f>Costs!D83</f>
        <v/>
      </c>
      <c r="E11" s="71">
        <f>Costs!E83</f>
        <v/>
      </c>
      <c r="F11" s="71">
        <f>Costs!F83</f>
        <v/>
      </c>
      <c r="G11" s="71">
        <f>Costs!G83</f>
        <v/>
      </c>
      <c r="H11" s="71">
        <f>Costs!H83</f>
        <v/>
      </c>
      <c r="I11" s="71">
        <f>Costs!I83</f>
        <v/>
      </c>
      <c r="J11" s="71">
        <f>Costs!J83</f>
        <v/>
      </c>
      <c r="K11" s="71">
        <f>Costs!K83</f>
        <v/>
      </c>
      <c r="L11" s="71">
        <f>Costs!L83</f>
        <v/>
      </c>
      <c r="M11" s="71">
        <f>Costs!M83</f>
        <v/>
      </c>
      <c r="N11" s="71">
        <f>Costs!N83</f>
        <v/>
      </c>
      <c r="O11" s="71">
        <f>Costs!O83</f>
        <v/>
      </c>
      <c r="P11" s="71">
        <f>Costs!P83</f>
        <v/>
      </c>
      <c r="Q11" s="71">
        <f>Costs!Q83</f>
        <v/>
      </c>
      <c r="R11" s="71">
        <f>Costs!R83</f>
        <v/>
      </c>
      <c r="S11" s="71">
        <f>Costs!S83</f>
        <v/>
      </c>
      <c r="T11" s="71">
        <f>Costs!T83</f>
        <v/>
      </c>
      <c r="U11" s="71">
        <f>Costs!U83</f>
        <v/>
      </c>
      <c r="V11" s="71">
        <f>Costs!V83</f>
        <v/>
      </c>
      <c r="W11" s="71">
        <f>Costs!W83</f>
        <v/>
      </c>
      <c r="X11" s="71">
        <f>Costs!X83</f>
        <v/>
      </c>
      <c r="Y11" s="71">
        <f>Costs!Y83</f>
        <v/>
      </c>
      <c r="Z11" s="71">
        <f>Costs!Z83</f>
        <v/>
      </c>
      <c r="AA11" s="71">
        <f>Costs!AA83</f>
        <v/>
      </c>
      <c r="AB11" s="71">
        <f>Costs!AB83</f>
        <v/>
      </c>
      <c r="AC11" s="71">
        <f>Costs!AC83</f>
        <v/>
      </c>
      <c r="AD11" s="71">
        <f>Costs!AD83</f>
        <v/>
      </c>
      <c r="AE11" s="71">
        <f>Costs!AE83</f>
        <v/>
      </c>
      <c r="AF11" s="71">
        <f>Costs!AF83</f>
        <v/>
      </c>
      <c r="AG11" s="71">
        <f>Costs!AG83</f>
        <v/>
      </c>
      <c r="AH11" s="71">
        <f>Costs!AH83</f>
        <v/>
      </c>
      <c r="AI11" s="71">
        <f>Costs!AI83</f>
        <v/>
      </c>
      <c r="AJ11" s="71">
        <f>Costs!AJ83</f>
        <v/>
      </c>
      <c r="AK11" s="71">
        <f>Costs!AK83</f>
        <v/>
      </c>
      <c r="AL11" s="71">
        <f>Costs!AL83</f>
        <v/>
      </c>
      <c r="AM11" s="71">
        <f>Costs!AM83</f>
        <v/>
      </c>
      <c r="AN11" s="71">
        <f>Costs!AN83</f>
        <v/>
      </c>
      <c r="AO11" s="71">
        <f>Costs!AO83</f>
        <v/>
      </c>
      <c r="AP11" s="71">
        <f>Costs!AP83</f>
        <v/>
      </c>
      <c r="AQ11" s="71">
        <f>Costs!AQ83</f>
        <v/>
      </c>
      <c r="AR11" s="71">
        <f>Costs!AR83</f>
        <v/>
      </c>
      <c r="AS11" s="71">
        <f>Costs!AS83</f>
        <v/>
      </c>
      <c r="AT11" s="71">
        <f>Costs!AT83</f>
        <v/>
      </c>
      <c r="AU11" s="71">
        <f>Costs!AU83</f>
        <v/>
      </c>
      <c r="AV11" s="71">
        <f>Costs!AV83</f>
        <v/>
      </c>
      <c r="AW11" s="71">
        <f>Costs!AW83</f>
        <v/>
      </c>
      <c r="AX11" s="71">
        <f>Costs!AX83</f>
        <v/>
      </c>
      <c r="AY11" s="71">
        <f>Costs!AY83</f>
        <v/>
      </c>
      <c r="AZ11" s="71">
        <f>Costs!AZ83</f>
        <v/>
      </c>
      <c r="BA11" s="71">
        <f>Costs!BA83</f>
        <v/>
      </c>
    </row>
    <row r="12" ht="14.25" customHeight="1" s="83">
      <c r="A12" s="77" t="inlineStr">
        <is>
          <t>Payment Processing</t>
        </is>
      </c>
      <c r="B12" s="71">
        <f>Costs!B128</f>
        <v/>
      </c>
      <c r="C12" s="71">
        <f>Costs!C128</f>
        <v/>
      </c>
      <c r="D12" s="71">
        <f>Costs!D128</f>
        <v/>
      </c>
      <c r="E12" s="71">
        <f>Costs!E128</f>
        <v/>
      </c>
      <c r="F12" s="71">
        <f>Costs!F128</f>
        <v/>
      </c>
      <c r="G12" s="71">
        <f>Costs!G128</f>
        <v/>
      </c>
      <c r="H12" s="71">
        <f>Costs!H128</f>
        <v/>
      </c>
      <c r="I12" s="71">
        <f>Costs!I128</f>
        <v/>
      </c>
      <c r="J12" s="71">
        <f>Costs!J128</f>
        <v/>
      </c>
      <c r="K12" s="71">
        <f>Costs!K128</f>
        <v/>
      </c>
      <c r="L12" s="71">
        <f>Costs!L128</f>
        <v/>
      </c>
      <c r="M12" s="71">
        <f>Costs!M128</f>
        <v/>
      </c>
      <c r="N12" s="71">
        <f>Costs!N128</f>
        <v/>
      </c>
      <c r="O12" s="71">
        <f>Costs!O128</f>
        <v/>
      </c>
      <c r="P12" s="71">
        <f>Costs!P128</f>
        <v/>
      </c>
      <c r="Q12" s="71">
        <f>Costs!Q128</f>
        <v/>
      </c>
      <c r="R12" s="71">
        <f>Costs!R128</f>
        <v/>
      </c>
      <c r="S12" s="71">
        <f>Costs!S128</f>
        <v/>
      </c>
      <c r="T12" s="71">
        <f>Costs!T128</f>
        <v/>
      </c>
      <c r="U12" s="71">
        <f>Costs!U128</f>
        <v/>
      </c>
      <c r="V12" s="71">
        <f>Costs!V128</f>
        <v/>
      </c>
      <c r="W12" s="71">
        <f>Costs!W128</f>
        <v/>
      </c>
      <c r="X12" s="71">
        <f>Costs!X128</f>
        <v/>
      </c>
      <c r="Y12" s="71">
        <f>Costs!Y128</f>
        <v/>
      </c>
      <c r="Z12" s="71">
        <f>Costs!Z128</f>
        <v/>
      </c>
      <c r="AA12" s="71">
        <f>Costs!AA128</f>
        <v/>
      </c>
      <c r="AB12" s="71">
        <f>Costs!AB128</f>
        <v/>
      </c>
      <c r="AC12" s="71">
        <f>Costs!AC128</f>
        <v/>
      </c>
      <c r="AD12" s="71">
        <f>Costs!AD128</f>
        <v/>
      </c>
      <c r="AE12" s="71">
        <f>Costs!AE128</f>
        <v/>
      </c>
      <c r="AF12" s="71">
        <f>Costs!AF128</f>
        <v/>
      </c>
      <c r="AG12" s="71">
        <f>Costs!AG128</f>
        <v/>
      </c>
      <c r="AH12" s="71">
        <f>Costs!AH128</f>
        <v/>
      </c>
      <c r="AI12" s="71">
        <f>Costs!AI128</f>
        <v/>
      </c>
      <c r="AJ12" s="71">
        <f>Costs!AJ128</f>
        <v/>
      </c>
      <c r="AK12" s="71">
        <f>Costs!AK128</f>
        <v/>
      </c>
      <c r="AL12" s="71">
        <f>Costs!AL128</f>
        <v/>
      </c>
      <c r="AM12" s="71">
        <f>Costs!AM128</f>
        <v/>
      </c>
      <c r="AN12" s="71">
        <f>Costs!AN128</f>
        <v/>
      </c>
      <c r="AO12" s="71">
        <f>Costs!AO128</f>
        <v/>
      </c>
      <c r="AP12" s="71">
        <f>Costs!AP128</f>
        <v/>
      </c>
      <c r="AQ12" s="71">
        <f>Costs!AQ128</f>
        <v/>
      </c>
      <c r="AR12" s="71">
        <f>Costs!AR128</f>
        <v/>
      </c>
      <c r="AS12" s="71">
        <f>Costs!AS128</f>
        <v/>
      </c>
      <c r="AT12" s="71">
        <f>Costs!AT128</f>
        <v/>
      </c>
      <c r="AU12" s="71">
        <f>Costs!AU128</f>
        <v/>
      </c>
      <c r="AV12" s="71">
        <f>Costs!AV128</f>
        <v/>
      </c>
      <c r="AW12" s="71">
        <f>Costs!AW128</f>
        <v/>
      </c>
      <c r="AX12" s="71">
        <f>Costs!AX128</f>
        <v/>
      </c>
      <c r="AY12" s="71">
        <f>Costs!AY128</f>
        <v/>
      </c>
      <c r="AZ12" s="71">
        <f>Costs!AZ128</f>
        <v/>
      </c>
      <c r="BA12" s="71">
        <f>Costs!BA128</f>
        <v/>
      </c>
    </row>
    <row r="13" ht="14.25" customHeight="1" s="83">
      <c r="A13" s="2" t="inlineStr">
        <is>
          <t>TOTAL COGS</t>
        </is>
      </c>
      <c r="B13" s="72">
        <f>SUM(B10:B12)</f>
        <v/>
      </c>
      <c r="C13" s="72">
        <f>SUM(C10:C12)</f>
        <v/>
      </c>
      <c r="D13" s="72">
        <f>SUM(D10:D12)</f>
        <v/>
      </c>
      <c r="E13" s="72">
        <f>SUM(E10:E12)</f>
        <v/>
      </c>
      <c r="F13" s="72">
        <f>SUM(F10:F12)</f>
        <v/>
      </c>
      <c r="G13" s="72">
        <f>SUM(G10:G12)</f>
        <v/>
      </c>
      <c r="H13" s="72">
        <f>SUM(H10:H12)</f>
        <v/>
      </c>
      <c r="I13" s="72">
        <f>SUM(I10:I12)</f>
        <v/>
      </c>
      <c r="J13" s="72">
        <f>SUM(J10:J12)</f>
        <v/>
      </c>
      <c r="K13" s="72">
        <f>SUM(K10:K12)</f>
        <v/>
      </c>
      <c r="L13" s="72">
        <f>SUM(L10:L12)</f>
        <v/>
      </c>
      <c r="M13" s="72">
        <f>SUM(M10:M12)</f>
        <v/>
      </c>
      <c r="N13" s="72">
        <f>SUM(N10:N12)</f>
        <v/>
      </c>
      <c r="O13" s="72">
        <f>SUM(O10:O12)</f>
        <v/>
      </c>
      <c r="P13" s="72">
        <f>SUM(P10:P12)</f>
        <v/>
      </c>
      <c r="Q13" s="72">
        <f>SUM(Q10:Q12)</f>
        <v/>
      </c>
      <c r="R13" s="72">
        <f>SUM(R10:R12)</f>
        <v/>
      </c>
      <c r="S13" s="72">
        <f>SUM(S10:S12)</f>
        <v/>
      </c>
      <c r="T13" s="72">
        <f>SUM(T10:T12)</f>
        <v/>
      </c>
      <c r="U13" s="72">
        <f>SUM(U10:U12)</f>
        <v/>
      </c>
      <c r="V13" s="72">
        <f>SUM(V10:V12)</f>
        <v/>
      </c>
      <c r="W13" s="72">
        <f>SUM(W10:W12)</f>
        <v/>
      </c>
      <c r="X13" s="72">
        <f>SUM(X10:X12)</f>
        <v/>
      </c>
      <c r="Y13" s="72">
        <f>SUM(Y10:Y12)</f>
        <v/>
      </c>
      <c r="Z13" s="72">
        <f>SUM(Z10:Z12)</f>
        <v/>
      </c>
      <c r="AA13" s="72">
        <f>SUM(AA10:AA12)</f>
        <v/>
      </c>
      <c r="AB13" s="72">
        <f>SUM(AB10:AB12)</f>
        <v/>
      </c>
      <c r="AC13" s="72">
        <f>SUM(AC10:AC12)</f>
        <v/>
      </c>
      <c r="AD13" s="72">
        <f>SUM(AD10:AD12)</f>
        <v/>
      </c>
      <c r="AE13" s="72">
        <f>SUM(AE10:AE12)</f>
        <v/>
      </c>
      <c r="AF13" s="72">
        <f>SUM(AF10:AF12)</f>
        <v/>
      </c>
      <c r="AG13" s="72">
        <f>SUM(AG10:AG12)</f>
        <v/>
      </c>
      <c r="AH13" s="72">
        <f>SUM(AH10:AH12)</f>
        <v/>
      </c>
      <c r="AI13" s="72">
        <f>SUM(AI10:AI12)</f>
        <v/>
      </c>
      <c r="AJ13" s="72">
        <f>SUM(AJ10:AJ12)</f>
        <v/>
      </c>
      <c r="AK13" s="72">
        <f>SUM(AK10:AK12)</f>
        <v/>
      </c>
      <c r="AL13" s="72">
        <f>SUM(AL10:AL12)</f>
        <v/>
      </c>
      <c r="AM13" s="72">
        <f>SUM(AM10:AM12)</f>
        <v/>
      </c>
      <c r="AN13" s="72">
        <f>SUM(AN10:AN12)</f>
        <v/>
      </c>
      <c r="AO13" s="72">
        <f>SUM(AO10:AO12)</f>
        <v/>
      </c>
      <c r="AP13" s="72">
        <f>SUM(AP10:AP12)</f>
        <v/>
      </c>
      <c r="AQ13" s="72">
        <f>SUM(AQ10:AQ12)</f>
        <v/>
      </c>
      <c r="AR13" s="72">
        <f>SUM(AR10:AR12)</f>
        <v/>
      </c>
      <c r="AS13" s="72">
        <f>SUM(AS10:AS12)</f>
        <v/>
      </c>
      <c r="AT13" s="72">
        <f>SUM(AT10:AT12)</f>
        <v/>
      </c>
      <c r="AU13" s="72">
        <f>SUM(AU10:AU12)</f>
        <v/>
      </c>
      <c r="AV13" s="72">
        <f>SUM(AV10:AV12)</f>
        <v/>
      </c>
      <c r="AW13" s="72">
        <f>SUM(AW10:AW12)</f>
        <v/>
      </c>
      <c r="AX13" s="72">
        <f>SUM(AX10:AX12)</f>
        <v/>
      </c>
      <c r="AY13" s="72">
        <f>SUM(AY10:AY12)</f>
        <v/>
      </c>
      <c r="AZ13" s="72">
        <f>SUM(AZ10:AZ12)</f>
        <v/>
      </c>
      <c r="BA13" s="72">
        <f>SUM(BA10:BA12)</f>
        <v/>
      </c>
    </row>
    <row r="14" ht="14.25" customHeight="1" s="83"/>
    <row r="15" ht="14.25" customHeight="1" s="83">
      <c r="A15" s="2" t="inlineStr">
        <is>
          <t>GROSS PROFIT</t>
        </is>
      </c>
      <c r="B15" s="72">
        <f>B7-B13</f>
        <v/>
      </c>
      <c r="C15" s="72">
        <f>C7-C13</f>
        <v/>
      </c>
      <c r="D15" s="72">
        <f>D7-D13</f>
        <v/>
      </c>
      <c r="E15" s="72">
        <f>E7-E13</f>
        <v/>
      </c>
      <c r="F15" s="72">
        <f>F7-F13</f>
        <v/>
      </c>
      <c r="G15" s="72">
        <f>G7-G13</f>
        <v/>
      </c>
      <c r="H15" s="72">
        <f>H7-H13</f>
        <v/>
      </c>
      <c r="I15" s="72">
        <f>I7-I13</f>
        <v/>
      </c>
      <c r="J15" s="72">
        <f>J7-J13</f>
        <v/>
      </c>
      <c r="K15" s="72">
        <f>K7-K13</f>
        <v/>
      </c>
      <c r="L15" s="72">
        <f>L7-L13</f>
        <v/>
      </c>
      <c r="M15" s="72">
        <f>M7-M13</f>
        <v/>
      </c>
      <c r="N15" s="72">
        <f>N7-N13</f>
        <v/>
      </c>
      <c r="O15" s="72">
        <f>O7-O13</f>
        <v/>
      </c>
      <c r="P15" s="72">
        <f>P7-P13</f>
        <v/>
      </c>
      <c r="Q15" s="72">
        <f>Q7-Q13</f>
        <v/>
      </c>
      <c r="R15" s="72">
        <f>R7-R13</f>
        <v/>
      </c>
      <c r="S15" s="72">
        <f>S7-S13</f>
        <v/>
      </c>
      <c r="T15" s="72">
        <f>T7-T13</f>
        <v/>
      </c>
      <c r="U15" s="72">
        <f>U7-U13</f>
        <v/>
      </c>
      <c r="V15" s="72">
        <f>V7-V13</f>
        <v/>
      </c>
      <c r="W15" s="72">
        <f>W7-W13</f>
        <v/>
      </c>
      <c r="X15" s="72">
        <f>X7-X13</f>
        <v/>
      </c>
      <c r="Y15" s="72">
        <f>Y7-Y13</f>
        <v/>
      </c>
      <c r="Z15" s="72">
        <f>Z7-Z13</f>
        <v/>
      </c>
      <c r="AA15" s="72">
        <f>AA7-AA13</f>
        <v/>
      </c>
      <c r="AB15" s="72">
        <f>AB7-AB13</f>
        <v/>
      </c>
      <c r="AC15" s="72">
        <f>AC7-AC13</f>
        <v/>
      </c>
      <c r="AD15" s="72">
        <f>AD7-AD13</f>
        <v/>
      </c>
      <c r="AE15" s="72">
        <f>AE7-AE13</f>
        <v/>
      </c>
      <c r="AF15" s="72">
        <f>AF7-AF13</f>
        <v/>
      </c>
      <c r="AG15" s="72">
        <f>AG7-AG13</f>
        <v/>
      </c>
      <c r="AH15" s="72">
        <f>AH7-AH13</f>
        <v/>
      </c>
      <c r="AI15" s="72">
        <f>AI7-AI13</f>
        <v/>
      </c>
      <c r="AJ15" s="72">
        <f>AJ7-AJ13</f>
        <v/>
      </c>
      <c r="AK15" s="72">
        <f>AK7-AK13</f>
        <v/>
      </c>
      <c r="AL15" s="72">
        <f>AL7-AL13</f>
        <v/>
      </c>
      <c r="AM15" s="72">
        <f>AM7-AM13</f>
        <v/>
      </c>
      <c r="AN15" s="72">
        <f>AN7-AN13</f>
        <v/>
      </c>
      <c r="AO15" s="72">
        <f>AO7-AO13</f>
        <v/>
      </c>
      <c r="AP15" s="72">
        <f>AP7-AP13</f>
        <v/>
      </c>
      <c r="AQ15" s="72">
        <f>AQ7-AQ13</f>
        <v/>
      </c>
      <c r="AR15" s="72">
        <f>AR7-AR13</f>
        <v/>
      </c>
      <c r="AS15" s="72">
        <f>AS7-AS13</f>
        <v/>
      </c>
      <c r="AT15" s="72">
        <f>AT7-AT13</f>
        <v/>
      </c>
      <c r="AU15" s="72">
        <f>AU7-AU13</f>
        <v/>
      </c>
      <c r="AV15" s="72">
        <f>AV7-AV13</f>
        <v/>
      </c>
      <c r="AW15" s="72">
        <f>AW7-AW13</f>
        <v/>
      </c>
      <c r="AX15" s="72">
        <f>AX7-AX13</f>
        <v/>
      </c>
      <c r="AY15" s="72">
        <f>AY7-AY13</f>
        <v/>
      </c>
      <c r="AZ15" s="72">
        <f>AZ7-AZ13</f>
        <v/>
      </c>
      <c r="BA15" s="72">
        <f>BA7-BA13</f>
        <v/>
      </c>
    </row>
    <row r="16" ht="14.25" customHeight="1" s="83">
      <c r="A16" s="77" t="inlineStr">
        <is>
          <t>Gross Margin %</t>
        </is>
      </c>
      <c r="B16" s="73">
        <f>IFERROR(B15/B7,0)</f>
        <v/>
      </c>
      <c r="C16" s="73">
        <f>IFERROR(C15/C7,0)</f>
        <v/>
      </c>
      <c r="D16" s="73">
        <f>IFERROR(D15/D7,0)</f>
        <v/>
      </c>
      <c r="E16" s="73">
        <f>IFERROR(E15/E7,0)</f>
        <v/>
      </c>
      <c r="F16" s="73">
        <f>IFERROR(F15/F7,0)</f>
        <v/>
      </c>
      <c r="G16" s="73">
        <f>IFERROR(G15/G7,0)</f>
        <v/>
      </c>
      <c r="H16" s="73">
        <f>IFERROR(H15/H7,0)</f>
        <v/>
      </c>
      <c r="I16" s="73">
        <f>IFERROR(I15/I7,0)</f>
        <v/>
      </c>
      <c r="J16" s="73">
        <f>IFERROR(J15/J7,0)</f>
        <v/>
      </c>
      <c r="K16" s="73">
        <f>IFERROR(K15/K7,0)</f>
        <v/>
      </c>
      <c r="L16" s="73">
        <f>IFERROR(L15/L7,0)</f>
        <v/>
      </c>
      <c r="M16" s="73">
        <f>IFERROR(M15/M7,0)</f>
        <v/>
      </c>
      <c r="N16" s="73">
        <f>IFERROR(N15/N7,0)</f>
        <v/>
      </c>
      <c r="O16" s="73">
        <f>IFERROR(O15/O7,0)</f>
        <v/>
      </c>
      <c r="P16" s="73">
        <f>IFERROR(P15/P7,0)</f>
        <v/>
      </c>
      <c r="Q16" s="73">
        <f>IFERROR(Q15/Q7,0)</f>
        <v/>
      </c>
      <c r="R16" s="73">
        <f>IFERROR(R15/R7,0)</f>
        <v/>
      </c>
      <c r="S16" s="73">
        <f>IFERROR(S15/S7,0)</f>
        <v/>
      </c>
      <c r="T16" s="73">
        <f>IFERROR(T15/T7,0)</f>
        <v/>
      </c>
      <c r="U16" s="73">
        <f>IFERROR(U15/U7,0)</f>
        <v/>
      </c>
      <c r="V16" s="73">
        <f>IFERROR(V15/V7,0)</f>
        <v/>
      </c>
      <c r="W16" s="73">
        <f>IFERROR(W15/W7,0)</f>
        <v/>
      </c>
      <c r="X16" s="73">
        <f>IFERROR(X15/X7,0)</f>
        <v/>
      </c>
      <c r="Y16" s="73">
        <f>IFERROR(Y15/Y7,0)</f>
        <v/>
      </c>
      <c r="Z16" s="73">
        <f>IFERROR(Z15/Z7,0)</f>
        <v/>
      </c>
      <c r="AA16" s="73">
        <f>IFERROR(AA15/AA7,0)</f>
        <v/>
      </c>
      <c r="AB16" s="73">
        <f>IFERROR(AB15/AB7,0)</f>
        <v/>
      </c>
      <c r="AC16" s="73">
        <f>IFERROR(AC15/AC7,0)</f>
        <v/>
      </c>
      <c r="AD16" s="73">
        <f>IFERROR(AD15/AD7,0)</f>
        <v/>
      </c>
      <c r="AE16" s="73">
        <f>IFERROR(AE15/AE7,0)</f>
        <v/>
      </c>
      <c r="AF16" s="73">
        <f>IFERROR(AF15/AF7,0)</f>
        <v/>
      </c>
      <c r="AG16" s="73">
        <f>IFERROR(AG15/AG7,0)</f>
        <v/>
      </c>
      <c r="AH16" s="73">
        <f>IFERROR(AH15/AH7,0)</f>
        <v/>
      </c>
      <c r="AI16" s="73">
        <f>IFERROR(AI15/AI7,0)</f>
        <v/>
      </c>
      <c r="AJ16" s="73">
        <f>IFERROR(AJ15/AJ7,0)</f>
        <v/>
      </c>
      <c r="AK16" s="73">
        <f>IFERROR(AK15/AK7,0)</f>
        <v/>
      </c>
      <c r="AL16" s="73">
        <f>IFERROR(AL15/AL7,0)</f>
        <v/>
      </c>
      <c r="AM16" s="73">
        <f>IFERROR(AM15/AM7,0)</f>
        <v/>
      </c>
      <c r="AN16" s="73">
        <f>IFERROR(AN15/AN7,0)</f>
        <v/>
      </c>
      <c r="AO16" s="73">
        <f>IFERROR(AO15/AO7,0)</f>
        <v/>
      </c>
      <c r="AP16" s="73">
        <f>IFERROR(AP15/AP7,0)</f>
        <v/>
      </c>
      <c r="AQ16" s="73">
        <f>IFERROR(AQ15/AQ7,0)</f>
        <v/>
      </c>
      <c r="AR16" s="73">
        <f>IFERROR(AR15/AR7,0)</f>
        <v/>
      </c>
      <c r="AS16" s="73">
        <f>IFERROR(AS15/AS7,0)</f>
        <v/>
      </c>
      <c r="AT16" s="73">
        <f>IFERROR(AT15/AT7,0)</f>
        <v/>
      </c>
      <c r="AU16" s="73">
        <f>IFERROR(AU15/AU7,0)</f>
        <v/>
      </c>
      <c r="AV16" s="73">
        <f>IFERROR(AV15/AV7,0)</f>
        <v/>
      </c>
      <c r="AW16" s="73">
        <f>IFERROR(AW15/AW7,0)</f>
        <v/>
      </c>
      <c r="AX16" s="73">
        <f>IFERROR(AX15/AX7,0)</f>
        <v/>
      </c>
      <c r="AY16" s="73">
        <f>IFERROR(AY15/AY7,0)</f>
        <v/>
      </c>
      <c r="AZ16" s="73">
        <f>IFERROR(AZ15/AZ7,0)</f>
        <v/>
      </c>
      <c r="BA16" s="73">
        <f>IFERROR(BA15/BA7,0)</f>
        <v/>
      </c>
    </row>
    <row r="17" ht="14.25" customHeight="1" s="83"/>
    <row r="18" ht="14.25" customHeight="1" s="83">
      <c r="A18" s="2" t="inlineStr">
        <is>
          <t>OPERATING EXPENSES</t>
        </is>
      </c>
    </row>
    <row r="19" ht="14.25" customHeight="1" s="83">
      <c r="A19" s="77" t="inlineStr">
        <is>
          <t>Total Personnel</t>
        </is>
      </c>
      <c r="B19" s="71">
        <f>Costs!B78</f>
        <v/>
      </c>
      <c r="C19" s="71">
        <f>Costs!C78</f>
        <v/>
      </c>
      <c r="D19" s="71">
        <f>Costs!D78</f>
        <v/>
      </c>
      <c r="E19" s="71">
        <f>Costs!E78</f>
        <v/>
      </c>
      <c r="F19" s="71">
        <f>Costs!F78</f>
        <v/>
      </c>
      <c r="G19" s="71">
        <f>Costs!G78</f>
        <v/>
      </c>
      <c r="H19" s="71">
        <f>Costs!H78</f>
        <v/>
      </c>
      <c r="I19" s="71">
        <f>Costs!I78</f>
        <v/>
      </c>
      <c r="J19" s="71">
        <f>Costs!J78</f>
        <v/>
      </c>
      <c r="K19" s="71">
        <f>Costs!K78</f>
        <v/>
      </c>
      <c r="L19" s="71">
        <f>Costs!L78</f>
        <v/>
      </c>
      <c r="M19" s="71">
        <f>Costs!M78</f>
        <v/>
      </c>
      <c r="N19" s="71">
        <f>Costs!N78</f>
        <v/>
      </c>
      <c r="O19" s="71">
        <f>Costs!O78</f>
        <v/>
      </c>
      <c r="P19" s="71">
        <f>Costs!P78</f>
        <v/>
      </c>
      <c r="Q19" s="71">
        <f>Costs!Q78</f>
        <v/>
      </c>
      <c r="R19" s="71">
        <f>Costs!R78</f>
        <v/>
      </c>
      <c r="S19" s="71">
        <f>Costs!S78</f>
        <v/>
      </c>
      <c r="T19" s="71">
        <f>Costs!T78</f>
        <v/>
      </c>
      <c r="U19" s="71">
        <f>Costs!U78</f>
        <v/>
      </c>
      <c r="V19" s="71">
        <f>Costs!V78</f>
        <v/>
      </c>
      <c r="W19" s="71">
        <f>Costs!W78</f>
        <v/>
      </c>
      <c r="X19" s="71">
        <f>Costs!X78</f>
        <v/>
      </c>
      <c r="Y19" s="71">
        <f>Costs!Y78</f>
        <v/>
      </c>
      <c r="Z19" s="71">
        <f>Costs!Z78</f>
        <v/>
      </c>
      <c r="AA19" s="71">
        <f>Costs!AA78</f>
        <v/>
      </c>
      <c r="AB19" s="71">
        <f>Costs!AB78</f>
        <v/>
      </c>
      <c r="AC19" s="71">
        <f>Costs!AC78</f>
        <v/>
      </c>
      <c r="AD19" s="71">
        <f>Costs!AD78</f>
        <v/>
      </c>
      <c r="AE19" s="71">
        <f>Costs!AE78</f>
        <v/>
      </c>
      <c r="AF19" s="71">
        <f>Costs!AF78</f>
        <v/>
      </c>
      <c r="AG19" s="71">
        <f>Costs!AG78</f>
        <v/>
      </c>
      <c r="AH19" s="71">
        <f>Costs!AH78</f>
        <v/>
      </c>
      <c r="AI19" s="71">
        <f>Costs!AI78</f>
        <v/>
      </c>
      <c r="AJ19" s="71">
        <f>Costs!AJ78</f>
        <v/>
      </c>
      <c r="AK19" s="71">
        <f>Costs!AK78</f>
        <v/>
      </c>
      <c r="AL19" s="71">
        <f>Costs!AL78</f>
        <v/>
      </c>
      <c r="AM19" s="71">
        <f>Costs!AM78</f>
        <v/>
      </c>
      <c r="AN19" s="71">
        <f>Costs!AN78</f>
        <v/>
      </c>
      <c r="AO19" s="71">
        <f>Costs!AO78</f>
        <v/>
      </c>
      <c r="AP19" s="71">
        <f>Costs!AP78</f>
        <v/>
      </c>
      <c r="AQ19" s="71">
        <f>Costs!AQ78</f>
        <v/>
      </c>
      <c r="AR19" s="71">
        <f>Costs!AR78</f>
        <v/>
      </c>
      <c r="AS19" s="71">
        <f>Costs!AS78</f>
        <v/>
      </c>
      <c r="AT19" s="71">
        <f>Costs!AT78</f>
        <v/>
      </c>
      <c r="AU19" s="71">
        <f>Costs!AU78</f>
        <v/>
      </c>
      <c r="AV19" s="71">
        <f>Costs!AV78</f>
        <v/>
      </c>
      <c r="AW19" s="71">
        <f>Costs!AW78</f>
        <v/>
      </c>
      <c r="AX19" s="71">
        <f>Costs!AX78</f>
        <v/>
      </c>
      <c r="AY19" s="71">
        <f>Costs!AY78</f>
        <v/>
      </c>
      <c r="AZ19" s="71">
        <f>Costs!AZ78</f>
        <v/>
      </c>
      <c r="BA19" s="71">
        <f>Costs!BA78</f>
        <v/>
      </c>
    </row>
    <row r="20" ht="14.25" customHeight="1" s="83">
      <c r="A20" s="77" t="inlineStr">
        <is>
          <t>Total Technology</t>
        </is>
      </c>
      <c r="B20" s="71">
        <f>Costs!B87</f>
        <v/>
      </c>
      <c r="C20" s="71">
        <f>Costs!C87</f>
        <v/>
      </c>
      <c r="D20" s="71">
        <f>Costs!D87</f>
        <v/>
      </c>
      <c r="E20" s="71">
        <f>Costs!E87</f>
        <v/>
      </c>
      <c r="F20" s="71">
        <f>Costs!F87</f>
        <v/>
      </c>
      <c r="G20" s="71">
        <f>Costs!G87</f>
        <v/>
      </c>
      <c r="H20" s="71">
        <f>Costs!H87</f>
        <v/>
      </c>
      <c r="I20" s="71">
        <f>Costs!I87</f>
        <v/>
      </c>
      <c r="J20" s="71">
        <f>Costs!J87</f>
        <v/>
      </c>
      <c r="K20" s="71">
        <f>Costs!K87</f>
        <v/>
      </c>
      <c r="L20" s="71">
        <f>Costs!L87</f>
        <v/>
      </c>
      <c r="M20" s="71">
        <f>Costs!M87</f>
        <v/>
      </c>
      <c r="N20" s="71">
        <f>Costs!N87</f>
        <v/>
      </c>
      <c r="O20" s="71">
        <f>Costs!O87</f>
        <v/>
      </c>
      <c r="P20" s="71">
        <f>Costs!P87</f>
        <v/>
      </c>
      <c r="Q20" s="71">
        <f>Costs!Q87</f>
        <v/>
      </c>
      <c r="R20" s="71">
        <f>Costs!R87</f>
        <v/>
      </c>
      <c r="S20" s="71">
        <f>Costs!S87</f>
        <v/>
      </c>
      <c r="T20" s="71">
        <f>Costs!T87</f>
        <v/>
      </c>
      <c r="U20" s="71">
        <f>Costs!U87</f>
        <v/>
      </c>
      <c r="V20" s="71">
        <f>Costs!V87</f>
        <v/>
      </c>
      <c r="W20" s="71">
        <f>Costs!W87</f>
        <v/>
      </c>
      <c r="X20" s="71">
        <f>Costs!X87</f>
        <v/>
      </c>
      <c r="Y20" s="71">
        <f>Costs!Y87</f>
        <v/>
      </c>
      <c r="Z20" s="71">
        <f>Costs!Z87</f>
        <v/>
      </c>
      <c r="AA20" s="71">
        <f>Costs!AA87</f>
        <v/>
      </c>
      <c r="AB20" s="71">
        <f>Costs!AB87</f>
        <v/>
      </c>
      <c r="AC20" s="71">
        <f>Costs!AC87</f>
        <v/>
      </c>
      <c r="AD20" s="71">
        <f>Costs!AD87</f>
        <v/>
      </c>
      <c r="AE20" s="71">
        <f>Costs!AE87</f>
        <v/>
      </c>
      <c r="AF20" s="71">
        <f>Costs!AF87</f>
        <v/>
      </c>
      <c r="AG20" s="71">
        <f>Costs!AG87</f>
        <v/>
      </c>
      <c r="AH20" s="71">
        <f>Costs!AH87</f>
        <v/>
      </c>
      <c r="AI20" s="71">
        <f>Costs!AI87</f>
        <v/>
      </c>
      <c r="AJ20" s="71">
        <f>Costs!AJ87</f>
        <v/>
      </c>
      <c r="AK20" s="71">
        <f>Costs!AK87</f>
        <v/>
      </c>
      <c r="AL20" s="71">
        <f>Costs!AL87</f>
        <v/>
      </c>
      <c r="AM20" s="71">
        <f>Costs!AM87</f>
        <v/>
      </c>
      <c r="AN20" s="71">
        <f>Costs!AN87</f>
        <v/>
      </c>
      <c r="AO20" s="71">
        <f>Costs!AO87</f>
        <v/>
      </c>
      <c r="AP20" s="71">
        <f>Costs!AP87</f>
        <v/>
      </c>
      <c r="AQ20" s="71">
        <f>Costs!AQ87</f>
        <v/>
      </c>
      <c r="AR20" s="71">
        <f>Costs!AR87</f>
        <v/>
      </c>
      <c r="AS20" s="71">
        <f>Costs!AS87</f>
        <v/>
      </c>
      <c r="AT20" s="71">
        <f>Costs!AT87</f>
        <v/>
      </c>
      <c r="AU20" s="71">
        <f>Costs!AU87</f>
        <v/>
      </c>
      <c r="AV20" s="71">
        <f>Costs!AV87</f>
        <v/>
      </c>
      <c r="AW20" s="71">
        <f>Costs!AW87</f>
        <v/>
      </c>
      <c r="AX20" s="71">
        <f>Costs!AX87</f>
        <v/>
      </c>
      <c r="AY20" s="71">
        <f>Costs!AY87</f>
        <v/>
      </c>
      <c r="AZ20" s="71">
        <f>Costs!AZ87</f>
        <v/>
      </c>
      <c r="BA20" s="71">
        <f>Costs!BA87</f>
        <v/>
      </c>
    </row>
    <row r="21" ht="14.25" customHeight="1" s="83">
      <c r="A21" s="77" t="inlineStr">
        <is>
          <t>Total Office/Facilities</t>
        </is>
      </c>
      <c r="B21" s="71">
        <f>Costs!B94</f>
        <v/>
      </c>
      <c r="C21" s="71">
        <f>Costs!C94</f>
        <v/>
      </c>
      <c r="D21" s="71">
        <f>Costs!D94</f>
        <v/>
      </c>
      <c r="E21" s="71">
        <f>Costs!E94</f>
        <v/>
      </c>
      <c r="F21" s="71">
        <f>Costs!F94</f>
        <v/>
      </c>
      <c r="G21" s="71">
        <f>Costs!G94</f>
        <v/>
      </c>
      <c r="H21" s="71">
        <f>Costs!H94</f>
        <v/>
      </c>
      <c r="I21" s="71">
        <f>Costs!I94</f>
        <v/>
      </c>
      <c r="J21" s="71">
        <f>Costs!J94</f>
        <v/>
      </c>
      <c r="K21" s="71">
        <f>Costs!K94</f>
        <v/>
      </c>
      <c r="L21" s="71">
        <f>Costs!L94</f>
        <v/>
      </c>
      <c r="M21" s="71">
        <f>Costs!M94</f>
        <v/>
      </c>
      <c r="N21" s="71">
        <f>Costs!N94</f>
        <v/>
      </c>
      <c r="O21" s="71">
        <f>Costs!O94</f>
        <v/>
      </c>
      <c r="P21" s="71">
        <f>Costs!P94</f>
        <v/>
      </c>
      <c r="Q21" s="71">
        <f>Costs!Q94</f>
        <v/>
      </c>
      <c r="R21" s="71">
        <f>Costs!R94</f>
        <v/>
      </c>
      <c r="S21" s="71">
        <f>Costs!S94</f>
        <v/>
      </c>
      <c r="T21" s="71">
        <f>Costs!T94</f>
        <v/>
      </c>
      <c r="U21" s="71">
        <f>Costs!U94</f>
        <v/>
      </c>
      <c r="V21" s="71">
        <f>Costs!V94</f>
        <v/>
      </c>
      <c r="W21" s="71">
        <f>Costs!W94</f>
        <v/>
      </c>
      <c r="X21" s="71">
        <f>Costs!X94</f>
        <v/>
      </c>
      <c r="Y21" s="71">
        <f>Costs!Y94</f>
        <v/>
      </c>
      <c r="Z21" s="71">
        <f>Costs!Z94</f>
        <v/>
      </c>
      <c r="AA21" s="71">
        <f>Costs!AA94</f>
        <v/>
      </c>
      <c r="AB21" s="71">
        <f>Costs!AB94</f>
        <v/>
      </c>
      <c r="AC21" s="71">
        <f>Costs!AC94</f>
        <v/>
      </c>
      <c r="AD21" s="71">
        <f>Costs!AD94</f>
        <v/>
      </c>
      <c r="AE21" s="71">
        <f>Costs!AE94</f>
        <v/>
      </c>
      <c r="AF21" s="71">
        <f>Costs!AF94</f>
        <v/>
      </c>
      <c r="AG21" s="71">
        <f>Costs!AG94</f>
        <v/>
      </c>
      <c r="AH21" s="71">
        <f>Costs!AH94</f>
        <v/>
      </c>
      <c r="AI21" s="71">
        <f>Costs!AI94</f>
        <v/>
      </c>
      <c r="AJ21" s="71">
        <f>Costs!AJ94</f>
        <v/>
      </c>
      <c r="AK21" s="71">
        <f>Costs!AK94</f>
        <v/>
      </c>
      <c r="AL21" s="71">
        <f>Costs!AL94</f>
        <v/>
      </c>
      <c r="AM21" s="71">
        <f>Costs!AM94</f>
        <v/>
      </c>
      <c r="AN21" s="71">
        <f>Costs!AN94</f>
        <v/>
      </c>
      <c r="AO21" s="71">
        <f>Costs!AO94</f>
        <v/>
      </c>
      <c r="AP21" s="71">
        <f>Costs!AP94</f>
        <v/>
      </c>
      <c r="AQ21" s="71">
        <f>Costs!AQ94</f>
        <v/>
      </c>
      <c r="AR21" s="71">
        <f>Costs!AR94</f>
        <v/>
      </c>
      <c r="AS21" s="71">
        <f>Costs!AS94</f>
        <v/>
      </c>
      <c r="AT21" s="71">
        <f>Costs!AT94</f>
        <v/>
      </c>
      <c r="AU21" s="71">
        <f>Costs!AU94</f>
        <v/>
      </c>
      <c r="AV21" s="71">
        <f>Costs!AV94</f>
        <v/>
      </c>
      <c r="AW21" s="71">
        <f>Costs!AW94</f>
        <v/>
      </c>
      <c r="AX21" s="71">
        <f>Costs!AX94</f>
        <v/>
      </c>
      <c r="AY21" s="71">
        <f>Costs!AY94</f>
        <v/>
      </c>
      <c r="AZ21" s="71">
        <f>Costs!AZ94</f>
        <v/>
      </c>
      <c r="BA21" s="71">
        <f>Costs!BA94</f>
        <v/>
      </c>
    </row>
    <row r="22" ht="14.25" customHeight="1" s="83">
      <c r="A22" s="77" t="inlineStr">
        <is>
          <t>Total Professional Services</t>
        </is>
      </c>
      <c r="B22" s="71">
        <f>Costs!B101</f>
        <v/>
      </c>
      <c r="C22" s="71">
        <f>Costs!C101</f>
        <v/>
      </c>
      <c r="D22" s="71">
        <f>Costs!D101</f>
        <v/>
      </c>
      <c r="E22" s="71">
        <f>Costs!E101</f>
        <v/>
      </c>
      <c r="F22" s="71">
        <f>Costs!F101</f>
        <v/>
      </c>
      <c r="G22" s="71">
        <f>Costs!G101</f>
        <v/>
      </c>
      <c r="H22" s="71">
        <f>Costs!H101</f>
        <v/>
      </c>
      <c r="I22" s="71">
        <f>Costs!I101</f>
        <v/>
      </c>
      <c r="J22" s="71">
        <f>Costs!J101</f>
        <v/>
      </c>
      <c r="K22" s="71">
        <f>Costs!K101</f>
        <v/>
      </c>
      <c r="L22" s="71">
        <f>Costs!L101</f>
        <v/>
      </c>
      <c r="M22" s="71">
        <f>Costs!M101</f>
        <v/>
      </c>
      <c r="N22" s="71">
        <f>Costs!N101</f>
        <v/>
      </c>
      <c r="O22" s="71">
        <f>Costs!O101</f>
        <v/>
      </c>
      <c r="P22" s="71">
        <f>Costs!P101</f>
        <v/>
      </c>
      <c r="Q22" s="71">
        <f>Costs!Q101</f>
        <v/>
      </c>
      <c r="R22" s="71">
        <f>Costs!R101</f>
        <v/>
      </c>
      <c r="S22" s="71">
        <f>Costs!S101</f>
        <v/>
      </c>
      <c r="T22" s="71">
        <f>Costs!T101</f>
        <v/>
      </c>
      <c r="U22" s="71">
        <f>Costs!U101</f>
        <v/>
      </c>
      <c r="V22" s="71">
        <f>Costs!V101</f>
        <v/>
      </c>
      <c r="W22" s="71">
        <f>Costs!W101</f>
        <v/>
      </c>
      <c r="X22" s="71">
        <f>Costs!X101</f>
        <v/>
      </c>
      <c r="Y22" s="71">
        <f>Costs!Y101</f>
        <v/>
      </c>
      <c r="Z22" s="71">
        <f>Costs!Z101</f>
        <v/>
      </c>
      <c r="AA22" s="71">
        <f>Costs!AA101</f>
        <v/>
      </c>
      <c r="AB22" s="71">
        <f>Costs!AB101</f>
        <v/>
      </c>
      <c r="AC22" s="71">
        <f>Costs!AC101</f>
        <v/>
      </c>
      <c r="AD22" s="71">
        <f>Costs!AD101</f>
        <v/>
      </c>
      <c r="AE22" s="71">
        <f>Costs!AE101</f>
        <v/>
      </c>
      <c r="AF22" s="71">
        <f>Costs!AF101</f>
        <v/>
      </c>
      <c r="AG22" s="71">
        <f>Costs!AG101</f>
        <v/>
      </c>
      <c r="AH22" s="71">
        <f>Costs!AH101</f>
        <v/>
      </c>
      <c r="AI22" s="71">
        <f>Costs!AI101</f>
        <v/>
      </c>
      <c r="AJ22" s="71">
        <f>Costs!AJ101</f>
        <v/>
      </c>
      <c r="AK22" s="71">
        <f>Costs!AK101</f>
        <v/>
      </c>
      <c r="AL22" s="71">
        <f>Costs!AL101</f>
        <v/>
      </c>
      <c r="AM22" s="71">
        <f>Costs!AM101</f>
        <v/>
      </c>
      <c r="AN22" s="71">
        <f>Costs!AN101</f>
        <v/>
      </c>
      <c r="AO22" s="71">
        <f>Costs!AO101</f>
        <v/>
      </c>
      <c r="AP22" s="71">
        <f>Costs!AP101</f>
        <v/>
      </c>
      <c r="AQ22" s="71">
        <f>Costs!AQ101</f>
        <v/>
      </c>
      <c r="AR22" s="71">
        <f>Costs!AR101</f>
        <v/>
      </c>
      <c r="AS22" s="71">
        <f>Costs!AS101</f>
        <v/>
      </c>
      <c r="AT22" s="71">
        <f>Costs!AT101</f>
        <v/>
      </c>
      <c r="AU22" s="71">
        <f>Costs!AU101</f>
        <v/>
      </c>
      <c r="AV22" s="71">
        <f>Costs!AV101</f>
        <v/>
      </c>
      <c r="AW22" s="71">
        <f>Costs!AW101</f>
        <v/>
      </c>
      <c r="AX22" s="71">
        <f>Costs!AX101</f>
        <v/>
      </c>
      <c r="AY22" s="71">
        <f>Costs!AY101</f>
        <v/>
      </c>
      <c r="AZ22" s="71">
        <f>Costs!AZ101</f>
        <v/>
      </c>
      <c r="BA22" s="71">
        <f>Costs!BA101</f>
        <v/>
      </c>
    </row>
    <row r="23" ht="14.25" customHeight="1" s="83">
      <c r="A23" s="77" t="inlineStr">
        <is>
          <t>Total Insurance &amp; Bank</t>
        </is>
      </c>
      <c r="B23" s="71">
        <f>Costs!B108</f>
        <v/>
      </c>
      <c r="C23" s="71">
        <f>Costs!C108</f>
        <v/>
      </c>
      <c r="D23" s="71">
        <f>Costs!D108</f>
        <v/>
      </c>
      <c r="E23" s="71">
        <f>Costs!E108</f>
        <v/>
      </c>
      <c r="F23" s="71">
        <f>Costs!F108</f>
        <v/>
      </c>
      <c r="G23" s="71">
        <f>Costs!G108</f>
        <v/>
      </c>
      <c r="H23" s="71">
        <f>Costs!H108</f>
        <v/>
      </c>
      <c r="I23" s="71">
        <f>Costs!I108</f>
        <v/>
      </c>
      <c r="J23" s="71">
        <f>Costs!J108</f>
        <v/>
      </c>
      <c r="K23" s="71">
        <f>Costs!K108</f>
        <v/>
      </c>
      <c r="L23" s="71">
        <f>Costs!L108</f>
        <v/>
      </c>
      <c r="M23" s="71">
        <f>Costs!M108</f>
        <v/>
      </c>
      <c r="N23" s="71">
        <f>Costs!N108</f>
        <v/>
      </c>
      <c r="O23" s="71">
        <f>Costs!O108</f>
        <v/>
      </c>
      <c r="P23" s="71">
        <f>Costs!P108</f>
        <v/>
      </c>
      <c r="Q23" s="71">
        <f>Costs!Q108</f>
        <v/>
      </c>
      <c r="R23" s="71">
        <f>Costs!R108</f>
        <v/>
      </c>
      <c r="S23" s="71">
        <f>Costs!S108</f>
        <v/>
      </c>
      <c r="T23" s="71">
        <f>Costs!T108</f>
        <v/>
      </c>
      <c r="U23" s="71">
        <f>Costs!U108</f>
        <v/>
      </c>
      <c r="V23" s="71">
        <f>Costs!V108</f>
        <v/>
      </c>
      <c r="W23" s="71">
        <f>Costs!W108</f>
        <v/>
      </c>
      <c r="X23" s="71">
        <f>Costs!X108</f>
        <v/>
      </c>
      <c r="Y23" s="71">
        <f>Costs!Y108</f>
        <v/>
      </c>
      <c r="Z23" s="71">
        <f>Costs!Z108</f>
        <v/>
      </c>
      <c r="AA23" s="71">
        <f>Costs!AA108</f>
        <v/>
      </c>
      <c r="AB23" s="71">
        <f>Costs!AB108</f>
        <v/>
      </c>
      <c r="AC23" s="71">
        <f>Costs!AC108</f>
        <v/>
      </c>
      <c r="AD23" s="71">
        <f>Costs!AD108</f>
        <v/>
      </c>
      <c r="AE23" s="71">
        <f>Costs!AE108</f>
        <v/>
      </c>
      <c r="AF23" s="71">
        <f>Costs!AF108</f>
        <v/>
      </c>
      <c r="AG23" s="71">
        <f>Costs!AG108</f>
        <v/>
      </c>
      <c r="AH23" s="71">
        <f>Costs!AH108</f>
        <v/>
      </c>
      <c r="AI23" s="71">
        <f>Costs!AI108</f>
        <v/>
      </c>
      <c r="AJ23" s="71">
        <f>Costs!AJ108</f>
        <v/>
      </c>
      <c r="AK23" s="71">
        <f>Costs!AK108</f>
        <v/>
      </c>
      <c r="AL23" s="71">
        <f>Costs!AL108</f>
        <v/>
      </c>
      <c r="AM23" s="71">
        <f>Costs!AM108</f>
        <v/>
      </c>
      <c r="AN23" s="71">
        <f>Costs!AN108</f>
        <v/>
      </c>
      <c r="AO23" s="71">
        <f>Costs!AO108</f>
        <v/>
      </c>
      <c r="AP23" s="71">
        <f>Costs!AP108</f>
        <v/>
      </c>
      <c r="AQ23" s="71">
        <f>Costs!AQ108</f>
        <v/>
      </c>
      <c r="AR23" s="71">
        <f>Costs!AR108</f>
        <v/>
      </c>
      <c r="AS23" s="71">
        <f>Costs!AS108</f>
        <v/>
      </c>
      <c r="AT23" s="71">
        <f>Costs!AT108</f>
        <v/>
      </c>
      <c r="AU23" s="71">
        <f>Costs!AU108</f>
        <v/>
      </c>
      <c r="AV23" s="71">
        <f>Costs!AV108</f>
        <v/>
      </c>
      <c r="AW23" s="71">
        <f>Costs!AW108</f>
        <v/>
      </c>
      <c r="AX23" s="71">
        <f>Costs!AX108</f>
        <v/>
      </c>
      <c r="AY23" s="71">
        <f>Costs!AY108</f>
        <v/>
      </c>
      <c r="AZ23" s="71">
        <f>Costs!AZ108</f>
        <v/>
      </c>
      <c r="BA23" s="71">
        <f>Costs!BA108</f>
        <v/>
      </c>
    </row>
    <row r="24" ht="14.25" customHeight="1" s="83">
      <c r="A24" s="77" t="inlineStr">
        <is>
          <t>Total Marketing &amp; Sales</t>
        </is>
      </c>
      <c r="B24" s="71">
        <f>Costs!B117</f>
        <v/>
      </c>
      <c r="C24" s="71">
        <f>Costs!C117</f>
        <v/>
      </c>
      <c r="D24" s="71">
        <f>Costs!D117</f>
        <v/>
      </c>
      <c r="E24" s="71">
        <f>Costs!E117</f>
        <v/>
      </c>
      <c r="F24" s="71">
        <f>Costs!F117</f>
        <v/>
      </c>
      <c r="G24" s="71">
        <f>Costs!G117</f>
        <v/>
      </c>
      <c r="H24" s="71">
        <f>Costs!H117</f>
        <v/>
      </c>
      <c r="I24" s="71">
        <f>Costs!I117</f>
        <v/>
      </c>
      <c r="J24" s="71">
        <f>Costs!J117</f>
        <v/>
      </c>
      <c r="K24" s="71">
        <f>Costs!K117</f>
        <v/>
      </c>
      <c r="L24" s="71">
        <f>Costs!L117</f>
        <v/>
      </c>
      <c r="M24" s="71">
        <f>Costs!M117</f>
        <v/>
      </c>
      <c r="N24" s="71">
        <f>Costs!N117</f>
        <v/>
      </c>
      <c r="O24" s="71">
        <f>Costs!O117</f>
        <v/>
      </c>
      <c r="P24" s="71">
        <f>Costs!P117</f>
        <v/>
      </c>
      <c r="Q24" s="71">
        <f>Costs!Q117</f>
        <v/>
      </c>
      <c r="R24" s="71">
        <f>Costs!R117</f>
        <v/>
      </c>
      <c r="S24" s="71">
        <f>Costs!S117</f>
        <v/>
      </c>
      <c r="T24" s="71">
        <f>Costs!T117</f>
        <v/>
      </c>
      <c r="U24" s="71">
        <f>Costs!U117</f>
        <v/>
      </c>
      <c r="V24" s="71">
        <f>Costs!V117</f>
        <v/>
      </c>
      <c r="W24" s="71">
        <f>Costs!W117</f>
        <v/>
      </c>
      <c r="X24" s="71">
        <f>Costs!X117</f>
        <v/>
      </c>
      <c r="Y24" s="71">
        <f>Costs!Y117</f>
        <v/>
      </c>
      <c r="Z24" s="71">
        <f>Costs!Z117</f>
        <v/>
      </c>
      <c r="AA24" s="71">
        <f>Costs!AA117</f>
        <v/>
      </c>
      <c r="AB24" s="71">
        <f>Costs!AB117</f>
        <v/>
      </c>
      <c r="AC24" s="71">
        <f>Costs!AC117</f>
        <v/>
      </c>
      <c r="AD24" s="71">
        <f>Costs!AD117</f>
        <v/>
      </c>
      <c r="AE24" s="71">
        <f>Costs!AE117</f>
        <v/>
      </c>
      <c r="AF24" s="71">
        <f>Costs!AF117</f>
        <v/>
      </c>
      <c r="AG24" s="71">
        <f>Costs!AG117</f>
        <v/>
      </c>
      <c r="AH24" s="71">
        <f>Costs!AH117</f>
        <v/>
      </c>
      <c r="AI24" s="71">
        <f>Costs!AI117</f>
        <v/>
      </c>
      <c r="AJ24" s="71">
        <f>Costs!AJ117</f>
        <v/>
      </c>
      <c r="AK24" s="71">
        <f>Costs!AK117</f>
        <v/>
      </c>
      <c r="AL24" s="71">
        <f>Costs!AL117</f>
        <v/>
      </c>
      <c r="AM24" s="71">
        <f>Costs!AM117</f>
        <v/>
      </c>
      <c r="AN24" s="71">
        <f>Costs!AN117</f>
        <v/>
      </c>
      <c r="AO24" s="71">
        <f>Costs!AO117</f>
        <v/>
      </c>
      <c r="AP24" s="71">
        <f>Costs!AP117</f>
        <v/>
      </c>
      <c r="AQ24" s="71">
        <f>Costs!AQ117</f>
        <v/>
      </c>
      <c r="AR24" s="71">
        <f>Costs!AR117</f>
        <v/>
      </c>
      <c r="AS24" s="71">
        <f>Costs!AS117</f>
        <v/>
      </c>
      <c r="AT24" s="71">
        <f>Costs!AT117</f>
        <v/>
      </c>
      <c r="AU24" s="71">
        <f>Costs!AU117</f>
        <v/>
      </c>
      <c r="AV24" s="71">
        <f>Costs!AV117</f>
        <v/>
      </c>
      <c r="AW24" s="71">
        <f>Costs!AW117</f>
        <v/>
      </c>
      <c r="AX24" s="71">
        <f>Costs!AX117</f>
        <v/>
      </c>
      <c r="AY24" s="71">
        <f>Costs!AY117</f>
        <v/>
      </c>
      <c r="AZ24" s="71">
        <f>Costs!AZ117</f>
        <v/>
      </c>
      <c r="BA24" s="71">
        <f>Costs!BA117</f>
        <v/>
      </c>
    </row>
    <row r="25" ht="14.25" customHeight="1" s="83">
      <c r="A25" s="77" t="inlineStr">
        <is>
          <t>Total Other OpEx</t>
        </is>
      </c>
      <c r="B25" s="71">
        <f>Costs!B125</f>
        <v/>
      </c>
      <c r="C25" s="71">
        <f>Costs!C125</f>
        <v/>
      </c>
      <c r="D25" s="71">
        <f>Costs!D125</f>
        <v/>
      </c>
      <c r="E25" s="71">
        <f>Costs!E125</f>
        <v/>
      </c>
      <c r="F25" s="71">
        <f>Costs!F125</f>
        <v/>
      </c>
      <c r="G25" s="71">
        <f>Costs!G125</f>
        <v/>
      </c>
      <c r="H25" s="71">
        <f>Costs!H125</f>
        <v/>
      </c>
      <c r="I25" s="71">
        <f>Costs!I125</f>
        <v/>
      </c>
      <c r="J25" s="71">
        <f>Costs!J125</f>
        <v/>
      </c>
      <c r="K25" s="71">
        <f>Costs!K125</f>
        <v/>
      </c>
      <c r="L25" s="71">
        <f>Costs!L125</f>
        <v/>
      </c>
      <c r="M25" s="71">
        <f>Costs!M125</f>
        <v/>
      </c>
      <c r="N25" s="71">
        <f>Costs!N125</f>
        <v/>
      </c>
      <c r="O25" s="71">
        <f>Costs!O125</f>
        <v/>
      </c>
      <c r="P25" s="71">
        <f>Costs!P125</f>
        <v/>
      </c>
      <c r="Q25" s="71">
        <f>Costs!Q125</f>
        <v/>
      </c>
      <c r="R25" s="71">
        <f>Costs!R125</f>
        <v/>
      </c>
      <c r="S25" s="71">
        <f>Costs!S125</f>
        <v/>
      </c>
      <c r="T25" s="71">
        <f>Costs!T125</f>
        <v/>
      </c>
      <c r="U25" s="71">
        <f>Costs!U125</f>
        <v/>
      </c>
      <c r="V25" s="71">
        <f>Costs!V125</f>
        <v/>
      </c>
      <c r="W25" s="71">
        <f>Costs!W125</f>
        <v/>
      </c>
      <c r="X25" s="71">
        <f>Costs!X125</f>
        <v/>
      </c>
      <c r="Y25" s="71">
        <f>Costs!Y125</f>
        <v/>
      </c>
      <c r="Z25" s="71">
        <f>Costs!Z125</f>
        <v/>
      </c>
      <c r="AA25" s="71">
        <f>Costs!AA125</f>
        <v/>
      </c>
      <c r="AB25" s="71">
        <f>Costs!AB125</f>
        <v/>
      </c>
      <c r="AC25" s="71">
        <f>Costs!AC125</f>
        <v/>
      </c>
      <c r="AD25" s="71">
        <f>Costs!AD125</f>
        <v/>
      </c>
      <c r="AE25" s="71">
        <f>Costs!AE125</f>
        <v/>
      </c>
      <c r="AF25" s="71">
        <f>Costs!AF125</f>
        <v/>
      </c>
      <c r="AG25" s="71">
        <f>Costs!AG125</f>
        <v/>
      </c>
      <c r="AH25" s="71">
        <f>Costs!AH125</f>
        <v/>
      </c>
      <c r="AI25" s="71">
        <f>Costs!AI125</f>
        <v/>
      </c>
      <c r="AJ25" s="71">
        <f>Costs!AJ125</f>
        <v/>
      </c>
      <c r="AK25" s="71">
        <f>Costs!AK125</f>
        <v/>
      </c>
      <c r="AL25" s="71">
        <f>Costs!AL125</f>
        <v/>
      </c>
      <c r="AM25" s="71">
        <f>Costs!AM125</f>
        <v/>
      </c>
      <c r="AN25" s="71">
        <f>Costs!AN125</f>
        <v/>
      </c>
      <c r="AO25" s="71">
        <f>Costs!AO125</f>
        <v/>
      </c>
      <c r="AP25" s="71">
        <f>Costs!AP125</f>
        <v/>
      </c>
      <c r="AQ25" s="71">
        <f>Costs!AQ125</f>
        <v/>
      </c>
      <c r="AR25" s="71">
        <f>Costs!AR125</f>
        <v/>
      </c>
      <c r="AS25" s="71">
        <f>Costs!AS125</f>
        <v/>
      </c>
      <c r="AT25" s="71">
        <f>Costs!AT125</f>
        <v/>
      </c>
      <c r="AU25" s="71">
        <f>Costs!AU125</f>
        <v/>
      </c>
      <c r="AV25" s="71">
        <f>Costs!AV125</f>
        <v/>
      </c>
      <c r="AW25" s="71">
        <f>Costs!AW125</f>
        <v/>
      </c>
      <c r="AX25" s="71">
        <f>Costs!AX125</f>
        <v/>
      </c>
      <c r="AY25" s="71">
        <f>Costs!AY125</f>
        <v/>
      </c>
      <c r="AZ25" s="71">
        <f>Costs!AZ125</f>
        <v/>
      </c>
      <c r="BA25" s="71">
        <f>Costs!BA125</f>
        <v/>
      </c>
    </row>
    <row r="26" ht="14.25" customHeight="1" s="83">
      <c r="A26" s="77" t="inlineStr">
        <is>
          <t>Contingency/Buffer</t>
        </is>
      </c>
      <c r="B26" s="71">
        <f>Costs!B130</f>
        <v/>
      </c>
      <c r="C26" s="71">
        <f>Costs!C130</f>
        <v/>
      </c>
      <c r="D26" s="71">
        <f>Costs!D130</f>
        <v/>
      </c>
      <c r="E26" s="71">
        <f>Costs!E130</f>
        <v/>
      </c>
      <c r="F26" s="71">
        <f>Costs!F130</f>
        <v/>
      </c>
      <c r="G26" s="71">
        <f>Costs!G130</f>
        <v/>
      </c>
      <c r="H26" s="71">
        <f>Costs!H130</f>
        <v/>
      </c>
      <c r="I26" s="71">
        <f>Costs!I130</f>
        <v/>
      </c>
      <c r="J26" s="71">
        <f>Costs!J130</f>
        <v/>
      </c>
      <c r="K26" s="71">
        <f>Costs!K130</f>
        <v/>
      </c>
      <c r="L26" s="71">
        <f>Costs!L130</f>
        <v/>
      </c>
      <c r="M26" s="71">
        <f>Costs!M130</f>
        <v/>
      </c>
      <c r="N26" s="71">
        <f>Costs!N130</f>
        <v/>
      </c>
      <c r="O26" s="71">
        <f>Costs!O130</f>
        <v/>
      </c>
      <c r="P26" s="71">
        <f>Costs!P130</f>
        <v/>
      </c>
      <c r="Q26" s="71">
        <f>Costs!Q130</f>
        <v/>
      </c>
      <c r="R26" s="71">
        <f>Costs!R130</f>
        <v/>
      </c>
      <c r="S26" s="71">
        <f>Costs!S130</f>
        <v/>
      </c>
      <c r="T26" s="71">
        <f>Costs!T130</f>
        <v/>
      </c>
      <c r="U26" s="71">
        <f>Costs!U130</f>
        <v/>
      </c>
      <c r="V26" s="71">
        <f>Costs!V130</f>
        <v/>
      </c>
      <c r="W26" s="71">
        <f>Costs!W130</f>
        <v/>
      </c>
      <c r="X26" s="71">
        <f>Costs!X130</f>
        <v/>
      </c>
      <c r="Y26" s="71">
        <f>Costs!Y130</f>
        <v/>
      </c>
      <c r="Z26" s="71">
        <f>Costs!Z130</f>
        <v/>
      </c>
      <c r="AA26" s="71">
        <f>Costs!AA130</f>
        <v/>
      </c>
      <c r="AB26" s="71">
        <f>Costs!AB130</f>
        <v/>
      </c>
      <c r="AC26" s="71">
        <f>Costs!AC130</f>
        <v/>
      </c>
      <c r="AD26" s="71">
        <f>Costs!AD130</f>
        <v/>
      </c>
      <c r="AE26" s="71">
        <f>Costs!AE130</f>
        <v/>
      </c>
      <c r="AF26" s="71">
        <f>Costs!AF130</f>
        <v/>
      </c>
      <c r="AG26" s="71">
        <f>Costs!AG130</f>
        <v/>
      </c>
      <c r="AH26" s="71">
        <f>Costs!AH130</f>
        <v/>
      </c>
      <c r="AI26" s="71">
        <f>Costs!AI130</f>
        <v/>
      </c>
      <c r="AJ26" s="71">
        <f>Costs!AJ130</f>
        <v/>
      </c>
      <c r="AK26" s="71">
        <f>Costs!AK130</f>
        <v/>
      </c>
      <c r="AL26" s="71">
        <f>Costs!AL130</f>
        <v/>
      </c>
      <c r="AM26" s="71">
        <f>Costs!AM130</f>
        <v/>
      </c>
      <c r="AN26" s="71">
        <f>Costs!AN130</f>
        <v/>
      </c>
      <c r="AO26" s="71">
        <f>Costs!AO130</f>
        <v/>
      </c>
      <c r="AP26" s="71">
        <f>Costs!AP130</f>
        <v/>
      </c>
      <c r="AQ26" s="71">
        <f>Costs!AQ130</f>
        <v/>
      </c>
      <c r="AR26" s="71">
        <f>Costs!AR130</f>
        <v/>
      </c>
      <c r="AS26" s="71">
        <f>Costs!AS130</f>
        <v/>
      </c>
      <c r="AT26" s="71">
        <f>Costs!AT130</f>
        <v/>
      </c>
      <c r="AU26" s="71">
        <f>Costs!AU130</f>
        <v/>
      </c>
      <c r="AV26" s="71">
        <f>Costs!AV130</f>
        <v/>
      </c>
      <c r="AW26" s="71">
        <f>Costs!AW130</f>
        <v/>
      </c>
      <c r="AX26" s="71">
        <f>Costs!AX130</f>
        <v/>
      </c>
      <c r="AY26" s="71">
        <f>Costs!AY130</f>
        <v/>
      </c>
      <c r="AZ26" s="71">
        <f>Costs!AZ130</f>
        <v/>
      </c>
      <c r="BA26" s="71">
        <f>Costs!BA130</f>
        <v/>
      </c>
    </row>
    <row r="27" ht="14.25" customHeight="1" s="83">
      <c r="A27" s="2" t="inlineStr">
        <is>
          <t>TOTAL OPERATING EXPENSES</t>
        </is>
      </c>
      <c r="B27" s="72">
        <f>SUM(B19:B26)</f>
        <v/>
      </c>
      <c r="C27" s="72">
        <f>SUM(C19:C26)</f>
        <v/>
      </c>
      <c r="D27" s="72">
        <f>SUM(D19:D26)</f>
        <v/>
      </c>
      <c r="E27" s="72">
        <f>SUM(E19:E26)</f>
        <v/>
      </c>
      <c r="F27" s="72">
        <f>SUM(F19:F26)</f>
        <v/>
      </c>
      <c r="G27" s="72">
        <f>SUM(G19:G26)</f>
        <v/>
      </c>
      <c r="H27" s="72">
        <f>SUM(H19:H26)</f>
        <v/>
      </c>
      <c r="I27" s="72">
        <f>SUM(I19:I26)</f>
        <v/>
      </c>
      <c r="J27" s="72">
        <f>SUM(J19:J26)</f>
        <v/>
      </c>
      <c r="K27" s="72">
        <f>SUM(K19:K26)</f>
        <v/>
      </c>
      <c r="L27" s="72">
        <f>SUM(L19:L26)</f>
        <v/>
      </c>
      <c r="M27" s="72">
        <f>SUM(M19:M26)</f>
        <v/>
      </c>
      <c r="N27" s="72">
        <f>SUM(N19:N26)</f>
        <v/>
      </c>
      <c r="O27" s="72">
        <f>SUM(O19:O26)</f>
        <v/>
      </c>
      <c r="P27" s="72">
        <f>SUM(P19:P26)</f>
        <v/>
      </c>
      <c r="Q27" s="72">
        <f>SUM(Q19:Q26)</f>
        <v/>
      </c>
      <c r="R27" s="72">
        <f>SUM(R19:R26)</f>
        <v/>
      </c>
      <c r="S27" s="72">
        <f>SUM(S19:S26)</f>
        <v/>
      </c>
      <c r="T27" s="72">
        <f>SUM(T19:T26)</f>
        <v/>
      </c>
      <c r="U27" s="72">
        <f>SUM(U19:U26)</f>
        <v/>
      </c>
      <c r="V27" s="72">
        <f>SUM(V19:V26)</f>
        <v/>
      </c>
      <c r="W27" s="72">
        <f>SUM(W19:W26)</f>
        <v/>
      </c>
      <c r="X27" s="72">
        <f>SUM(X19:X26)</f>
        <v/>
      </c>
      <c r="Y27" s="72">
        <f>SUM(Y19:Y26)</f>
        <v/>
      </c>
      <c r="Z27" s="72">
        <f>SUM(Z19:Z26)</f>
        <v/>
      </c>
      <c r="AA27" s="72">
        <f>SUM(AA19:AA26)</f>
        <v/>
      </c>
      <c r="AB27" s="72">
        <f>SUM(AB19:AB26)</f>
        <v/>
      </c>
      <c r="AC27" s="72">
        <f>SUM(AC19:AC26)</f>
        <v/>
      </c>
      <c r="AD27" s="72">
        <f>SUM(AD19:AD26)</f>
        <v/>
      </c>
      <c r="AE27" s="72">
        <f>SUM(AE19:AE26)</f>
        <v/>
      </c>
      <c r="AF27" s="72">
        <f>SUM(AF19:AF26)</f>
        <v/>
      </c>
      <c r="AG27" s="72">
        <f>SUM(AG19:AG26)</f>
        <v/>
      </c>
      <c r="AH27" s="72">
        <f>SUM(AH19:AH26)</f>
        <v/>
      </c>
      <c r="AI27" s="72">
        <f>SUM(AI19:AI26)</f>
        <v/>
      </c>
      <c r="AJ27" s="72">
        <f>SUM(AJ19:AJ26)</f>
        <v/>
      </c>
      <c r="AK27" s="72">
        <f>SUM(AK19:AK26)</f>
        <v/>
      </c>
      <c r="AL27" s="72">
        <f>SUM(AL19:AL26)</f>
        <v/>
      </c>
      <c r="AM27" s="72">
        <f>SUM(AM19:AM26)</f>
        <v/>
      </c>
      <c r="AN27" s="72">
        <f>SUM(AN19:AN26)</f>
        <v/>
      </c>
      <c r="AO27" s="72">
        <f>SUM(AO19:AO26)</f>
        <v/>
      </c>
      <c r="AP27" s="72">
        <f>SUM(AP19:AP26)</f>
        <v/>
      </c>
      <c r="AQ27" s="72">
        <f>SUM(AQ19:AQ26)</f>
        <v/>
      </c>
      <c r="AR27" s="72">
        <f>SUM(AR19:AR26)</f>
        <v/>
      </c>
      <c r="AS27" s="72">
        <f>SUM(AS19:AS26)</f>
        <v/>
      </c>
      <c r="AT27" s="72">
        <f>SUM(AT19:AT26)</f>
        <v/>
      </c>
      <c r="AU27" s="72">
        <f>SUM(AU19:AU26)</f>
        <v/>
      </c>
      <c r="AV27" s="72">
        <f>SUM(AV19:AV26)</f>
        <v/>
      </c>
      <c r="AW27" s="72">
        <f>SUM(AW19:AW26)</f>
        <v/>
      </c>
      <c r="AX27" s="72">
        <f>SUM(AX19:AX26)</f>
        <v/>
      </c>
      <c r="AY27" s="72">
        <f>SUM(AY19:AY26)</f>
        <v/>
      </c>
      <c r="AZ27" s="72">
        <f>SUM(AZ19:AZ26)</f>
        <v/>
      </c>
      <c r="BA27" s="72">
        <f>SUM(BA19:BA26)</f>
        <v/>
      </c>
    </row>
    <row r="28" ht="14.25" customHeight="1" s="83"/>
    <row r="29" ht="14.25" customHeight="1" s="83">
      <c r="A29" s="2" t="inlineStr">
        <is>
          <t>EBITDA</t>
        </is>
      </c>
      <c r="B29" s="72">
        <f>B15-B27</f>
        <v/>
      </c>
      <c r="C29" s="72">
        <f>C15-C27</f>
        <v/>
      </c>
      <c r="D29" s="72">
        <f>D15-D27</f>
        <v/>
      </c>
      <c r="E29" s="72">
        <f>E15-E27</f>
        <v/>
      </c>
      <c r="F29" s="72">
        <f>F15-F27</f>
        <v/>
      </c>
      <c r="G29" s="72">
        <f>G15-G27</f>
        <v/>
      </c>
      <c r="H29" s="72">
        <f>H15-H27</f>
        <v/>
      </c>
      <c r="I29" s="72">
        <f>I15-I27</f>
        <v/>
      </c>
      <c r="J29" s="72">
        <f>J15-J27</f>
        <v/>
      </c>
      <c r="K29" s="72">
        <f>K15-K27</f>
        <v/>
      </c>
      <c r="L29" s="72">
        <f>L15-L27</f>
        <v/>
      </c>
      <c r="M29" s="72">
        <f>M15-M27</f>
        <v/>
      </c>
      <c r="N29" s="72">
        <f>N15-N27</f>
        <v/>
      </c>
      <c r="O29" s="72">
        <f>O15-O27</f>
        <v/>
      </c>
      <c r="P29" s="72">
        <f>P15-P27</f>
        <v/>
      </c>
      <c r="Q29" s="72">
        <f>Q15-Q27</f>
        <v/>
      </c>
      <c r="R29" s="72">
        <f>R15-R27</f>
        <v/>
      </c>
      <c r="S29" s="72">
        <f>S15-S27</f>
        <v/>
      </c>
      <c r="T29" s="72">
        <f>T15-T27</f>
        <v/>
      </c>
      <c r="U29" s="72">
        <f>U15-U27</f>
        <v/>
      </c>
      <c r="V29" s="72">
        <f>V15-V27</f>
        <v/>
      </c>
      <c r="W29" s="72">
        <f>W15-W27</f>
        <v/>
      </c>
      <c r="X29" s="72">
        <f>X15-X27</f>
        <v/>
      </c>
      <c r="Y29" s="72">
        <f>Y15-Y27</f>
        <v/>
      </c>
      <c r="Z29" s="72">
        <f>Z15-Z27</f>
        <v/>
      </c>
      <c r="AA29" s="72">
        <f>AA15-AA27</f>
        <v/>
      </c>
      <c r="AB29" s="72">
        <f>AB15-AB27</f>
        <v/>
      </c>
      <c r="AC29" s="72">
        <f>AC15-AC27</f>
        <v/>
      </c>
      <c r="AD29" s="72">
        <f>AD15-AD27</f>
        <v/>
      </c>
      <c r="AE29" s="72">
        <f>AE15-AE27</f>
        <v/>
      </c>
      <c r="AF29" s="72">
        <f>AF15-AF27</f>
        <v/>
      </c>
      <c r="AG29" s="72">
        <f>AG15-AG27</f>
        <v/>
      </c>
      <c r="AH29" s="72">
        <f>AH15-AH27</f>
        <v/>
      </c>
      <c r="AI29" s="72">
        <f>AI15-AI27</f>
        <v/>
      </c>
      <c r="AJ29" s="72">
        <f>AJ15-AJ27</f>
        <v/>
      </c>
      <c r="AK29" s="72">
        <f>AK15-AK27</f>
        <v/>
      </c>
      <c r="AL29" s="72">
        <f>AL15-AL27</f>
        <v/>
      </c>
      <c r="AM29" s="72">
        <f>AM15-AM27</f>
        <v/>
      </c>
      <c r="AN29" s="72">
        <f>AN15-AN27</f>
        <v/>
      </c>
      <c r="AO29" s="72">
        <f>AO15-AO27</f>
        <v/>
      </c>
      <c r="AP29" s="72">
        <f>AP15-AP27</f>
        <v/>
      </c>
      <c r="AQ29" s="72">
        <f>AQ15-AQ27</f>
        <v/>
      </c>
      <c r="AR29" s="72">
        <f>AR15-AR27</f>
        <v/>
      </c>
      <c r="AS29" s="72">
        <f>AS15-AS27</f>
        <v/>
      </c>
      <c r="AT29" s="72">
        <f>AT15-AT27</f>
        <v/>
      </c>
      <c r="AU29" s="72">
        <f>AU15-AU27</f>
        <v/>
      </c>
      <c r="AV29" s="72">
        <f>AV15-AV27</f>
        <v/>
      </c>
      <c r="AW29" s="72">
        <f>AW15-AW27</f>
        <v/>
      </c>
      <c r="AX29" s="72">
        <f>AX15-AX27</f>
        <v/>
      </c>
      <c r="AY29" s="72">
        <f>AY15-AY27</f>
        <v/>
      </c>
      <c r="AZ29" s="72">
        <f>AZ15-AZ27</f>
        <v/>
      </c>
      <c r="BA29" s="72">
        <f>BA15-BA27</f>
        <v/>
      </c>
    </row>
    <row r="30" ht="14.25" customHeight="1" s="83">
      <c r="A30" s="77" t="inlineStr">
        <is>
          <t>EBITDA Margin %</t>
        </is>
      </c>
      <c r="B30" s="73">
        <f>IFERROR(B29/B7,0)</f>
        <v/>
      </c>
      <c r="C30" s="73">
        <f>IFERROR(C29/C7,0)</f>
        <v/>
      </c>
      <c r="D30" s="73">
        <f>IFERROR(D29/D7,0)</f>
        <v/>
      </c>
      <c r="E30" s="73">
        <f>IFERROR(E29/E7,0)</f>
        <v/>
      </c>
      <c r="F30" s="73">
        <f>IFERROR(F29/F7,0)</f>
        <v/>
      </c>
      <c r="G30" s="73">
        <f>IFERROR(G29/G7,0)</f>
        <v/>
      </c>
      <c r="H30" s="73">
        <f>IFERROR(H29/H7,0)</f>
        <v/>
      </c>
      <c r="I30" s="73">
        <f>IFERROR(I29/I7,0)</f>
        <v/>
      </c>
      <c r="J30" s="73">
        <f>IFERROR(J29/J7,0)</f>
        <v/>
      </c>
      <c r="K30" s="73">
        <f>IFERROR(K29/K7,0)</f>
        <v/>
      </c>
      <c r="L30" s="73">
        <f>IFERROR(L29/L7,0)</f>
        <v/>
      </c>
      <c r="M30" s="73">
        <f>IFERROR(M29/M7,0)</f>
        <v/>
      </c>
      <c r="N30" s="73">
        <f>IFERROR(N29/N7,0)</f>
        <v/>
      </c>
      <c r="O30" s="73">
        <f>IFERROR(O29/O7,0)</f>
        <v/>
      </c>
      <c r="P30" s="73">
        <f>IFERROR(P29/P7,0)</f>
        <v/>
      </c>
      <c r="Q30" s="73">
        <f>IFERROR(Q29/Q7,0)</f>
        <v/>
      </c>
      <c r="R30" s="73">
        <f>IFERROR(R29/R7,0)</f>
        <v/>
      </c>
      <c r="S30" s="73">
        <f>IFERROR(S29/S7,0)</f>
        <v/>
      </c>
      <c r="T30" s="73">
        <f>IFERROR(T29/T7,0)</f>
        <v/>
      </c>
      <c r="U30" s="73">
        <f>IFERROR(U29/U7,0)</f>
        <v/>
      </c>
      <c r="V30" s="73">
        <f>IFERROR(V29/V7,0)</f>
        <v/>
      </c>
      <c r="W30" s="73">
        <f>IFERROR(W29/W7,0)</f>
        <v/>
      </c>
      <c r="X30" s="73">
        <f>IFERROR(X29/X7,0)</f>
        <v/>
      </c>
      <c r="Y30" s="73">
        <f>IFERROR(Y29/Y7,0)</f>
        <v/>
      </c>
      <c r="Z30" s="73">
        <f>IFERROR(Z29/Z7,0)</f>
        <v/>
      </c>
      <c r="AA30" s="73">
        <f>IFERROR(AA29/AA7,0)</f>
        <v/>
      </c>
      <c r="AB30" s="73">
        <f>IFERROR(AB29/AB7,0)</f>
        <v/>
      </c>
      <c r="AC30" s="73">
        <f>IFERROR(AC29/AC7,0)</f>
        <v/>
      </c>
      <c r="AD30" s="73">
        <f>IFERROR(AD29/AD7,0)</f>
        <v/>
      </c>
      <c r="AE30" s="73">
        <f>IFERROR(AE29/AE7,0)</f>
        <v/>
      </c>
      <c r="AF30" s="73">
        <f>IFERROR(AF29/AF7,0)</f>
        <v/>
      </c>
      <c r="AG30" s="73">
        <f>IFERROR(AG29/AG7,0)</f>
        <v/>
      </c>
      <c r="AH30" s="73">
        <f>IFERROR(AH29/AH7,0)</f>
        <v/>
      </c>
      <c r="AI30" s="73">
        <f>IFERROR(AI29/AI7,0)</f>
        <v/>
      </c>
      <c r="AJ30" s="73">
        <f>IFERROR(AJ29/AJ7,0)</f>
        <v/>
      </c>
      <c r="AK30" s="73">
        <f>IFERROR(AK29/AK7,0)</f>
        <v/>
      </c>
      <c r="AL30" s="73">
        <f>IFERROR(AL29/AL7,0)</f>
        <v/>
      </c>
      <c r="AM30" s="73">
        <f>IFERROR(AM29/AM7,0)</f>
        <v/>
      </c>
      <c r="AN30" s="73">
        <f>IFERROR(AN29/AN7,0)</f>
        <v/>
      </c>
      <c r="AO30" s="73">
        <f>IFERROR(AO29/AO7,0)</f>
        <v/>
      </c>
      <c r="AP30" s="73">
        <f>IFERROR(AP29/AP7,0)</f>
        <v/>
      </c>
      <c r="AQ30" s="73">
        <f>IFERROR(AQ29/AQ7,0)</f>
        <v/>
      </c>
      <c r="AR30" s="73">
        <f>IFERROR(AR29/AR7,0)</f>
        <v/>
      </c>
      <c r="AS30" s="73">
        <f>IFERROR(AS29/AS7,0)</f>
        <v/>
      </c>
      <c r="AT30" s="73">
        <f>IFERROR(AT29/AT7,0)</f>
        <v/>
      </c>
      <c r="AU30" s="73">
        <f>IFERROR(AU29/AU7,0)</f>
        <v/>
      </c>
      <c r="AV30" s="73">
        <f>IFERROR(AV29/AV7,0)</f>
        <v/>
      </c>
      <c r="AW30" s="73">
        <f>IFERROR(AW29/AW7,0)</f>
        <v/>
      </c>
      <c r="AX30" s="73">
        <f>IFERROR(AX29/AX7,0)</f>
        <v/>
      </c>
      <c r="AY30" s="73">
        <f>IFERROR(AY29/AY7,0)</f>
        <v/>
      </c>
      <c r="AZ30" s="73">
        <f>IFERROR(AZ29/AZ7,0)</f>
        <v/>
      </c>
      <c r="BA30" s="73">
        <f>IFERROR(BA29/BA7,0)</f>
        <v/>
      </c>
    </row>
    <row r="31" ht="14.25" customHeight="1" s="83"/>
    <row r="32" ht="14.25" customHeight="1" s="83">
      <c r="A32" s="77" t="inlineStr">
        <is>
          <t>Depreciation &amp; Amortization</t>
        </is>
      </c>
      <c r="B32" s="74">
        <f>Costs!B123/Inputs!$B$135/12</f>
        <v/>
      </c>
      <c r="C32" s="74">
        <f>Costs!C123/Inputs!$B$135/12</f>
        <v/>
      </c>
      <c r="D32" s="74">
        <f>Costs!D123/Inputs!$B$135/12</f>
        <v/>
      </c>
      <c r="E32" s="74">
        <f>Costs!E123/Inputs!$B$135/12</f>
        <v/>
      </c>
      <c r="F32" s="74">
        <f>Costs!F123/Inputs!$B$135/12</f>
        <v/>
      </c>
      <c r="G32" s="74">
        <f>Costs!G123/Inputs!$B$135/12</f>
        <v/>
      </c>
      <c r="H32" s="74">
        <f>Costs!H123/Inputs!$B$135/12</f>
        <v/>
      </c>
      <c r="I32" s="74">
        <f>Costs!I123/Inputs!$B$135/12</f>
        <v/>
      </c>
      <c r="J32" s="74">
        <f>Costs!J123/Inputs!$B$135/12</f>
        <v/>
      </c>
      <c r="K32" s="74">
        <f>Costs!K123/Inputs!$B$135/12</f>
        <v/>
      </c>
      <c r="L32" s="74">
        <f>Costs!L123/Inputs!$B$135/12</f>
        <v/>
      </c>
      <c r="M32" s="74">
        <f>Costs!M123/Inputs!$B$135/12</f>
        <v/>
      </c>
      <c r="N32" s="74">
        <f>Costs!N123/Inputs!$B$135/12</f>
        <v/>
      </c>
      <c r="O32" s="74">
        <f>Costs!O123/Inputs!$B$135/12</f>
        <v/>
      </c>
      <c r="P32" s="74">
        <f>Costs!P123/Inputs!$B$135/12</f>
        <v/>
      </c>
      <c r="Q32" s="74">
        <f>Costs!Q123/Inputs!$B$135/12</f>
        <v/>
      </c>
      <c r="R32" s="74">
        <f>Costs!R123/Inputs!$B$135/12</f>
        <v/>
      </c>
      <c r="S32" s="74">
        <f>Costs!S123/Inputs!$B$135/12</f>
        <v/>
      </c>
      <c r="T32" s="74">
        <f>Costs!T123/Inputs!$B$135/12</f>
        <v/>
      </c>
      <c r="U32" s="74">
        <f>Costs!U123/Inputs!$B$135/12</f>
        <v/>
      </c>
      <c r="V32" s="74">
        <f>Costs!V123/Inputs!$B$135/12</f>
        <v/>
      </c>
      <c r="W32" s="74">
        <f>Costs!W123/Inputs!$B$135/12</f>
        <v/>
      </c>
      <c r="X32" s="74">
        <f>Costs!X123/Inputs!$B$135/12</f>
        <v/>
      </c>
      <c r="Y32" s="74">
        <f>Costs!Y123/Inputs!$B$135/12</f>
        <v/>
      </c>
      <c r="Z32" s="74">
        <f>Costs!Z123/Inputs!$B$135/12</f>
        <v/>
      </c>
      <c r="AA32" s="74">
        <f>Costs!AA123/Inputs!$B$135/12</f>
        <v/>
      </c>
      <c r="AB32" s="74">
        <f>Costs!AB123/Inputs!$B$135/12</f>
        <v/>
      </c>
      <c r="AC32" s="74">
        <f>Costs!AC123/Inputs!$B$135/12</f>
        <v/>
      </c>
      <c r="AD32" s="74">
        <f>Costs!AD123/Inputs!$B$135/12</f>
        <v/>
      </c>
      <c r="AE32" s="74">
        <f>Costs!AE123/Inputs!$B$135/12</f>
        <v/>
      </c>
      <c r="AF32" s="74">
        <f>Costs!AF123/Inputs!$B$135/12</f>
        <v/>
      </c>
      <c r="AG32" s="74">
        <f>Costs!AG123/Inputs!$B$135/12</f>
        <v/>
      </c>
      <c r="AH32" s="74">
        <f>Costs!AH123/Inputs!$B$135/12</f>
        <v/>
      </c>
      <c r="AI32" s="74">
        <f>Costs!AI123/Inputs!$B$135/12</f>
        <v/>
      </c>
      <c r="AJ32" s="74">
        <f>Costs!AJ123/Inputs!$B$135/12</f>
        <v/>
      </c>
      <c r="AK32" s="74">
        <f>Costs!AK123/Inputs!$B$135/12</f>
        <v/>
      </c>
      <c r="AL32" s="74">
        <f>Costs!AL123/Inputs!$B$135/12</f>
        <v/>
      </c>
      <c r="AM32" s="74">
        <f>Costs!AM123/Inputs!$B$135/12</f>
        <v/>
      </c>
      <c r="AN32" s="74">
        <f>Costs!AN123/Inputs!$B$135/12</f>
        <v/>
      </c>
      <c r="AO32" s="74">
        <f>Costs!AO123/Inputs!$B$135/12</f>
        <v/>
      </c>
      <c r="AP32" s="74">
        <f>Costs!AP123/Inputs!$B$135/12</f>
        <v/>
      </c>
      <c r="AQ32" s="74">
        <f>Costs!AQ123/Inputs!$B$135/12</f>
        <v/>
      </c>
      <c r="AR32" s="74">
        <f>Costs!AR123/Inputs!$B$135/12</f>
        <v/>
      </c>
      <c r="AS32" s="74">
        <f>Costs!AS123/Inputs!$B$135/12</f>
        <v/>
      </c>
      <c r="AT32" s="74">
        <f>Costs!AT123/Inputs!$B$135/12</f>
        <v/>
      </c>
      <c r="AU32" s="74">
        <f>Costs!AU123/Inputs!$B$135/12</f>
        <v/>
      </c>
      <c r="AV32" s="74">
        <f>Costs!AV123/Inputs!$B$135/12</f>
        <v/>
      </c>
      <c r="AW32" s="74">
        <f>Costs!AW123/Inputs!$B$135/12</f>
        <v/>
      </c>
      <c r="AX32" s="74">
        <f>Costs!AX123/Inputs!$B$135/12</f>
        <v/>
      </c>
      <c r="AY32" s="74">
        <f>Costs!AY123/Inputs!$B$135/12</f>
        <v/>
      </c>
      <c r="AZ32" s="74">
        <f>Costs!AZ123/Inputs!$B$135/12</f>
        <v/>
      </c>
      <c r="BA32" s="74">
        <f>Costs!BA123/Inputs!$B$135/12</f>
        <v/>
      </c>
    </row>
    <row r="33" ht="14.25" customHeight="1" s="83"/>
    <row r="34" ht="14.25" customHeight="1" s="83">
      <c r="A34" s="2" t="inlineStr">
        <is>
          <t>EBIT (Operating Income)</t>
        </is>
      </c>
      <c r="B34" s="72">
        <f>B29-B32</f>
        <v/>
      </c>
      <c r="C34" s="72">
        <f>C29-C32</f>
        <v/>
      </c>
      <c r="D34" s="72">
        <f>D29-D32</f>
        <v/>
      </c>
      <c r="E34" s="72">
        <f>E29-E32</f>
        <v/>
      </c>
      <c r="F34" s="72">
        <f>F29-F32</f>
        <v/>
      </c>
      <c r="G34" s="72">
        <f>G29-G32</f>
        <v/>
      </c>
      <c r="H34" s="72">
        <f>H29-H32</f>
        <v/>
      </c>
      <c r="I34" s="72">
        <f>I29-I32</f>
        <v/>
      </c>
      <c r="J34" s="72">
        <f>J29-J32</f>
        <v/>
      </c>
      <c r="K34" s="72">
        <f>K29-K32</f>
        <v/>
      </c>
      <c r="L34" s="72">
        <f>L29-L32</f>
        <v/>
      </c>
      <c r="M34" s="72">
        <f>M29-M32</f>
        <v/>
      </c>
      <c r="N34" s="72">
        <f>N29-N32</f>
        <v/>
      </c>
      <c r="O34" s="72">
        <f>O29-O32</f>
        <v/>
      </c>
      <c r="P34" s="72">
        <f>P29-P32</f>
        <v/>
      </c>
      <c r="Q34" s="72">
        <f>Q29-Q32</f>
        <v/>
      </c>
      <c r="R34" s="72">
        <f>R29-R32</f>
        <v/>
      </c>
      <c r="S34" s="72">
        <f>S29-S32</f>
        <v/>
      </c>
      <c r="T34" s="72">
        <f>T29-T32</f>
        <v/>
      </c>
      <c r="U34" s="72">
        <f>U29-U32</f>
        <v/>
      </c>
      <c r="V34" s="72">
        <f>V29-V32</f>
        <v/>
      </c>
      <c r="W34" s="72">
        <f>W29-W32</f>
        <v/>
      </c>
      <c r="X34" s="72">
        <f>X29-X32</f>
        <v/>
      </c>
      <c r="Y34" s="72">
        <f>Y29-Y32</f>
        <v/>
      </c>
      <c r="Z34" s="72">
        <f>Z29-Z32</f>
        <v/>
      </c>
      <c r="AA34" s="72">
        <f>AA29-AA32</f>
        <v/>
      </c>
      <c r="AB34" s="72">
        <f>AB29-AB32</f>
        <v/>
      </c>
      <c r="AC34" s="72">
        <f>AC29-AC32</f>
        <v/>
      </c>
      <c r="AD34" s="72">
        <f>AD29-AD32</f>
        <v/>
      </c>
      <c r="AE34" s="72">
        <f>AE29-AE32</f>
        <v/>
      </c>
      <c r="AF34" s="72">
        <f>AF29-AF32</f>
        <v/>
      </c>
      <c r="AG34" s="72">
        <f>AG29-AG32</f>
        <v/>
      </c>
      <c r="AH34" s="72">
        <f>AH29-AH32</f>
        <v/>
      </c>
      <c r="AI34" s="72">
        <f>AI29-AI32</f>
        <v/>
      </c>
      <c r="AJ34" s="72">
        <f>AJ29-AJ32</f>
        <v/>
      </c>
      <c r="AK34" s="72">
        <f>AK29-AK32</f>
        <v/>
      </c>
      <c r="AL34" s="72">
        <f>AL29-AL32</f>
        <v/>
      </c>
      <c r="AM34" s="72">
        <f>AM29-AM32</f>
        <v/>
      </c>
      <c r="AN34" s="72">
        <f>AN29-AN32</f>
        <v/>
      </c>
      <c r="AO34" s="72">
        <f>AO29-AO32</f>
        <v/>
      </c>
      <c r="AP34" s="72">
        <f>AP29-AP32</f>
        <v/>
      </c>
      <c r="AQ34" s="72">
        <f>AQ29-AQ32</f>
        <v/>
      </c>
      <c r="AR34" s="72">
        <f>AR29-AR32</f>
        <v/>
      </c>
      <c r="AS34" s="72">
        <f>AS29-AS32</f>
        <v/>
      </c>
      <c r="AT34" s="72">
        <f>AT29-AT32</f>
        <v/>
      </c>
      <c r="AU34" s="72">
        <f>AU29-AU32</f>
        <v/>
      </c>
      <c r="AV34" s="72">
        <f>AV29-AV32</f>
        <v/>
      </c>
      <c r="AW34" s="72">
        <f>AW29-AW32</f>
        <v/>
      </c>
      <c r="AX34" s="72">
        <f>AX29-AX32</f>
        <v/>
      </c>
      <c r="AY34" s="72">
        <f>AY29-AY32</f>
        <v/>
      </c>
      <c r="AZ34" s="72">
        <f>AZ29-AZ32</f>
        <v/>
      </c>
      <c r="BA34" s="72">
        <f>BA29-BA32</f>
        <v/>
      </c>
    </row>
    <row r="35" ht="14.25" customHeight="1" s="83"/>
    <row r="36" ht="14.25" customHeight="1" s="83">
      <c r="A36" s="2" t="inlineStr">
        <is>
          <t>EBT (Earnings Before Tax)</t>
        </is>
      </c>
      <c r="B36" s="72">
        <f>B34</f>
        <v/>
      </c>
      <c r="C36" s="72">
        <f>C34</f>
        <v/>
      </c>
      <c r="D36" s="72">
        <f>D34</f>
        <v/>
      </c>
      <c r="E36" s="72">
        <f>E34</f>
        <v/>
      </c>
      <c r="F36" s="72">
        <f>F34</f>
        <v/>
      </c>
      <c r="G36" s="72">
        <f>G34</f>
        <v/>
      </c>
      <c r="H36" s="72">
        <f>H34</f>
        <v/>
      </c>
      <c r="I36" s="72">
        <f>I34</f>
        <v/>
      </c>
      <c r="J36" s="72">
        <f>J34</f>
        <v/>
      </c>
      <c r="K36" s="72">
        <f>K34</f>
        <v/>
      </c>
      <c r="L36" s="72">
        <f>L34</f>
        <v/>
      </c>
      <c r="M36" s="72">
        <f>M34</f>
        <v/>
      </c>
      <c r="N36" s="72">
        <f>N34</f>
        <v/>
      </c>
      <c r="O36" s="72">
        <f>O34</f>
        <v/>
      </c>
      <c r="P36" s="72">
        <f>P34</f>
        <v/>
      </c>
      <c r="Q36" s="72">
        <f>Q34</f>
        <v/>
      </c>
      <c r="R36" s="72">
        <f>R34</f>
        <v/>
      </c>
      <c r="S36" s="72">
        <f>S34</f>
        <v/>
      </c>
      <c r="T36" s="72">
        <f>T34</f>
        <v/>
      </c>
      <c r="U36" s="72">
        <f>U34</f>
        <v/>
      </c>
      <c r="V36" s="72">
        <f>V34</f>
        <v/>
      </c>
      <c r="W36" s="72">
        <f>W34</f>
        <v/>
      </c>
      <c r="X36" s="72">
        <f>X34</f>
        <v/>
      </c>
      <c r="Y36" s="72">
        <f>Y34</f>
        <v/>
      </c>
      <c r="Z36" s="72">
        <f>Z34</f>
        <v/>
      </c>
      <c r="AA36" s="72">
        <f>AA34</f>
        <v/>
      </c>
      <c r="AB36" s="72">
        <f>AB34</f>
        <v/>
      </c>
      <c r="AC36" s="72">
        <f>AC34</f>
        <v/>
      </c>
      <c r="AD36" s="72">
        <f>AD34</f>
        <v/>
      </c>
      <c r="AE36" s="72">
        <f>AE34</f>
        <v/>
      </c>
      <c r="AF36" s="72">
        <f>AF34</f>
        <v/>
      </c>
      <c r="AG36" s="72">
        <f>AG34</f>
        <v/>
      </c>
      <c r="AH36" s="72">
        <f>AH34</f>
        <v/>
      </c>
      <c r="AI36" s="72">
        <f>AI34</f>
        <v/>
      </c>
      <c r="AJ36" s="72">
        <f>AJ34</f>
        <v/>
      </c>
      <c r="AK36" s="72">
        <f>AK34</f>
        <v/>
      </c>
      <c r="AL36" s="72">
        <f>AL34</f>
        <v/>
      </c>
      <c r="AM36" s="72">
        <f>AM34</f>
        <v/>
      </c>
      <c r="AN36" s="72">
        <f>AN34</f>
        <v/>
      </c>
      <c r="AO36" s="72">
        <f>AO34</f>
        <v/>
      </c>
      <c r="AP36" s="72">
        <f>AP34</f>
        <v/>
      </c>
      <c r="AQ36" s="72">
        <f>AQ34</f>
        <v/>
      </c>
      <c r="AR36" s="72">
        <f>AR34</f>
        <v/>
      </c>
      <c r="AS36" s="72">
        <f>AS34</f>
        <v/>
      </c>
      <c r="AT36" s="72">
        <f>AT34</f>
        <v/>
      </c>
      <c r="AU36" s="72">
        <f>AU34</f>
        <v/>
      </c>
      <c r="AV36" s="72">
        <f>AV34</f>
        <v/>
      </c>
      <c r="AW36" s="72">
        <f>AW34</f>
        <v/>
      </c>
      <c r="AX36" s="72">
        <f>AX34</f>
        <v/>
      </c>
      <c r="AY36" s="72">
        <f>AY34</f>
        <v/>
      </c>
      <c r="AZ36" s="72">
        <f>AZ34</f>
        <v/>
      </c>
      <c r="BA36" s="72">
        <f>BA34</f>
        <v/>
      </c>
    </row>
    <row r="37" ht="14.25" customHeight="1" s="83">
      <c r="A37" s="77" t="inlineStr">
        <is>
          <t>Income Tax</t>
        </is>
      </c>
      <c r="B37" s="74">
        <f>IF(B36&gt;0,B36*Inputs!$B$7,0)</f>
        <v/>
      </c>
      <c r="C37" s="74">
        <f>IF(C36&gt;0,C36*Inputs!$B$7,0)</f>
        <v/>
      </c>
      <c r="D37" s="74">
        <f>IF(D36&gt;0,D36*Inputs!$B$7,0)</f>
        <v/>
      </c>
      <c r="E37" s="74">
        <f>IF(E36&gt;0,E36*Inputs!$B$7,0)</f>
        <v/>
      </c>
      <c r="F37" s="74">
        <f>IF(F36&gt;0,F36*Inputs!$B$7,0)</f>
        <v/>
      </c>
      <c r="G37" s="74">
        <f>IF(G36&gt;0,G36*Inputs!$B$7,0)</f>
        <v/>
      </c>
      <c r="H37" s="74">
        <f>IF(H36&gt;0,H36*Inputs!$B$7,0)</f>
        <v/>
      </c>
      <c r="I37" s="74">
        <f>IF(I36&gt;0,I36*Inputs!$B$7,0)</f>
        <v/>
      </c>
      <c r="J37" s="74">
        <f>IF(J36&gt;0,J36*Inputs!$B$7,0)</f>
        <v/>
      </c>
      <c r="K37" s="74">
        <f>IF(K36&gt;0,K36*Inputs!$B$7,0)</f>
        <v/>
      </c>
      <c r="L37" s="74">
        <f>IF(L36&gt;0,L36*Inputs!$B$7,0)</f>
        <v/>
      </c>
      <c r="M37" s="74">
        <f>IF(M36&gt;0,M36*Inputs!$B$7,0)</f>
        <v/>
      </c>
      <c r="N37" s="74">
        <f>IF(N36&gt;0,N36*Inputs!$B$7,0)</f>
        <v/>
      </c>
      <c r="O37" s="74">
        <f>IF(O36&gt;0,O36*Inputs!$B$7,0)</f>
        <v/>
      </c>
      <c r="P37" s="74">
        <f>IF(P36&gt;0,P36*Inputs!$B$7,0)</f>
        <v/>
      </c>
      <c r="Q37" s="74">
        <f>IF(Q36&gt;0,Q36*Inputs!$B$7,0)</f>
        <v/>
      </c>
      <c r="R37" s="74">
        <f>IF(R36&gt;0,R36*Inputs!$B$7,0)</f>
        <v/>
      </c>
      <c r="S37" s="74">
        <f>IF(S36&gt;0,S36*Inputs!$B$7,0)</f>
        <v/>
      </c>
      <c r="T37" s="74">
        <f>IF(T36&gt;0,T36*Inputs!$B$7,0)</f>
        <v/>
      </c>
      <c r="U37" s="74">
        <f>IF(U36&gt;0,U36*Inputs!$B$7,0)</f>
        <v/>
      </c>
      <c r="V37" s="74">
        <f>IF(V36&gt;0,V36*Inputs!$B$7,0)</f>
        <v/>
      </c>
      <c r="W37" s="74">
        <f>IF(W36&gt;0,W36*Inputs!$B$7,0)</f>
        <v/>
      </c>
      <c r="X37" s="74">
        <f>IF(X36&gt;0,X36*Inputs!$B$7,0)</f>
        <v/>
      </c>
      <c r="Y37" s="74">
        <f>IF(Y36&gt;0,Y36*Inputs!$B$7,0)</f>
        <v/>
      </c>
      <c r="Z37" s="74">
        <f>IF(Z36&gt;0,Z36*Inputs!$B$7,0)</f>
        <v/>
      </c>
      <c r="AA37" s="74">
        <f>IF(AA36&gt;0,AA36*Inputs!$B$7,0)</f>
        <v/>
      </c>
      <c r="AB37" s="74">
        <f>IF(AB36&gt;0,AB36*Inputs!$B$7,0)</f>
        <v/>
      </c>
      <c r="AC37" s="74">
        <f>IF(AC36&gt;0,AC36*Inputs!$B$7,0)</f>
        <v/>
      </c>
      <c r="AD37" s="74">
        <f>IF(AD36&gt;0,AD36*Inputs!$B$7,0)</f>
        <v/>
      </c>
      <c r="AE37" s="74">
        <f>IF(AE36&gt;0,AE36*Inputs!$B$7,0)</f>
        <v/>
      </c>
      <c r="AF37" s="74">
        <f>IF(AF36&gt;0,AF36*Inputs!$B$7,0)</f>
        <v/>
      </c>
      <c r="AG37" s="74">
        <f>IF(AG36&gt;0,AG36*Inputs!$B$7,0)</f>
        <v/>
      </c>
      <c r="AH37" s="74">
        <f>IF(AH36&gt;0,AH36*Inputs!$B$7,0)</f>
        <v/>
      </c>
      <c r="AI37" s="74">
        <f>IF(AI36&gt;0,AI36*Inputs!$B$7,0)</f>
        <v/>
      </c>
      <c r="AJ37" s="74">
        <f>IF(AJ36&gt;0,AJ36*Inputs!$B$7,0)</f>
        <v/>
      </c>
      <c r="AK37" s="74">
        <f>IF(AK36&gt;0,AK36*Inputs!$B$7,0)</f>
        <v/>
      </c>
      <c r="AL37" s="74">
        <f>IF(AL36&gt;0,AL36*Inputs!$B$7,0)</f>
        <v/>
      </c>
      <c r="AM37" s="74">
        <f>IF(AM36&gt;0,AM36*Inputs!$B$7,0)</f>
        <v/>
      </c>
      <c r="AN37" s="74">
        <f>IF(AN36&gt;0,AN36*Inputs!$B$7,0)</f>
        <v/>
      </c>
      <c r="AO37" s="74">
        <f>IF(AO36&gt;0,AO36*Inputs!$B$7,0)</f>
        <v/>
      </c>
      <c r="AP37" s="74">
        <f>IF(AP36&gt;0,AP36*Inputs!$B$7,0)</f>
        <v/>
      </c>
      <c r="AQ37" s="74">
        <f>IF(AQ36&gt;0,AQ36*Inputs!$B$7,0)</f>
        <v/>
      </c>
      <c r="AR37" s="74">
        <f>IF(AR36&gt;0,AR36*Inputs!$B$7,0)</f>
        <v/>
      </c>
      <c r="AS37" s="74">
        <f>IF(AS36&gt;0,AS36*Inputs!$B$7,0)</f>
        <v/>
      </c>
      <c r="AT37" s="74">
        <f>IF(AT36&gt;0,AT36*Inputs!$B$7,0)</f>
        <v/>
      </c>
      <c r="AU37" s="74">
        <f>IF(AU36&gt;0,AU36*Inputs!$B$7,0)</f>
        <v/>
      </c>
      <c r="AV37" s="74">
        <f>IF(AV36&gt;0,AV36*Inputs!$B$7,0)</f>
        <v/>
      </c>
      <c r="AW37" s="74">
        <f>IF(AW36&gt;0,AW36*Inputs!$B$7,0)</f>
        <v/>
      </c>
      <c r="AX37" s="74">
        <f>IF(AX36&gt;0,AX36*Inputs!$B$7,0)</f>
        <v/>
      </c>
      <c r="AY37" s="74">
        <f>IF(AY36&gt;0,AY36*Inputs!$B$7,0)</f>
        <v/>
      </c>
      <c r="AZ37" s="74">
        <f>IF(AZ36&gt;0,AZ36*Inputs!$B$7,0)</f>
        <v/>
      </c>
      <c r="BA37" s="74">
        <f>IF(BA36&gt;0,BA36*Inputs!$B$7,0)</f>
        <v/>
      </c>
    </row>
    <row r="38" ht="14.25" customHeight="1" s="83"/>
    <row r="39" ht="14.25" customHeight="1" s="83">
      <c r="A39" s="2" t="inlineStr">
        <is>
          <t>NET INCOME</t>
        </is>
      </c>
      <c r="B39" s="72">
        <f>B36-B37</f>
        <v/>
      </c>
      <c r="C39" s="72">
        <f>C36-C37</f>
        <v/>
      </c>
      <c r="D39" s="72">
        <f>D36-D37</f>
        <v/>
      </c>
      <c r="E39" s="72">
        <f>E36-E37</f>
        <v/>
      </c>
      <c r="F39" s="72">
        <f>F36-F37</f>
        <v/>
      </c>
      <c r="G39" s="72">
        <f>G36-G37</f>
        <v/>
      </c>
      <c r="H39" s="72">
        <f>H36-H37</f>
        <v/>
      </c>
      <c r="I39" s="72">
        <f>I36-I37</f>
        <v/>
      </c>
      <c r="J39" s="72">
        <f>J36-J37</f>
        <v/>
      </c>
      <c r="K39" s="72">
        <f>K36-K37</f>
        <v/>
      </c>
      <c r="L39" s="72">
        <f>L36-L37</f>
        <v/>
      </c>
      <c r="M39" s="72">
        <f>M36-M37</f>
        <v/>
      </c>
      <c r="N39" s="72">
        <f>N36-N37</f>
        <v/>
      </c>
      <c r="O39" s="72">
        <f>O36-O37</f>
        <v/>
      </c>
      <c r="P39" s="72">
        <f>P36-P37</f>
        <v/>
      </c>
      <c r="Q39" s="72">
        <f>Q36-Q37</f>
        <v/>
      </c>
      <c r="R39" s="72">
        <f>R36-R37</f>
        <v/>
      </c>
      <c r="S39" s="72">
        <f>S36-S37</f>
        <v/>
      </c>
      <c r="T39" s="72">
        <f>T36-T37</f>
        <v/>
      </c>
      <c r="U39" s="72">
        <f>U36-U37</f>
        <v/>
      </c>
      <c r="V39" s="72">
        <f>V36-V37</f>
        <v/>
      </c>
      <c r="W39" s="72">
        <f>W36-W37</f>
        <v/>
      </c>
      <c r="X39" s="72">
        <f>X36-X37</f>
        <v/>
      </c>
      <c r="Y39" s="72">
        <f>Y36-Y37</f>
        <v/>
      </c>
      <c r="Z39" s="72">
        <f>Z36-Z37</f>
        <v/>
      </c>
      <c r="AA39" s="72">
        <f>AA36-AA37</f>
        <v/>
      </c>
      <c r="AB39" s="72">
        <f>AB36-AB37</f>
        <v/>
      </c>
      <c r="AC39" s="72">
        <f>AC36-AC37</f>
        <v/>
      </c>
      <c r="AD39" s="72">
        <f>AD36-AD37</f>
        <v/>
      </c>
      <c r="AE39" s="72">
        <f>AE36-AE37</f>
        <v/>
      </c>
      <c r="AF39" s="72">
        <f>AF36-AF37</f>
        <v/>
      </c>
      <c r="AG39" s="72">
        <f>AG36-AG37</f>
        <v/>
      </c>
      <c r="AH39" s="72">
        <f>AH36-AH37</f>
        <v/>
      </c>
      <c r="AI39" s="72">
        <f>AI36-AI37</f>
        <v/>
      </c>
      <c r="AJ39" s="72">
        <f>AJ36-AJ37</f>
        <v/>
      </c>
      <c r="AK39" s="72">
        <f>AK36-AK37</f>
        <v/>
      </c>
      <c r="AL39" s="72">
        <f>AL36-AL37</f>
        <v/>
      </c>
      <c r="AM39" s="72">
        <f>AM36-AM37</f>
        <v/>
      </c>
      <c r="AN39" s="72">
        <f>AN36-AN37</f>
        <v/>
      </c>
      <c r="AO39" s="72">
        <f>AO36-AO37</f>
        <v/>
      </c>
      <c r="AP39" s="72">
        <f>AP36-AP37</f>
        <v/>
      </c>
      <c r="AQ39" s="72">
        <f>AQ36-AQ37</f>
        <v/>
      </c>
      <c r="AR39" s="72">
        <f>AR36-AR37</f>
        <v/>
      </c>
      <c r="AS39" s="72">
        <f>AS36-AS37</f>
        <v/>
      </c>
      <c r="AT39" s="72">
        <f>AT36-AT37</f>
        <v/>
      </c>
      <c r="AU39" s="72">
        <f>AU36-AU37</f>
        <v/>
      </c>
      <c r="AV39" s="72">
        <f>AV36-AV37</f>
        <v/>
      </c>
      <c r="AW39" s="72">
        <f>AW36-AW37</f>
        <v/>
      </c>
      <c r="AX39" s="72">
        <f>AX36-AX37</f>
        <v/>
      </c>
      <c r="AY39" s="72">
        <f>AY36-AY37</f>
        <v/>
      </c>
      <c r="AZ39" s="72">
        <f>AZ36-AZ37</f>
        <v/>
      </c>
      <c r="BA39" s="72">
        <f>BA36-BA37</f>
        <v/>
      </c>
    </row>
    <row r="40" ht="14.25" customHeight="1" s="83">
      <c r="A40" s="77" t="inlineStr">
        <is>
          <t>Net Margin %</t>
        </is>
      </c>
      <c r="B40" s="73">
        <f>IFERROR(B39/B7,0)</f>
        <v/>
      </c>
      <c r="C40" s="73">
        <f>IFERROR(C39/C7,0)</f>
        <v/>
      </c>
      <c r="D40" s="73">
        <f>IFERROR(D39/D7,0)</f>
        <v/>
      </c>
      <c r="E40" s="73">
        <f>IFERROR(E39/E7,0)</f>
        <v/>
      </c>
      <c r="F40" s="73">
        <f>IFERROR(F39/F7,0)</f>
        <v/>
      </c>
      <c r="G40" s="73">
        <f>IFERROR(G39/G7,0)</f>
        <v/>
      </c>
      <c r="H40" s="73">
        <f>IFERROR(H39/H7,0)</f>
        <v/>
      </c>
      <c r="I40" s="73">
        <f>IFERROR(I39/I7,0)</f>
        <v/>
      </c>
      <c r="J40" s="73">
        <f>IFERROR(J39/J7,0)</f>
        <v/>
      </c>
      <c r="K40" s="73">
        <f>IFERROR(K39/K7,0)</f>
        <v/>
      </c>
      <c r="L40" s="73">
        <f>IFERROR(L39/L7,0)</f>
        <v/>
      </c>
      <c r="M40" s="73">
        <f>IFERROR(M39/M7,0)</f>
        <v/>
      </c>
      <c r="N40" s="73">
        <f>IFERROR(N39/N7,0)</f>
        <v/>
      </c>
      <c r="O40" s="73">
        <f>IFERROR(O39/O7,0)</f>
        <v/>
      </c>
      <c r="P40" s="73">
        <f>IFERROR(P39/P7,0)</f>
        <v/>
      </c>
      <c r="Q40" s="73">
        <f>IFERROR(Q39/Q7,0)</f>
        <v/>
      </c>
      <c r="R40" s="73">
        <f>IFERROR(R39/R7,0)</f>
        <v/>
      </c>
      <c r="S40" s="73">
        <f>IFERROR(S39/S7,0)</f>
        <v/>
      </c>
      <c r="T40" s="73">
        <f>IFERROR(T39/T7,0)</f>
        <v/>
      </c>
      <c r="U40" s="73">
        <f>IFERROR(U39/U7,0)</f>
        <v/>
      </c>
      <c r="V40" s="73">
        <f>IFERROR(V39/V7,0)</f>
        <v/>
      </c>
      <c r="W40" s="73">
        <f>IFERROR(W39/W7,0)</f>
        <v/>
      </c>
      <c r="X40" s="73">
        <f>IFERROR(X39/X7,0)</f>
        <v/>
      </c>
      <c r="Y40" s="73">
        <f>IFERROR(Y39/Y7,0)</f>
        <v/>
      </c>
      <c r="Z40" s="73">
        <f>IFERROR(Z39/Z7,0)</f>
        <v/>
      </c>
      <c r="AA40" s="73">
        <f>IFERROR(AA39/AA7,0)</f>
        <v/>
      </c>
      <c r="AB40" s="73">
        <f>IFERROR(AB39/AB7,0)</f>
        <v/>
      </c>
      <c r="AC40" s="73">
        <f>IFERROR(AC39/AC7,0)</f>
        <v/>
      </c>
      <c r="AD40" s="73">
        <f>IFERROR(AD39/AD7,0)</f>
        <v/>
      </c>
      <c r="AE40" s="73">
        <f>IFERROR(AE39/AE7,0)</f>
        <v/>
      </c>
      <c r="AF40" s="73">
        <f>IFERROR(AF39/AF7,0)</f>
        <v/>
      </c>
      <c r="AG40" s="73">
        <f>IFERROR(AG39/AG7,0)</f>
        <v/>
      </c>
      <c r="AH40" s="73">
        <f>IFERROR(AH39/AH7,0)</f>
        <v/>
      </c>
      <c r="AI40" s="73">
        <f>IFERROR(AI39/AI7,0)</f>
        <v/>
      </c>
      <c r="AJ40" s="73">
        <f>IFERROR(AJ39/AJ7,0)</f>
        <v/>
      </c>
      <c r="AK40" s="73">
        <f>IFERROR(AK39/AK7,0)</f>
        <v/>
      </c>
      <c r="AL40" s="73">
        <f>IFERROR(AL39/AL7,0)</f>
        <v/>
      </c>
      <c r="AM40" s="73">
        <f>IFERROR(AM39/AM7,0)</f>
        <v/>
      </c>
      <c r="AN40" s="73">
        <f>IFERROR(AN39/AN7,0)</f>
        <v/>
      </c>
      <c r="AO40" s="73">
        <f>IFERROR(AO39/AO7,0)</f>
        <v/>
      </c>
      <c r="AP40" s="73">
        <f>IFERROR(AP39/AP7,0)</f>
        <v/>
      </c>
      <c r="AQ40" s="73">
        <f>IFERROR(AQ39/AQ7,0)</f>
        <v/>
      </c>
      <c r="AR40" s="73">
        <f>IFERROR(AR39/AR7,0)</f>
        <v/>
      </c>
      <c r="AS40" s="73">
        <f>IFERROR(AS39/AS7,0)</f>
        <v/>
      </c>
      <c r="AT40" s="73">
        <f>IFERROR(AT39/AT7,0)</f>
        <v/>
      </c>
      <c r="AU40" s="73">
        <f>IFERROR(AU39/AU7,0)</f>
        <v/>
      </c>
      <c r="AV40" s="73">
        <f>IFERROR(AV39/AV7,0)</f>
        <v/>
      </c>
      <c r="AW40" s="73">
        <f>IFERROR(AW39/AW7,0)</f>
        <v/>
      </c>
      <c r="AX40" s="73">
        <f>IFERROR(AX39/AX7,0)</f>
        <v/>
      </c>
      <c r="AY40" s="73">
        <f>IFERROR(AY39/AY7,0)</f>
        <v/>
      </c>
      <c r="AZ40" s="73">
        <f>IFERROR(AZ39/AZ7,0)</f>
        <v/>
      </c>
      <c r="BA40" s="73">
        <f>IFERROR(BA39/BA7,0)</f>
        <v/>
      </c>
    </row>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7.xml><?xml version="1.0" encoding="utf-8"?>
<worksheet xmlns="http://schemas.openxmlformats.org/spreadsheetml/2006/main">
  <sheetPr>
    <tabColor rgb="FF00B050"/>
    <outlinePr summaryBelow="1" summaryRight="1"/>
    <pageSetUpPr/>
  </sheetPr>
  <dimension ref="A1:BA31"/>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UMSATZMODELL - Detaillierte Aufschlüsselung</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Kennzahl</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77" t="inlineStr">
        <is>
          <t>Preis pro Seat/Monat (€)</t>
        </is>
      </c>
      <c r="B4" s="74">
        <f>IFERROR(Inputs!$B$20/12*(1+Inputs!$B$21)^(INT((1-1)/12)),0)</f>
        <v/>
      </c>
      <c r="C4" s="74">
        <f>Inputs!$B$20/12*(1+Inputs!$B$21)^INT((2-1)/12)</f>
        <v/>
      </c>
      <c r="D4" s="74">
        <f>Inputs!$B$20/12*(1+Inputs!$B$21)^INT((3-1)/12)</f>
        <v/>
      </c>
      <c r="E4" s="74">
        <f>Inputs!$B$20/12*(1+Inputs!$B$21)^INT((4-1)/12)</f>
        <v/>
      </c>
      <c r="F4" s="74">
        <f>Inputs!$B$20/12*(1+Inputs!$B$21)^INT((5-1)/12)</f>
        <v/>
      </c>
      <c r="G4" s="74">
        <f>Inputs!$B$20/12*(1+Inputs!$B$21)^INT((6-1)/12)</f>
        <v/>
      </c>
      <c r="H4" s="74">
        <f>Inputs!$B$20/12*(1+Inputs!$B$21)^INT((7-1)/12)</f>
        <v/>
      </c>
      <c r="I4" s="74">
        <f>Inputs!$B$20/12*(1+Inputs!$B$21)^INT((8-1)/12)</f>
        <v/>
      </c>
      <c r="J4" s="74">
        <f>Inputs!$B$20/12*(1+Inputs!$B$21)^INT((9-1)/12)</f>
        <v/>
      </c>
      <c r="K4" s="74">
        <f>Inputs!$B$20/12*(1+Inputs!$B$21)^INT((10-1)/12)</f>
        <v/>
      </c>
      <c r="L4" s="74">
        <f>Inputs!$B$20/12*(1+Inputs!$B$21)^INT((11-1)/12)</f>
        <v/>
      </c>
      <c r="M4" s="74">
        <f>Inputs!$B$20/12*(1+Inputs!$B$21)^INT((12-1)/12)</f>
        <v/>
      </c>
      <c r="N4" s="74">
        <f>Inputs!$B$20/12*(1+Inputs!$B$21)^INT((13-1)/12)</f>
        <v/>
      </c>
      <c r="O4" s="74">
        <f>Inputs!$B$20/12*(1+Inputs!$B$21)^INT((14-1)/12)</f>
        <v/>
      </c>
      <c r="P4" s="74">
        <f>Inputs!$B$20/12*(1+Inputs!$B$21)^INT((15-1)/12)</f>
        <v/>
      </c>
      <c r="Q4" s="74">
        <f>Inputs!$B$20/12*(1+Inputs!$B$21)^INT((16-1)/12)</f>
        <v/>
      </c>
      <c r="R4" s="74">
        <f>Inputs!$B$20/12*(1+Inputs!$B$21)^INT((17-1)/12)</f>
        <v/>
      </c>
      <c r="S4" s="74">
        <f>Inputs!$B$20/12*(1+Inputs!$B$21)^INT((18-1)/12)</f>
        <v/>
      </c>
      <c r="T4" s="74">
        <f>Inputs!$B$20/12*(1+Inputs!$B$21)^INT((19-1)/12)</f>
        <v/>
      </c>
      <c r="U4" s="74">
        <f>Inputs!$B$20/12*(1+Inputs!$B$21)^INT((20-1)/12)</f>
        <v/>
      </c>
      <c r="V4" s="74">
        <f>Inputs!$B$20/12*(1+Inputs!$B$21)^INT((21-1)/12)</f>
        <v/>
      </c>
      <c r="W4" s="74">
        <f>Inputs!$B$20/12*(1+Inputs!$B$21)^INT((22-1)/12)</f>
        <v/>
      </c>
      <c r="X4" s="74">
        <f>Inputs!$B$20/12*(1+Inputs!$B$21)^INT((23-1)/12)</f>
        <v/>
      </c>
      <c r="Y4" s="74">
        <f>Inputs!$B$20/12*(1+Inputs!$B$21)^INT((24-1)/12)</f>
        <v/>
      </c>
      <c r="Z4" s="74">
        <f>Inputs!$B$20/12*(1+Inputs!$B$21)^INT((25-1)/12)</f>
        <v/>
      </c>
      <c r="AA4" s="74">
        <f>Inputs!$B$20/12*(1+Inputs!$B$21)^INT((26-1)/12)</f>
        <v/>
      </c>
      <c r="AB4" s="74">
        <f>Inputs!$B$20/12*(1+Inputs!$B$21)^INT((27-1)/12)</f>
        <v/>
      </c>
      <c r="AC4" s="74">
        <f>Inputs!$B$20/12*(1+Inputs!$B$21)^INT((28-1)/12)</f>
        <v/>
      </c>
      <c r="AD4" s="74">
        <f>Inputs!$B$20/12*(1+Inputs!$B$21)^INT((29-1)/12)</f>
        <v/>
      </c>
      <c r="AE4" s="74">
        <f>Inputs!$B$20/12*(1+Inputs!$B$21)^INT((30-1)/12)</f>
        <v/>
      </c>
      <c r="AF4" s="74">
        <f>Inputs!$B$20/12*(1+Inputs!$B$21)^INT((31-1)/12)</f>
        <v/>
      </c>
      <c r="AG4" s="74">
        <f>Inputs!$B$20/12*(1+Inputs!$B$21)^INT((32-1)/12)</f>
        <v/>
      </c>
      <c r="AH4" s="74">
        <f>Inputs!$B$20/12*(1+Inputs!$B$21)^INT((33-1)/12)</f>
        <v/>
      </c>
      <c r="AI4" s="74">
        <f>Inputs!$B$20/12*(1+Inputs!$B$21)^INT((34-1)/12)</f>
        <v/>
      </c>
      <c r="AJ4" s="74">
        <f>Inputs!$B$20/12*(1+Inputs!$B$21)^INT((35-1)/12)</f>
        <v/>
      </c>
      <c r="AK4" s="74">
        <f>Inputs!$B$20/12*(1+Inputs!$B$21)^INT((36-1)/12)</f>
        <v/>
      </c>
      <c r="AL4" s="74">
        <f>Inputs!$B$20/12*(1+Inputs!$B$21)^INT((37-1)/12)</f>
        <v/>
      </c>
      <c r="AM4" s="74">
        <f>Inputs!$B$20/12*(1+Inputs!$B$21)^INT((38-1)/12)</f>
        <v/>
      </c>
      <c r="AN4" s="74">
        <f>Inputs!$B$20/12*(1+Inputs!$B$21)^INT((39-1)/12)</f>
        <v/>
      </c>
      <c r="AO4" s="74">
        <f>Inputs!$B$20/12*(1+Inputs!$B$21)^INT((40-1)/12)</f>
        <v/>
      </c>
      <c r="AP4" s="74">
        <f>Inputs!$B$20/12*(1+Inputs!$B$21)^INT((41-1)/12)</f>
        <v/>
      </c>
      <c r="AQ4" s="74">
        <f>Inputs!$B$20/12*(1+Inputs!$B$21)^INT((42-1)/12)</f>
        <v/>
      </c>
      <c r="AR4" s="74">
        <f>Inputs!$B$20/12*(1+Inputs!$B$21)^INT((43-1)/12)</f>
        <v/>
      </c>
      <c r="AS4" s="74">
        <f>Inputs!$B$20/12*(1+Inputs!$B$21)^INT((44-1)/12)</f>
        <v/>
      </c>
      <c r="AT4" s="74">
        <f>Inputs!$B$20/12*(1+Inputs!$B$21)^INT((45-1)/12)</f>
        <v/>
      </c>
      <c r="AU4" s="74">
        <f>Inputs!$B$20/12*(1+Inputs!$B$21)^INT((46-1)/12)</f>
        <v/>
      </c>
      <c r="AV4" s="74">
        <f>Inputs!$B$20/12*(1+Inputs!$B$21)^INT((47-1)/12)</f>
        <v/>
      </c>
      <c r="AW4" s="74">
        <f>Inputs!$B$20/12*(1+Inputs!$B$21)^INT((48-1)/12)</f>
        <v/>
      </c>
      <c r="AX4" s="74">
        <f>Inputs!$B$20/12*(1+Inputs!$B$21)^INT((49-1)/12)</f>
        <v/>
      </c>
      <c r="AY4" s="74">
        <f>Inputs!$B$20/12*(1+Inputs!$B$21)^INT((50-1)/12)</f>
        <v/>
      </c>
      <c r="AZ4" s="74">
        <f>Inputs!$B$20/12*(1+Inputs!$B$21)^INT((51-1)/12)</f>
        <v/>
      </c>
      <c r="BA4" s="74">
        <f>Inputs!$B$20/12*(1+Inputs!$B$21)^INT((52-1)/12)</f>
        <v/>
      </c>
    </row>
    <row r="5" ht="14.25" customHeight="1" s="83">
      <c r="A5" s="77" t="inlineStr">
        <is>
          <t>Neue Seats</t>
        </is>
      </c>
      <c r="B5" s="74">
        <f>IF(1&gt;=Inputs!$B$22,Inputs!$B$23,0)</f>
        <v/>
      </c>
      <c r="C5" s="74">
        <f>IF(2&gt;=Inputs!$B$22,IF(2=Inputs!$B$22,Inputs!$B$23,ROUND(B8*Inputs!$B$24,0)),0)</f>
        <v/>
      </c>
      <c r="D5" s="74">
        <f>IF(3&gt;=Inputs!$B$22,IF(3=Inputs!$B$22,Inputs!$B$23,ROUND(C8*Inputs!$B$24,0)),0)</f>
        <v/>
      </c>
      <c r="E5" s="74">
        <f>IF(4&gt;=Inputs!$B$22,IF(4=Inputs!$B$22,Inputs!$B$23,ROUND(D8*Inputs!$B$24,0)),0)</f>
        <v/>
      </c>
      <c r="F5" s="74">
        <f>IF(5&gt;=Inputs!$B$22,IF(5=Inputs!$B$22,Inputs!$B$23,ROUND(E8*Inputs!$B$24,0)),0)</f>
        <v/>
      </c>
      <c r="G5" s="74">
        <f>IF(6&gt;=Inputs!$B$22,IF(6=Inputs!$B$22,Inputs!$B$23,ROUND(F8*Inputs!$B$24,0)),0)</f>
        <v/>
      </c>
      <c r="H5" s="74">
        <f>IF(7&gt;=Inputs!$B$22,IF(7=Inputs!$B$22,Inputs!$B$23,ROUND(G8*Inputs!$B$24,0)),0)</f>
        <v/>
      </c>
      <c r="I5" s="74">
        <f>IF(8&gt;=Inputs!$B$22,IF(8=Inputs!$B$22,Inputs!$B$23,ROUND(H8*Inputs!$B$24,0)),0)</f>
        <v/>
      </c>
      <c r="J5" s="74">
        <f>IF(9&gt;=Inputs!$B$22,IF(9=Inputs!$B$22,Inputs!$B$23,ROUND(I8*Inputs!$B$24,0)),0)</f>
        <v/>
      </c>
      <c r="K5" s="74">
        <f>IF(10&gt;=Inputs!$B$22,IF(10=Inputs!$B$22,Inputs!$B$23,ROUND(J8*Inputs!$B$24,0)),0)</f>
        <v/>
      </c>
      <c r="L5" s="74">
        <f>IF(11&gt;=Inputs!$B$22,IF(11=Inputs!$B$22,Inputs!$B$23,ROUND(K8*Inputs!$B$24,0)),0)</f>
        <v/>
      </c>
      <c r="M5" s="74">
        <f>IF(12&gt;=Inputs!$B$22,IF(12=Inputs!$B$22,Inputs!$B$23,ROUND(L8*Inputs!$B$24,0)),0)</f>
        <v/>
      </c>
      <c r="N5" s="74">
        <f>IF(13&gt;=Inputs!$B$22,IF(13=Inputs!$B$22,Inputs!$B$23,ROUND(M8*Inputs!$B$24,0)),0)</f>
        <v/>
      </c>
      <c r="O5" s="74">
        <f>IF(14&gt;=Inputs!$B$22,IF(14=Inputs!$B$22,Inputs!$B$23,ROUND(N8*Inputs!$B$24,0)),0)</f>
        <v/>
      </c>
      <c r="P5" s="74">
        <f>IF(15&gt;=Inputs!$B$22,IF(15=Inputs!$B$22,Inputs!$B$23,ROUND(O8*Inputs!$B$24,0)),0)</f>
        <v/>
      </c>
      <c r="Q5" s="74">
        <f>IF(16&gt;=Inputs!$B$22,IF(16=Inputs!$B$22,Inputs!$B$23,ROUND(P8*Inputs!$B$24,0)),0)</f>
        <v/>
      </c>
      <c r="R5" s="74">
        <f>IF(17&gt;=Inputs!$B$22,IF(17=Inputs!$B$22,Inputs!$B$23,ROUND(Q8*Inputs!$B$24,0)),0)</f>
        <v/>
      </c>
      <c r="S5" s="74">
        <f>IF(18&gt;=Inputs!$B$22,IF(18=Inputs!$B$22,Inputs!$B$23,ROUND(R8*Inputs!$B$24,0)),0)</f>
        <v/>
      </c>
      <c r="T5" s="74">
        <f>IF(19&gt;=Inputs!$B$22,IF(19=Inputs!$B$22,Inputs!$B$23,ROUND(S8*Inputs!$B$24,0)),0)</f>
        <v/>
      </c>
      <c r="U5" s="74">
        <f>IF(20&gt;=Inputs!$B$22,IF(20=Inputs!$B$22,Inputs!$B$23,ROUND(T8*Inputs!$B$24,0)),0)</f>
        <v/>
      </c>
      <c r="V5" s="74">
        <f>IF(21&gt;=Inputs!$B$22,IF(21=Inputs!$B$22,Inputs!$B$23,ROUND(U8*Inputs!$B$24,0)),0)</f>
        <v/>
      </c>
      <c r="W5" s="74">
        <f>IF(22&gt;=Inputs!$B$22,IF(22=Inputs!$B$22,Inputs!$B$23,ROUND(V8*Inputs!$B$24,0)),0)</f>
        <v/>
      </c>
      <c r="X5" s="74">
        <f>IF(23&gt;=Inputs!$B$22,IF(23=Inputs!$B$22,Inputs!$B$23,ROUND(W8*Inputs!$B$24,0)),0)</f>
        <v/>
      </c>
      <c r="Y5" s="74">
        <f>IF(24&gt;=Inputs!$B$22,IF(24=Inputs!$B$22,Inputs!$B$23,ROUND(X8*Inputs!$B$24,0)),0)</f>
        <v/>
      </c>
      <c r="Z5" s="74">
        <f>IF(25&gt;=Inputs!$B$22,IF(25=Inputs!$B$22,Inputs!$B$23,ROUND(Y8*Inputs!$B$24,0)),0)</f>
        <v/>
      </c>
      <c r="AA5" s="74">
        <f>IF(26&gt;=Inputs!$B$22,IF(26=Inputs!$B$22,Inputs!$B$23,ROUND(Z8*Inputs!$B$24,0)),0)</f>
        <v/>
      </c>
      <c r="AB5" s="74">
        <f>IF(27&gt;=Inputs!$B$22,IF(27=Inputs!$B$22,Inputs!$B$23,ROUND(AA8*Inputs!$B$24,0)),0)</f>
        <v/>
      </c>
      <c r="AC5" s="74">
        <f>IF(28&gt;=Inputs!$B$22,IF(28=Inputs!$B$22,Inputs!$B$23,ROUND(AB8*Inputs!$B$24,0)),0)</f>
        <v/>
      </c>
      <c r="AD5" s="74">
        <f>IF(29&gt;=Inputs!$B$22,IF(29=Inputs!$B$22,Inputs!$B$23,ROUND(AC8*Inputs!$B$24,0)),0)</f>
        <v/>
      </c>
      <c r="AE5" s="74">
        <f>IF(30&gt;=Inputs!$B$22,IF(30=Inputs!$B$22,Inputs!$B$23,ROUND(AD8*Inputs!$B$24,0)),0)</f>
        <v/>
      </c>
      <c r="AF5" s="74">
        <f>IF(31&gt;=Inputs!$B$22,IF(31=Inputs!$B$22,Inputs!$B$23,ROUND(AE8*Inputs!$B$24,0)),0)</f>
        <v/>
      </c>
      <c r="AG5" s="74">
        <f>IF(32&gt;=Inputs!$B$22,IF(32=Inputs!$B$22,Inputs!$B$23,ROUND(AF8*Inputs!$B$24,0)),0)</f>
        <v/>
      </c>
      <c r="AH5" s="74">
        <f>IF(33&gt;=Inputs!$B$22,IF(33=Inputs!$B$22,Inputs!$B$23,ROUND(AG8*Inputs!$B$24,0)),0)</f>
        <v/>
      </c>
      <c r="AI5" s="74">
        <f>IF(34&gt;=Inputs!$B$22,IF(34=Inputs!$B$22,Inputs!$B$23,ROUND(AH8*Inputs!$B$24,0)),0)</f>
        <v/>
      </c>
      <c r="AJ5" s="74">
        <f>IF(35&gt;=Inputs!$B$22,IF(35=Inputs!$B$22,Inputs!$B$23,ROUND(AI8*Inputs!$B$24,0)),0)</f>
        <v/>
      </c>
      <c r="AK5" s="74">
        <f>IF(36&gt;=Inputs!$B$22,IF(36=Inputs!$B$22,Inputs!$B$23,ROUND(AJ8*Inputs!$B$24,0)),0)</f>
        <v/>
      </c>
      <c r="AL5" s="74">
        <f>IF(37&gt;=Inputs!$B$22,IF(37=Inputs!$B$22,Inputs!$B$23,ROUND(AK8*Inputs!$B$24,0)),0)</f>
        <v/>
      </c>
      <c r="AM5" s="74">
        <f>IF(38&gt;=Inputs!$B$22,IF(38=Inputs!$B$22,Inputs!$B$23,ROUND(AL8*Inputs!$B$24,0)),0)</f>
        <v/>
      </c>
      <c r="AN5" s="74">
        <f>IF(39&gt;=Inputs!$B$22,IF(39=Inputs!$B$22,Inputs!$B$23,ROUND(AM8*Inputs!$B$24,0)),0)</f>
        <v/>
      </c>
      <c r="AO5" s="74">
        <f>IF(40&gt;=Inputs!$B$22,IF(40=Inputs!$B$22,Inputs!$B$23,ROUND(AN8*Inputs!$B$24,0)),0)</f>
        <v/>
      </c>
      <c r="AP5" s="74">
        <f>IF(41&gt;=Inputs!$B$22,IF(41=Inputs!$B$22,Inputs!$B$23,ROUND(AO8*Inputs!$B$24,0)),0)</f>
        <v/>
      </c>
      <c r="AQ5" s="74">
        <f>IF(42&gt;=Inputs!$B$22,IF(42=Inputs!$B$22,Inputs!$B$23,ROUND(AP8*Inputs!$B$24,0)),0)</f>
        <v/>
      </c>
      <c r="AR5" s="74">
        <f>IF(43&gt;=Inputs!$B$22,IF(43=Inputs!$B$22,Inputs!$B$23,ROUND(AQ8*Inputs!$B$24,0)),0)</f>
        <v/>
      </c>
      <c r="AS5" s="74">
        <f>IF(44&gt;=Inputs!$B$22,IF(44=Inputs!$B$22,Inputs!$B$23,ROUND(AR8*Inputs!$B$24,0)),0)</f>
        <v/>
      </c>
      <c r="AT5" s="74">
        <f>IF(45&gt;=Inputs!$B$22,IF(45=Inputs!$B$22,Inputs!$B$23,ROUND(AS8*Inputs!$B$24,0)),0)</f>
        <v/>
      </c>
      <c r="AU5" s="74">
        <f>IF(46&gt;=Inputs!$B$22,IF(46=Inputs!$B$22,Inputs!$B$23,ROUND(AT8*Inputs!$B$24,0)),0)</f>
        <v/>
      </c>
      <c r="AV5" s="74">
        <f>IF(47&gt;=Inputs!$B$22,IF(47=Inputs!$B$22,Inputs!$B$23,ROUND(AU8*Inputs!$B$24,0)),0)</f>
        <v/>
      </c>
      <c r="AW5" s="74">
        <f>IF(48&gt;=Inputs!$B$22,IF(48=Inputs!$B$22,Inputs!$B$23,ROUND(AV8*Inputs!$B$24,0)),0)</f>
        <v/>
      </c>
      <c r="AX5" s="74">
        <f>IF(49&gt;=Inputs!$B$22,IF(49=Inputs!$B$22,Inputs!$B$23,ROUND(AW8*Inputs!$B$24,0)),0)</f>
        <v/>
      </c>
      <c r="AY5" s="74">
        <f>IF(50&gt;=Inputs!$B$22,IF(50=Inputs!$B$22,Inputs!$B$23,ROUND(AX8*Inputs!$B$24,0)),0)</f>
        <v/>
      </c>
      <c r="AZ5" s="74">
        <f>IF(51&gt;=Inputs!$B$22,IF(51=Inputs!$B$22,Inputs!$B$23,ROUND(AY8*Inputs!$B$24,0)),0)</f>
        <v/>
      </c>
      <c r="BA5" s="74">
        <f>IF(52&gt;=Inputs!$B$22,IF(52=Inputs!$B$22,Inputs!$B$23,ROUND(AZ8*Inputs!$B$24,0)),0)</f>
        <v/>
      </c>
    </row>
    <row r="6" ht="14.25" customHeight="1" s="83">
      <c r="A6" s="77" t="inlineStr">
        <is>
          <t>Churned Seats</t>
        </is>
      </c>
      <c r="B6" s="74">
        <f>0</f>
        <v/>
      </c>
      <c r="C6" s="74">
        <f>IF(B8&gt;0,ROUND(B8*Inputs!$B$28/12,0),0)</f>
        <v/>
      </c>
      <c r="D6" s="74">
        <f>IF(C8&gt;0,ROUND(C8*Inputs!$B$28/12,0),0)</f>
        <v/>
      </c>
      <c r="E6" s="74">
        <f>IF(D8&gt;0,ROUND(D8*Inputs!$B$28/12,0),0)</f>
        <v/>
      </c>
      <c r="F6" s="74">
        <f>IF(E8&gt;0,ROUND(E8*Inputs!$B$28/12,0),0)</f>
        <v/>
      </c>
      <c r="G6" s="74">
        <f>IF(F8&gt;0,ROUND(F8*Inputs!$B$28/12,0),0)</f>
        <v/>
      </c>
      <c r="H6" s="74">
        <f>IF(G8&gt;0,ROUND(G8*Inputs!$B$28/12,0),0)</f>
        <v/>
      </c>
      <c r="I6" s="74">
        <f>IF(H8&gt;0,ROUND(H8*Inputs!$B$28/12,0),0)</f>
        <v/>
      </c>
      <c r="J6" s="74">
        <f>IF(I8&gt;0,ROUND(I8*Inputs!$B$28/12,0),0)</f>
        <v/>
      </c>
      <c r="K6" s="74">
        <f>IF(J8&gt;0,ROUND(J8*Inputs!$B$28/12,0),0)</f>
        <v/>
      </c>
      <c r="L6" s="74">
        <f>IF(K8&gt;0,ROUND(K8*Inputs!$B$28/12,0),0)</f>
        <v/>
      </c>
      <c r="M6" s="74">
        <f>IF(L8&gt;0,ROUND(L8*Inputs!$B$28/12,0),0)</f>
        <v/>
      </c>
      <c r="N6" s="74">
        <f>IF(M8&gt;0,ROUND(M8*Inputs!$B$28/12,0),0)</f>
        <v/>
      </c>
      <c r="O6" s="74">
        <f>IF(N8&gt;0,ROUND(N8*Inputs!$B$28/12,0),0)</f>
        <v/>
      </c>
      <c r="P6" s="74">
        <f>IF(O8&gt;0,ROUND(O8*Inputs!$B$28/12,0),0)</f>
        <v/>
      </c>
      <c r="Q6" s="74">
        <f>IF(P8&gt;0,ROUND(P8*Inputs!$B$28/12,0),0)</f>
        <v/>
      </c>
      <c r="R6" s="74">
        <f>IF(Q8&gt;0,ROUND(Q8*Inputs!$B$28/12,0),0)</f>
        <v/>
      </c>
      <c r="S6" s="74">
        <f>IF(R8&gt;0,ROUND(R8*Inputs!$B$28/12,0),0)</f>
        <v/>
      </c>
      <c r="T6" s="74">
        <f>IF(S8&gt;0,ROUND(S8*Inputs!$B$28/12,0),0)</f>
        <v/>
      </c>
      <c r="U6" s="74">
        <f>IF(T8&gt;0,ROUND(T8*Inputs!$B$28/12,0),0)</f>
        <v/>
      </c>
      <c r="V6" s="74">
        <f>IF(U8&gt;0,ROUND(U8*Inputs!$B$28/12,0),0)</f>
        <v/>
      </c>
      <c r="W6" s="74">
        <f>IF(V8&gt;0,ROUND(V8*Inputs!$B$28/12,0),0)</f>
        <v/>
      </c>
      <c r="X6" s="74">
        <f>IF(W8&gt;0,ROUND(W8*Inputs!$B$28/12,0),0)</f>
        <v/>
      </c>
      <c r="Y6" s="74">
        <f>IF(X8&gt;0,ROUND(X8*Inputs!$B$28/12,0),0)</f>
        <v/>
      </c>
      <c r="Z6" s="74">
        <f>IF(Y8&gt;0,ROUND(Y8*Inputs!$B$28/12,0),0)</f>
        <v/>
      </c>
      <c r="AA6" s="74">
        <f>IF(Z8&gt;0,ROUND(Z8*Inputs!$B$28/12,0),0)</f>
        <v/>
      </c>
      <c r="AB6" s="74">
        <f>IF(AA8&gt;0,ROUND(AA8*Inputs!$B$28/12,0),0)</f>
        <v/>
      </c>
      <c r="AC6" s="74">
        <f>IF(AB8&gt;0,ROUND(AB8*Inputs!$B$28/12,0),0)</f>
        <v/>
      </c>
      <c r="AD6" s="74">
        <f>IF(AC8&gt;0,ROUND(AC8*Inputs!$B$28/12,0),0)</f>
        <v/>
      </c>
      <c r="AE6" s="74">
        <f>IF(AD8&gt;0,ROUND(AD8*Inputs!$B$28/12,0),0)</f>
        <v/>
      </c>
      <c r="AF6" s="74">
        <f>IF(AE8&gt;0,ROUND(AE8*Inputs!$B$28/12,0),0)</f>
        <v/>
      </c>
      <c r="AG6" s="74">
        <f>IF(AF8&gt;0,ROUND(AF8*Inputs!$B$28/12,0),0)</f>
        <v/>
      </c>
      <c r="AH6" s="74">
        <f>IF(AG8&gt;0,ROUND(AG8*Inputs!$B$28/12,0),0)</f>
        <v/>
      </c>
      <c r="AI6" s="74">
        <f>IF(AH8&gt;0,ROUND(AH8*Inputs!$B$28/12,0),0)</f>
        <v/>
      </c>
      <c r="AJ6" s="74">
        <f>IF(AI8&gt;0,ROUND(AI8*Inputs!$B$28/12,0),0)</f>
        <v/>
      </c>
      <c r="AK6" s="74">
        <f>IF(AJ8&gt;0,ROUND(AJ8*Inputs!$B$28/12,0),0)</f>
        <v/>
      </c>
      <c r="AL6" s="74">
        <f>IF(AK8&gt;0,ROUND(AK8*Inputs!$B$28/12,0),0)</f>
        <v/>
      </c>
      <c r="AM6" s="74">
        <f>IF(AL8&gt;0,ROUND(AL8*Inputs!$B$28/12,0),0)</f>
        <v/>
      </c>
      <c r="AN6" s="74">
        <f>IF(AM8&gt;0,ROUND(AM8*Inputs!$B$28/12,0),0)</f>
        <v/>
      </c>
      <c r="AO6" s="74">
        <f>IF(AN8&gt;0,ROUND(AN8*Inputs!$B$28/12,0),0)</f>
        <v/>
      </c>
      <c r="AP6" s="74">
        <f>IF(AO8&gt;0,ROUND(AO8*Inputs!$B$28/12,0),0)</f>
        <v/>
      </c>
      <c r="AQ6" s="74">
        <f>IF(AP8&gt;0,ROUND(AP8*Inputs!$B$28/12,0),0)</f>
        <v/>
      </c>
      <c r="AR6" s="74">
        <f>IF(AQ8&gt;0,ROUND(AQ8*Inputs!$B$28/12,0),0)</f>
        <v/>
      </c>
      <c r="AS6" s="74">
        <f>IF(AR8&gt;0,ROUND(AR8*Inputs!$B$28/12,0),0)</f>
        <v/>
      </c>
      <c r="AT6" s="74">
        <f>IF(AS8&gt;0,ROUND(AS8*Inputs!$B$28/12,0),0)</f>
        <v/>
      </c>
      <c r="AU6" s="74">
        <f>IF(AT8&gt;0,ROUND(AT8*Inputs!$B$28/12,0),0)</f>
        <v/>
      </c>
      <c r="AV6" s="74">
        <f>IF(AU8&gt;0,ROUND(AU8*Inputs!$B$28/12,0),0)</f>
        <v/>
      </c>
      <c r="AW6" s="74">
        <f>IF(AV8&gt;0,ROUND(AV8*Inputs!$B$28/12,0),0)</f>
        <v/>
      </c>
      <c r="AX6" s="74">
        <f>IF(AW8&gt;0,ROUND(AW8*Inputs!$B$28/12,0),0)</f>
        <v/>
      </c>
      <c r="AY6" s="74">
        <f>IF(AX8&gt;0,ROUND(AX8*Inputs!$B$28/12,0),0)</f>
        <v/>
      </c>
      <c r="AZ6" s="74">
        <f>IF(AY8&gt;0,ROUND(AY8*Inputs!$B$28/12,0),0)</f>
        <v/>
      </c>
      <c r="BA6" s="74">
        <f>IF(AZ8&gt;0,ROUND(AZ8*Inputs!$B$28/12,0),0)</f>
        <v/>
      </c>
    </row>
    <row r="7" ht="14.25" customHeight="1" s="83">
      <c r="A7" s="77" t="inlineStr">
        <is>
          <t>Net New Seats</t>
        </is>
      </c>
      <c r="B7" s="74">
        <f>B5-B6</f>
        <v/>
      </c>
      <c r="C7" s="74">
        <f>C5-C6</f>
        <v/>
      </c>
      <c r="D7" s="74">
        <f>D5-D6</f>
        <v/>
      </c>
      <c r="E7" s="74">
        <f>E5-E6</f>
        <v/>
      </c>
      <c r="F7" s="74">
        <f>F5-F6</f>
        <v/>
      </c>
      <c r="G7" s="74">
        <f>G5-G6</f>
        <v/>
      </c>
      <c r="H7" s="74">
        <f>H5-H6</f>
        <v/>
      </c>
      <c r="I7" s="74">
        <f>I5-I6</f>
        <v/>
      </c>
      <c r="J7" s="74">
        <f>J5-J6</f>
        <v/>
      </c>
      <c r="K7" s="74">
        <f>K5-K6</f>
        <v/>
      </c>
      <c r="L7" s="74">
        <f>L5-L6</f>
        <v/>
      </c>
      <c r="M7" s="74">
        <f>M5-M6</f>
        <v/>
      </c>
      <c r="N7" s="74">
        <f>N5-N6</f>
        <v/>
      </c>
      <c r="O7" s="74">
        <f>O5-O6</f>
        <v/>
      </c>
      <c r="P7" s="74">
        <f>P5-P6</f>
        <v/>
      </c>
      <c r="Q7" s="74">
        <f>Q5-Q6</f>
        <v/>
      </c>
      <c r="R7" s="74">
        <f>R5-R6</f>
        <v/>
      </c>
      <c r="S7" s="74">
        <f>S5-S6</f>
        <v/>
      </c>
      <c r="T7" s="74">
        <f>T5-T6</f>
        <v/>
      </c>
      <c r="U7" s="74">
        <f>U5-U6</f>
        <v/>
      </c>
      <c r="V7" s="74">
        <f>V5-V6</f>
        <v/>
      </c>
      <c r="W7" s="74">
        <f>W5-W6</f>
        <v/>
      </c>
      <c r="X7" s="74">
        <f>X5-X6</f>
        <v/>
      </c>
      <c r="Y7" s="74">
        <f>Y5-Y6</f>
        <v/>
      </c>
      <c r="Z7" s="74">
        <f>Z5-Z6</f>
        <v/>
      </c>
      <c r="AA7" s="74">
        <f>AA5-AA6</f>
        <v/>
      </c>
      <c r="AB7" s="74">
        <f>AB5-AB6</f>
        <v/>
      </c>
      <c r="AC7" s="74">
        <f>AC5-AC6</f>
        <v/>
      </c>
      <c r="AD7" s="74">
        <f>AD5-AD6</f>
        <v/>
      </c>
      <c r="AE7" s="74">
        <f>AE5-AE6</f>
        <v/>
      </c>
      <c r="AF7" s="74">
        <f>AF5-AF6</f>
        <v/>
      </c>
      <c r="AG7" s="74">
        <f>AG5-AG6</f>
        <v/>
      </c>
      <c r="AH7" s="74">
        <f>AH5-AH6</f>
        <v/>
      </c>
      <c r="AI7" s="74">
        <f>AI5-AI6</f>
        <v/>
      </c>
      <c r="AJ7" s="74">
        <f>AJ5-AJ6</f>
        <v/>
      </c>
      <c r="AK7" s="74">
        <f>AK5-AK6</f>
        <v/>
      </c>
      <c r="AL7" s="74">
        <f>AL5-AL6</f>
        <v/>
      </c>
      <c r="AM7" s="74">
        <f>AM5-AM6</f>
        <v/>
      </c>
      <c r="AN7" s="74">
        <f>AN5-AN6</f>
        <v/>
      </c>
      <c r="AO7" s="74">
        <f>AO5-AO6</f>
        <v/>
      </c>
      <c r="AP7" s="74">
        <f>AP5-AP6</f>
        <v/>
      </c>
      <c r="AQ7" s="74">
        <f>AQ5-AQ6</f>
        <v/>
      </c>
      <c r="AR7" s="74">
        <f>AR5-AR6</f>
        <v/>
      </c>
      <c r="AS7" s="74">
        <f>AS5-AS6</f>
        <v/>
      </c>
      <c r="AT7" s="74">
        <f>AT5-AT6</f>
        <v/>
      </c>
      <c r="AU7" s="74">
        <f>AU5-AU6</f>
        <v/>
      </c>
      <c r="AV7" s="74">
        <f>AV5-AV6</f>
        <v/>
      </c>
      <c r="AW7" s="74">
        <f>AW5-AW6</f>
        <v/>
      </c>
      <c r="AX7" s="74">
        <f>AX5-AX6</f>
        <v/>
      </c>
      <c r="AY7" s="74">
        <f>AY5-AY6</f>
        <v/>
      </c>
      <c r="AZ7" s="74">
        <f>AZ5-AZ6</f>
        <v/>
      </c>
      <c r="BA7" s="74">
        <f>BA5-BA6</f>
        <v/>
      </c>
    </row>
    <row r="8" ht="14.25" customHeight="1" s="83">
      <c r="A8" s="77" t="inlineStr">
        <is>
          <t>Total Active Seats</t>
        </is>
      </c>
      <c r="B8" s="74">
        <f>B7</f>
        <v/>
      </c>
      <c r="C8" s="74">
        <f>B8+C7</f>
        <v/>
      </c>
      <c r="D8" s="74">
        <f>C8+D7</f>
        <v/>
      </c>
      <c r="E8" s="74">
        <f>D8+E7</f>
        <v/>
      </c>
      <c r="F8" s="74">
        <f>E8+F7</f>
        <v/>
      </c>
      <c r="G8" s="74">
        <f>F8+G7</f>
        <v/>
      </c>
      <c r="H8" s="74">
        <f>G8+H7</f>
        <v/>
      </c>
      <c r="I8" s="74">
        <f>H8+I7</f>
        <v/>
      </c>
      <c r="J8" s="74">
        <f>I8+J7</f>
        <v/>
      </c>
      <c r="K8" s="74">
        <f>J8+K7</f>
        <v/>
      </c>
      <c r="L8" s="74">
        <f>K8+L7</f>
        <v/>
      </c>
      <c r="M8" s="74">
        <f>L8+M7</f>
        <v/>
      </c>
      <c r="N8" s="74">
        <f>M8+N7</f>
        <v/>
      </c>
      <c r="O8" s="74">
        <f>N8+O7</f>
        <v/>
      </c>
      <c r="P8" s="74">
        <f>O8+P7</f>
        <v/>
      </c>
      <c r="Q8" s="74">
        <f>P8+Q7</f>
        <v/>
      </c>
      <c r="R8" s="74">
        <f>Q8+R7</f>
        <v/>
      </c>
      <c r="S8" s="74">
        <f>R8+S7</f>
        <v/>
      </c>
      <c r="T8" s="74">
        <f>S8+T7</f>
        <v/>
      </c>
      <c r="U8" s="74">
        <f>T8+U7</f>
        <v/>
      </c>
      <c r="V8" s="74">
        <f>U8+V7</f>
        <v/>
      </c>
      <c r="W8" s="74">
        <f>V8+W7</f>
        <v/>
      </c>
      <c r="X8" s="74">
        <f>W8+X7</f>
        <v/>
      </c>
      <c r="Y8" s="74">
        <f>X8+Y7</f>
        <v/>
      </c>
      <c r="Z8" s="74">
        <f>Y8+Z7</f>
        <v/>
      </c>
      <c r="AA8" s="74">
        <f>Z8+AA7</f>
        <v/>
      </c>
      <c r="AB8" s="74">
        <f>AA8+AB7</f>
        <v/>
      </c>
      <c r="AC8" s="74">
        <f>AB8+AC7</f>
        <v/>
      </c>
      <c r="AD8" s="74">
        <f>AC8+AD7</f>
        <v/>
      </c>
      <c r="AE8" s="74">
        <f>AD8+AE7</f>
        <v/>
      </c>
      <c r="AF8" s="74">
        <f>AE8+AF7</f>
        <v/>
      </c>
      <c r="AG8" s="74">
        <f>AF8+AG7</f>
        <v/>
      </c>
      <c r="AH8" s="74">
        <f>AG8+AH7</f>
        <v/>
      </c>
      <c r="AI8" s="74">
        <f>AH8+AI7</f>
        <v/>
      </c>
      <c r="AJ8" s="74">
        <f>AI8+AJ7</f>
        <v/>
      </c>
      <c r="AK8" s="74">
        <f>AJ8+AK7</f>
        <v/>
      </c>
      <c r="AL8" s="74">
        <f>AK8+AL7</f>
        <v/>
      </c>
      <c r="AM8" s="74">
        <f>AL8+AM7</f>
        <v/>
      </c>
      <c r="AN8" s="74">
        <f>AM8+AN7</f>
        <v/>
      </c>
      <c r="AO8" s="74">
        <f>AN8+AO7</f>
        <v/>
      </c>
      <c r="AP8" s="74">
        <f>AO8+AP7</f>
        <v/>
      </c>
      <c r="AQ8" s="74">
        <f>AP8+AQ7</f>
        <v/>
      </c>
      <c r="AR8" s="74">
        <f>AQ8+AR7</f>
        <v/>
      </c>
      <c r="AS8" s="74">
        <f>AR8+AS7</f>
        <v/>
      </c>
      <c r="AT8" s="74">
        <f>AS8+AT7</f>
        <v/>
      </c>
      <c r="AU8" s="74">
        <f>AT8+AU7</f>
        <v/>
      </c>
      <c r="AV8" s="74">
        <f>AU8+AV7</f>
        <v/>
      </c>
      <c r="AW8" s="74">
        <f>AV8+AW7</f>
        <v/>
      </c>
      <c r="AX8" s="74">
        <f>AW8+AX7</f>
        <v/>
      </c>
      <c r="AY8" s="74">
        <f>AX8+AY7</f>
        <v/>
      </c>
      <c r="AZ8" s="74">
        <f>AY8+AZ7</f>
        <v/>
      </c>
      <c r="BA8" s="74">
        <f>AZ8+BA7</f>
        <v/>
      </c>
    </row>
    <row r="9" ht="14.25" customHeight="1" s="83">
      <c r="A9" s="77" t="inlineStr">
        <is>
          <t>Monthly Subscription Revenue (€)</t>
        </is>
      </c>
      <c r="B9" s="74">
        <f>B8*B4</f>
        <v/>
      </c>
      <c r="C9" s="74">
        <f>C8*C4</f>
        <v/>
      </c>
      <c r="D9" s="74">
        <f>D8*D4</f>
        <v/>
      </c>
      <c r="E9" s="74">
        <f>E8*E4</f>
        <v/>
      </c>
      <c r="F9" s="74">
        <f>F8*F4</f>
        <v/>
      </c>
      <c r="G9" s="74">
        <f>G8*G4</f>
        <v/>
      </c>
      <c r="H9" s="74">
        <f>H8*H4</f>
        <v/>
      </c>
      <c r="I9" s="74">
        <f>I8*I4</f>
        <v/>
      </c>
      <c r="J9" s="74">
        <f>J8*J4</f>
        <v/>
      </c>
      <c r="K9" s="74">
        <f>K8*K4</f>
        <v/>
      </c>
      <c r="L9" s="74">
        <f>L8*L4</f>
        <v/>
      </c>
      <c r="M9" s="74">
        <f>M8*M4</f>
        <v/>
      </c>
      <c r="N9" s="74">
        <f>N8*N4</f>
        <v/>
      </c>
      <c r="O9" s="74">
        <f>O8*O4</f>
        <v/>
      </c>
      <c r="P9" s="74">
        <f>P8*P4</f>
        <v/>
      </c>
      <c r="Q9" s="74">
        <f>Q8*Q4</f>
        <v/>
      </c>
      <c r="R9" s="74">
        <f>R8*R4</f>
        <v/>
      </c>
      <c r="S9" s="74">
        <f>S8*S4</f>
        <v/>
      </c>
      <c r="T9" s="74">
        <f>T8*T4</f>
        <v/>
      </c>
      <c r="U9" s="74">
        <f>U8*U4</f>
        <v/>
      </c>
      <c r="V9" s="74">
        <f>V8*V4</f>
        <v/>
      </c>
      <c r="W9" s="74">
        <f>W8*W4</f>
        <v/>
      </c>
      <c r="X9" s="74">
        <f>X8*X4</f>
        <v/>
      </c>
      <c r="Y9" s="74">
        <f>Y8*Y4</f>
        <v/>
      </c>
      <c r="Z9" s="74">
        <f>Z8*Z4</f>
        <v/>
      </c>
      <c r="AA9" s="74">
        <f>AA8*AA4</f>
        <v/>
      </c>
      <c r="AB9" s="74">
        <f>AB8*AB4</f>
        <v/>
      </c>
      <c r="AC9" s="74">
        <f>AC8*AC4</f>
        <v/>
      </c>
      <c r="AD9" s="74">
        <f>AD8*AD4</f>
        <v/>
      </c>
      <c r="AE9" s="74">
        <f>AE8*AE4</f>
        <v/>
      </c>
      <c r="AF9" s="74">
        <f>AF8*AF4</f>
        <v/>
      </c>
      <c r="AG9" s="74">
        <f>AG8*AG4</f>
        <v/>
      </c>
      <c r="AH9" s="74">
        <f>AH8*AH4</f>
        <v/>
      </c>
      <c r="AI9" s="74">
        <f>AI8*AI4</f>
        <v/>
      </c>
      <c r="AJ9" s="74">
        <f>AJ8*AJ4</f>
        <v/>
      </c>
      <c r="AK9" s="74">
        <f>AK8*AK4</f>
        <v/>
      </c>
      <c r="AL9" s="74">
        <f>AL8*AL4</f>
        <v/>
      </c>
      <c r="AM9" s="74">
        <f>AM8*AM4</f>
        <v/>
      </c>
      <c r="AN9" s="74">
        <f>AN8*AN4</f>
        <v/>
      </c>
      <c r="AO9" s="74">
        <f>AO8*AO4</f>
        <v/>
      </c>
      <c r="AP9" s="74">
        <f>AP8*AP4</f>
        <v/>
      </c>
      <c r="AQ9" s="74">
        <f>AQ8*AQ4</f>
        <v/>
      </c>
      <c r="AR9" s="74">
        <f>AR8*AR4</f>
        <v/>
      </c>
      <c r="AS9" s="74">
        <f>AS8*AS4</f>
        <v/>
      </c>
      <c r="AT9" s="74">
        <f>AT8*AT4</f>
        <v/>
      </c>
      <c r="AU9" s="74">
        <f>AU8*AU4</f>
        <v/>
      </c>
      <c r="AV9" s="74">
        <f>AV8*AV4</f>
        <v/>
      </c>
      <c r="AW9" s="74">
        <f>AW8*AW4</f>
        <v/>
      </c>
      <c r="AX9" s="74">
        <f>AX8*AX4</f>
        <v/>
      </c>
      <c r="AY9" s="74">
        <f>AY8*AY4</f>
        <v/>
      </c>
      <c r="AZ9" s="74">
        <f>AZ8*AZ4</f>
        <v/>
      </c>
      <c r="BA9" s="74">
        <f>BA8*BA4</f>
        <v/>
      </c>
    </row>
    <row r="10" ht="14.25" customHeight="1" s="83">
      <c r="A10" s="77" t="inlineStr">
        <is>
          <t>Subscription ARR (€)</t>
        </is>
      </c>
      <c r="B10" s="74">
        <f>B9*12</f>
        <v/>
      </c>
      <c r="C10" s="74">
        <f>C9*12</f>
        <v/>
      </c>
      <c r="D10" s="74">
        <f>D9*12</f>
        <v/>
      </c>
      <c r="E10" s="74">
        <f>E9*12</f>
        <v/>
      </c>
      <c r="F10" s="74">
        <f>F9*12</f>
        <v/>
      </c>
      <c r="G10" s="74">
        <f>G9*12</f>
        <v/>
      </c>
      <c r="H10" s="74">
        <f>H9*12</f>
        <v/>
      </c>
      <c r="I10" s="74">
        <f>I9*12</f>
        <v/>
      </c>
      <c r="J10" s="74">
        <f>J9*12</f>
        <v/>
      </c>
      <c r="K10" s="74">
        <f>K9*12</f>
        <v/>
      </c>
      <c r="L10" s="74">
        <f>L9*12</f>
        <v/>
      </c>
      <c r="M10" s="74">
        <f>M9*12</f>
        <v/>
      </c>
      <c r="N10" s="74">
        <f>N9*12</f>
        <v/>
      </c>
      <c r="O10" s="74">
        <f>O9*12</f>
        <v/>
      </c>
      <c r="P10" s="74">
        <f>P9*12</f>
        <v/>
      </c>
      <c r="Q10" s="74">
        <f>Q9*12</f>
        <v/>
      </c>
      <c r="R10" s="74">
        <f>R9*12</f>
        <v/>
      </c>
      <c r="S10" s="74">
        <f>S9*12</f>
        <v/>
      </c>
      <c r="T10" s="74">
        <f>T9*12</f>
        <v/>
      </c>
      <c r="U10" s="74">
        <f>U9*12</f>
        <v/>
      </c>
      <c r="V10" s="74">
        <f>V9*12</f>
        <v/>
      </c>
      <c r="W10" s="74">
        <f>W9*12</f>
        <v/>
      </c>
      <c r="X10" s="74">
        <f>X9*12</f>
        <v/>
      </c>
      <c r="Y10" s="74">
        <f>Y9*12</f>
        <v/>
      </c>
      <c r="Z10" s="74">
        <f>Z9*12</f>
        <v/>
      </c>
      <c r="AA10" s="74">
        <f>AA9*12</f>
        <v/>
      </c>
      <c r="AB10" s="74">
        <f>AB9*12</f>
        <v/>
      </c>
      <c r="AC10" s="74">
        <f>AC9*12</f>
        <v/>
      </c>
      <c r="AD10" s="74">
        <f>AD9*12</f>
        <v/>
      </c>
      <c r="AE10" s="74">
        <f>AE9*12</f>
        <v/>
      </c>
      <c r="AF10" s="74">
        <f>AF9*12</f>
        <v/>
      </c>
      <c r="AG10" s="74">
        <f>AG9*12</f>
        <v/>
      </c>
      <c r="AH10" s="74">
        <f>AH9*12</f>
        <v/>
      </c>
      <c r="AI10" s="74">
        <f>AI9*12</f>
        <v/>
      </c>
      <c r="AJ10" s="74">
        <f>AJ9*12</f>
        <v/>
      </c>
      <c r="AK10" s="74">
        <f>AK9*12</f>
        <v/>
      </c>
      <c r="AL10" s="74">
        <f>AL9*12</f>
        <v/>
      </c>
      <c r="AM10" s="74">
        <f>AM9*12</f>
        <v/>
      </c>
      <c r="AN10" s="74">
        <f>AN9*12</f>
        <v/>
      </c>
      <c r="AO10" s="74">
        <f>AO9*12</f>
        <v/>
      </c>
      <c r="AP10" s="74">
        <f>AP9*12</f>
        <v/>
      </c>
      <c r="AQ10" s="74">
        <f>AQ9*12</f>
        <v/>
      </c>
      <c r="AR10" s="74">
        <f>AR9*12</f>
        <v/>
      </c>
      <c r="AS10" s="74">
        <f>AS9*12</f>
        <v/>
      </c>
      <c r="AT10" s="74">
        <f>AT9*12</f>
        <v/>
      </c>
      <c r="AU10" s="74">
        <f>AU9*12</f>
        <v/>
      </c>
      <c r="AV10" s="74">
        <f>AV9*12</f>
        <v/>
      </c>
      <c r="AW10" s="74">
        <f>AW9*12</f>
        <v/>
      </c>
      <c r="AX10" s="74">
        <f>AX9*12</f>
        <v/>
      </c>
      <c r="AY10" s="74">
        <f>AY9*12</f>
        <v/>
      </c>
      <c r="AZ10" s="74">
        <f>AZ9*12</f>
        <v/>
      </c>
      <c r="BA10" s="74">
        <f>BA9*12</f>
        <v/>
      </c>
    </row>
    <row r="11" ht="6" customHeight="1" s="83">
      <c r="A11" s="138" t="n"/>
    </row>
    <row r="12" ht="18" customHeight="1" s="83">
      <c r="A12" s="139" t="inlineStr">
        <is>
          <t>Neue Enterprise-Deals (Quartal)</t>
        </is>
      </c>
      <c r="B12" s="74">
        <f>IF(AND(1&gt;=Inputs!$B$25,MOD(1-Inputs!$B$25,3)=0),Inputs!$B$27,0)</f>
        <v/>
      </c>
      <c r="C12" s="74">
        <f>IF(AND(2&gt;=Inputs!$B$25,MOD(2-Inputs!$B$25,3)=0),Inputs!$B$27,0)</f>
        <v/>
      </c>
      <c r="D12" s="74">
        <f>IF(AND(3&gt;=Inputs!$B$25,MOD(3-Inputs!$B$25,3)=0),Inputs!$B$27,0)</f>
        <v/>
      </c>
      <c r="E12" s="74">
        <f>IF(AND(4&gt;=Inputs!$B$25,MOD(4-Inputs!$B$25,3)=0),Inputs!$B$27,0)</f>
        <v/>
      </c>
      <c r="F12" s="74">
        <f>IF(AND(5&gt;=Inputs!$B$25,MOD(5-Inputs!$B$25,3)=0),Inputs!$B$27,0)</f>
        <v/>
      </c>
      <c r="G12" s="74">
        <f>IF(AND(6&gt;=Inputs!$B$25,MOD(6-Inputs!$B$25,3)=0),Inputs!$B$27,0)</f>
        <v/>
      </c>
      <c r="H12" s="74">
        <f>IF(AND(7&gt;=Inputs!$B$25,MOD(7-Inputs!$B$25,3)=0),Inputs!$B$27,0)</f>
        <v/>
      </c>
      <c r="I12" s="74">
        <f>IF(AND(8&gt;=Inputs!$B$25,MOD(8-Inputs!$B$25,3)=0),Inputs!$B$27,0)</f>
        <v/>
      </c>
      <c r="J12" s="74">
        <f>IF(AND(9&gt;=Inputs!$B$25,MOD(9-Inputs!$B$25,3)=0),Inputs!$B$27,0)</f>
        <v/>
      </c>
      <c r="K12" s="74">
        <f>IF(AND(10&gt;=Inputs!$B$25,MOD(10-Inputs!$B$25,3)=0),Inputs!$B$27,0)</f>
        <v/>
      </c>
      <c r="L12" s="74">
        <f>IF(AND(11&gt;=Inputs!$B$25,MOD(11-Inputs!$B$25,3)=0),Inputs!$B$27,0)</f>
        <v/>
      </c>
      <c r="M12" s="74">
        <f>IF(AND(12&gt;=Inputs!$B$25,MOD(12-Inputs!$B$25,3)=0),Inputs!$B$27,0)</f>
        <v/>
      </c>
      <c r="N12" s="74">
        <f>IF(AND(13&gt;=Inputs!$B$25,MOD(13-Inputs!$B$25,3)=0),Inputs!$B$27,0)</f>
        <v/>
      </c>
      <c r="O12" s="74">
        <f>IF(AND(14&gt;=Inputs!$B$25,MOD(14-Inputs!$B$25,3)=0),Inputs!$B$27,0)</f>
        <v/>
      </c>
      <c r="P12" s="74">
        <f>IF(AND(15&gt;=Inputs!$B$25,MOD(15-Inputs!$B$25,3)=0),Inputs!$B$27,0)</f>
        <v/>
      </c>
      <c r="Q12" s="74">
        <f>IF(AND(16&gt;=Inputs!$B$25,MOD(16-Inputs!$B$25,3)=0),Inputs!$B$27,0)</f>
        <v/>
      </c>
      <c r="R12" s="74">
        <f>IF(AND(17&gt;=Inputs!$B$25,MOD(17-Inputs!$B$25,3)=0),Inputs!$B$27,0)</f>
        <v/>
      </c>
      <c r="S12" s="74">
        <f>IF(AND(18&gt;=Inputs!$B$25,MOD(18-Inputs!$B$25,3)=0),Inputs!$B$27,0)</f>
        <v/>
      </c>
      <c r="T12" s="74">
        <f>IF(AND(19&gt;=Inputs!$B$25,MOD(19-Inputs!$B$25,3)=0),Inputs!$B$27,0)</f>
        <v/>
      </c>
      <c r="U12" s="74">
        <f>IF(AND(20&gt;=Inputs!$B$25,MOD(20-Inputs!$B$25,3)=0),Inputs!$B$27,0)</f>
        <v/>
      </c>
      <c r="V12" s="74">
        <f>IF(AND(21&gt;=Inputs!$B$25,MOD(21-Inputs!$B$25,3)=0),Inputs!$B$27,0)</f>
        <v/>
      </c>
      <c r="W12" s="74">
        <f>IF(AND(22&gt;=Inputs!$B$25,MOD(22-Inputs!$B$25,3)=0),Inputs!$B$27,0)</f>
        <v/>
      </c>
      <c r="X12" s="74">
        <f>IF(AND(23&gt;=Inputs!$B$25,MOD(23-Inputs!$B$25,3)=0),Inputs!$B$27,0)</f>
        <v/>
      </c>
      <c r="Y12" s="74">
        <f>IF(AND(24&gt;=Inputs!$B$25,MOD(24-Inputs!$B$25,3)=0),Inputs!$B$27,0)</f>
        <v/>
      </c>
      <c r="Z12" s="74">
        <f>IF(AND(25&gt;=Inputs!$B$25,MOD(25-Inputs!$B$25,3)=0),Inputs!$B$27,0)</f>
        <v/>
      </c>
      <c r="AA12" s="74">
        <f>IF(AND(26&gt;=Inputs!$B$25,MOD(26-Inputs!$B$25,3)=0),Inputs!$B$27,0)</f>
        <v/>
      </c>
      <c r="AB12" s="74">
        <f>IF(AND(27&gt;=Inputs!$B$25,MOD(27-Inputs!$B$25,3)=0),Inputs!$B$27,0)</f>
        <v/>
      </c>
      <c r="AC12" s="74">
        <f>IF(AND(28&gt;=Inputs!$B$25,MOD(28-Inputs!$B$25,3)=0),Inputs!$B$27,0)</f>
        <v/>
      </c>
      <c r="AD12" s="74">
        <f>IF(AND(29&gt;=Inputs!$B$25,MOD(29-Inputs!$B$25,3)=0),Inputs!$B$27,0)</f>
        <v/>
      </c>
      <c r="AE12" s="74">
        <f>IF(AND(30&gt;=Inputs!$B$25,MOD(30-Inputs!$B$25,3)=0),Inputs!$B$27,0)</f>
        <v/>
      </c>
      <c r="AF12" s="74">
        <f>IF(AND(31&gt;=Inputs!$B$25,MOD(31-Inputs!$B$25,3)=0),Inputs!$B$27,0)</f>
        <v/>
      </c>
      <c r="AG12" s="74">
        <f>IF(AND(32&gt;=Inputs!$B$25,MOD(32-Inputs!$B$25,3)=0),Inputs!$B$27,0)</f>
        <v/>
      </c>
      <c r="AH12" s="74">
        <f>IF(AND(33&gt;=Inputs!$B$25,MOD(33-Inputs!$B$25,3)=0),Inputs!$B$27,0)</f>
        <v/>
      </c>
      <c r="AI12" s="74">
        <f>IF(AND(34&gt;=Inputs!$B$25,MOD(34-Inputs!$B$25,3)=0),Inputs!$B$27,0)</f>
        <v/>
      </c>
      <c r="AJ12" s="74">
        <f>IF(AND(35&gt;=Inputs!$B$25,MOD(35-Inputs!$B$25,3)=0),Inputs!$B$27,0)</f>
        <v/>
      </c>
      <c r="AK12" s="74">
        <f>IF(AND(36&gt;=Inputs!$B$25,MOD(36-Inputs!$B$25,3)=0),Inputs!$B$27,0)</f>
        <v/>
      </c>
      <c r="AL12" s="74">
        <f>IF(AND(37&gt;=Inputs!$B$25,MOD(37-Inputs!$B$25,3)=0),Inputs!$B$27,0)</f>
        <v/>
      </c>
      <c r="AM12" s="74">
        <f>IF(AND(38&gt;=Inputs!$B$25,MOD(38-Inputs!$B$25,3)=0),Inputs!$B$27,0)</f>
        <v/>
      </c>
      <c r="AN12" s="74">
        <f>IF(AND(39&gt;=Inputs!$B$25,MOD(39-Inputs!$B$25,3)=0),Inputs!$B$27,0)</f>
        <v/>
      </c>
      <c r="AO12" s="74">
        <f>IF(AND(40&gt;=Inputs!$B$25,MOD(40-Inputs!$B$25,3)=0),Inputs!$B$27,0)</f>
        <v/>
      </c>
      <c r="AP12" s="74">
        <f>IF(AND(41&gt;=Inputs!$B$25,MOD(41-Inputs!$B$25,3)=0),Inputs!$B$27,0)</f>
        <v/>
      </c>
      <c r="AQ12" s="74">
        <f>IF(AND(42&gt;=Inputs!$B$25,MOD(42-Inputs!$B$25,3)=0),Inputs!$B$27,0)</f>
        <v/>
      </c>
      <c r="AR12" s="74">
        <f>IF(AND(43&gt;=Inputs!$B$25,MOD(43-Inputs!$B$25,3)=0),Inputs!$B$27,0)</f>
        <v/>
      </c>
      <c r="AS12" s="74">
        <f>IF(AND(44&gt;=Inputs!$B$25,MOD(44-Inputs!$B$25,3)=0),Inputs!$B$27,0)</f>
        <v/>
      </c>
      <c r="AT12" s="74">
        <f>IF(AND(45&gt;=Inputs!$B$25,MOD(45-Inputs!$B$25,3)=0),Inputs!$B$27,0)</f>
        <v/>
      </c>
      <c r="AU12" s="74">
        <f>IF(AND(46&gt;=Inputs!$B$25,MOD(46-Inputs!$B$25,3)=0),Inputs!$B$27,0)</f>
        <v/>
      </c>
      <c r="AV12" s="74">
        <f>IF(AND(47&gt;=Inputs!$B$25,MOD(47-Inputs!$B$25,3)=0),Inputs!$B$27,0)</f>
        <v/>
      </c>
      <c r="AW12" s="74">
        <f>IF(AND(48&gt;=Inputs!$B$25,MOD(48-Inputs!$B$25,3)=0),Inputs!$B$27,0)</f>
        <v/>
      </c>
      <c r="AX12" s="74">
        <f>IF(AND(49&gt;=Inputs!$B$25,MOD(49-Inputs!$B$25,3)=0),Inputs!$B$27,0)</f>
        <v/>
      </c>
      <c r="AY12" s="74">
        <f>IF(AND(50&gt;=Inputs!$B$25,MOD(50-Inputs!$B$25,3)=0),Inputs!$B$27,0)</f>
        <v/>
      </c>
      <c r="AZ12" s="74">
        <f>IF(AND(51&gt;=Inputs!$B$25,MOD(51-Inputs!$B$25,3)=0),Inputs!$B$27,0)</f>
        <v/>
      </c>
      <c r="BA12" s="74">
        <f>IF(AND(52&gt;=Inputs!$B$25,MOD(52-Inputs!$B$25,3)=0),Inputs!$B$27,0)</f>
        <v/>
      </c>
    </row>
    <row r="13" ht="14.25" customHeight="1" s="83">
      <c r="A13" s="77" t="inlineStr">
        <is>
          <t>Churned Enterprise</t>
        </is>
      </c>
      <c r="B13" s="74">
        <f>0</f>
        <v/>
      </c>
      <c r="C13" s="74">
        <f>IF(B14&gt;0,IF(MOD(2,12)=0,ROUND(B14*Inputs!$B$28,0),0),0)</f>
        <v/>
      </c>
      <c r="D13" s="74">
        <f>IF(C14&gt;0,IF(MOD(3,12)=0,ROUND(C14*Inputs!$B$28,0),0),0)</f>
        <v/>
      </c>
      <c r="E13" s="74">
        <f>IF(D14&gt;0,IF(MOD(4,12)=0,ROUND(D14*Inputs!$B$28,0),0),0)</f>
        <v/>
      </c>
      <c r="F13" s="74">
        <f>IF(E14&gt;0,IF(MOD(5,12)=0,ROUND(E14*Inputs!$B$28,0),0),0)</f>
        <v/>
      </c>
      <c r="G13" s="74">
        <f>IF(F14&gt;0,IF(MOD(6,12)=0,ROUND(F14*Inputs!$B$28,0),0),0)</f>
        <v/>
      </c>
      <c r="H13" s="74">
        <f>IF(G14&gt;0,IF(MOD(7,12)=0,ROUND(G14*Inputs!$B$28,0),0),0)</f>
        <v/>
      </c>
      <c r="I13" s="74">
        <f>IF(H14&gt;0,IF(MOD(8,12)=0,ROUND(H14*Inputs!$B$28,0),0),0)</f>
        <v/>
      </c>
      <c r="J13" s="74">
        <f>IF(I14&gt;0,IF(MOD(9,12)=0,ROUND(I14*Inputs!$B$28,0),0),0)</f>
        <v/>
      </c>
      <c r="K13" s="74">
        <f>IF(J14&gt;0,IF(MOD(10,12)=0,ROUND(J14*Inputs!$B$28,0),0),0)</f>
        <v/>
      </c>
      <c r="L13" s="74">
        <f>IF(K14&gt;0,IF(MOD(11,12)=0,ROUND(K14*Inputs!$B$28,0),0),0)</f>
        <v/>
      </c>
      <c r="M13" s="74">
        <f>IF(L14&gt;0,IF(MOD(12,12)=0,ROUND(L14*Inputs!$B$28,0),0),0)</f>
        <v/>
      </c>
      <c r="N13" s="74">
        <f>IF(M14&gt;0,IF(MOD(13,12)=0,ROUND(M14*Inputs!$B$28,0),0),0)</f>
        <v/>
      </c>
      <c r="O13" s="74">
        <f>IF(N14&gt;0,IF(MOD(14,12)=0,ROUND(N14*Inputs!$B$28,0),0),0)</f>
        <v/>
      </c>
      <c r="P13" s="74">
        <f>IF(O14&gt;0,IF(MOD(15,12)=0,ROUND(O14*Inputs!$B$28,0),0),0)</f>
        <v/>
      </c>
      <c r="Q13" s="74">
        <f>IF(P14&gt;0,IF(MOD(16,12)=0,ROUND(P14*Inputs!$B$28,0),0),0)</f>
        <v/>
      </c>
      <c r="R13" s="74">
        <f>IF(Q14&gt;0,IF(MOD(17,12)=0,ROUND(Q14*Inputs!$B$28,0),0),0)</f>
        <v/>
      </c>
      <c r="S13" s="74">
        <f>IF(R14&gt;0,IF(MOD(18,12)=0,ROUND(R14*Inputs!$B$28,0),0),0)</f>
        <v/>
      </c>
      <c r="T13" s="74">
        <f>IF(S14&gt;0,IF(MOD(19,12)=0,ROUND(S14*Inputs!$B$28,0),0),0)</f>
        <v/>
      </c>
      <c r="U13" s="74">
        <f>IF(T14&gt;0,IF(MOD(20,12)=0,ROUND(T14*Inputs!$B$28,0),0),0)</f>
        <v/>
      </c>
      <c r="V13" s="74">
        <f>IF(U14&gt;0,IF(MOD(21,12)=0,ROUND(U14*Inputs!$B$28,0),0),0)</f>
        <v/>
      </c>
      <c r="W13" s="74">
        <f>IF(V14&gt;0,IF(MOD(22,12)=0,ROUND(V14*Inputs!$B$28,0),0),0)</f>
        <v/>
      </c>
      <c r="X13" s="74">
        <f>IF(W14&gt;0,IF(MOD(23,12)=0,ROUND(W14*Inputs!$B$28,0),0),0)</f>
        <v/>
      </c>
      <c r="Y13" s="74">
        <f>IF(X14&gt;0,IF(MOD(24,12)=0,ROUND(X14*Inputs!$B$28,0),0),0)</f>
        <v/>
      </c>
      <c r="Z13" s="74">
        <f>IF(Y14&gt;0,IF(MOD(25,12)=0,ROUND(Y14*Inputs!$B$28,0),0),0)</f>
        <v/>
      </c>
      <c r="AA13" s="74">
        <f>IF(Z14&gt;0,IF(MOD(26,12)=0,ROUND(Z14*Inputs!$B$28,0),0),0)</f>
        <v/>
      </c>
      <c r="AB13" s="74">
        <f>IF(AA14&gt;0,IF(MOD(27,12)=0,ROUND(AA14*Inputs!$B$28,0),0),0)</f>
        <v/>
      </c>
      <c r="AC13" s="74">
        <f>IF(AB14&gt;0,IF(MOD(28,12)=0,ROUND(AB14*Inputs!$B$28,0),0),0)</f>
        <v/>
      </c>
      <c r="AD13" s="74">
        <f>IF(AC14&gt;0,IF(MOD(29,12)=0,ROUND(AC14*Inputs!$B$28,0),0),0)</f>
        <v/>
      </c>
      <c r="AE13" s="74">
        <f>IF(AD14&gt;0,IF(MOD(30,12)=0,ROUND(AD14*Inputs!$B$28,0),0),0)</f>
        <v/>
      </c>
      <c r="AF13" s="74">
        <f>IF(AE14&gt;0,IF(MOD(31,12)=0,ROUND(AE14*Inputs!$B$28,0),0),0)</f>
        <v/>
      </c>
      <c r="AG13" s="74">
        <f>IF(AF14&gt;0,IF(MOD(32,12)=0,ROUND(AF14*Inputs!$B$28,0),0),0)</f>
        <v/>
      </c>
      <c r="AH13" s="74">
        <f>IF(AG14&gt;0,IF(MOD(33,12)=0,ROUND(AG14*Inputs!$B$28,0),0),0)</f>
        <v/>
      </c>
      <c r="AI13" s="74">
        <f>IF(AH14&gt;0,IF(MOD(34,12)=0,ROUND(AH14*Inputs!$B$28,0),0),0)</f>
        <v/>
      </c>
      <c r="AJ13" s="74">
        <f>IF(AI14&gt;0,IF(MOD(35,12)=0,ROUND(AI14*Inputs!$B$28,0),0),0)</f>
        <v/>
      </c>
      <c r="AK13" s="74">
        <f>IF(AJ14&gt;0,IF(MOD(36,12)=0,ROUND(AJ14*Inputs!$B$28,0),0),0)</f>
        <v/>
      </c>
      <c r="AL13" s="74">
        <f>IF(AK14&gt;0,IF(MOD(37,12)=0,ROUND(AK14*Inputs!$B$28,0),0),0)</f>
        <v/>
      </c>
      <c r="AM13" s="74">
        <f>IF(AL14&gt;0,IF(MOD(38,12)=0,ROUND(AL14*Inputs!$B$28,0),0),0)</f>
        <v/>
      </c>
      <c r="AN13" s="74">
        <f>IF(AM14&gt;0,IF(MOD(39,12)=0,ROUND(AM14*Inputs!$B$28,0),0),0)</f>
        <v/>
      </c>
      <c r="AO13" s="74">
        <f>IF(AN14&gt;0,IF(MOD(40,12)=0,ROUND(AN14*Inputs!$B$28,0),0),0)</f>
        <v/>
      </c>
      <c r="AP13" s="74">
        <f>IF(AO14&gt;0,IF(MOD(41,12)=0,ROUND(AO14*Inputs!$B$28,0),0),0)</f>
        <v/>
      </c>
      <c r="AQ13" s="74">
        <f>IF(AP14&gt;0,IF(MOD(42,12)=0,ROUND(AP14*Inputs!$B$28,0),0),0)</f>
        <v/>
      </c>
      <c r="AR13" s="74">
        <f>IF(AQ14&gt;0,IF(MOD(43,12)=0,ROUND(AQ14*Inputs!$B$28,0),0),0)</f>
        <v/>
      </c>
      <c r="AS13" s="74">
        <f>IF(AR14&gt;0,IF(MOD(44,12)=0,ROUND(AR14*Inputs!$B$28,0),0),0)</f>
        <v/>
      </c>
      <c r="AT13" s="74">
        <f>IF(AS14&gt;0,IF(MOD(45,12)=0,ROUND(AS14*Inputs!$B$28,0),0),0)</f>
        <v/>
      </c>
      <c r="AU13" s="74">
        <f>IF(AT14&gt;0,IF(MOD(46,12)=0,ROUND(AT14*Inputs!$B$28,0),0),0)</f>
        <v/>
      </c>
      <c r="AV13" s="74">
        <f>IF(AU14&gt;0,IF(MOD(47,12)=0,ROUND(AU14*Inputs!$B$28,0),0),0)</f>
        <v/>
      </c>
      <c r="AW13" s="74">
        <f>IF(AV14&gt;0,IF(MOD(48,12)=0,ROUND(AV14*Inputs!$B$28,0),0),0)</f>
        <v/>
      </c>
      <c r="AX13" s="74">
        <f>IF(AW14&gt;0,IF(MOD(49,12)=0,ROUND(AW14*Inputs!$B$28,0),0),0)</f>
        <v/>
      </c>
      <c r="AY13" s="74">
        <f>IF(AX14&gt;0,IF(MOD(50,12)=0,ROUND(AX14*Inputs!$B$28,0),0),0)</f>
        <v/>
      </c>
      <c r="AZ13" s="74">
        <f>IF(AY14&gt;0,IF(MOD(51,12)=0,ROUND(AY14*Inputs!$B$28,0),0),0)</f>
        <v/>
      </c>
      <c r="BA13" s="74">
        <f>IF(AZ14&gt;0,IF(MOD(52,12)=0,ROUND(AZ14*Inputs!$B$28,0),0),0)</f>
        <v/>
      </c>
    </row>
    <row r="14" ht="14.25" customHeight="1" s="83">
      <c r="A14" s="77" t="inlineStr">
        <is>
          <t>Active Enterprise Contracts</t>
        </is>
      </c>
      <c r="B14" s="74">
        <f>B12-B13</f>
        <v/>
      </c>
      <c r="C14" s="74">
        <f>B14+C12-C13</f>
        <v/>
      </c>
      <c r="D14" s="74">
        <f>C14+D12-D13</f>
        <v/>
      </c>
      <c r="E14" s="74">
        <f>D14+E12-E13</f>
        <v/>
      </c>
      <c r="F14" s="74">
        <f>E14+F12-F13</f>
        <v/>
      </c>
      <c r="G14" s="74">
        <f>F14+G12-G13</f>
        <v/>
      </c>
      <c r="H14" s="74">
        <f>G14+H12-H13</f>
        <v/>
      </c>
      <c r="I14" s="74">
        <f>H14+I12-I13</f>
        <v/>
      </c>
      <c r="J14" s="74">
        <f>I14+J12-J13</f>
        <v/>
      </c>
      <c r="K14" s="74">
        <f>J14+K12-K13</f>
        <v/>
      </c>
      <c r="L14" s="74">
        <f>K14+L12-L13</f>
        <v/>
      </c>
      <c r="M14" s="74">
        <f>L14+M12-M13</f>
        <v/>
      </c>
      <c r="N14" s="74">
        <f>M14+N12-N13</f>
        <v/>
      </c>
      <c r="O14" s="74">
        <f>N14+O12-O13</f>
        <v/>
      </c>
      <c r="P14" s="74">
        <f>O14+P12-P13</f>
        <v/>
      </c>
      <c r="Q14" s="74">
        <f>P14+Q12-Q13</f>
        <v/>
      </c>
      <c r="R14" s="74">
        <f>Q14+R12-R13</f>
        <v/>
      </c>
      <c r="S14" s="74">
        <f>R14+S12-S13</f>
        <v/>
      </c>
      <c r="T14" s="74">
        <f>S14+T12-T13</f>
        <v/>
      </c>
      <c r="U14" s="74">
        <f>T14+U12-U13</f>
        <v/>
      </c>
      <c r="V14" s="74">
        <f>U14+V12-V13</f>
        <v/>
      </c>
      <c r="W14" s="74">
        <f>V14+W12-W13</f>
        <v/>
      </c>
      <c r="X14" s="74">
        <f>W14+X12-X13</f>
        <v/>
      </c>
      <c r="Y14" s="74">
        <f>X14+Y12-Y13</f>
        <v/>
      </c>
      <c r="Z14" s="74">
        <f>Y14+Z12-Z13</f>
        <v/>
      </c>
      <c r="AA14" s="74">
        <f>Z14+AA12-AA13</f>
        <v/>
      </c>
      <c r="AB14" s="74">
        <f>AA14+AB12-AB13</f>
        <v/>
      </c>
      <c r="AC14" s="74">
        <f>AB14+AC12-AC13</f>
        <v/>
      </c>
      <c r="AD14" s="74">
        <f>AC14+AD12-AD13</f>
        <v/>
      </c>
      <c r="AE14" s="74">
        <f>AD14+AE12-AE13</f>
        <v/>
      </c>
      <c r="AF14" s="74">
        <f>AE14+AF12-AF13</f>
        <v/>
      </c>
      <c r="AG14" s="74">
        <f>AF14+AG12-AG13</f>
        <v/>
      </c>
      <c r="AH14" s="74">
        <f>AG14+AH12-AH13</f>
        <v/>
      </c>
      <c r="AI14" s="74">
        <f>AH14+AI12-AI13</f>
        <v/>
      </c>
      <c r="AJ14" s="74">
        <f>AI14+AJ12-AJ13</f>
        <v/>
      </c>
      <c r="AK14" s="74">
        <f>AJ14+AK12-AK13</f>
        <v/>
      </c>
      <c r="AL14" s="74">
        <f>AK14+AL12-AL13</f>
        <v/>
      </c>
      <c r="AM14" s="74">
        <f>AL14+AM12-AM13</f>
        <v/>
      </c>
      <c r="AN14" s="74">
        <f>AM14+AN12-AN13</f>
        <v/>
      </c>
      <c r="AO14" s="74">
        <f>AN14+AO12-AO13</f>
        <v/>
      </c>
      <c r="AP14" s="74">
        <f>AO14+AP12-AP13</f>
        <v/>
      </c>
      <c r="AQ14" s="74">
        <f>AP14+AQ12-AQ13</f>
        <v/>
      </c>
      <c r="AR14" s="74">
        <f>AQ14+AR12-AR13</f>
        <v/>
      </c>
      <c r="AS14" s="74">
        <f>AR14+AS12-AS13</f>
        <v/>
      </c>
      <c r="AT14" s="74">
        <f>AS14+AT12-AT13</f>
        <v/>
      </c>
      <c r="AU14" s="74">
        <f>AT14+AU12-AU13</f>
        <v/>
      </c>
      <c r="AV14" s="74">
        <f>AU14+AV12-AV13</f>
        <v/>
      </c>
      <c r="AW14" s="74">
        <f>AV14+AW12-AW13</f>
        <v/>
      </c>
      <c r="AX14" s="74">
        <f>AW14+AX12-AX13</f>
        <v/>
      </c>
      <c r="AY14" s="74">
        <f>AX14+AY12-AY13</f>
        <v/>
      </c>
      <c r="AZ14" s="74">
        <f>AY14+AZ12-AZ13</f>
        <v/>
      </c>
      <c r="BA14" s="74">
        <f>AZ14+BA12-BA13</f>
        <v/>
      </c>
    </row>
    <row r="15" ht="14.25" customHeight="1" s="83">
      <c r="A15" s="77" t="inlineStr">
        <is>
          <t>Avg Enterprise ACV (€)</t>
        </is>
      </c>
      <c r="B15" s="74">
        <f>Inputs!$B$26*(1+Inputs!$B$21)^INT((1-1)/12)</f>
        <v/>
      </c>
      <c r="C15" s="74">
        <f>Inputs!$B$26*(1+Inputs!$B$21)^INT((2-1)/12)</f>
        <v/>
      </c>
      <c r="D15" s="74">
        <f>Inputs!$B$26*(1+Inputs!$B$21)^INT((3-1)/12)</f>
        <v/>
      </c>
      <c r="E15" s="74">
        <f>Inputs!$B$26*(1+Inputs!$B$21)^INT((4-1)/12)</f>
        <v/>
      </c>
      <c r="F15" s="74">
        <f>Inputs!$B$26*(1+Inputs!$B$21)^INT((5-1)/12)</f>
        <v/>
      </c>
      <c r="G15" s="74">
        <f>Inputs!$B$26*(1+Inputs!$B$21)^INT((6-1)/12)</f>
        <v/>
      </c>
      <c r="H15" s="74">
        <f>Inputs!$B$26*(1+Inputs!$B$21)^INT((7-1)/12)</f>
        <v/>
      </c>
      <c r="I15" s="74">
        <f>Inputs!$B$26*(1+Inputs!$B$21)^INT((8-1)/12)</f>
        <v/>
      </c>
      <c r="J15" s="74">
        <f>Inputs!$B$26*(1+Inputs!$B$21)^INT((9-1)/12)</f>
        <v/>
      </c>
      <c r="K15" s="74">
        <f>Inputs!$B$26*(1+Inputs!$B$21)^INT((10-1)/12)</f>
        <v/>
      </c>
      <c r="L15" s="74">
        <f>Inputs!$B$26*(1+Inputs!$B$21)^INT((11-1)/12)</f>
        <v/>
      </c>
      <c r="M15" s="74">
        <f>Inputs!$B$26*(1+Inputs!$B$21)^INT((12-1)/12)</f>
        <v/>
      </c>
      <c r="N15" s="74">
        <f>Inputs!$B$26*(1+Inputs!$B$21)^INT((13-1)/12)</f>
        <v/>
      </c>
      <c r="O15" s="74">
        <f>Inputs!$B$26*(1+Inputs!$B$21)^INT((14-1)/12)</f>
        <v/>
      </c>
      <c r="P15" s="74">
        <f>Inputs!$B$26*(1+Inputs!$B$21)^INT((15-1)/12)</f>
        <v/>
      </c>
      <c r="Q15" s="74">
        <f>Inputs!$B$26*(1+Inputs!$B$21)^INT((16-1)/12)</f>
        <v/>
      </c>
      <c r="R15" s="74">
        <f>Inputs!$B$26*(1+Inputs!$B$21)^INT((17-1)/12)</f>
        <v/>
      </c>
      <c r="S15" s="74">
        <f>Inputs!$B$26*(1+Inputs!$B$21)^INT((18-1)/12)</f>
        <v/>
      </c>
      <c r="T15" s="74">
        <f>Inputs!$B$26*(1+Inputs!$B$21)^INT((19-1)/12)</f>
        <v/>
      </c>
      <c r="U15" s="74">
        <f>Inputs!$B$26*(1+Inputs!$B$21)^INT((20-1)/12)</f>
        <v/>
      </c>
      <c r="V15" s="74">
        <f>Inputs!$B$26*(1+Inputs!$B$21)^INT((21-1)/12)</f>
        <v/>
      </c>
      <c r="W15" s="74">
        <f>Inputs!$B$26*(1+Inputs!$B$21)^INT((22-1)/12)</f>
        <v/>
      </c>
      <c r="X15" s="74">
        <f>Inputs!$B$26*(1+Inputs!$B$21)^INT((23-1)/12)</f>
        <v/>
      </c>
      <c r="Y15" s="74">
        <f>Inputs!$B$26*(1+Inputs!$B$21)^INT((24-1)/12)</f>
        <v/>
      </c>
      <c r="Z15" s="74">
        <f>Inputs!$B$26*(1+Inputs!$B$21)^INT((25-1)/12)</f>
        <v/>
      </c>
      <c r="AA15" s="74">
        <f>Inputs!$B$26*(1+Inputs!$B$21)^INT((26-1)/12)</f>
        <v/>
      </c>
      <c r="AB15" s="74">
        <f>Inputs!$B$26*(1+Inputs!$B$21)^INT((27-1)/12)</f>
        <v/>
      </c>
      <c r="AC15" s="74">
        <f>Inputs!$B$26*(1+Inputs!$B$21)^INT((28-1)/12)</f>
        <v/>
      </c>
      <c r="AD15" s="74">
        <f>Inputs!$B$26*(1+Inputs!$B$21)^INT((29-1)/12)</f>
        <v/>
      </c>
      <c r="AE15" s="74">
        <f>Inputs!$B$26*(1+Inputs!$B$21)^INT((30-1)/12)</f>
        <v/>
      </c>
      <c r="AF15" s="74">
        <f>Inputs!$B$26*(1+Inputs!$B$21)^INT((31-1)/12)</f>
        <v/>
      </c>
      <c r="AG15" s="74">
        <f>Inputs!$B$26*(1+Inputs!$B$21)^INT((32-1)/12)</f>
        <v/>
      </c>
      <c r="AH15" s="74">
        <f>Inputs!$B$26*(1+Inputs!$B$21)^INT((33-1)/12)</f>
        <v/>
      </c>
      <c r="AI15" s="74">
        <f>Inputs!$B$26*(1+Inputs!$B$21)^INT((34-1)/12)</f>
        <v/>
      </c>
      <c r="AJ15" s="74">
        <f>Inputs!$B$26*(1+Inputs!$B$21)^INT((35-1)/12)</f>
        <v/>
      </c>
      <c r="AK15" s="74">
        <f>Inputs!$B$26*(1+Inputs!$B$21)^INT((36-1)/12)</f>
        <v/>
      </c>
      <c r="AL15" s="74">
        <f>Inputs!$B$26*(1+Inputs!$B$21)^INT((37-1)/12)</f>
        <v/>
      </c>
      <c r="AM15" s="74">
        <f>Inputs!$B$26*(1+Inputs!$B$21)^INT((38-1)/12)</f>
        <v/>
      </c>
      <c r="AN15" s="74">
        <f>Inputs!$B$26*(1+Inputs!$B$21)^INT((39-1)/12)</f>
        <v/>
      </c>
      <c r="AO15" s="74">
        <f>Inputs!$B$26*(1+Inputs!$B$21)^INT((40-1)/12)</f>
        <v/>
      </c>
      <c r="AP15" s="74">
        <f>Inputs!$B$26*(1+Inputs!$B$21)^INT((41-1)/12)</f>
        <v/>
      </c>
      <c r="AQ15" s="74">
        <f>Inputs!$B$26*(1+Inputs!$B$21)^INT((42-1)/12)</f>
        <v/>
      </c>
      <c r="AR15" s="74">
        <f>Inputs!$B$26*(1+Inputs!$B$21)^INT((43-1)/12)</f>
        <v/>
      </c>
      <c r="AS15" s="74">
        <f>Inputs!$B$26*(1+Inputs!$B$21)^INT((44-1)/12)</f>
        <v/>
      </c>
      <c r="AT15" s="74">
        <f>Inputs!$B$26*(1+Inputs!$B$21)^INT((45-1)/12)</f>
        <v/>
      </c>
      <c r="AU15" s="74">
        <f>Inputs!$B$26*(1+Inputs!$B$21)^INT((46-1)/12)</f>
        <v/>
      </c>
      <c r="AV15" s="74">
        <f>Inputs!$B$26*(1+Inputs!$B$21)^INT((47-1)/12)</f>
        <v/>
      </c>
      <c r="AW15" s="74">
        <f>Inputs!$B$26*(1+Inputs!$B$21)^INT((48-1)/12)</f>
        <v/>
      </c>
      <c r="AX15" s="74">
        <f>Inputs!$B$26*(1+Inputs!$B$21)^INT((49-1)/12)</f>
        <v/>
      </c>
      <c r="AY15" s="74">
        <f>Inputs!$B$26*(1+Inputs!$B$21)^INT((50-1)/12)</f>
        <v/>
      </c>
      <c r="AZ15" s="74">
        <f>Inputs!$B$26*(1+Inputs!$B$21)^INT((51-1)/12)</f>
        <v/>
      </c>
      <c r="BA15" s="74">
        <f>Inputs!$B$26*(1+Inputs!$B$21)^INT((52-1)/12)</f>
        <v/>
      </c>
    </row>
    <row r="16" ht="14.25" customHeight="1" s="83">
      <c r="A16" s="77" t="inlineStr">
        <is>
          <t>Enterprise Monthly Revenue (€)</t>
        </is>
      </c>
      <c r="B16" s="74">
        <f>B14*B15/12</f>
        <v/>
      </c>
      <c r="C16" s="74">
        <f>C14*C15/12</f>
        <v/>
      </c>
      <c r="D16" s="74">
        <f>D14*D15/12</f>
        <v/>
      </c>
      <c r="E16" s="74">
        <f>E14*E15/12</f>
        <v/>
      </c>
      <c r="F16" s="74">
        <f>F14*F15/12</f>
        <v/>
      </c>
      <c r="G16" s="74">
        <f>G14*G15/12</f>
        <v/>
      </c>
      <c r="H16" s="74">
        <f>H14*H15/12</f>
        <v/>
      </c>
      <c r="I16" s="74">
        <f>I14*I15/12</f>
        <v/>
      </c>
      <c r="J16" s="74">
        <f>J14*J15/12</f>
        <v/>
      </c>
      <c r="K16" s="74">
        <f>K14*K15/12</f>
        <v/>
      </c>
      <c r="L16" s="74">
        <f>L14*L15/12</f>
        <v/>
      </c>
      <c r="M16" s="74">
        <f>M14*M15/12</f>
        <v/>
      </c>
      <c r="N16" s="74">
        <f>N14*N15/12</f>
        <v/>
      </c>
      <c r="O16" s="74">
        <f>O14*O15/12</f>
        <v/>
      </c>
      <c r="P16" s="74">
        <f>P14*P15/12</f>
        <v/>
      </c>
      <c r="Q16" s="74">
        <f>Q14*Q15/12</f>
        <v/>
      </c>
      <c r="R16" s="74">
        <f>R14*R15/12</f>
        <v/>
      </c>
      <c r="S16" s="74">
        <f>S14*S15/12</f>
        <v/>
      </c>
      <c r="T16" s="74">
        <f>T14*T15/12</f>
        <v/>
      </c>
      <c r="U16" s="74">
        <f>U14*U15/12</f>
        <v/>
      </c>
      <c r="V16" s="74">
        <f>V14*V15/12</f>
        <v/>
      </c>
      <c r="W16" s="74">
        <f>W14*W15/12</f>
        <v/>
      </c>
      <c r="X16" s="74">
        <f>X14*X15/12</f>
        <v/>
      </c>
      <c r="Y16" s="74">
        <f>Y14*Y15/12</f>
        <v/>
      </c>
      <c r="Z16" s="74">
        <f>Z14*Z15/12</f>
        <v/>
      </c>
      <c r="AA16" s="74">
        <f>AA14*AA15/12</f>
        <v/>
      </c>
      <c r="AB16" s="74">
        <f>AB14*AB15/12</f>
        <v/>
      </c>
      <c r="AC16" s="74">
        <f>AC14*AC15/12</f>
        <v/>
      </c>
      <c r="AD16" s="74">
        <f>AD14*AD15/12</f>
        <v/>
      </c>
      <c r="AE16" s="74">
        <f>AE14*AE15/12</f>
        <v/>
      </c>
      <c r="AF16" s="74">
        <f>AF14*AF15/12</f>
        <v/>
      </c>
      <c r="AG16" s="74">
        <f>AG14*AG15/12</f>
        <v/>
      </c>
      <c r="AH16" s="74">
        <f>AH14*AH15/12</f>
        <v/>
      </c>
      <c r="AI16" s="74">
        <f>AI14*AI15/12</f>
        <v/>
      </c>
      <c r="AJ16" s="74">
        <f>AJ14*AJ15/12</f>
        <v/>
      </c>
      <c r="AK16" s="74">
        <f>AK14*AK15/12</f>
        <v/>
      </c>
      <c r="AL16" s="74">
        <f>AL14*AL15/12</f>
        <v/>
      </c>
      <c r="AM16" s="74">
        <f>AM14*AM15/12</f>
        <v/>
      </c>
      <c r="AN16" s="74">
        <f>AN14*AN15/12</f>
        <v/>
      </c>
      <c r="AO16" s="74">
        <f>AO14*AO15/12</f>
        <v/>
      </c>
      <c r="AP16" s="74">
        <f>AP14*AP15/12</f>
        <v/>
      </c>
      <c r="AQ16" s="74">
        <f>AQ14*AQ15/12</f>
        <v/>
      </c>
      <c r="AR16" s="74">
        <f>AR14*AR15/12</f>
        <v/>
      </c>
      <c r="AS16" s="74">
        <f>AS14*AS15/12</f>
        <v/>
      </c>
      <c r="AT16" s="74">
        <f>AT14*AT15/12</f>
        <v/>
      </c>
      <c r="AU16" s="74">
        <f>AU14*AU15/12</f>
        <v/>
      </c>
      <c r="AV16" s="74">
        <f>AV14*AV15/12</f>
        <v/>
      </c>
      <c r="AW16" s="74">
        <f>AW14*AW15/12</f>
        <v/>
      </c>
      <c r="AX16" s="74">
        <f>AX14*AX15/12</f>
        <v/>
      </c>
      <c r="AY16" s="74">
        <f>AY14*AY15/12</f>
        <v/>
      </c>
      <c r="AZ16" s="74">
        <f>AZ14*AZ15/12</f>
        <v/>
      </c>
      <c r="BA16" s="74">
        <f>BA14*BA15/12</f>
        <v/>
      </c>
    </row>
    <row r="17" ht="16" customHeight="1" s="83">
      <c r="A17" s="140" t="inlineStr">
        <is>
          <t>── RECURRING REVENUE (SaaS-Metriken, ohne Consulting) ──</t>
        </is>
      </c>
      <c r="B17" s="116" t="n"/>
      <c r="C17" s="116" t="n"/>
      <c r="D17" s="116" t="n"/>
      <c r="E17" s="116" t="n"/>
      <c r="F17" s="116" t="n"/>
      <c r="G17" s="116" t="n"/>
      <c r="H17" s="116" t="n"/>
      <c r="I17" s="116" t="n"/>
      <c r="J17" s="116" t="n"/>
      <c r="K17" s="116" t="n"/>
      <c r="L17" s="116" t="n"/>
      <c r="M17" s="116" t="n"/>
      <c r="N17" s="116" t="n"/>
      <c r="O17" s="116" t="n"/>
      <c r="P17" s="116" t="n"/>
      <c r="Q17" s="116" t="n"/>
      <c r="R17" s="116" t="n"/>
      <c r="S17" s="116" t="n"/>
      <c r="T17" s="116" t="n"/>
      <c r="U17" s="116" t="n"/>
      <c r="V17" s="116" t="n"/>
      <c r="W17" s="116" t="n"/>
      <c r="X17" s="116" t="n"/>
      <c r="Y17" s="116" t="n"/>
      <c r="Z17" s="116" t="n"/>
      <c r="AA17" s="116" t="n"/>
      <c r="AB17" s="116" t="n"/>
      <c r="AC17" s="116" t="n"/>
      <c r="AD17" s="116" t="n"/>
      <c r="AE17" s="116" t="n"/>
      <c r="AF17" s="116" t="n"/>
      <c r="AG17" s="116" t="n"/>
      <c r="AH17" s="116" t="n"/>
      <c r="AI17" s="116" t="n"/>
      <c r="AJ17" s="116" t="n"/>
      <c r="AK17" s="116" t="n"/>
      <c r="AL17" s="116" t="n"/>
      <c r="AM17" s="116" t="n"/>
      <c r="AN17" s="116" t="n"/>
      <c r="AO17" s="116" t="n"/>
      <c r="AP17" s="116" t="n"/>
      <c r="AQ17" s="116" t="n"/>
      <c r="AR17" s="116" t="n"/>
      <c r="AS17" s="116" t="n"/>
      <c r="AT17" s="116" t="n"/>
      <c r="AU17" s="116" t="n"/>
      <c r="AV17" s="116" t="n"/>
      <c r="AW17" s="116" t="n"/>
      <c r="AX17" s="116" t="n"/>
      <c r="AY17" s="116" t="n"/>
      <c r="AZ17" s="116" t="n"/>
      <c r="BA17" s="116" t="n"/>
    </row>
    <row r="18" ht="20" customHeight="1" s="83">
      <c r="A18" s="139" t="inlineStr">
        <is>
          <t>MRR – Monthly Recurring Revenue (Lizenzen)</t>
        </is>
      </c>
      <c r="B18" s="74">
        <f>B9+B16</f>
        <v/>
      </c>
      <c r="C18" s="74">
        <f>C9+C16</f>
        <v/>
      </c>
      <c r="D18" s="74">
        <f>D9+D16</f>
        <v/>
      </c>
      <c r="E18" s="74">
        <f>E9+E16</f>
        <v/>
      </c>
      <c r="F18" s="74">
        <f>F9+F16</f>
        <v/>
      </c>
      <c r="G18" s="74">
        <f>G9+G16</f>
        <v/>
      </c>
      <c r="H18" s="74">
        <f>H9+H16</f>
        <v/>
      </c>
      <c r="I18" s="74">
        <f>I9+I16</f>
        <v/>
      </c>
      <c r="J18" s="74">
        <f>J9+J16</f>
        <v/>
      </c>
      <c r="K18" s="74">
        <f>K9+K16</f>
        <v/>
      </c>
      <c r="L18" s="74">
        <f>L9+L16</f>
        <v/>
      </c>
      <c r="M18" s="74">
        <f>M9+M16</f>
        <v/>
      </c>
      <c r="N18" s="74">
        <f>N9+N16</f>
        <v/>
      </c>
      <c r="O18" s="74">
        <f>O9+O16</f>
        <v/>
      </c>
      <c r="P18" s="74">
        <f>P9+P16</f>
        <v/>
      </c>
      <c r="Q18" s="74">
        <f>Q9+Q16</f>
        <v/>
      </c>
      <c r="R18" s="74">
        <f>R9+R16</f>
        <v/>
      </c>
      <c r="S18" s="74">
        <f>S9+S16</f>
        <v/>
      </c>
      <c r="T18" s="74">
        <f>T9+T16</f>
        <v/>
      </c>
      <c r="U18" s="74">
        <f>U9+U16</f>
        <v/>
      </c>
      <c r="V18" s="74">
        <f>V9+V16</f>
        <v/>
      </c>
      <c r="W18" s="74">
        <f>W9+W16</f>
        <v/>
      </c>
      <c r="X18" s="74">
        <f>X9+X16</f>
        <v/>
      </c>
      <c r="Y18" s="74">
        <f>Y9+Y16</f>
        <v/>
      </c>
      <c r="Z18" s="74">
        <f>Z9+Z16</f>
        <v/>
      </c>
      <c r="AA18" s="74">
        <f>AA9+AA16</f>
        <v/>
      </c>
      <c r="AB18" s="74">
        <f>AB9+AB16</f>
        <v/>
      </c>
      <c r="AC18" s="74">
        <f>AC9+AC16</f>
        <v/>
      </c>
      <c r="AD18" s="74">
        <f>AD9+AD16</f>
        <v/>
      </c>
      <c r="AE18" s="74">
        <f>AE9+AE16</f>
        <v/>
      </c>
      <c r="AF18" s="74">
        <f>AF9+AF16</f>
        <v/>
      </c>
      <c r="AG18" s="74">
        <f>AG9+AG16</f>
        <v/>
      </c>
      <c r="AH18" s="74">
        <f>AH9+AH16</f>
        <v/>
      </c>
      <c r="AI18" s="74">
        <f>AI9+AI16</f>
        <v/>
      </c>
      <c r="AJ18" s="74">
        <f>AJ9+AJ16</f>
        <v/>
      </c>
      <c r="AK18" s="74">
        <f>AK9+AK16</f>
        <v/>
      </c>
      <c r="AL18" s="74">
        <f>AL9+AL16</f>
        <v/>
      </c>
      <c r="AM18" s="74">
        <f>AM9+AM16</f>
        <v/>
      </c>
      <c r="AN18" s="74">
        <f>AN9+AN16</f>
        <v/>
      </c>
      <c r="AO18" s="74">
        <f>AO9+AO16</f>
        <v/>
      </c>
      <c r="AP18" s="74">
        <f>AP9+AP16</f>
        <v/>
      </c>
      <c r="AQ18" s="74">
        <f>AQ9+AQ16</f>
        <v/>
      </c>
      <c r="AR18" s="74">
        <f>AR9+AR16</f>
        <v/>
      </c>
      <c r="AS18" s="74">
        <f>AS9+AS16</f>
        <v/>
      </c>
      <c r="AT18" s="74">
        <f>AT9+AT16</f>
        <v/>
      </c>
      <c r="AU18" s="74">
        <f>AU9+AU16</f>
        <v/>
      </c>
      <c r="AV18" s="74">
        <f>AV9+AV16</f>
        <v/>
      </c>
      <c r="AW18" s="74">
        <f>AW9+AW16</f>
        <v/>
      </c>
      <c r="AX18" s="74">
        <f>AX9+AX16</f>
        <v/>
      </c>
      <c r="AY18" s="74">
        <f>AY9+AY16</f>
        <v/>
      </c>
      <c r="AZ18" s="74">
        <f>AZ9+AZ16</f>
        <v/>
      </c>
      <c r="BA18" s="74">
        <f>BA9+BA16</f>
        <v/>
      </c>
    </row>
    <row r="19" ht="20" customHeight="1" s="83">
      <c r="A19" s="139" t="inlineStr">
        <is>
          <t>ARR – Annual Recurring Revenue (Lizenzen = MRR × 12)</t>
        </is>
      </c>
      <c r="B19" s="74">
        <f>B18*12</f>
        <v/>
      </c>
      <c r="C19" s="74">
        <f>C18*12</f>
        <v/>
      </c>
      <c r="D19" s="74">
        <f>D18*12</f>
        <v/>
      </c>
      <c r="E19" s="74">
        <f>E18*12</f>
        <v/>
      </c>
      <c r="F19" s="74">
        <f>F18*12</f>
        <v/>
      </c>
      <c r="G19" s="74">
        <f>G18*12</f>
        <v/>
      </c>
      <c r="H19" s="74">
        <f>H18*12</f>
        <v/>
      </c>
      <c r="I19" s="74">
        <f>I18*12</f>
        <v/>
      </c>
      <c r="J19" s="74">
        <f>J18*12</f>
        <v/>
      </c>
      <c r="K19" s="74">
        <f>K18*12</f>
        <v/>
      </c>
      <c r="L19" s="74">
        <f>L18*12</f>
        <v/>
      </c>
      <c r="M19" s="74">
        <f>M18*12</f>
        <v/>
      </c>
      <c r="N19" s="74">
        <f>N18*12</f>
        <v/>
      </c>
      <c r="O19" s="74">
        <f>O18*12</f>
        <v/>
      </c>
      <c r="P19" s="74">
        <f>P18*12</f>
        <v/>
      </c>
      <c r="Q19" s="74">
        <f>Q18*12</f>
        <v/>
      </c>
      <c r="R19" s="74">
        <f>R18*12</f>
        <v/>
      </c>
      <c r="S19" s="74">
        <f>S18*12</f>
        <v/>
      </c>
      <c r="T19" s="74">
        <f>T18*12</f>
        <v/>
      </c>
      <c r="U19" s="74">
        <f>U18*12</f>
        <v/>
      </c>
      <c r="V19" s="74">
        <f>V18*12</f>
        <v/>
      </c>
      <c r="W19" s="74">
        <f>W18*12</f>
        <v/>
      </c>
      <c r="X19" s="74">
        <f>X18*12</f>
        <v/>
      </c>
      <c r="Y19" s="74">
        <f>Y18*12</f>
        <v/>
      </c>
      <c r="Z19" s="74">
        <f>Z18*12</f>
        <v/>
      </c>
      <c r="AA19" s="74">
        <f>AA18*12</f>
        <v/>
      </c>
      <c r="AB19" s="74">
        <f>AB18*12</f>
        <v/>
      </c>
      <c r="AC19" s="74">
        <f>AC18*12</f>
        <v/>
      </c>
      <c r="AD19" s="74">
        <f>AD18*12</f>
        <v/>
      </c>
      <c r="AE19" s="74">
        <f>AE18*12</f>
        <v/>
      </c>
      <c r="AF19" s="74">
        <f>AF18*12</f>
        <v/>
      </c>
      <c r="AG19" s="74">
        <f>AG18*12</f>
        <v/>
      </c>
      <c r="AH19" s="74">
        <f>AH18*12</f>
        <v/>
      </c>
      <c r="AI19" s="74">
        <f>AI18*12</f>
        <v/>
      </c>
      <c r="AJ19" s="74">
        <f>AJ18*12</f>
        <v/>
      </c>
      <c r="AK19" s="74">
        <f>AK18*12</f>
        <v/>
      </c>
      <c r="AL19" s="74">
        <f>AL18*12</f>
        <v/>
      </c>
      <c r="AM19" s="74">
        <f>AM18*12</f>
        <v/>
      </c>
      <c r="AN19" s="74">
        <f>AN18*12</f>
        <v/>
      </c>
      <c r="AO19" s="74">
        <f>AO18*12</f>
        <v/>
      </c>
      <c r="AP19" s="74">
        <f>AP18*12</f>
        <v/>
      </c>
      <c r="AQ19" s="74">
        <f>AQ18*12</f>
        <v/>
      </c>
      <c r="AR19" s="74">
        <f>AR18*12</f>
        <v/>
      </c>
      <c r="AS19" s="74">
        <f>AS18*12</f>
        <v/>
      </c>
      <c r="AT19" s="74">
        <f>AT18*12</f>
        <v/>
      </c>
      <c r="AU19" s="74">
        <f>AU18*12</f>
        <v/>
      </c>
      <c r="AV19" s="74">
        <f>AV18*12</f>
        <v/>
      </c>
      <c r="AW19" s="74">
        <f>AW18*12</f>
        <v/>
      </c>
      <c r="AX19" s="74">
        <f>AX18*12</f>
        <v/>
      </c>
      <c r="AY19" s="74">
        <f>AY18*12</f>
        <v/>
      </c>
      <c r="AZ19" s="74">
        <f>AZ18*12</f>
        <v/>
      </c>
      <c r="BA19" s="74">
        <f>BA18*12</f>
        <v/>
      </c>
    </row>
    <row r="20" ht="20" customHeight="1" s="83">
      <c r="A20" s="141" t="inlineStr">
        <is>
          <t>Total Monthly Revenue (Lizenzen + Consulting)</t>
        </is>
      </c>
      <c r="B20" s="142">
        <f>B18+B29</f>
        <v/>
      </c>
      <c r="C20" s="142">
        <f>C18+C29</f>
        <v/>
      </c>
      <c r="D20" s="142">
        <f>D18+D29</f>
        <v/>
      </c>
      <c r="E20" s="142">
        <f>E18+E29</f>
        <v/>
      </c>
      <c r="F20" s="142">
        <f>F18+F29</f>
        <v/>
      </c>
      <c r="G20" s="142">
        <f>G18+G29</f>
        <v/>
      </c>
      <c r="H20" s="142">
        <f>H18+H29</f>
        <v/>
      </c>
      <c r="I20" s="142">
        <f>I18+I29</f>
        <v/>
      </c>
      <c r="J20" s="142">
        <f>J18+J29</f>
        <v/>
      </c>
      <c r="K20" s="142">
        <f>K18+K29</f>
        <v/>
      </c>
      <c r="L20" s="142">
        <f>L18+L29</f>
        <v/>
      </c>
      <c r="M20" s="142">
        <f>M18+M29</f>
        <v/>
      </c>
      <c r="N20" s="142">
        <f>N18+N29</f>
        <v/>
      </c>
      <c r="O20" s="142">
        <f>O18+O29</f>
        <v/>
      </c>
      <c r="P20" s="142">
        <f>P18+P29</f>
        <v/>
      </c>
      <c r="Q20" s="142">
        <f>Q18+Q29</f>
        <v/>
      </c>
      <c r="R20" s="142">
        <f>R18+R29</f>
        <v/>
      </c>
      <c r="S20" s="142">
        <f>S18+S29</f>
        <v/>
      </c>
      <c r="T20" s="142">
        <f>T18+T29</f>
        <v/>
      </c>
      <c r="U20" s="142">
        <f>U18+U29</f>
        <v/>
      </c>
      <c r="V20" s="142">
        <f>V18+V29</f>
        <v/>
      </c>
      <c r="W20" s="142">
        <f>W18+W29</f>
        <v/>
      </c>
      <c r="X20" s="142">
        <f>X18+X29</f>
        <v/>
      </c>
      <c r="Y20" s="142">
        <f>Y18+Y29</f>
        <v/>
      </c>
      <c r="Z20" s="142">
        <f>Z18+Z29</f>
        <v/>
      </c>
      <c r="AA20" s="142">
        <f>AA18+AA29</f>
        <v/>
      </c>
      <c r="AB20" s="142">
        <f>AB18+AB29</f>
        <v/>
      </c>
      <c r="AC20" s="142">
        <f>AC18+AC29</f>
        <v/>
      </c>
      <c r="AD20" s="142">
        <f>AD18+AD29</f>
        <v/>
      </c>
      <c r="AE20" s="142">
        <f>AE18+AE29</f>
        <v/>
      </c>
      <c r="AF20" s="142">
        <f>AF18+AF29</f>
        <v/>
      </c>
      <c r="AG20" s="142">
        <f>AG18+AG29</f>
        <v/>
      </c>
      <c r="AH20" s="142">
        <f>AH18+AH29</f>
        <v/>
      </c>
      <c r="AI20" s="142">
        <f>AI18+AI29</f>
        <v/>
      </c>
      <c r="AJ20" s="142">
        <f>AJ18+AJ29</f>
        <v/>
      </c>
      <c r="AK20" s="142">
        <f>AK18+AK29</f>
        <v/>
      </c>
      <c r="AL20" s="142">
        <f>AL18+AL29</f>
        <v/>
      </c>
      <c r="AM20" s="142">
        <f>AM18+AM29</f>
        <v/>
      </c>
      <c r="AN20" s="142">
        <f>AN18+AN29</f>
        <v/>
      </c>
      <c r="AO20" s="142">
        <f>AO18+AO29</f>
        <v/>
      </c>
      <c r="AP20" s="142">
        <f>AP18+AP29</f>
        <v/>
      </c>
      <c r="AQ20" s="142">
        <f>AQ18+AQ29</f>
        <v/>
      </c>
      <c r="AR20" s="142">
        <f>AR18+AR29</f>
        <v/>
      </c>
      <c r="AS20" s="142">
        <f>AS18+AS29</f>
        <v/>
      </c>
      <c r="AT20" s="142">
        <f>AT18+AT29</f>
        <v/>
      </c>
      <c r="AU20" s="142">
        <f>AU18+AU29</f>
        <v/>
      </c>
      <c r="AV20" s="142">
        <f>AV18+AV29</f>
        <v/>
      </c>
      <c r="AW20" s="142">
        <f>AW18+AW29</f>
        <v/>
      </c>
      <c r="AX20" s="142">
        <f>AX18+AX29</f>
        <v/>
      </c>
      <c r="AY20" s="142">
        <f>AY18+AY29</f>
        <v/>
      </c>
      <c r="AZ20" s="142">
        <f>AZ18+AZ29</f>
        <v/>
      </c>
      <c r="BA20" s="142">
        <f>BA18+BA29</f>
        <v/>
      </c>
    </row>
    <row r="21" ht="14.25" customHeight="1" s="83">
      <c r="A21" s="77" t="inlineStr">
        <is>
          <t>ARR Growth % (MoM)</t>
        </is>
      </c>
      <c r="B21" s="73">
        <f>""</f>
        <v/>
      </c>
      <c r="C21" s="73">
        <f>IFERROR(C19/B19-1,"")</f>
        <v/>
      </c>
      <c r="D21" s="73">
        <f>IFERROR(D19/C19-1,"")</f>
        <v/>
      </c>
      <c r="E21" s="73">
        <f>IFERROR(E19/D19-1,"")</f>
        <v/>
      </c>
      <c r="F21" s="73">
        <f>IFERROR(F19/E19-1,"")</f>
        <v/>
      </c>
      <c r="G21" s="73">
        <f>IFERROR(G19/F19-1,"")</f>
        <v/>
      </c>
      <c r="H21" s="73">
        <f>IFERROR(H19/G19-1,"")</f>
        <v/>
      </c>
      <c r="I21" s="73">
        <f>IFERROR(I19/H19-1,"")</f>
        <v/>
      </c>
      <c r="J21" s="73">
        <f>IFERROR(J19/I19-1,"")</f>
        <v/>
      </c>
      <c r="K21" s="73">
        <f>IFERROR(K19/J19-1,"")</f>
        <v/>
      </c>
      <c r="L21" s="73">
        <f>IFERROR(L19/K19-1,"")</f>
        <v/>
      </c>
      <c r="M21" s="73">
        <f>IFERROR(M19/L19-1,"")</f>
        <v/>
      </c>
      <c r="N21" s="73">
        <f>IFERROR(N19/M19-1,"")</f>
        <v/>
      </c>
      <c r="O21" s="73">
        <f>IFERROR(O19/N19-1,"")</f>
        <v/>
      </c>
      <c r="P21" s="73">
        <f>IFERROR(P19/O19-1,"")</f>
        <v/>
      </c>
      <c r="Q21" s="73">
        <f>IFERROR(Q19/P19-1,"")</f>
        <v/>
      </c>
      <c r="R21" s="73">
        <f>IFERROR(R19/Q19-1,"")</f>
        <v/>
      </c>
      <c r="S21" s="73">
        <f>IFERROR(S19/R19-1,"")</f>
        <v/>
      </c>
      <c r="T21" s="73">
        <f>IFERROR(T19/S19-1,"")</f>
        <v/>
      </c>
      <c r="U21" s="73">
        <f>IFERROR(U19/T19-1,"")</f>
        <v/>
      </c>
      <c r="V21" s="73">
        <f>IFERROR(V19/U19-1,"")</f>
        <v/>
      </c>
      <c r="W21" s="73">
        <f>IFERROR(W19/V19-1,"")</f>
        <v/>
      </c>
      <c r="X21" s="73">
        <f>IFERROR(X19/W19-1,"")</f>
        <v/>
      </c>
      <c r="Y21" s="73">
        <f>IFERROR(Y19/X19-1,"")</f>
        <v/>
      </c>
      <c r="Z21" s="73">
        <f>IFERROR(Z19/Y19-1,"")</f>
        <v/>
      </c>
      <c r="AA21" s="73">
        <f>IFERROR(AA19/Z19-1,"")</f>
        <v/>
      </c>
      <c r="AB21" s="73">
        <f>IFERROR(AB19/AA19-1,"")</f>
        <v/>
      </c>
      <c r="AC21" s="73">
        <f>IFERROR(AC19/AB19-1,"")</f>
        <v/>
      </c>
      <c r="AD21" s="73">
        <f>IFERROR(AD19/AC19-1,"")</f>
        <v/>
      </c>
      <c r="AE21" s="73">
        <f>IFERROR(AE19/AD19-1,"")</f>
        <v/>
      </c>
      <c r="AF21" s="73">
        <f>IFERROR(AF19/AE19-1,"")</f>
        <v/>
      </c>
      <c r="AG21" s="73">
        <f>IFERROR(AG19/AF19-1,"")</f>
        <v/>
      </c>
      <c r="AH21" s="73">
        <f>IFERROR(AH19/AG19-1,"")</f>
        <v/>
      </c>
      <c r="AI21" s="73">
        <f>IFERROR(AI19/AH19-1,"")</f>
        <v/>
      </c>
      <c r="AJ21" s="73">
        <f>IFERROR(AJ19/AI19-1,"")</f>
        <v/>
      </c>
      <c r="AK21" s="73">
        <f>IFERROR(AK19/AJ19-1,"")</f>
        <v/>
      </c>
      <c r="AL21" s="73">
        <f>IFERROR(AL19/AK19-1,"")</f>
        <v/>
      </c>
      <c r="AM21" s="73">
        <f>IFERROR(AM19/AL19-1,"")</f>
        <v/>
      </c>
      <c r="AN21" s="73">
        <f>IFERROR(AN19/AM19-1,"")</f>
        <v/>
      </c>
      <c r="AO21" s="73">
        <f>IFERROR(AO19/AN19-1,"")</f>
        <v/>
      </c>
      <c r="AP21" s="73">
        <f>IFERROR(AP19/AO19-1,"")</f>
        <v/>
      </c>
      <c r="AQ21" s="73">
        <f>IFERROR(AQ19/AP19-1,"")</f>
        <v/>
      </c>
      <c r="AR21" s="73">
        <f>IFERROR(AR19/AQ19-1,"")</f>
        <v/>
      </c>
      <c r="AS21" s="73">
        <f>IFERROR(AS19/AR19-1,"")</f>
        <v/>
      </c>
      <c r="AT21" s="73">
        <f>IFERROR(AT19/AS19-1,"")</f>
        <v/>
      </c>
      <c r="AU21" s="73">
        <f>IFERROR(AU19/AT19-1,"")</f>
        <v/>
      </c>
      <c r="AV21" s="73">
        <f>IFERROR(AV19/AU19-1,"")</f>
        <v/>
      </c>
      <c r="AW21" s="73">
        <f>IFERROR(AW19/AV19-1,"")</f>
        <v/>
      </c>
      <c r="AX21" s="73">
        <f>IFERROR(AX19/AW19-1,"")</f>
        <v/>
      </c>
      <c r="AY21" s="73">
        <f>IFERROR(AY19/AX19-1,"")</f>
        <v/>
      </c>
      <c r="AZ21" s="73">
        <f>IFERROR(AZ19/AY19-1,"")</f>
        <v/>
      </c>
      <c r="BA21" s="73">
        <f>IFERROR(BA19/AZ19-1,"")</f>
        <v/>
      </c>
    </row>
    <row r="22" ht="14.25" customHeight="1" s="83">
      <c r="A22" s="77" t="inlineStr">
        <is>
          <t>Net Revenue Retention %</t>
        </is>
      </c>
      <c r="B22" s="73">
        <f>Inputs!$B$29</f>
        <v/>
      </c>
      <c r="C22" s="73">
        <f>Inputs!$B$29</f>
        <v/>
      </c>
      <c r="D22" s="73">
        <f>Inputs!$B$29</f>
        <v/>
      </c>
      <c r="E22" s="73">
        <f>Inputs!$B$29</f>
        <v/>
      </c>
      <c r="F22" s="73">
        <f>Inputs!$B$29</f>
        <v/>
      </c>
      <c r="G22" s="73">
        <f>Inputs!$B$29</f>
        <v/>
      </c>
      <c r="H22" s="73">
        <f>Inputs!$B$29</f>
        <v/>
      </c>
      <c r="I22" s="73">
        <f>Inputs!$B$29</f>
        <v/>
      </c>
      <c r="J22" s="73">
        <f>Inputs!$B$29</f>
        <v/>
      </c>
      <c r="K22" s="73">
        <f>Inputs!$B$29</f>
        <v/>
      </c>
      <c r="L22" s="73">
        <f>Inputs!$B$29</f>
        <v/>
      </c>
      <c r="M22" s="73">
        <f>Inputs!$B$29</f>
        <v/>
      </c>
      <c r="N22" s="73">
        <f>Inputs!$B$29</f>
        <v/>
      </c>
      <c r="O22" s="73">
        <f>Inputs!$B$29</f>
        <v/>
      </c>
      <c r="P22" s="73">
        <f>Inputs!$B$29</f>
        <v/>
      </c>
      <c r="Q22" s="73">
        <f>Inputs!$B$29</f>
        <v/>
      </c>
      <c r="R22" s="73">
        <f>Inputs!$B$29</f>
        <v/>
      </c>
      <c r="S22" s="73">
        <f>Inputs!$B$29</f>
        <v/>
      </c>
      <c r="T22" s="73">
        <f>Inputs!$B$29</f>
        <v/>
      </c>
      <c r="U22" s="73">
        <f>Inputs!$B$29</f>
        <v/>
      </c>
      <c r="V22" s="73">
        <f>Inputs!$B$29</f>
        <v/>
      </c>
      <c r="W22" s="73">
        <f>Inputs!$B$29</f>
        <v/>
      </c>
      <c r="X22" s="73">
        <f>Inputs!$B$29</f>
        <v/>
      </c>
      <c r="Y22" s="73">
        <f>Inputs!$B$29</f>
        <v/>
      </c>
      <c r="Z22" s="73">
        <f>Inputs!$B$29</f>
        <v/>
      </c>
      <c r="AA22" s="73">
        <f>Inputs!$B$29</f>
        <v/>
      </c>
      <c r="AB22" s="73">
        <f>Inputs!$B$29</f>
        <v/>
      </c>
      <c r="AC22" s="73">
        <f>Inputs!$B$29</f>
        <v/>
      </c>
      <c r="AD22" s="73">
        <f>Inputs!$B$29</f>
        <v/>
      </c>
      <c r="AE22" s="73">
        <f>Inputs!$B$29</f>
        <v/>
      </c>
      <c r="AF22" s="73">
        <f>Inputs!$B$29</f>
        <v/>
      </c>
      <c r="AG22" s="73">
        <f>Inputs!$B$29</f>
        <v/>
      </c>
      <c r="AH22" s="73">
        <f>Inputs!$B$29</f>
        <v/>
      </c>
      <c r="AI22" s="73">
        <f>Inputs!$B$29</f>
        <v/>
      </c>
      <c r="AJ22" s="73">
        <f>Inputs!$B$29</f>
        <v/>
      </c>
      <c r="AK22" s="73">
        <f>Inputs!$B$29</f>
        <v/>
      </c>
      <c r="AL22" s="73">
        <f>Inputs!$B$29</f>
        <v/>
      </c>
      <c r="AM22" s="73">
        <f>Inputs!$B$29</f>
        <v/>
      </c>
      <c r="AN22" s="73">
        <f>Inputs!$B$29</f>
        <v/>
      </c>
      <c r="AO22" s="73">
        <f>Inputs!$B$29</f>
        <v/>
      </c>
      <c r="AP22" s="73">
        <f>Inputs!$B$29</f>
        <v/>
      </c>
      <c r="AQ22" s="73">
        <f>Inputs!$B$29</f>
        <v/>
      </c>
      <c r="AR22" s="73">
        <f>Inputs!$B$29</f>
        <v/>
      </c>
      <c r="AS22" s="73">
        <f>Inputs!$B$29</f>
        <v/>
      </c>
      <c r="AT22" s="73">
        <f>Inputs!$B$29</f>
        <v/>
      </c>
      <c r="AU22" s="73">
        <f>Inputs!$B$29</f>
        <v/>
      </c>
      <c r="AV22" s="73">
        <f>Inputs!$B$29</f>
        <v/>
      </c>
      <c r="AW22" s="73">
        <f>Inputs!$B$29</f>
        <v/>
      </c>
      <c r="AX22" s="73">
        <f>Inputs!$B$29</f>
        <v/>
      </c>
      <c r="AY22" s="73">
        <f>Inputs!$B$29</f>
        <v/>
      </c>
      <c r="AZ22" s="73">
        <f>Inputs!$B$29</f>
        <v/>
      </c>
      <c r="BA22" s="73">
        <f>Inputs!$B$29</f>
        <v/>
      </c>
    </row>
    <row r="23" ht="14.25" customHeight="1" s="83">
      <c r="A23" s="77" t="inlineStr">
        <is>
          <t>Gross New ARR (€)</t>
        </is>
      </c>
      <c r="B23" s="74">
        <f>B5*B4*12+B12*B15</f>
        <v/>
      </c>
      <c r="C23" s="74">
        <f>C5*C4*12+C12*C15</f>
        <v/>
      </c>
      <c r="D23" s="74">
        <f>D5*D4*12+D12*D15</f>
        <v/>
      </c>
      <c r="E23" s="74">
        <f>E5*E4*12+E12*E15</f>
        <v/>
      </c>
      <c r="F23" s="74">
        <f>F5*F4*12+F12*F15</f>
        <v/>
      </c>
      <c r="G23" s="74">
        <f>G5*G4*12+G12*G15</f>
        <v/>
      </c>
      <c r="H23" s="74">
        <f>H5*H4*12+H12*H15</f>
        <v/>
      </c>
      <c r="I23" s="74">
        <f>I5*I4*12+I12*I15</f>
        <v/>
      </c>
      <c r="J23" s="74">
        <f>J5*J4*12+J12*J15</f>
        <v/>
      </c>
      <c r="K23" s="74">
        <f>K5*K4*12+K12*K15</f>
        <v/>
      </c>
      <c r="L23" s="74">
        <f>L5*L4*12+L12*L15</f>
        <v/>
      </c>
      <c r="M23" s="74">
        <f>M5*M4*12+M12*M15</f>
        <v/>
      </c>
      <c r="N23" s="74">
        <f>N5*N4*12+N12*N15</f>
        <v/>
      </c>
      <c r="O23" s="74">
        <f>O5*O4*12+O12*O15</f>
        <v/>
      </c>
      <c r="P23" s="74">
        <f>P5*P4*12+P12*P15</f>
        <v/>
      </c>
      <c r="Q23" s="74">
        <f>Q5*Q4*12+Q12*Q15</f>
        <v/>
      </c>
      <c r="R23" s="74">
        <f>R5*R4*12+R12*R15</f>
        <v/>
      </c>
      <c r="S23" s="74">
        <f>S5*S4*12+S12*S15</f>
        <v/>
      </c>
      <c r="T23" s="74">
        <f>T5*T4*12+T12*T15</f>
        <v/>
      </c>
      <c r="U23" s="74">
        <f>U5*U4*12+U12*U15</f>
        <v/>
      </c>
      <c r="V23" s="74">
        <f>V5*V4*12+V12*V15</f>
        <v/>
      </c>
      <c r="W23" s="74">
        <f>W5*W4*12+W12*W15</f>
        <v/>
      </c>
      <c r="X23" s="74">
        <f>X5*X4*12+X12*X15</f>
        <v/>
      </c>
      <c r="Y23" s="74">
        <f>Y5*Y4*12+Y12*Y15</f>
        <v/>
      </c>
      <c r="Z23" s="74">
        <f>Z5*Z4*12+Z12*Z15</f>
        <v/>
      </c>
      <c r="AA23" s="74">
        <f>AA5*AA4*12+AA12*AA15</f>
        <v/>
      </c>
      <c r="AB23" s="74">
        <f>AB5*AB4*12+AB12*AB15</f>
        <v/>
      </c>
      <c r="AC23" s="74">
        <f>AC5*AC4*12+AC12*AC15</f>
        <v/>
      </c>
      <c r="AD23" s="74">
        <f>AD5*AD4*12+AD12*AD15</f>
        <v/>
      </c>
      <c r="AE23" s="74">
        <f>AE5*AE4*12+AE12*AE15</f>
        <v/>
      </c>
      <c r="AF23" s="74">
        <f>AF5*AF4*12+AF12*AF15</f>
        <v/>
      </c>
      <c r="AG23" s="74">
        <f>AG5*AG4*12+AG12*AG15</f>
        <v/>
      </c>
      <c r="AH23" s="74">
        <f>AH5*AH4*12+AH12*AH15</f>
        <v/>
      </c>
      <c r="AI23" s="74">
        <f>AI5*AI4*12+AI12*AI15</f>
        <v/>
      </c>
      <c r="AJ23" s="74">
        <f>AJ5*AJ4*12+AJ12*AJ15</f>
        <v/>
      </c>
      <c r="AK23" s="74">
        <f>AK5*AK4*12+AK12*AK15</f>
        <v/>
      </c>
      <c r="AL23" s="74">
        <f>AL5*AL4*12+AL12*AL15</f>
        <v/>
      </c>
      <c r="AM23" s="74">
        <f>AM5*AM4*12+AM12*AM15</f>
        <v/>
      </c>
      <c r="AN23" s="74">
        <f>AN5*AN4*12+AN12*AN15</f>
        <v/>
      </c>
      <c r="AO23" s="74">
        <f>AO5*AO4*12+AO12*AO15</f>
        <v/>
      </c>
      <c r="AP23" s="74">
        <f>AP5*AP4*12+AP12*AP15</f>
        <v/>
      </c>
      <c r="AQ23" s="74">
        <f>AQ5*AQ4*12+AQ12*AQ15</f>
        <v/>
      </c>
      <c r="AR23" s="74">
        <f>AR5*AR4*12+AR12*AR15</f>
        <v/>
      </c>
      <c r="AS23" s="74">
        <f>AS5*AS4*12+AS12*AS15</f>
        <v/>
      </c>
      <c r="AT23" s="74">
        <f>AT5*AT4*12+AT12*AT15</f>
        <v/>
      </c>
      <c r="AU23" s="74">
        <f>AU5*AU4*12+AU12*AU15</f>
        <v/>
      </c>
      <c r="AV23" s="74">
        <f>AV5*AV4*12+AV12*AV15</f>
        <v/>
      </c>
      <c r="AW23" s="74">
        <f>AW5*AW4*12+AW12*AW15</f>
        <v/>
      </c>
      <c r="AX23" s="74">
        <f>AX5*AX4*12+AX12*AX15</f>
        <v/>
      </c>
      <c r="AY23" s="74">
        <f>AY5*AY4*12+AY12*AY15</f>
        <v/>
      </c>
      <c r="AZ23" s="74">
        <f>AZ5*AZ4*12+AZ12*AZ15</f>
        <v/>
      </c>
      <c r="BA23" s="74">
        <f>BA5*BA4*12+BA12*BA15</f>
        <v/>
      </c>
    </row>
    <row r="24" ht="14.25" customHeight="1" s="83"/>
    <row r="25" ht="14.25" customHeight="1" s="83">
      <c r="A25" s="105" t="inlineStr">
        <is>
          <t>── CONSULTING REVENUE ──</t>
        </is>
      </c>
      <c r="B25" s="116" t="n"/>
      <c r="C25" s="116" t="n"/>
      <c r="D25" s="116" t="n"/>
      <c r="E25" s="116" t="n"/>
      <c r="F25" s="116" t="n"/>
      <c r="G25" s="116" t="n"/>
      <c r="H25" s="116" t="n"/>
      <c r="I25" s="116" t="n"/>
      <c r="J25" s="116" t="n"/>
      <c r="K25" s="116" t="n"/>
      <c r="L25" s="116" t="n"/>
      <c r="M25" s="116" t="n"/>
      <c r="N25" s="116" t="n"/>
      <c r="O25" s="116" t="n"/>
      <c r="P25" s="116" t="n"/>
      <c r="Q25" s="116" t="n"/>
      <c r="R25" s="116" t="n"/>
      <c r="S25" s="116" t="n"/>
      <c r="T25" s="116" t="n"/>
      <c r="U25" s="116" t="n"/>
      <c r="V25" s="116" t="n"/>
      <c r="W25" s="116" t="n"/>
      <c r="X25" s="116" t="n"/>
      <c r="Y25" s="116" t="n"/>
      <c r="Z25" s="116" t="n"/>
      <c r="AA25" s="116" t="n"/>
      <c r="AB25" s="116" t="n"/>
      <c r="AC25" s="116" t="n"/>
      <c r="AD25" s="116" t="n"/>
      <c r="AE25" s="116" t="n"/>
      <c r="AF25" s="116" t="n"/>
      <c r="AG25" s="116" t="n"/>
      <c r="AH25" s="116" t="n"/>
      <c r="AI25" s="116" t="n"/>
      <c r="AJ25" s="116" t="n"/>
      <c r="AK25" s="116" t="n"/>
      <c r="AL25" s="116" t="n"/>
      <c r="AM25" s="116" t="n"/>
      <c r="AN25" s="116" t="n"/>
      <c r="AO25" s="116" t="n"/>
      <c r="AP25" s="116" t="n"/>
      <c r="AQ25" s="116" t="n"/>
      <c r="AR25" s="116" t="n"/>
      <c r="AS25" s="116" t="n"/>
      <c r="AT25" s="116" t="n"/>
      <c r="AU25" s="116" t="n"/>
      <c r="AV25" s="116" t="n"/>
      <c r="AW25" s="116" t="n"/>
      <c r="AX25" s="116" t="n"/>
      <c r="AY25" s="116" t="n"/>
      <c r="AZ25" s="116" t="n"/>
      <c r="BA25" s="116" t="n"/>
    </row>
    <row r="26" ht="14.25" customHeight="1" s="83">
      <c r="A26" s="117" t="inlineStr">
        <is>
          <t>Active Subscription Customers</t>
        </is>
      </c>
      <c r="B26" s="118">
        <f>IF(B8&gt;0, MAX(1, ROUND(B8/Inputs!$B$23, 0)), 0)</f>
        <v/>
      </c>
      <c r="C26" s="118">
        <f>IF(C8&gt;0, MAX(1, ROUND(C8/Inputs!$B$23, 0)), 0)</f>
        <v/>
      </c>
      <c r="D26" s="118">
        <f>IF(D8&gt;0, MAX(1, ROUND(D8/Inputs!$B$23, 0)), 0)</f>
        <v/>
      </c>
      <c r="E26" s="118">
        <f>IF(E8&gt;0, MAX(1, ROUND(E8/Inputs!$B$23, 0)), 0)</f>
        <v/>
      </c>
      <c r="F26" s="118">
        <f>IF(F8&gt;0, MAX(1, ROUND(F8/Inputs!$B$23, 0)), 0)</f>
        <v/>
      </c>
      <c r="G26" s="118">
        <f>IF(G8&gt;0, MAX(1, ROUND(G8/Inputs!$B$23, 0)), 0)</f>
        <v/>
      </c>
      <c r="H26" s="118">
        <f>IF(H8&gt;0, MAX(1, ROUND(H8/Inputs!$B$23, 0)), 0)</f>
        <v/>
      </c>
      <c r="I26" s="118">
        <f>IF(I8&gt;0, MAX(1, ROUND(I8/Inputs!$B$23, 0)), 0)</f>
        <v/>
      </c>
      <c r="J26" s="118">
        <f>IF(J8&gt;0, MAX(1, ROUND(J8/Inputs!$B$23, 0)), 0)</f>
        <v/>
      </c>
      <c r="K26" s="118">
        <f>IF(K8&gt;0, MAX(1, ROUND(K8/Inputs!$B$23, 0)), 0)</f>
        <v/>
      </c>
      <c r="L26" s="118">
        <f>IF(L8&gt;0, MAX(1, ROUND(L8/Inputs!$B$23, 0)), 0)</f>
        <v/>
      </c>
      <c r="M26" s="118">
        <f>IF(M8&gt;0, MAX(1, ROUND(M8/Inputs!$B$23, 0)), 0)</f>
        <v/>
      </c>
      <c r="N26" s="118">
        <f>IF(N8&gt;0, MAX(1, ROUND(N8/Inputs!$B$23, 0)), 0)</f>
        <v/>
      </c>
      <c r="O26" s="118">
        <f>IF(O8&gt;0, MAX(1, ROUND(O8/Inputs!$B$23, 0)), 0)</f>
        <v/>
      </c>
      <c r="P26" s="118">
        <f>IF(P8&gt;0, MAX(1, ROUND(P8/Inputs!$B$23, 0)), 0)</f>
        <v/>
      </c>
      <c r="Q26" s="118">
        <f>IF(Q8&gt;0, MAX(1, ROUND(Q8/Inputs!$B$23, 0)), 0)</f>
        <v/>
      </c>
      <c r="R26" s="118">
        <f>IF(R8&gt;0, MAX(1, ROUND(R8/Inputs!$B$23, 0)), 0)</f>
        <v/>
      </c>
      <c r="S26" s="118">
        <f>IF(S8&gt;0, MAX(1, ROUND(S8/Inputs!$B$23, 0)), 0)</f>
        <v/>
      </c>
      <c r="T26" s="118">
        <f>IF(T8&gt;0, MAX(1, ROUND(T8/Inputs!$B$23, 0)), 0)</f>
        <v/>
      </c>
      <c r="U26" s="118">
        <f>IF(U8&gt;0, MAX(1, ROUND(U8/Inputs!$B$23, 0)), 0)</f>
        <v/>
      </c>
      <c r="V26" s="118">
        <f>IF(V8&gt;0, MAX(1, ROUND(V8/Inputs!$B$23, 0)), 0)</f>
        <v/>
      </c>
      <c r="W26" s="118">
        <f>IF(W8&gt;0, MAX(1, ROUND(W8/Inputs!$B$23, 0)), 0)</f>
        <v/>
      </c>
      <c r="X26" s="118">
        <f>IF(X8&gt;0, MAX(1, ROUND(X8/Inputs!$B$23, 0)), 0)</f>
        <v/>
      </c>
      <c r="Y26" s="118">
        <f>IF(Y8&gt;0, MAX(1, ROUND(Y8/Inputs!$B$23, 0)), 0)</f>
        <v/>
      </c>
      <c r="Z26" s="118">
        <f>IF(Z8&gt;0, MAX(1, ROUND(Z8/Inputs!$B$23, 0)), 0)</f>
        <v/>
      </c>
      <c r="AA26" s="118">
        <f>IF(AA8&gt;0, MAX(1, ROUND(AA8/Inputs!$B$23, 0)), 0)</f>
        <v/>
      </c>
      <c r="AB26" s="118">
        <f>IF(AB8&gt;0, MAX(1, ROUND(AB8/Inputs!$B$23, 0)), 0)</f>
        <v/>
      </c>
      <c r="AC26" s="118">
        <f>IF(AC8&gt;0, MAX(1, ROUND(AC8/Inputs!$B$23, 0)), 0)</f>
        <v/>
      </c>
      <c r="AD26" s="118">
        <f>IF(AD8&gt;0, MAX(1, ROUND(AD8/Inputs!$B$23, 0)), 0)</f>
        <v/>
      </c>
      <c r="AE26" s="118">
        <f>IF(AE8&gt;0, MAX(1, ROUND(AE8/Inputs!$B$23, 0)), 0)</f>
        <v/>
      </c>
      <c r="AF26" s="118">
        <f>IF(AF8&gt;0, MAX(1, ROUND(AF8/Inputs!$B$23, 0)), 0)</f>
        <v/>
      </c>
      <c r="AG26" s="118">
        <f>IF(AG8&gt;0, MAX(1, ROUND(AG8/Inputs!$B$23, 0)), 0)</f>
        <v/>
      </c>
      <c r="AH26" s="118">
        <f>IF(AH8&gt;0, MAX(1, ROUND(AH8/Inputs!$B$23, 0)), 0)</f>
        <v/>
      </c>
      <c r="AI26" s="118">
        <f>IF(AI8&gt;0, MAX(1, ROUND(AI8/Inputs!$B$23, 0)), 0)</f>
        <v/>
      </c>
      <c r="AJ26" s="118">
        <f>IF(AJ8&gt;0, MAX(1, ROUND(AJ8/Inputs!$B$23, 0)), 0)</f>
        <v/>
      </c>
      <c r="AK26" s="118">
        <f>IF(AK8&gt;0, MAX(1, ROUND(AK8/Inputs!$B$23, 0)), 0)</f>
        <v/>
      </c>
      <c r="AL26" s="118">
        <f>IF(AL8&gt;0, MAX(1, ROUND(AL8/Inputs!$B$23, 0)), 0)</f>
        <v/>
      </c>
      <c r="AM26" s="118">
        <f>IF(AM8&gt;0, MAX(1, ROUND(AM8/Inputs!$B$23, 0)), 0)</f>
        <v/>
      </c>
      <c r="AN26" s="118">
        <f>IF(AN8&gt;0, MAX(1, ROUND(AN8/Inputs!$B$23, 0)), 0)</f>
        <v/>
      </c>
      <c r="AO26" s="118">
        <f>IF(AO8&gt;0, MAX(1, ROUND(AO8/Inputs!$B$23, 0)), 0)</f>
        <v/>
      </c>
      <c r="AP26" s="118">
        <f>IF(AP8&gt;0, MAX(1, ROUND(AP8/Inputs!$B$23, 0)), 0)</f>
        <v/>
      </c>
      <c r="AQ26" s="118">
        <f>IF(AQ8&gt;0, MAX(1, ROUND(AQ8/Inputs!$B$23, 0)), 0)</f>
        <v/>
      </c>
      <c r="AR26" s="118">
        <f>IF(AR8&gt;0, MAX(1, ROUND(AR8/Inputs!$B$23, 0)), 0)</f>
        <v/>
      </c>
      <c r="AS26" s="118">
        <f>IF(AS8&gt;0, MAX(1, ROUND(AS8/Inputs!$B$23, 0)), 0)</f>
        <v/>
      </c>
      <c r="AT26" s="118">
        <f>IF(AT8&gt;0, MAX(1, ROUND(AT8/Inputs!$B$23, 0)), 0)</f>
        <v/>
      </c>
      <c r="AU26" s="118">
        <f>IF(AU8&gt;0, MAX(1, ROUND(AU8/Inputs!$B$23, 0)), 0)</f>
        <v/>
      </c>
      <c r="AV26" s="118">
        <f>IF(AV8&gt;0, MAX(1, ROUND(AV8/Inputs!$B$23, 0)), 0)</f>
        <v/>
      </c>
      <c r="AW26" s="118">
        <f>IF(AW8&gt;0, MAX(1, ROUND(AW8/Inputs!$B$23, 0)), 0)</f>
        <v/>
      </c>
      <c r="AX26" s="118">
        <f>IF(AX8&gt;0, MAX(1, ROUND(AX8/Inputs!$B$23, 0)), 0)</f>
        <v/>
      </c>
      <c r="AY26" s="118">
        <f>IF(AY8&gt;0, MAX(1, ROUND(AY8/Inputs!$B$23, 0)), 0)</f>
        <v/>
      </c>
      <c r="AZ26" s="118">
        <f>IF(AZ8&gt;0, MAX(1, ROUND(AZ8/Inputs!$B$23, 0)), 0)</f>
        <v/>
      </c>
      <c r="BA26" s="118">
        <f>IF(BA8&gt;0, MAX(1, ROUND(BA8/Inputs!$B$23, 0)), 0)</f>
        <v/>
      </c>
    </row>
    <row r="27" ht="14.25" customHeight="1" s="83">
      <c r="A27" s="117" t="inlineStr">
        <is>
          <t>Total Active Customers (inkl. Enterprise)</t>
        </is>
      </c>
      <c r="B27" s="118">
        <f>B26+B14</f>
        <v/>
      </c>
      <c r="C27" s="118">
        <f>C26+C14</f>
        <v/>
      </c>
      <c r="D27" s="118">
        <f>D26+D14</f>
        <v/>
      </c>
      <c r="E27" s="118">
        <f>E26+E14</f>
        <v/>
      </c>
      <c r="F27" s="118">
        <f>F26+F14</f>
        <v/>
      </c>
      <c r="G27" s="118">
        <f>G26+G14</f>
        <v/>
      </c>
      <c r="H27" s="118">
        <f>H26+H14</f>
        <v/>
      </c>
      <c r="I27" s="118">
        <f>I26+I14</f>
        <v/>
      </c>
      <c r="J27" s="118">
        <f>J26+J14</f>
        <v/>
      </c>
      <c r="K27" s="118">
        <f>K26+K14</f>
        <v/>
      </c>
      <c r="L27" s="118">
        <f>L26+L14</f>
        <v/>
      </c>
      <c r="M27" s="118">
        <f>M26+M14</f>
        <v/>
      </c>
      <c r="N27" s="118">
        <f>N26+N14</f>
        <v/>
      </c>
      <c r="O27" s="118">
        <f>O26+O14</f>
        <v/>
      </c>
      <c r="P27" s="118">
        <f>P26+P14</f>
        <v/>
      </c>
      <c r="Q27" s="118">
        <f>Q26+Q14</f>
        <v/>
      </c>
      <c r="R27" s="118">
        <f>R26+R14</f>
        <v/>
      </c>
      <c r="S27" s="118">
        <f>S26+S14</f>
        <v/>
      </c>
      <c r="T27" s="118">
        <f>T26+T14</f>
        <v/>
      </c>
      <c r="U27" s="118">
        <f>U26+U14</f>
        <v/>
      </c>
      <c r="V27" s="118">
        <f>V26+V14</f>
        <v/>
      </c>
      <c r="W27" s="118">
        <f>W26+W14</f>
        <v/>
      </c>
      <c r="X27" s="118">
        <f>X26+X14</f>
        <v/>
      </c>
      <c r="Y27" s="118">
        <f>Y26+Y14</f>
        <v/>
      </c>
      <c r="Z27" s="118">
        <f>Z26+Z14</f>
        <v/>
      </c>
      <c r="AA27" s="118">
        <f>AA26+AA14</f>
        <v/>
      </c>
      <c r="AB27" s="118">
        <f>AB26+AB14</f>
        <v/>
      </c>
      <c r="AC27" s="118">
        <f>AC26+AC14</f>
        <v/>
      </c>
      <c r="AD27" s="118">
        <f>AD26+AD14</f>
        <v/>
      </c>
      <c r="AE27" s="118">
        <f>AE26+AE14</f>
        <v/>
      </c>
      <c r="AF27" s="118">
        <f>AF26+AF14</f>
        <v/>
      </c>
      <c r="AG27" s="118">
        <f>AG26+AG14</f>
        <v/>
      </c>
      <c r="AH27" s="118">
        <f>AH26+AH14</f>
        <v/>
      </c>
      <c r="AI27" s="118">
        <f>AI26+AI14</f>
        <v/>
      </c>
      <c r="AJ27" s="118">
        <f>AJ26+AJ14</f>
        <v/>
      </c>
      <c r="AK27" s="118">
        <f>AK26+AK14</f>
        <v/>
      </c>
      <c r="AL27" s="118">
        <f>AL26+AL14</f>
        <v/>
      </c>
      <c r="AM27" s="118">
        <f>AM26+AM14</f>
        <v/>
      </c>
      <c r="AN27" s="118">
        <f>AN26+AN14</f>
        <v/>
      </c>
      <c r="AO27" s="118">
        <f>AO26+AO14</f>
        <v/>
      </c>
      <c r="AP27" s="118">
        <f>AP26+AP14</f>
        <v/>
      </c>
      <c r="AQ27" s="118">
        <f>AQ26+AQ14</f>
        <v/>
      </c>
      <c r="AR27" s="118">
        <f>AR26+AR14</f>
        <v/>
      </c>
      <c r="AS27" s="118">
        <f>AS26+AS14</f>
        <v/>
      </c>
      <c r="AT27" s="118">
        <f>AT26+AT14</f>
        <v/>
      </c>
      <c r="AU27" s="118">
        <f>AU26+AU14</f>
        <v/>
      </c>
      <c r="AV27" s="118">
        <f>AV26+AV14</f>
        <v/>
      </c>
      <c r="AW27" s="118">
        <f>AW26+AW14</f>
        <v/>
      </c>
      <c r="AX27" s="118">
        <f>AX26+AX14</f>
        <v/>
      </c>
      <c r="AY27" s="118">
        <f>AY26+AY14</f>
        <v/>
      </c>
      <c r="AZ27" s="118">
        <f>AZ26+AZ14</f>
        <v/>
      </c>
      <c r="BA27" s="118">
        <f>BA26+BA14</f>
        <v/>
      </c>
    </row>
    <row r="28" ht="14.25" customHeight="1" s="83">
      <c r="A28" s="117" t="inlineStr">
        <is>
          <t>Consulting-Tage/Monat  [ab Startmonat; Kunden × Wskt. × Tage/Einsatz]</t>
        </is>
      </c>
      <c r="B28" s="118">
        <f>IF(1&gt;=Inputs!$B$141,B27*Inputs!$B$139*Inputs!$B$140,0)</f>
        <v/>
      </c>
      <c r="C28" s="118">
        <f>IF(2&gt;=Inputs!$B$141,C27*Inputs!$B$139*Inputs!$B$140,0)</f>
        <v/>
      </c>
      <c r="D28" s="118">
        <f>IF(3&gt;=Inputs!$B$141,D27*Inputs!$B$139*Inputs!$B$140,0)</f>
        <v/>
      </c>
      <c r="E28" s="118">
        <f>IF(4&gt;=Inputs!$B$141,E27*Inputs!$B$139*Inputs!$B$140,0)</f>
        <v/>
      </c>
      <c r="F28" s="118">
        <f>IF(5&gt;=Inputs!$B$141,F27*Inputs!$B$139*Inputs!$B$140,0)</f>
        <v/>
      </c>
      <c r="G28" s="118">
        <f>IF(6&gt;=Inputs!$B$141,G27*Inputs!$B$139*Inputs!$B$140,0)</f>
        <v/>
      </c>
      <c r="H28" s="118">
        <f>IF(7&gt;=Inputs!$B$141,H27*Inputs!$B$139*Inputs!$B$140,0)</f>
        <v/>
      </c>
      <c r="I28" s="118">
        <f>IF(8&gt;=Inputs!$B$141,I27*Inputs!$B$139*Inputs!$B$140,0)</f>
        <v/>
      </c>
      <c r="J28" s="118">
        <f>IF(9&gt;=Inputs!$B$141,J27*Inputs!$B$139*Inputs!$B$140,0)</f>
        <v/>
      </c>
      <c r="K28" s="118">
        <f>IF(10&gt;=Inputs!$B$141,K27*Inputs!$B$139*Inputs!$B$140,0)</f>
        <v/>
      </c>
      <c r="L28" s="118">
        <f>IF(11&gt;=Inputs!$B$141,L27*Inputs!$B$139*Inputs!$B$140,0)</f>
        <v/>
      </c>
      <c r="M28" s="118">
        <f>IF(12&gt;=Inputs!$B$141,M27*Inputs!$B$139*Inputs!$B$140,0)</f>
        <v/>
      </c>
      <c r="N28" s="118">
        <f>IF(13&gt;=Inputs!$B$141,N27*Inputs!$B$139*Inputs!$B$140,0)</f>
        <v/>
      </c>
      <c r="O28" s="118">
        <f>IF(14&gt;=Inputs!$B$141,O27*Inputs!$B$139*Inputs!$B$140,0)</f>
        <v/>
      </c>
      <c r="P28" s="118">
        <f>IF(15&gt;=Inputs!$B$141,P27*Inputs!$B$139*Inputs!$B$140,0)</f>
        <v/>
      </c>
      <c r="Q28" s="118">
        <f>IF(16&gt;=Inputs!$B$141,Q27*Inputs!$B$139*Inputs!$B$140,0)</f>
        <v/>
      </c>
      <c r="R28" s="118">
        <f>IF(17&gt;=Inputs!$B$141,R27*Inputs!$B$139*Inputs!$B$140,0)</f>
        <v/>
      </c>
      <c r="S28" s="118">
        <f>IF(18&gt;=Inputs!$B$141,S27*Inputs!$B$139*Inputs!$B$140,0)</f>
        <v/>
      </c>
      <c r="T28" s="118">
        <f>IF(19&gt;=Inputs!$B$141,T27*Inputs!$B$139*Inputs!$B$140,0)</f>
        <v/>
      </c>
      <c r="U28" s="118">
        <f>IF(20&gt;=Inputs!$B$141,U27*Inputs!$B$139*Inputs!$B$140,0)</f>
        <v/>
      </c>
      <c r="V28" s="118">
        <f>IF(21&gt;=Inputs!$B$141,V27*Inputs!$B$139*Inputs!$B$140,0)</f>
        <v/>
      </c>
      <c r="W28" s="118">
        <f>IF(22&gt;=Inputs!$B$141,W27*Inputs!$B$139*Inputs!$B$140,0)</f>
        <v/>
      </c>
      <c r="X28" s="118">
        <f>IF(23&gt;=Inputs!$B$141,X27*Inputs!$B$139*Inputs!$B$140,0)</f>
        <v/>
      </c>
      <c r="Y28" s="118">
        <f>IF(24&gt;=Inputs!$B$141,Y27*Inputs!$B$139*Inputs!$B$140,0)</f>
        <v/>
      </c>
      <c r="Z28" s="118">
        <f>IF(25&gt;=Inputs!$B$141,Z27*Inputs!$B$139*Inputs!$B$140,0)</f>
        <v/>
      </c>
      <c r="AA28" s="118">
        <f>IF(26&gt;=Inputs!$B$141,AA27*Inputs!$B$139*Inputs!$B$140,0)</f>
        <v/>
      </c>
      <c r="AB28" s="118">
        <f>IF(27&gt;=Inputs!$B$141,AB27*Inputs!$B$139*Inputs!$B$140,0)</f>
        <v/>
      </c>
      <c r="AC28" s="118">
        <f>IF(28&gt;=Inputs!$B$141,AC27*Inputs!$B$139*Inputs!$B$140,0)</f>
        <v/>
      </c>
      <c r="AD28" s="118">
        <f>IF(29&gt;=Inputs!$B$141,AD27*Inputs!$B$139*Inputs!$B$140,0)</f>
        <v/>
      </c>
      <c r="AE28" s="118">
        <f>IF(30&gt;=Inputs!$B$141,AE27*Inputs!$B$139*Inputs!$B$140,0)</f>
        <v/>
      </c>
      <c r="AF28" s="118">
        <f>IF(31&gt;=Inputs!$B$141,AF27*Inputs!$B$139*Inputs!$B$140,0)</f>
        <v/>
      </c>
      <c r="AG28" s="118">
        <f>IF(32&gt;=Inputs!$B$141,AG27*Inputs!$B$139*Inputs!$B$140,0)</f>
        <v/>
      </c>
      <c r="AH28" s="118">
        <f>IF(33&gt;=Inputs!$B$141,AH27*Inputs!$B$139*Inputs!$B$140,0)</f>
        <v/>
      </c>
      <c r="AI28" s="118">
        <f>IF(34&gt;=Inputs!$B$141,AI27*Inputs!$B$139*Inputs!$B$140,0)</f>
        <v/>
      </c>
      <c r="AJ28" s="118">
        <f>IF(35&gt;=Inputs!$B$141,AJ27*Inputs!$B$139*Inputs!$B$140,0)</f>
        <v/>
      </c>
      <c r="AK28" s="118">
        <f>IF(36&gt;=Inputs!$B$141,AK27*Inputs!$B$139*Inputs!$B$140,0)</f>
        <v/>
      </c>
      <c r="AL28" s="118">
        <f>IF(37&gt;=Inputs!$B$141,AL27*Inputs!$B$139*Inputs!$B$140,0)</f>
        <v/>
      </c>
      <c r="AM28" s="118">
        <f>IF(38&gt;=Inputs!$B$141,AM27*Inputs!$B$139*Inputs!$B$140,0)</f>
        <v/>
      </c>
      <c r="AN28" s="118">
        <f>IF(39&gt;=Inputs!$B$141,AN27*Inputs!$B$139*Inputs!$B$140,0)</f>
        <v/>
      </c>
      <c r="AO28" s="118">
        <f>IF(40&gt;=Inputs!$B$141,AO27*Inputs!$B$139*Inputs!$B$140,0)</f>
        <v/>
      </c>
      <c r="AP28" s="118">
        <f>IF(41&gt;=Inputs!$B$141,AP27*Inputs!$B$139*Inputs!$B$140,0)</f>
        <v/>
      </c>
      <c r="AQ28" s="118">
        <f>IF(42&gt;=Inputs!$B$141,AQ27*Inputs!$B$139*Inputs!$B$140,0)</f>
        <v/>
      </c>
      <c r="AR28" s="118">
        <f>IF(43&gt;=Inputs!$B$141,AR27*Inputs!$B$139*Inputs!$B$140,0)</f>
        <v/>
      </c>
      <c r="AS28" s="118">
        <f>IF(44&gt;=Inputs!$B$141,AS27*Inputs!$B$139*Inputs!$B$140,0)</f>
        <v/>
      </c>
      <c r="AT28" s="118">
        <f>IF(45&gt;=Inputs!$B$141,AT27*Inputs!$B$139*Inputs!$B$140,0)</f>
        <v/>
      </c>
      <c r="AU28" s="118">
        <f>IF(46&gt;=Inputs!$B$141,AU27*Inputs!$B$139*Inputs!$B$140,0)</f>
        <v/>
      </c>
      <c r="AV28" s="118">
        <f>IF(47&gt;=Inputs!$B$141,AV27*Inputs!$B$139*Inputs!$B$140,0)</f>
        <v/>
      </c>
      <c r="AW28" s="118">
        <f>IF(48&gt;=Inputs!$B$141,AW27*Inputs!$B$139*Inputs!$B$140,0)</f>
        <v/>
      </c>
      <c r="AX28" s="118">
        <f>IF(49&gt;=Inputs!$B$141,AX27*Inputs!$B$139*Inputs!$B$140,0)</f>
        <v/>
      </c>
      <c r="AY28" s="118">
        <f>IF(50&gt;=Inputs!$B$141,AY27*Inputs!$B$139*Inputs!$B$140,0)</f>
        <v/>
      </c>
      <c r="AZ28" s="118">
        <f>IF(51&gt;=Inputs!$B$141,AZ27*Inputs!$B$139*Inputs!$B$140,0)</f>
        <v/>
      </c>
      <c r="BA28" s="118">
        <f>IF(52&gt;=Inputs!$B$141,BA27*Inputs!$B$139*Inputs!$B$140,0)</f>
        <v/>
      </c>
    </row>
    <row r="29" ht="14.25" customHeight="1" s="83">
      <c r="A29" s="119" t="inlineStr">
        <is>
          <t>Consulting Revenue (€/Monat)  [= Tage/Mo × Tagessatz]</t>
        </is>
      </c>
      <c r="B29" s="115">
        <f>B28*Inputs!$B$138</f>
        <v/>
      </c>
      <c r="C29" s="115">
        <f>C28*Inputs!$B$138</f>
        <v/>
      </c>
      <c r="D29" s="115">
        <f>D28*Inputs!$B$138</f>
        <v/>
      </c>
      <c r="E29" s="115">
        <f>E28*Inputs!$B$138</f>
        <v/>
      </c>
      <c r="F29" s="115">
        <f>F28*Inputs!$B$138</f>
        <v/>
      </c>
      <c r="G29" s="115">
        <f>G28*Inputs!$B$138</f>
        <v/>
      </c>
      <c r="H29" s="115">
        <f>H28*Inputs!$B$138</f>
        <v/>
      </c>
      <c r="I29" s="115">
        <f>I28*Inputs!$B$138</f>
        <v/>
      </c>
      <c r="J29" s="115">
        <f>J28*Inputs!$B$138</f>
        <v/>
      </c>
      <c r="K29" s="115">
        <f>K28*Inputs!$B$138</f>
        <v/>
      </c>
      <c r="L29" s="115">
        <f>L28*Inputs!$B$138</f>
        <v/>
      </c>
      <c r="M29" s="115">
        <f>M28*Inputs!$B$138</f>
        <v/>
      </c>
      <c r="N29" s="115">
        <f>N28*Inputs!$B$138</f>
        <v/>
      </c>
      <c r="O29" s="115">
        <f>O28*Inputs!$B$138</f>
        <v/>
      </c>
      <c r="P29" s="115">
        <f>P28*Inputs!$B$138</f>
        <v/>
      </c>
      <c r="Q29" s="115">
        <f>Q28*Inputs!$B$138</f>
        <v/>
      </c>
      <c r="R29" s="115">
        <f>R28*Inputs!$B$138</f>
        <v/>
      </c>
      <c r="S29" s="115">
        <f>S28*Inputs!$B$138</f>
        <v/>
      </c>
      <c r="T29" s="115">
        <f>T28*Inputs!$B$138</f>
        <v/>
      </c>
      <c r="U29" s="115">
        <f>U28*Inputs!$B$138</f>
        <v/>
      </c>
      <c r="V29" s="115">
        <f>V28*Inputs!$B$138</f>
        <v/>
      </c>
      <c r="W29" s="115">
        <f>W28*Inputs!$B$138</f>
        <v/>
      </c>
      <c r="X29" s="115">
        <f>X28*Inputs!$B$138</f>
        <v/>
      </c>
      <c r="Y29" s="115">
        <f>Y28*Inputs!$B$138</f>
        <v/>
      </c>
      <c r="Z29" s="115">
        <f>Z28*Inputs!$B$138</f>
        <v/>
      </c>
      <c r="AA29" s="115">
        <f>AA28*Inputs!$B$138</f>
        <v/>
      </c>
      <c r="AB29" s="115">
        <f>AB28*Inputs!$B$138</f>
        <v/>
      </c>
      <c r="AC29" s="115">
        <f>AC28*Inputs!$B$138</f>
        <v/>
      </c>
      <c r="AD29" s="115">
        <f>AD28*Inputs!$B$138</f>
        <v/>
      </c>
      <c r="AE29" s="115">
        <f>AE28*Inputs!$B$138</f>
        <v/>
      </c>
      <c r="AF29" s="115">
        <f>AF28*Inputs!$B$138</f>
        <v/>
      </c>
      <c r="AG29" s="115">
        <f>AG28*Inputs!$B$138</f>
        <v/>
      </c>
      <c r="AH29" s="115">
        <f>AH28*Inputs!$B$138</f>
        <v/>
      </c>
      <c r="AI29" s="115">
        <f>AI28*Inputs!$B$138</f>
        <v/>
      </c>
      <c r="AJ29" s="115">
        <f>AJ28*Inputs!$B$138</f>
        <v/>
      </c>
      <c r="AK29" s="115">
        <f>AK28*Inputs!$B$138</f>
        <v/>
      </c>
      <c r="AL29" s="115">
        <f>AL28*Inputs!$B$138</f>
        <v/>
      </c>
      <c r="AM29" s="115">
        <f>AM28*Inputs!$B$138</f>
        <v/>
      </c>
      <c r="AN29" s="115">
        <f>AN28*Inputs!$B$138</f>
        <v/>
      </c>
      <c r="AO29" s="115">
        <f>AO28*Inputs!$B$138</f>
        <v/>
      </c>
      <c r="AP29" s="115">
        <f>AP28*Inputs!$B$138</f>
        <v/>
      </c>
      <c r="AQ29" s="115">
        <f>AQ28*Inputs!$B$138</f>
        <v/>
      </c>
      <c r="AR29" s="115">
        <f>AR28*Inputs!$B$138</f>
        <v/>
      </c>
      <c r="AS29" s="115">
        <f>AS28*Inputs!$B$138</f>
        <v/>
      </c>
      <c r="AT29" s="115">
        <f>AT28*Inputs!$B$138</f>
        <v/>
      </c>
      <c r="AU29" s="115">
        <f>AU28*Inputs!$B$138</f>
        <v/>
      </c>
      <c r="AV29" s="115">
        <f>AV28*Inputs!$B$138</f>
        <v/>
      </c>
      <c r="AW29" s="115">
        <f>AW28*Inputs!$B$138</f>
        <v/>
      </c>
      <c r="AX29" s="115">
        <f>AX28*Inputs!$B$138</f>
        <v/>
      </c>
      <c r="AY29" s="115">
        <f>AY28*Inputs!$B$138</f>
        <v/>
      </c>
      <c r="AZ29" s="115">
        <f>AZ28*Inputs!$B$138</f>
        <v/>
      </c>
      <c r="BA29" s="115">
        <f>BA28*Inputs!$B$138</f>
        <v/>
      </c>
    </row>
    <row r="30" ht="14.25" customHeight="1" s="83"/>
    <row r="31" ht="55" customHeight="1" s="83">
      <c r="A31" s="143" t="inlineStr">
        <is>
          <t>ℹ Hinweis MRR/ARR vs. Total Revenue:
MRR/ARR (Z18/19) = ausschließlich wiederkehrende Lizenzumsätze (Subscription Seats + Enterprise-Verträge). Consulting ist projektbezogen, nicht-wiederkehrend → kein Bestandteil von MRR/ARR (SaaS-Standard: SaaStr/OpenView/a16z).
Total Monthly Revenue (Z20) = MRR + Consulting → fließt in P&amp;L TOTAL REVENUE.</t>
        </is>
      </c>
      <c r="B31" s="128" t="n"/>
      <c r="C31" s="128" t="n"/>
      <c r="D31" s="128" t="n"/>
      <c r="E31" s="128" t="n"/>
      <c r="F31" s="128" t="n"/>
      <c r="G31" s="128" t="n"/>
      <c r="H31" s="128" t="n"/>
      <c r="I31" s="128" t="n"/>
      <c r="J31" s="129" t="n"/>
    </row>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mergeCells count="1">
    <mergeCell ref="A31:J31"/>
  </mergeCells>
  <pageMargins left="0.75" right="0.75" top="1" bottom="1" header="0" footer="0"/>
  <pageSetup orientation="landscape"/>
</worksheet>
</file>

<file path=xl/worksheets/sheet8.xml><?xml version="1.0" encoding="utf-8"?>
<worksheet xmlns="http://schemas.openxmlformats.org/spreadsheetml/2006/main">
  <sheetPr>
    <tabColor rgb="FFFF0000"/>
    <outlinePr summaryBelow="1" summaryRight="1"/>
    <pageSetUpPr/>
  </sheetPr>
  <dimension ref="A1:BA132"/>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KOSTENDETAILS</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Kostenposition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HEADCOUNT PLAN</t>
        </is>
      </c>
    </row>
    <row r="5" ht="14.25" customHeight="1" s="83">
      <c r="A5" s="77" t="inlineStr">
        <is>
          <t>Executives (CEO, CTO, CCO)</t>
        </is>
      </c>
      <c r="B5" s="79" t="n">
        <v>3</v>
      </c>
      <c r="C5" s="79" t="n">
        <v>3</v>
      </c>
      <c r="D5" s="79" t="n">
        <v>3</v>
      </c>
      <c r="E5" s="79" t="n">
        <v>3</v>
      </c>
      <c r="F5" s="79" t="n">
        <v>3</v>
      </c>
      <c r="G5" s="79" t="n">
        <v>3</v>
      </c>
      <c r="H5" s="79" t="n">
        <v>3</v>
      </c>
      <c r="I5" s="79" t="n">
        <v>3</v>
      </c>
      <c r="J5" s="79" t="n">
        <v>3</v>
      </c>
      <c r="K5" s="79" t="n">
        <v>3</v>
      </c>
      <c r="L5" s="79" t="n">
        <v>3</v>
      </c>
      <c r="M5" s="79" t="n">
        <v>3</v>
      </c>
      <c r="N5" s="79" t="n">
        <v>3</v>
      </c>
      <c r="O5" s="79" t="n">
        <v>3</v>
      </c>
      <c r="P5" s="79" t="n">
        <v>3</v>
      </c>
      <c r="Q5" s="79" t="n">
        <v>3</v>
      </c>
      <c r="R5" s="79" t="n">
        <v>3</v>
      </c>
      <c r="S5" s="79" t="n">
        <v>3</v>
      </c>
      <c r="T5" s="79" t="n">
        <v>3</v>
      </c>
      <c r="U5" s="79" t="n">
        <v>3</v>
      </c>
      <c r="V5" s="79" t="n">
        <v>3</v>
      </c>
      <c r="W5" s="79" t="n">
        <v>3</v>
      </c>
      <c r="X5" s="79" t="n">
        <v>3</v>
      </c>
      <c r="Y5" s="79" t="n">
        <v>3</v>
      </c>
      <c r="Z5" s="79" t="n">
        <v>3</v>
      </c>
      <c r="AA5" s="79" t="n">
        <v>3</v>
      </c>
      <c r="AB5" s="79" t="n">
        <v>3</v>
      </c>
      <c r="AC5" s="79" t="n">
        <v>3</v>
      </c>
      <c r="AD5" s="79" t="n">
        <v>3</v>
      </c>
      <c r="AE5" s="79" t="n">
        <v>3</v>
      </c>
      <c r="AF5" s="79" t="n">
        <v>3</v>
      </c>
      <c r="AG5" s="79" t="n">
        <v>3</v>
      </c>
      <c r="AH5" s="79" t="n">
        <v>3</v>
      </c>
      <c r="AI5" s="79" t="n">
        <v>3</v>
      </c>
      <c r="AJ5" s="79" t="n">
        <v>3</v>
      </c>
      <c r="AK5" s="79" t="n">
        <v>3</v>
      </c>
      <c r="AL5" s="79" t="n">
        <v>3</v>
      </c>
      <c r="AM5" s="79" t="n">
        <v>3</v>
      </c>
      <c r="AN5" s="79" t="n">
        <v>3</v>
      </c>
      <c r="AO5" s="79" t="n">
        <v>3</v>
      </c>
      <c r="AP5" s="79" t="n">
        <v>3</v>
      </c>
      <c r="AQ5" s="79" t="n">
        <v>3</v>
      </c>
      <c r="AR5" s="79" t="n">
        <v>3</v>
      </c>
      <c r="AS5" s="79" t="n">
        <v>3</v>
      </c>
      <c r="AT5" s="79" t="n">
        <v>3</v>
      </c>
      <c r="AU5" s="79" t="n">
        <v>3</v>
      </c>
      <c r="AV5" s="79" t="n">
        <v>3</v>
      </c>
      <c r="AW5" s="79" t="n">
        <v>3</v>
      </c>
      <c r="AX5" s="79" t="n">
        <v>3</v>
      </c>
      <c r="AY5" s="79" t="n">
        <v>3</v>
      </c>
      <c r="AZ5" s="79" t="n">
        <v>3</v>
      </c>
      <c r="BA5" s="79" t="n">
        <v>3</v>
      </c>
    </row>
    <row r="6" ht="14.25" customHeight="1" s="83">
      <c r="A6" s="77" t="inlineStr">
        <is>
          <t>1. Senior Engineer</t>
        </is>
      </c>
      <c r="B6" s="79">
        <f>IF(COLUMNS($B$6:B6) &gt;= Inputs!$F$48, 1, 0)</f>
        <v/>
      </c>
      <c r="C6" s="79">
        <f>IF(COLUMNS($B$6:C6) &gt;= Inputs!$F$48, 1, 0)</f>
        <v/>
      </c>
      <c r="D6" s="79">
        <f>IF(COLUMNS($B$6:D6) &gt;= Inputs!$F$48, 1, 0)</f>
        <v/>
      </c>
      <c r="E6" s="79">
        <f>IF(COLUMNS($B$6:E6) &gt;= Inputs!$F$48, 1, 0)</f>
        <v/>
      </c>
      <c r="F6" s="79">
        <f>IF(COLUMNS($B$6:F6) &gt;= Inputs!$F$48, 1, 0)</f>
        <v/>
      </c>
      <c r="G6" s="79">
        <f>IF(COLUMNS($B$6:G6) &gt;= Inputs!$F$48, 1, 0)</f>
        <v/>
      </c>
      <c r="H6" s="79">
        <f>IF(COLUMNS($B$6:H6) &gt;= Inputs!$F$48, 1, 0)</f>
        <v/>
      </c>
      <c r="I6" s="79">
        <f>IF(COLUMNS($B$6:I6) &gt;= Inputs!$F$48, 1, 0)</f>
        <v/>
      </c>
      <c r="J6" s="79">
        <f>IF(COLUMNS($B$6:J6) &gt;= Inputs!$F$48, 1, 0)</f>
        <v/>
      </c>
      <c r="K6" s="79">
        <f>IF(COLUMNS($B$6:K6) &gt;= Inputs!$F$48, 1, 0)</f>
        <v/>
      </c>
      <c r="L6" s="79">
        <f>IF(COLUMNS($B$6:L6) &gt;= Inputs!$F$48, 1, 0)</f>
        <v/>
      </c>
      <c r="M6" s="79">
        <f>IF(COLUMNS($B$6:M6) &gt;= Inputs!$F$48, 1, 0)</f>
        <v/>
      </c>
      <c r="N6" s="79">
        <f>IF(COLUMNS($B$6:N6) &gt;= Inputs!$F$48, 1, 0)</f>
        <v/>
      </c>
      <c r="O6" s="79">
        <f>IF(COLUMNS($B$6:O6) &gt;= Inputs!$F$48, 1, 0)</f>
        <v/>
      </c>
      <c r="P6" s="79">
        <f>IF(COLUMNS($B$6:P6) &gt;= Inputs!$F$48, 1, 0)</f>
        <v/>
      </c>
      <c r="Q6" s="79">
        <f>IF(COLUMNS($B$6:Q6) &gt;= Inputs!$F$48, 1, 0)</f>
        <v/>
      </c>
      <c r="R6" s="79">
        <f>IF(COLUMNS($B$6:R6) &gt;= Inputs!$F$48, 1, 0)</f>
        <v/>
      </c>
      <c r="S6" s="79">
        <f>IF(COLUMNS($B$6:S6) &gt;= Inputs!$F$48, 1, 0)</f>
        <v/>
      </c>
      <c r="T6" s="79">
        <f>IF(COLUMNS($B$6:T6) &gt;= Inputs!$F$48, 1, 0)</f>
        <v/>
      </c>
      <c r="U6" s="79">
        <f>IF(COLUMNS($B$6:U6) &gt;= Inputs!$F$48, 1, 0)</f>
        <v/>
      </c>
      <c r="V6" s="79">
        <f>IF(COLUMNS($B$6:V6) &gt;= Inputs!$F$48, 1, 0)</f>
        <v/>
      </c>
      <c r="W6" s="79">
        <f>IF(COLUMNS($B$6:W6) &gt;= Inputs!$F$48, 1, 0)</f>
        <v/>
      </c>
      <c r="X6" s="79">
        <f>IF(COLUMNS($B$6:X6) &gt;= Inputs!$F$48, 1, 0)</f>
        <v/>
      </c>
      <c r="Y6" s="79">
        <f>IF(COLUMNS($B$6:Y6) &gt;= Inputs!$F$48, 1, 0)</f>
        <v/>
      </c>
      <c r="Z6" s="79">
        <f>IF(COLUMNS($B$6:Z6) &gt;= Inputs!$F$48, 1, 0)</f>
        <v/>
      </c>
      <c r="AA6" s="79">
        <f>IF(COLUMNS($B$6:AA6) &gt;= Inputs!$F$48, 1, 0)</f>
        <v/>
      </c>
      <c r="AB6" s="79">
        <f>IF(COLUMNS($B$6:AB6) &gt;= Inputs!$F$48, 1, 0)</f>
        <v/>
      </c>
      <c r="AC6" s="79">
        <f>IF(COLUMNS($B$6:AC6) &gt;= Inputs!$F$48, 1, 0)</f>
        <v/>
      </c>
      <c r="AD6" s="79">
        <f>IF(COLUMNS($B$6:AD6) &gt;= Inputs!$F$48, 1, 0)</f>
        <v/>
      </c>
      <c r="AE6" s="79">
        <f>IF(COLUMNS($B$6:AE6) &gt;= Inputs!$F$48, 1, 0)</f>
        <v/>
      </c>
      <c r="AF6" s="79">
        <f>IF(COLUMNS($B$6:AF6) &gt;= Inputs!$F$48, 1, 0)</f>
        <v/>
      </c>
      <c r="AG6" s="79">
        <f>IF(COLUMNS($B$6:AG6) &gt;= Inputs!$F$48, 1, 0)</f>
        <v/>
      </c>
      <c r="AH6" s="79">
        <f>IF(COLUMNS($B$6:AH6) &gt;= Inputs!$F$48, 1, 0)</f>
        <v/>
      </c>
      <c r="AI6" s="79">
        <f>IF(COLUMNS($B$6:AI6) &gt;= Inputs!$F$48, 1, 0)</f>
        <v/>
      </c>
      <c r="AJ6" s="79">
        <f>IF(COLUMNS($B$6:AJ6) &gt;= Inputs!$F$48, 1, 0)</f>
        <v/>
      </c>
      <c r="AK6" s="79">
        <f>IF(COLUMNS($B$6:AK6) &gt;= Inputs!$F$48, 1, 0)</f>
        <v/>
      </c>
      <c r="AL6" s="79">
        <f>IF(COLUMNS($B$6:AL6) &gt;= Inputs!$F$48, 1, 0)</f>
        <v/>
      </c>
      <c r="AM6" s="79">
        <f>IF(COLUMNS($B$6:AM6) &gt;= Inputs!$F$48, 1, 0)</f>
        <v/>
      </c>
      <c r="AN6" s="79">
        <f>IF(COLUMNS($B$6:AN6) &gt;= Inputs!$F$48, 1, 0)</f>
        <v/>
      </c>
      <c r="AO6" s="79">
        <f>IF(COLUMNS($B$6:AO6) &gt;= Inputs!$F$48, 1, 0)</f>
        <v/>
      </c>
      <c r="AP6" s="79">
        <f>IF(COLUMNS($B$6:AP6) &gt;= Inputs!$F$48, 1, 0)</f>
        <v/>
      </c>
      <c r="AQ6" s="79">
        <f>IF(COLUMNS($B$6:AQ6) &gt;= Inputs!$F$48, 1, 0)</f>
        <v/>
      </c>
      <c r="AR6" s="79">
        <f>IF(COLUMNS($B$6:AR6) &gt;= Inputs!$F$48, 1, 0)</f>
        <v/>
      </c>
      <c r="AS6" s="79">
        <f>IF(COLUMNS($B$6:AS6) &gt;= Inputs!$F$48, 1, 0)</f>
        <v/>
      </c>
      <c r="AT6" s="79">
        <f>IF(COLUMNS($B$6:AT6) &gt;= Inputs!$F$48, 1, 0)</f>
        <v/>
      </c>
      <c r="AU6" s="79">
        <f>IF(COLUMNS($B$6:AU6) &gt;= Inputs!$F$48, 1, 0)</f>
        <v/>
      </c>
      <c r="AV6" s="79">
        <f>IF(COLUMNS($B$6:AV6) &gt;= Inputs!$F$48, 1, 0)</f>
        <v/>
      </c>
      <c r="AW6" s="79">
        <f>IF(COLUMNS($B$6:AW6) &gt;= Inputs!$F$48, 1, 0)</f>
        <v/>
      </c>
      <c r="AX6" s="79">
        <f>IF(COLUMNS($B$6:AX6) &gt;= Inputs!$F$48, 1, 0)</f>
        <v/>
      </c>
      <c r="AY6" s="79">
        <f>IF(COLUMNS($B$6:AY6) &gt;= Inputs!$F$48, 1, 0)</f>
        <v/>
      </c>
      <c r="AZ6" s="79">
        <f>IF(COLUMNS($B$6:AZ6) &gt;= Inputs!$F$48, 1, 0)</f>
        <v/>
      </c>
      <c r="BA6" s="79">
        <f>IF(COLUMNS($B$6:BA6) &gt;= Inputs!$F$48, 1, 0)</f>
        <v/>
      </c>
    </row>
    <row r="7" ht="14.25" customHeight="1" s="83">
      <c r="A7" s="77" t="inlineStr">
        <is>
          <t>2. Senior Engineer</t>
        </is>
      </c>
      <c r="B7" s="79">
        <f>IF(COLUMNS($B$7:B7) &gt;= Inputs!$F49, 1, 0)</f>
        <v/>
      </c>
      <c r="C7" s="79">
        <f>IF(COLUMNS($B$7:C7) &gt;= Inputs!$F49, 1, 0)</f>
        <v/>
      </c>
      <c r="D7" s="79">
        <f>IF(COLUMNS($B$7:D7) &gt;= Inputs!$F49, 1, 0)</f>
        <v/>
      </c>
      <c r="E7" s="79">
        <f>IF(COLUMNS($B$7:E7) &gt;= Inputs!$F49, 1, 0)</f>
        <v/>
      </c>
      <c r="F7" s="79">
        <f>IF(COLUMNS($B$7:F7) &gt;= Inputs!$F49, 1, 0)</f>
        <v/>
      </c>
      <c r="G7" s="79">
        <f>IF(COLUMNS($B$7:G7) &gt;= Inputs!$F49, 1, 0)</f>
        <v/>
      </c>
      <c r="H7" s="79">
        <f>IF(COLUMNS($B$7:H7) &gt;= Inputs!$F49, 1, 0)</f>
        <v/>
      </c>
      <c r="I7" s="79">
        <f>IF(COLUMNS($B$7:I7) &gt;= Inputs!$F49, 1, 0)</f>
        <v/>
      </c>
      <c r="J7" s="79">
        <f>IF(COLUMNS($B$7:J7) &gt;= Inputs!$F49, 1, 0)</f>
        <v/>
      </c>
      <c r="K7" s="79">
        <f>IF(COLUMNS($B$7:K7) &gt;= Inputs!$F49, 1, 0)</f>
        <v/>
      </c>
      <c r="L7" s="79">
        <f>IF(COLUMNS($B$7:L7) &gt;= Inputs!$F49, 1, 0)</f>
        <v/>
      </c>
      <c r="M7" s="79">
        <f>IF(COLUMNS($B$7:M7) &gt;= Inputs!$F49, 1, 0)</f>
        <v/>
      </c>
      <c r="N7" s="79">
        <f>IF(COLUMNS($B$7:N7) &gt;= Inputs!$F49, 1, 0)</f>
        <v/>
      </c>
      <c r="O7" s="79">
        <f>IF(COLUMNS($B$7:O7) &gt;= Inputs!$F49, 1, 0)</f>
        <v/>
      </c>
      <c r="P7" s="79">
        <f>IF(COLUMNS($B$7:P7) &gt;= Inputs!$F49, 1, 0)</f>
        <v/>
      </c>
      <c r="Q7" s="79">
        <f>IF(COLUMNS($B$7:Q7) &gt;= Inputs!$F49, 1, 0)</f>
        <v/>
      </c>
      <c r="R7" s="79">
        <f>IF(COLUMNS($B$7:R7) &gt;= Inputs!$F49, 1, 0)</f>
        <v/>
      </c>
      <c r="S7" s="79">
        <f>IF(COLUMNS($B$7:S7) &gt;= Inputs!$F49, 1, 0)</f>
        <v/>
      </c>
      <c r="T7" s="79">
        <f>IF(COLUMNS($B$7:T7) &gt;= Inputs!$F49, 1, 0)</f>
        <v/>
      </c>
      <c r="U7" s="79">
        <f>IF(COLUMNS($B$7:U7) &gt;= Inputs!$F49, 1, 0)</f>
        <v/>
      </c>
      <c r="V7" s="79">
        <f>IF(COLUMNS($B$7:V7) &gt;= Inputs!$F49, 1, 0)</f>
        <v/>
      </c>
      <c r="W7" s="79">
        <f>IF(COLUMNS($B$7:W7) &gt;= Inputs!$F49, 1, 0)</f>
        <v/>
      </c>
      <c r="X7" s="79">
        <f>IF(COLUMNS($B$7:X7) &gt;= Inputs!$F49, 1, 0)</f>
        <v/>
      </c>
      <c r="Y7" s="79">
        <f>IF(COLUMNS($B$7:Y7) &gt;= Inputs!$F49, 1, 0)</f>
        <v/>
      </c>
      <c r="Z7" s="79">
        <f>IF(COLUMNS($B$7:Z7) &gt;= Inputs!$F49, 1, 0)</f>
        <v/>
      </c>
      <c r="AA7" s="79">
        <f>IF(COLUMNS($B$7:AA7) &gt;= Inputs!$F49, 1, 0)</f>
        <v/>
      </c>
      <c r="AB7" s="79">
        <f>IF(COLUMNS($B$7:AB7) &gt;= Inputs!$F49, 1, 0)</f>
        <v/>
      </c>
      <c r="AC7" s="79">
        <f>IF(COLUMNS($B$7:AC7) &gt;= Inputs!$F49, 1, 0)</f>
        <v/>
      </c>
      <c r="AD7" s="79">
        <f>IF(COLUMNS($B$7:AD7) &gt;= Inputs!$F49, 1, 0)</f>
        <v/>
      </c>
      <c r="AE7" s="79">
        <f>IF(COLUMNS($B$7:AE7) &gt;= Inputs!$F49, 1, 0)</f>
        <v/>
      </c>
      <c r="AF7" s="79">
        <f>IF(COLUMNS($B$7:AF7) &gt;= Inputs!$F49, 1, 0)</f>
        <v/>
      </c>
      <c r="AG7" s="79">
        <f>IF(COLUMNS($B$7:AG7) &gt;= Inputs!$F49, 1, 0)</f>
        <v/>
      </c>
      <c r="AH7" s="79">
        <f>IF(COLUMNS($B$7:AH7) &gt;= Inputs!$F49, 1, 0)</f>
        <v/>
      </c>
      <c r="AI7" s="79">
        <f>IF(COLUMNS($B$7:AI7) &gt;= Inputs!$F49, 1, 0)</f>
        <v/>
      </c>
      <c r="AJ7" s="79">
        <f>IF(COLUMNS($B$7:AJ7) &gt;= Inputs!$F49, 1, 0)</f>
        <v/>
      </c>
      <c r="AK7" s="79">
        <f>IF(COLUMNS($B$7:AK7) &gt;= Inputs!$F49, 1, 0)</f>
        <v/>
      </c>
      <c r="AL7" s="79">
        <f>IF(COLUMNS($B$7:AL7) &gt;= Inputs!$F49, 1, 0)</f>
        <v/>
      </c>
      <c r="AM7" s="79">
        <f>IF(COLUMNS($B$7:AM7) &gt;= Inputs!$F49, 1, 0)</f>
        <v/>
      </c>
      <c r="AN7" s="79">
        <f>IF(COLUMNS($B$7:AN7) &gt;= Inputs!$F49, 1, 0)</f>
        <v/>
      </c>
      <c r="AO7" s="79">
        <f>IF(COLUMNS($B$7:AO7) &gt;= Inputs!$F49, 1, 0)</f>
        <v/>
      </c>
      <c r="AP7" s="79">
        <f>IF(COLUMNS($B$7:AP7) &gt;= Inputs!$F49, 1, 0)</f>
        <v/>
      </c>
      <c r="AQ7" s="79">
        <f>IF(COLUMNS($B$7:AQ7) &gt;= Inputs!$F49, 1, 0)</f>
        <v/>
      </c>
      <c r="AR7" s="79">
        <f>IF(COLUMNS($B$7:AR7) &gt;= Inputs!$F49, 1, 0)</f>
        <v/>
      </c>
      <c r="AS7" s="79">
        <f>IF(COLUMNS($B$7:AS7) &gt;= Inputs!$F49, 1, 0)</f>
        <v/>
      </c>
      <c r="AT7" s="79">
        <f>IF(COLUMNS($B$7:AT7) &gt;= Inputs!$F49, 1, 0)</f>
        <v/>
      </c>
      <c r="AU7" s="79">
        <f>IF(COLUMNS($B$7:AU7) &gt;= Inputs!$F49, 1, 0)</f>
        <v/>
      </c>
      <c r="AV7" s="79">
        <f>IF(COLUMNS($B$7:AV7) &gt;= Inputs!$F49, 1, 0)</f>
        <v/>
      </c>
      <c r="AW7" s="79">
        <f>IF(COLUMNS($B$7:AW7) &gt;= Inputs!$F49, 1, 0)</f>
        <v/>
      </c>
      <c r="AX7" s="79">
        <f>IF(COLUMNS($B$7:AX7) &gt;= Inputs!$F49, 1, 0)</f>
        <v/>
      </c>
      <c r="AY7" s="79">
        <f>IF(COLUMNS($B$7:AY7) &gt;= Inputs!$F49, 1, 0)</f>
        <v/>
      </c>
      <c r="AZ7" s="79">
        <f>IF(COLUMNS($B$7:AZ7) &gt;= Inputs!$F49, 1, 0)</f>
        <v/>
      </c>
      <c r="BA7" s="79">
        <f>IF(COLUMNS($B$7:BA7) &gt;= Inputs!$F49, 1, 0)</f>
        <v/>
      </c>
    </row>
    <row r="8" ht="14.25" customHeight="1" s="83">
      <c r="A8" s="77" t="inlineStr">
        <is>
          <t>1. Junior Engineer</t>
        </is>
      </c>
      <c r="B8" s="79">
        <f>IF(COLUMNS($B$8:B8) &gt;= Inputs!$F$50, 1, 0)</f>
        <v/>
      </c>
      <c r="C8" s="79">
        <f>IF(COLUMNS($B$8:C8) &gt;= Inputs!$F$50, 1, 0)</f>
        <v/>
      </c>
      <c r="D8" s="79">
        <f>IF(COLUMNS($B$8:D8) &gt;= Inputs!$F$50, 1, 0)</f>
        <v/>
      </c>
      <c r="E8" s="79">
        <f>IF(COLUMNS($B$8:E8) &gt;= Inputs!$F$50, 1, 0)</f>
        <v/>
      </c>
      <c r="F8" s="79">
        <f>IF(COLUMNS($B$8:F8) &gt;= Inputs!$F$50, 1, 0)</f>
        <v/>
      </c>
      <c r="G8" s="79">
        <f>IF(COLUMNS($B$8:G8) &gt;= Inputs!$F$50, 1, 0)</f>
        <v/>
      </c>
      <c r="H8" s="79">
        <f>IF(COLUMNS($B$8:H8) &gt;= Inputs!$F$50, 1, 0)</f>
        <v/>
      </c>
      <c r="I8" s="79">
        <f>IF(COLUMNS($B$8:I8) &gt;= Inputs!$F$50, 1, 0)</f>
        <v/>
      </c>
      <c r="J8" s="79">
        <f>IF(COLUMNS($B$8:J8) &gt;= Inputs!$F$50, 1, 0)</f>
        <v/>
      </c>
      <c r="K8" s="79">
        <f>IF(COLUMNS($B$8:K8) &gt;= Inputs!$F$50, 1, 0)</f>
        <v/>
      </c>
      <c r="L8" s="79">
        <f>IF(COLUMNS($B$8:L8) &gt;= Inputs!$F$50, 1, 0)</f>
        <v/>
      </c>
      <c r="M8" s="79">
        <f>IF(COLUMNS($B$8:M8) &gt;= Inputs!$F$50, 1, 0)</f>
        <v/>
      </c>
      <c r="N8" s="79">
        <f>IF(COLUMNS($B$8:N8) &gt;= Inputs!$F$50, 1, 0)</f>
        <v/>
      </c>
      <c r="O8" s="79">
        <f>IF(COLUMNS($B$8:O8) &gt;= Inputs!$F$50, 1, 0)</f>
        <v/>
      </c>
      <c r="P8" s="79">
        <f>IF(COLUMNS($B$8:P8) &gt;= Inputs!$F$50, 1, 0)</f>
        <v/>
      </c>
      <c r="Q8" s="79">
        <f>IF(COLUMNS($B$8:Q8) &gt;= Inputs!$F$50, 1, 0)</f>
        <v/>
      </c>
      <c r="R8" s="79">
        <f>IF(COLUMNS($B$8:R8) &gt;= Inputs!$F$50, 1, 0)</f>
        <v/>
      </c>
      <c r="S8" s="79">
        <f>IF(COLUMNS($B$8:S8) &gt;= Inputs!$F$50, 1, 0)</f>
        <v/>
      </c>
      <c r="T8" s="79">
        <f>IF(COLUMNS($B$8:T8) &gt;= Inputs!$F$50, 1, 0)</f>
        <v/>
      </c>
      <c r="U8" s="79">
        <f>IF(COLUMNS($B$8:U8) &gt;= Inputs!$F$50, 1, 0)</f>
        <v/>
      </c>
      <c r="V8" s="79">
        <f>IF(COLUMNS($B$8:V8) &gt;= Inputs!$F$50, 1, 0)</f>
        <v/>
      </c>
      <c r="W8" s="79">
        <f>IF(COLUMNS($B$8:W8) &gt;= Inputs!$F$50, 1, 0)</f>
        <v/>
      </c>
      <c r="X8" s="79">
        <f>IF(COLUMNS($B$8:X8) &gt;= Inputs!$F$50, 1, 0)</f>
        <v/>
      </c>
      <c r="Y8" s="79">
        <f>IF(COLUMNS($B$8:Y8) &gt;= Inputs!$F$50, 1, 0)</f>
        <v/>
      </c>
      <c r="Z8" s="79">
        <f>IF(COLUMNS($B$8:Z8) &gt;= Inputs!$F$50, 1, 0)</f>
        <v/>
      </c>
      <c r="AA8" s="79">
        <f>IF(COLUMNS($B$8:AA8) &gt;= Inputs!$F$50, 1, 0)</f>
        <v/>
      </c>
      <c r="AB8" s="79">
        <f>IF(COLUMNS($B$8:AB8) &gt;= Inputs!$F$50, 1, 0)</f>
        <v/>
      </c>
      <c r="AC8" s="79">
        <f>IF(COLUMNS($B$8:AC8) &gt;= Inputs!$F$50, 1, 0)</f>
        <v/>
      </c>
      <c r="AD8" s="79">
        <f>IF(COLUMNS($B$8:AD8) &gt;= Inputs!$F$50, 1, 0)</f>
        <v/>
      </c>
      <c r="AE8" s="79">
        <f>IF(COLUMNS($B$8:AE8) &gt;= Inputs!$F$50, 1, 0)</f>
        <v/>
      </c>
      <c r="AF8" s="79">
        <f>IF(COLUMNS($B$8:AF8) &gt;= Inputs!$F$50, 1, 0)</f>
        <v/>
      </c>
      <c r="AG8" s="79">
        <f>IF(COLUMNS($B$8:AG8) &gt;= Inputs!$F$50, 1, 0)</f>
        <v/>
      </c>
      <c r="AH8" s="79">
        <f>IF(COLUMNS($B$8:AH8) &gt;= Inputs!$F$50, 1, 0)</f>
        <v/>
      </c>
      <c r="AI8" s="79">
        <f>IF(COLUMNS($B$8:AI8) &gt;= Inputs!$F$50, 1, 0)</f>
        <v/>
      </c>
      <c r="AJ8" s="79">
        <f>IF(COLUMNS($B$8:AJ8) &gt;= Inputs!$F$50, 1, 0)</f>
        <v/>
      </c>
      <c r="AK8" s="79">
        <f>IF(COLUMNS($B$8:AK8) &gt;= Inputs!$F$50, 1, 0)</f>
        <v/>
      </c>
      <c r="AL8" s="79">
        <f>IF(COLUMNS($B$8:AL8) &gt;= Inputs!$F$50, 1, 0)</f>
        <v/>
      </c>
      <c r="AM8" s="79">
        <f>IF(COLUMNS($B$8:AM8) &gt;= Inputs!$F$50, 1, 0)</f>
        <v/>
      </c>
      <c r="AN8" s="79">
        <f>IF(COLUMNS($B$8:AN8) &gt;= Inputs!$F$50, 1, 0)</f>
        <v/>
      </c>
      <c r="AO8" s="79">
        <f>IF(COLUMNS($B$8:AO8) &gt;= Inputs!$F$50, 1, 0)</f>
        <v/>
      </c>
      <c r="AP8" s="79">
        <f>IF(COLUMNS($B$8:AP8) &gt;= Inputs!$F$50, 1, 0)</f>
        <v/>
      </c>
      <c r="AQ8" s="79">
        <f>IF(COLUMNS($B$8:AQ8) &gt;= Inputs!$F$50, 1, 0)</f>
        <v/>
      </c>
      <c r="AR8" s="79">
        <f>IF(COLUMNS($B$8:AR8) &gt;= Inputs!$F$50, 1, 0)</f>
        <v/>
      </c>
      <c r="AS8" s="79">
        <f>IF(COLUMNS($B$8:AS8) &gt;= Inputs!$F$50, 1, 0)</f>
        <v/>
      </c>
      <c r="AT8" s="79">
        <f>IF(COLUMNS($B$8:AT8) &gt;= Inputs!$F$50, 1, 0)</f>
        <v/>
      </c>
      <c r="AU8" s="79">
        <f>IF(COLUMNS($B$8:AU8) &gt;= Inputs!$F$50, 1, 0)</f>
        <v/>
      </c>
      <c r="AV8" s="79">
        <f>IF(COLUMNS($B$8:AV8) &gt;= Inputs!$F$50, 1, 0)</f>
        <v/>
      </c>
      <c r="AW8" s="79">
        <f>IF(COLUMNS($B$8:AW8) &gt;= Inputs!$F$50, 1, 0)</f>
        <v/>
      </c>
      <c r="AX8" s="79">
        <f>IF(COLUMNS($B$8:AX8) &gt;= Inputs!$F$50, 1, 0)</f>
        <v/>
      </c>
      <c r="AY8" s="79">
        <f>IF(COLUMNS($B$8:AY8) &gt;= Inputs!$F$50, 1, 0)</f>
        <v/>
      </c>
      <c r="AZ8" s="79">
        <f>IF(COLUMNS($B$8:AZ8) &gt;= Inputs!$F$50, 1, 0)</f>
        <v/>
      </c>
      <c r="BA8" s="79">
        <f>IF(COLUMNS($B$8:BA8) &gt;= Inputs!$F$50, 1, 0)</f>
        <v/>
      </c>
    </row>
    <row r="9" ht="14.25" customHeight="1" s="83">
      <c r="A9" s="77" t="inlineStr">
        <is>
          <t>1. ML/AI Engineer</t>
        </is>
      </c>
      <c r="B9" s="79">
        <f>IF(COLUMNS($B$9:B9) &gt;= Inputs!$F$51, 1, 0)</f>
        <v/>
      </c>
      <c r="C9" s="79">
        <f>IF(COLUMNS($B$9:C9) &gt;= Inputs!$F$51, 1, 0)</f>
        <v/>
      </c>
      <c r="D9" s="79">
        <f>IF(COLUMNS($B$9:D9) &gt;= Inputs!$F$51, 1, 0)</f>
        <v/>
      </c>
      <c r="E9" s="79">
        <f>IF(COLUMNS($B$9:E9) &gt;= Inputs!$F$51, 1, 0)</f>
        <v/>
      </c>
      <c r="F9" s="79">
        <f>IF(COLUMNS($B$9:F9) &gt;= Inputs!$F$51, 1, 0)</f>
        <v/>
      </c>
      <c r="G9" s="79">
        <f>IF(COLUMNS($B$9:G9) &gt;= Inputs!$F$51, 1, 0)</f>
        <v/>
      </c>
      <c r="H9" s="79">
        <f>IF(COLUMNS($B$9:H9) &gt;= Inputs!$F$51, 1, 0)</f>
        <v/>
      </c>
      <c r="I9" s="79">
        <f>IF(COLUMNS($B$9:I9) &gt;= Inputs!$F$51, 1, 0)</f>
        <v/>
      </c>
      <c r="J9" s="79">
        <f>IF(COLUMNS($B$9:J9) &gt;= Inputs!$F$51, 1, 0)</f>
        <v/>
      </c>
      <c r="K9" s="79">
        <f>IF(COLUMNS($B$9:K9) &gt;= Inputs!$F$51, 1, 0)</f>
        <v/>
      </c>
      <c r="L9" s="79">
        <f>IF(COLUMNS($B$9:L9) &gt;= Inputs!$F$51, 1, 0)</f>
        <v/>
      </c>
      <c r="M9" s="79">
        <f>IF(COLUMNS($B$9:M9) &gt;= Inputs!$F$51, 1, 0)</f>
        <v/>
      </c>
      <c r="N9" s="79">
        <f>IF(COLUMNS($B$9:N9) &gt;= Inputs!$F$51, 1, 0)</f>
        <v/>
      </c>
      <c r="O9" s="79">
        <f>IF(COLUMNS($B$9:O9) &gt;= Inputs!$F$51, 1, 0)</f>
        <v/>
      </c>
      <c r="P9" s="79">
        <f>IF(COLUMNS($B$9:P9) &gt;= Inputs!$F$51, 1, 0)</f>
        <v/>
      </c>
      <c r="Q9" s="79">
        <f>IF(COLUMNS($B$9:Q9) &gt;= Inputs!$F$51, 1, 0)</f>
        <v/>
      </c>
      <c r="R9" s="79">
        <f>IF(COLUMNS($B$9:R9) &gt;= Inputs!$F$51, 1, 0)</f>
        <v/>
      </c>
      <c r="S9" s="79">
        <f>IF(COLUMNS($B$9:S9) &gt;= Inputs!$F$51, 1, 0)</f>
        <v/>
      </c>
      <c r="T9" s="79">
        <f>IF(COLUMNS($B$9:T9) &gt;= Inputs!$F$51, 1, 0)</f>
        <v/>
      </c>
      <c r="U9" s="79">
        <f>IF(COLUMNS($B$9:U9) &gt;= Inputs!$F$51, 1, 0)</f>
        <v/>
      </c>
      <c r="V9" s="79">
        <f>IF(COLUMNS($B$9:V9) &gt;= Inputs!$F$51, 1, 0)</f>
        <v/>
      </c>
      <c r="W9" s="79">
        <f>IF(COLUMNS($B$9:W9) &gt;= Inputs!$F$51, 1, 0)</f>
        <v/>
      </c>
      <c r="X9" s="79">
        <f>IF(COLUMNS($B$9:X9) &gt;= Inputs!$F$51, 1, 0)</f>
        <v/>
      </c>
      <c r="Y9" s="79">
        <f>IF(COLUMNS($B$9:Y9) &gt;= Inputs!$F$51, 1, 0)</f>
        <v/>
      </c>
      <c r="Z9" s="79">
        <f>IF(COLUMNS($B$9:Z9) &gt;= Inputs!$F$51, 1, 0)</f>
        <v/>
      </c>
      <c r="AA9" s="79">
        <f>IF(COLUMNS($B$9:AA9) &gt;= Inputs!$F$51, 1, 0)</f>
        <v/>
      </c>
      <c r="AB9" s="79">
        <f>IF(COLUMNS($B$9:AB9) &gt;= Inputs!$F$51, 1, 0)</f>
        <v/>
      </c>
      <c r="AC9" s="79">
        <f>IF(COLUMNS($B$9:AC9) &gt;= Inputs!$F$51, 1, 0)</f>
        <v/>
      </c>
      <c r="AD9" s="79">
        <f>IF(COLUMNS($B$9:AD9) &gt;= Inputs!$F$51, 1, 0)</f>
        <v/>
      </c>
      <c r="AE9" s="79">
        <f>IF(COLUMNS($B$9:AE9) &gt;= Inputs!$F$51, 1, 0)</f>
        <v/>
      </c>
      <c r="AF9" s="79">
        <f>IF(COLUMNS($B$9:AF9) &gt;= Inputs!$F$51, 1, 0)</f>
        <v/>
      </c>
      <c r="AG9" s="79">
        <f>IF(COLUMNS($B$9:AG9) &gt;= Inputs!$F$51, 1, 0)</f>
        <v/>
      </c>
      <c r="AH9" s="79">
        <f>IF(COLUMNS($B$9:AH9) &gt;= Inputs!$F$51, 1, 0)</f>
        <v/>
      </c>
      <c r="AI9" s="79">
        <f>IF(COLUMNS($B$9:AI9) &gt;= Inputs!$F$51, 1, 0)</f>
        <v/>
      </c>
      <c r="AJ9" s="79">
        <f>IF(COLUMNS($B$9:AJ9) &gt;= Inputs!$F$51, 1, 0)</f>
        <v/>
      </c>
      <c r="AK9" s="79">
        <f>IF(COLUMNS($B$9:AK9) &gt;= Inputs!$F$51, 1, 0)</f>
        <v/>
      </c>
      <c r="AL9" s="79">
        <f>IF(COLUMNS($B$9:AL9) &gt;= Inputs!$F$51, 1, 0)</f>
        <v/>
      </c>
      <c r="AM9" s="79">
        <f>IF(COLUMNS($B$9:AM9) &gt;= Inputs!$F$51, 1, 0)</f>
        <v/>
      </c>
      <c r="AN9" s="79">
        <f>IF(COLUMNS($B$9:AN9) &gt;= Inputs!$F$51, 1, 0)</f>
        <v/>
      </c>
      <c r="AO9" s="79">
        <f>IF(COLUMNS($B$9:AO9) &gt;= Inputs!$F$51, 1, 0)</f>
        <v/>
      </c>
      <c r="AP9" s="79">
        <f>IF(COLUMNS($B$9:AP9) &gt;= Inputs!$F$51, 1, 0)</f>
        <v/>
      </c>
      <c r="AQ9" s="79">
        <f>IF(COLUMNS($B$9:AQ9) &gt;= Inputs!$F$51, 1, 0)</f>
        <v/>
      </c>
      <c r="AR9" s="79">
        <f>IF(COLUMNS($B$9:AR9) &gt;= Inputs!$F$51, 1, 0)</f>
        <v/>
      </c>
      <c r="AS9" s="79">
        <f>IF(COLUMNS($B$9:AS9) &gt;= Inputs!$F$51, 1, 0)</f>
        <v/>
      </c>
      <c r="AT9" s="79">
        <f>IF(COLUMNS($B$9:AT9) &gt;= Inputs!$F$51, 1, 0)</f>
        <v/>
      </c>
      <c r="AU9" s="79">
        <f>IF(COLUMNS($B$9:AU9) &gt;= Inputs!$F$51, 1, 0)</f>
        <v/>
      </c>
      <c r="AV9" s="79">
        <f>IF(COLUMNS($B$9:AV9) &gt;= Inputs!$F$51, 1, 0)</f>
        <v/>
      </c>
      <c r="AW9" s="79">
        <f>IF(COLUMNS($B$9:AW9) &gt;= Inputs!$F$51, 1, 0)</f>
        <v/>
      </c>
      <c r="AX9" s="79">
        <f>IF(COLUMNS($B$9:AX9) &gt;= Inputs!$F$51, 1, 0)</f>
        <v/>
      </c>
      <c r="AY9" s="79">
        <f>IF(COLUMNS($B$9:AY9) &gt;= Inputs!$F$51, 1, 0)</f>
        <v/>
      </c>
      <c r="AZ9" s="79">
        <f>IF(COLUMNS($B$9:AZ9) &gt;= Inputs!$F$51, 1, 0)</f>
        <v/>
      </c>
      <c r="BA9" s="79">
        <f>IF(COLUMNS($B$9:BA9) &gt;= Inputs!$F$51, 1, 0)</f>
        <v/>
      </c>
    </row>
    <row r="10" ht="14.25" customHeight="1" s="83">
      <c r="A10" s="77" t="inlineStr">
        <is>
          <t>2. ML/AI Engineer</t>
        </is>
      </c>
      <c r="B10" s="79">
        <f>IF(COLUMNS($B$9:B10) &gt;= Inputs!$F$52, 1, 0)</f>
        <v/>
      </c>
      <c r="C10" s="79">
        <f>IF(COLUMNS($B$9:C10) &gt;= Inputs!$F$52, 1, 0)</f>
        <v/>
      </c>
      <c r="D10" s="79">
        <f>IF(COLUMNS($B$9:D10) &gt;= Inputs!$F$52, 1, 0)</f>
        <v/>
      </c>
      <c r="E10" s="79">
        <f>IF(COLUMNS($B$9:E10) &gt;= Inputs!$F$52, 1, 0)</f>
        <v/>
      </c>
      <c r="F10" s="79">
        <f>IF(COLUMNS($B$9:F10) &gt;= Inputs!$F$52, 1, 0)</f>
        <v/>
      </c>
      <c r="G10" s="79">
        <f>IF(COLUMNS($B$9:G10) &gt;= Inputs!$F$52, 1, 0)</f>
        <v/>
      </c>
      <c r="H10" s="79">
        <f>IF(COLUMNS($B$9:H10) &gt;= Inputs!$F$52, 1, 0)</f>
        <v/>
      </c>
      <c r="I10" s="79">
        <f>IF(COLUMNS($B$9:I10) &gt;= Inputs!$F$52, 1, 0)</f>
        <v/>
      </c>
      <c r="J10" s="79">
        <f>IF(COLUMNS($B$9:J10) &gt;= Inputs!$F$52, 1, 0)</f>
        <v/>
      </c>
      <c r="K10" s="79">
        <f>IF(COLUMNS($B$9:K10) &gt;= Inputs!$F$52, 1, 0)</f>
        <v/>
      </c>
      <c r="L10" s="79">
        <f>IF(COLUMNS($B$9:L10) &gt;= Inputs!$F$52, 1, 0)</f>
        <v/>
      </c>
      <c r="M10" s="79">
        <f>IF(COLUMNS($B$9:M10) &gt;= Inputs!$F$52, 1, 0)</f>
        <v/>
      </c>
      <c r="N10" s="79">
        <f>IF(COLUMNS($B$9:N10) &gt;= Inputs!$F$52, 1, 0)</f>
        <v/>
      </c>
      <c r="O10" s="79">
        <f>IF(COLUMNS($B$9:O10) &gt;= Inputs!$F$52, 1, 0)</f>
        <v/>
      </c>
      <c r="P10" s="79">
        <f>IF(COLUMNS($B$9:P10) &gt;= Inputs!$F$52, 1, 0)</f>
        <v/>
      </c>
      <c r="Q10" s="79">
        <f>IF(COLUMNS($B$9:Q10) &gt;= Inputs!$F$52, 1, 0)</f>
        <v/>
      </c>
      <c r="R10" s="79">
        <f>IF(COLUMNS($B$9:R10) &gt;= Inputs!$F$52, 1, 0)</f>
        <v/>
      </c>
      <c r="S10" s="79">
        <f>IF(COLUMNS($B$9:S10) &gt;= Inputs!$F$52, 1, 0)</f>
        <v/>
      </c>
      <c r="T10" s="79">
        <f>IF(COLUMNS($B$9:T10) &gt;= Inputs!$F$52, 1, 0)</f>
        <v/>
      </c>
      <c r="U10" s="79">
        <f>IF(COLUMNS($B$9:U10) &gt;= Inputs!$F$52, 1, 0)</f>
        <v/>
      </c>
      <c r="V10" s="79">
        <f>IF(COLUMNS($B$9:V10) &gt;= Inputs!$F$52, 1, 0)</f>
        <v/>
      </c>
      <c r="W10" s="79">
        <f>IF(COLUMNS($B$9:W10) &gt;= Inputs!$F$52, 1, 0)</f>
        <v/>
      </c>
      <c r="X10" s="79">
        <f>IF(COLUMNS($B$9:X10) &gt;= Inputs!$F$52, 1, 0)</f>
        <v/>
      </c>
      <c r="Y10" s="79">
        <f>IF(COLUMNS($B$9:Y10) &gt;= Inputs!$F$52, 1, 0)</f>
        <v/>
      </c>
      <c r="Z10" s="79">
        <f>IF(COLUMNS($B$9:Z10) &gt;= Inputs!$F$52, 1, 0)</f>
        <v/>
      </c>
      <c r="AA10" s="79">
        <f>IF(COLUMNS($B$9:AA10) &gt;= Inputs!$F$52, 1, 0)</f>
        <v/>
      </c>
      <c r="AB10" s="79">
        <f>IF(COLUMNS($B$9:AB10) &gt;= Inputs!$F$52, 1, 0)</f>
        <v/>
      </c>
      <c r="AC10" s="79">
        <f>IF(COLUMNS($B$9:AC10) &gt;= Inputs!$F$52, 1, 0)</f>
        <v/>
      </c>
      <c r="AD10" s="79">
        <f>IF(COLUMNS($B$9:AD10) &gt;= Inputs!$F$52, 1, 0)</f>
        <v/>
      </c>
      <c r="AE10" s="79">
        <f>IF(COLUMNS($B$9:AE10) &gt;= Inputs!$F$52, 1, 0)</f>
        <v/>
      </c>
      <c r="AF10" s="79">
        <f>IF(COLUMNS($B$9:AF10) &gt;= Inputs!$F$52, 1, 0)</f>
        <v/>
      </c>
      <c r="AG10" s="79">
        <f>IF(COLUMNS($B$9:AG10) &gt;= Inputs!$F$52, 1, 0)</f>
        <v/>
      </c>
      <c r="AH10" s="79">
        <f>IF(COLUMNS($B$9:AH10) &gt;= Inputs!$F$52, 1, 0)</f>
        <v/>
      </c>
      <c r="AI10" s="79">
        <f>IF(COLUMNS($B$9:AI10) &gt;= Inputs!$F$52, 1, 0)</f>
        <v/>
      </c>
      <c r="AJ10" s="79">
        <f>IF(COLUMNS($B$9:AJ10) &gt;= Inputs!$F$52, 1, 0)</f>
        <v/>
      </c>
      <c r="AK10" s="79">
        <f>IF(COLUMNS($B$9:AK10) &gt;= Inputs!$F$52, 1, 0)</f>
        <v/>
      </c>
      <c r="AL10" s="79">
        <f>IF(COLUMNS($B$9:AL10) &gt;= Inputs!$F$52, 1, 0)</f>
        <v/>
      </c>
      <c r="AM10" s="79">
        <f>IF(COLUMNS($B$9:AM10) &gt;= Inputs!$F$52, 1, 0)</f>
        <v/>
      </c>
      <c r="AN10" s="79">
        <f>IF(COLUMNS($B$9:AN10) &gt;= Inputs!$F$52, 1, 0)</f>
        <v/>
      </c>
      <c r="AO10" s="79">
        <f>IF(COLUMNS($B$9:AO10) &gt;= Inputs!$F$52, 1, 0)</f>
        <v/>
      </c>
      <c r="AP10" s="79">
        <f>IF(COLUMNS($B$9:AP10) &gt;= Inputs!$F$52, 1, 0)</f>
        <v/>
      </c>
      <c r="AQ10" s="79">
        <f>IF(COLUMNS($B$9:AQ10) &gt;= Inputs!$F$52, 1, 0)</f>
        <v/>
      </c>
      <c r="AR10" s="79">
        <f>IF(COLUMNS($B$9:AR10) &gt;= Inputs!$F$52, 1, 0)</f>
        <v/>
      </c>
      <c r="AS10" s="79">
        <f>IF(COLUMNS($B$9:AS10) &gt;= Inputs!$F$52, 1, 0)</f>
        <v/>
      </c>
      <c r="AT10" s="79">
        <f>IF(COLUMNS($B$9:AT10) &gt;= Inputs!$F$52, 1, 0)</f>
        <v/>
      </c>
      <c r="AU10" s="79">
        <f>IF(COLUMNS($B$9:AU10) &gt;= Inputs!$F$52, 1, 0)</f>
        <v/>
      </c>
      <c r="AV10" s="79">
        <f>IF(COLUMNS($B$9:AV10) &gt;= Inputs!$F$52, 1, 0)</f>
        <v/>
      </c>
      <c r="AW10" s="79">
        <f>IF(COLUMNS($B$9:AW10) &gt;= Inputs!$F$52, 1, 0)</f>
        <v/>
      </c>
      <c r="AX10" s="79">
        <f>IF(COLUMNS($B$9:AX10) &gt;= Inputs!$F$52, 1, 0)</f>
        <v/>
      </c>
      <c r="AY10" s="79">
        <f>IF(COLUMNS($B$9:AY10) &gt;= Inputs!$F$52, 1, 0)</f>
        <v/>
      </c>
      <c r="AZ10" s="79">
        <f>IF(COLUMNS($B$9:AZ10) &gt;= Inputs!$F$52, 1, 0)</f>
        <v/>
      </c>
      <c r="BA10" s="79">
        <f>IF(COLUMNS($B$9:BA10) &gt;= Inputs!$F$52, 1, 0)</f>
        <v/>
      </c>
    </row>
    <row r="11" ht="14.25" customHeight="1" s="83">
      <c r="A11" s="77" t="inlineStr">
        <is>
          <t>1. Sales Rep</t>
        </is>
      </c>
      <c r="B11" s="79">
        <f>IF(COLUMNS($B$11:B11) &gt;= Inputs!$F$53, 1, 0)</f>
        <v/>
      </c>
      <c r="C11" s="79">
        <f>IF(COLUMNS($B$11:C11) &gt;= Inputs!$F$53, 1, 0)</f>
        <v/>
      </c>
      <c r="D11" s="79">
        <f>IF(COLUMNS($B$11:D11) &gt;= Inputs!$F$53, 1, 0)</f>
        <v/>
      </c>
      <c r="E11" s="79">
        <f>IF(COLUMNS($B$11:E11) &gt;= Inputs!$F$53, 1, 0)</f>
        <v/>
      </c>
      <c r="F11" s="79">
        <f>IF(COLUMNS($B$11:F11) &gt;= Inputs!$F$53, 1, 0)</f>
        <v/>
      </c>
      <c r="G11" s="79">
        <f>IF(COLUMNS($B$11:G11) &gt;= Inputs!$F$53, 1, 0)</f>
        <v/>
      </c>
      <c r="H11" s="79">
        <f>IF(COLUMNS($B$11:H11) &gt;= Inputs!$F$53, 1, 0)</f>
        <v/>
      </c>
      <c r="I11" s="79">
        <f>IF(COLUMNS($B$11:I11) &gt;= Inputs!$F$53, 1, 0)</f>
        <v/>
      </c>
      <c r="J11" s="79">
        <f>IF(COLUMNS($B$11:J11) &gt;= Inputs!$F$53, 1, 0)</f>
        <v/>
      </c>
      <c r="K11" s="79">
        <f>IF(COLUMNS($B$11:K11) &gt;= Inputs!$F$53, 1, 0)</f>
        <v/>
      </c>
      <c r="L11" s="79">
        <f>IF(COLUMNS($B$11:L11) &gt;= Inputs!$F$53, 1, 0)</f>
        <v/>
      </c>
      <c r="M11" s="79">
        <f>IF(COLUMNS($B$11:M11) &gt;= Inputs!$F$53, 1, 0)</f>
        <v/>
      </c>
      <c r="N11" s="79">
        <f>IF(COLUMNS($B$11:N11) &gt;= Inputs!$F$53, 1, 0)</f>
        <v/>
      </c>
      <c r="O11" s="79">
        <f>IF(COLUMNS($B$11:O11) &gt;= Inputs!$F$53, 1, 0)</f>
        <v/>
      </c>
      <c r="P11" s="79">
        <f>IF(COLUMNS($B$11:P11) &gt;= Inputs!$F$53, 1, 0)</f>
        <v/>
      </c>
      <c r="Q11" s="79">
        <f>IF(COLUMNS($B$11:Q11) &gt;= Inputs!$F$53, 1, 0)</f>
        <v/>
      </c>
      <c r="R11" s="79">
        <f>IF(COLUMNS($B$11:R11) &gt;= Inputs!$F$53, 1, 0)</f>
        <v/>
      </c>
      <c r="S11" s="79">
        <f>IF(COLUMNS($B$11:S11) &gt;= Inputs!$F$53, 1, 0)</f>
        <v/>
      </c>
      <c r="T11" s="79">
        <f>IF(COLUMNS($B$11:T11) &gt;= Inputs!$F$53, 1, 0)</f>
        <v/>
      </c>
      <c r="U11" s="79">
        <f>IF(COLUMNS($B$11:U11) &gt;= Inputs!$F$53, 1, 0)</f>
        <v/>
      </c>
      <c r="V11" s="79">
        <f>IF(COLUMNS($B$11:V11) &gt;= Inputs!$F$53, 1, 0)</f>
        <v/>
      </c>
      <c r="W11" s="79">
        <f>IF(COLUMNS($B$11:W11) &gt;= Inputs!$F$53, 1, 0)</f>
        <v/>
      </c>
      <c r="X11" s="79">
        <f>IF(COLUMNS($B$11:X11) &gt;= Inputs!$F$53, 1, 0)</f>
        <v/>
      </c>
      <c r="Y11" s="79">
        <f>IF(COLUMNS($B$11:Y11) &gt;= Inputs!$F$53, 1, 0)</f>
        <v/>
      </c>
      <c r="Z11" s="79">
        <f>IF(COLUMNS($B$11:Z11) &gt;= Inputs!$F$53, 1, 0)</f>
        <v/>
      </c>
      <c r="AA11" s="79">
        <f>IF(COLUMNS($B$11:AA11) &gt;= Inputs!$F$53, 1, 0)</f>
        <v/>
      </c>
      <c r="AB11" s="79">
        <f>IF(COLUMNS($B$11:AB11) &gt;= Inputs!$F$53, 1, 0)</f>
        <v/>
      </c>
      <c r="AC11" s="79">
        <f>IF(COLUMNS($B$11:AC11) &gt;= Inputs!$F$53, 1, 0)</f>
        <v/>
      </c>
      <c r="AD11" s="79">
        <f>IF(COLUMNS($B$11:AD11) &gt;= Inputs!$F$53, 1, 0)</f>
        <v/>
      </c>
      <c r="AE11" s="79">
        <f>IF(COLUMNS($B$11:AE11) &gt;= Inputs!$F$53, 1, 0)</f>
        <v/>
      </c>
      <c r="AF11" s="79">
        <f>IF(COLUMNS($B$11:AF11) &gt;= Inputs!$F$53, 1, 0)</f>
        <v/>
      </c>
      <c r="AG11" s="79">
        <f>IF(COLUMNS($B$11:AG11) &gt;= Inputs!$F$53, 1, 0)</f>
        <v/>
      </c>
      <c r="AH11" s="79">
        <f>IF(COLUMNS($B$11:AH11) &gt;= Inputs!$F$53, 1, 0)</f>
        <v/>
      </c>
      <c r="AI11" s="79">
        <f>IF(COLUMNS($B$11:AI11) &gt;= Inputs!$F$53, 1, 0)</f>
        <v/>
      </c>
      <c r="AJ11" s="79">
        <f>IF(COLUMNS($B$11:AJ11) &gt;= Inputs!$F$53, 1, 0)</f>
        <v/>
      </c>
      <c r="AK11" s="79">
        <f>IF(COLUMNS($B$11:AK11) &gt;= Inputs!$F$53, 1, 0)</f>
        <v/>
      </c>
      <c r="AL11" s="79">
        <f>IF(COLUMNS($B$11:AL11) &gt;= Inputs!$F$53, 1, 0)</f>
        <v/>
      </c>
      <c r="AM11" s="79">
        <f>IF(COLUMNS($B$11:AM11) &gt;= Inputs!$F$53, 1, 0)</f>
        <v/>
      </c>
      <c r="AN11" s="79">
        <f>IF(COLUMNS($B$11:AN11) &gt;= Inputs!$F$53, 1, 0)</f>
        <v/>
      </c>
      <c r="AO11" s="79">
        <f>IF(COLUMNS($B$11:AO11) &gt;= Inputs!$F$53, 1, 0)</f>
        <v/>
      </c>
      <c r="AP11" s="79">
        <f>IF(COLUMNS($B$11:AP11) &gt;= Inputs!$F$53, 1, 0)</f>
        <v/>
      </c>
      <c r="AQ11" s="79">
        <f>IF(COLUMNS($B$11:AQ11) &gt;= Inputs!$F$53, 1, 0)</f>
        <v/>
      </c>
      <c r="AR11" s="79">
        <f>IF(COLUMNS($B$11:AR11) &gt;= Inputs!$F$53, 1, 0)</f>
        <v/>
      </c>
      <c r="AS11" s="79">
        <f>IF(COLUMNS($B$11:AS11) &gt;= Inputs!$F$53, 1, 0)</f>
        <v/>
      </c>
      <c r="AT11" s="79">
        <f>IF(COLUMNS($B$11:AT11) &gt;= Inputs!$F$53, 1, 0)</f>
        <v/>
      </c>
      <c r="AU11" s="79">
        <f>IF(COLUMNS($B$11:AU11) &gt;= Inputs!$F$53, 1, 0)</f>
        <v/>
      </c>
      <c r="AV11" s="79">
        <f>IF(COLUMNS($B$11:AV11) &gt;= Inputs!$F$53, 1, 0)</f>
        <v/>
      </c>
      <c r="AW11" s="79">
        <f>IF(COLUMNS($B$11:AW11) &gt;= Inputs!$F$53, 1, 0)</f>
        <v/>
      </c>
      <c r="AX11" s="79">
        <f>IF(COLUMNS($B$11:AX11) &gt;= Inputs!$F$53, 1, 0)</f>
        <v/>
      </c>
      <c r="AY11" s="79">
        <f>IF(COLUMNS($B$11:AY11) &gt;= Inputs!$F$53, 1, 0)</f>
        <v/>
      </c>
      <c r="AZ11" s="79">
        <f>IF(COLUMNS($B$11:AZ11) &gt;= Inputs!$F$53, 1, 0)</f>
        <v/>
      </c>
      <c r="BA11" s="79">
        <f>IF(COLUMNS($B$11:BA11) &gt;= Inputs!$F$53, 1, 0)</f>
        <v/>
      </c>
    </row>
    <row r="12" ht="14.25" customHeight="1" s="83">
      <c r="A12" s="77" t="inlineStr">
        <is>
          <t>2. Sales Rep</t>
        </is>
      </c>
      <c r="B12" s="79">
        <f>IF(COLUMNS($B$12:B12) &gt;= Inputs!$F$54, 1, 0)</f>
        <v/>
      </c>
      <c r="C12" s="79">
        <f>IF(COLUMNS($B$12:C12) &gt;= Inputs!$F$54, 1, 0)</f>
        <v/>
      </c>
      <c r="D12" s="79">
        <f>IF(COLUMNS($B$12:D12) &gt;= Inputs!$F$54, 1, 0)</f>
        <v/>
      </c>
      <c r="E12" s="79">
        <f>IF(COLUMNS($B$12:E12) &gt;= Inputs!$F$54, 1, 0)</f>
        <v/>
      </c>
      <c r="F12" s="79">
        <f>IF(COLUMNS($B$12:F12) &gt;= Inputs!$F$54, 1, 0)</f>
        <v/>
      </c>
      <c r="G12" s="79">
        <f>IF(COLUMNS($B$12:G12) &gt;= Inputs!$F$54, 1, 0)</f>
        <v/>
      </c>
      <c r="H12" s="79">
        <f>IF(COLUMNS($B$12:H12) &gt;= Inputs!$F$54, 1, 0)</f>
        <v/>
      </c>
      <c r="I12" s="79">
        <f>IF(COLUMNS($B$12:I12) &gt;= Inputs!$F$54, 1, 0)</f>
        <v/>
      </c>
      <c r="J12" s="79">
        <f>IF(COLUMNS($B$12:J12) &gt;= Inputs!$F$54, 1, 0)</f>
        <v/>
      </c>
      <c r="K12" s="79">
        <f>IF(COLUMNS($B$12:K12) &gt;= Inputs!$F$54, 1, 0)</f>
        <v/>
      </c>
      <c r="L12" s="79">
        <f>IF(COLUMNS($B$12:L12) &gt;= Inputs!$F$54, 1, 0)</f>
        <v/>
      </c>
      <c r="M12" s="79">
        <f>IF(COLUMNS($B$12:M12) &gt;= Inputs!$F$54, 1, 0)</f>
        <v/>
      </c>
      <c r="N12" s="79">
        <f>IF(COLUMNS($B$12:N12) &gt;= Inputs!$F$54, 1, 0)</f>
        <v/>
      </c>
      <c r="O12" s="79">
        <f>IF(COLUMNS($B$12:O12) &gt;= Inputs!$F$54, 1, 0)</f>
        <v/>
      </c>
      <c r="P12" s="79">
        <f>IF(COLUMNS($B$12:P12) &gt;= Inputs!$F$54, 1, 0)</f>
        <v/>
      </c>
      <c r="Q12" s="79">
        <f>IF(COLUMNS($B$12:Q12) &gt;= Inputs!$F$54, 1, 0)</f>
        <v/>
      </c>
      <c r="R12" s="79">
        <f>IF(COLUMNS($B$12:R12) &gt;= Inputs!$F$54, 1, 0)</f>
        <v/>
      </c>
      <c r="S12" s="79">
        <f>IF(COLUMNS($B$12:S12) &gt;= Inputs!$F$54, 1, 0)</f>
        <v/>
      </c>
      <c r="T12" s="79">
        <f>IF(COLUMNS($B$12:T12) &gt;= Inputs!$F$54, 1, 0)</f>
        <v/>
      </c>
      <c r="U12" s="79">
        <f>IF(COLUMNS($B$12:U12) &gt;= Inputs!$F$54, 1, 0)</f>
        <v/>
      </c>
      <c r="V12" s="79">
        <f>IF(COLUMNS($B$12:V12) &gt;= Inputs!$F$54, 1, 0)</f>
        <v/>
      </c>
      <c r="W12" s="79">
        <f>IF(COLUMNS($B$12:W12) &gt;= Inputs!$F$54, 1, 0)</f>
        <v/>
      </c>
      <c r="X12" s="79">
        <f>IF(COLUMNS($B$12:X12) &gt;= Inputs!$F$54, 1, 0)</f>
        <v/>
      </c>
      <c r="Y12" s="79">
        <f>IF(COLUMNS($B$12:Y12) &gt;= Inputs!$F$54, 1, 0)</f>
        <v/>
      </c>
      <c r="Z12" s="79">
        <f>IF(COLUMNS($B$12:Z12) &gt;= Inputs!$F$54, 1, 0)</f>
        <v/>
      </c>
      <c r="AA12" s="79">
        <f>IF(COLUMNS($B$12:AA12) &gt;= Inputs!$F$54, 1, 0)</f>
        <v/>
      </c>
      <c r="AB12" s="79">
        <f>IF(COLUMNS($B$12:AB12) &gt;= Inputs!$F$54, 1, 0)</f>
        <v/>
      </c>
      <c r="AC12" s="79">
        <f>IF(COLUMNS($B$12:AC12) &gt;= Inputs!$F$54, 1, 0)</f>
        <v/>
      </c>
      <c r="AD12" s="79">
        <f>IF(COLUMNS($B$12:AD12) &gt;= Inputs!$F$54, 1, 0)</f>
        <v/>
      </c>
      <c r="AE12" s="79">
        <f>IF(COLUMNS($B$12:AE12) &gt;= Inputs!$F$54, 1, 0)</f>
        <v/>
      </c>
      <c r="AF12" s="79">
        <f>IF(COLUMNS($B$12:AF12) &gt;= Inputs!$F$54, 1, 0)</f>
        <v/>
      </c>
      <c r="AG12" s="79">
        <f>IF(COLUMNS($B$12:AG12) &gt;= Inputs!$F$54, 1, 0)</f>
        <v/>
      </c>
      <c r="AH12" s="79">
        <f>IF(COLUMNS($B$12:AH12) &gt;= Inputs!$F$54, 1, 0)</f>
        <v/>
      </c>
      <c r="AI12" s="79">
        <f>IF(COLUMNS($B$12:AI12) &gt;= Inputs!$F$54, 1, 0)</f>
        <v/>
      </c>
      <c r="AJ12" s="79">
        <f>IF(COLUMNS($B$12:AJ12) &gt;= Inputs!$F$54, 1, 0)</f>
        <v/>
      </c>
      <c r="AK12" s="79">
        <f>IF(COLUMNS($B$12:AK12) &gt;= Inputs!$F$54, 1, 0)</f>
        <v/>
      </c>
      <c r="AL12" s="79">
        <f>IF(COLUMNS($B$12:AL12) &gt;= Inputs!$F$54, 1, 0)</f>
        <v/>
      </c>
      <c r="AM12" s="79">
        <f>IF(COLUMNS($B$12:AM12) &gt;= Inputs!$F$54, 1, 0)</f>
        <v/>
      </c>
      <c r="AN12" s="79">
        <f>IF(COLUMNS($B$12:AN12) &gt;= Inputs!$F$54, 1, 0)</f>
        <v/>
      </c>
      <c r="AO12" s="79">
        <f>IF(COLUMNS($B$12:AO12) &gt;= Inputs!$F$54, 1, 0)</f>
        <v/>
      </c>
      <c r="AP12" s="79">
        <f>IF(COLUMNS($B$12:AP12) &gt;= Inputs!$F$54, 1, 0)</f>
        <v/>
      </c>
      <c r="AQ12" s="79">
        <f>IF(COLUMNS($B$12:AQ12) &gt;= Inputs!$F$54, 1, 0)</f>
        <v/>
      </c>
      <c r="AR12" s="79">
        <f>IF(COLUMNS($B$12:AR12) &gt;= Inputs!$F$54, 1, 0)</f>
        <v/>
      </c>
      <c r="AS12" s="79">
        <f>IF(COLUMNS($B$12:AS12) &gt;= Inputs!$F$54, 1, 0)</f>
        <v/>
      </c>
      <c r="AT12" s="79">
        <f>IF(COLUMNS($B$12:AT12) &gt;= Inputs!$F$54, 1, 0)</f>
        <v/>
      </c>
      <c r="AU12" s="79">
        <f>IF(COLUMNS($B$12:AU12) &gt;= Inputs!$F$54, 1, 0)</f>
        <v/>
      </c>
      <c r="AV12" s="79">
        <f>IF(COLUMNS($B$12:AV12) &gt;= Inputs!$F$54, 1, 0)</f>
        <v/>
      </c>
      <c r="AW12" s="79">
        <f>IF(COLUMNS($B$12:AW12) &gt;= Inputs!$F$54, 1, 0)</f>
        <v/>
      </c>
      <c r="AX12" s="79">
        <f>IF(COLUMNS($B$12:AX12) &gt;= Inputs!$F$54, 1, 0)</f>
        <v/>
      </c>
      <c r="AY12" s="79">
        <f>IF(COLUMNS($B$12:AY12) &gt;= Inputs!$F$54, 1, 0)</f>
        <v/>
      </c>
      <c r="AZ12" s="79">
        <f>IF(COLUMNS($B$12:AZ12) &gt;= Inputs!$F$54, 1, 0)</f>
        <v/>
      </c>
      <c r="BA12" s="79">
        <f>IF(COLUMNS($B$12:BA12) &gt;= Inputs!$F$54, 1, 0)</f>
        <v/>
      </c>
    </row>
    <row r="13" ht="14.25" customHeight="1" s="83">
      <c r="A13" s="77" t="inlineStr">
        <is>
          <t>1. Customer Success</t>
        </is>
      </c>
      <c r="B13" s="79">
        <f>IF(COLUMNS($B$13:B13) &gt;= Inputs!$F$55, 1, 0)</f>
        <v/>
      </c>
      <c r="C13" s="79">
        <f>IF(COLUMNS($B$13:C13) &gt;= Inputs!$F$55, 1, 0)</f>
        <v/>
      </c>
      <c r="D13" s="79">
        <f>IF(COLUMNS($B$13:D13) &gt;= Inputs!$F$55, 1, 0)</f>
        <v/>
      </c>
      <c r="E13" s="79">
        <f>IF(COLUMNS($B$13:E13) &gt;= Inputs!$F$55, 1, 0)</f>
        <v/>
      </c>
      <c r="F13" s="79">
        <f>IF(COLUMNS($B$13:F13) &gt;= Inputs!$F$55, 1, 0)</f>
        <v/>
      </c>
      <c r="G13" s="79">
        <f>IF(COLUMNS($B$13:G13) &gt;= Inputs!$F$55, 1, 0)</f>
        <v/>
      </c>
      <c r="H13" s="79">
        <f>IF(COLUMNS($B$13:H13) &gt;= Inputs!$F$55, 1, 0)</f>
        <v/>
      </c>
      <c r="I13" s="79">
        <f>IF(COLUMNS($B$13:I13) &gt;= Inputs!$F$55, 1, 0)</f>
        <v/>
      </c>
      <c r="J13" s="79">
        <f>IF(COLUMNS($B$13:J13) &gt;= Inputs!$F$55, 1, 0)</f>
        <v/>
      </c>
      <c r="K13" s="79">
        <f>IF(COLUMNS($B$13:K13) &gt;= Inputs!$F$55, 1, 0)</f>
        <v/>
      </c>
      <c r="L13" s="79">
        <f>IF(COLUMNS($B$13:L13) &gt;= Inputs!$F$55, 1, 0)</f>
        <v/>
      </c>
      <c r="M13" s="79">
        <f>IF(COLUMNS($B$13:M13) &gt;= Inputs!$F$55, 1, 0)</f>
        <v/>
      </c>
      <c r="N13" s="79">
        <f>IF(COLUMNS($B$13:N13) &gt;= Inputs!$F$55, 1, 0)</f>
        <v/>
      </c>
      <c r="O13" s="79">
        <f>IF(COLUMNS($B$13:O13) &gt;= Inputs!$F$55, 1, 0)</f>
        <v/>
      </c>
      <c r="P13" s="79">
        <f>IF(COLUMNS($B$13:P13) &gt;= Inputs!$F$55, 1, 0)</f>
        <v/>
      </c>
      <c r="Q13" s="79">
        <f>IF(COLUMNS($B$13:Q13) &gt;= Inputs!$F$55, 1, 0)</f>
        <v/>
      </c>
      <c r="R13" s="79">
        <f>IF(COLUMNS($B$13:R13) &gt;= Inputs!$F$55, 1, 0)</f>
        <v/>
      </c>
      <c r="S13" s="79">
        <f>IF(COLUMNS($B$13:S13) &gt;= Inputs!$F$55, 1, 0)</f>
        <v/>
      </c>
      <c r="T13" s="79">
        <f>IF(COLUMNS($B$13:T13) &gt;= Inputs!$F$55, 1, 0)</f>
        <v/>
      </c>
      <c r="U13" s="79">
        <f>IF(COLUMNS($B$13:U13) &gt;= Inputs!$F$55, 1, 0)</f>
        <v/>
      </c>
      <c r="V13" s="79">
        <f>IF(COLUMNS($B$13:V13) &gt;= Inputs!$F$55, 1, 0)</f>
        <v/>
      </c>
      <c r="W13" s="79">
        <f>IF(COLUMNS($B$13:W13) &gt;= Inputs!$F$55, 1, 0)</f>
        <v/>
      </c>
      <c r="X13" s="79">
        <f>IF(COLUMNS($B$13:X13) &gt;= Inputs!$F$55, 1, 0)</f>
        <v/>
      </c>
      <c r="Y13" s="79">
        <f>IF(COLUMNS($B$13:Y13) &gt;= Inputs!$F$55, 1, 0)</f>
        <v/>
      </c>
      <c r="Z13" s="79">
        <f>IF(COLUMNS($B$13:Z13) &gt;= Inputs!$F$55, 1, 0)</f>
        <v/>
      </c>
      <c r="AA13" s="79">
        <f>IF(COLUMNS($B$13:AA13) &gt;= Inputs!$F$55, 1, 0)</f>
        <v/>
      </c>
      <c r="AB13" s="79">
        <f>IF(COLUMNS($B$13:AB13) &gt;= Inputs!$F$55, 1, 0)</f>
        <v/>
      </c>
      <c r="AC13" s="79">
        <f>IF(COLUMNS($B$13:AC13) &gt;= Inputs!$F$55, 1, 0)</f>
        <v/>
      </c>
      <c r="AD13" s="79">
        <f>IF(COLUMNS($B$13:AD13) &gt;= Inputs!$F$55, 1, 0)</f>
        <v/>
      </c>
      <c r="AE13" s="79">
        <f>IF(COLUMNS($B$13:AE13) &gt;= Inputs!$F$55, 1, 0)</f>
        <v/>
      </c>
      <c r="AF13" s="79">
        <f>IF(COLUMNS($B$13:AF13) &gt;= Inputs!$F$55, 1, 0)</f>
        <v/>
      </c>
      <c r="AG13" s="79">
        <f>IF(COLUMNS($B$13:AG13) &gt;= Inputs!$F$55, 1, 0)</f>
        <v/>
      </c>
      <c r="AH13" s="79">
        <f>IF(COLUMNS($B$13:AH13) &gt;= Inputs!$F$55, 1, 0)</f>
        <v/>
      </c>
      <c r="AI13" s="79">
        <f>IF(COLUMNS($B$13:AI13) &gt;= Inputs!$F$55, 1, 0)</f>
        <v/>
      </c>
      <c r="AJ13" s="79">
        <f>IF(COLUMNS($B$13:AJ13) &gt;= Inputs!$F$55, 1, 0)</f>
        <v/>
      </c>
      <c r="AK13" s="79">
        <f>IF(COLUMNS($B$13:AK13) &gt;= Inputs!$F$55, 1, 0)</f>
        <v/>
      </c>
      <c r="AL13" s="79">
        <f>IF(COLUMNS($B$13:AL13) &gt;= Inputs!$F$55, 1, 0)</f>
        <v/>
      </c>
      <c r="AM13" s="79">
        <f>IF(COLUMNS($B$13:AM13) &gt;= Inputs!$F$55, 1, 0)</f>
        <v/>
      </c>
      <c r="AN13" s="79">
        <f>IF(COLUMNS($B$13:AN13) &gt;= Inputs!$F$55, 1, 0)</f>
        <v/>
      </c>
      <c r="AO13" s="79">
        <f>IF(COLUMNS($B$13:AO13) &gt;= Inputs!$F$55, 1, 0)</f>
        <v/>
      </c>
      <c r="AP13" s="79">
        <f>IF(COLUMNS($B$13:AP13) &gt;= Inputs!$F$55, 1, 0)</f>
        <v/>
      </c>
      <c r="AQ13" s="79">
        <f>IF(COLUMNS($B$13:AQ13) &gt;= Inputs!$F$55, 1, 0)</f>
        <v/>
      </c>
      <c r="AR13" s="79">
        <f>IF(COLUMNS($B$13:AR13) &gt;= Inputs!$F$55, 1, 0)</f>
        <v/>
      </c>
      <c r="AS13" s="79">
        <f>IF(COLUMNS($B$13:AS13) &gt;= Inputs!$F$55, 1, 0)</f>
        <v/>
      </c>
      <c r="AT13" s="79">
        <f>IF(COLUMNS($B$13:AT13) &gt;= Inputs!$F$55, 1, 0)</f>
        <v/>
      </c>
      <c r="AU13" s="79">
        <f>IF(COLUMNS($B$13:AU13) &gt;= Inputs!$F$55, 1, 0)</f>
        <v/>
      </c>
      <c r="AV13" s="79">
        <f>IF(COLUMNS($B$13:AV13) &gt;= Inputs!$F$55, 1, 0)</f>
        <v/>
      </c>
      <c r="AW13" s="79">
        <f>IF(COLUMNS($B$13:AW13) &gt;= Inputs!$F$55, 1, 0)</f>
        <v/>
      </c>
      <c r="AX13" s="79">
        <f>IF(COLUMNS($B$13:AX13) &gt;= Inputs!$F$55, 1, 0)</f>
        <v/>
      </c>
      <c r="AY13" s="79">
        <f>IF(COLUMNS($B$13:AY13) &gt;= Inputs!$F$55, 1, 0)</f>
        <v/>
      </c>
      <c r="AZ13" s="79">
        <f>IF(COLUMNS($B$13:AZ13) &gt;= Inputs!$F$55, 1, 0)</f>
        <v/>
      </c>
      <c r="BA13" s="79">
        <f>IF(COLUMNS($B$13:BA13) &gt;= Inputs!$F$55, 1, 0)</f>
        <v/>
      </c>
    </row>
    <row r="14" ht="14.25" customHeight="1" s="83">
      <c r="A14" s="77" t="inlineStr">
        <is>
          <t>1. Marketing Manager</t>
        </is>
      </c>
      <c r="B14" s="79">
        <f>IF(COLUMNS($B$14:B14) &gt;= Inputs!$F$56, 1, 0)</f>
        <v/>
      </c>
      <c r="C14" s="79">
        <f>IF(COLUMNS($B$14:C14) &gt;= Inputs!$F$56, 1, 0)</f>
        <v/>
      </c>
      <c r="D14" s="79">
        <f>IF(COLUMNS($B$14:D14) &gt;= Inputs!$F$56, 1, 0)</f>
        <v/>
      </c>
      <c r="E14" s="79">
        <f>IF(COLUMNS($B$14:E14) &gt;= Inputs!$F$56, 1, 0)</f>
        <v/>
      </c>
      <c r="F14" s="79">
        <f>IF(COLUMNS($B$14:F14) &gt;= Inputs!$F$56, 1, 0)</f>
        <v/>
      </c>
      <c r="G14" s="79">
        <f>IF(COLUMNS($B$14:G14) &gt;= Inputs!$F$56, 1, 0)</f>
        <v/>
      </c>
      <c r="H14" s="79">
        <f>IF(COLUMNS($B$14:H14) &gt;= Inputs!$F$56, 1, 0)</f>
        <v/>
      </c>
      <c r="I14" s="79">
        <f>IF(COLUMNS($B$14:I14) &gt;= Inputs!$F$56, 1, 0)</f>
        <v/>
      </c>
      <c r="J14" s="79">
        <f>IF(COLUMNS($B$14:J14) &gt;= Inputs!$F$56, 1, 0)</f>
        <v/>
      </c>
      <c r="K14" s="79">
        <f>IF(COLUMNS($B$14:K14) &gt;= Inputs!$F$56, 1, 0)</f>
        <v/>
      </c>
      <c r="L14" s="79">
        <f>IF(COLUMNS($B$14:L14) &gt;= Inputs!$F$56, 1, 0)</f>
        <v/>
      </c>
      <c r="M14" s="79">
        <f>IF(COLUMNS($B$14:M14) &gt;= Inputs!$F$56, 1, 0)</f>
        <v/>
      </c>
      <c r="N14" s="79">
        <f>IF(COLUMNS($B$14:N14) &gt;= Inputs!$F$56, 1, 0)</f>
        <v/>
      </c>
      <c r="O14" s="79">
        <f>IF(COLUMNS($B$14:O14) &gt;= Inputs!$F$56, 1, 0)</f>
        <v/>
      </c>
      <c r="P14" s="79">
        <f>IF(COLUMNS($B$14:P14) &gt;= Inputs!$F$56, 1, 0)</f>
        <v/>
      </c>
      <c r="Q14" s="79">
        <f>IF(COLUMNS($B$14:Q14) &gt;= Inputs!$F$56, 1, 0)</f>
        <v/>
      </c>
      <c r="R14" s="79">
        <f>IF(COLUMNS($B$14:R14) &gt;= Inputs!$F$56, 1, 0)</f>
        <v/>
      </c>
      <c r="S14" s="79">
        <f>IF(COLUMNS($B$14:S14) &gt;= Inputs!$F$56, 1, 0)</f>
        <v/>
      </c>
      <c r="T14" s="79">
        <f>IF(COLUMNS($B$14:T14) &gt;= Inputs!$F$56, 1, 0)</f>
        <v/>
      </c>
      <c r="U14" s="79">
        <f>IF(COLUMNS($B$14:U14) &gt;= Inputs!$F$56, 1, 0)</f>
        <v/>
      </c>
      <c r="V14" s="79">
        <f>IF(COLUMNS($B$14:V14) &gt;= Inputs!$F$56, 1, 0)</f>
        <v/>
      </c>
      <c r="W14" s="79">
        <f>IF(COLUMNS($B$14:W14) &gt;= Inputs!$F$56, 1, 0)</f>
        <v/>
      </c>
      <c r="X14" s="79">
        <f>IF(COLUMNS($B$14:X14) &gt;= Inputs!$F$56, 1, 0)</f>
        <v/>
      </c>
      <c r="Y14" s="79">
        <f>IF(COLUMNS($B$14:Y14) &gt;= Inputs!$F$56, 1, 0)</f>
        <v/>
      </c>
      <c r="Z14" s="79">
        <f>IF(COLUMNS($B$14:Z14) &gt;= Inputs!$F$56, 1, 0)</f>
        <v/>
      </c>
      <c r="AA14" s="79">
        <f>IF(COLUMNS($B$14:AA14) &gt;= Inputs!$F$56, 1, 0)</f>
        <v/>
      </c>
      <c r="AB14" s="79">
        <f>IF(COLUMNS($B$14:AB14) &gt;= Inputs!$F$56, 1, 0)</f>
        <v/>
      </c>
      <c r="AC14" s="79">
        <f>IF(COLUMNS($B$14:AC14) &gt;= Inputs!$F$56, 1, 0)</f>
        <v/>
      </c>
      <c r="AD14" s="79">
        <f>IF(COLUMNS($B$14:AD14) &gt;= Inputs!$F$56, 1, 0)</f>
        <v/>
      </c>
      <c r="AE14" s="79">
        <f>IF(COLUMNS($B$14:AE14) &gt;= Inputs!$F$56, 1, 0)</f>
        <v/>
      </c>
      <c r="AF14" s="79">
        <f>IF(COLUMNS($B$14:AF14) &gt;= Inputs!$F$56, 1, 0)</f>
        <v/>
      </c>
      <c r="AG14" s="79">
        <f>IF(COLUMNS($B$14:AG14) &gt;= Inputs!$F$56, 1, 0)</f>
        <v/>
      </c>
      <c r="AH14" s="79">
        <f>IF(COLUMNS($B$14:AH14) &gt;= Inputs!$F$56, 1, 0)</f>
        <v/>
      </c>
      <c r="AI14" s="79">
        <f>IF(COLUMNS($B$14:AI14) &gt;= Inputs!$F$56, 1, 0)</f>
        <v/>
      </c>
      <c r="AJ14" s="79">
        <f>IF(COLUMNS($B$14:AJ14) &gt;= Inputs!$F$56, 1, 0)</f>
        <v/>
      </c>
      <c r="AK14" s="79">
        <f>IF(COLUMNS($B$14:AK14) &gt;= Inputs!$F$56, 1, 0)</f>
        <v/>
      </c>
      <c r="AL14" s="79">
        <f>IF(COLUMNS($B$14:AL14) &gt;= Inputs!$F$56, 1, 0)</f>
        <v/>
      </c>
      <c r="AM14" s="79">
        <f>IF(COLUMNS($B$14:AM14) &gt;= Inputs!$F$56, 1, 0)</f>
        <v/>
      </c>
      <c r="AN14" s="79">
        <f>IF(COLUMNS($B$14:AN14) &gt;= Inputs!$F$56, 1, 0)</f>
        <v/>
      </c>
      <c r="AO14" s="79">
        <f>IF(COLUMNS($B$14:AO14) &gt;= Inputs!$F$56, 1, 0)</f>
        <v/>
      </c>
      <c r="AP14" s="79">
        <f>IF(COLUMNS($B$14:AP14) &gt;= Inputs!$F$56, 1, 0)</f>
        <v/>
      </c>
      <c r="AQ14" s="79">
        <f>IF(COLUMNS($B$14:AQ14) &gt;= Inputs!$F$56, 1, 0)</f>
        <v/>
      </c>
      <c r="AR14" s="79">
        <f>IF(COLUMNS($B$14:AR14) &gt;= Inputs!$F$56, 1, 0)</f>
        <v/>
      </c>
      <c r="AS14" s="79">
        <f>IF(COLUMNS($B$14:AS14) &gt;= Inputs!$F$56, 1, 0)</f>
        <v/>
      </c>
      <c r="AT14" s="79">
        <f>IF(COLUMNS($B$14:AT14) &gt;= Inputs!$F$56, 1, 0)</f>
        <v/>
      </c>
      <c r="AU14" s="79">
        <f>IF(COLUMNS($B$14:AU14) &gt;= Inputs!$F$56, 1, 0)</f>
        <v/>
      </c>
      <c r="AV14" s="79">
        <f>IF(COLUMNS($B$14:AV14) &gt;= Inputs!$F$56, 1, 0)</f>
        <v/>
      </c>
      <c r="AW14" s="79">
        <f>IF(COLUMNS($B$14:AW14) &gt;= Inputs!$F$56, 1, 0)</f>
        <v/>
      </c>
      <c r="AX14" s="79">
        <f>IF(COLUMNS($B$14:AX14) &gt;= Inputs!$F$56, 1, 0)</f>
        <v/>
      </c>
      <c r="AY14" s="79">
        <f>IF(COLUMNS($B$14:AY14) &gt;= Inputs!$F$56, 1, 0)</f>
        <v/>
      </c>
      <c r="AZ14" s="79">
        <f>IF(COLUMNS($B$14:AZ14) &gt;= Inputs!$F$56, 1, 0)</f>
        <v/>
      </c>
      <c r="BA14" s="79">
        <f>IF(COLUMNS($B$14:BA14) &gt;= Inputs!$F$56, 1, 0)</f>
        <v/>
      </c>
    </row>
    <row r="15" ht="14.25" customHeight="1" s="83">
      <c r="A15" s="77" t="inlineStr">
        <is>
          <t>1. Product Manager</t>
        </is>
      </c>
      <c r="B15" s="79">
        <f>IF(COLUMNS($B$15:B15) &gt;= Inputs!$F$57, 1, 0)</f>
        <v/>
      </c>
      <c r="C15" s="79">
        <f>IF(COLUMNS($B$15:C15) &gt;= Inputs!$F$57, 1, 0)</f>
        <v/>
      </c>
      <c r="D15" s="79">
        <f>IF(COLUMNS($B$15:D15) &gt;= Inputs!$F$57, 1, 0)</f>
        <v/>
      </c>
      <c r="E15" s="79">
        <f>IF(COLUMNS($B$15:E15) &gt;= Inputs!$F$57, 1, 0)</f>
        <v/>
      </c>
      <c r="F15" s="79">
        <f>IF(COLUMNS($B$15:F15) &gt;= Inputs!$F$57, 1, 0)</f>
        <v/>
      </c>
      <c r="G15" s="79">
        <f>IF(COLUMNS($B$15:G15) &gt;= Inputs!$F$57, 1, 0)</f>
        <v/>
      </c>
      <c r="H15" s="79">
        <f>IF(COLUMNS($B$15:H15) &gt;= Inputs!$F$57, 1, 0)</f>
        <v/>
      </c>
      <c r="I15" s="79">
        <f>IF(COLUMNS($B$15:I15) &gt;= Inputs!$F$57, 1, 0)</f>
        <v/>
      </c>
      <c r="J15" s="79">
        <f>IF(COLUMNS($B$15:J15) &gt;= Inputs!$F$57, 1, 0)</f>
        <v/>
      </c>
      <c r="K15" s="79">
        <f>IF(COLUMNS($B$15:K15) &gt;= Inputs!$F$57, 1, 0)</f>
        <v/>
      </c>
      <c r="L15" s="79">
        <f>IF(COLUMNS($B$15:L15) &gt;= Inputs!$F$57, 1, 0)</f>
        <v/>
      </c>
      <c r="M15" s="79">
        <f>IF(COLUMNS($B$15:M15) &gt;= Inputs!$F$57, 1, 0)</f>
        <v/>
      </c>
      <c r="N15" s="79">
        <f>IF(COLUMNS($B$15:N15) &gt;= Inputs!$F$57, 1, 0)</f>
        <v/>
      </c>
      <c r="O15" s="79">
        <f>IF(COLUMNS($B$15:O15) &gt;= Inputs!$F$57, 1, 0)</f>
        <v/>
      </c>
      <c r="P15" s="79">
        <f>IF(COLUMNS($B$15:P15) &gt;= Inputs!$F$57, 1, 0)</f>
        <v/>
      </c>
      <c r="Q15" s="79">
        <f>IF(COLUMNS($B$15:Q15) &gt;= Inputs!$F$57, 1, 0)</f>
        <v/>
      </c>
      <c r="R15" s="79">
        <f>IF(COLUMNS($B$15:R15) &gt;= Inputs!$F$57, 1, 0)</f>
        <v/>
      </c>
      <c r="S15" s="79">
        <f>IF(COLUMNS($B$15:S15) &gt;= Inputs!$F$57, 1, 0)</f>
        <v/>
      </c>
      <c r="T15" s="79">
        <f>IF(COLUMNS($B$15:T15) &gt;= Inputs!$F$57, 1, 0)</f>
        <v/>
      </c>
      <c r="U15" s="79">
        <f>IF(COLUMNS($B$15:U15) &gt;= Inputs!$F$57, 1, 0)</f>
        <v/>
      </c>
      <c r="V15" s="79">
        <f>IF(COLUMNS($B$15:V15) &gt;= Inputs!$F$57, 1, 0)</f>
        <v/>
      </c>
      <c r="W15" s="79">
        <f>IF(COLUMNS($B$15:W15) &gt;= Inputs!$F$57, 1, 0)</f>
        <v/>
      </c>
      <c r="X15" s="79">
        <f>IF(COLUMNS($B$15:X15) &gt;= Inputs!$F$57, 1, 0)</f>
        <v/>
      </c>
      <c r="Y15" s="79">
        <f>IF(COLUMNS($B$15:Y15) &gt;= Inputs!$F$57, 1, 0)</f>
        <v/>
      </c>
      <c r="Z15" s="79">
        <f>IF(COLUMNS($B$15:Z15) &gt;= Inputs!$F$57, 1, 0)</f>
        <v/>
      </c>
      <c r="AA15" s="79">
        <f>IF(COLUMNS($B$15:AA15) &gt;= Inputs!$F$57, 1, 0)</f>
        <v/>
      </c>
      <c r="AB15" s="79">
        <f>IF(COLUMNS($B$15:AB15) &gt;= Inputs!$F$57, 1, 0)</f>
        <v/>
      </c>
      <c r="AC15" s="79">
        <f>IF(COLUMNS($B$15:AC15) &gt;= Inputs!$F$57, 1, 0)</f>
        <v/>
      </c>
      <c r="AD15" s="79">
        <f>IF(COLUMNS($B$15:AD15) &gt;= Inputs!$F$57, 1, 0)</f>
        <v/>
      </c>
      <c r="AE15" s="79">
        <f>IF(COLUMNS($B$15:AE15) &gt;= Inputs!$F$57, 1, 0)</f>
        <v/>
      </c>
      <c r="AF15" s="79">
        <f>IF(COLUMNS($B$15:AF15) &gt;= Inputs!$F$57, 1, 0)</f>
        <v/>
      </c>
      <c r="AG15" s="79">
        <f>IF(COLUMNS($B$15:AG15) &gt;= Inputs!$F$57, 1, 0)</f>
        <v/>
      </c>
      <c r="AH15" s="79">
        <f>IF(COLUMNS($B$15:AH15) &gt;= Inputs!$F$57, 1, 0)</f>
        <v/>
      </c>
      <c r="AI15" s="79">
        <f>IF(COLUMNS($B$15:AI15) &gt;= Inputs!$F$57, 1, 0)</f>
        <v/>
      </c>
      <c r="AJ15" s="79">
        <f>IF(COLUMNS($B$15:AJ15) &gt;= Inputs!$F$57, 1, 0)</f>
        <v/>
      </c>
      <c r="AK15" s="79">
        <f>IF(COLUMNS($B$15:AK15) &gt;= Inputs!$F$57, 1, 0)</f>
        <v/>
      </c>
      <c r="AL15" s="79">
        <f>IF(COLUMNS($B$15:AL15) &gt;= Inputs!$F$57, 1, 0)</f>
        <v/>
      </c>
      <c r="AM15" s="79">
        <f>IF(COLUMNS($B$15:AM15) &gt;= Inputs!$F$57, 1, 0)</f>
        <v/>
      </c>
      <c r="AN15" s="79">
        <f>IF(COLUMNS($B$15:AN15) &gt;= Inputs!$F$57, 1, 0)</f>
        <v/>
      </c>
      <c r="AO15" s="79">
        <f>IF(COLUMNS($B$15:AO15) &gt;= Inputs!$F$57, 1, 0)</f>
        <v/>
      </c>
      <c r="AP15" s="79">
        <f>IF(COLUMNS($B$15:AP15) &gt;= Inputs!$F$57, 1, 0)</f>
        <v/>
      </c>
      <c r="AQ15" s="79">
        <f>IF(COLUMNS($B$15:AQ15) &gt;= Inputs!$F$57, 1, 0)</f>
        <v/>
      </c>
      <c r="AR15" s="79">
        <f>IF(COLUMNS($B$15:AR15) &gt;= Inputs!$F$57, 1, 0)</f>
        <v/>
      </c>
      <c r="AS15" s="79">
        <f>IF(COLUMNS($B$15:AS15) &gt;= Inputs!$F$57, 1, 0)</f>
        <v/>
      </c>
      <c r="AT15" s="79">
        <f>IF(COLUMNS($B$15:AT15) &gt;= Inputs!$F$57, 1, 0)</f>
        <v/>
      </c>
      <c r="AU15" s="79">
        <f>IF(COLUMNS($B$15:AU15) &gt;= Inputs!$F$57, 1, 0)</f>
        <v/>
      </c>
      <c r="AV15" s="79">
        <f>IF(COLUMNS($B$15:AV15) &gt;= Inputs!$F$57, 1, 0)</f>
        <v/>
      </c>
      <c r="AW15" s="79">
        <f>IF(COLUMNS($B$15:AW15) &gt;= Inputs!$F$57, 1, 0)</f>
        <v/>
      </c>
      <c r="AX15" s="79">
        <f>IF(COLUMNS($B$15:AX15) &gt;= Inputs!$F$57, 1, 0)</f>
        <v/>
      </c>
      <c r="AY15" s="79">
        <f>IF(COLUMNS($B$15:AY15) &gt;= Inputs!$F$57, 1, 0)</f>
        <v/>
      </c>
      <c r="AZ15" s="79">
        <f>IF(COLUMNS($B$15:AZ15) &gt;= Inputs!$F$57, 1, 0)</f>
        <v/>
      </c>
      <c r="BA15" s="79">
        <f>IF(COLUMNS($B$15:BA15) &gt;= Inputs!$F$57, 1, 0)</f>
        <v/>
      </c>
    </row>
    <row r="16" ht="14.25" customHeight="1" s="83">
      <c r="A16" s="77" t="inlineStr">
        <is>
          <t>1. Office Manager</t>
        </is>
      </c>
      <c r="B16" s="79">
        <f>IF(COLUMNS($B$16:B16) &gt;= Inputs!$F$58, 1, 0)</f>
        <v/>
      </c>
      <c r="C16" s="79">
        <f>IF(COLUMNS($B$16:C16) &gt;= Inputs!$F$58, 1, 0)</f>
        <v/>
      </c>
      <c r="D16" s="79">
        <f>IF(COLUMNS($B$16:D16) &gt;= Inputs!$F$58, 1, 0)</f>
        <v/>
      </c>
      <c r="E16" s="79">
        <f>IF(COLUMNS($B$16:E16) &gt;= Inputs!$F$58, 1, 0)</f>
        <v/>
      </c>
      <c r="F16" s="79">
        <f>IF(COLUMNS($B$16:F16) &gt;= Inputs!$F$58, 1, 0)</f>
        <v/>
      </c>
      <c r="G16" s="79">
        <f>IF(COLUMNS($B$16:G16) &gt;= Inputs!$F$58, 1, 0)</f>
        <v/>
      </c>
      <c r="H16" s="79">
        <f>IF(COLUMNS($B$16:H16) &gt;= Inputs!$F$58, 1, 0)</f>
        <v/>
      </c>
      <c r="I16" s="79">
        <f>IF(COLUMNS($B$16:I16) &gt;= Inputs!$F$58, 1, 0)</f>
        <v/>
      </c>
      <c r="J16" s="79">
        <f>IF(COLUMNS($B$16:J16) &gt;= Inputs!$F$58, 1, 0)</f>
        <v/>
      </c>
      <c r="K16" s="79">
        <f>IF(COLUMNS($B$16:K16) &gt;= Inputs!$F$58, 1, 0)</f>
        <v/>
      </c>
      <c r="L16" s="79">
        <f>IF(COLUMNS($B$16:L16) &gt;= Inputs!$F$58, 1, 0)</f>
        <v/>
      </c>
      <c r="M16" s="79">
        <f>IF(COLUMNS($B$16:M16) &gt;= Inputs!$F$58, 1, 0)</f>
        <v/>
      </c>
      <c r="N16" s="79">
        <f>IF(COLUMNS($B$16:N16) &gt;= Inputs!$F$58, 1, 0)</f>
        <v/>
      </c>
      <c r="O16" s="79">
        <f>IF(COLUMNS($B$16:O16) &gt;= Inputs!$F$58, 1, 0)</f>
        <v/>
      </c>
      <c r="P16" s="79">
        <f>IF(COLUMNS($B$16:P16) &gt;= Inputs!$F$58, 1, 0)</f>
        <v/>
      </c>
      <c r="Q16" s="79">
        <f>IF(COLUMNS($B$16:Q16) &gt;= Inputs!$F$58, 1, 0)</f>
        <v/>
      </c>
      <c r="R16" s="79">
        <f>IF(COLUMNS($B$16:R16) &gt;= Inputs!$F$58, 1, 0)</f>
        <v/>
      </c>
      <c r="S16" s="79">
        <f>IF(COLUMNS($B$16:S16) &gt;= Inputs!$F$58, 1, 0)</f>
        <v/>
      </c>
      <c r="T16" s="79">
        <f>IF(COLUMNS($B$16:T16) &gt;= Inputs!$F$58, 1, 0)</f>
        <v/>
      </c>
      <c r="U16" s="79">
        <f>IF(COLUMNS($B$16:U16) &gt;= Inputs!$F$58, 1, 0)</f>
        <v/>
      </c>
      <c r="V16" s="79">
        <f>IF(COLUMNS($B$16:V16) &gt;= Inputs!$F$58, 1, 0)</f>
        <v/>
      </c>
      <c r="W16" s="79">
        <f>IF(COLUMNS($B$16:W16) &gt;= Inputs!$F$58, 1, 0)</f>
        <v/>
      </c>
      <c r="X16" s="79">
        <f>IF(COLUMNS($B$16:X16) &gt;= Inputs!$F$58, 1, 0)</f>
        <v/>
      </c>
      <c r="Y16" s="79">
        <f>IF(COLUMNS($B$16:Y16) &gt;= Inputs!$F$58, 1, 0)</f>
        <v/>
      </c>
      <c r="Z16" s="79">
        <f>IF(COLUMNS($B$16:Z16) &gt;= Inputs!$F$58, 1, 0)</f>
        <v/>
      </c>
      <c r="AA16" s="79">
        <f>IF(COLUMNS($B$16:AA16) &gt;= Inputs!$F$58, 1, 0)</f>
        <v/>
      </c>
      <c r="AB16" s="79">
        <f>IF(COLUMNS($B$16:AB16) &gt;= Inputs!$F$58, 1, 0)</f>
        <v/>
      </c>
      <c r="AC16" s="79">
        <f>IF(COLUMNS($B$16:AC16) &gt;= Inputs!$F$58, 1, 0)</f>
        <v/>
      </c>
      <c r="AD16" s="79">
        <f>IF(COLUMNS($B$16:AD16) &gt;= Inputs!$F$58, 1, 0)</f>
        <v/>
      </c>
      <c r="AE16" s="79">
        <f>IF(COLUMNS($B$16:AE16) &gt;= Inputs!$F$58, 1, 0)</f>
        <v/>
      </c>
      <c r="AF16" s="79">
        <f>IF(COLUMNS($B$16:AF16) &gt;= Inputs!$F$58, 1, 0)</f>
        <v/>
      </c>
      <c r="AG16" s="79">
        <f>IF(COLUMNS($B$16:AG16) &gt;= Inputs!$F$58, 1, 0)</f>
        <v/>
      </c>
      <c r="AH16" s="79">
        <f>IF(COLUMNS($B$16:AH16) &gt;= Inputs!$F$58, 1, 0)</f>
        <v/>
      </c>
      <c r="AI16" s="79">
        <f>IF(COLUMNS($B$16:AI16) &gt;= Inputs!$F$58, 1, 0)</f>
        <v/>
      </c>
      <c r="AJ16" s="79">
        <f>IF(COLUMNS($B$16:AJ16) &gt;= Inputs!$F$58, 1, 0)</f>
        <v/>
      </c>
      <c r="AK16" s="79">
        <f>IF(COLUMNS($B$16:AK16) &gt;= Inputs!$F$58, 1, 0)</f>
        <v/>
      </c>
      <c r="AL16" s="79">
        <f>IF(COLUMNS($B$16:AL16) &gt;= Inputs!$F$58, 1, 0)</f>
        <v/>
      </c>
      <c r="AM16" s="79">
        <f>IF(COLUMNS($B$16:AM16) &gt;= Inputs!$F$58, 1, 0)</f>
        <v/>
      </c>
      <c r="AN16" s="79">
        <f>IF(COLUMNS($B$16:AN16) &gt;= Inputs!$F$58, 1, 0)</f>
        <v/>
      </c>
      <c r="AO16" s="79">
        <f>IF(COLUMNS($B$16:AO16) &gt;= Inputs!$F$58, 1, 0)</f>
        <v/>
      </c>
      <c r="AP16" s="79">
        <f>IF(COLUMNS($B$16:AP16) &gt;= Inputs!$F$58, 1, 0)</f>
        <v/>
      </c>
      <c r="AQ16" s="79">
        <f>IF(COLUMNS($B$16:AQ16) &gt;= Inputs!$F$58, 1, 0)</f>
        <v/>
      </c>
      <c r="AR16" s="79">
        <f>IF(COLUMNS($B$16:AR16) &gt;= Inputs!$F$58, 1, 0)</f>
        <v/>
      </c>
      <c r="AS16" s="79">
        <f>IF(COLUMNS($B$16:AS16) &gt;= Inputs!$F$58, 1, 0)</f>
        <v/>
      </c>
      <c r="AT16" s="79">
        <f>IF(COLUMNS($B$16:AT16) &gt;= Inputs!$F$58, 1, 0)</f>
        <v/>
      </c>
      <c r="AU16" s="79">
        <f>IF(COLUMNS($B$16:AU16) &gt;= Inputs!$F$58, 1, 0)</f>
        <v/>
      </c>
      <c r="AV16" s="79">
        <f>IF(COLUMNS($B$16:AV16) &gt;= Inputs!$F$58, 1, 0)</f>
        <v/>
      </c>
      <c r="AW16" s="79">
        <f>IF(COLUMNS($B$16:AW16) &gt;= Inputs!$F$58, 1, 0)</f>
        <v/>
      </c>
      <c r="AX16" s="79">
        <f>IF(COLUMNS($B$16:AX16) &gt;= Inputs!$F$58, 1, 0)</f>
        <v/>
      </c>
      <c r="AY16" s="79">
        <f>IF(COLUMNS($B$16:AY16) &gt;= Inputs!$F$58, 1, 0)</f>
        <v/>
      </c>
      <c r="AZ16" s="79">
        <f>IF(COLUMNS($B$16:AZ16) &gt;= Inputs!$F$58, 1, 0)</f>
        <v/>
      </c>
      <c r="BA16" s="79">
        <f>IF(COLUMNS($B$16:BA16) &gt;= Inputs!$F$58, 1, 0)</f>
        <v/>
      </c>
    </row>
    <row r="17" ht="14.25" customHeight="1" s="83">
      <c r="A17" s="77" t="inlineStr">
        <is>
          <t>3. Senior Engineer</t>
        </is>
      </c>
      <c r="B17" s="79">
        <f>IF(COLUMNS($B$17:B17) &gt;= Inputs!$F$59, 1, 0)</f>
        <v/>
      </c>
      <c r="C17" s="79">
        <f>IF(COLUMNS($B$17:C17) &gt;= Inputs!$F$59, 1, 0)</f>
        <v/>
      </c>
      <c r="D17" s="79">
        <f>IF(COLUMNS($B$17:D17) &gt;= Inputs!$F$59, 1, 0)</f>
        <v/>
      </c>
      <c r="E17" s="79">
        <f>IF(COLUMNS($B$17:E17) &gt;= Inputs!$F$59, 1, 0)</f>
        <v/>
      </c>
      <c r="F17" s="79">
        <f>IF(COLUMNS($B$17:F17) &gt;= Inputs!$F$59, 1, 0)</f>
        <v/>
      </c>
      <c r="G17" s="79">
        <f>IF(COLUMNS($B$17:G17) &gt;= Inputs!$F$59, 1, 0)</f>
        <v/>
      </c>
      <c r="H17" s="79">
        <f>IF(COLUMNS($B$17:H17) &gt;= Inputs!$F$59, 1, 0)</f>
        <v/>
      </c>
      <c r="I17" s="79">
        <f>IF(COLUMNS($B$17:I17) &gt;= Inputs!$F$59, 1, 0)</f>
        <v/>
      </c>
      <c r="J17" s="79">
        <f>IF(COLUMNS($B$17:J17) &gt;= Inputs!$F$59, 1, 0)</f>
        <v/>
      </c>
      <c r="K17" s="79">
        <f>IF(COLUMNS($B$17:K17) &gt;= Inputs!$F$59, 1, 0)</f>
        <v/>
      </c>
      <c r="L17" s="79">
        <f>IF(COLUMNS($B$17:L17) &gt;= Inputs!$F$59, 1, 0)</f>
        <v/>
      </c>
      <c r="M17" s="79">
        <f>IF(COLUMNS($B$17:M17) &gt;= Inputs!$F$59, 1, 0)</f>
        <v/>
      </c>
      <c r="N17" s="79">
        <f>IF(COLUMNS($B$17:N17) &gt;= Inputs!$F$59, 1, 0)</f>
        <v/>
      </c>
      <c r="O17" s="79">
        <f>IF(COLUMNS($B$17:O17) &gt;= Inputs!$F$59, 1, 0)</f>
        <v/>
      </c>
      <c r="P17" s="79">
        <f>IF(COLUMNS($B$17:P17) &gt;= Inputs!$F$59, 1, 0)</f>
        <v/>
      </c>
      <c r="Q17" s="79">
        <f>IF(COLUMNS($B$17:Q17) &gt;= Inputs!$F$59, 1, 0)</f>
        <v/>
      </c>
      <c r="R17" s="79">
        <f>IF(COLUMNS($B$17:R17) &gt;= Inputs!$F$59, 1, 0)</f>
        <v/>
      </c>
      <c r="S17" s="79">
        <f>IF(COLUMNS($B$17:S17) &gt;= Inputs!$F$59, 1, 0)</f>
        <v/>
      </c>
      <c r="T17" s="79">
        <f>IF(COLUMNS($B$17:T17) &gt;= Inputs!$F$59, 1, 0)</f>
        <v/>
      </c>
      <c r="U17" s="79">
        <f>IF(COLUMNS($B$17:U17) &gt;= Inputs!$F$59, 1, 0)</f>
        <v/>
      </c>
      <c r="V17" s="79">
        <f>IF(COLUMNS($B$17:V17) &gt;= Inputs!$F$59, 1, 0)</f>
        <v/>
      </c>
      <c r="W17" s="79">
        <f>IF(COLUMNS($B$17:W17) &gt;= Inputs!$F$59, 1, 0)</f>
        <v/>
      </c>
      <c r="X17" s="79">
        <f>IF(COLUMNS($B$17:X17) &gt;= Inputs!$F$59, 1, 0)</f>
        <v/>
      </c>
      <c r="Y17" s="79">
        <f>IF(COLUMNS($B$17:Y17) &gt;= Inputs!$F$59, 1, 0)</f>
        <v/>
      </c>
      <c r="Z17" s="79">
        <f>IF(COLUMNS($B$17:Z17) &gt;= Inputs!$F$59, 1, 0)</f>
        <v/>
      </c>
      <c r="AA17" s="79">
        <f>IF(COLUMNS($B$17:AA17) &gt;= Inputs!$F$59, 1, 0)</f>
        <v/>
      </c>
      <c r="AB17" s="79">
        <f>IF(COLUMNS($B$17:AB17) &gt;= Inputs!$F$59, 1, 0)</f>
        <v/>
      </c>
      <c r="AC17" s="79">
        <f>IF(COLUMNS($B$17:AC17) &gt;= Inputs!$F$59, 1, 0)</f>
        <v/>
      </c>
      <c r="AD17" s="79">
        <f>IF(COLUMNS($B$17:AD17) &gt;= Inputs!$F$59, 1, 0)</f>
        <v/>
      </c>
      <c r="AE17" s="79">
        <f>IF(COLUMNS($B$17:AE17) &gt;= Inputs!$F$59, 1, 0)</f>
        <v/>
      </c>
      <c r="AF17" s="79">
        <f>IF(COLUMNS($B$17:AF17) &gt;= Inputs!$F$59, 1, 0)</f>
        <v/>
      </c>
      <c r="AG17" s="79">
        <f>IF(COLUMNS($B$17:AG17) &gt;= Inputs!$F$59, 1, 0)</f>
        <v/>
      </c>
      <c r="AH17" s="79">
        <f>IF(COLUMNS($B$17:AH17) &gt;= Inputs!$F$59, 1, 0)</f>
        <v/>
      </c>
      <c r="AI17" s="79">
        <f>IF(COLUMNS($B$17:AI17) &gt;= Inputs!$F$59, 1, 0)</f>
        <v/>
      </c>
      <c r="AJ17" s="79">
        <f>IF(COLUMNS($B$17:AJ17) &gt;= Inputs!$F$59, 1, 0)</f>
        <v/>
      </c>
      <c r="AK17" s="79">
        <f>IF(COLUMNS($B$17:AK17) &gt;= Inputs!$F$59, 1, 0)</f>
        <v/>
      </c>
      <c r="AL17" s="79">
        <f>IF(COLUMNS($B$17:AL17) &gt;= Inputs!$F$59, 1, 0)</f>
        <v/>
      </c>
      <c r="AM17" s="79">
        <f>IF(COLUMNS($B$17:AM17) &gt;= Inputs!$F$59, 1, 0)</f>
        <v/>
      </c>
      <c r="AN17" s="79">
        <f>IF(COLUMNS($B$17:AN17) &gt;= Inputs!$F$59, 1, 0)</f>
        <v/>
      </c>
      <c r="AO17" s="79">
        <f>IF(COLUMNS($B$17:AO17) &gt;= Inputs!$F$59, 1, 0)</f>
        <v/>
      </c>
      <c r="AP17" s="79">
        <f>IF(COLUMNS($B$17:AP17) &gt;= Inputs!$F$59, 1, 0)</f>
        <v/>
      </c>
      <c r="AQ17" s="79">
        <f>IF(COLUMNS($B$17:AQ17) &gt;= Inputs!$F$59, 1, 0)</f>
        <v/>
      </c>
      <c r="AR17" s="79">
        <f>IF(COLUMNS($B$17:AR17) &gt;= Inputs!$F$59, 1, 0)</f>
        <v/>
      </c>
      <c r="AS17" s="79">
        <f>IF(COLUMNS($B$17:AS17) &gt;= Inputs!$F$59, 1, 0)</f>
        <v/>
      </c>
      <c r="AT17" s="79">
        <f>IF(COLUMNS($B$17:AT17) &gt;= Inputs!$F$59, 1, 0)</f>
        <v/>
      </c>
      <c r="AU17" s="79">
        <f>IF(COLUMNS($B$17:AU17) &gt;= Inputs!$F$59, 1, 0)</f>
        <v/>
      </c>
      <c r="AV17" s="79">
        <f>IF(COLUMNS($B$17:AV17) &gt;= Inputs!$F$59, 1, 0)</f>
        <v/>
      </c>
      <c r="AW17" s="79">
        <f>IF(COLUMNS($B$17:AW17) &gt;= Inputs!$F$59, 1, 0)</f>
        <v/>
      </c>
      <c r="AX17" s="79">
        <f>IF(COLUMNS($B$17:AX17) &gt;= Inputs!$F$59, 1, 0)</f>
        <v/>
      </c>
      <c r="AY17" s="79">
        <f>IF(COLUMNS($B$17:AY17) &gt;= Inputs!$F$59, 1, 0)</f>
        <v/>
      </c>
      <c r="AZ17" s="79">
        <f>IF(COLUMNS($B$17:AZ17) &gt;= Inputs!$F$59, 1, 0)</f>
        <v/>
      </c>
      <c r="BA17" s="79">
        <f>IF(COLUMNS($B$17:BA17) &gt;= Inputs!$F$59, 1, 0)</f>
        <v/>
      </c>
    </row>
    <row r="18" ht="14.25" customHeight="1" s="83">
      <c r="A18" s="77" t="inlineStr">
        <is>
          <t>4. Senior Engineer</t>
        </is>
      </c>
      <c r="B18" s="79">
        <f>IF(COLUMNS($B$18:B18) &gt;= Inputs!$F$60, 1, 0)</f>
        <v/>
      </c>
      <c r="C18" s="79">
        <f>IF(COLUMNS($B$18:C18) &gt;= Inputs!$F$60, 1, 0)</f>
        <v/>
      </c>
      <c r="D18" s="79">
        <f>IF(COLUMNS($B$18:D18) &gt;= Inputs!$F$60, 1, 0)</f>
        <v/>
      </c>
      <c r="E18" s="79">
        <f>IF(COLUMNS($B$18:E18) &gt;= Inputs!$F$60, 1, 0)</f>
        <v/>
      </c>
      <c r="F18" s="79">
        <f>IF(COLUMNS($B$18:F18) &gt;= Inputs!$F$60, 1, 0)</f>
        <v/>
      </c>
      <c r="G18" s="79">
        <f>IF(COLUMNS($B$18:G18) &gt;= Inputs!$F$60, 1, 0)</f>
        <v/>
      </c>
      <c r="H18" s="79">
        <f>IF(COLUMNS($B$18:H18) &gt;= Inputs!$F$60, 1, 0)</f>
        <v/>
      </c>
      <c r="I18" s="79">
        <f>IF(COLUMNS($B$18:I18) &gt;= Inputs!$F$60, 1, 0)</f>
        <v/>
      </c>
      <c r="J18" s="79">
        <f>IF(COLUMNS($B$18:J18) &gt;= Inputs!$F$60, 1, 0)</f>
        <v/>
      </c>
      <c r="K18" s="79">
        <f>IF(COLUMNS($B$18:K18) &gt;= Inputs!$F$60, 1, 0)</f>
        <v/>
      </c>
      <c r="L18" s="79">
        <f>IF(COLUMNS($B$18:L18) &gt;= Inputs!$F$60, 1, 0)</f>
        <v/>
      </c>
      <c r="M18" s="79">
        <f>IF(COLUMNS($B$18:M18) &gt;= Inputs!$F$60, 1, 0)</f>
        <v/>
      </c>
      <c r="N18" s="79">
        <f>IF(COLUMNS($B$18:N18) &gt;= Inputs!$F$60, 1, 0)</f>
        <v/>
      </c>
      <c r="O18" s="79">
        <f>IF(COLUMNS($B$18:O18) &gt;= Inputs!$F$60, 1, 0)</f>
        <v/>
      </c>
      <c r="P18" s="79">
        <f>IF(COLUMNS($B$18:P18) &gt;= Inputs!$F$60, 1, 0)</f>
        <v/>
      </c>
      <c r="Q18" s="79">
        <f>IF(COLUMNS($B$18:Q18) &gt;= Inputs!$F$60, 1, 0)</f>
        <v/>
      </c>
      <c r="R18" s="79">
        <f>IF(COLUMNS($B$18:R18) &gt;= Inputs!$F$60, 1, 0)</f>
        <v/>
      </c>
      <c r="S18" s="79">
        <f>IF(COLUMNS($B$18:S18) &gt;= Inputs!$F$60, 1, 0)</f>
        <v/>
      </c>
      <c r="T18" s="79">
        <f>IF(COLUMNS($B$18:T18) &gt;= Inputs!$F$60, 1, 0)</f>
        <v/>
      </c>
      <c r="U18" s="79">
        <f>IF(COLUMNS($B$18:U18) &gt;= Inputs!$F$60, 1, 0)</f>
        <v/>
      </c>
      <c r="V18" s="79">
        <f>IF(COLUMNS($B$18:V18) &gt;= Inputs!$F$60, 1, 0)</f>
        <v/>
      </c>
      <c r="W18" s="79">
        <f>IF(COLUMNS($B$18:W18) &gt;= Inputs!$F$60, 1, 0)</f>
        <v/>
      </c>
      <c r="X18" s="79">
        <f>IF(COLUMNS($B$18:X18) &gt;= Inputs!$F$60, 1, 0)</f>
        <v/>
      </c>
      <c r="Y18" s="79">
        <f>IF(COLUMNS($B$18:Y18) &gt;= Inputs!$F$60, 1, 0)</f>
        <v/>
      </c>
      <c r="Z18" s="79">
        <f>IF(COLUMNS($B$18:Z18) &gt;= Inputs!$F$60, 1, 0)</f>
        <v/>
      </c>
      <c r="AA18" s="79">
        <f>IF(COLUMNS($B$18:AA18) &gt;= Inputs!$F$60, 1, 0)</f>
        <v/>
      </c>
      <c r="AB18" s="79">
        <f>IF(COLUMNS($B$18:AB18) &gt;= Inputs!$F$60, 1, 0)</f>
        <v/>
      </c>
      <c r="AC18" s="79">
        <f>IF(COLUMNS($B$18:AC18) &gt;= Inputs!$F$60, 1, 0)</f>
        <v/>
      </c>
      <c r="AD18" s="79">
        <f>IF(COLUMNS($B$18:AD18) &gt;= Inputs!$F$60, 1, 0)</f>
        <v/>
      </c>
      <c r="AE18" s="79">
        <f>IF(COLUMNS($B$18:AE18) &gt;= Inputs!$F$60, 1, 0)</f>
        <v/>
      </c>
      <c r="AF18" s="79">
        <f>IF(COLUMNS($B$18:AF18) &gt;= Inputs!$F$60, 1, 0)</f>
        <v/>
      </c>
      <c r="AG18" s="79">
        <f>IF(COLUMNS($B$18:AG18) &gt;= Inputs!$F$60, 1, 0)</f>
        <v/>
      </c>
      <c r="AH18" s="79">
        <f>IF(COLUMNS($B$18:AH18) &gt;= Inputs!$F$60, 1, 0)</f>
        <v/>
      </c>
      <c r="AI18" s="79">
        <f>IF(COLUMNS($B$18:AI18) &gt;= Inputs!$F$60, 1, 0)</f>
        <v/>
      </c>
      <c r="AJ18" s="79">
        <f>IF(COLUMNS($B$18:AJ18) &gt;= Inputs!$F$60, 1, 0)</f>
        <v/>
      </c>
      <c r="AK18" s="79">
        <f>IF(COLUMNS($B$18:AK18) &gt;= Inputs!$F$60, 1, 0)</f>
        <v/>
      </c>
      <c r="AL18" s="79">
        <f>IF(COLUMNS($B$18:AL18) &gt;= Inputs!$F$60, 1, 0)</f>
        <v/>
      </c>
      <c r="AM18" s="79">
        <f>IF(COLUMNS($B$18:AM18) &gt;= Inputs!$F$60, 1, 0)</f>
        <v/>
      </c>
      <c r="AN18" s="79">
        <f>IF(COLUMNS($B$18:AN18) &gt;= Inputs!$F$60, 1, 0)</f>
        <v/>
      </c>
      <c r="AO18" s="79">
        <f>IF(COLUMNS($B$18:AO18) &gt;= Inputs!$F$60, 1, 0)</f>
        <v/>
      </c>
      <c r="AP18" s="79">
        <f>IF(COLUMNS($B$18:AP18) &gt;= Inputs!$F$60, 1, 0)</f>
        <v/>
      </c>
      <c r="AQ18" s="79">
        <f>IF(COLUMNS($B$18:AQ18) &gt;= Inputs!$F$60, 1, 0)</f>
        <v/>
      </c>
      <c r="AR18" s="79">
        <f>IF(COLUMNS($B$18:AR18) &gt;= Inputs!$F$60, 1, 0)</f>
        <v/>
      </c>
      <c r="AS18" s="79">
        <f>IF(COLUMNS($B$18:AS18) &gt;= Inputs!$F$60, 1, 0)</f>
        <v/>
      </c>
      <c r="AT18" s="79">
        <f>IF(COLUMNS($B$18:AT18) &gt;= Inputs!$F$60, 1, 0)</f>
        <v/>
      </c>
      <c r="AU18" s="79">
        <f>IF(COLUMNS($B$18:AU18) &gt;= Inputs!$F$60, 1, 0)</f>
        <v/>
      </c>
      <c r="AV18" s="79">
        <f>IF(COLUMNS($B$18:AV18) &gt;= Inputs!$F$60, 1, 0)</f>
        <v/>
      </c>
      <c r="AW18" s="79">
        <f>IF(COLUMNS($B$18:AW18) &gt;= Inputs!$F$60, 1, 0)</f>
        <v/>
      </c>
      <c r="AX18" s="79">
        <f>IF(COLUMNS($B$18:AX18) &gt;= Inputs!$F$60, 1, 0)</f>
        <v/>
      </c>
      <c r="AY18" s="79">
        <f>IF(COLUMNS($B$18:AY18) &gt;= Inputs!$F$60, 1, 0)</f>
        <v/>
      </c>
      <c r="AZ18" s="79">
        <f>IF(COLUMNS($B$18:AZ18) &gt;= Inputs!$F$60, 1, 0)</f>
        <v/>
      </c>
      <c r="BA18" s="79">
        <f>IF(COLUMNS($B$18:BA18) &gt;= Inputs!$F$60, 1, 0)</f>
        <v/>
      </c>
    </row>
    <row r="19" ht="14.25" customHeight="1" s="83">
      <c r="A19" s="77" t="inlineStr">
        <is>
          <t>2. Junior Engineer</t>
        </is>
      </c>
      <c r="B19" s="79">
        <f>IF(COLUMNS($B$19:B19) &gt;= Inputs!$F$61, 1, 0)</f>
        <v/>
      </c>
      <c r="C19" s="79">
        <f>IF(COLUMNS($B$19:C19) &gt;= Inputs!$F$61, 1, 0)</f>
        <v/>
      </c>
      <c r="D19" s="79">
        <f>IF(COLUMNS($B$19:D19) &gt;= Inputs!$F$61, 1, 0)</f>
        <v/>
      </c>
      <c r="E19" s="79">
        <f>IF(COLUMNS($B$19:E19) &gt;= Inputs!$F$61, 1, 0)</f>
        <v/>
      </c>
      <c r="F19" s="79">
        <f>IF(COLUMNS($B$19:F19) &gt;= Inputs!$F$61, 1, 0)</f>
        <v/>
      </c>
      <c r="G19" s="79">
        <f>IF(COLUMNS($B$19:G19) &gt;= Inputs!$F$61, 1, 0)</f>
        <v/>
      </c>
      <c r="H19" s="79">
        <f>IF(COLUMNS($B$19:H19) &gt;= Inputs!$F$61, 1, 0)</f>
        <v/>
      </c>
      <c r="I19" s="79">
        <f>IF(COLUMNS($B$19:I19) &gt;= Inputs!$F$61, 1, 0)</f>
        <v/>
      </c>
      <c r="J19" s="79">
        <f>IF(COLUMNS($B$19:J19) &gt;= Inputs!$F$61, 1, 0)</f>
        <v/>
      </c>
      <c r="K19" s="79">
        <f>IF(COLUMNS($B$19:K19) &gt;= Inputs!$F$61, 1, 0)</f>
        <v/>
      </c>
      <c r="L19" s="79">
        <f>IF(COLUMNS($B$19:L19) &gt;= Inputs!$F$61, 1, 0)</f>
        <v/>
      </c>
      <c r="M19" s="79">
        <f>IF(COLUMNS($B$19:M19) &gt;= Inputs!$F$61, 1, 0)</f>
        <v/>
      </c>
      <c r="N19" s="79">
        <f>IF(COLUMNS($B$19:N19) &gt;= Inputs!$F$61, 1, 0)</f>
        <v/>
      </c>
      <c r="O19" s="79">
        <f>IF(COLUMNS($B$19:O19) &gt;= Inputs!$F$61, 1, 0)</f>
        <v/>
      </c>
      <c r="P19" s="79">
        <f>IF(COLUMNS($B$19:P19) &gt;= Inputs!$F$61, 1, 0)</f>
        <v/>
      </c>
      <c r="Q19" s="79">
        <f>IF(COLUMNS($B$19:Q19) &gt;= Inputs!$F$61, 1, 0)</f>
        <v/>
      </c>
      <c r="R19" s="79">
        <f>IF(COLUMNS($B$19:R19) &gt;= Inputs!$F$61, 1, 0)</f>
        <v/>
      </c>
      <c r="S19" s="79">
        <f>IF(COLUMNS($B$19:S19) &gt;= Inputs!$F$61, 1, 0)</f>
        <v/>
      </c>
      <c r="T19" s="79">
        <f>IF(COLUMNS($B$19:T19) &gt;= Inputs!$F$61, 1, 0)</f>
        <v/>
      </c>
      <c r="U19" s="79">
        <f>IF(COLUMNS($B$19:U19) &gt;= Inputs!$F$61, 1, 0)</f>
        <v/>
      </c>
      <c r="V19" s="79">
        <f>IF(COLUMNS($B$19:V19) &gt;= Inputs!$F$61, 1, 0)</f>
        <v/>
      </c>
      <c r="W19" s="79">
        <f>IF(COLUMNS($B$19:W19) &gt;= Inputs!$F$61, 1, 0)</f>
        <v/>
      </c>
      <c r="X19" s="79">
        <f>IF(COLUMNS($B$19:X19) &gt;= Inputs!$F$61, 1, 0)</f>
        <v/>
      </c>
      <c r="Y19" s="79">
        <f>IF(COLUMNS($B$19:Y19) &gt;= Inputs!$F$61, 1, 0)</f>
        <v/>
      </c>
      <c r="Z19" s="79">
        <f>IF(COLUMNS($B$19:Z19) &gt;= Inputs!$F$61, 1, 0)</f>
        <v/>
      </c>
      <c r="AA19" s="79">
        <f>IF(COLUMNS($B$19:AA19) &gt;= Inputs!$F$61, 1, 0)</f>
        <v/>
      </c>
      <c r="AB19" s="79">
        <f>IF(COLUMNS($B$19:AB19) &gt;= Inputs!$F$61, 1, 0)</f>
        <v/>
      </c>
      <c r="AC19" s="79">
        <f>IF(COLUMNS($B$19:AC19) &gt;= Inputs!$F$61, 1, 0)</f>
        <v/>
      </c>
      <c r="AD19" s="79">
        <f>IF(COLUMNS($B$19:AD19) &gt;= Inputs!$F$61, 1, 0)</f>
        <v/>
      </c>
      <c r="AE19" s="79">
        <f>IF(COLUMNS($B$19:AE19) &gt;= Inputs!$F$61, 1, 0)</f>
        <v/>
      </c>
      <c r="AF19" s="79">
        <f>IF(COLUMNS($B$19:AF19) &gt;= Inputs!$F$61, 1, 0)</f>
        <v/>
      </c>
      <c r="AG19" s="79">
        <f>IF(COLUMNS($B$19:AG19) &gt;= Inputs!$F$61, 1, 0)</f>
        <v/>
      </c>
      <c r="AH19" s="79">
        <f>IF(COLUMNS($B$19:AH19) &gt;= Inputs!$F$61, 1, 0)</f>
        <v/>
      </c>
      <c r="AI19" s="79">
        <f>IF(COLUMNS($B$19:AI19) &gt;= Inputs!$F$61, 1, 0)</f>
        <v/>
      </c>
      <c r="AJ19" s="79">
        <f>IF(COLUMNS($B$19:AJ19) &gt;= Inputs!$F$61, 1, 0)</f>
        <v/>
      </c>
      <c r="AK19" s="79">
        <f>IF(COLUMNS($B$19:AK19) &gt;= Inputs!$F$61, 1, 0)</f>
        <v/>
      </c>
      <c r="AL19" s="79">
        <f>IF(COLUMNS($B$19:AL19) &gt;= Inputs!$F$61, 1, 0)</f>
        <v/>
      </c>
      <c r="AM19" s="79">
        <f>IF(COLUMNS($B$19:AM19) &gt;= Inputs!$F$61, 1, 0)</f>
        <v/>
      </c>
      <c r="AN19" s="79">
        <f>IF(COLUMNS($B$19:AN19) &gt;= Inputs!$F$61, 1, 0)</f>
        <v/>
      </c>
      <c r="AO19" s="79">
        <f>IF(COLUMNS($B$19:AO19) &gt;= Inputs!$F$61, 1, 0)</f>
        <v/>
      </c>
      <c r="AP19" s="79">
        <f>IF(COLUMNS($B$19:AP19) &gt;= Inputs!$F$61, 1, 0)</f>
        <v/>
      </c>
      <c r="AQ19" s="79">
        <f>IF(COLUMNS($B$19:AQ19) &gt;= Inputs!$F$61, 1, 0)</f>
        <v/>
      </c>
      <c r="AR19" s="79">
        <f>IF(COLUMNS($B$19:AR19) &gt;= Inputs!$F$61, 1, 0)</f>
        <v/>
      </c>
      <c r="AS19" s="79">
        <f>IF(COLUMNS($B$19:AS19) &gt;= Inputs!$F$61, 1, 0)</f>
        <v/>
      </c>
      <c r="AT19" s="79">
        <f>IF(COLUMNS($B$19:AT19) &gt;= Inputs!$F$61, 1, 0)</f>
        <v/>
      </c>
      <c r="AU19" s="79">
        <f>IF(COLUMNS($B$19:AU19) &gt;= Inputs!$F$61, 1, 0)</f>
        <v/>
      </c>
      <c r="AV19" s="79">
        <f>IF(COLUMNS($B$19:AV19) &gt;= Inputs!$F$61, 1, 0)</f>
        <v/>
      </c>
      <c r="AW19" s="79">
        <f>IF(COLUMNS($B$19:AW19) &gt;= Inputs!$F$61, 1, 0)</f>
        <v/>
      </c>
      <c r="AX19" s="79">
        <f>IF(COLUMNS($B$19:AX19) &gt;= Inputs!$F$61, 1, 0)</f>
        <v/>
      </c>
      <c r="AY19" s="79">
        <f>IF(COLUMNS($B$19:AY19) &gt;= Inputs!$F$61, 1, 0)</f>
        <v/>
      </c>
      <c r="AZ19" s="79">
        <f>IF(COLUMNS($B$19:AZ19) &gt;= Inputs!$F$61, 1, 0)</f>
        <v/>
      </c>
      <c r="BA19" s="79">
        <f>IF(COLUMNS($B$19:BA19) &gt;= Inputs!$F$61, 1, 0)</f>
        <v/>
      </c>
    </row>
    <row r="20" ht="14.25" customHeight="1" s="83">
      <c r="A20" s="77" t="inlineStr">
        <is>
          <t>3. ML/AI Engineer</t>
        </is>
      </c>
      <c r="B20" s="79">
        <f>IF(COLUMNS($B$20:B20) &gt;= Inputs!$F$62, 1, 0)</f>
        <v/>
      </c>
      <c r="C20" s="79">
        <f>IF(COLUMNS($B$20:C20) &gt;= Inputs!$F$62, 1, 0)</f>
        <v/>
      </c>
      <c r="D20" s="79">
        <f>IF(COLUMNS($B$20:D20) &gt;= Inputs!$F$62, 1, 0)</f>
        <v/>
      </c>
      <c r="E20" s="79">
        <f>IF(COLUMNS($B$20:E20) &gt;= Inputs!$F$62, 1, 0)</f>
        <v/>
      </c>
      <c r="F20" s="79">
        <f>IF(COLUMNS($B$20:F20) &gt;= Inputs!$F$62, 1, 0)</f>
        <v/>
      </c>
      <c r="G20" s="79">
        <f>IF(COLUMNS($B$20:G20) &gt;= Inputs!$F$62, 1, 0)</f>
        <v/>
      </c>
      <c r="H20" s="79">
        <f>IF(COLUMNS($B$20:H20) &gt;= Inputs!$F$62, 1, 0)</f>
        <v/>
      </c>
      <c r="I20" s="79">
        <f>IF(COLUMNS($B$20:I20) &gt;= Inputs!$F$62, 1, 0)</f>
        <v/>
      </c>
      <c r="J20" s="79">
        <f>IF(COLUMNS($B$20:J20) &gt;= Inputs!$F$62, 1, 0)</f>
        <v/>
      </c>
      <c r="K20" s="79">
        <f>IF(COLUMNS($B$20:K20) &gt;= Inputs!$F$62, 1, 0)</f>
        <v/>
      </c>
      <c r="L20" s="79">
        <f>IF(COLUMNS($B$20:L20) &gt;= Inputs!$F$62, 1, 0)</f>
        <v/>
      </c>
      <c r="M20" s="79">
        <f>IF(COLUMNS($B$20:M20) &gt;= Inputs!$F$62, 1, 0)</f>
        <v/>
      </c>
      <c r="N20" s="79">
        <f>IF(COLUMNS($B$20:N20) &gt;= Inputs!$F$62, 1, 0)</f>
        <v/>
      </c>
      <c r="O20" s="79">
        <f>IF(COLUMNS($B$20:O20) &gt;= Inputs!$F$62, 1, 0)</f>
        <v/>
      </c>
      <c r="P20" s="79">
        <f>IF(COLUMNS($B$20:P20) &gt;= Inputs!$F$62, 1, 0)</f>
        <v/>
      </c>
      <c r="Q20" s="79">
        <f>IF(COLUMNS($B$20:Q20) &gt;= Inputs!$F$62, 1, 0)</f>
        <v/>
      </c>
      <c r="R20" s="79">
        <f>IF(COLUMNS($B$20:R20) &gt;= Inputs!$F$62, 1, 0)</f>
        <v/>
      </c>
      <c r="S20" s="79">
        <f>IF(COLUMNS($B$20:S20) &gt;= Inputs!$F$62, 1, 0)</f>
        <v/>
      </c>
      <c r="T20" s="79">
        <f>IF(COLUMNS($B$20:T20) &gt;= Inputs!$F$62, 1, 0)</f>
        <v/>
      </c>
      <c r="U20" s="79">
        <f>IF(COLUMNS($B$20:U20) &gt;= Inputs!$F$62, 1, 0)</f>
        <v/>
      </c>
      <c r="V20" s="79">
        <f>IF(COLUMNS($B$20:V20) &gt;= Inputs!$F$62, 1, 0)</f>
        <v/>
      </c>
      <c r="W20" s="79">
        <f>IF(COLUMNS($B$20:W20) &gt;= Inputs!$F$62, 1, 0)</f>
        <v/>
      </c>
      <c r="X20" s="79">
        <f>IF(COLUMNS($B$20:X20) &gt;= Inputs!$F$62, 1, 0)</f>
        <v/>
      </c>
      <c r="Y20" s="79">
        <f>IF(COLUMNS($B$20:Y20) &gt;= Inputs!$F$62, 1, 0)</f>
        <v/>
      </c>
      <c r="Z20" s="79">
        <f>IF(COLUMNS($B$20:Z20) &gt;= Inputs!$F$62, 1, 0)</f>
        <v/>
      </c>
      <c r="AA20" s="79">
        <f>IF(COLUMNS($B$20:AA20) &gt;= Inputs!$F$62, 1, 0)</f>
        <v/>
      </c>
      <c r="AB20" s="79">
        <f>IF(COLUMNS($B$20:AB20) &gt;= Inputs!$F$62, 1, 0)</f>
        <v/>
      </c>
      <c r="AC20" s="79">
        <f>IF(COLUMNS($B$20:AC20) &gt;= Inputs!$F$62, 1, 0)</f>
        <v/>
      </c>
      <c r="AD20" s="79">
        <f>IF(COLUMNS($B$20:AD20) &gt;= Inputs!$F$62, 1, 0)</f>
        <v/>
      </c>
      <c r="AE20" s="79">
        <f>IF(COLUMNS($B$20:AE20) &gt;= Inputs!$F$62, 1, 0)</f>
        <v/>
      </c>
      <c r="AF20" s="79">
        <f>IF(COLUMNS($B$20:AF20) &gt;= Inputs!$F$62, 1, 0)</f>
        <v/>
      </c>
      <c r="AG20" s="79">
        <f>IF(COLUMNS($B$20:AG20) &gt;= Inputs!$F$62, 1, 0)</f>
        <v/>
      </c>
      <c r="AH20" s="79">
        <f>IF(COLUMNS($B$20:AH20) &gt;= Inputs!$F$62, 1, 0)</f>
        <v/>
      </c>
      <c r="AI20" s="79">
        <f>IF(COLUMNS($B$20:AI20) &gt;= Inputs!$F$62, 1, 0)</f>
        <v/>
      </c>
      <c r="AJ20" s="79">
        <f>IF(COLUMNS($B$20:AJ20) &gt;= Inputs!$F$62, 1, 0)</f>
        <v/>
      </c>
      <c r="AK20" s="79">
        <f>IF(COLUMNS($B$20:AK20) &gt;= Inputs!$F$62, 1, 0)</f>
        <v/>
      </c>
      <c r="AL20" s="79">
        <f>IF(COLUMNS($B$20:AL20) &gt;= Inputs!$F$62, 1, 0)</f>
        <v/>
      </c>
      <c r="AM20" s="79">
        <f>IF(COLUMNS($B$20:AM20) &gt;= Inputs!$F$62, 1, 0)</f>
        <v/>
      </c>
      <c r="AN20" s="79">
        <f>IF(COLUMNS($B$20:AN20) &gt;= Inputs!$F$62, 1, 0)</f>
        <v/>
      </c>
      <c r="AO20" s="79">
        <f>IF(COLUMNS($B$20:AO20) &gt;= Inputs!$F$62, 1, 0)</f>
        <v/>
      </c>
      <c r="AP20" s="79">
        <f>IF(COLUMNS($B$20:AP20) &gt;= Inputs!$F$62, 1, 0)</f>
        <v/>
      </c>
      <c r="AQ20" s="79">
        <f>IF(COLUMNS($B$20:AQ20) &gt;= Inputs!$F$62, 1, 0)</f>
        <v/>
      </c>
      <c r="AR20" s="79">
        <f>IF(COLUMNS($B$20:AR20) &gt;= Inputs!$F$62, 1, 0)</f>
        <v/>
      </c>
      <c r="AS20" s="79">
        <f>IF(COLUMNS($B$20:AS20) &gt;= Inputs!$F$62, 1, 0)</f>
        <v/>
      </c>
      <c r="AT20" s="79">
        <f>IF(COLUMNS($B$20:AT20) &gt;= Inputs!$F$62, 1, 0)</f>
        <v/>
      </c>
      <c r="AU20" s="79">
        <f>IF(COLUMNS($B$20:AU20) &gt;= Inputs!$F$62, 1, 0)</f>
        <v/>
      </c>
      <c r="AV20" s="79">
        <f>IF(COLUMNS($B$20:AV20) &gt;= Inputs!$F$62, 1, 0)</f>
        <v/>
      </c>
      <c r="AW20" s="79">
        <f>IF(COLUMNS($B$20:AW20) &gt;= Inputs!$F$62, 1, 0)</f>
        <v/>
      </c>
      <c r="AX20" s="79">
        <f>IF(COLUMNS($B$20:AX20) &gt;= Inputs!$F$62, 1, 0)</f>
        <v/>
      </c>
      <c r="AY20" s="79">
        <f>IF(COLUMNS($B$20:AY20) &gt;= Inputs!$F$62, 1, 0)</f>
        <v/>
      </c>
      <c r="AZ20" s="79">
        <f>IF(COLUMNS($B$20:AZ20) &gt;= Inputs!$F$62, 1, 0)</f>
        <v/>
      </c>
      <c r="BA20" s="79">
        <f>IF(COLUMNS($B$20:BA20) &gt;= Inputs!$F$62, 1, 0)</f>
        <v/>
      </c>
    </row>
    <row r="21" ht="14.25" customHeight="1" s="83">
      <c r="A21" s="77" t="inlineStr">
        <is>
          <t>3. Sales Rep</t>
        </is>
      </c>
      <c r="B21" s="79">
        <f>IF(COLUMNS($B$21:B21) &gt;= Inputs!$F$63, 1, 0)</f>
        <v/>
      </c>
      <c r="C21" s="79">
        <f>IF(COLUMNS($B$21:C21) &gt;= Inputs!$F$63, 1, 0)</f>
        <v/>
      </c>
      <c r="D21" s="79">
        <f>IF(COLUMNS($B$21:D21) &gt;= Inputs!$F$63, 1, 0)</f>
        <v/>
      </c>
      <c r="E21" s="79">
        <f>IF(COLUMNS($B$21:E21) &gt;= Inputs!$F$63, 1, 0)</f>
        <v/>
      </c>
      <c r="F21" s="79">
        <f>IF(COLUMNS($B$21:F21) &gt;= Inputs!$F$63, 1, 0)</f>
        <v/>
      </c>
      <c r="G21" s="79">
        <f>IF(COLUMNS($B$21:G21) &gt;= Inputs!$F$63, 1, 0)</f>
        <v/>
      </c>
      <c r="H21" s="79">
        <f>IF(COLUMNS($B$21:H21) &gt;= Inputs!$F$63, 1, 0)</f>
        <v/>
      </c>
      <c r="I21" s="79">
        <f>IF(COLUMNS($B$21:I21) &gt;= Inputs!$F$63, 1, 0)</f>
        <v/>
      </c>
      <c r="J21" s="79">
        <f>IF(COLUMNS($B$21:J21) &gt;= Inputs!$F$63, 1, 0)</f>
        <v/>
      </c>
      <c r="K21" s="79">
        <f>IF(COLUMNS($B$21:K21) &gt;= Inputs!$F$63, 1, 0)</f>
        <v/>
      </c>
      <c r="L21" s="79">
        <f>IF(COLUMNS($B$21:L21) &gt;= Inputs!$F$63, 1, 0)</f>
        <v/>
      </c>
      <c r="M21" s="79">
        <f>IF(COLUMNS($B$21:M21) &gt;= Inputs!$F$63, 1, 0)</f>
        <v/>
      </c>
      <c r="N21" s="79">
        <f>IF(COLUMNS($B$21:N21) &gt;= Inputs!$F$63, 1, 0)</f>
        <v/>
      </c>
      <c r="O21" s="79">
        <f>IF(COLUMNS($B$21:O21) &gt;= Inputs!$F$63, 1, 0)</f>
        <v/>
      </c>
      <c r="P21" s="79">
        <f>IF(COLUMNS($B$21:P21) &gt;= Inputs!$F$63, 1, 0)</f>
        <v/>
      </c>
      <c r="Q21" s="79">
        <f>IF(COLUMNS($B$21:Q21) &gt;= Inputs!$F$63, 1, 0)</f>
        <v/>
      </c>
      <c r="R21" s="79">
        <f>IF(COLUMNS($B$21:R21) &gt;= Inputs!$F$63, 1, 0)</f>
        <v/>
      </c>
      <c r="S21" s="79">
        <f>IF(COLUMNS($B$21:S21) &gt;= Inputs!$F$63, 1, 0)</f>
        <v/>
      </c>
      <c r="T21" s="79">
        <f>IF(COLUMNS($B$21:T21) &gt;= Inputs!$F$63, 1, 0)</f>
        <v/>
      </c>
      <c r="U21" s="79">
        <f>IF(COLUMNS($B$21:U21) &gt;= Inputs!$F$63, 1, 0)</f>
        <v/>
      </c>
      <c r="V21" s="79">
        <f>IF(COLUMNS($B$21:V21) &gt;= Inputs!$F$63, 1, 0)</f>
        <v/>
      </c>
      <c r="W21" s="79">
        <f>IF(COLUMNS($B$21:W21) &gt;= Inputs!$F$63, 1, 0)</f>
        <v/>
      </c>
      <c r="X21" s="79">
        <f>IF(COLUMNS($B$21:X21) &gt;= Inputs!$F$63, 1, 0)</f>
        <v/>
      </c>
      <c r="Y21" s="79">
        <f>IF(COLUMNS($B$21:Y21) &gt;= Inputs!$F$63, 1, 0)</f>
        <v/>
      </c>
      <c r="Z21" s="79">
        <f>IF(COLUMNS($B$21:Z21) &gt;= Inputs!$F$63, 1, 0)</f>
        <v/>
      </c>
      <c r="AA21" s="79">
        <f>IF(COLUMNS($B$21:AA21) &gt;= Inputs!$F$63, 1, 0)</f>
        <v/>
      </c>
      <c r="AB21" s="79">
        <f>IF(COLUMNS($B$21:AB21) &gt;= Inputs!$F$63, 1, 0)</f>
        <v/>
      </c>
      <c r="AC21" s="79">
        <f>IF(COLUMNS($B$21:AC21) &gt;= Inputs!$F$63, 1, 0)</f>
        <v/>
      </c>
      <c r="AD21" s="79">
        <f>IF(COLUMNS($B$21:AD21) &gt;= Inputs!$F$63, 1, 0)</f>
        <v/>
      </c>
      <c r="AE21" s="79">
        <f>IF(COLUMNS($B$21:AE21) &gt;= Inputs!$F$63, 1, 0)</f>
        <v/>
      </c>
      <c r="AF21" s="79">
        <f>IF(COLUMNS($B$21:AF21) &gt;= Inputs!$F$63, 1, 0)</f>
        <v/>
      </c>
      <c r="AG21" s="79">
        <f>IF(COLUMNS($B$21:AG21) &gt;= Inputs!$F$63, 1, 0)</f>
        <v/>
      </c>
      <c r="AH21" s="79">
        <f>IF(COLUMNS($B$21:AH21) &gt;= Inputs!$F$63, 1, 0)</f>
        <v/>
      </c>
      <c r="AI21" s="79">
        <f>IF(COLUMNS($B$21:AI21) &gt;= Inputs!$F$63, 1, 0)</f>
        <v/>
      </c>
      <c r="AJ21" s="79">
        <f>IF(COLUMNS($B$21:AJ21) &gt;= Inputs!$F$63, 1, 0)</f>
        <v/>
      </c>
      <c r="AK21" s="79">
        <f>IF(COLUMNS($B$21:AK21) &gt;= Inputs!$F$63, 1, 0)</f>
        <v/>
      </c>
      <c r="AL21" s="79">
        <f>IF(COLUMNS($B$21:AL21) &gt;= Inputs!$F$63, 1, 0)</f>
        <v/>
      </c>
      <c r="AM21" s="79">
        <f>IF(COLUMNS($B$21:AM21) &gt;= Inputs!$F$63, 1, 0)</f>
        <v/>
      </c>
      <c r="AN21" s="79">
        <f>IF(COLUMNS($B$21:AN21) &gt;= Inputs!$F$63, 1, 0)</f>
        <v/>
      </c>
      <c r="AO21" s="79">
        <f>IF(COLUMNS($B$21:AO21) &gt;= Inputs!$F$63, 1, 0)</f>
        <v/>
      </c>
      <c r="AP21" s="79">
        <f>IF(COLUMNS($B$21:AP21) &gt;= Inputs!$F$63, 1, 0)</f>
        <v/>
      </c>
      <c r="AQ21" s="79">
        <f>IF(COLUMNS($B$21:AQ21) &gt;= Inputs!$F$63, 1, 0)</f>
        <v/>
      </c>
      <c r="AR21" s="79">
        <f>IF(COLUMNS($B$21:AR21) &gt;= Inputs!$F$63, 1, 0)</f>
        <v/>
      </c>
      <c r="AS21" s="79">
        <f>IF(COLUMNS($B$21:AS21) &gt;= Inputs!$F$63, 1, 0)</f>
        <v/>
      </c>
      <c r="AT21" s="79">
        <f>IF(COLUMNS($B$21:AT21) &gt;= Inputs!$F$63, 1, 0)</f>
        <v/>
      </c>
      <c r="AU21" s="79">
        <f>IF(COLUMNS($B$21:AU21) &gt;= Inputs!$F$63, 1, 0)</f>
        <v/>
      </c>
      <c r="AV21" s="79">
        <f>IF(COLUMNS($B$21:AV21) &gt;= Inputs!$F$63, 1, 0)</f>
        <v/>
      </c>
      <c r="AW21" s="79">
        <f>IF(COLUMNS($B$21:AW21) &gt;= Inputs!$F$63, 1, 0)</f>
        <v/>
      </c>
      <c r="AX21" s="79">
        <f>IF(COLUMNS($B$21:AX21) &gt;= Inputs!$F$63, 1, 0)</f>
        <v/>
      </c>
      <c r="AY21" s="79">
        <f>IF(COLUMNS($B$21:AY21) &gt;= Inputs!$F$63, 1, 0)</f>
        <v/>
      </c>
      <c r="AZ21" s="79">
        <f>IF(COLUMNS($B$21:AZ21) &gt;= Inputs!$F$63, 1, 0)</f>
        <v/>
      </c>
      <c r="BA21" s="79">
        <f>IF(COLUMNS($B$21:BA21) &gt;= Inputs!$F$63, 1, 0)</f>
        <v/>
      </c>
    </row>
    <row r="22" ht="14.25" customHeight="1" s="83">
      <c r="A22" s="77" t="inlineStr">
        <is>
          <t>2. Customer Success</t>
        </is>
      </c>
      <c r="B22" s="79">
        <f>IF(COLUMNS($B$22:B22) &gt;= Inputs!$F$64, 1, 0)</f>
        <v/>
      </c>
      <c r="C22" s="79">
        <f>IF(COLUMNS($B$22:C22) &gt;= Inputs!$F$64, 1, 0)</f>
        <v/>
      </c>
      <c r="D22" s="79">
        <f>IF(COLUMNS($B$22:D22) &gt;= Inputs!$F$64, 1, 0)</f>
        <v/>
      </c>
      <c r="E22" s="79">
        <f>IF(COLUMNS($B$22:E22) &gt;= Inputs!$F$64, 1, 0)</f>
        <v/>
      </c>
      <c r="F22" s="79">
        <f>IF(COLUMNS($B$22:F22) &gt;= Inputs!$F$64, 1, 0)</f>
        <v/>
      </c>
      <c r="G22" s="79">
        <f>IF(COLUMNS($B$22:G22) &gt;= Inputs!$F$64, 1, 0)</f>
        <v/>
      </c>
      <c r="H22" s="79">
        <f>IF(COLUMNS($B$22:H22) &gt;= Inputs!$F$64, 1, 0)</f>
        <v/>
      </c>
      <c r="I22" s="79">
        <f>IF(COLUMNS($B$22:I22) &gt;= Inputs!$F$64, 1, 0)</f>
        <v/>
      </c>
      <c r="J22" s="79">
        <f>IF(COLUMNS($B$22:J22) &gt;= Inputs!$F$64, 1, 0)</f>
        <v/>
      </c>
      <c r="K22" s="79">
        <f>IF(COLUMNS($B$22:K22) &gt;= Inputs!$F$64, 1, 0)</f>
        <v/>
      </c>
      <c r="L22" s="79">
        <f>IF(COLUMNS($B$22:L22) &gt;= Inputs!$F$64, 1, 0)</f>
        <v/>
      </c>
      <c r="M22" s="79">
        <f>IF(COLUMNS($B$22:M22) &gt;= Inputs!$F$64, 1, 0)</f>
        <v/>
      </c>
      <c r="N22" s="79">
        <f>IF(COLUMNS($B$22:N22) &gt;= Inputs!$F$64, 1, 0)</f>
        <v/>
      </c>
      <c r="O22" s="79">
        <f>IF(COLUMNS($B$22:O22) &gt;= Inputs!$F$64, 1, 0)</f>
        <v/>
      </c>
      <c r="P22" s="79">
        <f>IF(COLUMNS($B$22:P22) &gt;= Inputs!$F$64, 1, 0)</f>
        <v/>
      </c>
      <c r="Q22" s="79">
        <f>IF(COLUMNS($B$22:Q22) &gt;= Inputs!$F$64, 1, 0)</f>
        <v/>
      </c>
      <c r="R22" s="79">
        <f>IF(COLUMNS($B$22:R22) &gt;= Inputs!$F$64, 1, 0)</f>
        <v/>
      </c>
      <c r="S22" s="79">
        <f>IF(COLUMNS($B$22:S22) &gt;= Inputs!$F$64, 1, 0)</f>
        <v/>
      </c>
      <c r="T22" s="79">
        <f>IF(COLUMNS($B$22:T22) &gt;= Inputs!$F$64, 1, 0)</f>
        <v/>
      </c>
      <c r="U22" s="79">
        <f>IF(COLUMNS($B$22:U22) &gt;= Inputs!$F$64, 1, 0)</f>
        <v/>
      </c>
      <c r="V22" s="79">
        <f>IF(COLUMNS($B$22:V22) &gt;= Inputs!$F$64, 1, 0)</f>
        <v/>
      </c>
      <c r="W22" s="79">
        <f>IF(COLUMNS($B$22:W22) &gt;= Inputs!$F$64, 1, 0)</f>
        <v/>
      </c>
      <c r="X22" s="79">
        <f>IF(COLUMNS($B$22:X22) &gt;= Inputs!$F$64, 1, 0)</f>
        <v/>
      </c>
      <c r="Y22" s="79">
        <f>IF(COLUMNS($B$22:Y22) &gt;= Inputs!$F$64, 1, 0)</f>
        <v/>
      </c>
      <c r="Z22" s="79">
        <f>IF(COLUMNS($B$22:Z22) &gt;= Inputs!$F$64, 1, 0)</f>
        <v/>
      </c>
      <c r="AA22" s="79">
        <f>IF(COLUMNS($B$22:AA22) &gt;= Inputs!$F$64, 1, 0)</f>
        <v/>
      </c>
      <c r="AB22" s="79">
        <f>IF(COLUMNS($B$22:AB22) &gt;= Inputs!$F$64, 1, 0)</f>
        <v/>
      </c>
      <c r="AC22" s="79">
        <f>IF(COLUMNS($B$22:AC22) &gt;= Inputs!$F$64, 1, 0)</f>
        <v/>
      </c>
      <c r="AD22" s="79">
        <f>IF(COLUMNS($B$22:AD22) &gt;= Inputs!$F$64, 1, 0)</f>
        <v/>
      </c>
      <c r="AE22" s="79">
        <f>IF(COLUMNS($B$22:AE22) &gt;= Inputs!$F$64, 1, 0)</f>
        <v/>
      </c>
      <c r="AF22" s="79">
        <f>IF(COLUMNS($B$22:AF22) &gt;= Inputs!$F$64, 1, 0)</f>
        <v/>
      </c>
      <c r="AG22" s="79">
        <f>IF(COLUMNS($B$22:AG22) &gt;= Inputs!$F$64, 1, 0)</f>
        <v/>
      </c>
      <c r="AH22" s="79">
        <f>IF(COLUMNS($B$22:AH22) &gt;= Inputs!$F$64, 1, 0)</f>
        <v/>
      </c>
      <c r="AI22" s="79">
        <f>IF(COLUMNS($B$22:AI22) &gt;= Inputs!$F$64, 1, 0)</f>
        <v/>
      </c>
      <c r="AJ22" s="79">
        <f>IF(COLUMNS($B$22:AJ22) &gt;= Inputs!$F$64, 1, 0)</f>
        <v/>
      </c>
      <c r="AK22" s="79">
        <f>IF(COLUMNS($B$22:AK22) &gt;= Inputs!$F$64, 1, 0)</f>
        <v/>
      </c>
      <c r="AL22" s="79">
        <f>IF(COLUMNS($B$22:AL22) &gt;= Inputs!$F$64, 1, 0)</f>
        <v/>
      </c>
      <c r="AM22" s="79">
        <f>IF(COLUMNS($B$22:AM22) &gt;= Inputs!$F$64, 1, 0)</f>
        <v/>
      </c>
      <c r="AN22" s="79">
        <f>IF(COLUMNS($B$22:AN22) &gt;= Inputs!$F$64, 1, 0)</f>
        <v/>
      </c>
      <c r="AO22" s="79">
        <f>IF(COLUMNS($B$22:AO22) &gt;= Inputs!$F$64, 1, 0)</f>
        <v/>
      </c>
      <c r="AP22" s="79">
        <f>IF(COLUMNS($B$22:AP22) &gt;= Inputs!$F$64, 1, 0)</f>
        <v/>
      </c>
      <c r="AQ22" s="79">
        <f>IF(COLUMNS($B$22:AQ22) &gt;= Inputs!$F$64, 1, 0)</f>
        <v/>
      </c>
      <c r="AR22" s="79">
        <f>IF(COLUMNS($B$22:AR22) &gt;= Inputs!$F$64, 1, 0)</f>
        <v/>
      </c>
      <c r="AS22" s="79">
        <f>IF(COLUMNS($B$22:AS22) &gt;= Inputs!$F$64, 1, 0)</f>
        <v/>
      </c>
      <c r="AT22" s="79">
        <f>IF(COLUMNS($B$22:AT22) &gt;= Inputs!$F$64, 1, 0)</f>
        <v/>
      </c>
      <c r="AU22" s="79">
        <f>IF(COLUMNS($B$22:AU22) &gt;= Inputs!$F$64, 1, 0)</f>
        <v/>
      </c>
      <c r="AV22" s="79">
        <f>IF(COLUMNS($B$22:AV22) &gt;= Inputs!$F$64, 1, 0)</f>
        <v/>
      </c>
      <c r="AW22" s="79">
        <f>IF(COLUMNS($B$22:AW22) &gt;= Inputs!$F$64, 1, 0)</f>
        <v/>
      </c>
      <c r="AX22" s="79">
        <f>IF(COLUMNS($B$22:AX22) &gt;= Inputs!$F$64, 1, 0)</f>
        <v/>
      </c>
      <c r="AY22" s="79">
        <f>IF(COLUMNS($B$22:AY22) &gt;= Inputs!$F$64, 1, 0)</f>
        <v/>
      </c>
      <c r="AZ22" s="79">
        <f>IF(COLUMNS($B$22:AZ22) &gt;= Inputs!$F$64, 1, 0)</f>
        <v/>
      </c>
      <c r="BA22" s="79">
        <f>IF(COLUMNS($B$22:BA22) &gt;= Inputs!$F$64, 1, 0)</f>
        <v/>
      </c>
    </row>
    <row r="23" ht="14.25" customHeight="1" s="83">
      <c r="A23" s="77" t="inlineStr">
        <is>
          <t>2. Marketing Manager</t>
        </is>
      </c>
      <c r="B23" s="79">
        <f>IF(COLUMNS($B$23:B23) &gt;= Inputs!$F$65, 1, 0)</f>
        <v/>
      </c>
      <c r="C23" s="79">
        <f>IF(COLUMNS($B$23:C23) &gt;= Inputs!$F$65, 1, 0)</f>
        <v/>
      </c>
      <c r="D23" s="79">
        <f>IF(COLUMNS($B$23:D23) &gt;= Inputs!$F$65, 1, 0)</f>
        <v/>
      </c>
      <c r="E23" s="79">
        <f>IF(COLUMNS($B$23:E23) &gt;= Inputs!$F$65, 1, 0)</f>
        <v/>
      </c>
      <c r="F23" s="79">
        <f>IF(COLUMNS($B$23:F23) &gt;= Inputs!$F$65, 1, 0)</f>
        <v/>
      </c>
      <c r="G23" s="79">
        <f>IF(COLUMNS($B$23:G23) &gt;= Inputs!$F$65, 1, 0)</f>
        <v/>
      </c>
      <c r="H23" s="79">
        <f>IF(COLUMNS($B$23:H23) &gt;= Inputs!$F$65, 1, 0)</f>
        <v/>
      </c>
      <c r="I23" s="79">
        <f>IF(COLUMNS($B$23:I23) &gt;= Inputs!$F$65, 1, 0)</f>
        <v/>
      </c>
      <c r="J23" s="79">
        <f>IF(COLUMNS($B$23:J23) &gt;= Inputs!$F$65, 1, 0)</f>
        <v/>
      </c>
      <c r="K23" s="79">
        <f>IF(COLUMNS($B$23:K23) &gt;= Inputs!$F$65, 1, 0)</f>
        <v/>
      </c>
      <c r="L23" s="79">
        <f>IF(COLUMNS($B$23:L23) &gt;= Inputs!$F$65, 1, 0)</f>
        <v/>
      </c>
      <c r="M23" s="79">
        <f>IF(COLUMNS($B$23:M23) &gt;= Inputs!$F$65, 1, 0)</f>
        <v/>
      </c>
      <c r="N23" s="79">
        <f>IF(COLUMNS($B$23:N23) &gt;= Inputs!$F$65, 1, 0)</f>
        <v/>
      </c>
      <c r="O23" s="79">
        <f>IF(COLUMNS($B$23:O23) &gt;= Inputs!$F$65, 1, 0)</f>
        <v/>
      </c>
      <c r="P23" s="79">
        <f>IF(COLUMNS($B$23:P23) &gt;= Inputs!$F$65, 1, 0)</f>
        <v/>
      </c>
      <c r="Q23" s="79">
        <f>IF(COLUMNS($B$23:Q23) &gt;= Inputs!$F$65, 1, 0)</f>
        <v/>
      </c>
      <c r="R23" s="79">
        <f>IF(COLUMNS($B$23:R23) &gt;= Inputs!$F$65, 1, 0)</f>
        <v/>
      </c>
      <c r="S23" s="79">
        <f>IF(COLUMNS($B$23:S23) &gt;= Inputs!$F$65, 1, 0)</f>
        <v/>
      </c>
      <c r="T23" s="79">
        <f>IF(COLUMNS($B$23:T23) &gt;= Inputs!$F$65, 1, 0)</f>
        <v/>
      </c>
      <c r="U23" s="79">
        <f>IF(COLUMNS($B$23:U23) &gt;= Inputs!$F$65, 1, 0)</f>
        <v/>
      </c>
      <c r="V23" s="79">
        <f>IF(COLUMNS($B$23:V23) &gt;= Inputs!$F$65, 1, 0)</f>
        <v/>
      </c>
      <c r="W23" s="79">
        <f>IF(COLUMNS($B$23:W23) &gt;= Inputs!$F$65, 1, 0)</f>
        <v/>
      </c>
      <c r="X23" s="79">
        <f>IF(COLUMNS($B$23:X23) &gt;= Inputs!$F$65, 1, 0)</f>
        <v/>
      </c>
      <c r="Y23" s="79">
        <f>IF(COLUMNS($B$23:Y23) &gt;= Inputs!$F$65, 1, 0)</f>
        <v/>
      </c>
      <c r="Z23" s="79">
        <f>IF(COLUMNS($B$23:Z23) &gt;= Inputs!$F$65, 1, 0)</f>
        <v/>
      </c>
      <c r="AA23" s="79">
        <f>IF(COLUMNS($B$23:AA23) &gt;= Inputs!$F$65, 1, 0)</f>
        <v/>
      </c>
      <c r="AB23" s="79">
        <f>IF(COLUMNS($B$23:AB23) &gt;= Inputs!$F$65, 1, 0)</f>
        <v/>
      </c>
      <c r="AC23" s="79">
        <f>IF(COLUMNS($B$23:AC23) &gt;= Inputs!$F$65, 1, 0)</f>
        <v/>
      </c>
      <c r="AD23" s="79">
        <f>IF(COLUMNS($B$23:AD23) &gt;= Inputs!$F$65, 1, 0)</f>
        <v/>
      </c>
      <c r="AE23" s="79">
        <f>IF(COLUMNS($B$23:AE23) &gt;= Inputs!$F$65, 1, 0)</f>
        <v/>
      </c>
      <c r="AF23" s="79">
        <f>IF(COLUMNS($B$23:AF23) &gt;= Inputs!$F$65, 1, 0)</f>
        <v/>
      </c>
      <c r="AG23" s="79">
        <f>IF(COLUMNS($B$23:AG23) &gt;= Inputs!$F$65, 1, 0)</f>
        <v/>
      </c>
      <c r="AH23" s="79">
        <f>IF(COLUMNS($B$23:AH23) &gt;= Inputs!$F$65, 1, 0)</f>
        <v/>
      </c>
      <c r="AI23" s="79">
        <f>IF(COLUMNS($B$23:AI23) &gt;= Inputs!$F$65, 1, 0)</f>
        <v/>
      </c>
      <c r="AJ23" s="79">
        <f>IF(COLUMNS($B$23:AJ23) &gt;= Inputs!$F$65, 1, 0)</f>
        <v/>
      </c>
      <c r="AK23" s="79">
        <f>IF(COLUMNS($B$23:AK23) &gt;= Inputs!$F$65, 1, 0)</f>
        <v/>
      </c>
      <c r="AL23" s="79">
        <f>IF(COLUMNS($B$23:AL23) &gt;= Inputs!$F$65, 1, 0)</f>
        <v/>
      </c>
      <c r="AM23" s="79">
        <f>IF(COLUMNS($B$23:AM23) &gt;= Inputs!$F$65, 1, 0)</f>
        <v/>
      </c>
      <c r="AN23" s="79">
        <f>IF(COLUMNS($B$23:AN23) &gt;= Inputs!$F$65, 1, 0)</f>
        <v/>
      </c>
      <c r="AO23" s="79">
        <f>IF(COLUMNS($B$23:AO23) &gt;= Inputs!$F$65, 1, 0)</f>
        <v/>
      </c>
      <c r="AP23" s="79">
        <f>IF(COLUMNS($B$23:AP23) &gt;= Inputs!$F$65, 1, 0)</f>
        <v/>
      </c>
      <c r="AQ23" s="79">
        <f>IF(COLUMNS($B$23:AQ23) &gt;= Inputs!$F$65, 1, 0)</f>
        <v/>
      </c>
      <c r="AR23" s="79">
        <f>IF(COLUMNS($B$23:AR23) &gt;= Inputs!$F$65, 1, 0)</f>
        <v/>
      </c>
      <c r="AS23" s="79">
        <f>IF(COLUMNS($B$23:AS23) &gt;= Inputs!$F$65, 1, 0)</f>
        <v/>
      </c>
      <c r="AT23" s="79">
        <f>IF(COLUMNS($B$23:AT23) &gt;= Inputs!$F$65, 1, 0)</f>
        <v/>
      </c>
      <c r="AU23" s="79">
        <f>IF(COLUMNS($B$23:AU23) &gt;= Inputs!$F$65, 1, 0)</f>
        <v/>
      </c>
      <c r="AV23" s="79">
        <f>IF(COLUMNS($B$23:AV23) &gt;= Inputs!$F$65, 1, 0)</f>
        <v/>
      </c>
      <c r="AW23" s="79">
        <f>IF(COLUMNS($B$23:AW23) &gt;= Inputs!$F$65, 1, 0)</f>
        <v/>
      </c>
      <c r="AX23" s="79">
        <f>IF(COLUMNS($B$23:AX23) &gt;= Inputs!$F$65, 1, 0)</f>
        <v/>
      </c>
      <c r="AY23" s="79">
        <f>IF(COLUMNS($B$23:AY23) &gt;= Inputs!$F$65, 1, 0)</f>
        <v/>
      </c>
      <c r="AZ23" s="79">
        <f>IF(COLUMNS($B$23:AZ23) &gt;= Inputs!$F$65, 1, 0)</f>
        <v/>
      </c>
      <c r="BA23" s="79">
        <f>IF(COLUMNS($B$23:BA23) &gt;= Inputs!$F$65, 1, 0)</f>
        <v/>
      </c>
    </row>
    <row r="24" ht="14.25" customHeight="1" s="83">
      <c r="A24" s="77" t="inlineStr">
        <is>
          <t>5. Senior Engineer</t>
        </is>
      </c>
      <c r="B24" s="79">
        <f>IF(COLUMNS($B$24:B24) &gt;= Inputs!$F$66, 1, 0)</f>
        <v/>
      </c>
      <c r="C24" s="79">
        <f>IF(COLUMNS($B$24:C24) &gt;= Inputs!$F$66, 1, 0)</f>
        <v/>
      </c>
      <c r="D24" s="79">
        <f>IF(COLUMNS($B$24:D24) &gt;= Inputs!$F$66, 1, 0)</f>
        <v/>
      </c>
      <c r="E24" s="79">
        <f>IF(COLUMNS($B$24:E24) &gt;= Inputs!$F$66, 1, 0)</f>
        <v/>
      </c>
      <c r="F24" s="79">
        <f>IF(COLUMNS($B$24:F24) &gt;= Inputs!$F$66, 1, 0)</f>
        <v/>
      </c>
      <c r="G24" s="79">
        <f>IF(COLUMNS($B$24:G24) &gt;= Inputs!$F$66, 1, 0)</f>
        <v/>
      </c>
      <c r="H24" s="79">
        <f>IF(COLUMNS($B$24:H24) &gt;= Inputs!$F$66, 1, 0)</f>
        <v/>
      </c>
      <c r="I24" s="79">
        <f>IF(COLUMNS($B$24:I24) &gt;= Inputs!$F$66, 1, 0)</f>
        <v/>
      </c>
      <c r="J24" s="79">
        <f>IF(COLUMNS($B$24:J24) &gt;= Inputs!$F$66, 1, 0)</f>
        <v/>
      </c>
      <c r="K24" s="79">
        <f>IF(COLUMNS($B$24:K24) &gt;= Inputs!$F$66, 1, 0)</f>
        <v/>
      </c>
      <c r="L24" s="79">
        <f>IF(COLUMNS($B$24:L24) &gt;= Inputs!$F$66, 1, 0)</f>
        <v/>
      </c>
      <c r="M24" s="79">
        <f>IF(COLUMNS($B$24:M24) &gt;= Inputs!$F$66, 1, 0)</f>
        <v/>
      </c>
      <c r="N24" s="79">
        <f>IF(COLUMNS($B$24:N24) &gt;= Inputs!$F$66, 1, 0)</f>
        <v/>
      </c>
      <c r="O24" s="79">
        <f>IF(COLUMNS($B$24:O24) &gt;= Inputs!$F$66, 1, 0)</f>
        <v/>
      </c>
      <c r="P24" s="79">
        <f>IF(COLUMNS($B$24:P24) &gt;= Inputs!$F$66, 1, 0)</f>
        <v/>
      </c>
      <c r="Q24" s="79">
        <f>IF(COLUMNS($B$24:Q24) &gt;= Inputs!$F$66, 1, 0)</f>
        <v/>
      </c>
      <c r="R24" s="79">
        <f>IF(COLUMNS($B$24:R24) &gt;= Inputs!$F$66, 1, 0)</f>
        <v/>
      </c>
      <c r="S24" s="79">
        <f>IF(COLUMNS($B$24:S24) &gt;= Inputs!$F$66, 1, 0)</f>
        <v/>
      </c>
      <c r="T24" s="79">
        <f>IF(COLUMNS($B$24:T24) &gt;= Inputs!$F$66, 1, 0)</f>
        <v/>
      </c>
      <c r="U24" s="79">
        <f>IF(COLUMNS($B$24:U24) &gt;= Inputs!$F$66, 1, 0)</f>
        <v/>
      </c>
      <c r="V24" s="79">
        <f>IF(COLUMNS($B$24:V24) &gt;= Inputs!$F$66, 1, 0)</f>
        <v/>
      </c>
      <c r="W24" s="79">
        <f>IF(COLUMNS($B$24:W24) &gt;= Inputs!$F$66, 1, 0)</f>
        <v/>
      </c>
      <c r="X24" s="79">
        <f>IF(COLUMNS($B$24:X24) &gt;= Inputs!$F$66, 1, 0)</f>
        <v/>
      </c>
      <c r="Y24" s="79">
        <f>IF(COLUMNS($B$24:Y24) &gt;= Inputs!$F$66, 1, 0)</f>
        <v/>
      </c>
      <c r="Z24" s="79">
        <f>IF(COLUMNS($B$24:Z24) &gt;= Inputs!$F$66, 1, 0)</f>
        <v/>
      </c>
      <c r="AA24" s="79">
        <f>IF(COLUMNS($B$24:AA24) &gt;= Inputs!$F$66, 1, 0)</f>
        <v/>
      </c>
      <c r="AB24" s="79">
        <f>IF(COLUMNS($B$24:AB24) &gt;= Inputs!$F$66, 1, 0)</f>
        <v/>
      </c>
      <c r="AC24" s="79">
        <f>IF(COLUMNS($B$24:AC24) &gt;= Inputs!$F$66, 1, 0)</f>
        <v/>
      </c>
      <c r="AD24" s="79">
        <f>IF(COLUMNS($B$24:AD24) &gt;= Inputs!$F$66, 1, 0)</f>
        <v/>
      </c>
      <c r="AE24" s="79">
        <f>IF(COLUMNS($B$24:AE24) &gt;= Inputs!$F$66, 1, 0)</f>
        <v/>
      </c>
      <c r="AF24" s="79">
        <f>IF(COLUMNS($B$24:AF24) &gt;= Inputs!$F$66, 1, 0)</f>
        <v/>
      </c>
      <c r="AG24" s="79">
        <f>IF(COLUMNS($B$24:AG24) &gt;= Inputs!$F$66, 1, 0)</f>
        <v/>
      </c>
      <c r="AH24" s="79">
        <f>IF(COLUMNS($B$24:AH24) &gt;= Inputs!$F$66, 1, 0)</f>
        <v/>
      </c>
      <c r="AI24" s="79">
        <f>IF(COLUMNS($B$24:AI24) &gt;= Inputs!$F$66, 1, 0)</f>
        <v/>
      </c>
      <c r="AJ24" s="79">
        <f>IF(COLUMNS($B$24:AJ24) &gt;= Inputs!$F$66, 1, 0)</f>
        <v/>
      </c>
      <c r="AK24" s="79">
        <f>IF(COLUMNS($B$24:AK24) &gt;= Inputs!$F$66, 1, 0)</f>
        <v/>
      </c>
      <c r="AL24" s="79">
        <f>IF(COLUMNS($B$24:AL24) &gt;= Inputs!$F$66, 1, 0)</f>
        <v/>
      </c>
      <c r="AM24" s="79">
        <f>IF(COLUMNS($B$24:AM24) &gt;= Inputs!$F$66, 1, 0)</f>
        <v/>
      </c>
      <c r="AN24" s="79">
        <f>IF(COLUMNS($B$24:AN24) &gt;= Inputs!$F$66, 1, 0)</f>
        <v/>
      </c>
      <c r="AO24" s="79">
        <f>IF(COLUMNS($B$24:AO24) &gt;= Inputs!$F$66, 1, 0)</f>
        <v/>
      </c>
      <c r="AP24" s="79">
        <f>IF(COLUMNS($B$24:AP24) &gt;= Inputs!$F$66, 1, 0)</f>
        <v/>
      </c>
      <c r="AQ24" s="79">
        <f>IF(COLUMNS($B$24:AQ24) &gt;= Inputs!$F$66, 1, 0)</f>
        <v/>
      </c>
      <c r="AR24" s="79">
        <f>IF(COLUMNS($B$24:AR24) &gt;= Inputs!$F$66, 1, 0)</f>
        <v/>
      </c>
      <c r="AS24" s="79">
        <f>IF(COLUMNS($B$24:AS24) &gt;= Inputs!$F$66, 1, 0)</f>
        <v/>
      </c>
      <c r="AT24" s="79">
        <f>IF(COLUMNS($B$24:AT24) &gt;= Inputs!$F$66, 1, 0)</f>
        <v/>
      </c>
      <c r="AU24" s="79">
        <f>IF(COLUMNS($B$24:AU24) &gt;= Inputs!$F$66, 1, 0)</f>
        <v/>
      </c>
      <c r="AV24" s="79">
        <f>IF(COLUMNS($B$24:AV24) &gt;= Inputs!$F$66, 1, 0)</f>
        <v/>
      </c>
      <c r="AW24" s="79">
        <f>IF(COLUMNS($B$24:AW24) &gt;= Inputs!$F$66, 1, 0)</f>
        <v/>
      </c>
      <c r="AX24" s="79">
        <f>IF(COLUMNS($B$24:AX24) &gt;= Inputs!$F$66, 1, 0)</f>
        <v/>
      </c>
      <c r="AY24" s="79">
        <f>IF(COLUMNS($B$24:AY24) &gt;= Inputs!$F$66, 1, 0)</f>
        <v/>
      </c>
      <c r="AZ24" s="79">
        <f>IF(COLUMNS($B$24:AZ24) &gt;= Inputs!$F$66, 1, 0)</f>
        <v/>
      </c>
      <c r="BA24" s="79">
        <f>IF(COLUMNS($B$24:BA24) &gt;= Inputs!$F$66, 1, 0)</f>
        <v/>
      </c>
    </row>
    <row r="25" ht="14.25" customHeight="1" s="83">
      <c r="A25" s="77" t="inlineStr">
        <is>
          <t>3. Junior Engineer</t>
        </is>
      </c>
      <c r="B25" s="79">
        <f>IF(COLUMNS($B$25:B25) &gt;= Inputs!$F$67, 1, 0)</f>
        <v/>
      </c>
      <c r="C25" s="79">
        <f>IF(COLUMNS($B$25:C25) &gt;= Inputs!$F$67, 1, 0)</f>
        <v/>
      </c>
      <c r="D25" s="79">
        <f>IF(COLUMNS($B$25:D25) &gt;= Inputs!$F$67, 1, 0)</f>
        <v/>
      </c>
      <c r="E25" s="79">
        <f>IF(COLUMNS($B$25:E25) &gt;= Inputs!$F$67, 1, 0)</f>
        <v/>
      </c>
      <c r="F25" s="79">
        <f>IF(COLUMNS($B$25:F25) &gt;= Inputs!$F$67, 1, 0)</f>
        <v/>
      </c>
      <c r="G25" s="79">
        <f>IF(COLUMNS($B$25:G25) &gt;= Inputs!$F$67, 1, 0)</f>
        <v/>
      </c>
      <c r="H25" s="79">
        <f>IF(COLUMNS($B$25:H25) &gt;= Inputs!$F$67, 1, 0)</f>
        <v/>
      </c>
      <c r="I25" s="79">
        <f>IF(COLUMNS($B$25:I25) &gt;= Inputs!$F$67, 1, 0)</f>
        <v/>
      </c>
      <c r="J25" s="79">
        <f>IF(COLUMNS($B$25:J25) &gt;= Inputs!$F$67, 1, 0)</f>
        <v/>
      </c>
      <c r="K25" s="79">
        <f>IF(COLUMNS($B$25:K25) &gt;= Inputs!$F$67, 1, 0)</f>
        <v/>
      </c>
      <c r="L25" s="79">
        <f>IF(COLUMNS($B$25:L25) &gt;= Inputs!$F$67, 1, 0)</f>
        <v/>
      </c>
      <c r="M25" s="79">
        <f>IF(COLUMNS($B$25:M25) &gt;= Inputs!$F$67, 1, 0)</f>
        <v/>
      </c>
      <c r="N25" s="79">
        <f>IF(COLUMNS($B$25:N25) &gt;= Inputs!$F$67, 1, 0)</f>
        <v/>
      </c>
      <c r="O25" s="79">
        <f>IF(COLUMNS($B$25:O25) &gt;= Inputs!$F$67, 1, 0)</f>
        <v/>
      </c>
      <c r="P25" s="79">
        <f>IF(COLUMNS($B$25:P25) &gt;= Inputs!$F$67, 1, 0)</f>
        <v/>
      </c>
      <c r="Q25" s="79">
        <f>IF(COLUMNS($B$25:Q25) &gt;= Inputs!$F$67, 1, 0)</f>
        <v/>
      </c>
      <c r="R25" s="79">
        <f>IF(COLUMNS($B$25:R25) &gt;= Inputs!$F$67, 1, 0)</f>
        <v/>
      </c>
      <c r="S25" s="79">
        <f>IF(COLUMNS($B$25:S25) &gt;= Inputs!$F$67, 1, 0)</f>
        <v/>
      </c>
      <c r="T25" s="79">
        <f>IF(COLUMNS($B$25:T25) &gt;= Inputs!$F$67, 1, 0)</f>
        <v/>
      </c>
      <c r="U25" s="79">
        <f>IF(COLUMNS($B$25:U25) &gt;= Inputs!$F$67, 1, 0)</f>
        <v/>
      </c>
      <c r="V25" s="79">
        <f>IF(COLUMNS($B$25:V25) &gt;= Inputs!$F$67, 1, 0)</f>
        <v/>
      </c>
      <c r="W25" s="79">
        <f>IF(COLUMNS($B$25:W25) &gt;= Inputs!$F$67, 1, 0)</f>
        <v/>
      </c>
      <c r="X25" s="79">
        <f>IF(COLUMNS($B$25:X25) &gt;= Inputs!$F$67, 1, 0)</f>
        <v/>
      </c>
      <c r="Y25" s="79">
        <f>IF(COLUMNS($B$25:Y25) &gt;= Inputs!$F$67, 1, 0)</f>
        <v/>
      </c>
      <c r="Z25" s="79">
        <f>IF(COLUMNS($B$25:Z25) &gt;= Inputs!$F$67, 1, 0)</f>
        <v/>
      </c>
      <c r="AA25" s="79">
        <f>IF(COLUMNS($B$25:AA25) &gt;= Inputs!$F$67, 1, 0)</f>
        <v/>
      </c>
      <c r="AB25" s="79">
        <f>IF(COLUMNS($B$25:AB25) &gt;= Inputs!$F$67, 1, 0)</f>
        <v/>
      </c>
      <c r="AC25" s="79">
        <f>IF(COLUMNS($B$25:AC25) &gt;= Inputs!$F$67, 1, 0)</f>
        <v/>
      </c>
      <c r="AD25" s="79">
        <f>IF(COLUMNS($B$25:AD25) &gt;= Inputs!$F$67, 1, 0)</f>
        <v/>
      </c>
      <c r="AE25" s="79">
        <f>IF(COLUMNS($B$25:AE25) &gt;= Inputs!$F$67, 1, 0)</f>
        <v/>
      </c>
      <c r="AF25" s="79">
        <f>IF(COLUMNS($B$25:AF25) &gt;= Inputs!$F$67, 1, 0)</f>
        <v/>
      </c>
      <c r="AG25" s="79">
        <f>IF(COLUMNS($B$25:AG25) &gt;= Inputs!$F$67, 1, 0)</f>
        <v/>
      </c>
      <c r="AH25" s="79">
        <f>IF(COLUMNS($B$25:AH25) &gt;= Inputs!$F$67, 1, 0)</f>
        <v/>
      </c>
      <c r="AI25" s="79">
        <f>IF(COLUMNS($B$25:AI25) &gt;= Inputs!$F$67, 1, 0)</f>
        <v/>
      </c>
      <c r="AJ25" s="79">
        <f>IF(COLUMNS($B$25:AJ25) &gt;= Inputs!$F$67, 1, 0)</f>
        <v/>
      </c>
      <c r="AK25" s="79">
        <f>IF(COLUMNS($B$25:AK25) &gt;= Inputs!$F$67, 1, 0)</f>
        <v/>
      </c>
      <c r="AL25" s="79">
        <f>IF(COLUMNS($B$25:AL25) &gt;= Inputs!$F$67, 1, 0)</f>
        <v/>
      </c>
      <c r="AM25" s="79">
        <f>IF(COLUMNS($B$25:AM25) &gt;= Inputs!$F$67, 1, 0)</f>
        <v/>
      </c>
      <c r="AN25" s="79">
        <f>IF(COLUMNS($B$25:AN25) &gt;= Inputs!$F$67, 1, 0)</f>
        <v/>
      </c>
      <c r="AO25" s="79">
        <f>IF(COLUMNS($B$25:AO25) &gt;= Inputs!$F$67, 1, 0)</f>
        <v/>
      </c>
      <c r="AP25" s="79">
        <f>IF(COLUMNS($B$25:AP25) &gt;= Inputs!$F$67, 1, 0)</f>
        <v/>
      </c>
      <c r="AQ25" s="79">
        <f>IF(COLUMNS($B$25:AQ25) &gt;= Inputs!$F$67, 1, 0)</f>
        <v/>
      </c>
      <c r="AR25" s="79">
        <f>IF(COLUMNS($B$25:AR25) &gt;= Inputs!$F$67, 1, 0)</f>
        <v/>
      </c>
      <c r="AS25" s="79">
        <f>IF(COLUMNS($B$25:AS25) &gt;= Inputs!$F$67, 1, 0)</f>
        <v/>
      </c>
      <c r="AT25" s="79">
        <f>IF(COLUMNS($B$25:AT25) &gt;= Inputs!$F$67, 1, 0)</f>
        <v/>
      </c>
      <c r="AU25" s="79">
        <f>IF(COLUMNS($B$25:AU25) &gt;= Inputs!$F$67, 1, 0)</f>
        <v/>
      </c>
      <c r="AV25" s="79">
        <f>IF(COLUMNS($B$25:AV25) &gt;= Inputs!$F$67, 1, 0)</f>
        <v/>
      </c>
      <c r="AW25" s="79">
        <f>IF(COLUMNS($B$25:AW25) &gt;= Inputs!$F$67, 1, 0)</f>
        <v/>
      </c>
      <c r="AX25" s="79">
        <f>IF(COLUMNS($B$25:AX25) &gt;= Inputs!$F$67, 1, 0)</f>
        <v/>
      </c>
      <c r="AY25" s="79">
        <f>IF(COLUMNS($B$25:AY25) &gt;= Inputs!$F$67, 1, 0)</f>
        <v/>
      </c>
      <c r="AZ25" s="79">
        <f>IF(COLUMNS($B$25:AZ25) &gt;= Inputs!$F$67, 1, 0)</f>
        <v/>
      </c>
      <c r="BA25" s="79">
        <f>IF(COLUMNS($B$25:BA25) &gt;= Inputs!$F$67, 1, 0)</f>
        <v/>
      </c>
    </row>
    <row r="26" ht="14.25" customHeight="1" s="83">
      <c r="A26" s="77" t="inlineStr">
        <is>
          <t>4. ML/AI Engineer</t>
        </is>
      </c>
      <c r="B26" s="79">
        <f>IF(COLUMNS($B$26:B26) &gt;= Inputs!$F$68, 1, 0)</f>
        <v/>
      </c>
      <c r="C26" s="79">
        <f>IF(COLUMNS($B$26:C26) &gt;= Inputs!$F$68, 1, 0)</f>
        <v/>
      </c>
      <c r="D26" s="79">
        <f>IF(COLUMNS($B$26:D26) &gt;= Inputs!$F$68, 1, 0)</f>
        <v/>
      </c>
      <c r="E26" s="79">
        <f>IF(COLUMNS($B$26:E26) &gt;= Inputs!$F$68, 1, 0)</f>
        <v/>
      </c>
      <c r="F26" s="79">
        <f>IF(COLUMNS($B$26:F26) &gt;= Inputs!$F$68, 1, 0)</f>
        <v/>
      </c>
      <c r="G26" s="79">
        <f>IF(COLUMNS($B$26:G26) &gt;= Inputs!$F$68, 1, 0)</f>
        <v/>
      </c>
      <c r="H26" s="79">
        <f>IF(COLUMNS($B$26:H26) &gt;= Inputs!$F$68, 1, 0)</f>
        <v/>
      </c>
      <c r="I26" s="79">
        <f>IF(COLUMNS($B$26:I26) &gt;= Inputs!$F$68, 1, 0)</f>
        <v/>
      </c>
      <c r="J26" s="79">
        <f>IF(COLUMNS($B$26:J26) &gt;= Inputs!$F$68, 1, 0)</f>
        <v/>
      </c>
      <c r="K26" s="79">
        <f>IF(COLUMNS($B$26:K26) &gt;= Inputs!$F$68, 1, 0)</f>
        <v/>
      </c>
      <c r="L26" s="79">
        <f>IF(COLUMNS($B$26:L26) &gt;= Inputs!$F$68, 1, 0)</f>
        <v/>
      </c>
      <c r="M26" s="79">
        <f>IF(COLUMNS($B$26:M26) &gt;= Inputs!$F$68, 1, 0)</f>
        <v/>
      </c>
      <c r="N26" s="79">
        <f>IF(COLUMNS($B$26:N26) &gt;= Inputs!$F$68, 1, 0)</f>
        <v/>
      </c>
      <c r="O26" s="79">
        <f>IF(COLUMNS($B$26:O26) &gt;= Inputs!$F$68, 1, 0)</f>
        <v/>
      </c>
      <c r="P26" s="79">
        <f>IF(COLUMNS($B$26:P26) &gt;= Inputs!$F$68, 1, 0)</f>
        <v/>
      </c>
      <c r="Q26" s="79">
        <f>IF(COLUMNS($B$26:Q26) &gt;= Inputs!$F$68, 1, 0)</f>
        <v/>
      </c>
      <c r="R26" s="79">
        <f>IF(COLUMNS($B$26:R26) &gt;= Inputs!$F$68, 1, 0)</f>
        <v/>
      </c>
      <c r="S26" s="79">
        <f>IF(COLUMNS($B$26:S26) &gt;= Inputs!$F$68, 1, 0)</f>
        <v/>
      </c>
      <c r="T26" s="79">
        <f>IF(COLUMNS($B$26:T26) &gt;= Inputs!$F$68, 1, 0)</f>
        <v/>
      </c>
      <c r="U26" s="79">
        <f>IF(COLUMNS($B$26:U26) &gt;= Inputs!$F$68, 1, 0)</f>
        <v/>
      </c>
      <c r="V26" s="79">
        <f>IF(COLUMNS($B$26:V26) &gt;= Inputs!$F$68, 1, 0)</f>
        <v/>
      </c>
      <c r="W26" s="79">
        <f>IF(COLUMNS($B$26:W26) &gt;= Inputs!$F$68, 1, 0)</f>
        <v/>
      </c>
      <c r="X26" s="79">
        <f>IF(COLUMNS($B$26:X26) &gt;= Inputs!$F$68, 1, 0)</f>
        <v/>
      </c>
      <c r="Y26" s="79">
        <f>IF(COLUMNS($B$26:Y26) &gt;= Inputs!$F$68, 1, 0)</f>
        <v/>
      </c>
      <c r="Z26" s="79">
        <f>IF(COLUMNS($B$26:Z26) &gt;= Inputs!$F$68, 1, 0)</f>
        <v/>
      </c>
      <c r="AA26" s="79">
        <f>IF(COLUMNS($B$26:AA26) &gt;= Inputs!$F$68, 1, 0)</f>
        <v/>
      </c>
      <c r="AB26" s="79">
        <f>IF(COLUMNS($B$26:AB26) &gt;= Inputs!$F$68, 1, 0)</f>
        <v/>
      </c>
      <c r="AC26" s="79">
        <f>IF(COLUMNS($B$26:AC26) &gt;= Inputs!$F$68, 1, 0)</f>
        <v/>
      </c>
      <c r="AD26" s="79">
        <f>IF(COLUMNS($B$26:AD26) &gt;= Inputs!$F$68, 1, 0)</f>
        <v/>
      </c>
      <c r="AE26" s="79">
        <f>IF(COLUMNS($B$26:AE26) &gt;= Inputs!$F$68, 1, 0)</f>
        <v/>
      </c>
      <c r="AF26" s="79">
        <f>IF(COLUMNS($B$26:AF26) &gt;= Inputs!$F$68, 1, 0)</f>
        <v/>
      </c>
      <c r="AG26" s="79">
        <f>IF(COLUMNS($B$26:AG26) &gt;= Inputs!$F$68, 1, 0)</f>
        <v/>
      </c>
      <c r="AH26" s="79">
        <f>IF(COLUMNS($B$26:AH26) &gt;= Inputs!$F$68, 1, 0)</f>
        <v/>
      </c>
      <c r="AI26" s="79">
        <f>IF(COLUMNS($B$26:AI26) &gt;= Inputs!$F$68, 1, 0)</f>
        <v/>
      </c>
      <c r="AJ26" s="79">
        <f>IF(COLUMNS($B$26:AJ26) &gt;= Inputs!$F$68, 1, 0)</f>
        <v/>
      </c>
      <c r="AK26" s="79">
        <f>IF(COLUMNS($B$26:AK26) &gt;= Inputs!$F$68, 1, 0)</f>
        <v/>
      </c>
      <c r="AL26" s="79">
        <f>IF(COLUMNS($B$26:AL26) &gt;= Inputs!$F$68, 1, 0)</f>
        <v/>
      </c>
      <c r="AM26" s="79">
        <f>IF(COLUMNS($B$26:AM26) &gt;= Inputs!$F$68, 1, 0)</f>
        <v/>
      </c>
      <c r="AN26" s="79">
        <f>IF(COLUMNS($B$26:AN26) &gt;= Inputs!$F$68, 1, 0)</f>
        <v/>
      </c>
      <c r="AO26" s="79">
        <f>IF(COLUMNS($B$26:AO26) &gt;= Inputs!$F$68, 1, 0)</f>
        <v/>
      </c>
      <c r="AP26" s="79">
        <f>IF(COLUMNS($B$26:AP26) &gt;= Inputs!$F$68, 1, 0)</f>
        <v/>
      </c>
      <c r="AQ26" s="79">
        <f>IF(COLUMNS($B$26:AQ26) &gt;= Inputs!$F$68, 1, 0)</f>
        <v/>
      </c>
      <c r="AR26" s="79">
        <f>IF(COLUMNS($B$26:AR26) &gt;= Inputs!$F$68, 1, 0)</f>
        <v/>
      </c>
      <c r="AS26" s="79">
        <f>IF(COLUMNS($B$26:AS26) &gt;= Inputs!$F$68, 1, 0)</f>
        <v/>
      </c>
      <c r="AT26" s="79">
        <f>IF(COLUMNS($B$26:AT26) &gt;= Inputs!$F$68, 1, 0)</f>
        <v/>
      </c>
      <c r="AU26" s="79">
        <f>IF(COLUMNS($B$26:AU26) &gt;= Inputs!$F$68, 1, 0)</f>
        <v/>
      </c>
      <c r="AV26" s="79">
        <f>IF(COLUMNS($B$26:AV26) &gt;= Inputs!$F$68, 1, 0)</f>
        <v/>
      </c>
      <c r="AW26" s="79">
        <f>IF(COLUMNS($B$26:AW26) &gt;= Inputs!$F$68, 1, 0)</f>
        <v/>
      </c>
      <c r="AX26" s="79">
        <f>IF(COLUMNS($B$26:AX26) &gt;= Inputs!$F$68, 1, 0)</f>
        <v/>
      </c>
      <c r="AY26" s="79">
        <f>IF(COLUMNS($B$26:AY26) &gt;= Inputs!$F$68, 1, 0)</f>
        <v/>
      </c>
      <c r="AZ26" s="79">
        <f>IF(COLUMNS($B$26:AZ26) &gt;= Inputs!$F$68, 1, 0)</f>
        <v/>
      </c>
      <c r="BA26" s="79">
        <f>IF(COLUMNS($B$26:BA26) &gt;= Inputs!$F$68, 1, 0)</f>
        <v/>
      </c>
    </row>
    <row r="27" ht="14.25" customHeight="1" s="83">
      <c r="A27" s="77" t="inlineStr">
        <is>
          <t>2. Product Manager</t>
        </is>
      </c>
      <c r="B27" s="79">
        <f>IF(COLUMNS($B$27:B27) &gt;= Inputs!$F$69, 1, 0)</f>
        <v/>
      </c>
      <c r="C27" s="79">
        <f>IF(COLUMNS($B$27:C27) &gt;= Inputs!$F$69, 1, 0)</f>
        <v/>
      </c>
      <c r="D27" s="79">
        <f>IF(COLUMNS($B$27:D27) &gt;= Inputs!$F$69, 1, 0)</f>
        <v/>
      </c>
      <c r="E27" s="79">
        <f>IF(COLUMNS($B$27:E27) &gt;= Inputs!$F$69, 1, 0)</f>
        <v/>
      </c>
      <c r="F27" s="79">
        <f>IF(COLUMNS($B$27:F27) &gt;= Inputs!$F$69, 1, 0)</f>
        <v/>
      </c>
      <c r="G27" s="79">
        <f>IF(COLUMNS($B$27:G27) &gt;= Inputs!$F$69, 1, 0)</f>
        <v/>
      </c>
      <c r="H27" s="79">
        <f>IF(COLUMNS($B$27:H27) &gt;= Inputs!$F$69, 1, 0)</f>
        <v/>
      </c>
      <c r="I27" s="79">
        <f>IF(COLUMNS($B$27:I27) &gt;= Inputs!$F$69, 1, 0)</f>
        <v/>
      </c>
      <c r="J27" s="79">
        <f>IF(COLUMNS($B$27:J27) &gt;= Inputs!$F$69, 1, 0)</f>
        <v/>
      </c>
      <c r="K27" s="79">
        <f>IF(COLUMNS($B$27:K27) &gt;= Inputs!$F$69, 1, 0)</f>
        <v/>
      </c>
      <c r="L27" s="79">
        <f>IF(COLUMNS($B$27:L27) &gt;= Inputs!$F$69, 1, 0)</f>
        <v/>
      </c>
      <c r="M27" s="79">
        <f>IF(COLUMNS($B$27:M27) &gt;= Inputs!$F$69, 1, 0)</f>
        <v/>
      </c>
      <c r="N27" s="79">
        <f>IF(COLUMNS($B$27:N27) &gt;= Inputs!$F$69, 1, 0)</f>
        <v/>
      </c>
      <c r="O27" s="79">
        <f>IF(COLUMNS($B$27:O27) &gt;= Inputs!$F$69, 1, 0)</f>
        <v/>
      </c>
      <c r="P27" s="79">
        <f>IF(COLUMNS($B$27:P27) &gt;= Inputs!$F$69, 1, 0)</f>
        <v/>
      </c>
      <c r="Q27" s="79">
        <f>IF(COLUMNS($B$27:Q27) &gt;= Inputs!$F$69, 1, 0)</f>
        <v/>
      </c>
      <c r="R27" s="79">
        <f>IF(COLUMNS($B$27:R27) &gt;= Inputs!$F$69, 1, 0)</f>
        <v/>
      </c>
      <c r="S27" s="79">
        <f>IF(COLUMNS($B$27:S27) &gt;= Inputs!$F$69, 1, 0)</f>
        <v/>
      </c>
      <c r="T27" s="79">
        <f>IF(COLUMNS($B$27:T27) &gt;= Inputs!$F$69, 1, 0)</f>
        <v/>
      </c>
      <c r="U27" s="79">
        <f>IF(COLUMNS($B$27:U27) &gt;= Inputs!$F$69, 1, 0)</f>
        <v/>
      </c>
      <c r="V27" s="79">
        <f>IF(COLUMNS($B$27:V27) &gt;= Inputs!$F$69, 1, 0)</f>
        <v/>
      </c>
      <c r="W27" s="79">
        <f>IF(COLUMNS($B$27:W27) &gt;= Inputs!$F$69, 1, 0)</f>
        <v/>
      </c>
      <c r="X27" s="79">
        <f>IF(COLUMNS($B$27:X27) &gt;= Inputs!$F$69, 1, 0)</f>
        <v/>
      </c>
      <c r="Y27" s="79">
        <f>IF(COLUMNS($B$27:Y27) &gt;= Inputs!$F$69, 1, 0)</f>
        <v/>
      </c>
      <c r="Z27" s="79">
        <f>IF(COLUMNS($B$27:Z27) &gt;= Inputs!$F$69, 1, 0)</f>
        <v/>
      </c>
      <c r="AA27" s="79">
        <f>IF(COLUMNS($B$27:AA27) &gt;= Inputs!$F$69, 1, 0)</f>
        <v/>
      </c>
      <c r="AB27" s="79">
        <f>IF(COLUMNS($B$27:AB27) &gt;= Inputs!$F$69, 1, 0)</f>
        <v/>
      </c>
      <c r="AC27" s="79">
        <f>IF(COLUMNS($B$27:AC27) &gt;= Inputs!$F$69, 1, 0)</f>
        <v/>
      </c>
      <c r="AD27" s="79">
        <f>IF(COLUMNS($B$27:AD27) &gt;= Inputs!$F$69, 1, 0)</f>
        <v/>
      </c>
      <c r="AE27" s="79">
        <f>IF(COLUMNS($B$27:AE27) &gt;= Inputs!$F$69, 1, 0)</f>
        <v/>
      </c>
      <c r="AF27" s="79">
        <f>IF(COLUMNS($B$27:AF27) &gt;= Inputs!$F$69, 1, 0)</f>
        <v/>
      </c>
      <c r="AG27" s="79">
        <f>IF(COLUMNS($B$27:AG27) &gt;= Inputs!$F$69, 1, 0)</f>
        <v/>
      </c>
      <c r="AH27" s="79">
        <f>IF(COLUMNS($B$27:AH27) &gt;= Inputs!$F$69, 1, 0)</f>
        <v/>
      </c>
      <c r="AI27" s="79">
        <f>IF(COLUMNS($B$27:AI27) &gt;= Inputs!$F$69, 1, 0)</f>
        <v/>
      </c>
      <c r="AJ27" s="79">
        <f>IF(COLUMNS($B$27:AJ27) &gt;= Inputs!$F$69, 1, 0)</f>
        <v/>
      </c>
      <c r="AK27" s="79">
        <f>IF(COLUMNS($B$27:AK27) &gt;= Inputs!$F$69, 1, 0)</f>
        <v/>
      </c>
      <c r="AL27" s="79">
        <f>IF(COLUMNS($B$27:AL27) &gt;= Inputs!$F$69, 1, 0)</f>
        <v/>
      </c>
      <c r="AM27" s="79">
        <f>IF(COLUMNS($B$27:AM27) &gt;= Inputs!$F$69, 1, 0)</f>
        <v/>
      </c>
      <c r="AN27" s="79">
        <f>IF(COLUMNS($B$27:AN27) &gt;= Inputs!$F$69, 1, 0)</f>
        <v/>
      </c>
      <c r="AO27" s="79">
        <f>IF(COLUMNS($B$27:AO27) &gt;= Inputs!$F$69, 1, 0)</f>
        <v/>
      </c>
      <c r="AP27" s="79">
        <f>IF(COLUMNS($B$27:AP27) &gt;= Inputs!$F$69, 1, 0)</f>
        <v/>
      </c>
      <c r="AQ27" s="79">
        <f>IF(COLUMNS($B$27:AQ27) &gt;= Inputs!$F$69, 1, 0)</f>
        <v/>
      </c>
      <c r="AR27" s="79">
        <f>IF(COLUMNS($B$27:AR27) &gt;= Inputs!$F$69, 1, 0)</f>
        <v/>
      </c>
      <c r="AS27" s="79">
        <f>IF(COLUMNS($B$27:AS27) &gt;= Inputs!$F$69, 1, 0)</f>
        <v/>
      </c>
      <c r="AT27" s="79">
        <f>IF(COLUMNS($B$27:AT27) &gt;= Inputs!$F$69, 1, 0)</f>
        <v/>
      </c>
      <c r="AU27" s="79">
        <f>IF(COLUMNS($B$27:AU27) &gt;= Inputs!$F$69, 1, 0)</f>
        <v/>
      </c>
      <c r="AV27" s="79">
        <f>IF(COLUMNS($B$27:AV27) &gt;= Inputs!$F$69, 1, 0)</f>
        <v/>
      </c>
      <c r="AW27" s="79">
        <f>IF(COLUMNS($B$27:AW27) &gt;= Inputs!$F$69, 1, 0)</f>
        <v/>
      </c>
      <c r="AX27" s="79">
        <f>IF(COLUMNS($B$27:AX27) &gt;= Inputs!$F$69, 1, 0)</f>
        <v/>
      </c>
      <c r="AY27" s="79">
        <f>IF(COLUMNS($B$27:AY27) &gt;= Inputs!$F$69, 1, 0)</f>
        <v/>
      </c>
      <c r="AZ27" s="79">
        <f>IF(COLUMNS($B$27:AZ27) &gt;= Inputs!$F$69, 1, 0)</f>
        <v/>
      </c>
      <c r="BA27" s="79">
        <f>IF(COLUMNS($B$27:BA27) &gt;= Inputs!$F$69, 1, 0)</f>
        <v/>
      </c>
    </row>
    <row r="28" ht="14.25" customHeight="1" s="83">
      <c r="A28" s="77" t="inlineStr">
        <is>
          <t>4. Sales Rep</t>
        </is>
      </c>
      <c r="B28" s="79">
        <f>IF(COLUMNS($B$28:B28) &gt;= Inputs!$F$70, 1, 0)</f>
        <v/>
      </c>
      <c r="C28" s="79">
        <f>IF(COLUMNS($B$28:C28) &gt;= Inputs!$F$70, 1, 0)</f>
        <v/>
      </c>
      <c r="D28" s="79">
        <f>IF(COLUMNS($B$28:D28) &gt;= Inputs!$F$70, 1, 0)</f>
        <v/>
      </c>
      <c r="E28" s="79">
        <f>IF(COLUMNS($B$28:E28) &gt;= Inputs!$F$70, 1, 0)</f>
        <v/>
      </c>
      <c r="F28" s="79">
        <f>IF(COLUMNS($B$28:F28) &gt;= Inputs!$F$70, 1, 0)</f>
        <v/>
      </c>
      <c r="G28" s="79">
        <f>IF(COLUMNS($B$28:G28) &gt;= Inputs!$F$70, 1, 0)</f>
        <v/>
      </c>
      <c r="H28" s="79">
        <f>IF(COLUMNS($B$28:H28) &gt;= Inputs!$F$70, 1, 0)</f>
        <v/>
      </c>
      <c r="I28" s="79">
        <f>IF(COLUMNS($B$28:I28) &gt;= Inputs!$F$70, 1, 0)</f>
        <v/>
      </c>
      <c r="J28" s="79">
        <f>IF(COLUMNS($B$28:J28) &gt;= Inputs!$F$70, 1, 0)</f>
        <v/>
      </c>
      <c r="K28" s="79">
        <f>IF(COLUMNS($B$28:K28) &gt;= Inputs!$F$70, 1, 0)</f>
        <v/>
      </c>
      <c r="L28" s="79">
        <f>IF(COLUMNS($B$28:L28) &gt;= Inputs!$F$70, 1, 0)</f>
        <v/>
      </c>
      <c r="M28" s="79">
        <f>IF(COLUMNS($B$28:M28) &gt;= Inputs!$F$70, 1, 0)</f>
        <v/>
      </c>
      <c r="N28" s="79">
        <f>IF(COLUMNS($B$28:N28) &gt;= Inputs!$F$70, 1, 0)</f>
        <v/>
      </c>
      <c r="O28" s="79">
        <f>IF(COLUMNS($B$28:O28) &gt;= Inputs!$F$70, 1, 0)</f>
        <v/>
      </c>
      <c r="P28" s="79">
        <f>IF(COLUMNS($B$28:P28) &gt;= Inputs!$F$70, 1, 0)</f>
        <v/>
      </c>
      <c r="Q28" s="79">
        <f>IF(COLUMNS($B$28:Q28) &gt;= Inputs!$F$70, 1, 0)</f>
        <v/>
      </c>
      <c r="R28" s="79">
        <f>IF(COLUMNS($B$28:R28) &gt;= Inputs!$F$70, 1, 0)</f>
        <v/>
      </c>
      <c r="S28" s="79">
        <f>IF(COLUMNS($B$28:S28) &gt;= Inputs!$F$70, 1, 0)</f>
        <v/>
      </c>
      <c r="T28" s="79">
        <f>IF(COLUMNS($B$28:T28) &gt;= Inputs!$F$70, 1, 0)</f>
        <v/>
      </c>
      <c r="U28" s="79">
        <f>IF(COLUMNS($B$28:U28) &gt;= Inputs!$F$70, 1, 0)</f>
        <v/>
      </c>
      <c r="V28" s="79">
        <f>IF(COLUMNS($B$28:V28) &gt;= Inputs!$F$70, 1, 0)</f>
        <v/>
      </c>
      <c r="W28" s="79">
        <f>IF(COLUMNS($B$28:W28) &gt;= Inputs!$F$70, 1, 0)</f>
        <v/>
      </c>
      <c r="X28" s="79">
        <f>IF(COLUMNS($B$28:X28) &gt;= Inputs!$F$70, 1, 0)</f>
        <v/>
      </c>
      <c r="Y28" s="79">
        <f>IF(COLUMNS($B$28:Y28) &gt;= Inputs!$F$70, 1, 0)</f>
        <v/>
      </c>
      <c r="Z28" s="79">
        <f>IF(COLUMNS($B$28:Z28) &gt;= Inputs!$F$70, 1, 0)</f>
        <v/>
      </c>
      <c r="AA28" s="79">
        <f>IF(COLUMNS($B$28:AA28) &gt;= Inputs!$F$70, 1, 0)</f>
        <v/>
      </c>
      <c r="AB28" s="79">
        <f>IF(COLUMNS($B$28:AB28) &gt;= Inputs!$F$70, 1, 0)</f>
        <v/>
      </c>
      <c r="AC28" s="79">
        <f>IF(COLUMNS($B$28:AC28) &gt;= Inputs!$F$70, 1, 0)</f>
        <v/>
      </c>
      <c r="AD28" s="79">
        <f>IF(COLUMNS($B$28:AD28) &gt;= Inputs!$F$70, 1, 0)</f>
        <v/>
      </c>
      <c r="AE28" s="79">
        <f>IF(COLUMNS($B$28:AE28) &gt;= Inputs!$F$70, 1, 0)</f>
        <v/>
      </c>
      <c r="AF28" s="79">
        <f>IF(COLUMNS($B$28:AF28) &gt;= Inputs!$F$70, 1, 0)</f>
        <v/>
      </c>
      <c r="AG28" s="79">
        <f>IF(COLUMNS($B$28:AG28) &gt;= Inputs!$F$70, 1, 0)</f>
        <v/>
      </c>
      <c r="AH28" s="79">
        <f>IF(COLUMNS($B$28:AH28) &gt;= Inputs!$F$70, 1, 0)</f>
        <v/>
      </c>
      <c r="AI28" s="79">
        <f>IF(COLUMNS($B$28:AI28) &gt;= Inputs!$F$70, 1, 0)</f>
        <v/>
      </c>
      <c r="AJ28" s="79">
        <f>IF(COLUMNS($B$28:AJ28) &gt;= Inputs!$F$70, 1, 0)</f>
        <v/>
      </c>
      <c r="AK28" s="79">
        <f>IF(COLUMNS($B$28:AK28) &gt;= Inputs!$F$70, 1, 0)</f>
        <v/>
      </c>
      <c r="AL28" s="79">
        <f>IF(COLUMNS($B$28:AL28) &gt;= Inputs!$F$70, 1, 0)</f>
        <v/>
      </c>
      <c r="AM28" s="79">
        <f>IF(COLUMNS($B$28:AM28) &gt;= Inputs!$F$70, 1, 0)</f>
        <v/>
      </c>
      <c r="AN28" s="79">
        <f>IF(COLUMNS($B$28:AN28) &gt;= Inputs!$F$70, 1, 0)</f>
        <v/>
      </c>
      <c r="AO28" s="79">
        <f>IF(COLUMNS($B$28:AO28) &gt;= Inputs!$F$70, 1, 0)</f>
        <v/>
      </c>
      <c r="AP28" s="79">
        <f>IF(COLUMNS($B$28:AP28) &gt;= Inputs!$F$70, 1, 0)</f>
        <v/>
      </c>
      <c r="AQ28" s="79">
        <f>IF(COLUMNS($B$28:AQ28) &gt;= Inputs!$F$70, 1, 0)</f>
        <v/>
      </c>
      <c r="AR28" s="79">
        <f>IF(COLUMNS($B$28:AR28) &gt;= Inputs!$F$70, 1, 0)</f>
        <v/>
      </c>
      <c r="AS28" s="79">
        <f>IF(COLUMNS($B$28:AS28) &gt;= Inputs!$F$70, 1, 0)</f>
        <v/>
      </c>
      <c r="AT28" s="79">
        <f>IF(COLUMNS($B$28:AT28) &gt;= Inputs!$F$70, 1, 0)</f>
        <v/>
      </c>
      <c r="AU28" s="79">
        <f>IF(COLUMNS($B$28:AU28) &gt;= Inputs!$F$70, 1, 0)</f>
        <v/>
      </c>
      <c r="AV28" s="79">
        <f>IF(COLUMNS($B$28:AV28) &gt;= Inputs!$F$70, 1, 0)</f>
        <v/>
      </c>
      <c r="AW28" s="79">
        <f>IF(COLUMNS($B$28:AW28) &gt;= Inputs!$F$70, 1, 0)</f>
        <v/>
      </c>
      <c r="AX28" s="79">
        <f>IF(COLUMNS($B$28:AX28) &gt;= Inputs!$F$70, 1, 0)</f>
        <v/>
      </c>
      <c r="AY28" s="79">
        <f>IF(COLUMNS($B$28:AY28) &gt;= Inputs!$F$70, 1, 0)</f>
        <v/>
      </c>
      <c r="AZ28" s="79">
        <f>IF(COLUMNS($B$28:AZ28) &gt;= Inputs!$F$70, 1, 0)</f>
        <v/>
      </c>
      <c r="BA28" s="79">
        <f>IF(COLUMNS($B$28:BA28) &gt;= Inputs!$F$70, 1, 0)</f>
        <v/>
      </c>
    </row>
    <row r="29" ht="14.25" customHeight="1" s="83">
      <c r="A29" s="77" t="inlineStr">
        <is>
          <t>3. Customer Success</t>
        </is>
      </c>
      <c r="B29" s="79">
        <f>IF(COLUMNS($B$29:B29) &gt;= Inputs!$F$71, 1, 0)</f>
        <v/>
      </c>
      <c r="C29" s="79">
        <f>IF(COLUMNS($B$29:C29) &gt;= Inputs!$F$71, 1, 0)</f>
        <v/>
      </c>
      <c r="D29" s="79">
        <f>IF(COLUMNS($B$29:D29) &gt;= Inputs!$F$71, 1, 0)</f>
        <v/>
      </c>
      <c r="E29" s="79">
        <f>IF(COLUMNS($B$29:E29) &gt;= Inputs!$F$71, 1, 0)</f>
        <v/>
      </c>
      <c r="F29" s="79">
        <f>IF(COLUMNS($B$29:F29) &gt;= Inputs!$F$71, 1, 0)</f>
        <v/>
      </c>
      <c r="G29" s="79">
        <f>IF(COLUMNS($B$29:G29) &gt;= Inputs!$F$71, 1, 0)</f>
        <v/>
      </c>
      <c r="H29" s="79">
        <f>IF(COLUMNS($B$29:H29) &gt;= Inputs!$F$71, 1, 0)</f>
        <v/>
      </c>
      <c r="I29" s="79">
        <f>IF(COLUMNS($B$29:I29) &gt;= Inputs!$F$71, 1, 0)</f>
        <v/>
      </c>
      <c r="J29" s="79">
        <f>IF(COLUMNS($B$29:J29) &gt;= Inputs!$F$71, 1, 0)</f>
        <v/>
      </c>
      <c r="K29" s="79">
        <f>IF(COLUMNS($B$29:K29) &gt;= Inputs!$F$71, 1, 0)</f>
        <v/>
      </c>
      <c r="L29" s="79">
        <f>IF(COLUMNS($B$29:L29) &gt;= Inputs!$F$71, 1, 0)</f>
        <v/>
      </c>
      <c r="M29" s="79">
        <f>IF(COLUMNS($B$29:M29) &gt;= Inputs!$F$71, 1, 0)</f>
        <v/>
      </c>
      <c r="N29" s="79">
        <f>IF(COLUMNS($B$29:N29) &gt;= Inputs!$F$71, 1, 0)</f>
        <v/>
      </c>
      <c r="O29" s="79">
        <f>IF(COLUMNS($B$29:O29) &gt;= Inputs!$F$71, 1, 0)</f>
        <v/>
      </c>
      <c r="P29" s="79">
        <f>IF(COLUMNS($B$29:P29) &gt;= Inputs!$F$71, 1, 0)</f>
        <v/>
      </c>
      <c r="Q29" s="79">
        <f>IF(COLUMNS($B$29:Q29) &gt;= Inputs!$F$71, 1, 0)</f>
        <v/>
      </c>
      <c r="R29" s="79">
        <f>IF(COLUMNS($B$29:R29) &gt;= Inputs!$F$71, 1, 0)</f>
        <v/>
      </c>
      <c r="S29" s="79">
        <f>IF(COLUMNS($B$29:S29) &gt;= Inputs!$F$71, 1, 0)</f>
        <v/>
      </c>
      <c r="T29" s="79">
        <f>IF(COLUMNS($B$29:T29) &gt;= Inputs!$F$71, 1, 0)</f>
        <v/>
      </c>
      <c r="U29" s="79">
        <f>IF(COLUMNS($B$29:U29) &gt;= Inputs!$F$71, 1, 0)</f>
        <v/>
      </c>
      <c r="V29" s="79">
        <f>IF(COLUMNS($B$29:V29) &gt;= Inputs!$F$71, 1, 0)</f>
        <v/>
      </c>
      <c r="W29" s="79">
        <f>IF(COLUMNS($B$29:W29) &gt;= Inputs!$F$71, 1, 0)</f>
        <v/>
      </c>
      <c r="X29" s="79">
        <f>IF(COLUMNS($B$29:X29) &gt;= Inputs!$F$71, 1, 0)</f>
        <v/>
      </c>
      <c r="Y29" s="79">
        <f>IF(COLUMNS($B$29:Y29) &gt;= Inputs!$F$71, 1, 0)</f>
        <v/>
      </c>
      <c r="Z29" s="79">
        <f>IF(COLUMNS($B$29:Z29) &gt;= Inputs!$F$71, 1, 0)</f>
        <v/>
      </c>
      <c r="AA29" s="79">
        <f>IF(COLUMNS($B$29:AA29) &gt;= Inputs!$F$71, 1, 0)</f>
        <v/>
      </c>
      <c r="AB29" s="79">
        <f>IF(COLUMNS($B$29:AB29) &gt;= Inputs!$F$71, 1, 0)</f>
        <v/>
      </c>
      <c r="AC29" s="79">
        <f>IF(COLUMNS($B$29:AC29) &gt;= Inputs!$F$71, 1, 0)</f>
        <v/>
      </c>
      <c r="AD29" s="79">
        <f>IF(COLUMNS($B$29:AD29) &gt;= Inputs!$F$71, 1, 0)</f>
        <v/>
      </c>
      <c r="AE29" s="79">
        <f>IF(COLUMNS($B$29:AE29) &gt;= Inputs!$F$71, 1, 0)</f>
        <v/>
      </c>
      <c r="AF29" s="79">
        <f>IF(COLUMNS($B$29:AF29) &gt;= Inputs!$F$71, 1, 0)</f>
        <v/>
      </c>
      <c r="AG29" s="79">
        <f>IF(COLUMNS($B$29:AG29) &gt;= Inputs!$F$71, 1, 0)</f>
        <v/>
      </c>
      <c r="AH29" s="79">
        <f>IF(COLUMNS($B$29:AH29) &gt;= Inputs!$F$71, 1, 0)</f>
        <v/>
      </c>
      <c r="AI29" s="79">
        <f>IF(COLUMNS($B$29:AI29) &gt;= Inputs!$F$71, 1, 0)</f>
        <v/>
      </c>
      <c r="AJ29" s="79">
        <f>IF(COLUMNS($B$29:AJ29) &gt;= Inputs!$F$71, 1, 0)</f>
        <v/>
      </c>
      <c r="AK29" s="79">
        <f>IF(COLUMNS($B$29:AK29) &gt;= Inputs!$F$71, 1, 0)</f>
        <v/>
      </c>
      <c r="AL29" s="79">
        <f>IF(COLUMNS($B$29:AL29) &gt;= Inputs!$F$71, 1, 0)</f>
        <v/>
      </c>
      <c r="AM29" s="79">
        <f>IF(COLUMNS($B$29:AM29) &gt;= Inputs!$F$71, 1, 0)</f>
        <v/>
      </c>
      <c r="AN29" s="79">
        <f>IF(COLUMNS($B$29:AN29) &gt;= Inputs!$F$71, 1, 0)</f>
        <v/>
      </c>
      <c r="AO29" s="79">
        <f>IF(COLUMNS($B$29:AO29) &gt;= Inputs!$F$71, 1, 0)</f>
        <v/>
      </c>
      <c r="AP29" s="79">
        <f>IF(COLUMNS($B$29:AP29) &gt;= Inputs!$F$71, 1, 0)</f>
        <v/>
      </c>
      <c r="AQ29" s="79">
        <f>IF(COLUMNS($B$29:AQ29) &gt;= Inputs!$F$71, 1, 0)</f>
        <v/>
      </c>
      <c r="AR29" s="79">
        <f>IF(COLUMNS($B$29:AR29) &gt;= Inputs!$F$71, 1, 0)</f>
        <v/>
      </c>
      <c r="AS29" s="79">
        <f>IF(COLUMNS($B$29:AS29) &gt;= Inputs!$F$71, 1, 0)</f>
        <v/>
      </c>
      <c r="AT29" s="79">
        <f>IF(COLUMNS($B$29:AT29) &gt;= Inputs!$F$71, 1, 0)</f>
        <v/>
      </c>
      <c r="AU29" s="79">
        <f>IF(COLUMNS($B$29:AU29) &gt;= Inputs!$F$71, 1, 0)</f>
        <v/>
      </c>
      <c r="AV29" s="79">
        <f>IF(COLUMNS($B$29:AV29) &gt;= Inputs!$F$71, 1, 0)</f>
        <v/>
      </c>
      <c r="AW29" s="79">
        <f>IF(COLUMNS($B$29:AW29) &gt;= Inputs!$F$71, 1, 0)</f>
        <v/>
      </c>
      <c r="AX29" s="79">
        <f>IF(COLUMNS($B$29:AX29) &gt;= Inputs!$F$71, 1, 0)</f>
        <v/>
      </c>
      <c r="AY29" s="79">
        <f>IF(COLUMNS($B$29:AY29) &gt;= Inputs!$F$71, 1, 0)</f>
        <v/>
      </c>
      <c r="AZ29" s="79">
        <f>IF(COLUMNS($B$29:AZ29) &gt;= Inputs!$F$71, 1, 0)</f>
        <v/>
      </c>
      <c r="BA29" s="79">
        <f>IF(COLUMNS($B$29:BA29) &gt;= Inputs!$F$71, 1, 0)</f>
        <v/>
      </c>
    </row>
    <row r="30" ht="14.25" customHeight="1" s="83">
      <c r="A30" s="77" t="inlineStr">
        <is>
          <t>Finance Manager</t>
        </is>
      </c>
      <c r="B30" s="79">
        <f>IF(COLUMNS($B$30:B30) &gt;= Inputs!$F$72, 1, 0)</f>
        <v/>
      </c>
      <c r="C30" s="79">
        <f>IF(COLUMNS($B$30:C30) &gt;= Inputs!$F$72, 1, 0)</f>
        <v/>
      </c>
      <c r="D30" s="79">
        <f>IF(COLUMNS($B$30:D30) &gt;= Inputs!$F$72, 1, 0)</f>
        <v/>
      </c>
      <c r="E30" s="79">
        <f>IF(COLUMNS($B$30:E30) &gt;= Inputs!$F$72, 1, 0)</f>
        <v/>
      </c>
      <c r="F30" s="79">
        <f>IF(COLUMNS($B$30:F30) &gt;= Inputs!$F$72, 1, 0)</f>
        <v/>
      </c>
      <c r="G30" s="79">
        <f>IF(COLUMNS($B$30:G30) &gt;= Inputs!$F$72, 1, 0)</f>
        <v/>
      </c>
      <c r="H30" s="79">
        <f>IF(COLUMNS($B$30:H30) &gt;= Inputs!$F$72, 1, 0)</f>
        <v/>
      </c>
      <c r="I30" s="79">
        <f>IF(COLUMNS($B$30:I30) &gt;= Inputs!$F$72, 1, 0)</f>
        <v/>
      </c>
      <c r="J30" s="79">
        <f>IF(COLUMNS($B$30:J30) &gt;= Inputs!$F$72, 1, 0)</f>
        <v/>
      </c>
      <c r="K30" s="79">
        <f>IF(COLUMNS($B$30:K30) &gt;= Inputs!$F$72, 1, 0)</f>
        <v/>
      </c>
      <c r="L30" s="79">
        <f>IF(COLUMNS($B$30:L30) &gt;= Inputs!$F$72, 1, 0)</f>
        <v/>
      </c>
      <c r="M30" s="79">
        <f>IF(COLUMNS($B$30:M30) &gt;= Inputs!$F$72, 1, 0)</f>
        <v/>
      </c>
      <c r="N30" s="79">
        <f>IF(COLUMNS($B$30:N30) &gt;= Inputs!$F$72, 1, 0)</f>
        <v/>
      </c>
      <c r="O30" s="79">
        <f>IF(COLUMNS($B$30:O30) &gt;= Inputs!$F$72, 1, 0)</f>
        <v/>
      </c>
      <c r="P30" s="79">
        <f>IF(COLUMNS($B$30:P30) &gt;= Inputs!$F$72, 1, 0)</f>
        <v/>
      </c>
      <c r="Q30" s="79">
        <f>IF(COLUMNS($B$30:Q30) &gt;= Inputs!$F$72, 1, 0)</f>
        <v/>
      </c>
      <c r="R30" s="79">
        <f>IF(COLUMNS($B$30:R30) &gt;= Inputs!$F$72, 1, 0)</f>
        <v/>
      </c>
      <c r="S30" s="79">
        <f>IF(COLUMNS($B$30:S30) &gt;= Inputs!$F$72, 1, 0)</f>
        <v/>
      </c>
      <c r="T30" s="79">
        <f>IF(COLUMNS($B$30:T30) &gt;= Inputs!$F$72, 1, 0)</f>
        <v/>
      </c>
      <c r="U30" s="79">
        <f>IF(COLUMNS($B$30:U30) &gt;= Inputs!$F$72, 1, 0)</f>
        <v/>
      </c>
      <c r="V30" s="79">
        <f>IF(COLUMNS($B$30:V30) &gt;= Inputs!$F$72, 1, 0)</f>
        <v/>
      </c>
      <c r="W30" s="79">
        <f>IF(COLUMNS($B$30:W30) &gt;= Inputs!$F$72, 1, 0)</f>
        <v/>
      </c>
      <c r="X30" s="79">
        <f>IF(COLUMNS($B$30:X30) &gt;= Inputs!$F$72, 1, 0)</f>
        <v/>
      </c>
      <c r="Y30" s="79">
        <f>IF(COLUMNS($B$30:Y30) &gt;= Inputs!$F$72, 1, 0)</f>
        <v/>
      </c>
      <c r="Z30" s="79">
        <f>IF(COLUMNS($B$30:Z30) &gt;= Inputs!$F$72, 1, 0)</f>
        <v/>
      </c>
      <c r="AA30" s="79">
        <f>IF(COLUMNS($B$30:AA30) &gt;= Inputs!$F$72, 1, 0)</f>
        <v/>
      </c>
      <c r="AB30" s="79">
        <f>IF(COLUMNS($B$30:AB30) &gt;= Inputs!$F$72, 1, 0)</f>
        <v/>
      </c>
      <c r="AC30" s="79">
        <f>IF(COLUMNS($B$30:AC30) &gt;= Inputs!$F$72, 1, 0)</f>
        <v/>
      </c>
      <c r="AD30" s="79">
        <f>IF(COLUMNS($B$30:AD30) &gt;= Inputs!$F$72, 1, 0)</f>
        <v/>
      </c>
      <c r="AE30" s="79">
        <f>IF(COLUMNS($B$30:AE30) &gt;= Inputs!$F$72, 1, 0)</f>
        <v/>
      </c>
      <c r="AF30" s="79">
        <f>IF(COLUMNS($B$30:AF30) &gt;= Inputs!$F$72, 1, 0)</f>
        <v/>
      </c>
      <c r="AG30" s="79">
        <f>IF(COLUMNS($B$30:AG30) &gt;= Inputs!$F$72, 1, 0)</f>
        <v/>
      </c>
      <c r="AH30" s="79">
        <f>IF(COLUMNS($B$30:AH30) &gt;= Inputs!$F$72, 1, 0)</f>
        <v/>
      </c>
      <c r="AI30" s="79">
        <f>IF(COLUMNS($B$30:AI30) &gt;= Inputs!$F$72, 1, 0)</f>
        <v/>
      </c>
      <c r="AJ30" s="79">
        <f>IF(COLUMNS($B$30:AJ30) &gt;= Inputs!$F$72, 1, 0)</f>
        <v/>
      </c>
      <c r="AK30" s="79">
        <f>IF(COLUMNS($B$30:AK30) &gt;= Inputs!$F$72, 1, 0)</f>
        <v/>
      </c>
      <c r="AL30" s="79">
        <f>IF(COLUMNS($B$30:AL30) &gt;= Inputs!$F$72, 1, 0)</f>
        <v/>
      </c>
      <c r="AM30" s="79">
        <f>IF(COLUMNS($B$30:AM30) &gt;= Inputs!$F$72, 1, 0)</f>
        <v/>
      </c>
      <c r="AN30" s="79">
        <f>IF(COLUMNS($B$30:AN30) &gt;= Inputs!$F$72, 1, 0)</f>
        <v/>
      </c>
      <c r="AO30" s="79">
        <f>IF(COLUMNS($B$30:AO30) &gt;= Inputs!$F$72, 1, 0)</f>
        <v/>
      </c>
      <c r="AP30" s="79">
        <f>IF(COLUMNS($B$30:AP30) &gt;= Inputs!$F$72, 1, 0)</f>
        <v/>
      </c>
      <c r="AQ30" s="79">
        <f>IF(COLUMNS($B$30:AQ30) &gt;= Inputs!$F$72, 1, 0)</f>
        <v/>
      </c>
      <c r="AR30" s="79">
        <f>IF(COLUMNS($B$30:AR30) &gt;= Inputs!$F$72, 1, 0)</f>
        <v/>
      </c>
      <c r="AS30" s="79">
        <f>IF(COLUMNS($B$30:AS30) &gt;= Inputs!$F$72, 1, 0)</f>
        <v/>
      </c>
      <c r="AT30" s="79">
        <f>IF(COLUMNS($B$30:AT30) &gt;= Inputs!$F$72, 1, 0)</f>
        <v/>
      </c>
      <c r="AU30" s="79">
        <f>IF(COLUMNS($B$30:AU30) &gt;= Inputs!$F$72, 1, 0)</f>
        <v/>
      </c>
      <c r="AV30" s="79">
        <f>IF(COLUMNS($B$30:AV30) &gt;= Inputs!$F$72, 1, 0)</f>
        <v/>
      </c>
      <c r="AW30" s="79">
        <f>IF(COLUMNS($B$30:AW30) &gt;= Inputs!$F$72, 1, 0)</f>
        <v/>
      </c>
      <c r="AX30" s="79">
        <f>IF(COLUMNS($B$30:AX30) &gt;= Inputs!$F$72, 1, 0)</f>
        <v/>
      </c>
      <c r="AY30" s="79">
        <f>IF(COLUMNS($B$30:AY30) &gt;= Inputs!$F$72, 1, 0)</f>
        <v/>
      </c>
      <c r="AZ30" s="79">
        <f>IF(COLUMNS($B$30:AZ30) &gt;= Inputs!$F$72, 1, 0)</f>
        <v/>
      </c>
      <c r="BA30" s="79">
        <f>IF(COLUMNS($B$30:BA30) &gt;= Inputs!$F$72, 1, 0)</f>
        <v/>
      </c>
    </row>
    <row r="31" ht="14.25" customHeight="1" s="83">
      <c r="A31" s="77" t="inlineStr">
        <is>
          <t>6. Senior Engineer</t>
        </is>
      </c>
      <c r="B31" s="79">
        <f>IF(COLUMNS($B$31:B31) &gt;= Inputs!$F$73, 1, 0)</f>
        <v/>
      </c>
      <c r="C31" s="79">
        <f>IF(COLUMNS($B$31:C31) &gt;= Inputs!$F$73, 1, 0)</f>
        <v/>
      </c>
      <c r="D31" s="79">
        <f>IF(COLUMNS($B$31:D31) &gt;= Inputs!$F$73, 1, 0)</f>
        <v/>
      </c>
      <c r="E31" s="79">
        <f>IF(COLUMNS($B$31:E31) &gt;= Inputs!$F$73, 1, 0)</f>
        <v/>
      </c>
      <c r="F31" s="79">
        <f>IF(COLUMNS($B$31:F31) &gt;= Inputs!$F$73, 1, 0)</f>
        <v/>
      </c>
      <c r="G31" s="79">
        <f>IF(COLUMNS($B$31:G31) &gt;= Inputs!$F$73, 1, 0)</f>
        <v/>
      </c>
      <c r="H31" s="79">
        <f>IF(COLUMNS($B$31:H31) &gt;= Inputs!$F$73, 1, 0)</f>
        <v/>
      </c>
      <c r="I31" s="79">
        <f>IF(COLUMNS($B$31:I31) &gt;= Inputs!$F$73, 1, 0)</f>
        <v/>
      </c>
      <c r="J31" s="79">
        <f>IF(COLUMNS($B$31:J31) &gt;= Inputs!$F$73, 1, 0)</f>
        <v/>
      </c>
      <c r="K31" s="79">
        <f>IF(COLUMNS($B$31:K31) &gt;= Inputs!$F$73, 1, 0)</f>
        <v/>
      </c>
      <c r="L31" s="79">
        <f>IF(COLUMNS($B$31:L31) &gt;= Inputs!$F$73, 1, 0)</f>
        <v/>
      </c>
      <c r="M31" s="79">
        <f>IF(COLUMNS($B$31:M31) &gt;= Inputs!$F$73, 1, 0)</f>
        <v/>
      </c>
      <c r="N31" s="79">
        <f>IF(COLUMNS($B$31:N31) &gt;= Inputs!$F$73, 1, 0)</f>
        <v/>
      </c>
      <c r="O31" s="79">
        <f>IF(COLUMNS($B$31:O31) &gt;= Inputs!$F$73, 1, 0)</f>
        <v/>
      </c>
      <c r="P31" s="79">
        <f>IF(COLUMNS($B$31:P31) &gt;= Inputs!$F$73, 1, 0)</f>
        <v/>
      </c>
      <c r="Q31" s="79">
        <f>IF(COLUMNS($B$31:Q31) &gt;= Inputs!$F$73, 1, 0)</f>
        <v/>
      </c>
      <c r="R31" s="79">
        <f>IF(COLUMNS($B$31:R31) &gt;= Inputs!$F$73, 1, 0)</f>
        <v/>
      </c>
      <c r="S31" s="79">
        <f>IF(COLUMNS($B$31:S31) &gt;= Inputs!$F$73, 1, 0)</f>
        <v/>
      </c>
      <c r="T31" s="79">
        <f>IF(COLUMNS($B$31:T31) &gt;= Inputs!$F$73, 1, 0)</f>
        <v/>
      </c>
      <c r="U31" s="79">
        <f>IF(COLUMNS($B$31:U31) &gt;= Inputs!$F$73, 1, 0)</f>
        <v/>
      </c>
      <c r="V31" s="79">
        <f>IF(COLUMNS($B$31:V31) &gt;= Inputs!$F$73, 1, 0)</f>
        <v/>
      </c>
      <c r="W31" s="79">
        <f>IF(COLUMNS($B$31:W31) &gt;= Inputs!$F$73, 1, 0)</f>
        <v/>
      </c>
      <c r="X31" s="79">
        <f>IF(COLUMNS($B$31:X31) &gt;= Inputs!$F$73, 1, 0)</f>
        <v/>
      </c>
      <c r="Y31" s="79">
        <f>IF(COLUMNS($B$31:Y31) &gt;= Inputs!$F$73, 1, 0)</f>
        <v/>
      </c>
      <c r="Z31" s="79">
        <f>IF(COLUMNS($B$31:Z31) &gt;= Inputs!$F$73, 1, 0)</f>
        <v/>
      </c>
      <c r="AA31" s="79">
        <f>IF(COLUMNS($B$31:AA31) &gt;= Inputs!$F$73, 1, 0)</f>
        <v/>
      </c>
      <c r="AB31" s="79">
        <f>IF(COLUMNS($B$31:AB31) &gt;= Inputs!$F$73, 1, 0)</f>
        <v/>
      </c>
      <c r="AC31" s="79">
        <f>IF(COLUMNS($B$31:AC31) &gt;= Inputs!$F$73, 1, 0)</f>
        <v/>
      </c>
      <c r="AD31" s="79">
        <f>IF(COLUMNS($B$31:AD31) &gt;= Inputs!$F$73, 1, 0)</f>
        <v/>
      </c>
      <c r="AE31" s="79">
        <f>IF(COLUMNS($B$31:AE31) &gt;= Inputs!$F$73, 1, 0)</f>
        <v/>
      </c>
      <c r="AF31" s="79">
        <f>IF(COLUMNS($B$31:AF31) &gt;= Inputs!$F$73, 1, 0)</f>
        <v/>
      </c>
      <c r="AG31" s="79">
        <f>IF(COLUMNS($B$31:AG31) &gt;= Inputs!$F$73, 1, 0)</f>
        <v/>
      </c>
      <c r="AH31" s="79">
        <f>IF(COLUMNS($B$31:AH31) &gt;= Inputs!$F$73, 1, 0)</f>
        <v/>
      </c>
      <c r="AI31" s="79">
        <f>IF(COLUMNS($B$31:AI31) &gt;= Inputs!$F$73, 1, 0)</f>
        <v/>
      </c>
      <c r="AJ31" s="79">
        <f>IF(COLUMNS($B$31:AJ31) &gt;= Inputs!$F$73, 1, 0)</f>
        <v/>
      </c>
      <c r="AK31" s="79">
        <f>IF(COLUMNS($B$31:AK31) &gt;= Inputs!$F$73, 1, 0)</f>
        <v/>
      </c>
      <c r="AL31" s="79">
        <f>IF(COLUMNS($B$31:AL31) &gt;= Inputs!$F$73, 1, 0)</f>
        <v/>
      </c>
      <c r="AM31" s="79">
        <f>IF(COLUMNS($B$31:AM31) &gt;= Inputs!$F$73, 1, 0)</f>
        <v/>
      </c>
      <c r="AN31" s="79">
        <f>IF(COLUMNS($B$31:AN31) &gt;= Inputs!$F$73, 1, 0)</f>
        <v/>
      </c>
      <c r="AO31" s="79">
        <f>IF(COLUMNS($B$31:AO31) &gt;= Inputs!$F$73, 1, 0)</f>
        <v/>
      </c>
      <c r="AP31" s="79">
        <f>IF(COLUMNS($B$31:AP31) &gt;= Inputs!$F$73, 1, 0)</f>
        <v/>
      </c>
      <c r="AQ31" s="79">
        <f>IF(COLUMNS($B$31:AQ31) &gt;= Inputs!$F$73, 1, 0)</f>
        <v/>
      </c>
      <c r="AR31" s="79">
        <f>IF(COLUMNS($B$31:AR31) &gt;= Inputs!$F$73, 1, 0)</f>
        <v/>
      </c>
      <c r="AS31" s="79">
        <f>IF(COLUMNS($B$31:AS31) &gt;= Inputs!$F$73, 1, 0)</f>
        <v/>
      </c>
      <c r="AT31" s="79">
        <f>IF(COLUMNS($B$31:AT31) &gt;= Inputs!$F$73, 1, 0)</f>
        <v/>
      </c>
      <c r="AU31" s="79">
        <f>IF(COLUMNS($B$31:AU31) &gt;= Inputs!$F$73, 1, 0)</f>
        <v/>
      </c>
      <c r="AV31" s="79">
        <f>IF(COLUMNS($B$31:AV31) &gt;= Inputs!$F$73, 1, 0)</f>
        <v/>
      </c>
      <c r="AW31" s="79">
        <f>IF(COLUMNS($B$31:AW31) &gt;= Inputs!$F$73, 1, 0)</f>
        <v/>
      </c>
      <c r="AX31" s="79">
        <f>IF(COLUMNS($B$31:AX31) &gt;= Inputs!$F$73, 1, 0)</f>
        <v/>
      </c>
      <c r="AY31" s="79">
        <f>IF(COLUMNS($B$31:AY31) &gt;= Inputs!$F$73, 1, 0)</f>
        <v/>
      </c>
      <c r="AZ31" s="79">
        <f>IF(COLUMNS($B$31:AZ31) &gt;= Inputs!$F$73, 1, 0)</f>
        <v/>
      </c>
      <c r="BA31" s="79">
        <f>IF(COLUMNS($B$31:BA31) &gt;= Inputs!$F$73, 1, 0)</f>
        <v/>
      </c>
    </row>
    <row r="32" ht="14.25" customHeight="1" s="83">
      <c r="A32" s="77" t="inlineStr">
        <is>
          <t>7. Senior Engineer</t>
        </is>
      </c>
      <c r="B32" s="79">
        <f>IF(COLUMNS($B$32:B32) &gt;= Inputs!$F$74, 1, 0)</f>
        <v/>
      </c>
      <c r="C32" s="79">
        <f>IF(COLUMNS($B$32:C32) &gt;= Inputs!$F$74, 1, 0)</f>
        <v/>
      </c>
      <c r="D32" s="79">
        <f>IF(COLUMNS($B$32:D32) &gt;= Inputs!$F$74, 1, 0)</f>
        <v/>
      </c>
      <c r="E32" s="79">
        <f>IF(COLUMNS($B$32:E32) &gt;= Inputs!$F$74, 1, 0)</f>
        <v/>
      </c>
      <c r="F32" s="79">
        <f>IF(COLUMNS($B$32:F32) &gt;= Inputs!$F$74, 1, 0)</f>
        <v/>
      </c>
      <c r="G32" s="79">
        <f>IF(COLUMNS($B$32:G32) &gt;= Inputs!$F$74, 1, 0)</f>
        <v/>
      </c>
      <c r="H32" s="79">
        <f>IF(COLUMNS($B$32:H32) &gt;= Inputs!$F$74, 1, 0)</f>
        <v/>
      </c>
      <c r="I32" s="79">
        <f>IF(COLUMNS($B$32:I32) &gt;= Inputs!$F$74, 1, 0)</f>
        <v/>
      </c>
      <c r="J32" s="79">
        <f>IF(COLUMNS($B$32:J32) &gt;= Inputs!$F$74, 1, 0)</f>
        <v/>
      </c>
      <c r="K32" s="79">
        <f>IF(COLUMNS($B$32:K32) &gt;= Inputs!$F$74, 1, 0)</f>
        <v/>
      </c>
      <c r="L32" s="79">
        <f>IF(COLUMNS($B$32:L32) &gt;= Inputs!$F$74, 1, 0)</f>
        <v/>
      </c>
      <c r="M32" s="79">
        <f>IF(COLUMNS($B$32:M32) &gt;= Inputs!$F$74, 1, 0)</f>
        <v/>
      </c>
      <c r="N32" s="79">
        <f>IF(COLUMNS($B$32:N32) &gt;= Inputs!$F$74, 1, 0)</f>
        <v/>
      </c>
      <c r="O32" s="79">
        <f>IF(COLUMNS($B$32:O32) &gt;= Inputs!$F$74, 1, 0)</f>
        <v/>
      </c>
      <c r="P32" s="79">
        <f>IF(COLUMNS($B$32:P32) &gt;= Inputs!$F$74, 1, 0)</f>
        <v/>
      </c>
      <c r="Q32" s="79">
        <f>IF(COLUMNS($B$32:Q32) &gt;= Inputs!$F$74, 1, 0)</f>
        <v/>
      </c>
      <c r="R32" s="79">
        <f>IF(COLUMNS($B$32:R32) &gt;= Inputs!$F$74, 1, 0)</f>
        <v/>
      </c>
      <c r="S32" s="79">
        <f>IF(COLUMNS($B$32:S32) &gt;= Inputs!$F$74, 1, 0)</f>
        <v/>
      </c>
      <c r="T32" s="79">
        <f>IF(COLUMNS($B$32:T32) &gt;= Inputs!$F$74, 1, 0)</f>
        <v/>
      </c>
      <c r="U32" s="79">
        <f>IF(COLUMNS($B$32:U32) &gt;= Inputs!$F$74, 1, 0)</f>
        <v/>
      </c>
      <c r="V32" s="79">
        <f>IF(COLUMNS($B$32:V32) &gt;= Inputs!$F$74, 1, 0)</f>
        <v/>
      </c>
      <c r="W32" s="79">
        <f>IF(COLUMNS($B$32:W32) &gt;= Inputs!$F$74, 1, 0)</f>
        <v/>
      </c>
      <c r="X32" s="79">
        <f>IF(COLUMNS($B$32:X32) &gt;= Inputs!$F$74, 1, 0)</f>
        <v/>
      </c>
      <c r="Y32" s="79">
        <f>IF(COLUMNS($B$32:Y32) &gt;= Inputs!$F$74, 1, 0)</f>
        <v/>
      </c>
      <c r="Z32" s="79">
        <f>IF(COLUMNS($B$32:Z32) &gt;= Inputs!$F$74, 1, 0)</f>
        <v/>
      </c>
      <c r="AA32" s="79">
        <f>IF(COLUMNS($B$32:AA32) &gt;= Inputs!$F$74, 1, 0)</f>
        <v/>
      </c>
      <c r="AB32" s="79">
        <f>IF(COLUMNS($B$32:AB32) &gt;= Inputs!$F$74, 1, 0)</f>
        <v/>
      </c>
      <c r="AC32" s="79">
        <f>IF(COLUMNS($B$32:AC32) &gt;= Inputs!$F$74, 1, 0)</f>
        <v/>
      </c>
      <c r="AD32" s="79">
        <f>IF(COLUMNS($B$32:AD32) &gt;= Inputs!$F$74, 1, 0)</f>
        <v/>
      </c>
      <c r="AE32" s="79">
        <f>IF(COLUMNS($B$32:AE32) &gt;= Inputs!$F$74, 1, 0)</f>
        <v/>
      </c>
      <c r="AF32" s="79">
        <f>IF(COLUMNS($B$32:AF32) &gt;= Inputs!$F$74, 1, 0)</f>
        <v/>
      </c>
      <c r="AG32" s="79">
        <f>IF(COLUMNS($B$32:AG32) &gt;= Inputs!$F$74, 1, 0)</f>
        <v/>
      </c>
      <c r="AH32" s="79">
        <f>IF(COLUMNS($B$32:AH32) &gt;= Inputs!$F$74, 1, 0)</f>
        <v/>
      </c>
      <c r="AI32" s="79">
        <f>IF(COLUMNS($B$32:AI32) &gt;= Inputs!$F$74, 1, 0)</f>
        <v/>
      </c>
      <c r="AJ32" s="79">
        <f>IF(COLUMNS($B$32:AJ32) &gt;= Inputs!$F$74, 1, 0)</f>
        <v/>
      </c>
      <c r="AK32" s="79">
        <f>IF(COLUMNS($B$32:AK32) &gt;= Inputs!$F$74, 1, 0)</f>
        <v/>
      </c>
      <c r="AL32" s="79">
        <f>IF(COLUMNS($B$32:AL32) &gt;= Inputs!$F$74, 1, 0)</f>
        <v/>
      </c>
      <c r="AM32" s="79">
        <f>IF(COLUMNS($B$32:AM32) &gt;= Inputs!$F$74, 1, 0)</f>
        <v/>
      </c>
      <c r="AN32" s="79">
        <f>IF(COLUMNS($B$32:AN32) &gt;= Inputs!$F$74, 1, 0)</f>
        <v/>
      </c>
      <c r="AO32" s="79">
        <f>IF(COLUMNS($B$32:AO32) &gt;= Inputs!$F$74, 1, 0)</f>
        <v/>
      </c>
      <c r="AP32" s="79">
        <f>IF(COLUMNS($B$32:AP32) &gt;= Inputs!$F$74, 1, 0)</f>
        <v/>
      </c>
      <c r="AQ32" s="79">
        <f>IF(COLUMNS($B$32:AQ32) &gt;= Inputs!$F$74, 1, 0)</f>
        <v/>
      </c>
      <c r="AR32" s="79">
        <f>IF(COLUMNS($B$32:AR32) &gt;= Inputs!$F$74, 1, 0)</f>
        <v/>
      </c>
      <c r="AS32" s="79">
        <f>IF(COLUMNS($B$32:AS32) &gt;= Inputs!$F$74, 1, 0)</f>
        <v/>
      </c>
      <c r="AT32" s="79">
        <f>IF(COLUMNS($B$32:AT32) &gt;= Inputs!$F$74, 1, 0)</f>
        <v/>
      </c>
      <c r="AU32" s="79">
        <f>IF(COLUMNS($B$32:AU32) &gt;= Inputs!$F$74, 1, 0)</f>
        <v/>
      </c>
      <c r="AV32" s="79">
        <f>IF(COLUMNS($B$32:AV32) &gt;= Inputs!$F$74, 1, 0)</f>
        <v/>
      </c>
      <c r="AW32" s="79">
        <f>IF(COLUMNS($B$32:AW32) &gt;= Inputs!$F$74, 1, 0)</f>
        <v/>
      </c>
      <c r="AX32" s="79">
        <f>IF(COLUMNS($B$32:AX32) &gt;= Inputs!$F$74, 1, 0)</f>
        <v/>
      </c>
      <c r="AY32" s="79">
        <f>IF(COLUMNS($B$32:AY32) &gt;= Inputs!$F$74, 1, 0)</f>
        <v/>
      </c>
      <c r="AZ32" s="79">
        <f>IF(COLUMNS($B$32:AZ32) &gt;= Inputs!$F$74, 1, 0)</f>
        <v/>
      </c>
      <c r="BA32" s="79">
        <f>IF(COLUMNS($B$32:BA32) &gt;= Inputs!$F$74, 1, 0)</f>
        <v/>
      </c>
    </row>
    <row r="33" ht="14.25" customHeight="1" s="83">
      <c r="A33" s="77" t="inlineStr">
        <is>
          <t>4. Junior Engineer</t>
        </is>
      </c>
      <c r="B33" s="79">
        <f>IF(COLUMNS($B$33:B33) &gt;= Inputs!$F$75, 1, 0)</f>
        <v/>
      </c>
      <c r="C33" s="79">
        <f>IF(COLUMNS($B$33:C33) &gt;= Inputs!$F$75, 1, 0)</f>
        <v/>
      </c>
      <c r="D33" s="79">
        <f>IF(COLUMNS($B$33:D33) &gt;= Inputs!$F$75, 1, 0)</f>
        <v/>
      </c>
      <c r="E33" s="79">
        <f>IF(COLUMNS($B$33:E33) &gt;= Inputs!$F$75, 1, 0)</f>
        <v/>
      </c>
      <c r="F33" s="79">
        <f>IF(COLUMNS($B$33:F33) &gt;= Inputs!$F$75, 1, 0)</f>
        <v/>
      </c>
      <c r="G33" s="79">
        <f>IF(COLUMNS($B$33:G33) &gt;= Inputs!$F$75, 1, 0)</f>
        <v/>
      </c>
      <c r="H33" s="79">
        <f>IF(COLUMNS($B$33:H33) &gt;= Inputs!$F$75, 1, 0)</f>
        <v/>
      </c>
      <c r="I33" s="79">
        <f>IF(COLUMNS($B$33:I33) &gt;= Inputs!$F$75, 1, 0)</f>
        <v/>
      </c>
      <c r="J33" s="79">
        <f>IF(COLUMNS($B$33:J33) &gt;= Inputs!$F$75, 1, 0)</f>
        <v/>
      </c>
      <c r="K33" s="79">
        <f>IF(COLUMNS($B$33:K33) &gt;= Inputs!$F$75, 1, 0)</f>
        <v/>
      </c>
      <c r="L33" s="79">
        <f>IF(COLUMNS($B$33:L33) &gt;= Inputs!$F$75, 1, 0)</f>
        <v/>
      </c>
      <c r="M33" s="79">
        <f>IF(COLUMNS($B$33:M33) &gt;= Inputs!$F$75, 1, 0)</f>
        <v/>
      </c>
      <c r="N33" s="79">
        <f>IF(COLUMNS($B$33:N33) &gt;= Inputs!$F$75, 1, 0)</f>
        <v/>
      </c>
      <c r="O33" s="79">
        <f>IF(COLUMNS($B$33:O33) &gt;= Inputs!$F$75, 1, 0)</f>
        <v/>
      </c>
      <c r="P33" s="79">
        <f>IF(COLUMNS($B$33:P33) &gt;= Inputs!$F$75, 1, 0)</f>
        <v/>
      </c>
      <c r="Q33" s="79">
        <f>IF(COLUMNS($B$33:Q33) &gt;= Inputs!$F$75, 1, 0)</f>
        <v/>
      </c>
      <c r="R33" s="79">
        <f>IF(COLUMNS($B$33:R33) &gt;= Inputs!$F$75, 1, 0)</f>
        <v/>
      </c>
      <c r="S33" s="79">
        <f>IF(COLUMNS($B$33:S33) &gt;= Inputs!$F$75, 1, 0)</f>
        <v/>
      </c>
      <c r="T33" s="79">
        <f>IF(COLUMNS($B$33:T33) &gt;= Inputs!$F$75, 1, 0)</f>
        <v/>
      </c>
      <c r="U33" s="79">
        <f>IF(COLUMNS($B$33:U33) &gt;= Inputs!$F$75, 1, 0)</f>
        <v/>
      </c>
      <c r="V33" s="79">
        <f>IF(COLUMNS($B$33:V33) &gt;= Inputs!$F$75, 1, 0)</f>
        <v/>
      </c>
      <c r="W33" s="79">
        <f>IF(COLUMNS($B$33:W33) &gt;= Inputs!$F$75, 1, 0)</f>
        <v/>
      </c>
      <c r="X33" s="79">
        <f>IF(COLUMNS($B$33:X33) &gt;= Inputs!$F$75, 1, 0)</f>
        <v/>
      </c>
      <c r="Y33" s="79">
        <f>IF(COLUMNS($B$33:Y33) &gt;= Inputs!$F$75, 1, 0)</f>
        <v/>
      </c>
      <c r="Z33" s="79">
        <f>IF(COLUMNS($B$33:Z33) &gt;= Inputs!$F$75, 1, 0)</f>
        <v/>
      </c>
      <c r="AA33" s="79">
        <f>IF(COLUMNS($B$33:AA33) &gt;= Inputs!$F$75, 1, 0)</f>
        <v/>
      </c>
      <c r="AB33" s="79">
        <f>IF(COLUMNS($B$33:AB33) &gt;= Inputs!$F$75, 1, 0)</f>
        <v/>
      </c>
      <c r="AC33" s="79">
        <f>IF(COLUMNS($B$33:AC33) &gt;= Inputs!$F$75, 1, 0)</f>
        <v/>
      </c>
      <c r="AD33" s="79">
        <f>IF(COLUMNS($B$33:AD33) &gt;= Inputs!$F$75, 1, 0)</f>
        <v/>
      </c>
      <c r="AE33" s="79">
        <f>IF(COLUMNS($B$33:AE33) &gt;= Inputs!$F$75, 1, 0)</f>
        <v/>
      </c>
      <c r="AF33" s="79">
        <f>IF(COLUMNS($B$33:AF33) &gt;= Inputs!$F$75, 1, 0)</f>
        <v/>
      </c>
      <c r="AG33" s="79">
        <f>IF(COLUMNS($B$33:AG33) &gt;= Inputs!$F$75, 1, 0)</f>
        <v/>
      </c>
      <c r="AH33" s="79">
        <f>IF(COLUMNS($B$33:AH33) &gt;= Inputs!$F$75, 1, 0)</f>
        <v/>
      </c>
      <c r="AI33" s="79">
        <f>IF(COLUMNS($B$33:AI33) &gt;= Inputs!$F$75, 1, 0)</f>
        <v/>
      </c>
      <c r="AJ33" s="79">
        <f>IF(COLUMNS($B$33:AJ33) &gt;= Inputs!$F$75, 1, 0)</f>
        <v/>
      </c>
      <c r="AK33" s="79">
        <f>IF(COLUMNS($B$33:AK33) &gt;= Inputs!$F$75, 1, 0)</f>
        <v/>
      </c>
      <c r="AL33" s="79">
        <f>IF(COLUMNS($B$33:AL33) &gt;= Inputs!$F$75, 1, 0)</f>
        <v/>
      </c>
      <c r="AM33" s="79">
        <f>IF(COLUMNS($B$33:AM33) &gt;= Inputs!$F$75, 1, 0)</f>
        <v/>
      </c>
      <c r="AN33" s="79">
        <f>IF(COLUMNS($B$33:AN33) &gt;= Inputs!$F$75, 1, 0)</f>
        <v/>
      </c>
      <c r="AO33" s="79">
        <f>IF(COLUMNS($B$33:AO33) &gt;= Inputs!$F$75, 1, 0)</f>
        <v/>
      </c>
      <c r="AP33" s="79">
        <f>IF(COLUMNS($B$33:AP33) &gt;= Inputs!$F$75, 1, 0)</f>
        <v/>
      </c>
      <c r="AQ33" s="79">
        <f>IF(COLUMNS($B$33:AQ33) &gt;= Inputs!$F$75, 1, 0)</f>
        <v/>
      </c>
      <c r="AR33" s="79">
        <f>IF(COLUMNS($B$33:AR33) &gt;= Inputs!$F$75, 1, 0)</f>
        <v/>
      </c>
      <c r="AS33" s="79">
        <f>IF(COLUMNS($B$33:AS33) &gt;= Inputs!$F$75, 1, 0)</f>
        <v/>
      </c>
      <c r="AT33" s="79">
        <f>IF(COLUMNS($B$33:AT33) &gt;= Inputs!$F$75, 1, 0)</f>
        <v/>
      </c>
      <c r="AU33" s="79">
        <f>IF(COLUMNS($B$33:AU33) &gt;= Inputs!$F$75, 1, 0)</f>
        <v/>
      </c>
      <c r="AV33" s="79">
        <f>IF(COLUMNS($B$33:AV33) &gt;= Inputs!$F$75, 1, 0)</f>
        <v/>
      </c>
      <c r="AW33" s="79">
        <f>IF(COLUMNS($B$33:AW33) &gt;= Inputs!$F$75, 1, 0)</f>
        <v/>
      </c>
      <c r="AX33" s="79">
        <f>IF(COLUMNS($B$33:AX33) &gt;= Inputs!$F$75, 1, 0)</f>
        <v/>
      </c>
      <c r="AY33" s="79">
        <f>IF(COLUMNS($B$33:AY33) &gt;= Inputs!$F$75, 1, 0)</f>
        <v/>
      </c>
      <c r="AZ33" s="79">
        <f>IF(COLUMNS($B$33:AZ33) &gt;= Inputs!$F$75, 1, 0)</f>
        <v/>
      </c>
      <c r="BA33" s="79">
        <f>IF(COLUMNS($B$33:BA33) &gt;= Inputs!$F$75, 1, 0)</f>
        <v/>
      </c>
    </row>
    <row r="34" ht="14.25" customHeight="1" s="83">
      <c r="A34" s="77" t="inlineStr">
        <is>
          <t>5. ML/AI Engineer</t>
        </is>
      </c>
      <c r="B34" s="79">
        <f>IF(COLUMNS($B$34:B34) &gt;= Inputs!$F$76, 1, 0)</f>
        <v/>
      </c>
      <c r="C34" s="79">
        <f>IF(COLUMNS($B$34:C34) &gt;= Inputs!$F$76, 1, 0)</f>
        <v/>
      </c>
      <c r="D34" s="79">
        <f>IF(COLUMNS($B$34:D34) &gt;= Inputs!$F$76, 1, 0)</f>
        <v/>
      </c>
      <c r="E34" s="79">
        <f>IF(COLUMNS($B$34:E34) &gt;= Inputs!$F$76, 1, 0)</f>
        <v/>
      </c>
      <c r="F34" s="79">
        <f>IF(COLUMNS($B$34:F34) &gt;= Inputs!$F$76, 1, 0)</f>
        <v/>
      </c>
      <c r="G34" s="79">
        <f>IF(COLUMNS($B$34:G34) &gt;= Inputs!$F$76, 1, 0)</f>
        <v/>
      </c>
      <c r="H34" s="79">
        <f>IF(COLUMNS($B$34:H34) &gt;= Inputs!$F$76, 1, 0)</f>
        <v/>
      </c>
      <c r="I34" s="79">
        <f>IF(COLUMNS($B$34:I34) &gt;= Inputs!$F$76, 1, 0)</f>
        <v/>
      </c>
      <c r="J34" s="79">
        <f>IF(COLUMNS($B$34:J34) &gt;= Inputs!$F$76, 1, 0)</f>
        <v/>
      </c>
      <c r="K34" s="79">
        <f>IF(COLUMNS($B$34:K34) &gt;= Inputs!$F$76, 1, 0)</f>
        <v/>
      </c>
      <c r="L34" s="79">
        <f>IF(COLUMNS($B$34:L34) &gt;= Inputs!$F$76, 1, 0)</f>
        <v/>
      </c>
      <c r="M34" s="79">
        <f>IF(COLUMNS($B$34:M34) &gt;= Inputs!$F$76, 1, 0)</f>
        <v/>
      </c>
      <c r="N34" s="79">
        <f>IF(COLUMNS($B$34:N34) &gt;= Inputs!$F$76, 1, 0)</f>
        <v/>
      </c>
      <c r="O34" s="79">
        <f>IF(COLUMNS($B$34:O34) &gt;= Inputs!$F$76, 1, 0)</f>
        <v/>
      </c>
      <c r="P34" s="79">
        <f>IF(COLUMNS($B$34:P34) &gt;= Inputs!$F$76, 1, 0)</f>
        <v/>
      </c>
      <c r="Q34" s="79">
        <f>IF(COLUMNS($B$34:Q34) &gt;= Inputs!$F$76, 1, 0)</f>
        <v/>
      </c>
      <c r="R34" s="79">
        <f>IF(COLUMNS($B$34:R34) &gt;= Inputs!$F$76, 1, 0)</f>
        <v/>
      </c>
      <c r="S34" s="79">
        <f>IF(COLUMNS($B$34:S34) &gt;= Inputs!$F$76, 1, 0)</f>
        <v/>
      </c>
      <c r="T34" s="79">
        <f>IF(COLUMNS($B$34:T34) &gt;= Inputs!$F$76, 1, 0)</f>
        <v/>
      </c>
      <c r="U34" s="79">
        <f>IF(COLUMNS($B$34:U34) &gt;= Inputs!$F$76, 1, 0)</f>
        <v/>
      </c>
      <c r="V34" s="79">
        <f>IF(COLUMNS($B$34:V34) &gt;= Inputs!$F$76, 1, 0)</f>
        <v/>
      </c>
      <c r="W34" s="79">
        <f>IF(COLUMNS($B$34:W34) &gt;= Inputs!$F$76, 1, 0)</f>
        <v/>
      </c>
      <c r="X34" s="79">
        <f>IF(COLUMNS($B$34:X34) &gt;= Inputs!$F$76, 1, 0)</f>
        <v/>
      </c>
      <c r="Y34" s="79">
        <f>IF(COLUMNS($B$34:Y34) &gt;= Inputs!$F$76, 1, 0)</f>
        <v/>
      </c>
      <c r="Z34" s="79">
        <f>IF(COLUMNS($B$34:Z34) &gt;= Inputs!$F$76, 1, 0)</f>
        <v/>
      </c>
      <c r="AA34" s="79">
        <f>IF(COLUMNS($B$34:AA34) &gt;= Inputs!$F$76, 1, 0)</f>
        <v/>
      </c>
      <c r="AB34" s="79">
        <f>IF(COLUMNS($B$34:AB34) &gt;= Inputs!$F$76, 1, 0)</f>
        <v/>
      </c>
      <c r="AC34" s="79">
        <f>IF(COLUMNS($B$34:AC34) &gt;= Inputs!$F$76, 1, 0)</f>
        <v/>
      </c>
      <c r="AD34" s="79">
        <f>IF(COLUMNS($B$34:AD34) &gt;= Inputs!$F$76, 1, 0)</f>
        <v/>
      </c>
      <c r="AE34" s="79">
        <f>IF(COLUMNS($B$34:AE34) &gt;= Inputs!$F$76, 1, 0)</f>
        <v/>
      </c>
      <c r="AF34" s="79">
        <f>IF(COLUMNS($B$34:AF34) &gt;= Inputs!$F$76, 1, 0)</f>
        <v/>
      </c>
      <c r="AG34" s="79">
        <f>IF(COLUMNS($B$34:AG34) &gt;= Inputs!$F$76, 1, 0)</f>
        <v/>
      </c>
      <c r="AH34" s="79">
        <f>IF(COLUMNS($B$34:AH34) &gt;= Inputs!$F$76, 1, 0)</f>
        <v/>
      </c>
      <c r="AI34" s="79">
        <f>IF(COLUMNS($B$34:AI34) &gt;= Inputs!$F$76, 1, 0)</f>
        <v/>
      </c>
      <c r="AJ34" s="79">
        <f>IF(COLUMNS($B$34:AJ34) &gt;= Inputs!$F$76, 1, 0)</f>
        <v/>
      </c>
      <c r="AK34" s="79">
        <f>IF(COLUMNS($B$34:AK34) &gt;= Inputs!$F$76, 1, 0)</f>
        <v/>
      </c>
      <c r="AL34" s="79">
        <f>IF(COLUMNS($B$34:AL34) &gt;= Inputs!$F$76, 1, 0)</f>
        <v/>
      </c>
      <c r="AM34" s="79">
        <f>IF(COLUMNS($B$34:AM34) &gt;= Inputs!$F$76, 1, 0)</f>
        <v/>
      </c>
      <c r="AN34" s="79">
        <f>IF(COLUMNS($B$34:AN34) &gt;= Inputs!$F$76, 1, 0)</f>
        <v/>
      </c>
      <c r="AO34" s="79">
        <f>IF(COLUMNS($B$34:AO34) &gt;= Inputs!$F$76, 1, 0)</f>
        <v/>
      </c>
      <c r="AP34" s="79">
        <f>IF(COLUMNS($B$34:AP34) &gt;= Inputs!$F$76, 1, 0)</f>
        <v/>
      </c>
      <c r="AQ34" s="79">
        <f>IF(COLUMNS($B$34:AQ34) &gt;= Inputs!$F$76, 1, 0)</f>
        <v/>
      </c>
      <c r="AR34" s="79">
        <f>IF(COLUMNS($B$34:AR34) &gt;= Inputs!$F$76, 1, 0)</f>
        <v/>
      </c>
      <c r="AS34" s="79">
        <f>IF(COLUMNS($B$34:AS34) &gt;= Inputs!$F$76, 1, 0)</f>
        <v/>
      </c>
      <c r="AT34" s="79">
        <f>IF(COLUMNS($B$34:AT34) &gt;= Inputs!$F$76, 1, 0)</f>
        <v/>
      </c>
      <c r="AU34" s="79">
        <f>IF(COLUMNS($B$34:AU34) &gt;= Inputs!$F$76, 1, 0)</f>
        <v/>
      </c>
      <c r="AV34" s="79">
        <f>IF(COLUMNS($B$34:AV34) &gt;= Inputs!$F$76, 1, 0)</f>
        <v/>
      </c>
      <c r="AW34" s="79">
        <f>IF(COLUMNS($B$34:AW34) &gt;= Inputs!$F$76, 1, 0)</f>
        <v/>
      </c>
      <c r="AX34" s="79">
        <f>IF(COLUMNS($B$34:AX34) &gt;= Inputs!$F$76, 1, 0)</f>
        <v/>
      </c>
      <c r="AY34" s="79">
        <f>IF(COLUMNS($B$34:AY34) &gt;= Inputs!$F$76, 1, 0)</f>
        <v/>
      </c>
      <c r="AZ34" s="79">
        <f>IF(COLUMNS($B$34:AZ34) &gt;= Inputs!$F$76, 1, 0)</f>
        <v/>
      </c>
      <c r="BA34" s="79">
        <f>IF(COLUMNS($B$34:BA34) &gt;= Inputs!$F$76, 1, 0)</f>
        <v/>
      </c>
    </row>
    <row r="35" ht="14.25" customHeight="1" s="83">
      <c r="A35" s="77" t="inlineStr">
        <is>
          <t>5. Sales Rep</t>
        </is>
      </c>
      <c r="B35" s="79">
        <f>IF(COLUMNS($B$35:B35) &gt;= Inputs!$F$77, 1, 0)</f>
        <v/>
      </c>
      <c r="C35" s="79">
        <f>IF(COLUMNS($B$35:C35) &gt;= Inputs!$F$77, 1, 0)</f>
        <v/>
      </c>
      <c r="D35" s="79">
        <f>IF(COLUMNS($B$35:D35) &gt;= Inputs!$F$77, 1, 0)</f>
        <v/>
      </c>
      <c r="E35" s="79">
        <f>IF(COLUMNS($B$35:E35) &gt;= Inputs!$F$77, 1, 0)</f>
        <v/>
      </c>
      <c r="F35" s="79">
        <f>IF(COLUMNS($B$35:F35) &gt;= Inputs!$F$77, 1, 0)</f>
        <v/>
      </c>
      <c r="G35" s="79">
        <f>IF(COLUMNS($B$35:G35) &gt;= Inputs!$F$77, 1, 0)</f>
        <v/>
      </c>
      <c r="H35" s="79">
        <f>IF(COLUMNS($B$35:H35) &gt;= Inputs!$F$77, 1, 0)</f>
        <v/>
      </c>
      <c r="I35" s="79">
        <f>IF(COLUMNS($B$35:I35) &gt;= Inputs!$F$77, 1, 0)</f>
        <v/>
      </c>
      <c r="J35" s="79">
        <f>IF(COLUMNS($B$35:J35) &gt;= Inputs!$F$77, 1, 0)</f>
        <v/>
      </c>
      <c r="K35" s="79">
        <f>IF(COLUMNS($B$35:K35) &gt;= Inputs!$F$77, 1, 0)</f>
        <v/>
      </c>
      <c r="L35" s="79">
        <f>IF(COLUMNS($B$35:L35) &gt;= Inputs!$F$77, 1, 0)</f>
        <v/>
      </c>
      <c r="M35" s="79">
        <f>IF(COLUMNS($B$35:M35) &gt;= Inputs!$F$77, 1, 0)</f>
        <v/>
      </c>
      <c r="N35" s="79">
        <f>IF(COLUMNS($B$35:N35) &gt;= Inputs!$F$77, 1, 0)</f>
        <v/>
      </c>
      <c r="O35" s="79">
        <f>IF(COLUMNS($B$35:O35) &gt;= Inputs!$F$77, 1, 0)</f>
        <v/>
      </c>
      <c r="P35" s="79">
        <f>IF(COLUMNS($B$35:P35) &gt;= Inputs!$F$77, 1, 0)</f>
        <v/>
      </c>
      <c r="Q35" s="79">
        <f>IF(COLUMNS($B$35:Q35) &gt;= Inputs!$F$77, 1, 0)</f>
        <v/>
      </c>
      <c r="R35" s="79">
        <f>IF(COLUMNS($B$35:R35) &gt;= Inputs!$F$77, 1, 0)</f>
        <v/>
      </c>
      <c r="S35" s="79">
        <f>IF(COLUMNS($B$35:S35) &gt;= Inputs!$F$77, 1, 0)</f>
        <v/>
      </c>
      <c r="T35" s="79">
        <f>IF(COLUMNS($B$35:T35) &gt;= Inputs!$F$77, 1, 0)</f>
        <v/>
      </c>
      <c r="U35" s="79">
        <f>IF(COLUMNS($B$35:U35) &gt;= Inputs!$F$77, 1, 0)</f>
        <v/>
      </c>
      <c r="V35" s="79">
        <f>IF(COLUMNS($B$35:V35) &gt;= Inputs!$F$77, 1, 0)</f>
        <v/>
      </c>
      <c r="W35" s="79">
        <f>IF(COLUMNS($B$35:W35) &gt;= Inputs!$F$77, 1, 0)</f>
        <v/>
      </c>
      <c r="X35" s="79">
        <f>IF(COLUMNS($B$35:X35) &gt;= Inputs!$F$77, 1, 0)</f>
        <v/>
      </c>
      <c r="Y35" s="79">
        <f>IF(COLUMNS($B$35:Y35) &gt;= Inputs!$F$77, 1, 0)</f>
        <v/>
      </c>
      <c r="Z35" s="79">
        <f>IF(COLUMNS($B$35:Z35) &gt;= Inputs!$F$77, 1, 0)</f>
        <v/>
      </c>
      <c r="AA35" s="79">
        <f>IF(COLUMNS($B$35:AA35) &gt;= Inputs!$F$77, 1, 0)</f>
        <v/>
      </c>
      <c r="AB35" s="79">
        <f>IF(COLUMNS($B$35:AB35) &gt;= Inputs!$F$77, 1, 0)</f>
        <v/>
      </c>
      <c r="AC35" s="79">
        <f>IF(COLUMNS($B$35:AC35) &gt;= Inputs!$F$77, 1, 0)</f>
        <v/>
      </c>
      <c r="AD35" s="79">
        <f>IF(COLUMNS($B$35:AD35) &gt;= Inputs!$F$77, 1, 0)</f>
        <v/>
      </c>
      <c r="AE35" s="79">
        <f>IF(COLUMNS($B$35:AE35) &gt;= Inputs!$F$77, 1, 0)</f>
        <v/>
      </c>
      <c r="AF35" s="79">
        <f>IF(COLUMNS($B$35:AF35) &gt;= Inputs!$F$77, 1, 0)</f>
        <v/>
      </c>
      <c r="AG35" s="79">
        <f>IF(COLUMNS($B$35:AG35) &gt;= Inputs!$F$77, 1, 0)</f>
        <v/>
      </c>
      <c r="AH35" s="79">
        <f>IF(COLUMNS($B$35:AH35) &gt;= Inputs!$F$77, 1, 0)</f>
        <v/>
      </c>
      <c r="AI35" s="79">
        <f>IF(COLUMNS($B$35:AI35) &gt;= Inputs!$F$77, 1, 0)</f>
        <v/>
      </c>
      <c r="AJ35" s="79">
        <f>IF(COLUMNS($B$35:AJ35) &gt;= Inputs!$F$77, 1, 0)</f>
        <v/>
      </c>
      <c r="AK35" s="79">
        <f>IF(COLUMNS($B$35:AK35) &gt;= Inputs!$F$77, 1, 0)</f>
        <v/>
      </c>
      <c r="AL35" s="79">
        <f>IF(COLUMNS($B$35:AL35) &gt;= Inputs!$F$77, 1, 0)</f>
        <v/>
      </c>
      <c r="AM35" s="79">
        <f>IF(COLUMNS($B$35:AM35) &gt;= Inputs!$F$77, 1, 0)</f>
        <v/>
      </c>
      <c r="AN35" s="79">
        <f>IF(COLUMNS($B$35:AN35) &gt;= Inputs!$F$77, 1, 0)</f>
        <v/>
      </c>
      <c r="AO35" s="79">
        <f>IF(COLUMNS($B$35:AO35) &gt;= Inputs!$F$77, 1, 0)</f>
        <v/>
      </c>
      <c r="AP35" s="79">
        <f>IF(COLUMNS($B$35:AP35) &gt;= Inputs!$F$77, 1, 0)</f>
        <v/>
      </c>
      <c r="AQ35" s="79">
        <f>IF(COLUMNS($B$35:AQ35) &gt;= Inputs!$F$77, 1, 0)</f>
        <v/>
      </c>
      <c r="AR35" s="79">
        <f>IF(COLUMNS($B$35:AR35) &gt;= Inputs!$F$77, 1, 0)</f>
        <v/>
      </c>
      <c r="AS35" s="79">
        <f>IF(COLUMNS($B$35:AS35) &gt;= Inputs!$F$77, 1, 0)</f>
        <v/>
      </c>
      <c r="AT35" s="79">
        <f>IF(COLUMNS($B$35:AT35) &gt;= Inputs!$F$77, 1, 0)</f>
        <v/>
      </c>
      <c r="AU35" s="79">
        <f>IF(COLUMNS($B$35:AU35) &gt;= Inputs!$F$77, 1, 0)</f>
        <v/>
      </c>
      <c r="AV35" s="79">
        <f>IF(COLUMNS($B$35:AV35) &gt;= Inputs!$F$77, 1, 0)</f>
        <v/>
      </c>
      <c r="AW35" s="79">
        <f>IF(COLUMNS($B$35:AW35) &gt;= Inputs!$F$77, 1, 0)</f>
        <v/>
      </c>
      <c r="AX35" s="79">
        <f>IF(COLUMNS($B$35:AX35) &gt;= Inputs!$F$77, 1, 0)</f>
        <v/>
      </c>
      <c r="AY35" s="79">
        <f>IF(COLUMNS($B$35:AY35) &gt;= Inputs!$F$77, 1, 0)</f>
        <v/>
      </c>
      <c r="AZ35" s="79">
        <f>IF(COLUMNS($B$35:AZ35) &gt;= Inputs!$F$77, 1, 0)</f>
        <v/>
      </c>
      <c r="BA35" s="79">
        <f>IF(COLUMNS($B$35:BA35) &gt;= Inputs!$F$77, 1, 0)</f>
        <v/>
      </c>
    </row>
    <row r="36" ht="14.25" customHeight="1" s="83">
      <c r="A36" s="77" t="inlineStr">
        <is>
          <t>4. Customer Success</t>
        </is>
      </c>
      <c r="B36" s="79">
        <f>IF(COLUMNS($B$36:B36) &gt;= Inputs!$F$78, 1, 0)</f>
        <v/>
      </c>
      <c r="C36" s="79">
        <f>IF(COLUMNS($B$36:C36) &gt;= Inputs!$F$78, 1, 0)</f>
        <v/>
      </c>
      <c r="D36" s="79">
        <f>IF(COLUMNS($B$36:D36) &gt;= Inputs!$F$78, 1, 0)</f>
        <v/>
      </c>
      <c r="E36" s="79">
        <f>IF(COLUMNS($B$36:E36) &gt;= Inputs!$F$78, 1, 0)</f>
        <v/>
      </c>
      <c r="F36" s="79">
        <f>IF(COLUMNS($B$36:F36) &gt;= Inputs!$F$78, 1, 0)</f>
        <v/>
      </c>
      <c r="G36" s="79">
        <f>IF(COLUMNS($B$36:G36) &gt;= Inputs!$F$78, 1, 0)</f>
        <v/>
      </c>
      <c r="H36" s="79">
        <f>IF(COLUMNS($B$36:H36) &gt;= Inputs!$F$78, 1, 0)</f>
        <v/>
      </c>
      <c r="I36" s="79">
        <f>IF(COLUMNS($B$36:I36) &gt;= Inputs!$F$78, 1, 0)</f>
        <v/>
      </c>
      <c r="J36" s="79">
        <f>IF(COLUMNS($B$36:J36) &gt;= Inputs!$F$78, 1, 0)</f>
        <v/>
      </c>
      <c r="K36" s="79">
        <f>IF(COLUMNS($B$36:K36) &gt;= Inputs!$F$78, 1, 0)</f>
        <v/>
      </c>
      <c r="L36" s="79">
        <f>IF(COLUMNS($B$36:L36) &gt;= Inputs!$F$78, 1, 0)</f>
        <v/>
      </c>
      <c r="M36" s="79">
        <f>IF(COLUMNS($B$36:M36) &gt;= Inputs!$F$78, 1, 0)</f>
        <v/>
      </c>
      <c r="N36" s="79">
        <f>IF(COLUMNS($B$36:N36) &gt;= Inputs!$F$78, 1, 0)</f>
        <v/>
      </c>
      <c r="O36" s="79">
        <f>IF(COLUMNS($B$36:O36) &gt;= Inputs!$F$78, 1, 0)</f>
        <v/>
      </c>
      <c r="P36" s="79">
        <f>IF(COLUMNS($B$36:P36) &gt;= Inputs!$F$78, 1, 0)</f>
        <v/>
      </c>
      <c r="Q36" s="79">
        <f>IF(COLUMNS($B$36:Q36) &gt;= Inputs!$F$78, 1, 0)</f>
        <v/>
      </c>
      <c r="R36" s="79">
        <f>IF(COLUMNS($B$36:R36) &gt;= Inputs!$F$78, 1, 0)</f>
        <v/>
      </c>
      <c r="S36" s="79">
        <f>IF(COLUMNS($B$36:S36) &gt;= Inputs!$F$78, 1, 0)</f>
        <v/>
      </c>
      <c r="T36" s="79">
        <f>IF(COLUMNS($B$36:T36) &gt;= Inputs!$F$78, 1, 0)</f>
        <v/>
      </c>
      <c r="U36" s="79">
        <f>IF(COLUMNS($B$36:U36) &gt;= Inputs!$F$78, 1, 0)</f>
        <v/>
      </c>
      <c r="V36" s="79">
        <f>IF(COLUMNS($B$36:V36) &gt;= Inputs!$F$78, 1, 0)</f>
        <v/>
      </c>
      <c r="W36" s="79">
        <f>IF(COLUMNS($B$36:W36) &gt;= Inputs!$F$78, 1, 0)</f>
        <v/>
      </c>
      <c r="X36" s="79">
        <f>IF(COLUMNS($B$36:X36) &gt;= Inputs!$F$78, 1, 0)</f>
        <v/>
      </c>
      <c r="Y36" s="79">
        <f>IF(COLUMNS($B$36:Y36) &gt;= Inputs!$F$78, 1, 0)</f>
        <v/>
      </c>
      <c r="Z36" s="79">
        <f>IF(COLUMNS($B$36:Z36) &gt;= Inputs!$F$78, 1, 0)</f>
        <v/>
      </c>
      <c r="AA36" s="79">
        <f>IF(COLUMNS($B$36:AA36) &gt;= Inputs!$F$78, 1, 0)</f>
        <v/>
      </c>
      <c r="AB36" s="79">
        <f>IF(COLUMNS($B$36:AB36) &gt;= Inputs!$F$78, 1, 0)</f>
        <v/>
      </c>
      <c r="AC36" s="79">
        <f>IF(COLUMNS($B$36:AC36) &gt;= Inputs!$F$78, 1, 0)</f>
        <v/>
      </c>
      <c r="AD36" s="79">
        <f>IF(COLUMNS($B$36:AD36) &gt;= Inputs!$F$78, 1, 0)</f>
        <v/>
      </c>
      <c r="AE36" s="79">
        <f>IF(COLUMNS($B$36:AE36) &gt;= Inputs!$F$78, 1, 0)</f>
        <v/>
      </c>
      <c r="AF36" s="79">
        <f>IF(COLUMNS($B$36:AF36) &gt;= Inputs!$F$78, 1, 0)</f>
        <v/>
      </c>
      <c r="AG36" s="79">
        <f>IF(COLUMNS($B$36:AG36) &gt;= Inputs!$F$78, 1, 0)</f>
        <v/>
      </c>
      <c r="AH36" s="79">
        <f>IF(COLUMNS($B$36:AH36) &gt;= Inputs!$F$78, 1, 0)</f>
        <v/>
      </c>
      <c r="AI36" s="79">
        <f>IF(COLUMNS($B$36:AI36) &gt;= Inputs!$F$78, 1, 0)</f>
        <v/>
      </c>
      <c r="AJ36" s="79">
        <f>IF(COLUMNS($B$36:AJ36) &gt;= Inputs!$F$78, 1, 0)</f>
        <v/>
      </c>
      <c r="AK36" s="79">
        <f>IF(COLUMNS($B$36:AK36) &gt;= Inputs!$F$78, 1, 0)</f>
        <v/>
      </c>
      <c r="AL36" s="79">
        <f>IF(COLUMNS($B$36:AL36) &gt;= Inputs!$F$78, 1, 0)</f>
        <v/>
      </c>
      <c r="AM36" s="79">
        <f>IF(COLUMNS($B$36:AM36) &gt;= Inputs!$F$78, 1, 0)</f>
        <v/>
      </c>
      <c r="AN36" s="79">
        <f>IF(COLUMNS($B$36:AN36) &gt;= Inputs!$F$78, 1, 0)</f>
        <v/>
      </c>
      <c r="AO36" s="79">
        <f>IF(COLUMNS($B$36:AO36) &gt;= Inputs!$F$78, 1, 0)</f>
        <v/>
      </c>
      <c r="AP36" s="79">
        <f>IF(COLUMNS($B$36:AP36) &gt;= Inputs!$F$78, 1, 0)</f>
        <v/>
      </c>
      <c r="AQ36" s="79">
        <f>IF(COLUMNS($B$36:AQ36) &gt;= Inputs!$F$78, 1, 0)</f>
        <v/>
      </c>
      <c r="AR36" s="79">
        <f>IF(COLUMNS($B$36:AR36) &gt;= Inputs!$F$78, 1, 0)</f>
        <v/>
      </c>
      <c r="AS36" s="79">
        <f>IF(COLUMNS($B$36:AS36) &gt;= Inputs!$F$78, 1, 0)</f>
        <v/>
      </c>
      <c r="AT36" s="79">
        <f>IF(COLUMNS($B$36:AT36) &gt;= Inputs!$F$78, 1, 0)</f>
        <v/>
      </c>
      <c r="AU36" s="79">
        <f>IF(COLUMNS($B$36:AU36) &gt;= Inputs!$F$78, 1, 0)</f>
        <v/>
      </c>
      <c r="AV36" s="79">
        <f>IF(COLUMNS($B$36:AV36) &gt;= Inputs!$F$78, 1, 0)</f>
        <v/>
      </c>
      <c r="AW36" s="79">
        <f>IF(COLUMNS($B$36:AW36) &gt;= Inputs!$F$78, 1, 0)</f>
        <v/>
      </c>
      <c r="AX36" s="79">
        <f>IF(COLUMNS($B$36:AX36) &gt;= Inputs!$F$78, 1, 0)</f>
        <v/>
      </c>
      <c r="AY36" s="79">
        <f>IF(COLUMNS($B$36:AY36) &gt;= Inputs!$F$78, 1, 0)</f>
        <v/>
      </c>
      <c r="AZ36" s="79">
        <f>IF(COLUMNS($B$36:AZ36) &gt;= Inputs!$F$78, 1, 0)</f>
        <v/>
      </c>
      <c r="BA36" s="79">
        <f>IF(COLUMNS($B$36:BA36) &gt;= Inputs!$F$78, 1, 0)</f>
        <v/>
      </c>
    </row>
    <row r="37" ht="14.25" customHeight="1" s="83">
      <c r="A37" s="77" t="inlineStr">
        <is>
          <t>3. Marketing Manager</t>
        </is>
      </c>
      <c r="B37" s="79">
        <f>IF(COLUMNS($B$37:B37) &gt;= Inputs!$F$79, 1, 0)</f>
        <v/>
      </c>
      <c r="C37" s="79">
        <f>IF(COLUMNS($B$37:C37) &gt;= Inputs!$F$79, 1, 0)</f>
        <v/>
      </c>
      <c r="D37" s="79">
        <f>IF(COLUMNS($B$37:D37) &gt;= Inputs!$F$79, 1, 0)</f>
        <v/>
      </c>
      <c r="E37" s="79">
        <f>IF(COLUMNS($B$37:E37) &gt;= Inputs!$F$79, 1, 0)</f>
        <v/>
      </c>
      <c r="F37" s="79">
        <f>IF(COLUMNS($B$37:F37) &gt;= Inputs!$F$79, 1, 0)</f>
        <v/>
      </c>
      <c r="G37" s="79">
        <f>IF(COLUMNS($B$37:G37) &gt;= Inputs!$F$79, 1, 0)</f>
        <v/>
      </c>
      <c r="H37" s="79">
        <f>IF(COLUMNS($B$37:H37) &gt;= Inputs!$F$79, 1, 0)</f>
        <v/>
      </c>
      <c r="I37" s="79">
        <f>IF(COLUMNS($B$37:I37) &gt;= Inputs!$F$79, 1, 0)</f>
        <v/>
      </c>
      <c r="J37" s="79">
        <f>IF(COLUMNS($B$37:J37) &gt;= Inputs!$F$79, 1, 0)</f>
        <v/>
      </c>
      <c r="K37" s="79">
        <f>IF(COLUMNS($B$37:K37) &gt;= Inputs!$F$79, 1, 0)</f>
        <v/>
      </c>
      <c r="L37" s="79">
        <f>IF(COLUMNS($B$37:L37) &gt;= Inputs!$F$79, 1, 0)</f>
        <v/>
      </c>
      <c r="M37" s="79">
        <f>IF(COLUMNS($B$37:M37) &gt;= Inputs!$F$79, 1, 0)</f>
        <v/>
      </c>
      <c r="N37" s="79">
        <f>IF(COLUMNS($B$37:N37) &gt;= Inputs!$F$79, 1, 0)</f>
        <v/>
      </c>
      <c r="O37" s="79">
        <f>IF(COLUMNS($B$37:O37) &gt;= Inputs!$F$79, 1, 0)</f>
        <v/>
      </c>
      <c r="P37" s="79">
        <f>IF(COLUMNS($B$37:P37) &gt;= Inputs!$F$79, 1, 0)</f>
        <v/>
      </c>
      <c r="Q37" s="79">
        <f>IF(COLUMNS($B$37:Q37) &gt;= Inputs!$F$79, 1, 0)</f>
        <v/>
      </c>
      <c r="R37" s="79">
        <f>IF(COLUMNS($B$37:R37) &gt;= Inputs!$F$79, 1, 0)</f>
        <v/>
      </c>
      <c r="S37" s="79">
        <f>IF(COLUMNS($B$37:S37) &gt;= Inputs!$F$79, 1, 0)</f>
        <v/>
      </c>
      <c r="T37" s="79">
        <f>IF(COLUMNS($B$37:T37) &gt;= Inputs!$F$79, 1, 0)</f>
        <v/>
      </c>
      <c r="U37" s="79">
        <f>IF(COLUMNS($B$37:U37) &gt;= Inputs!$F$79, 1, 0)</f>
        <v/>
      </c>
      <c r="V37" s="79">
        <f>IF(COLUMNS($B$37:V37) &gt;= Inputs!$F$79, 1, 0)</f>
        <v/>
      </c>
      <c r="W37" s="79">
        <f>IF(COLUMNS($B$37:W37) &gt;= Inputs!$F$79, 1, 0)</f>
        <v/>
      </c>
      <c r="X37" s="79">
        <f>IF(COLUMNS($B$37:X37) &gt;= Inputs!$F$79, 1, 0)</f>
        <v/>
      </c>
      <c r="Y37" s="79">
        <f>IF(COLUMNS($B$37:Y37) &gt;= Inputs!$F$79, 1, 0)</f>
        <v/>
      </c>
      <c r="Z37" s="79">
        <f>IF(COLUMNS($B$37:Z37) &gt;= Inputs!$F$79, 1, 0)</f>
        <v/>
      </c>
      <c r="AA37" s="79">
        <f>IF(COLUMNS($B$37:AA37) &gt;= Inputs!$F$79, 1, 0)</f>
        <v/>
      </c>
      <c r="AB37" s="79">
        <f>IF(COLUMNS($B$37:AB37) &gt;= Inputs!$F$79, 1, 0)</f>
        <v/>
      </c>
      <c r="AC37" s="79">
        <f>IF(COLUMNS($B$37:AC37) &gt;= Inputs!$F$79, 1, 0)</f>
        <v/>
      </c>
      <c r="AD37" s="79">
        <f>IF(COLUMNS($B$37:AD37) &gt;= Inputs!$F$79, 1, 0)</f>
        <v/>
      </c>
      <c r="AE37" s="79">
        <f>IF(COLUMNS($B$37:AE37) &gt;= Inputs!$F$79, 1, 0)</f>
        <v/>
      </c>
      <c r="AF37" s="79">
        <f>IF(COLUMNS($B$37:AF37) &gt;= Inputs!$F$79, 1, 0)</f>
        <v/>
      </c>
      <c r="AG37" s="79">
        <f>IF(COLUMNS($B$37:AG37) &gt;= Inputs!$F$79, 1, 0)</f>
        <v/>
      </c>
      <c r="AH37" s="79">
        <f>IF(COLUMNS($B$37:AH37) &gt;= Inputs!$F$79, 1, 0)</f>
        <v/>
      </c>
      <c r="AI37" s="79">
        <f>IF(COLUMNS($B$37:AI37) &gt;= Inputs!$F$79, 1, 0)</f>
        <v/>
      </c>
      <c r="AJ37" s="79">
        <f>IF(COLUMNS($B$37:AJ37) &gt;= Inputs!$F$79, 1, 0)</f>
        <v/>
      </c>
      <c r="AK37" s="79">
        <f>IF(COLUMNS($B$37:AK37) &gt;= Inputs!$F$79, 1, 0)</f>
        <v/>
      </c>
      <c r="AL37" s="79">
        <f>IF(COLUMNS($B$37:AL37) &gt;= Inputs!$F$79, 1, 0)</f>
        <v/>
      </c>
      <c r="AM37" s="79">
        <f>IF(COLUMNS($B$37:AM37) &gt;= Inputs!$F$79, 1, 0)</f>
        <v/>
      </c>
      <c r="AN37" s="79">
        <f>IF(COLUMNS($B$37:AN37) &gt;= Inputs!$F$79, 1, 0)</f>
        <v/>
      </c>
      <c r="AO37" s="79">
        <f>IF(COLUMNS($B$37:AO37) &gt;= Inputs!$F$79, 1, 0)</f>
        <v/>
      </c>
      <c r="AP37" s="79">
        <f>IF(COLUMNS($B$37:AP37) &gt;= Inputs!$F$79, 1, 0)</f>
        <v/>
      </c>
      <c r="AQ37" s="79">
        <f>IF(COLUMNS($B$37:AQ37) &gt;= Inputs!$F$79, 1, 0)</f>
        <v/>
      </c>
      <c r="AR37" s="79">
        <f>IF(COLUMNS($B$37:AR37) &gt;= Inputs!$F$79, 1, 0)</f>
        <v/>
      </c>
      <c r="AS37" s="79">
        <f>IF(COLUMNS($B$37:AS37) &gt;= Inputs!$F$79, 1, 0)</f>
        <v/>
      </c>
      <c r="AT37" s="79">
        <f>IF(COLUMNS($B$37:AT37) &gt;= Inputs!$F$79, 1, 0)</f>
        <v/>
      </c>
      <c r="AU37" s="79">
        <f>IF(COLUMNS($B$37:AU37) &gt;= Inputs!$F$79, 1, 0)</f>
        <v/>
      </c>
      <c r="AV37" s="79">
        <f>IF(COLUMNS($B$37:AV37) &gt;= Inputs!$F$79, 1, 0)</f>
        <v/>
      </c>
      <c r="AW37" s="79">
        <f>IF(COLUMNS($B$37:AW37) &gt;= Inputs!$F$79, 1, 0)</f>
        <v/>
      </c>
      <c r="AX37" s="79">
        <f>IF(COLUMNS($B$37:AX37) &gt;= Inputs!$F$79, 1, 0)</f>
        <v/>
      </c>
      <c r="AY37" s="79">
        <f>IF(COLUMNS($B$37:AY37) &gt;= Inputs!$F$79, 1, 0)</f>
        <v/>
      </c>
      <c r="AZ37" s="79">
        <f>IF(COLUMNS($B$37:AZ37) &gt;= Inputs!$F$79, 1, 0)</f>
        <v/>
      </c>
      <c r="BA37" s="79">
        <f>IF(COLUMNS($B$37:BA37) &gt;= Inputs!$F$79, 1, 0)</f>
        <v/>
      </c>
    </row>
    <row r="38" ht="14.25" customHeight="1" s="83">
      <c r="A38" s="2" t="inlineStr">
        <is>
          <t>TOTAL HEADCOUNT</t>
        </is>
      </c>
      <c r="B38" s="80">
        <f>SUM(B5:B37)</f>
        <v/>
      </c>
      <c r="C38" s="80">
        <f>SUM(C5:C37)</f>
        <v/>
      </c>
      <c r="D38" s="80">
        <f>SUM(D5:D37)</f>
        <v/>
      </c>
      <c r="E38" s="80">
        <f>SUM(E5:E37)</f>
        <v/>
      </c>
      <c r="F38" s="80">
        <f>SUM(F5:F37)</f>
        <v/>
      </c>
      <c r="G38" s="80">
        <f>SUM(G5:G37)</f>
        <v/>
      </c>
      <c r="H38" s="80">
        <f>SUM(H5:H37)</f>
        <v/>
      </c>
      <c r="I38" s="80">
        <f>SUM(I5:I37)</f>
        <v/>
      </c>
      <c r="J38" s="80">
        <f>SUM(J5:J37)</f>
        <v/>
      </c>
      <c r="K38" s="80">
        <f>SUM(K5:K37)</f>
        <v/>
      </c>
      <c r="L38" s="80">
        <f>SUM(L5:L37)</f>
        <v/>
      </c>
      <c r="M38" s="80">
        <f>SUM(M5:M37)</f>
        <v/>
      </c>
      <c r="N38" s="80">
        <f>SUM(N5:N37)</f>
        <v/>
      </c>
      <c r="O38" s="80">
        <f>SUM(O5:O37)</f>
        <v/>
      </c>
      <c r="P38" s="80">
        <f>SUM(P5:P37)</f>
        <v/>
      </c>
      <c r="Q38" s="80">
        <f>SUM(Q5:Q37)</f>
        <v/>
      </c>
      <c r="R38" s="80">
        <f>SUM(R5:R37)</f>
        <v/>
      </c>
      <c r="S38" s="80">
        <f>SUM(S5:S37)</f>
        <v/>
      </c>
      <c r="T38" s="80">
        <f>SUM(T5:T37)</f>
        <v/>
      </c>
      <c r="U38" s="80">
        <f>SUM(U5:U37)</f>
        <v/>
      </c>
      <c r="V38" s="80">
        <f>SUM(V5:V37)</f>
        <v/>
      </c>
      <c r="W38" s="80">
        <f>SUM(W5:W37)</f>
        <v/>
      </c>
      <c r="X38" s="80">
        <f>SUM(X5:X37)</f>
        <v/>
      </c>
      <c r="Y38" s="80">
        <f>SUM(Y5:Y37)</f>
        <v/>
      </c>
      <c r="Z38" s="80">
        <f>SUM(Z5:Z37)</f>
        <v/>
      </c>
      <c r="AA38" s="80">
        <f>SUM(AA5:AA37)</f>
        <v/>
      </c>
      <c r="AB38" s="80">
        <f>SUM(AB5:AB37)</f>
        <v/>
      </c>
      <c r="AC38" s="80">
        <f>SUM(AC5:AC37)</f>
        <v/>
      </c>
      <c r="AD38" s="80">
        <f>SUM(AD5:AD37)</f>
        <v/>
      </c>
      <c r="AE38" s="80">
        <f>SUM(AE5:AE37)</f>
        <v/>
      </c>
      <c r="AF38" s="80">
        <f>SUM(AF5:AF37)</f>
        <v/>
      </c>
      <c r="AG38" s="80">
        <f>SUM(AG5:AG37)</f>
        <v/>
      </c>
      <c r="AH38" s="80">
        <f>SUM(AH5:AH37)</f>
        <v/>
      </c>
      <c r="AI38" s="80">
        <f>SUM(AI5:AI37)</f>
        <v/>
      </c>
      <c r="AJ38" s="80">
        <f>SUM(AJ5:AJ37)</f>
        <v/>
      </c>
      <c r="AK38" s="80">
        <f>SUM(AK5:AK37)</f>
        <v/>
      </c>
      <c r="AL38" s="80">
        <f>SUM(AL5:AL37)</f>
        <v/>
      </c>
      <c r="AM38" s="80">
        <f>SUM(AM5:AM37)</f>
        <v/>
      </c>
      <c r="AN38" s="80">
        <f>SUM(AN5:AN37)</f>
        <v/>
      </c>
      <c r="AO38" s="80">
        <f>SUM(AO5:AO37)</f>
        <v/>
      </c>
      <c r="AP38" s="80">
        <f>SUM(AP5:AP37)</f>
        <v/>
      </c>
      <c r="AQ38" s="80">
        <f>SUM(AQ5:AQ37)</f>
        <v/>
      </c>
      <c r="AR38" s="80">
        <f>SUM(AR5:AR37)</f>
        <v/>
      </c>
      <c r="AS38" s="80">
        <f>SUM(AS5:AS37)</f>
        <v/>
      </c>
      <c r="AT38" s="80">
        <f>SUM(AT5:AT37)</f>
        <v/>
      </c>
      <c r="AU38" s="80">
        <f>SUM(AU5:AU37)</f>
        <v/>
      </c>
      <c r="AV38" s="80">
        <f>SUM(AV5:AV37)</f>
        <v/>
      </c>
      <c r="AW38" s="80">
        <f>SUM(AW5:AW37)</f>
        <v/>
      </c>
      <c r="AX38" s="80">
        <f>SUM(AX5:AX37)</f>
        <v/>
      </c>
      <c r="AY38" s="80">
        <f>SUM(AY5:AY37)</f>
        <v/>
      </c>
      <c r="AZ38" s="80">
        <f>SUM(AZ5:AZ37)</f>
        <v/>
      </c>
      <c r="BA38" s="80">
        <f>SUM(BA5:BA37)</f>
        <v/>
      </c>
    </row>
    <row r="39" ht="14.25" customHeight="1" s="83"/>
    <row r="40" ht="14.25" customHeight="1" s="83">
      <c r="A40" s="2" t="inlineStr">
        <is>
          <t>GEHÄLTER &amp; PERSONALKOSTEN</t>
        </is>
      </c>
    </row>
    <row r="41" ht="14.25" customHeight="1" s="83">
      <c r="A41" s="77" t="inlineStr">
        <is>
          <t>CEO Gehalt</t>
        </is>
      </c>
      <c r="B41" s="81">
        <f>B5/3 * (Inputs!$B$32 / 12) * (1 + Inputs!$B$44)^INT((COLUMNS($B$41:B41)-1) / 12)</f>
        <v/>
      </c>
      <c r="C41" s="81">
        <f>C5/3 * (Inputs!$B$32 / 12) * (1 + Inputs!$B$44)^INT((COLUMNS($B$41:C41)-1) / 12)</f>
        <v/>
      </c>
      <c r="D41" s="81">
        <f>D5/3 * (Inputs!$B$32 / 12) * (1 + Inputs!$B$44)^INT((COLUMNS($B$41:D41)-1) / 12)</f>
        <v/>
      </c>
      <c r="E41" s="81">
        <f>E5/3 * (Inputs!$B$32 / 12) * (1 + Inputs!$B$44)^INT((COLUMNS($B$41:E41)-1) / 12)</f>
        <v/>
      </c>
      <c r="F41" s="81">
        <f>F5/3 * (Inputs!$B$32 / 12) * (1 + Inputs!$B$44)^INT((COLUMNS($B$41:F41)-1) / 12)</f>
        <v/>
      </c>
      <c r="G41" s="81">
        <f>G5/3 * (Inputs!$B$32 / 12) * (1 + Inputs!$B$44)^INT((COLUMNS($B$41:G41)-1) / 12)</f>
        <v/>
      </c>
      <c r="H41" s="81">
        <f>H5/3 * (Inputs!$B$32 / 12) * (1 + Inputs!$B$44)^INT((COLUMNS($B$41:H41)-1) / 12)</f>
        <v/>
      </c>
      <c r="I41" s="81">
        <f>I5/3 * (Inputs!$B$32 / 12) * (1 + Inputs!$B$44)^INT((COLUMNS($B$41:I41)-1) / 12)</f>
        <v/>
      </c>
      <c r="J41" s="81">
        <f>J5/3 * (Inputs!$B$32 / 12) * (1 + Inputs!$B$44)^INT((COLUMNS($B$41:J41)-1) / 12)</f>
        <v/>
      </c>
      <c r="K41" s="81">
        <f>K5/3 * (Inputs!$B$32 / 12) * (1 + Inputs!$B$44)^INT((COLUMNS($B$41:K41)-1) / 12)</f>
        <v/>
      </c>
      <c r="L41" s="81">
        <f>L5/3 * (Inputs!$B$32 / 12) * (1 + Inputs!$B$44)^INT((COLUMNS($B$41:L41)-1) / 12)</f>
        <v/>
      </c>
      <c r="M41" s="81">
        <f>M5/3 * (Inputs!$B$32 / 12) * (1 + Inputs!$B$44)^INT((COLUMNS($B$41:M41)-1) / 12)</f>
        <v/>
      </c>
      <c r="N41" s="81">
        <f>N5/3 * (Inputs!$B$32 / 12) * (1 + Inputs!$B$44)^INT((COLUMNS($B$41:N41)-1) / 12)</f>
        <v/>
      </c>
      <c r="O41" s="81">
        <f>O5/3 * (Inputs!$B$32 / 12) * (1 + Inputs!$B$44)^INT((COLUMNS($B$41:O41)-1) / 12)</f>
        <v/>
      </c>
      <c r="P41" s="81">
        <f>P5/3 * (Inputs!$B$32 / 12) * (1 + Inputs!$B$44)^INT((COLUMNS($B$41:P41)-1) / 12)</f>
        <v/>
      </c>
      <c r="Q41" s="81">
        <f>Q5/3 * (Inputs!$B$32 / 12) * (1 + Inputs!$B$44)^INT((COLUMNS($B$41:Q41)-1) / 12)</f>
        <v/>
      </c>
      <c r="R41" s="81">
        <f>R5/3 * (Inputs!$B$32 / 12) * (1 + Inputs!$B$44)^INT((COLUMNS($B$41:R41)-1) / 12)</f>
        <v/>
      </c>
      <c r="S41" s="81">
        <f>S5/3 * (Inputs!$B$32 / 12) * (1 + Inputs!$B$44)^INT((COLUMNS($B$41:S41)-1) / 12)</f>
        <v/>
      </c>
      <c r="T41" s="81">
        <f>T5/3 * (Inputs!$B$32 / 12) * (1 + Inputs!$B$44)^INT((COLUMNS($B$41:T41)-1) / 12)</f>
        <v/>
      </c>
      <c r="U41" s="81">
        <f>U5/3 * (Inputs!$B$32 / 12) * (1 + Inputs!$B$44)^INT((COLUMNS($B$41:U41)-1) / 12)</f>
        <v/>
      </c>
      <c r="V41" s="81">
        <f>V5/3 * (Inputs!$B$32 / 12) * (1 + Inputs!$B$44)^INT((COLUMNS($B$41:V41)-1) / 12)</f>
        <v/>
      </c>
      <c r="W41" s="81">
        <f>W5/3 * (Inputs!$B$32 / 12) * (1 + Inputs!$B$44)^INT((COLUMNS($B$41:W41)-1) / 12)</f>
        <v/>
      </c>
      <c r="X41" s="81">
        <f>X5/3 * (Inputs!$B$32 / 12) * (1 + Inputs!$B$44)^INT((COLUMNS($B$41:X41)-1) / 12)</f>
        <v/>
      </c>
      <c r="Y41" s="81">
        <f>Y5/3 * (Inputs!$B$32 / 12) * (1 + Inputs!$B$44)^INT((COLUMNS($B$41:Y41)-1) / 12)</f>
        <v/>
      </c>
      <c r="Z41" s="81">
        <f>Z5/3 * (Inputs!$B$32 / 12) * (1 + Inputs!$B$44)^INT((COLUMNS($B$41:Z41)-1) / 12)</f>
        <v/>
      </c>
      <c r="AA41" s="81">
        <f>AA5/3 * (Inputs!$B$32 / 12) * (1 + Inputs!$B$44)^INT((COLUMNS($B$41:AA41)-1) / 12)</f>
        <v/>
      </c>
      <c r="AB41" s="81">
        <f>AB5/3 * (Inputs!$B$32 / 12) * (1 + Inputs!$B$44)^INT((COLUMNS($B$41:AB41)-1) / 12)</f>
        <v/>
      </c>
      <c r="AC41" s="81">
        <f>AC5/3 * (Inputs!$B$32 / 12) * (1 + Inputs!$B$44)^INT((COLUMNS($B$41:AC41)-1) / 12)</f>
        <v/>
      </c>
      <c r="AD41" s="81">
        <f>AD5/3 * (Inputs!$B$32 / 12) * (1 + Inputs!$B$44)^INT((COLUMNS($B$41:AD41)-1) / 12)</f>
        <v/>
      </c>
      <c r="AE41" s="81">
        <f>AE5/3 * (Inputs!$B$32 / 12) * (1 + Inputs!$B$44)^INT((COLUMNS($B$41:AE41)-1) / 12)</f>
        <v/>
      </c>
      <c r="AF41" s="81">
        <f>AF5/3 * (Inputs!$B$32 / 12) * (1 + Inputs!$B$44)^INT((COLUMNS($B$41:AF41)-1) / 12)</f>
        <v/>
      </c>
      <c r="AG41" s="81">
        <f>AG5/3 * (Inputs!$B$32 / 12) * (1 + Inputs!$B$44)^INT((COLUMNS($B$41:AG41)-1) / 12)</f>
        <v/>
      </c>
      <c r="AH41" s="81">
        <f>AH5/3 * (Inputs!$B$32 / 12) * (1 + Inputs!$B$44)^INT((COLUMNS($B$41:AH41)-1) / 12)</f>
        <v/>
      </c>
      <c r="AI41" s="81">
        <f>AI5/3 * (Inputs!$B$32 / 12) * (1 + Inputs!$B$44)^INT((COLUMNS($B$41:AI41)-1) / 12)</f>
        <v/>
      </c>
      <c r="AJ41" s="81">
        <f>AJ5/3 * (Inputs!$B$32 / 12) * (1 + Inputs!$B$44)^INT((COLUMNS($B$41:AJ41)-1) / 12)</f>
        <v/>
      </c>
      <c r="AK41" s="81">
        <f>AK5/3 * (Inputs!$B$32 / 12) * (1 + Inputs!$B$44)^INT((COLUMNS($B$41:AK41)-1) / 12)</f>
        <v/>
      </c>
      <c r="AL41" s="81">
        <f>AL5/3 * (Inputs!$B$32 / 12) * (1 + Inputs!$B$44)^INT((COLUMNS($B$41:AL41)-1) / 12)</f>
        <v/>
      </c>
      <c r="AM41" s="81">
        <f>AM5/3 * (Inputs!$B$32 / 12) * (1 + Inputs!$B$44)^INT((COLUMNS($B$41:AM41)-1) / 12)</f>
        <v/>
      </c>
      <c r="AN41" s="81">
        <f>AN5/3 * (Inputs!$B$32 / 12) * (1 + Inputs!$B$44)^INT((COLUMNS($B$41:AN41)-1) / 12)</f>
        <v/>
      </c>
      <c r="AO41" s="81">
        <f>AO5/3 * (Inputs!$B$32 / 12) * (1 + Inputs!$B$44)^INT((COLUMNS($B$41:AO41)-1) / 12)</f>
        <v/>
      </c>
      <c r="AP41" s="81">
        <f>AP5/3 * (Inputs!$B$32 / 12) * (1 + Inputs!$B$44)^INT((COLUMNS($B$41:AP41)-1) / 12)</f>
        <v/>
      </c>
      <c r="AQ41" s="81">
        <f>AQ5/3 * (Inputs!$B$32 / 12) * (1 + Inputs!$B$44)^INT((COLUMNS($B$41:AQ41)-1) / 12)</f>
        <v/>
      </c>
      <c r="AR41" s="81">
        <f>AR5/3 * (Inputs!$B$32 / 12) * (1 + Inputs!$B$44)^INT((COLUMNS($B$41:AR41)-1) / 12)</f>
        <v/>
      </c>
      <c r="AS41" s="81">
        <f>AS5/3 * (Inputs!$B$32 / 12) * (1 + Inputs!$B$44)^INT((COLUMNS($B$41:AS41)-1) / 12)</f>
        <v/>
      </c>
      <c r="AT41" s="81">
        <f>AT5/3 * (Inputs!$B$32 / 12) * (1 + Inputs!$B$44)^INT((COLUMNS($B$41:AT41)-1) / 12)</f>
        <v/>
      </c>
      <c r="AU41" s="81">
        <f>AU5/3 * (Inputs!$B$32 / 12) * (1 + Inputs!$B$44)^INT((COLUMNS($B$41:AU41)-1) / 12)</f>
        <v/>
      </c>
      <c r="AV41" s="81">
        <f>AV5/3 * (Inputs!$B$32 / 12) * (1 + Inputs!$B$44)^INT((COLUMNS($B$41:AV41)-1) / 12)</f>
        <v/>
      </c>
      <c r="AW41" s="81">
        <f>AW5/3 * (Inputs!$B$32 / 12) * (1 + Inputs!$B$44)^INT((COLUMNS($B$41:AW41)-1) / 12)</f>
        <v/>
      </c>
      <c r="AX41" s="81">
        <f>AX5/3 * (Inputs!$B$32 / 12) * (1 + Inputs!$B$44)^INT((COLUMNS($B$41:AX41)-1) / 12)</f>
        <v/>
      </c>
      <c r="AY41" s="81">
        <f>AY5/3 * (Inputs!$B$32 / 12) * (1 + Inputs!$B$44)^INT((COLUMNS($B$41:AY41)-1) / 12)</f>
        <v/>
      </c>
      <c r="AZ41" s="81">
        <f>AZ5/3 * (Inputs!$B$32 / 12) * (1 + Inputs!$B$44)^INT((COLUMNS($B$41:AZ41)-1) / 12)</f>
        <v/>
      </c>
      <c r="BA41" s="81">
        <f>BA5/3 * (Inputs!$B$32 / 12) * (1 + Inputs!$B$44)^INT((COLUMNS($B$41:BA41)-1) / 12)</f>
        <v/>
      </c>
    </row>
    <row r="42" ht="14.25" customHeight="1" s="83">
      <c r="A42" s="77" t="inlineStr">
        <is>
          <t>CTO Gehalt</t>
        </is>
      </c>
      <c r="B42" s="81">
        <f>B5/3 * (Inputs!$B$33 / 12) * (1 + Inputs!$B$44)^INT((COLUMNS($B$42:B42)-1) / 12)</f>
        <v/>
      </c>
      <c r="C42" s="81">
        <f>C5/3 * (Inputs!$B$33 / 12) * (1 + Inputs!$B$44)^INT((COLUMNS($B$42:C42)-1) / 12)</f>
        <v/>
      </c>
      <c r="D42" s="81">
        <f>D5/3 * (Inputs!$B$33 / 12) * (1 + Inputs!$B$44)^INT((COLUMNS($B$42:D42)-1) / 12)</f>
        <v/>
      </c>
      <c r="E42" s="81">
        <f>E5/3 * (Inputs!$B$33 / 12) * (1 + Inputs!$B$44)^INT((COLUMNS($B$42:E42)-1) / 12)</f>
        <v/>
      </c>
      <c r="F42" s="81">
        <f>F5/3 * (Inputs!$B$33 / 12) * (1 + Inputs!$B$44)^INT((COLUMNS($B$42:F42)-1) / 12)</f>
        <v/>
      </c>
      <c r="G42" s="81">
        <f>G5/3 * (Inputs!$B$33 / 12) * (1 + Inputs!$B$44)^INT((COLUMNS($B$42:G42)-1) / 12)</f>
        <v/>
      </c>
      <c r="H42" s="81">
        <f>H5/3 * (Inputs!$B$33 / 12) * (1 + Inputs!$B$44)^INT((COLUMNS($B$42:H42)-1) / 12)</f>
        <v/>
      </c>
      <c r="I42" s="81">
        <f>I5/3 * (Inputs!$B$33 / 12) * (1 + Inputs!$B$44)^INT((COLUMNS($B$42:I42)-1) / 12)</f>
        <v/>
      </c>
      <c r="J42" s="81">
        <f>J5/3 * (Inputs!$B$33 / 12) * (1 + Inputs!$B$44)^INT((COLUMNS($B$42:J42)-1) / 12)</f>
        <v/>
      </c>
      <c r="K42" s="81">
        <f>K5/3 * (Inputs!$B$33 / 12) * (1 + Inputs!$B$44)^INT((COLUMNS($B$42:K42)-1) / 12)</f>
        <v/>
      </c>
      <c r="L42" s="81">
        <f>L5/3 * (Inputs!$B$33 / 12) * (1 + Inputs!$B$44)^INT((COLUMNS($B$42:L42)-1) / 12)</f>
        <v/>
      </c>
      <c r="M42" s="81">
        <f>M5/3 * (Inputs!$B$33 / 12) * (1 + Inputs!$B$44)^INT((COLUMNS($B$42:M42)-1) / 12)</f>
        <v/>
      </c>
      <c r="N42" s="81">
        <f>N5/3 * (Inputs!$B$33 / 12) * (1 + Inputs!$B$44)^INT((COLUMNS($B$42:N42)-1) / 12)</f>
        <v/>
      </c>
      <c r="O42" s="81">
        <f>O5/3 * (Inputs!$B$33 / 12) * (1 + Inputs!$B$44)^INT((COLUMNS($B$42:O42)-1) / 12)</f>
        <v/>
      </c>
      <c r="P42" s="81">
        <f>P5/3 * (Inputs!$B$33 / 12) * (1 + Inputs!$B$44)^INT((COLUMNS($B$42:P42)-1) / 12)</f>
        <v/>
      </c>
      <c r="Q42" s="81">
        <f>Q5/3 * (Inputs!$B$33 / 12) * (1 + Inputs!$B$44)^INT((COLUMNS($B$42:Q42)-1) / 12)</f>
        <v/>
      </c>
      <c r="R42" s="81">
        <f>R5/3 * (Inputs!$B$33 / 12) * (1 + Inputs!$B$44)^INT((COLUMNS($B$42:R42)-1) / 12)</f>
        <v/>
      </c>
      <c r="S42" s="81">
        <f>S5/3 * (Inputs!$B$33 / 12) * (1 + Inputs!$B$44)^INT((COLUMNS($B$42:S42)-1) / 12)</f>
        <v/>
      </c>
      <c r="T42" s="81">
        <f>T5/3 * (Inputs!$B$33 / 12) * (1 + Inputs!$B$44)^INT((COLUMNS($B$42:T42)-1) / 12)</f>
        <v/>
      </c>
      <c r="U42" s="81">
        <f>U5/3 * (Inputs!$B$33 / 12) * (1 + Inputs!$B$44)^INT((COLUMNS($B$42:U42)-1) / 12)</f>
        <v/>
      </c>
      <c r="V42" s="81">
        <f>V5/3 * (Inputs!$B$33 / 12) * (1 + Inputs!$B$44)^INT((COLUMNS($B$42:V42)-1) / 12)</f>
        <v/>
      </c>
      <c r="W42" s="81">
        <f>W5/3 * (Inputs!$B$33 / 12) * (1 + Inputs!$B$44)^INT((COLUMNS($B$42:W42)-1) / 12)</f>
        <v/>
      </c>
      <c r="X42" s="81">
        <f>X5/3 * (Inputs!$B$33 / 12) * (1 + Inputs!$B$44)^INT((COLUMNS($B$42:X42)-1) / 12)</f>
        <v/>
      </c>
      <c r="Y42" s="81">
        <f>Y5/3 * (Inputs!$B$33 / 12) * (1 + Inputs!$B$44)^INT((COLUMNS($B$42:Y42)-1) / 12)</f>
        <v/>
      </c>
      <c r="Z42" s="81">
        <f>Z5/3 * (Inputs!$B$33 / 12) * (1 + Inputs!$B$44)^INT((COLUMNS($B$42:Z42)-1) / 12)</f>
        <v/>
      </c>
      <c r="AA42" s="81">
        <f>AA5/3 * (Inputs!$B$33 / 12) * (1 + Inputs!$B$44)^INT((COLUMNS($B$42:AA42)-1) / 12)</f>
        <v/>
      </c>
      <c r="AB42" s="81">
        <f>AB5/3 * (Inputs!$B$33 / 12) * (1 + Inputs!$B$44)^INT((COLUMNS($B$42:AB42)-1) / 12)</f>
        <v/>
      </c>
      <c r="AC42" s="81">
        <f>AC5/3 * (Inputs!$B$33 / 12) * (1 + Inputs!$B$44)^INT((COLUMNS($B$42:AC42)-1) / 12)</f>
        <v/>
      </c>
      <c r="AD42" s="81">
        <f>AD5/3 * (Inputs!$B$33 / 12) * (1 + Inputs!$B$44)^INT((COLUMNS($B$42:AD42)-1) / 12)</f>
        <v/>
      </c>
      <c r="AE42" s="81">
        <f>AE5/3 * (Inputs!$B$33 / 12) * (1 + Inputs!$B$44)^INT((COLUMNS($B$42:AE42)-1) / 12)</f>
        <v/>
      </c>
      <c r="AF42" s="81">
        <f>AF5/3 * (Inputs!$B$33 / 12) * (1 + Inputs!$B$44)^INT((COLUMNS($B$42:AF42)-1) / 12)</f>
        <v/>
      </c>
      <c r="AG42" s="81">
        <f>AG5/3 * (Inputs!$B$33 / 12) * (1 + Inputs!$B$44)^INT((COLUMNS($B$42:AG42)-1) / 12)</f>
        <v/>
      </c>
      <c r="AH42" s="81">
        <f>AH5/3 * (Inputs!$B$33 / 12) * (1 + Inputs!$B$44)^INT((COLUMNS($B$42:AH42)-1) / 12)</f>
        <v/>
      </c>
      <c r="AI42" s="81">
        <f>AI5/3 * (Inputs!$B$33 / 12) * (1 + Inputs!$B$44)^INT((COLUMNS($B$42:AI42)-1) / 12)</f>
        <v/>
      </c>
      <c r="AJ42" s="81">
        <f>AJ5/3 * (Inputs!$B$33 / 12) * (1 + Inputs!$B$44)^INT((COLUMNS($B$42:AJ42)-1) / 12)</f>
        <v/>
      </c>
      <c r="AK42" s="81">
        <f>AK5/3 * (Inputs!$B$33 / 12) * (1 + Inputs!$B$44)^INT((COLUMNS($B$42:AK42)-1) / 12)</f>
        <v/>
      </c>
      <c r="AL42" s="81">
        <f>AL5/3 * (Inputs!$B$33 / 12) * (1 + Inputs!$B$44)^INT((COLUMNS($B$42:AL42)-1) / 12)</f>
        <v/>
      </c>
      <c r="AM42" s="81">
        <f>AM5/3 * (Inputs!$B$33 / 12) * (1 + Inputs!$B$44)^INT((COLUMNS($B$42:AM42)-1) / 12)</f>
        <v/>
      </c>
      <c r="AN42" s="81">
        <f>AN5/3 * (Inputs!$B$33 / 12) * (1 + Inputs!$B$44)^INT((COLUMNS($B$42:AN42)-1) / 12)</f>
        <v/>
      </c>
      <c r="AO42" s="81">
        <f>AO5/3 * (Inputs!$B$33 / 12) * (1 + Inputs!$B$44)^INT((COLUMNS($B$42:AO42)-1) / 12)</f>
        <v/>
      </c>
      <c r="AP42" s="81">
        <f>AP5/3 * (Inputs!$B$33 / 12) * (1 + Inputs!$B$44)^INT((COLUMNS($B$42:AP42)-1) / 12)</f>
        <v/>
      </c>
      <c r="AQ42" s="81">
        <f>AQ5/3 * (Inputs!$B$33 / 12) * (1 + Inputs!$B$44)^INT((COLUMNS($B$42:AQ42)-1) / 12)</f>
        <v/>
      </c>
      <c r="AR42" s="81">
        <f>AR5/3 * (Inputs!$B$33 / 12) * (1 + Inputs!$B$44)^INT((COLUMNS($B$42:AR42)-1) / 12)</f>
        <v/>
      </c>
      <c r="AS42" s="81">
        <f>AS5/3 * (Inputs!$B$33 / 12) * (1 + Inputs!$B$44)^INT((COLUMNS($B$42:AS42)-1) / 12)</f>
        <v/>
      </c>
      <c r="AT42" s="81">
        <f>AT5/3 * (Inputs!$B$33 / 12) * (1 + Inputs!$B$44)^INT((COLUMNS($B$42:AT42)-1) / 12)</f>
        <v/>
      </c>
      <c r="AU42" s="81">
        <f>AU5/3 * (Inputs!$B$33 / 12) * (1 + Inputs!$B$44)^INT((COLUMNS($B$42:AU42)-1) / 12)</f>
        <v/>
      </c>
      <c r="AV42" s="81">
        <f>AV5/3 * (Inputs!$B$33 / 12) * (1 + Inputs!$B$44)^INT((COLUMNS($B$42:AV42)-1) / 12)</f>
        <v/>
      </c>
      <c r="AW42" s="81">
        <f>AW5/3 * (Inputs!$B$33 / 12) * (1 + Inputs!$B$44)^INT((COLUMNS($B$42:AW42)-1) / 12)</f>
        <v/>
      </c>
      <c r="AX42" s="81">
        <f>AX5/3 * (Inputs!$B$33 / 12) * (1 + Inputs!$B$44)^INT((COLUMNS($B$42:AX42)-1) / 12)</f>
        <v/>
      </c>
      <c r="AY42" s="81">
        <f>AY5/3 * (Inputs!$B$33 / 12) * (1 + Inputs!$B$44)^INT((COLUMNS($B$42:AY42)-1) / 12)</f>
        <v/>
      </c>
      <c r="AZ42" s="81">
        <f>AZ5/3 * (Inputs!$B$33 / 12) * (1 + Inputs!$B$44)^INT((COLUMNS($B$42:AZ42)-1) / 12)</f>
        <v/>
      </c>
      <c r="BA42" s="81">
        <f>BA5/3 * (Inputs!$B$33 / 12) * (1 + Inputs!$B$44)^INT((COLUMNS($B$42:BA42)-1) / 12)</f>
        <v/>
      </c>
    </row>
    <row r="43" ht="14.25" customHeight="1" s="83">
      <c r="A43" s="77" t="inlineStr">
        <is>
          <t>CCO Gehalt</t>
        </is>
      </c>
      <c r="B43" s="81">
        <f>B5/3 * (Inputs!$B$34 / 12) * (1 + Inputs!$B$44)^INT((COLUMNS($B$43:B43)-1) / 12)</f>
        <v/>
      </c>
      <c r="C43" s="81">
        <f>C5/3 * (Inputs!$B$34 / 12) * (1 + Inputs!$B$44)^INT((COLUMNS($B$43:C43)-1) / 12)</f>
        <v/>
      </c>
      <c r="D43" s="81">
        <f>D5/3 * (Inputs!$B$34 / 12) * (1 + Inputs!$B$44)^INT((COLUMNS($B$43:D43)-1) / 12)</f>
        <v/>
      </c>
      <c r="E43" s="81">
        <f>E5/3 * (Inputs!$B$34 / 12) * (1 + Inputs!$B$44)^INT((COLUMNS($B$43:E43)-1) / 12)</f>
        <v/>
      </c>
      <c r="F43" s="81">
        <f>F5/3 * (Inputs!$B$34 / 12) * (1 + Inputs!$B$44)^INT((COLUMNS($B$43:F43)-1) / 12)</f>
        <v/>
      </c>
      <c r="G43" s="81">
        <f>G5/3 * (Inputs!$B$34 / 12) * (1 + Inputs!$B$44)^INT((COLUMNS($B$43:G43)-1) / 12)</f>
        <v/>
      </c>
      <c r="H43" s="81">
        <f>H5/3 * (Inputs!$B$34 / 12) * (1 + Inputs!$B$44)^INT((COLUMNS($B$43:H43)-1) / 12)</f>
        <v/>
      </c>
      <c r="I43" s="81">
        <f>I5/3 * (Inputs!$B$34 / 12) * (1 + Inputs!$B$44)^INT((COLUMNS($B$43:I43)-1) / 12)</f>
        <v/>
      </c>
      <c r="J43" s="81">
        <f>J5/3 * (Inputs!$B$34 / 12) * (1 + Inputs!$B$44)^INT((COLUMNS($B$43:J43)-1) / 12)</f>
        <v/>
      </c>
      <c r="K43" s="81">
        <f>K5/3 * (Inputs!$B$34 / 12) * (1 + Inputs!$B$44)^INT((COLUMNS($B$43:K43)-1) / 12)</f>
        <v/>
      </c>
      <c r="L43" s="81">
        <f>L5/3 * (Inputs!$B$34 / 12) * (1 + Inputs!$B$44)^INT((COLUMNS($B$43:L43)-1) / 12)</f>
        <v/>
      </c>
      <c r="M43" s="81">
        <f>M5/3 * (Inputs!$B$34 / 12) * (1 + Inputs!$B$44)^INT((COLUMNS($B$43:M43)-1) / 12)</f>
        <v/>
      </c>
      <c r="N43" s="81">
        <f>N5/3 * (Inputs!$B$34 / 12) * (1 + Inputs!$B$44)^INT((COLUMNS($B$43:N43)-1) / 12)</f>
        <v/>
      </c>
      <c r="O43" s="81">
        <f>O5/3 * (Inputs!$B$34 / 12) * (1 + Inputs!$B$44)^INT((COLUMNS($B$43:O43)-1) / 12)</f>
        <v/>
      </c>
      <c r="P43" s="81">
        <f>P5/3 * (Inputs!$B$34 / 12) * (1 + Inputs!$B$44)^INT((COLUMNS($B$43:P43)-1) / 12)</f>
        <v/>
      </c>
      <c r="Q43" s="81">
        <f>Q5/3 * (Inputs!$B$34 / 12) * (1 + Inputs!$B$44)^INT((COLUMNS($B$43:Q43)-1) / 12)</f>
        <v/>
      </c>
      <c r="R43" s="81">
        <f>R5/3 * (Inputs!$B$34 / 12) * (1 + Inputs!$B$44)^INT((COLUMNS($B$43:R43)-1) / 12)</f>
        <v/>
      </c>
      <c r="S43" s="81">
        <f>S5/3 * (Inputs!$B$34 / 12) * (1 + Inputs!$B$44)^INT((COLUMNS($B$43:S43)-1) / 12)</f>
        <v/>
      </c>
      <c r="T43" s="81">
        <f>T5/3 * (Inputs!$B$34 / 12) * (1 + Inputs!$B$44)^INT((COLUMNS($B$43:T43)-1) / 12)</f>
        <v/>
      </c>
      <c r="U43" s="81">
        <f>U5/3 * (Inputs!$B$34 / 12) * (1 + Inputs!$B$44)^INT((COLUMNS($B$43:U43)-1) / 12)</f>
        <v/>
      </c>
      <c r="V43" s="81">
        <f>V5/3 * (Inputs!$B$34 / 12) * (1 + Inputs!$B$44)^INT((COLUMNS($B$43:V43)-1) / 12)</f>
        <v/>
      </c>
      <c r="W43" s="81">
        <f>W5/3 * (Inputs!$B$34 / 12) * (1 + Inputs!$B$44)^INT((COLUMNS($B$43:W43)-1) / 12)</f>
        <v/>
      </c>
      <c r="X43" s="81">
        <f>X5/3 * (Inputs!$B$34 / 12) * (1 + Inputs!$B$44)^INT((COLUMNS($B$43:X43)-1) / 12)</f>
        <v/>
      </c>
      <c r="Y43" s="81">
        <f>Y5/3 * (Inputs!$B$34 / 12) * (1 + Inputs!$B$44)^INT((COLUMNS($B$43:Y43)-1) / 12)</f>
        <v/>
      </c>
      <c r="Z43" s="81">
        <f>Z5/3 * (Inputs!$B$34 / 12) * (1 + Inputs!$B$44)^INT((COLUMNS($B$43:Z43)-1) / 12)</f>
        <v/>
      </c>
      <c r="AA43" s="81">
        <f>AA5/3 * (Inputs!$B$34 / 12) * (1 + Inputs!$B$44)^INT((COLUMNS($B$43:AA43)-1) / 12)</f>
        <v/>
      </c>
      <c r="AB43" s="81">
        <f>AB5/3 * (Inputs!$B$34 / 12) * (1 + Inputs!$B$44)^INT((COLUMNS($B$43:AB43)-1) / 12)</f>
        <v/>
      </c>
      <c r="AC43" s="81">
        <f>AC5/3 * (Inputs!$B$34 / 12) * (1 + Inputs!$B$44)^INT((COLUMNS($B$43:AC43)-1) / 12)</f>
        <v/>
      </c>
      <c r="AD43" s="81">
        <f>AD5/3 * (Inputs!$B$34 / 12) * (1 + Inputs!$B$44)^INT((COLUMNS($B$43:AD43)-1) / 12)</f>
        <v/>
      </c>
      <c r="AE43" s="81">
        <f>AE5/3 * (Inputs!$B$34 / 12) * (1 + Inputs!$B$44)^INT((COLUMNS($B$43:AE43)-1) / 12)</f>
        <v/>
      </c>
      <c r="AF43" s="81">
        <f>AF5/3 * (Inputs!$B$34 / 12) * (1 + Inputs!$B$44)^INT((COLUMNS($B$43:AF43)-1) / 12)</f>
        <v/>
      </c>
      <c r="AG43" s="81">
        <f>AG5/3 * (Inputs!$B$34 / 12) * (1 + Inputs!$B$44)^INT((COLUMNS($B$43:AG43)-1) / 12)</f>
        <v/>
      </c>
      <c r="AH43" s="81">
        <f>AH5/3 * (Inputs!$B$34 / 12) * (1 + Inputs!$B$44)^INT((COLUMNS($B$43:AH43)-1) / 12)</f>
        <v/>
      </c>
      <c r="AI43" s="81">
        <f>AI5/3 * (Inputs!$B$34 / 12) * (1 + Inputs!$B$44)^INT((COLUMNS($B$43:AI43)-1) / 12)</f>
        <v/>
      </c>
      <c r="AJ43" s="81">
        <f>AJ5/3 * (Inputs!$B$34 / 12) * (1 + Inputs!$B$44)^INT((COLUMNS($B$43:AJ43)-1) / 12)</f>
        <v/>
      </c>
      <c r="AK43" s="81">
        <f>AK5/3 * (Inputs!$B$34 / 12) * (1 + Inputs!$B$44)^INT((COLUMNS($B$43:AK43)-1) / 12)</f>
        <v/>
      </c>
      <c r="AL43" s="81">
        <f>AL5/3 * (Inputs!$B$34 / 12) * (1 + Inputs!$B$44)^INT((COLUMNS($B$43:AL43)-1) / 12)</f>
        <v/>
      </c>
      <c r="AM43" s="81">
        <f>AM5/3 * (Inputs!$B$34 / 12) * (1 + Inputs!$B$44)^INT((COLUMNS($B$43:AM43)-1) / 12)</f>
        <v/>
      </c>
      <c r="AN43" s="81">
        <f>AN5/3 * (Inputs!$B$34 / 12) * (1 + Inputs!$B$44)^INT((COLUMNS($B$43:AN43)-1) / 12)</f>
        <v/>
      </c>
      <c r="AO43" s="81">
        <f>AO5/3 * (Inputs!$B$34 / 12) * (1 + Inputs!$B$44)^INT((COLUMNS($B$43:AO43)-1) / 12)</f>
        <v/>
      </c>
      <c r="AP43" s="81">
        <f>AP5/3 * (Inputs!$B$34 / 12) * (1 + Inputs!$B$44)^INT((COLUMNS($B$43:AP43)-1) / 12)</f>
        <v/>
      </c>
      <c r="AQ43" s="81">
        <f>AQ5/3 * (Inputs!$B$34 / 12) * (1 + Inputs!$B$44)^INT((COLUMNS($B$43:AQ43)-1) / 12)</f>
        <v/>
      </c>
      <c r="AR43" s="81">
        <f>AR5/3 * (Inputs!$B$34 / 12) * (1 + Inputs!$B$44)^INT((COLUMNS($B$43:AR43)-1) / 12)</f>
        <v/>
      </c>
      <c r="AS43" s="81">
        <f>AS5/3 * (Inputs!$B$34 / 12) * (1 + Inputs!$B$44)^INT((COLUMNS($B$43:AS43)-1) / 12)</f>
        <v/>
      </c>
      <c r="AT43" s="81">
        <f>AT5/3 * (Inputs!$B$34 / 12) * (1 + Inputs!$B$44)^INT((COLUMNS($B$43:AT43)-1) / 12)</f>
        <v/>
      </c>
      <c r="AU43" s="81">
        <f>AU5/3 * (Inputs!$B$34 / 12) * (1 + Inputs!$B$44)^INT((COLUMNS($B$43:AU43)-1) / 12)</f>
        <v/>
      </c>
      <c r="AV43" s="81">
        <f>AV5/3 * (Inputs!$B$34 / 12) * (1 + Inputs!$B$44)^INT((COLUMNS($B$43:AV43)-1) / 12)</f>
        <v/>
      </c>
      <c r="AW43" s="81">
        <f>AW5/3 * (Inputs!$B$34 / 12) * (1 + Inputs!$B$44)^INT((COLUMNS($B$43:AW43)-1) / 12)</f>
        <v/>
      </c>
      <c r="AX43" s="81">
        <f>AX5/3 * (Inputs!$B$34 / 12) * (1 + Inputs!$B$44)^INT((COLUMNS($B$43:AX43)-1) / 12)</f>
        <v/>
      </c>
      <c r="AY43" s="81">
        <f>AY5/3 * (Inputs!$B$34 / 12) * (1 + Inputs!$B$44)^INT((COLUMNS($B$43:AY43)-1) / 12)</f>
        <v/>
      </c>
      <c r="AZ43" s="81">
        <f>AZ5/3 * (Inputs!$B$34 / 12) * (1 + Inputs!$B$44)^INT((COLUMNS($B$43:AZ43)-1) / 12)</f>
        <v/>
      </c>
      <c r="BA43" s="81">
        <f>BA5/3 * (Inputs!$B$34 / 12) * (1 + Inputs!$B$44)^INT((COLUMNS($B$43:BA43)-1) / 12)</f>
        <v/>
      </c>
    </row>
    <row r="44" ht="14.25" customHeight="1" s="83">
      <c r="A44" s="77" t="inlineStr">
        <is>
          <t>1. Senior Engineer Gehalt</t>
        </is>
      </c>
      <c r="B44" s="81">
        <f>B6 * (Inputs!$B$35 / 12) * (1 + Inputs!$B$44)^INT((COLUMNS($B$44:B44)-1) / 12)</f>
        <v/>
      </c>
      <c r="C44" s="81">
        <f>C6 * (Inputs!$B$35 / 12) * (1 + Inputs!$B$44)^INT((COLUMNS($B$44:C44)-1) / 12)</f>
        <v/>
      </c>
      <c r="D44" s="81">
        <f>D6 * (Inputs!$B$35 / 12) * (1 + Inputs!$B$44)^INT((COLUMNS($B$44:D44)-1) / 12)</f>
        <v/>
      </c>
      <c r="E44" s="81">
        <f>E6 * (Inputs!$B$35 / 12) * (1 + Inputs!$B$44)^INT((COLUMNS($B$44:E44)-1) / 12)</f>
        <v/>
      </c>
      <c r="F44" s="81">
        <f>F6 * (Inputs!$B$35 / 12) * (1 + Inputs!$B$44)^INT((COLUMNS($B$44:F44)-1) / 12)</f>
        <v/>
      </c>
      <c r="G44" s="81">
        <f>G6 * (Inputs!$B$35 / 12) * (1 + Inputs!$B$44)^INT((COLUMNS($B$44:G44)-1) / 12)</f>
        <v/>
      </c>
      <c r="H44" s="81">
        <f>H6 * (Inputs!$B$35 / 12) * (1 + Inputs!$B$44)^INT((COLUMNS($B$44:H44)-1) / 12)</f>
        <v/>
      </c>
      <c r="I44" s="81">
        <f>I6 * (Inputs!$B$35 / 12) * (1 + Inputs!$B$44)^INT((COLUMNS($B$44:I44)-1) / 12)</f>
        <v/>
      </c>
      <c r="J44" s="81">
        <f>J6 * (Inputs!$B$35 / 12) * (1 + Inputs!$B$44)^INT((COLUMNS($B$44:J44)-1) / 12)</f>
        <v/>
      </c>
      <c r="K44" s="81">
        <f>K6 * (Inputs!$B$35 / 12) * (1 + Inputs!$B$44)^INT((COLUMNS($B$44:K44)-1) / 12)</f>
        <v/>
      </c>
      <c r="L44" s="81">
        <f>L6 * (Inputs!$B$35 / 12) * (1 + Inputs!$B$44)^INT((COLUMNS($B$44:L44)-1) / 12)</f>
        <v/>
      </c>
      <c r="M44" s="81">
        <f>M6 * (Inputs!$B$35 / 12) * (1 + Inputs!$B$44)^INT((COLUMNS($B$44:M44)-1) / 12)</f>
        <v/>
      </c>
      <c r="N44" s="81">
        <f>N6 * (Inputs!$B$35 / 12) * (1 + Inputs!$B$44)^INT((COLUMNS($B$44:N44)-1) / 12)</f>
        <v/>
      </c>
      <c r="O44" s="81">
        <f>O6 * (Inputs!$B$35 / 12) * (1 + Inputs!$B$44)^INT((COLUMNS($B$44:O44)-1) / 12)</f>
        <v/>
      </c>
      <c r="P44" s="81">
        <f>P6 * (Inputs!$B$35 / 12) * (1 + Inputs!$B$44)^INT((COLUMNS($B$44:P44)-1) / 12)</f>
        <v/>
      </c>
      <c r="Q44" s="81">
        <f>Q6 * (Inputs!$B$35 / 12) * (1 + Inputs!$B$44)^INT((COLUMNS($B$44:Q44)-1) / 12)</f>
        <v/>
      </c>
      <c r="R44" s="81">
        <f>R6 * (Inputs!$B$35 / 12) * (1 + Inputs!$B$44)^INT((COLUMNS($B$44:R44)-1) / 12)</f>
        <v/>
      </c>
      <c r="S44" s="81">
        <f>S6 * (Inputs!$B$35 / 12) * (1 + Inputs!$B$44)^INT((COLUMNS($B$44:S44)-1) / 12)</f>
        <v/>
      </c>
      <c r="T44" s="81">
        <f>T6 * (Inputs!$B$35 / 12) * (1 + Inputs!$B$44)^INT((COLUMNS($B$44:T44)-1) / 12)</f>
        <v/>
      </c>
      <c r="U44" s="81">
        <f>U6 * (Inputs!$B$35 / 12) * (1 + Inputs!$B$44)^INT((COLUMNS($B$44:U44)-1) / 12)</f>
        <v/>
      </c>
      <c r="V44" s="81">
        <f>V6 * (Inputs!$B$35 / 12) * (1 + Inputs!$B$44)^INT((COLUMNS($B$44:V44)-1) / 12)</f>
        <v/>
      </c>
      <c r="W44" s="81">
        <f>W6 * (Inputs!$B$35 / 12) * (1 + Inputs!$B$44)^INT((COLUMNS($B$44:W44)-1) / 12)</f>
        <v/>
      </c>
      <c r="X44" s="81">
        <f>X6 * (Inputs!$B$35 / 12) * (1 + Inputs!$B$44)^INT((COLUMNS($B$44:X44)-1) / 12)</f>
        <v/>
      </c>
      <c r="Y44" s="81">
        <f>Y6 * (Inputs!$B$35 / 12) * (1 + Inputs!$B$44)^INT((COLUMNS($B$44:Y44)-1) / 12)</f>
        <v/>
      </c>
      <c r="Z44" s="81">
        <f>Z6 * (Inputs!$B$35 / 12) * (1 + Inputs!$B$44)^INT((COLUMNS($B$44:Z44)-1) / 12)</f>
        <v/>
      </c>
      <c r="AA44" s="81">
        <f>AA6 * (Inputs!$B$35 / 12) * (1 + Inputs!$B$44)^INT((COLUMNS($B$44:AA44)-1) / 12)</f>
        <v/>
      </c>
      <c r="AB44" s="81">
        <f>AB6 * (Inputs!$B$35 / 12) * (1 + Inputs!$B$44)^INT((COLUMNS($B$44:AB44)-1) / 12)</f>
        <v/>
      </c>
      <c r="AC44" s="81">
        <f>AC6 * (Inputs!$B$35 / 12) * (1 + Inputs!$B$44)^INT((COLUMNS($B$44:AC44)-1) / 12)</f>
        <v/>
      </c>
      <c r="AD44" s="81">
        <f>AD6 * (Inputs!$B$35 / 12) * (1 + Inputs!$B$44)^INT((COLUMNS($B$44:AD44)-1) / 12)</f>
        <v/>
      </c>
      <c r="AE44" s="81">
        <f>AE6 * (Inputs!$B$35 / 12) * (1 + Inputs!$B$44)^INT((COLUMNS($B$44:AE44)-1) / 12)</f>
        <v/>
      </c>
      <c r="AF44" s="81">
        <f>AF6 * (Inputs!$B$35 / 12) * (1 + Inputs!$B$44)^INT((COLUMNS($B$44:AF44)-1) / 12)</f>
        <v/>
      </c>
      <c r="AG44" s="81">
        <f>AG6 * (Inputs!$B$35 / 12) * (1 + Inputs!$B$44)^INT((COLUMNS($B$44:AG44)-1) / 12)</f>
        <v/>
      </c>
      <c r="AH44" s="81">
        <f>AH6 * (Inputs!$B$35 / 12) * (1 + Inputs!$B$44)^INT((COLUMNS($B$44:AH44)-1) / 12)</f>
        <v/>
      </c>
      <c r="AI44" s="81">
        <f>AI6 * (Inputs!$B$35 / 12) * (1 + Inputs!$B$44)^INT((COLUMNS($B$44:AI44)-1) / 12)</f>
        <v/>
      </c>
      <c r="AJ44" s="81">
        <f>AJ6 * (Inputs!$B$35 / 12) * (1 + Inputs!$B$44)^INT((COLUMNS($B$44:AJ44)-1) / 12)</f>
        <v/>
      </c>
      <c r="AK44" s="81">
        <f>AK6 * (Inputs!$B$35 / 12) * (1 + Inputs!$B$44)^INT((COLUMNS($B$44:AK44)-1) / 12)</f>
        <v/>
      </c>
      <c r="AL44" s="81">
        <f>AL6 * (Inputs!$B$35 / 12) * (1 + Inputs!$B$44)^INT((COLUMNS($B$44:AL44)-1) / 12)</f>
        <v/>
      </c>
      <c r="AM44" s="81">
        <f>AM6 * (Inputs!$B$35 / 12) * (1 + Inputs!$B$44)^INT((COLUMNS($B$44:AM44)-1) / 12)</f>
        <v/>
      </c>
      <c r="AN44" s="81">
        <f>AN6 * (Inputs!$B$35 / 12) * (1 + Inputs!$B$44)^INT((COLUMNS($B$44:AN44)-1) / 12)</f>
        <v/>
      </c>
      <c r="AO44" s="81">
        <f>AO6 * (Inputs!$B$35 / 12) * (1 + Inputs!$B$44)^INT((COLUMNS($B$44:AO44)-1) / 12)</f>
        <v/>
      </c>
      <c r="AP44" s="81">
        <f>AP6 * (Inputs!$B$35 / 12) * (1 + Inputs!$B$44)^INT((COLUMNS($B$44:AP44)-1) / 12)</f>
        <v/>
      </c>
      <c r="AQ44" s="81">
        <f>AQ6 * (Inputs!$B$35 / 12) * (1 + Inputs!$B$44)^INT((COLUMNS($B$44:AQ44)-1) / 12)</f>
        <v/>
      </c>
      <c r="AR44" s="81">
        <f>AR6 * (Inputs!$B$35 / 12) * (1 + Inputs!$B$44)^INT((COLUMNS($B$44:AR44)-1) / 12)</f>
        <v/>
      </c>
      <c r="AS44" s="81">
        <f>AS6 * (Inputs!$B$35 / 12) * (1 + Inputs!$B$44)^INT((COLUMNS($B$44:AS44)-1) / 12)</f>
        <v/>
      </c>
      <c r="AT44" s="81">
        <f>AT6 * (Inputs!$B$35 / 12) * (1 + Inputs!$B$44)^INT((COLUMNS($B$44:AT44)-1) / 12)</f>
        <v/>
      </c>
      <c r="AU44" s="81">
        <f>AU6 * (Inputs!$B$35 / 12) * (1 + Inputs!$B$44)^INT((COLUMNS($B$44:AU44)-1) / 12)</f>
        <v/>
      </c>
      <c r="AV44" s="81">
        <f>AV6 * (Inputs!$B$35 / 12) * (1 + Inputs!$B$44)^INT((COLUMNS($B$44:AV44)-1) / 12)</f>
        <v/>
      </c>
      <c r="AW44" s="81">
        <f>AW6 * (Inputs!$B$35 / 12) * (1 + Inputs!$B$44)^INT((COLUMNS($B$44:AW44)-1) / 12)</f>
        <v/>
      </c>
      <c r="AX44" s="81">
        <f>AX6 * (Inputs!$B$35 / 12) * (1 + Inputs!$B$44)^INT((COLUMNS($B$44:AX44)-1) / 12)</f>
        <v/>
      </c>
      <c r="AY44" s="81">
        <f>AY6 * (Inputs!$B$35 / 12) * (1 + Inputs!$B$44)^INT((COLUMNS($B$44:AY44)-1) / 12)</f>
        <v/>
      </c>
      <c r="AZ44" s="81">
        <f>AZ6 * (Inputs!$B$35 / 12) * (1 + Inputs!$B$44)^INT((COLUMNS($B$44:AZ44)-1) / 12)</f>
        <v/>
      </c>
      <c r="BA44" s="81">
        <f>BA6 * (Inputs!$B$35 / 12) * (1 + Inputs!$B$44)^INT((COLUMNS($B$44:BA44)-1) / 12)</f>
        <v/>
      </c>
    </row>
    <row r="45" ht="14.25" customHeight="1" s="83">
      <c r="A45" s="77" t="inlineStr">
        <is>
          <t>2. Senior Engineer Gehalt</t>
        </is>
      </c>
      <c r="B45" s="81">
        <f>B7 * (Inputs!$B$35 / 12) * (1 + Inputs!$B$44)^INT((COLUMNS($B$45:B45)-1) / 12)</f>
        <v/>
      </c>
      <c r="C45" s="81">
        <f>C7 * (Inputs!$B$35 / 12) * (1 + Inputs!$B$44)^INT((COLUMNS($B$45:C45)-1) / 12)</f>
        <v/>
      </c>
      <c r="D45" s="81">
        <f>D7 * (Inputs!$B$35 / 12) * (1 + Inputs!$B$44)^INT((COLUMNS($B$45:D45)-1) / 12)</f>
        <v/>
      </c>
      <c r="E45" s="81">
        <f>E7 * (Inputs!$B$35 / 12) * (1 + Inputs!$B$44)^INT((COLUMNS($B$45:E45)-1) / 12)</f>
        <v/>
      </c>
      <c r="F45" s="81">
        <f>F7 * (Inputs!$B$35 / 12) * (1 + Inputs!$B$44)^INT((COLUMNS($B$45:F45)-1) / 12)</f>
        <v/>
      </c>
      <c r="G45" s="81">
        <f>G7 * (Inputs!$B$35 / 12) * (1 + Inputs!$B$44)^INT((COLUMNS($B$45:G45)-1) / 12)</f>
        <v/>
      </c>
      <c r="H45" s="81">
        <f>H7 * (Inputs!$B$35 / 12) * (1 + Inputs!$B$44)^INT((COLUMNS($B$45:H45)-1) / 12)</f>
        <v/>
      </c>
      <c r="I45" s="81">
        <f>I7 * (Inputs!$B$35 / 12) * (1 + Inputs!$B$44)^INT((COLUMNS($B$45:I45)-1) / 12)</f>
        <v/>
      </c>
      <c r="J45" s="81">
        <f>J7 * (Inputs!$B$35 / 12) * (1 + Inputs!$B$44)^INT((COLUMNS($B$45:J45)-1) / 12)</f>
        <v/>
      </c>
      <c r="K45" s="81">
        <f>K7 * (Inputs!$B$35 / 12) * (1 + Inputs!$B$44)^INT((COLUMNS($B$45:K45)-1) / 12)</f>
        <v/>
      </c>
      <c r="L45" s="81">
        <f>L7 * (Inputs!$B$35 / 12) * (1 + Inputs!$B$44)^INT((COLUMNS($B$45:L45)-1) / 12)</f>
        <v/>
      </c>
      <c r="M45" s="81">
        <f>M7 * (Inputs!$B$35 / 12) * (1 + Inputs!$B$44)^INT((COLUMNS($B$45:M45)-1) / 12)</f>
        <v/>
      </c>
      <c r="N45" s="81">
        <f>N7 * (Inputs!$B$35 / 12) * (1 + Inputs!$B$44)^INT((COLUMNS($B$45:N45)-1) / 12)</f>
        <v/>
      </c>
      <c r="O45" s="81">
        <f>O7 * (Inputs!$B$35 / 12) * (1 + Inputs!$B$44)^INT((COLUMNS($B$45:O45)-1) / 12)</f>
        <v/>
      </c>
      <c r="P45" s="81">
        <f>P7 * (Inputs!$B$35 / 12) * (1 + Inputs!$B$44)^INT((COLUMNS($B$45:P45)-1) / 12)</f>
        <v/>
      </c>
      <c r="Q45" s="81">
        <f>Q7 * (Inputs!$B$35 / 12) * (1 + Inputs!$B$44)^INT((COLUMNS($B$45:Q45)-1) / 12)</f>
        <v/>
      </c>
      <c r="R45" s="81">
        <f>R7 * (Inputs!$B$35 / 12) * (1 + Inputs!$B$44)^INT((COLUMNS($B$45:R45)-1) / 12)</f>
        <v/>
      </c>
      <c r="S45" s="81">
        <f>S7 * (Inputs!$B$35 / 12) * (1 + Inputs!$B$44)^INT((COLUMNS($B$45:S45)-1) / 12)</f>
        <v/>
      </c>
      <c r="T45" s="81">
        <f>T7 * (Inputs!$B$35 / 12) * (1 + Inputs!$B$44)^INT((COLUMNS($B$45:T45)-1) / 12)</f>
        <v/>
      </c>
      <c r="U45" s="81">
        <f>U7 * (Inputs!$B$35 / 12) * (1 + Inputs!$B$44)^INT((COLUMNS($B$45:U45)-1) / 12)</f>
        <v/>
      </c>
      <c r="V45" s="81">
        <f>V7 * (Inputs!$B$35 / 12) * (1 + Inputs!$B$44)^INT((COLUMNS($B$45:V45)-1) / 12)</f>
        <v/>
      </c>
      <c r="W45" s="81">
        <f>W7 * (Inputs!$B$35 / 12) * (1 + Inputs!$B$44)^INT((COLUMNS($B$45:W45)-1) / 12)</f>
        <v/>
      </c>
      <c r="X45" s="81">
        <f>X7 * (Inputs!$B$35 / 12) * (1 + Inputs!$B$44)^INT((COLUMNS($B$45:X45)-1) / 12)</f>
        <v/>
      </c>
      <c r="Y45" s="81">
        <f>Y7 * (Inputs!$B$35 / 12) * (1 + Inputs!$B$44)^INT((COLUMNS($B$45:Y45)-1) / 12)</f>
        <v/>
      </c>
      <c r="Z45" s="81">
        <f>Z7 * (Inputs!$B$35 / 12) * (1 + Inputs!$B$44)^INT((COLUMNS($B$45:Z45)-1) / 12)</f>
        <v/>
      </c>
      <c r="AA45" s="81">
        <f>AA7 * (Inputs!$B$35 / 12) * (1 + Inputs!$B$44)^INT((COLUMNS($B$45:AA45)-1) / 12)</f>
        <v/>
      </c>
      <c r="AB45" s="81">
        <f>AB7 * (Inputs!$B$35 / 12) * (1 + Inputs!$B$44)^INT((COLUMNS($B$45:AB45)-1) / 12)</f>
        <v/>
      </c>
      <c r="AC45" s="81">
        <f>AC7 * (Inputs!$B$35 / 12) * (1 + Inputs!$B$44)^INT((COLUMNS($B$45:AC45)-1) / 12)</f>
        <v/>
      </c>
      <c r="AD45" s="81">
        <f>AD7 * (Inputs!$B$35 / 12) * (1 + Inputs!$B$44)^INT((COLUMNS($B$45:AD45)-1) / 12)</f>
        <v/>
      </c>
      <c r="AE45" s="81">
        <f>AE7 * (Inputs!$B$35 / 12) * (1 + Inputs!$B$44)^INT((COLUMNS($B$45:AE45)-1) / 12)</f>
        <v/>
      </c>
      <c r="AF45" s="81">
        <f>AF7 * (Inputs!$B$35 / 12) * (1 + Inputs!$B$44)^INT((COLUMNS($B$45:AF45)-1) / 12)</f>
        <v/>
      </c>
      <c r="AG45" s="81">
        <f>AG7 * (Inputs!$B$35 / 12) * (1 + Inputs!$B$44)^INT((COLUMNS($B$45:AG45)-1) / 12)</f>
        <v/>
      </c>
      <c r="AH45" s="81">
        <f>AH7 * (Inputs!$B$35 / 12) * (1 + Inputs!$B$44)^INT((COLUMNS($B$45:AH45)-1) / 12)</f>
        <v/>
      </c>
      <c r="AI45" s="81">
        <f>AI7 * (Inputs!$B$35 / 12) * (1 + Inputs!$B$44)^INT((COLUMNS($B$45:AI45)-1) / 12)</f>
        <v/>
      </c>
      <c r="AJ45" s="81">
        <f>AJ7 * (Inputs!$B$35 / 12) * (1 + Inputs!$B$44)^INT((COLUMNS($B$45:AJ45)-1) / 12)</f>
        <v/>
      </c>
      <c r="AK45" s="81">
        <f>AK7 * (Inputs!$B$35 / 12) * (1 + Inputs!$B$44)^INT((COLUMNS($B$45:AK45)-1) / 12)</f>
        <v/>
      </c>
      <c r="AL45" s="81">
        <f>AL7 * (Inputs!$B$35 / 12) * (1 + Inputs!$B$44)^INT((COLUMNS($B$45:AL45)-1) / 12)</f>
        <v/>
      </c>
      <c r="AM45" s="81">
        <f>AM7 * (Inputs!$B$35 / 12) * (1 + Inputs!$B$44)^INT((COLUMNS($B$45:AM45)-1) / 12)</f>
        <v/>
      </c>
      <c r="AN45" s="81">
        <f>AN7 * (Inputs!$B$35 / 12) * (1 + Inputs!$B$44)^INT((COLUMNS($B$45:AN45)-1) / 12)</f>
        <v/>
      </c>
      <c r="AO45" s="81">
        <f>AO7 * (Inputs!$B$35 / 12) * (1 + Inputs!$B$44)^INT((COLUMNS($B$45:AO45)-1) / 12)</f>
        <v/>
      </c>
      <c r="AP45" s="81">
        <f>AP7 * (Inputs!$B$35 / 12) * (1 + Inputs!$B$44)^INT((COLUMNS($B$45:AP45)-1) / 12)</f>
        <v/>
      </c>
      <c r="AQ45" s="81">
        <f>AQ7 * (Inputs!$B$35 / 12) * (1 + Inputs!$B$44)^INT((COLUMNS($B$45:AQ45)-1) / 12)</f>
        <v/>
      </c>
      <c r="AR45" s="81">
        <f>AR7 * (Inputs!$B$35 / 12) * (1 + Inputs!$B$44)^INT((COLUMNS($B$45:AR45)-1) / 12)</f>
        <v/>
      </c>
      <c r="AS45" s="81">
        <f>AS7 * (Inputs!$B$35 / 12) * (1 + Inputs!$B$44)^INT((COLUMNS($B$45:AS45)-1) / 12)</f>
        <v/>
      </c>
      <c r="AT45" s="81">
        <f>AT7 * (Inputs!$B$35 / 12) * (1 + Inputs!$B$44)^INT((COLUMNS($B$45:AT45)-1) / 12)</f>
        <v/>
      </c>
      <c r="AU45" s="81">
        <f>AU7 * (Inputs!$B$35 / 12) * (1 + Inputs!$B$44)^INT((COLUMNS($B$45:AU45)-1) / 12)</f>
        <v/>
      </c>
      <c r="AV45" s="81">
        <f>AV7 * (Inputs!$B$35 / 12) * (1 + Inputs!$B$44)^INT((COLUMNS($B$45:AV45)-1) / 12)</f>
        <v/>
      </c>
      <c r="AW45" s="81">
        <f>AW7 * (Inputs!$B$35 / 12) * (1 + Inputs!$B$44)^INT((COLUMNS($B$45:AW45)-1) / 12)</f>
        <v/>
      </c>
      <c r="AX45" s="81">
        <f>AX7 * (Inputs!$B$35 / 12) * (1 + Inputs!$B$44)^INT((COLUMNS($B$45:AX45)-1) / 12)</f>
        <v/>
      </c>
      <c r="AY45" s="81">
        <f>AY7 * (Inputs!$B$35 / 12) * (1 + Inputs!$B$44)^INT((COLUMNS($B$45:AY45)-1) / 12)</f>
        <v/>
      </c>
      <c r="AZ45" s="81">
        <f>AZ7 * (Inputs!$B$35 / 12) * (1 + Inputs!$B$44)^INT((COLUMNS($B$45:AZ45)-1) / 12)</f>
        <v/>
      </c>
      <c r="BA45" s="81">
        <f>BA7 * (Inputs!$B$35 / 12) * (1 + Inputs!$B$44)^INT((COLUMNS($B$45:BA45)-1) / 12)</f>
        <v/>
      </c>
    </row>
    <row r="46" ht="14.25" customHeight="1" s="83">
      <c r="A46" s="77" t="inlineStr">
        <is>
          <t>1. Junior Engineer Gehalt</t>
        </is>
      </c>
      <c r="B46" s="81">
        <f>B8 * (Inputs!$B$36 / 12) * (1 + Inputs!$B$44)^INT((COLUMNS($B$46:B46)-1) / 12)</f>
        <v/>
      </c>
      <c r="C46" s="81">
        <f>C8 * (Inputs!$B$36 / 12) * (1 + Inputs!$B$44)^INT((COLUMNS($B$46:C46)-1) / 12)</f>
        <v/>
      </c>
      <c r="D46" s="81">
        <f>D8 * (Inputs!$B$36 / 12) * (1 + Inputs!$B$44)^INT((COLUMNS($B$46:D46)-1) / 12)</f>
        <v/>
      </c>
      <c r="E46" s="81">
        <f>E8 * (Inputs!$B$36 / 12) * (1 + Inputs!$B$44)^INT((COLUMNS($B$46:E46)-1) / 12)</f>
        <v/>
      </c>
      <c r="F46" s="81">
        <f>F8 * (Inputs!$B$36 / 12) * (1 + Inputs!$B$44)^INT((COLUMNS($B$46:F46)-1) / 12)</f>
        <v/>
      </c>
      <c r="G46" s="81">
        <f>G8 * (Inputs!$B$36 / 12) * (1 + Inputs!$B$44)^INT((COLUMNS($B$46:G46)-1) / 12)</f>
        <v/>
      </c>
      <c r="H46" s="81">
        <f>H8 * (Inputs!$B$36 / 12) * (1 + Inputs!$B$44)^INT((COLUMNS($B$46:H46)-1) / 12)</f>
        <v/>
      </c>
      <c r="I46" s="81">
        <f>I8 * (Inputs!$B$36 / 12) * (1 + Inputs!$B$44)^INT((COLUMNS($B$46:I46)-1) / 12)</f>
        <v/>
      </c>
      <c r="J46" s="81">
        <f>J8 * (Inputs!$B$36 / 12) * (1 + Inputs!$B$44)^INT((COLUMNS($B$46:J46)-1) / 12)</f>
        <v/>
      </c>
      <c r="K46" s="81">
        <f>K8 * (Inputs!$B$36 / 12) * (1 + Inputs!$B$44)^INT((COLUMNS($B$46:K46)-1) / 12)</f>
        <v/>
      </c>
      <c r="L46" s="81">
        <f>L8 * (Inputs!$B$36 / 12) * (1 + Inputs!$B$44)^INT((COLUMNS($B$46:L46)-1) / 12)</f>
        <v/>
      </c>
      <c r="M46" s="81">
        <f>M8 * (Inputs!$B$36 / 12) * (1 + Inputs!$B$44)^INT((COLUMNS($B$46:M46)-1) / 12)</f>
        <v/>
      </c>
      <c r="N46" s="81">
        <f>N8 * (Inputs!$B$36 / 12) * (1 + Inputs!$B$44)^INT((COLUMNS($B$46:N46)-1) / 12)</f>
        <v/>
      </c>
      <c r="O46" s="81">
        <f>O8 * (Inputs!$B$36 / 12) * (1 + Inputs!$B$44)^INT((COLUMNS($B$46:O46)-1) / 12)</f>
        <v/>
      </c>
      <c r="P46" s="81">
        <f>P8 * (Inputs!$B$36 / 12) * (1 + Inputs!$B$44)^INT((COLUMNS($B$46:P46)-1) / 12)</f>
        <v/>
      </c>
      <c r="Q46" s="81">
        <f>Q8 * (Inputs!$B$36 / 12) * (1 + Inputs!$B$44)^INT((COLUMNS($B$46:Q46)-1) / 12)</f>
        <v/>
      </c>
      <c r="R46" s="81">
        <f>R8 * (Inputs!$B$36 / 12) * (1 + Inputs!$B$44)^INT((COLUMNS($B$46:R46)-1) / 12)</f>
        <v/>
      </c>
      <c r="S46" s="81">
        <f>S8 * (Inputs!$B$36 / 12) * (1 + Inputs!$B$44)^INT((COLUMNS($B$46:S46)-1) / 12)</f>
        <v/>
      </c>
      <c r="T46" s="81">
        <f>T8 * (Inputs!$B$36 / 12) * (1 + Inputs!$B$44)^INT((COLUMNS($B$46:T46)-1) / 12)</f>
        <v/>
      </c>
      <c r="U46" s="81">
        <f>U8 * (Inputs!$B$36 / 12) * (1 + Inputs!$B$44)^INT((COLUMNS($B$46:U46)-1) / 12)</f>
        <v/>
      </c>
      <c r="V46" s="81">
        <f>V8 * (Inputs!$B$36 / 12) * (1 + Inputs!$B$44)^INT((COLUMNS($B$46:V46)-1) / 12)</f>
        <v/>
      </c>
      <c r="W46" s="81">
        <f>W8 * (Inputs!$B$36 / 12) * (1 + Inputs!$B$44)^INT((COLUMNS($B$46:W46)-1) / 12)</f>
        <v/>
      </c>
      <c r="X46" s="81">
        <f>X8 * (Inputs!$B$36 / 12) * (1 + Inputs!$B$44)^INT((COLUMNS($B$46:X46)-1) / 12)</f>
        <v/>
      </c>
      <c r="Y46" s="81">
        <f>Y8 * (Inputs!$B$36 / 12) * (1 + Inputs!$B$44)^INT((COLUMNS($B$46:Y46)-1) / 12)</f>
        <v/>
      </c>
      <c r="Z46" s="81">
        <f>Z8 * (Inputs!$B$36 / 12) * (1 + Inputs!$B$44)^INT((COLUMNS($B$46:Z46)-1) / 12)</f>
        <v/>
      </c>
      <c r="AA46" s="81">
        <f>AA8 * (Inputs!$B$36 / 12) * (1 + Inputs!$B$44)^INT((COLUMNS($B$46:AA46)-1) / 12)</f>
        <v/>
      </c>
      <c r="AB46" s="81">
        <f>AB8 * (Inputs!$B$36 / 12) * (1 + Inputs!$B$44)^INT((COLUMNS($B$46:AB46)-1) / 12)</f>
        <v/>
      </c>
      <c r="AC46" s="81">
        <f>AC8 * (Inputs!$B$36 / 12) * (1 + Inputs!$B$44)^INT((COLUMNS($B$46:AC46)-1) / 12)</f>
        <v/>
      </c>
      <c r="AD46" s="81">
        <f>AD8 * (Inputs!$B$36 / 12) * (1 + Inputs!$B$44)^INT((COLUMNS($B$46:AD46)-1) / 12)</f>
        <v/>
      </c>
      <c r="AE46" s="81">
        <f>AE8 * (Inputs!$B$36 / 12) * (1 + Inputs!$B$44)^INT((COLUMNS($B$46:AE46)-1) / 12)</f>
        <v/>
      </c>
      <c r="AF46" s="81">
        <f>AF8 * (Inputs!$B$36 / 12) * (1 + Inputs!$B$44)^INT((COLUMNS($B$46:AF46)-1) / 12)</f>
        <v/>
      </c>
      <c r="AG46" s="81">
        <f>AG8 * (Inputs!$B$36 / 12) * (1 + Inputs!$B$44)^INT((COLUMNS($B$46:AG46)-1) / 12)</f>
        <v/>
      </c>
      <c r="AH46" s="81">
        <f>AH8 * (Inputs!$B$36 / 12) * (1 + Inputs!$B$44)^INT((COLUMNS($B$46:AH46)-1) / 12)</f>
        <v/>
      </c>
      <c r="AI46" s="81">
        <f>AI8 * (Inputs!$B$36 / 12) * (1 + Inputs!$B$44)^INT((COLUMNS($B$46:AI46)-1) / 12)</f>
        <v/>
      </c>
      <c r="AJ46" s="81">
        <f>AJ8 * (Inputs!$B$36 / 12) * (1 + Inputs!$B$44)^INT((COLUMNS($B$46:AJ46)-1) / 12)</f>
        <v/>
      </c>
      <c r="AK46" s="81">
        <f>AK8 * (Inputs!$B$36 / 12) * (1 + Inputs!$B$44)^INT((COLUMNS($B$46:AK46)-1) / 12)</f>
        <v/>
      </c>
      <c r="AL46" s="81">
        <f>AL8 * (Inputs!$B$36 / 12) * (1 + Inputs!$B$44)^INT((COLUMNS($B$46:AL46)-1) / 12)</f>
        <v/>
      </c>
      <c r="AM46" s="81">
        <f>AM8 * (Inputs!$B$36 / 12) * (1 + Inputs!$B$44)^INT((COLUMNS($B$46:AM46)-1) / 12)</f>
        <v/>
      </c>
      <c r="AN46" s="81">
        <f>AN8 * (Inputs!$B$36 / 12) * (1 + Inputs!$B$44)^INT((COLUMNS($B$46:AN46)-1) / 12)</f>
        <v/>
      </c>
      <c r="AO46" s="81">
        <f>AO8 * (Inputs!$B$36 / 12) * (1 + Inputs!$B$44)^INT((COLUMNS($B$46:AO46)-1) / 12)</f>
        <v/>
      </c>
      <c r="AP46" s="81">
        <f>AP8 * (Inputs!$B$36 / 12) * (1 + Inputs!$B$44)^INT((COLUMNS($B$46:AP46)-1) / 12)</f>
        <v/>
      </c>
      <c r="AQ46" s="81">
        <f>AQ8 * (Inputs!$B$36 / 12) * (1 + Inputs!$B$44)^INT((COLUMNS($B$46:AQ46)-1) / 12)</f>
        <v/>
      </c>
      <c r="AR46" s="81">
        <f>AR8 * (Inputs!$B$36 / 12) * (1 + Inputs!$B$44)^INT((COLUMNS($B$46:AR46)-1) / 12)</f>
        <v/>
      </c>
      <c r="AS46" s="81">
        <f>AS8 * (Inputs!$B$36 / 12) * (1 + Inputs!$B$44)^INT((COLUMNS($B$46:AS46)-1) / 12)</f>
        <v/>
      </c>
      <c r="AT46" s="81">
        <f>AT8 * (Inputs!$B$36 / 12) * (1 + Inputs!$B$44)^INT((COLUMNS($B$46:AT46)-1) / 12)</f>
        <v/>
      </c>
      <c r="AU46" s="81">
        <f>AU8 * (Inputs!$B$36 / 12) * (1 + Inputs!$B$44)^INT((COLUMNS($B$46:AU46)-1) / 12)</f>
        <v/>
      </c>
      <c r="AV46" s="81">
        <f>AV8 * (Inputs!$B$36 / 12) * (1 + Inputs!$B$44)^INT((COLUMNS($B$46:AV46)-1) / 12)</f>
        <v/>
      </c>
      <c r="AW46" s="81">
        <f>AW8 * (Inputs!$B$36 / 12) * (1 + Inputs!$B$44)^INT((COLUMNS($B$46:AW46)-1) / 12)</f>
        <v/>
      </c>
      <c r="AX46" s="81">
        <f>AX8 * (Inputs!$B$36 / 12) * (1 + Inputs!$B$44)^INT((COLUMNS($B$46:AX46)-1) / 12)</f>
        <v/>
      </c>
      <c r="AY46" s="81">
        <f>AY8 * (Inputs!$B$36 / 12) * (1 + Inputs!$B$44)^INT((COLUMNS($B$46:AY46)-1) / 12)</f>
        <v/>
      </c>
      <c r="AZ46" s="81">
        <f>AZ8 * (Inputs!$B$36 / 12) * (1 + Inputs!$B$44)^INT((COLUMNS($B$46:AZ46)-1) / 12)</f>
        <v/>
      </c>
      <c r="BA46" s="81">
        <f>BA8 * (Inputs!$B$36 / 12) * (1 + Inputs!$B$44)^INT((COLUMNS($B$46:BA46)-1) / 12)</f>
        <v/>
      </c>
    </row>
    <row r="47" ht="14.25" customHeight="1" s="83">
      <c r="A47" s="77" t="inlineStr">
        <is>
          <t>1. ML/AI Engineer Gehalt</t>
        </is>
      </c>
      <c r="B47" s="81">
        <f>B9 * (Inputs!$B$37 / 12) * (1 + Inputs!$B$44)^INT((COLUMNS($B$47:B47)-1) / 12)</f>
        <v/>
      </c>
      <c r="C47" s="81">
        <f>C9 * (Inputs!$B$37 / 12) * (1 + Inputs!$B$44)^INT((COLUMNS($B$47:C47)-1) / 12)</f>
        <v/>
      </c>
      <c r="D47" s="81">
        <f>D9 * (Inputs!$B$37 / 12) * (1 + Inputs!$B$44)^INT((COLUMNS($B$47:D47)-1) / 12)</f>
        <v/>
      </c>
      <c r="E47" s="81">
        <f>E9 * (Inputs!$B$37 / 12) * (1 + Inputs!$B$44)^INT((COLUMNS($B$47:E47)-1) / 12)</f>
        <v/>
      </c>
      <c r="F47" s="81">
        <f>F9 * (Inputs!$B$37 / 12) * (1 + Inputs!$B$44)^INT((COLUMNS($B$47:F47)-1) / 12)</f>
        <v/>
      </c>
      <c r="G47" s="81">
        <f>G9 * (Inputs!$B$37 / 12) * (1 + Inputs!$B$44)^INT((COLUMNS($B$47:G47)-1) / 12)</f>
        <v/>
      </c>
      <c r="H47" s="81">
        <f>H9 * (Inputs!$B$37 / 12) * (1 + Inputs!$B$44)^INT((COLUMNS($B$47:H47)-1) / 12)</f>
        <v/>
      </c>
      <c r="I47" s="81">
        <f>I9 * (Inputs!$B$37 / 12) * (1 + Inputs!$B$44)^INT((COLUMNS($B$47:I47)-1) / 12)</f>
        <v/>
      </c>
      <c r="J47" s="81">
        <f>J9 * (Inputs!$B$37 / 12) * (1 + Inputs!$B$44)^INT((COLUMNS($B$47:J47)-1) / 12)</f>
        <v/>
      </c>
      <c r="K47" s="81">
        <f>K9 * (Inputs!$B$37 / 12) * (1 + Inputs!$B$44)^INT((COLUMNS($B$47:K47)-1) / 12)</f>
        <v/>
      </c>
      <c r="L47" s="81">
        <f>L9 * (Inputs!$B$37 / 12) * (1 + Inputs!$B$44)^INT((COLUMNS($B$47:L47)-1) / 12)</f>
        <v/>
      </c>
      <c r="M47" s="81">
        <f>M9 * (Inputs!$B$37 / 12) * (1 + Inputs!$B$44)^INT((COLUMNS($B$47:M47)-1) / 12)</f>
        <v/>
      </c>
      <c r="N47" s="81">
        <f>N9 * (Inputs!$B$37 / 12) * (1 + Inputs!$B$44)^INT((COLUMNS($B$47:N47)-1) / 12)</f>
        <v/>
      </c>
      <c r="O47" s="81">
        <f>O9 * (Inputs!$B$37 / 12) * (1 + Inputs!$B$44)^INT((COLUMNS($B$47:O47)-1) / 12)</f>
        <v/>
      </c>
      <c r="P47" s="81">
        <f>P9 * (Inputs!$B$37 / 12) * (1 + Inputs!$B$44)^INT((COLUMNS($B$47:P47)-1) / 12)</f>
        <v/>
      </c>
      <c r="Q47" s="81">
        <f>Q9 * (Inputs!$B$37 / 12) * (1 + Inputs!$B$44)^INT((COLUMNS($B$47:Q47)-1) / 12)</f>
        <v/>
      </c>
      <c r="R47" s="81">
        <f>R9 * (Inputs!$B$37 / 12) * (1 + Inputs!$B$44)^INT((COLUMNS($B$47:R47)-1) / 12)</f>
        <v/>
      </c>
      <c r="S47" s="81">
        <f>S9 * (Inputs!$B$37 / 12) * (1 + Inputs!$B$44)^INT((COLUMNS($B$47:S47)-1) / 12)</f>
        <v/>
      </c>
      <c r="T47" s="81">
        <f>T9 * (Inputs!$B$37 / 12) * (1 + Inputs!$B$44)^INT((COLUMNS($B$47:T47)-1) / 12)</f>
        <v/>
      </c>
      <c r="U47" s="81">
        <f>U9 * (Inputs!$B$37 / 12) * (1 + Inputs!$B$44)^INT((COLUMNS($B$47:U47)-1) / 12)</f>
        <v/>
      </c>
      <c r="V47" s="81">
        <f>V9 * (Inputs!$B$37 / 12) * (1 + Inputs!$B$44)^INT((COLUMNS($B$47:V47)-1) / 12)</f>
        <v/>
      </c>
      <c r="W47" s="81">
        <f>W9 * (Inputs!$B$37 / 12) * (1 + Inputs!$B$44)^INT((COLUMNS($B$47:W47)-1) / 12)</f>
        <v/>
      </c>
      <c r="X47" s="81">
        <f>X9 * (Inputs!$B$37 / 12) * (1 + Inputs!$B$44)^INT((COLUMNS($B$47:X47)-1) / 12)</f>
        <v/>
      </c>
      <c r="Y47" s="81">
        <f>Y9 * (Inputs!$B$37 / 12) * (1 + Inputs!$B$44)^INT((COLUMNS($B$47:Y47)-1) / 12)</f>
        <v/>
      </c>
      <c r="Z47" s="81">
        <f>Z9 * (Inputs!$B$37 / 12) * (1 + Inputs!$B$44)^INT((COLUMNS($B$47:Z47)-1) / 12)</f>
        <v/>
      </c>
      <c r="AA47" s="81">
        <f>AA9 * (Inputs!$B$37 / 12) * (1 + Inputs!$B$44)^INT((COLUMNS($B$47:AA47)-1) / 12)</f>
        <v/>
      </c>
      <c r="AB47" s="81">
        <f>AB9 * (Inputs!$B$37 / 12) * (1 + Inputs!$B$44)^INT((COLUMNS($B$47:AB47)-1) / 12)</f>
        <v/>
      </c>
      <c r="AC47" s="81">
        <f>AC9 * (Inputs!$B$37 / 12) * (1 + Inputs!$B$44)^INT((COLUMNS($B$47:AC47)-1) / 12)</f>
        <v/>
      </c>
      <c r="AD47" s="81">
        <f>AD9 * (Inputs!$B$37 / 12) * (1 + Inputs!$B$44)^INT((COLUMNS($B$47:AD47)-1) / 12)</f>
        <v/>
      </c>
      <c r="AE47" s="81">
        <f>AE9 * (Inputs!$B$37 / 12) * (1 + Inputs!$B$44)^INT((COLUMNS($B$47:AE47)-1) / 12)</f>
        <v/>
      </c>
      <c r="AF47" s="81">
        <f>AF9 * (Inputs!$B$37 / 12) * (1 + Inputs!$B$44)^INT((COLUMNS($B$47:AF47)-1) / 12)</f>
        <v/>
      </c>
      <c r="AG47" s="81">
        <f>AG9 * (Inputs!$B$37 / 12) * (1 + Inputs!$B$44)^INT((COLUMNS($B$47:AG47)-1) / 12)</f>
        <v/>
      </c>
      <c r="AH47" s="81">
        <f>AH9 * (Inputs!$B$37 / 12) * (1 + Inputs!$B$44)^INT((COLUMNS($B$47:AH47)-1) / 12)</f>
        <v/>
      </c>
      <c r="AI47" s="81">
        <f>AI9 * (Inputs!$B$37 / 12) * (1 + Inputs!$B$44)^INT((COLUMNS($B$47:AI47)-1) / 12)</f>
        <v/>
      </c>
      <c r="AJ47" s="81">
        <f>AJ9 * (Inputs!$B$37 / 12) * (1 + Inputs!$B$44)^INT((COLUMNS($B$47:AJ47)-1) / 12)</f>
        <v/>
      </c>
      <c r="AK47" s="81">
        <f>AK9 * (Inputs!$B$37 / 12) * (1 + Inputs!$B$44)^INT((COLUMNS($B$47:AK47)-1) / 12)</f>
        <v/>
      </c>
      <c r="AL47" s="81">
        <f>AL9 * (Inputs!$B$37 / 12) * (1 + Inputs!$B$44)^INT((COLUMNS($B$47:AL47)-1) / 12)</f>
        <v/>
      </c>
      <c r="AM47" s="81">
        <f>AM9 * (Inputs!$B$37 / 12) * (1 + Inputs!$B$44)^INT((COLUMNS($B$47:AM47)-1) / 12)</f>
        <v/>
      </c>
      <c r="AN47" s="81">
        <f>AN9 * (Inputs!$B$37 / 12) * (1 + Inputs!$B$44)^INT((COLUMNS($B$47:AN47)-1) / 12)</f>
        <v/>
      </c>
      <c r="AO47" s="81">
        <f>AO9 * (Inputs!$B$37 / 12) * (1 + Inputs!$B$44)^INT((COLUMNS($B$47:AO47)-1) / 12)</f>
        <v/>
      </c>
      <c r="AP47" s="81">
        <f>AP9 * (Inputs!$B$37 / 12) * (1 + Inputs!$B$44)^INT((COLUMNS($B$47:AP47)-1) / 12)</f>
        <v/>
      </c>
      <c r="AQ47" s="81">
        <f>AQ9 * (Inputs!$B$37 / 12) * (1 + Inputs!$B$44)^INT((COLUMNS($B$47:AQ47)-1) / 12)</f>
        <v/>
      </c>
      <c r="AR47" s="81">
        <f>AR9 * (Inputs!$B$37 / 12) * (1 + Inputs!$B$44)^INT((COLUMNS($B$47:AR47)-1) / 12)</f>
        <v/>
      </c>
      <c r="AS47" s="81">
        <f>AS9 * (Inputs!$B$37 / 12) * (1 + Inputs!$B$44)^INT((COLUMNS($B$47:AS47)-1) / 12)</f>
        <v/>
      </c>
      <c r="AT47" s="81">
        <f>AT9 * (Inputs!$B$37 / 12) * (1 + Inputs!$B$44)^INT((COLUMNS($B$47:AT47)-1) / 12)</f>
        <v/>
      </c>
      <c r="AU47" s="81">
        <f>AU9 * (Inputs!$B$37 / 12) * (1 + Inputs!$B$44)^INT((COLUMNS($B$47:AU47)-1) / 12)</f>
        <v/>
      </c>
      <c r="AV47" s="81">
        <f>AV9 * (Inputs!$B$37 / 12) * (1 + Inputs!$B$44)^INT((COLUMNS($B$47:AV47)-1) / 12)</f>
        <v/>
      </c>
      <c r="AW47" s="81">
        <f>AW9 * (Inputs!$B$37 / 12) * (1 + Inputs!$B$44)^INT((COLUMNS($B$47:AW47)-1) / 12)</f>
        <v/>
      </c>
      <c r="AX47" s="81">
        <f>AX9 * (Inputs!$B$37 / 12) * (1 + Inputs!$B$44)^INT((COLUMNS($B$47:AX47)-1) / 12)</f>
        <v/>
      </c>
      <c r="AY47" s="81">
        <f>AY9 * (Inputs!$B$37 / 12) * (1 + Inputs!$B$44)^INT((COLUMNS($B$47:AY47)-1) / 12)</f>
        <v/>
      </c>
      <c r="AZ47" s="81">
        <f>AZ9 * (Inputs!$B$37 / 12) * (1 + Inputs!$B$44)^INT((COLUMNS($B$47:AZ47)-1) / 12)</f>
        <v/>
      </c>
      <c r="BA47" s="81">
        <f>BA9 * (Inputs!$B$37 / 12) * (1 + Inputs!$B$44)^INT((COLUMNS($B$47:BA47)-1) / 12)</f>
        <v/>
      </c>
    </row>
    <row r="48" ht="14.25" customHeight="1" s="83">
      <c r="A48" s="77" t="inlineStr">
        <is>
          <t>2. ML/AI Engineer Gehalt</t>
        </is>
      </c>
      <c r="B48" s="81">
        <f>B10 * (Inputs!$B$37 / 12) * (1 + Inputs!$B$44)^INT((COLUMNS($B$48:B48)-1) / 12)</f>
        <v/>
      </c>
      <c r="C48" s="81">
        <f>C10 * (Inputs!$B$37 / 12) * (1 + Inputs!$B$44)^INT((COLUMNS($B$48:C48)-1) / 12)</f>
        <v/>
      </c>
      <c r="D48" s="81">
        <f>D10 * (Inputs!$B$37 / 12) * (1 + Inputs!$B$44)^INT((COLUMNS($B$48:D48)-1) / 12)</f>
        <v/>
      </c>
      <c r="E48" s="81">
        <f>E10 * (Inputs!$B$37 / 12) * (1 + Inputs!$B$44)^INT((COLUMNS($B$48:E48)-1) / 12)</f>
        <v/>
      </c>
      <c r="F48" s="81">
        <f>F10 * (Inputs!$B$37 / 12) * (1 + Inputs!$B$44)^INT((COLUMNS($B$48:F48)-1) / 12)</f>
        <v/>
      </c>
      <c r="G48" s="81">
        <f>G10 * (Inputs!$B$37 / 12) * (1 + Inputs!$B$44)^INT((COLUMNS($B$48:G48)-1) / 12)</f>
        <v/>
      </c>
      <c r="H48" s="81">
        <f>H10 * (Inputs!$B$37 / 12) * (1 + Inputs!$B$44)^INT((COLUMNS($B$48:H48)-1) / 12)</f>
        <v/>
      </c>
      <c r="I48" s="81">
        <f>I10 * (Inputs!$B$37 / 12) * (1 + Inputs!$B$44)^INT((COLUMNS($B$48:I48)-1) / 12)</f>
        <v/>
      </c>
      <c r="J48" s="81">
        <f>J10 * (Inputs!$B$37 / 12) * (1 + Inputs!$B$44)^INT((COLUMNS($B$48:J48)-1) / 12)</f>
        <v/>
      </c>
      <c r="K48" s="81">
        <f>K10 * (Inputs!$B$37 / 12) * (1 + Inputs!$B$44)^INT((COLUMNS($B$48:K48)-1) / 12)</f>
        <v/>
      </c>
      <c r="L48" s="81">
        <f>L10 * (Inputs!$B$37 / 12) * (1 + Inputs!$B$44)^INT((COLUMNS($B$48:L48)-1) / 12)</f>
        <v/>
      </c>
      <c r="M48" s="81">
        <f>M10 * (Inputs!$B$37 / 12) * (1 + Inputs!$B$44)^INT((COLUMNS($B$48:M48)-1) / 12)</f>
        <v/>
      </c>
      <c r="N48" s="81">
        <f>N10 * (Inputs!$B$37 / 12) * (1 + Inputs!$B$44)^INT((COLUMNS($B$48:N48)-1) / 12)</f>
        <v/>
      </c>
      <c r="O48" s="81">
        <f>O10 * (Inputs!$B$37 / 12) * (1 + Inputs!$B$44)^INT((COLUMNS($B$48:O48)-1) / 12)</f>
        <v/>
      </c>
      <c r="P48" s="81">
        <f>P10 * (Inputs!$B$37 / 12) * (1 + Inputs!$B$44)^INT((COLUMNS($B$48:P48)-1) / 12)</f>
        <v/>
      </c>
      <c r="Q48" s="81">
        <f>Q10 * (Inputs!$B$37 / 12) * (1 + Inputs!$B$44)^INT((COLUMNS($B$48:Q48)-1) / 12)</f>
        <v/>
      </c>
      <c r="R48" s="81">
        <f>R10 * (Inputs!$B$37 / 12) * (1 + Inputs!$B$44)^INT((COLUMNS($B$48:R48)-1) / 12)</f>
        <v/>
      </c>
      <c r="S48" s="81">
        <f>S10 * (Inputs!$B$37 / 12) * (1 + Inputs!$B$44)^INT((COLUMNS($B$48:S48)-1) / 12)</f>
        <v/>
      </c>
      <c r="T48" s="81">
        <f>T10 * (Inputs!$B$37 / 12) * (1 + Inputs!$B$44)^INT((COLUMNS($B$48:T48)-1) / 12)</f>
        <v/>
      </c>
      <c r="U48" s="81">
        <f>U10 * (Inputs!$B$37 / 12) * (1 + Inputs!$B$44)^INT((COLUMNS($B$48:U48)-1) / 12)</f>
        <v/>
      </c>
      <c r="V48" s="81">
        <f>V10 * (Inputs!$B$37 / 12) * (1 + Inputs!$B$44)^INT((COLUMNS($B$48:V48)-1) / 12)</f>
        <v/>
      </c>
      <c r="W48" s="81">
        <f>W10 * (Inputs!$B$37 / 12) * (1 + Inputs!$B$44)^INT((COLUMNS($B$48:W48)-1) / 12)</f>
        <v/>
      </c>
      <c r="X48" s="81">
        <f>X10 * (Inputs!$B$37 / 12) * (1 + Inputs!$B$44)^INT((COLUMNS($B$48:X48)-1) / 12)</f>
        <v/>
      </c>
      <c r="Y48" s="81">
        <f>Y10 * (Inputs!$B$37 / 12) * (1 + Inputs!$B$44)^INT((COLUMNS($B$48:Y48)-1) / 12)</f>
        <v/>
      </c>
      <c r="Z48" s="81">
        <f>Z10 * (Inputs!$B$37 / 12) * (1 + Inputs!$B$44)^INT((COLUMNS($B$48:Z48)-1) / 12)</f>
        <v/>
      </c>
      <c r="AA48" s="81">
        <f>AA10 * (Inputs!$B$37 / 12) * (1 + Inputs!$B$44)^INT((COLUMNS($B$48:AA48)-1) / 12)</f>
        <v/>
      </c>
      <c r="AB48" s="81">
        <f>AB10 * (Inputs!$B$37 / 12) * (1 + Inputs!$B$44)^INT((COLUMNS($B$48:AB48)-1) / 12)</f>
        <v/>
      </c>
      <c r="AC48" s="81">
        <f>AC10 * (Inputs!$B$37 / 12) * (1 + Inputs!$B$44)^INT((COLUMNS($B$48:AC48)-1) / 12)</f>
        <v/>
      </c>
      <c r="AD48" s="81">
        <f>AD10 * (Inputs!$B$37 / 12) * (1 + Inputs!$B$44)^INT((COLUMNS($B$48:AD48)-1) / 12)</f>
        <v/>
      </c>
      <c r="AE48" s="81">
        <f>AE10 * (Inputs!$B$37 / 12) * (1 + Inputs!$B$44)^INT((COLUMNS($B$48:AE48)-1) / 12)</f>
        <v/>
      </c>
      <c r="AF48" s="81">
        <f>AF10 * (Inputs!$B$37 / 12) * (1 + Inputs!$B$44)^INT((COLUMNS($B$48:AF48)-1) / 12)</f>
        <v/>
      </c>
      <c r="AG48" s="81">
        <f>AG10 * (Inputs!$B$37 / 12) * (1 + Inputs!$B$44)^INT((COLUMNS($B$48:AG48)-1) / 12)</f>
        <v/>
      </c>
      <c r="AH48" s="81">
        <f>AH10 * (Inputs!$B$37 / 12) * (1 + Inputs!$B$44)^INT((COLUMNS($B$48:AH48)-1) / 12)</f>
        <v/>
      </c>
      <c r="AI48" s="81">
        <f>AI10 * (Inputs!$B$37 / 12) * (1 + Inputs!$B$44)^INT((COLUMNS($B$48:AI48)-1) / 12)</f>
        <v/>
      </c>
      <c r="AJ48" s="81">
        <f>AJ10 * (Inputs!$B$37 / 12) * (1 + Inputs!$B$44)^INT((COLUMNS($B$48:AJ48)-1) / 12)</f>
        <v/>
      </c>
      <c r="AK48" s="81">
        <f>AK10 * (Inputs!$B$37 / 12) * (1 + Inputs!$B$44)^INT((COLUMNS($B$48:AK48)-1) / 12)</f>
        <v/>
      </c>
      <c r="AL48" s="81">
        <f>AL10 * (Inputs!$B$37 / 12) * (1 + Inputs!$B$44)^INT((COLUMNS($B$48:AL48)-1) / 12)</f>
        <v/>
      </c>
      <c r="AM48" s="81">
        <f>AM10 * (Inputs!$B$37 / 12) * (1 + Inputs!$B$44)^INT((COLUMNS($B$48:AM48)-1) / 12)</f>
        <v/>
      </c>
      <c r="AN48" s="81">
        <f>AN10 * (Inputs!$B$37 / 12) * (1 + Inputs!$B$44)^INT((COLUMNS($B$48:AN48)-1) / 12)</f>
        <v/>
      </c>
      <c r="AO48" s="81">
        <f>AO10 * (Inputs!$B$37 / 12) * (1 + Inputs!$B$44)^INT((COLUMNS($B$48:AO48)-1) / 12)</f>
        <v/>
      </c>
      <c r="AP48" s="81">
        <f>AP10 * (Inputs!$B$37 / 12) * (1 + Inputs!$B$44)^INT((COLUMNS($B$48:AP48)-1) / 12)</f>
        <v/>
      </c>
      <c r="AQ48" s="81">
        <f>AQ10 * (Inputs!$B$37 / 12) * (1 + Inputs!$B$44)^INT((COLUMNS($B$48:AQ48)-1) / 12)</f>
        <v/>
      </c>
      <c r="AR48" s="81">
        <f>AR10 * (Inputs!$B$37 / 12) * (1 + Inputs!$B$44)^INT((COLUMNS($B$48:AR48)-1) / 12)</f>
        <v/>
      </c>
      <c r="AS48" s="81">
        <f>AS10 * (Inputs!$B$37 / 12) * (1 + Inputs!$B$44)^INT((COLUMNS($B$48:AS48)-1) / 12)</f>
        <v/>
      </c>
      <c r="AT48" s="81">
        <f>AT10 * (Inputs!$B$37 / 12) * (1 + Inputs!$B$44)^INT((COLUMNS($B$48:AT48)-1) / 12)</f>
        <v/>
      </c>
      <c r="AU48" s="81">
        <f>AU10 * (Inputs!$B$37 / 12) * (1 + Inputs!$B$44)^INT((COLUMNS($B$48:AU48)-1) / 12)</f>
        <v/>
      </c>
      <c r="AV48" s="81">
        <f>AV10 * (Inputs!$B$37 / 12) * (1 + Inputs!$B$44)^INT((COLUMNS($B$48:AV48)-1) / 12)</f>
        <v/>
      </c>
      <c r="AW48" s="81">
        <f>AW10 * (Inputs!$B$37 / 12) * (1 + Inputs!$B$44)^INT((COLUMNS($B$48:AW48)-1) / 12)</f>
        <v/>
      </c>
      <c r="AX48" s="81">
        <f>AX10 * (Inputs!$B$37 / 12) * (1 + Inputs!$B$44)^INT((COLUMNS($B$48:AX48)-1) / 12)</f>
        <v/>
      </c>
      <c r="AY48" s="81">
        <f>AY10 * (Inputs!$B$37 / 12) * (1 + Inputs!$B$44)^INT((COLUMNS($B$48:AY48)-1) / 12)</f>
        <v/>
      </c>
      <c r="AZ48" s="81">
        <f>AZ10 * (Inputs!$B$37 / 12) * (1 + Inputs!$B$44)^INT((COLUMNS($B$48:AZ48)-1) / 12)</f>
        <v/>
      </c>
      <c r="BA48" s="81">
        <f>BA10 * (Inputs!$B$37 / 12) * (1 + Inputs!$B$44)^INT((COLUMNS($B$48:BA48)-1) / 12)</f>
        <v/>
      </c>
    </row>
    <row r="49" ht="14.25" customHeight="1" s="83">
      <c r="A49" s="77" t="inlineStr">
        <is>
          <t>1. Sales Rep Gehalt</t>
        </is>
      </c>
      <c r="B49" s="81">
        <f>B11 * (Inputs!$B$39 / 12) * (1 + Inputs!$B$44)^INT((COLUMNS($B$49:B49)-1) / 12)</f>
        <v/>
      </c>
      <c r="C49" s="81">
        <f>C11 * (Inputs!$B$39 / 12) * (1 + Inputs!$B$44)^INT((COLUMNS($B$49:C49)-1) / 12)</f>
        <v/>
      </c>
      <c r="D49" s="81">
        <f>D11 * (Inputs!$B$39 / 12) * (1 + Inputs!$B$44)^INT((COLUMNS($B$49:D49)-1) / 12)</f>
        <v/>
      </c>
      <c r="E49" s="81">
        <f>E11 * (Inputs!$B$39 / 12) * (1 + Inputs!$B$44)^INT((COLUMNS($B$49:E49)-1) / 12)</f>
        <v/>
      </c>
      <c r="F49" s="81">
        <f>F11 * (Inputs!$B$39 / 12) * (1 + Inputs!$B$44)^INT((COLUMNS($B$49:F49)-1) / 12)</f>
        <v/>
      </c>
      <c r="G49" s="81">
        <f>G11 * (Inputs!$B$39 / 12) * (1 + Inputs!$B$44)^INT((COLUMNS($B$49:G49)-1) / 12)</f>
        <v/>
      </c>
      <c r="H49" s="81">
        <f>H11 * (Inputs!$B$39 / 12) * (1 + Inputs!$B$44)^INT((COLUMNS($B$49:H49)-1) / 12)</f>
        <v/>
      </c>
      <c r="I49" s="81">
        <f>I11 * (Inputs!$B$39 / 12) * (1 + Inputs!$B$44)^INT((COLUMNS($B$49:I49)-1) / 12)</f>
        <v/>
      </c>
      <c r="J49" s="81">
        <f>J11 * (Inputs!$B$39 / 12) * (1 + Inputs!$B$44)^INT((COLUMNS($B$49:J49)-1) / 12)</f>
        <v/>
      </c>
      <c r="K49" s="81">
        <f>K11 * (Inputs!$B$39 / 12) * (1 + Inputs!$B$44)^INT((COLUMNS($B$49:K49)-1) / 12)</f>
        <v/>
      </c>
      <c r="L49" s="81">
        <f>L11 * (Inputs!$B$39 / 12) * (1 + Inputs!$B$44)^INT((COLUMNS($B$49:L49)-1) / 12)</f>
        <v/>
      </c>
      <c r="M49" s="81">
        <f>M11 * (Inputs!$B$39 / 12) * (1 + Inputs!$B$44)^INT((COLUMNS($B$49:M49)-1) / 12)</f>
        <v/>
      </c>
      <c r="N49" s="81">
        <f>N11 * (Inputs!$B$39 / 12) * (1 + Inputs!$B$44)^INT((COLUMNS($B$49:N49)-1) / 12)</f>
        <v/>
      </c>
      <c r="O49" s="81">
        <f>O11 * (Inputs!$B$39 / 12) * (1 + Inputs!$B$44)^INT((COLUMNS($B$49:O49)-1) / 12)</f>
        <v/>
      </c>
      <c r="P49" s="81">
        <f>P11 * (Inputs!$B$39 / 12) * (1 + Inputs!$B$44)^INT((COLUMNS($B$49:P49)-1) / 12)</f>
        <v/>
      </c>
      <c r="Q49" s="81">
        <f>Q11 * (Inputs!$B$39 / 12) * (1 + Inputs!$B$44)^INT((COLUMNS($B$49:Q49)-1) / 12)</f>
        <v/>
      </c>
      <c r="R49" s="81">
        <f>R11 * (Inputs!$B$39 / 12) * (1 + Inputs!$B$44)^INT((COLUMNS($B$49:R49)-1) / 12)</f>
        <v/>
      </c>
      <c r="S49" s="81">
        <f>S11 * (Inputs!$B$39 / 12) * (1 + Inputs!$B$44)^INT((COLUMNS($B$49:S49)-1) / 12)</f>
        <v/>
      </c>
      <c r="T49" s="81">
        <f>T11 * (Inputs!$B$39 / 12) * (1 + Inputs!$B$44)^INT((COLUMNS($B$49:T49)-1) / 12)</f>
        <v/>
      </c>
      <c r="U49" s="81">
        <f>U11 * (Inputs!$B$39 / 12) * (1 + Inputs!$B$44)^INT((COLUMNS($B$49:U49)-1) / 12)</f>
        <v/>
      </c>
      <c r="V49" s="81">
        <f>V11 * (Inputs!$B$39 / 12) * (1 + Inputs!$B$44)^INT((COLUMNS($B$49:V49)-1) / 12)</f>
        <v/>
      </c>
      <c r="W49" s="81">
        <f>W11 * (Inputs!$B$39 / 12) * (1 + Inputs!$B$44)^INT((COLUMNS($B$49:W49)-1) / 12)</f>
        <v/>
      </c>
      <c r="X49" s="81">
        <f>X11 * (Inputs!$B$39 / 12) * (1 + Inputs!$B$44)^INT((COLUMNS($B$49:X49)-1) / 12)</f>
        <v/>
      </c>
      <c r="Y49" s="81">
        <f>Y11 * (Inputs!$B$39 / 12) * (1 + Inputs!$B$44)^INT((COLUMNS($B$49:Y49)-1) / 12)</f>
        <v/>
      </c>
      <c r="Z49" s="81">
        <f>Z11 * (Inputs!$B$39 / 12) * (1 + Inputs!$B$44)^INT((COLUMNS($B$49:Z49)-1) / 12)</f>
        <v/>
      </c>
      <c r="AA49" s="81">
        <f>AA11 * (Inputs!$B$39 / 12) * (1 + Inputs!$B$44)^INT((COLUMNS($B$49:AA49)-1) / 12)</f>
        <v/>
      </c>
      <c r="AB49" s="81">
        <f>AB11 * (Inputs!$B$39 / 12) * (1 + Inputs!$B$44)^INT((COLUMNS($B$49:AB49)-1) / 12)</f>
        <v/>
      </c>
      <c r="AC49" s="81">
        <f>AC11 * (Inputs!$B$39 / 12) * (1 + Inputs!$B$44)^INT((COLUMNS($B$49:AC49)-1) / 12)</f>
        <v/>
      </c>
      <c r="AD49" s="81">
        <f>AD11 * (Inputs!$B$39 / 12) * (1 + Inputs!$B$44)^INT((COLUMNS($B$49:AD49)-1) / 12)</f>
        <v/>
      </c>
      <c r="AE49" s="81">
        <f>AE11 * (Inputs!$B$39 / 12) * (1 + Inputs!$B$44)^INT((COLUMNS($B$49:AE49)-1) / 12)</f>
        <v/>
      </c>
      <c r="AF49" s="81">
        <f>AF11 * (Inputs!$B$39 / 12) * (1 + Inputs!$B$44)^INT((COLUMNS($B$49:AF49)-1) / 12)</f>
        <v/>
      </c>
      <c r="AG49" s="81">
        <f>AG11 * (Inputs!$B$39 / 12) * (1 + Inputs!$B$44)^INT((COLUMNS($B$49:AG49)-1) / 12)</f>
        <v/>
      </c>
      <c r="AH49" s="81">
        <f>AH11 * (Inputs!$B$39 / 12) * (1 + Inputs!$B$44)^INT((COLUMNS($B$49:AH49)-1) / 12)</f>
        <v/>
      </c>
      <c r="AI49" s="81">
        <f>AI11 * (Inputs!$B$39 / 12) * (1 + Inputs!$B$44)^INT((COLUMNS($B$49:AI49)-1) / 12)</f>
        <v/>
      </c>
      <c r="AJ49" s="81">
        <f>AJ11 * (Inputs!$B$39 / 12) * (1 + Inputs!$B$44)^INT((COLUMNS($B$49:AJ49)-1) / 12)</f>
        <v/>
      </c>
      <c r="AK49" s="81">
        <f>AK11 * (Inputs!$B$39 / 12) * (1 + Inputs!$B$44)^INT((COLUMNS($B$49:AK49)-1) / 12)</f>
        <v/>
      </c>
      <c r="AL49" s="81">
        <f>AL11 * (Inputs!$B$39 / 12) * (1 + Inputs!$B$44)^INT((COLUMNS($B$49:AL49)-1) / 12)</f>
        <v/>
      </c>
      <c r="AM49" s="81">
        <f>AM11 * (Inputs!$B$39 / 12) * (1 + Inputs!$B$44)^INT((COLUMNS($B$49:AM49)-1) / 12)</f>
        <v/>
      </c>
      <c r="AN49" s="81">
        <f>AN11 * (Inputs!$B$39 / 12) * (1 + Inputs!$B$44)^INT((COLUMNS($B$49:AN49)-1) / 12)</f>
        <v/>
      </c>
      <c r="AO49" s="81">
        <f>AO11 * (Inputs!$B$39 / 12) * (1 + Inputs!$B$44)^INT((COLUMNS($B$49:AO49)-1) / 12)</f>
        <v/>
      </c>
      <c r="AP49" s="81">
        <f>AP11 * (Inputs!$B$39 / 12) * (1 + Inputs!$B$44)^INT((COLUMNS($B$49:AP49)-1) / 12)</f>
        <v/>
      </c>
      <c r="AQ49" s="81">
        <f>AQ11 * (Inputs!$B$39 / 12) * (1 + Inputs!$B$44)^INT((COLUMNS($B$49:AQ49)-1) / 12)</f>
        <v/>
      </c>
      <c r="AR49" s="81">
        <f>AR11 * (Inputs!$B$39 / 12) * (1 + Inputs!$B$44)^INT((COLUMNS($B$49:AR49)-1) / 12)</f>
        <v/>
      </c>
      <c r="AS49" s="81">
        <f>AS11 * (Inputs!$B$39 / 12) * (1 + Inputs!$B$44)^INT((COLUMNS($B$49:AS49)-1) / 12)</f>
        <v/>
      </c>
      <c r="AT49" s="81">
        <f>AT11 * (Inputs!$B$39 / 12) * (1 + Inputs!$B$44)^INT((COLUMNS($B$49:AT49)-1) / 12)</f>
        <v/>
      </c>
      <c r="AU49" s="81">
        <f>AU11 * (Inputs!$B$39 / 12) * (1 + Inputs!$B$44)^INT((COLUMNS($B$49:AU49)-1) / 12)</f>
        <v/>
      </c>
      <c r="AV49" s="81">
        <f>AV11 * (Inputs!$B$39 / 12) * (1 + Inputs!$B$44)^INT((COLUMNS($B$49:AV49)-1) / 12)</f>
        <v/>
      </c>
      <c r="AW49" s="81">
        <f>AW11 * (Inputs!$B$39 / 12) * (1 + Inputs!$B$44)^INT((COLUMNS($B$49:AW49)-1) / 12)</f>
        <v/>
      </c>
      <c r="AX49" s="81">
        <f>AX11 * (Inputs!$B$39 / 12) * (1 + Inputs!$B$44)^INT((COLUMNS($B$49:AX49)-1) / 12)</f>
        <v/>
      </c>
      <c r="AY49" s="81">
        <f>AY11 * (Inputs!$B$39 / 12) * (1 + Inputs!$B$44)^INT((COLUMNS($B$49:AY49)-1) / 12)</f>
        <v/>
      </c>
      <c r="AZ49" s="81">
        <f>AZ11 * (Inputs!$B$39 / 12) * (1 + Inputs!$B$44)^INT((COLUMNS($B$49:AZ49)-1) / 12)</f>
        <v/>
      </c>
      <c r="BA49" s="81">
        <f>BA11 * (Inputs!$B$39 / 12) * (1 + Inputs!$B$44)^INT((COLUMNS($B$49:BA49)-1) / 12)</f>
        <v/>
      </c>
    </row>
    <row r="50" ht="14.25" customHeight="1" s="83">
      <c r="A50" s="77" t="inlineStr">
        <is>
          <t>2. Sales Rep Gehalt</t>
        </is>
      </c>
      <c r="B50" s="81">
        <f>B12 * (Inputs!$B$39 / 12) * (1 + Inputs!$B$44)^INT((COLUMNS($B$50:B50)-1) / 12)</f>
        <v/>
      </c>
      <c r="C50" s="81">
        <f>C12 * (Inputs!$B$39 / 12) * (1 + Inputs!$B$44)^INT((COLUMNS($B$50:C50)-1) / 12)</f>
        <v/>
      </c>
      <c r="D50" s="81">
        <f>D12 * (Inputs!$B$39 / 12) * (1 + Inputs!$B$44)^INT((COLUMNS($B$50:D50)-1) / 12)</f>
        <v/>
      </c>
      <c r="E50" s="81">
        <f>E12 * (Inputs!$B$39 / 12) * (1 + Inputs!$B$44)^INT((COLUMNS($B$50:E50)-1) / 12)</f>
        <v/>
      </c>
      <c r="F50" s="81">
        <f>F12 * (Inputs!$B$39 / 12) * (1 + Inputs!$B$44)^INT((COLUMNS($B$50:F50)-1) / 12)</f>
        <v/>
      </c>
      <c r="G50" s="81">
        <f>G12 * (Inputs!$B$39 / 12) * (1 + Inputs!$B$44)^INT((COLUMNS($B$50:G50)-1) / 12)</f>
        <v/>
      </c>
      <c r="H50" s="81">
        <f>H12 * (Inputs!$B$39 / 12) * (1 + Inputs!$B$44)^INT((COLUMNS($B$50:H50)-1) / 12)</f>
        <v/>
      </c>
      <c r="I50" s="81">
        <f>I12 * (Inputs!$B$39 / 12) * (1 + Inputs!$B$44)^INT((COLUMNS($B$50:I50)-1) / 12)</f>
        <v/>
      </c>
      <c r="J50" s="81">
        <f>J12 * (Inputs!$B$39 / 12) * (1 + Inputs!$B$44)^INT((COLUMNS($B$50:J50)-1) / 12)</f>
        <v/>
      </c>
      <c r="K50" s="81">
        <f>K12 * (Inputs!$B$39 / 12) * (1 + Inputs!$B$44)^INT((COLUMNS($B$50:K50)-1) / 12)</f>
        <v/>
      </c>
      <c r="L50" s="81">
        <f>L12 * (Inputs!$B$39 / 12) * (1 + Inputs!$B$44)^INT((COLUMNS($B$50:L50)-1) / 12)</f>
        <v/>
      </c>
      <c r="M50" s="81">
        <f>M12 * (Inputs!$B$39 / 12) * (1 + Inputs!$B$44)^INT((COLUMNS($B$50:M50)-1) / 12)</f>
        <v/>
      </c>
      <c r="N50" s="81">
        <f>N12 * (Inputs!$B$39 / 12) * (1 + Inputs!$B$44)^INT((COLUMNS($B$50:N50)-1) / 12)</f>
        <v/>
      </c>
      <c r="O50" s="81">
        <f>O12 * (Inputs!$B$39 / 12) * (1 + Inputs!$B$44)^INT((COLUMNS($B$50:O50)-1) / 12)</f>
        <v/>
      </c>
      <c r="P50" s="81">
        <f>P12 * (Inputs!$B$39 / 12) * (1 + Inputs!$B$44)^INT((COLUMNS($B$50:P50)-1) / 12)</f>
        <v/>
      </c>
      <c r="Q50" s="81">
        <f>Q12 * (Inputs!$B$39 / 12) * (1 + Inputs!$B$44)^INT((COLUMNS($B$50:Q50)-1) / 12)</f>
        <v/>
      </c>
      <c r="R50" s="81">
        <f>R12 * (Inputs!$B$39 / 12) * (1 + Inputs!$B$44)^INT((COLUMNS($B$50:R50)-1) / 12)</f>
        <v/>
      </c>
      <c r="S50" s="81">
        <f>S12 * (Inputs!$B$39 / 12) * (1 + Inputs!$B$44)^INT((COLUMNS($B$50:S50)-1) / 12)</f>
        <v/>
      </c>
      <c r="T50" s="81">
        <f>T12 * (Inputs!$B$39 / 12) * (1 + Inputs!$B$44)^INT((COLUMNS($B$50:T50)-1) / 12)</f>
        <v/>
      </c>
      <c r="U50" s="81">
        <f>U12 * (Inputs!$B$39 / 12) * (1 + Inputs!$B$44)^INT((COLUMNS($B$50:U50)-1) / 12)</f>
        <v/>
      </c>
      <c r="V50" s="81">
        <f>V12 * (Inputs!$B$39 / 12) * (1 + Inputs!$B$44)^INT((COLUMNS($B$50:V50)-1) / 12)</f>
        <v/>
      </c>
      <c r="W50" s="81">
        <f>W12 * (Inputs!$B$39 / 12) * (1 + Inputs!$B$44)^INT((COLUMNS($B$50:W50)-1) / 12)</f>
        <v/>
      </c>
      <c r="X50" s="81">
        <f>X12 * (Inputs!$B$39 / 12) * (1 + Inputs!$B$44)^INT((COLUMNS($B$50:X50)-1) / 12)</f>
        <v/>
      </c>
      <c r="Y50" s="81">
        <f>Y12 * (Inputs!$B$39 / 12) * (1 + Inputs!$B$44)^INT((COLUMNS($B$50:Y50)-1) / 12)</f>
        <v/>
      </c>
      <c r="Z50" s="81">
        <f>Z12 * (Inputs!$B$39 / 12) * (1 + Inputs!$B$44)^INT((COLUMNS($B$50:Z50)-1) / 12)</f>
        <v/>
      </c>
      <c r="AA50" s="81">
        <f>AA12 * (Inputs!$B$39 / 12) * (1 + Inputs!$B$44)^INT((COLUMNS($B$50:AA50)-1) / 12)</f>
        <v/>
      </c>
      <c r="AB50" s="81">
        <f>AB12 * (Inputs!$B$39 / 12) * (1 + Inputs!$B$44)^INT((COLUMNS($B$50:AB50)-1) / 12)</f>
        <v/>
      </c>
      <c r="AC50" s="81">
        <f>AC12 * (Inputs!$B$39 / 12) * (1 + Inputs!$B$44)^INT((COLUMNS($B$50:AC50)-1) / 12)</f>
        <v/>
      </c>
      <c r="AD50" s="81">
        <f>AD12 * (Inputs!$B$39 / 12) * (1 + Inputs!$B$44)^INT((COLUMNS($B$50:AD50)-1) / 12)</f>
        <v/>
      </c>
      <c r="AE50" s="81">
        <f>AE12 * (Inputs!$B$39 / 12) * (1 + Inputs!$B$44)^INT((COLUMNS($B$50:AE50)-1) / 12)</f>
        <v/>
      </c>
      <c r="AF50" s="81">
        <f>AF12 * (Inputs!$B$39 / 12) * (1 + Inputs!$B$44)^INT((COLUMNS($B$50:AF50)-1) / 12)</f>
        <v/>
      </c>
      <c r="AG50" s="81">
        <f>AG12 * (Inputs!$B$39 / 12) * (1 + Inputs!$B$44)^INT((COLUMNS($B$50:AG50)-1) / 12)</f>
        <v/>
      </c>
      <c r="AH50" s="81">
        <f>AH12 * (Inputs!$B$39 / 12) * (1 + Inputs!$B$44)^INT((COLUMNS($B$50:AH50)-1) / 12)</f>
        <v/>
      </c>
      <c r="AI50" s="81">
        <f>AI12 * (Inputs!$B$39 / 12) * (1 + Inputs!$B$44)^INT((COLUMNS($B$50:AI50)-1) / 12)</f>
        <v/>
      </c>
      <c r="AJ50" s="81">
        <f>AJ12 * (Inputs!$B$39 / 12) * (1 + Inputs!$B$44)^INT((COLUMNS($B$50:AJ50)-1) / 12)</f>
        <v/>
      </c>
      <c r="AK50" s="81">
        <f>AK12 * (Inputs!$B$39 / 12) * (1 + Inputs!$B$44)^INT((COLUMNS($B$50:AK50)-1) / 12)</f>
        <v/>
      </c>
      <c r="AL50" s="81">
        <f>AL12 * (Inputs!$B$39 / 12) * (1 + Inputs!$B$44)^INT((COLUMNS($B$50:AL50)-1) / 12)</f>
        <v/>
      </c>
      <c r="AM50" s="81">
        <f>AM12 * (Inputs!$B$39 / 12) * (1 + Inputs!$B$44)^INT((COLUMNS($B$50:AM50)-1) / 12)</f>
        <v/>
      </c>
      <c r="AN50" s="81">
        <f>AN12 * (Inputs!$B$39 / 12) * (1 + Inputs!$B$44)^INT((COLUMNS($B$50:AN50)-1) / 12)</f>
        <v/>
      </c>
      <c r="AO50" s="81">
        <f>AO12 * (Inputs!$B$39 / 12) * (1 + Inputs!$B$44)^INT((COLUMNS($B$50:AO50)-1) / 12)</f>
        <v/>
      </c>
      <c r="AP50" s="81">
        <f>AP12 * (Inputs!$B$39 / 12) * (1 + Inputs!$B$44)^INT((COLUMNS($B$50:AP50)-1) / 12)</f>
        <v/>
      </c>
      <c r="AQ50" s="81">
        <f>AQ12 * (Inputs!$B$39 / 12) * (1 + Inputs!$B$44)^INT((COLUMNS($B$50:AQ50)-1) / 12)</f>
        <v/>
      </c>
      <c r="AR50" s="81">
        <f>AR12 * (Inputs!$B$39 / 12) * (1 + Inputs!$B$44)^INT((COLUMNS($B$50:AR50)-1) / 12)</f>
        <v/>
      </c>
      <c r="AS50" s="81">
        <f>AS12 * (Inputs!$B$39 / 12) * (1 + Inputs!$B$44)^INT((COLUMNS($B$50:AS50)-1) / 12)</f>
        <v/>
      </c>
      <c r="AT50" s="81">
        <f>AT12 * (Inputs!$B$39 / 12) * (1 + Inputs!$B$44)^INT((COLUMNS($B$50:AT50)-1) / 12)</f>
        <v/>
      </c>
      <c r="AU50" s="81">
        <f>AU12 * (Inputs!$B$39 / 12) * (1 + Inputs!$B$44)^INT((COLUMNS($B$50:AU50)-1) / 12)</f>
        <v/>
      </c>
      <c r="AV50" s="81">
        <f>AV12 * (Inputs!$B$39 / 12) * (1 + Inputs!$B$44)^INT((COLUMNS($B$50:AV50)-1) / 12)</f>
        <v/>
      </c>
      <c r="AW50" s="81">
        <f>AW12 * (Inputs!$B$39 / 12) * (1 + Inputs!$B$44)^INT((COLUMNS($B$50:AW50)-1) / 12)</f>
        <v/>
      </c>
      <c r="AX50" s="81">
        <f>AX12 * (Inputs!$B$39 / 12) * (1 + Inputs!$B$44)^INT((COLUMNS($B$50:AX50)-1) / 12)</f>
        <v/>
      </c>
      <c r="AY50" s="81">
        <f>AY12 * (Inputs!$B$39 / 12) * (1 + Inputs!$B$44)^INT((COLUMNS($B$50:AY50)-1) / 12)</f>
        <v/>
      </c>
      <c r="AZ50" s="81">
        <f>AZ12 * (Inputs!$B$39 / 12) * (1 + Inputs!$B$44)^INT((COLUMNS($B$50:AZ50)-1) / 12)</f>
        <v/>
      </c>
      <c r="BA50" s="81">
        <f>BA12 * (Inputs!$B$39 / 12) * (1 + Inputs!$B$44)^INT((COLUMNS($B$50:BA50)-1) / 12)</f>
        <v/>
      </c>
    </row>
    <row r="51" ht="14.25" customHeight="1" s="83">
      <c r="A51" s="77" t="inlineStr">
        <is>
          <t>1. Customer Success Gehalt</t>
        </is>
      </c>
      <c r="B51" s="81">
        <f>B13 * (Inputs!$B$41 / 12) * (1 + Inputs!$B$44)^INT((COLUMNS($B$51:B51)-1) / 12)</f>
        <v/>
      </c>
      <c r="C51" s="81">
        <f>C13 * (Inputs!$B$41 / 12) * (1 + Inputs!$B$44)^INT((COLUMNS($B$51:C51)-1) / 12)</f>
        <v/>
      </c>
      <c r="D51" s="81">
        <f>D13 * (Inputs!$B$41 / 12) * (1 + Inputs!$B$44)^INT((COLUMNS($B$51:D51)-1) / 12)</f>
        <v/>
      </c>
      <c r="E51" s="81">
        <f>E13 * (Inputs!$B$41 / 12) * (1 + Inputs!$B$44)^INT((COLUMNS($B$51:E51)-1) / 12)</f>
        <v/>
      </c>
      <c r="F51" s="81">
        <f>F13 * (Inputs!$B$41 / 12) * (1 + Inputs!$B$44)^INT((COLUMNS($B$51:F51)-1) / 12)</f>
        <v/>
      </c>
      <c r="G51" s="81">
        <f>G13 * (Inputs!$B$41 / 12) * (1 + Inputs!$B$44)^INT((COLUMNS($B$51:G51)-1) / 12)</f>
        <v/>
      </c>
      <c r="H51" s="81">
        <f>H13 * (Inputs!$B$41 / 12) * (1 + Inputs!$B$44)^INT((COLUMNS($B$51:H51)-1) / 12)</f>
        <v/>
      </c>
      <c r="I51" s="81">
        <f>I13 * (Inputs!$B$41 / 12) * (1 + Inputs!$B$44)^INT((COLUMNS($B$51:I51)-1) / 12)</f>
        <v/>
      </c>
      <c r="J51" s="81">
        <f>J13 * (Inputs!$B$41 / 12) * (1 + Inputs!$B$44)^INT((COLUMNS($B$51:J51)-1) / 12)</f>
        <v/>
      </c>
      <c r="K51" s="81">
        <f>K13 * (Inputs!$B$41 / 12) * (1 + Inputs!$B$44)^INT((COLUMNS($B$51:K51)-1) / 12)</f>
        <v/>
      </c>
      <c r="L51" s="81">
        <f>L13 * (Inputs!$B$41 / 12) * (1 + Inputs!$B$44)^INT((COLUMNS($B$51:L51)-1) / 12)</f>
        <v/>
      </c>
      <c r="M51" s="81">
        <f>M13 * (Inputs!$B$41 / 12) * (1 + Inputs!$B$44)^INT((COLUMNS($B$51:M51)-1) / 12)</f>
        <v/>
      </c>
      <c r="N51" s="81">
        <f>N13 * (Inputs!$B$41 / 12) * (1 + Inputs!$B$44)^INT((COLUMNS($B$51:N51)-1) / 12)</f>
        <v/>
      </c>
      <c r="O51" s="81">
        <f>O13 * (Inputs!$B$41 / 12) * (1 + Inputs!$B$44)^INT((COLUMNS($B$51:O51)-1) / 12)</f>
        <v/>
      </c>
      <c r="P51" s="81">
        <f>P13 * (Inputs!$B$41 / 12) * (1 + Inputs!$B$44)^INT((COLUMNS($B$51:P51)-1) / 12)</f>
        <v/>
      </c>
      <c r="Q51" s="81">
        <f>Q13 * (Inputs!$B$41 / 12) * (1 + Inputs!$B$44)^INT((COLUMNS($B$51:Q51)-1) / 12)</f>
        <v/>
      </c>
      <c r="R51" s="81">
        <f>R13 * (Inputs!$B$41 / 12) * (1 + Inputs!$B$44)^INT((COLUMNS($B$51:R51)-1) / 12)</f>
        <v/>
      </c>
      <c r="S51" s="81">
        <f>S13 * (Inputs!$B$41 / 12) * (1 + Inputs!$B$44)^INT((COLUMNS($B$51:S51)-1) / 12)</f>
        <v/>
      </c>
      <c r="T51" s="81">
        <f>T13 * (Inputs!$B$41 / 12) * (1 + Inputs!$B$44)^INT((COLUMNS($B$51:T51)-1) / 12)</f>
        <v/>
      </c>
      <c r="U51" s="81">
        <f>U13 * (Inputs!$B$41 / 12) * (1 + Inputs!$B$44)^INT((COLUMNS($B$51:U51)-1) / 12)</f>
        <v/>
      </c>
      <c r="V51" s="81">
        <f>V13 * (Inputs!$B$41 / 12) * (1 + Inputs!$B$44)^INT((COLUMNS($B$51:V51)-1) / 12)</f>
        <v/>
      </c>
      <c r="W51" s="81">
        <f>W13 * (Inputs!$B$41 / 12) * (1 + Inputs!$B$44)^INT((COLUMNS($B$51:W51)-1) / 12)</f>
        <v/>
      </c>
      <c r="X51" s="81">
        <f>X13 * (Inputs!$B$41 / 12) * (1 + Inputs!$B$44)^INT((COLUMNS($B$51:X51)-1) / 12)</f>
        <v/>
      </c>
      <c r="Y51" s="81">
        <f>Y13 * (Inputs!$B$41 / 12) * (1 + Inputs!$B$44)^INT((COLUMNS($B$51:Y51)-1) / 12)</f>
        <v/>
      </c>
      <c r="Z51" s="81">
        <f>Z13 * (Inputs!$B$41 / 12) * (1 + Inputs!$B$44)^INT((COLUMNS($B$51:Z51)-1) / 12)</f>
        <v/>
      </c>
      <c r="AA51" s="81">
        <f>AA13 * (Inputs!$B$41 / 12) * (1 + Inputs!$B$44)^INT((COLUMNS($B$51:AA51)-1) / 12)</f>
        <v/>
      </c>
      <c r="AB51" s="81">
        <f>AB13 * (Inputs!$B$41 / 12) * (1 + Inputs!$B$44)^INT((COLUMNS($B$51:AB51)-1) / 12)</f>
        <v/>
      </c>
      <c r="AC51" s="81">
        <f>AC13 * (Inputs!$B$41 / 12) * (1 + Inputs!$B$44)^INT((COLUMNS($B$51:AC51)-1) / 12)</f>
        <v/>
      </c>
      <c r="AD51" s="81">
        <f>AD13 * (Inputs!$B$41 / 12) * (1 + Inputs!$B$44)^INT((COLUMNS($B$51:AD51)-1) / 12)</f>
        <v/>
      </c>
      <c r="AE51" s="81">
        <f>AE13 * (Inputs!$B$41 / 12) * (1 + Inputs!$B$44)^INT((COLUMNS($B$51:AE51)-1) / 12)</f>
        <v/>
      </c>
      <c r="AF51" s="81">
        <f>AF13 * (Inputs!$B$41 / 12) * (1 + Inputs!$B$44)^INT((COLUMNS($B$51:AF51)-1) / 12)</f>
        <v/>
      </c>
      <c r="AG51" s="81">
        <f>AG13 * (Inputs!$B$41 / 12) * (1 + Inputs!$B$44)^INT((COLUMNS($B$51:AG51)-1) / 12)</f>
        <v/>
      </c>
      <c r="AH51" s="81">
        <f>AH13 * (Inputs!$B$41 / 12) * (1 + Inputs!$B$44)^INT((COLUMNS($B$51:AH51)-1) / 12)</f>
        <v/>
      </c>
      <c r="AI51" s="81">
        <f>AI13 * (Inputs!$B$41 / 12) * (1 + Inputs!$B$44)^INT((COLUMNS($B$51:AI51)-1) / 12)</f>
        <v/>
      </c>
      <c r="AJ51" s="81">
        <f>AJ13 * (Inputs!$B$41 / 12) * (1 + Inputs!$B$44)^INT((COLUMNS($B$51:AJ51)-1) / 12)</f>
        <v/>
      </c>
      <c r="AK51" s="81">
        <f>AK13 * (Inputs!$B$41 / 12) * (1 + Inputs!$B$44)^INT((COLUMNS($B$51:AK51)-1) / 12)</f>
        <v/>
      </c>
      <c r="AL51" s="81">
        <f>AL13 * (Inputs!$B$41 / 12) * (1 + Inputs!$B$44)^INT((COLUMNS($B$51:AL51)-1) / 12)</f>
        <v/>
      </c>
      <c r="AM51" s="81">
        <f>AM13 * (Inputs!$B$41 / 12) * (1 + Inputs!$B$44)^INT((COLUMNS($B$51:AM51)-1) / 12)</f>
        <v/>
      </c>
      <c r="AN51" s="81">
        <f>AN13 * (Inputs!$B$41 / 12) * (1 + Inputs!$B$44)^INT((COLUMNS($B$51:AN51)-1) / 12)</f>
        <v/>
      </c>
      <c r="AO51" s="81">
        <f>AO13 * (Inputs!$B$41 / 12) * (1 + Inputs!$B$44)^INT((COLUMNS($B$51:AO51)-1) / 12)</f>
        <v/>
      </c>
      <c r="AP51" s="81">
        <f>AP13 * (Inputs!$B$41 / 12) * (1 + Inputs!$B$44)^INT((COLUMNS($B$51:AP51)-1) / 12)</f>
        <v/>
      </c>
      <c r="AQ51" s="81">
        <f>AQ13 * (Inputs!$B$41 / 12) * (1 + Inputs!$B$44)^INT((COLUMNS($B$51:AQ51)-1) / 12)</f>
        <v/>
      </c>
      <c r="AR51" s="81">
        <f>AR13 * (Inputs!$B$41 / 12) * (1 + Inputs!$B$44)^INT((COLUMNS($B$51:AR51)-1) / 12)</f>
        <v/>
      </c>
      <c r="AS51" s="81">
        <f>AS13 * (Inputs!$B$41 / 12) * (1 + Inputs!$B$44)^INT((COLUMNS($B$51:AS51)-1) / 12)</f>
        <v/>
      </c>
      <c r="AT51" s="81">
        <f>AT13 * (Inputs!$B$41 / 12) * (1 + Inputs!$B$44)^INT((COLUMNS($B$51:AT51)-1) / 12)</f>
        <v/>
      </c>
      <c r="AU51" s="81">
        <f>AU13 * (Inputs!$B$41 / 12) * (1 + Inputs!$B$44)^INT((COLUMNS($B$51:AU51)-1) / 12)</f>
        <v/>
      </c>
      <c r="AV51" s="81">
        <f>AV13 * (Inputs!$B$41 / 12) * (1 + Inputs!$B$44)^INT((COLUMNS($B$51:AV51)-1) / 12)</f>
        <v/>
      </c>
      <c r="AW51" s="81">
        <f>AW13 * (Inputs!$B$41 / 12) * (1 + Inputs!$B$44)^INT((COLUMNS($B$51:AW51)-1) / 12)</f>
        <v/>
      </c>
      <c r="AX51" s="81">
        <f>AX13 * (Inputs!$B$41 / 12) * (1 + Inputs!$B$44)^INT((COLUMNS($B$51:AX51)-1) / 12)</f>
        <v/>
      </c>
      <c r="AY51" s="81">
        <f>AY13 * (Inputs!$B$41 / 12) * (1 + Inputs!$B$44)^INT((COLUMNS($B$51:AY51)-1) / 12)</f>
        <v/>
      </c>
      <c r="AZ51" s="81">
        <f>AZ13 * (Inputs!$B$41 / 12) * (1 + Inputs!$B$44)^INT((COLUMNS($B$51:AZ51)-1) / 12)</f>
        <v/>
      </c>
      <c r="BA51" s="81">
        <f>BA13 * (Inputs!$B$41 / 12) * (1 + Inputs!$B$44)^INT((COLUMNS($B$51:BA51)-1) / 12)</f>
        <v/>
      </c>
    </row>
    <row r="52" ht="14.25" customHeight="1" s="83">
      <c r="A52" s="77" t="inlineStr">
        <is>
          <t>1. Marketing Manager Gehalt</t>
        </is>
      </c>
      <c r="B52" s="81">
        <f>B14 * (Inputs!$B$41 / 12) * (1 + Inputs!$B$44)^INT((COLUMNS($B$52:B52)-1) / 12)</f>
        <v/>
      </c>
      <c r="C52" s="81">
        <f>C14 * (Inputs!$B$41 / 12) * (1 + Inputs!$B$44)^INT((COLUMNS($B$51:C52)-1) / 12)</f>
        <v/>
      </c>
      <c r="D52" s="81">
        <f>D14 * (Inputs!$B$41 / 12) * (1 + Inputs!$B$44)^INT((COLUMNS($B$51:D52)-1) / 12)</f>
        <v/>
      </c>
      <c r="E52" s="81">
        <f>E14 * (Inputs!$B$41 / 12) * (1 + Inputs!$B$44)^INT((COLUMNS($B$51:E52)-1) / 12)</f>
        <v/>
      </c>
      <c r="F52" s="81">
        <f>F14 * (Inputs!$B$41 / 12) * (1 + Inputs!$B$44)^INT((COLUMNS($B$51:F52)-1) / 12)</f>
        <v/>
      </c>
      <c r="G52" s="81">
        <f>G14 * (Inputs!$B$41 / 12) * (1 + Inputs!$B$44)^INT((COLUMNS($B$51:G52)-1) / 12)</f>
        <v/>
      </c>
      <c r="H52" s="81">
        <f>H14 * (Inputs!$B$41 / 12) * (1 + Inputs!$B$44)^INT((COLUMNS($B$51:H52)-1) / 12)</f>
        <v/>
      </c>
      <c r="I52" s="81">
        <f>I14 * (Inputs!$B$41 / 12) * (1 + Inputs!$B$44)^INT((COLUMNS($B$51:I52)-1) / 12)</f>
        <v/>
      </c>
      <c r="J52" s="81">
        <f>J14 * (Inputs!$B$41 / 12) * (1 + Inputs!$B$44)^INT((COLUMNS($B$51:J52)-1) / 12)</f>
        <v/>
      </c>
      <c r="K52" s="81">
        <f>K14 * (Inputs!$B$41 / 12) * (1 + Inputs!$B$44)^INT((COLUMNS($B$51:K52)-1) / 12)</f>
        <v/>
      </c>
      <c r="L52" s="81">
        <f>L14 * (Inputs!$B$41 / 12) * (1 + Inputs!$B$44)^INT((COLUMNS($B$51:L52)-1) / 12)</f>
        <v/>
      </c>
      <c r="M52" s="81">
        <f>M14 * (Inputs!$B$41 / 12) * (1 + Inputs!$B$44)^INT((COLUMNS($B$51:M52)-1) / 12)</f>
        <v/>
      </c>
      <c r="N52" s="81">
        <f>N14 * (Inputs!$B$41 / 12) * (1 + Inputs!$B$44)^INT((COLUMNS($B$51:N52)-1) / 12)</f>
        <v/>
      </c>
      <c r="O52" s="81">
        <f>O14 * (Inputs!$B$41 / 12) * (1 + Inputs!$B$44)^INT((COLUMNS($B$51:O52)-1) / 12)</f>
        <v/>
      </c>
      <c r="P52" s="81">
        <f>P14 * (Inputs!$B$41 / 12) * (1 + Inputs!$B$44)^INT((COLUMNS($B$51:P52)-1) / 12)</f>
        <v/>
      </c>
      <c r="Q52" s="81">
        <f>Q14 * (Inputs!$B$41 / 12) * (1 + Inputs!$B$44)^INT((COLUMNS($B$51:Q52)-1) / 12)</f>
        <v/>
      </c>
      <c r="R52" s="81">
        <f>R14 * (Inputs!$B$41 / 12) * (1 + Inputs!$B$44)^INT((COLUMNS($B$51:R52)-1) / 12)</f>
        <v/>
      </c>
      <c r="S52" s="81">
        <f>S14 * (Inputs!$B$41 / 12) * (1 + Inputs!$B$44)^INT((COLUMNS($B$51:S52)-1) / 12)</f>
        <v/>
      </c>
      <c r="T52" s="81">
        <f>T14 * (Inputs!$B$41 / 12) * (1 + Inputs!$B$44)^INT((COLUMNS($B$51:T52)-1) / 12)</f>
        <v/>
      </c>
      <c r="U52" s="81">
        <f>U14 * (Inputs!$B$41 / 12) * (1 + Inputs!$B$44)^INT((COLUMNS($B$51:U52)-1) / 12)</f>
        <v/>
      </c>
      <c r="V52" s="81">
        <f>V14 * (Inputs!$B$41 / 12) * (1 + Inputs!$B$44)^INT((COLUMNS($B$51:V52)-1) / 12)</f>
        <v/>
      </c>
      <c r="W52" s="81">
        <f>W14 * (Inputs!$B$41 / 12) * (1 + Inputs!$B$44)^INT((COLUMNS($B$51:W52)-1) / 12)</f>
        <v/>
      </c>
      <c r="X52" s="81">
        <f>X14 * (Inputs!$B$41 / 12) * (1 + Inputs!$B$44)^INT((COLUMNS($B$51:X52)-1) / 12)</f>
        <v/>
      </c>
      <c r="Y52" s="81">
        <f>Y14 * (Inputs!$B$41 / 12) * (1 + Inputs!$B$44)^INT((COLUMNS($B$51:Y52)-1) / 12)</f>
        <v/>
      </c>
      <c r="Z52" s="81">
        <f>Z14 * (Inputs!$B$41 / 12) * (1 + Inputs!$B$44)^INT((COLUMNS($B$51:Z52)-1) / 12)</f>
        <v/>
      </c>
      <c r="AA52" s="81">
        <f>AA14 * (Inputs!$B$41 / 12) * (1 + Inputs!$B$44)^INT((COLUMNS($B$51:AA52)-1) / 12)</f>
        <v/>
      </c>
      <c r="AB52" s="81">
        <f>AB14 * (Inputs!$B$41 / 12) * (1 + Inputs!$B$44)^INT((COLUMNS($B$51:AB52)-1) / 12)</f>
        <v/>
      </c>
      <c r="AC52" s="81">
        <f>AC14 * (Inputs!$B$41 / 12) * (1 + Inputs!$B$44)^INT((COLUMNS($B$51:AC52)-1) / 12)</f>
        <v/>
      </c>
      <c r="AD52" s="81">
        <f>AD14 * (Inputs!$B$41 / 12) * (1 + Inputs!$B$44)^INT((COLUMNS($B$51:AD52)-1) / 12)</f>
        <v/>
      </c>
      <c r="AE52" s="81">
        <f>AE14 * (Inputs!$B$41 / 12) * (1 + Inputs!$B$44)^INT((COLUMNS($B$51:AE52)-1) / 12)</f>
        <v/>
      </c>
      <c r="AF52" s="81">
        <f>AF14 * (Inputs!$B$41 / 12) * (1 + Inputs!$B$44)^INT((COLUMNS($B$51:AF52)-1) / 12)</f>
        <v/>
      </c>
      <c r="AG52" s="81">
        <f>AG14 * (Inputs!$B$41 / 12) * (1 + Inputs!$B$44)^INT((COLUMNS($B$51:AG52)-1) / 12)</f>
        <v/>
      </c>
      <c r="AH52" s="81">
        <f>AH14 * (Inputs!$B$41 / 12) * (1 + Inputs!$B$44)^INT((COLUMNS($B$51:AH52)-1) / 12)</f>
        <v/>
      </c>
      <c r="AI52" s="81">
        <f>AI14 * (Inputs!$B$41 / 12) * (1 + Inputs!$B$44)^INT((COLUMNS($B$51:AI52)-1) / 12)</f>
        <v/>
      </c>
      <c r="AJ52" s="81">
        <f>AJ14 * (Inputs!$B$41 / 12) * (1 + Inputs!$B$44)^INT((COLUMNS($B$51:AJ52)-1) / 12)</f>
        <v/>
      </c>
      <c r="AK52" s="81">
        <f>AK14 * (Inputs!$B$41 / 12) * (1 + Inputs!$B$44)^INT((COLUMNS($B$51:AK52)-1) / 12)</f>
        <v/>
      </c>
      <c r="AL52" s="81">
        <f>AL14 * (Inputs!$B$41 / 12) * (1 + Inputs!$B$44)^INT((COLUMNS($B$51:AL52)-1) / 12)</f>
        <v/>
      </c>
      <c r="AM52" s="81">
        <f>AM14 * (Inputs!$B$41 / 12) * (1 + Inputs!$B$44)^INT((COLUMNS($B$51:AM52)-1) / 12)</f>
        <v/>
      </c>
      <c r="AN52" s="81">
        <f>AN14 * (Inputs!$B$41 / 12) * (1 + Inputs!$B$44)^INT((COLUMNS($B$51:AN52)-1) / 12)</f>
        <v/>
      </c>
      <c r="AO52" s="81">
        <f>AO14 * (Inputs!$B$41 / 12) * (1 + Inputs!$B$44)^INT((COLUMNS($B$51:AO52)-1) / 12)</f>
        <v/>
      </c>
      <c r="AP52" s="81">
        <f>AP14 * (Inputs!$B$41 / 12) * (1 + Inputs!$B$44)^INT((COLUMNS($B$51:AP52)-1) / 12)</f>
        <v/>
      </c>
      <c r="AQ52" s="81">
        <f>AQ14 * (Inputs!$B$41 / 12) * (1 + Inputs!$B$44)^INT((COLUMNS($B$51:AQ52)-1) / 12)</f>
        <v/>
      </c>
      <c r="AR52" s="81">
        <f>AR14 * (Inputs!$B$41 / 12) * (1 + Inputs!$B$44)^INT((COLUMNS($B$51:AR52)-1) / 12)</f>
        <v/>
      </c>
      <c r="AS52" s="81">
        <f>AS14 * (Inputs!$B$41 / 12) * (1 + Inputs!$B$44)^INT((COLUMNS($B$51:AS52)-1) / 12)</f>
        <v/>
      </c>
      <c r="AT52" s="81">
        <f>AT14 * (Inputs!$B$41 / 12) * (1 + Inputs!$B$44)^INT((COLUMNS($B$51:AT52)-1) / 12)</f>
        <v/>
      </c>
      <c r="AU52" s="81">
        <f>AU14 * (Inputs!$B$41 / 12) * (1 + Inputs!$B$44)^INT((COLUMNS($B$51:AU52)-1) / 12)</f>
        <v/>
      </c>
      <c r="AV52" s="81">
        <f>AV14 * (Inputs!$B$41 / 12) * (1 + Inputs!$B$44)^INT((COLUMNS($B$51:AV52)-1) / 12)</f>
        <v/>
      </c>
      <c r="AW52" s="81">
        <f>AW14 * (Inputs!$B$41 / 12) * (1 + Inputs!$B$44)^INT((COLUMNS($B$51:AW52)-1) / 12)</f>
        <v/>
      </c>
      <c r="AX52" s="81">
        <f>AX14 * (Inputs!$B$41 / 12) * (1 + Inputs!$B$44)^INT((COLUMNS($B$51:AX52)-1) / 12)</f>
        <v/>
      </c>
      <c r="AY52" s="81">
        <f>AY14 * (Inputs!$B$41 / 12) * (1 + Inputs!$B$44)^INT((COLUMNS($B$51:AY52)-1) / 12)</f>
        <v/>
      </c>
      <c r="AZ52" s="81">
        <f>AZ14 * (Inputs!$B$41 / 12) * (1 + Inputs!$B$44)^INT((COLUMNS($B$51:AZ52)-1) / 12)</f>
        <v/>
      </c>
      <c r="BA52" s="81">
        <f>BA14 * (Inputs!$B$41 / 12) * (1 + Inputs!$B$44)^INT((COLUMNS($B$51:BA52)-1) / 12)</f>
        <v/>
      </c>
    </row>
    <row r="53" ht="14.25" customHeight="1" s="83">
      <c r="A53" s="77" t="inlineStr">
        <is>
          <t>1. Product Manager Gehalt</t>
        </is>
      </c>
      <c r="B53" s="81">
        <f>B15 * (Inputs!$B$38 / 12) * (1 + Inputs!$B$44)^INT((COLUMNS($B$53:B53)-1) / 12)</f>
        <v/>
      </c>
      <c r="C53" s="81">
        <f>C15 * (Inputs!$B$38 / 12) * (1 + Inputs!$B$44)^INT((COLUMNS($B$53:C53)-1) / 12)</f>
        <v/>
      </c>
      <c r="D53" s="81">
        <f>D15 * (Inputs!$B$38 / 12) * (1 + Inputs!$B$44)^INT((COLUMNS($B$53:D53)-1) / 12)</f>
        <v/>
      </c>
      <c r="E53" s="81">
        <f>E15 * (Inputs!$B$38 / 12) * (1 + Inputs!$B$44)^INT((COLUMNS($B$53:E53)-1) / 12)</f>
        <v/>
      </c>
      <c r="F53" s="81">
        <f>F15 * (Inputs!$B$38 / 12) * (1 + Inputs!$B$44)^INT((COLUMNS($B$53:F53)-1) / 12)</f>
        <v/>
      </c>
      <c r="G53" s="81">
        <f>G15 * (Inputs!$B$38 / 12) * (1 + Inputs!$B$44)^INT((COLUMNS($B$53:G53)-1) / 12)</f>
        <v/>
      </c>
      <c r="H53" s="81">
        <f>H15 * (Inputs!$B$38 / 12) * (1 + Inputs!$B$44)^INT((COLUMNS($B$53:H53)-1) / 12)</f>
        <v/>
      </c>
      <c r="I53" s="81">
        <f>I15 * (Inputs!$B$38 / 12) * (1 + Inputs!$B$44)^INT((COLUMNS($B$53:I53)-1) / 12)</f>
        <v/>
      </c>
      <c r="J53" s="81">
        <f>J15 * (Inputs!$B$38 / 12) * (1 + Inputs!$B$44)^INT((COLUMNS($B$53:J53)-1) / 12)</f>
        <v/>
      </c>
      <c r="K53" s="81">
        <f>K15 * (Inputs!$B$38 / 12) * (1 + Inputs!$B$44)^INT((COLUMNS($B$53:K53)-1) / 12)</f>
        <v/>
      </c>
      <c r="L53" s="81">
        <f>L15 * (Inputs!$B$38 / 12) * (1 + Inputs!$B$44)^INT((COLUMNS($B$53:L53)-1) / 12)</f>
        <v/>
      </c>
      <c r="M53" s="81">
        <f>M15 * (Inputs!$B$38 / 12) * (1 + Inputs!$B$44)^INT((COLUMNS($B$53:M53)-1) / 12)</f>
        <v/>
      </c>
      <c r="N53" s="81">
        <f>N15 * (Inputs!$B$38 / 12) * (1 + Inputs!$B$44)^INT((COLUMNS($B$53:N53)-1) / 12)</f>
        <v/>
      </c>
      <c r="O53" s="81">
        <f>O15 * (Inputs!$B$38 / 12) * (1 + Inputs!$B$44)^INT((COLUMNS($B$53:O53)-1) / 12)</f>
        <v/>
      </c>
      <c r="P53" s="81">
        <f>P15 * (Inputs!$B$38 / 12) * (1 + Inputs!$B$44)^INT((COLUMNS($B$53:P53)-1) / 12)</f>
        <v/>
      </c>
      <c r="Q53" s="81">
        <f>Q15 * (Inputs!$B$38 / 12) * (1 + Inputs!$B$44)^INT((COLUMNS($B$53:Q53)-1) / 12)</f>
        <v/>
      </c>
      <c r="R53" s="81">
        <f>R15 * (Inputs!$B$38 / 12) * (1 + Inputs!$B$44)^INT((COLUMNS($B$53:R53)-1) / 12)</f>
        <v/>
      </c>
      <c r="S53" s="81">
        <f>S15 * (Inputs!$B$38 / 12) * (1 + Inputs!$B$44)^INT((COLUMNS($B$53:S53)-1) / 12)</f>
        <v/>
      </c>
      <c r="T53" s="81">
        <f>T15 * (Inputs!$B$38 / 12) * (1 + Inputs!$B$44)^INT((COLUMNS($B$53:T53)-1) / 12)</f>
        <v/>
      </c>
      <c r="U53" s="81">
        <f>U15 * (Inputs!$B$38 / 12) * (1 + Inputs!$B$44)^INT((COLUMNS($B$53:U53)-1) / 12)</f>
        <v/>
      </c>
      <c r="V53" s="81">
        <f>V15 * (Inputs!$B$38 / 12) * (1 + Inputs!$B$44)^INT((COLUMNS($B$53:V53)-1) / 12)</f>
        <v/>
      </c>
      <c r="W53" s="81">
        <f>W15 * (Inputs!$B$38 / 12) * (1 + Inputs!$B$44)^INT((COLUMNS($B$53:W53)-1) / 12)</f>
        <v/>
      </c>
      <c r="X53" s="81">
        <f>X15 * (Inputs!$B$38 / 12) * (1 + Inputs!$B$44)^INT((COLUMNS($B$53:X53)-1) / 12)</f>
        <v/>
      </c>
      <c r="Y53" s="81">
        <f>Y15 * (Inputs!$B$38 / 12) * (1 + Inputs!$B$44)^INT((COLUMNS($B$53:Y53)-1) / 12)</f>
        <v/>
      </c>
      <c r="Z53" s="81">
        <f>Z15 * (Inputs!$B$38 / 12) * (1 + Inputs!$B$44)^INT((COLUMNS($B$53:Z53)-1) / 12)</f>
        <v/>
      </c>
      <c r="AA53" s="81">
        <f>AA15 * (Inputs!$B$38 / 12) * (1 + Inputs!$B$44)^INT((COLUMNS($B$53:AA53)-1) / 12)</f>
        <v/>
      </c>
      <c r="AB53" s="81">
        <f>AB15 * (Inputs!$B$38 / 12) * (1 + Inputs!$B$44)^INT((COLUMNS($B$53:AB53)-1) / 12)</f>
        <v/>
      </c>
      <c r="AC53" s="81">
        <f>AC15 * (Inputs!$B$38 / 12) * (1 + Inputs!$B$44)^INT((COLUMNS($B$53:AC53)-1) / 12)</f>
        <v/>
      </c>
      <c r="AD53" s="81">
        <f>AD15 * (Inputs!$B$38 / 12) * (1 + Inputs!$B$44)^INT((COLUMNS($B$53:AD53)-1) / 12)</f>
        <v/>
      </c>
      <c r="AE53" s="81">
        <f>AE15 * (Inputs!$B$38 / 12) * (1 + Inputs!$B$44)^INT((COLUMNS($B$53:AE53)-1) / 12)</f>
        <v/>
      </c>
      <c r="AF53" s="81">
        <f>AF15 * (Inputs!$B$38 / 12) * (1 + Inputs!$B$44)^INT((COLUMNS($B$53:AF53)-1) / 12)</f>
        <v/>
      </c>
      <c r="AG53" s="81">
        <f>AG15 * (Inputs!$B$38 / 12) * (1 + Inputs!$B$44)^INT((COLUMNS($B$53:AG53)-1) / 12)</f>
        <v/>
      </c>
      <c r="AH53" s="81">
        <f>AH15 * (Inputs!$B$38 / 12) * (1 + Inputs!$B$44)^INT((COLUMNS($B$53:AH53)-1) / 12)</f>
        <v/>
      </c>
      <c r="AI53" s="81">
        <f>AI15 * (Inputs!$B$38 / 12) * (1 + Inputs!$B$44)^INT((COLUMNS($B$53:AI53)-1) / 12)</f>
        <v/>
      </c>
      <c r="AJ53" s="81">
        <f>AJ15 * (Inputs!$B$38 / 12) * (1 + Inputs!$B$44)^INT((COLUMNS($B$53:AJ53)-1) / 12)</f>
        <v/>
      </c>
      <c r="AK53" s="81">
        <f>AK15 * (Inputs!$B$38 / 12) * (1 + Inputs!$B$44)^INT((COLUMNS($B$53:AK53)-1) / 12)</f>
        <v/>
      </c>
      <c r="AL53" s="81">
        <f>AL15 * (Inputs!$B$38 / 12) * (1 + Inputs!$B$44)^INT((COLUMNS($B$53:AL53)-1) / 12)</f>
        <v/>
      </c>
      <c r="AM53" s="81">
        <f>AM15 * (Inputs!$B$38 / 12) * (1 + Inputs!$B$44)^INT((COLUMNS($B$53:AM53)-1) / 12)</f>
        <v/>
      </c>
      <c r="AN53" s="81">
        <f>AN15 * (Inputs!$B$38 / 12) * (1 + Inputs!$B$44)^INT((COLUMNS($B$53:AN53)-1) / 12)</f>
        <v/>
      </c>
      <c r="AO53" s="81">
        <f>AO15 * (Inputs!$B$38 / 12) * (1 + Inputs!$B$44)^INT((COLUMNS($B$53:AO53)-1) / 12)</f>
        <v/>
      </c>
      <c r="AP53" s="81">
        <f>AP15 * (Inputs!$B$38 / 12) * (1 + Inputs!$B$44)^INT((COLUMNS($B$53:AP53)-1) / 12)</f>
        <v/>
      </c>
      <c r="AQ53" s="81">
        <f>AQ15 * (Inputs!$B$38 / 12) * (1 + Inputs!$B$44)^INT((COLUMNS($B$53:AQ53)-1) / 12)</f>
        <v/>
      </c>
      <c r="AR53" s="81">
        <f>AR15 * (Inputs!$B$38 / 12) * (1 + Inputs!$B$44)^INT((COLUMNS($B$53:AR53)-1) / 12)</f>
        <v/>
      </c>
      <c r="AS53" s="81">
        <f>AS15 * (Inputs!$B$38 / 12) * (1 + Inputs!$B$44)^INT((COLUMNS($B$53:AS53)-1) / 12)</f>
        <v/>
      </c>
      <c r="AT53" s="81">
        <f>AT15 * (Inputs!$B$38 / 12) * (1 + Inputs!$B$44)^INT((COLUMNS($B$53:AT53)-1) / 12)</f>
        <v/>
      </c>
      <c r="AU53" s="81">
        <f>AU15 * (Inputs!$B$38 / 12) * (1 + Inputs!$B$44)^INT((COLUMNS($B$53:AU53)-1) / 12)</f>
        <v/>
      </c>
      <c r="AV53" s="81">
        <f>AV15 * (Inputs!$B$38 / 12) * (1 + Inputs!$B$44)^INT((COLUMNS($B$53:AV53)-1) / 12)</f>
        <v/>
      </c>
      <c r="AW53" s="81">
        <f>AW15 * (Inputs!$B$38 / 12) * (1 + Inputs!$B$44)^INT((COLUMNS($B$53:AW53)-1) / 12)</f>
        <v/>
      </c>
      <c r="AX53" s="81">
        <f>AX15 * (Inputs!$B$38 / 12) * (1 + Inputs!$B$44)^INT((COLUMNS($B$53:AX53)-1) / 12)</f>
        <v/>
      </c>
      <c r="AY53" s="81">
        <f>AY15 * (Inputs!$B$38 / 12) * (1 + Inputs!$B$44)^INT((COLUMNS($B$53:AY53)-1) / 12)</f>
        <v/>
      </c>
      <c r="AZ53" s="81">
        <f>AZ15 * (Inputs!$B$38 / 12) * (1 + Inputs!$B$44)^INT((COLUMNS($B$53:AZ53)-1) / 12)</f>
        <v/>
      </c>
      <c r="BA53" s="81">
        <f>BA15 * (Inputs!$B$38 / 12) * (1 + Inputs!$B$44)^INT((COLUMNS($B$53:BA53)-1) / 12)</f>
        <v/>
      </c>
    </row>
    <row r="54" ht="14.25" customHeight="1" s="83">
      <c r="A54" s="77" t="inlineStr">
        <is>
          <t>1. Office Manager Gehalt</t>
        </is>
      </c>
      <c r="B54" s="81">
        <f>B16 * (Inputs!$B$42 / 12) * (1 + Inputs!$B$44)^INT((COLUMNS($B$54:B54)-1) / 12)</f>
        <v/>
      </c>
      <c r="C54" s="81">
        <f>C16 * (Inputs!$B$42 / 12) * (1 + Inputs!$B$44)^INT((COLUMNS($B$54:C54)-1) / 12)</f>
        <v/>
      </c>
      <c r="D54" s="81">
        <f>D16 * (Inputs!$B$42 / 12) * (1 + Inputs!$B$44)^INT((COLUMNS($B$54:D54)-1) / 12)</f>
        <v/>
      </c>
      <c r="E54" s="81">
        <f>E16 * (Inputs!$B$42 / 12) * (1 + Inputs!$B$44)^INT((COLUMNS($B$54:E54)-1) / 12)</f>
        <v/>
      </c>
      <c r="F54" s="81">
        <f>F16 * (Inputs!$B$42 / 12) * (1 + Inputs!$B$44)^INT((COLUMNS($B$54:F54)-1) / 12)</f>
        <v/>
      </c>
      <c r="G54" s="81">
        <f>G16 * (Inputs!$B$42 / 12) * (1 + Inputs!$B$44)^INT((COLUMNS($B$54:G54)-1) / 12)</f>
        <v/>
      </c>
      <c r="H54" s="81">
        <f>H16 * (Inputs!$B$42 / 12) * (1 + Inputs!$B$44)^INT((COLUMNS($B$54:H54)-1) / 12)</f>
        <v/>
      </c>
      <c r="I54" s="81">
        <f>I16 * (Inputs!$B$42 / 12) * (1 + Inputs!$B$44)^INT((COLUMNS($B$54:I54)-1) / 12)</f>
        <v/>
      </c>
      <c r="J54" s="81">
        <f>J16 * (Inputs!$B$42 / 12) * (1 + Inputs!$B$44)^INT((COLUMNS($B$54:J54)-1) / 12)</f>
        <v/>
      </c>
      <c r="K54" s="81">
        <f>K16 * (Inputs!$B$42 / 12) * (1 + Inputs!$B$44)^INT((COLUMNS($B$54:K54)-1) / 12)</f>
        <v/>
      </c>
      <c r="L54" s="81">
        <f>L16 * (Inputs!$B$42 / 12) * (1 + Inputs!$B$44)^INT((COLUMNS($B$54:L54)-1) / 12)</f>
        <v/>
      </c>
      <c r="M54" s="81">
        <f>M16 * (Inputs!$B$42 / 12) * (1 + Inputs!$B$44)^INT((COLUMNS($B$54:M54)-1) / 12)</f>
        <v/>
      </c>
      <c r="N54" s="81">
        <f>N16 * (Inputs!$B$42 / 12) * (1 + Inputs!$B$44)^INT((COLUMNS($B$54:N54)-1) / 12)</f>
        <v/>
      </c>
      <c r="O54" s="81">
        <f>O16 * (Inputs!$B$42 / 12) * (1 + Inputs!$B$44)^INT((COLUMNS($B$54:O54)-1) / 12)</f>
        <v/>
      </c>
      <c r="P54" s="81">
        <f>P16 * (Inputs!$B$42 / 12) * (1 + Inputs!$B$44)^INT((COLUMNS($B$54:P54)-1) / 12)</f>
        <v/>
      </c>
      <c r="Q54" s="81">
        <f>Q16 * (Inputs!$B$42 / 12) * (1 + Inputs!$B$44)^INT((COLUMNS($B$54:Q54)-1) / 12)</f>
        <v/>
      </c>
      <c r="R54" s="81">
        <f>R16 * (Inputs!$B$42 / 12) * (1 + Inputs!$B$44)^INT((COLUMNS($B$54:R54)-1) / 12)</f>
        <v/>
      </c>
      <c r="S54" s="81">
        <f>S16 * (Inputs!$B$42 / 12) * (1 + Inputs!$B$44)^INT((COLUMNS($B$54:S54)-1) / 12)</f>
        <v/>
      </c>
      <c r="T54" s="81">
        <f>T16 * (Inputs!$B$42 / 12) * (1 + Inputs!$B$44)^INT((COLUMNS($B$54:T54)-1) / 12)</f>
        <v/>
      </c>
      <c r="U54" s="81">
        <f>U16 * (Inputs!$B$42 / 12) * (1 + Inputs!$B$44)^INT((COLUMNS($B$54:U54)-1) / 12)</f>
        <v/>
      </c>
      <c r="V54" s="81">
        <f>V16 * (Inputs!$B$42 / 12) * (1 + Inputs!$B$44)^INT((COLUMNS($B$54:V54)-1) / 12)</f>
        <v/>
      </c>
      <c r="W54" s="81">
        <f>W16 * (Inputs!$B$42 / 12) * (1 + Inputs!$B$44)^INT((COLUMNS($B$54:W54)-1) / 12)</f>
        <v/>
      </c>
      <c r="X54" s="81">
        <f>X16 * (Inputs!$B$42 / 12) * (1 + Inputs!$B$44)^INT((COLUMNS($B$54:X54)-1) / 12)</f>
        <v/>
      </c>
      <c r="Y54" s="81">
        <f>Y16 * (Inputs!$B$42 / 12) * (1 + Inputs!$B$44)^INT((COLUMNS($B$54:Y54)-1) / 12)</f>
        <v/>
      </c>
      <c r="Z54" s="81">
        <f>Z16 * (Inputs!$B$42 / 12) * (1 + Inputs!$B$44)^INT((COLUMNS($B$54:Z54)-1) / 12)</f>
        <v/>
      </c>
      <c r="AA54" s="81">
        <f>AA16 * (Inputs!$B$42 / 12) * (1 + Inputs!$B$44)^INT((COLUMNS($B$54:AA54)-1) / 12)</f>
        <v/>
      </c>
      <c r="AB54" s="81">
        <f>AB16 * (Inputs!$B$42 / 12) * (1 + Inputs!$B$44)^INT((COLUMNS($B$54:AB54)-1) / 12)</f>
        <v/>
      </c>
      <c r="AC54" s="81">
        <f>AC16 * (Inputs!$B$42 / 12) * (1 + Inputs!$B$44)^INT((COLUMNS($B$54:AC54)-1) / 12)</f>
        <v/>
      </c>
      <c r="AD54" s="81">
        <f>AD16 * (Inputs!$B$42 / 12) * (1 + Inputs!$B$44)^INT((COLUMNS($B$54:AD54)-1) / 12)</f>
        <v/>
      </c>
      <c r="AE54" s="81">
        <f>AE16 * (Inputs!$B$42 / 12) * (1 + Inputs!$B$44)^INT((COLUMNS($B$54:AE54)-1) / 12)</f>
        <v/>
      </c>
      <c r="AF54" s="81">
        <f>AF16 * (Inputs!$B$42 / 12) * (1 + Inputs!$B$44)^INT((COLUMNS($B$54:AF54)-1) / 12)</f>
        <v/>
      </c>
      <c r="AG54" s="81">
        <f>AG16 * (Inputs!$B$42 / 12) * (1 + Inputs!$B$44)^INT((COLUMNS($B$54:AG54)-1) / 12)</f>
        <v/>
      </c>
      <c r="AH54" s="81">
        <f>AH16 * (Inputs!$B$42 / 12) * (1 + Inputs!$B$44)^INT((COLUMNS($B$54:AH54)-1) / 12)</f>
        <v/>
      </c>
      <c r="AI54" s="81">
        <f>AI16 * (Inputs!$B$42 / 12) * (1 + Inputs!$B$44)^INT((COLUMNS($B$54:AI54)-1) / 12)</f>
        <v/>
      </c>
      <c r="AJ54" s="81">
        <f>AJ16 * (Inputs!$B$42 / 12) * (1 + Inputs!$B$44)^INT((COLUMNS($B$54:AJ54)-1) / 12)</f>
        <v/>
      </c>
      <c r="AK54" s="81">
        <f>AK16 * (Inputs!$B$42 / 12) * (1 + Inputs!$B$44)^INT((COLUMNS($B$54:AK54)-1) / 12)</f>
        <v/>
      </c>
      <c r="AL54" s="81">
        <f>AL16 * (Inputs!$B$42 / 12) * (1 + Inputs!$B$44)^INT((COLUMNS($B$54:AL54)-1) / 12)</f>
        <v/>
      </c>
      <c r="AM54" s="81">
        <f>AM16 * (Inputs!$B$42 / 12) * (1 + Inputs!$B$44)^INT((COLUMNS($B$54:AM54)-1) / 12)</f>
        <v/>
      </c>
      <c r="AN54" s="81">
        <f>AN16 * (Inputs!$B$42 / 12) * (1 + Inputs!$B$44)^INT((COLUMNS($B$54:AN54)-1) / 12)</f>
        <v/>
      </c>
      <c r="AO54" s="81">
        <f>AO16 * (Inputs!$B$42 / 12) * (1 + Inputs!$B$44)^INT((COLUMNS($B$54:AO54)-1) / 12)</f>
        <v/>
      </c>
      <c r="AP54" s="81">
        <f>AP16 * (Inputs!$B$42 / 12) * (1 + Inputs!$B$44)^INT((COLUMNS($B$54:AP54)-1) / 12)</f>
        <v/>
      </c>
      <c r="AQ54" s="81">
        <f>AQ16 * (Inputs!$B$42 / 12) * (1 + Inputs!$B$44)^INT((COLUMNS($B$54:AQ54)-1) / 12)</f>
        <v/>
      </c>
      <c r="AR54" s="81">
        <f>AR16 * (Inputs!$B$42 / 12) * (1 + Inputs!$B$44)^INT((COLUMNS($B$54:AR54)-1) / 12)</f>
        <v/>
      </c>
      <c r="AS54" s="81">
        <f>AS16 * (Inputs!$B$42 / 12) * (1 + Inputs!$B$44)^INT((COLUMNS($B$54:AS54)-1) / 12)</f>
        <v/>
      </c>
      <c r="AT54" s="81">
        <f>AT16 * (Inputs!$B$42 / 12) * (1 + Inputs!$B$44)^INT((COLUMNS($B$54:AT54)-1) / 12)</f>
        <v/>
      </c>
      <c r="AU54" s="81">
        <f>AU16 * (Inputs!$B$42 / 12) * (1 + Inputs!$B$44)^INT((COLUMNS($B$54:AU54)-1) / 12)</f>
        <v/>
      </c>
      <c r="AV54" s="81">
        <f>AV16 * (Inputs!$B$42 / 12) * (1 + Inputs!$B$44)^INT((COLUMNS($B$54:AV54)-1) / 12)</f>
        <v/>
      </c>
      <c r="AW54" s="81">
        <f>AW16 * (Inputs!$B$42 / 12) * (1 + Inputs!$B$44)^INT((COLUMNS($B$54:AW54)-1) / 12)</f>
        <v/>
      </c>
      <c r="AX54" s="81">
        <f>AX16 * (Inputs!$B$42 / 12) * (1 + Inputs!$B$44)^INT((COLUMNS($B$54:AX54)-1) / 12)</f>
        <v/>
      </c>
      <c r="AY54" s="81">
        <f>AY16 * (Inputs!$B$42 / 12) * (1 + Inputs!$B$44)^INT((COLUMNS($B$54:AY54)-1) / 12)</f>
        <v/>
      </c>
      <c r="AZ54" s="81">
        <f>AZ16 * (Inputs!$B$42 / 12) * (1 + Inputs!$B$44)^INT((COLUMNS($B$54:AZ54)-1) / 12)</f>
        <v/>
      </c>
      <c r="BA54" s="81">
        <f>BA16 * (Inputs!$B$42 / 12) * (1 + Inputs!$B$44)^INT((COLUMNS($B$54:BA54)-1) / 12)</f>
        <v/>
      </c>
    </row>
    <row r="55" ht="14.25" customHeight="1" s="83">
      <c r="A55" s="77" t="inlineStr">
        <is>
          <t>3. Senior Engineer Gehalt</t>
        </is>
      </c>
      <c r="B55" s="81">
        <f>B17 * (Inputs!$B$35 / 12) * (1 + Inputs!$B$44)^INT((COLUMNS($B$55:B55)-1) / 12)</f>
        <v/>
      </c>
      <c r="C55" s="81">
        <f>C17 * (Inputs!$B$35 / 12) * (1 + Inputs!$B$44)^INT((COLUMNS($B$55:C55)-1) / 12)</f>
        <v/>
      </c>
      <c r="D55" s="81">
        <f>D17 * (Inputs!$B$35 / 12) * (1 + Inputs!$B$44)^INT((COLUMNS($B$55:D55)-1) / 12)</f>
        <v/>
      </c>
      <c r="E55" s="81">
        <f>E17 * (Inputs!$B$35 / 12) * (1 + Inputs!$B$44)^INT((COLUMNS($B$55:E55)-1) / 12)</f>
        <v/>
      </c>
      <c r="F55" s="81">
        <f>F17 * (Inputs!$B$35 / 12) * (1 + Inputs!$B$44)^INT((COLUMNS($B$55:F55)-1) / 12)</f>
        <v/>
      </c>
      <c r="G55" s="81">
        <f>G17 * (Inputs!$B$35 / 12) * (1 + Inputs!$B$44)^INT((COLUMNS($B$55:G55)-1) / 12)</f>
        <v/>
      </c>
      <c r="H55" s="81">
        <f>H17 * (Inputs!$B$35 / 12) * (1 + Inputs!$B$44)^INT((COLUMNS($B$55:H55)-1) / 12)</f>
        <v/>
      </c>
      <c r="I55" s="81">
        <f>I17 * (Inputs!$B$35 / 12) * (1 + Inputs!$B$44)^INT((COLUMNS($B$55:I55)-1) / 12)</f>
        <v/>
      </c>
      <c r="J55" s="81">
        <f>J17 * (Inputs!$B$35 / 12) * (1 + Inputs!$B$44)^INT((COLUMNS($B$55:J55)-1) / 12)</f>
        <v/>
      </c>
      <c r="K55" s="81">
        <f>K17 * (Inputs!$B$35 / 12) * (1 + Inputs!$B$44)^INT((COLUMNS($B$55:K55)-1) / 12)</f>
        <v/>
      </c>
      <c r="L55" s="81">
        <f>L17 * (Inputs!$B$35 / 12) * (1 + Inputs!$B$44)^INT((COLUMNS($B$55:L55)-1) / 12)</f>
        <v/>
      </c>
      <c r="M55" s="81">
        <f>M17 * (Inputs!$B$35 / 12) * (1 + Inputs!$B$44)^INT((COLUMNS($B$55:M55)-1) / 12)</f>
        <v/>
      </c>
      <c r="N55" s="81">
        <f>N17 * (Inputs!$B$35 / 12) * (1 + Inputs!$B$44)^INT((COLUMNS($B$55:N55)-1) / 12)</f>
        <v/>
      </c>
      <c r="O55" s="81">
        <f>O17 * (Inputs!$B$35 / 12) * (1 + Inputs!$B$44)^INT((COLUMNS($B$55:O55)-1) / 12)</f>
        <v/>
      </c>
      <c r="P55" s="81">
        <f>P17 * (Inputs!$B$35 / 12) * (1 + Inputs!$B$44)^INT((COLUMNS($B$55:P55)-1) / 12)</f>
        <v/>
      </c>
      <c r="Q55" s="81">
        <f>Q17 * (Inputs!$B$35 / 12) * (1 + Inputs!$B$44)^INT((COLUMNS($B$55:Q55)-1) / 12)</f>
        <v/>
      </c>
      <c r="R55" s="81">
        <f>R17 * (Inputs!$B$35 / 12) * (1 + Inputs!$B$44)^INT((COLUMNS($B$55:R55)-1) / 12)</f>
        <v/>
      </c>
      <c r="S55" s="81">
        <f>S17 * (Inputs!$B$35 / 12) * (1 + Inputs!$B$44)^INT((COLUMNS($B$55:S55)-1) / 12)</f>
        <v/>
      </c>
      <c r="T55" s="81">
        <f>T17 * (Inputs!$B$35 / 12) * (1 + Inputs!$B$44)^INT((COLUMNS($B$55:T55)-1) / 12)</f>
        <v/>
      </c>
      <c r="U55" s="81">
        <f>U17 * (Inputs!$B$35 / 12) * (1 + Inputs!$B$44)^INT((COLUMNS($B$55:U55)-1) / 12)</f>
        <v/>
      </c>
      <c r="V55" s="81">
        <f>V17 * (Inputs!$B$35 / 12) * (1 + Inputs!$B$44)^INT((COLUMNS($B$55:V55)-1) / 12)</f>
        <v/>
      </c>
      <c r="W55" s="81">
        <f>W17 * (Inputs!$B$35 / 12) * (1 + Inputs!$B$44)^INT((COLUMNS($B$55:W55)-1) / 12)</f>
        <v/>
      </c>
      <c r="X55" s="81">
        <f>X17 * (Inputs!$B$35 / 12) * (1 + Inputs!$B$44)^INT((COLUMNS($B$55:X55)-1) / 12)</f>
        <v/>
      </c>
      <c r="Y55" s="81">
        <f>Y17 * (Inputs!$B$35 / 12) * (1 + Inputs!$B$44)^INT((COLUMNS($B$55:Y55)-1) / 12)</f>
        <v/>
      </c>
      <c r="Z55" s="81">
        <f>Z17 * (Inputs!$B$35 / 12) * (1 + Inputs!$B$44)^INT((COLUMNS($B$55:Z55)-1) / 12)</f>
        <v/>
      </c>
      <c r="AA55" s="81">
        <f>AA17 * (Inputs!$B$35 / 12) * (1 + Inputs!$B$44)^INT((COLUMNS($B$55:AA55)-1) / 12)</f>
        <v/>
      </c>
      <c r="AB55" s="81">
        <f>AB17 * (Inputs!$B$35 / 12) * (1 + Inputs!$B$44)^INT((COLUMNS($B$55:AB55)-1) / 12)</f>
        <v/>
      </c>
      <c r="AC55" s="81">
        <f>AC17 * (Inputs!$B$35 / 12) * (1 + Inputs!$B$44)^INT((COLUMNS($B$55:AC55)-1) / 12)</f>
        <v/>
      </c>
      <c r="AD55" s="81">
        <f>AD17 * (Inputs!$B$35 / 12) * (1 + Inputs!$B$44)^INT((COLUMNS($B$55:AD55)-1) / 12)</f>
        <v/>
      </c>
      <c r="AE55" s="81">
        <f>AE17 * (Inputs!$B$35 / 12) * (1 + Inputs!$B$44)^INT((COLUMNS($B$55:AE55)-1) / 12)</f>
        <v/>
      </c>
      <c r="AF55" s="81">
        <f>AF17 * (Inputs!$B$35 / 12) * (1 + Inputs!$B$44)^INT((COLUMNS($B$55:AF55)-1) / 12)</f>
        <v/>
      </c>
      <c r="AG55" s="81">
        <f>AG17 * (Inputs!$B$35 / 12) * (1 + Inputs!$B$44)^INT((COLUMNS($B$55:AG55)-1) / 12)</f>
        <v/>
      </c>
      <c r="AH55" s="81">
        <f>AH17 * (Inputs!$B$35 / 12) * (1 + Inputs!$B$44)^INT((COLUMNS($B$55:AH55)-1) / 12)</f>
        <v/>
      </c>
      <c r="AI55" s="81">
        <f>AI17 * (Inputs!$B$35 / 12) * (1 + Inputs!$B$44)^INT((COLUMNS($B$55:AI55)-1) / 12)</f>
        <v/>
      </c>
      <c r="AJ55" s="81">
        <f>AJ17 * (Inputs!$B$35 / 12) * (1 + Inputs!$B$44)^INT((COLUMNS($B$55:AJ55)-1) / 12)</f>
        <v/>
      </c>
      <c r="AK55" s="81">
        <f>AK17 * (Inputs!$B$35 / 12) * (1 + Inputs!$B$44)^INT((COLUMNS($B$55:AK55)-1) / 12)</f>
        <v/>
      </c>
      <c r="AL55" s="81">
        <f>AL17 * (Inputs!$B$35 / 12) * (1 + Inputs!$B$44)^INT((COLUMNS($B$55:AL55)-1) / 12)</f>
        <v/>
      </c>
      <c r="AM55" s="81">
        <f>AM17 * (Inputs!$B$35 / 12) * (1 + Inputs!$B$44)^INT((COLUMNS($B$55:AM55)-1) / 12)</f>
        <v/>
      </c>
      <c r="AN55" s="81">
        <f>AN17 * (Inputs!$B$35 / 12) * (1 + Inputs!$B$44)^INT((COLUMNS($B$55:AN55)-1) / 12)</f>
        <v/>
      </c>
      <c r="AO55" s="81">
        <f>AO17 * (Inputs!$B$35 / 12) * (1 + Inputs!$B$44)^INT((COLUMNS($B$55:AO55)-1) / 12)</f>
        <v/>
      </c>
      <c r="AP55" s="81">
        <f>AP17 * (Inputs!$B$35 / 12) * (1 + Inputs!$B$44)^INT((COLUMNS($B$55:AP55)-1) / 12)</f>
        <v/>
      </c>
      <c r="AQ55" s="81">
        <f>AQ17 * (Inputs!$B$35 / 12) * (1 + Inputs!$B$44)^INT((COLUMNS($B$55:AQ55)-1) / 12)</f>
        <v/>
      </c>
      <c r="AR55" s="81">
        <f>AR17 * (Inputs!$B$35 / 12) * (1 + Inputs!$B$44)^INT((COLUMNS($B$55:AR55)-1) / 12)</f>
        <v/>
      </c>
      <c r="AS55" s="81">
        <f>AS17 * (Inputs!$B$35 / 12) * (1 + Inputs!$B$44)^INT((COLUMNS($B$55:AS55)-1) / 12)</f>
        <v/>
      </c>
      <c r="AT55" s="81">
        <f>AT17 * (Inputs!$B$35 / 12) * (1 + Inputs!$B$44)^INT((COLUMNS($B$55:AT55)-1) / 12)</f>
        <v/>
      </c>
      <c r="AU55" s="81">
        <f>AU17 * (Inputs!$B$35 / 12) * (1 + Inputs!$B$44)^INT((COLUMNS($B$55:AU55)-1) / 12)</f>
        <v/>
      </c>
      <c r="AV55" s="81">
        <f>AV17 * (Inputs!$B$35 / 12) * (1 + Inputs!$B$44)^INT((COLUMNS($B$55:AV55)-1) / 12)</f>
        <v/>
      </c>
      <c r="AW55" s="81">
        <f>AW17 * (Inputs!$B$35 / 12) * (1 + Inputs!$B$44)^INT((COLUMNS($B$55:AW55)-1) / 12)</f>
        <v/>
      </c>
      <c r="AX55" s="81">
        <f>AX17 * (Inputs!$B$35 / 12) * (1 + Inputs!$B$44)^INT((COLUMNS($B$55:AX55)-1) / 12)</f>
        <v/>
      </c>
      <c r="AY55" s="81">
        <f>AY17 * (Inputs!$B$35 / 12) * (1 + Inputs!$B$44)^INT((COLUMNS($B$55:AY55)-1) / 12)</f>
        <v/>
      </c>
      <c r="AZ55" s="81">
        <f>AZ17 * (Inputs!$B$35 / 12) * (1 + Inputs!$B$44)^INT((COLUMNS($B$55:AZ55)-1) / 12)</f>
        <v/>
      </c>
      <c r="BA55" s="81">
        <f>BA17 * (Inputs!$B$35 / 12) * (1 + Inputs!$B$44)^INT((COLUMNS($B$55:BA55)-1) / 12)</f>
        <v/>
      </c>
    </row>
    <row r="56" ht="14.25" customHeight="1" s="83">
      <c r="A56" s="77" t="inlineStr">
        <is>
          <t>4. Senior Engineer Gehalt</t>
        </is>
      </c>
      <c r="B56" s="81">
        <f>B18 * (Inputs!$B$35 / 12) * (1 + Inputs!$B$44)^INT((COLUMNS($B$56:B56)-1) / 12)</f>
        <v/>
      </c>
      <c r="C56" s="81">
        <f>C18 * (Inputs!$B$35 / 12) * (1 + Inputs!$B$44)^INT((COLUMNS($B$56:C56)-1) / 12)</f>
        <v/>
      </c>
      <c r="D56" s="81">
        <f>D18 * (Inputs!$B$35 / 12) * (1 + Inputs!$B$44)^INT((COLUMNS($B$56:D56)-1) / 12)</f>
        <v/>
      </c>
      <c r="E56" s="81">
        <f>E18 * (Inputs!$B$35 / 12) * (1 + Inputs!$B$44)^INT((COLUMNS($B$56:E56)-1) / 12)</f>
        <v/>
      </c>
      <c r="F56" s="81">
        <f>F18 * (Inputs!$B$35 / 12) * (1 + Inputs!$B$44)^INT((COLUMNS($B$56:F56)-1) / 12)</f>
        <v/>
      </c>
      <c r="G56" s="81">
        <f>G18 * (Inputs!$B$35 / 12) * (1 + Inputs!$B$44)^INT((COLUMNS($B$56:G56)-1) / 12)</f>
        <v/>
      </c>
      <c r="H56" s="81">
        <f>H18 * (Inputs!$B$35 / 12) * (1 + Inputs!$B$44)^INT((COLUMNS($B$56:H56)-1) / 12)</f>
        <v/>
      </c>
      <c r="I56" s="81">
        <f>I18 * (Inputs!$B$35 / 12) * (1 + Inputs!$B$44)^INT((COLUMNS($B$56:I56)-1) / 12)</f>
        <v/>
      </c>
      <c r="J56" s="81">
        <f>J18 * (Inputs!$B$35 / 12) * (1 + Inputs!$B$44)^INT((COLUMNS($B$56:J56)-1) / 12)</f>
        <v/>
      </c>
      <c r="K56" s="81">
        <f>K18 * (Inputs!$B$35 / 12) * (1 + Inputs!$B$44)^INT((COLUMNS($B$56:K56)-1) / 12)</f>
        <v/>
      </c>
      <c r="L56" s="81">
        <f>L18 * (Inputs!$B$35 / 12) * (1 + Inputs!$B$44)^INT((COLUMNS($B$56:L56)-1) / 12)</f>
        <v/>
      </c>
      <c r="M56" s="81">
        <f>M18 * (Inputs!$B$35 / 12) * (1 + Inputs!$B$44)^INT((COLUMNS($B$56:M56)-1) / 12)</f>
        <v/>
      </c>
      <c r="N56" s="81">
        <f>N18 * (Inputs!$B$35 / 12) * (1 + Inputs!$B$44)^INT((COLUMNS($B$56:N56)-1) / 12)</f>
        <v/>
      </c>
      <c r="O56" s="81">
        <f>O18 * (Inputs!$B$35 / 12) * (1 + Inputs!$B$44)^INT((COLUMNS($B$56:O56)-1) / 12)</f>
        <v/>
      </c>
      <c r="P56" s="81">
        <f>P18 * (Inputs!$B$35 / 12) * (1 + Inputs!$B$44)^INT((COLUMNS($B$56:P56)-1) / 12)</f>
        <v/>
      </c>
      <c r="Q56" s="81">
        <f>Q18 * (Inputs!$B$35 / 12) * (1 + Inputs!$B$44)^INT((COLUMNS($B$56:Q56)-1) / 12)</f>
        <v/>
      </c>
      <c r="R56" s="81">
        <f>R18 * (Inputs!$B$35 / 12) * (1 + Inputs!$B$44)^INT((COLUMNS($B$56:R56)-1) / 12)</f>
        <v/>
      </c>
      <c r="S56" s="81">
        <f>S18 * (Inputs!$B$35 / 12) * (1 + Inputs!$B$44)^INT((COLUMNS($B$56:S56)-1) / 12)</f>
        <v/>
      </c>
      <c r="T56" s="81">
        <f>T18 * (Inputs!$B$35 / 12) * (1 + Inputs!$B$44)^INT((COLUMNS($B$56:T56)-1) / 12)</f>
        <v/>
      </c>
      <c r="U56" s="81">
        <f>U18 * (Inputs!$B$35 / 12) * (1 + Inputs!$B$44)^INT((COLUMNS($B$56:U56)-1) / 12)</f>
        <v/>
      </c>
      <c r="V56" s="81">
        <f>V18 * (Inputs!$B$35 / 12) * (1 + Inputs!$B$44)^INT((COLUMNS($B$56:V56)-1) / 12)</f>
        <v/>
      </c>
      <c r="W56" s="81">
        <f>W18 * (Inputs!$B$35 / 12) * (1 + Inputs!$B$44)^INT((COLUMNS($B$56:W56)-1) / 12)</f>
        <v/>
      </c>
      <c r="X56" s="81">
        <f>X18 * (Inputs!$B$35 / 12) * (1 + Inputs!$B$44)^INT((COLUMNS($B$56:X56)-1) / 12)</f>
        <v/>
      </c>
      <c r="Y56" s="81">
        <f>Y18 * (Inputs!$B$35 / 12) * (1 + Inputs!$B$44)^INT((COLUMNS($B$56:Y56)-1) / 12)</f>
        <v/>
      </c>
      <c r="Z56" s="81">
        <f>Z18 * (Inputs!$B$35 / 12) * (1 + Inputs!$B$44)^INT((COLUMNS($B$56:Z56)-1) / 12)</f>
        <v/>
      </c>
      <c r="AA56" s="81">
        <f>AA18 * (Inputs!$B$35 / 12) * (1 + Inputs!$B$44)^INT((COLUMNS($B$56:AA56)-1) / 12)</f>
        <v/>
      </c>
      <c r="AB56" s="81">
        <f>AB18 * (Inputs!$B$35 / 12) * (1 + Inputs!$B$44)^INT((COLUMNS($B$56:AB56)-1) / 12)</f>
        <v/>
      </c>
      <c r="AC56" s="81">
        <f>AC18 * (Inputs!$B$35 / 12) * (1 + Inputs!$B$44)^INT((COLUMNS($B$56:AC56)-1) / 12)</f>
        <v/>
      </c>
      <c r="AD56" s="81">
        <f>AD18 * (Inputs!$B$35 / 12) * (1 + Inputs!$B$44)^INT((COLUMNS($B$56:AD56)-1) / 12)</f>
        <v/>
      </c>
      <c r="AE56" s="81">
        <f>AE18 * (Inputs!$B$35 / 12) * (1 + Inputs!$B$44)^INT((COLUMNS($B$56:AE56)-1) / 12)</f>
        <v/>
      </c>
      <c r="AF56" s="81">
        <f>AF18 * (Inputs!$B$35 / 12) * (1 + Inputs!$B$44)^INT((COLUMNS($B$56:AF56)-1) / 12)</f>
        <v/>
      </c>
      <c r="AG56" s="81">
        <f>AG18 * (Inputs!$B$35 / 12) * (1 + Inputs!$B$44)^INT((COLUMNS($B$56:AG56)-1) / 12)</f>
        <v/>
      </c>
      <c r="AH56" s="81">
        <f>AH18 * (Inputs!$B$35 / 12) * (1 + Inputs!$B$44)^INT((COLUMNS($B$56:AH56)-1) / 12)</f>
        <v/>
      </c>
      <c r="AI56" s="81">
        <f>AI18 * (Inputs!$B$35 / 12) * (1 + Inputs!$B$44)^INT((COLUMNS($B$56:AI56)-1) / 12)</f>
        <v/>
      </c>
      <c r="AJ56" s="81">
        <f>AJ18 * (Inputs!$B$35 / 12) * (1 + Inputs!$B$44)^INT((COLUMNS($B$56:AJ56)-1) / 12)</f>
        <v/>
      </c>
      <c r="AK56" s="81">
        <f>AK18 * (Inputs!$B$35 / 12) * (1 + Inputs!$B$44)^INT((COLUMNS($B$56:AK56)-1) / 12)</f>
        <v/>
      </c>
      <c r="AL56" s="81">
        <f>AL18 * (Inputs!$B$35 / 12) * (1 + Inputs!$B$44)^INT((COLUMNS($B$56:AL56)-1) / 12)</f>
        <v/>
      </c>
      <c r="AM56" s="81">
        <f>AM18 * (Inputs!$B$35 / 12) * (1 + Inputs!$B$44)^INT((COLUMNS($B$56:AM56)-1) / 12)</f>
        <v/>
      </c>
      <c r="AN56" s="81">
        <f>AN18 * (Inputs!$B$35 / 12) * (1 + Inputs!$B$44)^INT((COLUMNS($B$56:AN56)-1) / 12)</f>
        <v/>
      </c>
      <c r="AO56" s="81">
        <f>AO18 * (Inputs!$B$35 / 12) * (1 + Inputs!$B$44)^INT((COLUMNS($B$56:AO56)-1) / 12)</f>
        <v/>
      </c>
      <c r="AP56" s="81">
        <f>AP18 * (Inputs!$B$35 / 12) * (1 + Inputs!$B$44)^INT((COLUMNS($B$56:AP56)-1) / 12)</f>
        <v/>
      </c>
      <c r="AQ56" s="81">
        <f>AQ18 * (Inputs!$B$35 / 12) * (1 + Inputs!$B$44)^INT((COLUMNS($B$56:AQ56)-1) / 12)</f>
        <v/>
      </c>
      <c r="AR56" s="81">
        <f>AR18 * (Inputs!$B$35 / 12) * (1 + Inputs!$B$44)^INT((COLUMNS($B$56:AR56)-1) / 12)</f>
        <v/>
      </c>
      <c r="AS56" s="81">
        <f>AS18 * (Inputs!$B$35 / 12) * (1 + Inputs!$B$44)^INT((COLUMNS($B$56:AS56)-1) / 12)</f>
        <v/>
      </c>
      <c r="AT56" s="81">
        <f>AT18 * (Inputs!$B$35 / 12) * (1 + Inputs!$B$44)^INT((COLUMNS($B$56:AT56)-1) / 12)</f>
        <v/>
      </c>
      <c r="AU56" s="81">
        <f>AU18 * (Inputs!$B$35 / 12) * (1 + Inputs!$B$44)^INT((COLUMNS($B$56:AU56)-1) / 12)</f>
        <v/>
      </c>
      <c r="AV56" s="81">
        <f>AV18 * (Inputs!$B$35 / 12) * (1 + Inputs!$B$44)^INT((COLUMNS($B$56:AV56)-1) / 12)</f>
        <v/>
      </c>
      <c r="AW56" s="81">
        <f>AW18 * (Inputs!$B$35 / 12) * (1 + Inputs!$B$44)^INT((COLUMNS($B$56:AW56)-1) / 12)</f>
        <v/>
      </c>
      <c r="AX56" s="81">
        <f>AX18 * (Inputs!$B$35 / 12) * (1 + Inputs!$B$44)^INT((COLUMNS($B$56:AX56)-1) / 12)</f>
        <v/>
      </c>
      <c r="AY56" s="81">
        <f>AY18 * (Inputs!$B$35 / 12) * (1 + Inputs!$B$44)^INT((COLUMNS($B$56:AY56)-1) / 12)</f>
        <v/>
      </c>
      <c r="AZ56" s="81">
        <f>AZ18 * (Inputs!$B$35 / 12) * (1 + Inputs!$B$44)^INT((COLUMNS($B$56:AZ56)-1) / 12)</f>
        <v/>
      </c>
      <c r="BA56" s="81">
        <f>BA18 * (Inputs!$B$35 / 12) * (1 + Inputs!$B$44)^INT((COLUMNS($B$56:BA56)-1) / 12)</f>
        <v/>
      </c>
    </row>
    <row r="57" ht="14.25" customHeight="1" s="83">
      <c r="A57" s="77" t="inlineStr">
        <is>
          <t>2. Junior Engineer Gehalt</t>
        </is>
      </c>
      <c r="B57" s="81">
        <f>B19 * (Inputs!$B$36 / 12) * (1 + Inputs!$B$44)^INT((COLUMNS($B$57:B57)-1) / 12)</f>
        <v/>
      </c>
      <c r="C57" s="81">
        <f>C19 * (Inputs!$B$36 / 12) * (1 + Inputs!$B$44)^INT((COLUMNS($B$57:C57)-1) / 12)</f>
        <v/>
      </c>
      <c r="D57" s="81">
        <f>D19 * (Inputs!$B$36 / 12) * (1 + Inputs!$B$44)^INT((COLUMNS($B$57:D57)-1) / 12)</f>
        <v/>
      </c>
      <c r="E57" s="81">
        <f>E19 * (Inputs!$B$36 / 12) * (1 + Inputs!$B$44)^INT((COLUMNS($B$57:E57)-1) / 12)</f>
        <v/>
      </c>
      <c r="F57" s="81">
        <f>F19 * (Inputs!$B$36 / 12) * (1 + Inputs!$B$44)^INT((COLUMNS($B$57:F57)-1) / 12)</f>
        <v/>
      </c>
      <c r="G57" s="81">
        <f>G19 * (Inputs!$B$36 / 12) * (1 + Inputs!$B$44)^INT((COLUMNS($B$57:G57)-1) / 12)</f>
        <v/>
      </c>
      <c r="H57" s="81">
        <f>H19 * (Inputs!$B$36 / 12) * (1 + Inputs!$B$44)^INT((COLUMNS($B$57:H57)-1) / 12)</f>
        <v/>
      </c>
      <c r="I57" s="81">
        <f>I19 * (Inputs!$B$36 / 12) * (1 + Inputs!$B$44)^INT((COLUMNS($B$57:I57)-1) / 12)</f>
        <v/>
      </c>
      <c r="J57" s="81">
        <f>J19 * (Inputs!$B$36 / 12) * (1 + Inputs!$B$44)^INT((COLUMNS($B$57:J57)-1) / 12)</f>
        <v/>
      </c>
      <c r="K57" s="81">
        <f>K19 * (Inputs!$B$36 / 12) * (1 + Inputs!$B$44)^INT((COLUMNS($B$57:K57)-1) / 12)</f>
        <v/>
      </c>
      <c r="L57" s="81">
        <f>L19 * (Inputs!$B$36 / 12) * (1 + Inputs!$B$44)^INT((COLUMNS($B$57:L57)-1) / 12)</f>
        <v/>
      </c>
      <c r="M57" s="81">
        <f>M19 * (Inputs!$B$36 / 12) * (1 + Inputs!$B$44)^INT((COLUMNS($B$57:M57)-1) / 12)</f>
        <v/>
      </c>
      <c r="N57" s="81">
        <f>N19 * (Inputs!$B$36 / 12) * (1 + Inputs!$B$44)^INT((COLUMNS($B$57:N57)-1) / 12)</f>
        <v/>
      </c>
      <c r="O57" s="81">
        <f>O19 * (Inputs!$B$36 / 12) * (1 + Inputs!$B$44)^INT((COLUMNS($B$57:O57)-1) / 12)</f>
        <v/>
      </c>
      <c r="P57" s="81">
        <f>P19 * (Inputs!$B$36 / 12) * (1 + Inputs!$B$44)^INT((COLUMNS($B$57:P57)-1) / 12)</f>
        <v/>
      </c>
      <c r="Q57" s="81">
        <f>Q19 * (Inputs!$B$36 / 12) * (1 + Inputs!$B$44)^INT((COLUMNS($B$57:Q57)-1) / 12)</f>
        <v/>
      </c>
      <c r="R57" s="81">
        <f>R19 * (Inputs!$B$36 / 12) * (1 + Inputs!$B$44)^INT((COLUMNS($B$57:R57)-1) / 12)</f>
        <v/>
      </c>
      <c r="S57" s="81">
        <f>S19 * (Inputs!$B$36 / 12) * (1 + Inputs!$B$44)^INT((COLUMNS($B$57:S57)-1) / 12)</f>
        <v/>
      </c>
      <c r="T57" s="81">
        <f>T19 * (Inputs!$B$36 / 12) * (1 + Inputs!$B$44)^INT((COLUMNS($B$57:T57)-1) / 12)</f>
        <v/>
      </c>
      <c r="U57" s="81">
        <f>U19 * (Inputs!$B$36 / 12) * (1 + Inputs!$B$44)^INT((COLUMNS($B$57:U57)-1) / 12)</f>
        <v/>
      </c>
      <c r="V57" s="81">
        <f>V19 * (Inputs!$B$36 / 12) * (1 + Inputs!$B$44)^INT((COLUMNS($B$57:V57)-1) / 12)</f>
        <v/>
      </c>
      <c r="W57" s="81">
        <f>W19 * (Inputs!$B$36 / 12) * (1 + Inputs!$B$44)^INT((COLUMNS($B$57:W57)-1) / 12)</f>
        <v/>
      </c>
      <c r="X57" s="81">
        <f>X19 * (Inputs!$B$36 / 12) * (1 + Inputs!$B$44)^INT((COLUMNS($B$57:X57)-1) / 12)</f>
        <v/>
      </c>
      <c r="Y57" s="81">
        <f>Y19 * (Inputs!$B$36 / 12) * (1 + Inputs!$B$44)^INT((COLUMNS($B$57:Y57)-1) / 12)</f>
        <v/>
      </c>
      <c r="Z57" s="81">
        <f>Z19 * (Inputs!$B$36 / 12) * (1 + Inputs!$B$44)^INT((COLUMNS($B$57:Z57)-1) / 12)</f>
        <v/>
      </c>
      <c r="AA57" s="81">
        <f>AA19 * (Inputs!$B$36 / 12) * (1 + Inputs!$B$44)^INT((COLUMNS($B$57:AA57)-1) / 12)</f>
        <v/>
      </c>
      <c r="AB57" s="81">
        <f>AB19 * (Inputs!$B$36 / 12) * (1 + Inputs!$B$44)^INT((COLUMNS($B$57:AB57)-1) / 12)</f>
        <v/>
      </c>
      <c r="AC57" s="81">
        <f>AC19 * (Inputs!$B$36 / 12) * (1 + Inputs!$B$44)^INT((COLUMNS($B$57:AC57)-1) / 12)</f>
        <v/>
      </c>
      <c r="AD57" s="81">
        <f>AD19 * (Inputs!$B$36 / 12) * (1 + Inputs!$B$44)^INT((COLUMNS($B$57:AD57)-1) / 12)</f>
        <v/>
      </c>
      <c r="AE57" s="81">
        <f>AE19 * (Inputs!$B$36 / 12) * (1 + Inputs!$B$44)^INT((COLUMNS($B$57:AE57)-1) / 12)</f>
        <v/>
      </c>
      <c r="AF57" s="81">
        <f>AF19 * (Inputs!$B$36 / 12) * (1 + Inputs!$B$44)^INT((COLUMNS($B$57:AF57)-1) / 12)</f>
        <v/>
      </c>
      <c r="AG57" s="81">
        <f>AG19 * (Inputs!$B$36 / 12) * (1 + Inputs!$B$44)^INT((COLUMNS($B$57:AG57)-1) / 12)</f>
        <v/>
      </c>
      <c r="AH57" s="81">
        <f>AH19 * (Inputs!$B$36 / 12) * (1 + Inputs!$B$44)^INT((COLUMNS($B$57:AH57)-1) / 12)</f>
        <v/>
      </c>
      <c r="AI57" s="81">
        <f>AI19 * (Inputs!$B$36 / 12) * (1 + Inputs!$B$44)^INT((COLUMNS($B$57:AI57)-1) / 12)</f>
        <v/>
      </c>
      <c r="AJ57" s="81">
        <f>AJ19 * (Inputs!$B$36 / 12) * (1 + Inputs!$B$44)^INT((COLUMNS($B$57:AJ57)-1) / 12)</f>
        <v/>
      </c>
      <c r="AK57" s="81">
        <f>AK19 * (Inputs!$B$36 / 12) * (1 + Inputs!$B$44)^INT((COLUMNS($B$57:AK57)-1) / 12)</f>
        <v/>
      </c>
      <c r="AL57" s="81">
        <f>AL19 * (Inputs!$B$36 / 12) * (1 + Inputs!$B$44)^INT((COLUMNS($B$57:AL57)-1) / 12)</f>
        <v/>
      </c>
      <c r="AM57" s="81">
        <f>AM19 * (Inputs!$B$36 / 12) * (1 + Inputs!$B$44)^INT((COLUMNS($B$57:AM57)-1) / 12)</f>
        <v/>
      </c>
      <c r="AN57" s="81">
        <f>AN19 * (Inputs!$B$36 / 12) * (1 + Inputs!$B$44)^INT((COLUMNS($B$57:AN57)-1) / 12)</f>
        <v/>
      </c>
      <c r="AO57" s="81">
        <f>AO19 * (Inputs!$B$36 / 12) * (1 + Inputs!$B$44)^INT((COLUMNS($B$57:AO57)-1) / 12)</f>
        <v/>
      </c>
      <c r="AP57" s="81">
        <f>AP19 * (Inputs!$B$36 / 12) * (1 + Inputs!$B$44)^INT((COLUMNS($B$57:AP57)-1) / 12)</f>
        <v/>
      </c>
      <c r="AQ57" s="81">
        <f>AQ19 * (Inputs!$B$36 / 12) * (1 + Inputs!$B$44)^INT((COLUMNS($B$57:AQ57)-1) / 12)</f>
        <v/>
      </c>
      <c r="AR57" s="81">
        <f>AR19 * (Inputs!$B$36 / 12) * (1 + Inputs!$B$44)^INT((COLUMNS($B$57:AR57)-1) / 12)</f>
        <v/>
      </c>
      <c r="AS57" s="81">
        <f>AS19 * (Inputs!$B$36 / 12) * (1 + Inputs!$B$44)^INT((COLUMNS($B$57:AS57)-1) / 12)</f>
        <v/>
      </c>
      <c r="AT57" s="81">
        <f>AT19 * (Inputs!$B$36 / 12) * (1 + Inputs!$B$44)^INT((COLUMNS($B$57:AT57)-1) / 12)</f>
        <v/>
      </c>
      <c r="AU57" s="81">
        <f>AU19 * (Inputs!$B$36 / 12) * (1 + Inputs!$B$44)^INT((COLUMNS($B$57:AU57)-1) / 12)</f>
        <v/>
      </c>
      <c r="AV57" s="81">
        <f>AV19 * (Inputs!$B$36 / 12) * (1 + Inputs!$B$44)^INT((COLUMNS($B$57:AV57)-1) / 12)</f>
        <v/>
      </c>
      <c r="AW57" s="81">
        <f>AW19 * (Inputs!$B$36 / 12) * (1 + Inputs!$B$44)^INT((COLUMNS($B$57:AW57)-1) / 12)</f>
        <v/>
      </c>
      <c r="AX57" s="81">
        <f>AX19 * (Inputs!$B$36 / 12) * (1 + Inputs!$B$44)^INT((COLUMNS($B$57:AX57)-1) / 12)</f>
        <v/>
      </c>
      <c r="AY57" s="81">
        <f>AY19 * (Inputs!$B$36 / 12) * (1 + Inputs!$B$44)^INT((COLUMNS($B$57:AY57)-1) / 12)</f>
        <v/>
      </c>
      <c r="AZ57" s="81">
        <f>AZ19 * (Inputs!$B$36 / 12) * (1 + Inputs!$B$44)^INT((COLUMNS($B$57:AZ57)-1) / 12)</f>
        <v/>
      </c>
      <c r="BA57" s="81">
        <f>BA19 * (Inputs!$B$36 / 12) * (1 + Inputs!$B$44)^INT((COLUMNS($B$57:BA57)-1) / 12)</f>
        <v/>
      </c>
    </row>
    <row r="58" ht="14.25" customHeight="1" s="83">
      <c r="A58" s="77" t="inlineStr">
        <is>
          <t>3. ML/AI Engineer Gehalt</t>
        </is>
      </c>
      <c r="B58" s="81">
        <f>B20 * (Inputs!$B$37 / 12) * (1 + Inputs!$B$44)^INT((COLUMNS($B$58:B58)-1) / 12)</f>
        <v/>
      </c>
      <c r="C58" s="81">
        <f>C20 * (Inputs!$B$37 / 12) * (1 + Inputs!$B$44)^INT((COLUMNS($B$58:C58)-1) / 12)</f>
        <v/>
      </c>
      <c r="D58" s="81">
        <f>D20 * (Inputs!$B$37 / 12) * (1 + Inputs!$B$44)^INT((COLUMNS($B$58:D58)-1) / 12)</f>
        <v/>
      </c>
      <c r="E58" s="81">
        <f>E20 * (Inputs!$B$37 / 12) * (1 + Inputs!$B$44)^INT((COLUMNS($B$58:E58)-1) / 12)</f>
        <v/>
      </c>
      <c r="F58" s="81">
        <f>F20 * (Inputs!$B$37 / 12) * (1 + Inputs!$B$44)^INT((COLUMNS($B$58:F58)-1) / 12)</f>
        <v/>
      </c>
      <c r="G58" s="81">
        <f>G20 * (Inputs!$B$37 / 12) * (1 + Inputs!$B$44)^INT((COLUMNS($B$58:G58)-1) / 12)</f>
        <v/>
      </c>
      <c r="H58" s="81">
        <f>H20 * (Inputs!$B$37 / 12) * (1 + Inputs!$B$44)^INT((COLUMNS($B$58:H58)-1) / 12)</f>
        <v/>
      </c>
      <c r="I58" s="81">
        <f>I20 * (Inputs!$B$37 / 12) * (1 + Inputs!$B$44)^INT((COLUMNS($B$58:I58)-1) / 12)</f>
        <v/>
      </c>
      <c r="J58" s="81">
        <f>J20 * (Inputs!$B$37 / 12) * (1 + Inputs!$B$44)^INT((COLUMNS($B$58:J58)-1) / 12)</f>
        <v/>
      </c>
      <c r="K58" s="81">
        <f>K20 * (Inputs!$B$37 / 12) * (1 + Inputs!$B$44)^INT((COLUMNS($B$58:K58)-1) / 12)</f>
        <v/>
      </c>
      <c r="L58" s="81">
        <f>L20 * (Inputs!$B$37 / 12) * (1 + Inputs!$B$44)^INT((COLUMNS($B$58:L58)-1) / 12)</f>
        <v/>
      </c>
      <c r="M58" s="81">
        <f>M20 * (Inputs!$B$37 / 12) * (1 + Inputs!$B$44)^INT((COLUMNS($B$58:M58)-1) / 12)</f>
        <v/>
      </c>
      <c r="N58" s="81">
        <f>N20 * (Inputs!$B$37 / 12) * (1 + Inputs!$B$44)^INT((COLUMNS($B$58:N58)-1) / 12)</f>
        <v/>
      </c>
      <c r="O58" s="81">
        <f>O20 * (Inputs!$B$37 / 12) * (1 + Inputs!$B$44)^INT((COLUMNS($B$58:O58)-1) / 12)</f>
        <v/>
      </c>
      <c r="P58" s="81">
        <f>P20 * (Inputs!$B$37 / 12) * (1 + Inputs!$B$44)^INT((COLUMNS($B$58:P58)-1) / 12)</f>
        <v/>
      </c>
      <c r="Q58" s="81">
        <f>Q20 * (Inputs!$B$37 / 12) * (1 + Inputs!$B$44)^INT((COLUMNS($B$58:Q58)-1) / 12)</f>
        <v/>
      </c>
      <c r="R58" s="81">
        <f>R20 * (Inputs!$B$37 / 12) * (1 + Inputs!$B$44)^INT((COLUMNS($B$58:R58)-1) / 12)</f>
        <v/>
      </c>
      <c r="S58" s="81">
        <f>S20 * (Inputs!$B$37 / 12) * (1 + Inputs!$B$44)^INT((COLUMNS($B$58:S58)-1) / 12)</f>
        <v/>
      </c>
      <c r="T58" s="81">
        <f>T20 * (Inputs!$B$37 / 12) * (1 + Inputs!$B$44)^INT((COLUMNS($B$58:T58)-1) / 12)</f>
        <v/>
      </c>
      <c r="U58" s="81">
        <f>U20 * (Inputs!$B$37 / 12) * (1 + Inputs!$B$44)^INT((COLUMNS($B$58:U58)-1) / 12)</f>
        <v/>
      </c>
      <c r="V58" s="81">
        <f>V20 * (Inputs!$B$37 / 12) * (1 + Inputs!$B$44)^INT((COLUMNS($B$58:V58)-1) / 12)</f>
        <v/>
      </c>
      <c r="W58" s="81">
        <f>W20 * (Inputs!$B$37 / 12) * (1 + Inputs!$B$44)^INT((COLUMNS($B$58:W58)-1) / 12)</f>
        <v/>
      </c>
      <c r="X58" s="81">
        <f>X20 * (Inputs!$B$37 / 12) * (1 + Inputs!$B$44)^INT((COLUMNS($B$58:X58)-1) / 12)</f>
        <v/>
      </c>
      <c r="Y58" s="81">
        <f>Y20 * (Inputs!$B$37 / 12) * (1 + Inputs!$B$44)^INT((COLUMNS($B$58:Y58)-1) / 12)</f>
        <v/>
      </c>
      <c r="Z58" s="81">
        <f>Z20 * (Inputs!$B$37 / 12) * (1 + Inputs!$B$44)^INT((COLUMNS($B$58:Z58)-1) / 12)</f>
        <v/>
      </c>
      <c r="AA58" s="81">
        <f>AA20 * (Inputs!$B$37 / 12) * (1 + Inputs!$B$44)^INT((COLUMNS($B$58:AA58)-1) / 12)</f>
        <v/>
      </c>
      <c r="AB58" s="81">
        <f>AB20 * (Inputs!$B$37 / 12) * (1 + Inputs!$B$44)^INT((COLUMNS($B$58:AB58)-1) / 12)</f>
        <v/>
      </c>
      <c r="AC58" s="81">
        <f>AC20 * (Inputs!$B$37 / 12) * (1 + Inputs!$B$44)^INT((COLUMNS($B$58:AC58)-1) / 12)</f>
        <v/>
      </c>
      <c r="AD58" s="81">
        <f>AD20 * (Inputs!$B$37 / 12) * (1 + Inputs!$B$44)^INT((COLUMNS($B$58:AD58)-1) / 12)</f>
        <v/>
      </c>
      <c r="AE58" s="81">
        <f>AE20 * (Inputs!$B$37 / 12) * (1 + Inputs!$B$44)^INT((COLUMNS($B$58:AE58)-1) / 12)</f>
        <v/>
      </c>
      <c r="AF58" s="81">
        <f>AF20 * (Inputs!$B$37 / 12) * (1 + Inputs!$B$44)^INT((COLUMNS($B$58:AF58)-1) / 12)</f>
        <v/>
      </c>
      <c r="AG58" s="81">
        <f>AG20 * (Inputs!$B$37 / 12) * (1 + Inputs!$B$44)^INT((COLUMNS($B$58:AG58)-1) / 12)</f>
        <v/>
      </c>
      <c r="AH58" s="81">
        <f>AH20 * (Inputs!$B$37 / 12) * (1 + Inputs!$B$44)^INT((COLUMNS($B$58:AH58)-1) / 12)</f>
        <v/>
      </c>
      <c r="AI58" s="81">
        <f>AI20 * (Inputs!$B$37 / 12) * (1 + Inputs!$B$44)^INT((COLUMNS($B$58:AI58)-1) / 12)</f>
        <v/>
      </c>
      <c r="AJ58" s="81">
        <f>AJ20 * (Inputs!$B$37 / 12) * (1 + Inputs!$B$44)^INT((COLUMNS($B$58:AJ58)-1) / 12)</f>
        <v/>
      </c>
      <c r="AK58" s="81">
        <f>AK20 * (Inputs!$B$37 / 12) * (1 + Inputs!$B$44)^INT((COLUMNS($B$58:AK58)-1) / 12)</f>
        <v/>
      </c>
      <c r="AL58" s="81">
        <f>AL20 * (Inputs!$B$37 / 12) * (1 + Inputs!$B$44)^INT((COLUMNS($B$58:AL58)-1) / 12)</f>
        <v/>
      </c>
      <c r="AM58" s="81">
        <f>AM20 * (Inputs!$B$37 / 12) * (1 + Inputs!$B$44)^INT((COLUMNS($B$58:AM58)-1) / 12)</f>
        <v/>
      </c>
      <c r="AN58" s="81">
        <f>AN20 * (Inputs!$B$37 / 12) * (1 + Inputs!$B$44)^INT((COLUMNS($B$58:AN58)-1) / 12)</f>
        <v/>
      </c>
      <c r="AO58" s="81">
        <f>AO20 * (Inputs!$B$37 / 12) * (1 + Inputs!$B$44)^INT((COLUMNS($B$58:AO58)-1) / 12)</f>
        <v/>
      </c>
      <c r="AP58" s="81">
        <f>AP20 * (Inputs!$B$37 / 12) * (1 + Inputs!$B$44)^INT((COLUMNS($B$58:AP58)-1) / 12)</f>
        <v/>
      </c>
      <c r="AQ58" s="81">
        <f>AQ20 * (Inputs!$B$37 / 12) * (1 + Inputs!$B$44)^INT((COLUMNS($B$58:AQ58)-1) / 12)</f>
        <v/>
      </c>
      <c r="AR58" s="81">
        <f>AR20 * (Inputs!$B$37 / 12) * (1 + Inputs!$B$44)^INT((COLUMNS($B$58:AR58)-1) / 12)</f>
        <v/>
      </c>
      <c r="AS58" s="81">
        <f>AS20 * (Inputs!$B$37 / 12) * (1 + Inputs!$B$44)^INT((COLUMNS($B$58:AS58)-1) / 12)</f>
        <v/>
      </c>
      <c r="AT58" s="81">
        <f>AT20 * (Inputs!$B$37 / 12) * (1 + Inputs!$B$44)^INT((COLUMNS($B$58:AT58)-1) / 12)</f>
        <v/>
      </c>
      <c r="AU58" s="81">
        <f>AU20 * (Inputs!$B$37 / 12) * (1 + Inputs!$B$44)^INT((COLUMNS($B$58:AU58)-1) / 12)</f>
        <v/>
      </c>
      <c r="AV58" s="81">
        <f>AV20 * (Inputs!$B$37 / 12) * (1 + Inputs!$B$44)^INT((COLUMNS($B$58:AV58)-1) / 12)</f>
        <v/>
      </c>
      <c r="AW58" s="81">
        <f>AW20 * (Inputs!$B$37 / 12) * (1 + Inputs!$B$44)^INT((COLUMNS($B$58:AW58)-1) / 12)</f>
        <v/>
      </c>
      <c r="AX58" s="81">
        <f>AX20 * (Inputs!$B$37 / 12) * (1 + Inputs!$B$44)^INT((COLUMNS($B$58:AX58)-1) / 12)</f>
        <v/>
      </c>
      <c r="AY58" s="81">
        <f>AY20 * (Inputs!$B$37 / 12) * (1 + Inputs!$B$44)^INT((COLUMNS($B$58:AY58)-1) / 12)</f>
        <v/>
      </c>
      <c r="AZ58" s="81">
        <f>AZ20 * (Inputs!$B$37 / 12) * (1 + Inputs!$B$44)^INT((COLUMNS($B$58:AZ58)-1) / 12)</f>
        <v/>
      </c>
      <c r="BA58" s="81">
        <f>BA20 * (Inputs!$B$37 / 12) * (1 + Inputs!$B$44)^INT((COLUMNS($B$58:BA58)-1) / 12)</f>
        <v/>
      </c>
    </row>
    <row r="59" ht="14.25" customHeight="1" s="83">
      <c r="A59" s="77" t="inlineStr">
        <is>
          <t>3. Sales Rep Gehalt</t>
        </is>
      </c>
      <c r="B59" s="81">
        <f>B21 * (Inputs!$B$39 / 12) * (1 + Inputs!$B$44)^INT((COLUMNS($B$59:B59)-1) / 12)</f>
        <v/>
      </c>
      <c r="C59" s="81">
        <f>C21 * (Inputs!$B$39 / 12) * (1 + Inputs!$B$44)^INT((COLUMNS($B$59:C59)-1) / 12)</f>
        <v/>
      </c>
      <c r="D59" s="81">
        <f>D21 * (Inputs!$B$39 / 12) * (1 + Inputs!$B$44)^INT((COLUMNS($B$59:D59)-1) / 12)</f>
        <v/>
      </c>
      <c r="E59" s="81">
        <f>E21 * (Inputs!$B$39 / 12) * (1 + Inputs!$B$44)^INT((COLUMNS($B$59:E59)-1) / 12)</f>
        <v/>
      </c>
      <c r="F59" s="81">
        <f>F21 * (Inputs!$B$39 / 12) * (1 + Inputs!$B$44)^INT((COLUMNS($B$59:F59)-1) / 12)</f>
        <v/>
      </c>
      <c r="G59" s="81">
        <f>G21 * (Inputs!$B$39 / 12) * (1 + Inputs!$B$44)^INT((COLUMNS($B$59:G59)-1) / 12)</f>
        <v/>
      </c>
      <c r="H59" s="81">
        <f>H21 * (Inputs!$B$39 / 12) * (1 + Inputs!$B$44)^INT((COLUMNS($B$59:H59)-1) / 12)</f>
        <v/>
      </c>
      <c r="I59" s="81">
        <f>I21 * (Inputs!$B$39 / 12) * (1 + Inputs!$B$44)^INT((COLUMNS($B$59:I59)-1) / 12)</f>
        <v/>
      </c>
      <c r="J59" s="81">
        <f>J21 * (Inputs!$B$39 / 12) * (1 + Inputs!$B$44)^INT((COLUMNS($B$59:J59)-1) / 12)</f>
        <v/>
      </c>
      <c r="K59" s="81">
        <f>K21 * (Inputs!$B$39 / 12) * (1 + Inputs!$B$44)^INT((COLUMNS($B$59:K59)-1) / 12)</f>
        <v/>
      </c>
      <c r="L59" s="81">
        <f>L21 * (Inputs!$B$39 / 12) * (1 + Inputs!$B$44)^INT((COLUMNS($B$59:L59)-1) / 12)</f>
        <v/>
      </c>
      <c r="M59" s="81">
        <f>M21 * (Inputs!$B$39 / 12) * (1 + Inputs!$B$44)^INT((COLUMNS($B$59:M59)-1) / 12)</f>
        <v/>
      </c>
      <c r="N59" s="81">
        <f>N21 * (Inputs!$B$39 / 12) * (1 + Inputs!$B$44)^INT((COLUMNS($B$59:N59)-1) / 12)</f>
        <v/>
      </c>
      <c r="O59" s="81">
        <f>O21 * (Inputs!$B$39 / 12) * (1 + Inputs!$B$44)^INT((COLUMNS($B$59:O59)-1) / 12)</f>
        <v/>
      </c>
      <c r="P59" s="81">
        <f>P21 * (Inputs!$B$39 / 12) * (1 + Inputs!$B$44)^INT((COLUMNS($B$59:P59)-1) / 12)</f>
        <v/>
      </c>
      <c r="Q59" s="81">
        <f>Q21 * (Inputs!$B$39 / 12) * (1 + Inputs!$B$44)^INT((COLUMNS($B$59:Q59)-1) / 12)</f>
        <v/>
      </c>
      <c r="R59" s="81">
        <f>R21 * (Inputs!$B$39 / 12) * (1 + Inputs!$B$44)^INT((COLUMNS($B$59:R59)-1) / 12)</f>
        <v/>
      </c>
      <c r="S59" s="81">
        <f>S21 * (Inputs!$B$39 / 12) * (1 + Inputs!$B$44)^INT((COLUMNS($B$59:S59)-1) / 12)</f>
        <v/>
      </c>
      <c r="T59" s="81">
        <f>T21 * (Inputs!$B$39 / 12) * (1 + Inputs!$B$44)^INT((COLUMNS($B$59:T59)-1) / 12)</f>
        <v/>
      </c>
      <c r="U59" s="81">
        <f>U21 * (Inputs!$B$39 / 12) * (1 + Inputs!$B$44)^INT((COLUMNS($B$59:U59)-1) / 12)</f>
        <v/>
      </c>
      <c r="V59" s="81">
        <f>V21 * (Inputs!$B$39 / 12) * (1 + Inputs!$B$44)^INT((COLUMNS($B$59:V59)-1) / 12)</f>
        <v/>
      </c>
      <c r="W59" s="81">
        <f>W21 * (Inputs!$B$39 / 12) * (1 + Inputs!$B$44)^INT((COLUMNS($B$59:W59)-1) / 12)</f>
        <v/>
      </c>
      <c r="X59" s="81">
        <f>X21 * (Inputs!$B$39 / 12) * (1 + Inputs!$B$44)^INT((COLUMNS($B$59:X59)-1) / 12)</f>
        <v/>
      </c>
      <c r="Y59" s="81">
        <f>Y21 * (Inputs!$B$39 / 12) * (1 + Inputs!$B$44)^INT((COLUMNS($B$59:Y59)-1) / 12)</f>
        <v/>
      </c>
      <c r="Z59" s="81">
        <f>Z21 * (Inputs!$B$39 / 12) * (1 + Inputs!$B$44)^INT((COLUMNS($B$59:Z59)-1) / 12)</f>
        <v/>
      </c>
      <c r="AA59" s="81">
        <f>AA21 * (Inputs!$B$39 / 12) * (1 + Inputs!$B$44)^INT((COLUMNS($B$59:AA59)-1) / 12)</f>
        <v/>
      </c>
      <c r="AB59" s="81">
        <f>AB21 * (Inputs!$B$39 / 12) * (1 + Inputs!$B$44)^INT((COLUMNS($B$59:AB59)-1) / 12)</f>
        <v/>
      </c>
      <c r="AC59" s="81">
        <f>AC21 * (Inputs!$B$39 / 12) * (1 + Inputs!$B$44)^INT((COLUMNS($B$59:AC59)-1) / 12)</f>
        <v/>
      </c>
      <c r="AD59" s="81">
        <f>AD21 * (Inputs!$B$39 / 12) * (1 + Inputs!$B$44)^INT((COLUMNS($B$59:AD59)-1) / 12)</f>
        <v/>
      </c>
      <c r="AE59" s="81">
        <f>AE21 * (Inputs!$B$39 / 12) * (1 + Inputs!$B$44)^INT((COLUMNS($B$59:AE59)-1) / 12)</f>
        <v/>
      </c>
      <c r="AF59" s="81">
        <f>AF21 * (Inputs!$B$39 / 12) * (1 + Inputs!$B$44)^INT((COLUMNS($B$59:AF59)-1) / 12)</f>
        <v/>
      </c>
      <c r="AG59" s="81">
        <f>AG21 * (Inputs!$B$39 / 12) * (1 + Inputs!$B$44)^INT((COLUMNS($B$59:AG59)-1) / 12)</f>
        <v/>
      </c>
      <c r="AH59" s="81">
        <f>AH21 * (Inputs!$B$39 / 12) * (1 + Inputs!$B$44)^INT((COLUMNS($B$59:AH59)-1) / 12)</f>
        <v/>
      </c>
      <c r="AI59" s="81">
        <f>AI21 * (Inputs!$B$39 / 12) * (1 + Inputs!$B$44)^INT((COLUMNS($B$59:AI59)-1) / 12)</f>
        <v/>
      </c>
      <c r="AJ59" s="81">
        <f>AJ21 * (Inputs!$B$39 / 12) * (1 + Inputs!$B$44)^INT((COLUMNS($B$59:AJ59)-1) / 12)</f>
        <v/>
      </c>
      <c r="AK59" s="81">
        <f>AK21 * (Inputs!$B$39 / 12) * (1 + Inputs!$B$44)^INT((COLUMNS($B$59:AK59)-1) / 12)</f>
        <v/>
      </c>
      <c r="AL59" s="81">
        <f>AL21 * (Inputs!$B$39 / 12) * (1 + Inputs!$B$44)^INT((COLUMNS($B$59:AL59)-1) / 12)</f>
        <v/>
      </c>
      <c r="AM59" s="81">
        <f>AM21 * (Inputs!$B$39 / 12) * (1 + Inputs!$B$44)^INT((COLUMNS($B$59:AM59)-1) / 12)</f>
        <v/>
      </c>
      <c r="AN59" s="81">
        <f>AN21 * (Inputs!$B$39 / 12) * (1 + Inputs!$B$44)^INT((COLUMNS($B$59:AN59)-1) / 12)</f>
        <v/>
      </c>
      <c r="AO59" s="81">
        <f>AO21 * (Inputs!$B$39 / 12) * (1 + Inputs!$B$44)^INT((COLUMNS($B$59:AO59)-1) / 12)</f>
        <v/>
      </c>
      <c r="AP59" s="81">
        <f>AP21 * (Inputs!$B$39 / 12) * (1 + Inputs!$B$44)^INT((COLUMNS($B$59:AP59)-1) / 12)</f>
        <v/>
      </c>
      <c r="AQ59" s="81">
        <f>AQ21 * (Inputs!$B$39 / 12) * (1 + Inputs!$B$44)^INT((COLUMNS($B$59:AQ59)-1) / 12)</f>
        <v/>
      </c>
      <c r="AR59" s="81">
        <f>AR21 * (Inputs!$B$39 / 12) * (1 + Inputs!$B$44)^INT((COLUMNS($B$59:AR59)-1) / 12)</f>
        <v/>
      </c>
      <c r="AS59" s="81">
        <f>AS21 * (Inputs!$B$39 / 12) * (1 + Inputs!$B$44)^INT((COLUMNS($B$59:AS59)-1) / 12)</f>
        <v/>
      </c>
      <c r="AT59" s="81">
        <f>AT21 * (Inputs!$B$39 / 12) * (1 + Inputs!$B$44)^INT((COLUMNS($B$59:AT59)-1) / 12)</f>
        <v/>
      </c>
      <c r="AU59" s="81">
        <f>AU21 * (Inputs!$B$39 / 12) * (1 + Inputs!$B$44)^INT((COLUMNS($B$59:AU59)-1) / 12)</f>
        <v/>
      </c>
      <c r="AV59" s="81">
        <f>AV21 * (Inputs!$B$39 / 12) * (1 + Inputs!$B$44)^INT((COLUMNS($B$59:AV59)-1) / 12)</f>
        <v/>
      </c>
      <c r="AW59" s="81">
        <f>AW21 * (Inputs!$B$39 / 12) * (1 + Inputs!$B$44)^INT((COLUMNS($B$59:AW59)-1) / 12)</f>
        <v/>
      </c>
      <c r="AX59" s="81">
        <f>AX21 * (Inputs!$B$39 / 12) * (1 + Inputs!$B$44)^INT((COLUMNS($B$59:AX59)-1) / 12)</f>
        <v/>
      </c>
      <c r="AY59" s="81">
        <f>AY21 * (Inputs!$B$39 / 12) * (1 + Inputs!$B$44)^INT((COLUMNS($B$59:AY59)-1) / 12)</f>
        <v/>
      </c>
      <c r="AZ59" s="81">
        <f>AZ21 * (Inputs!$B$39 / 12) * (1 + Inputs!$B$44)^INT((COLUMNS($B$59:AZ59)-1) / 12)</f>
        <v/>
      </c>
      <c r="BA59" s="81">
        <f>BA21 * (Inputs!$B$39 / 12) * (1 + Inputs!$B$44)^INT((COLUMNS($B$59:BA59)-1) / 12)</f>
        <v/>
      </c>
    </row>
    <row r="60" ht="14.25" customHeight="1" s="83">
      <c r="A60" s="77" t="inlineStr">
        <is>
          <t>2. Customer Success Gehalt</t>
        </is>
      </c>
      <c r="B60" s="81">
        <f>B22 * (Inputs!$B$41 / 12) * (1 + Inputs!$B$44)^INT((COLUMNS($B$60:B60)-1) / 12)</f>
        <v/>
      </c>
      <c r="C60" s="81">
        <f>C22 * (Inputs!$B$41 / 12) * (1 + Inputs!$B$44)^INT((COLUMNS($B$60:C60)-1) / 12)</f>
        <v/>
      </c>
      <c r="D60" s="81">
        <f>D22 * (Inputs!$B$41 / 12) * (1 + Inputs!$B$44)^INT((COLUMNS($B$60:D60)-1) / 12)</f>
        <v/>
      </c>
      <c r="E60" s="81">
        <f>E22 * (Inputs!$B$41 / 12) * (1 + Inputs!$B$44)^INT((COLUMNS($B$60:E60)-1) / 12)</f>
        <v/>
      </c>
      <c r="F60" s="81">
        <f>F22 * (Inputs!$B$41 / 12) * (1 + Inputs!$B$44)^INT((COLUMNS($B$60:F60)-1) / 12)</f>
        <v/>
      </c>
      <c r="G60" s="81">
        <f>G22 * (Inputs!$B$41 / 12) * (1 + Inputs!$B$44)^INT((COLUMNS($B$60:G60)-1) / 12)</f>
        <v/>
      </c>
      <c r="H60" s="81">
        <f>H22 * (Inputs!$B$41 / 12) * (1 + Inputs!$B$44)^INT((COLUMNS($B$60:H60)-1) / 12)</f>
        <v/>
      </c>
      <c r="I60" s="81">
        <f>I22 * (Inputs!$B$41 / 12) * (1 + Inputs!$B$44)^INT((COLUMNS($B$60:I60)-1) / 12)</f>
        <v/>
      </c>
      <c r="J60" s="81">
        <f>J22 * (Inputs!$B$41 / 12) * (1 + Inputs!$B$44)^INT((COLUMNS($B$60:J60)-1) / 12)</f>
        <v/>
      </c>
      <c r="K60" s="81">
        <f>K22 * (Inputs!$B$41 / 12) * (1 + Inputs!$B$44)^INT((COLUMNS($B$60:K60)-1) / 12)</f>
        <v/>
      </c>
      <c r="L60" s="81">
        <f>L22 * (Inputs!$B$41 / 12) * (1 + Inputs!$B$44)^INT((COLUMNS($B$60:L60)-1) / 12)</f>
        <v/>
      </c>
      <c r="M60" s="81">
        <f>M22 * (Inputs!$B$41 / 12) * (1 + Inputs!$B$44)^INT((COLUMNS($B$60:M60)-1) / 12)</f>
        <v/>
      </c>
      <c r="N60" s="81">
        <f>N22 * (Inputs!$B$41 / 12) * (1 + Inputs!$B$44)^INT((COLUMNS($B$60:N60)-1) / 12)</f>
        <v/>
      </c>
      <c r="O60" s="81">
        <f>O22 * (Inputs!$B$41 / 12) * (1 + Inputs!$B$44)^INT((COLUMNS($B$60:O60)-1) / 12)</f>
        <v/>
      </c>
      <c r="P60" s="81">
        <f>P22 * (Inputs!$B$41 / 12) * (1 + Inputs!$B$44)^INT((COLUMNS($B$60:P60)-1) / 12)</f>
        <v/>
      </c>
      <c r="Q60" s="81">
        <f>Q22 * (Inputs!$B$41 / 12) * (1 + Inputs!$B$44)^INT((COLUMNS($B$60:Q60)-1) / 12)</f>
        <v/>
      </c>
      <c r="R60" s="81">
        <f>R22 * (Inputs!$B$41 / 12) * (1 + Inputs!$B$44)^INT((COLUMNS($B$60:R60)-1) / 12)</f>
        <v/>
      </c>
      <c r="S60" s="81">
        <f>S22 * (Inputs!$B$41 / 12) * (1 + Inputs!$B$44)^INT((COLUMNS($B$60:S60)-1) / 12)</f>
        <v/>
      </c>
      <c r="T60" s="81">
        <f>T22 * (Inputs!$B$41 / 12) * (1 + Inputs!$B$44)^INT((COLUMNS($B$60:T60)-1) / 12)</f>
        <v/>
      </c>
      <c r="U60" s="81">
        <f>U22 * (Inputs!$B$41 / 12) * (1 + Inputs!$B$44)^INT((COLUMNS($B$60:U60)-1) / 12)</f>
        <v/>
      </c>
      <c r="V60" s="81">
        <f>V22 * (Inputs!$B$41 / 12) * (1 + Inputs!$B$44)^INT((COLUMNS($B$60:V60)-1) / 12)</f>
        <v/>
      </c>
      <c r="W60" s="81">
        <f>W22 * (Inputs!$B$41 / 12) * (1 + Inputs!$B$44)^INT((COLUMNS($B$60:W60)-1) / 12)</f>
        <v/>
      </c>
      <c r="X60" s="81">
        <f>X22 * (Inputs!$B$41 / 12) * (1 + Inputs!$B$44)^INT((COLUMNS($B$60:X60)-1) / 12)</f>
        <v/>
      </c>
      <c r="Y60" s="81">
        <f>Y22 * (Inputs!$B$41 / 12) * (1 + Inputs!$B$44)^INT((COLUMNS($B$60:Y60)-1) / 12)</f>
        <v/>
      </c>
      <c r="Z60" s="81">
        <f>Z22 * (Inputs!$B$41 / 12) * (1 + Inputs!$B$44)^INT((COLUMNS($B$60:Z60)-1) / 12)</f>
        <v/>
      </c>
      <c r="AA60" s="81">
        <f>AA22 * (Inputs!$B$41 / 12) * (1 + Inputs!$B$44)^INT((COLUMNS($B$60:AA60)-1) / 12)</f>
        <v/>
      </c>
      <c r="AB60" s="81">
        <f>AB22 * (Inputs!$B$41 / 12) * (1 + Inputs!$B$44)^INT((COLUMNS($B$60:AB60)-1) / 12)</f>
        <v/>
      </c>
      <c r="AC60" s="81">
        <f>AC22 * (Inputs!$B$41 / 12) * (1 + Inputs!$B$44)^INT((COLUMNS($B$60:AC60)-1) / 12)</f>
        <v/>
      </c>
      <c r="AD60" s="81">
        <f>AD22 * (Inputs!$B$41 / 12) * (1 + Inputs!$B$44)^INT((COLUMNS($B$60:AD60)-1) / 12)</f>
        <v/>
      </c>
      <c r="AE60" s="81">
        <f>AE22 * (Inputs!$B$41 / 12) * (1 + Inputs!$B$44)^INT((COLUMNS($B$60:AE60)-1) / 12)</f>
        <v/>
      </c>
      <c r="AF60" s="81">
        <f>AF22 * (Inputs!$B$41 / 12) * (1 + Inputs!$B$44)^INT((COLUMNS($B$60:AF60)-1) / 12)</f>
        <v/>
      </c>
      <c r="AG60" s="81">
        <f>AG22 * (Inputs!$B$41 / 12) * (1 + Inputs!$B$44)^INT((COLUMNS($B$60:AG60)-1) / 12)</f>
        <v/>
      </c>
      <c r="AH60" s="81">
        <f>AH22 * (Inputs!$B$41 / 12) * (1 + Inputs!$B$44)^INT((COLUMNS($B$60:AH60)-1) / 12)</f>
        <v/>
      </c>
      <c r="AI60" s="81">
        <f>AI22 * (Inputs!$B$41 / 12) * (1 + Inputs!$B$44)^INT((COLUMNS($B$60:AI60)-1) / 12)</f>
        <v/>
      </c>
      <c r="AJ60" s="81">
        <f>AJ22 * (Inputs!$B$41 / 12) * (1 + Inputs!$B$44)^INT((COLUMNS($B$60:AJ60)-1) / 12)</f>
        <v/>
      </c>
      <c r="AK60" s="81">
        <f>AK22 * (Inputs!$B$41 / 12) * (1 + Inputs!$B$44)^INT((COLUMNS($B$60:AK60)-1) / 12)</f>
        <v/>
      </c>
      <c r="AL60" s="81">
        <f>AL22 * (Inputs!$B$41 / 12) * (1 + Inputs!$B$44)^INT((COLUMNS($B$60:AL60)-1) / 12)</f>
        <v/>
      </c>
      <c r="AM60" s="81">
        <f>AM22 * (Inputs!$B$41 / 12) * (1 + Inputs!$B$44)^INT((COLUMNS($B$60:AM60)-1) / 12)</f>
        <v/>
      </c>
      <c r="AN60" s="81">
        <f>AN22 * (Inputs!$B$41 / 12) * (1 + Inputs!$B$44)^INT((COLUMNS($B$60:AN60)-1) / 12)</f>
        <v/>
      </c>
      <c r="AO60" s="81">
        <f>AO22 * (Inputs!$B$41 / 12) * (1 + Inputs!$B$44)^INT((COLUMNS($B$60:AO60)-1) / 12)</f>
        <v/>
      </c>
      <c r="AP60" s="81">
        <f>AP22 * (Inputs!$B$41 / 12) * (1 + Inputs!$B$44)^INT((COLUMNS($B$60:AP60)-1) / 12)</f>
        <v/>
      </c>
      <c r="AQ60" s="81">
        <f>AQ22 * (Inputs!$B$41 / 12) * (1 + Inputs!$B$44)^INT((COLUMNS($B$60:AQ60)-1) / 12)</f>
        <v/>
      </c>
      <c r="AR60" s="81">
        <f>AR22 * (Inputs!$B$41 / 12) * (1 + Inputs!$B$44)^INT((COLUMNS($B$60:AR60)-1) / 12)</f>
        <v/>
      </c>
      <c r="AS60" s="81">
        <f>AS22 * (Inputs!$B$41 / 12) * (1 + Inputs!$B$44)^INT((COLUMNS($B$60:AS60)-1) / 12)</f>
        <v/>
      </c>
      <c r="AT60" s="81">
        <f>AT22 * (Inputs!$B$41 / 12) * (1 + Inputs!$B$44)^INT((COLUMNS($B$60:AT60)-1) / 12)</f>
        <v/>
      </c>
      <c r="AU60" s="81">
        <f>AU22 * (Inputs!$B$41 / 12) * (1 + Inputs!$B$44)^INT((COLUMNS($B$60:AU60)-1) / 12)</f>
        <v/>
      </c>
      <c r="AV60" s="81">
        <f>AV22 * (Inputs!$B$41 / 12) * (1 + Inputs!$B$44)^INT((COLUMNS($B$60:AV60)-1) / 12)</f>
        <v/>
      </c>
      <c r="AW60" s="81">
        <f>AW22 * (Inputs!$B$41 / 12) * (1 + Inputs!$B$44)^INT((COLUMNS($B$60:AW60)-1) / 12)</f>
        <v/>
      </c>
      <c r="AX60" s="81">
        <f>AX22 * (Inputs!$B$41 / 12) * (1 + Inputs!$B$44)^INT((COLUMNS($B$60:AX60)-1) / 12)</f>
        <v/>
      </c>
      <c r="AY60" s="81">
        <f>AY22 * (Inputs!$B$41 / 12) * (1 + Inputs!$B$44)^INT((COLUMNS($B$60:AY60)-1) / 12)</f>
        <v/>
      </c>
      <c r="AZ60" s="81">
        <f>AZ22 * (Inputs!$B$41 / 12) * (1 + Inputs!$B$44)^INT((COLUMNS($B$60:AZ60)-1) / 12)</f>
        <v/>
      </c>
      <c r="BA60" s="81">
        <f>BA22 * (Inputs!$B$41 / 12) * (1 + Inputs!$B$44)^INT((COLUMNS($B$60:BA60)-1) / 12)</f>
        <v/>
      </c>
    </row>
    <row r="61" ht="14.25" customHeight="1" s="83">
      <c r="A61" s="77" t="inlineStr">
        <is>
          <t>2. Marketing Manager Gehalt</t>
        </is>
      </c>
      <c r="B61" s="81">
        <f>B23 * (Inputs!$B$40 / 12) * (1 + Inputs!$B$44)^INT((COLUMNS($B$61:B61)-1) / 12)</f>
        <v/>
      </c>
      <c r="C61" s="81">
        <f>C23 * (Inputs!$B$40 / 12) * (1 + Inputs!$B$44)^INT((COLUMNS($B$61:C61)-1) / 12)</f>
        <v/>
      </c>
      <c r="D61" s="81">
        <f>D23 * (Inputs!$B$40 / 12) * (1 + Inputs!$B$44)^INT((COLUMNS($B$61:D61)-1) / 12)</f>
        <v/>
      </c>
      <c r="E61" s="81">
        <f>E23 * (Inputs!$B$40 / 12) * (1 + Inputs!$B$44)^INT((COLUMNS($B$61:E61)-1) / 12)</f>
        <v/>
      </c>
      <c r="F61" s="81">
        <f>F23 * (Inputs!$B$40 / 12) * (1 + Inputs!$B$44)^INT((COLUMNS($B$61:F61)-1) / 12)</f>
        <v/>
      </c>
      <c r="G61" s="81">
        <f>G23 * (Inputs!$B$40 / 12) * (1 + Inputs!$B$44)^INT((COLUMNS($B$61:G61)-1) / 12)</f>
        <v/>
      </c>
      <c r="H61" s="81">
        <f>H23 * (Inputs!$B$40 / 12) * (1 + Inputs!$B$44)^INT((COLUMNS($B$61:H61)-1) / 12)</f>
        <v/>
      </c>
      <c r="I61" s="81">
        <f>I23 * (Inputs!$B$40 / 12) * (1 + Inputs!$B$44)^INT((COLUMNS($B$61:I61)-1) / 12)</f>
        <v/>
      </c>
      <c r="J61" s="81">
        <f>J23 * (Inputs!$B$40 / 12) * (1 + Inputs!$B$44)^INT((COLUMNS($B$61:J61)-1) / 12)</f>
        <v/>
      </c>
      <c r="K61" s="81">
        <f>K23 * (Inputs!$B$40 / 12) * (1 + Inputs!$B$44)^INT((COLUMNS($B$61:K61)-1) / 12)</f>
        <v/>
      </c>
      <c r="L61" s="81">
        <f>L23 * (Inputs!$B$40 / 12) * (1 + Inputs!$B$44)^INT((COLUMNS($B$61:L61)-1) / 12)</f>
        <v/>
      </c>
      <c r="M61" s="81">
        <f>M23 * (Inputs!$B$40 / 12) * (1 + Inputs!$B$44)^INT((COLUMNS($B$61:M61)-1) / 12)</f>
        <v/>
      </c>
      <c r="N61" s="81">
        <f>N23 * (Inputs!$B$40 / 12) * (1 + Inputs!$B$44)^INT((COLUMNS($B$61:N61)-1) / 12)</f>
        <v/>
      </c>
      <c r="O61" s="81">
        <f>O23 * (Inputs!$B$40 / 12) * (1 + Inputs!$B$44)^INT((COLUMNS($B$61:O61)-1) / 12)</f>
        <v/>
      </c>
      <c r="P61" s="81">
        <f>P23 * (Inputs!$B$40 / 12) * (1 + Inputs!$B$44)^INT((COLUMNS($B$61:P61)-1) / 12)</f>
        <v/>
      </c>
      <c r="Q61" s="81">
        <f>Q23 * (Inputs!$B$40 / 12) * (1 + Inputs!$B$44)^INT((COLUMNS($B$61:Q61)-1) / 12)</f>
        <v/>
      </c>
      <c r="R61" s="81">
        <f>R23 * (Inputs!$B$40 / 12) * (1 + Inputs!$B$44)^INT((COLUMNS($B$61:R61)-1) / 12)</f>
        <v/>
      </c>
      <c r="S61" s="81">
        <f>S23 * (Inputs!$B$40 / 12) * (1 + Inputs!$B$44)^INT((COLUMNS($B$61:S61)-1) / 12)</f>
        <v/>
      </c>
      <c r="T61" s="81">
        <f>T23 * (Inputs!$B$40 / 12) * (1 + Inputs!$B$44)^INT((COLUMNS($B$61:T61)-1) / 12)</f>
        <v/>
      </c>
      <c r="U61" s="81">
        <f>U23 * (Inputs!$B$40 / 12) * (1 + Inputs!$B$44)^INT((COLUMNS($B$61:U61)-1) / 12)</f>
        <v/>
      </c>
      <c r="V61" s="81">
        <f>V23 * (Inputs!$B$40 / 12) * (1 + Inputs!$B$44)^INT((COLUMNS($B$61:V61)-1) / 12)</f>
        <v/>
      </c>
      <c r="W61" s="81">
        <f>W23 * (Inputs!$B$40 / 12) * (1 + Inputs!$B$44)^INT((COLUMNS($B$61:W61)-1) / 12)</f>
        <v/>
      </c>
      <c r="X61" s="81">
        <f>X23 * (Inputs!$B$40 / 12) * (1 + Inputs!$B$44)^INT((COLUMNS($B$61:X61)-1) / 12)</f>
        <v/>
      </c>
      <c r="Y61" s="81">
        <f>Y23 * (Inputs!$B$40 / 12) * (1 + Inputs!$B$44)^INT((COLUMNS($B$61:Y61)-1) / 12)</f>
        <v/>
      </c>
      <c r="Z61" s="81">
        <f>Z23 * (Inputs!$B$40 / 12) * (1 + Inputs!$B$44)^INT((COLUMNS($B$61:Z61)-1) / 12)</f>
        <v/>
      </c>
      <c r="AA61" s="81">
        <f>AA23 * (Inputs!$B$40 / 12) * (1 + Inputs!$B$44)^INT((COLUMNS($B$61:AA61)-1) / 12)</f>
        <v/>
      </c>
      <c r="AB61" s="81">
        <f>AB23 * (Inputs!$B$40 / 12) * (1 + Inputs!$B$44)^INT((COLUMNS($B$61:AB61)-1) / 12)</f>
        <v/>
      </c>
      <c r="AC61" s="81">
        <f>AC23 * (Inputs!$B$40 / 12) * (1 + Inputs!$B$44)^INT((COLUMNS($B$61:AC61)-1) / 12)</f>
        <v/>
      </c>
      <c r="AD61" s="81">
        <f>AD23 * (Inputs!$B$40 / 12) * (1 + Inputs!$B$44)^INT((COLUMNS($B$61:AD61)-1) / 12)</f>
        <v/>
      </c>
      <c r="AE61" s="81">
        <f>AE23 * (Inputs!$B$40 / 12) * (1 + Inputs!$B$44)^INT((COLUMNS($B$61:AE61)-1) / 12)</f>
        <v/>
      </c>
      <c r="AF61" s="81">
        <f>AF23 * (Inputs!$B$40 / 12) * (1 + Inputs!$B$44)^INT((COLUMNS($B$61:AF61)-1) / 12)</f>
        <v/>
      </c>
      <c r="AG61" s="81">
        <f>AG23 * (Inputs!$B$40 / 12) * (1 + Inputs!$B$44)^INT((COLUMNS($B$61:AG61)-1) / 12)</f>
        <v/>
      </c>
      <c r="AH61" s="81">
        <f>AH23 * (Inputs!$B$40 / 12) * (1 + Inputs!$B$44)^INT((COLUMNS($B$61:AH61)-1) / 12)</f>
        <v/>
      </c>
      <c r="AI61" s="81">
        <f>AI23 * (Inputs!$B$40 / 12) * (1 + Inputs!$B$44)^INT((COLUMNS($B$61:AI61)-1) / 12)</f>
        <v/>
      </c>
      <c r="AJ61" s="81">
        <f>AJ23 * (Inputs!$B$40 / 12) * (1 + Inputs!$B$44)^INT((COLUMNS($B$61:AJ61)-1) / 12)</f>
        <v/>
      </c>
      <c r="AK61" s="81">
        <f>AK23 * (Inputs!$B$40 / 12) * (1 + Inputs!$B$44)^INT((COLUMNS($B$61:AK61)-1) / 12)</f>
        <v/>
      </c>
      <c r="AL61" s="81">
        <f>AL23 * (Inputs!$B$40 / 12) * (1 + Inputs!$B$44)^INT((COLUMNS($B$61:AL61)-1) / 12)</f>
        <v/>
      </c>
      <c r="AM61" s="81">
        <f>AM23 * (Inputs!$B$40 / 12) * (1 + Inputs!$B$44)^INT((COLUMNS($B$61:AM61)-1) / 12)</f>
        <v/>
      </c>
      <c r="AN61" s="81">
        <f>AN23 * (Inputs!$B$40 / 12) * (1 + Inputs!$B$44)^INT((COLUMNS($B$61:AN61)-1) / 12)</f>
        <v/>
      </c>
      <c r="AO61" s="81">
        <f>AO23 * (Inputs!$B$40 / 12) * (1 + Inputs!$B$44)^INT((COLUMNS($B$61:AO61)-1) / 12)</f>
        <v/>
      </c>
      <c r="AP61" s="81">
        <f>AP23 * (Inputs!$B$40 / 12) * (1 + Inputs!$B$44)^INT((COLUMNS($B$61:AP61)-1) / 12)</f>
        <v/>
      </c>
      <c r="AQ61" s="81">
        <f>AQ23 * (Inputs!$B$40 / 12) * (1 + Inputs!$B$44)^INT((COLUMNS($B$61:AQ61)-1) / 12)</f>
        <v/>
      </c>
      <c r="AR61" s="81">
        <f>AR23 * (Inputs!$B$40 / 12) * (1 + Inputs!$B$44)^INT((COLUMNS($B$61:AR61)-1) / 12)</f>
        <v/>
      </c>
      <c r="AS61" s="81">
        <f>AS23 * (Inputs!$B$40 / 12) * (1 + Inputs!$B$44)^INT((COLUMNS($B$61:AS61)-1) / 12)</f>
        <v/>
      </c>
      <c r="AT61" s="81">
        <f>AT23 * (Inputs!$B$40 / 12) * (1 + Inputs!$B$44)^INT((COLUMNS($B$61:AT61)-1) / 12)</f>
        <v/>
      </c>
      <c r="AU61" s="81">
        <f>AU23 * (Inputs!$B$40 / 12) * (1 + Inputs!$B$44)^INT((COLUMNS($B$61:AU61)-1) / 12)</f>
        <v/>
      </c>
      <c r="AV61" s="81">
        <f>AV23 * (Inputs!$B$40 / 12) * (1 + Inputs!$B$44)^INT((COLUMNS($B$61:AV61)-1) / 12)</f>
        <v/>
      </c>
      <c r="AW61" s="81">
        <f>AW23 * (Inputs!$B$40 / 12) * (1 + Inputs!$B$44)^INT((COLUMNS($B$61:AW61)-1) / 12)</f>
        <v/>
      </c>
      <c r="AX61" s="81">
        <f>AX23 * (Inputs!$B$40 / 12) * (1 + Inputs!$B$44)^INT((COLUMNS($B$61:AX61)-1) / 12)</f>
        <v/>
      </c>
      <c r="AY61" s="81">
        <f>AY23 * (Inputs!$B$40 / 12) * (1 + Inputs!$B$44)^INT((COLUMNS($B$61:AY61)-1) / 12)</f>
        <v/>
      </c>
      <c r="AZ61" s="81">
        <f>AZ23 * (Inputs!$B$40 / 12) * (1 + Inputs!$B$44)^INT((COLUMNS($B$61:AZ61)-1) / 12)</f>
        <v/>
      </c>
      <c r="BA61" s="81">
        <f>BA23 * (Inputs!$B$40 / 12) * (1 + Inputs!$B$44)^INT((COLUMNS($B$61:BA61)-1) / 12)</f>
        <v/>
      </c>
    </row>
    <row r="62" ht="14.25" customHeight="1" s="83">
      <c r="A62" s="77" t="inlineStr">
        <is>
          <t>5. Senior Engineer Gehalt</t>
        </is>
      </c>
      <c r="B62" s="81">
        <f>B24 * (Inputs!$B$35 / 12) * (1 + Inputs!$B$44)^INT((COLUMNS($B$62:B62)-1) / 12)</f>
        <v/>
      </c>
      <c r="C62" s="81">
        <f>C24 * (Inputs!$B$35 / 12) * (1 + Inputs!$B$44)^INT((COLUMNS($B$62:C62)-1) / 12)</f>
        <v/>
      </c>
      <c r="D62" s="81">
        <f>D24 * (Inputs!$B$35 / 12) * (1 + Inputs!$B$44)^INT((COLUMNS($B$62:D62)-1) / 12)</f>
        <v/>
      </c>
      <c r="E62" s="81">
        <f>E24 * (Inputs!$B$35 / 12) * (1 + Inputs!$B$44)^INT((COLUMNS($B$62:E62)-1) / 12)</f>
        <v/>
      </c>
      <c r="F62" s="81">
        <f>F24 * (Inputs!$B$35 / 12) * (1 + Inputs!$B$44)^INT((COLUMNS($B$62:F62)-1) / 12)</f>
        <v/>
      </c>
      <c r="G62" s="81">
        <f>G24 * (Inputs!$B$35 / 12) * (1 + Inputs!$B$44)^INT((COLUMNS($B$62:G62)-1) / 12)</f>
        <v/>
      </c>
      <c r="H62" s="81">
        <f>H24 * (Inputs!$B$35 / 12) * (1 + Inputs!$B$44)^INT((COLUMNS($B$62:H62)-1) / 12)</f>
        <v/>
      </c>
      <c r="I62" s="81">
        <f>I24 * (Inputs!$B$35 / 12) * (1 + Inputs!$B$44)^INT((COLUMNS($B$62:I62)-1) / 12)</f>
        <v/>
      </c>
      <c r="J62" s="81">
        <f>J24 * (Inputs!$B$35 / 12) * (1 + Inputs!$B$44)^INT((COLUMNS($B$62:J62)-1) / 12)</f>
        <v/>
      </c>
      <c r="K62" s="81">
        <f>K24 * (Inputs!$B$35 / 12) * (1 + Inputs!$B$44)^INT((COLUMNS($B$62:K62)-1) / 12)</f>
        <v/>
      </c>
      <c r="L62" s="81">
        <f>L24 * (Inputs!$B$35 / 12) * (1 + Inputs!$B$44)^INT((COLUMNS($B$62:L62)-1) / 12)</f>
        <v/>
      </c>
      <c r="M62" s="81">
        <f>M24 * (Inputs!$B$35 / 12) * (1 + Inputs!$B$44)^INT((COLUMNS($B$62:M62)-1) / 12)</f>
        <v/>
      </c>
      <c r="N62" s="81">
        <f>N24 * (Inputs!$B$35 / 12) * (1 + Inputs!$B$44)^INT((COLUMNS($B$62:N62)-1) / 12)</f>
        <v/>
      </c>
      <c r="O62" s="81">
        <f>O24 * (Inputs!$B$35 / 12) * (1 + Inputs!$B$44)^INT((COLUMNS($B$62:O62)-1) / 12)</f>
        <v/>
      </c>
      <c r="P62" s="81">
        <f>P24 * (Inputs!$B$35 / 12) * (1 + Inputs!$B$44)^INT((COLUMNS($B$62:P62)-1) / 12)</f>
        <v/>
      </c>
      <c r="Q62" s="81">
        <f>Q24 * (Inputs!$B$35 / 12) * (1 + Inputs!$B$44)^INT((COLUMNS($B$62:Q62)-1) / 12)</f>
        <v/>
      </c>
      <c r="R62" s="81">
        <f>R24 * (Inputs!$B$35 / 12) * (1 + Inputs!$B$44)^INT((COLUMNS($B$62:R62)-1) / 12)</f>
        <v/>
      </c>
      <c r="S62" s="81">
        <f>S24 * (Inputs!$B$35 / 12) * (1 + Inputs!$B$44)^INT((COLUMNS($B$62:S62)-1) / 12)</f>
        <v/>
      </c>
      <c r="T62" s="81">
        <f>T24 * (Inputs!$B$35 / 12) * (1 + Inputs!$B$44)^INT((COLUMNS($B$62:T62)-1) / 12)</f>
        <v/>
      </c>
      <c r="U62" s="81">
        <f>U24 * (Inputs!$B$35 / 12) * (1 + Inputs!$B$44)^INT((COLUMNS($B$62:U62)-1) / 12)</f>
        <v/>
      </c>
      <c r="V62" s="81">
        <f>V24 * (Inputs!$B$35 / 12) * (1 + Inputs!$B$44)^INT((COLUMNS($B$62:V62)-1) / 12)</f>
        <v/>
      </c>
      <c r="W62" s="81">
        <f>W24 * (Inputs!$B$35 / 12) * (1 + Inputs!$B$44)^INT((COLUMNS($B$62:W62)-1) / 12)</f>
        <v/>
      </c>
      <c r="X62" s="81">
        <f>X24 * (Inputs!$B$35 / 12) * (1 + Inputs!$B$44)^INT((COLUMNS($B$62:X62)-1) / 12)</f>
        <v/>
      </c>
      <c r="Y62" s="81">
        <f>Y24 * (Inputs!$B$35 / 12) * (1 + Inputs!$B$44)^INT((COLUMNS($B$62:Y62)-1) / 12)</f>
        <v/>
      </c>
      <c r="Z62" s="81">
        <f>Z24 * (Inputs!$B$35 / 12) * (1 + Inputs!$B$44)^INT((COLUMNS($B$62:Z62)-1) / 12)</f>
        <v/>
      </c>
      <c r="AA62" s="81">
        <f>AA24 * (Inputs!$B$35 / 12) * (1 + Inputs!$B$44)^INT((COLUMNS($B$62:AA62)-1) / 12)</f>
        <v/>
      </c>
      <c r="AB62" s="81">
        <f>AB24 * (Inputs!$B$35 / 12) * (1 + Inputs!$B$44)^INT((COLUMNS($B$62:AB62)-1) / 12)</f>
        <v/>
      </c>
      <c r="AC62" s="81">
        <f>AC24 * (Inputs!$B$35 / 12) * (1 + Inputs!$B$44)^INT((COLUMNS($B$62:AC62)-1) / 12)</f>
        <v/>
      </c>
      <c r="AD62" s="81">
        <f>AD24 * (Inputs!$B$35 / 12) * (1 + Inputs!$B$44)^INT((COLUMNS($B$62:AD62)-1) / 12)</f>
        <v/>
      </c>
      <c r="AE62" s="81">
        <f>AE24 * (Inputs!$B$35 / 12) * (1 + Inputs!$B$44)^INT((COLUMNS($B$62:AE62)-1) / 12)</f>
        <v/>
      </c>
      <c r="AF62" s="81">
        <f>AF24 * (Inputs!$B$35 / 12) * (1 + Inputs!$B$44)^INT((COLUMNS($B$62:AF62)-1) / 12)</f>
        <v/>
      </c>
      <c r="AG62" s="81">
        <f>AG24 * (Inputs!$B$35 / 12) * (1 + Inputs!$B$44)^INT((COLUMNS($B$62:AG62)-1) / 12)</f>
        <v/>
      </c>
      <c r="AH62" s="81">
        <f>AH24 * (Inputs!$B$35 / 12) * (1 + Inputs!$B$44)^INT((COLUMNS($B$62:AH62)-1) / 12)</f>
        <v/>
      </c>
      <c r="AI62" s="81">
        <f>AI24 * (Inputs!$B$35 / 12) * (1 + Inputs!$B$44)^INT((COLUMNS($B$62:AI62)-1) / 12)</f>
        <v/>
      </c>
      <c r="AJ62" s="81">
        <f>AJ24 * (Inputs!$B$35 / 12) * (1 + Inputs!$B$44)^INT((COLUMNS($B$62:AJ62)-1) / 12)</f>
        <v/>
      </c>
      <c r="AK62" s="81">
        <f>AK24 * (Inputs!$B$35 / 12) * (1 + Inputs!$B$44)^INT((COLUMNS($B$62:AK62)-1) / 12)</f>
        <v/>
      </c>
      <c r="AL62" s="81">
        <f>AL24 * (Inputs!$B$35 / 12) * (1 + Inputs!$B$44)^INT((COLUMNS($B$62:AL62)-1) / 12)</f>
        <v/>
      </c>
      <c r="AM62" s="81">
        <f>AM24 * (Inputs!$B$35 / 12) * (1 + Inputs!$B$44)^INT((COLUMNS($B$62:AM62)-1) / 12)</f>
        <v/>
      </c>
      <c r="AN62" s="81">
        <f>AN24 * (Inputs!$B$35 / 12) * (1 + Inputs!$B$44)^INT((COLUMNS($B$62:AN62)-1) / 12)</f>
        <v/>
      </c>
      <c r="AO62" s="81">
        <f>AO24 * (Inputs!$B$35 / 12) * (1 + Inputs!$B$44)^INT((COLUMNS($B$62:AO62)-1) / 12)</f>
        <v/>
      </c>
      <c r="AP62" s="81">
        <f>AP24 * (Inputs!$B$35 / 12) * (1 + Inputs!$B$44)^INT((COLUMNS($B$62:AP62)-1) / 12)</f>
        <v/>
      </c>
      <c r="AQ62" s="81">
        <f>AQ24 * (Inputs!$B$35 / 12) * (1 + Inputs!$B$44)^INT((COLUMNS($B$62:AQ62)-1) / 12)</f>
        <v/>
      </c>
      <c r="AR62" s="81">
        <f>AR24 * (Inputs!$B$35 / 12) * (1 + Inputs!$B$44)^INT((COLUMNS($B$62:AR62)-1) / 12)</f>
        <v/>
      </c>
      <c r="AS62" s="81">
        <f>AS24 * (Inputs!$B$35 / 12) * (1 + Inputs!$B$44)^INT((COLUMNS($B$62:AS62)-1) / 12)</f>
        <v/>
      </c>
      <c r="AT62" s="81">
        <f>AT24 * (Inputs!$B$35 / 12) * (1 + Inputs!$B$44)^INT((COLUMNS($B$62:AT62)-1) / 12)</f>
        <v/>
      </c>
      <c r="AU62" s="81">
        <f>AU24 * (Inputs!$B$35 / 12) * (1 + Inputs!$B$44)^INT((COLUMNS($B$62:AU62)-1) / 12)</f>
        <v/>
      </c>
      <c r="AV62" s="81">
        <f>AV24 * (Inputs!$B$35 / 12) * (1 + Inputs!$B$44)^INT((COLUMNS($B$62:AV62)-1) / 12)</f>
        <v/>
      </c>
      <c r="AW62" s="81">
        <f>AW24 * (Inputs!$B$35 / 12) * (1 + Inputs!$B$44)^INT((COLUMNS($B$62:AW62)-1) / 12)</f>
        <v/>
      </c>
      <c r="AX62" s="81">
        <f>AX24 * (Inputs!$B$35 / 12) * (1 + Inputs!$B$44)^INT((COLUMNS($B$62:AX62)-1) / 12)</f>
        <v/>
      </c>
      <c r="AY62" s="81">
        <f>AY24 * (Inputs!$B$35 / 12) * (1 + Inputs!$B$44)^INT((COLUMNS($B$62:AY62)-1) / 12)</f>
        <v/>
      </c>
      <c r="AZ62" s="81">
        <f>AZ24 * (Inputs!$B$35 / 12) * (1 + Inputs!$B$44)^INT((COLUMNS($B$62:AZ62)-1) / 12)</f>
        <v/>
      </c>
      <c r="BA62" s="81">
        <f>BA24 * (Inputs!$B$35 / 12) * (1 + Inputs!$B$44)^INT((COLUMNS($B$62:BA62)-1) / 12)</f>
        <v/>
      </c>
    </row>
    <row r="63" ht="14.25" customHeight="1" s="83">
      <c r="A63" s="77" t="inlineStr">
        <is>
          <t>3. Junior Engineer Gehalt</t>
        </is>
      </c>
      <c r="B63" s="81">
        <f>B25 * (Inputs!$B$36 / 12) * (1 + Inputs!$B$44)^INT((COLUMNS($B$63:B63)-1) / 12)</f>
        <v/>
      </c>
      <c r="C63" s="81">
        <f>C25 * (Inputs!$B$36 / 12) * (1 + Inputs!$B$44)^INT((COLUMNS($B$63:C63)-1) / 12)</f>
        <v/>
      </c>
      <c r="D63" s="81">
        <f>D25 * (Inputs!$B$36 / 12) * (1 + Inputs!$B$44)^INT((COLUMNS($B$63:D63)-1) / 12)</f>
        <v/>
      </c>
      <c r="E63" s="81">
        <f>E25 * (Inputs!$B$36 / 12) * (1 + Inputs!$B$44)^INT((COLUMNS($B$63:E63)-1) / 12)</f>
        <v/>
      </c>
      <c r="F63" s="81">
        <f>F25 * (Inputs!$B$36 / 12) * (1 + Inputs!$B$44)^INT((COLUMNS($B$63:F63)-1) / 12)</f>
        <v/>
      </c>
      <c r="G63" s="81">
        <f>G25 * (Inputs!$B$36 / 12) * (1 + Inputs!$B$44)^INT((COLUMNS($B$63:G63)-1) / 12)</f>
        <v/>
      </c>
      <c r="H63" s="81">
        <f>H25 * (Inputs!$B$36 / 12) * (1 + Inputs!$B$44)^INT((COLUMNS($B$63:H63)-1) / 12)</f>
        <v/>
      </c>
      <c r="I63" s="81">
        <f>I25 * (Inputs!$B$36 / 12) * (1 + Inputs!$B$44)^INT((COLUMNS($B$63:I63)-1) / 12)</f>
        <v/>
      </c>
      <c r="J63" s="81">
        <f>J25 * (Inputs!$B$36 / 12) * (1 + Inputs!$B$44)^INT((COLUMNS($B$63:J63)-1) / 12)</f>
        <v/>
      </c>
      <c r="K63" s="81">
        <f>K25 * (Inputs!$B$36 / 12) * (1 + Inputs!$B$44)^INT((COLUMNS($B$63:K63)-1) / 12)</f>
        <v/>
      </c>
      <c r="L63" s="81">
        <f>L25 * (Inputs!$B$36 / 12) * (1 + Inputs!$B$44)^INT((COLUMNS($B$63:L63)-1) / 12)</f>
        <v/>
      </c>
      <c r="M63" s="81">
        <f>M25 * (Inputs!$B$36 / 12) * (1 + Inputs!$B$44)^INT((COLUMNS($B$63:M63)-1) / 12)</f>
        <v/>
      </c>
      <c r="N63" s="81">
        <f>N25 * (Inputs!$B$36 / 12) * (1 + Inputs!$B$44)^INT((COLUMNS($B$63:N63)-1) / 12)</f>
        <v/>
      </c>
      <c r="O63" s="81">
        <f>O25 * (Inputs!$B$36 / 12) * (1 + Inputs!$B$44)^INT((COLUMNS($B$63:O63)-1) / 12)</f>
        <v/>
      </c>
      <c r="P63" s="81">
        <f>P25 * (Inputs!$B$36 / 12) * (1 + Inputs!$B$44)^INT((COLUMNS($B$63:P63)-1) / 12)</f>
        <v/>
      </c>
      <c r="Q63" s="81">
        <f>Q25 * (Inputs!$B$36 / 12) * (1 + Inputs!$B$44)^INT((COLUMNS($B$63:Q63)-1) / 12)</f>
        <v/>
      </c>
      <c r="R63" s="81">
        <f>R25 * (Inputs!$B$36 / 12) * (1 + Inputs!$B$44)^INT((COLUMNS($B$63:R63)-1) / 12)</f>
        <v/>
      </c>
      <c r="S63" s="81">
        <f>S25 * (Inputs!$B$36 / 12) * (1 + Inputs!$B$44)^INT((COLUMNS($B$63:S63)-1) / 12)</f>
        <v/>
      </c>
      <c r="T63" s="81">
        <f>T25 * (Inputs!$B$36 / 12) * (1 + Inputs!$B$44)^INT((COLUMNS($B$63:T63)-1) / 12)</f>
        <v/>
      </c>
      <c r="U63" s="81">
        <f>U25 * (Inputs!$B$36 / 12) * (1 + Inputs!$B$44)^INT((COLUMNS($B$63:U63)-1) / 12)</f>
        <v/>
      </c>
      <c r="V63" s="81">
        <f>V25 * (Inputs!$B$36 / 12) * (1 + Inputs!$B$44)^INT((COLUMNS($B$63:V63)-1) / 12)</f>
        <v/>
      </c>
      <c r="W63" s="81">
        <f>W25 * (Inputs!$B$36 / 12) * (1 + Inputs!$B$44)^INT((COLUMNS($B$63:W63)-1) / 12)</f>
        <v/>
      </c>
      <c r="X63" s="81">
        <f>X25 * (Inputs!$B$36 / 12) * (1 + Inputs!$B$44)^INT((COLUMNS($B$63:X63)-1) / 12)</f>
        <v/>
      </c>
      <c r="Y63" s="81">
        <f>Y25 * (Inputs!$B$36 / 12) * (1 + Inputs!$B$44)^INT((COLUMNS($B$63:Y63)-1) / 12)</f>
        <v/>
      </c>
      <c r="Z63" s="81">
        <f>Z25 * (Inputs!$B$36 / 12) * (1 + Inputs!$B$44)^INT((COLUMNS($B$63:Z63)-1) / 12)</f>
        <v/>
      </c>
      <c r="AA63" s="81">
        <f>AA25 * (Inputs!$B$36 / 12) * (1 + Inputs!$B$44)^INT((COLUMNS($B$63:AA63)-1) / 12)</f>
        <v/>
      </c>
      <c r="AB63" s="81">
        <f>AB25 * (Inputs!$B$36 / 12) * (1 + Inputs!$B$44)^INT((COLUMNS($B$63:AB63)-1) / 12)</f>
        <v/>
      </c>
      <c r="AC63" s="81">
        <f>AC25 * (Inputs!$B$36 / 12) * (1 + Inputs!$B$44)^INT((COLUMNS($B$63:AC63)-1) / 12)</f>
        <v/>
      </c>
      <c r="AD63" s="81">
        <f>AD25 * (Inputs!$B$36 / 12) * (1 + Inputs!$B$44)^INT((COLUMNS($B$63:AD63)-1) / 12)</f>
        <v/>
      </c>
      <c r="AE63" s="81">
        <f>AE25 * (Inputs!$B$36 / 12) * (1 + Inputs!$B$44)^INT((COLUMNS($B$63:AE63)-1) / 12)</f>
        <v/>
      </c>
      <c r="AF63" s="81">
        <f>AF25 * (Inputs!$B$36 / 12) * (1 + Inputs!$B$44)^INT((COLUMNS($B$63:AF63)-1) / 12)</f>
        <v/>
      </c>
      <c r="AG63" s="81">
        <f>AG25 * (Inputs!$B$36 / 12) * (1 + Inputs!$B$44)^INT((COLUMNS($B$63:AG63)-1) / 12)</f>
        <v/>
      </c>
      <c r="AH63" s="81">
        <f>AH25 * (Inputs!$B$36 / 12) * (1 + Inputs!$B$44)^INT((COLUMNS($B$63:AH63)-1) / 12)</f>
        <v/>
      </c>
      <c r="AI63" s="81">
        <f>AI25 * (Inputs!$B$36 / 12) * (1 + Inputs!$B$44)^INT((COLUMNS($B$63:AI63)-1) / 12)</f>
        <v/>
      </c>
      <c r="AJ63" s="81">
        <f>AJ25 * (Inputs!$B$36 / 12) * (1 + Inputs!$B$44)^INT((COLUMNS($B$63:AJ63)-1) / 12)</f>
        <v/>
      </c>
      <c r="AK63" s="81">
        <f>AK25 * (Inputs!$B$36 / 12) * (1 + Inputs!$B$44)^INT((COLUMNS($B$63:AK63)-1) / 12)</f>
        <v/>
      </c>
      <c r="AL63" s="81">
        <f>AL25 * (Inputs!$B$36 / 12) * (1 + Inputs!$B$44)^INT((COLUMNS($B$63:AL63)-1) / 12)</f>
        <v/>
      </c>
      <c r="AM63" s="81">
        <f>AM25 * (Inputs!$B$36 / 12) * (1 + Inputs!$B$44)^INT((COLUMNS($B$63:AM63)-1) / 12)</f>
        <v/>
      </c>
      <c r="AN63" s="81">
        <f>AN25 * (Inputs!$B$36 / 12) * (1 + Inputs!$B$44)^INT((COLUMNS($B$63:AN63)-1) / 12)</f>
        <v/>
      </c>
      <c r="AO63" s="81">
        <f>AO25 * (Inputs!$B$36 / 12) * (1 + Inputs!$B$44)^INT((COLUMNS($B$63:AO63)-1) / 12)</f>
        <v/>
      </c>
      <c r="AP63" s="81">
        <f>AP25 * (Inputs!$B$36 / 12) * (1 + Inputs!$B$44)^INT((COLUMNS($B$63:AP63)-1) / 12)</f>
        <v/>
      </c>
      <c r="AQ63" s="81">
        <f>AQ25 * (Inputs!$B$36 / 12) * (1 + Inputs!$B$44)^INT((COLUMNS($B$63:AQ63)-1) / 12)</f>
        <v/>
      </c>
      <c r="AR63" s="81">
        <f>AR25 * (Inputs!$B$36 / 12) * (1 + Inputs!$B$44)^INT((COLUMNS($B$63:AR63)-1) / 12)</f>
        <v/>
      </c>
      <c r="AS63" s="81">
        <f>AS25 * (Inputs!$B$36 / 12) * (1 + Inputs!$B$44)^INT((COLUMNS($B$63:AS63)-1) / 12)</f>
        <v/>
      </c>
      <c r="AT63" s="81">
        <f>AT25 * (Inputs!$B$36 / 12) * (1 + Inputs!$B$44)^INT((COLUMNS($B$63:AT63)-1) / 12)</f>
        <v/>
      </c>
      <c r="AU63" s="81">
        <f>AU25 * (Inputs!$B$36 / 12) * (1 + Inputs!$B$44)^INT((COLUMNS($B$63:AU63)-1) / 12)</f>
        <v/>
      </c>
      <c r="AV63" s="81">
        <f>AV25 * (Inputs!$B$36 / 12) * (1 + Inputs!$B$44)^INT((COLUMNS($B$63:AV63)-1) / 12)</f>
        <v/>
      </c>
      <c r="AW63" s="81">
        <f>AW25 * (Inputs!$B$36 / 12) * (1 + Inputs!$B$44)^INT((COLUMNS($B$63:AW63)-1) / 12)</f>
        <v/>
      </c>
      <c r="AX63" s="81">
        <f>AX25 * (Inputs!$B$36 / 12) * (1 + Inputs!$B$44)^INT((COLUMNS($B$63:AX63)-1) / 12)</f>
        <v/>
      </c>
      <c r="AY63" s="81">
        <f>AY25 * (Inputs!$B$36 / 12) * (1 + Inputs!$B$44)^INT((COLUMNS($B$63:AY63)-1) / 12)</f>
        <v/>
      </c>
      <c r="AZ63" s="81">
        <f>AZ25 * (Inputs!$B$36 / 12) * (1 + Inputs!$B$44)^INT((COLUMNS($B$63:AZ63)-1) / 12)</f>
        <v/>
      </c>
      <c r="BA63" s="81">
        <f>BA25 * (Inputs!$B$36 / 12) * (1 + Inputs!$B$44)^INT((COLUMNS($B$63:BA63)-1) / 12)</f>
        <v/>
      </c>
    </row>
    <row r="64" ht="14.25" customHeight="1" s="83">
      <c r="A64" s="77" t="inlineStr">
        <is>
          <t>4. ML/AI Engineer Gehalt</t>
        </is>
      </c>
      <c r="B64" s="81">
        <f>B26 * (Inputs!$B$37 / 12) * (1 + Inputs!$B$44)^INT((COLUMNS($B$64:B64)-1) / 12)</f>
        <v/>
      </c>
      <c r="C64" s="81">
        <f>C26 * (Inputs!$B$37 / 12) * (1 + Inputs!$B$44)^INT((COLUMNS($B$64:C64)-1) / 12)</f>
        <v/>
      </c>
      <c r="D64" s="81">
        <f>D26 * (Inputs!$B$37 / 12) * (1 + Inputs!$B$44)^INT((COLUMNS($B$64:D64)-1) / 12)</f>
        <v/>
      </c>
      <c r="E64" s="81">
        <f>E26 * (Inputs!$B$37 / 12) * (1 + Inputs!$B$44)^INT((COLUMNS($B$64:E64)-1) / 12)</f>
        <v/>
      </c>
      <c r="F64" s="81">
        <f>F26 * (Inputs!$B$37 / 12) * (1 + Inputs!$B$44)^INT((COLUMNS($B$64:F64)-1) / 12)</f>
        <v/>
      </c>
      <c r="G64" s="81">
        <f>G26 * (Inputs!$B$37 / 12) * (1 + Inputs!$B$44)^INT((COLUMNS($B$64:G64)-1) / 12)</f>
        <v/>
      </c>
      <c r="H64" s="81">
        <f>H26 * (Inputs!$B$37 / 12) * (1 + Inputs!$B$44)^INT((COLUMNS($B$64:H64)-1) / 12)</f>
        <v/>
      </c>
      <c r="I64" s="81">
        <f>I26 * (Inputs!$B$37 / 12) * (1 + Inputs!$B$44)^INT((COLUMNS($B$64:I64)-1) / 12)</f>
        <v/>
      </c>
      <c r="J64" s="81">
        <f>J26 * (Inputs!$B$37 / 12) * (1 + Inputs!$B$44)^INT((COLUMNS($B$64:J64)-1) / 12)</f>
        <v/>
      </c>
      <c r="K64" s="81">
        <f>K26 * (Inputs!$B$37 / 12) * (1 + Inputs!$B$44)^INT((COLUMNS($B$64:K64)-1) / 12)</f>
        <v/>
      </c>
      <c r="L64" s="81">
        <f>L26 * (Inputs!$B$37 / 12) * (1 + Inputs!$B$44)^INT((COLUMNS($B$64:L64)-1) / 12)</f>
        <v/>
      </c>
      <c r="M64" s="81">
        <f>M26 * (Inputs!$B$37 / 12) * (1 + Inputs!$B$44)^INT((COLUMNS($B$64:M64)-1) / 12)</f>
        <v/>
      </c>
      <c r="N64" s="81">
        <f>N26 * (Inputs!$B$37 / 12) * (1 + Inputs!$B$44)^INT((COLUMNS($B$64:N64)-1) / 12)</f>
        <v/>
      </c>
      <c r="O64" s="81">
        <f>O26 * (Inputs!$B$37 / 12) * (1 + Inputs!$B$44)^INT((COLUMNS($B$64:O64)-1) / 12)</f>
        <v/>
      </c>
      <c r="P64" s="81">
        <f>P26 * (Inputs!$B$37 / 12) * (1 + Inputs!$B$44)^INT((COLUMNS($B$64:P64)-1) / 12)</f>
        <v/>
      </c>
      <c r="Q64" s="81">
        <f>Q26 * (Inputs!$B$37 / 12) * (1 + Inputs!$B$44)^INT((COLUMNS($B$64:Q64)-1) / 12)</f>
        <v/>
      </c>
      <c r="R64" s="81">
        <f>R26 * (Inputs!$B$37 / 12) * (1 + Inputs!$B$44)^INT((COLUMNS($B$64:R64)-1) / 12)</f>
        <v/>
      </c>
      <c r="S64" s="81">
        <f>S26 * (Inputs!$B$37 / 12) * (1 + Inputs!$B$44)^INT((COLUMNS($B$64:S64)-1) / 12)</f>
        <v/>
      </c>
      <c r="T64" s="81">
        <f>T26 * (Inputs!$B$37 / 12) * (1 + Inputs!$B$44)^INT((COLUMNS($B$64:T64)-1) / 12)</f>
        <v/>
      </c>
      <c r="U64" s="81">
        <f>U26 * (Inputs!$B$37 / 12) * (1 + Inputs!$B$44)^INT((COLUMNS($B$64:U64)-1) / 12)</f>
        <v/>
      </c>
      <c r="V64" s="81">
        <f>V26 * (Inputs!$B$37 / 12) * (1 + Inputs!$B$44)^INT((COLUMNS($B$64:V64)-1) / 12)</f>
        <v/>
      </c>
      <c r="W64" s="81">
        <f>W26 * (Inputs!$B$37 / 12) * (1 + Inputs!$B$44)^INT((COLUMNS($B$64:W64)-1) / 12)</f>
        <v/>
      </c>
      <c r="X64" s="81">
        <f>X26 * (Inputs!$B$37 / 12) * (1 + Inputs!$B$44)^INT((COLUMNS($B$64:X64)-1) / 12)</f>
        <v/>
      </c>
      <c r="Y64" s="81">
        <f>Y26 * (Inputs!$B$37 / 12) * (1 + Inputs!$B$44)^INT((COLUMNS($B$64:Y64)-1) / 12)</f>
        <v/>
      </c>
      <c r="Z64" s="81">
        <f>Z26 * (Inputs!$B$37 / 12) * (1 + Inputs!$B$44)^INT((COLUMNS($B$64:Z64)-1) / 12)</f>
        <v/>
      </c>
      <c r="AA64" s="81">
        <f>AA26 * (Inputs!$B$37 / 12) * (1 + Inputs!$B$44)^INT((COLUMNS($B$64:AA64)-1) / 12)</f>
        <v/>
      </c>
      <c r="AB64" s="81">
        <f>AB26 * (Inputs!$B$37 / 12) * (1 + Inputs!$B$44)^INT((COLUMNS($B$64:AB64)-1) / 12)</f>
        <v/>
      </c>
      <c r="AC64" s="81">
        <f>AC26 * (Inputs!$B$37 / 12) * (1 + Inputs!$B$44)^INT((COLUMNS($B$64:AC64)-1) / 12)</f>
        <v/>
      </c>
      <c r="AD64" s="81">
        <f>AD26 * (Inputs!$B$37 / 12) * (1 + Inputs!$B$44)^INT((COLUMNS($B$64:AD64)-1) / 12)</f>
        <v/>
      </c>
      <c r="AE64" s="81">
        <f>AE26 * (Inputs!$B$37 / 12) * (1 + Inputs!$B$44)^INT((COLUMNS($B$64:AE64)-1) / 12)</f>
        <v/>
      </c>
      <c r="AF64" s="81">
        <f>AF26 * (Inputs!$B$37 / 12) * (1 + Inputs!$B$44)^INT((COLUMNS($B$64:AF64)-1) / 12)</f>
        <v/>
      </c>
      <c r="AG64" s="81">
        <f>AG26 * (Inputs!$B$37 / 12) * (1 + Inputs!$B$44)^INT((COLUMNS($B$64:AG64)-1) / 12)</f>
        <v/>
      </c>
      <c r="AH64" s="81">
        <f>AH26 * (Inputs!$B$37 / 12) * (1 + Inputs!$B$44)^INT((COLUMNS($B$64:AH64)-1) / 12)</f>
        <v/>
      </c>
      <c r="AI64" s="81">
        <f>AI26 * (Inputs!$B$37 / 12) * (1 + Inputs!$B$44)^INT((COLUMNS($B$64:AI64)-1) / 12)</f>
        <v/>
      </c>
      <c r="AJ64" s="81">
        <f>AJ26 * (Inputs!$B$37 / 12) * (1 + Inputs!$B$44)^INT((COLUMNS($B$64:AJ64)-1) / 12)</f>
        <v/>
      </c>
      <c r="AK64" s="81">
        <f>AK26 * (Inputs!$B$37 / 12) * (1 + Inputs!$B$44)^INT((COLUMNS($B$64:AK64)-1) / 12)</f>
        <v/>
      </c>
      <c r="AL64" s="81">
        <f>AL26 * (Inputs!$B$37 / 12) * (1 + Inputs!$B$44)^INT((COLUMNS($B$64:AL64)-1) / 12)</f>
        <v/>
      </c>
      <c r="AM64" s="81">
        <f>AM26 * (Inputs!$B$37 / 12) * (1 + Inputs!$B$44)^INT((COLUMNS($B$64:AM64)-1) / 12)</f>
        <v/>
      </c>
      <c r="AN64" s="81">
        <f>AN26 * (Inputs!$B$37 / 12) * (1 + Inputs!$B$44)^INT((COLUMNS($B$64:AN64)-1) / 12)</f>
        <v/>
      </c>
      <c r="AO64" s="81">
        <f>AO26 * (Inputs!$B$37 / 12) * (1 + Inputs!$B$44)^INT((COLUMNS($B$64:AO64)-1) / 12)</f>
        <v/>
      </c>
      <c r="AP64" s="81">
        <f>AP26 * (Inputs!$B$37 / 12) * (1 + Inputs!$B$44)^INT((COLUMNS($B$64:AP64)-1) / 12)</f>
        <v/>
      </c>
      <c r="AQ64" s="81">
        <f>AQ26 * (Inputs!$B$37 / 12) * (1 + Inputs!$B$44)^INT((COLUMNS($B$64:AQ64)-1) / 12)</f>
        <v/>
      </c>
      <c r="AR64" s="81">
        <f>AR26 * (Inputs!$B$37 / 12) * (1 + Inputs!$B$44)^INT((COLUMNS($B$64:AR64)-1) / 12)</f>
        <v/>
      </c>
      <c r="AS64" s="81">
        <f>AS26 * (Inputs!$B$37 / 12) * (1 + Inputs!$B$44)^INT((COLUMNS($B$64:AS64)-1) / 12)</f>
        <v/>
      </c>
      <c r="AT64" s="81">
        <f>AT26 * (Inputs!$B$37 / 12) * (1 + Inputs!$B$44)^INT((COLUMNS($B$64:AT64)-1) / 12)</f>
        <v/>
      </c>
      <c r="AU64" s="81">
        <f>AU26 * (Inputs!$B$37 / 12) * (1 + Inputs!$B$44)^INT((COLUMNS($B$64:AU64)-1) / 12)</f>
        <v/>
      </c>
      <c r="AV64" s="81">
        <f>AV26 * (Inputs!$B$37 / 12) * (1 + Inputs!$B$44)^INT((COLUMNS($B$64:AV64)-1) / 12)</f>
        <v/>
      </c>
      <c r="AW64" s="81">
        <f>AW26 * (Inputs!$B$37 / 12) * (1 + Inputs!$B$44)^INT((COLUMNS($B$64:AW64)-1) / 12)</f>
        <v/>
      </c>
      <c r="AX64" s="81">
        <f>AX26 * (Inputs!$B$37 / 12) * (1 + Inputs!$B$44)^INT((COLUMNS($B$64:AX64)-1) / 12)</f>
        <v/>
      </c>
      <c r="AY64" s="81">
        <f>AY26 * (Inputs!$B$37 / 12) * (1 + Inputs!$B$44)^INT((COLUMNS($B$64:AY64)-1) / 12)</f>
        <v/>
      </c>
      <c r="AZ64" s="81">
        <f>AZ26 * (Inputs!$B$37 / 12) * (1 + Inputs!$B$44)^INT((COLUMNS($B$64:AZ64)-1) / 12)</f>
        <v/>
      </c>
      <c r="BA64" s="81">
        <f>BA26 * (Inputs!$B$37 / 12) * (1 + Inputs!$B$44)^INT((COLUMNS($B$64:BA64)-1) / 12)</f>
        <v/>
      </c>
    </row>
    <row r="65" ht="14.25" customHeight="1" s="83">
      <c r="A65" s="77" t="inlineStr">
        <is>
          <t>2. Product Manager Gehalt</t>
        </is>
      </c>
      <c r="B65" s="81">
        <f>B27 * (Inputs!$B$38 / 12) * (1 + Inputs!$B$44)^INT((COLUMNS($B$65:B65)-1) / 12)</f>
        <v/>
      </c>
      <c r="C65" s="81">
        <f>C27 * (Inputs!$B$38 / 12) * (1 + Inputs!$B$44)^INT((COLUMNS($B$65:C65)-1) / 12)</f>
        <v/>
      </c>
      <c r="D65" s="81">
        <f>D27 * (Inputs!$B$38 / 12) * (1 + Inputs!$B$44)^INT((COLUMNS($B$65:D65)-1) / 12)</f>
        <v/>
      </c>
      <c r="E65" s="81">
        <f>E27 * (Inputs!$B$38 / 12) * (1 + Inputs!$B$44)^INT((COLUMNS($B$65:E65)-1) / 12)</f>
        <v/>
      </c>
      <c r="F65" s="81">
        <f>F27 * (Inputs!$B$38 / 12) * (1 + Inputs!$B$44)^INT((COLUMNS($B$65:F65)-1) / 12)</f>
        <v/>
      </c>
      <c r="G65" s="81">
        <f>G27 * (Inputs!$B$38 / 12) * (1 + Inputs!$B$44)^INT((COLUMNS($B$65:G65)-1) / 12)</f>
        <v/>
      </c>
      <c r="H65" s="81">
        <f>H27 * (Inputs!$B$38 / 12) * (1 + Inputs!$B$44)^INT((COLUMNS($B$65:H65)-1) / 12)</f>
        <v/>
      </c>
      <c r="I65" s="81">
        <f>I27 * (Inputs!$B$38 / 12) * (1 + Inputs!$B$44)^INT((COLUMNS($B$65:I65)-1) / 12)</f>
        <v/>
      </c>
      <c r="J65" s="81">
        <f>J27 * (Inputs!$B$38 / 12) * (1 + Inputs!$B$44)^INT((COLUMNS($B$65:J65)-1) / 12)</f>
        <v/>
      </c>
      <c r="K65" s="81">
        <f>K27 * (Inputs!$B$38 / 12) * (1 + Inputs!$B$44)^INT((COLUMNS($B$65:K65)-1) / 12)</f>
        <v/>
      </c>
      <c r="L65" s="81">
        <f>L27 * (Inputs!$B$38 / 12) * (1 + Inputs!$B$44)^INT((COLUMNS($B$65:L65)-1) / 12)</f>
        <v/>
      </c>
      <c r="M65" s="81">
        <f>M27 * (Inputs!$B$38 / 12) * (1 + Inputs!$B$44)^INT((COLUMNS($B$65:M65)-1) / 12)</f>
        <v/>
      </c>
      <c r="N65" s="81">
        <f>N27 * (Inputs!$B$38 / 12) * (1 + Inputs!$B$44)^INT((COLUMNS($B$65:N65)-1) / 12)</f>
        <v/>
      </c>
      <c r="O65" s="81">
        <f>O27 * (Inputs!$B$38 / 12) * (1 + Inputs!$B$44)^INT((COLUMNS($B$65:O65)-1) / 12)</f>
        <v/>
      </c>
      <c r="P65" s="81">
        <f>P27 * (Inputs!$B$38 / 12) * (1 + Inputs!$B$44)^INT((COLUMNS($B$65:P65)-1) / 12)</f>
        <v/>
      </c>
      <c r="Q65" s="81">
        <f>Q27 * (Inputs!$B$38 / 12) * (1 + Inputs!$B$44)^INT((COLUMNS($B$65:Q65)-1) / 12)</f>
        <v/>
      </c>
      <c r="R65" s="81">
        <f>R27 * (Inputs!$B$38 / 12) * (1 + Inputs!$B$44)^INT((COLUMNS($B$65:R65)-1) / 12)</f>
        <v/>
      </c>
      <c r="S65" s="81">
        <f>S27 * (Inputs!$B$38 / 12) * (1 + Inputs!$B$44)^INT((COLUMNS($B$65:S65)-1) / 12)</f>
        <v/>
      </c>
      <c r="T65" s="81">
        <f>T27 * (Inputs!$B$38 / 12) * (1 + Inputs!$B$44)^INT((COLUMNS($B$65:T65)-1) / 12)</f>
        <v/>
      </c>
      <c r="U65" s="81">
        <f>U27 * (Inputs!$B$38 / 12) * (1 + Inputs!$B$44)^INT((COLUMNS($B$65:U65)-1) / 12)</f>
        <v/>
      </c>
      <c r="V65" s="81">
        <f>V27 * (Inputs!$B$38 / 12) * (1 + Inputs!$B$44)^INT((COLUMNS($B$65:V65)-1) / 12)</f>
        <v/>
      </c>
      <c r="W65" s="81">
        <f>W27 * (Inputs!$B$38 / 12) * (1 + Inputs!$B$44)^INT((COLUMNS($B$65:W65)-1) / 12)</f>
        <v/>
      </c>
      <c r="X65" s="81">
        <f>X27 * (Inputs!$B$38 / 12) * (1 + Inputs!$B$44)^INT((COLUMNS($B$65:X65)-1) / 12)</f>
        <v/>
      </c>
      <c r="Y65" s="81">
        <f>Y27 * (Inputs!$B$38 / 12) * (1 + Inputs!$B$44)^INT((COLUMNS($B$65:Y65)-1) / 12)</f>
        <v/>
      </c>
      <c r="Z65" s="81">
        <f>Z27 * (Inputs!$B$38 / 12) * (1 + Inputs!$B$44)^INT((COLUMNS($B$65:Z65)-1) / 12)</f>
        <v/>
      </c>
      <c r="AA65" s="81">
        <f>AA27 * (Inputs!$B$38 / 12) * (1 + Inputs!$B$44)^INT((COLUMNS($B$65:AA65)-1) / 12)</f>
        <v/>
      </c>
      <c r="AB65" s="81">
        <f>AB27 * (Inputs!$B$38 / 12) * (1 + Inputs!$B$44)^INT((COLUMNS($B$65:AB65)-1) / 12)</f>
        <v/>
      </c>
      <c r="AC65" s="81">
        <f>AC27 * (Inputs!$B$38 / 12) * (1 + Inputs!$B$44)^INT((COLUMNS($B$65:AC65)-1) / 12)</f>
        <v/>
      </c>
      <c r="AD65" s="81">
        <f>AD27 * (Inputs!$B$38 / 12) * (1 + Inputs!$B$44)^INT((COLUMNS($B$65:AD65)-1) / 12)</f>
        <v/>
      </c>
      <c r="AE65" s="81">
        <f>AE27 * (Inputs!$B$38 / 12) * (1 + Inputs!$B$44)^INT((COLUMNS($B$65:AE65)-1) / 12)</f>
        <v/>
      </c>
      <c r="AF65" s="81">
        <f>AF27 * (Inputs!$B$38 / 12) * (1 + Inputs!$B$44)^INT((COLUMNS($B$65:AF65)-1) / 12)</f>
        <v/>
      </c>
      <c r="AG65" s="81">
        <f>AG27 * (Inputs!$B$38 / 12) * (1 + Inputs!$B$44)^INT((COLUMNS($B$65:AG65)-1) / 12)</f>
        <v/>
      </c>
      <c r="AH65" s="81">
        <f>AH27 * (Inputs!$B$38 / 12) * (1 + Inputs!$B$44)^INT((COLUMNS($B$65:AH65)-1) / 12)</f>
        <v/>
      </c>
      <c r="AI65" s="81">
        <f>AI27 * (Inputs!$B$38 / 12) * (1 + Inputs!$B$44)^INT((COLUMNS($B$65:AI65)-1) / 12)</f>
        <v/>
      </c>
      <c r="AJ65" s="81">
        <f>AJ27 * (Inputs!$B$38 / 12) * (1 + Inputs!$B$44)^INT((COLUMNS($B$65:AJ65)-1) / 12)</f>
        <v/>
      </c>
      <c r="AK65" s="81">
        <f>AK27 * (Inputs!$B$38 / 12) * (1 + Inputs!$B$44)^INT((COLUMNS($B$65:AK65)-1) / 12)</f>
        <v/>
      </c>
      <c r="AL65" s="81">
        <f>AL27 * (Inputs!$B$38 / 12) * (1 + Inputs!$B$44)^INT((COLUMNS($B$65:AL65)-1) / 12)</f>
        <v/>
      </c>
      <c r="AM65" s="81">
        <f>AM27 * (Inputs!$B$38 / 12) * (1 + Inputs!$B$44)^INT((COLUMNS($B$65:AM65)-1) / 12)</f>
        <v/>
      </c>
      <c r="AN65" s="81">
        <f>AN27 * (Inputs!$B$38 / 12) * (1 + Inputs!$B$44)^INT((COLUMNS($B$65:AN65)-1) / 12)</f>
        <v/>
      </c>
      <c r="AO65" s="81">
        <f>AO27 * (Inputs!$B$38 / 12) * (1 + Inputs!$B$44)^INT((COLUMNS($B$65:AO65)-1) / 12)</f>
        <v/>
      </c>
      <c r="AP65" s="81">
        <f>AP27 * (Inputs!$B$38 / 12) * (1 + Inputs!$B$44)^INT((COLUMNS($B$65:AP65)-1) / 12)</f>
        <v/>
      </c>
      <c r="AQ65" s="81">
        <f>AQ27 * (Inputs!$B$38 / 12) * (1 + Inputs!$B$44)^INT((COLUMNS($B$65:AQ65)-1) / 12)</f>
        <v/>
      </c>
      <c r="AR65" s="81">
        <f>AR27 * (Inputs!$B$38 / 12) * (1 + Inputs!$B$44)^INT((COLUMNS($B$65:AR65)-1) / 12)</f>
        <v/>
      </c>
      <c r="AS65" s="81">
        <f>AS27 * (Inputs!$B$38 / 12) * (1 + Inputs!$B$44)^INT((COLUMNS($B$65:AS65)-1) / 12)</f>
        <v/>
      </c>
      <c r="AT65" s="81">
        <f>AT27 * (Inputs!$B$38 / 12) * (1 + Inputs!$B$44)^INT((COLUMNS($B$65:AT65)-1) / 12)</f>
        <v/>
      </c>
      <c r="AU65" s="81">
        <f>AU27 * (Inputs!$B$38 / 12) * (1 + Inputs!$B$44)^INT((COLUMNS($B$65:AU65)-1) / 12)</f>
        <v/>
      </c>
      <c r="AV65" s="74">
        <f>AV27*Inputs!$B$38/12*(1+Inputs!$B$44)^INT((47-1)/12)</f>
        <v/>
      </c>
      <c r="AW65" s="74">
        <f>AW27*Inputs!$B$38/12*(1+Inputs!$B$44)^INT((48-1)/12)</f>
        <v/>
      </c>
      <c r="AX65" s="74">
        <f>AX27*Inputs!$B$38/12*(1+Inputs!$B$44)^INT((49-1)/12)</f>
        <v/>
      </c>
      <c r="AY65" s="74">
        <f>AY27*Inputs!$B$38/12*(1+Inputs!$B$44)^INT((50-1)/12)</f>
        <v/>
      </c>
      <c r="AZ65" s="74">
        <f>AZ27*Inputs!$B$38/12*(1+Inputs!$B$44)^INT((51-1)/12)</f>
        <v/>
      </c>
      <c r="BA65" s="74">
        <f>BA27*Inputs!$B$38/12*(1+Inputs!$B$44)^INT((52-1)/12)</f>
        <v/>
      </c>
    </row>
    <row r="66" ht="14.25" customHeight="1" s="83">
      <c r="A66" s="77" t="inlineStr">
        <is>
          <t>4. Sales Rep Gehalt</t>
        </is>
      </c>
      <c r="B66" s="81">
        <f>B28 * (Inputs!$B$39 / 12) * (1 + Inputs!$B$44)^INT((COLUMNS($B$66:B66)-1) / 12)</f>
        <v/>
      </c>
      <c r="C66" s="81">
        <f>C28 * (Inputs!$B$39 / 12) * (1 + Inputs!$B$44)^INT((COLUMNS($B$66:C66)-1) / 12)</f>
        <v/>
      </c>
      <c r="D66" s="81">
        <f>D28 * (Inputs!$B$39 / 12) * (1 + Inputs!$B$44)^INT((COLUMNS($B$66:D66)-1) / 12)</f>
        <v/>
      </c>
      <c r="E66" s="81">
        <f>E28 * (Inputs!$B$39 / 12) * (1 + Inputs!$B$44)^INT((COLUMNS($B$66:E66)-1) / 12)</f>
        <v/>
      </c>
      <c r="F66" s="81">
        <f>F28 * (Inputs!$B$39 / 12) * (1 + Inputs!$B$44)^INT((COLUMNS($B$66:F66)-1) / 12)</f>
        <v/>
      </c>
      <c r="G66" s="81">
        <f>G28 * (Inputs!$B$39 / 12) * (1 + Inputs!$B$44)^INT((COLUMNS($B$66:G66)-1) / 12)</f>
        <v/>
      </c>
      <c r="H66" s="81">
        <f>H28 * (Inputs!$B$39 / 12) * (1 + Inputs!$B$44)^INT((COLUMNS($B$66:H66)-1) / 12)</f>
        <v/>
      </c>
      <c r="I66" s="81">
        <f>I28 * (Inputs!$B$39 / 12) * (1 + Inputs!$B$44)^INT((COLUMNS($B$66:I66)-1) / 12)</f>
        <v/>
      </c>
      <c r="J66" s="81">
        <f>J28 * (Inputs!$B$39 / 12) * (1 + Inputs!$B$44)^INT((COLUMNS($B$66:J66)-1) / 12)</f>
        <v/>
      </c>
      <c r="K66" s="81">
        <f>K28 * (Inputs!$B$39 / 12) * (1 + Inputs!$B$44)^INT((COLUMNS($B$66:K66)-1) / 12)</f>
        <v/>
      </c>
      <c r="L66" s="81">
        <f>L28 * (Inputs!$B$39 / 12) * (1 + Inputs!$B$44)^INT((COLUMNS($B$66:L66)-1) / 12)</f>
        <v/>
      </c>
      <c r="M66" s="81">
        <f>M28 * (Inputs!$B$39 / 12) * (1 + Inputs!$B$44)^INT((COLUMNS($B$66:M66)-1) / 12)</f>
        <v/>
      </c>
      <c r="N66" s="81">
        <f>N28 * (Inputs!$B$39 / 12) * (1 + Inputs!$B$44)^INT((COLUMNS($B$66:N66)-1) / 12)</f>
        <v/>
      </c>
      <c r="O66" s="81">
        <f>O28 * (Inputs!$B$39 / 12) * (1 + Inputs!$B$44)^INT((COLUMNS($B$66:O66)-1) / 12)</f>
        <v/>
      </c>
      <c r="P66" s="81">
        <f>P28 * (Inputs!$B$39 / 12) * (1 + Inputs!$B$44)^INT((COLUMNS($B$66:P66)-1) / 12)</f>
        <v/>
      </c>
      <c r="Q66" s="81">
        <f>Q28 * (Inputs!$B$39 / 12) * (1 + Inputs!$B$44)^INT((COLUMNS($B$66:Q66)-1) / 12)</f>
        <v/>
      </c>
      <c r="R66" s="81">
        <f>R28 * (Inputs!$B$39 / 12) * (1 + Inputs!$B$44)^INT((COLUMNS($B$66:R66)-1) / 12)</f>
        <v/>
      </c>
      <c r="S66" s="81">
        <f>S28 * (Inputs!$B$39 / 12) * (1 + Inputs!$B$44)^INT((COLUMNS($B$66:S66)-1) / 12)</f>
        <v/>
      </c>
      <c r="T66" s="81">
        <f>T28 * (Inputs!$B$39 / 12) * (1 + Inputs!$B$44)^INT((COLUMNS($B$66:T66)-1) / 12)</f>
        <v/>
      </c>
      <c r="U66" s="81">
        <f>U28 * (Inputs!$B$39 / 12) * (1 + Inputs!$B$44)^INT((COLUMNS($B$66:U66)-1) / 12)</f>
        <v/>
      </c>
      <c r="V66" s="81">
        <f>V28 * (Inputs!$B$39 / 12) * (1 + Inputs!$B$44)^INT((COLUMNS($B$66:V66)-1) / 12)</f>
        <v/>
      </c>
      <c r="W66" s="81">
        <f>W28 * (Inputs!$B$39 / 12) * (1 + Inputs!$B$44)^INT((COLUMNS($B$66:W66)-1) / 12)</f>
        <v/>
      </c>
      <c r="X66" s="81">
        <f>X28 * (Inputs!$B$39 / 12) * (1 + Inputs!$B$44)^INT((COLUMNS($B$66:X66)-1) / 12)</f>
        <v/>
      </c>
      <c r="Y66" s="81">
        <f>Y28 * (Inputs!$B$39 / 12) * (1 + Inputs!$B$44)^INT((COLUMNS($B$66:Y66)-1) / 12)</f>
        <v/>
      </c>
      <c r="Z66" s="81">
        <f>Z28 * (Inputs!$B$39 / 12) * (1 + Inputs!$B$44)^INT((COLUMNS($B$66:Z66)-1) / 12)</f>
        <v/>
      </c>
      <c r="AA66" s="81">
        <f>AA28 * (Inputs!$B$39 / 12) * (1 + Inputs!$B$44)^INT((COLUMNS($B$66:AA66)-1) / 12)</f>
        <v/>
      </c>
      <c r="AB66" s="81">
        <f>AB28 * (Inputs!$B$39 / 12) * (1 + Inputs!$B$44)^INT((COLUMNS($B$66:AB66)-1) / 12)</f>
        <v/>
      </c>
      <c r="AC66" s="81">
        <f>AC28 * (Inputs!$B$39 / 12) * (1 + Inputs!$B$44)^INT((COLUMNS($B$66:AC66)-1) / 12)</f>
        <v/>
      </c>
      <c r="AD66" s="81">
        <f>AD28 * (Inputs!$B$39 / 12) * (1 + Inputs!$B$44)^INT((COLUMNS($B$66:AD66)-1) / 12)</f>
        <v/>
      </c>
      <c r="AE66" s="81">
        <f>AE28 * (Inputs!$B$39 / 12) * (1 + Inputs!$B$44)^INT((COLUMNS($B$66:AE66)-1) / 12)</f>
        <v/>
      </c>
      <c r="AF66" s="81">
        <f>AF28 * (Inputs!$B$39 / 12) * (1 + Inputs!$B$44)^INT((COLUMNS($B$66:AF66)-1) / 12)</f>
        <v/>
      </c>
      <c r="AG66" s="81">
        <f>AG28 * (Inputs!$B$39 / 12) * (1 + Inputs!$B$44)^INT((COLUMNS($B$66:AG66)-1) / 12)</f>
        <v/>
      </c>
      <c r="AH66" s="81">
        <f>AH28 * (Inputs!$B$39 / 12) * (1 + Inputs!$B$44)^INT((COLUMNS($B$66:AH66)-1) / 12)</f>
        <v/>
      </c>
      <c r="AI66" s="81">
        <f>AI28 * (Inputs!$B$39 / 12) * (1 + Inputs!$B$44)^INT((COLUMNS($B$66:AI66)-1) / 12)</f>
        <v/>
      </c>
      <c r="AJ66" s="81">
        <f>AJ28 * (Inputs!$B$39 / 12) * (1 + Inputs!$B$44)^INT((COLUMNS($B$66:AJ66)-1) / 12)</f>
        <v/>
      </c>
      <c r="AK66" s="81">
        <f>AK28 * (Inputs!$B$39 / 12) * (1 + Inputs!$B$44)^INT((COLUMNS($B$66:AK66)-1) / 12)</f>
        <v/>
      </c>
      <c r="AL66" s="81">
        <f>AL28 * (Inputs!$B$39 / 12) * (1 + Inputs!$B$44)^INT((COLUMNS($B$66:AL66)-1) / 12)</f>
        <v/>
      </c>
      <c r="AM66" s="81">
        <f>AM28 * (Inputs!$B$39 / 12) * (1 + Inputs!$B$44)^INT((COLUMNS($B$66:AM66)-1) / 12)</f>
        <v/>
      </c>
      <c r="AN66" s="81">
        <f>AN28 * (Inputs!$B$39 / 12) * (1 + Inputs!$B$44)^INT((COLUMNS($B$66:AN66)-1) / 12)</f>
        <v/>
      </c>
      <c r="AO66" s="81">
        <f>AO28 * (Inputs!$B$39 / 12) * (1 + Inputs!$B$44)^INT((COLUMNS($B$66:AO66)-1) / 12)</f>
        <v/>
      </c>
      <c r="AP66" s="81">
        <f>AP28 * (Inputs!$B$39 / 12) * (1 + Inputs!$B$44)^INT((COLUMNS($B$66:AP66)-1) / 12)</f>
        <v/>
      </c>
      <c r="AQ66" s="81">
        <f>AQ28 * (Inputs!$B$39 / 12) * (1 + Inputs!$B$44)^INT((COLUMNS($B$66:AQ66)-1) / 12)</f>
        <v/>
      </c>
      <c r="AR66" s="81">
        <f>AR28 * (Inputs!$B$39 / 12) * (1 + Inputs!$B$44)^INT((COLUMNS($B$66:AR66)-1) / 12)</f>
        <v/>
      </c>
      <c r="AS66" s="81">
        <f>AS28 * (Inputs!$B$39 / 12) * (1 + Inputs!$B$44)^INT((COLUMNS($B$66:AS66)-1) / 12)</f>
        <v/>
      </c>
      <c r="AT66" s="81">
        <f>AT28 * (Inputs!$B$39 / 12) * (1 + Inputs!$B$44)^INT((COLUMNS($B$66:AT66)-1) / 12)</f>
        <v/>
      </c>
      <c r="AU66" s="81">
        <f>AU28 * (Inputs!$B$39 / 12) * (1 + Inputs!$B$44)^INT((COLUMNS($B$66:AU66)-1) / 12)</f>
        <v/>
      </c>
      <c r="AV66" s="81">
        <f>AV28 * (Inputs!$B$39 / 12) * (1 + Inputs!$B$44)^INT((COLUMNS($B$66:AV66)-1) / 12)</f>
        <v/>
      </c>
      <c r="AW66" s="81">
        <f>AW28 * (Inputs!$B$39 / 12) * (1 + Inputs!$B$44)^INT((COLUMNS($B$66:AW66)-1) / 12)</f>
        <v/>
      </c>
      <c r="AX66" s="81">
        <f>AX28 * (Inputs!$B$39 / 12) * (1 + Inputs!$B$44)^INT((COLUMNS($B$66:AX66)-1) / 12)</f>
        <v/>
      </c>
      <c r="AY66" s="81">
        <f>AY28 * (Inputs!$B$39 / 12) * (1 + Inputs!$B$44)^INT((COLUMNS($B$66:AY66)-1) / 12)</f>
        <v/>
      </c>
      <c r="AZ66" s="81">
        <f>AZ28 * (Inputs!$B$39 / 12) * (1 + Inputs!$B$44)^INT((COLUMNS($B$66:AZ66)-1) / 12)</f>
        <v/>
      </c>
      <c r="BA66" s="81">
        <f>BA28 * (Inputs!$B$39 / 12) * (1 + Inputs!$B$44)^INT((COLUMNS($B$66:BA66)-1) / 12)</f>
        <v/>
      </c>
    </row>
    <row r="67" ht="14.25" customHeight="1" s="83">
      <c r="A67" s="77" t="inlineStr">
        <is>
          <t>3. Customer Success Gehalt</t>
        </is>
      </c>
      <c r="B67" s="81">
        <f>B29 * (Inputs!$B$41 / 12) * (1 + Inputs!$B$44)^INT((COLUMNS($B$67:B67)-1) / 12)</f>
        <v/>
      </c>
      <c r="C67" s="81">
        <f>C29 * (Inputs!$B$41 / 12) * (1 + Inputs!$B$44)^INT((COLUMNS($B$67:C67)-1) / 12)</f>
        <v/>
      </c>
      <c r="D67" s="81">
        <f>D29 * (Inputs!$B$41 / 12) * (1 + Inputs!$B$44)^INT((COLUMNS($B$67:D67)-1) / 12)</f>
        <v/>
      </c>
      <c r="E67" s="81">
        <f>E29 * (Inputs!$B$41 / 12) * (1 + Inputs!$B$44)^INT((COLUMNS($B$67:E67)-1) / 12)</f>
        <v/>
      </c>
      <c r="F67" s="81">
        <f>F29 * (Inputs!$B$41 / 12) * (1 + Inputs!$B$44)^INT((COLUMNS($B$67:F67)-1) / 12)</f>
        <v/>
      </c>
      <c r="G67" s="81">
        <f>G29 * (Inputs!$B$41 / 12) * (1 + Inputs!$B$44)^INT((COLUMNS($B$67:G67)-1) / 12)</f>
        <v/>
      </c>
      <c r="H67" s="81">
        <f>H29 * (Inputs!$B$41 / 12) * (1 + Inputs!$B$44)^INT((COLUMNS($B$67:H67)-1) / 12)</f>
        <v/>
      </c>
      <c r="I67" s="81">
        <f>I29 * (Inputs!$B$41 / 12) * (1 + Inputs!$B$44)^INT((COLUMNS($B$67:I67)-1) / 12)</f>
        <v/>
      </c>
      <c r="J67" s="81">
        <f>J29 * (Inputs!$B$41 / 12) * (1 + Inputs!$B$44)^INT((COLUMNS($B$67:J67)-1) / 12)</f>
        <v/>
      </c>
      <c r="K67" s="81">
        <f>K29 * (Inputs!$B$41 / 12) * (1 + Inputs!$B$44)^INT((COLUMNS($B$67:K67)-1) / 12)</f>
        <v/>
      </c>
      <c r="L67" s="81">
        <f>L29 * (Inputs!$B$41 / 12) * (1 + Inputs!$B$44)^INT((COLUMNS($B$67:L67)-1) / 12)</f>
        <v/>
      </c>
      <c r="M67" s="81">
        <f>M29 * (Inputs!$B$41 / 12) * (1 + Inputs!$B$44)^INT((COLUMNS($B$67:M67)-1) / 12)</f>
        <v/>
      </c>
      <c r="N67" s="81">
        <f>N29 * (Inputs!$B$41 / 12) * (1 + Inputs!$B$44)^INT((COLUMNS($B$67:N67)-1) / 12)</f>
        <v/>
      </c>
      <c r="O67" s="81">
        <f>O29 * (Inputs!$B$41 / 12) * (1 + Inputs!$B$44)^INT((COLUMNS($B$67:O67)-1) / 12)</f>
        <v/>
      </c>
      <c r="P67" s="81">
        <f>P29 * (Inputs!$B$41 / 12) * (1 + Inputs!$B$44)^INT((COLUMNS($B$67:P67)-1) / 12)</f>
        <v/>
      </c>
      <c r="Q67" s="81">
        <f>Q29 * (Inputs!$B$41 / 12) * (1 + Inputs!$B$44)^INT((COLUMNS($B$67:Q67)-1) / 12)</f>
        <v/>
      </c>
      <c r="R67" s="81">
        <f>R29 * (Inputs!$B$41 / 12) * (1 + Inputs!$B$44)^INT((COLUMNS($B$67:R67)-1) / 12)</f>
        <v/>
      </c>
      <c r="S67" s="81">
        <f>S29 * (Inputs!$B$41 / 12) * (1 + Inputs!$B$44)^INT((COLUMNS($B$67:S67)-1) / 12)</f>
        <v/>
      </c>
      <c r="T67" s="81">
        <f>T29 * (Inputs!$B$41 / 12) * (1 + Inputs!$B$44)^INT((COLUMNS($B$67:T67)-1) / 12)</f>
        <v/>
      </c>
      <c r="U67" s="81">
        <f>U29 * (Inputs!$B$41 / 12) * (1 + Inputs!$B$44)^INT((COLUMNS($B$67:U67)-1) / 12)</f>
        <v/>
      </c>
      <c r="V67" s="81">
        <f>V29 * (Inputs!$B$41 / 12) * (1 + Inputs!$B$44)^INT((COLUMNS($B$67:V67)-1) / 12)</f>
        <v/>
      </c>
      <c r="W67" s="81">
        <f>W29 * (Inputs!$B$41 / 12) * (1 + Inputs!$B$44)^INT((COLUMNS($B$67:W67)-1) / 12)</f>
        <v/>
      </c>
      <c r="X67" s="81">
        <f>X29 * (Inputs!$B$41 / 12) * (1 + Inputs!$B$44)^INT((COLUMNS($B$67:X67)-1) / 12)</f>
        <v/>
      </c>
      <c r="Y67" s="81">
        <f>Y29 * (Inputs!$B$41 / 12) * (1 + Inputs!$B$44)^INT((COLUMNS($B$67:Y67)-1) / 12)</f>
        <v/>
      </c>
      <c r="Z67" s="81">
        <f>Z29 * (Inputs!$B$41 / 12) * (1 + Inputs!$B$44)^INT((COLUMNS($B$67:Z67)-1) / 12)</f>
        <v/>
      </c>
      <c r="AA67" s="81">
        <f>AA29 * (Inputs!$B$41 / 12) * (1 + Inputs!$B$44)^INT((COLUMNS($B$67:AA67)-1) / 12)</f>
        <v/>
      </c>
      <c r="AB67" s="81">
        <f>AB29 * (Inputs!$B$41 / 12) * (1 + Inputs!$B$44)^INT((COLUMNS($B$67:AB67)-1) / 12)</f>
        <v/>
      </c>
      <c r="AC67" s="81">
        <f>AC29 * (Inputs!$B$41 / 12) * (1 + Inputs!$B$44)^INT((COLUMNS($B$67:AC67)-1) / 12)</f>
        <v/>
      </c>
      <c r="AD67" s="81">
        <f>AD29 * (Inputs!$B$41 / 12) * (1 + Inputs!$B$44)^INT((COLUMNS($B$67:AD67)-1) / 12)</f>
        <v/>
      </c>
      <c r="AE67" s="81">
        <f>AE29 * (Inputs!$B$41 / 12) * (1 + Inputs!$B$44)^INT((COLUMNS($B$67:AE67)-1) / 12)</f>
        <v/>
      </c>
      <c r="AF67" s="81">
        <f>AF29 * (Inputs!$B$41 / 12) * (1 + Inputs!$B$44)^INT((COLUMNS($B$67:AF67)-1) / 12)</f>
        <v/>
      </c>
      <c r="AG67" s="81">
        <f>AG29 * (Inputs!$B$41 / 12) * (1 + Inputs!$B$44)^INT((COLUMNS($B$67:AG67)-1) / 12)</f>
        <v/>
      </c>
      <c r="AH67" s="81">
        <f>AH29 * (Inputs!$B$41 / 12) * (1 + Inputs!$B$44)^INT((COLUMNS($B$67:AH67)-1) / 12)</f>
        <v/>
      </c>
      <c r="AI67" s="81">
        <f>AI29 * (Inputs!$B$41 / 12) * (1 + Inputs!$B$44)^INT((COLUMNS($B$67:AI67)-1) / 12)</f>
        <v/>
      </c>
      <c r="AJ67" s="81">
        <f>AJ29 * (Inputs!$B$41 / 12) * (1 + Inputs!$B$44)^INT((COLUMNS($B$67:AJ67)-1) / 12)</f>
        <v/>
      </c>
      <c r="AK67" s="81">
        <f>AK29 * (Inputs!$B$41 / 12) * (1 + Inputs!$B$44)^INT((COLUMNS($B$67:AK67)-1) / 12)</f>
        <v/>
      </c>
      <c r="AL67" s="81">
        <f>AL29 * (Inputs!$B$41 / 12) * (1 + Inputs!$B$44)^INT((COLUMNS($B$67:AL67)-1) / 12)</f>
        <v/>
      </c>
      <c r="AM67" s="81">
        <f>AM29 * (Inputs!$B$41 / 12) * (1 + Inputs!$B$44)^INT((COLUMNS($B$67:AM67)-1) / 12)</f>
        <v/>
      </c>
      <c r="AN67" s="81">
        <f>AN29 * (Inputs!$B$41 / 12) * (1 + Inputs!$B$44)^INT((COLUMNS($B$67:AN67)-1) / 12)</f>
        <v/>
      </c>
      <c r="AO67" s="81">
        <f>AO29 * (Inputs!$B$41 / 12) * (1 + Inputs!$B$44)^INT((COLUMNS($B$67:AO67)-1) / 12)</f>
        <v/>
      </c>
      <c r="AP67" s="81">
        <f>AP29 * (Inputs!$B$41 / 12) * (1 + Inputs!$B$44)^INT((COLUMNS($B$67:AP67)-1) / 12)</f>
        <v/>
      </c>
      <c r="AQ67" s="81">
        <f>AQ29 * (Inputs!$B$41 / 12) * (1 + Inputs!$B$44)^INT((COLUMNS($B$67:AQ67)-1) / 12)</f>
        <v/>
      </c>
      <c r="AR67" s="81">
        <f>AR29 * (Inputs!$B$41 / 12) * (1 + Inputs!$B$44)^INT((COLUMNS($B$67:AR67)-1) / 12)</f>
        <v/>
      </c>
      <c r="AS67" s="81">
        <f>AS29 * (Inputs!$B$41 / 12) * (1 + Inputs!$B$44)^INT((COLUMNS($B$67:AS67)-1) / 12)</f>
        <v/>
      </c>
      <c r="AT67" s="81">
        <f>AT29 * (Inputs!$B$41 / 12) * (1 + Inputs!$B$44)^INT((COLUMNS($B$67:AT67)-1) / 12)</f>
        <v/>
      </c>
      <c r="AU67" s="81">
        <f>AU29 * (Inputs!$B$41 / 12) * (1 + Inputs!$B$44)^INT((COLUMNS($B$67:AU67)-1) / 12)</f>
        <v/>
      </c>
      <c r="AV67" s="81">
        <f>AV29 * (Inputs!$B$41 / 12) * (1 + Inputs!$B$44)^INT((COLUMNS($B$67:AV67)-1) / 12)</f>
        <v/>
      </c>
      <c r="AW67" s="81">
        <f>AW29 * (Inputs!$B$41 / 12) * (1 + Inputs!$B$44)^INT((COLUMNS($B$67:AW67)-1) / 12)</f>
        <v/>
      </c>
      <c r="AX67" s="81">
        <f>AX29 * (Inputs!$B$41 / 12) * (1 + Inputs!$B$44)^INT((COLUMNS($B$67:AX67)-1) / 12)</f>
        <v/>
      </c>
      <c r="AY67" s="81">
        <f>AY29 * (Inputs!$B$41 / 12) * (1 + Inputs!$B$44)^INT((COLUMNS($B$67:AY67)-1) / 12)</f>
        <v/>
      </c>
      <c r="AZ67" s="81">
        <f>AZ29 * (Inputs!$B$41 / 12) * (1 + Inputs!$B$44)^INT((COLUMNS($B$67:AZ67)-1) / 12)</f>
        <v/>
      </c>
      <c r="BA67" s="81">
        <f>BA29 * (Inputs!$B$41 / 12) * (1 + Inputs!$B$44)^INT((COLUMNS($B$67:BA67)-1) / 12)</f>
        <v/>
      </c>
    </row>
    <row r="68" ht="14.25" customHeight="1" s="83">
      <c r="A68" s="77" t="inlineStr">
        <is>
          <t>Finance Manager Gehalt</t>
        </is>
      </c>
      <c r="B68" s="81">
        <f>B30 * (Inputs!$B$43 / 12) * (1 + Inputs!$B$44)^INT((COLUMNS($B$68:B68)-1) / 12)</f>
        <v/>
      </c>
      <c r="C68" s="81">
        <f>C30 * (Inputs!$B$43 / 12) * (1 + Inputs!$B$44)^INT((COLUMNS($B$68:C68)-1) / 12)</f>
        <v/>
      </c>
      <c r="D68" s="81">
        <f>D30 * (Inputs!$B$43 / 12) * (1 + Inputs!$B$44)^INT((COLUMNS($B$68:D68)-1) / 12)</f>
        <v/>
      </c>
      <c r="E68" s="81">
        <f>E30 * (Inputs!$B$43 / 12) * (1 + Inputs!$B$44)^INT((COLUMNS($B$68:E68)-1) / 12)</f>
        <v/>
      </c>
      <c r="F68" s="81">
        <f>F30 * (Inputs!$B$43 / 12) * (1 + Inputs!$B$44)^INT((COLUMNS($B$68:F68)-1) / 12)</f>
        <v/>
      </c>
      <c r="G68" s="81">
        <f>G30 * (Inputs!$B$43 / 12) * (1 + Inputs!$B$44)^INT((COLUMNS($B$68:G68)-1) / 12)</f>
        <v/>
      </c>
      <c r="H68" s="81">
        <f>H30 * (Inputs!$B$43 / 12) * (1 + Inputs!$B$44)^INT((COLUMNS($B$68:H68)-1) / 12)</f>
        <v/>
      </c>
      <c r="I68" s="81">
        <f>I30 * (Inputs!$B$43 / 12) * (1 + Inputs!$B$44)^INT((COLUMNS($B$68:I68)-1) / 12)</f>
        <v/>
      </c>
      <c r="J68" s="81">
        <f>J30 * (Inputs!$B$43 / 12) * (1 + Inputs!$B$44)^INT((COLUMNS($B$68:J68)-1) / 12)</f>
        <v/>
      </c>
      <c r="K68" s="81">
        <f>K30 * (Inputs!$B$43 / 12) * (1 + Inputs!$B$44)^INT((COLUMNS($B$68:K68)-1) / 12)</f>
        <v/>
      </c>
      <c r="L68" s="81">
        <f>L30 * (Inputs!$B$43 / 12) * (1 + Inputs!$B$44)^INT((COLUMNS($B$68:L68)-1) / 12)</f>
        <v/>
      </c>
      <c r="M68" s="81">
        <f>M30 * (Inputs!$B$43 / 12) * (1 + Inputs!$B$44)^INT((COLUMNS($B$68:M68)-1) / 12)</f>
        <v/>
      </c>
      <c r="N68" s="81">
        <f>N30 * (Inputs!$B$43 / 12) * (1 + Inputs!$B$44)^INT((COLUMNS($B$68:N68)-1) / 12)</f>
        <v/>
      </c>
      <c r="O68" s="81">
        <f>O30 * (Inputs!$B$43 / 12) * (1 + Inputs!$B$44)^INT((COLUMNS($B$68:O68)-1) / 12)</f>
        <v/>
      </c>
      <c r="P68" s="81">
        <f>P30 * (Inputs!$B$43 / 12) * (1 + Inputs!$B$44)^INT((COLUMNS($B$68:P68)-1) / 12)</f>
        <v/>
      </c>
      <c r="Q68" s="81">
        <f>Q30 * (Inputs!$B$43 / 12) * (1 + Inputs!$B$44)^INT((COLUMNS($B$68:Q68)-1) / 12)</f>
        <v/>
      </c>
      <c r="R68" s="81">
        <f>R30 * (Inputs!$B$43 / 12) * (1 + Inputs!$B$44)^INT((COLUMNS($B$68:R68)-1) / 12)</f>
        <v/>
      </c>
      <c r="S68" s="81">
        <f>S30 * (Inputs!$B$43 / 12) * (1 + Inputs!$B$44)^INT((COLUMNS($B$68:S68)-1) / 12)</f>
        <v/>
      </c>
      <c r="T68" s="81">
        <f>T30 * (Inputs!$B$43 / 12) * (1 + Inputs!$B$44)^INT((COLUMNS($B$68:T68)-1) / 12)</f>
        <v/>
      </c>
      <c r="U68" s="81">
        <f>U30 * (Inputs!$B$43 / 12) * (1 + Inputs!$B$44)^INT((COLUMNS($B$68:U68)-1) / 12)</f>
        <v/>
      </c>
      <c r="V68" s="81">
        <f>V30 * (Inputs!$B$43 / 12) * (1 + Inputs!$B$44)^INT((COLUMNS($B$68:V68)-1) / 12)</f>
        <v/>
      </c>
      <c r="W68" s="81">
        <f>W30 * (Inputs!$B$43 / 12) * (1 + Inputs!$B$44)^INT((COLUMNS($B$68:W68)-1) / 12)</f>
        <v/>
      </c>
      <c r="X68" s="81">
        <f>X30 * (Inputs!$B$43 / 12) * (1 + Inputs!$B$44)^INT((COLUMNS($B$68:X68)-1) / 12)</f>
        <v/>
      </c>
      <c r="Y68" s="81">
        <f>Y30 * (Inputs!$B$43 / 12) * (1 + Inputs!$B$44)^INT((COLUMNS($B$68:Y68)-1) / 12)</f>
        <v/>
      </c>
      <c r="Z68" s="81">
        <f>Z30 * (Inputs!$B$43 / 12) * (1 + Inputs!$B$44)^INT((COLUMNS($B$68:Z68)-1) / 12)</f>
        <v/>
      </c>
      <c r="AA68" s="81">
        <f>AA30 * (Inputs!$B$43 / 12) * (1 + Inputs!$B$44)^INT((COLUMNS($B$68:AA68)-1) / 12)</f>
        <v/>
      </c>
      <c r="AB68" s="81">
        <f>AB30 * (Inputs!$B$43 / 12) * (1 + Inputs!$B$44)^INT((COLUMNS($B$68:AB68)-1) / 12)</f>
        <v/>
      </c>
      <c r="AC68" s="81">
        <f>AC30 * (Inputs!$B$43 / 12) * (1 + Inputs!$B$44)^INT((COLUMNS($B$68:AC68)-1) / 12)</f>
        <v/>
      </c>
      <c r="AD68" s="81">
        <f>AD30 * (Inputs!$B$43 / 12) * (1 + Inputs!$B$44)^INT((COLUMNS($B$68:AD68)-1) / 12)</f>
        <v/>
      </c>
      <c r="AE68" s="81">
        <f>AE30 * (Inputs!$B$43 / 12) * (1 + Inputs!$B$44)^INT((COLUMNS($B$68:AE68)-1) / 12)</f>
        <v/>
      </c>
      <c r="AF68" s="81">
        <f>AF30 * (Inputs!$B$43 / 12) * (1 + Inputs!$B$44)^INT((COLUMNS($B$68:AF68)-1) / 12)</f>
        <v/>
      </c>
      <c r="AG68" s="81">
        <f>AG30 * (Inputs!$B$43 / 12) * (1 + Inputs!$B$44)^INT((COLUMNS($B$68:AG68)-1) / 12)</f>
        <v/>
      </c>
      <c r="AH68" s="81">
        <f>AH30 * (Inputs!$B$43 / 12) * (1 + Inputs!$B$44)^INT((COLUMNS($B$68:AH68)-1) / 12)</f>
        <v/>
      </c>
      <c r="AI68" s="81">
        <f>AI30 * (Inputs!$B$43 / 12) * (1 + Inputs!$B$44)^INT((COLUMNS($B$68:AI68)-1) / 12)</f>
        <v/>
      </c>
      <c r="AJ68" s="81">
        <f>AJ30 * (Inputs!$B$43 / 12) * (1 + Inputs!$B$44)^INT((COLUMNS($B$68:AJ68)-1) / 12)</f>
        <v/>
      </c>
      <c r="AK68" s="81">
        <f>AK30 * (Inputs!$B$43 / 12) * (1 + Inputs!$B$44)^INT((COLUMNS($B$68:AK68)-1) / 12)</f>
        <v/>
      </c>
      <c r="AL68" s="81">
        <f>AL30 * (Inputs!$B$43 / 12) * (1 + Inputs!$B$44)^INT((COLUMNS($B$68:AL68)-1) / 12)</f>
        <v/>
      </c>
      <c r="AM68" s="81">
        <f>AM30 * (Inputs!$B$43 / 12) * (1 + Inputs!$B$44)^INT((COLUMNS($B$68:AM68)-1) / 12)</f>
        <v/>
      </c>
      <c r="AN68" s="81">
        <f>AN30 * (Inputs!$B$43 / 12) * (1 + Inputs!$B$44)^INT((COLUMNS($B$68:AN68)-1) / 12)</f>
        <v/>
      </c>
      <c r="AO68" s="81">
        <f>AO30 * (Inputs!$B$43 / 12) * (1 + Inputs!$B$44)^INT((COLUMNS($B$68:AO68)-1) / 12)</f>
        <v/>
      </c>
      <c r="AP68" s="81">
        <f>AP30 * (Inputs!$B$43 / 12) * (1 + Inputs!$B$44)^INT((COLUMNS($B$68:AP68)-1) / 12)</f>
        <v/>
      </c>
      <c r="AQ68" s="81">
        <f>AQ30 * (Inputs!$B$43 / 12) * (1 + Inputs!$B$44)^INT((COLUMNS($B$68:AQ68)-1) / 12)</f>
        <v/>
      </c>
      <c r="AR68" s="81">
        <f>AR30 * (Inputs!$B$43 / 12) * (1 + Inputs!$B$44)^INT((COLUMNS($B$68:AR68)-1) / 12)</f>
        <v/>
      </c>
      <c r="AS68" s="81">
        <f>AS30 * (Inputs!$B$43 / 12) * (1 + Inputs!$B$44)^INT((COLUMNS($B$68:AS68)-1) / 12)</f>
        <v/>
      </c>
      <c r="AT68" s="81">
        <f>AT30 * (Inputs!$B$43 / 12) * (1 + Inputs!$B$44)^INT((COLUMNS($B$68:AT68)-1) / 12)</f>
        <v/>
      </c>
      <c r="AU68" s="81">
        <f>AU30 * (Inputs!$B$43 / 12) * (1 + Inputs!$B$44)^INT((COLUMNS($B$68:AU68)-1) / 12)</f>
        <v/>
      </c>
      <c r="AV68" s="81">
        <f>AV30 * (Inputs!$B$43 / 12) * (1 + Inputs!$B$44)^INT((COLUMNS($B$68:AV68)-1) / 12)</f>
        <v/>
      </c>
      <c r="AW68" s="81">
        <f>AW30 * (Inputs!$B$43 / 12) * (1 + Inputs!$B$44)^INT((COLUMNS($B$68:AW68)-1) / 12)</f>
        <v/>
      </c>
      <c r="AX68" s="81">
        <f>AX30 * (Inputs!$B$43 / 12) * (1 + Inputs!$B$44)^INT((COLUMNS($B$68:AX68)-1) / 12)</f>
        <v/>
      </c>
      <c r="AY68" s="81">
        <f>AY30 * (Inputs!$B$43 / 12) * (1 + Inputs!$B$44)^INT((COLUMNS($B$68:AY68)-1) / 12)</f>
        <v/>
      </c>
      <c r="AZ68" s="81">
        <f>AZ30 * (Inputs!$B$43 / 12) * (1 + Inputs!$B$44)^INT((COLUMNS($B$68:AZ68)-1) / 12)</f>
        <v/>
      </c>
      <c r="BA68" s="81">
        <f>BA30 * (Inputs!$B$43 / 12) * (1 + Inputs!$B$44)^INT((COLUMNS($B$68:BA68)-1) / 12)</f>
        <v/>
      </c>
    </row>
    <row r="69" ht="14.25" customHeight="1" s="83">
      <c r="A69" s="77" t="inlineStr">
        <is>
          <t>6. Senior Engineer Gehalt</t>
        </is>
      </c>
      <c r="B69" s="81">
        <f>B31 * (Inputs!$B$35 / 12) * (1 + Inputs!$B$44)^INT((COLUMNS($B$69:B69)-1) / 12)</f>
        <v/>
      </c>
      <c r="C69" s="81">
        <f>C31 * (Inputs!$B$35 / 12) * (1 + Inputs!$B$44)^INT((COLUMNS($B$69:C69)-1) / 12)</f>
        <v/>
      </c>
      <c r="D69" s="81">
        <f>D31 * (Inputs!$B$35 / 12) * (1 + Inputs!$B$44)^INT((COLUMNS($B$69:D69)-1) / 12)</f>
        <v/>
      </c>
      <c r="E69" s="81">
        <f>E31 * (Inputs!$B$35 / 12) * (1 + Inputs!$B$44)^INT((COLUMNS($B$69:E69)-1) / 12)</f>
        <v/>
      </c>
      <c r="F69" s="81">
        <f>F31 * (Inputs!$B$35 / 12) * (1 + Inputs!$B$44)^INT((COLUMNS($B$69:F69)-1) / 12)</f>
        <v/>
      </c>
      <c r="G69" s="81">
        <f>G31 * (Inputs!$B$35 / 12) * (1 + Inputs!$B$44)^INT((COLUMNS($B$69:G69)-1) / 12)</f>
        <v/>
      </c>
      <c r="H69" s="81">
        <f>H31 * (Inputs!$B$35 / 12) * (1 + Inputs!$B$44)^INT((COLUMNS($B$69:H69)-1) / 12)</f>
        <v/>
      </c>
      <c r="I69" s="81">
        <f>I31 * (Inputs!$B$35 / 12) * (1 + Inputs!$B$44)^INT((COLUMNS($B$69:I69)-1) / 12)</f>
        <v/>
      </c>
      <c r="J69" s="81">
        <f>J31 * (Inputs!$B$35 / 12) * (1 + Inputs!$B$44)^INT((COLUMNS($B$69:J69)-1) / 12)</f>
        <v/>
      </c>
      <c r="K69" s="81">
        <f>K31 * (Inputs!$B$35 / 12) * (1 + Inputs!$B$44)^INT((COLUMNS($B$69:K69)-1) / 12)</f>
        <v/>
      </c>
      <c r="L69" s="81">
        <f>L31 * (Inputs!$B$35 / 12) * (1 + Inputs!$B$44)^INT((COLUMNS($B$69:L69)-1) / 12)</f>
        <v/>
      </c>
      <c r="M69" s="81">
        <f>M31 * (Inputs!$B$35 / 12) * (1 + Inputs!$B$44)^INT((COLUMNS($B$69:M69)-1) / 12)</f>
        <v/>
      </c>
      <c r="N69" s="81">
        <f>N31 * (Inputs!$B$35 / 12) * (1 + Inputs!$B$44)^INT((COLUMNS($B$69:N69)-1) / 12)</f>
        <v/>
      </c>
      <c r="O69" s="81">
        <f>O31 * (Inputs!$B$35 / 12) * (1 + Inputs!$B$44)^INT((COLUMNS($B$69:O69)-1) / 12)</f>
        <v/>
      </c>
      <c r="P69" s="81">
        <f>P31 * (Inputs!$B$35 / 12) * (1 + Inputs!$B$44)^INT((COLUMNS($B$69:P69)-1) / 12)</f>
        <v/>
      </c>
      <c r="Q69" s="81">
        <f>Q31 * (Inputs!$B$35 / 12) * (1 + Inputs!$B$44)^INT((COLUMNS($B$69:Q69)-1) / 12)</f>
        <v/>
      </c>
      <c r="R69" s="81">
        <f>R31 * (Inputs!$B$35 / 12) * (1 + Inputs!$B$44)^INT((COLUMNS($B$69:R69)-1) / 12)</f>
        <v/>
      </c>
      <c r="S69" s="81">
        <f>S31 * (Inputs!$B$35 / 12) * (1 + Inputs!$B$44)^INT((COLUMNS($B$69:S69)-1) / 12)</f>
        <v/>
      </c>
      <c r="T69" s="81">
        <f>T31 * (Inputs!$B$35 / 12) * (1 + Inputs!$B$44)^INT((COLUMNS($B$69:T69)-1) / 12)</f>
        <v/>
      </c>
      <c r="U69" s="81">
        <f>U31 * (Inputs!$B$35 / 12) * (1 + Inputs!$B$44)^INT((COLUMNS($B$69:U69)-1) / 12)</f>
        <v/>
      </c>
      <c r="V69" s="81">
        <f>V31 * (Inputs!$B$35 / 12) * (1 + Inputs!$B$44)^INT((COLUMNS($B$69:V69)-1) / 12)</f>
        <v/>
      </c>
      <c r="W69" s="81">
        <f>W31 * (Inputs!$B$35 / 12) * (1 + Inputs!$B$44)^INT((COLUMNS($B$69:W69)-1) / 12)</f>
        <v/>
      </c>
      <c r="X69" s="81">
        <f>X31 * (Inputs!$B$35 / 12) * (1 + Inputs!$B$44)^INT((COLUMNS($B$69:X69)-1) / 12)</f>
        <v/>
      </c>
      <c r="Y69" s="81">
        <f>Y31 * (Inputs!$B$35 / 12) * (1 + Inputs!$B$44)^INT((COLUMNS($B$69:Y69)-1) / 12)</f>
        <v/>
      </c>
      <c r="Z69" s="81">
        <f>Z31 * (Inputs!$B$35 / 12) * (1 + Inputs!$B$44)^INT((COLUMNS($B$69:Z69)-1) / 12)</f>
        <v/>
      </c>
      <c r="AA69" s="81">
        <f>AA31 * (Inputs!$B$35 / 12) * (1 + Inputs!$B$44)^INT((COLUMNS($B$69:AA69)-1) / 12)</f>
        <v/>
      </c>
      <c r="AB69" s="81">
        <f>AB31 * (Inputs!$B$35 / 12) * (1 + Inputs!$B$44)^INT((COLUMNS($B$69:AB69)-1) / 12)</f>
        <v/>
      </c>
      <c r="AC69" s="81">
        <f>AC31 * (Inputs!$B$35 / 12) * (1 + Inputs!$B$44)^INT((COLUMNS($B$69:AC69)-1) / 12)</f>
        <v/>
      </c>
      <c r="AD69" s="81">
        <f>AD31 * (Inputs!$B$35 / 12) * (1 + Inputs!$B$44)^INT((COLUMNS($B$69:AD69)-1) / 12)</f>
        <v/>
      </c>
      <c r="AE69" s="81">
        <f>AE31 * (Inputs!$B$35 / 12) * (1 + Inputs!$B$44)^INT((COLUMNS($B$69:AE69)-1) / 12)</f>
        <v/>
      </c>
      <c r="AF69" s="81">
        <f>AF31 * (Inputs!$B$35 / 12) * (1 + Inputs!$B$44)^INT((COLUMNS($B$69:AF69)-1) / 12)</f>
        <v/>
      </c>
      <c r="AG69" s="81">
        <f>AG31 * (Inputs!$B$35 / 12) * (1 + Inputs!$B$44)^INT((COLUMNS($B$69:AG69)-1) / 12)</f>
        <v/>
      </c>
      <c r="AH69" s="81">
        <f>AH31 * (Inputs!$B$35 / 12) * (1 + Inputs!$B$44)^INT((COLUMNS($B$69:AH69)-1) / 12)</f>
        <v/>
      </c>
      <c r="AI69" s="81">
        <f>AI31 * (Inputs!$B$35 / 12) * (1 + Inputs!$B$44)^INT((COLUMNS($B$69:AI69)-1) / 12)</f>
        <v/>
      </c>
      <c r="AJ69" s="81">
        <f>AJ31 * (Inputs!$B$35 / 12) * (1 + Inputs!$B$44)^INT((COLUMNS($B$69:AJ69)-1) / 12)</f>
        <v/>
      </c>
      <c r="AK69" s="81">
        <f>AK31 * (Inputs!$B$35 / 12) * (1 + Inputs!$B$44)^INT((COLUMNS($B$69:AK69)-1) / 12)</f>
        <v/>
      </c>
      <c r="AL69" s="81">
        <f>AL31 * (Inputs!$B$35 / 12) * (1 + Inputs!$B$44)^INT((COLUMNS($B$69:AL69)-1) / 12)</f>
        <v/>
      </c>
      <c r="AM69" s="81">
        <f>AM31 * (Inputs!$B$35 / 12) * (1 + Inputs!$B$44)^INT((COLUMNS($B$69:AM69)-1) / 12)</f>
        <v/>
      </c>
      <c r="AN69" s="81">
        <f>AN31 * (Inputs!$B$35 / 12) * (1 + Inputs!$B$44)^INT((COLUMNS($B$69:AN69)-1) / 12)</f>
        <v/>
      </c>
      <c r="AO69" s="81">
        <f>AO31 * (Inputs!$B$35 / 12) * (1 + Inputs!$B$44)^INT((COLUMNS($B$69:AO69)-1) / 12)</f>
        <v/>
      </c>
      <c r="AP69" s="81">
        <f>AP31 * (Inputs!$B$35 / 12) * (1 + Inputs!$B$44)^INT((COLUMNS($B$69:AP69)-1) / 12)</f>
        <v/>
      </c>
      <c r="AQ69" s="81">
        <f>AQ31 * (Inputs!$B$35 / 12) * (1 + Inputs!$B$44)^INT((COLUMNS($B$69:AQ69)-1) / 12)</f>
        <v/>
      </c>
      <c r="AR69" s="81">
        <f>AR31 * (Inputs!$B$35 / 12) * (1 + Inputs!$B$44)^INT((COLUMNS($B$69:AR69)-1) / 12)</f>
        <v/>
      </c>
      <c r="AS69" s="81">
        <f>AS31 * (Inputs!$B$35 / 12) * (1 + Inputs!$B$44)^INT((COLUMNS($B$69:AS69)-1) / 12)</f>
        <v/>
      </c>
      <c r="AT69" s="81">
        <f>AT31 * (Inputs!$B$35 / 12) * (1 + Inputs!$B$44)^INT((COLUMNS($B$69:AT69)-1) / 12)</f>
        <v/>
      </c>
      <c r="AU69" s="81">
        <f>AU31 * (Inputs!$B$35 / 12) * (1 + Inputs!$B$44)^INT((COLUMNS($B$69:AU69)-1) / 12)</f>
        <v/>
      </c>
      <c r="AV69" s="81">
        <f>AV31 * (Inputs!$B$35 / 12) * (1 + Inputs!$B$44)^INT((COLUMNS($B$69:AV69)-1) / 12)</f>
        <v/>
      </c>
      <c r="AW69" s="81">
        <f>AW31 * (Inputs!$B$35 / 12) * (1 + Inputs!$B$44)^INT((COLUMNS($B$69:AW69)-1) / 12)</f>
        <v/>
      </c>
      <c r="AX69" s="81">
        <f>AX31 * (Inputs!$B$35 / 12) * (1 + Inputs!$B$44)^INT((COLUMNS($B$69:AX69)-1) / 12)</f>
        <v/>
      </c>
      <c r="AY69" s="81">
        <f>AY31 * (Inputs!$B$35 / 12) * (1 + Inputs!$B$44)^INT((COLUMNS($B$69:AY69)-1) / 12)</f>
        <v/>
      </c>
      <c r="AZ69" s="81">
        <f>AZ31 * (Inputs!$B$35 / 12) * (1 + Inputs!$B$44)^INT((COLUMNS($B$69:AZ69)-1) / 12)</f>
        <v/>
      </c>
      <c r="BA69" s="81">
        <f>BA31 * (Inputs!$B$35 / 12) * (1 + Inputs!$B$44)^INT((COLUMNS($B$69:BA69)-1) / 12)</f>
        <v/>
      </c>
    </row>
    <row r="70" ht="14.25" customHeight="1" s="83">
      <c r="A70" s="77" t="inlineStr">
        <is>
          <t>7. Senior Engineer Gehalt</t>
        </is>
      </c>
      <c r="B70" s="81">
        <f>B32 * (Inputs!$B$35 / 12) * (1 + Inputs!$B$44)^INT((COLUMNS($B$70:B70)-1) / 12)</f>
        <v/>
      </c>
      <c r="C70" s="81">
        <f>C32 * (Inputs!$B$35 / 12) * (1 + Inputs!$B$44)^INT((COLUMNS($B$70:C70)-1) / 12)</f>
        <v/>
      </c>
      <c r="D70" s="81">
        <f>D32 * (Inputs!$B$35 / 12) * (1 + Inputs!$B$44)^INT((COLUMNS($B$70:D70)-1) / 12)</f>
        <v/>
      </c>
      <c r="E70" s="81">
        <f>E32 * (Inputs!$B$35 / 12) * (1 + Inputs!$B$44)^INT((COLUMNS($B$70:E70)-1) / 12)</f>
        <v/>
      </c>
      <c r="F70" s="81">
        <f>F32 * (Inputs!$B$35 / 12) * (1 + Inputs!$B$44)^INT((COLUMNS($B$70:F70)-1) / 12)</f>
        <v/>
      </c>
      <c r="G70" s="81">
        <f>G32 * (Inputs!$B$35 / 12) * (1 + Inputs!$B$44)^INT((COLUMNS($B$70:G70)-1) / 12)</f>
        <v/>
      </c>
      <c r="H70" s="81">
        <f>H32 * (Inputs!$B$35 / 12) * (1 + Inputs!$B$44)^INT((COLUMNS($B$70:H70)-1) / 12)</f>
        <v/>
      </c>
      <c r="I70" s="81">
        <f>I32 * (Inputs!$B$35 / 12) * (1 + Inputs!$B$44)^INT((COLUMNS($B$70:I70)-1) / 12)</f>
        <v/>
      </c>
      <c r="J70" s="81">
        <f>J32 * (Inputs!$B$35 / 12) * (1 + Inputs!$B$44)^INT((COLUMNS($B$70:J70)-1) / 12)</f>
        <v/>
      </c>
      <c r="K70" s="81">
        <f>K32 * (Inputs!$B$35 / 12) * (1 + Inputs!$B$44)^INT((COLUMNS($B$70:K70)-1) / 12)</f>
        <v/>
      </c>
      <c r="L70" s="81">
        <f>L32 * (Inputs!$B$35 / 12) * (1 + Inputs!$B$44)^INT((COLUMNS($B$70:L70)-1) / 12)</f>
        <v/>
      </c>
      <c r="M70" s="81">
        <f>M32 * (Inputs!$B$35 / 12) * (1 + Inputs!$B$44)^INT((COLUMNS($B$70:M70)-1) / 12)</f>
        <v/>
      </c>
      <c r="N70" s="81">
        <f>N32 * (Inputs!$B$35 / 12) * (1 + Inputs!$B$44)^INT((COLUMNS($B$70:N70)-1) / 12)</f>
        <v/>
      </c>
      <c r="O70" s="81">
        <f>O32 * (Inputs!$B$35 / 12) * (1 + Inputs!$B$44)^INT((COLUMNS($B$70:O70)-1) / 12)</f>
        <v/>
      </c>
      <c r="P70" s="81">
        <f>P32 * (Inputs!$B$35 / 12) * (1 + Inputs!$B$44)^INT((COLUMNS($B$70:P70)-1) / 12)</f>
        <v/>
      </c>
      <c r="Q70" s="81">
        <f>Q32 * (Inputs!$B$35 / 12) * (1 + Inputs!$B$44)^INT((COLUMNS($B$70:Q70)-1) / 12)</f>
        <v/>
      </c>
      <c r="R70" s="81">
        <f>R32 * (Inputs!$B$35 / 12) * (1 + Inputs!$B$44)^INT((COLUMNS($B$70:R70)-1) / 12)</f>
        <v/>
      </c>
      <c r="S70" s="81">
        <f>S32 * (Inputs!$B$35 / 12) * (1 + Inputs!$B$44)^INT((COLUMNS($B$70:S70)-1) / 12)</f>
        <v/>
      </c>
      <c r="T70" s="81">
        <f>T32 * (Inputs!$B$35 / 12) * (1 + Inputs!$B$44)^INT((COLUMNS($B$70:T70)-1) / 12)</f>
        <v/>
      </c>
      <c r="U70" s="81">
        <f>U32 * (Inputs!$B$35 / 12) * (1 + Inputs!$B$44)^INT((COLUMNS($B$70:U70)-1) / 12)</f>
        <v/>
      </c>
      <c r="V70" s="81">
        <f>V32 * (Inputs!$B$35 / 12) * (1 + Inputs!$B$44)^INT((COLUMNS($B$70:V70)-1) / 12)</f>
        <v/>
      </c>
      <c r="W70" s="81">
        <f>W32 * (Inputs!$B$35 / 12) * (1 + Inputs!$B$44)^INT((COLUMNS($B$70:W70)-1) / 12)</f>
        <v/>
      </c>
      <c r="X70" s="81">
        <f>X32 * (Inputs!$B$35 / 12) * (1 + Inputs!$B$44)^INT((COLUMNS($B$70:X70)-1) / 12)</f>
        <v/>
      </c>
      <c r="Y70" s="81">
        <f>Y32 * (Inputs!$B$35 / 12) * (1 + Inputs!$B$44)^INT((COLUMNS($B$70:Y70)-1) / 12)</f>
        <v/>
      </c>
      <c r="Z70" s="81">
        <f>Z32 * (Inputs!$B$35 / 12) * (1 + Inputs!$B$44)^INT((COLUMNS($B$70:Z70)-1) / 12)</f>
        <v/>
      </c>
      <c r="AA70" s="81">
        <f>AA32 * (Inputs!$B$35 / 12) * (1 + Inputs!$B$44)^INT((COLUMNS($B$70:AA70)-1) / 12)</f>
        <v/>
      </c>
      <c r="AB70" s="81">
        <f>AB32 * (Inputs!$B$35 / 12) * (1 + Inputs!$B$44)^INT((COLUMNS($B$70:AB70)-1) / 12)</f>
        <v/>
      </c>
      <c r="AC70" s="81">
        <f>AC32 * (Inputs!$B$35 / 12) * (1 + Inputs!$B$44)^INT((COLUMNS($B$70:AC70)-1) / 12)</f>
        <v/>
      </c>
      <c r="AD70" s="81">
        <f>AD32 * (Inputs!$B$35 / 12) * (1 + Inputs!$B$44)^INT((COLUMNS($B$70:AD70)-1) / 12)</f>
        <v/>
      </c>
      <c r="AE70" s="81">
        <f>AE32 * (Inputs!$B$35 / 12) * (1 + Inputs!$B$44)^INT((COLUMNS($B$70:AE70)-1) / 12)</f>
        <v/>
      </c>
      <c r="AF70" s="81">
        <f>AF32 * (Inputs!$B$35 / 12) * (1 + Inputs!$B$44)^INT((COLUMNS($B$70:AF70)-1) / 12)</f>
        <v/>
      </c>
      <c r="AG70" s="81">
        <f>AG32 * (Inputs!$B$35 / 12) * (1 + Inputs!$B$44)^INT((COLUMNS($B$70:AG70)-1) / 12)</f>
        <v/>
      </c>
      <c r="AH70" s="81">
        <f>AH32 * (Inputs!$B$35 / 12) * (1 + Inputs!$B$44)^INT((COLUMNS($B$70:AH70)-1) / 12)</f>
        <v/>
      </c>
      <c r="AI70" s="81">
        <f>AI32 * (Inputs!$B$35 / 12) * (1 + Inputs!$B$44)^INT((COLUMNS($B$70:AI70)-1) / 12)</f>
        <v/>
      </c>
      <c r="AJ70" s="81">
        <f>AJ32 * (Inputs!$B$35 / 12) * (1 + Inputs!$B$44)^INT((COLUMNS($B$70:AJ70)-1) / 12)</f>
        <v/>
      </c>
      <c r="AK70" s="81">
        <f>AK32 * (Inputs!$B$35 / 12) * (1 + Inputs!$B$44)^INT((COLUMNS($B$70:AK70)-1) / 12)</f>
        <v/>
      </c>
      <c r="AL70" s="81">
        <f>AL32 * (Inputs!$B$35 / 12) * (1 + Inputs!$B$44)^INT((COLUMNS($B$70:AL70)-1) / 12)</f>
        <v/>
      </c>
      <c r="AM70" s="81">
        <f>AM32 * (Inputs!$B$35 / 12) * (1 + Inputs!$B$44)^INT((COLUMNS($B$70:AM70)-1) / 12)</f>
        <v/>
      </c>
      <c r="AN70" s="81">
        <f>AN32 * (Inputs!$B$35 / 12) * (1 + Inputs!$B$44)^INT((COLUMNS($B$70:AN70)-1) / 12)</f>
        <v/>
      </c>
      <c r="AO70" s="81">
        <f>AO32 * (Inputs!$B$35 / 12) * (1 + Inputs!$B$44)^INT((COLUMNS($B$70:AO70)-1) / 12)</f>
        <v/>
      </c>
      <c r="AP70" s="81">
        <f>AP32 * (Inputs!$B$35 / 12) * (1 + Inputs!$B$44)^INT((COLUMNS($B$70:AP70)-1) / 12)</f>
        <v/>
      </c>
      <c r="AQ70" s="81">
        <f>AQ32 * (Inputs!$B$35 / 12) * (1 + Inputs!$B$44)^INT((COLUMNS($B$70:AQ70)-1) / 12)</f>
        <v/>
      </c>
      <c r="AR70" s="81">
        <f>AR32 * (Inputs!$B$35 / 12) * (1 + Inputs!$B$44)^INT((COLUMNS($B$70:AR70)-1) / 12)</f>
        <v/>
      </c>
      <c r="AS70" s="81">
        <f>AS32 * (Inputs!$B$35 / 12) * (1 + Inputs!$B$44)^INT((COLUMNS($B$70:AS70)-1) / 12)</f>
        <v/>
      </c>
      <c r="AT70" s="81">
        <f>AT32 * (Inputs!$B$35 / 12) * (1 + Inputs!$B$44)^INT((COLUMNS($B$70:AT70)-1) / 12)</f>
        <v/>
      </c>
      <c r="AU70" s="81">
        <f>AU32 * (Inputs!$B$35 / 12) * (1 + Inputs!$B$44)^INT((COLUMNS($B$70:AU70)-1) / 12)</f>
        <v/>
      </c>
      <c r="AV70" s="81">
        <f>AV32 * (Inputs!$B$35 / 12) * (1 + Inputs!$B$44)^INT((COLUMNS($B$70:AV70)-1) / 12)</f>
        <v/>
      </c>
      <c r="AW70" s="81">
        <f>AW32 * (Inputs!$B$35 / 12) * (1 + Inputs!$B$44)^INT((COLUMNS($B$70:AW70)-1) / 12)</f>
        <v/>
      </c>
      <c r="AX70" s="81">
        <f>AX32 * (Inputs!$B$35 / 12) * (1 + Inputs!$B$44)^INT((COLUMNS($B$70:AX70)-1) / 12)</f>
        <v/>
      </c>
      <c r="AY70" s="81">
        <f>AY32 * (Inputs!$B$35 / 12) * (1 + Inputs!$B$44)^INT((COLUMNS($B$70:AY70)-1) / 12)</f>
        <v/>
      </c>
      <c r="AZ70" s="81">
        <f>AZ32 * (Inputs!$B$35 / 12) * (1 + Inputs!$B$44)^INT((COLUMNS($B$70:AZ70)-1) / 12)</f>
        <v/>
      </c>
      <c r="BA70" s="81">
        <f>BA32 * (Inputs!$B$35 / 12) * (1 + Inputs!$B$44)^INT((COLUMNS($B$70:BA70)-1) / 12)</f>
        <v/>
      </c>
    </row>
    <row r="71" ht="14.25" customHeight="1" s="83">
      <c r="A71" s="77" t="inlineStr">
        <is>
          <t>4. Junior Engineer Gehalt</t>
        </is>
      </c>
      <c r="B71" s="81">
        <f>B33 * (Inputs!$B$36 / 12) * (1 + Inputs!$B$44)^INT((COLUMNS($B$71:B71)-1) / 12)</f>
        <v/>
      </c>
      <c r="C71" s="81">
        <f>C33 * (Inputs!$B$36 / 12) * (1 + Inputs!$B$44)^INT((COLUMNS($B$71:C71)-1) / 12)</f>
        <v/>
      </c>
      <c r="D71" s="81">
        <f>D33 * (Inputs!$B$36 / 12) * (1 + Inputs!$B$44)^INT((COLUMNS($B$71:D71)-1) / 12)</f>
        <v/>
      </c>
      <c r="E71" s="81">
        <f>E33 * (Inputs!$B$36 / 12) * (1 + Inputs!$B$44)^INT((COLUMNS($B$71:E71)-1) / 12)</f>
        <v/>
      </c>
      <c r="F71" s="81">
        <f>F33 * (Inputs!$B$36 / 12) * (1 + Inputs!$B$44)^INT((COLUMNS($B$71:F71)-1) / 12)</f>
        <v/>
      </c>
      <c r="G71" s="81">
        <f>G33 * (Inputs!$B$36 / 12) * (1 + Inputs!$B$44)^INT((COLUMNS($B$71:G71)-1) / 12)</f>
        <v/>
      </c>
      <c r="H71" s="81">
        <f>H33 * (Inputs!$B$36 / 12) * (1 + Inputs!$B$44)^INT((COLUMNS($B$71:H71)-1) / 12)</f>
        <v/>
      </c>
      <c r="I71" s="81">
        <f>I33 * (Inputs!$B$36 / 12) * (1 + Inputs!$B$44)^INT((COLUMNS($B$71:I71)-1) / 12)</f>
        <v/>
      </c>
      <c r="J71" s="81">
        <f>J33 * (Inputs!$B$36 / 12) * (1 + Inputs!$B$44)^INT((COLUMNS($B$71:J71)-1) / 12)</f>
        <v/>
      </c>
      <c r="K71" s="81">
        <f>K33 * (Inputs!$B$36 / 12) * (1 + Inputs!$B$44)^INT((COLUMNS($B$71:K71)-1) / 12)</f>
        <v/>
      </c>
      <c r="L71" s="81">
        <f>L33 * (Inputs!$B$36 / 12) * (1 + Inputs!$B$44)^INT((COLUMNS($B$71:L71)-1) / 12)</f>
        <v/>
      </c>
      <c r="M71" s="81">
        <f>M33 * (Inputs!$B$36 / 12) * (1 + Inputs!$B$44)^INT((COLUMNS($B$71:M71)-1) / 12)</f>
        <v/>
      </c>
      <c r="N71" s="81">
        <f>N33 * (Inputs!$B$36 / 12) * (1 + Inputs!$B$44)^INT((COLUMNS($B$71:N71)-1) / 12)</f>
        <v/>
      </c>
      <c r="O71" s="81">
        <f>O33 * (Inputs!$B$36 / 12) * (1 + Inputs!$B$44)^INT((COLUMNS($B$71:O71)-1) / 12)</f>
        <v/>
      </c>
      <c r="P71" s="81">
        <f>P33 * (Inputs!$B$36 / 12) * (1 + Inputs!$B$44)^INT((COLUMNS($B$71:P71)-1) / 12)</f>
        <v/>
      </c>
      <c r="Q71" s="81">
        <f>Q33 * (Inputs!$B$36 / 12) * (1 + Inputs!$B$44)^INT((COLUMNS($B$71:Q71)-1) / 12)</f>
        <v/>
      </c>
      <c r="R71" s="81">
        <f>R33 * (Inputs!$B$36 / 12) * (1 + Inputs!$B$44)^INT((COLUMNS($B$71:R71)-1) / 12)</f>
        <v/>
      </c>
      <c r="S71" s="81">
        <f>S33 * (Inputs!$B$36 / 12) * (1 + Inputs!$B$44)^INT((COLUMNS($B$71:S71)-1) / 12)</f>
        <v/>
      </c>
      <c r="T71" s="81">
        <f>T33 * (Inputs!$B$36 / 12) * (1 + Inputs!$B$44)^INT((COLUMNS($B$71:T71)-1) / 12)</f>
        <v/>
      </c>
      <c r="U71" s="81">
        <f>U33 * (Inputs!$B$36 / 12) * (1 + Inputs!$B$44)^INT((COLUMNS($B$71:U71)-1) / 12)</f>
        <v/>
      </c>
      <c r="V71" s="81">
        <f>V33 * (Inputs!$B$36 / 12) * (1 + Inputs!$B$44)^INT((COLUMNS($B$71:V71)-1) / 12)</f>
        <v/>
      </c>
      <c r="W71" s="81">
        <f>W33 * (Inputs!$B$36 / 12) * (1 + Inputs!$B$44)^INT((COLUMNS($B$71:W71)-1) / 12)</f>
        <v/>
      </c>
      <c r="X71" s="81">
        <f>X33 * (Inputs!$B$36 / 12) * (1 + Inputs!$B$44)^INT((COLUMNS($B$71:X71)-1) / 12)</f>
        <v/>
      </c>
      <c r="Y71" s="81">
        <f>Y33 * (Inputs!$B$36 / 12) * (1 + Inputs!$B$44)^INT((COLUMNS($B$71:Y71)-1) / 12)</f>
        <v/>
      </c>
      <c r="Z71" s="81">
        <f>Z33 * (Inputs!$B$36 / 12) * (1 + Inputs!$B$44)^INT((COLUMNS($B$71:Z71)-1) / 12)</f>
        <v/>
      </c>
      <c r="AA71" s="81">
        <f>AA33 * (Inputs!$B$36 / 12) * (1 + Inputs!$B$44)^INT((COLUMNS($B$71:AA71)-1) / 12)</f>
        <v/>
      </c>
      <c r="AB71" s="81">
        <f>AB33 * (Inputs!$B$36 / 12) * (1 + Inputs!$B$44)^INT((COLUMNS($B$71:AB71)-1) / 12)</f>
        <v/>
      </c>
      <c r="AC71" s="81">
        <f>AC33 * (Inputs!$B$36 / 12) * (1 + Inputs!$B$44)^INT((COLUMNS($B$71:AC71)-1) / 12)</f>
        <v/>
      </c>
      <c r="AD71" s="81">
        <f>AD33 * (Inputs!$B$36 / 12) * (1 + Inputs!$B$44)^INT((COLUMNS($B$71:AD71)-1) / 12)</f>
        <v/>
      </c>
      <c r="AE71" s="81">
        <f>AE33 * (Inputs!$B$36 / 12) * (1 + Inputs!$B$44)^INT((COLUMNS($B$71:AE71)-1) / 12)</f>
        <v/>
      </c>
      <c r="AF71" s="81">
        <f>AF33 * (Inputs!$B$36 / 12) * (1 + Inputs!$B$44)^INT((COLUMNS($B$71:AF71)-1) / 12)</f>
        <v/>
      </c>
      <c r="AG71" s="81">
        <f>AG33 * (Inputs!$B$36 / 12) * (1 + Inputs!$B$44)^INT((COLUMNS($B$71:AG71)-1) / 12)</f>
        <v/>
      </c>
      <c r="AH71" s="81">
        <f>AH33 * (Inputs!$B$36 / 12) * (1 + Inputs!$B$44)^INT((COLUMNS($B$71:AH71)-1) / 12)</f>
        <v/>
      </c>
      <c r="AI71" s="81">
        <f>AI33 * (Inputs!$B$36 / 12) * (1 + Inputs!$B$44)^INT((COLUMNS($B$71:AI71)-1) / 12)</f>
        <v/>
      </c>
      <c r="AJ71" s="81">
        <f>AJ33 * (Inputs!$B$36 / 12) * (1 + Inputs!$B$44)^INT((COLUMNS($B$71:AJ71)-1) / 12)</f>
        <v/>
      </c>
      <c r="AK71" s="81">
        <f>AK33 * (Inputs!$B$36 / 12) * (1 + Inputs!$B$44)^INT((COLUMNS($B$71:AK71)-1) / 12)</f>
        <v/>
      </c>
      <c r="AL71" s="81">
        <f>AL33 * (Inputs!$B$36 / 12) * (1 + Inputs!$B$44)^INT((COLUMNS($B$71:AL71)-1) / 12)</f>
        <v/>
      </c>
      <c r="AM71" s="81">
        <f>AM33 * (Inputs!$B$36 / 12) * (1 + Inputs!$B$44)^INT((COLUMNS($B$71:AM71)-1) / 12)</f>
        <v/>
      </c>
      <c r="AN71" s="81">
        <f>AN33 * (Inputs!$B$36 / 12) * (1 + Inputs!$B$44)^INT((COLUMNS($B$71:AN71)-1) / 12)</f>
        <v/>
      </c>
      <c r="AO71" s="81">
        <f>AO33 * (Inputs!$B$36 / 12) * (1 + Inputs!$B$44)^INT((COLUMNS($B$71:AO71)-1) / 12)</f>
        <v/>
      </c>
      <c r="AP71" s="81">
        <f>AP33 * (Inputs!$B$36 / 12) * (1 + Inputs!$B$44)^INT((COLUMNS($B$71:AP71)-1) / 12)</f>
        <v/>
      </c>
      <c r="AQ71" s="81">
        <f>AQ33 * (Inputs!$B$36 / 12) * (1 + Inputs!$B$44)^INT((COLUMNS($B$71:AQ71)-1) / 12)</f>
        <v/>
      </c>
      <c r="AR71" s="81">
        <f>AR33 * (Inputs!$B$36 / 12) * (1 + Inputs!$B$44)^INT((COLUMNS($B$71:AR71)-1) / 12)</f>
        <v/>
      </c>
      <c r="AS71" s="81">
        <f>AS33 * (Inputs!$B$36 / 12) * (1 + Inputs!$B$44)^INT((COLUMNS($B$71:AS71)-1) / 12)</f>
        <v/>
      </c>
      <c r="AT71" s="81">
        <f>AT33 * (Inputs!$B$36 / 12) * (1 + Inputs!$B$44)^INT((COLUMNS($B$71:AT71)-1) / 12)</f>
        <v/>
      </c>
      <c r="AU71" s="81">
        <f>AU33 * (Inputs!$B$36 / 12) * (1 + Inputs!$B$44)^INT((COLUMNS($B$71:AU71)-1) / 12)</f>
        <v/>
      </c>
      <c r="AV71" s="81">
        <f>AV33 * (Inputs!$B$36 / 12) * (1 + Inputs!$B$44)^INT((COLUMNS($B$71:AV71)-1) / 12)</f>
        <v/>
      </c>
      <c r="AW71" s="81">
        <f>AW33 * (Inputs!$B$36 / 12) * (1 + Inputs!$B$44)^INT((COLUMNS($B$71:AW71)-1) / 12)</f>
        <v/>
      </c>
      <c r="AX71" s="81">
        <f>AX33 * (Inputs!$B$36 / 12) * (1 + Inputs!$B$44)^INT((COLUMNS($B$71:AX71)-1) / 12)</f>
        <v/>
      </c>
      <c r="AY71" s="81">
        <f>AY33 * (Inputs!$B$36 / 12) * (1 + Inputs!$B$44)^INT((COLUMNS($B$71:AY71)-1) / 12)</f>
        <v/>
      </c>
      <c r="AZ71" s="81">
        <f>AZ33 * (Inputs!$B$36 / 12) * (1 + Inputs!$B$44)^INT((COLUMNS($B$71:AZ71)-1) / 12)</f>
        <v/>
      </c>
      <c r="BA71" s="81">
        <f>BA33 * (Inputs!$B$36 / 12) * (1 + Inputs!$B$44)^INT((COLUMNS($B$71:BA71)-1) / 12)</f>
        <v/>
      </c>
    </row>
    <row r="72" ht="14.25" customHeight="1" s="83">
      <c r="A72" s="77" t="inlineStr">
        <is>
          <t>5. ML/AI Engineer Gehalt</t>
        </is>
      </c>
      <c r="B72" s="81">
        <f>B34 * (Inputs!$B$37 / 12) * (1 + Inputs!$B$44)^INT((COLUMNS($B$72:B72)-1) / 12)</f>
        <v/>
      </c>
      <c r="C72" s="81">
        <f>C34 * (Inputs!$B$37 / 12) * (1 + Inputs!$B$44)^INT((COLUMNS($B$72:C72)-1) / 12)</f>
        <v/>
      </c>
      <c r="D72" s="81">
        <f>D34 * (Inputs!$B$37 / 12) * (1 + Inputs!$B$44)^INT((COLUMNS($B$72:D72)-1) / 12)</f>
        <v/>
      </c>
      <c r="E72" s="81">
        <f>E34 * (Inputs!$B$37 / 12) * (1 + Inputs!$B$44)^INT((COLUMNS($B$72:E72)-1) / 12)</f>
        <v/>
      </c>
      <c r="F72" s="81">
        <f>F34 * (Inputs!$B$37 / 12) * (1 + Inputs!$B$44)^INT((COLUMNS($B$72:F72)-1) / 12)</f>
        <v/>
      </c>
      <c r="G72" s="81">
        <f>G34 * (Inputs!$B$37 / 12) * (1 + Inputs!$B$44)^INT((COLUMNS($B$72:G72)-1) / 12)</f>
        <v/>
      </c>
      <c r="H72" s="81">
        <f>H34 * (Inputs!$B$37 / 12) * (1 + Inputs!$B$44)^INT((COLUMNS($B$72:H72)-1) / 12)</f>
        <v/>
      </c>
      <c r="I72" s="81">
        <f>I34 * (Inputs!$B$37 / 12) * (1 + Inputs!$B$44)^INT((COLUMNS($B$72:I72)-1) / 12)</f>
        <v/>
      </c>
      <c r="J72" s="81">
        <f>J34 * (Inputs!$B$37 / 12) * (1 + Inputs!$B$44)^INT((COLUMNS($B$72:J72)-1) / 12)</f>
        <v/>
      </c>
      <c r="K72" s="81">
        <f>K34 * (Inputs!$B$37 / 12) * (1 + Inputs!$B$44)^INT((COLUMNS($B$72:K72)-1) / 12)</f>
        <v/>
      </c>
      <c r="L72" s="81">
        <f>L34 * (Inputs!$B$37 / 12) * (1 + Inputs!$B$44)^INT((COLUMNS($B$72:L72)-1) / 12)</f>
        <v/>
      </c>
      <c r="M72" s="81">
        <f>M34 * (Inputs!$B$37 / 12) * (1 + Inputs!$B$44)^INT((COLUMNS($B$72:M72)-1) / 12)</f>
        <v/>
      </c>
      <c r="N72" s="81">
        <f>N34 * (Inputs!$B$37 / 12) * (1 + Inputs!$B$44)^INT((COLUMNS($B$72:N72)-1) / 12)</f>
        <v/>
      </c>
      <c r="O72" s="81">
        <f>O34 * (Inputs!$B$37 / 12) * (1 + Inputs!$B$44)^INT((COLUMNS($B$72:O72)-1) / 12)</f>
        <v/>
      </c>
      <c r="P72" s="81">
        <f>P34 * (Inputs!$B$37 / 12) * (1 + Inputs!$B$44)^INT((COLUMNS($B$72:P72)-1) / 12)</f>
        <v/>
      </c>
      <c r="Q72" s="81">
        <f>Q34 * (Inputs!$B$37 / 12) * (1 + Inputs!$B$44)^INT((COLUMNS($B$72:Q72)-1) / 12)</f>
        <v/>
      </c>
      <c r="R72" s="81">
        <f>R34 * (Inputs!$B$37 / 12) * (1 + Inputs!$B$44)^INT((COLUMNS($B$72:R72)-1) / 12)</f>
        <v/>
      </c>
      <c r="S72" s="81">
        <f>S34 * (Inputs!$B$37 / 12) * (1 + Inputs!$B$44)^INT((COLUMNS($B$72:S72)-1) / 12)</f>
        <v/>
      </c>
      <c r="T72" s="81">
        <f>T34 * (Inputs!$B$37 / 12) * (1 + Inputs!$B$44)^INT((COLUMNS($B$72:T72)-1) / 12)</f>
        <v/>
      </c>
      <c r="U72" s="81">
        <f>U34 * (Inputs!$B$37 / 12) * (1 + Inputs!$B$44)^INT((COLUMNS($B$72:U72)-1) / 12)</f>
        <v/>
      </c>
      <c r="V72" s="81">
        <f>V34 * (Inputs!$B$37 / 12) * (1 + Inputs!$B$44)^INT((COLUMNS($B$72:V72)-1) / 12)</f>
        <v/>
      </c>
      <c r="W72" s="81">
        <f>W34 * (Inputs!$B$37 / 12) * (1 + Inputs!$B$44)^INT((COLUMNS($B$72:W72)-1) / 12)</f>
        <v/>
      </c>
      <c r="X72" s="81">
        <f>X34 * (Inputs!$B$37 / 12) * (1 + Inputs!$B$44)^INT((COLUMNS($B$72:X72)-1) / 12)</f>
        <v/>
      </c>
      <c r="Y72" s="81">
        <f>Y34 * (Inputs!$B$37 / 12) * (1 + Inputs!$B$44)^INT((COLUMNS($B$72:Y72)-1) / 12)</f>
        <v/>
      </c>
      <c r="Z72" s="81">
        <f>Z34 * (Inputs!$B$37 / 12) * (1 + Inputs!$B$44)^INT((COLUMNS($B$72:Z72)-1) / 12)</f>
        <v/>
      </c>
      <c r="AA72" s="81">
        <f>AA34 * (Inputs!$B$37 / 12) * (1 + Inputs!$B$44)^INT((COLUMNS($B$72:AA72)-1) / 12)</f>
        <v/>
      </c>
      <c r="AB72" s="81">
        <f>AB34 * (Inputs!$B$37 / 12) * (1 + Inputs!$B$44)^INT((COLUMNS($B$72:AB72)-1) / 12)</f>
        <v/>
      </c>
      <c r="AC72" s="81">
        <f>AC34 * (Inputs!$B$37 / 12) * (1 + Inputs!$B$44)^INT((COLUMNS($B$72:AC72)-1) / 12)</f>
        <v/>
      </c>
      <c r="AD72" s="81">
        <f>AD34 * (Inputs!$B$37 / 12) * (1 + Inputs!$B$44)^INT((COLUMNS($B$72:AD72)-1) / 12)</f>
        <v/>
      </c>
      <c r="AE72" s="81">
        <f>AE34 * (Inputs!$B$37 / 12) * (1 + Inputs!$B$44)^INT((COLUMNS($B$72:AE72)-1) / 12)</f>
        <v/>
      </c>
      <c r="AF72" s="81">
        <f>AF34 * (Inputs!$B$37 / 12) * (1 + Inputs!$B$44)^INT((COLUMNS($B$72:AF72)-1) / 12)</f>
        <v/>
      </c>
      <c r="AG72" s="81">
        <f>AG34 * (Inputs!$B$37 / 12) * (1 + Inputs!$B$44)^INT((COLUMNS($B$72:AG72)-1) / 12)</f>
        <v/>
      </c>
      <c r="AH72" s="81">
        <f>AH34 * (Inputs!$B$37 / 12) * (1 + Inputs!$B$44)^INT((COLUMNS($B$72:AH72)-1) / 12)</f>
        <v/>
      </c>
      <c r="AI72" s="81">
        <f>AI34 * (Inputs!$B$37 / 12) * (1 + Inputs!$B$44)^INT((COLUMNS($B$72:AI72)-1) / 12)</f>
        <v/>
      </c>
      <c r="AJ72" s="81">
        <f>AJ34 * (Inputs!$B$37 / 12) * (1 + Inputs!$B$44)^INT((COLUMNS($B$72:AJ72)-1) / 12)</f>
        <v/>
      </c>
      <c r="AK72" s="81">
        <f>AK34 * (Inputs!$B$37 / 12) * (1 + Inputs!$B$44)^INT((COLUMNS($B$72:AK72)-1) / 12)</f>
        <v/>
      </c>
      <c r="AL72" s="81">
        <f>AL34 * (Inputs!$B$37 / 12) * (1 + Inputs!$B$44)^INT((COLUMNS($B$72:AL72)-1) / 12)</f>
        <v/>
      </c>
      <c r="AM72" s="81">
        <f>AM34 * (Inputs!$B$37 / 12) * (1 + Inputs!$B$44)^INT((COLUMNS($B$72:AM72)-1) / 12)</f>
        <v/>
      </c>
      <c r="AN72" s="81">
        <f>AN34 * (Inputs!$B$37 / 12) * (1 + Inputs!$B$44)^INT((COLUMNS($B$72:AN72)-1) / 12)</f>
        <v/>
      </c>
      <c r="AO72" s="81">
        <f>AO34 * (Inputs!$B$37 / 12) * (1 + Inputs!$B$44)^INT((COLUMNS($B$72:AO72)-1) / 12)</f>
        <v/>
      </c>
      <c r="AP72" s="81">
        <f>AP34 * (Inputs!$B$37 / 12) * (1 + Inputs!$B$44)^INT((COLUMNS($B$72:AP72)-1) / 12)</f>
        <v/>
      </c>
      <c r="AQ72" s="81">
        <f>AQ34 * (Inputs!$B$37 / 12) * (1 + Inputs!$B$44)^INT((COLUMNS($B$72:AQ72)-1) / 12)</f>
        <v/>
      </c>
      <c r="AR72" s="81">
        <f>AR34 * (Inputs!$B$37 / 12) * (1 + Inputs!$B$44)^INT((COLUMNS($B$72:AR72)-1) / 12)</f>
        <v/>
      </c>
      <c r="AS72" s="81">
        <f>AS34 * (Inputs!$B$37 / 12) * (1 + Inputs!$B$44)^INT((COLUMNS($B$72:AS72)-1) / 12)</f>
        <v/>
      </c>
      <c r="AT72" s="81">
        <f>AT34 * (Inputs!$B$37 / 12) * (1 + Inputs!$B$44)^INT((COLUMNS($B$72:AT72)-1) / 12)</f>
        <v/>
      </c>
      <c r="AU72" s="81">
        <f>AU34 * (Inputs!$B$37 / 12) * (1 + Inputs!$B$44)^INT((COLUMNS($B$72:AU72)-1) / 12)</f>
        <v/>
      </c>
      <c r="AV72" s="81">
        <f>AV34 * (Inputs!$B$37 / 12) * (1 + Inputs!$B$44)^INT((COLUMNS($B$72:AV72)-1) / 12)</f>
        <v/>
      </c>
      <c r="AW72" s="81">
        <f>AW34 * (Inputs!$B$37 / 12) * (1 + Inputs!$B$44)^INT((COLUMNS($B$72:AW72)-1) / 12)</f>
        <v/>
      </c>
      <c r="AX72" s="81">
        <f>AX34 * (Inputs!$B$37 / 12) * (1 + Inputs!$B$44)^INT((COLUMNS($B$72:AX72)-1) / 12)</f>
        <v/>
      </c>
      <c r="AY72" s="81">
        <f>AY34 * (Inputs!$B$37 / 12) * (1 + Inputs!$B$44)^INT((COLUMNS($B$72:AY72)-1) / 12)</f>
        <v/>
      </c>
      <c r="AZ72" s="81">
        <f>AZ34 * (Inputs!$B$37 / 12) * (1 + Inputs!$B$44)^INT((COLUMNS($B$72:AZ72)-1) / 12)</f>
        <v/>
      </c>
      <c r="BA72" s="81">
        <f>BA34 * (Inputs!$B$37 / 12) * (1 + Inputs!$B$44)^INT((COLUMNS($B$72:BA72)-1) / 12)</f>
        <v/>
      </c>
    </row>
    <row r="73" ht="14.25" customHeight="1" s="83">
      <c r="A73" s="77" t="inlineStr">
        <is>
          <t>5. Sales Rep Gehalt</t>
        </is>
      </c>
      <c r="B73" s="81">
        <f>B35 * (Inputs!$B$39 / 12) * (1 + Inputs!$B$44)^INT((COLUMNS($B$73:B73)-1) / 12)</f>
        <v/>
      </c>
      <c r="C73" s="81">
        <f>C35 * (Inputs!$B$39 / 12) * (1 + Inputs!$B$44)^INT((COLUMNS($B$73:C73)-1) / 12)</f>
        <v/>
      </c>
      <c r="D73" s="81">
        <f>D35 * (Inputs!$B$39 / 12) * (1 + Inputs!$B$44)^INT((COLUMNS($B$73:D73)-1) / 12)</f>
        <v/>
      </c>
      <c r="E73" s="81">
        <f>E35 * (Inputs!$B$39 / 12) * (1 + Inputs!$B$44)^INT((COLUMNS($B$73:E73)-1) / 12)</f>
        <v/>
      </c>
      <c r="F73" s="81">
        <f>F35 * (Inputs!$B$39 / 12) * (1 + Inputs!$B$44)^INT((COLUMNS($B$73:F73)-1) / 12)</f>
        <v/>
      </c>
      <c r="G73" s="81">
        <f>G35 * (Inputs!$B$39 / 12) * (1 + Inputs!$B$44)^INT((COLUMNS($B$73:G73)-1) / 12)</f>
        <v/>
      </c>
      <c r="H73" s="81">
        <f>H35 * (Inputs!$B$39 / 12) * (1 + Inputs!$B$44)^INT((COLUMNS($B$73:H73)-1) / 12)</f>
        <v/>
      </c>
      <c r="I73" s="81">
        <f>I35 * (Inputs!$B$39 / 12) * (1 + Inputs!$B$44)^INT((COLUMNS($B$73:I73)-1) / 12)</f>
        <v/>
      </c>
      <c r="J73" s="81">
        <f>J35 * (Inputs!$B$39 / 12) * (1 + Inputs!$B$44)^INT((COLUMNS($B$73:J73)-1) / 12)</f>
        <v/>
      </c>
      <c r="K73" s="81">
        <f>K35 * (Inputs!$B$39 / 12) * (1 + Inputs!$B$44)^INT((COLUMNS($B$73:K73)-1) / 12)</f>
        <v/>
      </c>
      <c r="L73" s="81">
        <f>L35 * (Inputs!$B$39 / 12) * (1 + Inputs!$B$44)^INT((COLUMNS($B$73:L73)-1) / 12)</f>
        <v/>
      </c>
      <c r="M73" s="81">
        <f>M35 * (Inputs!$B$39 / 12) * (1 + Inputs!$B$44)^INT((COLUMNS($B$73:M73)-1) / 12)</f>
        <v/>
      </c>
      <c r="N73" s="81">
        <f>N35 * (Inputs!$B$39 / 12) * (1 + Inputs!$B$44)^INT((COLUMNS($B$73:N73)-1) / 12)</f>
        <v/>
      </c>
      <c r="O73" s="81">
        <f>O35 * (Inputs!$B$39 / 12) * (1 + Inputs!$B$44)^INT((COLUMNS($B$73:O73)-1) / 12)</f>
        <v/>
      </c>
      <c r="P73" s="81">
        <f>P35 * (Inputs!$B$39 / 12) * (1 + Inputs!$B$44)^INT((COLUMNS($B$73:P73)-1) / 12)</f>
        <v/>
      </c>
      <c r="Q73" s="81">
        <f>Q35 * (Inputs!$B$39 / 12) * (1 + Inputs!$B$44)^INT((COLUMNS($B$73:Q73)-1) / 12)</f>
        <v/>
      </c>
      <c r="R73" s="81">
        <f>R35 * (Inputs!$B$39 / 12) * (1 + Inputs!$B$44)^INT((COLUMNS($B$73:R73)-1) / 12)</f>
        <v/>
      </c>
      <c r="S73" s="81">
        <f>S35 * (Inputs!$B$39 / 12) * (1 + Inputs!$B$44)^INT((COLUMNS($B$73:S73)-1) / 12)</f>
        <v/>
      </c>
      <c r="T73" s="81">
        <f>T35 * (Inputs!$B$39 / 12) * (1 + Inputs!$B$44)^INT((COLUMNS($B$73:T73)-1) / 12)</f>
        <v/>
      </c>
      <c r="U73" s="81">
        <f>U35 * (Inputs!$B$39 / 12) * (1 + Inputs!$B$44)^INT((COLUMNS($B$73:U73)-1) / 12)</f>
        <v/>
      </c>
      <c r="V73" s="81">
        <f>V35 * (Inputs!$B$39 / 12) * (1 + Inputs!$B$44)^INT((COLUMNS($B$73:V73)-1) / 12)</f>
        <v/>
      </c>
      <c r="W73" s="81">
        <f>W35 * (Inputs!$B$39 / 12) * (1 + Inputs!$B$44)^INT((COLUMNS($B$73:W73)-1) / 12)</f>
        <v/>
      </c>
      <c r="X73" s="81">
        <f>X35 * (Inputs!$B$39 / 12) * (1 + Inputs!$B$44)^INT((COLUMNS($B$73:X73)-1) / 12)</f>
        <v/>
      </c>
      <c r="Y73" s="81">
        <f>Y35 * (Inputs!$B$39 / 12) * (1 + Inputs!$B$44)^INT((COLUMNS($B$73:Y73)-1) / 12)</f>
        <v/>
      </c>
      <c r="Z73" s="81">
        <f>Z35 * (Inputs!$B$39 / 12) * (1 + Inputs!$B$44)^INT((COLUMNS($B$73:Z73)-1) / 12)</f>
        <v/>
      </c>
      <c r="AA73" s="81">
        <f>AA35 * (Inputs!$B$39 / 12) * (1 + Inputs!$B$44)^INT((COLUMNS($B$73:AA73)-1) / 12)</f>
        <v/>
      </c>
      <c r="AB73" s="81">
        <f>AB35 * (Inputs!$B$39 / 12) * (1 + Inputs!$B$44)^INT((COLUMNS($B$73:AB73)-1) / 12)</f>
        <v/>
      </c>
      <c r="AC73" s="81">
        <f>AC35 * (Inputs!$B$39 / 12) * (1 + Inputs!$B$44)^INT((COLUMNS($B$73:AC73)-1) / 12)</f>
        <v/>
      </c>
      <c r="AD73" s="81">
        <f>AD35 * (Inputs!$B$39 / 12) * (1 + Inputs!$B$44)^INT((COLUMNS($B$73:AD73)-1) / 12)</f>
        <v/>
      </c>
      <c r="AE73" s="81">
        <f>AE35 * (Inputs!$B$39 / 12) * (1 + Inputs!$B$44)^INT((COLUMNS($B$73:AE73)-1) / 12)</f>
        <v/>
      </c>
      <c r="AF73" s="81">
        <f>AF35 * (Inputs!$B$39 / 12) * (1 + Inputs!$B$44)^INT((COLUMNS($B$73:AF73)-1) / 12)</f>
        <v/>
      </c>
      <c r="AG73" s="81">
        <f>AG35 * (Inputs!$B$39 / 12) * (1 + Inputs!$B$44)^INT((COLUMNS($B$73:AG73)-1) / 12)</f>
        <v/>
      </c>
      <c r="AH73" s="81">
        <f>AH35 * (Inputs!$B$39 / 12) * (1 + Inputs!$B$44)^INT((COLUMNS($B$73:AH73)-1) / 12)</f>
        <v/>
      </c>
      <c r="AI73" s="81">
        <f>AI35 * (Inputs!$B$39 / 12) * (1 + Inputs!$B$44)^INT((COLUMNS($B$73:AI73)-1) / 12)</f>
        <v/>
      </c>
      <c r="AJ73" s="81">
        <f>AJ35 * (Inputs!$B$39 / 12) * (1 + Inputs!$B$44)^INT((COLUMNS($B$73:AJ73)-1) / 12)</f>
        <v/>
      </c>
      <c r="AK73" s="81">
        <f>AK35 * (Inputs!$B$39 / 12) * (1 + Inputs!$B$44)^INT((COLUMNS($B$73:AK73)-1) / 12)</f>
        <v/>
      </c>
      <c r="AL73" s="81">
        <f>AL35 * (Inputs!$B$39 / 12) * (1 + Inputs!$B$44)^INT((COLUMNS($B$73:AL73)-1) / 12)</f>
        <v/>
      </c>
      <c r="AM73" s="81">
        <f>AM35 * (Inputs!$B$39 / 12) * (1 + Inputs!$B$44)^INT((COLUMNS($B$73:AM73)-1) / 12)</f>
        <v/>
      </c>
      <c r="AN73" s="81">
        <f>AN35 * (Inputs!$B$39 / 12) * (1 + Inputs!$B$44)^INT((COLUMNS($B$73:AN73)-1) / 12)</f>
        <v/>
      </c>
      <c r="AO73" s="81">
        <f>AO35 * (Inputs!$B$39 / 12) * (1 + Inputs!$B$44)^INT((COLUMNS($B$73:AO73)-1) / 12)</f>
        <v/>
      </c>
      <c r="AP73" s="81">
        <f>AP35 * (Inputs!$B$39 / 12) * (1 + Inputs!$B$44)^INT((COLUMNS($B$73:AP73)-1) / 12)</f>
        <v/>
      </c>
      <c r="AQ73" s="81">
        <f>AQ35 * (Inputs!$B$39 / 12) * (1 + Inputs!$B$44)^INT((COLUMNS($B$73:AQ73)-1) / 12)</f>
        <v/>
      </c>
      <c r="AR73" s="81">
        <f>AR35 * (Inputs!$B$39 / 12) * (1 + Inputs!$B$44)^INT((COLUMNS($B$73:AR73)-1) / 12)</f>
        <v/>
      </c>
      <c r="AS73" s="81">
        <f>AS35 * (Inputs!$B$39 / 12) * (1 + Inputs!$B$44)^INT((COLUMNS($B$73:AS73)-1) / 12)</f>
        <v/>
      </c>
      <c r="AT73" s="81">
        <f>AT35 * (Inputs!$B$39 / 12) * (1 + Inputs!$B$44)^INT((COLUMNS($B$73:AT73)-1) / 12)</f>
        <v/>
      </c>
      <c r="AU73" s="81">
        <f>AU35 * (Inputs!$B$39 / 12) * (1 + Inputs!$B$44)^INT((COLUMNS($B$73:AU73)-1) / 12)</f>
        <v/>
      </c>
      <c r="AV73" s="81">
        <f>AV35 * (Inputs!$B$39 / 12) * (1 + Inputs!$B$44)^INT((COLUMNS($B$73:AV73)-1) / 12)</f>
        <v/>
      </c>
      <c r="AW73" s="81">
        <f>AW35 * (Inputs!$B$39 / 12) * (1 + Inputs!$B$44)^INT((COLUMNS($B$73:AW73)-1) / 12)</f>
        <v/>
      </c>
      <c r="AX73" s="81">
        <f>AX35 * (Inputs!$B$39 / 12) * (1 + Inputs!$B$44)^INT((COLUMNS($B$73:AX73)-1) / 12)</f>
        <v/>
      </c>
      <c r="AY73" s="81">
        <f>AY35 * (Inputs!$B$39 / 12) * (1 + Inputs!$B$44)^INT((COLUMNS($B$73:AY73)-1) / 12)</f>
        <v/>
      </c>
      <c r="AZ73" s="81">
        <f>AZ35 * (Inputs!$B$39 / 12) * (1 + Inputs!$B$44)^INT((COLUMNS($B$73:AZ73)-1) / 12)</f>
        <v/>
      </c>
      <c r="BA73" s="81">
        <f>BA35 * (Inputs!$B$39 / 12) * (1 + Inputs!$B$44)^INT((COLUMNS($B$73:BA73)-1) / 12)</f>
        <v/>
      </c>
    </row>
    <row r="74" ht="14.25" customHeight="1" s="83">
      <c r="A74" s="77" t="inlineStr">
        <is>
          <t>4. Customer Success Gehalt</t>
        </is>
      </c>
      <c r="B74" s="81">
        <f>B36 * (Inputs!$B$41 / 12) * (1 + Inputs!$B$44)^INT((COLUMNS($B$74:B74)-1) / 12)</f>
        <v/>
      </c>
      <c r="C74" s="81">
        <f>C36 * (Inputs!$B$41 / 12) * (1 + Inputs!$B$44)^INT((COLUMNS($B$74:C74)-1) / 12)</f>
        <v/>
      </c>
      <c r="D74" s="81">
        <f>D36 * (Inputs!$B$41 / 12) * (1 + Inputs!$B$44)^INT((COLUMNS($B$74:D74)-1) / 12)</f>
        <v/>
      </c>
      <c r="E74" s="81">
        <f>E36 * (Inputs!$B$41 / 12) * (1 + Inputs!$B$44)^INT((COLUMNS($B$74:E74)-1) / 12)</f>
        <v/>
      </c>
      <c r="F74" s="81">
        <f>F36 * (Inputs!$B$41 / 12) * (1 + Inputs!$B$44)^INT((COLUMNS($B$74:F74)-1) / 12)</f>
        <v/>
      </c>
      <c r="G74" s="81">
        <f>G36 * (Inputs!$B$41 / 12) * (1 + Inputs!$B$44)^INT((COLUMNS($B$74:G74)-1) / 12)</f>
        <v/>
      </c>
      <c r="H74" s="81">
        <f>H36 * (Inputs!$B$41 / 12) * (1 + Inputs!$B$44)^INT((COLUMNS($B$74:H74)-1) / 12)</f>
        <v/>
      </c>
      <c r="I74" s="81">
        <f>I36 * (Inputs!$B$41 / 12) * (1 + Inputs!$B$44)^INT((COLUMNS($B$74:I74)-1) / 12)</f>
        <v/>
      </c>
      <c r="J74" s="81">
        <f>J36 * (Inputs!$B$41 / 12) * (1 + Inputs!$B$44)^INT((COLUMNS($B$74:J74)-1) / 12)</f>
        <v/>
      </c>
      <c r="K74" s="81">
        <f>K36 * (Inputs!$B$41 / 12) * (1 + Inputs!$B$44)^INT((COLUMNS($B$74:K74)-1) / 12)</f>
        <v/>
      </c>
      <c r="L74" s="81">
        <f>L36 * (Inputs!$B$41 / 12) * (1 + Inputs!$B$44)^INT((COLUMNS($B$74:L74)-1) / 12)</f>
        <v/>
      </c>
      <c r="M74" s="81">
        <f>M36 * (Inputs!$B$41 / 12) * (1 + Inputs!$B$44)^INT((COLUMNS($B$74:M74)-1) / 12)</f>
        <v/>
      </c>
      <c r="N74" s="81">
        <f>N36 * (Inputs!$B$41 / 12) * (1 + Inputs!$B$44)^INT((COLUMNS($B$74:N74)-1) / 12)</f>
        <v/>
      </c>
      <c r="O74" s="81">
        <f>O36 * (Inputs!$B$41 / 12) * (1 + Inputs!$B$44)^INT((COLUMNS($B$74:O74)-1) / 12)</f>
        <v/>
      </c>
      <c r="P74" s="81">
        <f>P36 * (Inputs!$B$41 / 12) * (1 + Inputs!$B$44)^INT((COLUMNS($B$74:P74)-1) / 12)</f>
        <v/>
      </c>
      <c r="Q74" s="81">
        <f>Q36 * (Inputs!$B$41 / 12) * (1 + Inputs!$B$44)^INT((COLUMNS($B$74:Q74)-1) / 12)</f>
        <v/>
      </c>
      <c r="R74" s="81">
        <f>R36 * (Inputs!$B$41 / 12) * (1 + Inputs!$B$44)^INT((COLUMNS($B$74:R74)-1) / 12)</f>
        <v/>
      </c>
      <c r="S74" s="81">
        <f>S36 * (Inputs!$B$41 / 12) * (1 + Inputs!$B$44)^INT((COLUMNS($B$74:S74)-1) / 12)</f>
        <v/>
      </c>
      <c r="T74" s="81">
        <f>T36 * (Inputs!$B$41 / 12) * (1 + Inputs!$B$44)^INT((COLUMNS($B$74:T74)-1) / 12)</f>
        <v/>
      </c>
      <c r="U74" s="81">
        <f>U36 * (Inputs!$B$41 / 12) * (1 + Inputs!$B$44)^INT((COLUMNS($B$74:U74)-1) / 12)</f>
        <v/>
      </c>
      <c r="V74" s="81">
        <f>V36 * (Inputs!$B$41 / 12) * (1 + Inputs!$B$44)^INT((COLUMNS($B$74:V74)-1) / 12)</f>
        <v/>
      </c>
      <c r="W74" s="81">
        <f>W36 * (Inputs!$B$41 / 12) * (1 + Inputs!$B$44)^INT((COLUMNS($B$74:W74)-1) / 12)</f>
        <v/>
      </c>
      <c r="X74" s="81">
        <f>X36 * (Inputs!$B$41 / 12) * (1 + Inputs!$B$44)^INT((COLUMNS($B$74:X74)-1) / 12)</f>
        <v/>
      </c>
      <c r="Y74" s="81">
        <f>Y36 * (Inputs!$B$41 / 12) * (1 + Inputs!$B$44)^INT((COLUMNS($B$74:Y74)-1) / 12)</f>
        <v/>
      </c>
      <c r="Z74" s="81">
        <f>Z36 * (Inputs!$B$41 / 12) * (1 + Inputs!$B$44)^INT((COLUMNS($B$74:Z74)-1) / 12)</f>
        <v/>
      </c>
      <c r="AA74" s="81">
        <f>AA36 * (Inputs!$B$41 / 12) * (1 + Inputs!$B$44)^INT((COLUMNS($B$74:AA74)-1) / 12)</f>
        <v/>
      </c>
      <c r="AB74" s="81">
        <f>AB36 * (Inputs!$B$41 / 12) * (1 + Inputs!$B$44)^INT((COLUMNS($B$74:AB74)-1) / 12)</f>
        <v/>
      </c>
      <c r="AC74" s="81">
        <f>AC36 * (Inputs!$B$41 / 12) * (1 + Inputs!$B$44)^INT((COLUMNS($B$74:AC74)-1) / 12)</f>
        <v/>
      </c>
      <c r="AD74" s="81">
        <f>AD36 * (Inputs!$B$41 / 12) * (1 + Inputs!$B$44)^INT((COLUMNS($B$74:AD74)-1) / 12)</f>
        <v/>
      </c>
      <c r="AE74" s="81">
        <f>AE36 * (Inputs!$B$41 / 12) * (1 + Inputs!$B$44)^INT((COLUMNS($B$74:AE74)-1) / 12)</f>
        <v/>
      </c>
      <c r="AF74" s="81">
        <f>AF36 * (Inputs!$B$41 / 12) * (1 + Inputs!$B$44)^INT((COLUMNS($B$74:AF74)-1) / 12)</f>
        <v/>
      </c>
      <c r="AG74" s="81">
        <f>AG36 * (Inputs!$B$41 / 12) * (1 + Inputs!$B$44)^INT((COLUMNS($B$74:AG74)-1) / 12)</f>
        <v/>
      </c>
      <c r="AH74" s="81">
        <f>AH36 * (Inputs!$B$41 / 12) * (1 + Inputs!$B$44)^INT((COLUMNS($B$74:AH74)-1) / 12)</f>
        <v/>
      </c>
      <c r="AI74" s="81">
        <f>AI36 * (Inputs!$B$41 / 12) * (1 + Inputs!$B$44)^INT((COLUMNS($B$74:AI74)-1) / 12)</f>
        <v/>
      </c>
      <c r="AJ74" s="81">
        <f>AJ36 * (Inputs!$B$41 / 12) * (1 + Inputs!$B$44)^INT((COLUMNS($B$74:AJ74)-1) / 12)</f>
        <v/>
      </c>
      <c r="AK74" s="81">
        <f>AK36 * (Inputs!$B$41 / 12) * (1 + Inputs!$B$44)^INT((COLUMNS($B$74:AK74)-1) / 12)</f>
        <v/>
      </c>
      <c r="AL74" s="81">
        <f>AL36 * (Inputs!$B$41 / 12) * (1 + Inputs!$B$44)^INT((COLUMNS($B$74:AL74)-1) / 12)</f>
        <v/>
      </c>
      <c r="AM74" s="81">
        <f>AM36 * (Inputs!$B$41 / 12) * (1 + Inputs!$B$44)^INT((COLUMNS($B$74:AM74)-1) / 12)</f>
        <v/>
      </c>
      <c r="AN74" s="81">
        <f>AN36 * (Inputs!$B$41 / 12) * (1 + Inputs!$B$44)^INT((COLUMNS($B$74:AN74)-1) / 12)</f>
        <v/>
      </c>
      <c r="AO74" s="81">
        <f>AO36 * (Inputs!$B$41 / 12) * (1 + Inputs!$B$44)^INT((COLUMNS($B$74:AO74)-1) / 12)</f>
        <v/>
      </c>
      <c r="AP74" s="81">
        <f>AP36 * (Inputs!$B$41 / 12) * (1 + Inputs!$B$44)^INT((COLUMNS($B$74:AP74)-1) / 12)</f>
        <v/>
      </c>
      <c r="AQ74" s="81">
        <f>AQ36 * (Inputs!$B$41 / 12) * (1 + Inputs!$B$44)^INT((COLUMNS($B$74:AQ74)-1) / 12)</f>
        <v/>
      </c>
      <c r="AR74" s="81">
        <f>AR36 * (Inputs!$B$41 / 12) * (1 + Inputs!$B$44)^INT((COLUMNS($B$74:AR74)-1) / 12)</f>
        <v/>
      </c>
      <c r="AS74" s="81">
        <f>AS36 * (Inputs!$B$41 / 12) * (1 + Inputs!$B$44)^INT((COLUMNS($B$74:AS74)-1) / 12)</f>
        <v/>
      </c>
      <c r="AT74" s="81">
        <f>AT36 * (Inputs!$B$41 / 12) * (1 + Inputs!$B$44)^INT((COLUMNS($B$74:AT74)-1) / 12)</f>
        <v/>
      </c>
      <c r="AU74" s="81">
        <f>AU36 * (Inputs!$B$41 / 12) * (1 + Inputs!$B$44)^INT((COLUMNS($B$74:AU74)-1) / 12)</f>
        <v/>
      </c>
      <c r="AV74" s="81">
        <f>AV36 * (Inputs!$B$41 / 12) * (1 + Inputs!$B$44)^INT((COLUMNS($B$74:AV74)-1) / 12)</f>
        <v/>
      </c>
      <c r="AW74" s="81">
        <f>AW36 * (Inputs!$B$41 / 12) * (1 + Inputs!$B$44)^INT((COLUMNS($B$74:AW74)-1) / 12)</f>
        <v/>
      </c>
      <c r="AX74" s="81">
        <f>AX36 * (Inputs!$B$41 / 12) * (1 + Inputs!$B$44)^INT((COLUMNS($B$74:AX74)-1) / 12)</f>
        <v/>
      </c>
      <c r="AY74" s="81">
        <f>AY36 * (Inputs!$B$41 / 12) * (1 + Inputs!$B$44)^INT((COLUMNS($B$74:AY74)-1) / 12)</f>
        <v/>
      </c>
      <c r="AZ74" s="81">
        <f>AZ36 * (Inputs!$B$41 / 12) * (1 + Inputs!$B$44)^INT((COLUMNS($B$74:AZ74)-1) / 12)</f>
        <v/>
      </c>
      <c r="BA74" s="81">
        <f>BA36 * (Inputs!$B$41 / 12) * (1 + Inputs!$B$44)^INT((COLUMNS($B$74:BA74)-1) / 12)</f>
        <v/>
      </c>
    </row>
    <row r="75" ht="14.25" customHeight="1" s="83">
      <c r="A75" s="77" t="inlineStr">
        <is>
          <t>3. Marketing Manager Gehalt</t>
        </is>
      </c>
      <c r="B75" s="81">
        <f>B37 * (Inputs!$B$40 / 12) * (1 + Inputs!$B$44)^INT((COLUMNS($B$75:B75)-1) / 12)</f>
        <v/>
      </c>
      <c r="C75" s="81">
        <f>C37 * (Inputs!$B$40 / 12) * (1 + Inputs!$B$44)^INT((COLUMNS($B$75:C75)-1) / 12)</f>
        <v/>
      </c>
      <c r="D75" s="81">
        <f>D37 * (Inputs!$B$40 / 12) * (1 + Inputs!$B$44)^INT((COLUMNS($B$75:D75)-1) / 12)</f>
        <v/>
      </c>
      <c r="E75" s="81">
        <f>E37 * (Inputs!$B$40 / 12) * (1 + Inputs!$B$44)^INT((COLUMNS($B$75:E75)-1) / 12)</f>
        <v/>
      </c>
      <c r="F75" s="81">
        <f>F37 * (Inputs!$B$40 / 12) * (1 + Inputs!$B$44)^INT((COLUMNS($B$75:F75)-1) / 12)</f>
        <v/>
      </c>
      <c r="G75" s="81">
        <f>G37 * (Inputs!$B$40 / 12) * (1 + Inputs!$B$44)^INT((COLUMNS($B$75:G75)-1) / 12)</f>
        <v/>
      </c>
      <c r="H75" s="81">
        <f>H37 * (Inputs!$B$40 / 12) * (1 + Inputs!$B$44)^INT((COLUMNS($B$75:H75)-1) / 12)</f>
        <v/>
      </c>
      <c r="I75" s="81">
        <f>I37 * (Inputs!$B$40 / 12) * (1 + Inputs!$B$44)^INT((COLUMNS($B$75:I75)-1) / 12)</f>
        <v/>
      </c>
      <c r="J75" s="81">
        <f>J37 * (Inputs!$B$40 / 12) * (1 + Inputs!$B$44)^INT((COLUMNS($B$75:J75)-1) / 12)</f>
        <v/>
      </c>
      <c r="K75" s="81">
        <f>K37 * (Inputs!$B$40 / 12) * (1 + Inputs!$B$44)^INT((COLUMNS($B$75:K75)-1) / 12)</f>
        <v/>
      </c>
      <c r="L75" s="81">
        <f>L37 * (Inputs!$B$40 / 12) * (1 + Inputs!$B$44)^INT((COLUMNS($B$75:L75)-1) / 12)</f>
        <v/>
      </c>
      <c r="M75" s="81">
        <f>M37 * (Inputs!$B$40 / 12) * (1 + Inputs!$B$44)^INT((COLUMNS($B$75:M75)-1) / 12)</f>
        <v/>
      </c>
      <c r="N75" s="81">
        <f>N37 * (Inputs!$B$40 / 12) * (1 + Inputs!$B$44)^INT((COLUMNS($B$75:N75)-1) / 12)</f>
        <v/>
      </c>
      <c r="O75" s="81">
        <f>O37 * (Inputs!$B$40 / 12) * (1 + Inputs!$B$44)^INT((COLUMNS($B$75:O75)-1) / 12)</f>
        <v/>
      </c>
      <c r="P75" s="81">
        <f>P37 * (Inputs!$B$40 / 12) * (1 + Inputs!$B$44)^INT((COLUMNS($B$75:P75)-1) / 12)</f>
        <v/>
      </c>
      <c r="Q75" s="81">
        <f>Q37 * (Inputs!$B$40 / 12) * (1 + Inputs!$B$44)^INT((COLUMNS($B$75:Q75)-1) / 12)</f>
        <v/>
      </c>
      <c r="R75" s="81">
        <f>R37 * (Inputs!$B$40 / 12) * (1 + Inputs!$B$44)^INT((COLUMNS($B$75:R75)-1) / 12)</f>
        <v/>
      </c>
      <c r="S75" s="81">
        <f>S37 * (Inputs!$B$40 / 12) * (1 + Inputs!$B$44)^INT((COLUMNS($B$75:S75)-1) / 12)</f>
        <v/>
      </c>
      <c r="T75" s="81">
        <f>T37 * (Inputs!$B$40 / 12) * (1 + Inputs!$B$44)^INT((COLUMNS($B$75:T75)-1) / 12)</f>
        <v/>
      </c>
      <c r="U75" s="81">
        <f>U37 * (Inputs!$B$40 / 12) * (1 + Inputs!$B$44)^INT((COLUMNS($B$75:U75)-1) / 12)</f>
        <v/>
      </c>
      <c r="V75" s="81">
        <f>V37 * (Inputs!$B$40 / 12) * (1 + Inputs!$B$44)^INT((COLUMNS($B$75:V75)-1) / 12)</f>
        <v/>
      </c>
      <c r="W75" s="81">
        <f>W37 * (Inputs!$B$40 / 12) * (1 + Inputs!$B$44)^INT((COLUMNS($B$75:W75)-1) / 12)</f>
        <v/>
      </c>
      <c r="X75" s="81">
        <f>X37 * (Inputs!$B$40 / 12) * (1 + Inputs!$B$44)^INT((COLUMNS($B$75:X75)-1) / 12)</f>
        <v/>
      </c>
      <c r="Y75" s="81">
        <f>Y37 * (Inputs!$B$40 / 12) * (1 + Inputs!$B$44)^INT((COLUMNS($B$75:Y75)-1) / 12)</f>
        <v/>
      </c>
      <c r="Z75" s="81">
        <f>Z37 * (Inputs!$B$40 / 12) * (1 + Inputs!$B$44)^INT((COLUMNS($B$75:Z75)-1) / 12)</f>
        <v/>
      </c>
      <c r="AA75" s="81">
        <f>AA37 * (Inputs!$B$40 / 12) * (1 + Inputs!$B$44)^INT((COLUMNS($B$75:AA75)-1) / 12)</f>
        <v/>
      </c>
      <c r="AB75" s="81">
        <f>AB37 * (Inputs!$B$40 / 12) * (1 + Inputs!$B$44)^INT((COLUMNS($B$75:AB75)-1) / 12)</f>
        <v/>
      </c>
      <c r="AC75" s="81">
        <f>AC37 * (Inputs!$B$40 / 12) * (1 + Inputs!$B$44)^INT((COLUMNS($B$75:AC75)-1) / 12)</f>
        <v/>
      </c>
      <c r="AD75" s="81">
        <f>AD37 * (Inputs!$B$40 / 12) * (1 + Inputs!$B$44)^INT((COLUMNS($B$75:AD75)-1) / 12)</f>
        <v/>
      </c>
      <c r="AE75" s="81">
        <f>AE37 * (Inputs!$B$40 / 12) * (1 + Inputs!$B$44)^INT((COLUMNS($B$75:AE75)-1) / 12)</f>
        <v/>
      </c>
      <c r="AF75" s="81">
        <f>AF37 * (Inputs!$B$40 / 12) * (1 + Inputs!$B$44)^INT((COLUMNS($B$75:AF75)-1) / 12)</f>
        <v/>
      </c>
      <c r="AG75" s="81">
        <f>AG37 * (Inputs!$B$40 / 12) * (1 + Inputs!$B$44)^INT((COLUMNS($B$75:AG75)-1) / 12)</f>
        <v/>
      </c>
      <c r="AH75" s="81">
        <f>AH37 * (Inputs!$B$40 / 12) * (1 + Inputs!$B$44)^INT((COLUMNS($B$75:AH75)-1) / 12)</f>
        <v/>
      </c>
      <c r="AI75" s="81">
        <f>AI37 * (Inputs!$B$40 / 12) * (1 + Inputs!$B$44)^INT((COLUMNS($B$75:AI75)-1) / 12)</f>
        <v/>
      </c>
      <c r="AJ75" s="81">
        <f>AJ37 * (Inputs!$B$40 / 12) * (1 + Inputs!$B$44)^INT((COLUMNS($B$75:AJ75)-1) / 12)</f>
        <v/>
      </c>
      <c r="AK75" s="81">
        <f>AK37 * (Inputs!$B$40 / 12) * (1 + Inputs!$B$44)^INT((COLUMNS($B$75:AK75)-1) / 12)</f>
        <v/>
      </c>
      <c r="AL75" s="81">
        <f>AL37 * (Inputs!$B$40 / 12) * (1 + Inputs!$B$44)^INT((COLUMNS($B$75:AL75)-1) / 12)</f>
        <v/>
      </c>
      <c r="AM75" s="81">
        <f>AM37 * (Inputs!$B$40 / 12) * (1 + Inputs!$B$44)^INT((COLUMNS($B$75:AM75)-1) / 12)</f>
        <v/>
      </c>
      <c r="AN75" s="81">
        <f>AN37 * (Inputs!$B$40 / 12) * (1 + Inputs!$B$44)^INT((COLUMNS($B$75:AN75)-1) / 12)</f>
        <v/>
      </c>
      <c r="AO75" s="81">
        <f>AO37 * (Inputs!$B$40 / 12) * (1 + Inputs!$B$44)^INT((COLUMNS($B$75:AO75)-1) / 12)</f>
        <v/>
      </c>
      <c r="AP75" s="81">
        <f>AP37 * (Inputs!$B$40 / 12) * (1 + Inputs!$B$44)^INT((COLUMNS($B$75:AP75)-1) / 12)</f>
        <v/>
      </c>
      <c r="AQ75" s="81">
        <f>AQ37 * (Inputs!$B$40 / 12) * (1 + Inputs!$B$44)^INT((COLUMNS($B$75:AQ75)-1) / 12)</f>
        <v/>
      </c>
      <c r="AR75" s="81">
        <f>AR37 * (Inputs!$B$40 / 12) * (1 + Inputs!$B$44)^INT((COLUMNS($B$75:AR75)-1) / 12)</f>
        <v/>
      </c>
      <c r="AS75" s="81">
        <f>AS37 * (Inputs!$B$40 / 12) * (1 + Inputs!$B$44)^INT((COLUMNS($B$75:AS75)-1) / 12)</f>
        <v/>
      </c>
      <c r="AT75" s="81">
        <f>AT37 * (Inputs!$B$40 / 12) * (1 + Inputs!$B$44)^INT((COLUMNS($B$75:AT75)-1) / 12)</f>
        <v/>
      </c>
      <c r="AU75" s="81">
        <f>AU37 * (Inputs!$B$40 / 12) * (1 + Inputs!$B$44)^INT((COLUMNS($B$75:AU75)-1) / 12)</f>
        <v/>
      </c>
      <c r="AV75" s="81">
        <f>AV37 * (Inputs!$B$40 / 12) * (1 + Inputs!$B$44)^INT((COLUMNS($B$75:AV75)-1) / 12)</f>
        <v/>
      </c>
      <c r="AW75" s="81">
        <f>AW37 * (Inputs!$B$40 / 12) * (1 + Inputs!$B$44)^INT((COLUMNS($B$75:AW75)-1) / 12)</f>
        <v/>
      </c>
      <c r="AX75" s="81">
        <f>AX37 * (Inputs!$B$40 / 12) * (1 + Inputs!$B$44)^INT((COLUMNS($B$75:AX75)-1) / 12)</f>
        <v/>
      </c>
      <c r="AY75" s="81">
        <f>AY37 * (Inputs!$B$40 / 12) * (1 + Inputs!$B$44)^INT((COLUMNS($B$75:AY75)-1) / 12)</f>
        <v/>
      </c>
      <c r="AZ75" s="81">
        <f>AZ37 * (Inputs!$B$40 / 12) * (1 + Inputs!$B$44)^INT((COLUMNS($B$75:AZ75)-1) / 12)</f>
        <v/>
      </c>
      <c r="BA75" s="81">
        <f>BA37 * (Inputs!$B$40 / 12) * (1 + Inputs!$B$44)^INT((COLUMNS($B$75:BA75)-1) / 12)</f>
        <v/>
      </c>
    </row>
    <row r="76" ht="14.25" customHeight="1" s="83">
      <c r="A76" s="2" t="inlineStr">
        <is>
          <t>Subtotal Brutto-Gehälter</t>
        </is>
      </c>
      <c r="B76" s="74">
        <f>SUM(B41:B75)</f>
        <v/>
      </c>
      <c r="C76" s="74">
        <f>SUM(C41:C75)</f>
        <v/>
      </c>
      <c r="D76" s="74">
        <f>SUM(D41:D75)</f>
        <v/>
      </c>
      <c r="E76" s="74">
        <f>SUM(E41:E75)</f>
        <v/>
      </c>
      <c r="F76" s="74">
        <f>SUM(F41:F75)</f>
        <v/>
      </c>
      <c r="G76" s="74">
        <f>SUM(G41:G75)</f>
        <v/>
      </c>
      <c r="H76" s="74">
        <f>SUM(H41:H75)</f>
        <v/>
      </c>
      <c r="I76" s="74">
        <f>SUM(I41:I75)</f>
        <v/>
      </c>
      <c r="J76" s="74">
        <f>SUM(J41:J75)</f>
        <v/>
      </c>
      <c r="K76" s="74">
        <f>SUM(K41:K75)</f>
        <v/>
      </c>
      <c r="L76" s="74">
        <f>SUM(L41:L75)</f>
        <v/>
      </c>
      <c r="M76" s="74">
        <f>SUM(M41:M75)</f>
        <v/>
      </c>
      <c r="N76" s="74">
        <f>SUM(N41:N75)</f>
        <v/>
      </c>
      <c r="O76" s="74">
        <f>SUM(O41:O75)</f>
        <v/>
      </c>
      <c r="P76" s="74">
        <f>SUM(P41:P75)</f>
        <v/>
      </c>
      <c r="Q76" s="74">
        <f>SUM(Q41:Q75)</f>
        <v/>
      </c>
      <c r="R76" s="74">
        <f>SUM(R41:R75)</f>
        <v/>
      </c>
      <c r="S76" s="74">
        <f>SUM(S41:S75)</f>
        <v/>
      </c>
      <c r="T76" s="74">
        <f>SUM(T41:T75)</f>
        <v/>
      </c>
      <c r="U76" s="74">
        <f>SUM(U41:U75)</f>
        <v/>
      </c>
      <c r="V76" s="74">
        <f>SUM(V41:V75)</f>
        <v/>
      </c>
      <c r="W76" s="74">
        <f>SUM(W41:W75)</f>
        <v/>
      </c>
      <c r="X76" s="74">
        <f>SUM(X41:X75)</f>
        <v/>
      </c>
      <c r="Y76" s="74">
        <f>SUM(Y41:Y75)</f>
        <v/>
      </c>
      <c r="Z76" s="74">
        <f>SUM(Z41:Z75)</f>
        <v/>
      </c>
      <c r="AA76" s="74">
        <f>SUM(AA41:AA75)</f>
        <v/>
      </c>
      <c r="AB76" s="74">
        <f>SUM(AB41:AB75)</f>
        <v/>
      </c>
      <c r="AC76" s="74">
        <f>SUM(AC41:AC75)</f>
        <v/>
      </c>
      <c r="AD76" s="74">
        <f>SUM(AD41:AD75)</f>
        <v/>
      </c>
      <c r="AE76" s="74">
        <f>SUM(AE41:AE75)</f>
        <v/>
      </c>
      <c r="AF76" s="74">
        <f>SUM(AF41:AF75)</f>
        <v/>
      </c>
      <c r="AG76" s="74">
        <f>SUM(AG41:AG75)</f>
        <v/>
      </c>
      <c r="AH76" s="74">
        <f>SUM(AH41:AH75)</f>
        <v/>
      </c>
      <c r="AI76" s="74">
        <f>SUM(AI41:AI75)</f>
        <v/>
      </c>
      <c r="AJ76" s="74">
        <f>SUM(AJ41:AJ75)</f>
        <v/>
      </c>
      <c r="AK76" s="74">
        <f>SUM(AK41:AK75)</f>
        <v/>
      </c>
      <c r="AL76" s="74">
        <f>SUM(AL41:AL75)</f>
        <v/>
      </c>
      <c r="AM76" s="74">
        <f>SUM(AM41:AM75)</f>
        <v/>
      </c>
      <c r="AN76" s="74">
        <f>SUM(AN41:AN75)</f>
        <v/>
      </c>
      <c r="AO76" s="74">
        <f>SUM(AO41:AO75)</f>
        <v/>
      </c>
      <c r="AP76" s="74">
        <f>SUM(AP41:AP75)</f>
        <v/>
      </c>
      <c r="AQ76" s="74">
        <f>SUM(AQ41:AQ75)</f>
        <v/>
      </c>
      <c r="AR76" s="74">
        <f>SUM(AR41:AR75)</f>
        <v/>
      </c>
      <c r="AS76" s="74">
        <f>SUM(AS41:AS75)</f>
        <v/>
      </c>
      <c r="AT76" s="74">
        <f>SUM(AT41:AT75)</f>
        <v/>
      </c>
      <c r="AU76" s="74">
        <f>SUM(AU41:AU75)</f>
        <v/>
      </c>
      <c r="AV76" s="74">
        <f>SUM(AV41:AV75)</f>
        <v/>
      </c>
      <c r="AW76" s="74">
        <f>SUM(AW41:AW75)</f>
        <v/>
      </c>
      <c r="AX76" s="74">
        <f>SUM(AX41:AX75)</f>
        <v/>
      </c>
      <c r="AY76" s="74">
        <f>SUM(AY41:AY75)</f>
        <v/>
      </c>
      <c r="AZ76" s="74">
        <f>SUM(AZ41:AZ75)</f>
        <v/>
      </c>
      <c r="BA76" s="74">
        <f>SUM(BA41:BA75)</f>
        <v/>
      </c>
    </row>
    <row r="77" ht="14.25" customHeight="1" s="83">
      <c r="A77" s="77" t="inlineStr">
        <is>
          <t>Lohnnebenkosten (AG-Anteil)</t>
        </is>
      </c>
      <c r="B77" s="74">
        <f>B76*Inputs!$B$45</f>
        <v/>
      </c>
      <c r="C77" s="74">
        <f>C76*Inputs!$B$45</f>
        <v/>
      </c>
      <c r="D77" s="74">
        <f>D76*Inputs!$B$45</f>
        <v/>
      </c>
      <c r="E77" s="74">
        <f>E76*Inputs!$B$45</f>
        <v/>
      </c>
      <c r="F77" s="74">
        <f>F76*Inputs!$B$45</f>
        <v/>
      </c>
      <c r="G77" s="74">
        <f>G76*Inputs!$B$45</f>
        <v/>
      </c>
      <c r="H77" s="74">
        <f>H76*Inputs!$B$45</f>
        <v/>
      </c>
      <c r="I77" s="74">
        <f>I76*Inputs!$B$45</f>
        <v/>
      </c>
      <c r="J77" s="74">
        <f>J76*Inputs!$B$45</f>
        <v/>
      </c>
      <c r="K77" s="74">
        <f>K76*Inputs!$B$45</f>
        <v/>
      </c>
      <c r="L77" s="74">
        <f>L76*Inputs!$B$45</f>
        <v/>
      </c>
      <c r="M77" s="74">
        <f>M76*Inputs!$B$45</f>
        <v/>
      </c>
      <c r="N77" s="74">
        <f>N76*Inputs!$B$45</f>
        <v/>
      </c>
      <c r="O77" s="74">
        <f>O76*Inputs!$B$45</f>
        <v/>
      </c>
      <c r="P77" s="74">
        <f>P76*Inputs!$B$45</f>
        <v/>
      </c>
      <c r="Q77" s="74">
        <f>Q76*Inputs!$B$45</f>
        <v/>
      </c>
      <c r="R77" s="74">
        <f>R76*Inputs!$B$45</f>
        <v/>
      </c>
      <c r="S77" s="74">
        <f>S76*Inputs!$B$45</f>
        <v/>
      </c>
      <c r="T77" s="74">
        <f>T76*Inputs!$B$45</f>
        <v/>
      </c>
      <c r="U77" s="74">
        <f>U76*Inputs!$B$45</f>
        <v/>
      </c>
      <c r="V77" s="74">
        <f>V76*Inputs!$B$45</f>
        <v/>
      </c>
      <c r="W77" s="74">
        <f>W76*Inputs!$B$45</f>
        <v/>
      </c>
      <c r="X77" s="74">
        <f>X76*Inputs!$B$45</f>
        <v/>
      </c>
      <c r="Y77" s="74">
        <f>Y76*Inputs!$B$45</f>
        <v/>
      </c>
      <c r="Z77" s="74">
        <f>Z76*Inputs!$B$45</f>
        <v/>
      </c>
      <c r="AA77" s="74">
        <f>AA76*Inputs!$B$45</f>
        <v/>
      </c>
      <c r="AB77" s="74">
        <f>AB76*Inputs!$B$45</f>
        <v/>
      </c>
      <c r="AC77" s="74">
        <f>AC76*Inputs!$B$45</f>
        <v/>
      </c>
      <c r="AD77" s="74">
        <f>AD76*Inputs!$B$45</f>
        <v/>
      </c>
      <c r="AE77" s="74">
        <f>AE76*Inputs!$B$45</f>
        <v/>
      </c>
      <c r="AF77" s="74">
        <f>AF76*Inputs!$B$45</f>
        <v/>
      </c>
      <c r="AG77" s="74">
        <f>AG76*Inputs!$B$45</f>
        <v/>
      </c>
      <c r="AH77" s="74">
        <f>AH76*Inputs!$B$45</f>
        <v/>
      </c>
      <c r="AI77" s="74">
        <f>AI76*Inputs!$B$45</f>
        <v/>
      </c>
      <c r="AJ77" s="74">
        <f>AJ76*Inputs!$B$45</f>
        <v/>
      </c>
      <c r="AK77" s="74">
        <f>AK76*Inputs!$B$45</f>
        <v/>
      </c>
      <c r="AL77" s="74">
        <f>AL76*Inputs!$B$45</f>
        <v/>
      </c>
      <c r="AM77" s="74">
        <f>AM76*Inputs!$B$45</f>
        <v/>
      </c>
      <c r="AN77" s="74">
        <f>AN76*Inputs!$B$45</f>
        <v/>
      </c>
      <c r="AO77" s="74">
        <f>AO76*Inputs!$B$45</f>
        <v/>
      </c>
      <c r="AP77" s="74">
        <f>AP76*Inputs!$B$45</f>
        <v/>
      </c>
      <c r="AQ77" s="74">
        <f>AQ76*Inputs!$B$45</f>
        <v/>
      </c>
      <c r="AR77" s="74">
        <f>AR76*Inputs!$B$45</f>
        <v/>
      </c>
      <c r="AS77" s="74">
        <f>AS76*Inputs!$B$45</f>
        <v/>
      </c>
      <c r="AT77" s="74">
        <f>AT76*Inputs!$B$45</f>
        <v/>
      </c>
      <c r="AU77" s="74">
        <f>AU76*Inputs!$B$45</f>
        <v/>
      </c>
      <c r="AV77" s="74">
        <f>AV76*Inputs!$B$45</f>
        <v/>
      </c>
      <c r="AW77" s="74">
        <f>AW76*Inputs!$B$45</f>
        <v/>
      </c>
      <c r="AX77" s="74">
        <f>AX76*Inputs!$B$45</f>
        <v/>
      </c>
      <c r="AY77" s="74">
        <f>AY76*Inputs!$B$45</f>
        <v/>
      </c>
      <c r="AZ77" s="74">
        <f>AZ76*Inputs!$B$45</f>
        <v/>
      </c>
      <c r="BA77" s="74">
        <f>BA76*Inputs!$B$45</f>
        <v/>
      </c>
    </row>
    <row r="78" ht="14.25" customHeight="1" s="83">
      <c r="A78" s="2" t="inlineStr">
        <is>
          <t>TOTAL PERSONALKOSTEN</t>
        </is>
      </c>
      <c r="B78" s="72">
        <f>B76+B77</f>
        <v/>
      </c>
      <c r="C78" s="72">
        <f>C76+C77</f>
        <v/>
      </c>
      <c r="D78" s="72">
        <f>D76+D77</f>
        <v/>
      </c>
      <c r="E78" s="72">
        <f>E76+E77</f>
        <v/>
      </c>
      <c r="F78" s="72">
        <f>F76+F77</f>
        <v/>
      </c>
      <c r="G78" s="72">
        <f>G76+G77</f>
        <v/>
      </c>
      <c r="H78" s="72">
        <f>H76+H77</f>
        <v/>
      </c>
      <c r="I78" s="72">
        <f>I76+I77</f>
        <v/>
      </c>
      <c r="J78" s="72">
        <f>J76+J77</f>
        <v/>
      </c>
      <c r="K78" s="72">
        <f>K76+K77</f>
        <v/>
      </c>
      <c r="L78" s="72">
        <f>L76+L77</f>
        <v/>
      </c>
      <c r="M78" s="72">
        <f>M76+M77</f>
        <v/>
      </c>
      <c r="N78" s="72">
        <f>N76+N77</f>
        <v/>
      </c>
      <c r="O78" s="72">
        <f>O76+O77</f>
        <v/>
      </c>
      <c r="P78" s="72">
        <f>P76+P77</f>
        <v/>
      </c>
      <c r="Q78" s="72">
        <f>Q76+Q77</f>
        <v/>
      </c>
      <c r="R78" s="72">
        <f>R76+R77</f>
        <v/>
      </c>
      <c r="S78" s="72">
        <f>S76+S77</f>
        <v/>
      </c>
      <c r="T78" s="72">
        <f>T76+T77</f>
        <v/>
      </c>
      <c r="U78" s="72">
        <f>U76+U77</f>
        <v/>
      </c>
      <c r="V78" s="72">
        <f>V76+V77</f>
        <v/>
      </c>
      <c r="W78" s="72">
        <f>W76+W77</f>
        <v/>
      </c>
      <c r="X78" s="72">
        <f>X76+X77</f>
        <v/>
      </c>
      <c r="Y78" s="72">
        <f>Y76+Y77</f>
        <v/>
      </c>
      <c r="Z78" s="72">
        <f>Z76+Z77</f>
        <v/>
      </c>
      <c r="AA78" s="72">
        <f>AA76+AA77</f>
        <v/>
      </c>
      <c r="AB78" s="72">
        <f>AB76+AB77</f>
        <v/>
      </c>
      <c r="AC78" s="72">
        <f>AC76+AC77</f>
        <v/>
      </c>
      <c r="AD78" s="72">
        <f>AD76+AD77</f>
        <v/>
      </c>
      <c r="AE78" s="72">
        <f>AE76+AE77</f>
        <v/>
      </c>
      <c r="AF78" s="72">
        <f>AF76+AF77</f>
        <v/>
      </c>
      <c r="AG78" s="72">
        <f>AG76+AG77</f>
        <v/>
      </c>
      <c r="AH78" s="72">
        <f>AH76+AH77</f>
        <v/>
      </c>
      <c r="AI78" s="72">
        <f>AI76+AI77</f>
        <v/>
      </c>
      <c r="AJ78" s="72">
        <f>AJ76+AJ77</f>
        <v/>
      </c>
      <c r="AK78" s="72">
        <f>AK76+AK77</f>
        <v/>
      </c>
      <c r="AL78" s="72">
        <f>AL76+AL77</f>
        <v/>
      </c>
      <c r="AM78" s="72">
        <f>AM76+AM77</f>
        <v/>
      </c>
      <c r="AN78" s="72">
        <f>AN76+AN77</f>
        <v/>
      </c>
      <c r="AO78" s="72">
        <f>AO76+AO77</f>
        <v/>
      </c>
      <c r="AP78" s="72">
        <f>AP76+AP77</f>
        <v/>
      </c>
      <c r="AQ78" s="72">
        <f>AQ76+AQ77</f>
        <v/>
      </c>
      <c r="AR78" s="72">
        <f>AR76+AR77</f>
        <v/>
      </c>
      <c r="AS78" s="72">
        <f>AS76+AS77</f>
        <v/>
      </c>
      <c r="AT78" s="72">
        <f>AT76+AT77</f>
        <v/>
      </c>
      <c r="AU78" s="72">
        <f>AU76+AU77</f>
        <v/>
      </c>
      <c r="AV78" s="72">
        <f>AV76+AV77</f>
        <v/>
      </c>
      <c r="AW78" s="72">
        <f>AW76+AW77</f>
        <v/>
      </c>
      <c r="AX78" s="72">
        <f>AX76+AX77</f>
        <v/>
      </c>
      <c r="AY78" s="72">
        <f>AY76+AY77</f>
        <v/>
      </c>
      <c r="AZ78" s="72">
        <f>AZ76+AZ77</f>
        <v/>
      </c>
      <c r="BA78" s="72">
        <f>BA76+BA77</f>
        <v/>
      </c>
    </row>
    <row r="79" ht="14.25" customHeight="1" s="83"/>
    <row r="80" ht="14.25" customHeight="1" s="83">
      <c r="A80" s="2" t="inlineStr">
        <is>
          <t>TECHNOLOGIEKOSTEN</t>
        </is>
      </c>
    </row>
    <row r="81" ht="14.25" customHeight="1" s="83">
      <c r="A81" s="77" t="inlineStr">
        <is>
          <t>Cloud Infrastructure (Basis)</t>
        </is>
      </c>
      <c r="B81" s="74">
        <f>Inputs!$B$82</f>
        <v/>
      </c>
      <c r="C81" s="74">
        <f>Inputs!$B$82</f>
        <v/>
      </c>
      <c r="D81" s="74">
        <f>Inputs!$B$82</f>
        <v/>
      </c>
      <c r="E81" s="74">
        <f>Inputs!$B$82</f>
        <v/>
      </c>
      <c r="F81" s="74">
        <f>Inputs!$B$82</f>
        <v/>
      </c>
      <c r="G81" s="74">
        <f>Inputs!$B$82</f>
        <v/>
      </c>
      <c r="H81" s="74">
        <f>Inputs!$B$82</f>
        <v/>
      </c>
      <c r="I81" s="74">
        <f>Inputs!$B$82</f>
        <v/>
      </c>
      <c r="J81" s="74">
        <f>Inputs!$B$82</f>
        <v/>
      </c>
      <c r="K81" s="74">
        <f>Inputs!$B$82</f>
        <v/>
      </c>
      <c r="L81" s="74">
        <f>Inputs!$B$82</f>
        <v/>
      </c>
      <c r="M81" s="74">
        <f>Inputs!$B$82</f>
        <v/>
      </c>
      <c r="N81" s="74">
        <f>Inputs!$B$82</f>
        <v/>
      </c>
      <c r="O81" s="74">
        <f>Inputs!$B$82</f>
        <v/>
      </c>
      <c r="P81" s="74">
        <f>Inputs!$B$82</f>
        <v/>
      </c>
      <c r="Q81" s="74">
        <f>Inputs!$B$82</f>
        <v/>
      </c>
      <c r="R81" s="74">
        <f>Inputs!$B$82</f>
        <v/>
      </c>
      <c r="S81" s="74">
        <f>Inputs!$B$82</f>
        <v/>
      </c>
      <c r="T81" s="74">
        <f>Inputs!$B$82</f>
        <v/>
      </c>
      <c r="U81" s="74">
        <f>Inputs!$B$82</f>
        <v/>
      </c>
      <c r="V81" s="74">
        <f>Inputs!$B$82</f>
        <v/>
      </c>
      <c r="W81" s="74">
        <f>Inputs!$B$82</f>
        <v/>
      </c>
      <c r="X81" s="74">
        <f>Inputs!$B$82</f>
        <v/>
      </c>
      <c r="Y81" s="74">
        <f>Inputs!$B$82</f>
        <v/>
      </c>
      <c r="Z81" s="74">
        <f>Inputs!$B$82</f>
        <v/>
      </c>
      <c r="AA81" s="74">
        <f>Inputs!$B$82</f>
        <v/>
      </c>
      <c r="AB81" s="74">
        <f>Inputs!$B$82</f>
        <v/>
      </c>
      <c r="AC81" s="74">
        <f>Inputs!$B$82</f>
        <v/>
      </c>
      <c r="AD81" s="74">
        <f>Inputs!$B$82</f>
        <v/>
      </c>
      <c r="AE81" s="74">
        <f>Inputs!$B$82</f>
        <v/>
      </c>
      <c r="AF81" s="74">
        <f>Inputs!$B$82</f>
        <v/>
      </c>
      <c r="AG81" s="74">
        <f>Inputs!$B$82</f>
        <v/>
      </c>
      <c r="AH81" s="74">
        <f>Inputs!$B$82</f>
        <v/>
      </c>
      <c r="AI81" s="74">
        <f>Inputs!$B$82</f>
        <v/>
      </c>
      <c r="AJ81" s="74">
        <f>Inputs!$B$82</f>
        <v/>
      </c>
      <c r="AK81" s="74">
        <f>Inputs!$B$82</f>
        <v/>
      </c>
      <c r="AL81" s="74">
        <f>Inputs!$B$82</f>
        <v/>
      </c>
      <c r="AM81" s="74">
        <f>Inputs!$B$82</f>
        <v/>
      </c>
      <c r="AN81" s="74">
        <f>Inputs!$B$82</f>
        <v/>
      </c>
      <c r="AO81" s="74">
        <f>Inputs!$B$82</f>
        <v/>
      </c>
      <c r="AP81" s="74">
        <f>Inputs!$B$82</f>
        <v/>
      </c>
      <c r="AQ81" s="74">
        <f>Inputs!$B$82</f>
        <v/>
      </c>
      <c r="AR81" s="74">
        <f>Inputs!$B$82</f>
        <v/>
      </c>
      <c r="AS81" s="74">
        <f>Inputs!$B$82</f>
        <v/>
      </c>
      <c r="AT81" s="74">
        <f>Inputs!$B$82</f>
        <v/>
      </c>
      <c r="AU81" s="74">
        <f>Inputs!$B$82</f>
        <v/>
      </c>
      <c r="AV81" s="74">
        <f>Inputs!$B$82</f>
        <v/>
      </c>
      <c r="AW81" s="74">
        <f>Inputs!$B$82</f>
        <v/>
      </c>
      <c r="AX81" s="74">
        <f>Inputs!$B$82</f>
        <v/>
      </c>
      <c r="AY81" s="74">
        <f>Inputs!$B$82</f>
        <v/>
      </c>
      <c r="AZ81" s="74">
        <f>Inputs!$B$82</f>
        <v/>
      </c>
      <c r="BA81" s="74">
        <f>Inputs!$B$82</f>
        <v/>
      </c>
    </row>
    <row r="82" ht="14.25" customHeight="1" s="83">
      <c r="A82" s="77" t="inlineStr">
        <is>
          <t>Cloud Infrastructure (Variable)</t>
        </is>
      </c>
      <c r="B82" s="71">
        <f>Revenue!B8*Inputs!$B$83</f>
        <v/>
      </c>
      <c r="C82" s="71">
        <f>Revenue!C8*Inputs!$B$83</f>
        <v/>
      </c>
      <c r="D82" s="71">
        <f>Revenue!D8*Inputs!$B$83</f>
        <v/>
      </c>
      <c r="E82" s="71">
        <f>Revenue!E8*Inputs!$B$83</f>
        <v/>
      </c>
      <c r="F82" s="71">
        <f>Revenue!F8*Inputs!$B$83</f>
        <v/>
      </c>
      <c r="G82" s="71">
        <f>Revenue!G8*Inputs!$B$83</f>
        <v/>
      </c>
      <c r="H82" s="71">
        <f>Revenue!H8*Inputs!$B$83</f>
        <v/>
      </c>
      <c r="I82" s="71">
        <f>Revenue!I8*Inputs!$B$83</f>
        <v/>
      </c>
      <c r="J82" s="71">
        <f>Revenue!J8*Inputs!$B$83</f>
        <v/>
      </c>
      <c r="K82" s="71">
        <f>Revenue!K8*Inputs!$B$83</f>
        <v/>
      </c>
      <c r="L82" s="71">
        <f>Revenue!L8*Inputs!$B$83</f>
        <v/>
      </c>
      <c r="M82" s="71">
        <f>Revenue!M8*Inputs!$B$83</f>
        <v/>
      </c>
      <c r="N82" s="71">
        <f>Revenue!N8*Inputs!$B$83</f>
        <v/>
      </c>
      <c r="O82" s="71">
        <f>Revenue!O8*Inputs!$B$83</f>
        <v/>
      </c>
      <c r="P82" s="71">
        <f>Revenue!P8*Inputs!$B$83</f>
        <v/>
      </c>
      <c r="Q82" s="71">
        <f>Revenue!Q8*Inputs!$B$83</f>
        <v/>
      </c>
      <c r="R82" s="71">
        <f>Revenue!R8*Inputs!$B$83</f>
        <v/>
      </c>
      <c r="S82" s="71">
        <f>Revenue!S8*Inputs!$B$83</f>
        <v/>
      </c>
      <c r="T82" s="71">
        <f>Revenue!T8*Inputs!$B$83</f>
        <v/>
      </c>
      <c r="U82" s="71">
        <f>Revenue!U8*Inputs!$B$83</f>
        <v/>
      </c>
      <c r="V82" s="71">
        <f>Revenue!V8*Inputs!$B$83</f>
        <v/>
      </c>
      <c r="W82" s="71">
        <f>Revenue!W8*Inputs!$B$83</f>
        <v/>
      </c>
      <c r="X82" s="71">
        <f>Revenue!X8*Inputs!$B$83</f>
        <v/>
      </c>
      <c r="Y82" s="71">
        <f>Revenue!Y8*Inputs!$B$83</f>
        <v/>
      </c>
      <c r="Z82" s="71">
        <f>Revenue!Z8*Inputs!$B$83</f>
        <v/>
      </c>
      <c r="AA82" s="71">
        <f>Revenue!AA8*Inputs!$B$83</f>
        <v/>
      </c>
      <c r="AB82" s="71">
        <f>Revenue!AB8*Inputs!$B$83</f>
        <v/>
      </c>
      <c r="AC82" s="71">
        <f>Revenue!AC8*Inputs!$B$83</f>
        <v/>
      </c>
      <c r="AD82" s="71">
        <f>Revenue!AD8*Inputs!$B$83</f>
        <v/>
      </c>
      <c r="AE82" s="71">
        <f>Revenue!AE8*Inputs!$B$83</f>
        <v/>
      </c>
      <c r="AF82" s="71">
        <f>Revenue!AF8*Inputs!$B$83</f>
        <v/>
      </c>
      <c r="AG82" s="71">
        <f>Revenue!AG8*Inputs!$B$83</f>
        <v/>
      </c>
      <c r="AH82" s="71">
        <f>Revenue!AH8*Inputs!$B$83</f>
        <v/>
      </c>
      <c r="AI82" s="71">
        <f>Revenue!AI8*Inputs!$B$83</f>
        <v/>
      </c>
      <c r="AJ82" s="71">
        <f>Revenue!AJ8*Inputs!$B$83</f>
        <v/>
      </c>
      <c r="AK82" s="71">
        <f>Revenue!AK8*Inputs!$B$83</f>
        <v/>
      </c>
      <c r="AL82" s="71">
        <f>Revenue!AL8*Inputs!$B$83</f>
        <v/>
      </c>
      <c r="AM82" s="71">
        <f>Revenue!AM8*Inputs!$B$83</f>
        <v/>
      </c>
      <c r="AN82" s="71">
        <f>Revenue!AN8*Inputs!$B$83</f>
        <v/>
      </c>
      <c r="AO82" s="71">
        <f>Revenue!AO8*Inputs!$B$83</f>
        <v/>
      </c>
      <c r="AP82" s="71">
        <f>Revenue!AP8*Inputs!$B$83</f>
        <v/>
      </c>
      <c r="AQ82" s="71">
        <f>Revenue!AQ8*Inputs!$B$83</f>
        <v/>
      </c>
      <c r="AR82" s="71">
        <f>Revenue!AR8*Inputs!$B$83</f>
        <v/>
      </c>
      <c r="AS82" s="71">
        <f>Revenue!AS8*Inputs!$B$83</f>
        <v/>
      </c>
      <c r="AT82" s="71">
        <f>Revenue!AT8*Inputs!$B$83</f>
        <v/>
      </c>
      <c r="AU82" s="71">
        <f>Revenue!AU8*Inputs!$B$83</f>
        <v/>
      </c>
      <c r="AV82" s="71">
        <f>Revenue!AV8*Inputs!$B$83</f>
        <v/>
      </c>
      <c r="AW82" s="71">
        <f>Revenue!AW8*Inputs!$B$83</f>
        <v/>
      </c>
      <c r="AX82" s="71">
        <f>Revenue!AX8*Inputs!$B$83</f>
        <v/>
      </c>
      <c r="AY82" s="71">
        <f>Revenue!AY8*Inputs!$B$83</f>
        <v/>
      </c>
      <c r="AZ82" s="71">
        <f>Revenue!AZ8*Inputs!$B$83</f>
        <v/>
      </c>
      <c r="BA82" s="71">
        <f>Revenue!BA8*Inputs!$B$83</f>
        <v/>
      </c>
    </row>
    <row r="83" ht="14.25" customHeight="1" s="83">
      <c r="A83" s="77" t="inlineStr">
        <is>
          <t>AI/ML API Kosten</t>
        </is>
      </c>
      <c r="B83" s="74">
        <f>Inputs!$B$84*(1+Inputs!$B$85)^(1-1)</f>
        <v/>
      </c>
      <c r="C83" s="74">
        <f>Inputs!$B$84*(1+Inputs!$B$85)^(2-1)</f>
        <v/>
      </c>
      <c r="D83" s="74">
        <f>Inputs!$B$84*(1+Inputs!$B$85)^(3-1)</f>
        <v/>
      </c>
      <c r="E83" s="74">
        <f>Inputs!$B$84*(1+Inputs!$B$85)^(4-1)</f>
        <v/>
      </c>
      <c r="F83" s="74">
        <f>Inputs!$B$84*(1+Inputs!$B$85)^(5-1)</f>
        <v/>
      </c>
      <c r="G83" s="74">
        <f>Inputs!$B$84*(1+Inputs!$B$85)^(6-1)</f>
        <v/>
      </c>
      <c r="H83" s="74">
        <f>Inputs!$B$84*(1+Inputs!$B$85)^(7-1)</f>
        <v/>
      </c>
      <c r="I83" s="74">
        <f>Inputs!$B$84*(1+Inputs!$B$85)^(8-1)</f>
        <v/>
      </c>
      <c r="J83" s="74">
        <f>Inputs!$B$84*(1+Inputs!$B$85)^(9-1)</f>
        <v/>
      </c>
      <c r="K83" s="74">
        <f>Inputs!$B$84*(1+Inputs!$B$85)^(10-1)</f>
        <v/>
      </c>
      <c r="L83" s="74">
        <f>Inputs!$B$84*(1+Inputs!$B$85)^(11-1)</f>
        <v/>
      </c>
      <c r="M83" s="74">
        <f>Inputs!$B$84*(1+Inputs!$B$85)^(12-1)</f>
        <v/>
      </c>
      <c r="N83" s="74">
        <f>Inputs!$B$84*(1+Inputs!$B$85)^(13-1)</f>
        <v/>
      </c>
      <c r="O83" s="74">
        <f>Inputs!$B$84*(1+Inputs!$B$85)^(14-1)</f>
        <v/>
      </c>
      <c r="P83" s="74">
        <f>Inputs!$B$84*(1+Inputs!$B$85)^(15-1)</f>
        <v/>
      </c>
      <c r="Q83" s="74">
        <f>Inputs!$B$84*(1+Inputs!$B$85)^(16-1)</f>
        <v/>
      </c>
      <c r="R83" s="74">
        <f>Inputs!$B$84*(1+Inputs!$B$85)^(17-1)</f>
        <v/>
      </c>
      <c r="S83" s="74">
        <f>Inputs!$B$84*(1+Inputs!$B$85)^(18-1)</f>
        <v/>
      </c>
      <c r="T83" s="74">
        <f>Inputs!$B$84*(1+Inputs!$B$85)^(19-1)</f>
        <v/>
      </c>
      <c r="U83" s="74">
        <f>Inputs!$B$84*(1+Inputs!$B$85)^(20-1)</f>
        <v/>
      </c>
      <c r="V83" s="74">
        <f>Inputs!$B$84*(1+Inputs!$B$85)^(21-1)</f>
        <v/>
      </c>
      <c r="W83" s="74">
        <f>Inputs!$B$84*(1+Inputs!$B$85)^(22-1)</f>
        <v/>
      </c>
      <c r="X83" s="74">
        <f>Inputs!$B$84*(1+Inputs!$B$85)^(23-1)</f>
        <v/>
      </c>
      <c r="Y83" s="74">
        <f>Inputs!$B$84*(1+Inputs!$B$85)^(24-1)</f>
        <v/>
      </c>
      <c r="Z83" s="74">
        <f>Inputs!$B$84*(1+Inputs!$B$85)^(25-1)</f>
        <v/>
      </c>
      <c r="AA83" s="74">
        <f>Inputs!$B$84*(1+Inputs!$B$85)^(26-1)</f>
        <v/>
      </c>
      <c r="AB83" s="74">
        <f>Inputs!$B$84*(1+Inputs!$B$85)^(27-1)</f>
        <v/>
      </c>
      <c r="AC83" s="74">
        <f>Inputs!$B$84*(1+Inputs!$B$85)^(28-1)</f>
        <v/>
      </c>
      <c r="AD83" s="74">
        <f>Inputs!$B$84*(1+Inputs!$B$85)^(29-1)</f>
        <v/>
      </c>
      <c r="AE83" s="74">
        <f>Inputs!$B$84*(1+Inputs!$B$85)^(30-1)</f>
        <v/>
      </c>
      <c r="AF83" s="74">
        <f>Inputs!$B$84*(1+Inputs!$B$85)^(31-1)</f>
        <v/>
      </c>
      <c r="AG83" s="74">
        <f>Inputs!$B$84*(1+Inputs!$B$85)^(32-1)</f>
        <v/>
      </c>
      <c r="AH83" s="74">
        <f>Inputs!$B$84*(1+Inputs!$B$85)^(33-1)</f>
        <v/>
      </c>
      <c r="AI83" s="74">
        <f>Inputs!$B$84*(1+Inputs!$B$85)^(34-1)</f>
        <v/>
      </c>
      <c r="AJ83" s="74">
        <f>Inputs!$B$84*(1+Inputs!$B$85)^(35-1)</f>
        <v/>
      </c>
      <c r="AK83" s="74">
        <f>Inputs!$B$84*(1+Inputs!$B$85)^(36-1)</f>
        <v/>
      </c>
      <c r="AL83" s="74">
        <f>Inputs!$B$84*(1+Inputs!$B$85)^(37-1)</f>
        <v/>
      </c>
      <c r="AM83" s="74">
        <f>Inputs!$B$84*(1+Inputs!$B$85)^(38-1)</f>
        <v/>
      </c>
      <c r="AN83" s="74">
        <f>Inputs!$B$84*(1+Inputs!$B$85)^(39-1)</f>
        <v/>
      </c>
      <c r="AO83" s="74">
        <f>Inputs!$B$84*(1+Inputs!$B$85)^(40-1)</f>
        <v/>
      </c>
      <c r="AP83" s="74">
        <f>Inputs!$B$84*(1+Inputs!$B$85)^(41-1)</f>
        <v/>
      </c>
      <c r="AQ83" s="74">
        <f>Inputs!$B$84*(1+Inputs!$B$85)^(42-1)</f>
        <v/>
      </c>
      <c r="AR83" s="74">
        <f>Inputs!$B$84*(1+Inputs!$B$85)^(43-1)</f>
        <v/>
      </c>
      <c r="AS83" s="74">
        <f>Inputs!$B$84*(1+Inputs!$B$85)^(44-1)</f>
        <v/>
      </c>
      <c r="AT83" s="74">
        <f>Inputs!$B$84*(1+Inputs!$B$85)^(45-1)</f>
        <v/>
      </c>
      <c r="AU83" s="74">
        <f>Inputs!$B$84*(1+Inputs!$B$85)^(46-1)</f>
        <v/>
      </c>
      <c r="AV83" s="74">
        <f>Inputs!$B$84*(1+Inputs!$B$85)^(47-1)</f>
        <v/>
      </c>
      <c r="AW83" s="74">
        <f>Inputs!$B$84*(1+Inputs!$B$85)^(48-1)</f>
        <v/>
      </c>
      <c r="AX83" s="74">
        <f>Inputs!$B$84*(1+Inputs!$B$85)^(49-1)</f>
        <v/>
      </c>
      <c r="AY83" s="74">
        <f>Inputs!$B$84*(1+Inputs!$B$85)^(50-1)</f>
        <v/>
      </c>
      <c r="AZ83" s="74">
        <f>Inputs!$B$84*(1+Inputs!$B$85)^(51-1)</f>
        <v/>
      </c>
      <c r="BA83" s="74">
        <f>Inputs!$B$84*(1+Inputs!$B$85)^(52-1)</f>
        <v/>
      </c>
    </row>
    <row r="84" ht="14.25" customHeight="1" s="83">
      <c r="A84" s="77" t="inlineStr">
        <is>
          <t>SaaS Tools intern</t>
        </is>
      </c>
      <c r="B84" s="74">
        <f>Inputs!$B$86+B38*Inputs!$B$87</f>
        <v/>
      </c>
      <c r="C84" s="74">
        <f>Inputs!$B$86+C38*Inputs!$B$87</f>
        <v/>
      </c>
      <c r="D84" s="74">
        <f>Inputs!$B$86+D38*Inputs!$B$87</f>
        <v/>
      </c>
      <c r="E84" s="74">
        <f>Inputs!$B$86+E38*Inputs!$B$87</f>
        <v/>
      </c>
      <c r="F84" s="74">
        <f>Inputs!$B$86+F38*Inputs!$B$87</f>
        <v/>
      </c>
      <c r="G84" s="74">
        <f>Inputs!$B$86+G38*Inputs!$B$87</f>
        <v/>
      </c>
      <c r="H84" s="74">
        <f>Inputs!$B$86+H38*Inputs!$B$87</f>
        <v/>
      </c>
      <c r="I84" s="74">
        <f>Inputs!$B$86+I38*Inputs!$B$87</f>
        <v/>
      </c>
      <c r="J84" s="74">
        <f>Inputs!$B$86+J38*Inputs!$B$87</f>
        <v/>
      </c>
      <c r="K84" s="74">
        <f>Inputs!$B$86+K38*Inputs!$B$87</f>
        <v/>
      </c>
      <c r="L84" s="74">
        <f>Inputs!$B$86+L38*Inputs!$B$87</f>
        <v/>
      </c>
      <c r="M84" s="74">
        <f>Inputs!$B$86+M38*Inputs!$B$87</f>
        <v/>
      </c>
      <c r="N84" s="74">
        <f>Inputs!$B$86+N38*Inputs!$B$87</f>
        <v/>
      </c>
      <c r="O84" s="74">
        <f>Inputs!$B$86+O38*Inputs!$B$87</f>
        <v/>
      </c>
      <c r="P84" s="74">
        <f>Inputs!$B$86+P38*Inputs!$B$87</f>
        <v/>
      </c>
      <c r="Q84" s="74">
        <f>Inputs!$B$86+Q38*Inputs!$B$87</f>
        <v/>
      </c>
      <c r="R84" s="74">
        <f>Inputs!$B$86+R38*Inputs!$B$87</f>
        <v/>
      </c>
      <c r="S84" s="74">
        <f>Inputs!$B$86+S38*Inputs!$B$87</f>
        <v/>
      </c>
      <c r="T84" s="74">
        <f>Inputs!$B$86+T38*Inputs!$B$87</f>
        <v/>
      </c>
      <c r="U84" s="74">
        <f>Inputs!$B$86+U38*Inputs!$B$87</f>
        <v/>
      </c>
      <c r="V84" s="74">
        <f>Inputs!$B$86+V38*Inputs!$B$87</f>
        <v/>
      </c>
      <c r="W84" s="74">
        <f>Inputs!$B$86+W38*Inputs!$B$87</f>
        <v/>
      </c>
      <c r="X84" s="74">
        <f>Inputs!$B$86+X38*Inputs!$B$87</f>
        <v/>
      </c>
      <c r="Y84" s="74">
        <f>Inputs!$B$86+Y38*Inputs!$B$87</f>
        <v/>
      </c>
      <c r="Z84" s="74">
        <f>Inputs!$B$86+Z38*Inputs!$B$87</f>
        <v/>
      </c>
      <c r="AA84" s="74">
        <f>Inputs!$B$86+AA38*Inputs!$B$87</f>
        <v/>
      </c>
      <c r="AB84" s="74">
        <f>Inputs!$B$86+AB38*Inputs!$B$87</f>
        <v/>
      </c>
      <c r="AC84" s="74">
        <f>Inputs!$B$86+AC38*Inputs!$B$87</f>
        <v/>
      </c>
      <c r="AD84" s="74">
        <f>Inputs!$B$86+AD38*Inputs!$B$87</f>
        <v/>
      </c>
      <c r="AE84" s="74">
        <f>Inputs!$B$86+AE38*Inputs!$B$87</f>
        <v/>
      </c>
      <c r="AF84" s="74">
        <f>Inputs!$B$86+AF38*Inputs!$B$87</f>
        <v/>
      </c>
      <c r="AG84" s="74">
        <f>Inputs!$B$86+AG38*Inputs!$B$87</f>
        <v/>
      </c>
      <c r="AH84" s="74">
        <f>Inputs!$B$86+AH38*Inputs!$B$87</f>
        <v/>
      </c>
      <c r="AI84" s="74">
        <f>Inputs!$B$86+AI38*Inputs!$B$87</f>
        <v/>
      </c>
      <c r="AJ84" s="74">
        <f>Inputs!$B$86+AJ38*Inputs!$B$87</f>
        <v/>
      </c>
      <c r="AK84" s="74">
        <f>Inputs!$B$86+AK38*Inputs!$B$87</f>
        <v/>
      </c>
      <c r="AL84" s="74">
        <f>Inputs!$B$86+AL38*Inputs!$B$87</f>
        <v/>
      </c>
      <c r="AM84" s="74">
        <f>Inputs!$B$86+AM38*Inputs!$B$87</f>
        <v/>
      </c>
      <c r="AN84" s="74">
        <f>Inputs!$B$86+AN38*Inputs!$B$87</f>
        <v/>
      </c>
      <c r="AO84" s="74">
        <f>Inputs!$B$86+AO38*Inputs!$B$87</f>
        <v/>
      </c>
      <c r="AP84" s="74">
        <f>Inputs!$B$86+AP38*Inputs!$B$87</f>
        <v/>
      </c>
      <c r="AQ84" s="74">
        <f>Inputs!$B$86+AQ38*Inputs!$B$87</f>
        <v/>
      </c>
      <c r="AR84" s="74">
        <f>Inputs!$B$86+AR38*Inputs!$B$87</f>
        <v/>
      </c>
      <c r="AS84" s="74">
        <f>Inputs!$B$86+AS38*Inputs!$B$87</f>
        <v/>
      </c>
      <c r="AT84" s="74">
        <f>Inputs!$B$86+AT38*Inputs!$B$87</f>
        <v/>
      </c>
      <c r="AU84" s="74">
        <f>Inputs!$B$86+AU38*Inputs!$B$87</f>
        <v/>
      </c>
      <c r="AV84" s="74">
        <f>Inputs!$B$86+AV38*Inputs!$B$87</f>
        <v/>
      </c>
      <c r="AW84" s="74">
        <f>Inputs!$B$86+AW38*Inputs!$B$87</f>
        <v/>
      </c>
      <c r="AX84" s="74">
        <f>Inputs!$B$86+AX38*Inputs!$B$87</f>
        <v/>
      </c>
      <c r="AY84" s="74">
        <f>Inputs!$B$86+AY38*Inputs!$B$87</f>
        <v/>
      </c>
      <c r="AZ84" s="74">
        <f>Inputs!$B$86+AZ38*Inputs!$B$87</f>
        <v/>
      </c>
      <c r="BA84" s="74">
        <f>Inputs!$B$86+BA38*Inputs!$B$87</f>
        <v/>
      </c>
    </row>
    <row r="85" ht="14.25" customHeight="1" s="83">
      <c r="A85" s="77" t="inlineStr">
        <is>
          <t>Software-Lizenzen Dev</t>
        </is>
      </c>
      <c r="B85" s="74">
        <f>Inputs!$B$88/12</f>
        <v/>
      </c>
      <c r="C85" s="74">
        <f>Inputs!$B$88/12</f>
        <v/>
      </c>
      <c r="D85" s="74">
        <f>Inputs!$B$88/12</f>
        <v/>
      </c>
      <c r="E85" s="74">
        <f>Inputs!$B$88/12</f>
        <v/>
      </c>
      <c r="F85" s="74">
        <f>Inputs!$B$88/12</f>
        <v/>
      </c>
      <c r="G85" s="74">
        <f>Inputs!$B$88/12</f>
        <v/>
      </c>
      <c r="H85" s="74">
        <f>Inputs!$B$88/12</f>
        <v/>
      </c>
      <c r="I85" s="74">
        <f>Inputs!$B$88/12</f>
        <v/>
      </c>
      <c r="J85" s="74">
        <f>Inputs!$B$88/12</f>
        <v/>
      </c>
      <c r="K85" s="74">
        <f>Inputs!$B$88/12</f>
        <v/>
      </c>
      <c r="L85" s="74">
        <f>Inputs!$B$88/12</f>
        <v/>
      </c>
      <c r="M85" s="74">
        <f>Inputs!$B$88/12</f>
        <v/>
      </c>
      <c r="N85" s="74">
        <f>Inputs!$B$88/12</f>
        <v/>
      </c>
      <c r="O85" s="74">
        <f>Inputs!$B$88/12</f>
        <v/>
      </c>
      <c r="P85" s="74">
        <f>Inputs!$B$88/12</f>
        <v/>
      </c>
      <c r="Q85" s="74">
        <f>Inputs!$B$88/12</f>
        <v/>
      </c>
      <c r="R85" s="74">
        <f>Inputs!$B$88/12</f>
        <v/>
      </c>
      <c r="S85" s="74">
        <f>Inputs!$B$88/12</f>
        <v/>
      </c>
      <c r="T85" s="74">
        <f>Inputs!$B$88/12</f>
        <v/>
      </c>
      <c r="U85" s="74">
        <f>Inputs!$B$88/12</f>
        <v/>
      </c>
      <c r="V85" s="74">
        <f>Inputs!$B$88/12</f>
        <v/>
      </c>
      <c r="W85" s="74">
        <f>Inputs!$B$88/12</f>
        <v/>
      </c>
      <c r="X85" s="74">
        <f>Inputs!$B$88/12</f>
        <v/>
      </c>
      <c r="Y85" s="74">
        <f>Inputs!$B$88/12</f>
        <v/>
      </c>
      <c r="Z85" s="74">
        <f>Inputs!$B$88/12</f>
        <v/>
      </c>
      <c r="AA85" s="74">
        <f>Inputs!$B$88/12</f>
        <v/>
      </c>
      <c r="AB85" s="74">
        <f>Inputs!$B$88/12</f>
        <v/>
      </c>
      <c r="AC85" s="74">
        <f>Inputs!$B$88/12</f>
        <v/>
      </c>
      <c r="AD85" s="74">
        <f>Inputs!$B$88/12</f>
        <v/>
      </c>
      <c r="AE85" s="74">
        <f>Inputs!$B$88/12</f>
        <v/>
      </c>
      <c r="AF85" s="74">
        <f>Inputs!$B$88/12</f>
        <v/>
      </c>
      <c r="AG85" s="74">
        <f>Inputs!$B$88/12</f>
        <v/>
      </c>
      <c r="AH85" s="74">
        <f>Inputs!$B$88/12</f>
        <v/>
      </c>
      <c r="AI85" s="74">
        <f>Inputs!$B$88/12</f>
        <v/>
      </c>
      <c r="AJ85" s="74">
        <f>Inputs!$B$88/12</f>
        <v/>
      </c>
      <c r="AK85" s="74">
        <f>Inputs!$B$88/12</f>
        <v/>
      </c>
      <c r="AL85" s="74">
        <f>Inputs!$B$88/12</f>
        <v/>
      </c>
      <c r="AM85" s="74">
        <f>Inputs!$B$88/12</f>
        <v/>
      </c>
      <c r="AN85" s="74">
        <f>Inputs!$B$88/12</f>
        <v/>
      </c>
      <c r="AO85" s="74">
        <f>Inputs!$B$88/12</f>
        <v/>
      </c>
      <c r="AP85" s="74">
        <f>Inputs!$B$88/12</f>
        <v/>
      </c>
      <c r="AQ85" s="74">
        <f>Inputs!$B$88/12</f>
        <v/>
      </c>
      <c r="AR85" s="74">
        <f>Inputs!$B$88/12</f>
        <v/>
      </c>
      <c r="AS85" s="74">
        <f>Inputs!$B$88/12</f>
        <v/>
      </c>
      <c r="AT85" s="74">
        <f>Inputs!$B$88/12</f>
        <v/>
      </c>
      <c r="AU85" s="74">
        <f>Inputs!$B$88/12</f>
        <v/>
      </c>
      <c r="AV85" s="74">
        <f>Inputs!$B$88/12</f>
        <v/>
      </c>
      <c r="AW85" s="74">
        <f>Inputs!$B$88/12</f>
        <v/>
      </c>
      <c r="AX85" s="74">
        <f>Inputs!$B$88/12</f>
        <v/>
      </c>
      <c r="AY85" s="74">
        <f>Inputs!$B$88/12</f>
        <v/>
      </c>
      <c r="AZ85" s="74">
        <f>Inputs!$B$88/12</f>
        <v/>
      </c>
      <c r="BA85" s="74">
        <f>Inputs!$B$88/12</f>
        <v/>
      </c>
    </row>
    <row r="86" ht="14.25" customHeight="1" s="83">
      <c r="A86" s="77" t="inlineStr">
        <is>
          <t>Sicherheit &amp; Compliance</t>
        </is>
      </c>
      <c r="B86" s="74">
        <f>Inputs!$B$89</f>
        <v/>
      </c>
      <c r="C86" s="74">
        <f>Inputs!$B$89</f>
        <v/>
      </c>
      <c r="D86" s="74">
        <f>Inputs!$B$89</f>
        <v/>
      </c>
      <c r="E86" s="74">
        <f>Inputs!$B$89</f>
        <v/>
      </c>
      <c r="F86" s="74">
        <f>Inputs!$B$89</f>
        <v/>
      </c>
      <c r="G86" s="74">
        <f>Inputs!$B$89</f>
        <v/>
      </c>
      <c r="H86" s="74">
        <f>Inputs!$B$89</f>
        <v/>
      </c>
      <c r="I86" s="74">
        <f>Inputs!$B$89</f>
        <v/>
      </c>
      <c r="J86" s="74">
        <f>Inputs!$B$89</f>
        <v/>
      </c>
      <c r="K86" s="74">
        <f>Inputs!$B$89</f>
        <v/>
      </c>
      <c r="L86" s="74">
        <f>Inputs!$B$89</f>
        <v/>
      </c>
      <c r="M86" s="74">
        <f>Inputs!$B$89</f>
        <v/>
      </c>
      <c r="N86" s="74">
        <f>Inputs!$B$89</f>
        <v/>
      </c>
      <c r="O86" s="74">
        <f>Inputs!$B$89</f>
        <v/>
      </c>
      <c r="P86" s="74">
        <f>Inputs!$B$89</f>
        <v/>
      </c>
      <c r="Q86" s="74">
        <f>Inputs!$B$89</f>
        <v/>
      </c>
      <c r="R86" s="74">
        <f>Inputs!$B$89</f>
        <v/>
      </c>
      <c r="S86" s="74">
        <f>Inputs!$B$89</f>
        <v/>
      </c>
      <c r="T86" s="74">
        <f>Inputs!$B$89</f>
        <v/>
      </c>
      <c r="U86" s="74">
        <f>Inputs!$B$89</f>
        <v/>
      </c>
      <c r="V86" s="74">
        <f>Inputs!$B$89</f>
        <v/>
      </c>
      <c r="W86" s="74">
        <f>Inputs!$B$89</f>
        <v/>
      </c>
      <c r="X86" s="74">
        <f>Inputs!$B$89</f>
        <v/>
      </c>
      <c r="Y86" s="74">
        <f>Inputs!$B$89</f>
        <v/>
      </c>
      <c r="Z86" s="74">
        <f>Inputs!$B$89</f>
        <v/>
      </c>
      <c r="AA86" s="74">
        <f>Inputs!$B$89</f>
        <v/>
      </c>
      <c r="AB86" s="74">
        <f>Inputs!$B$89</f>
        <v/>
      </c>
      <c r="AC86" s="74">
        <f>Inputs!$B$89</f>
        <v/>
      </c>
      <c r="AD86" s="74">
        <f>Inputs!$B$89</f>
        <v/>
      </c>
      <c r="AE86" s="74">
        <f>Inputs!$B$89</f>
        <v/>
      </c>
      <c r="AF86" s="74">
        <f>Inputs!$B$89</f>
        <v/>
      </c>
      <c r="AG86" s="74">
        <f>Inputs!$B$89</f>
        <v/>
      </c>
      <c r="AH86" s="74">
        <f>Inputs!$B$89</f>
        <v/>
      </c>
      <c r="AI86" s="74">
        <f>Inputs!$B$89</f>
        <v/>
      </c>
      <c r="AJ86" s="74">
        <f>Inputs!$B$89</f>
        <v/>
      </c>
      <c r="AK86" s="74">
        <f>Inputs!$B$89</f>
        <v/>
      </c>
      <c r="AL86" s="74">
        <f>Inputs!$B$89</f>
        <v/>
      </c>
      <c r="AM86" s="74">
        <f>Inputs!$B$89</f>
        <v/>
      </c>
      <c r="AN86" s="74">
        <f>Inputs!$B$89</f>
        <v/>
      </c>
      <c r="AO86" s="74">
        <f>Inputs!$B$89</f>
        <v/>
      </c>
      <c r="AP86" s="74">
        <f>Inputs!$B$89</f>
        <v/>
      </c>
      <c r="AQ86" s="74">
        <f>Inputs!$B$89</f>
        <v/>
      </c>
      <c r="AR86" s="74">
        <f>Inputs!$B$89</f>
        <v/>
      </c>
      <c r="AS86" s="74">
        <f>Inputs!$B$89</f>
        <v/>
      </c>
      <c r="AT86" s="74">
        <f>Inputs!$B$89</f>
        <v/>
      </c>
      <c r="AU86" s="74">
        <f>Inputs!$B$89</f>
        <v/>
      </c>
      <c r="AV86" s="74">
        <f>Inputs!$B$89</f>
        <v/>
      </c>
      <c r="AW86" s="74">
        <f>Inputs!$B$89</f>
        <v/>
      </c>
      <c r="AX86" s="74">
        <f>Inputs!$B$89</f>
        <v/>
      </c>
      <c r="AY86" s="74">
        <f>Inputs!$B$89</f>
        <v/>
      </c>
      <c r="AZ86" s="74">
        <f>Inputs!$B$89</f>
        <v/>
      </c>
      <c r="BA86" s="74">
        <f>Inputs!$B$89</f>
        <v/>
      </c>
    </row>
    <row r="87" ht="14.25" customHeight="1" s="83">
      <c r="A87" s="2" t="inlineStr">
        <is>
          <t>TOTAL TECHNOLOGIE</t>
        </is>
      </c>
      <c r="B87" s="72">
        <f>SUM(B81:B86)</f>
        <v/>
      </c>
      <c r="C87" s="72">
        <f>SUM(C81:C86)</f>
        <v/>
      </c>
      <c r="D87" s="72">
        <f>SUM(D81:D86)</f>
        <v/>
      </c>
      <c r="E87" s="72">
        <f>SUM(E81:E86)</f>
        <v/>
      </c>
      <c r="F87" s="72">
        <f>SUM(F81:F86)</f>
        <v/>
      </c>
      <c r="G87" s="72">
        <f>SUM(G81:G86)</f>
        <v/>
      </c>
      <c r="H87" s="72">
        <f>SUM(H81:H86)</f>
        <v/>
      </c>
      <c r="I87" s="72">
        <f>SUM(I81:I86)</f>
        <v/>
      </c>
      <c r="J87" s="72">
        <f>SUM(J81:J86)</f>
        <v/>
      </c>
      <c r="K87" s="72">
        <f>SUM(K81:K86)</f>
        <v/>
      </c>
      <c r="L87" s="72">
        <f>SUM(L81:L86)</f>
        <v/>
      </c>
      <c r="M87" s="72">
        <f>SUM(M81:M86)</f>
        <v/>
      </c>
      <c r="N87" s="72">
        <f>SUM(N81:N86)</f>
        <v/>
      </c>
      <c r="O87" s="72">
        <f>SUM(O81:O86)</f>
        <v/>
      </c>
      <c r="P87" s="72">
        <f>SUM(P81:P86)</f>
        <v/>
      </c>
      <c r="Q87" s="72">
        <f>SUM(Q81:Q86)</f>
        <v/>
      </c>
      <c r="R87" s="72">
        <f>SUM(R81:R86)</f>
        <v/>
      </c>
      <c r="S87" s="72">
        <f>SUM(S81:S86)</f>
        <v/>
      </c>
      <c r="T87" s="72">
        <f>SUM(T81:T86)</f>
        <v/>
      </c>
      <c r="U87" s="72">
        <f>SUM(U81:U86)</f>
        <v/>
      </c>
      <c r="V87" s="72">
        <f>SUM(V81:V86)</f>
        <v/>
      </c>
      <c r="W87" s="72">
        <f>SUM(W81:W86)</f>
        <v/>
      </c>
      <c r="X87" s="72">
        <f>SUM(X81:X86)</f>
        <v/>
      </c>
      <c r="Y87" s="72">
        <f>SUM(Y81:Y86)</f>
        <v/>
      </c>
      <c r="Z87" s="72">
        <f>SUM(Z81:Z86)</f>
        <v/>
      </c>
      <c r="AA87" s="72">
        <f>SUM(AA81:AA86)</f>
        <v/>
      </c>
      <c r="AB87" s="72">
        <f>SUM(AB81:AB86)</f>
        <v/>
      </c>
      <c r="AC87" s="72">
        <f>SUM(AC81:AC86)</f>
        <v/>
      </c>
      <c r="AD87" s="72">
        <f>SUM(AD81:AD86)</f>
        <v/>
      </c>
      <c r="AE87" s="72">
        <f>SUM(AE81:AE86)</f>
        <v/>
      </c>
      <c r="AF87" s="72">
        <f>SUM(AF81:AF86)</f>
        <v/>
      </c>
      <c r="AG87" s="72">
        <f>SUM(AG81:AG86)</f>
        <v/>
      </c>
      <c r="AH87" s="72">
        <f>SUM(AH81:AH86)</f>
        <v/>
      </c>
      <c r="AI87" s="72">
        <f>SUM(AI81:AI86)</f>
        <v/>
      </c>
      <c r="AJ87" s="72">
        <f>SUM(AJ81:AJ86)</f>
        <v/>
      </c>
      <c r="AK87" s="72">
        <f>SUM(AK81:AK86)</f>
        <v/>
      </c>
      <c r="AL87" s="72">
        <f>SUM(AL81:AL86)</f>
        <v/>
      </c>
      <c r="AM87" s="72">
        <f>SUM(AM81:AM86)</f>
        <v/>
      </c>
      <c r="AN87" s="72">
        <f>SUM(AN81:AN86)</f>
        <v/>
      </c>
      <c r="AO87" s="72">
        <f>SUM(AO81:AO86)</f>
        <v/>
      </c>
      <c r="AP87" s="72">
        <f>SUM(AP81:AP86)</f>
        <v/>
      </c>
      <c r="AQ87" s="72">
        <f>SUM(AQ81:AQ86)</f>
        <v/>
      </c>
      <c r="AR87" s="72">
        <f>SUM(AR81:AR86)</f>
        <v/>
      </c>
      <c r="AS87" s="72">
        <f>SUM(AS81:AS86)</f>
        <v/>
      </c>
      <c r="AT87" s="72">
        <f>SUM(AT81:AT86)</f>
        <v/>
      </c>
      <c r="AU87" s="72">
        <f>SUM(AU81:AU86)</f>
        <v/>
      </c>
      <c r="AV87" s="72">
        <f>SUM(AV81:AV86)</f>
        <v/>
      </c>
      <c r="AW87" s="72">
        <f>SUM(AW81:AW86)</f>
        <v/>
      </c>
      <c r="AX87" s="72">
        <f>SUM(AX81:AX86)</f>
        <v/>
      </c>
      <c r="AY87" s="72">
        <f>SUM(AY81:AY86)</f>
        <v/>
      </c>
      <c r="AZ87" s="72">
        <f>SUM(AZ81:AZ86)</f>
        <v/>
      </c>
      <c r="BA87" s="72">
        <f>SUM(BA81:BA86)</f>
        <v/>
      </c>
    </row>
    <row r="88" ht="14.25" customHeight="1" s="83"/>
    <row r="89" ht="14.25" customHeight="1" s="83">
      <c r="A89" s="2" t="inlineStr">
        <is>
          <t>BÜROKOSTEN</t>
        </is>
      </c>
    </row>
    <row r="90" ht="14.25" customHeight="1" s="83">
      <c r="A90" s="77" t="inlineStr">
        <is>
          <t>Büromiete</t>
        </is>
      </c>
      <c r="B90" s="74">
        <f>IF(1&gt;=Inputs!$B$99,Inputs!$B$100,Inputs!$B$98)</f>
        <v/>
      </c>
      <c r="C90" s="74">
        <f>IF(2&gt;=Inputs!$B$99,Inputs!$B$100,Inputs!$B$98)</f>
        <v/>
      </c>
      <c r="D90" s="74">
        <f>IF(3&gt;=Inputs!$B$99,Inputs!$B$100,Inputs!$B$98)</f>
        <v/>
      </c>
      <c r="E90" s="74">
        <f>IF(4&gt;=Inputs!$B$99,Inputs!$B$100,Inputs!$B$98)</f>
        <v/>
      </c>
      <c r="F90" s="74">
        <f>IF(5&gt;=Inputs!$B$99,Inputs!$B$100,Inputs!$B$98)</f>
        <v/>
      </c>
      <c r="G90" s="74">
        <f>IF(6&gt;=Inputs!$B$99,Inputs!$B$100,Inputs!$B$98)</f>
        <v/>
      </c>
      <c r="H90" s="74">
        <f>IF(7&gt;=Inputs!$B$99,Inputs!$B$100,Inputs!$B$98)</f>
        <v/>
      </c>
      <c r="I90" s="74">
        <f>IF(8&gt;=Inputs!$B$99,Inputs!$B$100,Inputs!$B$98)</f>
        <v/>
      </c>
      <c r="J90" s="74">
        <f>IF(9&gt;=Inputs!$B$99,Inputs!$B$100,Inputs!$B$98)</f>
        <v/>
      </c>
      <c r="K90" s="74">
        <f>IF(10&gt;=Inputs!$B$99,Inputs!$B$100,Inputs!$B$98)</f>
        <v/>
      </c>
      <c r="L90" s="74">
        <f>IF(11&gt;=Inputs!$B$99,Inputs!$B$100,Inputs!$B$98)</f>
        <v/>
      </c>
      <c r="M90" s="74">
        <f>IF(12&gt;=Inputs!$B$99,Inputs!$B$100,Inputs!$B$98)</f>
        <v/>
      </c>
      <c r="N90" s="74">
        <f>IF(13&gt;=Inputs!$B$99,Inputs!$B$100,Inputs!$B$98)</f>
        <v/>
      </c>
      <c r="O90" s="74">
        <f>IF(14&gt;=Inputs!$B$99,Inputs!$B$100,Inputs!$B$98)</f>
        <v/>
      </c>
      <c r="P90" s="74">
        <f>IF(15&gt;=Inputs!$B$99,Inputs!$B$100,Inputs!$B$98)</f>
        <v/>
      </c>
      <c r="Q90" s="74">
        <f>IF(16&gt;=Inputs!$B$99,Inputs!$B$100,Inputs!$B$98)</f>
        <v/>
      </c>
      <c r="R90" s="74">
        <f>IF(17&gt;=Inputs!$B$99,Inputs!$B$100,Inputs!$B$98)</f>
        <v/>
      </c>
      <c r="S90" s="74">
        <f>IF(18&gt;=Inputs!$B$99,Inputs!$B$100,Inputs!$B$98)</f>
        <v/>
      </c>
      <c r="T90" s="74">
        <f>IF(19&gt;=Inputs!$B$99,Inputs!$B$100,Inputs!$B$98)</f>
        <v/>
      </c>
      <c r="U90" s="74">
        <f>IF(20&gt;=Inputs!$B$99,Inputs!$B$100,Inputs!$B$98)</f>
        <v/>
      </c>
      <c r="V90" s="74">
        <f>IF(21&gt;=Inputs!$B$99,Inputs!$B$100,Inputs!$B$98)</f>
        <v/>
      </c>
      <c r="W90" s="74">
        <f>IF(22&gt;=Inputs!$B$99,Inputs!$B$100,Inputs!$B$98)</f>
        <v/>
      </c>
      <c r="X90" s="74">
        <f>IF(23&gt;=Inputs!$B$99,Inputs!$B$100,Inputs!$B$98)</f>
        <v/>
      </c>
      <c r="Y90" s="74">
        <f>IF(24&gt;=Inputs!$B$99,Inputs!$B$100,Inputs!$B$98)</f>
        <v/>
      </c>
      <c r="Z90" s="74">
        <f>IF(25&gt;=Inputs!$B$99,Inputs!$B$100,Inputs!$B$98)</f>
        <v/>
      </c>
      <c r="AA90" s="74">
        <f>IF(26&gt;=Inputs!$B$99,Inputs!$B$100,Inputs!$B$98)</f>
        <v/>
      </c>
      <c r="AB90" s="74">
        <f>IF(27&gt;=Inputs!$B$99,Inputs!$B$100,Inputs!$B$98)</f>
        <v/>
      </c>
      <c r="AC90" s="74">
        <f>IF(28&gt;=Inputs!$B$99,Inputs!$B$100,Inputs!$B$98)</f>
        <v/>
      </c>
      <c r="AD90" s="74">
        <f>IF(29&gt;=Inputs!$B$99,Inputs!$B$100,Inputs!$B$98)</f>
        <v/>
      </c>
      <c r="AE90" s="74">
        <f>IF(30&gt;=Inputs!$B$99,Inputs!$B$100,Inputs!$B$98)</f>
        <v/>
      </c>
      <c r="AF90" s="74">
        <f>IF(31&gt;=Inputs!$B$99,Inputs!$B$100,Inputs!$B$98)</f>
        <v/>
      </c>
      <c r="AG90" s="74">
        <f>IF(32&gt;=Inputs!$B$99,Inputs!$B$100,Inputs!$B$98)</f>
        <v/>
      </c>
      <c r="AH90" s="74">
        <f>IF(33&gt;=Inputs!$B$99,Inputs!$B$100,Inputs!$B$98)</f>
        <v/>
      </c>
      <c r="AI90" s="74">
        <f>IF(34&gt;=Inputs!$B$99,Inputs!$B$100,Inputs!$B$98)</f>
        <v/>
      </c>
      <c r="AJ90" s="74">
        <f>IF(35&gt;=Inputs!$B$99,Inputs!$B$100,Inputs!$B$98)</f>
        <v/>
      </c>
      <c r="AK90" s="74">
        <f>IF(36&gt;=Inputs!$B$99,Inputs!$B$100,Inputs!$B$98)</f>
        <v/>
      </c>
      <c r="AL90" s="74">
        <f>IF(37&gt;=Inputs!$B$99,Inputs!$B$100,Inputs!$B$98)</f>
        <v/>
      </c>
      <c r="AM90" s="74">
        <f>IF(38&gt;=Inputs!$B$99,Inputs!$B$100,Inputs!$B$98)</f>
        <v/>
      </c>
      <c r="AN90" s="74">
        <f>IF(39&gt;=Inputs!$B$99,Inputs!$B$100,Inputs!$B$98)</f>
        <v/>
      </c>
      <c r="AO90" s="74">
        <f>IF(40&gt;=Inputs!$B$99,Inputs!$B$100,Inputs!$B$98)</f>
        <v/>
      </c>
      <c r="AP90" s="74">
        <f>IF(41&gt;=Inputs!$B$99,Inputs!$B$100,Inputs!$B$98)</f>
        <v/>
      </c>
      <c r="AQ90" s="74">
        <f>IF(42&gt;=Inputs!$B$99,Inputs!$B$100,Inputs!$B$98)</f>
        <v/>
      </c>
      <c r="AR90" s="74">
        <f>IF(43&gt;=Inputs!$B$99,Inputs!$B$100,Inputs!$B$98)</f>
        <v/>
      </c>
      <c r="AS90" s="74">
        <f>IF(44&gt;=Inputs!$B$99,Inputs!$B$100,Inputs!$B$98)</f>
        <v/>
      </c>
      <c r="AT90" s="74">
        <f>IF(45&gt;=Inputs!$B$99,Inputs!$B$100,Inputs!$B$98)</f>
        <v/>
      </c>
      <c r="AU90" s="74">
        <f>IF(46&gt;=Inputs!$B$99,Inputs!$B$100,Inputs!$B$98)</f>
        <v/>
      </c>
      <c r="AV90" s="74">
        <f>IF(47&gt;=Inputs!$B$99,Inputs!$B$100,Inputs!$B$98)</f>
        <v/>
      </c>
      <c r="AW90" s="74">
        <f>IF(48&gt;=Inputs!$B$99,Inputs!$B$100,Inputs!$B$98)</f>
        <v/>
      </c>
      <c r="AX90" s="74">
        <f>IF(49&gt;=Inputs!$B$99,Inputs!$B$100,Inputs!$B$98)</f>
        <v/>
      </c>
      <c r="AY90" s="74">
        <f>IF(50&gt;=Inputs!$B$99,Inputs!$B$100,Inputs!$B$98)</f>
        <v/>
      </c>
      <c r="AZ90" s="74">
        <f>IF(51&gt;=Inputs!$B$99,Inputs!$B$100,Inputs!$B$98)</f>
        <v/>
      </c>
      <c r="BA90" s="74">
        <f>IF(52&gt;=Inputs!$B$99,Inputs!$B$100,Inputs!$B$98)</f>
        <v/>
      </c>
    </row>
    <row r="91" ht="14.25" customHeight="1" s="83">
      <c r="A91" s="77" t="inlineStr">
        <is>
          <t>Nebenkosten</t>
        </is>
      </c>
      <c r="B91" s="74">
        <f>Inputs!$B$101</f>
        <v/>
      </c>
      <c r="C91" s="74">
        <f>Inputs!$B$101</f>
        <v/>
      </c>
      <c r="D91" s="74">
        <f>Inputs!$B$101</f>
        <v/>
      </c>
      <c r="E91" s="74">
        <f>Inputs!$B$101</f>
        <v/>
      </c>
      <c r="F91" s="74">
        <f>Inputs!$B$101</f>
        <v/>
      </c>
      <c r="G91" s="74">
        <f>Inputs!$B$101</f>
        <v/>
      </c>
      <c r="H91" s="74">
        <f>Inputs!$B$101</f>
        <v/>
      </c>
      <c r="I91" s="74">
        <f>Inputs!$B$101</f>
        <v/>
      </c>
      <c r="J91" s="74">
        <f>Inputs!$B$101</f>
        <v/>
      </c>
      <c r="K91" s="74">
        <f>Inputs!$B$101</f>
        <v/>
      </c>
      <c r="L91" s="74">
        <f>Inputs!$B$101</f>
        <v/>
      </c>
      <c r="M91" s="74">
        <f>Inputs!$B$101</f>
        <v/>
      </c>
      <c r="N91" s="74">
        <f>Inputs!$B$101</f>
        <v/>
      </c>
      <c r="O91" s="74">
        <f>Inputs!$B$101</f>
        <v/>
      </c>
      <c r="P91" s="74">
        <f>Inputs!$B$101</f>
        <v/>
      </c>
      <c r="Q91" s="74">
        <f>Inputs!$B$101</f>
        <v/>
      </c>
      <c r="R91" s="74">
        <f>Inputs!$B$101</f>
        <v/>
      </c>
      <c r="S91" s="74">
        <f>Inputs!$B$101</f>
        <v/>
      </c>
      <c r="T91" s="74">
        <f>Inputs!$B$101</f>
        <v/>
      </c>
      <c r="U91" s="74">
        <f>Inputs!$B$101</f>
        <v/>
      </c>
      <c r="V91" s="74">
        <f>Inputs!$B$101</f>
        <v/>
      </c>
      <c r="W91" s="74">
        <f>Inputs!$B$101</f>
        <v/>
      </c>
      <c r="X91" s="74">
        <f>Inputs!$B$101</f>
        <v/>
      </c>
      <c r="Y91" s="74">
        <f>Inputs!$B$101</f>
        <v/>
      </c>
      <c r="Z91" s="74">
        <f>Inputs!$B$101</f>
        <v/>
      </c>
      <c r="AA91" s="74">
        <f>Inputs!$B$101</f>
        <v/>
      </c>
      <c r="AB91" s="74">
        <f>Inputs!$B$101</f>
        <v/>
      </c>
      <c r="AC91" s="74">
        <f>Inputs!$B$101</f>
        <v/>
      </c>
      <c r="AD91" s="74">
        <f>Inputs!$B$101</f>
        <v/>
      </c>
      <c r="AE91" s="74">
        <f>Inputs!$B$101</f>
        <v/>
      </c>
      <c r="AF91" s="74">
        <f>Inputs!$B$101</f>
        <v/>
      </c>
      <c r="AG91" s="74">
        <f>Inputs!$B$101</f>
        <v/>
      </c>
      <c r="AH91" s="74">
        <f>Inputs!$B$101</f>
        <v/>
      </c>
      <c r="AI91" s="74">
        <f>Inputs!$B$101</f>
        <v/>
      </c>
      <c r="AJ91" s="74">
        <f>Inputs!$B$101</f>
        <v/>
      </c>
      <c r="AK91" s="74">
        <f>Inputs!$B$101</f>
        <v/>
      </c>
      <c r="AL91" s="74">
        <f>Inputs!$B$101</f>
        <v/>
      </c>
      <c r="AM91" s="74">
        <f>Inputs!$B$101</f>
        <v/>
      </c>
      <c r="AN91" s="74">
        <f>Inputs!$B$101</f>
        <v/>
      </c>
      <c r="AO91" s="74">
        <f>Inputs!$B$101</f>
        <v/>
      </c>
      <c r="AP91" s="74">
        <f>Inputs!$B$101</f>
        <v/>
      </c>
      <c r="AQ91" s="74">
        <f>Inputs!$B$101</f>
        <v/>
      </c>
      <c r="AR91" s="74">
        <f>Inputs!$B$101</f>
        <v/>
      </c>
      <c r="AS91" s="74">
        <f>Inputs!$B$101</f>
        <v/>
      </c>
      <c r="AT91" s="74">
        <f>Inputs!$B$101</f>
        <v/>
      </c>
      <c r="AU91" s="74">
        <f>Inputs!$B$101</f>
        <v/>
      </c>
      <c r="AV91" s="74">
        <f>Inputs!$B$101</f>
        <v/>
      </c>
      <c r="AW91" s="74">
        <f>Inputs!$B$101</f>
        <v/>
      </c>
      <c r="AX91" s="74">
        <f>Inputs!$B$101</f>
        <v/>
      </c>
      <c r="AY91" s="74">
        <f>Inputs!$B$101</f>
        <v/>
      </c>
      <c r="AZ91" s="74">
        <f>Inputs!$B$101</f>
        <v/>
      </c>
      <c r="BA91" s="74">
        <f>Inputs!$B$101</f>
        <v/>
      </c>
    </row>
    <row r="92" ht="14.25" customHeight="1" s="83">
      <c r="A92" s="77" t="inlineStr">
        <is>
          <t>Internet &amp; Telefon</t>
        </is>
      </c>
      <c r="B92" s="74">
        <f>Inputs!$B$102</f>
        <v/>
      </c>
      <c r="C92" s="74">
        <f>Inputs!$B$102</f>
        <v/>
      </c>
      <c r="D92" s="74">
        <f>Inputs!$B$102</f>
        <v/>
      </c>
      <c r="E92" s="74">
        <f>Inputs!$B$102</f>
        <v/>
      </c>
      <c r="F92" s="74">
        <f>Inputs!$B$102</f>
        <v/>
      </c>
      <c r="G92" s="74">
        <f>Inputs!$B$102</f>
        <v/>
      </c>
      <c r="H92" s="74">
        <f>Inputs!$B$102</f>
        <v/>
      </c>
      <c r="I92" s="74">
        <f>Inputs!$B$102</f>
        <v/>
      </c>
      <c r="J92" s="74">
        <f>Inputs!$B$102</f>
        <v/>
      </c>
      <c r="K92" s="74">
        <f>Inputs!$B$102</f>
        <v/>
      </c>
      <c r="L92" s="74">
        <f>Inputs!$B$102</f>
        <v/>
      </c>
      <c r="M92" s="74">
        <f>Inputs!$B$102</f>
        <v/>
      </c>
      <c r="N92" s="74">
        <f>Inputs!$B$102</f>
        <v/>
      </c>
      <c r="O92" s="74">
        <f>Inputs!$B$102</f>
        <v/>
      </c>
      <c r="P92" s="74">
        <f>Inputs!$B$102</f>
        <v/>
      </c>
      <c r="Q92" s="74">
        <f>Inputs!$B$102</f>
        <v/>
      </c>
      <c r="R92" s="74">
        <f>Inputs!$B$102</f>
        <v/>
      </c>
      <c r="S92" s="74">
        <f>Inputs!$B$102</f>
        <v/>
      </c>
      <c r="T92" s="74">
        <f>Inputs!$B$102</f>
        <v/>
      </c>
      <c r="U92" s="74">
        <f>Inputs!$B$102</f>
        <v/>
      </c>
      <c r="V92" s="74">
        <f>Inputs!$B$102</f>
        <v/>
      </c>
      <c r="W92" s="74">
        <f>Inputs!$B$102</f>
        <v/>
      </c>
      <c r="X92" s="74">
        <f>Inputs!$B$102</f>
        <v/>
      </c>
      <c r="Y92" s="74">
        <f>Inputs!$B$102</f>
        <v/>
      </c>
      <c r="Z92" s="74">
        <f>Inputs!$B$102</f>
        <v/>
      </c>
      <c r="AA92" s="74">
        <f>Inputs!$B$102</f>
        <v/>
      </c>
      <c r="AB92" s="74">
        <f>Inputs!$B$102</f>
        <v/>
      </c>
      <c r="AC92" s="74">
        <f>Inputs!$B$102</f>
        <v/>
      </c>
      <c r="AD92" s="74">
        <f>Inputs!$B$102</f>
        <v/>
      </c>
      <c r="AE92" s="74">
        <f>Inputs!$B$102</f>
        <v/>
      </c>
      <c r="AF92" s="74">
        <f>Inputs!$B$102</f>
        <v/>
      </c>
      <c r="AG92" s="74">
        <f>Inputs!$B$102</f>
        <v/>
      </c>
      <c r="AH92" s="74">
        <f>Inputs!$B$102</f>
        <v/>
      </c>
      <c r="AI92" s="74">
        <f>Inputs!$B$102</f>
        <v/>
      </c>
      <c r="AJ92" s="74">
        <f>Inputs!$B$102</f>
        <v/>
      </c>
      <c r="AK92" s="74">
        <f>Inputs!$B$102</f>
        <v/>
      </c>
      <c r="AL92" s="74">
        <f>Inputs!$B$102</f>
        <v/>
      </c>
      <c r="AM92" s="74">
        <f>Inputs!$B$102</f>
        <v/>
      </c>
      <c r="AN92" s="74">
        <f>Inputs!$B$102</f>
        <v/>
      </c>
      <c r="AO92" s="74">
        <f>Inputs!$B$102</f>
        <v/>
      </c>
      <c r="AP92" s="74">
        <f>Inputs!$B$102</f>
        <v/>
      </c>
      <c r="AQ92" s="74">
        <f>Inputs!$B$102</f>
        <v/>
      </c>
      <c r="AR92" s="74">
        <f>Inputs!$B$102</f>
        <v/>
      </c>
      <c r="AS92" s="74">
        <f>Inputs!$B$102</f>
        <v/>
      </c>
      <c r="AT92" s="74">
        <f>Inputs!$B$102</f>
        <v/>
      </c>
      <c r="AU92" s="74">
        <f>Inputs!$B$102</f>
        <v/>
      </c>
      <c r="AV92" s="74">
        <f>Inputs!$B$102</f>
        <v/>
      </c>
      <c r="AW92" s="74">
        <f>Inputs!$B$102</f>
        <v/>
      </c>
      <c r="AX92" s="74">
        <f>Inputs!$B$102</f>
        <v/>
      </c>
      <c r="AY92" s="74">
        <f>Inputs!$B$102</f>
        <v/>
      </c>
      <c r="AZ92" s="74">
        <f>Inputs!$B$102</f>
        <v/>
      </c>
      <c r="BA92" s="74">
        <f>Inputs!$B$102</f>
        <v/>
      </c>
    </row>
    <row r="93" ht="14.25" customHeight="1" s="83">
      <c r="A93" s="77" t="inlineStr">
        <is>
          <t>Bürobedarf</t>
        </is>
      </c>
      <c r="B93" s="74">
        <f>B38*Inputs!$B$104</f>
        <v/>
      </c>
      <c r="C93" s="74">
        <f>C38*Inputs!$B$104</f>
        <v/>
      </c>
      <c r="D93" s="74">
        <f>D38*Inputs!$B$104</f>
        <v/>
      </c>
      <c r="E93" s="74">
        <f>E38*Inputs!$B$104</f>
        <v/>
      </c>
      <c r="F93" s="74">
        <f>F38*Inputs!$B$104</f>
        <v/>
      </c>
      <c r="G93" s="74">
        <f>G38*Inputs!$B$104</f>
        <v/>
      </c>
      <c r="H93" s="74">
        <f>H38*Inputs!$B$104</f>
        <v/>
      </c>
      <c r="I93" s="74">
        <f>I38*Inputs!$B$104</f>
        <v/>
      </c>
      <c r="J93" s="74">
        <f>J38*Inputs!$B$104</f>
        <v/>
      </c>
      <c r="K93" s="74">
        <f>K38*Inputs!$B$104</f>
        <v/>
      </c>
      <c r="L93" s="74">
        <f>L38*Inputs!$B$104</f>
        <v/>
      </c>
      <c r="M93" s="74">
        <f>M38*Inputs!$B$104</f>
        <v/>
      </c>
      <c r="N93" s="74">
        <f>N38*Inputs!$B$104</f>
        <v/>
      </c>
      <c r="O93" s="74">
        <f>O38*Inputs!$B$104</f>
        <v/>
      </c>
      <c r="P93" s="74">
        <f>P38*Inputs!$B$104</f>
        <v/>
      </c>
      <c r="Q93" s="74">
        <f>Q38*Inputs!$B$104</f>
        <v/>
      </c>
      <c r="R93" s="74">
        <f>R38*Inputs!$B$104</f>
        <v/>
      </c>
      <c r="S93" s="74">
        <f>S38*Inputs!$B$104</f>
        <v/>
      </c>
      <c r="T93" s="74">
        <f>T38*Inputs!$B$104</f>
        <v/>
      </c>
      <c r="U93" s="74">
        <f>U38*Inputs!$B$104</f>
        <v/>
      </c>
      <c r="V93" s="74">
        <f>V38*Inputs!$B$104</f>
        <v/>
      </c>
      <c r="W93" s="74">
        <f>W38*Inputs!$B$104</f>
        <v/>
      </c>
      <c r="X93" s="74">
        <f>X38*Inputs!$B$104</f>
        <v/>
      </c>
      <c r="Y93" s="74">
        <f>Y38*Inputs!$B$104</f>
        <v/>
      </c>
      <c r="Z93" s="74">
        <f>Z38*Inputs!$B$104</f>
        <v/>
      </c>
      <c r="AA93" s="74">
        <f>AA38*Inputs!$B$104</f>
        <v/>
      </c>
      <c r="AB93" s="74">
        <f>AB38*Inputs!$B$104</f>
        <v/>
      </c>
      <c r="AC93" s="74">
        <f>AC38*Inputs!$B$104</f>
        <v/>
      </c>
      <c r="AD93" s="74">
        <f>AD38*Inputs!$B$104</f>
        <v/>
      </c>
      <c r="AE93" s="74">
        <f>AE38*Inputs!$B$104</f>
        <v/>
      </c>
      <c r="AF93" s="74">
        <f>AF38*Inputs!$B$104</f>
        <v/>
      </c>
      <c r="AG93" s="74">
        <f>AG38*Inputs!$B$104</f>
        <v/>
      </c>
      <c r="AH93" s="74">
        <f>AH38*Inputs!$B$104</f>
        <v/>
      </c>
      <c r="AI93" s="74">
        <f>AI38*Inputs!$B$104</f>
        <v/>
      </c>
      <c r="AJ93" s="74">
        <f>AJ38*Inputs!$B$104</f>
        <v/>
      </c>
      <c r="AK93" s="74">
        <f>AK38*Inputs!$B$104</f>
        <v/>
      </c>
      <c r="AL93" s="74">
        <f>AL38*Inputs!$B$104</f>
        <v/>
      </c>
      <c r="AM93" s="74">
        <f>AM38*Inputs!$B$104</f>
        <v/>
      </c>
      <c r="AN93" s="74">
        <f>AN38*Inputs!$B$104</f>
        <v/>
      </c>
      <c r="AO93" s="74">
        <f>AO38*Inputs!$B$104</f>
        <v/>
      </c>
      <c r="AP93" s="74">
        <f>AP38*Inputs!$B$104</f>
        <v/>
      </c>
      <c r="AQ93" s="74">
        <f>AQ38*Inputs!$B$104</f>
        <v/>
      </c>
      <c r="AR93" s="74">
        <f>AR38*Inputs!$B$104</f>
        <v/>
      </c>
      <c r="AS93" s="74">
        <f>AS38*Inputs!$B$104</f>
        <v/>
      </c>
      <c r="AT93" s="74">
        <f>AT38*Inputs!$B$104</f>
        <v/>
      </c>
      <c r="AU93" s="74">
        <f>AU38*Inputs!$B$104</f>
        <v/>
      </c>
      <c r="AV93" s="74">
        <f>AV38*Inputs!$B$104</f>
        <v/>
      </c>
      <c r="AW93" s="74">
        <f>AW38*Inputs!$B$104</f>
        <v/>
      </c>
      <c r="AX93" s="74">
        <f>AX38*Inputs!$B$104</f>
        <v/>
      </c>
      <c r="AY93" s="74">
        <f>AY38*Inputs!$B$104</f>
        <v/>
      </c>
      <c r="AZ93" s="74">
        <f>AZ38*Inputs!$B$104</f>
        <v/>
      </c>
      <c r="BA93" s="74">
        <f>BA38*Inputs!$B$104</f>
        <v/>
      </c>
    </row>
    <row r="94" ht="14.25" customHeight="1" s="83">
      <c r="A94" s="2" t="inlineStr">
        <is>
          <t>TOTAL BÜRO</t>
        </is>
      </c>
      <c r="B94" s="72">
        <f>SUM(B90:B93)</f>
        <v/>
      </c>
      <c r="C94" s="72">
        <f>SUM(C90:C93)</f>
        <v/>
      </c>
      <c r="D94" s="72">
        <f>SUM(D90:D93)</f>
        <v/>
      </c>
      <c r="E94" s="72">
        <f>SUM(E90:E93)</f>
        <v/>
      </c>
      <c r="F94" s="72">
        <f>SUM(F90:F93)</f>
        <v/>
      </c>
      <c r="G94" s="72">
        <f>SUM(G90:G93)</f>
        <v/>
      </c>
      <c r="H94" s="72">
        <f>SUM(H90:H93)</f>
        <v/>
      </c>
      <c r="I94" s="72">
        <f>SUM(I90:I93)</f>
        <v/>
      </c>
      <c r="J94" s="72">
        <f>SUM(J90:J93)</f>
        <v/>
      </c>
      <c r="K94" s="72">
        <f>SUM(K90:K93)</f>
        <v/>
      </c>
      <c r="L94" s="72">
        <f>SUM(L90:L93)</f>
        <v/>
      </c>
      <c r="M94" s="72">
        <f>SUM(M90:M93)</f>
        <v/>
      </c>
      <c r="N94" s="72">
        <f>SUM(N90:N93)</f>
        <v/>
      </c>
      <c r="O94" s="72">
        <f>SUM(O90:O93)</f>
        <v/>
      </c>
      <c r="P94" s="72">
        <f>SUM(P90:P93)</f>
        <v/>
      </c>
      <c r="Q94" s="72">
        <f>SUM(Q90:Q93)</f>
        <v/>
      </c>
      <c r="R94" s="72">
        <f>SUM(R90:R93)</f>
        <v/>
      </c>
      <c r="S94" s="72">
        <f>SUM(S90:S93)</f>
        <v/>
      </c>
      <c r="T94" s="72">
        <f>SUM(T90:T93)</f>
        <v/>
      </c>
      <c r="U94" s="72">
        <f>SUM(U90:U93)</f>
        <v/>
      </c>
      <c r="V94" s="72">
        <f>SUM(V90:V93)</f>
        <v/>
      </c>
      <c r="W94" s="72">
        <f>SUM(W90:W93)</f>
        <v/>
      </c>
      <c r="X94" s="72">
        <f>SUM(X90:X93)</f>
        <v/>
      </c>
      <c r="Y94" s="72">
        <f>SUM(Y90:Y93)</f>
        <v/>
      </c>
      <c r="Z94" s="72">
        <f>SUM(Z90:Z93)</f>
        <v/>
      </c>
      <c r="AA94" s="72">
        <f>SUM(AA90:AA93)</f>
        <v/>
      </c>
      <c r="AB94" s="72">
        <f>SUM(AB90:AB93)</f>
        <v/>
      </c>
      <c r="AC94" s="72">
        <f>SUM(AC90:AC93)</f>
        <v/>
      </c>
      <c r="AD94" s="72">
        <f>SUM(AD90:AD93)</f>
        <v/>
      </c>
      <c r="AE94" s="72">
        <f>SUM(AE90:AE93)</f>
        <v/>
      </c>
      <c r="AF94" s="72">
        <f>SUM(AF90:AF93)</f>
        <v/>
      </c>
      <c r="AG94" s="72">
        <f>SUM(AG90:AG93)</f>
        <v/>
      </c>
      <c r="AH94" s="72">
        <f>SUM(AH90:AH93)</f>
        <v/>
      </c>
      <c r="AI94" s="72">
        <f>SUM(AI90:AI93)</f>
        <v/>
      </c>
      <c r="AJ94" s="72">
        <f>SUM(AJ90:AJ93)</f>
        <v/>
      </c>
      <c r="AK94" s="72">
        <f>SUM(AK90:AK93)</f>
        <v/>
      </c>
      <c r="AL94" s="72">
        <f>SUM(AL90:AL93)</f>
        <v/>
      </c>
      <c r="AM94" s="72">
        <f>SUM(AM90:AM93)</f>
        <v/>
      </c>
      <c r="AN94" s="72">
        <f>SUM(AN90:AN93)</f>
        <v/>
      </c>
      <c r="AO94" s="72">
        <f>SUM(AO90:AO93)</f>
        <v/>
      </c>
      <c r="AP94" s="72">
        <f>SUM(AP90:AP93)</f>
        <v/>
      </c>
      <c r="AQ94" s="72">
        <f>SUM(AQ90:AQ93)</f>
        <v/>
      </c>
      <c r="AR94" s="72">
        <f>SUM(AR90:AR93)</f>
        <v/>
      </c>
      <c r="AS94" s="72">
        <f>SUM(AS90:AS93)</f>
        <v/>
      </c>
      <c r="AT94" s="72">
        <f>SUM(AT90:AT93)</f>
        <v/>
      </c>
      <c r="AU94" s="72">
        <f>SUM(AU90:AU93)</f>
        <v/>
      </c>
      <c r="AV94" s="72">
        <f>SUM(AV90:AV93)</f>
        <v/>
      </c>
      <c r="AW94" s="72">
        <f>SUM(AW90:AW93)</f>
        <v/>
      </c>
      <c r="AX94" s="72">
        <f>SUM(AX90:AX93)</f>
        <v/>
      </c>
      <c r="AY94" s="72">
        <f>SUM(AY90:AY93)</f>
        <v/>
      </c>
      <c r="AZ94" s="72">
        <f>SUM(AZ90:AZ93)</f>
        <v/>
      </c>
      <c r="BA94" s="72">
        <f>SUM(BA90:BA93)</f>
        <v/>
      </c>
    </row>
    <row r="95" ht="14.25" customHeight="1" s="83"/>
    <row r="96" ht="14.25" customHeight="1" s="83">
      <c r="A96" s="2" t="inlineStr">
        <is>
          <t>PROFESSIONAL SERVICES</t>
        </is>
      </c>
    </row>
    <row r="97" ht="14.25" customHeight="1" s="83">
      <c r="A97" s="77" t="inlineStr">
        <is>
          <t>Rechtsanwalt (laufend)</t>
        </is>
      </c>
      <c r="B97" s="74">
        <f>Inputs!$B$107/12+IF(OR(1=Inputs!$B$11,1=Inputs!$B$13,1=Inputs!$B$15,1=Inputs!$B$17),Inputs!$B$108,0)</f>
        <v/>
      </c>
      <c r="C97" s="74">
        <f>Inputs!$B$107/12+IF(OR(2=Inputs!$B$11,2=Inputs!$B$13,2=Inputs!$B$15,2=Inputs!$B$17),Inputs!$B$108,0)</f>
        <v/>
      </c>
      <c r="D97" s="74">
        <f>Inputs!$B$107/12+IF(OR(3=Inputs!$B$11,3=Inputs!$B$13,3=Inputs!$B$15,3=Inputs!$B$17),Inputs!$B$108,0)</f>
        <v/>
      </c>
      <c r="E97" s="74">
        <f>Inputs!$B$107/12+IF(OR(4=Inputs!$B$11,4=Inputs!$B$13,4=Inputs!$B$15,4=Inputs!$B$17),Inputs!$B$108,0)</f>
        <v/>
      </c>
      <c r="F97" s="74">
        <f>Inputs!$B$107/12+IF(OR(5=Inputs!$B$11,5=Inputs!$B$13,5=Inputs!$B$15,5=Inputs!$B$17),Inputs!$B$108,0)</f>
        <v/>
      </c>
      <c r="G97" s="74">
        <f>Inputs!$B$107/12+IF(OR(6=Inputs!$B$11,6=Inputs!$B$13,6=Inputs!$B$15,6=Inputs!$B$17),Inputs!$B$108,0)</f>
        <v/>
      </c>
      <c r="H97" s="74">
        <f>Inputs!$B$107/12+IF(OR(7=Inputs!$B$11,7=Inputs!$B$13,7=Inputs!$B$15,7=Inputs!$B$17),Inputs!$B$108,0)</f>
        <v/>
      </c>
      <c r="I97" s="74">
        <f>Inputs!$B$107/12+IF(OR(8=Inputs!$B$11,8=Inputs!$B$13,8=Inputs!$B$15,8=Inputs!$B$17),Inputs!$B$108,0)</f>
        <v/>
      </c>
      <c r="J97" s="74">
        <f>Inputs!$B$107/12+IF(OR(9=Inputs!$B$11,9=Inputs!$B$13,9=Inputs!$B$15,9=Inputs!$B$17),Inputs!$B$108,0)</f>
        <v/>
      </c>
      <c r="K97" s="74">
        <f>Inputs!$B$107/12+IF(OR(10=Inputs!$B$11,10=Inputs!$B$13,10=Inputs!$B$15,10=Inputs!$B$17),Inputs!$B$108,0)</f>
        <v/>
      </c>
      <c r="L97" s="74">
        <f>Inputs!$B$107/12+IF(OR(11=Inputs!$B$11,11=Inputs!$B$13,11=Inputs!$B$15,11=Inputs!$B$17),Inputs!$B$108,0)</f>
        <v/>
      </c>
      <c r="M97" s="74">
        <f>Inputs!$B$107/12+IF(OR(12=Inputs!$B$11,12=Inputs!$B$13,12=Inputs!$B$15,12=Inputs!$B$17),Inputs!$B$108,0)</f>
        <v/>
      </c>
      <c r="N97" s="74">
        <f>Inputs!$B$107/12+IF(OR(13=Inputs!$B$11,13=Inputs!$B$13,13=Inputs!$B$15,13=Inputs!$B$17),Inputs!$B$108,0)</f>
        <v/>
      </c>
      <c r="O97" s="74">
        <f>Inputs!$B$107/12+IF(OR(14=Inputs!$B$11,14=Inputs!$B$13,14=Inputs!$B$15,14=Inputs!$B$17),Inputs!$B$108,0)</f>
        <v/>
      </c>
      <c r="P97" s="74">
        <f>Inputs!$B$107/12+IF(OR(15=Inputs!$B$11,15=Inputs!$B$13,15=Inputs!$B$15,15=Inputs!$B$17),Inputs!$B$108,0)</f>
        <v/>
      </c>
      <c r="Q97" s="74">
        <f>Inputs!$B$107/12+IF(OR(16=Inputs!$B$11,16=Inputs!$B$13,16=Inputs!$B$15,16=Inputs!$B$17),Inputs!$B$108,0)</f>
        <v/>
      </c>
      <c r="R97" s="74">
        <f>Inputs!$B$107/12+IF(OR(17=Inputs!$B$11,17=Inputs!$B$13,17=Inputs!$B$15,17=Inputs!$B$17),Inputs!$B$108,0)</f>
        <v/>
      </c>
      <c r="S97" s="74">
        <f>Inputs!$B$107/12+IF(OR(18=Inputs!$B$11,18=Inputs!$B$13,18=Inputs!$B$15,18=Inputs!$B$17),Inputs!$B$108,0)</f>
        <v/>
      </c>
      <c r="T97" s="74">
        <f>Inputs!$B$107/12+IF(OR(19=Inputs!$B$11,19=Inputs!$B$13,19=Inputs!$B$15,19=Inputs!$B$17),Inputs!$B$108,0)</f>
        <v/>
      </c>
      <c r="U97" s="74">
        <f>Inputs!$B$107/12+IF(OR(20=Inputs!$B$11,20=Inputs!$B$13,20=Inputs!$B$15,20=Inputs!$B$17),Inputs!$B$108,0)</f>
        <v/>
      </c>
      <c r="V97" s="74">
        <f>Inputs!$B$107/12+IF(OR(21=Inputs!$B$11,21=Inputs!$B$13,21=Inputs!$B$15,21=Inputs!$B$17),Inputs!$B$108,0)</f>
        <v/>
      </c>
      <c r="W97" s="74">
        <f>Inputs!$B$107/12+IF(OR(22=Inputs!$B$11,22=Inputs!$B$13,22=Inputs!$B$15,22=Inputs!$B$17),Inputs!$B$108,0)</f>
        <v/>
      </c>
      <c r="X97" s="74">
        <f>Inputs!$B$107/12+IF(OR(23=Inputs!$B$11,23=Inputs!$B$13,23=Inputs!$B$15,23=Inputs!$B$17),Inputs!$B$108,0)</f>
        <v/>
      </c>
      <c r="Y97" s="74">
        <f>Inputs!$B$107/12+IF(OR(24=Inputs!$B$11,24=Inputs!$B$13,24=Inputs!$B$15,24=Inputs!$B$17),Inputs!$B$108,0)</f>
        <v/>
      </c>
      <c r="Z97" s="74">
        <f>Inputs!$B$107/12+IF(OR(25=Inputs!$B$11,25=Inputs!$B$13,25=Inputs!$B$15,25=Inputs!$B$17),Inputs!$B$108,0)</f>
        <v/>
      </c>
      <c r="AA97" s="74">
        <f>Inputs!$B$107/12+IF(OR(26=Inputs!$B$11,26=Inputs!$B$13,26=Inputs!$B$15,26=Inputs!$B$17),Inputs!$B$108,0)</f>
        <v/>
      </c>
      <c r="AB97" s="74">
        <f>Inputs!$B$107/12+IF(OR(27=Inputs!$B$11,27=Inputs!$B$13,27=Inputs!$B$15,27=Inputs!$B$17),Inputs!$B$108,0)</f>
        <v/>
      </c>
      <c r="AC97" s="74">
        <f>Inputs!$B$107/12+IF(OR(28=Inputs!$B$11,28=Inputs!$B$13,28=Inputs!$B$15,28=Inputs!$B$17),Inputs!$B$108,0)</f>
        <v/>
      </c>
      <c r="AD97" s="74">
        <f>Inputs!$B$107/12+IF(OR(29=Inputs!$B$11,29=Inputs!$B$13,29=Inputs!$B$15,29=Inputs!$B$17),Inputs!$B$108,0)</f>
        <v/>
      </c>
      <c r="AE97" s="74">
        <f>Inputs!$B$107/12+IF(OR(30=Inputs!$B$11,30=Inputs!$B$13,30=Inputs!$B$15,30=Inputs!$B$17),Inputs!$B$108,0)</f>
        <v/>
      </c>
      <c r="AF97" s="74">
        <f>Inputs!$B$107/12+IF(OR(31=Inputs!$B$11,31=Inputs!$B$13,31=Inputs!$B$15,31=Inputs!$B$17),Inputs!$B$108,0)</f>
        <v/>
      </c>
      <c r="AG97" s="74">
        <f>Inputs!$B$107/12+IF(OR(32=Inputs!$B$11,32=Inputs!$B$13,32=Inputs!$B$15,32=Inputs!$B$17),Inputs!$B$108,0)</f>
        <v/>
      </c>
      <c r="AH97" s="74">
        <f>Inputs!$B$107/12+IF(OR(33=Inputs!$B$11,33=Inputs!$B$13,33=Inputs!$B$15,33=Inputs!$B$17),Inputs!$B$108,0)</f>
        <v/>
      </c>
      <c r="AI97" s="74">
        <f>Inputs!$B$107/12+IF(OR(34=Inputs!$B$11,34=Inputs!$B$13,34=Inputs!$B$15,34=Inputs!$B$17),Inputs!$B$108,0)</f>
        <v/>
      </c>
      <c r="AJ97" s="74">
        <f>Inputs!$B$107/12+IF(OR(35=Inputs!$B$11,35=Inputs!$B$13,35=Inputs!$B$15,35=Inputs!$B$17),Inputs!$B$108,0)</f>
        <v/>
      </c>
      <c r="AK97" s="74">
        <f>Inputs!$B$107/12+IF(OR(36=Inputs!$B$11,36=Inputs!$B$13,36=Inputs!$B$15,36=Inputs!$B$17),Inputs!$B$108,0)</f>
        <v/>
      </c>
      <c r="AL97" s="74">
        <f>Inputs!$B$107/12+IF(OR(37=Inputs!$B$11,37=Inputs!$B$13,37=Inputs!$B$15,37=Inputs!$B$17),Inputs!$B$108,0)</f>
        <v/>
      </c>
      <c r="AM97" s="74">
        <f>Inputs!$B$107/12+IF(OR(38=Inputs!$B$11,38=Inputs!$B$13,38=Inputs!$B$15,38=Inputs!$B$17),Inputs!$B$108,0)</f>
        <v/>
      </c>
      <c r="AN97" s="74">
        <f>Inputs!$B$107/12+IF(OR(39=Inputs!$B$11,39=Inputs!$B$13,39=Inputs!$B$15,39=Inputs!$B$17),Inputs!$B$108,0)</f>
        <v/>
      </c>
      <c r="AO97" s="74">
        <f>Inputs!$B$107/12+IF(OR(40=Inputs!$B$11,40=Inputs!$B$13,40=Inputs!$B$15,40=Inputs!$B$17),Inputs!$B$108,0)</f>
        <v/>
      </c>
      <c r="AP97" s="74">
        <f>Inputs!$B$107/12+IF(OR(41=Inputs!$B$11,41=Inputs!$B$13,41=Inputs!$B$15,41=Inputs!$B$17),Inputs!$B$108,0)</f>
        <v/>
      </c>
      <c r="AQ97" s="74">
        <f>Inputs!$B$107/12+IF(OR(42=Inputs!$B$11,42=Inputs!$B$13,42=Inputs!$B$15,42=Inputs!$B$17),Inputs!$B$108,0)</f>
        <v/>
      </c>
      <c r="AR97" s="74">
        <f>Inputs!$B$107/12+IF(OR(43=Inputs!$B$11,43=Inputs!$B$13,43=Inputs!$B$15,43=Inputs!$B$17),Inputs!$B$108,0)</f>
        <v/>
      </c>
      <c r="AS97" s="74">
        <f>Inputs!$B$107/12+IF(OR(44=Inputs!$B$11,44=Inputs!$B$13,44=Inputs!$B$15,44=Inputs!$B$17),Inputs!$B$108,0)</f>
        <v/>
      </c>
      <c r="AT97" s="74">
        <f>Inputs!$B$107/12+IF(OR(45=Inputs!$B$11,45=Inputs!$B$13,45=Inputs!$B$15,45=Inputs!$B$17),Inputs!$B$108,0)</f>
        <v/>
      </c>
      <c r="AU97" s="74">
        <f>Inputs!$B$107/12+IF(OR(46=Inputs!$B$11,46=Inputs!$B$13,46=Inputs!$B$15,46=Inputs!$B$17),Inputs!$B$108,0)</f>
        <v/>
      </c>
      <c r="AV97" s="74">
        <f>Inputs!$B$107/12+IF(OR(47=Inputs!$B$11,47=Inputs!$B$13,47=Inputs!$B$15,47=Inputs!$B$17),Inputs!$B$108,0)</f>
        <v/>
      </c>
      <c r="AW97" s="74">
        <f>Inputs!$B$107/12+IF(OR(48=Inputs!$B$11,48=Inputs!$B$13,48=Inputs!$B$15,48=Inputs!$B$17),Inputs!$B$108,0)</f>
        <v/>
      </c>
      <c r="AX97" s="74">
        <f>Inputs!$B$107/12+IF(OR(49=Inputs!$B$11,49=Inputs!$B$13,49=Inputs!$B$15,49=Inputs!$B$17),Inputs!$B$108,0)</f>
        <v/>
      </c>
      <c r="AY97" s="74">
        <f>Inputs!$B$107/12+IF(OR(50=Inputs!$B$11,50=Inputs!$B$13,50=Inputs!$B$15,50=Inputs!$B$17),Inputs!$B$108,0)</f>
        <v/>
      </c>
      <c r="AZ97" s="74">
        <f>Inputs!$B$107/12+IF(OR(51=Inputs!$B$11,51=Inputs!$B$13,51=Inputs!$B$15,51=Inputs!$B$17),Inputs!$B$108,0)</f>
        <v/>
      </c>
      <c r="BA97" s="74">
        <f>Inputs!$B$107/12+IF(OR(52=Inputs!$B$11,52=Inputs!$B$13,52=Inputs!$B$15,52=Inputs!$B$17),Inputs!$B$108,0)</f>
        <v/>
      </c>
    </row>
    <row r="98" ht="14.25" customHeight="1" s="83">
      <c r="A98" s="77" t="inlineStr">
        <is>
          <t>Steuerberater</t>
        </is>
      </c>
      <c r="B98" s="74">
        <f>Inputs!$B$109</f>
        <v/>
      </c>
      <c r="C98" s="74">
        <f>Inputs!$B$109</f>
        <v/>
      </c>
      <c r="D98" s="74">
        <f>Inputs!$B$109</f>
        <v/>
      </c>
      <c r="E98" s="74">
        <f>Inputs!$B$109</f>
        <v/>
      </c>
      <c r="F98" s="74">
        <f>Inputs!$B$109</f>
        <v/>
      </c>
      <c r="G98" s="74">
        <f>Inputs!$B$109</f>
        <v/>
      </c>
      <c r="H98" s="74">
        <f>Inputs!$B$109</f>
        <v/>
      </c>
      <c r="I98" s="74">
        <f>Inputs!$B$109</f>
        <v/>
      </c>
      <c r="J98" s="74">
        <f>Inputs!$B$109</f>
        <v/>
      </c>
      <c r="K98" s="74">
        <f>Inputs!$B$109</f>
        <v/>
      </c>
      <c r="L98" s="74">
        <f>Inputs!$B$109</f>
        <v/>
      </c>
      <c r="M98" s="74">
        <f>Inputs!$B$109</f>
        <v/>
      </c>
      <c r="N98" s="74">
        <f>Inputs!$B$109</f>
        <v/>
      </c>
      <c r="O98" s="74">
        <f>Inputs!$B$109</f>
        <v/>
      </c>
      <c r="P98" s="74">
        <f>Inputs!$B$109</f>
        <v/>
      </c>
      <c r="Q98" s="74">
        <f>Inputs!$B$109</f>
        <v/>
      </c>
      <c r="R98" s="74">
        <f>Inputs!$B$109</f>
        <v/>
      </c>
      <c r="S98" s="74">
        <f>Inputs!$B$109</f>
        <v/>
      </c>
      <c r="T98" s="74">
        <f>Inputs!$B$109</f>
        <v/>
      </c>
      <c r="U98" s="74">
        <f>Inputs!$B$109</f>
        <v/>
      </c>
      <c r="V98" s="74">
        <f>Inputs!$B$109</f>
        <v/>
      </c>
      <c r="W98" s="74">
        <f>Inputs!$B$109</f>
        <v/>
      </c>
      <c r="X98" s="74">
        <f>Inputs!$B$109</f>
        <v/>
      </c>
      <c r="Y98" s="74">
        <f>Inputs!$B$109</f>
        <v/>
      </c>
      <c r="Z98" s="74">
        <f>Inputs!$B$109</f>
        <v/>
      </c>
      <c r="AA98" s="74">
        <f>Inputs!$B$109</f>
        <v/>
      </c>
      <c r="AB98" s="74">
        <f>Inputs!$B$109</f>
        <v/>
      </c>
      <c r="AC98" s="74">
        <f>Inputs!$B$109</f>
        <v/>
      </c>
      <c r="AD98" s="74">
        <f>Inputs!$B$109</f>
        <v/>
      </c>
      <c r="AE98" s="74">
        <f>Inputs!$B$109</f>
        <v/>
      </c>
      <c r="AF98" s="74">
        <f>Inputs!$B$109</f>
        <v/>
      </c>
      <c r="AG98" s="74">
        <f>Inputs!$B$109</f>
        <v/>
      </c>
      <c r="AH98" s="74">
        <f>Inputs!$B$109</f>
        <v/>
      </c>
      <c r="AI98" s="74">
        <f>Inputs!$B$109</f>
        <v/>
      </c>
      <c r="AJ98" s="74">
        <f>Inputs!$B$109</f>
        <v/>
      </c>
      <c r="AK98" s="74">
        <f>Inputs!$B$109</f>
        <v/>
      </c>
      <c r="AL98" s="74">
        <f>Inputs!$B$109</f>
        <v/>
      </c>
      <c r="AM98" s="74">
        <f>Inputs!$B$109</f>
        <v/>
      </c>
      <c r="AN98" s="74">
        <f>Inputs!$B$109</f>
        <v/>
      </c>
      <c r="AO98" s="74">
        <f>Inputs!$B$109</f>
        <v/>
      </c>
      <c r="AP98" s="74">
        <f>Inputs!$B$109</f>
        <v/>
      </c>
      <c r="AQ98" s="74">
        <f>Inputs!$B$109</f>
        <v/>
      </c>
      <c r="AR98" s="74">
        <f>Inputs!$B$109</f>
        <v/>
      </c>
      <c r="AS98" s="74">
        <f>Inputs!$B$109</f>
        <v/>
      </c>
      <c r="AT98" s="74">
        <f>Inputs!$B$109</f>
        <v/>
      </c>
      <c r="AU98" s="74">
        <f>Inputs!$B$109</f>
        <v/>
      </c>
      <c r="AV98" s="74">
        <f>Inputs!$B$109</f>
        <v/>
      </c>
      <c r="AW98" s="74">
        <f>Inputs!$B$109</f>
        <v/>
      </c>
      <c r="AX98" s="74">
        <f>Inputs!$B$109</f>
        <v/>
      </c>
      <c r="AY98" s="74">
        <f>Inputs!$B$109</f>
        <v/>
      </c>
      <c r="AZ98" s="74">
        <f>Inputs!$B$109</f>
        <v/>
      </c>
      <c r="BA98" s="74">
        <f>Inputs!$B$109</f>
        <v/>
      </c>
    </row>
    <row r="99" ht="14.25" customHeight="1" s="83">
      <c r="A99" s="77" t="inlineStr">
        <is>
          <t>Wirtschaftsprüfer</t>
        </is>
      </c>
      <c r="B99" s="74">
        <f>IF(1&gt;=Inputs!$B$111,Inputs!$B$110/12,0)</f>
        <v/>
      </c>
      <c r="C99" s="74">
        <f>IF(2&gt;=Inputs!$B$111,Inputs!$B$110/12,0)</f>
        <v/>
      </c>
      <c r="D99" s="74">
        <f>IF(3&gt;=Inputs!$B$111,Inputs!$B$110/12,0)</f>
        <v/>
      </c>
      <c r="E99" s="74">
        <f>IF(4&gt;=Inputs!$B$111,Inputs!$B$110/12,0)</f>
        <v/>
      </c>
      <c r="F99" s="74">
        <f>IF(5&gt;=Inputs!$B$111,Inputs!$B$110/12,0)</f>
        <v/>
      </c>
      <c r="G99" s="74">
        <f>IF(6&gt;=Inputs!$B$111,Inputs!$B$110/12,0)</f>
        <v/>
      </c>
      <c r="H99" s="74">
        <f>IF(7&gt;=Inputs!$B$111,Inputs!$B$110/12,0)</f>
        <v/>
      </c>
      <c r="I99" s="74">
        <f>IF(8&gt;=Inputs!$B$111,Inputs!$B$110/12,0)</f>
        <v/>
      </c>
      <c r="J99" s="74">
        <f>IF(9&gt;=Inputs!$B$111,Inputs!$B$110/12,0)</f>
        <v/>
      </c>
      <c r="K99" s="74">
        <f>IF(10&gt;=Inputs!$B$111,Inputs!$B$110/12,0)</f>
        <v/>
      </c>
      <c r="L99" s="74">
        <f>IF(11&gt;=Inputs!$B$111,Inputs!$B$110/12,0)</f>
        <v/>
      </c>
      <c r="M99" s="74">
        <f>IF(12&gt;=Inputs!$B$111,Inputs!$B$110/12,0)</f>
        <v/>
      </c>
      <c r="N99" s="74">
        <f>IF(13&gt;=Inputs!$B$111,Inputs!$B$110/12,0)</f>
        <v/>
      </c>
      <c r="O99" s="74">
        <f>IF(14&gt;=Inputs!$B$111,Inputs!$B$110/12,0)</f>
        <v/>
      </c>
      <c r="P99" s="74">
        <f>IF(15&gt;=Inputs!$B$111,Inputs!$B$110/12,0)</f>
        <v/>
      </c>
      <c r="Q99" s="74">
        <f>IF(16&gt;=Inputs!$B$111,Inputs!$B$110/12,0)</f>
        <v/>
      </c>
      <c r="R99" s="74">
        <f>IF(17&gt;=Inputs!$B$111,Inputs!$B$110/12,0)</f>
        <v/>
      </c>
      <c r="S99" s="74">
        <f>IF(18&gt;=Inputs!$B$111,Inputs!$B$110/12,0)</f>
        <v/>
      </c>
      <c r="T99" s="74">
        <f>IF(19&gt;=Inputs!$B$111,Inputs!$B$110/12,0)</f>
        <v/>
      </c>
      <c r="U99" s="74">
        <f>IF(20&gt;=Inputs!$B$111,Inputs!$B$110/12,0)</f>
        <v/>
      </c>
      <c r="V99" s="74">
        <f>IF(21&gt;=Inputs!$B$111,Inputs!$B$110/12,0)</f>
        <v/>
      </c>
      <c r="W99" s="74">
        <f>IF(22&gt;=Inputs!$B$111,Inputs!$B$110/12,0)</f>
        <v/>
      </c>
      <c r="X99" s="74">
        <f>IF(23&gt;=Inputs!$B$111,Inputs!$B$110/12,0)</f>
        <v/>
      </c>
      <c r="Y99" s="74">
        <f>IF(24&gt;=Inputs!$B$111,Inputs!$B$110/12,0)</f>
        <v/>
      </c>
      <c r="Z99" s="74">
        <f>IF(25&gt;=Inputs!$B$111,Inputs!$B$110/12,0)</f>
        <v/>
      </c>
      <c r="AA99" s="74">
        <f>IF(26&gt;=Inputs!$B$111,Inputs!$B$110/12,0)</f>
        <v/>
      </c>
      <c r="AB99" s="74">
        <f>IF(27&gt;=Inputs!$B$111,Inputs!$B$110/12,0)</f>
        <v/>
      </c>
      <c r="AC99" s="74">
        <f>IF(28&gt;=Inputs!$B$111,Inputs!$B$110/12,0)</f>
        <v/>
      </c>
      <c r="AD99" s="74">
        <f>IF(29&gt;=Inputs!$B$111,Inputs!$B$110/12,0)</f>
        <v/>
      </c>
      <c r="AE99" s="74">
        <f>IF(30&gt;=Inputs!$B$111,Inputs!$B$110/12,0)</f>
        <v/>
      </c>
      <c r="AF99" s="74">
        <f>IF(31&gt;=Inputs!$B$111,Inputs!$B$110/12,0)</f>
        <v/>
      </c>
      <c r="AG99" s="74">
        <f>IF(32&gt;=Inputs!$B$111,Inputs!$B$110/12,0)</f>
        <v/>
      </c>
      <c r="AH99" s="74">
        <f>IF(33&gt;=Inputs!$B$111,Inputs!$B$110/12,0)</f>
        <v/>
      </c>
      <c r="AI99" s="74">
        <f>IF(34&gt;=Inputs!$B$111,Inputs!$B$110/12,0)</f>
        <v/>
      </c>
      <c r="AJ99" s="74">
        <f>IF(35&gt;=Inputs!$B$111,Inputs!$B$110/12,0)</f>
        <v/>
      </c>
      <c r="AK99" s="74">
        <f>IF(36&gt;=Inputs!$B$111,Inputs!$B$110/12,0)</f>
        <v/>
      </c>
      <c r="AL99" s="74">
        <f>IF(37&gt;=Inputs!$B$111,Inputs!$B$110/12,0)</f>
        <v/>
      </c>
      <c r="AM99" s="74">
        <f>IF(38&gt;=Inputs!$B$111,Inputs!$B$110/12,0)</f>
        <v/>
      </c>
      <c r="AN99" s="74">
        <f>IF(39&gt;=Inputs!$B$111,Inputs!$B$110/12,0)</f>
        <v/>
      </c>
      <c r="AO99" s="74">
        <f>IF(40&gt;=Inputs!$B$111,Inputs!$B$110/12,0)</f>
        <v/>
      </c>
      <c r="AP99" s="74">
        <f>IF(41&gt;=Inputs!$B$111,Inputs!$B$110/12,0)</f>
        <v/>
      </c>
      <c r="AQ99" s="74">
        <f>IF(42&gt;=Inputs!$B$111,Inputs!$B$110/12,0)</f>
        <v/>
      </c>
      <c r="AR99" s="74">
        <f>IF(43&gt;=Inputs!$B$111,Inputs!$B$110/12,0)</f>
        <v/>
      </c>
      <c r="AS99" s="74">
        <f>IF(44&gt;=Inputs!$B$111,Inputs!$B$110/12,0)</f>
        <v/>
      </c>
      <c r="AT99" s="74">
        <f>IF(45&gt;=Inputs!$B$111,Inputs!$B$110/12,0)</f>
        <v/>
      </c>
      <c r="AU99" s="74">
        <f>IF(46&gt;=Inputs!$B$111,Inputs!$B$110/12,0)</f>
        <v/>
      </c>
      <c r="AV99" s="74">
        <f>IF(47&gt;=Inputs!$B$111,Inputs!$B$110/12,0)</f>
        <v/>
      </c>
      <c r="AW99" s="74">
        <f>IF(48&gt;=Inputs!$B$111,Inputs!$B$110/12,0)</f>
        <v/>
      </c>
      <c r="AX99" s="74">
        <f>IF(49&gt;=Inputs!$B$111,Inputs!$B$110/12,0)</f>
        <v/>
      </c>
      <c r="AY99" s="74">
        <f>IF(50&gt;=Inputs!$B$111,Inputs!$B$110/12,0)</f>
        <v/>
      </c>
      <c r="AZ99" s="74">
        <f>IF(51&gt;=Inputs!$B$111,Inputs!$B$110/12,0)</f>
        <v/>
      </c>
      <c r="BA99" s="74">
        <f>IF(52&gt;=Inputs!$B$111,Inputs!$B$110/12,0)</f>
        <v/>
      </c>
    </row>
    <row r="100" ht="14.25" customHeight="1" s="83">
      <c r="A100" s="77" t="inlineStr">
        <is>
          <t>Unternehmensberater</t>
        </is>
      </c>
      <c r="B100" s="74">
        <f>Inputs!$B$112/12</f>
        <v/>
      </c>
      <c r="C100" s="74">
        <f>Inputs!$B$112/12</f>
        <v/>
      </c>
      <c r="D100" s="74">
        <f>Inputs!$B$112/12</f>
        <v/>
      </c>
      <c r="E100" s="74">
        <f>Inputs!$B$112/12</f>
        <v/>
      </c>
      <c r="F100" s="74">
        <f>Inputs!$B$112/12</f>
        <v/>
      </c>
      <c r="G100" s="74">
        <f>Inputs!$B$112/12</f>
        <v/>
      </c>
      <c r="H100" s="74">
        <f>Inputs!$B$112/12</f>
        <v/>
      </c>
      <c r="I100" s="74">
        <f>Inputs!$B$112/12</f>
        <v/>
      </c>
      <c r="J100" s="74">
        <f>Inputs!$B$112/12</f>
        <v/>
      </c>
      <c r="K100" s="74">
        <f>Inputs!$B$112/12</f>
        <v/>
      </c>
      <c r="L100" s="74">
        <f>Inputs!$B$112/12</f>
        <v/>
      </c>
      <c r="M100" s="74">
        <f>Inputs!$B$112/12</f>
        <v/>
      </c>
      <c r="N100" s="74">
        <f>Inputs!$B$112/12</f>
        <v/>
      </c>
      <c r="O100" s="74">
        <f>Inputs!$B$112/12</f>
        <v/>
      </c>
      <c r="P100" s="74">
        <f>Inputs!$B$112/12</f>
        <v/>
      </c>
      <c r="Q100" s="74">
        <f>Inputs!$B$112/12</f>
        <v/>
      </c>
      <c r="R100" s="74">
        <f>Inputs!$B$112/12</f>
        <v/>
      </c>
      <c r="S100" s="74">
        <f>Inputs!$B$112/12</f>
        <v/>
      </c>
      <c r="T100" s="74">
        <f>Inputs!$B$112/12</f>
        <v/>
      </c>
      <c r="U100" s="74">
        <f>Inputs!$B$112/12</f>
        <v/>
      </c>
      <c r="V100" s="74">
        <f>Inputs!$B$112/12</f>
        <v/>
      </c>
      <c r="W100" s="74">
        <f>Inputs!$B$112/12</f>
        <v/>
      </c>
      <c r="X100" s="74">
        <f>Inputs!$B$112/12</f>
        <v/>
      </c>
      <c r="Y100" s="74">
        <f>Inputs!$B$112/12</f>
        <v/>
      </c>
      <c r="Z100" s="74">
        <f>Inputs!$B$112/12</f>
        <v/>
      </c>
      <c r="AA100" s="74">
        <f>Inputs!$B$112/12</f>
        <v/>
      </c>
      <c r="AB100" s="74">
        <f>Inputs!$B$112/12</f>
        <v/>
      </c>
      <c r="AC100" s="74">
        <f>Inputs!$B$112/12</f>
        <v/>
      </c>
      <c r="AD100" s="74">
        <f>Inputs!$B$112/12</f>
        <v/>
      </c>
      <c r="AE100" s="74">
        <f>Inputs!$B$112/12</f>
        <v/>
      </c>
      <c r="AF100" s="74">
        <f>Inputs!$B$112/12</f>
        <v/>
      </c>
      <c r="AG100" s="74">
        <f>Inputs!$B$112/12</f>
        <v/>
      </c>
      <c r="AH100" s="74">
        <f>Inputs!$B$112/12</f>
        <v/>
      </c>
      <c r="AI100" s="74">
        <f>Inputs!$B$112/12</f>
        <v/>
      </c>
      <c r="AJ100" s="74">
        <f>Inputs!$B$112/12</f>
        <v/>
      </c>
      <c r="AK100" s="74">
        <f>Inputs!$B$112/12</f>
        <v/>
      </c>
      <c r="AL100" s="74">
        <f>Inputs!$B$112/12</f>
        <v/>
      </c>
      <c r="AM100" s="74">
        <f>Inputs!$B$112/12</f>
        <v/>
      </c>
      <c r="AN100" s="74">
        <f>Inputs!$B$112/12</f>
        <v/>
      </c>
      <c r="AO100" s="74">
        <f>Inputs!$B$112/12</f>
        <v/>
      </c>
      <c r="AP100" s="74">
        <f>Inputs!$B$112/12</f>
        <v/>
      </c>
      <c r="AQ100" s="74">
        <f>Inputs!$B$112/12</f>
        <v/>
      </c>
      <c r="AR100" s="74">
        <f>Inputs!$B$112/12</f>
        <v/>
      </c>
      <c r="AS100" s="74">
        <f>Inputs!$B$112/12</f>
        <v/>
      </c>
      <c r="AT100" s="74">
        <f>Inputs!$B$112/12</f>
        <v/>
      </c>
      <c r="AU100" s="74">
        <f>Inputs!$B$112/12</f>
        <v/>
      </c>
      <c r="AV100" s="74">
        <f>Inputs!$B$112/12</f>
        <v/>
      </c>
      <c r="AW100" s="74">
        <f>Inputs!$B$112/12</f>
        <v/>
      </c>
      <c r="AX100" s="74">
        <f>Inputs!$B$112/12</f>
        <v/>
      </c>
      <c r="AY100" s="74">
        <f>Inputs!$B$112/12</f>
        <v/>
      </c>
      <c r="AZ100" s="74">
        <f>Inputs!$B$112/12</f>
        <v/>
      </c>
      <c r="BA100" s="74">
        <f>Inputs!$B$112/12</f>
        <v/>
      </c>
    </row>
    <row r="101" ht="14.25" customHeight="1" s="83">
      <c r="A101" s="2" t="inlineStr">
        <is>
          <t>TOTAL PROFESSIONAL</t>
        </is>
      </c>
      <c r="B101" s="72">
        <f>SUM(B97:B100)</f>
        <v/>
      </c>
      <c r="C101" s="72">
        <f>SUM(C97:C100)</f>
        <v/>
      </c>
      <c r="D101" s="72">
        <f>SUM(D97:D100)</f>
        <v/>
      </c>
      <c r="E101" s="72">
        <f>SUM(E97:E100)</f>
        <v/>
      </c>
      <c r="F101" s="72">
        <f>SUM(F97:F100)</f>
        <v/>
      </c>
      <c r="G101" s="72">
        <f>SUM(G97:G100)</f>
        <v/>
      </c>
      <c r="H101" s="72">
        <f>SUM(H97:H100)</f>
        <v/>
      </c>
      <c r="I101" s="72">
        <f>SUM(I97:I100)</f>
        <v/>
      </c>
      <c r="J101" s="72">
        <f>SUM(J97:J100)</f>
        <v/>
      </c>
      <c r="K101" s="72">
        <f>SUM(K97:K100)</f>
        <v/>
      </c>
      <c r="L101" s="72">
        <f>SUM(L97:L100)</f>
        <v/>
      </c>
      <c r="M101" s="72">
        <f>SUM(M97:M100)</f>
        <v/>
      </c>
      <c r="N101" s="72">
        <f>SUM(N97:N100)</f>
        <v/>
      </c>
      <c r="O101" s="72">
        <f>SUM(O97:O100)</f>
        <v/>
      </c>
      <c r="P101" s="72">
        <f>SUM(P97:P100)</f>
        <v/>
      </c>
      <c r="Q101" s="72">
        <f>SUM(Q97:Q100)</f>
        <v/>
      </c>
      <c r="R101" s="72">
        <f>SUM(R97:R100)</f>
        <v/>
      </c>
      <c r="S101" s="72">
        <f>SUM(S97:S100)</f>
        <v/>
      </c>
      <c r="T101" s="72">
        <f>SUM(T97:T100)</f>
        <v/>
      </c>
      <c r="U101" s="72">
        <f>SUM(U97:U100)</f>
        <v/>
      </c>
      <c r="V101" s="72">
        <f>SUM(V97:V100)</f>
        <v/>
      </c>
      <c r="W101" s="72">
        <f>SUM(W97:W100)</f>
        <v/>
      </c>
      <c r="X101" s="72">
        <f>SUM(X97:X100)</f>
        <v/>
      </c>
      <c r="Y101" s="72">
        <f>SUM(Y97:Y100)</f>
        <v/>
      </c>
      <c r="Z101" s="72">
        <f>SUM(Z97:Z100)</f>
        <v/>
      </c>
      <c r="AA101" s="72">
        <f>SUM(AA97:AA100)</f>
        <v/>
      </c>
      <c r="AB101" s="72">
        <f>SUM(AB97:AB100)</f>
        <v/>
      </c>
      <c r="AC101" s="72">
        <f>SUM(AC97:AC100)</f>
        <v/>
      </c>
      <c r="AD101" s="72">
        <f>SUM(AD97:AD100)</f>
        <v/>
      </c>
      <c r="AE101" s="72">
        <f>SUM(AE97:AE100)</f>
        <v/>
      </c>
      <c r="AF101" s="72">
        <f>SUM(AF97:AF100)</f>
        <v/>
      </c>
      <c r="AG101" s="72">
        <f>SUM(AG97:AG100)</f>
        <v/>
      </c>
      <c r="AH101" s="72">
        <f>SUM(AH97:AH100)</f>
        <v/>
      </c>
      <c r="AI101" s="72">
        <f>SUM(AI97:AI100)</f>
        <v/>
      </c>
      <c r="AJ101" s="72">
        <f>SUM(AJ97:AJ100)</f>
        <v/>
      </c>
      <c r="AK101" s="72">
        <f>SUM(AK97:AK100)</f>
        <v/>
      </c>
      <c r="AL101" s="72">
        <f>SUM(AL97:AL100)</f>
        <v/>
      </c>
      <c r="AM101" s="72">
        <f>SUM(AM97:AM100)</f>
        <v/>
      </c>
      <c r="AN101" s="72">
        <f>SUM(AN97:AN100)</f>
        <v/>
      </c>
      <c r="AO101" s="72">
        <f>SUM(AO97:AO100)</f>
        <v/>
      </c>
      <c r="AP101" s="72">
        <f>SUM(AP97:AP100)</f>
        <v/>
      </c>
      <c r="AQ101" s="72">
        <f>SUM(AQ97:AQ100)</f>
        <v/>
      </c>
      <c r="AR101" s="72">
        <f>SUM(AR97:AR100)</f>
        <v/>
      </c>
      <c r="AS101" s="72">
        <f>SUM(AS97:AS100)</f>
        <v/>
      </c>
      <c r="AT101" s="72">
        <f>SUM(AT97:AT100)</f>
        <v/>
      </c>
      <c r="AU101" s="72">
        <f>SUM(AU97:AU100)</f>
        <v/>
      </c>
      <c r="AV101" s="72">
        <f>SUM(AV97:AV100)</f>
        <v/>
      </c>
      <c r="AW101" s="72">
        <f>SUM(AW97:AW100)</f>
        <v/>
      </c>
      <c r="AX101" s="72">
        <f>SUM(AX97:AX100)</f>
        <v/>
      </c>
      <c r="AY101" s="72">
        <f>SUM(AY97:AY100)</f>
        <v/>
      </c>
      <c r="AZ101" s="72">
        <f>SUM(AZ97:AZ100)</f>
        <v/>
      </c>
      <c r="BA101" s="72">
        <f>SUM(BA97:BA100)</f>
        <v/>
      </c>
    </row>
    <row r="102" ht="14.25" customHeight="1" s="83"/>
    <row r="103" ht="14.25" customHeight="1" s="83">
      <c r="A103" s="2" t="inlineStr">
        <is>
          <t>VERSICHERUNGEN &amp; BANK</t>
        </is>
      </c>
    </row>
    <row r="104" ht="14.25" customHeight="1" s="83">
      <c r="A104" s="77" t="inlineStr">
        <is>
          <t>D&amp;O Versicherung</t>
        </is>
      </c>
      <c r="B104" s="74">
        <f>Inputs!$B$115/12</f>
        <v/>
      </c>
      <c r="C104" s="74">
        <f>Inputs!$B$115/12</f>
        <v/>
      </c>
      <c r="D104" s="74">
        <f>Inputs!$B$115/12</f>
        <v/>
      </c>
      <c r="E104" s="74">
        <f>Inputs!$B$115/12</f>
        <v/>
      </c>
      <c r="F104" s="74">
        <f>Inputs!$B$115/12</f>
        <v/>
      </c>
      <c r="G104" s="74">
        <f>Inputs!$B$115/12</f>
        <v/>
      </c>
      <c r="H104" s="74">
        <f>Inputs!$B$115/12</f>
        <v/>
      </c>
      <c r="I104" s="74">
        <f>Inputs!$B$115/12</f>
        <v/>
      </c>
      <c r="J104" s="74">
        <f>Inputs!$B$115/12</f>
        <v/>
      </c>
      <c r="K104" s="74">
        <f>Inputs!$B$115/12</f>
        <v/>
      </c>
      <c r="L104" s="74">
        <f>Inputs!$B$115/12</f>
        <v/>
      </c>
      <c r="M104" s="74">
        <f>Inputs!$B$115/12</f>
        <v/>
      </c>
      <c r="N104" s="74">
        <f>Inputs!$B$115/12</f>
        <v/>
      </c>
      <c r="O104" s="74">
        <f>Inputs!$B$115/12</f>
        <v/>
      </c>
      <c r="P104" s="74">
        <f>Inputs!$B$115/12</f>
        <v/>
      </c>
      <c r="Q104" s="74">
        <f>Inputs!$B$115/12</f>
        <v/>
      </c>
      <c r="R104" s="74">
        <f>Inputs!$B$115/12</f>
        <v/>
      </c>
      <c r="S104" s="74">
        <f>Inputs!$B$115/12</f>
        <v/>
      </c>
      <c r="T104" s="74">
        <f>Inputs!$B$115/12</f>
        <v/>
      </c>
      <c r="U104" s="74">
        <f>Inputs!$B$115/12</f>
        <v/>
      </c>
      <c r="V104" s="74">
        <f>Inputs!$B$115/12</f>
        <v/>
      </c>
      <c r="W104" s="74">
        <f>Inputs!$B$115/12</f>
        <v/>
      </c>
      <c r="X104" s="74">
        <f>Inputs!$B$115/12</f>
        <v/>
      </c>
      <c r="Y104" s="74">
        <f>Inputs!$B$115/12</f>
        <v/>
      </c>
      <c r="Z104" s="74">
        <f>Inputs!$B$115/12</f>
        <v/>
      </c>
      <c r="AA104" s="74">
        <f>Inputs!$B$115/12</f>
        <v/>
      </c>
      <c r="AB104" s="74">
        <f>Inputs!$B$115/12</f>
        <v/>
      </c>
      <c r="AC104" s="74">
        <f>Inputs!$B$115/12</f>
        <v/>
      </c>
      <c r="AD104" s="74">
        <f>Inputs!$B$115/12</f>
        <v/>
      </c>
      <c r="AE104" s="74">
        <f>Inputs!$B$115/12</f>
        <v/>
      </c>
      <c r="AF104" s="74">
        <f>Inputs!$B$115/12</f>
        <v/>
      </c>
      <c r="AG104" s="74">
        <f>Inputs!$B$115/12</f>
        <v/>
      </c>
      <c r="AH104" s="74">
        <f>Inputs!$B$115/12</f>
        <v/>
      </c>
      <c r="AI104" s="74">
        <f>Inputs!$B$115/12</f>
        <v/>
      </c>
      <c r="AJ104" s="74">
        <f>Inputs!$B$115/12</f>
        <v/>
      </c>
      <c r="AK104" s="74">
        <f>Inputs!$B$115/12</f>
        <v/>
      </c>
      <c r="AL104" s="74">
        <f>Inputs!$B$115/12</f>
        <v/>
      </c>
      <c r="AM104" s="74">
        <f>Inputs!$B$115/12</f>
        <v/>
      </c>
      <c r="AN104" s="74">
        <f>Inputs!$B$115/12</f>
        <v/>
      </c>
      <c r="AO104" s="74">
        <f>Inputs!$B$115/12</f>
        <v/>
      </c>
      <c r="AP104" s="74">
        <f>Inputs!$B$115/12</f>
        <v/>
      </c>
      <c r="AQ104" s="74">
        <f>Inputs!$B$115/12</f>
        <v/>
      </c>
      <c r="AR104" s="74">
        <f>Inputs!$B$115/12</f>
        <v/>
      </c>
      <c r="AS104" s="74">
        <f>Inputs!$B$115/12</f>
        <v/>
      </c>
      <c r="AT104" s="74">
        <f>Inputs!$B$115/12</f>
        <v/>
      </c>
      <c r="AU104" s="74">
        <f>Inputs!$B$115/12</f>
        <v/>
      </c>
      <c r="AV104" s="74">
        <f>Inputs!$B$115/12</f>
        <v/>
      </c>
      <c r="AW104" s="74">
        <f>Inputs!$B$115/12</f>
        <v/>
      </c>
      <c r="AX104" s="74">
        <f>Inputs!$B$115/12</f>
        <v/>
      </c>
      <c r="AY104" s="74">
        <f>Inputs!$B$115/12</f>
        <v/>
      </c>
      <c r="AZ104" s="74">
        <f>Inputs!$B$115/12</f>
        <v/>
      </c>
      <c r="BA104" s="74">
        <f>Inputs!$B$115/12</f>
        <v/>
      </c>
    </row>
    <row r="105" ht="14.25" customHeight="1" s="83">
      <c r="A105" s="77" t="inlineStr">
        <is>
          <t>Betriebshaftpflicht</t>
        </is>
      </c>
      <c r="B105" s="74">
        <f>Inputs!$B$116/12</f>
        <v/>
      </c>
      <c r="C105" s="74">
        <f>Inputs!$B$116/12</f>
        <v/>
      </c>
      <c r="D105" s="74">
        <f>Inputs!$B$116/12</f>
        <v/>
      </c>
      <c r="E105" s="74">
        <f>Inputs!$B$116/12</f>
        <v/>
      </c>
      <c r="F105" s="74">
        <f>Inputs!$B$116/12</f>
        <v/>
      </c>
      <c r="G105" s="74">
        <f>Inputs!$B$116/12</f>
        <v/>
      </c>
      <c r="H105" s="74">
        <f>Inputs!$B$116/12</f>
        <v/>
      </c>
      <c r="I105" s="74">
        <f>Inputs!$B$116/12</f>
        <v/>
      </c>
      <c r="J105" s="74">
        <f>Inputs!$B$116/12</f>
        <v/>
      </c>
      <c r="K105" s="74">
        <f>Inputs!$B$116/12</f>
        <v/>
      </c>
      <c r="L105" s="74">
        <f>Inputs!$B$116/12</f>
        <v/>
      </c>
      <c r="M105" s="74">
        <f>Inputs!$B$116/12</f>
        <v/>
      </c>
      <c r="N105" s="74">
        <f>Inputs!$B$116/12</f>
        <v/>
      </c>
      <c r="O105" s="74">
        <f>Inputs!$B$116/12</f>
        <v/>
      </c>
      <c r="P105" s="74">
        <f>Inputs!$B$116/12</f>
        <v/>
      </c>
      <c r="Q105" s="74">
        <f>Inputs!$B$116/12</f>
        <v/>
      </c>
      <c r="R105" s="74">
        <f>Inputs!$B$116/12</f>
        <v/>
      </c>
      <c r="S105" s="74">
        <f>Inputs!$B$116/12</f>
        <v/>
      </c>
      <c r="T105" s="74">
        <f>Inputs!$B$116/12</f>
        <v/>
      </c>
      <c r="U105" s="74">
        <f>Inputs!$B$116/12</f>
        <v/>
      </c>
      <c r="V105" s="74">
        <f>Inputs!$B$116/12</f>
        <v/>
      </c>
      <c r="W105" s="74">
        <f>Inputs!$B$116/12</f>
        <v/>
      </c>
      <c r="X105" s="74">
        <f>Inputs!$B$116/12</f>
        <v/>
      </c>
      <c r="Y105" s="74">
        <f>Inputs!$B$116/12</f>
        <v/>
      </c>
      <c r="Z105" s="74">
        <f>Inputs!$B$116/12</f>
        <v/>
      </c>
      <c r="AA105" s="74">
        <f>Inputs!$B$116/12</f>
        <v/>
      </c>
      <c r="AB105" s="74">
        <f>Inputs!$B$116/12</f>
        <v/>
      </c>
      <c r="AC105" s="74">
        <f>Inputs!$B$116/12</f>
        <v/>
      </c>
      <c r="AD105" s="74">
        <f>Inputs!$B$116/12</f>
        <v/>
      </c>
      <c r="AE105" s="74">
        <f>Inputs!$B$116/12</f>
        <v/>
      </c>
      <c r="AF105" s="74">
        <f>Inputs!$B$116/12</f>
        <v/>
      </c>
      <c r="AG105" s="74">
        <f>Inputs!$B$116/12</f>
        <v/>
      </c>
      <c r="AH105" s="74">
        <f>Inputs!$B$116/12</f>
        <v/>
      </c>
      <c r="AI105" s="74">
        <f>Inputs!$B$116/12</f>
        <v/>
      </c>
      <c r="AJ105" s="74">
        <f>Inputs!$B$116/12</f>
        <v/>
      </c>
      <c r="AK105" s="74">
        <f>Inputs!$B$116/12</f>
        <v/>
      </c>
      <c r="AL105" s="74">
        <f>Inputs!$B$116/12</f>
        <v/>
      </c>
      <c r="AM105" s="74">
        <f>Inputs!$B$116/12</f>
        <v/>
      </c>
      <c r="AN105" s="74">
        <f>Inputs!$B$116/12</f>
        <v/>
      </c>
      <c r="AO105" s="74">
        <f>Inputs!$B$116/12</f>
        <v/>
      </c>
      <c r="AP105" s="74">
        <f>Inputs!$B$116/12</f>
        <v/>
      </c>
      <c r="AQ105" s="74">
        <f>Inputs!$B$116/12</f>
        <v/>
      </c>
      <c r="AR105" s="74">
        <f>Inputs!$B$116/12</f>
        <v/>
      </c>
      <c r="AS105" s="74">
        <f>Inputs!$B$116/12</f>
        <v/>
      </c>
      <c r="AT105" s="74">
        <f>Inputs!$B$116/12</f>
        <v/>
      </c>
      <c r="AU105" s="74">
        <f>Inputs!$B$116/12</f>
        <v/>
      </c>
      <c r="AV105" s="74">
        <f>Inputs!$B$116/12</f>
        <v/>
      </c>
      <c r="AW105" s="74">
        <f>Inputs!$B$116/12</f>
        <v/>
      </c>
      <c r="AX105" s="74">
        <f>Inputs!$B$116/12</f>
        <v/>
      </c>
      <c r="AY105" s="74">
        <f>Inputs!$B$116/12</f>
        <v/>
      </c>
      <c r="AZ105" s="74">
        <f>Inputs!$B$116/12</f>
        <v/>
      </c>
      <c r="BA105" s="74">
        <f>Inputs!$B$116/12</f>
        <v/>
      </c>
    </row>
    <row r="106" ht="14.25" customHeight="1" s="83">
      <c r="A106" s="77" t="inlineStr">
        <is>
          <t>Cyber-Versicherung</t>
        </is>
      </c>
      <c r="B106" s="74">
        <f>Inputs!$B$117/12</f>
        <v/>
      </c>
      <c r="C106" s="74">
        <f>Inputs!$B$117/12</f>
        <v/>
      </c>
      <c r="D106" s="74">
        <f>Inputs!$B$117/12</f>
        <v/>
      </c>
      <c r="E106" s="74">
        <f>Inputs!$B$117/12</f>
        <v/>
      </c>
      <c r="F106" s="74">
        <f>Inputs!$B$117/12</f>
        <v/>
      </c>
      <c r="G106" s="74">
        <f>Inputs!$B$117/12</f>
        <v/>
      </c>
      <c r="H106" s="74">
        <f>Inputs!$B$117/12</f>
        <v/>
      </c>
      <c r="I106" s="74">
        <f>Inputs!$B$117/12</f>
        <v/>
      </c>
      <c r="J106" s="74">
        <f>Inputs!$B$117/12</f>
        <v/>
      </c>
      <c r="K106" s="74">
        <f>Inputs!$B$117/12</f>
        <v/>
      </c>
      <c r="L106" s="74">
        <f>Inputs!$B$117/12</f>
        <v/>
      </c>
      <c r="M106" s="74">
        <f>Inputs!$B$117/12</f>
        <v/>
      </c>
      <c r="N106" s="74">
        <f>Inputs!$B$117/12</f>
        <v/>
      </c>
      <c r="O106" s="74">
        <f>Inputs!$B$117/12</f>
        <v/>
      </c>
      <c r="P106" s="74">
        <f>Inputs!$B$117/12</f>
        <v/>
      </c>
      <c r="Q106" s="74">
        <f>Inputs!$B$117/12</f>
        <v/>
      </c>
      <c r="R106" s="74">
        <f>Inputs!$B$117/12</f>
        <v/>
      </c>
      <c r="S106" s="74">
        <f>Inputs!$B$117/12</f>
        <v/>
      </c>
      <c r="T106" s="74">
        <f>Inputs!$B$117/12</f>
        <v/>
      </c>
      <c r="U106" s="74">
        <f>Inputs!$B$117/12</f>
        <v/>
      </c>
      <c r="V106" s="74">
        <f>Inputs!$B$117/12</f>
        <v/>
      </c>
      <c r="W106" s="74">
        <f>Inputs!$B$117/12</f>
        <v/>
      </c>
      <c r="X106" s="74">
        <f>Inputs!$B$117/12</f>
        <v/>
      </c>
      <c r="Y106" s="74">
        <f>Inputs!$B$117/12</f>
        <v/>
      </c>
      <c r="Z106" s="74">
        <f>Inputs!$B$117/12</f>
        <v/>
      </c>
      <c r="AA106" s="74">
        <f>Inputs!$B$117/12</f>
        <v/>
      </c>
      <c r="AB106" s="74">
        <f>Inputs!$B$117/12</f>
        <v/>
      </c>
      <c r="AC106" s="74">
        <f>Inputs!$B$117/12</f>
        <v/>
      </c>
      <c r="AD106" s="74">
        <f>Inputs!$B$117/12</f>
        <v/>
      </c>
      <c r="AE106" s="74">
        <f>Inputs!$B$117/12</f>
        <v/>
      </c>
      <c r="AF106" s="74">
        <f>Inputs!$B$117/12</f>
        <v/>
      </c>
      <c r="AG106" s="74">
        <f>Inputs!$B$117/12</f>
        <v/>
      </c>
      <c r="AH106" s="74">
        <f>Inputs!$B$117/12</f>
        <v/>
      </c>
      <c r="AI106" s="74">
        <f>Inputs!$B$117/12</f>
        <v/>
      </c>
      <c r="AJ106" s="74">
        <f>Inputs!$B$117/12</f>
        <v/>
      </c>
      <c r="AK106" s="74">
        <f>Inputs!$B$117/12</f>
        <v/>
      </c>
      <c r="AL106" s="74">
        <f>Inputs!$B$117/12</f>
        <v/>
      </c>
      <c r="AM106" s="74">
        <f>Inputs!$B$117/12</f>
        <v/>
      </c>
      <c r="AN106" s="74">
        <f>Inputs!$B$117/12</f>
        <v/>
      </c>
      <c r="AO106" s="74">
        <f>Inputs!$B$117/12</f>
        <v/>
      </c>
      <c r="AP106" s="74">
        <f>Inputs!$B$117/12</f>
        <v/>
      </c>
      <c r="AQ106" s="74">
        <f>Inputs!$B$117/12</f>
        <v/>
      </c>
      <c r="AR106" s="74">
        <f>Inputs!$B$117/12</f>
        <v/>
      </c>
      <c r="AS106" s="74">
        <f>Inputs!$B$117/12</f>
        <v/>
      </c>
      <c r="AT106" s="74">
        <f>Inputs!$B$117/12</f>
        <v/>
      </c>
      <c r="AU106" s="74">
        <f>Inputs!$B$117/12</f>
        <v/>
      </c>
      <c r="AV106" s="74">
        <f>Inputs!$B$117/12</f>
        <v/>
      </c>
      <c r="AW106" s="74">
        <f>Inputs!$B$117/12</f>
        <v/>
      </c>
      <c r="AX106" s="74">
        <f>Inputs!$B$117/12</f>
        <v/>
      </c>
      <c r="AY106" s="74">
        <f>Inputs!$B$117/12</f>
        <v/>
      </c>
      <c r="AZ106" s="74">
        <f>Inputs!$B$117/12</f>
        <v/>
      </c>
      <c r="BA106" s="74">
        <f>Inputs!$B$117/12</f>
        <v/>
      </c>
    </row>
    <row r="107" ht="14.25" customHeight="1" s="83">
      <c r="A107" s="77" t="inlineStr">
        <is>
          <t>Bankgebühren</t>
        </is>
      </c>
      <c r="B107" s="74">
        <f>Inputs!$B$118</f>
        <v/>
      </c>
      <c r="C107" s="74">
        <f>Inputs!$B$118</f>
        <v/>
      </c>
      <c r="D107" s="74">
        <f>Inputs!$B$118</f>
        <v/>
      </c>
      <c r="E107" s="74">
        <f>Inputs!$B$118</f>
        <v/>
      </c>
      <c r="F107" s="74">
        <f>Inputs!$B$118</f>
        <v/>
      </c>
      <c r="G107" s="74">
        <f>Inputs!$B$118</f>
        <v/>
      </c>
      <c r="H107" s="74">
        <f>Inputs!$B$118</f>
        <v/>
      </c>
      <c r="I107" s="74">
        <f>Inputs!$B$118</f>
        <v/>
      </c>
      <c r="J107" s="74">
        <f>Inputs!$B$118</f>
        <v/>
      </c>
      <c r="K107" s="74">
        <f>Inputs!$B$118</f>
        <v/>
      </c>
      <c r="L107" s="74">
        <f>Inputs!$B$118</f>
        <v/>
      </c>
      <c r="M107" s="74">
        <f>Inputs!$B$118</f>
        <v/>
      </c>
      <c r="N107" s="74">
        <f>Inputs!$B$118</f>
        <v/>
      </c>
      <c r="O107" s="74">
        <f>Inputs!$B$118</f>
        <v/>
      </c>
      <c r="P107" s="74">
        <f>Inputs!$B$118</f>
        <v/>
      </c>
      <c r="Q107" s="74">
        <f>Inputs!$B$118</f>
        <v/>
      </c>
      <c r="R107" s="74">
        <f>Inputs!$B$118</f>
        <v/>
      </c>
      <c r="S107" s="74">
        <f>Inputs!$B$118</f>
        <v/>
      </c>
      <c r="T107" s="74">
        <f>Inputs!$B$118</f>
        <v/>
      </c>
      <c r="U107" s="74">
        <f>Inputs!$B$118</f>
        <v/>
      </c>
      <c r="V107" s="74">
        <f>Inputs!$B$118</f>
        <v/>
      </c>
      <c r="W107" s="74">
        <f>Inputs!$B$118</f>
        <v/>
      </c>
      <c r="X107" s="74">
        <f>Inputs!$B$118</f>
        <v/>
      </c>
      <c r="Y107" s="74">
        <f>Inputs!$B$118</f>
        <v/>
      </c>
      <c r="Z107" s="74">
        <f>Inputs!$B$118</f>
        <v/>
      </c>
      <c r="AA107" s="74">
        <f>Inputs!$B$118</f>
        <v/>
      </c>
      <c r="AB107" s="74">
        <f>Inputs!$B$118</f>
        <v/>
      </c>
      <c r="AC107" s="74">
        <f>Inputs!$B$118</f>
        <v/>
      </c>
      <c r="AD107" s="74">
        <f>Inputs!$B$118</f>
        <v/>
      </c>
      <c r="AE107" s="74">
        <f>Inputs!$B$118</f>
        <v/>
      </c>
      <c r="AF107" s="74">
        <f>Inputs!$B$118</f>
        <v/>
      </c>
      <c r="AG107" s="74">
        <f>Inputs!$B$118</f>
        <v/>
      </c>
      <c r="AH107" s="74">
        <f>Inputs!$B$118</f>
        <v/>
      </c>
      <c r="AI107" s="74">
        <f>Inputs!$B$118</f>
        <v/>
      </c>
      <c r="AJ107" s="74">
        <f>Inputs!$B$118</f>
        <v/>
      </c>
      <c r="AK107" s="74">
        <f>Inputs!$B$118</f>
        <v/>
      </c>
      <c r="AL107" s="74">
        <f>Inputs!$B$118</f>
        <v/>
      </c>
      <c r="AM107" s="74">
        <f>Inputs!$B$118</f>
        <v/>
      </c>
      <c r="AN107" s="74">
        <f>Inputs!$B$118</f>
        <v/>
      </c>
      <c r="AO107" s="74">
        <f>Inputs!$B$118</f>
        <v/>
      </c>
      <c r="AP107" s="74">
        <f>Inputs!$B$118</f>
        <v/>
      </c>
      <c r="AQ107" s="74">
        <f>Inputs!$B$118</f>
        <v/>
      </c>
      <c r="AR107" s="74">
        <f>Inputs!$B$118</f>
        <v/>
      </c>
      <c r="AS107" s="74">
        <f>Inputs!$B$118</f>
        <v/>
      </c>
      <c r="AT107" s="74">
        <f>Inputs!$B$118</f>
        <v/>
      </c>
      <c r="AU107" s="74">
        <f>Inputs!$B$118</f>
        <v/>
      </c>
      <c r="AV107" s="74">
        <f>Inputs!$B$118</f>
        <v/>
      </c>
      <c r="AW107" s="74">
        <f>Inputs!$B$118</f>
        <v/>
      </c>
      <c r="AX107" s="74">
        <f>Inputs!$B$118</f>
        <v/>
      </c>
      <c r="AY107" s="74">
        <f>Inputs!$B$118</f>
        <v/>
      </c>
      <c r="AZ107" s="74">
        <f>Inputs!$B$118</f>
        <v/>
      </c>
      <c r="BA107" s="74">
        <f>Inputs!$B$118</f>
        <v/>
      </c>
    </row>
    <row r="108" ht="14.25" customHeight="1" s="83">
      <c r="A108" s="2" t="inlineStr">
        <is>
          <t>TOTAL VERSICHERUNG &amp; BANK</t>
        </is>
      </c>
      <c r="B108" s="72">
        <f>SUM(B104:B107)</f>
        <v/>
      </c>
      <c r="C108" s="72">
        <f>SUM(C104:C107)</f>
        <v/>
      </c>
      <c r="D108" s="72">
        <f>SUM(D104:D107)</f>
        <v/>
      </c>
      <c r="E108" s="72">
        <f>SUM(E104:E107)</f>
        <v/>
      </c>
      <c r="F108" s="72">
        <f>SUM(F104:F107)</f>
        <v/>
      </c>
      <c r="G108" s="72">
        <f>SUM(G104:G107)</f>
        <v/>
      </c>
      <c r="H108" s="72">
        <f>SUM(H104:H107)</f>
        <v/>
      </c>
      <c r="I108" s="72">
        <f>SUM(I104:I107)</f>
        <v/>
      </c>
      <c r="J108" s="72">
        <f>SUM(J104:J107)</f>
        <v/>
      </c>
      <c r="K108" s="72">
        <f>SUM(K104:K107)</f>
        <v/>
      </c>
      <c r="L108" s="72">
        <f>SUM(L104:L107)</f>
        <v/>
      </c>
      <c r="M108" s="72">
        <f>SUM(M104:M107)</f>
        <v/>
      </c>
      <c r="N108" s="72">
        <f>SUM(N104:N107)</f>
        <v/>
      </c>
      <c r="O108" s="72">
        <f>SUM(O104:O107)</f>
        <v/>
      </c>
      <c r="P108" s="72">
        <f>SUM(P104:P107)</f>
        <v/>
      </c>
      <c r="Q108" s="72">
        <f>SUM(Q104:Q107)</f>
        <v/>
      </c>
      <c r="R108" s="72">
        <f>SUM(R104:R107)</f>
        <v/>
      </c>
      <c r="S108" s="72">
        <f>SUM(S104:S107)</f>
        <v/>
      </c>
      <c r="T108" s="72">
        <f>SUM(T104:T107)</f>
        <v/>
      </c>
      <c r="U108" s="72">
        <f>SUM(U104:U107)</f>
        <v/>
      </c>
      <c r="V108" s="72">
        <f>SUM(V104:V107)</f>
        <v/>
      </c>
      <c r="W108" s="72">
        <f>SUM(W104:W107)</f>
        <v/>
      </c>
      <c r="X108" s="72">
        <f>SUM(X104:X107)</f>
        <v/>
      </c>
      <c r="Y108" s="72">
        <f>SUM(Y104:Y107)</f>
        <v/>
      </c>
      <c r="Z108" s="72">
        <f>SUM(Z104:Z107)</f>
        <v/>
      </c>
      <c r="AA108" s="72">
        <f>SUM(AA104:AA107)</f>
        <v/>
      </c>
      <c r="AB108" s="72">
        <f>SUM(AB104:AB107)</f>
        <v/>
      </c>
      <c r="AC108" s="72">
        <f>SUM(AC104:AC107)</f>
        <v/>
      </c>
      <c r="AD108" s="72">
        <f>SUM(AD104:AD107)</f>
        <v/>
      </c>
      <c r="AE108" s="72">
        <f>SUM(AE104:AE107)</f>
        <v/>
      </c>
      <c r="AF108" s="72">
        <f>SUM(AF104:AF107)</f>
        <v/>
      </c>
      <c r="AG108" s="72">
        <f>SUM(AG104:AG107)</f>
        <v/>
      </c>
      <c r="AH108" s="72">
        <f>SUM(AH104:AH107)</f>
        <v/>
      </c>
      <c r="AI108" s="72">
        <f>SUM(AI104:AI107)</f>
        <v/>
      </c>
      <c r="AJ108" s="72">
        <f>SUM(AJ104:AJ107)</f>
        <v/>
      </c>
      <c r="AK108" s="72">
        <f>SUM(AK104:AK107)</f>
        <v/>
      </c>
      <c r="AL108" s="72">
        <f>SUM(AL104:AL107)</f>
        <v/>
      </c>
      <c r="AM108" s="72">
        <f>SUM(AM104:AM107)</f>
        <v/>
      </c>
      <c r="AN108" s="72">
        <f>SUM(AN104:AN107)</f>
        <v/>
      </c>
      <c r="AO108" s="72">
        <f>SUM(AO104:AO107)</f>
        <v/>
      </c>
      <c r="AP108" s="72">
        <f>SUM(AP104:AP107)</f>
        <v/>
      </c>
      <c r="AQ108" s="72">
        <f>SUM(AQ104:AQ107)</f>
        <v/>
      </c>
      <c r="AR108" s="72">
        <f>SUM(AR104:AR107)</f>
        <v/>
      </c>
      <c r="AS108" s="72">
        <f>SUM(AS104:AS107)</f>
        <v/>
      </c>
      <c r="AT108" s="72">
        <f>SUM(AT104:AT107)</f>
        <v/>
      </c>
      <c r="AU108" s="72">
        <f>SUM(AU104:AU107)</f>
        <v/>
      </c>
      <c r="AV108" s="72">
        <f>SUM(AV104:AV107)</f>
        <v/>
      </c>
      <c r="AW108" s="72">
        <f>SUM(AW104:AW107)</f>
        <v/>
      </c>
      <c r="AX108" s="72">
        <f>SUM(AX104:AX107)</f>
        <v/>
      </c>
      <c r="AY108" s="72">
        <f>SUM(AY104:AY107)</f>
        <v/>
      </c>
      <c r="AZ108" s="72">
        <f>SUM(AZ104:AZ107)</f>
        <v/>
      </c>
      <c r="BA108" s="72">
        <f>SUM(BA104:BA107)</f>
        <v/>
      </c>
    </row>
    <row r="109" ht="14.25" customHeight="1" s="83"/>
    <row r="110" ht="14.25" customHeight="1" s="83">
      <c r="A110" s="2" t="inlineStr">
        <is>
          <t>MARKETING &amp; SALES KOSTEN</t>
        </is>
      </c>
    </row>
    <row r="111" ht="14.25" customHeight="1" s="83">
      <c r="A111" s="77" t="inlineStr">
        <is>
          <t>Paid Advertising</t>
        </is>
      </c>
      <c r="B111" s="74">
        <f>Inputs!$B$122*(1+Inputs!$B$123)^(1-1)</f>
        <v/>
      </c>
      <c r="C111" s="74">
        <f>Inputs!$B$122*(1+Inputs!$B$123)^(2-1)</f>
        <v/>
      </c>
      <c r="D111" s="74">
        <f>Inputs!$B$122*(1+Inputs!$B$123)^(3-1)</f>
        <v/>
      </c>
      <c r="E111" s="74">
        <f>Inputs!$B$122*(1+Inputs!$B$123)^(4-1)</f>
        <v/>
      </c>
      <c r="F111" s="74">
        <f>Inputs!$B$122*(1+Inputs!$B$123)^(5-1)</f>
        <v/>
      </c>
      <c r="G111" s="74">
        <f>Inputs!$B$122*(1+Inputs!$B$123)^(6-1)</f>
        <v/>
      </c>
      <c r="H111" s="74">
        <f>Inputs!$B$122*(1+Inputs!$B$123)^(7-1)</f>
        <v/>
      </c>
      <c r="I111" s="74">
        <f>Inputs!$B$122*(1+Inputs!$B$123)^(8-1)</f>
        <v/>
      </c>
      <c r="J111" s="74">
        <f>Inputs!$B$122*(1+Inputs!$B$123)^(9-1)</f>
        <v/>
      </c>
      <c r="K111" s="74">
        <f>Inputs!$B$122*(1+Inputs!$B$123)^(10-1)</f>
        <v/>
      </c>
      <c r="L111" s="74">
        <f>Inputs!$B$122*(1+Inputs!$B$123)^(11-1)</f>
        <v/>
      </c>
      <c r="M111" s="74">
        <f>Inputs!$B$122*(1+Inputs!$B$123)^(12-1)</f>
        <v/>
      </c>
      <c r="N111" s="74">
        <f>Inputs!$B$122*(1+Inputs!$B$123)^(13-1)</f>
        <v/>
      </c>
      <c r="O111" s="74">
        <f>Inputs!$B$122*(1+Inputs!$B$123)^(14-1)</f>
        <v/>
      </c>
      <c r="P111" s="74">
        <f>Inputs!$B$122*(1+Inputs!$B$123)^(15-1)</f>
        <v/>
      </c>
      <c r="Q111" s="74">
        <f>Inputs!$B$122*(1+Inputs!$B$123)^(16-1)</f>
        <v/>
      </c>
      <c r="R111" s="74">
        <f>Inputs!$B$122*(1+Inputs!$B$123)^(17-1)</f>
        <v/>
      </c>
      <c r="S111" s="74">
        <f>Inputs!$B$122*(1+Inputs!$B$123)^(18-1)</f>
        <v/>
      </c>
      <c r="T111" s="74">
        <f>Inputs!$B$122*(1+Inputs!$B$123)^(19-1)</f>
        <v/>
      </c>
      <c r="U111" s="74">
        <f>Inputs!$B$122*(1+Inputs!$B$123)^(20-1)</f>
        <v/>
      </c>
      <c r="V111" s="74">
        <f>Inputs!$B$122*(1+Inputs!$B$123)^(21-1)</f>
        <v/>
      </c>
      <c r="W111" s="74">
        <f>Inputs!$B$122*(1+Inputs!$B$123)^(22-1)</f>
        <v/>
      </c>
      <c r="X111" s="74">
        <f>Inputs!$B$122*(1+Inputs!$B$123)^(23-1)</f>
        <v/>
      </c>
      <c r="Y111" s="74">
        <f>Inputs!$B$122*(1+Inputs!$B$123)^(24-1)</f>
        <v/>
      </c>
      <c r="Z111" s="74">
        <f>Inputs!$B$122*(1+Inputs!$B$123)^(25-1)</f>
        <v/>
      </c>
      <c r="AA111" s="74">
        <f>Inputs!$B$122*(1+Inputs!$B$123)^(26-1)</f>
        <v/>
      </c>
      <c r="AB111" s="74">
        <f>Inputs!$B$122*(1+Inputs!$B$123)^(27-1)</f>
        <v/>
      </c>
      <c r="AC111" s="74">
        <f>Inputs!$B$122*(1+Inputs!$B$123)^(28-1)</f>
        <v/>
      </c>
      <c r="AD111" s="74">
        <f>Inputs!$B$122*(1+Inputs!$B$123)^(29-1)</f>
        <v/>
      </c>
      <c r="AE111" s="74">
        <f>Inputs!$B$122*(1+Inputs!$B$123)^(30-1)</f>
        <v/>
      </c>
      <c r="AF111" s="74">
        <f>Inputs!$B$122*(1+Inputs!$B$123)^(31-1)</f>
        <v/>
      </c>
      <c r="AG111" s="74">
        <f>Inputs!$B$122*(1+Inputs!$B$123)^(32-1)</f>
        <v/>
      </c>
      <c r="AH111" s="74">
        <f>Inputs!$B$122*(1+Inputs!$B$123)^(33-1)</f>
        <v/>
      </c>
      <c r="AI111" s="74">
        <f>Inputs!$B$122*(1+Inputs!$B$123)^(34-1)</f>
        <v/>
      </c>
      <c r="AJ111" s="74">
        <f>Inputs!$B$122*(1+Inputs!$B$123)^(35-1)</f>
        <v/>
      </c>
      <c r="AK111" s="74">
        <f>Inputs!$B$122*(1+Inputs!$B$123)^(36-1)</f>
        <v/>
      </c>
      <c r="AL111" s="74">
        <f>Inputs!$B$122*(1+Inputs!$B$123)^(37-1)</f>
        <v/>
      </c>
      <c r="AM111" s="74">
        <f>Inputs!$B$122*(1+Inputs!$B$123)^(38-1)</f>
        <v/>
      </c>
      <c r="AN111" s="74">
        <f>Inputs!$B$122*(1+Inputs!$B$123)^(39-1)</f>
        <v/>
      </c>
      <c r="AO111" s="74">
        <f>Inputs!$B$122*(1+Inputs!$B$123)^(40-1)</f>
        <v/>
      </c>
      <c r="AP111" s="74">
        <f>Inputs!$B$122*(1+Inputs!$B$123)^(41-1)</f>
        <v/>
      </c>
      <c r="AQ111" s="74">
        <f>Inputs!$B$122*(1+Inputs!$B$123)^(42-1)</f>
        <v/>
      </c>
      <c r="AR111" s="74">
        <f>Inputs!$B$122*(1+Inputs!$B$123)^(43-1)</f>
        <v/>
      </c>
      <c r="AS111" s="74">
        <f>Inputs!$B$122*(1+Inputs!$B$123)^(44-1)</f>
        <v/>
      </c>
      <c r="AT111" s="74">
        <f>Inputs!$B$122*(1+Inputs!$B$123)^(45-1)</f>
        <v/>
      </c>
      <c r="AU111" s="74">
        <f>Inputs!$B$122*(1+Inputs!$B$123)^(46-1)</f>
        <v/>
      </c>
      <c r="AV111" s="74">
        <f>Inputs!$B$122*(1+Inputs!$B$123)^(47-1)</f>
        <v/>
      </c>
      <c r="AW111" s="74">
        <f>Inputs!$B$122*(1+Inputs!$B$123)^(48-1)</f>
        <v/>
      </c>
      <c r="AX111" s="74">
        <f>Inputs!$B$122*(1+Inputs!$B$123)^(49-1)</f>
        <v/>
      </c>
      <c r="AY111" s="74">
        <f>Inputs!$B$122*(1+Inputs!$B$123)^(50-1)</f>
        <v/>
      </c>
      <c r="AZ111" s="74">
        <f>Inputs!$B$122*(1+Inputs!$B$123)^(51-1)</f>
        <v/>
      </c>
      <c r="BA111" s="74">
        <f>Inputs!$B$122*(1+Inputs!$B$123)^(52-1)</f>
        <v/>
      </c>
    </row>
    <row r="112" ht="14.25" customHeight="1" s="83">
      <c r="A112" s="77" t="inlineStr">
        <is>
          <t>Content &amp; SEO</t>
        </is>
      </c>
      <c r="B112" s="74">
        <f>Inputs!$B$124</f>
        <v/>
      </c>
      <c r="C112" s="74">
        <f>Inputs!$B$124</f>
        <v/>
      </c>
      <c r="D112" s="74">
        <f>Inputs!$B$124</f>
        <v/>
      </c>
      <c r="E112" s="74">
        <f>Inputs!$B$124</f>
        <v/>
      </c>
      <c r="F112" s="74">
        <f>Inputs!$B$124</f>
        <v/>
      </c>
      <c r="G112" s="74">
        <f>Inputs!$B$124</f>
        <v/>
      </c>
      <c r="H112" s="74">
        <f>Inputs!$B$124</f>
        <v/>
      </c>
      <c r="I112" s="74">
        <f>Inputs!$B$124</f>
        <v/>
      </c>
      <c r="J112" s="74">
        <f>Inputs!$B$124</f>
        <v/>
      </c>
      <c r="K112" s="74">
        <f>Inputs!$B$124</f>
        <v/>
      </c>
      <c r="L112" s="74">
        <f>Inputs!$B$124</f>
        <v/>
      </c>
      <c r="M112" s="74">
        <f>Inputs!$B$124</f>
        <v/>
      </c>
      <c r="N112" s="74">
        <f>Inputs!$B$124</f>
        <v/>
      </c>
      <c r="O112" s="74">
        <f>Inputs!$B$124</f>
        <v/>
      </c>
      <c r="P112" s="74">
        <f>Inputs!$B$124</f>
        <v/>
      </c>
      <c r="Q112" s="74">
        <f>Inputs!$B$124</f>
        <v/>
      </c>
      <c r="R112" s="74">
        <f>Inputs!$B$124</f>
        <v/>
      </c>
      <c r="S112" s="74">
        <f>Inputs!$B$124</f>
        <v/>
      </c>
      <c r="T112" s="74">
        <f>Inputs!$B$124</f>
        <v/>
      </c>
      <c r="U112" s="74">
        <f>Inputs!$B$124</f>
        <v/>
      </c>
      <c r="V112" s="74">
        <f>Inputs!$B$124</f>
        <v/>
      </c>
      <c r="W112" s="74">
        <f>Inputs!$B$124</f>
        <v/>
      </c>
      <c r="X112" s="74">
        <f>Inputs!$B$124</f>
        <v/>
      </c>
      <c r="Y112" s="74">
        <f>Inputs!$B$124</f>
        <v/>
      </c>
      <c r="Z112" s="74">
        <f>Inputs!$B$124</f>
        <v/>
      </c>
      <c r="AA112" s="74">
        <f>Inputs!$B$124</f>
        <v/>
      </c>
      <c r="AB112" s="74">
        <f>Inputs!$B$124</f>
        <v/>
      </c>
      <c r="AC112" s="74">
        <f>Inputs!$B$124</f>
        <v/>
      </c>
      <c r="AD112" s="74">
        <f>Inputs!$B$124</f>
        <v/>
      </c>
      <c r="AE112" s="74">
        <f>Inputs!$B$124</f>
        <v/>
      </c>
      <c r="AF112" s="74">
        <f>Inputs!$B$124</f>
        <v/>
      </c>
      <c r="AG112" s="74">
        <f>Inputs!$B$124</f>
        <v/>
      </c>
      <c r="AH112" s="74">
        <f>Inputs!$B$124</f>
        <v/>
      </c>
      <c r="AI112" s="74">
        <f>Inputs!$B$124</f>
        <v/>
      </c>
      <c r="AJ112" s="74">
        <f>Inputs!$B$124</f>
        <v/>
      </c>
      <c r="AK112" s="74">
        <f>Inputs!$B$124</f>
        <v/>
      </c>
      <c r="AL112" s="74">
        <f>Inputs!$B$124</f>
        <v/>
      </c>
      <c r="AM112" s="74">
        <f>Inputs!$B$124</f>
        <v/>
      </c>
      <c r="AN112" s="74">
        <f>Inputs!$B$124</f>
        <v/>
      </c>
      <c r="AO112" s="74">
        <f>Inputs!$B$124</f>
        <v/>
      </c>
      <c r="AP112" s="74">
        <f>Inputs!$B$124</f>
        <v/>
      </c>
      <c r="AQ112" s="74">
        <f>Inputs!$B$124</f>
        <v/>
      </c>
      <c r="AR112" s="74">
        <f>Inputs!$B$124</f>
        <v/>
      </c>
      <c r="AS112" s="74">
        <f>Inputs!$B$124</f>
        <v/>
      </c>
      <c r="AT112" s="74">
        <f>Inputs!$B$124</f>
        <v/>
      </c>
      <c r="AU112" s="74">
        <f>Inputs!$B$124</f>
        <v/>
      </c>
      <c r="AV112" s="74">
        <f>Inputs!$B$124</f>
        <v/>
      </c>
      <c r="AW112" s="74">
        <f>Inputs!$B$124</f>
        <v/>
      </c>
      <c r="AX112" s="74">
        <f>Inputs!$B$124</f>
        <v/>
      </c>
      <c r="AY112" s="74">
        <f>Inputs!$B$124</f>
        <v/>
      </c>
      <c r="AZ112" s="74">
        <f>Inputs!$B$124</f>
        <v/>
      </c>
      <c r="BA112" s="74">
        <f>Inputs!$B$124</f>
        <v/>
      </c>
    </row>
    <row r="113" ht="14.25" customHeight="1" s="83">
      <c r="A113" s="77" t="inlineStr">
        <is>
          <t>Events &amp; Messen</t>
        </is>
      </c>
      <c r="B113" s="74">
        <f>Inputs!$B$125/12</f>
        <v/>
      </c>
      <c r="C113" s="74">
        <f>Inputs!$B$125/12</f>
        <v/>
      </c>
      <c r="D113" s="74">
        <f>Inputs!$B$125/12</f>
        <v/>
      </c>
      <c r="E113" s="74">
        <f>Inputs!$B$125/12</f>
        <v/>
      </c>
      <c r="F113" s="74">
        <f>Inputs!$B$125/12</f>
        <v/>
      </c>
      <c r="G113" s="74">
        <f>Inputs!$B$125/12</f>
        <v/>
      </c>
      <c r="H113" s="74">
        <f>Inputs!$B$125/12</f>
        <v/>
      </c>
      <c r="I113" s="74">
        <f>Inputs!$B$125/12</f>
        <v/>
      </c>
      <c r="J113" s="74">
        <f>Inputs!$B$125/12</f>
        <v/>
      </c>
      <c r="K113" s="74">
        <f>Inputs!$B$125/12</f>
        <v/>
      </c>
      <c r="L113" s="74">
        <f>Inputs!$B$125/12</f>
        <v/>
      </c>
      <c r="M113" s="74">
        <f>Inputs!$B$125/12</f>
        <v/>
      </c>
      <c r="N113" s="74">
        <f>Inputs!$B$125/12</f>
        <v/>
      </c>
      <c r="O113" s="74">
        <f>Inputs!$B$125/12</f>
        <v/>
      </c>
      <c r="P113" s="74">
        <f>Inputs!$B$125/12</f>
        <v/>
      </c>
      <c r="Q113" s="74">
        <f>Inputs!$B$125/12</f>
        <v/>
      </c>
      <c r="R113" s="74">
        <f>Inputs!$B$125/12</f>
        <v/>
      </c>
      <c r="S113" s="74">
        <f>Inputs!$B$125/12</f>
        <v/>
      </c>
      <c r="T113" s="74">
        <f>Inputs!$B$125/12</f>
        <v/>
      </c>
      <c r="U113" s="74">
        <f>Inputs!$B$125/12</f>
        <v/>
      </c>
      <c r="V113" s="74">
        <f>Inputs!$B$125/12</f>
        <v/>
      </c>
      <c r="W113" s="74">
        <f>Inputs!$B$125/12</f>
        <v/>
      </c>
      <c r="X113" s="74">
        <f>Inputs!$B$125/12</f>
        <v/>
      </c>
      <c r="Y113" s="74">
        <f>Inputs!$B$125/12</f>
        <v/>
      </c>
      <c r="Z113" s="74">
        <f>Inputs!$B$125/12</f>
        <v/>
      </c>
      <c r="AA113" s="74">
        <f>Inputs!$B$125/12</f>
        <v/>
      </c>
      <c r="AB113" s="74">
        <f>Inputs!$B$125/12</f>
        <v/>
      </c>
      <c r="AC113" s="74">
        <f>Inputs!$B$125/12</f>
        <v/>
      </c>
      <c r="AD113" s="74">
        <f>Inputs!$B$125/12</f>
        <v/>
      </c>
      <c r="AE113" s="74">
        <f>Inputs!$B$125/12</f>
        <v/>
      </c>
      <c r="AF113" s="74">
        <f>Inputs!$B$125/12</f>
        <v/>
      </c>
      <c r="AG113" s="74">
        <f>Inputs!$B$125/12</f>
        <v/>
      </c>
      <c r="AH113" s="74">
        <f>Inputs!$B$125/12</f>
        <v/>
      </c>
      <c r="AI113" s="74">
        <f>Inputs!$B$125/12</f>
        <v/>
      </c>
      <c r="AJ113" s="74">
        <f>Inputs!$B$125/12</f>
        <v/>
      </c>
      <c r="AK113" s="74">
        <f>Inputs!$B$125/12</f>
        <v/>
      </c>
      <c r="AL113" s="74">
        <f>Inputs!$B$125/12</f>
        <v/>
      </c>
      <c r="AM113" s="74">
        <f>Inputs!$B$125/12</f>
        <v/>
      </c>
      <c r="AN113" s="74">
        <f>Inputs!$B$125/12</f>
        <v/>
      </c>
      <c r="AO113" s="74">
        <f>Inputs!$B$125/12</f>
        <v/>
      </c>
      <c r="AP113" s="74">
        <f>Inputs!$B$125/12</f>
        <v/>
      </c>
      <c r="AQ113" s="74">
        <f>Inputs!$B$125/12</f>
        <v/>
      </c>
      <c r="AR113" s="74">
        <f>Inputs!$B$125/12</f>
        <v/>
      </c>
      <c r="AS113" s="74">
        <f>Inputs!$B$125/12</f>
        <v/>
      </c>
      <c r="AT113" s="74">
        <f>Inputs!$B$125/12</f>
        <v/>
      </c>
      <c r="AU113" s="74">
        <f>Inputs!$B$125/12</f>
        <v/>
      </c>
      <c r="AV113" s="74">
        <f>Inputs!$B$125/12</f>
        <v/>
      </c>
      <c r="AW113" s="74">
        <f>Inputs!$B$125/12</f>
        <v/>
      </c>
      <c r="AX113" s="74">
        <f>Inputs!$B$125/12</f>
        <v/>
      </c>
      <c r="AY113" s="74">
        <f>Inputs!$B$125/12</f>
        <v/>
      </c>
      <c r="AZ113" s="74">
        <f>Inputs!$B$125/12</f>
        <v/>
      </c>
      <c r="BA113" s="74">
        <f>Inputs!$B$125/12</f>
        <v/>
      </c>
    </row>
    <row r="114" ht="14.25" customHeight="1" s="83">
      <c r="A114" s="77" t="inlineStr">
        <is>
          <t>Sales Tools</t>
        </is>
      </c>
      <c r="B114" s="74">
        <f>Inputs!$B$126</f>
        <v/>
      </c>
      <c r="C114" s="74">
        <f>Inputs!$B$126</f>
        <v/>
      </c>
      <c r="D114" s="74">
        <f>Inputs!$B$126</f>
        <v/>
      </c>
      <c r="E114" s="74">
        <f>Inputs!$B$126</f>
        <v/>
      </c>
      <c r="F114" s="74">
        <f>Inputs!$B$126</f>
        <v/>
      </c>
      <c r="G114" s="74">
        <f>Inputs!$B$126</f>
        <v/>
      </c>
      <c r="H114" s="74">
        <f>Inputs!$B$126</f>
        <v/>
      </c>
      <c r="I114" s="74">
        <f>Inputs!$B$126</f>
        <v/>
      </c>
      <c r="J114" s="74">
        <f>Inputs!$B$126</f>
        <v/>
      </c>
      <c r="K114" s="74">
        <f>Inputs!$B$126</f>
        <v/>
      </c>
      <c r="L114" s="74">
        <f>Inputs!$B$126</f>
        <v/>
      </c>
      <c r="M114" s="74">
        <f>Inputs!$B$126</f>
        <v/>
      </c>
      <c r="N114" s="74">
        <f>Inputs!$B$126</f>
        <v/>
      </c>
      <c r="O114" s="74">
        <f>Inputs!$B$126</f>
        <v/>
      </c>
      <c r="P114" s="74">
        <f>Inputs!$B$126</f>
        <v/>
      </c>
      <c r="Q114" s="74">
        <f>Inputs!$B$126</f>
        <v/>
      </c>
      <c r="R114" s="74">
        <f>Inputs!$B$126</f>
        <v/>
      </c>
      <c r="S114" s="74">
        <f>Inputs!$B$126</f>
        <v/>
      </c>
      <c r="T114" s="74">
        <f>Inputs!$B$126</f>
        <v/>
      </c>
      <c r="U114" s="74">
        <f>Inputs!$B$126</f>
        <v/>
      </c>
      <c r="V114" s="74">
        <f>Inputs!$B$126</f>
        <v/>
      </c>
      <c r="W114" s="74">
        <f>Inputs!$B$126</f>
        <v/>
      </c>
      <c r="X114" s="74">
        <f>Inputs!$B$126</f>
        <v/>
      </c>
      <c r="Y114" s="74">
        <f>Inputs!$B$126</f>
        <v/>
      </c>
      <c r="Z114" s="74">
        <f>Inputs!$B$126</f>
        <v/>
      </c>
      <c r="AA114" s="74">
        <f>Inputs!$B$126</f>
        <v/>
      </c>
      <c r="AB114" s="74">
        <f>Inputs!$B$126</f>
        <v/>
      </c>
      <c r="AC114" s="74">
        <f>Inputs!$B$126</f>
        <v/>
      </c>
      <c r="AD114" s="74">
        <f>Inputs!$B$126</f>
        <v/>
      </c>
      <c r="AE114" s="74">
        <f>Inputs!$B$126</f>
        <v/>
      </c>
      <c r="AF114" s="74">
        <f>Inputs!$B$126</f>
        <v/>
      </c>
      <c r="AG114" s="74">
        <f>Inputs!$B$126</f>
        <v/>
      </c>
      <c r="AH114" s="74">
        <f>Inputs!$B$126</f>
        <v/>
      </c>
      <c r="AI114" s="74">
        <f>Inputs!$B$126</f>
        <v/>
      </c>
      <c r="AJ114" s="74">
        <f>Inputs!$B$126</f>
        <v/>
      </c>
      <c r="AK114" s="74">
        <f>Inputs!$B$126</f>
        <v/>
      </c>
      <c r="AL114" s="74">
        <f>Inputs!$B$126</f>
        <v/>
      </c>
      <c r="AM114" s="74">
        <f>Inputs!$B$126</f>
        <v/>
      </c>
      <c r="AN114" s="74">
        <f>Inputs!$B$126</f>
        <v/>
      </c>
      <c r="AO114" s="74">
        <f>Inputs!$B$126</f>
        <v/>
      </c>
      <c r="AP114" s="74">
        <f>Inputs!$B$126</f>
        <v/>
      </c>
      <c r="AQ114" s="74">
        <f>Inputs!$B$126</f>
        <v/>
      </c>
      <c r="AR114" s="74">
        <f>Inputs!$B$126</f>
        <v/>
      </c>
      <c r="AS114" s="74">
        <f>Inputs!$B$126</f>
        <v/>
      </c>
      <c r="AT114" s="74">
        <f>Inputs!$B$126</f>
        <v/>
      </c>
      <c r="AU114" s="74">
        <f>Inputs!$B$126</f>
        <v/>
      </c>
      <c r="AV114" s="74">
        <f>Inputs!$B$126</f>
        <v/>
      </c>
      <c r="AW114" s="74">
        <f>Inputs!$B$126</f>
        <v/>
      </c>
      <c r="AX114" s="74">
        <f>Inputs!$B$126</f>
        <v/>
      </c>
      <c r="AY114" s="74">
        <f>Inputs!$B$126</f>
        <v/>
      </c>
      <c r="AZ114" s="74">
        <f>Inputs!$B$126</f>
        <v/>
      </c>
      <c r="BA114" s="74">
        <f>Inputs!$B$126</f>
        <v/>
      </c>
    </row>
    <row r="115" ht="14.25" customHeight="1" s="83">
      <c r="A115" s="77" t="inlineStr">
        <is>
          <t>Sales Provisionen</t>
        </is>
      </c>
      <c r="B115" s="71">
        <f>Revenue!B23/12*Inputs!$B$127</f>
        <v/>
      </c>
      <c r="C115" s="71">
        <f>Revenue!C23/12*Inputs!$B$127</f>
        <v/>
      </c>
      <c r="D115" s="71">
        <f>Revenue!D23/12*Inputs!$B$127</f>
        <v/>
      </c>
      <c r="E115" s="71">
        <f>Revenue!E23/12*Inputs!$B$127</f>
        <v/>
      </c>
      <c r="F115" s="71">
        <f>Revenue!F23/12*Inputs!$B$127</f>
        <v/>
      </c>
      <c r="G115" s="71">
        <f>Revenue!G23/12*Inputs!$B$127</f>
        <v/>
      </c>
      <c r="H115" s="71">
        <f>Revenue!H23/12*Inputs!$B$127</f>
        <v/>
      </c>
      <c r="I115" s="71">
        <f>Revenue!I23/12*Inputs!$B$127</f>
        <v/>
      </c>
      <c r="J115" s="71">
        <f>Revenue!J23/12*Inputs!$B$127</f>
        <v/>
      </c>
      <c r="K115" s="71">
        <f>Revenue!K23/12*Inputs!$B$127</f>
        <v/>
      </c>
      <c r="L115" s="71">
        <f>Revenue!L23/12*Inputs!$B$127</f>
        <v/>
      </c>
      <c r="M115" s="71">
        <f>Revenue!M23/12*Inputs!$B$127</f>
        <v/>
      </c>
      <c r="N115" s="71">
        <f>Revenue!N23/12*Inputs!$B$127</f>
        <v/>
      </c>
      <c r="O115" s="71">
        <f>Revenue!O23/12*Inputs!$B$127</f>
        <v/>
      </c>
      <c r="P115" s="71">
        <f>Revenue!P23/12*Inputs!$B$127</f>
        <v/>
      </c>
      <c r="Q115" s="71">
        <f>Revenue!Q23/12*Inputs!$B$127</f>
        <v/>
      </c>
      <c r="R115" s="71">
        <f>Revenue!R23/12*Inputs!$B$127</f>
        <v/>
      </c>
      <c r="S115" s="71">
        <f>Revenue!S23/12*Inputs!$B$127</f>
        <v/>
      </c>
      <c r="T115" s="71">
        <f>Revenue!T23/12*Inputs!$B$127</f>
        <v/>
      </c>
      <c r="U115" s="71">
        <f>Revenue!U23/12*Inputs!$B$127</f>
        <v/>
      </c>
      <c r="V115" s="71">
        <f>Revenue!V23/12*Inputs!$B$127</f>
        <v/>
      </c>
      <c r="W115" s="71">
        <f>Revenue!W23/12*Inputs!$B$127</f>
        <v/>
      </c>
      <c r="X115" s="71">
        <f>Revenue!X23/12*Inputs!$B$127</f>
        <v/>
      </c>
      <c r="Y115" s="71">
        <f>Revenue!Y23/12*Inputs!$B$127</f>
        <v/>
      </c>
      <c r="Z115" s="71">
        <f>Revenue!Z23/12*Inputs!$B$127</f>
        <v/>
      </c>
      <c r="AA115" s="71">
        <f>Revenue!AA23/12*Inputs!$B$127</f>
        <v/>
      </c>
      <c r="AB115" s="71">
        <f>Revenue!AB23/12*Inputs!$B$127</f>
        <v/>
      </c>
      <c r="AC115" s="71">
        <f>Revenue!AC23/12*Inputs!$B$127</f>
        <v/>
      </c>
      <c r="AD115" s="71">
        <f>Revenue!AD23/12*Inputs!$B$127</f>
        <v/>
      </c>
      <c r="AE115" s="71">
        <f>Revenue!AE23/12*Inputs!$B$127</f>
        <v/>
      </c>
      <c r="AF115" s="71">
        <f>Revenue!AF23/12*Inputs!$B$127</f>
        <v/>
      </c>
      <c r="AG115" s="71">
        <f>Revenue!AG23/12*Inputs!$B$127</f>
        <v/>
      </c>
      <c r="AH115" s="71">
        <f>Revenue!AH23/12*Inputs!$B$127</f>
        <v/>
      </c>
      <c r="AI115" s="71">
        <f>Revenue!AI23/12*Inputs!$B$127</f>
        <v/>
      </c>
      <c r="AJ115" s="71">
        <f>Revenue!AJ23/12*Inputs!$B$127</f>
        <v/>
      </c>
      <c r="AK115" s="71">
        <f>Revenue!AK23/12*Inputs!$B$127</f>
        <v/>
      </c>
      <c r="AL115" s="71">
        <f>Revenue!AL23/12*Inputs!$B$127</f>
        <v/>
      </c>
      <c r="AM115" s="71">
        <f>Revenue!AM23/12*Inputs!$B$127</f>
        <v/>
      </c>
      <c r="AN115" s="71">
        <f>Revenue!AN23/12*Inputs!$B$127</f>
        <v/>
      </c>
      <c r="AO115" s="71">
        <f>Revenue!AO23/12*Inputs!$B$127</f>
        <v/>
      </c>
      <c r="AP115" s="71">
        <f>Revenue!AP23/12*Inputs!$B$127</f>
        <v/>
      </c>
      <c r="AQ115" s="71">
        <f>Revenue!AQ23/12*Inputs!$B$127</f>
        <v/>
      </c>
      <c r="AR115" s="71">
        <f>Revenue!AR23/12*Inputs!$B$127</f>
        <v/>
      </c>
      <c r="AS115" s="71">
        <f>Revenue!AS23/12*Inputs!$B$127</f>
        <v/>
      </c>
      <c r="AT115" s="71">
        <f>Revenue!AT23/12*Inputs!$B$127</f>
        <v/>
      </c>
      <c r="AU115" s="71">
        <f>Revenue!AU23/12*Inputs!$B$127</f>
        <v/>
      </c>
      <c r="AV115" s="71">
        <f>Revenue!AV23/12*Inputs!$B$127</f>
        <v/>
      </c>
      <c r="AW115" s="71">
        <f>Revenue!AW23/12*Inputs!$B$127</f>
        <v/>
      </c>
      <c r="AX115" s="71">
        <f>Revenue!AX23/12*Inputs!$B$127</f>
        <v/>
      </c>
      <c r="AY115" s="71">
        <f>Revenue!AY23/12*Inputs!$B$127</f>
        <v/>
      </c>
      <c r="AZ115" s="71">
        <f>Revenue!AZ23/12*Inputs!$B$127</f>
        <v/>
      </c>
      <c r="BA115" s="71">
        <f>Revenue!BA23/12*Inputs!$B$127</f>
        <v/>
      </c>
    </row>
    <row r="116" ht="14.25" customHeight="1" s="83">
      <c r="A116" s="77" t="inlineStr">
        <is>
          <t>Reisekosten Sales</t>
        </is>
      </c>
      <c r="B116" s="74">
        <f>(B11+B12+B21+B28+B35)*Inputs!$B$128</f>
        <v/>
      </c>
      <c r="C116" s="74">
        <f>(C11+C12+C21+C28+C35)*Inputs!$B$128</f>
        <v/>
      </c>
      <c r="D116" s="74">
        <f>(D11+D12+D21+D28+D35)*Inputs!$B$128</f>
        <v/>
      </c>
      <c r="E116" s="74">
        <f>(E11+E12+E21+E28+E35)*Inputs!$B$128</f>
        <v/>
      </c>
      <c r="F116" s="74">
        <f>(F11+F12+F21+F28+F35)*Inputs!$B$128</f>
        <v/>
      </c>
      <c r="G116" s="74">
        <f>(G11+G12+G21+G28+G35)*Inputs!$B$128</f>
        <v/>
      </c>
      <c r="H116" s="74">
        <f>(H11+H12+H21+H28+H35)*Inputs!$B$128</f>
        <v/>
      </c>
      <c r="I116" s="74">
        <f>(I11+I12+I21+I28+I35)*Inputs!$B$128</f>
        <v/>
      </c>
      <c r="J116" s="74">
        <f>(J11+J12+J21+J28+J35)*Inputs!$B$128</f>
        <v/>
      </c>
      <c r="K116" s="74">
        <f>(K11+K12+K21+K28+K35)*Inputs!$B$128</f>
        <v/>
      </c>
      <c r="L116" s="74">
        <f>(L11+L12+L21+L28+L35)*Inputs!$B$128</f>
        <v/>
      </c>
      <c r="M116" s="74">
        <f>(M11+M12+M21+M28+M35)*Inputs!$B$128</f>
        <v/>
      </c>
      <c r="N116" s="74">
        <f>(N11+N12+N21+N28+N35)*Inputs!$B$128</f>
        <v/>
      </c>
      <c r="O116" s="74">
        <f>(O11+O12+O21+O28+O35)*Inputs!$B$128</f>
        <v/>
      </c>
      <c r="P116" s="74">
        <f>(P11+P12+P21+P28+P35)*Inputs!$B$128</f>
        <v/>
      </c>
      <c r="Q116" s="74">
        <f>(Q11+Q12+Q21+Q28+Q35)*Inputs!$B$128</f>
        <v/>
      </c>
      <c r="R116" s="74">
        <f>(R11+R12+R21+R28+R35)*Inputs!$B$128</f>
        <v/>
      </c>
      <c r="S116" s="74">
        <f>(S11+S12+S21+S28+S35)*Inputs!$B$128</f>
        <v/>
      </c>
      <c r="T116" s="74">
        <f>(T11+T12+T21+T28+T35)*Inputs!$B$128</f>
        <v/>
      </c>
      <c r="U116" s="74">
        <f>(U11+U12+U21+U28+U35)*Inputs!$B$128</f>
        <v/>
      </c>
      <c r="V116" s="74">
        <f>(V11+V12+V21+V28+V35)*Inputs!$B$128</f>
        <v/>
      </c>
      <c r="W116" s="74">
        <f>(W11+W12+W21+W28+W35)*Inputs!$B$128</f>
        <v/>
      </c>
      <c r="X116" s="74">
        <f>(X11+X12+X21+X28+X35)*Inputs!$B$128</f>
        <v/>
      </c>
      <c r="Y116" s="74">
        <f>(Y11+Y12+Y21+Y28+Y35)*Inputs!$B$128</f>
        <v/>
      </c>
      <c r="Z116" s="74">
        <f>(Z11+Z12+Z21+Z28+Z35)*Inputs!$B$128</f>
        <v/>
      </c>
      <c r="AA116" s="74">
        <f>(AA11+AA12+AA21+AA28+AA35)*Inputs!$B$128</f>
        <v/>
      </c>
      <c r="AB116" s="74">
        <f>(AB11+AB12+AB21+AB28+AB35)*Inputs!$B$128</f>
        <v/>
      </c>
      <c r="AC116" s="74">
        <f>(AC11+AC12+AC21+AC28+AC35)*Inputs!$B$128</f>
        <v/>
      </c>
      <c r="AD116" s="74">
        <f>(AD11+AD12+AD21+AD28+AD35)*Inputs!$B$128</f>
        <v/>
      </c>
      <c r="AE116" s="74">
        <f>(AE11+AE12+AE21+AE28+AE35)*Inputs!$B$128</f>
        <v/>
      </c>
      <c r="AF116" s="74">
        <f>(AF11+AF12+AF21+AF28+AF35)*Inputs!$B$128</f>
        <v/>
      </c>
      <c r="AG116" s="74">
        <f>(AG11+AG12+AG21+AG28+AG35)*Inputs!$B$128</f>
        <v/>
      </c>
      <c r="AH116" s="74">
        <f>(AH11+AH12+AH21+AH28+AH35)*Inputs!$B$128</f>
        <v/>
      </c>
      <c r="AI116" s="74">
        <f>(AI11+AI12+AI21+AI28+AI35)*Inputs!$B$128</f>
        <v/>
      </c>
      <c r="AJ116" s="74">
        <f>(AJ11+AJ12+AJ21+AJ28+AJ35)*Inputs!$B$128</f>
        <v/>
      </c>
      <c r="AK116" s="74">
        <f>(AK11+AK12+AK21+AK28+AK35)*Inputs!$B$128</f>
        <v/>
      </c>
      <c r="AL116" s="74">
        <f>(AL11+AL12+AL21+AL28+AL35)*Inputs!$B$128</f>
        <v/>
      </c>
      <c r="AM116" s="74">
        <f>(AM11+AM12+AM21+AM28+AM35)*Inputs!$B$128</f>
        <v/>
      </c>
      <c r="AN116" s="74">
        <f>(AN11+AN12+AN21+AN28+AN35)*Inputs!$B$128</f>
        <v/>
      </c>
      <c r="AO116" s="74">
        <f>(AO11+AO12+AO21+AO28+AO35)*Inputs!$B$128</f>
        <v/>
      </c>
      <c r="AP116" s="74">
        <f>(AP11+AP12+AP21+AP28+AP35)*Inputs!$B$128</f>
        <v/>
      </c>
      <c r="AQ116" s="74">
        <f>(AQ11+AQ12+AQ21+AQ28+AQ35)*Inputs!$B$128</f>
        <v/>
      </c>
      <c r="AR116" s="74">
        <f>(AR11+AR12+AR21+AR28+AR35)*Inputs!$B$128</f>
        <v/>
      </c>
      <c r="AS116" s="74">
        <f>(AS11+AS12+AS21+AS28+AS35)*Inputs!$B$128</f>
        <v/>
      </c>
      <c r="AT116" s="74">
        <f>(AT11+AT12+AT21+AT28+AT35)*Inputs!$B$128</f>
        <v/>
      </c>
      <c r="AU116" s="74">
        <f>(AU11+AU12+AU21+AU28+AU35)*Inputs!$B$128</f>
        <v/>
      </c>
      <c r="AV116" s="74">
        <f>(AV11+AV12+AV21+AV28+AV35)*Inputs!$B$128</f>
        <v/>
      </c>
      <c r="AW116" s="74">
        <f>(AW11+AW12+AW21+AW28+AW35)*Inputs!$B$128</f>
        <v/>
      </c>
      <c r="AX116" s="74">
        <f>(AX11+AX12+AX21+AX28+AX35)*Inputs!$B$128</f>
        <v/>
      </c>
      <c r="AY116" s="74">
        <f>(AY11+AY12+AY21+AY28+AY35)*Inputs!$B$128</f>
        <v/>
      </c>
      <c r="AZ116" s="74">
        <f>(AZ11+AZ12+AZ21+AZ28+AZ35)*Inputs!$B$128</f>
        <v/>
      </c>
      <c r="BA116" s="74">
        <f>(BA11+BA12+BA21+BA28+BA35)*Inputs!$B$128</f>
        <v/>
      </c>
    </row>
    <row r="117" ht="14.25" customHeight="1" s="83">
      <c r="A117" s="2" t="inlineStr">
        <is>
          <t>TOTAL MARKETING &amp; SALES</t>
        </is>
      </c>
      <c r="B117" s="72">
        <f>SUM(B111:B116)</f>
        <v/>
      </c>
      <c r="C117" s="72">
        <f>SUM(C111:C116)</f>
        <v/>
      </c>
      <c r="D117" s="72">
        <f>SUM(D111:D116)</f>
        <v/>
      </c>
      <c r="E117" s="72">
        <f>SUM(E111:E116)</f>
        <v/>
      </c>
      <c r="F117" s="72">
        <f>SUM(F111:F116)</f>
        <v/>
      </c>
      <c r="G117" s="72">
        <f>SUM(G111:G116)</f>
        <v/>
      </c>
      <c r="H117" s="72">
        <f>SUM(H111:H116)</f>
        <v/>
      </c>
      <c r="I117" s="72">
        <f>SUM(I111:I116)</f>
        <v/>
      </c>
      <c r="J117" s="72">
        <f>SUM(J111:J116)</f>
        <v/>
      </c>
      <c r="K117" s="72">
        <f>SUM(K111:K116)</f>
        <v/>
      </c>
      <c r="L117" s="72">
        <f>SUM(L111:L116)</f>
        <v/>
      </c>
      <c r="M117" s="72">
        <f>SUM(M111:M116)</f>
        <v/>
      </c>
      <c r="N117" s="72">
        <f>SUM(N111:N116)</f>
        <v/>
      </c>
      <c r="O117" s="72">
        <f>SUM(O111:O116)</f>
        <v/>
      </c>
      <c r="P117" s="72">
        <f>SUM(P111:P116)</f>
        <v/>
      </c>
      <c r="Q117" s="72">
        <f>SUM(Q111:Q116)</f>
        <v/>
      </c>
      <c r="R117" s="72">
        <f>SUM(R111:R116)</f>
        <v/>
      </c>
      <c r="S117" s="72">
        <f>SUM(S111:S116)</f>
        <v/>
      </c>
      <c r="T117" s="72">
        <f>SUM(T111:T116)</f>
        <v/>
      </c>
      <c r="U117" s="72">
        <f>SUM(U111:U116)</f>
        <v/>
      </c>
      <c r="V117" s="72">
        <f>SUM(V111:V116)</f>
        <v/>
      </c>
      <c r="W117" s="72">
        <f>SUM(W111:W116)</f>
        <v/>
      </c>
      <c r="X117" s="72">
        <f>SUM(X111:X116)</f>
        <v/>
      </c>
      <c r="Y117" s="72">
        <f>SUM(Y111:Y116)</f>
        <v/>
      </c>
      <c r="Z117" s="72">
        <f>SUM(Z111:Z116)</f>
        <v/>
      </c>
      <c r="AA117" s="72">
        <f>SUM(AA111:AA116)</f>
        <v/>
      </c>
      <c r="AB117" s="72">
        <f>SUM(AB111:AB116)</f>
        <v/>
      </c>
      <c r="AC117" s="72">
        <f>SUM(AC111:AC116)</f>
        <v/>
      </c>
      <c r="AD117" s="72">
        <f>SUM(AD111:AD116)</f>
        <v/>
      </c>
      <c r="AE117" s="72">
        <f>SUM(AE111:AE116)</f>
        <v/>
      </c>
      <c r="AF117" s="72">
        <f>SUM(AF111:AF116)</f>
        <v/>
      </c>
      <c r="AG117" s="72">
        <f>SUM(AG111:AG116)</f>
        <v/>
      </c>
      <c r="AH117" s="72">
        <f>SUM(AH111:AH116)</f>
        <v/>
      </c>
      <c r="AI117" s="72">
        <f>SUM(AI111:AI116)</f>
        <v/>
      </c>
      <c r="AJ117" s="72">
        <f>SUM(AJ111:AJ116)</f>
        <v/>
      </c>
      <c r="AK117" s="72">
        <f>SUM(AK111:AK116)</f>
        <v/>
      </c>
      <c r="AL117" s="72">
        <f>SUM(AL111:AL116)</f>
        <v/>
      </c>
      <c r="AM117" s="72">
        <f>SUM(AM111:AM116)</f>
        <v/>
      </c>
      <c r="AN117" s="72">
        <f>SUM(AN111:AN116)</f>
        <v/>
      </c>
      <c r="AO117" s="72">
        <f>SUM(AO111:AO116)</f>
        <v/>
      </c>
      <c r="AP117" s="72">
        <f>SUM(AP111:AP116)</f>
        <v/>
      </c>
      <c r="AQ117" s="72">
        <f>SUM(AQ111:AQ116)</f>
        <v/>
      </c>
      <c r="AR117" s="72">
        <f>SUM(AR111:AR116)</f>
        <v/>
      </c>
      <c r="AS117" s="72">
        <f>SUM(AS111:AS116)</f>
        <v/>
      </c>
      <c r="AT117" s="72">
        <f>SUM(AT111:AT116)</f>
        <v/>
      </c>
      <c r="AU117" s="72">
        <f>SUM(AU111:AU116)</f>
        <v/>
      </c>
      <c r="AV117" s="72">
        <f>SUM(AV111:AV116)</f>
        <v/>
      </c>
      <c r="AW117" s="72">
        <f>SUM(AW111:AW116)</f>
        <v/>
      </c>
      <c r="AX117" s="72">
        <f>SUM(AX111:AX116)</f>
        <v/>
      </c>
      <c r="AY117" s="72">
        <f>SUM(AY111:AY116)</f>
        <v/>
      </c>
      <c r="AZ117" s="72">
        <f>SUM(AZ111:AZ116)</f>
        <v/>
      </c>
      <c r="BA117" s="72">
        <f>SUM(BA111:BA116)</f>
        <v/>
      </c>
    </row>
    <row r="118" ht="14.25" customHeight="1" s="83"/>
    <row r="119" ht="14.25" customHeight="1" s="83">
      <c r="A119" s="2" t="inlineStr">
        <is>
          <t>SONSTIGE KOSTEN</t>
        </is>
      </c>
    </row>
    <row r="120" ht="14.25" customHeight="1" s="83">
      <c r="A120" s="77" t="inlineStr">
        <is>
          <t>Reisekosten allgemein</t>
        </is>
      </c>
      <c r="B120" s="74">
        <f>B38*Inputs!$B$131/12</f>
        <v/>
      </c>
      <c r="C120" s="74">
        <f>C38*Inputs!$B$131/12</f>
        <v/>
      </c>
      <c r="D120" s="74">
        <f>D38*Inputs!$B$131/12</f>
        <v/>
      </c>
      <c r="E120" s="74">
        <f>E38*Inputs!$B$131/12</f>
        <v/>
      </c>
      <c r="F120" s="74">
        <f>F38*Inputs!$B$131/12</f>
        <v/>
      </c>
      <c r="G120" s="74">
        <f>G38*Inputs!$B$131/12</f>
        <v/>
      </c>
      <c r="H120" s="74">
        <f>H38*Inputs!$B$131/12</f>
        <v/>
      </c>
      <c r="I120" s="74">
        <f>I38*Inputs!$B$131/12</f>
        <v/>
      </c>
      <c r="J120" s="74">
        <f>J38*Inputs!$B$131/12</f>
        <v/>
      </c>
      <c r="K120" s="74">
        <f>K38*Inputs!$B$131/12</f>
        <v/>
      </c>
      <c r="L120" s="74">
        <f>L38*Inputs!$B$131/12</f>
        <v/>
      </c>
      <c r="M120" s="74">
        <f>M38*Inputs!$B$131/12</f>
        <v/>
      </c>
      <c r="N120" s="74">
        <f>N38*Inputs!$B$131/12</f>
        <v/>
      </c>
      <c r="O120" s="74">
        <f>O38*Inputs!$B$131/12</f>
        <v/>
      </c>
      <c r="P120" s="74">
        <f>P38*Inputs!$B$131/12</f>
        <v/>
      </c>
      <c r="Q120" s="74">
        <f>Q38*Inputs!$B$131/12</f>
        <v/>
      </c>
      <c r="R120" s="74">
        <f>R38*Inputs!$B$131/12</f>
        <v/>
      </c>
      <c r="S120" s="74">
        <f>S38*Inputs!$B$131/12</f>
        <v/>
      </c>
      <c r="T120" s="74">
        <f>T38*Inputs!$B$131/12</f>
        <v/>
      </c>
      <c r="U120" s="74">
        <f>U38*Inputs!$B$131/12</f>
        <v/>
      </c>
      <c r="V120" s="74">
        <f>V38*Inputs!$B$131/12</f>
        <v/>
      </c>
      <c r="W120" s="74">
        <f>W38*Inputs!$B$131/12</f>
        <v/>
      </c>
      <c r="X120" s="74">
        <f>X38*Inputs!$B$131/12</f>
        <v/>
      </c>
      <c r="Y120" s="74">
        <f>Y38*Inputs!$B$131/12</f>
        <v/>
      </c>
      <c r="Z120" s="74">
        <f>Z38*Inputs!$B$131/12</f>
        <v/>
      </c>
      <c r="AA120" s="74">
        <f>AA38*Inputs!$B$131/12</f>
        <v/>
      </c>
      <c r="AB120" s="74">
        <f>AB38*Inputs!$B$131/12</f>
        <v/>
      </c>
      <c r="AC120" s="74">
        <f>AC38*Inputs!$B$131/12</f>
        <v/>
      </c>
      <c r="AD120" s="74">
        <f>AD38*Inputs!$B$131/12</f>
        <v/>
      </c>
      <c r="AE120" s="74">
        <f>AE38*Inputs!$B$131/12</f>
        <v/>
      </c>
      <c r="AF120" s="74">
        <f>AF38*Inputs!$B$131/12</f>
        <v/>
      </c>
      <c r="AG120" s="74">
        <f>AG38*Inputs!$B$131/12</f>
        <v/>
      </c>
      <c r="AH120" s="74">
        <f>AH38*Inputs!$B$131/12</f>
        <v/>
      </c>
      <c r="AI120" s="74">
        <f>AI38*Inputs!$B$131/12</f>
        <v/>
      </c>
      <c r="AJ120" s="74">
        <f>AJ38*Inputs!$B$131/12</f>
        <v/>
      </c>
      <c r="AK120" s="74">
        <f>AK38*Inputs!$B$131/12</f>
        <v/>
      </c>
      <c r="AL120" s="74">
        <f>AL38*Inputs!$B$131/12</f>
        <v/>
      </c>
      <c r="AM120" s="74">
        <f>AM38*Inputs!$B$131/12</f>
        <v/>
      </c>
      <c r="AN120" s="74">
        <f>AN38*Inputs!$B$131/12</f>
        <v/>
      </c>
      <c r="AO120" s="74">
        <f>AO38*Inputs!$B$131/12</f>
        <v/>
      </c>
      <c r="AP120" s="74">
        <f>AP38*Inputs!$B$131/12</f>
        <v/>
      </c>
      <c r="AQ120" s="74">
        <f>AQ38*Inputs!$B$131/12</f>
        <v/>
      </c>
      <c r="AR120" s="74">
        <f>AR38*Inputs!$B$131/12</f>
        <v/>
      </c>
      <c r="AS120" s="74">
        <f>AS38*Inputs!$B$131/12</f>
        <v/>
      </c>
      <c r="AT120" s="74">
        <f>AT38*Inputs!$B$131/12</f>
        <v/>
      </c>
      <c r="AU120" s="74">
        <f>AU38*Inputs!$B$131/12</f>
        <v/>
      </c>
      <c r="AV120" s="74">
        <f>AV38*Inputs!$B$131/12</f>
        <v/>
      </c>
      <c r="AW120" s="74">
        <f>AW38*Inputs!$B$131/12</f>
        <v/>
      </c>
      <c r="AX120" s="74">
        <f>AX38*Inputs!$B$131/12</f>
        <v/>
      </c>
      <c r="AY120" s="74">
        <f>AY38*Inputs!$B$131/12</f>
        <v/>
      </c>
      <c r="AZ120" s="74">
        <f>AZ38*Inputs!$B$131/12</f>
        <v/>
      </c>
      <c r="BA120" s="74">
        <f>BA38*Inputs!$B$131/12</f>
        <v/>
      </c>
    </row>
    <row r="121" ht="14.25" customHeight="1" s="83">
      <c r="A121" s="77" t="inlineStr">
        <is>
          <t>Weiterbildung</t>
        </is>
      </c>
      <c r="B121" s="74">
        <f>B38*Inputs!$B$132/12</f>
        <v/>
      </c>
      <c r="C121" s="74">
        <f>C38*Inputs!$B$132/12</f>
        <v/>
      </c>
      <c r="D121" s="74">
        <f>D38*Inputs!$B$132/12</f>
        <v/>
      </c>
      <c r="E121" s="74">
        <f>E38*Inputs!$B$132/12</f>
        <v/>
      </c>
      <c r="F121" s="74">
        <f>F38*Inputs!$B$132/12</f>
        <v/>
      </c>
      <c r="G121" s="74">
        <f>G38*Inputs!$B$132/12</f>
        <v/>
      </c>
      <c r="H121" s="74">
        <f>H38*Inputs!$B$132/12</f>
        <v/>
      </c>
      <c r="I121" s="74">
        <f>I38*Inputs!$B$132/12</f>
        <v/>
      </c>
      <c r="J121" s="74">
        <f>J38*Inputs!$B$132/12</f>
        <v/>
      </c>
      <c r="K121" s="74">
        <f>K38*Inputs!$B$132/12</f>
        <v/>
      </c>
      <c r="L121" s="74">
        <f>L38*Inputs!$B$132/12</f>
        <v/>
      </c>
      <c r="M121" s="74">
        <f>M38*Inputs!$B$132/12</f>
        <v/>
      </c>
      <c r="N121" s="74">
        <f>N38*Inputs!$B$132/12</f>
        <v/>
      </c>
      <c r="O121" s="74">
        <f>O38*Inputs!$B$132/12</f>
        <v/>
      </c>
      <c r="P121" s="74">
        <f>P38*Inputs!$B$132/12</f>
        <v/>
      </c>
      <c r="Q121" s="74">
        <f>Q38*Inputs!$B$132/12</f>
        <v/>
      </c>
      <c r="R121" s="74">
        <f>R38*Inputs!$B$132/12</f>
        <v/>
      </c>
      <c r="S121" s="74">
        <f>S38*Inputs!$B$132/12</f>
        <v/>
      </c>
      <c r="T121" s="74">
        <f>T38*Inputs!$B$132/12</f>
        <v/>
      </c>
      <c r="U121" s="74">
        <f>U38*Inputs!$B$132/12</f>
        <v/>
      </c>
      <c r="V121" s="74">
        <f>V38*Inputs!$B$132/12</f>
        <v/>
      </c>
      <c r="W121" s="74">
        <f>W38*Inputs!$B$132/12</f>
        <v/>
      </c>
      <c r="X121" s="74">
        <f>X38*Inputs!$B$132/12</f>
        <v/>
      </c>
      <c r="Y121" s="74">
        <f>Y38*Inputs!$B$132/12</f>
        <v/>
      </c>
      <c r="Z121" s="74">
        <f>Z38*Inputs!$B$132/12</f>
        <v/>
      </c>
      <c r="AA121" s="74">
        <f>AA38*Inputs!$B$132/12</f>
        <v/>
      </c>
      <c r="AB121" s="74">
        <f>AB38*Inputs!$B$132/12</f>
        <v/>
      </c>
      <c r="AC121" s="74">
        <f>AC38*Inputs!$B$132/12</f>
        <v/>
      </c>
      <c r="AD121" s="74">
        <f>AD38*Inputs!$B$132/12</f>
        <v/>
      </c>
      <c r="AE121" s="74">
        <f>AE38*Inputs!$B$132/12</f>
        <v/>
      </c>
      <c r="AF121" s="74">
        <f>AF38*Inputs!$B$132/12</f>
        <v/>
      </c>
      <c r="AG121" s="74">
        <f>AG38*Inputs!$B$132/12</f>
        <v/>
      </c>
      <c r="AH121" s="74">
        <f>AH38*Inputs!$B$132/12</f>
        <v/>
      </c>
      <c r="AI121" s="74">
        <f>AI38*Inputs!$B$132/12</f>
        <v/>
      </c>
      <c r="AJ121" s="74">
        <f>AJ38*Inputs!$B$132/12</f>
        <v/>
      </c>
      <c r="AK121" s="74">
        <f>AK38*Inputs!$B$132/12</f>
        <v/>
      </c>
      <c r="AL121" s="74">
        <f>AL38*Inputs!$B$132/12</f>
        <v/>
      </c>
      <c r="AM121" s="74">
        <f>AM38*Inputs!$B$132/12</f>
        <v/>
      </c>
      <c r="AN121" s="74">
        <f>AN38*Inputs!$B$132/12</f>
        <v/>
      </c>
      <c r="AO121" s="74">
        <f>AO38*Inputs!$B$132/12</f>
        <v/>
      </c>
      <c r="AP121" s="74">
        <f>AP38*Inputs!$B$132/12</f>
        <v/>
      </c>
      <c r="AQ121" s="74">
        <f>AQ38*Inputs!$B$132/12</f>
        <v/>
      </c>
      <c r="AR121" s="74">
        <f>AR38*Inputs!$B$132/12</f>
        <v/>
      </c>
      <c r="AS121" s="74">
        <f>AS38*Inputs!$B$132/12</f>
        <v/>
      </c>
      <c r="AT121" s="74">
        <f>AT38*Inputs!$B$132/12</f>
        <v/>
      </c>
      <c r="AU121" s="74">
        <f>AU38*Inputs!$B$132/12</f>
        <v/>
      </c>
      <c r="AV121" s="74">
        <f>AV38*Inputs!$B$132/12</f>
        <v/>
      </c>
      <c r="AW121" s="74">
        <f>AW38*Inputs!$B$132/12</f>
        <v/>
      </c>
      <c r="AX121" s="74">
        <f>AX38*Inputs!$B$132/12</f>
        <v/>
      </c>
      <c r="AY121" s="74">
        <f>AY38*Inputs!$B$132/12</f>
        <v/>
      </c>
      <c r="AZ121" s="74">
        <f>AZ38*Inputs!$B$132/12</f>
        <v/>
      </c>
      <c r="BA121" s="74">
        <f>BA38*Inputs!$B$132/12</f>
        <v/>
      </c>
    </row>
    <row r="122" ht="14.25" customHeight="1" s="83">
      <c r="A122" s="77" t="inlineStr">
        <is>
          <t>Team Events</t>
        </is>
      </c>
      <c r="B122" s="74">
        <f>B38*Inputs!$B$133/12</f>
        <v/>
      </c>
      <c r="C122" s="74">
        <f>C38*Inputs!$B$133/12</f>
        <v/>
      </c>
      <c r="D122" s="74">
        <f>D38*Inputs!$B$133/12</f>
        <v/>
      </c>
      <c r="E122" s="74">
        <f>E38*Inputs!$B$133/12</f>
        <v/>
      </c>
      <c r="F122" s="74">
        <f>F38*Inputs!$B$133/12</f>
        <v/>
      </c>
      <c r="G122" s="74">
        <f>G38*Inputs!$B$133/12</f>
        <v/>
      </c>
      <c r="H122" s="74">
        <f>H38*Inputs!$B$133/12</f>
        <v/>
      </c>
      <c r="I122" s="74">
        <f>I38*Inputs!$B$133/12</f>
        <v/>
      </c>
      <c r="J122" s="74">
        <f>J38*Inputs!$B$133/12</f>
        <v/>
      </c>
      <c r="K122" s="74">
        <f>K38*Inputs!$B$133/12</f>
        <v/>
      </c>
      <c r="L122" s="74">
        <f>L38*Inputs!$B$133/12</f>
        <v/>
      </c>
      <c r="M122" s="74">
        <f>M38*Inputs!$B$133/12</f>
        <v/>
      </c>
      <c r="N122" s="74">
        <f>N38*Inputs!$B$133/12</f>
        <v/>
      </c>
      <c r="O122" s="74">
        <f>O38*Inputs!$B$133/12</f>
        <v/>
      </c>
      <c r="P122" s="74">
        <f>P38*Inputs!$B$133/12</f>
        <v/>
      </c>
      <c r="Q122" s="74">
        <f>Q38*Inputs!$B$133/12</f>
        <v/>
      </c>
      <c r="R122" s="74">
        <f>R38*Inputs!$B$133/12</f>
        <v/>
      </c>
      <c r="S122" s="74">
        <f>S38*Inputs!$B$133/12</f>
        <v/>
      </c>
      <c r="T122" s="74">
        <f>T38*Inputs!$B$133/12</f>
        <v/>
      </c>
      <c r="U122" s="74">
        <f>U38*Inputs!$B$133/12</f>
        <v/>
      </c>
      <c r="V122" s="74">
        <f>V38*Inputs!$B$133/12</f>
        <v/>
      </c>
      <c r="W122" s="74">
        <f>W38*Inputs!$B$133/12</f>
        <v/>
      </c>
      <c r="X122" s="74">
        <f>X38*Inputs!$B$133/12</f>
        <v/>
      </c>
      <c r="Y122" s="74">
        <f>Y38*Inputs!$B$133/12</f>
        <v/>
      </c>
      <c r="Z122" s="74">
        <f>Z38*Inputs!$B$133/12</f>
        <v/>
      </c>
      <c r="AA122" s="74">
        <f>AA38*Inputs!$B$133/12</f>
        <v/>
      </c>
      <c r="AB122" s="74">
        <f>AB38*Inputs!$B$133/12</f>
        <v/>
      </c>
      <c r="AC122" s="74">
        <f>AC38*Inputs!$B$133/12</f>
        <v/>
      </c>
      <c r="AD122" s="74">
        <f>AD38*Inputs!$B$133/12</f>
        <v/>
      </c>
      <c r="AE122" s="74">
        <f>AE38*Inputs!$B$133/12</f>
        <v/>
      </c>
      <c r="AF122" s="74">
        <f>AF38*Inputs!$B$133/12</f>
        <v/>
      </c>
      <c r="AG122" s="74">
        <f>AG38*Inputs!$B$133/12</f>
        <v/>
      </c>
      <c r="AH122" s="74">
        <f>AH38*Inputs!$B$133/12</f>
        <v/>
      </c>
      <c r="AI122" s="74">
        <f>AI38*Inputs!$B$133/12</f>
        <v/>
      </c>
      <c r="AJ122" s="74">
        <f>AJ38*Inputs!$B$133/12</f>
        <v/>
      </c>
      <c r="AK122" s="74">
        <f>AK38*Inputs!$B$133/12</f>
        <v/>
      </c>
      <c r="AL122" s="74">
        <f>AL38*Inputs!$B$133/12</f>
        <v/>
      </c>
      <c r="AM122" s="74">
        <f>AM38*Inputs!$B$133/12</f>
        <v/>
      </c>
      <c r="AN122" s="74">
        <f>AN38*Inputs!$B$133/12</f>
        <v/>
      </c>
      <c r="AO122" s="74">
        <f>AO38*Inputs!$B$133/12</f>
        <v/>
      </c>
      <c r="AP122" s="74">
        <f>AP38*Inputs!$B$133/12</f>
        <v/>
      </c>
      <c r="AQ122" s="74">
        <f>AQ38*Inputs!$B$133/12</f>
        <v/>
      </c>
      <c r="AR122" s="74">
        <f>AR38*Inputs!$B$133/12</f>
        <v/>
      </c>
      <c r="AS122" s="74">
        <f>AS38*Inputs!$B$133/12</f>
        <v/>
      </c>
      <c r="AT122" s="74">
        <f>AT38*Inputs!$B$133/12</f>
        <v/>
      </c>
      <c r="AU122" s="74">
        <f>AU38*Inputs!$B$133/12</f>
        <v/>
      </c>
      <c r="AV122" s="74">
        <f>AV38*Inputs!$B$133/12</f>
        <v/>
      </c>
      <c r="AW122" s="74">
        <f>AW38*Inputs!$B$133/12</f>
        <v/>
      </c>
      <c r="AX122" s="74">
        <f>AX38*Inputs!$B$133/12</f>
        <v/>
      </c>
      <c r="AY122" s="74">
        <f>AY38*Inputs!$B$133/12</f>
        <v/>
      </c>
      <c r="AZ122" s="74">
        <f>AZ38*Inputs!$B$133/12</f>
        <v/>
      </c>
      <c r="BA122" s="74">
        <f>BA38*Inputs!$B$133/12</f>
        <v/>
      </c>
    </row>
    <row r="123" ht="14.25" customHeight="1" s="83">
      <c r="A123" s="77" t="inlineStr">
        <is>
          <t>Hardware (neue MA)</t>
        </is>
      </c>
      <c r="B123" s="74">
        <f>B38*(Inputs!$B$92+Inputs!$B$93)</f>
        <v/>
      </c>
      <c r="C123" s="74">
        <f>MAX(0,C38-B38)*(Inputs!$B$92+Inputs!$B$93)</f>
        <v/>
      </c>
      <c r="D123" s="74">
        <f>MAX(0,D38-C38)*(Inputs!$B$92+Inputs!$B$93)</f>
        <v/>
      </c>
      <c r="E123" s="74">
        <f>MAX(0,E38-D38)*(Inputs!$B$92+Inputs!$B$93)</f>
        <v/>
      </c>
      <c r="F123" s="74">
        <f>MAX(0,F38-E38)*(Inputs!$B$92+Inputs!$B$93)</f>
        <v/>
      </c>
      <c r="G123" s="74">
        <f>MAX(0,G38-F38)*(Inputs!$B$92+Inputs!$B$93)</f>
        <v/>
      </c>
      <c r="H123" s="74">
        <f>MAX(0,H38-G38)*(Inputs!$B$92+Inputs!$B$93)</f>
        <v/>
      </c>
      <c r="I123" s="74">
        <f>MAX(0,I38-H38)*(Inputs!$B$92+Inputs!$B$93)</f>
        <v/>
      </c>
      <c r="J123" s="74">
        <f>MAX(0,J38-I38)*(Inputs!$B$92+Inputs!$B$93)</f>
        <v/>
      </c>
      <c r="K123" s="74">
        <f>MAX(0,K38-J38)*(Inputs!$B$92+Inputs!$B$93)</f>
        <v/>
      </c>
      <c r="L123" s="74">
        <f>MAX(0,L38-K38)*(Inputs!$B$92+Inputs!$B$93)</f>
        <v/>
      </c>
      <c r="M123" s="74">
        <f>MAX(0,M38-L38)*(Inputs!$B$92+Inputs!$B$93)</f>
        <v/>
      </c>
      <c r="N123" s="74">
        <f>MAX(0,N38-M38)*(Inputs!$B$92+Inputs!$B$93)</f>
        <v/>
      </c>
      <c r="O123" s="74">
        <f>MAX(0,O38-N38)*(Inputs!$B$92+Inputs!$B$93)</f>
        <v/>
      </c>
      <c r="P123" s="74">
        <f>MAX(0,P38-O38)*(Inputs!$B$92+Inputs!$B$93)</f>
        <v/>
      </c>
      <c r="Q123" s="74">
        <f>MAX(0,Q38-P38)*(Inputs!$B$92+Inputs!$B$93)</f>
        <v/>
      </c>
      <c r="R123" s="74">
        <f>MAX(0,R38-Q38)*(Inputs!$B$92+Inputs!$B$93)</f>
        <v/>
      </c>
      <c r="S123" s="74">
        <f>MAX(0,S38-R38)*(Inputs!$B$92+Inputs!$B$93)</f>
        <v/>
      </c>
      <c r="T123" s="74">
        <f>MAX(0,T38-S38)*(Inputs!$B$92+Inputs!$B$93)</f>
        <v/>
      </c>
      <c r="U123" s="74">
        <f>MAX(0,U38-T38)*(Inputs!$B$92+Inputs!$B$93)</f>
        <v/>
      </c>
      <c r="V123" s="74">
        <f>MAX(0,V38-U38)*(Inputs!$B$92+Inputs!$B$93)</f>
        <v/>
      </c>
      <c r="W123" s="74">
        <f>MAX(0,W38-V38)*(Inputs!$B$92+Inputs!$B$93)</f>
        <v/>
      </c>
      <c r="X123" s="74">
        <f>MAX(0,X38-W38)*(Inputs!$B$92+Inputs!$B$93)</f>
        <v/>
      </c>
      <c r="Y123" s="74">
        <f>MAX(0,Y38-X38)*(Inputs!$B$92+Inputs!$B$93)</f>
        <v/>
      </c>
      <c r="Z123" s="74">
        <f>MAX(0,Z38-Y38)*(Inputs!$B$92+Inputs!$B$93)</f>
        <v/>
      </c>
      <c r="AA123" s="74">
        <f>MAX(0,AA38-Z38)*(Inputs!$B$92+Inputs!$B$93)</f>
        <v/>
      </c>
      <c r="AB123" s="74">
        <f>MAX(0,AB38-AA38)*(Inputs!$B$92+Inputs!$B$93)</f>
        <v/>
      </c>
      <c r="AC123" s="74">
        <f>MAX(0,AC38-AB38)*(Inputs!$B$92+Inputs!$B$93)</f>
        <v/>
      </c>
      <c r="AD123" s="74">
        <f>MAX(0,AD38-AC38)*(Inputs!$B$92+Inputs!$B$93)</f>
        <v/>
      </c>
      <c r="AE123" s="74">
        <f>MAX(0,AE38-AD38)*(Inputs!$B$92+Inputs!$B$93)</f>
        <v/>
      </c>
      <c r="AF123" s="74">
        <f>MAX(0,AF38-AE38)*(Inputs!$B$92+Inputs!$B$93)</f>
        <v/>
      </c>
      <c r="AG123" s="74">
        <f>MAX(0,AG38-AF38)*(Inputs!$B$92+Inputs!$B$93)</f>
        <v/>
      </c>
      <c r="AH123" s="74">
        <f>MAX(0,AH38-AG38)*(Inputs!$B$92+Inputs!$B$93)</f>
        <v/>
      </c>
      <c r="AI123" s="74">
        <f>MAX(0,AI38-AH38)*(Inputs!$B$92+Inputs!$B$93)</f>
        <v/>
      </c>
      <c r="AJ123" s="74">
        <f>MAX(0,AJ38-AI38)*(Inputs!$B$92+Inputs!$B$93)</f>
        <v/>
      </c>
      <c r="AK123" s="74">
        <f>MAX(0,AK38-AJ38)*(Inputs!$B$92+Inputs!$B$93)</f>
        <v/>
      </c>
      <c r="AL123" s="74">
        <f>MAX(0,AL38-AK38)*(Inputs!$B$92+Inputs!$B$93)</f>
        <v/>
      </c>
      <c r="AM123" s="74">
        <f>MAX(0,AM38-AL38)*(Inputs!$B$92+Inputs!$B$93)</f>
        <v/>
      </c>
      <c r="AN123" s="74">
        <f>MAX(0,AN38-AM38)*(Inputs!$B$92+Inputs!$B$93)</f>
        <v/>
      </c>
      <c r="AO123" s="74">
        <f>MAX(0,AO38-AN38)*(Inputs!$B$92+Inputs!$B$93)</f>
        <v/>
      </c>
      <c r="AP123" s="74">
        <f>MAX(0,AP38-AO38)*(Inputs!$B$92+Inputs!$B$93)</f>
        <v/>
      </c>
      <c r="AQ123" s="74">
        <f>MAX(0,AQ38-AP38)*(Inputs!$B$92+Inputs!$B$93)</f>
        <v/>
      </c>
      <c r="AR123" s="74">
        <f>MAX(0,AR38-AQ38)*(Inputs!$B$92+Inputs!$B$93)</f>
        <v/>
      </c>
      <c r="AS123" s="74">
        <f>MAX(0,AS38-AR38)*(Inputs!$B$92+Inputs!$B$93)</f>
        <v/>
      </c>
      <c r="AT123" s="74">
        <f>MAX(0,AT38-AS38)*(Inputs!$B$92+Inputs!$B$93)</f>
        <v/>
      </c>
      <c r="AU123" s="74">
        <f>MAX(0,AU38-AT38)*(Inputs!$B$92+Inputs!$B$93)</f>
        <v/>
      </c>
      <c r="AV123" s="74">
        <f>MAX(0,AV38-AU38)*(Inputs!$B$92+Inputs!$B$93)</f>
        <v/>
      </c>
      <c r="AW123" s="74">
        <f>MAX(0,AW38-AV38)*(Inputs!$B$92+Inputs!$B$93)</f>
        <v/>
      </c>
      <c r="AX123" s="74">
        <f>MAX(0,AX38-AW38)*(Inputs!$B$92+Inputs!$B$93)</f>
        <v/>
      </c>
      <c r="AY123" s="74">
        <f>MAX(0,AY38-AX38)*(Inputs!$B$92+Inputs!$B$93)</f>
        <v/>
      </c>
      <c r="AZ123" s="74">
        <f>MAX(0,AZ38-AY38)*(Inputs!$B$92+Inputs!$B$93)</f>
        <v/>
      </c>
      <c r="BA123" s="74">
        <f>MAX(0,BA38-AZ38)*(Inputs!$B$92+Inputs!$B$93)</f>
        <v/>
      </c>
    </row>
    <row r="124" ht="14.25" customHeight="1" s="83">
      <c r="A124" s="77" t="inlineStr">
        <is>
          <t>Sonstige IT-Ausstattung</t>
        </is>
      </c>
      <c r="B124" s="74">
        <f>Inputs!$B$95/12</f>
        <v/>
      </c>
      <c r="C124" s="74">
        <f>Inputs!$B$95/12</f>
        <v/>
      </c>
      <c r="D124" s="74">
        <f>Inputs!$B$95/12</f>
        <v/>
      </c>
      <c r="E124" s="74">
        <f>Inputs!$B$95/12</f>
        <v/>
      </c>
      <c r="F124" s="74">
        <f>Inputs!$B$95/12</f>
        <v/>
      </c>
      <c r="G124" s="74">
        <f>Inputs!$B$95/12</f>
        <v/>
      </c>
      <c r="H124" s="74">
        <f>Inputs!$B$95/12</f>
        <v/>
      </c>
      <c r="I124" s="74">
        <f>Inputs!$B$95/12</f>
        <v/>
      </c>
      <c r="J124" s="74">
        <f>Inputs!$B$95/12</f>
        <v/>
      </c>
      <c r="K124" s="74">
        <f>Inputs!$B$95/12</f>
        <v/>
      </c>
      <c r="L124" s="74">
        <f>Inputs!$B$95/12</f>
        <v/>
      </c>
      <c r="M124" s="74">
        <f>Inputs!$B$95/12</f>
        <v/>
      </c>
      <c r="N124" s="74">
        <f>Inputs!$B$95/12</f>
        <v/>
      </c>
      <c r="O124" s="74">
        <f>Inputs!$B$95/12</f>
        <v/>
      </c>
      <c r="P124" s="74">
        <f>Inputs!$B$95/12</f>
        <v/>
      </c>
      <c r="Q124" s="74">
        <f>Inputs!$B$95/12</f>
        <v/>
      </c>
      <c r="R124" s="74">
        <f>Inputs!$B$95/12</f>
        <v/>
      </c>
      <c r="S124" s="74">
        <f>Inputs!$B$95/12</f>
        <v/>
      </c>
      <c r="T124" s="74">
        <f>Inputs!$B$95/12</f>
        <v/>
      </c>
      <c r="U124" s="74">
        <f>Inputs!$B$95/12</f>
        <v/>
      </c>
      <c r="V124" s="74">
        <f>Inputs!$B$95/12</f>
        <v/>
      </c>
      <c r="W124" s="74">
        <f>Inputs!$B$95/12</f>
        <v/>
      </c>
      <c r="X124" s="74">
        <f>Inputs!$B$95/12</f>
        <v/>
      </c>
      <c r="Y124" s="74">
        <f>Inputs!$B$95/12</f>
        <v/>
      </c>
      <c r="Z124" s="74">
        <f>Inputs!$B$95/12</f>
        <v/>
      </c>
      <c r="AA124" s="74">
        <f>Inputs!$B$95/12</f>
        <v/>
      </c>
      <c r="AB124" s="74">
        <f>Inputs!$B$95/12</f>
        <v/>
      </c>
      <c r="AC124" s="74">
        <f>Inputs!$B$95/12</f>
        <v/>
      </c>
      <c r="AD124" s="74">
        <f>Inputs!$B$95/12</f>
        <v/>
      </c>
      <c r="AE124" s="74">
        <f>Inputs!$B$95/12</f>
        <v/>
      </c>
      <c r="AF124" s="74">
        <f>Inputs!$B$95/12</f>
        <v/>
      </c>
      <c r="AG124" s="74">
        <f>Inputs!$B$95/12</f>
        <v/>
      </c>
      <c r="AH124" s="74">
        <f>Inputs!$B$95/12</f>
        <v/>
      </c>
      <c r="AI124" s="74">
        <f>Inputs!$B$95/12</f>
        <v/>
      </c>
      <c r="AJ124" s="74">
        <f>Inputs!$B$95/12</f>
        <v/>
      </c>
      <c r="AK124" s="74">
        <f>Inputs!$B$95/12</f>
        <v/>
      </c>
      <c r="AL124" s="74">
        <f>Inputs!$B$95/12</f>
        <v/>
      </c>
      <c r="AM124" s="74">
        <f>Inputs!$B$95/12</f>
        <v/>
      </c>
      <c r="AN124" s="74">
        <f>Inputs!$B$95/12</f>
        <v/>
      </c>
      <c r="AO124" s="74">
        <f>Inputs!$B$95/12</f>
        <v/>
      </c>
      <c r="AP124" s="74">
        <f>Inputs!$B$95/12</f>
        <v/>
      </c>
      <c r="AQ124" s="74">
        <f>Inputs!$B$95/12</f>
        <v/>
      </c>
      <c r="AR124" s="74">
        <f>Inputs!$B$95/12</f>
        <v/>
      </c>
      <c r="AS124" s="74">
        <f>Inputs!$B$95/12</f>
        <v/>
      </c>
      <c r="AT124" s="74">
        <f>Inputs!$B$95/12</f>
        <v/>
      </c>
      <c r="AU124" s="74">
        <f>Inputs!$B$95/12</f>
        <v/>
      </c>
      <c r="AV124" s="74">
        <f>Inputs!$B$95/12</f>
        <v/>
      </c>
      <c r="AW124" s="74">
        <f>Inputs!$B$95/12</f>
        <v/>
      </c>
      <c r="AX124" s="74">
        <f>Inputs!$B$95/12</f>
        <v/>
      </c>
      <c r="AY124" s="74">
        <f>Inputs!$B$95/12</f>
        <v/>
      </c>
      <c r="AZ124" s="74">
        <f>Inputs!$B$95/12</f>
        <v/>
      </c>
      <c r="BA124" s="74">
        <f>Inputs!$B$95/12</f>
        <v/>
      </c>
    </row>
    <row r="125" ht="14.25" customHeight="1" s="83">
      <c r="A125" s="2" t="inlineStr">
        <is>
          <t>TOTAL SONSTIGE</t>
        </is>
      </c>
      <c r="B125" s="72">
        <f>SUM(B120:B124)</f>
        <v/>
      </c>
      <c r="C125" s="72">
        <f>SUM(C120:C124)</f>
        <v/>
      </c>
      <c r="D125" s="72">
        <f>SUM(D120:D124)</f>
        <v/>
      </c>
      <c r="E125" s="72">
        <f>SUM(E120:E124)</f>
        <v/>
      </c>
      <c r="F125" s="72">
        <f>SUM(F120:F124)</f>
        <v/>
      </c>
      <c r="G125" s="72">
        <f>SUM(G120:G124)</f>
        <v/>
      </c>
      <c r="H125" s="72">
        <f>SUM(H120:H124)</f>
        <v/>
      </c>
      <c r="I125" s="72">
        <f>SUM(I120:I124)</f>
        <v/>
      </c>
      <c r="J125" s="72">
        <f>SUM(J120:J124)</f>
        <v/>
      </c>
      <c r="K125" s="72">
        <f>SUM(K120:K124)</f>
        <v/>
      </c>
      <c r="L125" s="72">
        <f>SUM(L120:L124)</f>
        <v/>
      </c>
      <c r="M125" s="72">
        <f>SUM(M120:M124)</f>
        <v/>
      </c>
      <c r="N125" s="72">
        <f>SUM(N120:N124)</f>
        <v/>
      </c>
      <c r="O125" s="72">
        <f>SUM(O120:O124)</f>
        <v/>
      </c>
      <c r="P125" s="72">
        <f>SUM(P120:P124)</f>
        <v/>
      </c>
      <c r="Q125" s="72">
        <f>SUM(Q120:Q124)</f>
        <v/>
      </c>
      <c r="R125" s="72">
        <f>SUM(R120:R124)</f>
        <v/>
      </c>
      <c r="S125" s="72">
        <f>SUM(S120:S124)</f>
        <v/>
      </c>
      <c r="T125" s="72">
        <f>SUM(T120:T124)</f>
        <v/>
      </c>
      <c r="U125" s="72">
        <f>SUM(U120:U124)</f>
        <v/>
      </c>
      <c r="V125" s="72">
        <f>SUM(V120:V124)</f>
        <v/>
      </c>
      <c r="W125" s="72">
        <f>SUM(W120:W124)</f>
        <v/>
      </c>
      <c r="X125" s="72">
        <f>SUM(X120:X124)</f>
        <v/>
      </c>
      <c r="Y125" s="72">
        <f>SUM(Y120:Y124)</f>
        <v/>
      </c>
      <c r="Z125" s="72">
        <f>SUM(Z120:Z124)</f>
        <v/>
      </c>
      <c r="AA125" s="72">
        <f>SUM(AA120:AA124)</f>
        <v/>
      </c>
      <c r="AB125" s="72">
        <f>SUM(AB120:AB124)</f>
        <v/>
      </c>
      <c r="AC125" s="72">
        <f>SUM(AC120:AC124)</f>
        <v/>
      </c>
      <c r="AD125" s="72">
        <f>SUM(AD120:AD124)</f>
        <v/>
      </c>
      <c r="AE125" s="72">
        <f>SUM(AE120:AE124)</f>
        <v/>
      </c>
      <c r="AF125" s="72">
        <f>SUM(AF120:AF124)</f>
        <v/>
      </c>
      <c r="AG125" s="72">
        <f>SUM(AG120:AG124)</f>
        <v/>
      </c>
      <c r="AH125" s="72">
        <f>SUM(AH120:AH124)</f>
        <v/>
      </c>
      <c r="AI125" s="72">
        <f>SUM(AI120:AI124)</f>
        <v/>
      </c>
      <c r="AJ125" s="72">
        <f>SUM(AJ120:AJ124)</f>
        <v/>
      </c>
      <c r="AK125" s="72">
        <f>SUM(AK120:AK124)</f>
        <v/>
      </c>
      <c r="AL125" s="72">
        <f>SUM(AL120:AL124)</f>
        <v/>
      </c>
      <c r="AM125" s="72">
        <f>SUM(AM120:AM124)</f>
        <v/>
      </c>
      <c r="AN125" s="72">
        <f>SUM(AN120:AN124)</f>
        <v/>
      </c>
      <c r="AO125" s="72">
        <f>SUM(AO120:AO124)</f>
        <v/>
      </c>
      <c r="AP125" s="72">
        <f>SUM(AP120:AP124)</f>
        <v/>
      </c>
      <c r="AQ125" s="72">
        <f>SUM(AQ120:AQ124)</f>
        <v/>
      </c>
      <c r="AR125" s="72">
        <f>SUM(AR120:AR124)</f>
        <v/>
      </c>
      <c r="AS125" s="72">
        <f>SUM(AS120:AS124)</f>
        <v/>
      </c>
      <c r="AT125" s="72">
        <f>SUM(AT120:AT124)</f>
        <v/>
      </c>
      <c r="AU125" s="72">
        <f>SUM(AU120:AU124)</f>
        <v/>
      </c>
      <c r="AV125" s="72">
        <f>SUM(AV120:AV124)</f>
        <v/>
      </c>
      <c r="AW125" s="72">
        <f>SUM(AW120:AW124)</f>
        <v/>
      </c>
      <c r="AX125" s="72">
        <f>SUM(AX120:AX124)</f>
        <v/>
      </c>
      <c r="AY125" s="72">
        <f>SUM(AY120:AY124)</f>
        <v/>
      </c>
      <c r="AZ125" s="72">
        <f>SUM(AZ120:AZ124)</f>
        <v/>
      </c>
      <c r="BA125" s="72">
        <f>SUM(BA120:BA124)</f>
        <v/>
      </c>
    </row>
    <row r="126" ht="14.25" customHeight="1" s="83"/>
    <row r="127" ht="14.25" customHeight="1" s="83">
      <c r="A127" s="2" t="inlineStr">
        <is>
          <t>PAYMENT PROCESSING</t>
        </is>
      </c>
    </row>
    <row r="128" ht="14.25" customHeight="1" s="83">
      <c r="A128" s="77" t="inlineStr">
        <is>
          <t>Payment Processing Fees</t>
        </is>
      </c>
      <c r="B128" s="71">
        <f>Revenue!B20*Inputs!$B$119</f>
        <v/>
      </c>
      <c r="C128" s="71">
        <f>Revenue!C20*Inputs!$B$119</f>
        <v/>
      </c>
      <c r="D128" s="71">
        <f>Revenue!D20*Inputs!$B$119</f>
        <v/>
      </c>
      <c r="E128" s="71">
        <f>Revenue!E20*Inputs!$B$119</f>
        <v/>
      </c>
      <c r="F128" s="71">
        <f>Revenue!F20*Inputs!$B$119</f>
        <v/>
      </c>
      <c r="G128" s="71">
        <f>Revenue!G20*Inputs!$B$119</f>
        <v/>
      </c>
      <c r="H128" s="71">
        <f>Revenue!H20*Inputs!$B$119</f>
        <v/>
      </c>
      <c r="I128" s="71">
        <f>Revenue!I20*Inputs!$B$119</f>
        <v/>
      </c>
      <c r="J128" s="71">
        <f>Revenue!J20*Inputs!$B$119</f>
        <v/>
      </c>
      <c r="K128" s="71">
        <f>Revenue!K20*Inputs!$B$119</f>
        <v/>
      </c>
      <c r="L128" s="71">
        <f>Revenue!L20*Inputs!$B$119</f>
        <v/>
      </c>
      <c r="M128" s="71">
        <f>Revenue!M20*Inputs!$B$119</f>
        <v/>
      </c>
      <c r="N128" s="71">
        <f>Revenue!N20*Inputs!$B$119</f>
        <v/>
      </c>
      <c r="O128" s="71">
        <f>Revenue!O20*Inputs!$B$119</f>
        <v/>
      </c>
      <c r="P128" s="71">
        <f>Revenue!P20*Inputs!$B$119</f>
        <v/>
      </c>
      <c r="Q128" s="71">
        <f>Revenue!Q20*Inputs!$B$119</f>
        <v/>
      </c>
      <c r="R128" s="71">
        <f>Revenue!R20*Inputs!$B$119</f>
        <v/>
      </c>
      <c r="S128" s="71">
        <f>Revenue!S20*Inputs!$B$119</f>
        <v/>
      </c>
      <c r="T128" s="71">
        <f>Revenue!T20*Inputs!$B$119</f>
        <v/>
      </c>
      <c r="U128" s="71">
        <f>Revenue!U20*Inputs!$B$119</f>
        <v/>
      </c>
      <c r="V128" s="71">
        <f>Revenue!V20*Inputs!$B$119</f>
        <v/>
      </c>
      <c r="W128" s="71">
        <f>Revenue!W20*Inputs!$B$119</f>
        <v/>
      </c>
      <c r="X128" s="71">
        <f>Revenue!X20*Inputs!$B$119</f>
        <v/>
      </c>
      <c r="Y128" s="71">
        <f>Revenue!Y20*Inputs!$B$119</f>
        <v/>
      </c>
      <c r="Z128" s="71">
        <f>Revenue!Z20*Inputs!$B$119</f>
        <v/>
      </c>
      <c r="AA128" s="71">
        <f>Revenue!AA20*Inputs!$B$119</f>
        <v/>
      </c>
      <c r="AB128" s="71">
        <f>Revenue!AB20*Inputs!$B$119</f>
        <v/>
      </c>
      <c r="AC128" s="71">
        <f>Revenue!AC20*Inputs!$B$119</f>
        <v/>
      </c>
      <c r="AD128" s="71">
        <f>Revenue!AD20*Inputs!$B$119</f>
        <v/>
      </c>
      <c r="AE128" s="71">
        <f>Revenue!AE20*Inputs!$B$119</f>
        <v/>
      </c>
      <c r="AF128" s="71">
        <f>Revenue!AF20*Inputs!$B$119</f>
        <v/>
      </c>
      <c r="AG128" s="71">
        <f>Revenue!AG20*Inputs!$B$119</f>
        <v/>
      </c>
      <c r="AH128" s="71">
        <f>Revenue!AH20*Inputs!$B$119</f>
        <v/>
      </c>
      <c r="AI128" s="71">
        <f>Revenue!AI20*Inputs!$B$119</f>
        <v/>
      </c>
      <c r="AJ128" s="71">
        <f>Revenue!AJ20*Inputs!$B$119</f>
        <v/>
      </c>
      <c r="AK128" s="71">
        <f>Revenue!AK20*Inputs!$B$119</f>
        <v/>
      </c>
      <c r="AL128" s="71">
        <f>Revenue!AL20*Inputs!$B$119</f>
        <v/>
      </c>
      <c r="AM128" s="71">
        <f>Revenue!AM20*Inputs!$B$119</f>
        <v/>
      </c>
      <c r="AN128" s="71">
        <f>Revenue!AN20*Inputs!$B$119</f>
        <v/>
      </c>
      <c r="AO128" s="71">
        <f>Revenue!AO20*Inputs!$B$119</f>
        <v/>
      </c>
      <c r="AP128" s="71">
        <f>Revenue!AP20*Inputs!$B$119</f>
        <v/>
      </c>
      <c r="AQ128" s="71">
        <f>Revenue!AQ20*Inputs!$B$119</f>
        <v/>
      </c>
      <c r="AR128" s="71">
        <f>Revenue!AR20*Inputs!$B$119</f>
        <v/>
      </c>
      <c r="AS128" s="71">
        <f>Revenue!AS20*Inputs!$B$119</f>
        <v/>
      </c>
      <c r="AT128" s="71">
        <f>Revenue!AT20*Inputs!$B$119</f>
        <v/>
      </c>
      <c r="AU128" s="71">
        <f>Revenue!AU20*Inputs!$B$119</f>
        <v/>
      </c>
      <c r="AV128" s="71">
        <f>Revenue!AV20*Inputs!$B$119</f>
        <v/>
      </c>
      <c r="AW128" s="71">
        <f>Revenue!AW20*Inputs!$B$119</f>
        <v/>
      </c>
      <c r="AX128" s="71">
        <f>Revenue!AX20*Inputs!$B$119</f>
        <v/>
      </c>
      <c r="AY128" s="71">
        <f>Revenue!AY20*Inputs!$B$119</f>
        <v/>
      </c>
      <c r="AZ128" s="71">
        <f>Revenue!AZ20*Inputs!$B$119</f>
        <v/>
      </c>
      <c r="BA128" s="71">
        <f>Revenue!BA20*Inputs!$B$119</f>
        <v/>
      </c>
    </row>
    <row r="129" ht="14.25" customHeight="1" s="83"/>
    <row r="130" ht="14.25" customHeight="1" s="83">
      <c r="A130" s="77" t="inlineStr">
        <is>
          <t>Puffer/Unvorhergesehenes</t>
        </is>
      </c>
      <c r="B130" s="74">
        <f>(B78+B87+B94+B101+B108+B117+B125)*Inputs!$B$134</f>
        <v/>
      </c>
      <c r="C130" s="74">
        <f>(C78+C87+C94+C101+C108+C117+C125)*Inputs!$B$134</f>
        <v/>
      </c>
      <c r="D130" s="74">
        <f>(D78+D87+D94+D101+D108+D117+D125)*Inputs!$B$134</f>
        <v/>
      </c>
      <c r="E130" s="74">
        <f>(E78+E87+E94+E101+E108+E117+E125)*Inputs!$B$134</f>
        <v/>
      </c>
      <c r="F130" s="74">
        <f>(F78+F87+F94+F101+F108+F117+F125)*Inputs!$B$134</f>
        <v/>
      </c>
      <c r="G130" s="74">
        <f>(G78+G87+G94+G101+G108+G117+G125)*Inputs!$B$134</f>
        <v/>
      </c>
      <c r="H130" s="74">
        <f>(H78+H87+H94+H101+H108+H117+H125)*Inputs!$B$134</f>
        <v/>
      </c>
      <c r="I130" s="74">
        <f>(I78+I87+I94+I101+I108+I117+I125)*Inputs!$B$134</f>
        <v/>
      </c>
      <c r="J130" s="74">
        <f>(J78+J87+J94+J101+J108+J117+J125)*Inputs!$B$134</f>
        <v/>
      </c>
      <c r="K130" s="74">
        <f>(K78+K87+K94+K101+K108+K117+K125)*Inputs!$B$134</f>
        <v/>
      </c>
      <c r="L130" s="74">
        <f>(L78+L87+L94+L101+L108+L117+L125)*Inputs!$B$134</f>
        <v/>
      </c>
      <c r="M130" s="74">
        <f>(M78+M87+M94+M101+M108+M117+M125)*Inputs!$B$134</f>
        <v/>
      </c>
      <c r="N130" s="74">
        <f>(N78+N87+N94+N101+N108+N117+N125)*Inputs!$B$134</f>
        <v/>
      </c>
      <c r="O130" s="74">
        <f>(O78+O87+O94+O101+O108+O117+O125)*Inputs!$B$134</f>
        <v/>
      </c>
      <c r="P130" s="74">
        <f>(P78+P87+P94+P101+P108+P117+P125)*Inputs!$B$134</f>
        <v/>
      </c>
      <c r="Q130" s="74">
        <f>(Q78+Q87+Q94+Q101+Q108+Q117+Q125)*Inputs!$B$134</f>
        <v/>
      </c>
      <c r="R130" s="74">
        <f>(R78+R87+R94+R101+R108+R117+R125)*Inputs!$B$134</f>
        <v/>
      </c>
      <c r="S130" s="74">
        <f>(S78+S87+S94+S101+S108+S117+S125)*Inputs!$B$134</f>
        <v/>
      </c>
      <c r="T130" s="74">
        <f>(T78+T87+T94+T101+T108+T117+T125)*Inputs!$B$134</f>
        <v/>
      </c>
      <c r="U130" s="74">
        <f>(U78+U87+U94+U101+U108+U117+U125)*Inputs!$B$134</f>
        <v/>
      </c>
      <c r="V130" s="74">
        <f>(V78+V87+V94+V101+V108+V117+V125)*Inputs!$B$134</f>
        <v/>
      </c>
      <c r="W130" s="74">
        <f>(W78+W87+W94+W101+W108+W117+W125)*Inputs!$B$134</f>
        <v/>
      </c>
      <c r="X130" s="74">
        <f>(X78+X87+X94+X101+X108+X117+X125)*Inputs!$B$134</f>
        <v/>
      </c>
      <c r="Y130" s="74">
        <f>(Y78+Y87+Y94+Y101+Y108+Y117+Y125)*Inputs!$B$134</f>
        <v/>
      </c>
      <c r="Z130" s="74">
        <f>(Z78+Z87+Z94+Z101+Z108+Z117+Z125)*Inputs!$B$134</f>
        <v/>
      </c>
      <c r="AA130" s="74">
        <f>(AA78+AA87+AA94+AA101+AA108+AA117+AA125)*Inputs!$B$134</f>
        <v/>
      </c>
      <c r="AB130" s="74">
        <f>(AB78+AB87+AB94+AB101+AB108+AB117+AB125)*Inputs!$B$134</f>
        <v/>
      </c>
      <c r="AC130" s="74">
        <f>(AC78+AC87+AC94+AC101+AC108+AC117+AC125)*Inputs!$B$134</f>
        <v/>
      </c>
      <c r="AD130" s="74">
        <f>(AD78+AD87+AD94+AD101+AD108+AD117+AD125)*Inputs!$B$134</f>
        <v/>
      </c>
      <c r="AE130" s="74">
        <f>(AE78+AE87+AE94+AE101+AE108+AE117+AE125)*Inputs!$B$134</f>
        <v/>
      </c>
      <c r="AF130" s="74">
        <f>(AF78+AF87+AF94+AF101+AF108+AF117+AF125)*Inputs!$B$134</f>
        <v/>
      </c>
      <c r="AG130" s="74">
        <f>(AG78+AG87+AG94+AG101+AG108+AG117+AG125)*Inputs!$B$134</f>
        <v/>
      </c>
      <c r="AH130" s="74">
        <f>(AH78+AH87+AH94+AH101+AH108+AH117+AH125)*Inputs!$B$134</f>
        <v/>
      </c>
      <c r="AI130" s="74">
        <f>(AI78+AI87+AI94+AI101+AI108+AI117+AI125)*Inputs!$B$134</f>
        <v/>
      </c>
      <c r="AJ130" s="74">
        <f>(AJ78+AJ87+AJ94+AJ101+AJ108+AJ117+AJ125)*Inputs!$B$134</f>
        <v/>
      </c>
      <c r="AK130" s="74">
        <f>(AK78+AK87+AK94+AK101+AK108+AK117+AK125)*Inputs!$B$134</f>
        <v/>
      </c>
      <c r="AL130" s="74">
        <f>(AL78+AL87+AL94+AL101+AL108+AL117+AL125)*Inputs!$B$134</f>
        <v/>
      </c>
      <c r="AM130" s="74">
        <f>(AM78+AM87+AM94+AM101+AM108+AM117+AM125)*Inputs!$B$134</f>
        <v/>
      </c>
      <c r="AN130" s="74">
        <f>(AN78+AN87+AN94+AN101+AN108+AN117+AN125)*Inputs!$B$134</f>
        <v/>
      </c>
      <c r="AO130" s="74">
        <f>(AO78+AO87+AO94+AO101+AO108+AO117+AO125)*Inputs!$B$134</f>
        <v/>
      </c>
      <c r="AP130" s="74">
        <f>(AP78+AP87+AP94+AP101+AP108+AP117+AP125)*Inputs!$B$134</f>
        <v/>
      </c>
      <c r="AQ130" s="74">
        <f>(AQ78+AQ87+AQ94+AQ101+AQ108+AQ117+AQ125)*Inputs!$B$134</f>
        <v/>
      </c>
      <c r="AR130" s="74">
        <f>(AR78+AR87+AR94+AR101+AR108+AR117+AR125)*Inputs!$B$134</f>
        <v/>
      </c>
      <c r="AS130" s="74">
        <f>(AS78+AS87+AS94+AS101+AS108+AS117+AS125)*Inputs!$B$134</f>
        <v/>
      </c>
      <c r="AT130" s="74">
        <f>(AT78+AT87+AT94+AT101+AT108+AT117+AT125)*Inputs!$B$134</f>
        <v/>
      </c>
      <c r="AU130" s="74">
        <f>(AU78+AU87+AU94+AU101+AU108+AU117+AU125)*Inputs!$B$134</f>
        <v/>
      </c>
      <c r="AV130" s="74">
        <f>(AV78+AV87+AV94+AV101+AV108+AV117+AV125)*Inputs!$B$134</f>
        <v/>
      </c>
      <c r="AW130" s="74">
        <f>(AW78+AW87+AW94+AW101+AW108+AW117+AW125)*Inputs!$B$134</f>
        <v/>
      </c>
      <c r="AX130" s="74">
        <f>(AX78+AX87+AX94+AX101+AX108+AX117+AX125)*Inputs!$B$134</f>
        <v/>
      </c>
      <c r="AY130" s="74">
        <f>(AY78+AY87+AY94+AY101+AY108+AY117+AY125)*Inputs!$B$134</f>
        <v/>
      </c>
      <c r="AZ130" s="74">
        <f>(AZ78+AZ87+AZ94+AZ101+AZ108+AZ117+AZ125)*Inputs!$B$134</f>
        <v/>
      </c>
      <c r="BA130" s="74">
        <f>(BA78+BA87+BA94+BA101+BA108+BA117+BA125)*Inputs!$B$134</f>
        <v/>
      </c>
    </row>
    <row r="131" ht="14.25" customHeight="1" s="83"/>
    <row r="132" ht="14.25" customHeight="1" s="83">
      <c r="A132" s="2" t="inlineStr">
        <is>
          <t>TOTAL KOSTEN (exkl. COGS)</t>
        </is>
      </c>
      <c r="B132" s="72">
        <f>B78+B87+B94+B101+B108+B117+B125+B130</f>
        <v/>
      </c>
      <c r="C132" s="72">
        <f>C78+C87+C94+C101+C108+C117+C125+C130</f>
        <v/>
      </c>
      <c r="D132" s="72">
        <f>D78+D87+D94+D101+D108+D117+D125+D130</f>
        <v/>
      </c>
      <c r="E132" s="72">
        <f>E78+E87+E94+E101+E108+E117+E125+E130</f>
        <v/>
      </c>
      <c r="F132" s="72">
        <f>F78+F87+F94+F101+F108+F117+F125+F130</f>
        <v/>
      </c>
      <c r="G132" s="72">
        <f>G78+G87+G94+G101+G108+G117+G125+G130</f>
        <v/>
      </c>
      <c r="H132" s="72">
        <f>H78+H87+H94+H101+H108+H117+H125+H130</f>
        <v/>
      </c>
      <c r="I132" s="72">
        <f>I78+I87+I94+I101+I108+I117+I125+I130</f>
        <v/>
      </c>
      <c r="J132" s="72">
        <f>J78+J87+J94+J101+J108+J117+J125+J130</f>
        <v/>
      </c>
      <c r="K132" s="72">
        <f>K78+K87+K94+K101+K108+K117+K125+K130</f>
        <v/>
      </c>
      <c r="L132" s="72">
        <f>L78+L87+L94+L101+L108+L117+L125+L130</f>
        <v/>
      </c>
      <c r="M132" s="72">
        <f>M78+M87+M94+M101+M108+M117+M125+M130</f>
        <v/>
      </c>
      <c r="N132" s="72">
        <f>N78+N87+N94+N101+N108+N117+N125+N130</f>
        <v/>
      </c>
      <c r="O132" s="72">
        <f>O78+O87+O94+O101+O108+O117+O125+O130</f>
        <v/>
      </c>
      <c r="P132" s="72">
        <f>P78+P87+P94+P101+P108+P117+P125+P130</f>
        <v/>
      </c>
      <c r="Q132" s="72">
        <f>Q78+Q87+Q94+Q101+Q108+Q117+Q125+Q130</f>
        <v/>
      </c>
      <c r="R132" s="72">
        <f>R78+R87+R94+R101+R108+R117+R125+R130</f>
        <v/>
      </c>
      <c r="S132" s="72">
        <f>S78+S87+S94+S101+S108+S117+S125+S130</f>
        <v/>
      </c>
      <c r="T132" s="72">
        <f>T78+T87+T94+T101+T108+T117+T125+T130</f>
        <v/>
      </c>
      <c r="U132" s="72">
        <f>U78+U87+U94+U101+U108+U117+U125+U130</f>
        <v/>
      </c>
      <c r="V132" s="72">
        <f>V78+V87+V94+V101+V108+V117+V125+V130</f>
        <v/>
      </c>
      <c r="W132" s="72">
        <f>W78+W87+W94+W101+W108+W117+W125+W130</f>
        <v/>
      </c>
      <c r="X132" s="72">
        <f>X78+X87+X94+X101+X108+X117+X125+X130</f>
        <v/>
      </c>
      <c r="Y132" s="72">
        <f>Y78+Y87+Y94+Y101+Y108+Y117+Y125+Y130</f>
        <v/>
      </c>
      <c r="Z132" s="72">
        <f>Z78+Z87+Z94+Z101+Z108+Z117+Z125+Z130</f>
        <v/>
      </c>
      <c r="AA132" s="72">
        <f>AA78+AA87+AA94+AA101+AA108+AA117+AA125+AA130</f>
        <v/>
      </c>
      <c r="AB132" s="72">
        <f>AB78+AB87+AB94+AB101+AB108+AB117+AB125+AB130</f>
        <v/>
      </c>
      <c r="AC132" s="72">
        <f>AC78+AC87+AC94+AC101+AC108+AC117+AC125+AC130</f>
        <v/>
      </c>
      <c r="AD132" s="72">
        <f>AD78+AD87+AD94+AD101+AD108+AD117+AD125+AD130</f>
        <v/>
      </c>
      <c r="AE132" s="72">
        <f>AE78+AE87+AE94+AE101+AE108+AE117+AE125+AE130</f>
        <v/>
      </c>
      <c r="AF132" s="72">
        <f>AF78+AF87+AF94+AF101+AF108+AF117+AF125+AF130</f>
        <v/>
      </c>
      <c r="AG132" s="72">
        <f>AG78+AG87+AG94+AG101+AG108+AG117+AG125+AG130</f>
        <v/>
      </c>
      <c r="AH132" s="72">
        <f>AH78+AH87+AH94+AH101+AH108+AH117+AH125+AH130</f>
        <v/>
      </c>
      <c r="AI132" s="72">
        <f>AI78+AI87+AI94+AI101+AI108+AI117+AI125+AI130</f>
        <v/>
      </c>
      <c r="AJ132" s="72">
        <f>AJ78+AJ87+AJ94+AJ101+AJ108+AJ117+AJ125+AJ130</f>
        <v/>
      </c>
      <c r="AK132" s="72">
        <f>AK78+AK87+AK94+AK101+AK108+AK117+AK125+AK130</f>
        <v/>
      </c>
      <c r="AL132" s="72">
        <f>AL78+AL87+AL94+AL101+AL108+AL117+AL125+AL130</f>
        <v/>
      </c>
      <c r="AM132" s="72">
        <f>AM78+AM87+AM94+AM101+AM108+AM117+AM125+AM130</f>
        <v/>
      </c>
      <c r="AN132" s="72">
        <f>AN78+AN87+AN94+AN101+AN108+AN117+AN125+AN130</f>
        <v/>
      </c>
      <c r="AO132" s="72">
        <f>AO78+AO87+AO94+AO101+AO108+AO117+AO125+AO130</f>
        <v/>
      </c>
      <c r="AP132" s="72">
        <f>AP78+AP87+AP94+AP101+AP108+AP117+AP125+AP130</f>
        <v/>
      </c>
      <c r="AQ132" s="72">
        <f>AQ78+AQ87+AQ94+AQ101+AQ108+AQ117+AQ125+AQ130</f>
        <v/>
      </c>
      <c r="AR132" s="72">
        <f>AR78+AR87+AR94+AR101+AR108+AR117+AR125+AR130</f>
        <v/>
      </c>
      <c r="AS132" s="72">
        <f>AS78+AS87+AS94+AS101+AS108+AS117+AS125+AS130</f>
        <v/>
      </c>
      <c r="AT132" s="72">
        <f>AT78+AT87+AT94+AT101+AT108+AT117+AT125+AT130</f>
        <v/>
      </c>
      <c r="AU132" s="72">
        <f>AU78+AU87+AU94+AU101+AU108+AU117+AU125+AU130</f>
        <v/>
      </c>
      <c r="AV132" s="72">
        <f>AV78+AV87+AV94+AV101+AV108+AV117+AV125+AV130</f>
        <v/>
      </c>
      <c r="AW132" s="72">
        <f>AW78+AW87+AW94+AW101+AW108+AW117+AW125+AW130</f>
        <v/>
      </c>
      <c r="AX132" s="72">
        <f>AX78+AX87+AX94+AX101+AX108+AX117+AX125+AX130</f>
        <v/>
      </c>
      <c r="AY132" s="72">
        <f>AY78+AY87+AY94+AY101+AY108+AY117+AY125+AY130</f>
        <v/>
      </c>
      <c r="AZ132" s="72">
        <f>AZ78+AZ87+AZ94+AZ101+AZ108+AZ117+AZ125+AZ130</f>
        <v/>
      </c>
      <c r="BA132" s="72">
        <f>BA78+BA87+BA94+BA101+BA108+BA117+BA125+BA130</f>
        <v/>
      </c>
    </row>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9.xml><?xml version="1.0" encoding="utf-8"?>
<worksheet xmlns="http://schemas.openxmlformats.org/spreadsheetml/2006/main">
  <sheetPr>
    <tabColor rgb="FFFFC000"/>
    <outlinePr summaryBelow="1" summaryRight="1"/>
    <pageSetUpPr/>
  </sheetPr>
  <dimension ref="A1:BA24"/>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BILANZ (Vereinfacht)</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AKTIVA (ASSETS)</t>
        </is>
      </c>
    </row>
    <row r="5" ht="14.25" customHeight="1" s="83">
      <c r="A5" s="77" t="inlineStr">
        <is>
          <t>Cash &amp; Cash Equivalents</t>
        </is>
      </c>
      <c r="B5" s="71">
        <f>'Cash Flow'!B22</f>
        <v/>
      </c>
      <c r="C5" s="71">
        <f>'Cash Flow'!C22</f>
        <v/>
      </c>
      <c r="D5" s="71">
        <f>'Cash Flow'!D22</f>
        <v/>
      </c>
      <c r="E5" s="71">
        <f>'Cash Flow'!E22</f>
        <v/>
      </c>
      <c r="F5" s="71">
        <f>'Cash Flow'!F22</f>
        <v/>
      </c>
      <c r="G5" s="71">
        <f>'Cash Flow'!G22</f>
        <v/>
      </c>
      <c r="H5" s="71">
        <f>'Cash Flow'!H22</f>
        <v/>
      </c>
      <c r="I5" s="71">
        <f>'Cash Flow'!I22</f>
        <v/>
      </c>
      <c r="J5" s="71">
        <f>'Cash Flow'!J22</f>
        <v/>
      </c>
      <c r="K5" s="71">
        <f>'Cash Flow'!K22</f>
        <v/>
      </c>
      <c r="L5" s="71">
        <f>'Cash Flow'!L22</f>
        <v/>
      </c>
      <c r="M5" s="71">
        <f>'Cash Flow'!M22</f>
        <v/>
      </c>
      <c r="N5" s="71">
        <f>'Cash Flow'!N22</f>
        <v/>
      </c>
      <c r="O5" s="71">
        <f>'Cash Flow'!O22</f>
        <v/>
      </c>
      <c r="P5" s="71">
        <f>'Cash Flow'!P22</f>
        <v/>
      </c>
      <c r="Q5" s="71">
        <f>'Cash Flow'!Q22</f>
        <v/>
      </c>
      <c r="R5" s="71">
        <f>'Cash Flow'!R22</f>
        <v/>
      </c>
      <c r="S5" s="71">
        <f>'Cash Flow'!S22</f>
        <v/>
      </c>
      <c r="T5" s="71">
        <f>'Cash Flow'!T22</f>
        <v/>
      </c>
      <c r="U5" s="71">
        <f>'Cash Flow'!U22</f>
        <v/>
      </c>
      <c r="V5" s="71">
        <f>'Cash Flow'!V22</f>
        <v/>
      </c>
      <c r="W5" s="71">
        <f>'Cash Flow'!W22</f>
        <v/>
      </c>
      <c r="X5" s="71">
        <f>'Cash Flow'!X22</f>
        <v/>
      </c>
      <c r="Y5" s="71">
        <f>'Cash Flow'!Y22</f>
        <v/>
      </c>
      <c r="Z5" s="71">
        <f>'Cash Flow'!Z22</f>
        <v/>
      </c>
      <c r="AA5" s="71">
        <f>'Cash Flow'!AA22</f>
        <v/>
      </c>
      <c r="AB5" s="71">
        <f>'Cash Flow'!AB22</f>
        <v/>
      </c>
      <c r="AC5" s="71">
        <f>'Cash Flow'!AC22</f>
        <v/>
      </c>
      <c r="AD5" s="71">
        <f>'Cash Flow'!AD22</f>
        <v/>
      </c>
      <c r="AE5" s="71">
        <f>'Cash Flow'!AE22</f>
        <v/>
      </c>
      <c r="AF5" s="71">
        <f>'Cash Flow'!AF22</f>
        <v/>
      </c>
      <c r="AG5" s="71">
        <f>'Cash Flow'!AG22</f>
        <v/>
      </c>
      <c r="AH5" s="71">
        <f>'Cash Flow'!AH22</f>
        <v/>
      </c>
      <c r="AI5" s="71">
        <f>'Cash Flow'!AI22</f>
        <v/>
      </c>
      <c r="AJ5" s="71">
        <f>'Cash Flow'!AJ22</f>
        <v/>
      </c>
      <c r="AK5" s="71">
        <f>'Cash Flow'!AK22</f>
        <v/>
      </c>
      <c r="AL5" s="71">
        <f>'Cash Flow'!AL22</f>
        <v/>
      </c>
      <c r="AM5" s="71">
        <f>'Cash Flow'!AM22</f>
        <v/>
      </c>
      <c r="AN5" s="71">
        <f>'Cash Flow'!AN22</f>
        <v/>
      </c>
      <c r="AO5" s="71">
        <f>'Cash Flow'!AO22</f>
        <v/>
      </c>
      <c r="AP5" s="71">
        <f>'Cash Flow'!AP22</f>
        <v/>
      </c>
      <c r="AQ5" s="71">
        <f>'Cash Flow'!AQ22</f>
        <v/>
      </c>
      <c r="AR5" s="71">
        <f>'Cash Flow'!AR22</f>
        <v/>
      </c>
      <c r="AS5" s="71">
        <f>'Cash Flow'!AS22</f>
        <v/>
      </c>
      <c r="AT5" s="71">
        <f>'Cash Flow'!AT22</f>
        <v/>
      </c>
      <c r="AU5" s="71">
        <f>'Cash Flow'!AU22</f>
        <v/>
      </c>
      <c r="AV5" s="71">
        <f>'Cash Flow'!AV22</f>
        <v/>
      </c>
      <c r="AW5" s="71">
        <f>'Cash Flow'!AW22</f>
        <v/>
      </c>
      <c r="AX5" s="71">
        <f>'Cash Flow'!AX22</f>
        <v/>
      </c>
      <c r="AY5" s="71">
        <f>'Cash Flow'!AY22</f>
        <v/>
      </c>
      <c r="AZ5" s="71">
        <f>'Cash Flow'!AZ22</f>
        <v/>
      </c>
      <c r="BA5" s="71">
        <f>'Cash Flow'!BA22</f>
        <v/>
      </c>
    </row>
    <row r="6" ht="14.25" customHeight="1" s="83">
      <c r="A6" s="77" t="inlineStr">
        <is>
          <t>Accounts Receivable</t>
        </is>
      </c>
      <c r="B6" s="71">
        <f>'P&amp;L'!B7</f>
        <v/>
      </c>
      <c r="C6" s="71">
        <f>'P&amp;L'!C7</f>
        <v/>
      </c>
      <c r="D6" s="71">
        <f>'P&amp;L'!D7</f>
        <v/>
      </c>
      <c r="E6" s="71">
        <f>'P&amp;L'!E7</f>
        <v/>
      </c>
      <c r="F6" s="71">
        <f>'P&amp;L'!F7</f>
        <v/>
      </c>
      <c r="G6" s="71">
        <f>'P&amp;L'!G7</f>
        <v/>
      </c>
      <c r="H6" s="71">
        <f>'P&amp;L'!H7</f>
        <v/>
      </c>
      <c r="I6" s="71">
        <f>'P&amp;L'!I7</f>
        <v/>
      </c>
      <c r="J6" s="71">
        <f>'P&amp;L'!J7</f>
        <v/>
      </c>
      <c r="K6" s="71">
        <f>'P&amp;L'!K7</f>
        <v/>
      </c>
      <c r="L6" s="71">
        <f>'P&amp;L'!L7</f>
        <v/>
      </c>
      <c r="M6" s="71">
        <f>'P&amp;L'!M7</f>
        <v/>
      </c>
      <c r="N6" s="71">
        <f>'P&amp;L'!N7</f>
        <v/>
      </c>
      <c r="O6" s="71">
        <f>'P&amp;L'!O7</f>
        <v/>
      </c>
      <c r="P6" s="71">
        <f>'P&amp;L'!P7</f>
        <v/>
      </c>
      <c r="Q6" s="71">
        <f>'P&amp;L'!Q7</f>
        <v/>
      </c>
      <c r="R6" s="71">
        <f>'P&amp;L'!R7</f>
        <v/>
      </c>
      <c r="S6" s="71">
        <f>'P&amp;L'!S7</f>
        <v/>
      </c>
      <c r="T6" s="71">
        <f>'P&amp;L'!T7</f>
        <v/>
      </c>
      <c r="U6" s="71">
        <f>'P&amp;L'!U7</f>
        <v/>
      </c>
      <c r="V6" s="71">
        <f>'P&amp;L'!V7</f>
        <v/>
      </c>
      <c r="W6" s="71">
        <f>'P&amp;L'!W7</f>
        <v/>
      </c>
      <c r="X6" s="71">
        <f>'P&amp;L'!X7</f>
        <v/>
      </c>
      <c r="Y6" s="71">
        <f>'P&amp;L'!Y7</f>
        <v/>
      </c>
      <c r="Z6" s="71">
        <f>'P&amp;L'!Z7</f>
        <v/>
      </c>
      <c r="AA6" s="71">
        <f>'P&amp;L'!AA7</f>
        <v/>
      </c>
      <c r="AB6" s="71">
        <f>'P&amp;L'!AB7</f>
        <v/>
      </c>
      <c r="AC6" s="71">
        <f>'P&amp;L'!AC7</f>
        <v/>
      </c>
      <c r="AD6" s="71">
        <f>'P&amp;L'!AD7</f>
        <v/>
      </c>
      <c r="AE6" s="71">
        <f>'P&amp;L'!AE7</f>
        <v/>
      </c>
      <c r="AF6" s="71">
        <f>'P&amp;L'!AF7</f>
        <v/>
      </c>
      <c r="AG6" s="71">
        <f>'P&amp;L'!AG7</f>
        <v/>
      </c>
      <c r="AH6" s="71">
        <f>'P&amp;L'!AH7</f>
        <v/>
      </c>
      <c r="AI6" s="71">
        <f>'P&amp;L'!AI7</f>
        <v/>
      </c>
      <c r="AJ6" s="71">
        <f>'P&amp;L'!AJ7</f>
        <v/>
      </c>
      <c r="AK6" s="71">
        <f>'P&amp;L'!AK7</f>
        <v/>
      </c>
      <c r="AL6" s="71">
        <f>'P&amp;L'!AL7</f>
        <v/>
      </c>
      <c r="AM6" s="71">
        <f>'P&amp;L'!AM7</f>
        <v/>
      </c>
      <c r="AN6" s="71">
        <f>'P&amp;L'!AN7</f>
        <v/>
      </c>
      <c r="AO6" s="71">
        <f>'P&amp;L'!AO7</f>
        <v/>
      </c>
      <c r="AP6" s="71">
        <f>'P&amp;L'!AP7</f>
        <v/>
      </c>
      <c r="AQ6" s="71">
        <f>'P&amp;L'!AQ7</f>
        <v/>
      </c>
      <c r="AR6" s="71">
        <f>'P&amp;L'!AR7</f>
        <v/>
      </c>
      <c r="AS6" s="71">
        <f>'P&amp;L'!AS7</f>
        <v/>
      </c>
      <c r="AT6" s="71">
        <f>'P&amp;L'!AT7</f>
        <v/>
      </c>
      <c r="AU6" s="71">
        <f>'P&amp;L'!AU7</f>
        <v/>
      </c>
      <c r="AV6" s="71">
        <f>'P&amp;L'!AV7</f>
        <v/>
      </c>
      <c r="AW6" s="71">
        <f>'P&amp;L'!AW7</f>
        <v/>
      </c>
      <c r="AX6" s="71">
        <f>'P&amp;L'!AX7</f>
        <v/>
      </c>
      <c r="AY6" s="71">
        <f>'P&amp;L'!AY7</f>
        <v/>
      </c>
      <c r="AZ6" s="71">
        <f>'P&amp;L'!AZ7</f>
        <v/>
      </c>
      <c r="BA6" s="71">
        <f>'P&amp;L'!BA7</f>
        <v/>
      </c>
    </row>
    <row r="7" ht="14.25" customHeight="1" s="83">
      <c r="A7" s="77" t="inlineStr">
        <is>
          <t>Prepaid Expenses</t>
        </is>
      </c>
      <c r="B7" s="74" t="n">
        <v>0</v>
      </c>
      <c r="C7" s="74" t="n">
        <v>0</v>
      </c>
      <c r="D7" s="74" t="n">
        <v>0</v>
      </c>
      <c r="E7" s="74" t="n">
        <v>0</v>
      </c>
      <c r="F7" s="74" t="n">
        <v>0</v>
      </c>
      <c r="G7" s="74" t="n">
        <v>0</v>
      </c>
      <c r="H7" s="74" t="n">
        <v>0</v>
      </c>
      <c r="I7" s="74" t="n">
        <v>0</v>
      </c>
      <c r="J7" s="74" t="n">
        <v>0</v>
      </c>
      <c r="K7" s="74" t="n">
        <v>0</v>
      </c>
      <c r="L7" s="74" t="n">
        <v>0</v>
      </c>
      <c r="M7" s="74" t="n">
        <v>0</v>
      </c>
      <c r="N7" s="74" t="n">
        <v>0</v>
      </c>
      <c r="O7" s="74" t="n">
        <v>0</v>
      </c>
      <c r="P7" s="74" t="n">
        <v>0</v>
      </c>
      <c r="Q7" s="74" t="n">
        <v>0</v>
      </c>
      <c r="R7" s="74" t="n">
        <v>0</v>
      </c>
      <c r="S7" s="74" t="n">
        <v>0</v>
      </c>
      <c r="T7" s="74" t="n">
        <v>0</v>
      </c>
      <c r="U7" s="74" t="n">
        <v>0</v>
      </c>
      <c r="V7" s="74" t="n">
        <v>0</v>
      </c>
      <c r="W7" s="74" t="n">
        <v>0</v>
      </c>
      <c r="X7" s="74" t="n">
        <v>0</v>
      </c>
      <c r="Y7" s="74" t="n">
        <v>0</v>
      </c>
      <c r="Z7" s="74" t="n">
        <v>0</v>
      </c>
      <c r="AA7" s="74" t="n">
        <v>0</v>
      </c>
      <c r="AB7" s="74" t="n">
        <v>0</v>
      </c>
      <c r="AC7" s="74" t="n">
        <v>0</v>
      </c>
      <c r="AD7" s="74" t="n">
        <v>0</v>
      </c>
      <c r="AE7" s="74" t="n">
        <v>0</v>
      </c>
      <c r="AF7" s="74" t="n">
        <v>0</v>
      </c>
      <c r="AG7" s="74" t="n">
        <v>0</v>
      </c>
      <c r="AH7" s="74" t="n">
        <v>0</v>
      </c>
      <c r="AI7" s="74" t="n">
        <v>0</v>
      </c>
      <c r="AJ7" s="74" t="n">
        <v>0</v>
      </c>
      <c r="AK7" s="74" t="n">
        <v>0</v>
      </c>
      <c r="AL7" s="74" t="n">
        <v>0</v>
      </c>
      <c r="AM7" s="74" t="n">
        <v>0</v>
      </c>
      <c r="AN7" s="74" t="n">
        <v>0</v>
      </c>
      <c r="AO7" s="74" t="n">
        <v>0</v>
      </c>
      <c r="AP7" s="74" t="n">
        <v>0</v>
      </c>
      <c r="AQ7" s="74" t="n">
        <v>0</v>
      </c>
      <c r="AR7" s="74" t="n">
        <v>0</v>
      </c>
      <c r="AS7" s="74" t="n">
        <v>0</v>
      </c>
      <c r="AT7" s="74" t="n">
        <v>0</v>
      </c>
      <c r="AU7" s="74" t="n">
        <v>0</v>
      </c>
      <c r="AV7" s="74" t="n">
        <v>0</v>
      </c>
      <c r="AW7" s="74" t="n">
        <v>0</v>
      </c>
      <c r="AX7" s="74" t="n">
        <v>0</v>
      </c>
      <c r="AY7" s="74" t="n">
        <v>0</v>
      </c>
      <c r="AZ7" s="74" t="n">
        <v>0</v>
      </c>
      <c r="BA7" s="74" t="n">
        <v>0</v>
      </c>
    </row>
    <row r="8" ht="14.25" customHeight="1" s="83">
      <c r="A8" s="77" t="inlineStr">
        <is>
          <t>Property &amp; Equipment (net)</t>
        </is>
      </c>
      <c r="B8" s="74">
        <f>Costs!B123+Inputs!$B$103</f>
        <v/>
      </c>
      <c r="C8" s="74">
        <f>B8+Costs!C123-'P&amp;L'!C32</f>
        <v/>
      </c>
      <c r="D8" s="74">
        <f>C8+Costs!D123-'P&amp;L'!D32</f>
        <v/>
      </c>
      <c r="E8" s="74">
        <f>D8+Costs!E123-'P&amp;L'!E32</f>
        <v/>
      </c>
      <c r="F8" s="74">
        <f>E8+Costs!F123-'P&amp;L'!F32</f>
        <v/>
      </c>
      <c r="G8" s="74">
        <f>F8+Costs!G123-'P&amp;L'!G32</f>
        <v/>
      </c>
      <c r="H8" s="74">
        <f>G8+Costs!H123-'P&amp;L'!H32</f>
        <v/>
      </c>
      <c r="I8" s="74">
        <f>H8+Costs!I123-'P&amp;L'!I32</f>
        <v/>
      </c>
      <c r="J8" s="74">
        <f>I8+Costs!J123-'P&amp;L'!J32</f>
        <v/>
      </c>
      <c r="K8" s="74">
        <f>J8+Costs!K123-'P&amp;L'!K32</f>
        <v/>
      </c>
      <c r="L8" s="74">
        <f>K8+Costs!L123-'P&amp;L'!L32</f>
        <v/>
      </c>
      <c r="M8" s="74">
        <f>L8+Costs!M123-'P&amp;L'!M32</f>
        <v/>
      </c>
      <c r="N8" s="74">
        <f>M8+Costs!N123-'P&amp;L'!N32</f>
        <v/>
      </c>
      <c r="O8" s="74">
        <f>N8+Costs!O123-'P&amp;L'!O32</f>
        <v/>
      </c>
      <c r="P8" s="74">
        <f>O8+Costs!P123-'P&amp;L'!P32</f>
        <v/>
      </c>
      <c r="Q8" s="74">
        <f>P8+Costs!Q123-'P&amp;L'!Q32</f>
        <v/>
      </c>
      <c r="R8" s="74">
        <f>Q8+Costs!R123-'P&amp;L'!R32</f>
        <v/>
      </c>
      <c r="S8" s="74">
        <f>R8+Costs!S123-'P&amp;L'!S32</f>
        <v/>
      </c>
      <c r="T8" s="74">
        <f>S8+Costs!T123-'P&amp;L'!T32</f>
        <v/>
      </c>
      <c r="U8" s="74">
        <f>T8+Costs!U123-'P&amp;L'!U32</f>
        <v/>
      </c>
      <c r="V8" s="74">
        <f>U8+Costs!V123-'P&amp;L'!V32</f>
        <v/>
      </c>
      <c r="W8" s="74">
        <f>V8+Costs!W123-'P&amp;L'!W32</f>
        <v/>
      </c>
      <c r="X8" s="74">
        <f>W8+Costs!X123-'P&amp;L'!X32</f>
        <v/>
      </c>
      <c r="Y8" s="74">
        <f>X8+Costs!Y123-'P&amp;L'!Y32</f>
        <v/>
      </c>
      <c r="Z8" s="74">
        <f>Y8+Costs!Z123-'P&amp;L'!Z32</f>
        <v/>
      </c>
      <c r="AA8" s="74">
        <f>Z8+Costs!AA123-'P&amp;L'!AA32</f>
        <v/>
      </c>
      <c r="AB8" s="74">
        <f>AA8+Costs!AB123-'P&amp;L'!AB32</f>
        <v/>
      </c>
      <c r="AC8" s="74">
        <f>AB8+Costs!AC123-'P&amp;L'!AC32</f>
        <v/>
      </c>
      <c r="AD8" s="74">
        <f>AC8+Costs!AD123-'P&amp;L'!AD32</f>
        <v/>
      </c>
      <c r="AE8" s="74">
        <f>AD8+Costs!AE123-'P&amp;L'!AE32</f>
        <v/>
      </c>
      <c r="AF8" s="74">
        <f>AE8+Costs!AF123-'P&amp;L'!AF32</f>
        <v/>
      </c>
      <c r="AG8" s="74">
        <f>AF8+Costs!AG123-'P&amp;L'!AG32</f>
        <v/>
      </c>
      <c r="AH8" s="74">
        <f>AG8+Costs!AH123-'P&amp;L'!AH32</f>
        <v/>
      </c>
      <c r="AI8" s="74">
        <f>AH8+Costs!AI123-'P&amp;L'!AI32</f>
        <v/>
      </c>
      <c r="AJ8" s="74">
        <f>AI8+Costs!AJ123-'P&amp;L'!AJ32</f>
        <v/>
      </c>
      <c r="AK8" s="74">
        <f>AJ8+Costs!AK123-'P&amp;L'!AK32</f>
        <v/>
      </c>
      <c r="AL8" s="74">
        <f>AK8+Costs!AL123-'P&amp;L'!AL32</f>
        <v/>
      </c>
      <c r="AM8" s="74">
        <f>AL8+Costs!AM123-'P&amp;L'!AM32</f>
        <v/>
      </c>
      <c r="AN8" s="74">
        <f>AM8+Costs!AN123-'P&amp;L'!AN32</f>
        <v/>
      </c>
      <c r="AO8" s="74">
        <f>AN8+Costs!AO123-'P&amp;L'!AO32</f>
        <v/>
      </c>
      <c r="AP8" s="74">
        <f>AO8+Costs!AP123-'P&amp;L'!AP32</f>
        <v/>
      </c>
      <c r="AQ8" s="74">
        <f>AP8+Costs!AQ123-'P&amp;L'!AQ32</f>
        <v/>
      </c>
      <c r="AR8" s="74">
        <f>AQ8+Costs!AR123-'P&amp;L'!AR32</f>
        <v/>
      </c>
      <c r="AS8" s="74">
        <f>AR8+Costs!AS123-'P&amp;L'!AS32</f>
        <v/>
      </c>
      <c r="AT8" s="74">
        <f>AS8+Costs!AT123-'P&amp;L'!AT32</f>
        <v/>
      </c>
      <c r="AU8" s="74">
        <f>AT8+Costs!AU123-'P&amp;L'!AU32</f>
        <v/>
      </c>
      <c r="AV8" s="74">
        <f>AU8+Costs!AV123-'P&amp;L'!AV32</f>
        <v/>
      </c>
      <c r="AW8" s="74">
        <f>AV8+Costs!AW123-'P&amp;L'!AW32</f>
        <v/>
      </c>
      <c r="AX8" s="74">
        <f>AW8+Costs!AX123-'P&amp;L'!AX32</f>
        <v/>
      </c>
      <c r="AY8" s="74">
        <f>AX8+Costs!AY123-'P&amp;L'!AY32</f>
        <v/>
      </c>
      <c r="AZ8" s="74">
        <f>AY8+Costs!AZ123-'P&amp;L'!AZ32</f>
        <v/>
      </c>
      <c r="BA8" s="74">
        <f>AZ8+Costs!BA123-'P&amp;L'!BA32</f>
        <v/>
      </c>
    </row>
    <row r="9" ht="14.25" customHeight="1" s="83">
      <c r="A9" s="2" t="inlineStr">
        <is>
          <t>TOTAL ASSETS</t>
        </is>
      </c>
      <c r="B9" s="72">
        <f>SUM(B5:B8)</f>
        <v/>
      </c>
      <c r="C9" s="72">
        <f>SUM(C5:C8)</f>
        <v/>
      </c>
      <c r="D9" s="72">
        <f>SUM(D5:D8)</f>
        <v/>
      </c>
      <c r="E9" s="72">
        <f>SUM(E5:E8)</f>
        <v/>
      </c>
      <c r="F9" s="72">
        <f>SUM(F5:F8)</f>
        <v/>
      </c>
      <c r="G9" s="72">
        <f>SUM(G5:G8)</f>
        <v/>
      </c>
      <c r="H9" s="72">
        <f>SUM(H5:H8)</f>
        <v/>
      </c>
      <c r="I9" s="72">
        <f>SUM(I5:I8)</f>
        <v/>
      </c>
      <c r="J9" s="72">
        <f>SUM(J5:J8)</f>
        <v/>
      </c>
      <c r="K9" s="72">
        <f>SUM(K5:K8)</f>
        <v/>
      </c>
      <c r="L9" s="72">
        <f>SUM(L5:L8)</f>
        <v/>
      </c>
      <c r="M9" s="72">
        <f>SUM(M5:M8)</f>
        <v/>
      </c>
      <c r="N9" s="72">
        <f>SUM(N5:N8)</f>
        <v/>
      </c>
      <c r="O9" s="72">
        <f>SUM(O5:O8)</f>
        <v/>
      </c>
      <c r="P9" s="72">
        <f>SUM(P5:P8)</f>
        <v/>
      </c>
      <c r="Q9" s="72">
        <f>SUM(Q5:Q8)</f>
        <v/>
      </c>
      <c r="R9" s="72">
        <f>SUM(R5:R8)</f>
        <v/>
      </c>
      <c r="S9" s="72">
        <f>SUM(S5:S8)</f>
        <v/>
      </c>
      <c r="T9" s="72">
        <f>SUM(T5:T8)</f>
        <v/>
      </c>
      <c r="U9" s="72">
        <f>SUM(U5:U8)</f>
        <v/>
      </c>
      <c r="V9" s="72">
        <f>SUM(V5:V8)</f>
        <v/>
      </c>
      <c r="W9" s="72">
        <f>SUM(W5:W8)</f>
        <v/>
      </c>
      <c r="X9" s="72">
        <f>SUM(X5:X8)</f>
        <v/>
      </c>
      <c r="Y9" s="72">
        <f>SUM(Y5:Y8)</f>
        <v/>
      </c>
      <c r="Z9" s="72">
        <f>SUM(Z5:Z8)</f>
        <v/>
      </c>
      <c r="AA9" s="72">
        <f>SUM(AA5:AA8)</f>
        <v/>
      </c>
      <c r="AB9" s="72">
        <f>SUM(AB5:AB8)</f>
        <v/>
      </c>
      <c r="AC9" s="72">
        <f>SUM(AC5:AC8)</f>
        <v/>
      </c>
      <c r="AD9" s="72">
        <f>SUM(AD5:AD8)</f>
        <v/>
      </c>
      <c r="AE9" s="72">
        <f>SUM(AE5:AE8)</f>
        <v/>
      </c>
      <c r="AF9" s="72">
        <f>SUM(AF5:AF8)</f>
        <v/>
      </c>
      <c r="AG9" s="72">
        <f>SUM(AG5:AG8)</f>
        <v/>
      </c>
      <c r="AH9" s="72">
        <f>SUM(AH5:AH8)</f>
        <v/>
      </c>
      <c r="AI9" s="72">
        <f>SUM(AI5:AI8)</f>
        <v/>
      </c>
      <c r="AJ9" s="72">
        <f>SUM(AJ5:AJ8)</f>
        <v/>
      </c>
      <c r="AK9" s="72">
        <f>SUM(AK5:AK8)</f>
        <v/>
      </c>
      <c r="AL9" s="72">
        <f>SUM(AL5:AL8)</f>
        <v/>
      </c>
      <c r="AM9" s="72">
        <f>SUM(AM5:AM8)</f>
        <v/>
      </c>
      <c r="AN9" s="72">
        <f>SUM(AN5:AN8)</f>
        <v/>
      </c>
      <c r="AO9" s="72">
        <f>SUM(AO5:AO8)</f>
        <v/>
      </c>
      <c r="AP9" s="72">
        <f>SUM(AP5:AP8)</f>
        <v/>
      </c>
      <c r="AQ9" s="72">
        <f>SUM(AQ5:AQ8)</f>
        <v/>
      </c>
      <c r="AR9" s="72">
        <f>SUM(AR5:AR8)</f>
        <v/>
      </c>
      <c r="AS9" s="72">
        <f>SUM(AS5:AS8)</f>
        <v/>
      </c>
      <c r="AT9" s="72">
        <f>SUM(AT5:AT8)</f>
        <v/>
      </c>
      <c r="AU9" s="72">
        <f>SUM(AU5:AU8)</f>
        <v/>
      </c>
      <c r="AV9" s="72">
        <f>SUM(AV5:AV8)</f>
        <v/>
      </c>
      <c r="AW9" s="72">
        <f>SUM(AW5:AW8)</f>
        <v/>
      </c>
      <c r="AX9" s="72">
        <f>SUM(AX5:AX8)</f>
        <v/>
      </c>
      <c r="AY9" s="72">
        <f>SUM(AY5:AY8)</f>
        <v/>
      </c>
      <c r="AZ9" s="72">
        <f>SUM(AZ5:AZ8)</f>
        <v/>
      </c>
      <c r="BA9" s="72">
        <f>SUM(BA5:BA8)</f>
        <v/>
      </c>
    </row>
    <row r="10" ht="14.25" customHeight="1" s="83"/>
    <row r="11" ht="14.25" customHeight="1" s="83">
      <c r="A11" s="2" t="inlineStr">
        <is>
          <t>PASSIVA (LIABILITIES)</t>
        </is>
      </c>
    </row>
    <row r="12" ht="14.25" customHeight="1" s="83">
      <c r="A12" s="77" t="inlineStr">
        <is>
          <t>Accounts Payable</t>
        </is>
      </c>
      <c r="B12" s="74">
        <f>Costs!B132*0.1</f>
        <v/>
      </c>
      <c r="C12" s="74">
        <f>Costs!C132*0.1</f>
        <v/>
      </c>
      <c r="D12" s="74">
        <f>Costs!D132*0.1</f>
        <v/>
      </c>
      <c r="E12" s="74">
        <f>Costs!E132*0.1</f>
        <v/>
      </c>
      <c r="F12" s="74">
        <f>Costs!F132*0.1</f>
        <v/>
      </c>
      <c r="G12" s="74">
        <f>Costs!G132*0.1</f>
        <v/>
      </c>
      <c r="H12" s="74">
        <f>Costs!H132*0.1</f>
        <v/>
      </c>
      <c r="I12" s="74">
        <f>Costs!I132*0.1</f>
        <v/>
      </c>
      <c r="J12" s="74">
        <f>Costs!J132*0.1</f>
        <v/>
      </c>
      <c r="K12" s="74">
        <f>Costs!K132*0.1</f>
        <v/>
      </c>
      <c r="L12" s="74">
        <f>Costs!L132*0.1</f>
        <v/>
      </c>
      <c r="M12" s="74">
        <f>Costs!M132*0.1</f>
        <v/>
      </c>
      <c r="N12" s="74">
        <f>Costs!N132*0.1</f>
        <v/>
      </c>
      <c r="O12" s="74">
        <f>Costs!O132*0.1</f>
        <v/>
      </c>
      <c r="P12" s="74">
        <f>Costs!P132*0.1</f>
        <v/>
      </c>
      <c r="Q12" s="74">
        <f>Costs!Q132*0.1</f>
        <v/>
      </c>
      <c r="R12" s="74">
        <f>Costs!R132*0.1</f>
        <v/>
      </c>
      <c r="S12" s="74">
        <f>Costs!S132*0.1</f>
        <v/>
      </c>
      <c r="T12" s="74">
        <f>Costs!T132*0.1</f>
        <v/>
      </c>
      <c r="U12" s="74">
        <f>Costs!U132*0.1</f>
        <v/>
      </c>
      <c r="V12" s="74">
        <f>Costs!V132*0.1</f>
        <v/>
      </c>
      <c r="W12" s="74">
        <f>Costs!W132*0.1</f>
        <v/>
      </c>
      <c r="X12" s="74">
        <f>Costs!X132*0.1</f>
        <v/>
      </c>
      <c r="Y12" s="74">
        <f>Costs!Y132*0.1</f>
        <v/>
      </c>
      <c r="Z12" s="74">
        <f>Costs!Z132*0.1</f>
        <v/>
      </c>
      <c r="AA12" s="74">
        <f>Costs!AA132*0.1</f>
        <v/>
      </c>
      <c r="AB12" s="74">
        <f>Costs!AB132*0.1</f>
        <v/>
      </c>
      <c r="AC12" s="74">
        <f>Costs!AC132*0.1</f>
        <v/>
      </c>
      <c r="AD12" s="74">
        <f>Costs!AD132*0.1</f>
        <v/>
      </c>
      <c r="AE12" s="74">
        <f>Costs!AE132*0.1</f>
        <v/>
      </c>
      <c r="AF12" s="74">
        <f>Costs!AF132*0.1</f>
        <v/>
      </c>
      <c r="AG12" s="74">
        <f>Costs!AG132*0.1</f>
        <v/>
      </c>
      <c r="AH12" s="74">
        <f>Costs!AH132*0.1</f>
        <v/>
      </c>
      <c r="AI12" s="74">
        <f>Costs!AI132*0.1</f>
        <v/>
      </c>
      <c r="AJ12" s="74">
        <f>Costs!AJ132*0.1</f>
        <v/>
      </c>
      <c r="AK12" s="74">
        <f>Costs!AK132*0.1</f>
        <v/>
      </c>
      <c r="AL12" s="74">
        <f>Costs!AL132*0.1</f>
        <v/>
      </c>
      <c r="AM12" s="74">
        <f>Costs!AM132*0.1</f>
        <v/>
      </c>
      <c r="AN12" s="74">
        <f>Costs!AN132*0.1</f>
        <v/>
      </c>
      <c r="AO12" s="74">
        <f>Costs!AO132*0.1</f>
        <v/>
      </c>
      <c r="AP12" s="74">
        <f>Costs!AP132*0.1</f>
        <v/>
      </c>
      <c r="AQ12" s="74">
        <f>Costs!AQ132*0.1</f>
        <v/>
      </c>
      <c r="AR12" s="74">
        <f>Costs!AR132*0.1</f>
        <v/>
      </c>
      <c r="AS12" s="74">
        <f>Costs!AS132*0.1</f>
        <v/>
      </c>
      <c r="AT12" s="74">
        <f>Costs!AT132*0.1</f>
        <v/>
      </c>
      <c r="AU12" s="74">
        <f>Costs!AU132*0.1</f>
        <v/>
      </c>
      <c r="AV12" s="74">
        <f>Costs!AV132*0.1</f>
        <v/>
      </c>
      <c r="AW12" s="74">
        <f>Costs!AW132*0.1</f>
        <v/>
      </c>
      <c r="AX12" s="74">
        <f>Costs!AX132*0.1</f>
        <v/>
      </c>
      <c r="AY12" s="74">
        <f>Costs!AY132*0.1</f>
        <v/>
      </c>
      <c r="AZ12" s="74">
        <f>Costs!AZ132*0.1</f>
        <v/>
      </c>
      <c r="BA12" s="74">
        <f>Costs!BA132*0.1</f>
        <v/>
      </c>
    </row>
    <row r="13" ht="14.25" customHeight="1" s="83">
      <c r="A13" s="77" t="inlineStr">
        <is>
          <t>Accrued Expenses</t>
        </is>
      </c>
      <c r="B13" s="74">
        <f>Costs!B78*0.08</f>
        <v/>
      </c>
      <c r="C13" s="74">
        <f>Costs!C78*0.08</f>
        <v/>
      </c>
      <c r="D13" s="74">
        <f>Costs!D78*0.08</f>
        <v/>
      </c>
      <c r="E13" s="74">
        <f>Costs!E78*0.08</f>
        <v/>
      </c>
      <c r="F13" s="74">
        <f>Costs!F78*0.08</f>
        <v/>
      </c>
      <c r="G13" s="74">
        <f>Costs!G78*0.08</f>
        <v/>
      </c>
      <c r="H13" s="74">
        <f>Costs!H78*0.08</f>
        <v/>
      </c>
      <c r="I13" s="74">
        <f>Costs!I78*0.08</f>
        <v/>
      </c>
      <c r="J13" s="74">
        <f>Costs!J78*0.08</f>
        <v/>
      </c>
      <c r="K13" s="74">
        <f>Costs!K78*0.08</f>
        <v/>
      </c>
      <c r="L13" s="74">
        <f>Costs!L78*0.08</f>
        <v/>
      </c>
      <c r="M13" s="74">
        <f>Costs!M78*0.08</f>
        <v/>
      </c>
      <c r="N13" s="74">
        <f>Costs!N78*0.08</f>
        <v/>
      </c>
      <c r="O13" s="74">
        <f>Costs!O78*0.08</f>
        <v/>
      </c>
      <c r="P13" s="74">
        <f>Costs!P78*0.08</f>
        <v/>
      </c>
      <c r="Q13" s="74">
        <f>Costs!Q78*0.08</f>
        <v/>
      </c>
      <c r="R13" s="74">
        <f>Costs!R78*0.08</f>
        <v/>
      </c>
      <c r="S13" s="74">
        <f>Costs!S78*0.08</f>
        <v/>
      </c>
      <c r="T13" s="74">
        <f>Costs!T78*0.08</f>
        <v/>
      </c>
      <c r="U13" s="74">
        <f>Costs!U78*0.08</f>
        <v/>
      </c>
      <c r="V13" s="74">
        <f>Costs!V78*0.08</f>
        <v/>
      </c>
      <c r="W13" s="74">
        <f>Costs!W78*0.08</f>
        <v/>
      </c>
      <c r="X13" s="74">
        <f>Costs!X78*0.08</f>
        <v/>
      </c>
      <c r="Y13" s="74">
        <f>Costs!Y78*0.08</f>
        <v/>
      </c>
      <c r="Z13" s="74">
        <f>Costs!Z78*0.08</f>
        <v/>
      </c>
      <c r="AA13" s="74">
        <f>Costs!AA78*0.08</f>
        <v/>
      </c>
      <c r="AB13" s="74">
        <f>Costs!AB78*0.08</f>
        <v/>
      </c>
      <c r="AC13" s="74">
        <f>Costs!AC78*0.08</f>
        <v/>
      </c>
      <c r="AD13" s="74">
        <f>Costs!AD78*0.08</f>
        <v/>
      </c>
      <c r="AE13" s="74">
        <f>Costs!AE78*0.08</f>
        <v/>
      </c>
      <c r="AF13" s="74">
        <f>Costs!AF78*0.08</f>
        <v/>
      </c>
      <c r="AG13" s="74">
        <f>Costs!AG78*0.08</f>
        <v/>
      </c>
      <c r="AH13" s="74">
        <f>Costs!AH78*0.08</f>
        <v/>
      </c>
      <c r="AI13" s="74">
        <f>Costs!AI78*0.08</f>
        <v/>
      </c>
      <c r="AJ13" s="74">
        <f>Costs!AJ78*0.08</f>
        <v/>
      </c>
      <c r="AK13" s="74">
        <f>Costs!AK78*0.08</f>
        <v/>
      </c>
      <c r="AL13" s="74">
        <f>Costs!AL78*0.08</f>
        <v/>
      </c>
      <c r="AM13" s="74">
        <f>Costs!AM78*0.08</f>
        <v/>
      </c>
      <c r="AN13" s="74">
        <f>Costs!AN78*0.08</f>
        <v/>
      </c>
      <c r="AO13" s="74">
        <f>Costs!AO78*0.08</f>
        <v/>
      </c>
      <c r="AP13" s="74">
        <f>Costs!AP78*0.08</f>
        <v/>
      </c>
      <c r="AQ13" s="74">
        <f>Costs!AQ78*0.08</f>
        <v/>
      </c>
      <c r="AR13" s="74">
        <f>Costs!AR78*0.08</f>
        <v/>
      </c>
      <c r="AS13" s="74">
        <f>Costs!AS78*0.08</f>
        <v/>
      </c>
      <c r="AT13" s="74">
        <f>Costs!AT78*0.08</f>
        <v/>
      </c>
      <c r="AU13" s="74">
        <f>Costs!AU78*0.08</f>
        <v/>
      </c>
      <c r="AV13" s="74">
        <f>Costs!AV78*0.08</f>
        <v/>
      </c>
      <c r="AW13" s="74">
        <f>Costs!AW78*0.08</f>
        <v/>
      </c>
      <c r="AX13" s="74">
        <f>Costs!AX78*0.08</f>
        <v/>
      </c>
      <c r="AY13" s="74">
        <f>Costs!AY78*0.08</f>
        <v/>
      </c>
      <c r="AZ13" s="74">
        <f>Costs!AZ78*0.08</f>
        <v/>
      </c>
      <c r="BA13" s="74">
        <f>Costs!BA78*0.08</f>
        <v/>
      </c>
    </row>
    <row r="14" ht="14.25" customHeight="1" s="83">
      <c r="A14" s="77" t="inlineStr">
        <is>
          <t>Deferred Revenue</t>
        </is>
      </c>
      <c r="B14" s="74">
        <f>'P&amp;L'!B5</f>
        <v/>
      </c>
      <c r="C14" s="74">
        <f>'P&amp;L'!C5</f>
        <v/>
      </c>
      <c r="D14" s="74">
        <f>'P&amp;L'!D5</f>
        <v/>
      </c>
      <c r="E14" s="74">
        <f>'P&amp;L'!E5</f>
        <v/>
      </c>
      <c r="F14" s="74">
        <f>'P&amp;L'!F5</f>
        <v/>
      </c>
      <c r="G14" s="74">
        <f>'P&amp;L'!G5</f>
        <v/>
      </c>
      <c r="H14" s="74">
        <f>'P&amp;L'!H5</f>
        <v/>
      </c>
      <c r="I14" s="74">
        <f>'P&amp;L'!I5</f>
        <v/>
      </c>
      <c r="J14" s="74">
        <f>'P&amp;L'!J5</f>
        <v/>
      </c>
      <c r="K14" s="74">
        <f>'P&amp;L'!K5</f>
        <v/>
      </c>
      <c r="L14" s="74">
        <f>'P&amp;L'!L5</f>
        <v/>
      </c>
      <c r="M14" s="74">
        <f>'P&amp;L'!M5</f>
        <v/>
      </c>
      <c r="N14" s="74">
        <f>'P&amp;L'!N5</f>
        <v/>
      </c>
      <c r="O14" s="74">
        <f>'P&amp;L'!O5</f>
        <v/>
      </c>
      <c r="P14" s="74">
        <f>'P&amp;L'!P5</f>
        <v/>
      </c>
      <c r="Q14" s="74">
        <f>'P&amp;L'!Q5</f>
        <v/>
      </c>
      <c r="R14" s="74">
        <f>'P&amp;L'!R5</f>
        <v/>
      </c>
      <c r="S14" s="74">
        <f>'P&amp;L'!S5</f>
        <v/>
      </c>
      <c r="T14" s="74">
        <f>'P&amp;L'!T5</f>
        <v/>
      </c>
      <c r="U14" s="74">
        <f>'P&amp;L'!U5</f>
        <v/>
      </c>
      <c r="V14" s="74">
        <f>'P&amp;L'!V5</f>
        <v/>
      </c>
      <c r="W14" s="74">
        <f>'P&amp;L'!W5</f>
        <v/>
      </c>
      <c r="X14" s="74">
        <f>'P&amp;L'!X5</f>
        <v/>
      </c>
      <c r="Y14" s="74">
        <f>'P&amp;L'!Y5</f>
        <v/>
      </c>
      <c r="Z14" s="74">
        <f>'P&amp;L'!Z5</f>
        <v/>
      </c>
      <c r="AA14" s="74">
        <f>'P&amp;L'!AA5</f>
        <v/>
      </c>
      <c r="AB14" s="74">
        <f>'P&amp;L'!AB5</f>
        <v/>
      </c>
      <c r="AC14" s="74">
        <f>'P&amp;L'!AC5</f>
        <v/>
      </c>
      <c r="AD14" s="74">
        <f>'P&amp;L'!AD5</f>
        <v/>
      </c>
      <c r="AE14" s="74">
        <f>'P&amp;L'!AE5</f>
        <v/>
      </c>
      <c r="AF14" s="74">
        <f>'P&amp;L'!AF5</f>
        <v/>
      </c>
      <c r="AG14" s="74">
        <f>'P&amp;L'!AG5</f>
        <v/>
      </c>
      <c r="AH14" s="74">
        <f>'P&amp;L'!AH5</f>
        <v/>
      </c>
      <c r="AI14" s="74">
        <f>'P&amp;L'!AI5</f>
        <v/>
      </c>
      <c r="AJ14" s="74">
        <f>'P&amp;L'!AJ5</f>
        <v/>
      </c>
      <c r="AK14" s="74">
        <f>'P&amp;L'!AK5</f>
        <v/>
      </c>
      <c r="AL14" s="74">
        <f>'P&amp;L'!AL5</f>
        <v/>
      </c>
      <c r="AM14" s="74">
        <f>'P&amp;L'!AM5</f>
        <v/>
      </c>
      <c r="AN14" s="74">
        <f>'P&amp;L'!AN5</f>
        <v/>
      </c>
      <c r="AO14" s="74">
        <f>'P&amp;L'!AO5</f>
        <v/>
      </c>
      <c r="AP14" s="74">
        <f>'P&amp;L'!AP5</f>
        <v/>
      </c>
      <c r="AQ14" s="74">
        <f>'P&amp;L'!AQ5</f>
        <v/>
      </c>
      <c r="AR14" s="74">
        <f>'P&amp;L'!AR5</f>
        <v/>
      </c>
      <c r="AS14" s="74">
        <f>'P&amp;L'!AS5</f>
        <v/>
      </c>
      <c r="AT14" s="74">
        <f>'P&amp;L'!AT5</f>
        <v/>
      </c>
      <c r="AU14" s="74">
        <f>'P&amp;L'!AU5</f>
        <v/>
      </c>
      <c r="AV14" s="74">
        <f>'P&amp;L'!AV5</f>
        <v/>
      </c>
      <c r="AW14" s="74">
        <f>'P&amp;L'!AW5</f>
        <v/>
      </c>
      <c r="AX14" s="74">
        <f>'P&amp;L'!AX5</f>
        <v/>
      </c>
      <c r="AY14" s="74">
        <f>'P&amp;L'!AY5</f>
        <v/>
      </c>
      <c r="AZ14" s="74">
        <f>'P&amp;L'!AZ5</f>
        <v/>
      </c>
      <c r="BA14" s="74">
        <f>'P&amp;L'!BA5</f>
        <v/>
      </c>
    </row>
    <row r="15" ht="14.25" customHeight="1" s="83">
      <c r="A15" s="2" t="inlineStr">
        <is>
          <t>TOTAL LIABILITIES</t>
        </is>
      </c>
      <c r="B15" s="72">
        <f>SUM(B12:B14)</f>
        <v/>
      </c>
      <c r="C15" s="72">
        <f>SUM(C12:C14)</f>
        <v/>
      </c>
      <c r="D15" s="72">
        <f>SUM(D12:D14)</f>
        <v/>
      </c>
      <c r="E15" s="72">
        <f>SUM(E12:E14)</f>
        <v/>
      </c>
      <c r="F15" s="72">
        <f>SUM(F12:F14)</f>
        <v/>
      </c>
      <c r="G15" s="72">
        <f>SUM(G12:G14)</f>
        <v/>
      </c>
      <c r="H15" s="72">
        <f>SUM(H12:H14)</f>
        <v/>
      </c>
      <c r="I15" s="72">
        <f>SUM(I12:I14)</f>
        <v/>
      </c>
      <c r="J15" s="72">
        <f>SUM(J12:J14)</f>
        <v/>
      </c>
      <c r="K15" s="72">
        <f>SUM(K12:K14)</f>
        <v/>
      </c>
      <c r="L15" s="72">
        <f>SUM(L12:L14)</f>
        <v/>
      </c>
      <c r="M15" s="72">
        <f>SUM(M12:M14)</f>
        <v/>
      </c>
      <c r="N15" s="72">
        <f>SUM(N12:N14)</f>
        <v/>
      </c>
      <c r="O15" s="72">
        <f>SUM(O12:O14)</f>
        <v/>
      </c>
      <c r="P15" s="72">
        <f>SUM(P12:P14)</f>
        <v/>
      </c>
      <c r="Q15" s="72">
        <f>SUM(Q12:Q14)</f>
        <v/>
      </c>
      <c r="R15" s="72">
        <f>SUM(R12:R14)</f>
        <v/>
      </c>
      <c r="S15" s="72">
        <f>SUM(S12:S14)</f>
        <v/>
      </c>
      <c r="T15" s="72">
        <f>SUM(T12:T14)</f>
        <v/>
      </c>
      <c r="U15" s="72">
        <f>SUM(U12:U14)</f>
        <v/>
      </c>
      <c r="V15" s="72">
        <f>SUM(V12:V14)</f>
        <v/>
      </c>
      <c r="W15" s="72">
        <f>SUM(W12:W14)</f>
        <v/>
      </c>
      <c r="X15" s="72">
        <f>SUM(X12:X14)</f>
        <v/>
      </c>
      <c r="Y15" s="72">
        <f>SUM(Y12:Y14)</f>
        <v/>
      </c>
      <c r="Z15" s="72">
        <f>SUM(Z12:Z14)</f>
        <v/>
      </c>
      <c r="AA15" s="72">
        <f>SUM(AA12:AA14)</f>
        <v/>
      </c>
      <c r="AB15" s="72">
        <f>SUM(AB12:AB14)</f>
        <v/>
      </c>
      <c r="AC15" s="72">
        <f>SUM(AC12:AC14)</f>
        <v/>
      </c>
      <c r="AD15" s="72">
        <f>SUM(AD12:AD14)</f>
        <v/>
      </c>
      <c r="AE15" s="72">
        <f>SUM(AE12:AE14)</f>
        <v/>
      </c>
      <c r="AF15" s="72">
        <f>SUM(AF12:AF14)</f>
        <v/>
      </c>
      <c r="AG15" s="72">
        <f>SUM(AG12:AG14)</f>
        <v/>
      </c>
      <c r="AH15" s="72">
        <f>SUM(AH12:AH14)</f>
        <v/>
      </c>
      <c r="AI15" s="72">
        <f>SUM(AI12:AI14)</f>
        <v/>
      </c>
      <c r="AJ15" s="72">
        <f>SUM(AJ12:AJ14)</f>
        <v/>
      </c>
      <c r="AK15" s="72">
        <f>SUM(AK12:AK14)</f>
        <v/>
      </c>
      <c r="AL15" s="72">
        <f>SUM(AL12:AL14)</f>
        <v/>
      </c>
      <c r="AM15" s="72">
        <f>SUM(AM12:AM14)</f>
        <v/>
      </c>
      <c r="AN15" s="72">
        <f>SUM(AN12:AN14)</f>
        <v/>
      </c>
      <c r="AO15" s="72">
        <f>SUM(AO12:AO14)</f>
        <v/>
      </c>
      <c r="AP15" s="72">
        <f>SUM(AP12:AP14)</f>
        <v/>
      </c>
      <c r="AQ15" s="72">
        <f>SUM(AQ12:AQ14)</f>
        <v/>
      </c>
      <c r="AR15" s="72">
        <f>SUM(AR12:AR14)</f>
        <v/>
      </c>
      <c r="AS15" s="72">
        <f>SUM(AS12:AS14)</f>
        <v/>
      </c>
      <c r="AT15" s="72">
        <f>SUM(AT12:AT14)</f>
        <v/>
      </c>
      <c r="AU15" s="72">
        <f>SUM(AU12:AU14)</f>
        <v/>
      </c>
      <c r="AV15" s="72">
        <f>SUM(AV12:AV14)</f>
        <v/>
      </c>
      <c r="AW15" s="72">
        <f>SUM(AW12:AW14)</f>
        <v/>
      </c>
      <c r="AX15" s="72">
        <f>SUM(AX12:AX14)</f>
        <v/>
      </c>
      <c r="AY15" s="72">
        <f>SUM(AY12:AY14)</f>
        <v/>
      </c>
      <c r="AZ15" s="72">
        <f>SUM(AZ12:AZ14)</f>
        <v/>
      </c>
      <c r="BA15" s="72">
        <f>SUM(BA12:BA14)</f>
        <v/>
      </c>
    </row>
    <row r="16" ht="14.25" customHeight="1" s="83"/>
    <row r="17" ht="14.25" customHeight="1" s="83">
      <c r="A17" s="2" t="inlineStr">
        <is>
          <t>EIGENKAPITAL (EQUITY)</t>
        </is>
      </c>
    </row>
    <row r="18" ht="14.25" customHeight="1" s="83">
      <c r="A18" s="77" t="inlineStr">
        <is>
          <t>Share Capital</t>
        </is>
      </c>
      <c r="B18" s="74" t="n">
        <v>25000</v>
      </c>
      <c r="C18" s="74" t="n">
        <v>25000</v>
      </c>
      <c r="D18" s="74" t="n">
        <v>25000</v>
      </c>
      <c r="E18" s="74" t="n">
        <v>25000</v>
      </c>
      <c r="F18" s="74" t="n">
        <v>25000</v>
      </c>
      <c r="G18" s="74" t="n">
        <v>25000</v>
      </c>
      <c r="H18" s="74" t="n">
        <v>25000</v>
      </c>
      <c r="I18" s="74" t="n">
        <v>25000</v>
      </c>
      <c r="J18" s="74" t="n">
        <v>25000</v>
      </c>
      <c r="K18" s="74" t="n">
        <v>25000</v>
      </c>
      <c r="L18" s="74" t="n">
        <v>25000</v>
      </c>
      <c r="M18" s="74" t="n">
        <v>25000</v>
      </c>
      <c r="N18" s="74" t="n">
        <v>25000</v>
      </c>
      <c r="O18" s="74" t="n">
        <v>25000</v>
      </c>
      <c r="P18" s="74" t="n">
        <v>25000</v>
      </c>
      <c r="Q18" s="74" t="n">
        <v>25000</v>
      </c>
      <c r="R18" s="74" t="n">
        <v>25000</v>
      </c>
      <c r="S18" s="74" t="n">
        <v>25000</v>
      </c>
      <c r="T18" s="74" t="n">
        <v>25000</v>
      </c>
      <c r="U18" s="74" t="n">
        <v>25000</v>
      </c>
      <c r="V18" s="74" t="n">
        <v>25000</v>
      </c>
      <c r="W18" s="74" t="n">
        <v>25000</v>
      </c>
      <c r="X18" s="74" t="n">
        <v>25000</v>
      </c>
      <c r="Y18" s="74" t="n">
        <v>25000</v>
      </c>
      <c r="Z18" s="74" t="n">
        <v>25000</v>
      </c>
      <c r="AA18" s="74" t="n">
        <v>25000</v>
      </c>
      <c r="AB18" s="74" t="n">
        <v>25000</v>
      </c>
      <c r="AC18" s="74" t="n">
        <v>25000</v>
      </c>
      <c r="AD18" s="74" t="n">
        <v>25000</v>
      </c>
      <c r="AE18" s="74" t="n">
        <v>25000</v>
      </c>
      <c r="AF18" s="74" t="n">
        <v>25000</v>
      </c>
      <c r="AG18" s="74" t="n">
        <v>25000</v>
      </c>
      <c r="AH18" s="74" t="n">
        <v>25000</v>
      </c>
      <c r="AI18" s="74" t="n">
        <v>25000</v>
      </c>
      <c r="AJ18" s="74" t="n">
        <v>25000</v>
      </c>
      <c r="AK18" s="74" t="n">
        <v>25000</v>
      </c>
      <c r="AL18" s="74" t="n">
        <v>25000</v>
      </c>
      <c r="AM18" s="74" t="n">
        <v>25000</v>
      </c>
      <c r="AN18" s="74" t="n">
        <v>25000</v>
      </c>
      <c r="AO18" s="74" t="n">
        <v>25000</v>
      </c>
      <c r="AP18" s="74" t="n">
        <v>25000</v>
      </c>
      <c r="AQ18" s="74" t="n">
        <v>25000</v>
      </c>
      <c r="AR18" s="74" t="n">
        <v>25000</v>
      </c>
      <c r="AS18" s="74" t="n">
        <v>25000</v>
      </c>
      <c r="AT18" s="74" t="n">
        <v>25000</v>
      </c>
      <c r="AU18" s="74" t="n">
        <v>25000</v>
      </c>
      <c r="AV18" s="74" t="n">
        <v>25000</v>
      </c>
      <c r="AW18" s="74" t="n">
        <v>25000</v>
      </c>
      <c r="AX18" s="74" t="n">
        <v>25000</v>
      </c>
      <c r="AY18" s="74" t="n">
        <v>25000</v>
      </c>
      <c r="AZ18" s="74" t="n">
        <v>25000</v>
      </c>
      <c r="BA18" s="74" t="n">
        <v>25000</v>
      </c>
    </row>
    <row r="19" ht="14.25" customHeight="1" s="83">
      <c r="A19" s="77" t="inlineStr">
        <is>
          <t>Additional Paid-in Capital</t>
        </is>
      </c>
      <c r="B19" s="74">
        <f>IF(1=Inputs!$B$11,Inputs!$B$10,0)+IF(1=Inputs!$B$13,Inputs!$B$12,0)+IF(1=Inputs!$B$15,Inputs!$B$14,0)+IF(1=Inputs!$B$17,Inputs!$B$16,0)</f>
        <v/>
      </c>
      <c r="C19" s="74">
        <f>B19+IF(2=Inputs!$B$11,Inputs!$B$10,0)+IF(2=Inputs!$B$13,Inputs!$B$12,0)+IF(2=Inputs!$B$15,Inputs!$B$14,0)+IF(2=Inputs!$B$17,Inputs!$B$16,0)</f>
        <v/>
      </c>
      <c r="D19" s="74">
        <f>C19+IF(3=Inputs!$B$11,Inputs!$B$10,0)+IF(3=Inputs!$B$13,Inputs!$B$12,0)+IF(3=Inputs!$B$15,Inputs!$B$14,0)+IF(3=Inputs!$B$17,Inputs!$B$16,0)</f>
        <v/>
      </c>
      <c r="E19" s="74">
        <f>D19+IF(4=Inputs!$B$11,Inputs!$B$10,0)+IF(4=Inputs!$B$13,Inputs!$B$12,0)+IF(4=Inputs!$B$15,Inputs!$B$14,0)+IF(4=Inputs!$B$17,Inputs!$B$16,0)</f>
        <v/>
      </c>
      <c r="F19" s="74">
        <f>E19+IF(5=Inputs!$B$11,Inputs!$B$10,0)+IF(5=Inputs!$B$13,Inputs!$B$12,0)+IF(5=Inputs!$B$15,Inputs!$B$14,0)+IF(5=Inputs!$B$17,Inputs!$B$16,0)</f>
        <v/>
      </c>
      <c r="G19" s="74">
        <f>F19+IF(6=Inputs!$B$11,Inputs!$B$10,0)+IF(6=Inputs!$B$13,Inputs!$B$12,0)+IF(6=Inputs!$B$15,Inputs!$B$14,0)+IF(6=Inputs!$B$17,Inputs!$B$16,0)</f>
        <v/>
      </c>
      <c r="H19" s="74">
        <f>G19+IF(7=Inputs!$B$11,Inputs!$B$10,0)+IF(7=Inputs!$B$13,Inputs!$B$12,0)+IF(7=Inputs!$B$15,Inputs!$B$14,0)+IF(7=Inputs!$B$17,Inputs!$B$16,0)</f>
        <v/>
      </c>
      <c r="I19" s="74">
        <f>H19+IF(8=Inputs!$B$11,Inputs!$B$10,0)+IF(8=Inputs!$B$13,Inputs!$B$12,0)+IF(8=Inputs!$B$15,Inputs!$B$14,0)+IF(8=Inputs!$B$17,Inputs!$B$16,0)</f>
        <v/>
      </c>
      <c r="J19" s="74">
        <f>I19+IF(9=Inputs!$B$11,Inputs!$B$10,0)+IF(9=Inputs!$B$13,Inputs!$B$12,0)+IF(9=Inputs!$B$15,Inputs!$B$14,0)+IF(9=Inputs!$B$17,Inputs!$B$16,0)</f>
        <v/>
      </c>
      <c r="K19" s="74">
        <f>J19+IF(10=Inputs!$B$11,Inputs!$B$10,0)+IF(10=Inputs!$B$13,Inputs!$B$12,0)+IF(10=Inputs!$B$15,Inputs!$B$14,0)+IF(10=Inputs!$B$17,Inputs!$B$16,0)</f>
        <v/>
      </c>
      <c r="L19" s="74">
        <f>K19+IF(11=Inputs!$B$11,Inputs!$B$10,0)+IF(11=Inputs!$B$13,Inputs!$B$12,0)+IF(11=Inputs!$B$15,Inputs!$B$14,0)+IF(11=Inputs!$B$17,Inputs!$B$16,0)</f>
        <v/>
      </c>
      <c r="M19" s="74">
        <f>L19+IF(12=Inputs!$B$11,Inputs!$B$10,0)+IF(12=Inputs!$B$13,Inputs!$B$12,0)+IF(12=Inputs!$B$15,Inputs!$B$14,0)+IF(12=Inputs!$B$17,Inputs!$B$16,0)</f>
        <v/>
      </c>
      <c r="N19" s="74">
        <f>M19+IF(13=Inputs!$B$11,Inputs!$B$10,0)+IF(13=Inputs!$B$13,Inputs!$B$12,0)+IF(13=Inputs!$B$15,Inputs!$B$14,0)+IF(13=Inputs!$B$17,Inputs!$B$16,0)</f>
        <v/>
      </c>
      <c r="O19" s="74">
        <f>N19+IF(14=Inputs!$B$11,Inputs!$B$10,0)+IF(14=Inputs!$B$13,Inputs!$B$12,0)+IF(14=Inputs!$B$15,Inputs!$B$14,0)+IF(14=Inputs!$B$17,Inputs!$B$16,0)</f>
        <v/>
      </c>
      <c r="P19" s="74">
        <f>O19+IF(15=Inputs!$B$11,Inputs!$B$10,0)+IF(15=Inputs!$B$13,Inputs!$B$12,0)+IF(15=Inputs!$B$15,Inputs!$B$14,0)+IF(15=Inputs!$B$17,Inputs!$B$16,0)</f>
        <v/>
      </c>
      <c r="Q19" s="74">
        <f>P19+IF(16=Inputs!$B$11,Inputs!$B$10,0)+IF(16=Inputs!$B$13,Inputs!$B$12,0)+IF(16=Inputs!$B$15,Inputs!$B$14,0)+IF(16=Inputs!$B$17,Inputs!$B$16,0)</f>
        <v/>
      </c>
      <c r="R19" s="74">
        <f>Q19+IF(17=Inputs!$B$11,Inputs!$B$10,0)+IF(17=Inputs!$B$13,Inputs!$B$12,0)+IF(17=Inputs!$B$15,Inputs!$B$14,0)+IF(17=Inputs!$B$17,Inputs!$B$16,0)</f>
        <v/>
      </c>
      <c r="S19" s="74">
        <f>R19+IF(18=Inputs!$B$11,Inputs!$B$10,0)+IF(18=Inputs!$B$13,Inputs!$B$12,0)+IF(18=Inputs!$B$15,Inputs!$B$14,0)+IF(18=Inputs!$B$17,Inputs!$B$16,0)</f>
        <v/>
      </c>
      <c r="T19" s="74">
        <f>S19+IF(19=Inputs!$B$11,Inputs!$B$10,0)+IF(19=Inputs!$B$13,Inputs!$B$12,0)+IF(19=Inputs!$B$15,Inputs!$B$14,0)+IF(19=Inputs!$B$17,Inputs!$B$16,0)</f>
        <v/>
      </c>
      <c r="U19" s="74">
        <f>T19+IF(20=Inputs!$B$11,Inputs!$B$10,0)+IF(20=Inputs!$B$13,Inputs!$B$12,0)+IF(20=Inputs!$B$15,Inputs!$B$14,0)+IF(20=Inputs!$B$17,Inputs!$B$16,0)</f>
        <v/>
      </c>
      <c r="V19" s="74">
        <f>U19+IF(21=Inputs!$B$11,Inputs!$B$10,0)+IF(21=Inputs!$B$13,Inputs!$B$12,0)+IF(21=Inputs!$B$15,Inputs!$B$14,0)+IF(21=Inputs!$B$17,Inputs!$B$16,0)</f>
        <v/>
      </c>
      <c r="W19" s="74">
        <f>V19+IF(22=Inputs!$B$11,Inputs!$B$10,0)+IF(22=Inputs!$B$13,Inputs!$B$12,0)+IF(22=Inputs!$B$15,Inputs!$B$14,0)+IF(22=Inputs!$B$17,Inputs!$B$16,0)</f>
        <v/>
      </c>
      <c r="X19" s="74">
        <f>W19+IF(23=Inputs!$B$11,Inputs!$B$10,0)+IF(23=Inputs!$B$13,Inputs!$B$12,0)+IF(23=Inputs!$B$15,Inputs!$B$14,0)+IF(23=Inputs!$B$17,Inputs!$B$16,0)</f>
        <v/>
      </c>
      <c r="Y19" s="74">
        <f>X19+IF(24=Inputs!$B$11,Inputs!$B$10,0)+IF(24=Inputs!$B$13,Inputs!$B$12,0)+IF(24=Inputs!$B$15,Inputs!$B$14,0)+IF(24=Inputs!$B$17,Inputs!$B$16,0)</f>
        <v/>
      </c>
      <c r="Z19" s="74">
        <f>Y19+IF(25=Inputs!$B$11,Inputs!$B$10,0)+IF(25=Inputs!$B$13,Inputs!$B$12,0)+IF(25=Inputs!$B$15,Inputs!$B$14,0)+IF(25=Inputs!$B$17,Inputs!$B$16,0)</f>
        <v/>
      </c>
      <c r="AA19" s="74">
        <f>Z19+IF(26=Inputs!$B$11,Inputs!$B$10,0)+IF(26=Inputs!$B$13,Inputs!$B$12,0)+IF(26=Inputs!$B$15,Inputs!$B$14,0)+IF(26=Inputs!$B$17,Inputs!$B$16,0)</f>
        <v/>
      </c>
      <c r="AB19" s="74">
        <f>AA19+IF(27=Inputs!$B$11,Inputs!$B$10,0)+IF(27=Inputs!$B$13,Inputs!$B$12,0)+IF(27=Inputs!$B$15,Inputs!$B$14,0)+IF(27=Inputs!$B$17,Inputs!$B$16,0)</f>
        <v/>
      </c>
      <c r="AC19" s="74">
        <f>AB19+IF(28=Inputs!$B$11,Inputs!$B$10,0)+IF(28=Inputs!$B$13,Inputs!$B$12,0)+IF(28=Inputs!$B$15,Inputs!$B$14,0)+IF(28=Inputs!$B$17,Inputs!$B$16,0)</f>
        <v/>
      </c>
      <c r="AD19" s="74">
        <f>AC19+IF(29=Inputs!$B$11,Inputs!$B$10,0)+IF(29=Inputs!$B$13,Inputs!$B$12,0)+IF(29=Inputs!$B$15,Inputs!$B$14,0)+IF(29=Inputs!$B$17,Inputs!$B$16,0)</f>
        <v/>
      </c>
      <c r="AE19" s="74">
        <f>AD19+IF(30=Inputs!$B$11,Inputs!$B$10,0)+IF(30=Inputs!$B$13,Inputs!$B$12,0)+IF(30=Inputs!$B$15,Inputs!$B$14,0)+IF(30=Inputs!$B$17,Inputs!$B$16,0)</f>
        <v/>
      </c>
      <c r="AF19" s="74">
        <f>AE19+IF(31=Inputs!$B$11,Inputs!$B$10,0)+IF(31=Inputs!$B$13,Inputs!$B$12,0)+IF(31=Inputs!$B$15,Inputs!$B$14,0)+IF(31=Inputs!$B$17,Inputs!$B$16,0)</f>
        <v/>
      </c>
      <c r="AG19" s="74">
        <f>AF19+IF(32=Inputs!$B$11,Inputs!$B$10,0)+IF(32=Inputs!$B$13,Inputs!$B$12,0)+IF(32=Inputs!$B$15,Inputs!$B$14,0)+IF(32=Inputs!$B$17,Inputs!$B$16,0)</f>
        <v/>
      </c>
      <c r="AH19" s="74">
        <f>AG19+IF(33=Inputs!$B$11,Inputs!$B$10,0)+IF(33=Inputs!$B$13,Inputs!$B$12,0)+IF(33=Inputs!$B$15,Inputs!$B$14,0)+IF(33=Inputs!$B$17,Inputs!$B$16,0)</f>
        <v/>
      </c>
      <c r="AI19" s="74">
        <f>AH19+IF(34=Inputs!$B$11,Inputs!$B$10,0)+IF(34=Inputs!$B$13,Inputs!$B$12,0)+IF(34=Inputs!$B$15,Inputs!$B$14,0)+IF(34=Inputs!$B$17,Inputs!$B$16,0)</f>
        <v/>
      </c>
      <c r="AJ19" s="74">
        <f>AI19+IF(35=Inputs!$B$11,Inputs!$B$10,0)+IF(35=Inputs!$B$13,Inputs!$B$12,0)+IF(35=Inputs!$B$15,Inputs!$B$14,0)+IF(35=Inputs!$B$17,Inputs!$B$16,0)</f>
        <v/>
      </c>
      <c r="AK19" s="74">
        <f>AJ19+IF(36=Inputs!$B$11,Inputs!$B$10,0)+IF(36=Inputs!$B$13,Inputs!$B$12,0)+IF(36=Inputs!$B$15,Inputs!$B$14,0)+IF(36=Inputs!$B$17,Inputs!$B$16,0)</f>
        <v/>
      </c>
      <c r="AL19" s="74">
        <f>AK19+IF(37=Inputs!$B$11,Inputs!$B$10,0)+IF(37=Inputs!$B$13,Inputs!$B$12,0)+IF(37=Inputs!$B$15,Inputs!$B$14,0)+IF(37=Inputs!$B$17,Inputs!$B$16,0)</f>
        <v/>
      </c>
      <c r="AM19" s="74">
        <f>AL19+IF(38=Inputs!$B$11,Inputs!$B$10,0)+IF(38=Inputs!$B$13,Inputs!$B$12,0)+IF(38=Inputs!$B$15,Inputs!$B$14,0)+IF(38=Inputs!$B$17,Inputs!$B$16,0)</f>
        <v/>
      </c>
      <c r="AN19" s="74">
        <f>AM19+IF(39=Inputs!$B$11,Inputs!$B$10,0)+IF(39=Inputs!$B$13,Inputs!$B$12,0)+IF(39=Inputs!$B$15,Inputs!$B$14,0)+IF(39=Inputs!$B$17,Inputs!$B$16,0)</f>
        <v/>
      </c>
      <c r="AO19" s="74">
        <f>AN19+IF(40=Inputs!$B$11,Inputs!$B$10,0)+IF(40=Inputs!$B$13,Inputs!$B$12,0)+IF(40=Inputs!$B$15,Inputs!$B$14,0)+IF(40=Inputs!$B$17,Inputs!$B$16,0)</f>
        <v/>
      </c>
      <c r="AP19" s="74">
        <f>AO19+IF(41=Inputs!$B$11,Inputs!$B$10,0)+IF(41=Inputs!$B$13,Inputs!$B$12,0)+IF(41=Inputs!$B$15,Inputs!$B$14,0)+IF(41=Inputs!$B$17,Inputs!$B$16,0)</f>
        <v/>
      </c>
      <c r="AQ19" s="74">
        <f>AP19+IF(42=Inputs!$B$11,Inputs!$B$10,0)+IF(42=Inputs!$B$13,Inputs!$B$12,0)+IF(42=Inputs!$B$15,Inputs!$B$14,0)+IF(42=Inputs!$B$17,Inputs!$B$16,0)</f>
        <v/>
      </c>
      <c r="AR19" s="74">
        <f>AQ19+IF(43=Inputs!$B$11,Inputs!$B$10,0)+IF(43=Inputs!$B$13,Inputs!$B$12,0)+IF(43=Inputs!$B$15,Inputs!$B$14,0)+IF(43=Inputs!$B$17,Inputs!$B$16,0)</f>
        <v/>
      </c>
      <c r="AS19" s="74">
        <f>AR19+IF(44=Inputs!$B$11,Inputs!$B$10,0)+IF(44=Inputs!$B$13,Inputs!$B$12,0)+IF(44=Inputs!$B$15,Inputs!$B$14,0)+IF(44=Inputs!$B$17,Inputs!$B$16,0)</f>
        <v/>
      </c>
      <c r="AT19" s="74">
        <f>AS19+IF(45=Inputs!$B$11,Inputs!$B$10,0)+IF(45=Inputs!$B$13,Inputs!$B$12,0)+IF(45=Inputs!$B$15,Inputs!$B$14,0)+IF(45=Inputs!$B$17,Inputs!$B$16,0)</f>
        <v/>
      </c>
      <c r="AU19" s="74">
        <f>AT19+IF(46=Inputs!$B$11,Inputs!$B$10,0)+IF(46=Inputs!$B$13,Inputs!$B$12,0)+IF(46=Inputs!$B$15,Inputs!$B$14,0)+IF(46=Inputs!$B$17,Inputs!$B$16,0)</f>
        <v/>
      </c>
      <c r="AV19" s="74">
        <f>AU19+IF(47=Inputs!$B$11,Inputs!$B$10,0)+IF(47=Inputs!$B$13,Inputs!$B$12,0)+IF(47=Inputs!$B$15,Inputs!$B$14,0)+IF(47=Inputs!$B$17,Inputs!$B$16,0)</f>
        <v/>
      </c>
      <c r="AW19" s="74">
        <f>AV19+IF(48=Inputs!$B$11,Inputs!$B$10,0)+IF(48=Inputs!$B$13,Inputs!$B$12,0)+IF(48=Inputs!$B$15,Inputs!$B$14,0)+IF(48=Inputs!$B$17,Inputs!$B$16,0)</f>
        <v/>
      </c>
      <c r="AX19" s="74">
        <f>AW19+IF(49=Inputs!$B$11,Inputs!$B$10,0)+IF(49=Inputs!$B$13,Inputs!$B$12,0)+IF(49=Inputs!$B$15,Inputs!$B$14,0)+IF(49=Inputs!$B$17,Inputs!$B$16,0)</f>
        <v/>
      </c>
      <c r="AY19" s="74">
        <f>AX19+IF(50=Inputs!$B$11,Inputs!$B$10,0)+IF(50=Inputs!$B$13,Inputs!$B$12,0)+IF(50=Inputs!$B$15,Inputs!$B$14,0)+IF(50=Inputs!$B$17,Inputs!$B$16,0)</f>
        <v/>
      </c>
      <c r="AZ19" s="74">
        <f>AY19+IF(51=Inputs!$B$11,Inputs!$B$10,0)+IF(51=Inputs!$B$13,Inputs!$B$12,0)+IF(51=Inputs!$B$15,Inputs!$B$14,0)+IF(51=Inputs!$B$17,Inputs!$B$16,0)</f>
        <v/>
      </c>
      <c r="BA19" s="74">
        <f>AZ19+IF(52=Inputs!$B$11,Inputs!$B$10,0)+IF(52=Inputs!$B$13,Inputs!$B$12,0)+IF(52=Inputs!$B$15,Inputs!$B$14,0)+IF(52=Inputs!$B$17,Inputs!$B$16,0)</f>
        <v/>
      </c>
    </row>
    <row r="20" ht="14.25" customHeight="1" s="83">
      <c r="A20" s="77" t="inlineStr">
        <is>
          <t>Retained Earnings</t>
        </is>
      </c>
      <c r="B20" s="74">
        <f>'P&amp;L'!B39</f>
        <v/>
      </c>
      <c r="C20" s="74">
        <f>B20+'P&amp;L'!C39</f>
        <v/>
      </c>
      <c r="D20" s="74">
        <f>C20+'P&amp;L'!D39</f>
        <v/>
      </c>
      <c r="E20" s="74">
        <f>D20+'P&amp;L'!E39</f>
        <v/>
      </c>
      <c r="F20" s="74">
        <f>E20+'P&amp;L'!F39</f>
        <v/>
      </c>
      <c r="G20" s="74">
        <f>F20+'P&amp;L'!G39</f>
        <v/>
      </c>
      <c r="H20" s="74">
        <f>G20+'P&amp;L'!H39</f>
        <v/>
      </c>
      <c r="I20" s="74">
        <f>H20+'P&amp;L'!I39</f>
        <v/>
      </c>
      <c r="J20" s="74">
        <f>I20+'P&amp;L'!J39</f>
        <v/>
      </c>
      <c r="K20" s="74">
        <f>J20+'P&amp;L'!K39</f>
        <v/>
      </c>
      <c r="L20" s="74">
        <f>K20+'P&amp;L'!L39</f>
        <v/>
      </c>
      <c r="M20" s="74">
        <f>L20+'P&amp;L'!M39</f>
        <v/>
      </c>
      <c r="N20" s="74">
        <f>M20+'P&amp;L'!N39</f>
        <v/>
      </c>
      <c r="O20" s="74">
        <f>N20+'P&amp;L'!O39</f>
        <v/>
      </c>
      <c r="P20" s="74">
        <f>O20+'P&amp;L'!P39</f>
        <v/>
      </c>
      <c r="Q20" s="74">
        <f>P20+'P&amp;L'!Q39</f>
        <v/>
      </c>
      <c r="R20" s="74">
        <f>Q20+'P&amp;L'!R39</f>
        <v/>
      </c>
      <c r="S20" s="74">
        <f>R20+'P&amp;L'!S39</f>
        <v/>
      </c>
      <c r="T20" s="74">
        <f>S20+'P&amp;L'!T39</f>
        <v/>
      </c>
      <c r="U20" s="74">
        <f>T20+'P&amp;L'!U39</f>
        <v/>
      </c>
      <c r="V20" s="74">
        <f>U20+'P&amp;L'!V39</f>
        <v/>
      </c>
      <c r="W20" s="74">
        <f>V20+'P&amp;L'!W39</f>
        <v/>
      </c>
      <c r="X20" s="74">
        <f>W20+'P&amp;L'!X39</f>
        <v/>
      </c>
      <c r="Y20" s="74">
        <f>X20+'P&amp;L'!Y39</f>
        <v/>
      </c>
      <c r="Z20" s="74">
        <f>Y20+'P&amp;L'!Z39</f>
        <v/>
      </c>
      <c r="AA20" s="74">
        <f>Z20+'P&amp;L'!AA39</f>
        <v/>
      </c>
      <c r="AB20" s="74">
        <f>AA20+'P&amp;L'!AB39</f>
        <v/>
      </c>
      <c r="AC20" s="74">
        <f>AB20+'P&amp;L'!AC39</f>
        <v/>
      </c>
      <c r="AD20" s="74">
        <f>AC20+'P&amp;L'!AD39</f>
        <v/>
      </c>
      <c r="AE20" s="74">
        <f>AD20+'P&amp;L'!AE39</f>
        <v/>
      </c>
      <c r="AF20" s="74">
        <f>AE20+'P&amp;L'!AF39</f>
        <v/>
      </c>
      <c r="AG20" s="74">
        <f>AF20+'P&amp;L'!AG39</f>
        <v/>
      </c>
      <c r="AH20" s="74">
        <f>AG20+'P&amp;L'!AH39</f>
        <v/>
      </c>
      <c r="AI20" s="74">
        <f>AH20+'P&amp;L'!AI39</f>
        <v/>
      </c>
      <c r="AJ20" s="74">
        <f>AI20+'P&amp;L'!AJ39</f>
        <v/>
      </c>
      <c r="AK20" s="74">
        <f>AJ20+'P&amp;L'!AK39</f>
        <v/>
      </c>
      <c r="AL20" s="74">
        <f>AK20+'P&amp;L'!AL39</f>
        <v/>
      </c>
      <c r="AM20" s="74">
        <f>AL20+'P&amp;L'!AM39</f>
        <v/>
      </c>
      <c r="AN20" s="74">
        <f>AM20+'P&amp;L'!AN39</f>
        <v/>
      </c>
      <c r="AO20" s="74">
        <f>AN20+'P&amp;L'!AO39</f>
        <v/>
      </c>
      <c r="AP20" s="74">
        <f>AO20+'P&amp;L'!AP39</f>
        <v/>
      </c>
      <c r="AQ20" s="74">
        <f>AP20+'P&amp;L'!AQ39</f>
        <v/>
      </c>
      <c r="AR20" s="74">
        <f>AQ20+'P&amp;L'!AR39</f>
        <v/>
      </c>
      <c r="AS20" s="74">
        <f>AR20+'P&amp;L'!AS39</f>
        <v/>
      </c>
      <c r="AT20" s="74">
        <f>AS20+'P&amp;L'!AT39</f>
        <v/>
      </c>
      <c r="AU20" s="74">
        <f>AT20+'P&amp;L'!AU39</f>
        <v/>
      </c>
      <c r="AV20" s="74">
        <f>AU20+'P&amp;L'!AV39</f>
        <v/>
      </c>
      <c r="AW20" s="74">
        <f>AV20+'P&amp;L'!AW39</f>
        <v/>
      </c>
      <c r="AX20" s="74">
        <f>AW20+'P&amp;L'!AX39</f>
        <v/>
      </c>
      <c r="AY20" s="74">
        <f>AX20+'P&amp;L'!AY39</f>
        <v/>
      </c>
      <c r="AZ20" s="74">
        <f>AY20+'P&amp;L'!AZ39</f>
        <v/>
      </c>
      <c r="BA20" s="74">
        <f>AZ20+'P&amp;L'!BA39</f>
        <v/>
      </c>
    </row>
    <row r="21" ht="14.25" customHeight="1" s="83">
      <c r="A21" s="2" t="inlineStr">
        <is>
          <t>TOTAL EQUITY</t>
        </is>
      </c>
      <c r="B21" s="72">
        <f>B18+B19+B20</f>
        <v/>
      </c>
      <c r="C21" s="72">
        <f>C18+C19+C20</f>
        <v/>
      </c>
      <c r="D21" s="72">
        <f>D18+D19+D20</f>
        <v/>
      </c>
      <c r="E21" s="72">
        <f>E18+E19+E20</f>
        <v/>
      </c>
      <c r="F21" s="72">
        <f>F18+F19+F20</f>
        <v/>
      </c>
      <c r="G21" s="72">
        <f>G18+G19+G20</f>
        <v/>
      </c>
      <c r="H21" s="72">
        <f>H18+H19+H20</f>
        <v/>
      </c>
      <c r="I21" s="72">
        <f>I18+I19+I20</f>
        <v/>
      </c>
      <c r="J21" s="72">
        <f>J18+J19+J20</f>
        <v/>
      </c>
      <c r="K21" s="72">
        <f>K18+K19+K20</f>
        <v/>
      </c>
      <c r="L21" s="72">
        <f>L18+L19+L20</f>
        <v/>
      </c>
      <c r="M21" s="72">
        <f>M18+M19+M20</f>
        <v/>
      </c>
      <c r="N21" s="72">
        <f>N18+N19+N20</f>
        <v/>
      </c>
      <c r="O21" s="72">
        <f>O18+O19+O20</f>
        <v/>
      </c>
      <c r="P21" s="72">
        <f>P18+P19+P20</f>
        <v/>
      </c>
      <c r="Q21" s="72">
        <f>Q18+Q19+Q20</f>
        <v/>
      </c>
      <c r="R21" s="72">
        <f>R18+R19+R20</f>
        <v/>
      </c>
      <c r="S21" s="72">
        <f>S18+S19+S20</f>
        <v/>
      </c>
      <c r="T21" s="72">
        <f>T18+T19+T20</f>
        <v/>
      </c>
      <c r="U21" s="72">
        <f>U18+U19+U20</f>
        <v/>
      </c>
      <c r="V21" s="72">
        <f>V18+V19+V20</f>
        <v/>
      </c>
      <c r="W21" s="72">
        <f>W18+W19+W20</f>
        <v/>
      </c>
      <c r="X21" s="72">
        <f>X18+X19+X20</f>
        <v/>
      </c>
      <c r="Y21" s="72">
        <f>Y18+Y19+Y20</f>
        <v/>
      </c>
      <c r="Z21" s="72">
        <f>Z18+Z19+Z20</f>
        <v/>
      </c>
      <c r="AA21" s="72">
        <f>AA18+AA19+AA20</f>
        <v/>
      </c>
      <c r="AB21" s="72">
        <f>AB18+AB19+AB20</f>
        <v/>
      </c>
      <c r="AC21" s="72">
        <f>AC18+AC19+AC20</f>
        <v/>
      </c>
      <c r="AD21" s="72">
        <f>AD18+AD19+AD20</f>
        <v/>
      </c>
      <c r="AE21" s="72">
        <f>AE18+AE19+AE20</f>
        <v/>
      </c>
      <c r="AF21" s="72">
        <f>AF18+AF19+AF20</f>
        <v/>
      </c>
      <c r="AG21" s="72">
        <f>AG18+AG19+AG20</f>
        <v/>
      </c>
      <c r="AH21" s="72">
        <f>AH18+AH19+AH20</f>
        <v/>
      </c>
      <c r="AI21" s="72">
        <f>AI18+AI19+AI20</f>
        <v/>
      </c>
      <c r="AJ21" s="72">
        <f>AJ18+AJ19+AJ20</f>
        <v/>
      </c>
      <c r="AK21" s="72">
        <f>AK18+AK19+AK20</f>
        <v/>
      </c>
      <c r="AL21" s="72">
        <f>AL18+AL19+AL20</f>
        <v/>
      </c>
      <c r="AM21" s="72">
        <f>AM18+AM19+AM20</f>
        <v/>
      </c>
      <c r="AN21" s="72">
        <f>AN18+AN19+AN20</f>
        <v/>
      </c>
      <c r="AO21" s="72">
        <f>AO18+AO19+AO20</f>
        <v/>
      </c>
      <c r="AP21" s="72">
        <f>AP18+AP19+AP20</f>
        <v/>
      </c>
      <c r="AQ21" s="72">
        <f>AQ18+AQ19+AQ20</f>
        <v/>
      </c>
      <c r="AR21" s="72">
        <f>AR18+AR19+AR20</f>
        <v/>
      </c>
      <c r="AS21" s="72">
        <f>AS18+AS19+AS20</f>
        <v/>
      </c>
      <c r="AT21" s="72">
        <f>AT18+AT19+AT20</f>
        <v/>
      </c>
      <c r="AU21" s="72">
        <f>AU18+AU19+AU20</f>
        <v/>
      </c>
      <c r="AV21" s="72">
        <f>AV18+AV19+AV20</f>
        <v/>
      </c>
      <c r="AW21" s="72">
        <f>AW18+AW19+AW20</f>
        <v/>
      </c>
      <c r="AX21" s="72">
        <f>AX18+AX19+AX20</f>
        <v/>
      </c>
      <c r="AY21" s="72">
        <f>AY18+AY19+AY20</f>
        <v/>
      </c>
      <c r="AZ21" s="72">
        <f>AZ18+AZ19+AZ20</f>
        <v/>
      </c>
      <c r="BA21" s="72">
        <f>BA18+BA19+BA20</f>
        <v/>
      </c>
    </row>
    <row r="22" ht="14.25" customHeight="1" s="83"/>
    <row r="23" ht="14.25" customHeight="1" s="83">
      <c r="A23" s="2" t="inlineStr">
        <is>
          <t>TOTAL LIABILITIES + EQUITY</t>
        </is>
      </c>
      <c r="B23" s="72">
        <f>B15+B21</f>
        <v/>
      </c>
      <c r="C23" s="72">
        <f>C15+C21</f>
        <v/>
      </c>
      <c r="D23" s="72">
        <f>D15+D21</f>
        <v/>
      </c>
      <c r="E23" s="72">
        <f>E15+E21</f>
        <v/>
      </c>
      <c r="F23" s="72">
        <f>F15+F21</f>
        <v/>
      </c>
      <c r="G23" s="72">
        <f>G15+G21</f>
        <v/>
      </c>
      <c r="H23" s="72">
        <f>H15+H21</f>
        <v/>
      </c>
      <c r="I23" s="72">
        <f>I15+I21</f>
        <v/>
      </c>
      <c r="J23" s="72">
        <f>J15+J21</f>
        <v/>
      </c>
      <c r="K23" s="72">
        <f>K15+K21</f>
        <v/>
      </c>
      <c r="L23" s="72">
        <f>L15+L21</f>
        <v/>
      </c>
      <c r="M23" s="72">
        <f>M15+M21</f>
        <v/>
      </c>
      <c r="N23" s="72">
        <f>N15+N21</f>
        <v/>
      </c>
      <c r="O23" s="72">
        <f>O15+O21</f>
        <v/>
      </c>
      <c r="P23" s="72">
        <f>P15+P21</f>
        <v/>
      </c>
      <c r="Q23" s="72">
        <f>Q15+Q21</f>
        <v/>
      </c>
      <c r="R23" s="72">
        <f>R15+R21</f>
        <v/>
      </c>
      <c r="S23" s="72">
        <f>S15+S21</f>
        <v/>
      </c>
      <c r="T23" s="72">
        <f>T15+T21</f>
        <v/>
      </c>
      <c r="U23" s="72">
        <f>U15+U21</f>
        <v/>
      </c>
      <c r="V23" s="72">
        <f>V15+V21</f>
        <v/>
      </c>
      <c r="W23" s="72">
        <f>W15+W21</f>
        <v/>
      </c>
      <c r="X23" s="72">
        <f>X15+X21</f>
        <v/>
      </c>
      <c r="Y23" s="72">
        <f>Y15+Y21</f>
        <v/>
      </c>
      <c r="Z23" s="72">
        <f>Z15+Z21</f>
        <v/>
      </c>
      <c r="AA23" s="72">
        <f>AA15+AA21</f>
        <v/>
      </c>
      <c r="AB23" s="72">
        <f>AB15+AB21</f>
        <v/>
      </c>
      <c r="AC23" s="72">
        <f>AC15+AC21</f>
        <v/>
      </c>
      <c r="AD23" s="72">
        <f>AD15+AD21</f>
        <v/>
      </c>
      <c r="AE23" s="72">
        <f>AE15+AE21</f>
        <v/>
      </c>
      <c r="AF23" s="72">
        <f>AF15+AF21</f>
        <v/>
      </c>
      <c r="AG23" s="72">
        <f>AG15+AG21</f>
        <v/>
      </c>
      <c r="AH23" s="72">
        <f>AH15+AH21</f>
        <v/>
      </c>
      <c r="AI23" s="72">
        <f>AI15+AI21</f>
        <v/>
      </c>
      <c r="AJ23" s="72">
        <f>AJ15+AJ21</f>
        <v/>
      </c>
      <c r="AK23" s="72">
        <f>AK15+AK21</f>
        <v/>
      </c>
      <c r="AL23" s="72">
        <f>AL15+AL21</f>
        <v/>
      </c>
      <c r="AM23" s="72">
        <f>AM15+AM21</f>
        <v/>
      </c>
      <c r="AN23" s="72">
        <f>AN15+AN21</f>
        <v/>
      </c>
      <c r="AO23" s="72">
        <f>AO15+AO21</f>
        <v/>
      </c>
      <c r="AP23" s="72">
        <f>AP15+AP21</f>
        <v/>
      </c>
      <c r="AQ23" s="72">
        <f>AQ15+AQ21</f>
        <v/>
      </c>
      <c r="AR23" s="72">
        <f>AR15+AR21</f>
        <v/>
      </c>
      <c r="AS23" s="72">
        <f>AS15+AS21</f>
        <v/>
      </c>
      <c r="AT23" s="72">
        <f>AT15+AT21</f>
        <v/>
      </c>
      <c r="AU23" s="72">
        <f>AU15+AU21</f>
        <v/>
      </c>
      <c r="AV23" s="72">
        <f>AV15+AV21</f>
        <v/>
      </c>
      <c r="AW23" s="72">
        <f>AW15+AW21</f>
        <v/>
      </c>
      <c r="AX23" s="72">
        <f>AX15+AX21</f>
        <v/>
      </c>
      <c r="AY23" s="72">
        <f>AY15+AY21</f>
        <v/>
      </c>
      <c r="AZ23" s="72">
        <f>AZ15+AZ21</f>
        <v/>
      </c>
      <c r="BA23" s="72">
        <f>BA15+BA21</f>
        <v/>
      </c>
    </row>
    <row r="24" ht="14.25" customHeight="1" s="83">
      <c r="A24" s="77" t="inlineStr">
        <is>
          <t>Check (Assets - L&amp;E = 0)</t>
        </is>
      </c>
      <c r="B24" s="74">
        <f>B9-B23</f>
        <v/>
      </c>
      <c r="C24" s="74">
        <f>C9-C23</f>
        <v/>
      </c>
      <c r="D24" s="74">
        <f>D9-D23</f>
        <v/>
      </c>
      <c r="E24" s="74">
        <f>E9-E23</f>
        <v/>
      </c>
      <c r="F24" s="74">
        <f>F9-F23</f>
        <v/>
      </c>
      <c r="G24" s="74">
        <f>G9-G23</f>
        <v/>
      </c>
      <c r="H24" s="74">
        <f>H9-H23</f>
        <v/>
      </c>
      <c r="I24" s="74">
        <f>I9-I23</f>
        <v/>
      </c>
      <c r="J24" s="74">
        <f>J9-J23</f>
        <v/>
      </c>
      <c r="K24" s="74">
        <f>K9-K23</f>
        <v/>
      </c>
      <c r="L24" s="74">
        <f>L9-L23</f>
        <v/>
      </c>
      <c r="M24" s="74">
        <f>M9-M23</f>
        <v/>
      </c>
      <c r="N24" s="74">
        <f>N9-N23</f>
        <v/>
      </c>
      <c r="O24" s="74">
        <f>O9-O23</f>
        <v/>
      </c>
      <c r="P24" s="74">
        <f>P9-P23</f>
        <v/>
      </c>
      <c r="Q24" s="74">
        <f>Q9-Q23</f>
        <v/>
      </c>
      <c r="R24" s="74">
        <f>R9-R23</f>
        <v/>
      </c>
      <c r="S24" s="74">
        <f>S9-S23</f>
        <v/>
      </c>
      <c r="T24" s="74">
        <f>T9-T23</f>
        <v/>
      </c>
      <c r="U24" s="74">
        <f>U9-U23</f>
        <v/>
      </c>
      <c r="V24" s="74">
        <f>V9-V23</f>
        <v/>
      </c>
      <c r="W24" s="74">
        <f>W9-W23</f>
        <v/>
      </c>
      <c r="X24" s="74">
        <f>X9-X23</f>
        <v/>
      </c>
      <c r="Y24" s="74">
        <f>Y9-Y23</f>
        <v/>
      </c>
      <c r="Z24" s="74">
        <f>Z9-Z23</f>
        <v/>
      </c>
      <c r="AA24" s="74">
        <f>AA9-AA23</f>
        <v/>
      </c>
      <c r="AB24" s="74">
        <f>AB9-AB23</f>
        <v/>
      </c>
      <c r="AC24" s="74">
        <f>AC9-AC23</f>
        <v/>
      </c>
      <c r="AD24" s="74">
        <f>AD9-AD23</f>
        <v/>
      </c>
      <c r="AE24" s="74">
        <f>AE9-AE23</f>
        <v/>
      </c>
      <c r="AF24" s="74">
        <f>AF9-AF23</f>
        <v/>
      </c>
      <c r="AG24" s="74">
        <f>AG9-AG23</f>
        <v/>
      </c>
      <c r="AH24" s="74">
        <f>AH9-AH23</f>
        <v/>
      </c>
      <c r="AI24" s="74">
        <f>AI9-AI23</f>
        <v/>
      </c>
      <c r="AJ24" s="74">
        <f>AJ9-AJ23</f>
        <v/>
      </c>
      <c r="AK24" s="74">
        <f>AK9-AK23</f>
        <v/>
      </c>
      <c r="AL24" s="74">
        <f>AL9-AL23</f>
        <v/>
      </c>
      <c r="AM24" s="74">
        <f>AM9-AM23</f>
        <v/>
      </c>
      <c r="AN24" s="74">
        <f>AN9-AN23</f>
        <v/>
      </c>
      <c r="AO24" s="74">
        <f>AO9-AO23</f>
        <v/>
      </c>
      <c r="AP24" s="74">
        <f>AP9-AP23</f>
        <v/>
      </c>
      <c r="AQ24" s="74">
        <f>AQ9-AQ23</f>
        <v/>
      </c>
      <c r="AR24" s="74">
        <f>AR9-AR23</f>
        <v/>
      </c>
      <c r="AS24" s="74">
        <f>AS9-AS23</f>
        <v/>
      </c>
      <c r="AT24" s="74">
        <f>AT9-AT23</f>
        <v/>
      </c>
      <c r="AU24" s="74">
        <f>AU9-AU23</f>
        <v/>
      </c>
      <c r="AV24" s="74">
        <f>AV9-AV23</f>
        <v/>
      </c>
      <c r="AW24" s="74">
        <f>AW9-AW23</f>
        <v/>
      </c>
      <c r="AX24" s="74">
        <f>AX9-AX23</f>
        <v/>
      </c>
      <c r="AY24" s="74">
        <f>AY9-AY23</f>
        <v/>
      </c>
      <c r="AZ24" s="74">
        <f>AZ9-AZ23</f>
        <v/>
      </c>
      <c r="BA24" s="74">
        <f>BA9-BA23</f>
        <v/>
      </c>
    </row>
    <row r="25" ht="14.25" customHeight="1" s="83"/>
    <row r="26" ht="14.25" customHeight="1" s="83"/>
    <row r="27" ht="14.25" customHeight="1" s="83"/>
    <row r="28" ht="14.25" customHeight="1" s="83"/>
    <row r="29" ht="14.25" customHeight="1" s="83"/>
    <row r="30" ht="14.25" customHeight="1" s="83"/>
    <row r="31" ht="14.25" customHeight="1" s="83"/>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10.xml><?xml version="1.0" encoding="utf-8"?>
<worksheet xmlns="http://schemas.openxmlformats.org/spreadsheetml/2006/main">
  <sheetPr>
    <tabColor rgb="FF00B050"/>
    <outlinePr summaryBelow="1" summaryRight="1"/>
    <pageSetUpPr/>
  </sheetPr>
  <dimension ref="A1:BA28"/>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KAPITALFLUSSRECHNUNG (CASH FLOW)</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OPERATING ACTIVITIES</t>
        </is>
      </c>
    </row>
    <row r="5" ht="14.25" customHeight="1" s="83">
      <c r="A5" s="77" t="inlineStr">
        <is>
          <t>Net Income</t>
        </is>
      </c>
      <c r="B5" s="71">
        <f>'P&amp;L'!B39</f>
        <v/>
      </c>
      <c r="C5" s="71">
        <f>'P&amp;L'!C39</f>
        <v/>
      </c>
      <c r="D5" s="71">
        <f>'P&amp;L'!D39</f>
        <v/>
      </c>
      <c r="E5" s="71">
        <f>'P&amp;L'!E39</f>
        <v/>
      </c>
      <c r="F5" s="71">
        <f>'P&amp;L'!F39</f>
        <v/>
      </c>
      <c r="G5" s="71">
        <f>'P&amp;L'!G39</f>
        <v/>
      </c>
      <c r="H5" s="71">
        <f>'P&amp;L'!H39</f>
        <v/>
      </c>
      <c r="I5" s="71">
        <f>'P&amp;L'!I39</f>
        <v/>
      </c>
      <c r="J5" s="71">
        <f>'P&amp;L'!J39</f>
        <v/>
      </c>
      <c r="K5" s="71">
        <f>'P&amp;L'!K39</f>
        <v/>
      </c>
      <c r="L5" s="71">
        <f>'P&amp;L'!L39</f>
        <v/>
      </c>
      <c r="M5" s="71">
        <f>'P&amp;L'!M39</f>
        <v/>
      </c>
      <c r="N5" s="71">
        <f>'P&amp;L'!N39</f>
        <v/>
      </c>
      <c r="O5" s="71">
        <f>'P&amp;L'!O39</f>
        <v/>
      </c>
      <c r="P5" s="71">
        <f>'P&amp;L'!P39</f>
        <v/>
      </c>
      <c r="Q5" s="71">
        <f>'P&amp;L'!Q39</f>
        <v/>
      </c>
      <c r="R5" s="71">
        <f>'P&amp;L'!R39</f>
        <v/>
      </c>
      <c r="S5" s="71">
        <f>'P&amp;L'!S39</f>
        <v/>
      </c>
      <c r="T5" s="71">
        <f>'P&amp;L'!T39</f>
        <v/>
      </c>
      <c r="U5" s="71">
        <f>'P&amp;L'!U39</f>
        <v/>
      </c>
      <c r="V5" s="71">
        <f>'P&amp;L'!V39</f>
        <v/>
      </c>
      <c r="W5" s="71">
        <f>'P&amp;L'!W39</f>
        <v/>
      </c>
      <c r="X5" s="71">
        <f>'P&amp;L'!X39</f>
        <v/>
      </c>
      <c r="Y5" s="71">
        <f>'P&amp;L'!Y39</f>
        <v/>
      </c>
      <c r="Z5" s="71">
        <f>'P&amp;L'!Z39</f>
        <v/>
      </c>
      <c r="AA5" s="71">
        <f>'P&amp;L'!AA39</f>
        <v/>
      </c>
      <c r="AB5" s="71">
        <f>'P&amp;L'!AB39</f>
        <v/>
      </c>
      <c r="AC5" s="71">
        <f>'P&amp;L'!AC39</f>
        <v/>
      </c>
      <c r="AD5" s="71">
        <f>'P&amp;L'!AD39</f>
        <v/>
      </c>
      <c r="AE5" s="71">
        <f>'P&amp;L'!AE39</f>
        <v/>
      </c>
      <c r="AF5" s="71">
        <f>'P&amp;L'!AF39</f>
        <v/>
      </c>
      <c r="AG5" s="71">
        <f>'P&amp;L'!AG39</f>
        <v/>
      </c>
      <c r="AH5" s="71">
        <f>'P&amp;L'!AH39</f>
        <v/>
      </c>
      <c r="AI5" s="71">
        <f>'P&amp;L'!AI39</f>
        <v/>
      </c>
      <c r="AJ5" s="71">
        <f>'P&amp;L'!AJ39</f>
        <v/>
      </c>
      <c r="AK5" s="71">
        <f>'P&amp;L'!AK39</f>
        <v/>
      </c>
      <c r="AL5" s="71">
        <f>'P&amp;L'!AL39</f>
        <v/>
      </c>
      <c r="AM5" s="71">
        <f>'P&amp;L'!AM39</f>
        <v/>
      </c>
      <c r="AN5" s="71">
        <f>'P&amp;L'!AN39</f>
        <v/>
      </c>
      <c r="AO5" s="71">
        <f>'P&amp;L'!AO39</f>
        <v/>
      </c>
      <c r="AP5" s="71">
        <f>'P&amp;L'!AP39</f>
        <v/>
      </c>
      <c r="AQ5" s="71">
        <f>'P&amp;L'!AQ39</f>
        <v/>
      </c>
      <c r="AR5" s="71">
        <f>'P&amp;L'!AR39</f>
        <v/>
      </c>
      <c r="AS5" s="71">
        <f>'P&amp;L'!AS39</f>
        <v/>
      </c>
      <c r="AT5" s="71">
        <f>'P&amp;L'!AT39</f>
        <v/>
      </c>
      <c r="AU5" s="71">
        <f>'P&amp;L'!AU39</f>
        <v/>
      </c>
      <c r="AV5" s="71">
        <f>'P&amp;L'!AV39</f>
        <v/>
      </c>
      <c r="AW5" s="71">
        <f>'P&amp;L'!AW39</f>
        <v/>
      </c>
      <c r="AX5" s="71">
        <f>'P&amp;L'!AX39</f>
        <v/>
      </c>
      <c r="AY5" s="71">
        <f>'P&amp;L'!AY39</f>
        <v/>
      </c>
      <c r="AZ5" s="71">
        <f>'P&amp;L'!AZ39</f>
        <v/>
      </c>
      <c r="BA5" s="71">
        <f>'P&amp;L'!BA39</f>
        <v/>
      </c>
    </row>
    <row r="6" ht="14.25" customHeight="1" s="83">
      <c r="A6" s="77" t="inlineStr">
        <is>
          <t>+ Depreciation &amp; Amortization</t>
        </is>
      </c>
      <c r="B6" s="71">
        <f>'P&amp;L'!B32</f>
        <v/>
      </c>
      <c r="C6" s="71">
        <f>'P&amp;L'!C32</f>
        <v/>
      </c>
      <c r="D6" s="71">
        <f>'P&amp;L'!D32</f>
        <v/>
      </c>
      <c r="E6" s="71">
        <f>'P&amp;L'!E32</f>
        <v/>
      </c>
      <c r="F6" s="71">
        <f>'P&amp;L'!F32</f>
        <v/>
      </c>
      <c r="G6" s="71">
        <f>'P&amp;L'!G32</f>
        <v/>
      </c>
      <c r="H6" s="71">
        <f>'P&amp;L'!H32</f>
        <v/>
      </c>
      <c r="I6" s="71">
        <f>'P&amp;L'!I32</f>
        <v/>
      </c>
      <c r="J6" s="71">
        <f>'P&amp;L'!J32</f>
        <v/>
      </c>
      <c r="K6" s="71">
        <f>'P&amp;L'!K32</f>
        <v/>
      </c>
      <c r="L6" s="71">
        <f>'P&amp;L'!L32</f>
        <v/>
      </c>
      <c r="M6" s="71">
        <f>'P&amp;L'!M32</f>
        <v/>
      </c>
      <c r="N6" s="71">
        <f>'P&amp;L'!N32</f>
        <v/>
      </c>
      <c r="O6" s="71">
        <f>'P&amp;L'!O32</f>
        <v/>
      </c>
      <c r="P6" s="71">
        <f>'P&amp;L'!P32</f>
        <v/>
      </c>
      <c r="Q6" s="71">
        <f>'P&amp;L'!Q32</f>
        <v/>
      </c>
      <c r="R6" s="71">
        <f>'P&amp;L'!R32</f>
        <v/>
      </c>
      <c r="S6" s="71">
        <f>'P&amp;L'!S32</f>
        <v/>
      </c>
      <c r="T6" s="71">
        <f>'P&amp;L'!T32</f>
        <v/>
      </c>
      <c r="U6" s="71">
        <f>'P&amp;L'!U32</f>
        <v/>
      </c>
      <c r="V6" s="71">
        <f>'P&amp;L'!V32</f>
        <v/>
      </c>
      <c r="W6" s="71">
        <f>'P&amp;L'!W32</f>
        <v/>
      </c>
      <c r="X6" s="71">
        <f>'P&amp;L'!X32</f>
        <v/>
      </c>
      <c r="Y6" s="71">
        <f>'P&amp;L'!Y32</f>
        <v/>
      </c>
      <c r="Z6" s="71">
        <f>'P&amp;L'!Z32</f>
        <v/>
      </c>
      <c r="AA6" s="71">
        <f>'P&amp;L'!AA32</f>
        <v/>
      </c>
      <c r="AB6" s="71">
        <f>'P&amp;L'!AB32</f>
        <v/>
      </c>
      <c r="AC6" s="71">
        <f>'P&amp;L'!AC32</f>
        <v/>
      </c>
      <c r="AD6" s="71">
        <f>'P&amp;L'!AD32</f>
        <v/>
      </c>
      <c r="AE6" s="71">
        <f>'P&amp;L'!AE32</f>
        <v/>
      </c>
      <c r="AF6" s="71">
        <f>'P&amp;L'!AF32</f>
        <v/>
      </c>
      <c r="AG6" s="71">
        <f>'P&amp;L'!AG32</f>
        <v/>
      </c>
      <c r="AH6" s="71">
        <f>'P&amp;L'!AH32</f>
        <v/>
      </c>
      <c r="AI6" s="71">
        <f>'P&amp;L'!AI32</f>
        <v/>
      </c>
      <c r="AJ6" s="71">
        <f>'P&amp;L'!AJ32</f>
        <v/>
      </c>
      <c r="AK6" s="71">
        <f>'P&amp;L'!AK32</f>
        <v/>
      </c>
      <c r="AL6" s="71">
        <f>'P&amp;L'!AL32</f>
        <v/>
      </c>
      <c r="AM6" s="71">
        <f>'P&amp;L'!AM32</f>
        <v/>
      </c>
      <c r="AN6" s="71">
        <f>'P&amp;L'!AN32</f>
        <v/>
      </c>
      <c r="AO6" s="71">
        <f>'P&amp;L'!AO32</f>
        <v/>
      </c>
      <c r="AP6" s="71">
        <f>'P&amp;L'!AP32</f>
        <v/>
      </c>
      <c r="AQ6" s="71">
        <f>'P&amp;L'!AQ32</f>
        <v/>
      </c>
      <c r="AR6" s="71">
        <f>'P&amp;L'!AR32</f>
        <v/>
      </c>
      <c r="AS6" s="71">
        <f>'P&amp;L'!AS32</f>
        <v/>
      </c>
      <c r="AT6" s="71">
        <f>'P&amp;L'!AT32</f>
        <v/>
      </c>
      <c r="AU6" s="71">
        <f>'P&amp;L'!AU32</f>
        <v/>
      </c>
      <c r="AV6" s="71">
        <f>'P&amp;L'!AV32</f>
        <v/>
      </c>
      <c r="AW6" s="71">
        <f>'P&amp;L'!AW32</f>
        <v/>
      </c>
      <c r="AX6" s="71">
        <f>'P&amp;L'!AX32</f>
        <v/>
      </c>
      <c r="AY6" s="71">
        <f>'P&amp;L'!AY32</f>
        <v/>
      </c>
      <c r="AZ6" s="71">
        <f>'P&amp;L'!AZ32</f>
        <v/>
      </c>
      <c r="BA6" s="71">
        <f>'P&amp;L'!BA32</f>
        <v/>
      </c>
    </row>
    <row r="7" ht="14.25" customHeight="1" s="83">
      <c r="A7" s="77" t="inlineStr">
        <is>
          <t>Changes in Working Capital</t>
        </is>
      </c>
      <c r="B7" s="74">
        <f>-'Balance Sheet'!B6-'Balance Sheet'!B7+'Balance Sheet'!B12+'Balance Sheet'!B13+'Balance Sheet'!B14</f>
        <v/>
      </c>
      <c r="C7" s="74">
        <f>-('Balance Sheet'!C6-'Balance Sheet'!B6)-('Balance Sheet'!C7-'Balance Sheet'!B7)+('Balance Sheet'!C12-'Balance Sheet'!B12)+('Balance Sheet'!C13-'Balance Sheet'!B13)+('Balance Sheet'!C14-'Balance Sheet'!B14)</f>
        <v/>
      </c>
      <c r="D7" s="74">
        <f>-('Balance Sheet'!D6-'Balance Sheet'!C6)-('Balance Sheet'!D7-'Balance Sheet'!C7)+('Balance Sheet'!D12-'Balance Sheet'!C12)+('Balance Sheet'!D13-'Balance Sheet'!C13)+('Balance Sheet'!D14-'Balance Sheet'!C14)</f>
        <v/>
      </c>
      <c r="E7" s="74">
        <f>-('Balance Sheet'!E6-'Balance Sheet'!D6)-('Balance Sheet'!E7-'Balance Sheet'!D7)+('Balance Sheet'!E12-'Balance Sheet'!D12)+('Balance Sheet'!E13-'Balance Sheet'!D13)+('Balance Sheet'!E14-'Balance Sheet'!D14)</f>
        <v/>
      </c>
      <c r="F7" s="74">
        <f>-('Balance Sheet'!F6-'Balance Sheet'!E6)-('Balance Sheet'!F7-'Balance Sheet'!E7)+('Balance Sheet'!F12-'Balance Sheet'!E12)+('Balance Sheet'!F13-'Balance Sheet'!E13)+('Balance Sheet'!F14-'Balance Sheet'!E14)</f>
        <v/>
      </c>
      <c r="G7" s="74">
        <f>-('Balance Sheet'!G6-'Balance Sheet'!F6)-('Balance Sheet'!G7-'Balance Sheet'!F7)+('Balance Sheet'!G12-'Balance Sheet'!F12)+('Balance Sheet'!G13-'Balance Sheet'!F13)+('Balance Sheet'!G14-'Balance Sheet'!F14)</f>
        <v/>
      </c>
      <c r="H7" s="74">
        <f>-('Balance Sheet'!H6-'Balance Sheet'!G6)-('Balance Sheet'!H7-'Balance Sheet'!G7)+('Balance Sheet'!H12-'Balance Sheet'!G12)+('Balance Sheet'!H13-'Balance Sheet'!G13)+('Balance Sheet'!H14-'Balance Sheet'!G14)</f>
        <v/>
      </c>
      <c r="I7" s="74">
        <f>-('Balance Sheet'!I6-'Balance Sheet'!H6)-('Balance Sheet'!I7-'Balance Sheet'!H7)+('Balance Sheet'!I12-'Balance Sheet'!H12)+('Balance Sheet'!I13-'Balance Sheet'!H13)+('Balance Sheet'!I14-'Balance Sheet'!H14)</f>
        <v/>
      </c>
      <c r="J7" s="74">
        <f>-('Balance Sheet'!J6-'Balance Sheet'!I6)-('Balance Sheet'!J7-'Balance Sheet'!I7)+('Balance Sheet'!J12-'Balance Sheet'!I12)+('Balance Sheet'!J13-'Balance Sheet'!I13)+('Balance Sheet'!J14-'Balance Sheet'!I14)</f>
        <v/>
      </c>
      <c r="K7" s="74">
        <f>-('Balance Sheet'!K6-'Balance Sheet'!J6)-('Balance Sheet'!K7-'Balance Sheet'!J7)+('Balance Sheet'!K12-'Balance Sheet'!J12)+('Balance Sheet'!K13-'Balance Sheet'!J13)+('Balance Sheet'!K14-'Balance Sheet'!J14)</f>
        <v/>
      </c>
      <c r="L7" s="74">
        <f>-('Balance Sheet'!L6-'Balance Sheet'!K6)-('Balance Sheet'!L7-'Balance Sheet'!K7)+('Balance Sheet'!L12-'Balance Sheet'!K12)+('Balance Sheet'!L13-'Balance Sheet'!K13)+('Balance Sheet'!L14-'Balance Sheet'!K14)</f>
        <v/>
      </c>
      <c r="M7" s="74">
        <f>-('Balance Sheet'!M6-'Balance Sheet'!L6)-('Balance Sheet'!M7-'Balance Sheet'!L7)+('Balance Sheet'!M12-'Balance Sheet'!L12)+('Balance Sheet'!M13-'Balance Sheet'!L13)+('Balance Sheet'!M14-'Balance Sheet'!L14)</f>
        <v/>
      </c>
      <c r="N7" s="74">
        <f>-('Balance Sheet'!N6-'Balance Sheet'!M6)-('Balance Sheet'!N7-'Balance Sheet'!M7)+('Balance Sheet'!N12-'Balance Sheet'!M12)+('Balance Sheet'!N13-'Balance Sheet'!M13)+('Balance Sheet'!N14-'Balance Sheet'!M14)</f>
        <v/>
      </c>
      <c r="O7" s="74">
        <f>-('Balance Sheet'!O6-'Balance Sheet'!N6)-('Balance Sheet'!O7-'Balance Sheet'!N7)+('Balance Sheet'!O12-'Balance Sheet'!N12)+('Balance Sheet'!O13-'Balance Sheet'!N13)+('Balance Sheet'!O14-'Balance Sheet'!N14)</f>
        <v/>
      </c>
      <c r="P7" s="74">
        <f>-('Balance Sheet'!P6-'Balance Sheet'!O6)-('Balance Sheet'!P7-'Balance Sheet'!O7)+('Balance Sheet'!P12-'Balance Sheet'!O12)+('Balance Sheet'!P13-'Balance Sheet'!O13)+('Balance Sheet'!P14-'Balance Sheet'!O14)</f>
        <v/>
      </c>
      <c r="Q7" s="74">
        <f>-('Balance Sheet'!Q6-'Balance Sheet'!P6)-('Balance Sheet'!Q7-'Balance Sheet'!P7)+('Balance Sheet'!Q12-'Balance Sheet'!P12)+('Balance Sheet'!Q13-'Balance Sheet'!P13)+('Balance Sheet'!Q14-'Balance Sheet'!P14)</f>
        <v/>
      </c>
      <c r="R7" s="74">
        <f>-('Balance Sheet'!R6-'Balance Sheet'!Q6)-('Balance Sheet'!R7-'Balance Sheet'!Q7)+('Balance Sheet'!R12-'Balance Sheet'!Q12)+('Balance Sheet'!R13-'Balance Sheet'!Q13)+('Balance Sheet'!R14-'Balance Sheet'!Q14)</f>
        <v/>
      </c>
      <c r="S7" s="74">
        <f>-('Balance Sheet'!S6-'Balance Sheet'!R6)-('Balance Sheet'!S7-'Balance Sheet'!R7)+('Balance Sheet'!S12-'Balance Sheet'!R12)+('Balance Sheet'!S13-'Balance Sheet'!R13)+('Balance Sheet'!S14-'Balance Sheet'!R14)</f>
        <v/>
      </c>
      <c r="T7" s="74">
        <f>-('Balance Sheet'!T6-'Balance Sheet'!S6)-('Balance Sheet'!T7-'Balance Sheet'!S7)+('Balance Sheet'!T12-'Balance Sheet'!S12)+('Balance Sheet'!T13-'Balance Sheet'!S13)+('Balance Sheet'!T14-'Balance Sheet'!S14)</f>
        <v/>
      </c>
      <c r="U7" s="74">
        <f>-('Balance Sheet'!U6-'Balance Sheet'!T6)-('Balance Sheet'!U7-'Balance Sheet'!T7)+('Balance Sheet'!U12-'Balance Sheet'!T12)+('Balance Sheet'!U13-'Balance Sheet'!T13)+('Balance Sheet'!U14-'Balance Sheet'!T14)</f>
        <v/>
      </c>
      <c r="V7" s="74">
        <f>-('Balance Sheet'!V6-'Balance Sheet'!U6)-('Balance Sheet'!V7-'Balance Sheet'!U7)+('Balance Sheet'!V12-'Balance Sheet'!U12)+('Balance Sheet'!V13-'Balance Sheet'!U13)+('Balance Sheet'!V14-'Balance Sheet'!U14)</f>
        <v/>
      </c>
      <c r="W7" s="74">
        <f>-('Balance Sheet'!W6-'Balance Sheet'!V6)-('Balance Sheet'!W7-'Balance Sheet'!V7)+('Balance Sheet'!W12-'Balance Sheet'!V12)+('Balance Sheet'!W13-'Balance Sheet'!V13)+('Balance Sheet'!W14-'Balance Sheet'!V14)</f>
        <v/>
      </c>
      <c r="X7" s="74">
        <f>-('Balance Sheet'!X6-'Balance Sheet'!W6)-('Balance Sheet'!X7-'Balance Sheet'!W7)+('Balance Sheet'!X12-'Balance Sheet'!W12)+('Balance Sheet'!X13-'Balance Sheet'!W13)+('Balance Sheet'!X14-'Balance Sheet'!W14)</f>
        <v/>
      </c>
      <c r="Y7" s="74">
        <f>-('Balance Sheet'!Y6-'Balance Sheet'!X6)-('Balance Sheet'!Y7-'Balance Sheet'!X7)+('Balance Sheet'!Y12-'Balance Sheet'!X12)+('Balance Sheet'!Y13-'Balance Sheet'!X13)+('Balance Sheet'!Y14-'Balance Sheet'!X14)</f>
        <v/>
      </c>
      <c r="Z7" s="74">
        <f>-('Balance Sheet'!Z6-'Balance Sheet'!Y6)-('Balance Sheet'!Z7-'Balance Sheet'!Y7)+('Balance Sheet'!Z12-'Balance Sheet'!Y12)+('Balance Sheet'!Z13-'Balance Sheet'!Y13)+('Balance Sheet'!Z14-'Balance Sheet'!Y14)</f>
        <v/>
      </c>
      <c r="AA7" s="74">
        <f>-('Balance Sheet'!AA6-'Balance Sheet'!Z6)-('Balance Sheet'!AA7-'Balance Sheet'!Z7)+('Balance Sheet'!AA12-'Balance Sheet'!Z12)+('Balance Sheet'!AA13-'Balance Sheet'!Z13)+('Balance Sheet'!AA14-'Balance Sheet'!Z14)</f>
        <v/>
      </c>
      <c r="AB7" s="74">
        <f>-('Balance Sheet'!AB6-'Balance Sheet'!AA6)-('Balance Sheet'!AB7-'Balance Sheet'!AA7)+('Balance Sheet'!AB12-'Balance Sheet'!AA12)+('Balance Sheet'!AB13-'Balance Sheet'!AA13)+('Balance Sheet'!AB14-'Balance Sheet'!AA14)</f>
        <v/>
      </c>
      <c r="AC7" s="74">
        <f>-('Balance Sheet'!AC6-'Balance Sheet'!AB6)-('Balance Sheet'!AC7-'Balance Sheet'!AB7)+('Balance Sheet'!AC12-'Balance Sheet'!AB12)+('Balance Sheet'!AC13-'Balance Sheet'!AB13)+('Balance Sheet'!AC14-'Balance Sheet'!AB14)</f>
        <v/>
      </c>
      <c r="AD7" s="74">
        <f>-('Balance Sheet'!AD6-'Balance Sheet'!AC6)-('Balance Sheet'!AD7-'Balance Sheet'!AC7)+('Balance Sheet'!AD12-'Balance Sheet'!AC12)+('Balance Sheet'!AD13-'Balance Sheet'!AC13)+('Balance Sheet'!AD14-'Balance Sheet'!AC14)</f>
        <v/>
      </c>
      <c r="AE7" s="74">
        <f>-('Balance Sheet'!AE6-'Balance Sheet'!AD6)-('Balance Sheet'!AE7-'Balance Sheet'!AD7)+('Balance Sheet'!AE12-'Balance Sheet'!AD12)+('Balance Sheet'!AE13-'Balance Sheet'!AD13)+('Balance Sheet'!AE14-'Balance Sheet'!AD14)</f>
        <v/>
      </c>
      <c r="AF7" s="74">
        <f>-('Balance Sheet'!AF6-'Balance Sheet'!AE6)-('Balance Sheet'!AF7-'Balance Sheet'!AE7)+('Balance Sheet'!AF12-'Balance Sheet'!AE12)+('Balance Sheet'!AF13-'Balance Sheet'!AE13)+('Balance Sheet'!AF14-'Balance Sheet'!AE14)</f>
        <v/>
      </c>
      <c r="AG7" s="74">
        <f>-('Balance Sheet'!AG6-'Balance Sheet'!AF6)-('Balance Sheet'!AG7-'Balance Sheet'!AF7)+('Balance Sheet'!AG12-'Balance Sheet'!AF12)+('Balance Sheet'!AG13-'Balance Sheet'!AF13)+('Balance Sheet'!AG14-'Balance Sheet'!AF14)</f>
        <v/>
      </c>
      <c r="AH7" s="74">
        <f>-('Balance Sheet'!AH6-'Balance Sheet'!AG6)-('Balance Sheet'!AH7-'Balance Sheet'!AG7)+('Balance Sheet'!AH12-'Balance Sheet'!AG12)+('Balance Sheet'!AH13-'Balance Sheet'!AG13)+('Balance Sheet'!AH14-'Balance Sheet'!AG14)</f>
        <v/>
      </c>
      <c r="AI7" s="74">
        <f>-('Balance Sheet'!AI6-'Balance Sheet'!AH6)-('Balance Sheet'!AI7-'Balance Sheet'!AH7)+('Balance Sheet'!AI12-'Balance Sheet'!AH12)+('Balance Sheet'!AI13-'Balance Sheet'!AH13)+('Balance Sheet'!AI14-'Balance Sheet'!AH14)</f>
        <v/>
      </c>
      <c r="AJ7" s="74">
        <f>-('Balance Sheet'!AJ6-'Balance Sheet'!AI6)-('Balance Sheet'!AJ7-'Balance Sheet'!AI7)+('Balance Sheet'!AJ12-'Balance Sheet'!AI12)+('Balance Sheet'!AJ13-'Balance Sheet'!AI13)+('Balance Sheet'!AJ14-'Balance Sheet'!AI14)</f>
        <v/>
      </c>
      <c r="AK7" s="74">
        <f>-('Balance Sheet'!AK6-'Balance Sheet'!AJ6)-('Balance Sheet'!AK7-'Balance Sheet'!AJ7)+('Balance Sheet'!AK12-'Balance Sheet'!AJ12)+('Balance Sheet'!AK13-'Balance Sheet'!AJ13)+('Balance Sheet'!AK14-'Balance Sheet'!AJ14)</f>
        <v/>
      </c>
      <c r="AL7" s="74">
        <f>-('Balance Sheet'!AL6-'Balance Sheet'!AK6)-('Balance Sheet'!AL7-'Balance Sheet'!AK7)+('Balance Sheet'!AL12-'Balance Sheet'!AK12)+('Balance Sheet'!AL13-'Balance Sheet'!AK13)+('Balance Sheet'!AL14-'Balance Sheet'!AK14)</f>
        <v/>
      </c>
      <c r="AM7" s="74">
        <f>-('Balance Sheet'!AM6-'Balance Sheet'!AL6)-('Balance Sheet'!AM7-'Balance Sheet'!AL7)+('Balance Sheet'!AM12-'Balance Sheet'!AL12)+('Balance Sheet'!AM13-'Balance Sheet'!AL13)+('Balance Sheet'!AM14-'Balance Sheet'!AL14)</f>
        <v/>
      </c>
      <c r="AN7" s="74">
        <f>-('Balance Sheet'!AN6-'Balance Sheet'!AM6)-('Balance Sheet'!AN7-'Balance Sheet'!AM7)+('Balance Sheet'!AN12-'Balance Sheet'!AM12)+('Balance Sheet'!AN13-'Balance Sheet'!AM13)+('Balance Sheet'!AN14-'Balance Sheet'!AM14)</f>
        <v/>
      </c>
      <c r="AO7" s="74">
        <f>-('Balance Sheet'!AO6-'Balance Sheet'!AN6)-('Balance Sheet'!AO7-'Balance Sheet'!AN7)+('Balance Sheet'!AO12-'Balance Sheet'!AN12)+('Balance Sheet'!AO13-'Balance Sheet'!AN13)+('Balance Sheet'!AO14-'Balance Sheet'!AN14)</f>
        <v/>
      </c>
      <c r="AP7" s="74">
        <f>-('Balance Sheet'!AP6-'Balance Sheet'!AO6)-('Balance Sheet'!AP7-'Balance Sheet'!AO7)+('Balance Sheet'!AP12-'Balance Sheet'!AO12)+('Balance Sheet'!AP13-'Balance Sheet'!AO13)+('Balance Sheet'!AP14-'Balance Sheet'!AO14)</f>
        <v/>
      </c>
      <c r="AQ7" s="74">
        <f>-('Balance Sheet'!AQ6-'Balance Sheet'!AP6)-('Balance Sheet'!AQ7-'Balance Sheet'!AP7)+('Balance Sheet'!AQ12-'Balance Sheet'!AP12)+('Balance Sheet'!AQ13-'Balance Sheet'!AP13)+('Balance Sheet'!AQ14-'Balance Sheet'!AP14)</f>
        <v/>
      </c>
      <c r="AR7" s="74">
        <f>-('Balance Sheet'!AR6-'Balance Sheet'!AQ6)-('Balance Sheet'!AR7-'Balance Sheet'!AQ7)+('Balance Sheet'!AR12-'Balance Sheet'!AQ12)+('Balance Sheet'!AR13-'Balance Sheet'!AQ13)+('Balance Sheet'!AR14-'Balance Sheet'!AQ14)</f>
        <v/>
      </c>
      <c r="AS7" s="74">
        <f>-('Balance Sheet'!AS6-'Balance Sheet'!AR6)-('Balance Sheet'!AS7-'Balance Sheet'!AR7)+('Balance Sheet'!AS12-'Balance Sheet'!AR12)+('Balance Sheet'!AS13-'Balance Sheet'!AR13)+('Balance Sheet'!AS14-'Balance Sheet'!AR14)</f>
        <v/>
      </c>
      <c r="AT7" s="74">
        <f>-('Balance Sheet'!AT6-'Balance Sheet'!AS6)-('Balance Sheet'!AT7-'Balance Sheet'!AS7)+('Balance Sheet'!AT12-'Balance Sheet'!AS12)+('Balance Sheet'!AT13-'Balance Sheet'!AS13)+('Balance Sheet'!AT14-'Balance Sheet'!AS14)</f>
        <v/>
      </c>
      <c r="AU7" s="74">
        <f>-('Balance Sheet'!AU6-'Balance Sheet'!AT6)-('Balance Sheet'!AU7-'Balance Sheet'!AT7)+('Balance Sheet'!AU12-'Balance Sheet'!AT12)+('Balance Sheet'!AU13-'Balance Sheet'!AT13)+('Balance Sheet'!AU14-'Balance Sheet'!AT14)</f>
        <v/>
      </c>
      <c r="AV7" s="74">
        <f>-('Balance Sheet'!AV6-'Balance Sheet'!AU6)-('Balance Sheet'!AV7-'Balance Sheet'!AU7)+('Balance Sheet'!AV12-'Balance Sheet'!AU12)+('Balance Sheet'!AV13-'Balance Sheet'!AU13)+('Balance Sheet'!AV14-'Balance Sheet'!AU14)</f>
        <v/>
      </c>
      <c r="AW7" s="74">
        <f>-('Balance Sheet'!AW6-'Balance Sheet'!AV6)-('Balance Sheet'!AW7-'Balance Sheet'!AV7)+('Balance Sheet'!AW12-'Balance Sheet'!AV12)+('Balance Sheet'!AW13-'Balance Sheet'!AV13)+('Balance Sheet'!AW14-'Balance Sheet'!AV14)</f>
        <v/>
      </c>
      <c r="AX7" s="74">
        <f>-('Balance Sheet'!AX6-'Balance Sheet'!AW6)-('Balance Sheet'!AX7-'Balance Sheet'!AW7)+('Balance Sheet'!AX12-'Balance Sheet'!AW12)+('Balance Sheet'!AX13-'Balance Sheet'!AW13)+('Balance Sheet'!AX14-'Balance Sheet'!AW14)</f>
        <v/>
      </c>
      <c r="AY7" s="74">
        <f>-('Balance Sheet'!AY6-'Balance Sheet'!AX6)-('Balance Sheet'!AY7-'Balance Sheet'!AX7)+('Balance Sheet'!AY12-'Balance Sheet'!AX12)+('Balance Sheet'!AY13-'Balance Sheet'!AX13)+('Balance Sheet'!AY14-'Balance Sheet'!AX14)</f>
        <v/>
      </c>
      <c r="AZ7" s="74">
        <f>-('Balance Sheet'!AZ6-'Balance Sheet'!AY6)-('Balance Sheet'!AZ7-'Balance Sheet'!AY7)+('Balance Sheet'!AZ12-'Balance Sheet'!AY12)+('Balance Sheet'!AZ13-'Balance Sheet'!AY13)+('Balance Sheet'!AZ14-'Balance Sheet'!AY14)</f>
        <v/>
      </c>
      <c r="BA7" s="74">
        <f>-('Balance Sheet'!BA6-'Balance Sheet'!AZ6)-('Balance Sheet'!BA7-'Balance Sheet'!AZ7)+('Balance Sheet'!BA12-'Balance Sheet'!AZ12)+('Balance Sheet'!BA13-'Balance Sheet'!AZ13)+('Balance Sheet'!BA14-'Balance Sheet'!AZ14)</f>
        <v/>
      </c>
    </row>
    <row r="8" ht="14.25" customHeight="1" s="83">
      <c r="A8" s="2" t="inlineStr">
        <is>
          <t>Net Cash from Operations</t>
        </is>
      </c>
      <c r="B8" s="72">
        <f>B5+B6+B7</f>
        <v/>
      </c>
      <c r="C8" s="72">
        <f>C5+C6+C7</f>
        <v/>
      </c>
      <c r="D8" s="72">
        <f>D5+D6+D7</f>
        <v/>
      </c>
      <c r="E8" s="72">
        <f>E5+E6+E7</f>
        <v/>
      </c>
      <c r="F8" s="72">
        <f>F5+F6+F7</f>
        <v/>
      </c>
      <c r="G8" s="72">
        <f>G5+G6+G7</f>
        <v/>
      </c>
      <c r="H8" s="72">
        <f>H5+H6+H7</f>
        <v/>
      </c>
      <c r="I8" s="72">
        <f>I5+I6+I7</f>
        <v/>
      </c>
      <c r="J8" s="72">
        <f>J5+J6+J7</f>
        <v/>
      </c>
      <c r="K8" s="72">
        <f>K5+K6+K7</f>
        <v/>
      </c>
      <c r="L8" s="72">
        <f>L5+L6+L7</f>
        <v/>
      </c>
      <c r="M8" s="72">
        <f>M5+M6+M7</f>
        <v/>
      </c>
      <c r="N8" s="72">
        <f>N5+N6+N7</f>
        <v/>
      </c>
      <c r="O8" s="72">
        <f>O5+O6+O7</f>
        <v/>
      </c>
      <c r="P8" s="72">
        <f>P5+P6+P7</f>
        <v/>
      </c>
      <c r="Q8" s="72">
        <f>Q5+Q6+Q7</f>
        <v/>
      </c>
      <c r="R8" s="72">
        <f>R5+R6+R7</f>
        <v/>
      </c>
      <c r="S8" s="72">
        <f>S5+S6+S7</f>
        <v/>
      </c>
      <c r="T8" s="72">
        <f>T5+T6+T7</f>
        <v/>
      </c>
      <c r="U8" s="72">
        <f>U5+U6+U7</f>
        <v/>
      </c>
      <c r="V8" s="72">
        <f>V5+V6+V7</f>
        <v/>
      </c>
      <c r="W8" s="72">
        <f>W5+W6+W7</f>
        <v/>
      </c>
      <c r="X8" s="72">
        <f>X5+X6+X7</f>
        <v/>
      </c>
      <c r="Y8" s="72">
        <f>Y5+Y6+Y7</f>
        <v/>
      </c>
      <c r="Z8" s="72">
        <f>Z5+Z6+Z7</f>
        <v/>
      </c>
      <c r="AA8" s="72">
        <f>AA5+AA6+AA7</f>
        <v/>
      </c>
      <c r="AB8" s="72">
        <f>AB5+AB6+AB7</f>
        <v/>
      </c>
      <c r="AC8" s="72">
        <f>AC5+AC6+AC7</f>
        <v/>
      </c>
      <c r="AD8" s="72">
        <f>AD5+AD6+AD7</f>
        <v/>
      </c>
      <c r="AE8" s="72">
        <f>AE5+AE6+AE7</f>
        <v/>
      </c>
      <c r="AF8" s="72">
        <f>AF5+AF6+AF7</f>
        <v/>
      </c>
      <c r="AG8" s="72">
        <f>AG5+AG6+AG7</f>
        <v/>
      </c>
      <c r="AH8" s="72">
        <f>AH5+AH6+AH7</f>
        <v/>
      </c>
      <c r="AI8" s="72">
        <f>AI5+AI6+AI7</f>
        <v/>
      </c>
      <c r="AJ8" s="72">
        <f>AJ5+AJ6+AJ7</f>
        <v/>
      </c>
      <c r="AK8" s="72">
        <f>AK5+AK6+AK7</f>
        <v/>
      </c>
      <c r="AL8" s="72">
        <f>AL5+AL6+AL7</f>
        <v/>
      </c>
      <c r="AM8" s="72">
        <f>AM5+AM6+AM7</f>
        <v/>
      </c>
      <c r="AN8" s="72">
        <f>AN5+AN6+AN7</f>
        <v/>
      </c>
      <c r="AO8" s="72">
        <f>AO5+AO6+AO7</f>
        <v/>
      </c>
      <c r="AP8" s="72">
        <f>AP5+AP6+AP7</f>
        <v/>
      </c>
      <c r="AQ8" s="72">
        <f>AQ5+AQ6+AQ7</f>
        <v/>
      </c>
      <c r="AR8" s="72">
        <f>AR5+AR6+AR7</f>
        <v/>
      </c>
      <c r="AS8" s="72">
        <f>AS5+AS6+AS7</f>
        <v/>
      </c>
      <c r="AT8" s="72">
        <f>AT5+AT6+AT7</f>
        <v/>
      </c>
      <c r="AU8" s="72">
        <f>AU5+AU6+AU7</f>
        <v/>
      </c>
      <c r="AV8" s="72">
        <f>AV5+AV6+AV7</f>
        <v/>
      </c>
      <c r="AW8" s="72">
        <f>AW5+AW6+AW7</f>
        <v/>
      </c>
      <c r="AX8" s="72">
        <f>AX5+AX6+AX7</f>
        <v/>
      </c>
      <c r="AY8" s="72">
        <f>AY5+AY6+AY7</f>
        <v/>
      </c>
      <c r="AZ8" s="72">
        <f>AZ5+AZ6+AZ7</f>
        <v/>
      </c>
      <c r="BA8" s="72">
        <f>BA5+BA6+BA7</f>
        <v/>
      </c>
    </row>
    <row r="9" ht="14.25" customHeight="1" s="83"/>
    <row r="10" ht="14.25" customHeight="1" s="83">
      <c r="A10" s="2" t="inlineStr">
        <is>
          <t>INVESTING ACTIVITIES</t>
        </is>
      </c>
    </row>
    <row r="11" ht="14.25" customHeight="1" s="83">
      <c r="A11" s="77" t="inlineStr">
        <is>
          <t>Purchase of Equipment</t>
        </is>
      </c>
      <c r="B11" s="74">
        <f>-(Costs!B123+Inputs!$B$103)</f>
        <v/>
      </c>
      <c r="C11" s="74">
        <f>-Costs!C123</f>
        <v/>
      </c>
      <c r="D11" s="74">
        <f>-Costs!D123</f>
        <v/>
      </c>
      <c r="E11" s="74">
        <f>-Costs!E123</f>
        <v/>
      </c>
      <c r="F11" s="74">
        <f>-Costs!F123</f>
        <v/>
      </c>
      <c r="G11" s="74">
        <f>-Costs!G123</f>
        <v/>
      </c>
      <c r="H11" s="74">
        <f>-Costs!H123</f>
        <v/>
      </c>
      <c r="I11" s="74">
        <f>-Costs!I123</f>
        <v/>
      </c>
      <c r="J11" s="74">
        <f>-Costs!J123</f>
        <v/>
      </c>
      <c r="K11" s="74">
        <f>-Costs!K123</f>
        <v/>
      </c>
      <c r="L11" s="74">
        <f>-Costs!L123</f>
        <v/>
      </c>
      <c r="M11" s="74">
        <f>-Costs!M123</f>
        <v/>
      </c>
      <c r="N11" s="74">
        <f>-Costs!N123</f>
        <v/>
      </c>
      <c r="O11" s="74">
        <f>-Costs!O123</f>
        <v/>
      </c>
      <c r="P11" s="74">
        <f>-Costs!P123</f>
        <v/>
      </c>
      <c r="Q11" s="74">
        <f>-Costs!Q123</f>
        <v/>
      </c>
      <c r="R11" s="74">
        <f>-Costs!R123</f>
        <v/>
      </c>
      <c r="S11" s="74">
        <f>-Costs!S123</f>
        <v/>
      </c>
      <c r="T11" s="74">
        <f>-Costs!T123</f>
        <v/>
      </c>
      <c r="U11" s="74">
        <f>-Costs!U123</f>
        <v/>
      </c>
      <c r="V11" s="74">
        <f>-Costs!V123</f>
        <v/>
      </c>
      <c r="W11" s="74">
        <f>-Costs!W123</f>
        <v/>
      </c>
      <c r="X11" s="74">
        <f>-Costs!X123</f>
        <v/>
      </c>
      <c r="Y11" s="74">
        <f>-Costs!Y123</f>
        <v/>
      </c>
      <c r="Z11" s="74">
        <f>-Costs!Z123</f>
        <v/>
      </c>
      <c r="AA11" s="74">
        <f>-Costs!AA123</f>
        <v/>
      </c>
      <c r="AB11" s="74">
        <f>-Costs!AB123</f>
        <v/>
      </c>
      <c r="AC11" s="74">
        <f>-Costs!AC123</f>
        <v/>
      </c>
      <c r="AD11" s="74">
        <f>-Costs!AD123</f>
        <v/>
      </c>
      <c r="AE11" s="74">
        <f>-Costs!AE123</f>
        <v/>
      </c>
      <c r="AF11" s="74">
        <f>-Costs!AF123</f>
        <v/>
      </c>
      <c r="AG11" s="74">
        <f>-Costs!AG123</f>
        <v/>
      </c>
      <c r="AH11" s="74">
        <f>-Costs!AH123</f>
        <v/>
      </c>
      <c r="AI11" s="74">
        <f>-Costs!AI123</f>
        <v/>
      </c>
      <c r="AJ11" s="74">
        <f>-Costs!AJ123</f>
        <v/>
      </c>
      <c r="AK11" s="74">
        <f>-Costs!AK123</f>
        <v/>
      </c>
      <c r="AL11" s="74">
        <f>-Costs!AL123</f>
        <v/>
      </c>
      <c r="AM11" s="74">
        <f>-Costs!AM123</f>
        <v/>
      </c>
      <c r="AN11" s="74">
        <f>-Costs!AN123</f>
        <v/>
      </c>
      <c r="AO11" s="74">
        <f>-Costs!AO123</f>
        <v/>
      </c>
      <c r="AP11" s="74">
        <f>-Costs!AP123</f>
        <v/>
      </c>
      <c r="AQ11" s="74">
        <f>-Costs!AQ123</f>
        <v/>
      </c>
      <c r="AR11" s="74">
        <f>-Costs!AR123</f>
        <v/>
      </c>
      <c r="AS11" s="74">
        <f>-Costs!AS123</f>
        <v/>
      </c>
      <c r="AT11" s="74">
        <f>-Costs!AT123</f>
        <v/>
      </c>
      <c r="AU11" s="74">
        <f>-Costs!AU123</f>
        <v/>
      </c>
      <c r="AV11" s="74">
        <f>-Costs!AV123</f>
        <v/>
      </c>
      <c r="AW11" s="74">
        <f>-Costs!AW123</f>
        <v/>
      </c>
      <c r="AX11" s="74">
        <f>-Costs!AX123</f>
        <v/>
      </c>
      <c r="AY11" s="74">
        <f>-Costs!AY123</f>
        <v/>
      </c>
      <c r="AZ11" s="74">
        <f>-Costs!AZ123</f>
        <v/>
      </c>
      <c r="BA11" s="74">
        <f>-Costs!BA123</f>
        <v/>
      </c>
    </row>
    <row r="12" ht="14.25" customHeight="1" s="83">
      <c r="A12" s="2" t="inlineStr">
        <is>
          <t>Net Cash from Investing</t>
        </is>
      </c>
      <c r="B12" s="72">
        <f>B11</f>
        <v/>
      </c>
      <c r="C12" s="72">
        <f>C11</f>
        <v/>
      </c>
      <c r="D12" s="72">
        <f>D11</f>
        <v/>
      </c>
      <c r="E12" s="72">
        <f>E11</f>
        <v/>
      </c>
      <c r="F12" s="72">
        <f>F11</f>
        <v/>
      </c>
      <c r="G12" s="72">
        <f>G11</f>
        <v/>
      </c>
      <c r="H12" s="72">
        <f>H11</f>
        <v/>
      </c>
      <c r="I12" s="72">
        <f>I11</f>
        <v/>
      </c>
      <c r="J12" s="72">
        <f>J11</f>
        <v/>
      </c>
      <c r="K12" s="72">
        <f>K11</f>
        <v/>
      </c>
      <c r="L12" s="72">
        <f>L11</f>
        <v/>
      </c>
      <c r="M12" s="72">
        <f>M11</f>
        <v/>
      </c>
      <c r="N12" s="72">
        <f>N11</f>
        <v/>
      </c>
      <c r="O12" s="72">
        <f>O11</f>
        <v/>
      </c>
      <c r="P12" s="72">
        <f>P11</f>
        <v/>
      </c>
      <c r="Q12" s="72">
        <f>Q11</f>
        <v/>
      </c>
      <c r="R12" s="72">
        <f>R11</f>
        <v/>
      </c>
      <c r="S12" s="72">
        <f>S11</f>
        <v/>
      </c>
      <c r="T12" s="72">
        <f>T11</f>
        <v/>
      </c>
      <c r="U12" s="72">
        <f>U11</f>
        <v/>
      </c>
      <c r="V12" s="72">
        <f>V11</f>
        <v/>
      </c>
      <c r="W12" s="72">
        <f>W11</f>
        <v/>
      </c>
      <c r="X12" s="72">
        <f>X11</f>
        <v/>
      </c>
      <c r="Y12" s="72">
        <f>Y11</f>
        <v/>
      </c>
      <c r="Z12" s="72">
        <f>Z11</f>
        <v/>
      </c>
      <c r="AA12" s="72">
        <f>AA11</f>
        <v/>
      </c>
      <c r="AB12" s="72">
        <f>AB11</f>
        <v/>
      </c>
      <c r="AC12" s="72">
        <f>AC11</f>
        <v/>
      </c>
      <c r="AD12" s="72">
        <f>AD11</f>
        <v/>
      </c>
      <c r="AE12" s="72">
        <f>AE11</f>
        <v/>
      </c>
      <c r="AF12" s="72">
        <f>AF11</f>
        <v/>
      </c>
      <c r="AG12" s="72">
        <f>AG11</f>
        <v/>
      </c>
      <c r="AH12" s="72">
        <f>AH11</f>
        <v/>
      </c>
      <c r="AI12" s="72">
        <f>AI11</f>
        <v/>
      </c>
      <c r="AJ12" s="72">
        <f>AJ11</f>
        <v/>
      </c>
      <c r="AK12" s="72">
        <f>AK11</f>
        <v/>
      </c>
      <c r="AL12" s="72">
        <f>AL11</f>
        <v/>
      </c>
      <c r="AM12" s="72">
        <f>AM11</f>
        <v/>
      </c>
      <c r="AN12" s="72">
        <f>AN11</f>
        <v/>
      </c>
      <c r="AO12" s="72">
        <f>AO11</f>
        <v/>
      </c>
      <c r="AP12" s="72">
        <f>AP11</f>
        <v/>
      </c>
      <c r="AQ12" s="72">
        <f>AQ11</f>
        <v/>
      </c>
      <c r="AR12" s="72">
        <f>AR11</f>
        <v/>
      </c>
      <c r="AS12" s="72">
        <f>AS11</f>
        <v/>
      </c>
      <c r="AT12" s="72">
        <f>AT11</f>
        <v/>
      </c>
      <c r="AU12" s="72">
        <f>AU11</f>
        <v/>
      </c>
      <c r="AV12" s="72">
        <f>AV11</f>
        <v/>
      </c>
      <c r="AW12" s="72">
        <f>AW11</f>
        <v/>
      </c>
      <c r="AX12" s="72">
        <f>AX11</f>
        <v/>
      </c>
      <c r="AY12" s="72">
        <f>AY11</f>
        <v/>
      </c>
      <c r="AZ12" s="72">
        <f>AZ11</f>
        <v/>
      </c>
      <c r="BA12" s="72">
        <f>BA11</f>
        <v/>
      </c>
    </row>
    <row r="13" ht="14.25" customHeight="1" s="83"/>
    <row r="14" ht="14.25" customHeight="1" s="83">
      <c r="A14" s="2" t="inlineStr">
        <is>
          <t>FINANCING ACTIVITIES</t>
        </is>
      </c>
    </row>
    <row r="15" ht="14.25" customHeight="1" s="83">
      <c r="A15" s="77" t="inlineStr">
        <is>
          <t>Equity Funding Received</t>
        </is>
      </c>
      <c r="B15" s="74">
        <f>IF(1=Inputs!$B$11,Inputs!$B$10,0)+IF(1=Inputs!$B$13,Inputs!$B$12,0)+IF(1=Inputs!$B$15,Inputs!$B$14,0)+IF(1=Inputs!$B$17,Inputs!$B$16,0)</f>
        <v/>
      </c>
      <c r="C15" s="74">
        <f>IF(2=Inputs!$B$11,Inputs!$B$10,0)+IF(2=Inputs!$B$13,Inputs!$B$12,0)+IF(2=Inputs!$B$15,Inputs!$B$14,0)+IF(2=Inputs!$B$17,Inputs!$B$16,0)</f>
        <v/>
      </c>
      <c r="D15" s="74">
        <f>IF(3=Inputs!$B$11,Inputs!$B$10,0)+IF(3=Inputs!$B$13,Inputs!$B$12,0)+IF(3=Inputs!$B$15,Inputs!$B$14,0)+IF(3=Inputs!$B$17,Inputs!$B$16,0)</f>
        <v/>
      </c>
      <c r="E15" s="74">
        <f>IF(4=Inputs!$B$11,Inputs!$B$10,0)+IF(4=Inputs!$B$13,Inputs!$B$12,0)+IF(4=Inputs!$B$15,Inputs!$B$14,0)+IF(4=Inputs!$B$17,Inputs!$B$16,0)</f>
        <v/>
      </c>
      <c r="F15" s="74">
        <f>IF(5=Inputs!$B$11,Inputs!$B$10,0)+IF(5=Inputs!$B$13,Inputs!$B$12,0)+IF(5=Inputs!$B$15,Inputs!$B$14,0)+IF(5=Inputs!$B$17,Inputs!$B$16,0)</f>
        <v/>
      </c>
      <c r="G15" s="74">
        <f>IF(6=Inputs!$B$11,Inputs!$B$10,0)+IF(6=Inputs!$B$13,Inputs!$B$12,0)+IF(6=Inputs!$B$15,Inputs!$B$14,0)+IF(6=Inputs!$B$17,Inputs!$B$16,0)</f>
        <v/>
      </c>
      <c r="H15" s="74">
        <f>IF(7=Inputs!$B$11,Inputs!$B$10,0)+IF(7=Inputs!$B$13,Inputs!$B$12,0)+IF(7=Inputs!$B$15,Inputs!$B$14,0)+IF(7=Inputs!$B$17,Inputs!$B$16,0)</f>
        <v/>
      </c>
      <c r="I15" s="74">
        <f>IF(8=Inputs!$B$11,Inputs!$B$10,0)+IF(8=Inputs!$B$13,Inputs!$B$12,0)+IF(8=Inputs!$B$15,Inputs!$B$14,0)+IF(8=Inputs!$B$17,Inputs!$B$16,0)</f>
        <v/>
      </c>
      <c r="J15" s="74">
        <f>IF(9=Inputs!$B$11,Inputs!$B$10,0)+IF(9=Inputs!$B$13,Inputs!$B$12,0)+IF(9=Inputs!$B$15,Inputs!$B$14,0)+IF(9=Inputs!$B$17,Inputs!$B$16,0)</f>
        <v/>
      </c>
      <c r="K15" s="74">
        <f>IF(10=Inputs!$B$11,Inputs!$B$10,0)+IF(10=Inputs!$B$13,Inputs!$B$12,0)+IF(10=Inputs!$B$15,Inputs!$B$14,0)+IF(10=Inputs!$B$17,Inputs!$B$16,0)</f>
        <v/>
      </c>
      <c r="L15" s="74">
        <f>IF(11=Inputs!$B$11,Inputs!$B$10,0)+IF(11=Inputs!$B$13,Inputs!$B$12,0)+IF(11=Inputs!$B$15,Inputs!$B$14,0)+IF(11=Inputs!$B$17,Inputs!$B$16,0)</f>
        <v/>
      </c>
      <c r="M15" s="74">
        <f>IF(12=Inputs!$B$11,Inputs!$B$10,0)+IF(12=Inputs!$B$13,Inputs!$B$12,0)+IF(12=Inputs!$B$15,Inputs!$B$14,0)+IF(12=Inputs!$B$17,Inputs!$B$16,0)</f>
        <v/>
      </c>
      <c r="N15" s="74">
        <f>IF(13=Inputs!$B$11,Inputs!$B$10,0)+IF(13=Inputs!$B$13,Inputs!$B$12,0)+IF(13=Inputs!$B$15,Inputs!$B$14,0)+IF(13=Inputs!$B$17,Inputs!$B$16,0)</f>
        <v/>
      </c>
      <c r="O15" s="74">
        <f>IF(14=Inputs!$B$11,Inputs!$B$10,0)+IF(14=Inputs!$B$13,Inputs!$B$12,0)+IF(14=Inputs!$B$15,Inputs!$B$14,0)+IF(14=Inputs!$B$17,Inputs!$B$16,0)</f>
        <v/>
      </c>
      <c r="P15" s="74">
        <f>IF(15=Inputs!$B$11,Inputs!$B$10,0)+IF(15=Inputs!$B$13,Inputs!$B$12,0)+IF(15=Inputs!$B$15,Inputs!$B$14,0)+IF(15=Inputs!$B$17,Inputs!$B$16,0)</f>
        <v/>
      </c>
      <c r="Q15" s="74">
        <f>IF(16=Inputs!$B$11,Inputs!$B$10,0)+IF(16=Inputs!$B$13,Inputs!$B$12,0)+IF(16=Inputs!$B$15,Inputs!$B$14,0)+IF(16=Inputs!$B$17,Inputs!$B$16,0)</f>
        <v/>
      </c>
      <c r="R15" s="74">
        <f>IF(17=Inputs!$B$11,Inputs!$B$10,0)+IF(17=Inputs!$B$13,Inputs!$B$12,0)+IF(17=Inputs!$B$15,Inputs!$B$14,0)+IF(17=Inputs!$B$17,Inputs!$B$16,0)</f>
        <v/>
      </c>
      <c r="S15" s="74">
        <f>IF(18=Inputs!$B$11,Inputs!$B$10,0)+IF(18=Inputs!$B$13,Inputs!$B$12,0)+IF(18=Inputs!$B$15,Inputs!$B$14,0)+IF(18=Inputs!$B$17,Inputs!$B$16,0)</f>
        <v/>
      </c>
      <c r="T15" s="74">
        <f>IF(19=Inputs!$B$11,Inputs!$B$10,0)+IF(19=Inputs!$B$13,Inputs!$B$12,0)+IF(19=Inputs!$B$15,Inputs!$B$14,0)+IF(19=Inputs!$B$17,Inputs!$B$16,0)</f>
        <v/>
      </c>
      <c r="U15" s="74">
        <f>IF(20=Inputs!$B$11,Inputs!$B$10,0)+IF(20=Inputs!$B$13,Inputs!$B$12,0)+IF(20=Inputs!$B$15,Inputs!$B$14,0)+IF(20=Inputs!$B$17,Inputs!$B$16,0)</f>
        <v/>
      </c>
      <c r="V15" s="74">
        <f>IF(21=Inputs!$B$11,Inputs!$B$10,0)+IF(21=Inputs!$B$13,Inputs!$B$12,0)+IF(21=Inputs!$B$15,Inputs!$B$14,0)+IF(21=Inputs!$B$17,Inputs!$B$16,0)</f>
        <v/>
      </c>
      <c r="W15" s="74">
        <f>IF(22=Inputs!$B$11,Inputs!$B$10,0)+IF(22=Inputs!$B$13,Inputs!$B$12,0)+IF(22=Inputs!$B$15,Inputs!$B$14,0)+IF(22=Inputs!$B$17,Inputs!$B$16,0)</f>
        <v/>
      </c>
      <c r="X15" s="74">
        <f>IF(23=Inputs!$B$11,Inputs!$B$10,0)+IF(23=Inputs!$B$13,Inputs!$B$12,0)+IF(23=Inputs!$B$15,Inputs!$B$14,0)+IF(23=Inputs!$B$17,Inputs!$B$16,0)</f>
        <v/>
      </c>
      <c r="Y15" s="74">
        <f>IF(24=Inputs!$B$11,Inputs!$B$10,0)+IF(24=Inputs!$B$13,Inputs!$B$12,0)+IF(24=Inputs!$B$15,Inputs!$B$14,0)+IF(24=Inputs!$B$17,Inputs!$B$16,0)</f>
        <v/>
      </c>
      <c r="Z15" s="74">
        <f>IF(25=Inputs!$B$11,Inputs!$B$10,0)+IF(25=Inputs!$B$13,Inputs!$B$12,0)+IF(25=Inputs!$B$15,Inputs!$B$14,0)+IF(25=Inputs!$B$17,Inputs!$B$16,0)</f>
        <v/>
      </c>
      <c r="AA15" s="74">
        <f>IF(26=Inputs!$B$11,Inputs!$B$10,0)+IF(26=Inputs!$B$13,Inputs!$B$12,0)+IF(26=Inputs!$B$15,Inputs!$B$14,0)+IF(26=Inputs!$B$17,Inputs!$B$16,0)</f>
        <v/>
      </c>
      <c r="AB15" s="74">
        <f>IF(27=Inputs!$B$11,Inputs!$B$10,0)+IF(27=Inputs!$B$13,Inputs!$B$12,0)+IF(27=Inputs!$B$15,Inputs!$B$14,0)+IF(27=Inputs!$B$17,Inputs!$B$16,0)</f>
        <v/>
      </c>
      <c r="AC15" s="74">
        <f>IF(28=Inputs!$B$11,Inputs!$B$10,0)+IF(28=Inputs!$B$13,Inputs!$B$12,0)+IF(28=Inputs!$B$15,Inputs!$B$14,0)+IF(28=Inputs!$B$17,Inputs!$B$16,0)</f>
        <v/>
      </c>
      <c r="AD15" s="74">
        <f>IF(29=Inputs!$B$11,Inputs!$B$10,0)+IF(29=Inputs!$B$13,Inputs!$B$12,0)+IF(29=Inputs!$B$15,Inputs!$B$14,0)+IF(29=Inputs!$B$17,Inputs!$B$16,0)</f>
        <v/>
      </c>
      <c r="AE15" s="74">
        <f>IF(30=Inputs!$B$11,Inputs!$B$10,0)+IF(30=Inputs!$B$13,Inputs!$B$12,0)+IF(30=Inputs!$B$15,Inputs!$B$14,0)+IF(30=Inputs!$B$17,Inputs!$B$16,0)</f>
        <v/>
      </c>
      <c r="AF15" s="74">
        <f>IF(31=Inputs!$B$11,Inputs!$B$10,0)+IF(31=Inputs!$B$13,Inputs!$B$12,0)+IF(31=Inputs!$B$15,Inputs!$B$14,0)+IF(31=Inputs!$B$17,Inputs!$B$16,0)</f>
        <v/>
      </c>
      <c r="AG15" s="74">
        <f>IF(32=Inputs!$B$11,Inputs!$B$10,0)+IF(32=Inputs!$B$13,Inputs!$B$12,0)+IF(32=Inputs!$B$15,Inputs!$B$14,0)+IF(32=Inputs!$B$17,Inputs!$B$16,0)</f>
        <v/>
      </c>
      <c r="AH15" s="74">
        <f>IF(33=Inputs!$B$11,Inputs!$B$10,0)+IF(33=Inputs!$B$13,Inputs!$B$12,0)+IF(33=Inputs!$B$15,Inputs!$B$14,0)+IF(33=Inputs!$B$17,Inputs!$B$16,0)</f>
        <v/>
      </c>
      <c r="AI15" s="74">
        <f>IF(34=Inputs!$B$11,Inputs!$B$10,0)+IF(34=Inputs!$B$13,Inputs!$B$12,0)+IF(34=Inputs!$B$15,Inputs!$B$14,0)+IF(34=Inputs!$B$17,Inputs!$B$16,0)</f>
        <v/>
      </c>
      <c r="AJ15" s="74">
        <f>IF(35=Inputs!$B$11,Inputs!$B$10,0)+IF(35=Inputs!$B$13,Inputs!$B$12,0)+IF(35=Inputs!$B$15,Inputs!$B$14,0)+IF(35=Inputs!$B$17,Inputs!$B$16,0)</f>
        <v/>
      </c>
      <c r="AK15" s="74">
        <f>IF(36=Inputs!$B$11,Inputs!$B$10,0)+IF(36=Inputs!$B$13,Inputs!$B$12,0)+IF(36=Inputs!$B$15,Inputs!$B$14,0)+IF(36=Inputs!$B$17,Inputs!$B$16,0)</f>
        <v/>
      </c>
      <c r="AL15" s="74">
        <f>IF(37=Inputs!$B$11,Inputs!$B$10,0)+IF(37=Inputs!$B$13,Inputs!$B$12,0)+IF(37=Inputs!$B$15,Inputs!$B$14,0)+IF(37=Inputs!$B$17,Inputs!$B$16,0)</f>
        <v/>
      </c>
      <c r="AM15" s="74">
        <f>IF(38=Inputs!$B$11,Inputs!$B$10,0)+IF(38=Inputs!$B$13,Inputs!$B$12,0)+IF(38=Inputs!$B$15,Inputs!$B$14,0)+IF(38=Inputs!$B$17,Inputs!$B$16,0)</f>
        <v/>
      </c>
      <c r="AN15" s="74">
        <f>IF(39=Inputs!$B$11,Inputs!$B$10,0)+IF(39=Inputs!$B$13,Inputs!$B$12,0)+IF(39=Inputs!$B$15,Inputs!$B$14,0)+IF(39=Inputs!$B$17,Inputs!$B$16,0)</f>
        <v/>
      </c>
      <c r="AO15" s="74">
        <f>IF(40=Inputs!$B$11,Inputs!$B$10,0)+IF(40=Inputs!$B$13,Inputs!$B$12,0)+IF(40=Inputs!$B$15,Inputs!$B$14,0)+IF(40=Inputs!$B$17,Inputs!$B$16,0)</f>
        <v/>
      </c>
      <c r="AP15" s="74">
        <f>IF(41=Inputs!$B$11,Inputs!$B$10,0)+IF(41=Inputs!$B$13,Inputs!$B$12,0)+IF(41=Inputs!$B$15,Inputs!$B$14,0)+IF(41=Inputs!$B$17,Inputs!$B$16,0)</f>
        <v/>
      </c>
      <c r="AQ15" s="74">
        <f>IF(42=Inputs!$B$11,Inputs!$B$10,0)+IF(42=Inputs!$B$13,Inputs!$B$12,0)+IF(42=Inputs!$B$15,Inputs!$B$14,0)+IF(42=Inputs!$B$17,Inputs!$B$16,0)</f>
        <v/>
      </c>
      <c r="AR15" s="74">
        <f>IF(43=Inputs!$B$11,Inputs!$B$10,0)+IF(43=Inputs!$B$13,Inputs!$B$12,0)+IF(43=Inputs!$B$15,Inputs!$B$14,0)+IF(43=Inputs!$B$17,Inputs!$B$16,0)</f>
        <v/>
      </c>
      <c r="AS15" s="74">
        <f>IF(44=Inputs!$B$11,Inputs!$B$10,0)+IF(44=Inputs!$B$13,Inputs!$B$12,0)+IF(44=Inputs!$B$15,Inputs!$B$14,0)+IF(44=Inputs!$B$17,Inputs!$B$16,0)</f>
        <v/>
      </c>
      <c r="AT15" s="74">
        <f>IF(45=Inputs!$B$11,Inputs!$B$10,0)+IF(45=Inputs!$B$13,Inputs!$B$12,0)+IF(45=Inputs!$B$15,Inputs!$B$14,0)+IF(45=Inputs!$B$17,Inputs!$B$16,0)</f>
        <v/>
      </c>
      <c r="AU15" s="74">
        <f>IF(46=Inputs!$B$11,Inputs!$B$10,0)+IF(46=Inputs!$B$13,Inputs!$B$12,0)+IF(46=Inputs!$B$15,Inputs!$B$14,0)+IF(46=Inputs!$B$17,Inputs!$B$16,0)</f>
        <v/>
      </c>
      <c r="AV15" s="74">
        <f>IF(47=Inputs!$B$11,Inputs!$B$10,0)+IF(47=Inputs!$B$13,Inputs!$B$12,0)+IF(47=Inputs!$B$15,Inputs!$B$14,0)+IF(47=Inputs!$B$17,Inputs!$B$16,0)</f>
        <v/>
      </c>
      <c r="AW15" s="74">
        <f>IF(48=Inputs!$B$11,Inputs!$B$10,0)+IF(48=Inputs!$B$13,Inputs!$B$12,0)+IF(48=Inputs!$B$15,Inputs!$B$14,0)+IF(48=Inputs!$B$17,Inputs!$B$16,0)</f>
        <v/>
      </c>
      <c r="AX15" s="74">
        <f>IF(49=Inputs!$B$11,Inputs!$B$10,0)+IF(49=Inputs!$B$13,Inputs!$B$12,0)+IF(49=Inputs!$B$15,Inputs!$B$14,0)+IF(49=Inputs!$B$17,Inputs!$B$16,0)</f>
        <v/>
      </c>
      <c r="AY15" s="74">
        <f>IF(50=Inputs!$B$11,Inputs!$B$10,0)+IF(50=Inputs!$B$13,Inputs!$B$12,0)+IF(50=Inputs!$B$15,Inputs!$B$14,0)+IF(50=Inputs!$B$17,Inputs!$B$16,0)</f>
        <v/>
      </c>
      <c r="AZ15" s="74">
        <f>IF(51=Inputs!$B$11,Inputs!$B$10,0)+IF(51=Inputs!$B$13,Inputs!$B$12,0)+IF(51=Inputs!$B$15,Inputs!$B$14,0)+IF(51=Inputs!$B$17,Inputs!$B$16,0)</f>
        <v/>
      </c>
      <c r="BA15" s="74">
        <f>IF(52=Inputs!$B$11,Inputs!$B$10,0)+IF(52=Inputs!$B$13,Inputs!$B$12,0)+IF(52=Inputs!$B$15,Inputs!$B$14,0)+IF(52=Inputs!$B$17,Inputs!$B$16,0)</f>
        <v/>
      </c>
    </row>
    <row r="16" ht="14.25" customHeight="1" s="83">
      <c r="A16" s="2" t="inlineStr">
        <is>
          <t>Net Cash from Financing</t>
        </is>
      </c>
      <c r="B16" s="72">
        <f>B15</f>
        <v/>
      </c>
      <c r="C16" s="72">
        <f>C15</f>
        <v/>
      </c>
      <c r="D16" s="72">
        <f>D15</f>
        <v/>
      </c>
      <c r="E16" s="72">
        <f>E15</f>
        <v/>
      </c>
      <c r="F16" s="72">
        <f>F15</f>
        <v/>
      </c>
      <c r="G16" s="72">
        <f>G15</f>
        <v/>
      </c>
      <c r="H16" s="72">
        <f>H15</f>
        <v/>
      </c>
      <c r="I16" s="72">
        <f>I15</f>
        <v/>
      </c>
      <c r="J16" s="72">
        <f>J15</f>
        <v/>
      </c>
      <c r="K16" s="72">
        <f>K15</f>
        <v/>
      </c>
      <c r="L16" s="72">
        <f>L15</f>
        <v/>
      </c>
      <c r="M16" s="72">
        <f>M15</f>
        <v/>
      </c>
      <c r="N16" s="72">
        <f>N15</f>
        <v/>
      </c>
      <c r="O16" s="72">
        <f>O15</f>
        <v/>
      </c>
      <c r="P16" s="72">
        <f>P15</f>
        <v/>
      </c>
      <c r="Q16" s="72">
        <f>Q15</f>
        <v/>
      </c>
      <c r="R16" s="72">
        <f>R15</f>
        <v/>
      </c>
      <c r="S16" s="72">
        <f>S15</f>
        <v/>
      </c>
      <c r="T16" s="72">
        <f>T15</f>
        <v/>
      </c>
      <c r="U16" s="72">
        <f>U15</f>
        <v/>
      </c>
      <c r="V16" s="72">
        <f>V15</f>
        <v/>
      </c>
      <c r="W16" s="72">
        <f>W15</f>
        <v/>
      </c>
      <c r="X16" s="72">
        <f>X15</f>
        <v/>
      </c>
      <c r="Y16" s="72">
        <f>Y15</f>
        <v/>
      </c>
      <c r="Z16" s="72">
        <f>Z15</f>
        <v/>
      </c>
      <c r="AA16" s="72">
        <f>AA15</f>
        <v/>
      </c>
      <c r="AB16" s="72">
        <f>AB15</f>
        <v/>
      </c>
      <c r="AC16" s="72">
        <f>AC15</f>
        <v/>
      </c>
      <c r="AD16" s="72">
        <f>AD15</f>
        <v/>
      </c>
      <c r="AE16" s="72">
        <f>AE15</f>
        <v/>
      </c>
      <c r="AF16" s="72">
        <f>AF15</f>
        <v/>
      </c>
      <c r="AG16" s="72">
        <f>AG15</f>
        <v/>
      </c>
      <c r="AH16" s="72">
        <f>AH15</f>
        <v/>
      </c>
      <c r="AI16" s="72">
        <f>AI15</f>
        <v/>
      </c>
      <c r="AJ16" s="72">
        <f>AJ15</f>
        <v/>
      </c>
      <c r="AK16" s="72">
        <f>AK15</f>
        <v/>
      </c>
      <c r="AL16" s="72">
        <f>AL15</f>
        <v/>
      </c>
      <c r="AM16" s="72">
        <f>AM15</f>
        <v/>
      </c>
      <c r="AN16" s="72">
        <f>AN15</f>
        <v/>
      </c>
      <c r="AO16" s="72">
        <f>AO15</f>
        <v/>
      </c>
      <c r="AP16" s="72">
        <f>AP15</f>
        <v/>
      </c>
      <c r="AQ16" s="72">
        <f>AQ15</f>
        <v/>
      </c>
      <c r="AR16" s="72">
        <f>AR15</f>
        <v/>
      </c>
      <c r="AS16" s="72">
        <f>AS15</f>
        <v/>
      </c>
      <c r="AT16" s="72">
        <f>AT15</f>
        <v/>
      </c>
      <c r="AU16" s="72">
        <f>AU15</f>
        <v/>
      </c>
      <c r="AV16" s="72">
        <f>AV15</f>
        <v/>
      </c>
      <c r="AW16" s="72">
        <f>AW15</f>
        <v/>
      </c>
      <c r="AX16" s="72">
        <f>AX15</f>
        <v/>
      </c>
      <c r="AY16" s="72">
        <f>AY15</f>
        <v/>
      </c>
      <c r="AZ16" s="72">
        <f>AZ15</f>
        <v/>
      </c>
      <c r="BA16" s="72">
        <f>BA15</f>
        <v/>
      </c>
    </row>
    <row r="17" ht="14.25" customHeight="1" s="83"/>
    <row r="18" ht="14.25" customHeight="1" s="83">
      <c r="A18" s="2" t="inlineStr">
        <is>
          <t>NET CHANGE IN CASH</t>
        </is>
      </c>
      <c r="B18" s="72">
        <f>B8+B12+B16</f>
        <v/>
      </c>
      <c r="C18" s="72">
        <f>C8+C12+C16</f>
        <v/>
      </c>
      <c r="D18" s="72">
        <f>D8+D12+D16</f>
        <v/>
      </c>
      <c r="E18" s="72">
        <f>E8+E12+E16</f>
        <v/>
      </c>
      <c r="F18" s="72">
        <f>F8+F12+F16</f>
        <v/>
      </c>
      <c r="G18" s="72">
        <f>G8+G12+G16</f>
        <v/>
      </c>
      <c r="H18" s="72">
        <f>H8+H12+H16</f>
        <v/>
      </c>
      <c r="I18" s="72">
        <f>I8+I12+I16</f>
        <v/>
      </c>
      <c r="J18" s="72">
        <f>J8+J12+J16</f>
        <v/>
      </c>
      <c r="K18" s="72">
        <f>K8+K12+K16</f>
        <v/>
      </c>
      <c r="L18" s="72">
        <f>L8+L12+L16</f>
        <v/>
      </c>
      <c r="M18" s="72">
        <f>M8+M12+M16</f>
        <v/>
      </c>
      <c r="N18" s="72">
        <f>N8+N12+N16</f>
        <v/>
      </c>
      <c r="O18" s="72">
        <f>O8+O12+O16</f>
        <v/>
      </c>
      <c r="P18" s="72">
        <f>P8+P12+P16</f>
        <v/>
      </c>
      <c r="Q18" s="72">
        <f>Q8+Q12+Q16</f>
        <v/>
      </c>
      <c r="R18" s="72">
        <f>R8+R12+R16</f>
        <v/>
      </c>
      <c r="S18" s="72">
        <f>S8+S12+S16</f>
        <v/>
      </c>
      <c r="T18" s="72">
        <f>T8+T12+T16</f>
        <v/>
      </c>
      <c r="U18" s="72">
        <f>U8+U12+U16</f>
        <v/>
      </c>
      <c r="V18" s="72">
        <f>V8+V12+V16</f>
        <v/>
      </c>
      <c r="W18" s="72">
        <f>W8+W12+W16</f>
        <v/>
      </c>
      <c r="X18" s="72">
        <f>X8+X12+X16</f>
        <v/>
      </c>
      <c r="Y18" s="72">
        <f>Y8+Y12+Y16</f>
        <v/>
      </c>
      <c r="Z18" s="72">
        <f>Z8+Z12+Z16</f>
        <v/>
      </c>
      <c r="AA18" s="72">
        <f>AA8+AA12+AA16</f>
        <v/>
      </c>
      <c r="AB18" s="72">
        <f>AB8+AB12+AB16</f>
        <v/>
      </c>
      <c r="AC18" s="72">
        <f>AC8+AC12+AC16</f>
        <v/>
      </c>
      <c r="AD18" s="72">
        <f>AD8+AD12+AD16</f>
        <v/>
      </c>
      <c r="AE18" s="72">
        <f>AE8+AE12+AE16</f>
        <v/>
      </c>
      <c r="AF18" s="72">
        <f>AF8+AF12+AF16</f>
        <v/>
      </c>
      <c r="AG18" s="72">
        <f>AG8+AG12+AG16</f>
        <v/>
      </c>
      <c r="AH18" s="72">
        <f>AH8+AH12+AH16</f>
        <v/>
      </c>
      <c r="AI18" s="72">
        <f>AI8+AI12+AI16</f>
        <v/>
      </c>
      <c r="AJ18" s="72">
        <f>AJ8+AJ12+AJ16</f>
        <v/>
      </c>
      <c r="AK18" s="72">
        <f>AK8+AK12+AK16</f>
        <v/>
      </c>
      <c r="AL18" s="72">
        <f>AL8+AL12+AL16</f>
        <v/>
      </c>
      <c r="AM18" s="72">
        <f>AM8+AM12+AM16</f>
        <v/>
      </c>
      <c r="AN18" s="72">
        <f>AN8+AN12+AN16</f>
        <v/>
      </c>
      <c r="AO18" s="72">
        <f>AO8+AO12+AO16</f>
        <v/>
      </c>
      <c r="AP18" s="72">
        <f>AP8+AP12+AP16</f>
        <v/>
      </c>
      <c r="AQ18" s="72">
        <f>AQ8+AQ12+AQ16</f>
        <v/>
      </c>
      <c r="AR18" s="72">
        <f>AR8+AR12+AR16</f>
        <v/>
      </c>
      <c r="AS18" s="72">
        <f>AS8+AS12+AS16</f>
        <v/>
      </c>
      <c r="AT18" s="72">
        <f>AT8+AT12+AT16</f>
        <v/>
      </c>
      <c r="AU18" s="72">
        <f>AU8+AU12+AU16</f>
        <v/>
      </c>
      <c r="AV18" s="72">
        <f>AV8+AV12+AV16</f>
        <v/>
      </c>
      <c r="AW18" s="72">
        <f>AW8+AW12+AW16</f>
        <v/>
      </c>
      <c r="AX18" s="72">
        <f>AX8+AX12+AX16</f>
        <v/>
      </c>
      <c r="AY18" s="72">
        <f>AY8+AY12+AY16</f>
        <v/>
      </c>
      <c r="AZ18" s="72">
        <f>AZ8+AZ12+AZ16</f>
        <v/>
      </c>
      <c r="BA18" s="72">
        <f>BA8+BA12+BA16</f>
        <v/>
      </c>
    </row>
    <row r="19" ht="14.25" customHeight="1" s="83"/>
    <row r="20" ht="14.25" customHeight="1" s="83">
      <c r="A20" s="77" t="inlineStr">
        <is>
          <t>Beginning Cash Balance</t>
        </is>
      </c>
      <c r="B20" s="74" t="n">
        <v>0</v>
      </c>
      <c r="C20" s="74">
        <f>B22</f>
        <v/>
      </c>
      <c r="D20" s="74">
        <f>C22</f>
        <v/>
      </c>
      <c r="E20" s="74">
        <f>D22</f>
        <v/>
      </c>
      <c r="F20" s="74">
        <f>E22</f>
        <v/>
      </c>
      <c r="G20" s="74">
        <f>F22</f>
        <v/>
      </c>
      <c r="H20" s="74">
        <f>G22</f>
        <v/>
      </c>
      <c r="I20" s="74">
        <f>H22</f>
        <v/>
      </c>
      <c r="J20" s="74">
        <f>I22</f>
        <v/>
      </c>
      <c r="K20" s="74">
        <f>J22</f>
        <v/>
      </c>
      <c r="L20" s="74">
        <f>K22</f>
        <v/>
      </c>
      <c r="M20" s="74">
        <f>L22</f>
        <v/>
      </c>
      <c r="N20" s="74">
        <f>M22</f>
        <v/>
      </c>
      <c r="O20" s="74">
        <f>N22</f>
        <v/>
      </c>
      <c r="P20" s="74">
        <f>O22</f>
        <v/>
      </c>
      <c r="Q20" s="74">
        <f>P22</f>
        <v/>
      </c>
      <c r="R20" s="74">
        <f>Q22</f>
        <v/>
      </c>
      <c r="S20" s="74">
        <f>R22</f>
        <v/>
      </c>
      <c r="T20" s="74">
        <f>S22</f>
        <v/>
      </c>
      <c r="U20" s="74">
        <f>T22</f>
        <v/>
      </c>
      <c r="V20" s="74">
        <f>U22</f>
        <v/>
      </c>
      <c r="W20" s="74">
        <f>V22</f>
        <v/>
      </c>
      <c r="X20" s="74">
        <f>W22</f>
        <v/>
      </c>
      <c r="Y20" s="74">
        <f>X22</f>
        <v/>
      </c>
      <c r="Z20" s="74">
        <f>Y22</f>
        <v/>
      </c>
      <c r="AA20" s="74">
        <f>Z22</f>
        <v/>
      </c>
      <c r="AB20" s="74">
        <f>AA22</f>
        <v/>
      </c>
      <c r="AC20" s="74">
        <f>AB22</f>
        <v/>
      </c>
      <c r="AD20" s="74">
        <f>AC22</f>
        <v/>
      </c>
      <c r="AE20" s="74">
        <f>AD22</f>
        <v/>
      </c>
      <c r="AF20" s="74">
        <f>AE22</f>
        <v/>
      </c>
      <c r="AG20" s="74">
        <f>AF22</f>
        <v/>
      </c>
      <c r="AH20" s="74">
        <f>AG22</f>
        <v/>
      </c>
      <c r="AI20" s="74">
        <f>AH22</f>
        <v/>
      </c>
      <c r="AJ20" s="74">
        <f>AI22</f>
        <v/>
      </c>
      <c r="AK20" s="74">
        <f>AJ22</f>
        <v/>
      </c>
      <c r="AL20" s="74">
        <f>AK22</f>
        <v/>
      </c>
      <c r="AM20" s="74">
        <f>AL22</f>
        <v/>
      </c>
      <c r="AN20" s="74">
        <f>AM22</f>
        <v/>
      </c>
      <c r="AO20" s="74">
        <f>AN22</f>
        <v/>
      </c>
      <c r="AP20" s="74">
        <f>AO22</f>
        <v/>
      </c>
      <c r="AQ20" s="74">
        <f>AP22</f>
        <v/>
      </c>
      <c r="AR20" s="74">
        <f>AQ22</f>
        <v/>
      </c>
      <c r="AS20" s="74">
        <f>AR22</f>
        <v/>
      </c>
      <c r="AT20" s="74">
        <f>AS22</f>
        <v/>
      </c>
      <c r="AU20" s="74">
        <f>AT22</f>
        <v/>
      </c>
      <c r="AV20" s="74">
        <f>AU22</f>
        <v/>
      </c>
      <c r="AW20" s="74">
        <f>AV22</f>
        <v/>
      </c>
      <c r="AX20" s="74">
        <f>AW22</f>
        <v/>
      </c>
      <c r="AY20" s="74">
        <f>AX22</f>
        <v/>
      </c>
      <c r="AZ20" s="74">
        <f>AY22</f>
        <v/>
      </c>
      <c r="BA20" s="74">
        <f>AZ22</f>
        <v/>
      </c>
    </row>
    <row r="21" ht="14.25" customHeight="1" s="83">
      <c r="A21" s="77" t="inlineStr">
        <is>
          <t>Net Change</t>
        </is>
      </c>
      <c r="B21" s="74">
        <f>B18</f>
        <v/>
      </c>
      <c r="C21" s="74">
        <f>C18</f>
        <v/>
      </c>
      <c r="D21" s="74">
        <f>D18</f>
        <v/>
      </c>
      <c r="E21" s="74">
        <f>E18</f>
        <v/>
      </c>
      <c r="F21" s="74">
        <f>F18</f>
        <v/>
      </c>
      <c r="G21" s="74">
        <f>G18</f>
        <v/>
      </c>
      <c r="H21" s="74">
        <f>H18</f>
        <v/>
      </c>
      <c r="I21" s="74">
        <f>I18</f>
        <v/>
      </c>
      <c r="J21" s="74">
        <f>J18</f>
        <v/>
      </c>
      <c r="K21" s="74">
        <f>K18</f>
        <v/>
      </c>
      <c r="L21" s="74">
        <f>L18</f>
        <v/>
      </c>
      <c r="M21" s="74">
        <f>M18</f>
        <v/>
      </c>
      <c r="N21" s="74">
        <f>N18</f>
        <v/>
      </c>
      <c r="O21" s="74">
        <f>O18</f>
        <v/>
      </c>
      <c r="P21" s="74">
        <f>P18</f>
        <v/>
      </c>
      <c r="Q21" s="74">
        <f>Q18</f>
        <v/>
      </c>
      <c r="R21" s="74">
        <f>R18</f>
        <v/>
      </c>
      <c r="S21" s="74">
        <f>S18</f>
        <v/>
      </c>
      <c r="T21" s="74">
        <f>T18</f>
        <v/>
      </c>
      <c r="U21" s="74">
        <f>U18</f>
        <v/>
      </c>
      <c r="V21" s="74">
        <f>V18</f>
        <v/>
      </c>
      <c r="W21" s="74">
        <f>W18</f>
        <v/>
      </c>
      <c r="X21" s="74">
        <f>X18</f>
        <v/>
      </c>
      <c r="Y21" s="74">
        <f>Y18</f>
        <v/>
      </c>
      <c r="Z21" s="74">
        <f>Z18</f>
        <v/>
      </c>
      <c r="AA21" s="74">
        <f>AA18</f>
        <v/>
      </c>
      <c r="AB21" s="74">
        <f>AB18</f>
        <v/>
      </c>
      <c r="AC21" s="74">
        <f>AC18</f>
        <v/>
      </c>
      <c r="AD21" s="74">
        <f>AD18</f>
        <v/>
      </c>
      <c r="AE21" s="74">
        <f>AE18</f>
        <v/>
      </c>
      <c r="AF21" s="74">
        <f>AF18</f>
        <v/>
      </c>
      <c r="AG21" s="74">
        <f>AG18</f>
        <v/>
      </c>
      <c r="AH21" s="74">
        <f>AH18</f>
        <v/>
      </c>
      <c r="AI21" s="74">
        <f>AI18</f>
        <v/>
      </c>
      <c r="AJ21" s="74">
        <f>AJ18</f>
        <v/>
      </c>
      <c r="AK21" s="74">
        <f>AK18</f>
        <v/>
      </c>
      <c r="AL21" s="74">
        <f>AL18</f>
        <v/>
      </c>
      <c r="AM21" s="74">
        <f>AM18</f>
        <v/>
      </c>
      <c r="AN21" s="74">
        <f>AN18</f>
        <v/>
      </c>
      <c r="AO21" s="74">
        <f>AO18</f>
        <v/>
      </c>
      <c r="AP21" s="74">
        <f>AP18</f>
        <v/>
      </c>
      <c r="AQ21" s="74">
        <f>AQ18</f>
        <v/>
      </c>
      <c r="AR21" s="74">
        <f>AR18</f>
        <v/>
      </c>
      <c r="AS21" s="74">
        <f>AS18</f>
        <v/>
      </c>
      <c r="AT21" s="74">
        <f>AT18</f>
        <v/>
      </c>
      <c r="AU21" s="74">
        <f>AU18</f>
        <v/>
      </c>
      <c r="AV21" s="74">
        <f>AV18</f>
        <v/>
      </c>
      <c r="AW21" s="74">
        <f>AW18</f>
        <v/>
      </c>
      <c r="AX21" s="74">
        <f>AX18</f>
        <v/>
      </c>
      <c r="AY21" s="74">
        <f>AY18</f>
        <v/>
      </c>
      <c r="AZ21" s="74">
        <f>AZ18</f>
        <v/>
      </c>
      <c r="BA21" s="74">
        <f>BA18</f>
        <v/>
      </c>
    </row>
    <row r="22" ht="14.25" customHeight="1" s="83">
      <c r="A22" s="2" t="inlineStr">
        <is>
          <t>ENDING CASH BALANCE</t>
        </is>
      </c>
      <c r="B22" s="72">
        <f>B20+B21</f>
        <v/>
      </c>
      <c r="C22" s="72">
        <f>C20+C21</f>
        <v/>
      </c>
      <c r="D22" s="72">
        <f>D20+D21</f>
        <v/>
      </c>
      <c r="E22" s="72">
        <f>E20+E21</f>
        <v/>
      </c>
      <c r="F22" s="72">
        <f>F20+F21</f>
        <v/>
      </c>
      <c r="G22" s="72">
        <f>G20+G21</f>
        <v/>
      </c>
      <c r="H22" s="72">
        <f>H20+H21</f>
        <v/>
      </c>
      <c r="I22" s="72">
        <f>I20+I21</f>
        <v/>
      </c>
      <c r="J22" s="72">
        <f>J20+J21</f>
        <v/>
      </c>
      <c r="K22" s="72">
        <f>K20+K21</f>
        <v/>
      </c>
      <c r="L22" s="72">
        <f>L20+L21</f>
        <v/>
      </c>
      <c r="M22" s="72">
        <f>M20+M21</f>
        <v/>
      </c>
      <c r="N22" s="72">
        <f>N20+N21</f>
        <v/>
      </c>
      <c r="O22" s="72">
        <f>O20+O21</f>
        <v/>
      </c>
      <c r="P22" s="72">
        <f>P20+P21</f>
        <v/>
      </c>
      <c r="Q22" s="72">
        <f>Q20+Q21</f>
        <v/>
      </c>
      <c r="R22" s="72">
        <f>R20+R21</f>
        <v/>
      </c>
      <c r="S22" s="72">
        <f>S20+S21</f>
        <v/>
      </c>
      <c r="T22" s="72">
        <f>T20+T21</f>
        <v/>
      </c>
      <c r="U22" s="72">
        <f>U20+U21</f>
        <v/>
      </c>
      <c r="V22" s="72">
        <f>V20+V21</f>
        <v/>
      </c>
      <c r="W22" s="72">
        <f>W20+W21</f>
        <v/>
      </c>
      <c r="X22" s="72">
        <f>X20+X21</f>
        <v/>
      </c>
      <c r="Y22" s="72">
        <f>Y20+Y21</f>
        <v/>
      </c>
      <c r="Z22" s="72">
        <f>Z20+Z21</f>
        <v/>
      </c>
      <c r="AA22" s="72">
        <f>AA20+AA21</f>
        <v/>
      </c>
      <c r="AB22" s="72">
        <f>AB20+AB21</f>
        <v/>
      </c>
      <c r="AC22" s="72">
        <f>AC20+AC21</f>
        <v/>
      </c>
      <c r="AD22" s="72">
        <f>AD20+AD21</f>
        <v/>
      </c>
      <c r="AE22" s="72">
        <f>AE20+AE21</f>
        <v/>
      </c>
      <c r="AF22" s="72">
        <f>AF20+AF21</f>
        <v/>
      </c>
      <c r="AG22" s="72">
        <f>AG20+AG21</f>
        <v/>
      </c>
      <c r="AH22" s="72">
        <f>AH20+AH21</f>
        <v/>
      </c>
      <c r="AI22" s="72">
        <f>AI20+AI21</f>
        <v/>
      </c>
      <c r="AJ22" s="72">
        <f>AJ20+AJ21</f>
        <v/>
      </c>
      <c r="AK22" s="72">
        <f>AK20+AK21</f>
        <v/>
      </c>
      <c r="AL22" s="72">
        <f>AL20+AL21</f>
        <v/>
      </c>
      <c r="AM22" s="72">
        <f>AM20+AM21</f>
        <v/>
      </c>
      <c r="AN22" s="72">
        <f>AN20+AN21</f>
        <v/>
      </c>
      <c r="AO22" s="72">
        <f>AO20+AO21</f>
        <v/>
      </c>
      <c r="AP22" s="72">
        <f>AP20+AP21</f>
        <v/>
      </c>
      <c r="AQ22" s="72">
        <f>AQ20+AQ21</f>
        <v/>
      </c>
      <c r="AR22" s="72">
        <f>AR20+AR21</f>
        <v/>
      </c>
      <c r="AS22" s="72">
        <f>AS20+AS21</f>
        <v/>
      </c>
      <c r="AT22" s="72">
        <f>AT20+AT21</f>
        <v/>
      </c>
      <c r="AU22" s="72">
        <f>AU20+AU21</f>
        <v/>
      </c>
      <c r="AV22" s="72">
        <f>AV20+AV21</f>
        <v/>
      </c>
      <c r="AW22" s="72">
        <f>AW20+AW21</f>
        <v/>
      </c>
      <c r="AX22" s="72">
        <f>AX20+AX21</f>
        <v/>
      </c>
      <c r="AY22" s="72">
        <f>AY20+AY21</f>
        <v/>
      </c>
      <c r="AZ22" s="72">
        <f>AZ20+AZ21</f>
        <v/>
      </c>
      <c r="BA22" s="72">
        <f>BA20+BA21</f>
        <v/>
      </c>
    </row>
    <row r="23" ht="14.25" customHeight="1" s="83"/>
    <row r="24" ht="14.25" customHeight="1" s="83">
      <c r="A24" s="2" t="inlineStr">
        <is>
          <t>KEY METRICS</t>
        </is>
      </c>
    </row>
    <row r="25" ht="14.25" customHeight="1" s="83">
      <c r="A25" s="77" t="inlineStr">
        <is>
          <t>Monthly Burn Rate</t>
        </is>
      </c>
      <c r="B25" s="74">
        <f>IF(B18&lt;0,-B18,0)</f>
        <v/>
      </c>
      <c r="C25" s="74">
        <f>IF(C18&lt;0,-C18,0)</f>
        <v/>
      </c>
      <c r="D25" s="74">
        <f>IF(D18&lt;0,-D18,0)</f>
        <v/>
      </c>
      <c r="E25" s="74">
        <f>IF(E18&lt;0,-E18,0)</f>
        <v/>
      </c>
      <c r="F25" s="74">
        <f>IF(F18&lt;0,-F18,0)</f>
        <v/>
      </c>
      <c r="G25" s="74">
        <f>IF(G18&lt;0,-G18,0)</f>
        <v/>
      </c>
      <c r="H25" s="74">
        <f>IF(H18&lt;0,-H18,0)</f>
        <v/>
      </c>
      <c r="I25" s="74">
        <f>IF(I18&lt;0,-I18,0)</f>
        <v/>
      </c>
      <c r="J25" s="74">
        <f>IF(J18&lt;0,-J18,0)</f>
        <v/>
      </c>
      <c r="K25" s="74">
        <f>IF(K18&lt;0,-K18,0)</f>
        <v/>
      </c>
      <c r="L25" s="74">
        <f>IF(L18&lt;0,-L18,0)</f>
        <v/>
      </c>
      <c r="M25" s="74">
        <f>IF(M18&lt;0,-M18,0)</f>
        <v/>
      </c>
      <c r="N25" s="74">
        <f>IF(N18&lt;0,-N18,0)</f>
        <v/>
      </c>
      <c r="O25" s="74">
        <f>IF(O18&lt;0,-O18,0)</f>
        <v/>
      </c>
      <c r="P25" s="74">
        <f>IF(P18&lt;0,-P18,0)</f>
        <v/>
      </c>
      <c r="Q25" s="74">
        <f>IF(Q18&lt;0,-Q18,0)</f>
        <v/>
      </c>
      <c r="R25" s="74">
        <f>IF(R18&lt;0,-R18,0)</f>
        <v/>
      </c>
      <c r="S25" s="74">
        <f>IF(S18&lt;0,-S18,0)</f>
        <v/>
      </c>
      <c r="T25" s="74">
        <f>IF(T18&lt;0,-T18,0)</f>
        <v/>
      </c>
      <c r="U25" s="74">
        <f>IF(U18&lt;0,-U18,0)</f>
        <v/>
      </c>
      <c r="V25" s="74">
        <f>IF(V18&lt;0,-V18,0)</f>
        <v/>
      </c>
      <c r="W25" s="74">
        <f>IF(W18&lt;0,-W18,0)</f>
        <v/>
      </c>
      <c r="X25" s="74">
        <f>IF(X18&lt;0,-X18,0)</f>
        <v/>
      </c>
      <c r="Y25" s="74">
        <f>IF(Y18&lt;0,-Y18,0)</f>
        <v/>
      </c>
      <c r="Z25" s="74">
        <f>IF(Z18&lt;0,-Z18,0)</f>
        <v/>
      </c>
      <c r="AA25" s="74">
        <f>IF(AA18&lt;0,-AA18,0)</f>
        <v/>
      </c>
      <c r="AB25" s="74">
        <f>IF(AB18&lt;0,-AB18,0)</f>
        <v/>
      </c>
      <c r="AC25" s="74">
        <f>IF(AC18&lt;0,-AC18,0)</f>
        <v/>
      </c>
      <c r="AD25" s="74">
        <f>IF(AD18&lt;0,-AD18,0)</f>
        <v/>
      </c>
      <c r="AE25" s="74">
        <f>IF(AE18&lt;0,-AE18,0)</f>
        <v/>
      </c>
      <c r="AF25" s="74">
        <f>IF(AF18&lt;0,-AF18,0)</f>
        <v/>
      </c>
      <c r="AG25" s="74">
        <f>IF(AG18&lt;0,-AG18,0)</f>
        <v/>
      </c>
      <c r="AH25" s="74">
        <f>IF(AH18&lt;0,-AH18,0)</f>
        <v/>
      </c>
      <c r="AI25" s="74">
        <f>IF(AI18&lt;0,-AI18,0)</f>
        <v/>
      </c>
      <c r="AJ25" s="74">
        <f>IF(AJ18&lt;0,-AJ18,0)</f>
        <v/>
      </c>
      <c r="AK25" s="74">
        <f>IF(AK18&lt;0,-AK18,0)</f>
        <v/>
      </c>
      <c r="AL25" s="74">
        <f>IF(AL18&lt;0,-AL18,0)</f>
        <v/>
      </c>
      <c r="AM25" s="74">
        <f>IF(AM18&lt;0,-AM18,0)</f>
        <v/>
      </c>
      <c r="AN25" s="74">
        <f>IF(AN18&lt;0,-AN18,0)</f>
        <v/>
      </c>
      <c r="AO25" s="74">
        <f>IF(AO18&lt;0,-AO18,0)</f>
        <v/>
      </c>
      <c r="AP25" s="74">
        <f>IF(AP18&lt;0,-AP18,0)</f>
        <v/>
      </c>
      <c r="AQ25" s="74">
        <f>IF(AQ18&lt;0,-AQ18,0)</f>
        <v/>
      </c>
      <c r="AR25" s="74">
        <f>IF(AR18&lt;0,-AR18,0)</f>
        <v/>
      </c>
      <c r="AS25" s="74">
        <f>IF(AS18&lt;0,-AS18,0)</f>
        <v/>
      </c>
      <c r="AT25" s="74">
        <f>IF(AT18&lt;0,-AT18,0)</f>
        <v/>
      </c>
      <c r="AU25" s="74">
        <f>IF(AU18&lt;0,-AU18,0)</f>
        <v/>
      </c>
      <c r="AV25" s="74">
        <f>IF(AV18&lt;0,-AV18,0)</f>
        <v/>
      </c>
      <c r="AW25" s="74">
        <f>IF(AW18&lt;0,-AW18,0)</f>
        <v/>
      </c>
      <c r="AX25" s="74">
        <f>IF(AX18&lt;0,-AX18,0)</f>
        <v/>
      </c>
      <c r="AY25" s="74">
        <f>IF(AY18&lt;0,-AY18,0)</f>
        <v/>
      </c>
      <c r="AZ25" s="74">
        <f>IF(AZ18&lt;0,-AZ18,0)</f>
        <v/>
      </c>
      <c r="BA25" s="74">
        <f>IF(BA18&lt;0,-BA18,0)</f>
        <v/>
      </c>
    </row>
    <row r="26" ht="14.25" customHeight="1" s="83">
      <c r="A26" s="77" t="inlineStr">
        <is>
          <t>Runway (Months)</t>
        </is>
      </c>
      <c r="B26" s="82">
        <f>IFERROR(IF(B25&gt;0,B22/B25,"∞"),"∞")</f>
        <v/>
      </c>
      <c r="C26" s="82">
        <f>IFERROR(IF(C25&gt;0,C22/C25,"∞"),"∞")</f>
        <v/>
      </c>
      <c r="D26" s="82">
        <f>IFERROR(IF(D25&gt;0,D22/D25,"∞"),"∞")</f>
        <v/>
      </c>
      <c r="E26" s="82">
        <f>IFERROR(IF(E25&gt;0,E22/E25,"∞"),"∞")</f>
        <v/>
      </c>
      <c r="F26" s="82">
        <f>IFERROR(IF(F25&gt;0,F22/F25,"∞"),"∞")</f>
        <v/>
      </c>
      <c r="G26" s="82">
        <f>IFERROR(IF(G25&gt;0,G22/G25,"∞"),"∞")</f>
        <v/>
      </c>
      <c r="H26" s="82">
        <f>IFERROR(IF(H25&gt;0,H22/H25,"∞"),"∞")</f>
        <v/>
      </c>
      <c r="I26" s="82">
        <f>IFERROR(IF(I25&gt;0,I22/I25,"∞"),"∞")</f>
        <v/>
      </c>
      <c r="J26" s="82">
        <f>IFERROR(IF(J25&gt;0,J22/J25,"∞"),"∞")</f>
        <v/>
      </c>
      <c r="K26" s="82">
        <f>IFERROR(IF(K25&gt;0,K22/K25,"∞"),"∞")</f>
        <v/>
      </c>
      <c r="L26" s="82">
        <f>IFERROR(IF(L25&gt;0,L22/L25,"∞"),"∞")</f>
        <v/>
      </c>
      <c r="M26" s="82">
        <f>IFERROR(IF(M25&gt;0,M22/M25,"∞"),"∞")</f>
        <v/>
      </c>
      <c r="N26" s="82">
        <f>IFERROR(IF(N25&gt;0,N22/N25,"∞"),"∞")</f>
        <v/>
      </c>
      <c r="O26" s="82">
        <f>IFERROR(IF(O25&gt;0,O22/O25,"∞"),"∞")</f>
        <v/>
      </c>
      <c r="P26" s="82">
        <f>IFERROR(IF(P25&gt;0,P22/P25,"∞"),"∞")</f>
        <v/>
      </c>
      <c r="Q26" s="82">
        <f>IFERROR(IF(Q25&gt;0,Q22/Q25,"∞"),"∞")</f>
        <v/>
      </c>
      <c r="R26" s="82">
        <f>IFERROR(IF(R25&gt;0,R22/R25,"∞"),"∞")</f>
        <v/>
      </c>
      <c r="S26" s="82">
        <f>IFERROR(IF(S25&gt;0,S22/S25,"∞"),"∞")</f>
        <v/>
      </c>
      <c r="T26" s="82">
        <f>IFERROR(IF(T25&gt;0,T22/T25,"∞"),"∞")</f>
        <v/>
      </c>
      <c r="U26" s="82">
        <f>IFERROR(IF(U25&gt;0,U22/U25,"∞"),"∞")</f>
        <v/>
      </c>
      <c r="V26" s="82">
        <f>IFERROR(IF(V25&gt;0,V22/V25,"∞"),"∞")</f>
        <v/>
      </c>
      <c r="W26" s="82">
        <f>IFERROR(IF(W25&gt;0,W22/W25,"∞"),"∞")</f>
        <v/>
      </c>
      <c r="X26" s="82">
        <f>IFERROR(IF(X25&gt;0,X22/X25,"∞"),"∞")</f>
        <v/>
      </c>
      <c r="Y26" s="82">
        <f>IFERROR(IF(Y25&gt;0,Y22/Y25,"∞"),"∞")</f>
        <v/>
      </c>
      <c r="Z26" s="82">
        <f>IFERROR(IF(Z25&gt;0,Z22/Z25,"∞"),"∞")</f>
        <v/>
      </c>
      <c r="AA26" s="82">
        <f>IFERROR(IF(AA25&gt;0,AA22/AA25,"∞"),"∞")</f>
        <v/>
      </c>
      <c r="AB26" s="82">
        <f>IFERROR(IF(AB25&gt;0,AB22/AB25,"∞"),"∞")</f>
        <v/>
      </c>
      <c r="AC26" s="82">
        <f>IFERROR(IF(AC25&gt;0,AC22/AC25,"∞"),"∞")</f>
        <v/>
      </c>
      <c r="AD26" s="82">
        <f>IFERROR(IF(AD25&gt;0,AD22/AD25,"∞"),"∞")</f>
        <v/>
      </c>
      <c r="AE26" s="82">
        <f>IFERROR(IF(AE25&gt;0,AE22/AE25,"∞"),"∞")</f>
        <v/>
      </c>
      <c r="AF26" s="82">
        <f>IFERROR(IF(AF25&gt;0,AF22/AF25,"∞"),"∞")</f>
        <v/>
      </c>
      <c r="AG26" s="82">
        <f>IFERROR(IF(AG25&gt;0,AG22/AG25,"∞"),"∞")</f>
        <v/>
      </c>
      <c r="AH26" s="82">
        <f>IFERROR(IF(AH25&gt;0,AH22/AH25,"∞"),"∞")</f>
        <v/>
      </c>
      <c r="AI26" s="82">
        <f>IFERROR(IF(AI25&gt;0,AI22/AI25,"∞"),"∞")</f>
        <v/>
      </c>
      <c r="AJ26" s="82">
        <f>IFERROR(IF(AJ25&gt;0,AJ22/AJ25,"∞"),"∞")</f>
        <v/>
      </c>
      <c r="AK26" s="82">
        <f>IFERROR(IF(AK25&gt;0,AK22/AK25,"∞"),"∞")</f>
        <v/>
      </c>
      <c r="AL26" s="82">
        <f>IFERROR(IF(AL25&gt;0,AL22/AL25,"∞"),"∞")</f>
        <v/>
      </c>
      <c r="AM26" s="82">
        <f>IFERROR(IF(AM25&gt;0,AM22/AM25,"∞"),"∞")</f>
        <v/>
      </c>
      <c r="AN26" s="82">
        <f>IFERROR(IF(AN25&gt;0,AN22/AN25,"∞"),"∞")</f>
        <v/>
      </c>
      <c r="AO26" s="82">
        <f>IFERROR(IF(AO25&gt;0,AO22/AO25,"∞"),"∞")</f>
        <v/>
      </c>
      <c r="AP26" s="82">
        <f>IFERROR(IF(AP25&gt;0,AP22/AP25,"∞"),"∞")</f>
        <v/>
      </c>
      <c r="AQ26" s="82">
        <f>IFERROR(IF(AQ25&gt;0,AQ22/AQ25,"∞"),"∞")</f>
        <v/>
      </c>
      <c r="AR26" s="82">
        <f>IFERROR(IF(AR25&gt;0,AR22/AR25,"∞"),"∞")</f>
        <v/>
      </c>
      <c r="AS26" s="82">
        <f>IFERROR(IF(AS25&gt;0,AS22/AS25,"∞"),"∞")</f>
        <v/>
      </c>
      <c r="AT26" s="82">
        <f>IFERROR(IF(AT25&gt;0,AT22/AT25,"∞"),"∞")</f>
        <v/>
      </c>
      <c r="AU26" s="82">
        <f>IFERROR(IF(AU25&gt;0,AU22/AU25,"∞"),"∞")</f>
        <v/>
      </c>
      <c r="AV26" s="82">
        <f>IFERROR(IF(AV25&gt;0,AV22/AV25,"∞"),"∞")</f>
        <v/>
      </c>
      <c r="AW26" s="82">
        <f>IFERROR(IF(AW25&gt;0,AW22/AW25,"∞"),"∞")</f>
        <v/>
      </c>
      <c r="AX26" s="82">
        <f>IFERROR(IF(AX25&gt;0,AX22/AX25,"∞"),"∞")</f>
        <v/>
      </c>
      <c r="AY26" s="82">
        <f>IFERROR(IF(AY25&gt;0,AY22/AY25,"∞"),"∞")</f>
        <v/>
      </c>
      <c r="AZ26" s="82">
        <f>IFERROR(IF(AZ25&gt;0,AZ22/AZ25,"∞"),"∞")</f>
        <v/>
      </c>
      <c r="BA26" s="82">
        <f>IFERROR(IF(BA25&gt;0,BA22/BA25,"∞"),"∞")</f>
        <v/>
      </c>
    </row>
    <row r="27" ht="14.25" customHeight="1" s="83">
      <c r="A27" s="77" t="inlineStr">
        <is>
          <t>Cumulative Cash Position</t>
        </is>
      </c>
      <c r="B27" s="74">
        <f>B22</f>
        <v/>
      </c>
      <c r="C27" s="74">
        <f>C22</f>
        <v/>
      </c>
      <c r="D27" s="74">
        <f>D22</f>
        <v/>
      </c>
      <c r="E27" s="74">
        <f>E22</f>
        <v/>
      </c>
      <c r="F27" s="74">
        <f>F22</f>
        <v/>
      </c>
      <c r="G27" s="74">
        <f>G22</f>
        <v/>
      </c>
      <c r="H27" s="74">
        <f>H22</f>
        <v/>
      </c>
      <c r="I27" s="74">
        <f>I22</f>
        <v/>
      </c>
      <c r="J27" s="74">
        <f>J22</f>
        <v/>
      </c>
      <c r="K27" s="74">
        <f>K22</f>
        <v/>
      </c>
      <c r="L27" s="74">
        <f>L22</f>
        <v/>
      </c>
      <c r="M27" s="74">
        <f>M22</f>
        <v/>
      </c>
      <c r="N27" s="74">
        <f>N22</f>
        <v/>
      </c>
      <c r="O27" s="74">
        <f>O22</f>
        <v/>
      </c>
      <c r="P27" s="74">
        <f>P22</f>
        <v/>
      </c>
      <c r="Q27" s="74">
        <f>Q22</f>
        <v/>
      </c>
      <c r="R27" s="74">
        <f>R22</f>
        <v/>
      </c>
      <c r="S27" s="74">
        <f>S22</f>
        <v/>
      </c>
      <c r="T27" s="74">
        <f>T22</f>
        <v/>
      </c>
      <c r="U27" s="74">
        <f>U22</f>
        <v/>
      </c>
      <c r="V27" s="74">
        <f>V22</f>
        <v/>
      </c>
      <c r="W27" s="74">
        <f>W22</f>
        <v/>
      </c>
      <c r="X27" s="74">
        <f>X22</f>
        <v/>
      </c>
      <c r="Y27" s="74">
        <f>Y22</f>
        <v/>
      </c>
      <c r="Z27" s="74">
        <f>Z22</f>
        <v/>
      </c>
      <c r="AA27" s="74">
        <f>AA22</f>
        <v/>
      </c>
      <c r="AB27" s="74">
        <f>AB22</f>
        <v/>
      </c>
      <c r="AC27" s="74">
        <f>AC22</f>
        <v/>
      </c>
      <c r="AD27" s="74">
        <f>AD22</f>
        <v/>
      </c>
      <c r="AE27" s="74">
        <f>AE22</f>
        <v/>
      </c>
      <c r="AF27" s="74">
        <f>AF22</f>
        <v/>
      </c>
      <c r="AG27" s="74">
        <f>AG22</f>
        <v/>
      </c>
      <c r="AH27" s="74">
        <f>AH22</f>
        <v/>
      </c>
      <c r="AI27" s="74">
        <f>AI22</f>
        <v/>
      </c>
      <c r="AJ27" s="74">
        <f>AJ22</f>
        <v/>
      </c>
      <c r="AK27" s="74">
        <f>AK22</f>
        <v/>
      </c>
      <c r="AL27" s="74">
        <f>AL22</f>
        <v/>
      </c>
      <c r="AM27" s="74">
        <f>AM22</f>
        <v/>
      </c>
      <c r="AN27" s="74">
        <f>AN22</f>
        <v/>
      </c>
      <c r="AO27" s="74">
        <f>AO22</f>
        <v/>
      </c>
      <c r="AP27" s="74">
        <f>AP22</f>
        <v/>
      </c>
      <c r="AQ27" s="74">
        <f>AQ22</f>
        <v/>
      </c>
      <c r="AR27" s="74">
        <f>AR22</f>
        <v/>
      </c>
      <c r="AS27" s="74">
        <f>AS22</f>
        <v/>
      </c>
      <c r="AT27" s="74">
        <f>AT22</f>
        <v/>
      </c>
      <c r="AU27" s="74">
        <f>AU22</f>
        <v/>
      </c>
      <c r="AV27" s="74">
        <f>AV22</f>
        <v/>
      </c>
      <c r="AW27" s="74">
        <f>AW22</f>
        <v/>
      </c>
      <c r="AX27" s="74">
        <f>AX22</f>
        <v/>
      </c>
      <c r="AY27" s="74">
        <f>AY22</f>
        <v/>
      </c>
      <c r="AZ27" s="74">
        <f>AZ22</f>
        <v/>
      </c>
      <c r="BA27" s="74">
        <f>BA22</f>
        <v/>
      </c>
    </row>
    <row r="28" ht="14.25" customHeight="1" s="83">
      <c r="A28" s="2" t="inlineStr">
        <is>
          <t>Cash Runway Alert</t>
        </is>
      </c>
      <c r="B28" s="44">
        <f>IF(ISNUMBER(B26),IF(B26&lt;6,"WARNUNG: &lt;6 Monate!","OK"),"OK")</f>
        <v/>
      </c>
      <c r="C28" s="44">
        <f>IF(ISNUMBER(C26),IF(C26&lt;6,"WARNUNG: &lt;6 Monate!","OK"),"OK")</f>
        <v/>
      </c>
      <c r="D28" s="44">
        <f>IF(ISNUMBER(D26),IF(D26&lt;6,"WARNUNG: &lt;6 Monate!","OK"),"OK")</f>
        <v/>
      </c>
      <c r="E28" s="44">
        <f>IF(ISNUMBER(E26),IF(E26&lt;6,"WARNUNG: &lt;6 Monate!","OK"),"OK")</f>
        <v/>
      </c>
      <c r="F28" s="44">
        <f>IF(ISNUMBER(F26),IF(F26&lt;6,"WARNUNG: &lt;6 Monate!","OK"),"OK")</f>
        <v/>
      </c>
      <c r="G28" s="44">
        <f>IF(ISNUMBER(G26),IF(G26&lt;6,"WARNUNG: &lt;6 Monate!","OK"),"OK")</f>
        <v/>
      </c>
      <c r="H28" s="44">
        <f>IF(ISNUMBER(H26),IF(H26&lt;6,"WARNUNG: &lt;6 Monate!","OK"),"OK")</f>
        <v/>
      </c>
      <c r="I28" s="44">
        <f>IF(ISNUMBER(I26),IF(I26&lt;6,"WARNUNG: &lt;6 Monate!","OK"),"OK")</f>
        <v/>
      </c>
      <c r="J28" s="44">
        <f>IF(ISNUMBER(J26),IF(J26&lt;6,"WARNUNG: &lt;6 Monate!","OK"),"OK")</f>
        <v/>
      </c>
      <c r="K28" s="44">
        <f>IF(ISNUMBER(K26),IF(K26&lt;6,"WARNUNG: &lt;6 Monate!","OK"),"OK")</f>
        <v/>
      </c>
      <c r="L28" s="44">
        <f>IF(ISNUMBER(L26),IF(L26&lt;6,"WARNUNG: &lt;6 Monate!","OK"),"OK")</f>
        <v/>
      </c>
      <c r="M28" s="44">
        <f>IF(ISNUMBER(M26),IF(M26&lt;6,"WARNUNG: &lt;6 Monate!","OK"),"OK")</f>
        <v/>
      </c>
      <c r="N28" s="44">
        <f>IF(ISNUMBER(N26),IF(N26&lt;6,"WARNUNG: &lt;6 Monate!","OK"),"OK")</f>
        <v/>
      </c>
      <c r="O28" s="44">
        <f>IF(ISNUMBER(O26),IF(O26&lt;6,"WARNUNG: &lt;6 Monate!","OK"),"OK")</f>
        <v/>
      </c>
      <c r="P28" s="44">
        <f>IF(ISNUMBER(P26),IF(P26&lt;6,"WARNUNG: &lt;6 Monate!","OK"),"OK")</f>
        <v/>
      </c>
      <c r="Q28" s="44">
        <f>IF(ISNUMBER(Q26),IF(Q26&lt;6,"WARNUNG: &lt;6 Monate!","OK"),"OK")</f>
        <v/>
      </c>
      <c r="R28" s="44">
        <f>IF(ISNUMBER(R26),IF(R26&lt;6,"WARNUNG: &lt;6 Monate!","OK"),"OK")</f>
        <v/>
      </c>
      <c r="S28" s="44">
        <f>IF(ISNUMBER(S26),IF(S26&lt;6,"WARNUNG: &lt;6 Monate!","OK"),"OK")</f>
        <v/>
      </c>
      <c r="T28" s="44">
        <f>IF(ISNUMBER(T26),IF(T26&lt;6,"WARNUNG: &lt;6 Monate!","OK"),"OK")</f>
        <v/>
      </c>
      <c r="U28" s="44">
        <f>IF(ISNUMBER(U26),IF(U26&lt;6,"WARNUNG: &lt;6 Monate!","OK"),"OK")</f>
        <v/>
      </c>
      <c r="V28" s="44">
        <f>IF(ISNUMBER(V26),IF(V26&lt;6,"WARNUNG: &lt;6 Monate!","OK"),"OK")</f>
        <v/>
      </c>
      <c r="W28" s="44">
        <f>IF(ISNUMBER(W26),IF(W26&lt;6,"WARNUNG: &lt;6 Monate!","OK"),"OK")</f>
        <v/>
      </c>
      <c r="X28" s="44">
        <f>IF(ISNUMBER(X26),IF(X26&lt;6,"WARNUNG: &lt;6 Monate!","OK"),"OK")</f>
        <v/>
      </c>
      <c r="Y28" s="44">
        <f>IF(ISNUMBER(Y26),IF(Y26&lt;6,"WARNUNG: &lt;6 Monate!","OK"),"OK")</f>
        <v/>
      </c>
      <c r="Z28" s="44">
        <f>IF(ISNUMBER(Z26),IF(Z26&lt;6,"WARNUNG: &lt;6 Monate!","OK"),"OK")</f>
        <v/>
      </c>
      <c r="AA28" s="44">
        <f>IF(ISNUMBER(AA26),IF(AA26&lt;6,"WARNUNG: &lt;6 Monate!","OK"),"OK")</f>
        <v/>
      </c>
      <c r="AB28" s="44">
        <f>IF(ISNUMBER(AB26),IF(AB26&lt;6,"WARNUNG: &lt;6 Monate!","OK"),"OK")</f>
        <v/>
      </c>
      <c r="AC28" s="44">
        <f>IF(ISNUMBER(AC26),IF(AC26&lt;6,"WARNUNG: &lt;6 Monate!","OK"),"OK")</f>
        <v/>
      </c>
      <c r="AD28" s="44">
        <f>IF(ISNUMBER(AD26),IF(AD26&lt;6,"WARNUNG: &lt;6 Monate!","OK"),"OK")</f>
        <v/>
      </c>
      <c r="AE28" s="44">
        <f>IF(ISNUMBER(AE26),IF(AE26&lt;6,"WARNUNG: &lt;6 Monate!","OK"),"OK")</f>
        <v/>
      </c>
      <c r="AF28" s="44">
        <f>IF(ISNUMBER(AF26),IF(AF26&lt;6,"WARNUNG: &lt;6 Monate!","OK"),"OK")</f>
        <v/>
      </c>
      <c r="AG28" s="44">
        <f>IF(ISNUMBER(AG26),IF(AG26&lt;6,"WARNUNG: &lt;6 Monate!","OK"),"OK")</f>
        <v/>
      </c>
      <c r="AH28" s="44">
        <f>IF(ISNUMBER(AH26),IF(AH26&lt;6,"WARNUNG: &lt;6 Monate!","OK"),"OK")</f>
        <v/>
      </c>
      <c r="AI28" s="44">
        <f>IF(ISNUMBER(AI26),IF(AI26&lt;6,"WARNUNG: &lt;6 Monate!","OK"),"OK")</f>
        <v/>
      </c>
      <c r="AJ28" s="44">
        <f>IF(ISNUMBER(AJ26),IF(AJ26&lt;6,"WARNUNG: &lt;6 Monate!","OK"),"OK")</f>
        <v/>
      </c>
      <c r="AK28" s="44">
        <f>IF(ISNUMBER(AK26),IF(AK26&lt;6,"WARNUNG: &lt;6 Monate!","OK"),"OK")</f>
        <v/>
      </c>
      <c r="AL28" s="44">
        <f>IF(ISNUMBER(AL26),IF(AL26&lt;6,"WARNUNG: &lt;6 Monate!","OK"),"OK")</f>
        <v/>
      </c>
      <c r="AM28" s="44">
        <f>IF(ISNUMBER(AM26),IF(AM26&lt;6,"WARNUNG: &lt;6 Monate!","OK"),"OK")</f>
        <v/>
      </c>
      <c r="AN28" s="44">
        <f>IF(ISNUMBER(AN26),IF(AN26&lt;6,"WARNUNG: &lt;6 Monate!","OK"),"OK")</f>
        <v/>
      </c>
      <c r="AO28" s="44">
        <f>IF(ISNUMBER(AO26),IF(AO26&lt;6,"WARNUNG: &lt;6 Monate!","OK"),"OK")</f>
        <v/>
      </c>
      <c r="AP28" s="44">
        <f>IF(ISNUMBER(AP26),IF(AP26&lt;6,"WARNUNG: &lt;6 Monate!","OK"),"OK")</f>
        <v/>
      </c>
      <c r="AQ28" s="44">
        <f>IF(ISNUMBER(AQ26),IF(AQ26&lt;6,"WARNUNG: &lt;6 Monate!","OK"),"OK")</f>
        <v/>
      </c>
      <c r="AR28" s="44">
        <f>IF(ISNUMBER(AR26),IF(AR26&lt;6,"WARNUNG: &lt;6 Monate!","OK"),"OK")</f>
        <v/>
      </c>
      <c r="AS28" s="44">
        <f>IF(ISNUMBER(AS26),IF(AS26&lt;6,"WARNUNG: &lt;6 Monate!","OK"),"OK")</f>
        <v/>
      </c>
      <c r="AT28" s="44">
        <f>IF(ISNUMBER(AT26),IF(AT26&lt;6,"WARNUNG: &lt;6 Monate!","OK"),"OK")</f>
        <v/>
      </c>
      <c r="AU28" s="44">
        <f>IF(ISNUMBER(AU26),IF(AU26&lt;6,"WARNUNG: &lt;6 Monate!","OK"),"OK")</f>
        <v/>
      </c>
      <c r="AV28" s="44">
        <f>IF(ISNUMBER(AV26),IF(AV26&lt;6,"WARNUNG: &lt;6 Monate!","OK"),"OK")</f>
        <v/>
      </c>
      <c r="AW28" s="44">
        <f>IF(ISNUMBER(AW26),IF(AW26&lt;6,"WARNUNG: &lt;6 Monate!","OK"),"OK")</f>
        <v/>
      </c>
      <c r="AX28" s="44">
        <f>IF(ISNUMBER(AX26),IF(AX26&lt;6,"WARNUNG: &lt;6 Monate!","OK"),"OK")</f>
        <v/>
      </c>
      <c r="AY28" s="44">
        <f>IF(ISNUMBER(AY26),IF(AY26&lt;6,"WARNUNG: &lt;6 Monate!","OK"),"OK")</f>
        <v/>
      </c>
      <c r="AZ28" s="44">
        <f>IF(ISNUMBER(AZ26),IF(AZ26&lt;6,"WARNUNG: &lt;6 Monate!","OK"),"OK")</f>
        <v/>
      </c>
      <c r="BA28" s="44">
        <f>IF(ISNUMBER(BA26),IF(BA26&lt;6,"WARNUNG: &lt;6 Monate!","OK"),"OK")</f>
        <v/>
      </c>
    </row>
    <row r="29" ht="14.25" customHeight="1" s="83"/>
    <row r="30" ht="14.25" customHeight="1" s="83"/>
    <row r="31" ht="14.25" customHeight="1" s="83"/>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22" customWidth="1" style="83" min="1" max="1"/>
    <col width="28" customWidth="1" style="83" min="2" max="2"/>
    <col width="22" customWidth="1" style="83" min="3" max="3"/>
    <col width="22" customWidth="1" style="83" min="4" max="4"/>
    <col width="60" customWidth="1" style="83" min="5" max="5"/>
  </cols>
  <sheetData>
    <row r="1" ht="40" customHeight="1" s="83">
      <c r="A1" s="84" t="inlineStr">
        <is>
          <t>LFL FINANCIAL PROJECTIONS — SZENARIO KONSERVATIV</t>
        </is>
      </c>
    </row>
    <row r="2" ht="20" customHeight="1" s="83">
      <c r="A2" s="85" t="inlineStr">
        <is>
          <t>Basis: 260304_LFL-Financial-Planning-and-Carbon-Case.pdf | Erstellt: 04.03.2026 23:13</t>
        </is>
      </c>
    </row>
    <row r="4" ht="15" customHeight="1" s="83">
      <c r="A4" s="86" t="inlineStr">
        <is>
          <t>HINTERGRUND</t>
        </is>
      </c>
    </row>
    <row r="5" ht="60" customHeight="1" s="83">
      <c r="A5" s="87" t="inlineStr">
        <is>
          <t>Dieses Szenario basiert auf dem LFL Financial Planning &amp; Carbon Case Dossier (260304_LFL-Financial-Planning-and-Carbon-Case.pdf, Stand 4. März 2026). Alle Parameter wurden aus den strategischen Meeting-Transkripten von Rene und dem Finanzmodellierer abgeleitet. Externe Annahmen wurden nicht hinzugefügt. Offene Punkte (TBD/OPEN) aus dem Dossier sind im Report-Sheet markiert.</t>
        </is>
      </c>
    </row>
    <row r="7">
      <c r="A7" s="88" t="inlineStr">
        <is>
          <t>Parameter</t>
        </is>
      </c>
      <c r="B7" s="88" t="inlineStr">
        <is>
          <t>Bezeichnung</t>
        </is>
      </c>
      <c r="C7" s="88" t="inlineStr">
        <is>
          <t>Baseline</t>
        </is>
      </c>
      <c r="D7" s="88" t="inlineStr">
        <is>
          <t>NEU (KONSERVATIV)</t>
        </is>
      </c>
      <c r="E7" s="88" t="inlineStr">
        <is>
          <t>Begründung / Zusammenhang</t>
        </is>
      </c>
    </row>
    <row r="8" ht="22" customHeight="1" s="83">
      <c r="A8" s="89" t="inlineStr">
        <is>
          <t>1. PREISGESTALTUNG — Konservative Positionierung</t>
        </is>
      </c>
    </row>
    <row r="9" ht="80" customHeight="1" s="83">
      <c r="A9" s="90" t="inlineStr">
        <is>
          <t>Sandbox D6</t>
        </is>
      </c>
      <c r="B9" s="91" t="inlineStr">
        <is>
          <t>Preis/Seat/Monat</t>
        </is>
      </c>
      <c r="C9" s="92" t="inlineStr">
        <is>
          <t>800 EUR (gering-Standard)</t>
        </is>
      </c>
      <c r="D9" s="93" t="inlineStr">
        <is>
          <t>200 EUR</t>
        </is>
      </c>
      <c r="E9" s="94" t="inlineStr">
        <is>
          <t>Das PDF nennt 350 EUR/Monat als Referenzpreis (→ 4.200 EUR/Seat/Jahr) und 200 EUR als benchmark_low. Im konservativen Szenario wählen wir den Benchmark-Tiefpunkt, um das Preisrisiko in der Marktvalidierung abzubilden. Ein zu hoher Einstiegspreis ohne bewiesenen ROI verlängert den Sales-Zyklus erheblich.</t>
        </is>
      </c>
    </row>
    <row r="10" ht="80" customHeight="1" s="83">
      <c r="A10" s="95" t="inlineStr">
        <is>
          <t>Inputs B21</t>
        </is>
      </c>
      <c r="B10" s="96" t="inlineStr">
        <is>
          <t>Preiserhöhung/Jahr</t>
        </is>
      </c>
      <c r="C10" s="97" t="inlineStr">
        <is>
          <t>8%</t>
        </is>
      </c>
      <c r="D10" s="93" t="inlineStr">
        <is>
          <t>5%</t>
        </is>
      </c>
      <c r="E10" s="98" t="inlineStr">
        <is>
          <t>Geringere jährliche Preissteigerung reflektiert schwächere Marktposition und Kundenwiderstand in der Frühphase. Packaging-Kunden (primärer Markt: 2.255 Unternehmen laut Rene) sind preissensitiv.</t>
        </is>
      </c>
    </row>
    <row r="11" ht="60" customHeight="1" s="83">
      <c r="A11" s="99" t="inlineStr">
        <is>
          <t>→ Auswirkung</t>
        </is>
      </c>
      <c r="B11" s="100" t="inlineStr">
        <is>
          <t>ARR pro Standardkunde (5 Seats): 200 EUR × 5 × 12 = 12.000 EUR/Jahr (vs. 21.000 EUR im PDF-Referenzpreis). Runway und Break-Even verschlechtern sich deutlich. Höheres Funding-Risiko.</t>
        </is>
      </c>
    </row>
    <row r="13" ht="22" customHeight="1" s="83">
      <c r="A13" s="89" t="inlineStr">
        <is>
          <t>2. KUNDEN-TIMING &amp; WACHSTUM — Langsame Marktdurchdringung</t>
        </is>
      </c>
    </row>
    <row r="14" ht="80" customHeight="1" s="83">
      <c r="A14" s="90" t="inlineStr">
        <is>
          <t>Sandbox D5</t>
        </is>
      </c>
      <c r="B14" s="91" t="inlineStr">
        <is>
          <t>Startmonat erste Kunden</t>
        </is>
      </c>
      <c r="C14" s="92" t="inlineStr">
        <is>
          <t>14</t>
        </is>
      </c>
      <c r="D14" s="93" t="inlineStr">
        <is>
          <t>17</t>
        </is>
      </c>
      <c r="E14" s="94" t="inlineStr">
        <is>
          <t>Das PDF nennt explizit '~17 months to first revenue'. Im konservativen Szenario halten wir an diesem Planwert fest. Die Pre-Seed-Phase (3-5 Kunden, Sept 2026-Sept 2027) dient reiner Validierung ohne Revenue-Fokus. First paying customer frühestens Monat 17 (September 2027, mit Seed-Close).</t>
        </is>
      </c>
    </row>
    <row r="15" ht="80" customHeight="1" s="83">
      <c r="A15" s="95" t="inlineStr">
        <is>
          <t>Inputs B23</t>
        </is>
      </c>
      <c r="B15" s="96" t="inlineStr">
        <is>
          <t>Initiale Seats</t>
        </is>
      </c>
      <c r="C15" s="97" t="inlineStr">
        <is>
          <t>5</t>
        </is>
      </c>
      <c r="D15" s="93" t="inlineStr">
        <is>
          <t>3</t>
        </is>
      </c>
      <c r="E15" s="98" t="inlineStr">
        <is>
          <t>PDF nennt 3-5 als Pre-Seed-Kundenzahl. Konservativ: 3 Piloten. Jeder Pilot mit 5 Seats = 15 Seats total.</t>
        </is>
      </c>
    </row>
    <row r="16" ht="80" customHeight="1" s="83">
      <c r="A16" s="90" t="inlineStr">
        <is>
          <t>Inputs B24</t>
        </is>
      </c>
      <c r="B16" s="91" t="inlineStr">
        <is>
          <t>Monatl. Seat-Wachstum</t>
        </is>
      </c>
      <c r="C16" s="92" t="inlineStr">
        <is>
          <t>5%</t>
        </is>
      </c>
      <c r="D16" s="93" t="inlineStr">
        <is>
          <t>3%</t>
        </is>
      </c>
      <c r="E16" s="94" t="inlineStr">
        <is>
          <t>Verlangsamtes Wachstum durch längere Sales-Zyklen (packaging/automotive lt. PDF: 'longer lead cycle in automotive'). 3% entspricht ca. 43% Jahreswachstum – konservativ aber realistisch für B2B-Manufacturing.</t>
        </is>
      </c>
    </row>
    <row r="17" ht="80" customHeight="1" s="83">
      <c r="A17" s="95" t="inlineStr">
        <is>
          <t>Inputs B25</t>
        </is>
      </c>
      <c r="B17" s="96" t="inlineStr">
        <is>
          <t>Enterprise-Deals ab Monat</t>
        </is>
      </c>
      <c r="C17" s="97" t="inlineStr">
        <is>
          <t>24</t>
        </is>
      </c>
      <c r="D17" s="93" t="inlineStr">
        <is>
          <t>30</t>
        </is>
      </c>
      <c r="E17" s="98" t="inlineStr">
        <is>
          <t>Enterprise-Deals starten erst nach Monat 30 – nach erstem erfolgreichen Track Record. PDF: deal_complexity höher als Standard, lead_cycle länger.</t>
        </is>
      </c>
    </row>
    <row r="18" ht="60" customHeight="1" s="83">
      <c r="A18" s="99" t="inlineStr">
        <is>
          <t>→ Auswirkung</t>
        </is>
      </c>
      <c r="B18" s="100" t="inlineStr">
        <is>
          <t>Seed-Ziel: 50-60 Kunden (PDF) → im Konservativ-Szenario realistisch 25-35 Kunden bis Monat 17-24. Gesamt-ARR M24: deutlich unter 500K EUR. Enterprise-Revenue startet erst ab M30.</t>
        </is>
      </c>
    </row>
    <row r="20" ht="22" customHeight="1" s="83">
      <c r="A20" s="89" t="inlineStr">
        <is>
          <t>3. CHURN &amp; KUNDENBINDUNG — Höheres Abwanderungsrisiko</t>
        </is>
      </c>
    </row>
    <row r="21" ht="80" customHeight="1" s="83">
      <c r="A21" s="90" t="inlineStr">
        <is>
          <t>Inputs B28</t>
        </is>
      </c>
      <c r="B21" s="91" t="inlineStr">
        <is>
          <t>Jährliche Churn Rate</t>
        </is>
      </c>
      <c r="C21" s="92" t="inlineStr">
        <is>
          <t>8%</t>
        </is>
      </c>
      <c r="D21" s="93" t="inlineStr">
        <is>
          <t>15%</t>
        </is>
      </c>
      <c r="E21" s="94" t="inlineStr">
        <is>
          <t>PDF: adoption_probability_low = 10%. Geringe Adoption bedeutet hohes Abwanderungsrisiko sobald Verträge auslaufen. 15% Churn entspricht einem 'gefährdeten' SaaS-Modell in der Early-Stage, typisch für Produkte ohne tiefen Workflow-Lock-in. Causal: Fehlende Onboarding-Qualität + unklarer ROI-Nachweis (wie Olaf betont) führen zu Abwanderung.</t>
        </is>
      </c>
    </row>
    <row r="22" ht="80" customHeight="1" s="83">
      <c r="A22" s="95" t="inlineStr">
        <is>
          <t>Inputs B29</t>
        </is>
      </c>
      <c r="B22" s="96" t="inlineStr">
        <is>
          <t>Net Revenue Retention</t>
        </is>
      </c>
      <c r="C22" s="97" t="inlineStr">
        <is>
          <t>118%</t>
        </is>
      </c>
      <c r="D22" s="93" t="inlineStr">
        <is>
          <t>105%</t>
        </is>
      </c>
      <c r="E22" s="98" t="inlineStr">
        <is>
          <t>Ohne starke Expansion durch Upsell oder neue Seats bleibt NRR knapp über 100%. PDF: Keine quantifizierten Upsell-Mechanismen – konservativ daher 105%.</t>
        </is>
      </c>
    </row>
    <row r="23" ht="60" customHeight="1" s="83">
      <c r="A23" s="99" t="inlineStr">
        <is>
          <t>→ Auswirkung</t>
        </is>
      </c>
      <c r="B23" s="100" t="inlineStr">
        <is>
          <t>ARR-Erosion durch Churn: Bei 100K ARR und 15% Churn verliert das Unternehmen 15K/Jahr. Ohne starkes Neuwachstum schrumpft der Revenue-Pool. NRR von 105% rettet knapp die Nettowachstum-Rate.</t>
        </is>
      </c>
    </row>
    <row r="25" ht="22" customHeight="1" s="83">
      <c r="A25" s="89" t="inlineStr">
        <is>
          <t>4. FUNDING — Konservative Kapitalstrategie</t>
        </is>
      </c>
    </row>
    <row r="26" ht="80" customHeight="1" s="83">
      <c r="A26" s="90" t="inlineStr">
        <is>
          <t>Inputs B12</t>
        </is>
      </c>
      <c r="B26" s="91" t="inlineStr">
        <is>
          <t>Pre-Seed Betrag</t>
        </is>
      </c>
      <c r="C26" s="92" t="inlineStr">
        <is>
          <t>1.500.000 EUR</t>
        </is>
      </c>
      <c r="D26" s="93" t="inlineStr">
        <is>
          <t>1.500.000 EUR</t>
        </is>
      </c>
      <c r="E26" s="94" t="inlineStr">
        <is>
          <t>PDF Lower End: 1,5M EUR. Im Konservativ-Szenario bleibt Pre-Seed beim Minimum. Runway: 12 Monate (Sept 2026 – Sept 2027). Reicht für MVP + 3-5 Pilotkunden.</t>
        </is>
      </c>
    </row>
    <row r="27" ht="80" customHeight="1" s="83">
      <c r="A27" s="95" t="inlineStr">
        <is>
          <t>Inputs B14</t>
        </is>
      </c>
      <c r="B27" s="96" t="inlineStr">
        <is>
          <t>Seed Betrag</t>
        </is>
      </c>
      <c r="C27" s="97" t="inlineStr">
        <is>
          <t>6.000.000 EUR</t>
        </is>
      </c>
      <c r="D27" s="93" t="inlineStr">
        <is>
          <t>4.000.000 EUR</t>
        </is>
      </c>
      <c r="E27" s="98" t="inlineStr">
        <is>
          <t>PDF Seed Lower End: 4M EUR. Konservativ, da langsameres Wachstum weniger Kapital verbraucht. Seed-Runway: 12 Monate (Sept 2027 – Sept 2028), für 50-60 Kunden.</t>
        </is>
      </c>
    </row>
    <row r="28" ht="80" customHeight="1" s="83">
      <c r="A28" s="90" t="inlineStr">
        <is>
          <t>Inputs B16</t>
        </is>
      </c>
      <c r="B28" s="91" t="inlineStr">
        <is>
          <t>Series A Betrag</t>
        </is>
      </c>
      <c r="C28" s="92" t="inlineStr">
        <is>
          <t>15.000.000 EUR</t>
        </is>
      </c>
      <c r="D28" s="93" t="inlineStr">
        <is>
          <t>10.000.000 EUR</t>
        </is>
      </c>
      <c r="E28" s="94" t="inlineStr">
        <is>
          <t>Reduzierte Series A durch geringeres Wachstumstempo. Schont Verwässerung.</t>
        </is>
      </c>
    </row>
    <row r="29" ht="80" customHeight="1" s="83">
      <c r="A29" s="95" t="inlineStr">
        <is>
          <t>Inputs B17</t>
        </is>
      </c>
      <c r="B29" s="96" t="inlineStr">
        <is>
          <t>Series A Monat</t>
        </is>
      </c>
      <c r="C29" s="97" t="inlineStr">
        <is>
          <t>35</t>
        </is>
      </c>
      <c r="D29" s="93" t="inlineStr">
        <is>
          <t>36</t>
        </is>
      </c>
      <c r="E29" s="98" t="inlineStr">
        <is>
          <t>Leicht später, da Meilensteine langsamer erreicht werden.</t>
        </is>
      </c>
    </row>
    <row r="30" ht="60" customHeight="1" s="83">
      <c r="A30" s="99" t="inlineStr">
        <is>
          <t>→ Auswirkung</t>
        </is>
      </c>
      <c r="B30" s="100" t="inlineStr">
        <is>
          <t>Gesamtfinanzierung: 15,5M EUR (vs. 23,5M im Aggressiv). Niedrigerer Cash-Verbrauch durch geringere Headcount- und Marketing-Ausgaben.</t>
        </is>
      </c>
    </row>
    <row r="32" ht="22" customHeight="1" s="83">
      <c r="A32" s="89" t="inlineStr">
        <is>
          <t>5. HEADCOUNT &amp; KI-HEBEL — Vollständige Personalplanung</t>
        </is>
      </c>
    </row>
    <row r="33" ht="80" customHeight="1" s="83">
      <c r="A33" s="90" t="inlineStr">
        <is>
          <t>Sandbox D10</t>
        </is>
      </c>
      <c r="B33" s="91" t="inlineStr">
        <is>
          <t>AI-Personal-Hebel</t>
        </is>
      </c>
      <c r="C33" s="92" t="inlineStr">
        <is>
          <t>0 Monate (Gering-Standard)</t>
        </is>
      </c>
      <c r="D33" s="93" t="inlineStr">
        <is>
          <t>0 Monate</t>
        </is>
      </c>
      <c r="E33" s="94" t="inlineStr">
        <is>
          <t>Konservativ: Kein KI-Delay beim Hiring. Alle Rollen werden zum ursprünglich geplanten Monat eingestellt. Begründung: KI-Werkzeuge sind in der Praxis in Monat 1-24 noch nicht produktionsreif genug, um Hiring zu verzögern. Das Unternehmen baut Standard-Kapazitäten auf.</t>
        </is>
      </c>
    </row>
    <row r="34" ht="80" customHeight="1" s="83">
      <c r="A34" s="95" t="inlineStr">
        <is>
          <t>Inputs B44</t>
        </is>
      </c>
      <c r="B34" s="96" t="inlineStr">
        <is>
          <t>Jährl. Gehaltserhöhung</t>
        </is>
      </c>
      <c r="C34" s="97" t="inlineStr">
        <is>
          <t>5%</t>
        </is>
      </c>
      <c r="D34" s="93" t="inlineStr">
        <is>
          <t>3%</t>
        </is>
      </c>
      <c r="E34" s="98" t="inlineStr">
        <is>
          <t>Geringere Lohnsteigerung reflektiert konservatives Budget und weniger Wettbewerb um Talent im konservativen Szenario (kleineres Unternehmen, Berlin-Markt).</t>
        </is>
      </c>
    </row>
    <row r="35" ht="60" customHeight="1" s="83">
      <c r="A35" s="99" t="inlineStr">
        <is>
          <t>→ Auswirkung</t>
        </is>
      </c>
      <c r="B35" s="100" t="inlineStr">
        <is>
          <t>Konservativ hat MEHR Mitarbeiter als Aggressiv (kein KI-Delay). Personalkosten sind der größte Kostenblock. Typische Entwicklung:
  M1-5: CEO + CTO (Founder, Eigenfinanzierung)
  M5-17: +2 Senior Engineers nach Pre-Seed
  M17-24: +CCO, +1 Sales, +1 Customer Success nach Seed
  M24-36: +Marketing, +Finance, +2 weitere Engineers
  M36-52: +2-3 Sales Reps, +2 CS, +1 weitere
  GESAMT M52: ~18-22 Mitarbeiter</t>
        </is>
      </c>
    </row>
    <row r="37" ht="22" customHeight="1" s="83">
      <c r="A37" s="89" t="inlineStr">
        <is>
          <t>6. MARKETING &amp; SALES — Budgetdisziplin</t>
        </is>
      </c>
    </row>
    <row r="38" ht="80" customHeight="1" s="83">
      <c r="A38" s="90" t="inlineStr">
        <is>
          <t>Inputs B125</t>
        </is>
      </c>
      <c r="B38" s="91" t="inlineStr">
        <is>
          <t>Events &amp; Messen/Jahr</t>
        </is>
      </c>
      <c r="C38" s="92" t="inlineStr">
        <is>
          <t>25.000 EUR</t>
        </is>
      </c>
      <c r="D38" s="93" t="inlineStr">
        <is>
          <t>25.000 EUR</t>
        </is>
      </c>
      <c r="E38" s="94" t="inlineStr">
        <is>
          <t>PDF-Placeholder-Wert beibehalten. Rene betont: Industrie-Konferenzen &gt; Software-Konferenzen. 25K EUR als Baseline für 2-3 Packaging/Machinery-Konferenzen. Im Konservativ-Szenario kein Aufschlag.</t>
        </is>
      </c>
    </row>
    <row r="39" ht="80" customHeight="1" s="83">
      <c r="A39" s="95" t="inlineStr">
        <is>
          <t>Inputs B122</t>
        </is>
      </c>
      <c r="B39" s="96" t="inlineStr">
        <is>
          <t>Paid Ads Initial</t>
        </is>
      </c>
      <c r="C39" s="97" t="inlineStr">
        <is>
          <t>500 EUR/Monat</t>
        </is>
      </c>
      <c r="D39" s="93" t="inlineStr">
        <is>
          <t>300 EUR/Monat</t>
        </is>
      </c>
      <c r="E39" s="98" t="inlineStr">
        <is>
          <t>Geringeres Ads-Budget in der Validierungsphase. B2B-Manufacturing kauft nicht über Ads.</t>
        </is>
      </c>
    </row>
    <row r="40" ht="80" customHeight="1" s="83">
      <c r="A40" s="90" t="inlineStr">
        <is>
          <t>Inputs B127</t>
        </is>
      </c>
      <c r="B40" s="91" t="inlineStr">
        <is>
          <t>Sales-Provision</t>
        </is>
      </c>
      <c r="C40" s="92" t="inlineStr">
        <is>
          <t>10%</t>
        </is>
      </c>
      <c r="D40" s="93" t="inlineStr">
        <is>
          <t>8%</t>
        </is>
      </c>
      <c r="E40" s="94" t="inlineStr">
        <is>
          <t>Etwas geringere Provision, da weniger aggressives Sales-Ziel.</t>
        </is>
      </c>
    </row>
    <row r="41" ht="60" customHeight="1" s="83">
      <c r="A41" s="99" t="inlineStr">
        <is>
          <t>→ Auswirkung</t>
        </is>
      </c>
      <c r="B41" s="100" t="inlineStr">
        <is>
          <t>Total Marketing-Spend M1-M52: ~30-40% geringer als Aggressiv. GTM über Konferenzen (primary), Content (sekundär), POCs (Conversion).</t>
        </is>
      </c>
    </row>
    <row r="43" ht="20" customHeight="1" s="83">
      <c r="A43" s="101" t="inlineStr">
        <is>
          <t>VERGLEICH: KONSERVATIV vs. AGGRESSIV</t>
        </is>
      </c>
    </row>
    <row r="44" ht="300" customHeight="1" s="83">
      <c r="A44" s="102" t="inlineStr">
        <is>
          <t xml:space="preserve">
╔══════════════════════════════════════════════════════════════════════╗
║         HAUPTUNTERSCHIEDE: KONSERVATIV vs. AGGRESSIV                ║
╠══════════════════════════════════════════════════════════════════════╣
║  Parameter          │ Konservativ  │ Aggressiv    │ Quelle          ║
╠══════════════════════════════════════════════════════════════════════╣
║  Preis/Seat/Monat   │ 200 EUR      │ 500 EUR      │ PDF benchmark   ║
║  Preis/Seat/Jahr    │ 2.400 EUR    │ 6.000 EUR    │ ×12             ║
║  First Revenue Mon. │ 17           │ 9            │ PDF + Anpassung ║
║  Initiale Seats     │ 3            │ 5            │ PDF avg         ║
║  Seat-Wachstum/Mo.  │ 3%           │ 8%           │ Scenario        ║
║  Enterprise ab Mon. │ 30           │ 18           │ Scenario        ║
║  Enterprise ARR     │ 25.000 EUR   │ 50.000 EUR   │ Scenario        ║
║  Deals/Quartal      │ 1            │ 2            │ Scenario        ║
║  Churn Rate/Jahr    │ 15%          │ 6%           │ PDF adoption    ║
║  NRR                │ 105%         │ 125%         │ Scenario        ║
║  Pre-Seed           │ 1,5M EUR     │ 2,0M EUR     │ PDF range       ║
║  Seed               │ 4,0M EUR     │ 6,0M EUR     │ PDF range       ║
║  Series A           │ 10M EUR      │ 20M EUR      │ Scenario        ║
║  Headcount M52      │ ~18-22       │ ~10-14       │ KI-Hebel-Effekt ║
║  Events/Jahr        │ 25.000 EUR   │ 50.000 EUR   │ PDF + ×2        ║
║  KI-Personal-Hebel  │ 0 Monate     │ 99 Monate    │ Maximaler Effekt║
║  ARR-Schätzung M24  │ 200-400K     │ 600K-1,2M    │ Modellschätzung ║
║  ARR-Schätzung M52  │ 500K-1M      │ 5-10M        │ Modellschätzung ║
╚══════════════════════════════════════════════════════════════════════╝
</t>
        </is>
      </c>
    </row>
    <row r="46" ht="20" customHeight="1" s="83">
      <c r="A46" s="103" t="inlineStr">
        <is>
          <t>OFFENE PUNKTE (aus PDF Decision Register Part G)</t>
        </is>
      </c>
    </row>
    <row r="47" ht="180" customHeight="1" s="83">
      <c r="A47" s="104" t="inlineStr">
        <is>
          <t xml:space="preserve">
OFFENE PUNKTE AUS DEM PDF (Decision Register Part G):
─────────────────────────────────────────────────────
G1.1 HIGH: Timeline-Varianten konsolidieren (Sept 2026 vs. April-Start)
G1.3 HIGH: First-Paying-Customer-Timing final festlegen (kritischste Variable)
G1.4 MED:  Deployment-Standard (Cloud/On-Prem/Hybrid) → beeinflusst Kostenstruktur
G1.7 MED:  KI-Rollensubstitution quantifizieren (direkt auf Personalkosten)
G2.2 HIGH: Conversion-Rate-Annahmen per Kanal definieren
G2.3 HIGH: Customer-Success-Skalierungsmodell planen (identifizierter Engpass)
G3.1 HIGH: Kausale CO₂-Wirkungskette präzise definieren
G3.3 HIGH: Baseline für CO₂-Berechnungen festlegen
</t>
        </is>
      </c>
    </row>
  </sheetData>
  <mergeCells count="26">
    <mergeCell ref="A35"/>
    <mergeCell ref="B30:E30"/>
    <mergeCell ref="A1:E1"/>
    <mergeCell ref="B41:E41"/>
    <mergeCell ref="B35:E35"/>
    <mergeCell ref="A30"/>
    <mergeCell ref="A25:E25"/>
    <mergeCell ref="A37:E37"/>
    <mergeCell ref="A46:E46"/>
    <mergeCell ref="A11"/>
    <mergeCell ref="B18:E18"/>
    <mergeCell ref="A2:E2"/>
    <mergeCell ref="A47:E47"/>
    <mergeCell ref="A5:E5"/>
    <mergeCell ref="B11:E11"/>
    <mergeCell ref="A32:E32"/>
    <mergeCell ref="A8:E8"/>
    <mergeCell ref="A41"/>
    <mergeCell ref="B23:E23"/>
    <mergeCell ref="A4:E4"/>
    <mergeCell ref="A18"/>
    <mergeCell ref="A20:E20"/>
    <mergeCell ref="A43:E43"/>
    <mergeCell ref="A13:E13"/>
    <mergeCell ref="A44:E44"/>
    <mergeCell ref="A2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6" customWidth="1" style="83" min="1" max="1"/>
    <col width="28" customWidth="1" style="83" min="2" max="2"/>
    <col width="25" customWidth="1" style="83" min="3" max="3"/>
    <col width="35" customWidth="1" style="83" min="4" max="4"/>
    <col width="14" customWidth="1" style="83" min="5" max="5"/>
    <col width="40" customWidth="1" style="83" min="6" max="6"/>
  </cols>
  <sheetData>
    <row r="1" ht="28" customHeight="1" s="83">
      <c r="A1" s="177" t="inlineStr">
        <is>
          <t>LFL – Entwicklungs-Roadmap: Neue Treiber aus Treiber-Matrix (noch nicht modelliert)</t>
        </is>
      </c>
    </row>
    <row r="2" ht="22" customHeight="1" s="83">
      <c r="A2" s="145" t="inlineStr">
        <is>
          <t>Kategorie</t>
        </is>
      </c>
      <c r="B2" s="145" t="inlineStr">
        <is>
          <t>Parameter / Treiber</t>
        </is>
      </c>
      <c r="C2" s="145" t="inlineStr">
        <is>
          <t>Mögliche Werte (G/N/S)</t>
        </is>
      </c>
      <c r="D2" s="145" t="inlineStr">
        <is>
          <t>Auswirkung</t>
        </is>
      </c>
      <c r="E2" s="145" t="inlineStr">
        <is>
          <t>Priorität</t>
        </is>
      </c>
      <c r="F2" s="145" t="inlineStr">
        <is>
          <t>Nächster Schritt</t>
        </is>
      </c>
    </row>
    <row r="3" ht="50" customHeight="1" s="83">
      <c r="A3" s="166" t="inlineStr">
        <is>
          <t>SaaS-Pricing</t>
        </is>
      </c>
      <c r="B3" s="166" t="inlineStr">
        <is>
          <t>Produkt-Tiers (Basic/Pro/Enterprise)</t>
        </is>
      </c>
      <c r="C3" s="166" t="inlineStr">
        <is>
          <t>Basic ~5K€/J | Pro ~12K€/J | Ent ~25K€/J</t>
        </is>
      </c>
      <c r="D3" s="166" t="inlineStr">
        <is>
          <t>Höhere Preisflexibilität, bessere Marktabdeckung → ARR ↑</t>
        </is>
      </c>
      <c r="E3" s="178" t="inlineStr">
        <is>
          <t>P1 HOCH</t>
        </is>
      </c>
      <c r="F3" s="166" t="inlineStr">
        <is>
          <t>Seat-Preis in Sandbox durch Tier-Verteilung ersetzen</t>
        </is>
      </c>
    </row>
    <row r="4" ht="50" customHeight="1" s="83">
      <c r="A4" s="179" t="inlineStr">
        <is>
          <t>SaaS-Umsatz</t>
        </is>
      </c>
      <c r="B4" s="179" t="inlineStr">
        <is>
          <t>NRR-Varianten (bereits integriert!)</t>
        </is>
      </c>
      <c r="C4" s="179" t="inlineStr">
        <is>
          <t>Gering=105% | Normal=115% | Stark=130%</t>
        </is>
      </c>
      <c r="D4" s="179" t="inlineStr">
        <is>
          <t>✓ In v6 implementiert — Sandbox Z.13 / Szenarien Z.9</t>
        </is>
      </c>
      <c r="E4" s="180" t="inlineStr">
        <is>
          <t>✓ ERLEDIGT</t>
        </is>
      </c>
      <c r="F4" s="179" t="inlineStr">
        <is>
          <t>—</t>
        </is>
      </c>
    </row>
    <row r="5" ht="50" customHeight="1" s="83">
      <c r="A5" s="166" t="inlineStr">
        <is>
          <t>SaaS-Umsatz</t>
        </is>
      </c>
      <c r="B5" s="166" t="inlineStr">
        <is>
          <t>Churn-Varianten (bereits integriert!)</t>
        </is>
      </c>
      <c r="C5" s="166" t="inlineStr">
        <is>
          <t>Gering=10% | Normal=6% | Stark=3%</t>
        </is>
      </c>
      <c r="D5" s="166" t="inlineStr">
        <is>
          <t>✓ In v6 implementiert — Sandbox Z.14 / Szenarien Z.10</t>
        </is>
      </c>
      <c r="E5" s="180" t="inlineStr">
        <is>
          <t>✓ ERLEDIGT</t>
        </is>
      </c>
      <c r="F5" s="166" t="inlineStr">
        <is>
          <t>—</t>
        </is>
      </c>
    </row>
    <row r="6" ht="50" customHeight="1" s="83">
      <c r="A6" s="179" t="inlineStr">
        <is>
          <t>Marktexpansion</t>
        </is>
      </c>
      <c r="B6" s="179" t="inlineStr">
        <is>
          <t>Internationalisierung</t>
        </is>
      </c>
      <c r="C6" s="179" t="inlineStr">
        <is>
          <t>Keine | EU Y2 | US Y3</t>
        </is>
      </c>
      <c r="D6" s="179" t="inlineStr">
        <is>
          <t>Multiplikator auf Kundenwachstum ab definiertem Monat → ARR ↑↑</t>
        </is>
      </c>
      <c r="E6" s="181" t="inlineStr">
        <is>
          <t>P2 MITTEL</t>
        </is>
      </c>
      <c r="F6" s="179" t="inlineStr">
        <is>
          <t>Revenue: Multiplikator-Zeile ab Monat X; Inputs: Expansion-Startmonat</t>
        </is>
      </c>
    </row>
    <row r="7" ht="50" customHeight="1" s="83">
      <c r="A7" s="166" t="inlineStr">
        <is>
          <t>Personal</t>
        </is>
      </c>
      <c r="B7" s="166" t="inlineStr">
        <is>
          <t>Gehaltsniveau-Faktor</t>
        </is>
      </c>
      <c r="C7" s="166" t="inlineStr">
        <is>
          <t>85% | 100% | 115% des Markts</t>
        </is>
      </c>
      <c r="D7" s="166" t="inlineStr">
        <is>
          <t>Direkter Hebel auf gesamte Personalkostenbasis → EBITDA ±</t>
        </is>
      </c>
      <c r="E7" s="181" t="inlineStr">
        <is>
          <t>P2 MITTEL</t>
        </is>
      </c>
      <c r="F7" s="166" t="inlineStr">
        <is>
          <t>Inputs: Faktor auf alle Gehälter in Einstellungsplan</t>
        </is>
      </c>
    </row>
    <row r="8" ht="50" customHeight="1" s="83">
      <c r="A8" s="179" t="inlineStr">
        <is>
          <t>Büro/Facilities</t>
        </is>
      </c>
      <c r="B8" s="179" t="inlineStr">
        <is>
          <t>Remote-Work-Strategie</t>
        </is>
      </c>
      <c r="C8" s="179" t="inlineStr">
        <is>
          <t>Office-First | Hybrid | Full-Remote</t>
        </is>
      </c>
      <c r="D8" s="179" t="inlineStr">
        <is>
          <t>Büromiete 0–4.500€/Monat → Burn Rate ↓ bei Remote</t>
        </is>
      </c>
      <c r="E8" s="182" t="inlineStr">
        <is>
          <t>P3 NIEDRIG</t>
        </is>
      </c>
      <c r="F8" s="179" t="inlineStr">
        <is>
          <t>Inputs: Büromiete durch Strategie-Faktor (0/0.5/1.0) steuern</t>
        </is>
      </c>
    </row>
    <row r="9" ht="50" customHeight="1" s="83">
      <c r="A9" s="166" t="inlineStr">
        <is>
          <t>Technologie</t>
        </is>
      </c>
      <c r="B9" s="166" t="inlineStr">
        <is>
          <t>Technologie-Stack-Strategie</t>
        </is>
      </c>
      <c r="C9" s="166" t="inlineStr">
        <is>
          <t>Open-Source -40% | Proprietär | Multi-Provider +15%</t>
        </is>
      </c>
      <c r="D9" s="166" t="inlineStr">
        <is>
          <t>AI/ML-API-Kosten direkt → COGS Margin ±</t>
        </is>
      </c>
      <c r="E9" s="181" t="inlineStr">
        <is>
          <t>P2 MITTEL</t>
        </is>
      </c>
      <c r="F9" s="166" t="inlineStr">
        <is>
          <t>Sandbox: Stack-Faktor auf AI/ML APIs Basis</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2026-03-04T23:13:35Z</dcterms:created>
  <dcterms:modified xsi:type="dcterms:W3CDTF">2026-03-06T20:20:12Z</dcterms:modified>
</cp:coreProperties>
</file>