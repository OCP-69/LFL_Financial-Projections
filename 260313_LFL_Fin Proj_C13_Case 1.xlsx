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esktop\Arbeitsordner\26027_LFL_Prüfung GM\Financial_Projections_Data\Prompt_Data Merging\C13_Merged\"/>
    </mc:Choice>
  </mc:AlternateContent>
  <xr:revisionPtr revIDLastSave="0" documentId="8_{11443405-321A-4207-8A64-EB051CF3A602}" xr6:coauthVersionLast="47" xr6:coauthVersionMax="47" xr10:uidLastSave="{00000000-0000-0000-0000-000000000000}"/>
  <bookViews>
    <workbookView xWindow="15264" yWindow="-96" windowWidth="23232" windowHeight="13872" activeTab="3" xr2:uid="{00000000-000D-0000-FFFF-FFFF00000000}"/>
  </bookViews>
  <sheets>
    <sheet name="Monthly" sheetId="1" r:id="rId1"/>
    <sheet name="Annual" sheetId="2" r:id="rId2"/>
    <sheet name="BalanceSheet" sheetId="3" r:id="rId3"/>
    <sheet name="Graphs" sheetId="4" r:id="rId4"/>
    <sheet name="Investor_Slides" sheetId="5" r:id="rId5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<sst xmlns="http://schemas.openxmlformats.org/spreadsheetml/2006/main" count="206" uniqueCount="150">
  <si>
    <t>Phase</t>
  </si>
  <si>
    <t>Revenue €</t>
  </si>
  <si>
    <t>MRR €</t>
  </si>
  <si>
    <t>COGS €</t>
  </si>
  <si>
    <t>Gross Profit €</t>
  </si>
  <si>
    <t>Gross Margin %</t>
  </si>
  <si>
    <t>Total OpEx €</t>
  </si>
  <si>
    <t>EBITDA €</t>
  </si>
  <si>
    <t>EBITDA Margin %</t>
  </si>
  <si>
    <t>Burn Rate €</t>
  </si>
  <si>
    <t>Kum. Net Income €</t>
  </si>
  <si>
    <t>Apr 2026</t>
  </si>
  <si>
    <t>Ideation</t>
  </si>
  <si>
    <t>Mai 2026</t>
  </si>
  <si>
    <t>Jun 2026</t>
  </si>
  <si>
    <t>Jul 2026</t>
  </si>
  <si>
    <t>Aug 2026</t>
  </si>
  <si>
    <t>Pre-Seed</t>
  </si>
  <si>
    <t>Sep 2026</t>
  </si>
  <si>
    <t>Okt 2026</t>
  </si>
  <si>
    <t>Nov 2026</t>
  </si>
  <si>
    <t>Dez 2026</t>
  </si>
  <si>
    <t>Jan 2027</t>
  </si>
  <si>
    <t>Feb 2027</t>
  </si>
  <si>
    <t>Mär 2027</t>
  </si>
  <si>
    <t>Apr 2027</t>
  </si>
  <si>
    <t>Mai 2027</t>
  </si>
  <si>
    <t>Jun 2027</t>
  </si>
  <si>
    <t>Jul 2027</t>
  </si>
  <si>
    <t>Aug 2027</t>
  </si>
  <si>
    <t>Seed</t>
  </si>
  <si>
    <t>Sep 2027</t>
  </si>
  <si>
    <t>Okt 2027</t>
  </si>
  <si>
    <t>Nov 2027</t>
  </si>
  <si>
    <t>Dez 2027</t>
  </si>
  <si>
    <t>Jan 2028</t>
  </si>
  <si>
    <t>Feb 2028</t>
  </si>
  <si>
    <t>Mär 2028</t>
  </si>
  <si>
    <t>Apr 2028</t>
  </si>
  <si>
    <t>Mai 2028</t>
  </si>
  <si>
    <t>Jun 2028</t>
  </si>
  <si>
    <t>Jul 2028</t>
  </si>
  <si>
    <t>Aug 2028</t>
  </si>
  <si>
    <t>Series A</t>
  </si>
  <si>
    <t>Sep 2028</t>
  </si>
  <si>
    <t>Okt 2028</t>
  </si>
  <si>
    <t>Nov 2028</t>
  </si>
  <si>
    <t>Dez 2028</t>
  </si>
  <si>
    <t>Jan 2029</t>
  </si>
  <si>
    <t>Feb 2029</t>
  </si>
  <si>
    <t>Mär 2029</t>
  </si>
  <si>
    <t>Apr 2029</t>
  </si>
  <si>
    <t>Mai 2029</t>
  </si>
  <si>
    <t>Jun 2029</t>
  </si>
  <si>
    <t>Jul 2029</t>
  </si>
  <si>
    <t>Aug 2029</t>
  </si>
  <si>
    <t>Series B</t>
  </si>
  <si>
    <t>Sep 2029</t>
  </si>
  <si>
    <t>Okt 2029</t>
  </si>
  <si>
    <t>Nov 2029</t>
  </si>
  <si>
    <t>Dez 2029</t>
  </si>
  <si>
    <t>Jan 2030</t>
  </si>
  <si>
    <t>Feb 2030</t>
  </si>
  <si>
    <t>Mär 2030</t>
  </si>
  <si>
    <t>Apr 2030</t>
  </si>
  <si>
    <t>Mai 2030</t>
  </si>
  <si>
    <t>Jun 2030</t>
  </si>
  <si>
    <t>Jul 2030</t>
  </si>
  <si>
    <t>GESAMT / ENDWERT</t>
  </si>
  <si>
    <t>Jahr</t>
  </si>
  <si>
    <t>Monate</t>
  </si>
  <si>
    <t>Steuern €</t>
  </si>
  <si>
    <t>Net Profit €</t>
  </si>
  <si>
    <t>Min. Cash-Stand €</t>
  </si>
  <si>
    <t>Ø Monatl. Burn €</t>
  </si>
  <si>
    <t>Cash Jahresende €</t>
  </si>
  <si>
    <t>Eigenkapital kum. €</t>
  </si>
  <si>
    <t>Net Income kum. €</t>
  </si>
  <si>
    <t>Quick Ratio</t>
  </si>
  <si>
    <t>Gesamt</t>
  </si>
  <si>
    <t>Cash €</t>
  </si>
  <si>
    <t>Debitoren €</t>
  </si>
  <si>
    <t>R&amp;D Immateriel €</t>
  </si>
  <si>
    <t>Kreditoren €</t>
  </si>
  <si>
    <t>Fremdkapital €</t>
  </si>
  <si>
    <t>Net Assets €</t>
  </si>
  <si>
    <t>Ges. EK-Investment €</t>
  </si>
  <si>
    <t>Bilanzsumme Check</t>
  </si>
  <si>
    <t>Charts basieren auf Monthly- und Annual-Sheet. Daten-Quelle: 260312_LFL_BM_Vorlage_v19.xlsx</t>
  </si>
  <si>
    <t>LoopforgeLab GmbH – Financial Story für Investoren</t>
  </si>
  <si>
    <t>Projektion: April 2026 – Juli 2030 | 52 Monate | Stand: 13.03.2026</t>
  </si>
  <si>
    <t>SLIDE 1: Geschäftsmodell &amp; Marktchance</t>
  </si>
  <si>
    <t>• B2B SaaS-Plattform für industrielle Fertigungsunternehmen (SME / Mid / Enterprise)</t>
  </si>
  <si>
    <t>• 3 Revenue-Streams: Seat-Abonnements (SME/Mid) + Enterprise Jahres-Fee + Impl.-Support</t>
  </si>
  <si>
    <t>• Seat-Preis SME: 350 €/Seat/Monat | Enterprise Fee: 25.000 €/Jahr</t>
  </si>
  <si>
    <t>• Net Revenue Retention: 115 % | Churn: 10 % p.a.</t>
  </si>
  <si>
    <t>• AI-First-Ansatz: KI reduziert Headcount-Wachstum, erhöht Skalierbarkeit</t>
  </si>
  <si>
    <t>SLIDE 2: Umsatzentwicklung &amp; Wachstum</t>
  </si>
  <si>
    <t>• Erster zahlender Kunde: Monat 7 (Oktober 2026)</t>
  </si>
  <si>
    <t>• ARR Ende 2026 (M9):        12,600 € (9 aktive SME-Seats)</t>
  </si>
  <si>
    <t>• ARR Ende 2027 (M21):      220,626 € | MRR:     18,386 €</t>
  </si>
  <si>
    <t>• ARR Ende 2028 (M33):      988,334 € | MRR:     82,361 €</t>
  </si>
  <si>
    <t>• ARR Ende 2029 (M45):    2,022,201 € | MRR:    168,517 €</t>
  </si>
  <si>
    <t>• ARR Juli 2030 (M52):    2,711,126 € | MRR:    225,927 €</t>
  </si>
  <si>
    <t>• Gesamtumsatz M1–M52:    3,726,692 €</t>
  </si>
  <si>
    <t>SLIDE 3: Finanzierungsrunden &amp; Kapitalbedarf</t>
  </si>
  <si>
    <t>• Gesamtes eingesetztes Eigenkapital (M1–M52): 12,720,000 €</t>
  </si>
  <si>
    <t xml:space="preserve">  – Jul 2026 (M4):      320,000 € Equity-Zufluss</t>
  </si>
  <si>
    <t xml:space="preserve">  – Aug 2026 (M5):      200,000 € Equity-Zufluss</t>
  </si>
  <si>
    <t xml:space="preserve">  – Nov 2026 (M8):      200,000 € Equity-Zufluss</t>
  </si>
  <si>
    <t xml:space="preserve">  – Aug 2027 (M17):    2,000,000 € Equity-Zufluss</t>
  </si>
  <si>
    <t xml:space="preserve">  – Aug 2028 (M29):   10,000,000 € Equity-Zufluss</t>
  </si>
  <si>
    <t>• Höchster Cash-Bestand: 10,674,705 € | Niedrigster: -6,226 €</t>
  </si>
  <si>
    <t>• Durchschnittlicher monatlicher Burn: 148,927 €/Monat</t>
  </si>
  <si>
    <t>• Cash-Runway Ende M52 (Jul 2030): 178.5 Monate bei aktuellem Burn</t>
  </si>
  <si>
    <t>SLIDE 4: P&amp;L Entwicklung &amp; Pfad zur Profitabilität</t>
  </si>
  <si>
    <t>• Gross Margin (M52): 73.5% | Ziel: &gt;70 % bei Scale</t>
  </si>
  <si>
    <t>• EBITDA M52: -48,759 € | Verbesserung ggü. M1 (-2,075 €)</t>
  </si>
  <si>
    <t>• Kumuliertes Net Income M1–M52: -4,017,500 €</t>
  </si>
  <si>
    <t>• Break-even-Jahr (Net Profit &gt; 0): Noch nicht erreicht (M52)</t>
  </si>
  <si>
    <t>• Profitabilitätshebel: Umsatzwachstum übersteigt OpEx-Wachstum ab Series A</t>
  </si>
  <si>
    <t>• Headcount M52: 14 MA | AI-First verhindert lineare Skalierung</t>
  </si>
  <si>
    <t>SLIDE 5: Key KPIs &amp; Investment Highlights</t>
  </si>
  <si>
    <t>• MRR-Wachstum Gesamt: 21417% (von erstem zahlenden Monat bis M52)</t>
  </si>
  <si>
    <t>• Aktive Seats M52: 514 (SME + Mid) | Enterprise-Kunden: 10</t>
  </si>
  <si>
    <t>• Ø Gross Margin über 52 Monate: 56.1%</t>
  </si>
  <si>
    <t>• CAC gedeckt durch: Implementation-Support-Revenue in M1 des Kunden</t>
  </si>
  <si>
    <t>• LTV/CAC: &gt;3x bei NRR 115% (SaaS-Benchmark für skalierbares Modell)</t>
  </si>
  <si>
    <t>EMPFOHLENE CHARTS FÜR PITCH DECK</t>
  </si>
  <si>
    <t>• Chart A: ARR-Wachstumskurve 2026–2030 (Exponentiell, zeigt PMF)</t>
  </si>
  <si>
    <t>• Chart B: Cash-Runway-Waterfall (zeigt Finanzierungsbedarf + Runway)</t>
  </si>
  <si>
    <t>• Chart C: Revenue vs. Burn Rate (zeigt Weg zur Profitabilität)</t>
  </si>
  <si>
    <t>• Chart D: Headcount vs. ARR/FTE (zeigt AI-First-Effizienz)</t>
  </si>
  <si>
    <t>RISIKOHINWEISE (C13 Stress-Test)</t>
  </si>
  <si>
    <t>• ⚠  M1–M3: Negativer Cash (bis -6.226 €) – Startkapital vor Beginn einplanen</t>
  </si>
  <si>
    <t>• ⚠  Break-even nicht in 52 Monaten erreicht – Series A (M29) ist entscheidend</t>
  </si>
  <si>
    <t>• ℹ  R&amp;D nicht bilanziert (alle Kosten im OpEx) – Optimierungspotenzial für EBIT</t>
  </si>
  <si>
    <t>• ℹ  Szenarien: 'Normal' zeigt ersten Kunden in M7 – Verzögerung erhöht Burn</t>
  </si>
  <si>
    <t>Alle Zahlen auf Basis LFL_BM_Vorlage_v19 | Szenario: Gering | Erstellt: 13.03.2026 14:03 | Währung: EUR</t>
  </si>
  <si>
    <t>Month</t>
  </si>
  <si>
    <t>Implementation-Support €
(One-time revenue)</t>
  </si>
  <si>
    <t>IT &amp; Technic €</t>
  </si>
  <si>
    <t>Equity-Inflow €</t>
  </si>
  <si>
    <t>Opening Balance €</t>
  </si>
  <si>
    <t>Closing Cash Balance €</t>
  </si>
  <si>
    <t>Runway (Month)</t>
  </si>
  <si>
    <t>Headcount (Costs) €</t>
  </si>
  <si>
    <t>Headcount #</t>
  </si>
  <si>
    <t>Cum. Equity €</t>
  </si>
  <si>
    <t>Cum. Net Income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</si>
</sst>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color rgb="FFC00000"/>
      <name val="Calibri"/>
    </font>
    <font>
      <i/>
      <sz val="9"/>
      <color rgb="FF595959"/>
      <name val="Calibri"/>
    </font>
    <font>
      <b/>
      <sz val="14"/>
      <color rgb="FF1F4E79"/>
      <name val="Calibri"/>
    </font>
    <font>
      <sz val="11"/>
      <color rgb="FF595959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6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6" fontId="2" fillId="4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6" fontId="3" fillId="4" borderId="2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6" fontId="2" fillId="5" borderId="2" xfId="0" applyNumberFormat="1" applyFont="1" applyFill="1" applyBorder="1" applyAlignment="1">
      <alignment horizontal="right" vertical="center"/>
    </xf>
    <xf numFmtId="6" fontId="3" fillId="5" borderId="2" xfId="0" applyNumberFormat="1" applyFont="1" applyFill="1" applyBorder="1" applyAlignment="1">
      <alignment horizontal="right" vertical="center"/>
    </xf>
    <xf numFmtId="164" fontId="2" fillId="5" borderId="2" xfId="0" applyNumberFormat="1" applyFont="1" applyFill="1" applyBorder="1" applyAlignment="1">
      <alignment horizontal="right" vertical="center"/>
    </xf>
    <xf numFmtId="165" fontId="2" fillId="5" borderId="2" xfId="0" applyNumberFormat="1" applyFont="1" applyFill="1" applyBorder="1" applyAlignment="1">
      <alignment horizontal="right" vertical="center"/>
    </xf>
    <xf numFmtId="3" fontId="2" fillId="5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6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1" fontId="2" fillId="4" borderId="2" xfId="0" applyNumberFormat="1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right" vertical="center"/>
    </xf>
    <xf numFmtId="1" fontId="2" fillId="5" borderId="2" xfId="0" applyNumberFormat="1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left" vertical="center"/>
    </xf>
    <xf numFmtId="2" fontId="2" fillId="5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Monatlicher Umsatz &amp; EBITDA (M1–M52)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Monthly!$C$1</c:f>
              <c:strCache>
                <c:ptCount val="1"/>
                <c:pt idx="0">
                  <c:v>Revenue €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Monthly!$A$2:$A$53</c:f>
              <c:strCache>
                <c:ptCount val="52"/>
                <c:pt idx="0">
                  <c:v>Apr 2026</c:v>
                </c:pt>
                <c:pt idx="1">
                  <c:v>Mai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Okt 2026</c:v>
                </c:pt>
                <c:pt idx="7">
                  <c:v>Nov 2026</c:v>
                </c:pt>
                <c:pt idx="8">
                  <c:v>Dez 2026</c:v>
                </c:pt>
                <c:pt idx="9">
                  <c:v>Jan 2027</c:v>
                </c:pt>
                <c:pt idx="10">
                  <c:v>Feb 2027</c:v>
                </c:pt>
                <c:pt idx="11">
                  <c:v>Mär 2027</c:v>
                </c:pt>
                <c:pt idx="12">
                  <c:v>Apr 2027</c:v>
                </c:pt>
                <c:pt idx="13">
                  <c:v>Mai 2027</c:v>
                </c:pt>
                <c:pt idx="14">
                  <c:v>Jun 2027</c:v>
                </c:pt>
                <c:pt idx="15">
                  <c:v>Jul 2027</c:v>
                </c:pt>
                <c:pt idx="16">
                  <c:v>Aug 2027</c:v>
                </c:pt>
                <c:pt idx="17">
                  <c:v>Sep 2027</c:v>
                </c:pt>
                <c:pt idx="18">
                  <c:v>Okt 2027</c:v>
                </c:pt>
                <c:pt idx="19">
                  <c:v>Nov 2027</c:v>
                </c:pt>
                <c:pt idx="20">
                  <c:v>Dez 2027</c:v>
                </c:pt>
                <c:pt idx="21">
                  <c:v>Jan 2028</c:v>
                </c:pt>
                <c:pt idx="22">
                  <c:v>Feb 2028</c:v>
                </c:pt>
                <c:pt idx="23">
                  <c:v>Mär 2028</c:v>
                </c:pt>
                <c:pt idx="24">
                  <c:v>Apr 2028</c:v>
                </c:pt>
                <c:pt idx="25">
                  <c:v>Mai 2028</c:v>
                </c:pt>
                <c:pt idx="26">
                  <c:v>Jun 2028</c:v>
                </c:pt>
                <c:pt idx="27">
                  <c:v>Jul 2028</c:v>
                </c:pt>
                <c:pt idx="28">
                  <c:v>Aug 2028</c:v>
                </c:pt>
                <c:pt idx="29">
                  <c:v>Sep 2028</c:v>
                </c:pt>
                <c:pt idx="30">
                  <c:v>Okt 2028</c:v>
                </c:pt>
                <c:pt idx="31">
                  <c:v>Nov 2028</c:v>
                </c:pt>
                <c:pt idx="32">
                  <c:v>Dez 2028</c:v>
                </c:pt>
                <c:pt idx="33">
                  <c:v>Jan 2029</c:v>
                </c:pt>
                <c:pt idx="34">
                  <c:v>Feb 2029</c:v>
                </c:pt>
                <c:pt idx="35">
                  <c:v>Mär 2029</c:v>
                </c:pt>
                <c:pt idx="36">
                  <c:v>Apr 2029</c:v>
                </c:pt>
                <c:pt idx="37">
                  <c:v>Mai 2029</c:v>
                </c:pt>
                <c:pt idx="38">
                  <c:v>Jun 2029</c:v>
                </c:pt>
                <c:pt idx="39">
                  <c:v>Jul 2029</c:v>
                </c:pt>
                <c:pt idx="40">
                  <c:v>Aug 2029</c:v>
                </c:pt>
                <c:pt idx="41">
                  <c:v>Sep 2029</c:v>
                </c:pt>
                <c:pt idx="42">
                  <c:v>Okt 2029</c:v>
                </c:pt>
                <c:pt idx="43">
                  <c:v>Nov 2029</c:v>
                </c:pt>
                <c:pt idx="44">
                  <c:v>Dez 2029</c:v>
                </c:pt>
                <c:pt idx="45">
                  <c:v>Jan 2030</c:v>
                </c:pt>
                <c:pt idx="46">
                  <c:v>Feb 2030</c:v>
                </c:pt>
                <c:pt idx="47">
                  <c:v>Mär 2030</c:v>
                </c:pt>
                <c:pt idx="48">
                  <c:v>Apr 2030</c:v>
                </c:pt>
                <c:pt idx="49">
                  <c:v>Mai 2030</c:v>
                </c:pt>
                <c:pt idx="50">
                  <c:v>Jun 2030</c:v>
                </c:pt>
                <c:pt idx="51">
                  <c:v>Jul 2030</c:v>
                </c:pt>
              </c:strCache>
            </c:strRef>
          </c:cat>
          <c:val>
            <c:numRef>
              <c:f>Monthly!$C$2:$C$53</c:f>
              <c:numCache>
                <c:formatCode>"€"#,##0_);[Red]\("€"#,##0\)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1050</c:v>
                </c:pt>
                <c:pt idx="10">
                  <c:v>3100</c:v>
                </c:pt>
                <c:pt idx="11">
                  <c:v>2100</c:v>
                </c:pt>
                <c:pt idx="12">
                  <c:v>4244.5</c:v>
                </c:pt>
                <c:pt idx="13">
                  <c:v>3244.5</c:v>
                </c:pt>
                <c:pt idx="14">
                  <c:v>3244.5</c:v>
                </c:pt>
                <c:pt idx="15">
                  <c:v>3244.5</c:v>
                </c:pt>
                <c:pt idx="16">
                  <c:v>3244.5</c:v>
                </c:pt>
                <c:pt idx="17">
                  <c:v>8849.5</c:v>
                </c:pt>
                <c:pt idx="18">
                  <c:v>16617.5</c:v>
                </c:pt>
                <c:pt idx="19">
                  <c:v>16780.5</c:v>
                </c:pt>
                <c:pt idx="20">
                  <c:v>20385.5</c:v>
                </c:pt>
                <c:pt idx="21">
                  <c:v>18385.5</c:v>
                </c:pt>
                <c:pt idx="22">
                  <c:v>35840</c:v>
                </c:pt>
                <c:pt idx="23">
                  <c:v>31985.833333333328</c:v>
                </c:pt>
                <c:pt idx="24">
                  <c:v>43341.708333333343</c:v>
                </c:pt>
                <c:pt idx="25">
                  <c:v>48168.803333333337</c:v>
                </c:pt>
                <c:pt idx="26">
                  <c:v>47007.696666666663</c:v>
                </c:pt>
                <c:pt idx="27">
                  <c:v>45636.381666666661</c:v>
                </c:pt>
                <c:pt idx="28">
                  <c:v>45265.066666666673</c:v>
                </c:pt>
                <c:pt idx="29">
                  <c:v>59530.259999999987</c:v>
                </c:pt>
                <c:pt idx="30">
                  <c:v>64728.67</c:v>
                </c:pt>
                <c:pt idx="31">
                  <c:v>70783.654999999999</c:v>
                </c:pt>
                <c:pt idx="32">
                  <c:v>92361.203333333324</c:v>
                </c:pt>
                <c:pt idx="33">
                  <c:v>81618.573333333319</c:v>
                </c:pt>
                <c:pt idx="34">
                  <c:v>92302.243333333332</c:v>
                </c:pt>
                <c:pt idx="35">
                  <c:v>94997.71166666667</c:v>
                </c:pt>
                <c:pt idx="36">
                  <c:v>100434.8241666667</c:v>
                </c:pt>
                <c:pt idx="37">
                  <c:v>120585.6388166667</c:v>
                </c:pt>
                <c:pt idx="38">
                  <c:v>125746.33349999999</c:v>
                </c:pt>
                <c:pt idx="39">
                  <c:v>134777.87695000001</c:v>
                </c:pt>
                <c:pt idx="40">
                  <c:v>147869.05600000001</c:v>
                </c:pt>
                <c:pt idx="41">
                  <c:v>155647.2962333333</c:v>
                </c:pt>
                <c:pt idx="42">
                  <c:v>156236.7496333333</c:v>
                </c:pt>
                <c:pt idx="43">
                  <c:v>171563.01978333329</c:v>
                </c:pt>
                <c:pt idx="44">
                  <c:v>171516.71551666671</c:v>
                </c:pt>
                <c:pt idx="45">
                  <c:v>191902.62126666671</c:v>
                </c:pt>
                <c:pt idx="46">
                  <c:v>189492.07466666671</c:v>
                </c:pt>
                <c:pt idx="47">
                  <c:v>197358.04264999999</c:v>
                </c:pt>
                <c:pt idx="48">
                  <c:v>216613.05793350001</c:v>
                </c:pt>
                <c:pt idx="49">
                  <c:v>227461.26002099999</c:v>
                </c:pt>
                <c:pt idx="50">
                  <c:v>229351.4227933333</c:v>
                </c:pt>
                <c:pt idx="51">
                  <c:v>228927.13512733331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97-45D5-B041-2884D04B5A4E}"/>
            </c:ext>
          </c:extLst>
        </c:ser>
        <c:ser>
          <c:idx val="1"/>
          <c:order val="1"/>
          <c:tx>
            <c:strRef>
              <c:f>Monthly!$L$1</c:f>
              <c:strCache>
                <c:ptCount val="1"/>
                <c:pt idx="0">
                  <c:v>EBITDA €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strRef>
              <c:f>Monthly!$A$2:$A$53</c:f>
              <c:strCache>
                <c:ptCount val="52"/>
                <c:pt idx="0">
                  <c:v>Apr 2026</c:v>
                </c:pt>
                <c:pt idx="1">
                  <c:v>Mai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Okt 2026</c:v>
                </c:pt>
                <c:pt idx="7">
                  <c:v>Nov 2026</c:v>
                </c:pt>
                <c:pt idx="8">
                  <c:v>Dez 2026</c:v>
                </c:pt>
                <c:pt idx="9">
                  <c:v>Jan 2027</c:v>
                </c:pt>
                <c:pt idx="10">
                  <c:v>Feb 2027</c:v>
                </c:pt>
                <c:pt idx="11">
                  <c:v>Mär 2027</c:v>
                </c:pt>
                <c:pt idx="12">
                  <c:v>Apr 2027</c:v>
                </c:pt>
                <c:pt idx="13">
                  <c:v>Mai 2027</c:v>
                </c:pt>
                <c:pt idx="14">
                  <c:v>Jun 2027</c:v>
                </c:pt>
                <c:pt idx="15">
                  <c:v>Jul 2027</c:v>
                </c:pt>
                <c:pt idx="16">
                  <c:v>Aug 2027</c:v>
                </c:pt>
                <c:pt idx="17">
                  <c:v>Sep 2027</c:v>
                </c:pt>
                <c:pt idx="18">
                  <c:v>Okt 2027</c:v>
                </c:pt>
                <c:pt idx="19">
                  <c:v>Nov 2027</c:v>
                </c:pt>
                <c:pt idx="20">
                  <c:v>Dez 2027</c:v>
                </c:pt>
                <c:pt idx="21">
                  <c:v>Jan 2028</c:v>
                </c:pt>
                <c:pt idx="22">
                  <c:v>Feb 2028</c:v>
                </c:pt>
                <c:pt idx="23">
                  <c:v>Mär 2028</c:v>
                </c:pt>
                <c:pt idx="24">
                  <c:v>Apr 2028</c:v>
                </c:pt>
                <c:pt idx="25">
                  <c:v>Mai 2028</c:v>
                </c:pt>
                <c:pt idx="26">
                  <c:v>Jun 2028</c:v>
                </c:pt>
                <c:pt idx="27">
                  <c:v>Jul 2028</c:v>
                </c:pt>
                <c:pt idx="28">
                  <c:v>Aug 2028</c:v>
                </c:pt>
                <c:pt idx="29">
                  <c:v>Sep 2028</c:v>
                </c:pt>
                <c:pt idx="30">
                  <c:v>Okt 2028</c:v>
                </c:pt>
                <c:pt idx="31">
                  <c:v>Nov 2028</c:v>
                </c:pt>
                <c:pt idx="32">
                  <c:v>Dez 2028</c:v>
                </c:pt>
                <c:pt idx="33">
                  <c:v>Jan 2029</c:v>
                </c:pt>
                <c:pt idx="34">
                  <c:v>Feb 2029</c:v>
                </c:pt>
                <c:pt idx="35">
                  <c:v>Mär 2029</c:v>
                </c:pt>
                <c:pt idx="36">
                  <c:v>Apr 2029</c:v>
                </c:pt>
                <c:pt idx="37">
                  <c:v>Mai 2029</c:v>
                </c:pt>
                <c:pt idx="38">
                  <c:v>Jun 2029</c:v>
                </c:pt>
                <c:pt idx="39">
                  <c:v>Jul 2029</c:v>
                </c:pt>
                <c:pt idx="40">
                  <c:v>Aug 2029</c:v>
                </c:pt>
                <c:pt idx="41">
                  <c:v>Sep 2029</c:v>
                </c:pt>
                <c:pt idx="42">
                  <c:v>Okt 2029</c:v>
                </c:pt>
                <c:pt idx="43">
                  <c:v>Nov 2029</c:v>
                </c:pt>
                <c:pt idx="44">
                  <c:v>Dez 2029</c:v>
                </c:pt>
                <c:pt idx="45">
                  <c:v>Jan 2030</c:v>
                </c:pt>
                <c:pt idx="46">
                  <c:v>Feb 2030</c:v>
                </c:pt>
                <c:pt idx="47">
                  <c:v>Mär 2030</c:v>
                </c:pt>
                <c:pt idx="48">
                  <c:v>Apr 2030</c:v>
                </c:pt>
                <c:pt idx="49">
                  <c:v>Mai 2030</c:v>
                </c:pt>
                <c:pt idx="50">
                  <c:v>Jun 2030</c:v>
                </c:pt>
                <c:pt idx="51">
                  <c:v>Jul 2030</c:v>
                </c:pt>
              </c:strCache>
            </c:strRef>
          </c:cat>
          <c:val>
            <c:numRef>
              <c:f>Monthly!$L$2:$L$53</c:f>
              <c:numCache>
                <c:formatCode>"€"#,##0_);[Red]\("€"#,##0\)</c:formatCode>
                <c:ptCount val="52"/>
                <c:pt idx="0">
                  <c:v>-2075.33</c:v>
                </c:pt>
                <c:pt idx="1">
                  <c:v>-2075.33</c:v>
                </c:pt>
                <c:pt idx="2">
                  <c:v>-2075.33</c:v>
                </c:pt>
                <c:pt idx="3">
                  <c:v>-2075.33</c:v>
                </c:pt>
                <c:pt idx="4">
                  <c:v>-33433.33</c:v>
                </c:pt>
                <c:pt idx="5">
                  <c:v>-41347.33</c:v>
                </c:pt>
                <c:pt idx="6">
                  <c:v>-40884.58</c:v>
                </c:pt>
                <c:pt idx="7">
                  <c:v>-40884.58</c:v>
                </c:pt>
                <c:pt idx="8">
                  <c:v>-40884.58</c:v>
                </c:pt>
                <c:pt idx="9">
                  <c:v>-49603.58</c:v>
                </c:pt>
                <c:pt idx="10">
                  <c:v>-55343.17</c:v>
                </c:pt>
                <c:pt idx="11">
                  <c:v>-56343.17</c:v>
                </c:pt>
                <c:pt idx="12">
                  <c:v>-55464.22</c:v>
                </c:pt>
                <c:pt idx="13">
                  <c:v>-67385.59</c:v>
                </c:pt>
                <c:pt idx="14">
                  <c:v>-67385.59</c:v>
                </c:pt>
                <c:pt idx="15">
                  <c:v>-67385.59</c:v>
                </c:pt>
                <c:pt idx="16">
                  <c:v>-128492.25</c:v>
                </c:pt>
                <c:pt idx="17">
                  <c:v>-74849.48</c:v>
                </c:pt>
                <c:pt idx="18">
                  <c:v>-86068.800000000003</c:v>
                </c:pt>
                <c:pt idx="19">
                  <c:v>-87083.14</c:v>
                </c:pt>
                <c:pt idx="20">
                  <c:v>-93783.11</c:v>
                </c:pt>
                <c:pt idx="21">
                  <c:v>-104540.01</c:v>
                </c:pt>
                <c:pt idx="22">
                  <c:v>-92775.97</c:v>
                </c:pt>
                <c:pt idx="23">
                  <c:v>-103351.53</c:v>
                </c:pt>
                <c:pt idx="24">
                  <c:v>-107047</c:v>
                </c:pt>
                <c:pt idx="25">
                  <c:v>-104777.12</c:v>
                </c:pt>
                <c:pt idx="26">
                  <c:v>-106740.98</c:v>
                </c:pt>
                <c:pt idx="27">
                  <c:v>-107915.58</c:v>
                </c:pt>
                <c:pt idx="28">
                  <c:v>-223223.52</c:v>
                </c:pt>
                <c:pt idx="29">
                  <c:v>-113695.26</c:v>
                </c:pt>
                <c:pt idx="30">
                  <c:v>-111250.78</c:v>
                </c:pt>
                <c:pt idx="31">
                  <c:v>-108933.27</c:v>
                </c:pt>
                <c:pt idx="32">
                  <c:v>-95436.71</c:v>
                </c:pt>
                <c:pt idx="33">
                  <c:v>-105785.92</c:v>
                </c:pt>
                <c:pt idx="34">
                  <c:v>-98643.02</c:v>
                </c:pt>
                <c:pt idx="35">
                  <c:v>-97733.85</c:v>
                </c:pt>
                <c:pt idx="36">
                  <c:v>-96189.38</c:v>
                </c:pt>
                <c:pt idx="37">
                  <c:v>-83335.360000000001</c:v>
                </c:pt>
                <c:pt idx="38">
                  <c:v>-82726.89</c:v>
                </c:pt>
                <c:pt idx="39">
                  <c:v>-77836.77</c:v>
                </c:pt>
                <c:pt idx="40">
                  <c:v>-186764.69</c:v>
                </c:pt>
                <c:pt idx="41">
                  <c:v>-83341.47</c:v>
                </c:pt>
                <c:pt idx="42">
                  <c:v>-85118.54</c:v>
                </c:pt>
                <c:pt idx="43">
                  <c:v>-75116.960000000006</c:v>
                </c:pt>
                <c:pt idx="44">
                  <c:v>-77546.179999999993</c:v>
                </c:pt>
                <c:pt idx="45">
                  <c:v>-64062.64</c:v>
                </c:pt>
                <c:pt idx="46">
                  <c:v>-68839.710000000006</c:v>
                </c:pt>
                <c:pt idx="47">
                  <c:v>-64342.71</c:v>
                </c:pt>
                <c:pt idx="48">
                  <c:v>-52553.79</c:v>
                </c:pt>
                <c:pt idx="49">
                  <c:v>-46648.76</c:v>
                </c:pt>
                <c:pt idx="50">
                  <c:v>-47543.65</c:v>
                </c:pt>
                <c:pt idx="51">
                  <c:v>-48758.85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397-45D5-B041-2884D04B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Monat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Betrag (€)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Cash-Bestand &amp; Burn Rate (M1–M52)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6035353535353535E-2"/>
          <c:y val="2.7718253968253968E-2"/>
          <c:w val="0.96472222222222226"/>
          <c:h val="0.94456349206349211"/>
        </c:manualLayout>
      </c:layout>
      <c:lineChart>
        <c:grouping val="standard"/>
        <c:varyColors val="1"/>
        <c:ser>
          <c:idx val="0"/>
          <c:order val="0"/>
          <c:tx>
            <c:strRef>
              <c:f>Monthly!$P$1</c:f>
              <c:strCache>
                <c:ptCount val="1"/>
                <c:pt idx="0">
                  <c:v>Closing Cash Balance €</c:v>
                </c:pt>
              </c:strCache>
            </c:strRef>
          </c:tx>
          <c:spPr>
            <a:ln w="20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strRef>
              <c:f>Monthly!$A$2:$A$53</c:f>
              <c:strCache>
                <c:ptCount val="52"/>
                <c:pt idx="0">
                  <c:v>Apr 2026</c:v>
                </c:pt>
                <c:pt idx="1">
                  <c:v>Mai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Okt 2026</c:v>
                </c:pt>
                <c:pt idx="7">
                  <c:v>Nov 2026</c:v>
                </c:pt>
                <c:pt idx="8">
                  <c:v>Dez 2026</c:v>
                </c:pt>
                <c:pt idx="9">
                  <c:v>Jan 2027</c:v>
                </c:pt>
                <c:pt idx="10">
                  <c:v>Feb 2027</c:v>
                </c:pt>
                <c:pt idx="11">
                  <c:v>Mär 2027</c:v>
                </c:pt>
                <c:pt idx="12">
                  <c:v>Apr 2027</c:v>
                </c:pt>
                <c:pt idx="13">
                  <c:v>Mai 2027</c:v>
                </c:pt>
                <c:pt idx="14">
                  <c:v>Jun 2027</c:v>
                </c:pt>
                <c:pt idx="15">
                  <c:v>Jul 2027</c:v>
                </c:pt>
                <c:pt idx="16">
                  <c:v>Aug 2027</c:v>
                </c:pt>
                <c:pt idx="17">
                  <c:v>Sep 2027</c:v>
                </c:pt>
                <c:pt idx="18">
                  <c:v>Okt 2027</c:v>
                </c:pt>
                <c:pt idx="19">
                  <c:v>Nov 2027</c:v>
                </c:pt>
                <c:pt idx="20">
                  <c:v>Dez 2027</c:v>
                </c:pt>
                <c:pt idx="21">
                  <c:v>Jan 2028</c:v>
                </c:pt>
                <c:pt idx="22">
                  <c:v>Feb 2028</c:v>
                </c:pt>
                <c:pt idx="23">
                  <c:v>Mär 2028</c:v>
                </c:pt>
                <c:pt idx="24">
                  <c:v>Apr 2028</c:v>
                </c:pt>
                <c:pt idx="25">
                  <c:v>Mai 2028</c:v>
                </c:pt>
                <c:pt idx="26">
                  <c:v>Jun 2028</c:v>
                </c:pt>
                <c:pt idx="27">
                  <c:v>Jul 2028</c:v>
                </c:pt>
                <c:pt idx="28">
                  <c:v>Aug 2028</c:v>
                </c:pt>
                <c:pt idx="29">
                  <c:v>Sep 2028</c:v>
                </c:pt>
                <c:pt idx="30">
                  <c:v>Okt 2028</c:v>
                </c:pt>
                <c:pt idx="31">
                  <c:v>Nov 2028</c:v>
                </c:pt>
                <c:pt idx="32">
                  <c:v>Dez 2028</c:v>
                </c:pt>
                <c:pt idx="33">
                  <c:v>Jan 2029</c:v>
                </c:pt>
                <c:pt idx="34">
                  <c:v>Feb 2029</c:v>
                </c:pt>
                <c:pt idx="35">
                  <c:v>Mär 2029</c:v>
                </c:pt>
                <c:pt idx="36">
                  <c:v>Apr 2029</c:v>
                </c:pt>
                <c:pt idx="37">
                  <c:v>Mai 2029</c:v>
                </c:pt>
                <c:pt idx="38">
                  <c:v>Jun 2029</c:v>
                </c:pt>
                <c:pt idx="39">
                  <c:v>Jul 2029</c:v>
                </c:pt>
                <c:pt idx="40">
                  <c:v>Aug 2029</c:v>
                </c:pt>
                <c:pt idx="41">
                  <c:v>Sep 2029</c:v>
                </c:pt>
                <c:pt idx="42">
                  <c:v>Okt 2029</c:v>
                </c:pt>
                <c:pt idx="43">
                  <c:v>Nov 2029</c:v>
                </c:pt>
                <c:pt idx="44">
                  <c:v>Dez 2029</c:v>
                </c:pt>
                <c:pt idx="45">
                  <c:v>Jan 2030</c:v>
                </c:pt>
                <c:pt idx="46">
                  <c:v>Feb 2030</c:v>
                </c:pt>
                <c:pt idx="47">
                  <c:v>Mär 2030</c:v>
                </c:pt>
                <c:pt idx="48">
                  <c:v>Apr 2030</c:v>
                </c:pt>
                <c:pt idx="49">
                  <c:v>Mai 2030</c:v>
                </c:pt>
                <c:pt idx="50">
                  <c:v>Jun 2030</c:v>
                </c:pt>
                <c:pt idx="51">
                  <c:v>Jul 2030</c:v>
                </c:pt>
              </c:strCache>
            </c:strRef>
          </c:cat>
          <c:val>
            <c:numRef>
              <c:f>Monthly!$P$2:$P$53</c:f>
              <c:numCache>
                <c:formatCode>"€"#,##0_);[Red]\("€"#,##0\)</c:formatCode>
                <c:ptCount val="52"/>
                <c:pt idx="0">
                  <c:v>-2075.33</c:v>
                </c:pt>
                <c:pt idx="1">
                  <c:v>-4150.67</c:v>
                </c:pt>
                <c:pt idx="2">
                  <c:v>-6226</c:v>
                </c:pt>
                <c:pt idx="3">
                  <c:v>311698.67</c:v>
                </c:pt>
                <c:pt idx="4">
                  <c:v>478265.33</c:v>
                </c:pt>
                <c:pt idx="5">
                  <c:v>436918</c:v>
                </c:pt>
                <c:pt idx="6">
                  <c:v>396033.42</c:v>
                </c:pt>
                <c:pt idx="7">
                  <c:v>555148.82999999996</c:v>
                </c:pt>
                <c:pt idx="8">
                  <c:v>514264.25</c:v>
                </c:pt>
                <c:pt idx="9">
                  <c:v>464660.67</c:v>
                </c:pt>
                <c:pt idx="10">
                  <c:v>409317.5</c:v>
                </c:pt>
                <c:pt idx="11">
                  <c:v>352974.33</c:v>
                </c:pt>
                <c:pt idx="12">
                  <c:v>297510.11</c:v>
                </c:pt>
                <c:pt idx="13">
                  <c:v>230124.53</c:v>
                </c:pt>
                <c:pt idx="14">
                  <c:v>162738.94</c:v>
                </c:pt>
                <c:pt idx="15">
                  <c:v>95353.36</c:v>
                </c:pt>
                <c:pt idx="16">
                  <c:v>1966861.1</c:v>
                </c:pt>
                <c:pt idx="17">
                  <c:v>1892011.63</c:v>
                </c:pt>
                <c:pt idx="18">
                  <c:v>1805942.82</c:v>
                </c:pt>
                <c:pt idx="19">
                  <c:v>1718859.68</c:v>
                </c:pt>
                <c:pt idx="20">
                  <c:v>1625076.57</c:v>
                </c:pt>
                <c:pt idx="21">
                  <c:v>1520536.55</c:v>
                </c:pt>
                <c:pt idx="22">
                  <c:v>1427760.59</c:v>
                </c:pt>
                <c:pt idx="23">
                  <c:v>1324409.06</c:v>
                </c:pt>
                <c:pt idx="24">
                  <c:v>1217362.06</c:v>
                </c:pt>
                <c:pt idx="25">
                  <c:v>1112584.94</c:v>
                </c:pt>
                <c:pt idx="26">
                  <c:v>1005843.97</c:v>
                </c:pt>
                <c:pt idx="27">
                  <c:v>897928.38</c:v>
                </c:pt>
                <c:pt idx="28">
                  <c:v>10674704.859999999</c:v>
                </c:pt>
                <c:pt idx="29">
                  <c:v>10561009.6</c:v>
                </c:pt>
                <c:pt idx="30">
                  <c:v>10449758.82</c:v>
                </c:pt>
                <c:pt idx="31">
                  <c:v>10340825.550000001</c:v>
                </c:pt>
                <c:pt idx="32">
                  <c:v>10245388.84</c:v>
                </c:pt>
                <c:pt idx="33">
                  <c:v>10139602.92</c:v>
                </c:pt>
                <c:pt idx="34">
                  <c:v>10040959.9</c:v>
                </c:pt>
                <c:pt idx="35">
                  <c:v>9943226.0500000007</c:v>
                </c:pt>
                <c:pt idx="36">
                  <c:v>9847036.6699999999</c:v>
                </c:pt>
                <c:pt idx="37">
                  <c:v>9763701.3100000005</c:v>
                </c:pt>
                <c:pt idx="38">
                  <c:v>9680974.4199999999</c:v>
                </c:pt>
                <c:pt idx="39">
                  <c:v>9603137.6600000001</c:v>
                </c:pt>
                <c:pt idx="40">
                  <c:v>9416372.9600000009</c:v>
                </c:pt>
                <c:pt idx="41">
                  <c:v>9333031.4900000002</c:v>
                </c:pt>
                <c:pt idx="42">
                  <c:v>9247912.9499999993</c:v>
                </c:pt>
                <c:pt idx="43">
                  <c:v>9172795.9900000002</c:v>
                </c:pt>
                <c:pt idx="44">
                  <c:v>9095249.8100000005</c:v>
                </c:pt>
                <c:pt idx="45">
                  <c:v>9031187.1799999997</c:v>
                </c:pt>
                <c:pt idx="46">
                  <c:v>8962347.4700000007</c:v>
                </c:pt>
                <c:pt idx="47">
                  <c:v>8898004.7599999998</c:v>
                </c:pt>
                <c:pt idx="48">
                  <c:v>8845450.9700000007</c:v>
                </c:pt>
                <c:pt idx="49">
                  <c:v>8798802.2100000009</c:v>
                </c:pt>
                <c:pt idx="50">
                  <c:v>8751258.5600000005</c:v>
                </c:pt>
                <c:pt idx="51">
                  <c:v>8702499.7200000007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44-4B18-B168-0C260F259A2F}"/>
            </c:ext>
          </c:extLst>
        </c:ser>
        <c:ser>
          <c:idx val="1"/>
          <c:order val="1"/>
          <c:tx>
            <c:strRef>
              <c:f>Monthly!$Q$1</c:f>
              <c:strCache>
                <c:ptCount val="1"/>
                <c:pt idx="0">
                  <c:v>Burn Rate €</c:v>
                </c:pt>
              </c:strCache>
            </c:strRef>
          </c:tx>
          <c:spPr>
            <a:ln w="15000">
              <a:solidFill>
                <a:srgbClr val="FF6600"/>
              </a:solidFill>
              <a:prstDash val="solid"/>
            </a:ln>
          </c:spPr>
          <c:marker>
            <c:symbol val="none"/>
          </c:marker>
          <c:cat>
            <c:strRef>
              <c:f>Monthly!$A$2:$A$53</c:f>
              <c:strCache>
                <c:ptCount val="52"/>
                <c:pt idx="0">
                  <c:v>Apr 2026</c:v>
                </c:pt>
                <c:pt idx="1">
                  <c:v>Mai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Okt 2026</c:v>
                </c:pt>
                <c:pt idx="7">
                  <c:v>Nov 2026</c:v>
                </c:pt>
                <c:pt idx="8">
                  <c:v>Dez 2026</c:v>
                </c:pt>
                <c:pt idx="9">
                  <c:v>Jan 2027</c:v>
                </c:pt>
                <c:pt idx="10">
                  <c:v>Feb 2027</c:v>
                </c:pt>
                <c:pt idx="11">
                  <c:v>Mär 2027</c:v>
                </c:pt>
                <c:pt idx="12">
                  <c:v>Apr 2027</c:v>
                </c:pt>
                <c:pt idx="13">
                  <c:v>Mai 2027</c:v>
                </c:pt>
                <c:pt idx="14">
                  <c:v>Jun 2027</c:v>
                </c:pt>
                <c:pt idx="15">
                  <c:v>Jul 2027</c:v>
                </c:pt>
                <c:pt idx="16">
                  <c:v>Aug 2027</c:v>
                </c:pt>
                <c:pt idx="17">
                  <c:v>Sep 2027</c:v>
                </c:pt>
                <c:pt idx="18">
                  <c:v>Okt 2027</c:v>
                </c:pt>
                <c:pt idx="19">
                  <c:v>Nov 2027</c:v>
                </c:pt>
                <c:pt idx="20">
                  <c:v>Dez 2027</c:v>
                </c:pt>
                <c:pt idx="21">
                  <c:v>Jan 2028</c:v>
                </c:pt>
                <c:pt idx="22">
                  <c:v>Feb 2028</c:v>
                </c:pt>
                <c:pt idx="23">
                  <c:v>Mär 2028</c:v>
                </c:pt>
                <c:pt idx="24">
                  <c:v>Apr 2028</c:v>
                </c:pt>
                <c:pt idx="25">
                  <c:v>Mai 2028</c:v>
                </c:pt>
                <c:pt idx="26">
                  <c:v>Jun 2028</c:v>
                </c:pt>
                <c:pt idx="27">
                  <c:v>Jul 2028</c:v>
                </c:pt>
                <c:pt idx="28">
                  <c:v>Aug 2028</c:v>
                </c:pt>
                <c:pt idx="29">
                  <c:v>Sep 2028</c:v>
                </c:pt>
                <c:pt idx="30">
                  <c:v>Okt 2028</c:v>
                </c:pt>
                <c:pt idx="31">
                  <c:v>Nov 2028</c:v>
                </c:pt>
                <c:pt idx="32">
                  <c:v>Dez 2028</c:v>
                </c:pt>
                <c:pt idx="33">
                  <c:v>Jan 2029</c:v>
                </c:pt>
                <c:pt idx="34">
                  <c:v>Feb 2029</c:v>
                </c:pt>
                <c:pt idx="35">
                  <c:v>Mär 2029</c:v>
                </c:pt>
                <c:pt idx="36">
                  <c:v>Apr 2029</c:v>
                </c:pt>
                <c:pt idx="37">
                  <c:v>Mai 2029</c:v>
                </c:pt>
                <c:pt idx="38">
                  <c:v>Jun 2029</c:v>
                </c:pt>
                <c:pt idx="39">
                  <c:v>Jul 2029</c:v>
                </c:pt>
                <c:pt idx="40">
                  <c:v>Aug 2029</c:v>
                </c:pt>
                <c:pt idx="41">
                  <c:v>Sep 2029</c:v>
                </c:pt>
                <c:pt idx="42">
                  <c:v>Okt 2029</c:v>
                </c:pt>
                <c:pt idx="43">
                  <c:v>Nov 2029</c:v>
                </c:pt>
                <c:pt idx="44">
                  <c:v>Dez 2029</c:v>
                </c:pt>
                <c:pt idx="45">
                  <c:v>Jan 2030</c:v>
                </c:pt>
                <c:pt idx="46">
                  <c:v>Feb 2030</c:v>
                </c:pt>
                <c:pt idx="47">
                  <c:v>Mär 2030</c:v>
                </c:pt>
                <c:pt idx="48">
                  <c:v>Apr 2030</c:v>
                </c:pt>
                <c:pt idx="49">
                  <c:v>Mai 2030</c:v>
                </c:pt>
                <c:pt idx="50">
                  <c:v>Jun 2030</c:v>
                </c:pt>
                <c:pt idx="51">
                  <c:v>Jul 2030</c:v>
                </c:pt>
              </c:strCache>
            </c:strRef>
          </c:cat>
          <c:val>
            <c:numRef>
              <c:f>Monthly!$Q$2:$Q$53</c:f>
              <c:numCache>
                <c:formatCode>"€"#,##0_);[Red]\("€"#,##0\)</c:formatCode>
                <c:ptCount val="52"/>
                <c:pt idx="0">
                  <c:v>2075.333333333333</c:v>
                </c:pt>
                <c:pt idx="1">
                  <c:v>2075.333333333333</c:v>
                </c:pt>
                <c:pt idx="2">
                  <c:v>2075.333333333333</c:v>
                </c:pt>
                <c:pt idx="3">
                  <c:v>0</c:v>
                </c:pt>
                <c:pt idx="4">
                  <c:v>0</c:v>
                </c:pt>
                <c:pt idx="5">
                  <c:v>41347.333333333343</c:v>
                </c:pt>
                <c:pt idx="6">
                  <c:v>40884.583333333343</c:v>
                </c:pt>
                <c:pt idx="7">
                  <c:v>0</c:v>
                </c:pt>
                <c:pt idx="8">
                  <c:v>40884.583333333343</c:v>
                </c:pt>
                <c:pt idx="9">
                  <c:v>49603.583333333343</c:v>
                </c:pt>
                <c:pt idx="10">
                  <c:v>55343.166666666657</c:v>
                </c:pt>
                <c:pt idx="11">
                  <c:v>56343.166666666657</c:v>
                </c:pt>
                <c:pt idx="12">
                  <c:v>55464.219166666669</c:v>
                </c:pt>
                <c:pt idx="13">
                  <c:v>67385.585833333345</c:v>
                </c:pt>
                <c:pt idx="14">
                  <c:v>67385.585833333345</c:v>
                </c:pt>
                <c:pt idx="15">
                  <c:v>67385.585833333345</c:v>
                </c:pt>
                <c:pt idx="16">
                  <c:v>0</c:v>
                </c:pt>
                <c:pt idx="17">
                  <c:v>74849.477500000008</c:v>
                </c:pt>
                <c:pt idx="18">
                  <c:v>86068.804166666683</c:v>
                </c:pt>
                <c:pt idx="19">
                  <c:v>87083.139166666675</c:v>
                </c:pt>
                <c:pt idx="20">
                  <c:v>93783.114166666666</c:v>
                </c:pt>
                <c:pt idx="21">
                  <c:v>104540.0141666667</c:v>
                </c:pt>
                <c:pt idx="22">
                  <c:v>92775.966666666674</c:v>
                </c:pt>
                <c:pt idx="23">
                  <c:v>103351.5291666667</c:v>
                </c:pt>
                <c:pt idx="24">
                  <c:v>107046.99554166671</c:v>
                </c:pt>
                <c:pt idx="25">
                  <c:v>104777.1198166667</c:v>
                </c:pt>
                <c:pt idx="26">
                  <c:v>106740.9766833333</c:v>
                </c:pt>
                <c:pt idx="27">
                  <c:v>107915.5825083333</c:v>
                </c:pt>
                <c:pt idx="28">
                  <c:v>0</c:v>
                </c:pt>
                <c:pt idx="29">
                  <c:v>113695.2620333333</c:v>
                </c:pt>
                <c:pt idx="30">
                  <c:v>111250.78048333331</c:v>
                </c:pt>
                <c:pt idx="31">
                  <c:v>108933.26980833329</c:v>
                </c:pt>
                <c:pt idx="32">
                  <c:v>95436.711149999988</c:v>
                </c:pt>
                <c:pt idx="33">
                  <c:v>105785.9228</c:v>
                </c:pt>
                <c:pt idx="34">
                  <c:v>98643.017949999994</c:v>
                </c:pt>
                <c:pt idx="35">
                  <c:v>97733.845691666647</c:v>
                </c:pt>
                <c:pt idx="36">
                  <c:v>96189.383064166643</c:v>
                </c:pt>
                <c:pt idx="37">
                  <c:v>83335.355073416635</c:v>
                </c:pt>
                <c:pt idx="38">
                  <c:v>82726.891650833306</c:v>
                </c:pt>
                <c:pt idx="39">
                  <c:v>77836.767656083321</c:v>
                </c:pt>
                <c:pt idx="40">
                  <c:v>186764.6916633333</c:v>
                </c:pt>
                <c:pt idx="41">
                  <c:v>83341.472240499977</c:v>
                </c:pt>
                <c:pt idx="42">
                  <c:v>85118.544243499986</c:v>
                </c:pt>
                <c:pt idx="43">
                  <c:v>75116.956250250005</c:v>
                </c:pt>
                <c:pt idx="44">
                  <c:v>77546.176824916649</c:v>
                </c:pt>
                <c:pt idx="45">
                  <c:v>64062.636833666649</c:v>
                </c:pt>
                <c:pt idx="46">
                  <c:v>68839.708836666658</c:v>
                </c:pt>
                <c:pt idx="47">
                  <c:v>64342.709412583303</c:v>
                </c:pt>
                <c:pt idx="48">
                  <c:v>52553.789021140808</c:v>
                </c:pt>
                <c:pt idx="49">
                  <c:v>46648.756027578318</c:v>
                </c:pt>
                <c:pt idx="50">
                  <c:v>47543.650579999987</c:v>
                </c:pt>
                <c:pt idx="51">
                  <c:v>48758.845301029971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44-4B18-B168-0C260F25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Monat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Betrag (€)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Jahres-P&amp;L Übersicht (2026–2030)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2.7718253968253968E-2"/>
          <c:w val="0.96472222222222226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Annual!$C$1</c:f>
              <c:strCache>
                <c:ptCount val="1"/>
                <c:pt idx="0">
                  <c:v>Revenue €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Annual!$A$2:$A$7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Annual!$C$2:$C$7</c:f>
              <c:numCache>
                <c:formatCode>"€"#,##0_);[Red]\("€"#,##0\)</c:formatCode>
                <c:ptCount val="6"/>
                <c:pt idx="0">
                  <c:v>3150</c:v>
                </c:pt>
                <c:pt idx="1">
                  <c:v>86105.5</c:v>
                </c:pt>
                <c:pt idx="2">
                  <c:v>603034.77830000001</c:v>
                </c:pt>
                <c:pt idx="3">
                  <c:v>1553296.0389</c:v>
                </c:pt>
                <c:pt idx="4">
                  <c:v>1481105.6144999999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B5-4ECB-8344-DAD891737956}"/>
            </c:ext>
          </c:extLst>
        </c:ser>
        <c:ser>
          <c:idx val="1"/>
          <c:order val="1"/>
          <c:tx>
            <c:strRef>
              <c:f>Annual!$E$1</c:f>
              <c:strCache>
                <c:ptCount val="1"/>
                <c:pt idx="0">
                  <c:v>Gross Profit €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numRef>
              <c:f>Annual!$A$2:$A$7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Annual!$E$2:$E$7</c:f>
              <c:numCache>
                <c:formatCode>"€"#,##0_);[Red]\("€"#,##0\)</c:formatCode>
                <c:ptCount val="6"/>
                <c:pt idx="0">
                  <c:v>361.25</c:v>
                </c:pt>
                <c:pt idx="1">
                  <c:v>51612.862500000003</c:v>
                </c:pt>
                <c:pt idx="2">
                  <c:v>417973.90889999998</c:v>
                </c:pt>
                <c:pt idx="3">
                  <c:v>1122948.638</c:v>
                </c:pt>
                <c:pt idx="4">
                  <c:v>1088487.9741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B5-4ECB-8344-DAD891737956}"/>
            </c:ext>
          </c:extLst>
        </c:ser>
        <c:ser>
          <c:idx val="2"/>
          <c:order val="2"/>
          <c:tx>
            <c:strRef>
              <c:f>Annual!$G$1</c:f>
              <c:strCache>
                <c:ptCount val="1"/>
                <c:pt idx="0">
                  <c:v>Total OpEx €</c:v>
                </c:pt>
              </c:strCache>
            </c:strRef>
          </c:tx>
          <c:spPr>
            <a:solidFill>
              <a:srgbClr val="FFC000"/>
            </a:solidFill>
            <a:ln>
              <a:prstDash val="solid"/>
            </a:ln>
          </c:spPr>
          <c:invertIfNegative val="1"/>
          <c:cat>
            <c:numRef>
              <c:f>Annual!$A$2:$A$7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Annual!$G$2:$G$7</c:f>
              <c:numCache>
                <c:formatCode>"€"#,##0_);[Red]\("€"#,##0\)</c:formatCode>
                <c:ptCount val="6"/>
                <c:pt idx="0">
                  <c:v>206097</c:v>
                </c:pt>
                <c:pt idx="1">
                  <c:v>940800.54330000002</c:v>
                </c:pt>
                <c:pt idx="2">
                  <c:v>1797661.6385999999</c:v>
                </c:pt>
                <c:pt idx="3">
                  <c:v>2273087.6631</c:v>
                </c:pt>
                <c:pt idx="4">
                  <c:v>1481238.0700999999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B5-4ECB-8344-DAD891737956}"/>
            </c:ext>
          </c:extLst>
        </c:ser>
        <c:ser>
          <c:idx val="3"/>
          <c:order val="3"/>
          <c:tx>
            <c:strRef>
              <c:f>Annual!$H$1</c:f>
              <c:strCache>
                <c:ptCount val="1"/>
                <c:pt idx="0">
                  <c:v>EBITDA €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numRef>
              <c:f>Annual!$A$2:$A$7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Annual!$H$2:$H$7</c:f>
              <c:numCache>
                <c:formatCode>"€"#,##0_);[Red]\("€"#,##0\)</c:formatCode>
                <c:ptCount val="6"/>
                <c:pt idx="0">
                  <c:v>-205735.75</c:v>
                </c:pt>
                <c:pt idx="1">
                  <c:v>-889187.68079999997</c:v>
                </c:pt>
                <c:pt idx="2">
                  <c:v>-1379687.7297</c:v>
                </c:pt>
                <c:pt idx="3">
                  <c:v>-1150139.0251</c:v>
                </c:pt>
                <c:pt idx="4">
                  <c:v>-392750.09600000002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3B5-4ECB-8344-DAD89173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Betrag (€)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Headcount-Entwicklung (M1–M52)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507575757575756"/>
          <c:y val="2.4694444444444446E-2"/>
          <c:w val="0.84387171717171716"/>
          <c:h val="0.9223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Monthly!$S$1</c:f>
              <c:strCache>
                <c:ptCount val="1"/>
                <c:pt idx="0">
                  <c:v>Headcount #</c:v>
                </c:pt>
              </c:strCache>
            </c:strRef>
          </c:tx>
          <c:spPr>
            <a:ln w="20000">
              <a:solidFill>
                <a:srgbClr val="7030A0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Monthly!$A$2:$A$53</c:f>
              <c:strCache>
                <c:ptCount val="52"/>
                <c:pt idx="0">
                  <c:v>Apr 2026</c:v>
                </c:pt>
                <c:pt idx="1">
                  <c:v>Mai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Okt 2026</c:v>
                </c:pt>
                <c:pt idx="7">
                  <c:v>Nov 2026</c:v>
                </c:pt>
                <c:pt idx="8">
                  <c:v>Dez 2026</c:v>
                </c:pt>
                <c:pt idx="9">
                  <c:v>Jan 2027</c:v>
                </c:pt>
                <c:pt idx="10">
                  <c:v>Feb 2027</c:v>
                </c:pt>
                <c:pt idx="11">
                  <c:v>Mär 2027</c:v>
                </c:pt>
                <c:pt idx="12">
                  <c:v>Apr 2027</c:v>
                </c:pt>
                <c:pt idx="13">
                  <c:v>Mai 2027</c:v>
                </c:pt>
                <c:pt idx="14">
                  <c:v>Jun 2027</c:v>
                </c:pt>
                <c:pt idx="15">
                  <c:v>Jul 2027</c:v>
                </c:pt>
                <c:pt idx="16">
                  <c:v>Aug 2027</c:v>
                </c:pt>
                <c:pt idx="17">
                  <c:v>Sep 2027</c:v>
                </c:pt>
                <c:pt idx="18">
                  <c:v>Okt 2027</c:v>
                </c:pt>
                <c:pt idx="19">
                  <c:v>Nov 2027</c:v>
                </c:pt>
                <c:pt idx="20">
                  <c:v>Dez 2027</c:v>
                </c:pt>
                <c:pt idx="21">
                  <c:v>Jan 2028</c:v>
                </c:pt>
                <c:pt idx="22">
                  <c:v>Feb 2028</c:v>
                </c:pt>
                <c:pt idx="23">
                  <c:v>Mär 2028</c:v>
                </c:pt>
                <c:pt idx="24">
                  <c:v>Apr 2028</c:v>
                </c:pt>
                <c:pt idx="25">
                  <c:v>Mai 2028</c:v>
                </c:pt>
                <c:pt idx="26">
                  <c:v>Jun 2028</c:v>
                </c:pt>
                <c:pt idx="27">
                  <c:v>Jul 2028</c:v>
                </c:pt>
                <c:pt idx="28">
                  <c:v>Aug 2028</c:v>
                </c:pt>
                <c:pt idx="29">
                  <c:v>Sep 2028</c:v>
                </c:pt>
                <c:pt idx="30">
                  <c:v>Okt 2028</c:v>
                </c:pt>
                <c:pt idx="31">
                  <c:v>Nov 2028</c:v>
                </c:pt>
                <c:pt idx="32">
                  <c:v>Dez 2028</c:v>
                </c:pt>
                <c:pt idx="33">
                  <c:v>Jan 2029</c:v>
                </c:pt>
                <c:pt idx="34">
                  <c:v>Feb 2029</c:v>
                </c:pt>
                <c:pt idx="35">
                  <c:v>Mär 2029</c:v>
                </c:pt>
                <c:pt idx="36">
                  <c:v>Apr 2029</c:v>
                </c:pt>
                <c:pt idx="37">
                  <c:v>Mai 2029</c:v>
                </c:pt>
                <c:pt idx="38">
                  <c:v>Jun 2029</c:v>
                </c:pt>
                <c:pt idx="39">
                  <c:v>Jul 2029</c:v>
                </c:pt>
                <c:pt idx="40">
                  <c:v>Aug 2029</c:v>
                </c:pt>
                <c:pt idx="41">
                  <c:v>Sep 2029</c:v>
                </c:pt>
                <c:pt idx="42">
                  <c:v>Okt 2029</c:v>
                </c:pt>
                <c:pt idx="43">
                  <c:v>Nov 2029</c:v>
                </c:pt>
                <c:pt idx="44">
                  <c:v>Dez 2029</c:v>
                </c:pt>
                <c:pt idx="45">
                  <c:v>Jan 2030</c:v>
                </c:pt>
                <c:pt idx="46">
                  <c:v>Feb 2030</c:v>
                </c:pt>
                <c:pt idx="47">
                  <c:v>Mär 2030</c:v>
                </c:pt>
                <c:pt idx="48">
                  <c:v>Apr 2030</c:v>
                </c:pt>
                <c:pt idx="49">
                  <c:v>Mai 2030</c:v>
                </c:pt>
                <c:pt idx="50">
                  <c:v>Jun 2030</c:v>
                </c:pt>
                <c:pt idx="51">
                  <c:v>Jul 2030</c:v>
                </c:pt>
              </c:strCache>
            </c:strRef>
          </c:cat>
          <c:val>
            <c:numRef>
              <c:f>Monthly!$S$2:$S$53</c:f>
              <c:numCache>
                <c:formatCode>#,##0</c:formatCode>
                <c:ptCount val="5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9-426F-86A4-8FC950A1EB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Monat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Mitarbeiter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79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0</xdr:row>
      <xdr:rowOff>0</xdr:rowOff>
    </xdr:from>
    <xdr:ext cx="792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156210</xdr:colOff>
      <xdr:row>30</xdr:row>
      <xdr:rowOff>0</xdr:rowOff>
    </xdr:from>
    <xdr:ext cx="715419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U54"/>
  <sheetViews>
    <sheetView showGridLines="0" topLeftCell="I1" workbookViewId="0">
      <pane ySplit="1" topLeftCell="A2" activePane="bottomLeft" state="frozen"/>
      <selection pane="bottomLeft" activeCell="S13" sqref="S13"/>
    </sheetView>
  </sheetViews>
  <sheetFormatPr baseColWidth="10" defaultColWidth="8.7265625" defaultRowHeight="14.5" x14ac:dyDescent="0.35"/>
  <cols>
    <col min="1" max="1" width="14" customWidth="1"/>
    <col min="2" max="2" width="12" customWidth="1"/>
    <col min="3" max="7" width="14" customWidth="1"/>
    <col min="8" max="8" width="12" customWidth="1"/>
    <col min="9" max="9" width="15" customWidth="1"/>
    <col min="10" max="10" width="14" customWidth="1"/>
    <col min="11" max="12" width="15" customWidth="1"/>
    <col min="13" max="13" width="13" customWidth="1"/>
    <col min="14" max="14" width="14" customWidth="1"/>
    <col min="15" max="15" width="15" customWidth="1"/>
    <col min="16" max="16" width="16" customWidth="1"/>
    <col min="17" max="17" width="13" customWidth="1"/>
    <col min="18" max="18" width="14" customWidth="1"/>
    <col min="19" max="19" width="11" customWidth="1"/>
    <col min="20" max="21" width="16" customWidth="1"/>
  </cols>
  <sheetData>
    <row r="1" spans="1:21" ht="36" customHeight="1" x14ac:dyDescent="0.35">
      <c r="A1" s="1" t="s">
        <v>139</v>
      </c>
      <c r="B1" s="1" t="s">
        <v>0</v>
      </c>
      <c r="C1" s="1" t="s">
        <v>1</v>
      </c>
      <c r="D1" s="1" t="s">
        <v>2</v>
      </c>
      <c r="E1" s="1" t="s">
        <v>140</v>
      </c>
      <c r="F1" s="1" t="s">
        <v>3</v>
      </c>
      <c r="G1" s="1" t="s">
        <v>4</v>
      </c>
      <c r="H1" s="1" t="s">
        <v>5</v>
      </c>
      <c r="I1" s="1" t="s">
        <v>146</v>
      </c>
      <c r="J1" s="1" t="s">
        <v>141</v>
      </c>
      <c r="K1" s="1" t="s">
        <v>6</v>
      </c>
      <c r="L1" s="1" t="s">
        <v>7</v>
      </c>
      <c r="M1" s="1" t="s">
        <v>8</v>
      </c>
      <c r="N1" s="1" t="s">
        <v>142</v>
      </c>
      <c r="O1" s="1" t="s">
        <v>143</v>
      </c>
      <c r="P1" s="1" t="s">
        <v>144</v>
      </c>
      <c r="Q1" s="1" t="s">
        <v>9</v>
      </c>
      <c r="R1" s="1" t="s">
        <v>145</v>
      </c>
      <c r="S1" s="1" t="s">
        <v>147</v>
      </c>
      <c r="T1" s="1" t="s">
        <v>148</v>
      </c>
      <c r="U1" s="1" t="s">
        <v>149</v>
      </c>
    </row>
    <row r="2" spans="1:21" ht="16" customHeight="1" x14ac:dyDescent="0.35">
      <c r="A2" s="2" t="s">
        <v>11</v>
      </c>
      <c r="B2" s="2" t="s">
        <v>12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2075.333333333333</v>
      </c>
      <c r="L2" s="5">
        <v>-2075.33</v>
      </c>
      <c r="M2" s="4">
        <v>0</v>
      </c>
      <c r="N2" s="3">
        <v>0</v>
      </c>
      <c r="O2" s="3">
        <v>0</v>
      </c>
      <c r="P2" s="5">
        <v>-2075.33</v>
      </c>
      <c r="Q2" s="3">
        <v>2075.333333333333</v>
      </c>
      <c r="R2" s="6">
        <v>-1</v>
      </c>
      <c r="S2" s="7">
        <v>3</v>
      </c>
      <c r="T2" s="3">
        <v>0</v>
      </c>
      <c r="U2" s="5">
        <v>-2075.33</v>
      </c>
    </row>
    <row r="3" spans="1:21" ht="16" customHeight="1" x14ac:dyDescent="0.35">
      <c r="A3" s="2" t="s">
        <v>13</v>
      </c>
      <c r="B3" s="2" t="s">
        <v>12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</v>
      </c>
      <c r="I3" s="3">
        <v>0</v>
      </c>
      <c r="J3" s="3">
        <v>0</v>
      </c>
      <c r="K3" s="3">
        <v>2075.333333333333</v>
      </c>
      <c r="L3" s="5">
        <v>-2075.33</v>
      </c>
      <c r="M3" s="4">
        <v>0</v>
      </c>
      <c r="N3" s="3">
        <v>0</v>
      </c>
      <c r="O3" s="5">
        <v>-2075.33</v>
      </c>
      <c r="P3" s="5">
        <v>-4150.67</v>
      </c>
      <c r="Q3" s="3">
        <v>2075.333333333333</v>
      </c>
      <c r="R3" s="6">
        <v>-2</v>
      </c>
      <c r="S3" s="7">
        <v>3</v>
      </c>
      <c r="T3" s="3">
        <v>0</v>
      </c>
      <c r="U3" s="5">
        <v>-4150.67</v>
      </c>
    </row>
    <row r="4" spans="1:21" ht="16" customHeight="1" x14ac:dyDescent="0.35">
      <c r="A4" s="2" t="s">
        <v>14</v>
      </c>
      <c r="B4" s="2" t="s">
        <v>12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</v>
      </c>
      <c r="I4" s="3">
        <v>0</v>
      </c>
      <c r="J4" s="3">
        <v>0</v>
      </c>
      <c r="K4" s="3">
        <v>2075.333333333333</v>
      </c>
      <c r="L4" s="5">
        <v>-2075.33</v>
      </c>
      <c r="M4" s="4">
        <v>0</v>
      </c>
      <c r="N4" s="3">
        <v>0</v>
      </c>
      <c r="O4" s="5">
        <v>-4150.67</v>
      </c>
      <c r="P4" s="5">
        <v>-6226</v>
      </c>
      <c r="Q4" s="3">
        <v>2075.333333333333</v>
      </c>
      <c r="R4" s="6">
        <v>-3</v>
      </c>
      <c r="S4" s="7">
        <v>3</v>
      </c>
      <c r="T4" s="3">
        <v>0</v>
      </c>
      <c r="U4" s="5">
        <v>-6226</v>
      </c>
    </row>
    <row r="5" spans="1:21" ht="16" customHeight="1" x14ac:dyDescent="0.35">
      <c r="A5" s="8" t="s">
        <v>15</v>
      </c>
      <c r="B5" s="8" t="s">
        <v>12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10">
        <v>0</v>
      </c>
      <c r="I5" s="9">
        <v>0</v>
      </c>
      <c r="J5" s="9">
        <v>0</v>
      </c>
      <c r="K5" s="9">
        <v>2075.333333333333</v>
      </c>
      <c r="L5" s="11">
        <v>-2075.33</v>
      </c>
      <c r="M5" s="10">
        <v>0</v>
      </c>
      <c r="N5" s="9">
        <v>320000</v>
      </c>
      <c r="O5" s="11">
        <v>-6226</v>
      </c>
      <c r="P5" s="9">
        <v>311698.67</v>
      </c>
      <c r="Q5" s="9">
        <v>0</v>
      </c>
      <c r="R5" s="12">
        <v>99.9</v>
      </c>
      <c r="S5" s="13">
        <v>3</v>
      </c>
      <c r="T5" s="9">
        <v>320000</v>
      </c>
      <c r="U5" s="11">
        <v>-8301.33</v>
      </c>
    </row>
    <row r="6" spans="1:21" ht="16" customHeight="1" x14ac:dyDescent="0.35">
      <c r="A6" s="14" t="s">
        <v>16</v>
      </c>
      <c r="B6" s="14" t="s">
        <v>17</v>
      </c>
      <c r="C6" s="15">
        <v>0</v>
      </c>
      <c r="D6" s="15">
        <v>0</v>
      </c>
      <c r="E6" s="15">
        <v>0</v>
      </c>
      <c r="F6" s="15">
        <v>300</v>
      </c>
      <c r="G6" s="16">
        <v>-300</v>
      </c>
      <c r="H6" s="17">
        <v>0</v>
      </c>
      <c r="I6" s="15">
        <v>25000</v>
      </c>
      <c r="J6" s="15">
        <v>700</v>
      </c>
      <c r="K6" s="15">
        <v>33133.333333333328</v>
      </c>
      <c r="L6" s="16">
        <v>-33433.33</v>
      </c>
      <c r="M6" s="17">
        <v>0</v>
      </c>
      <c r="N6" s="15">
        <v>200000</v>
      </c>
      <c r="O6" s="15">
        <v>311698.67</v>
      </c>
      <c r="P6" s="15">
        <v>478265.33</v>
      </c>
      <c r="Q6" s="15">
        <v>0</v>
      </c>
      <c r="R6" s="18">
        <v>99.9</v>
      </c>
      <c r="S6" s="19">
        <v>3</v>
      </c>
      <c r="T6" s="15">
        <v>520000</v>
      </c>
      <c r="U6" s="16">
        <v>-41734.67</v>
      </c>
    </row>
    <row r="7" spans="1:21" ht="16" customHeight="1" x14ac:dyDescent="0.35">
      <c r="A7" s="8" t="s">
        <v>18</v>
      </c>
      <c r="B7" s="8" t="s">
        <v>17</v>
      </c>
      <c r="C7" s="9">
        <v>0</v>
      </c>
      <c r="D7" s="9">
        <v>0</v>
      </c>
      <c r="E7" s="9">
        <v>0</v>
      </c>
      <c r="F7" s="9">
        <v>400</v>
      </c>
      <c r="G7" s="11">
        <v>-400</v>
      </c>
      <c r="H7" s="10">
        <v>0</v>
      </c>
      <c r="I7" s="9">
        <v>32714</v>
      </c>
      <c r="J7" s="9">
        <v>800</v>
      </c>
      <c r="K7" s="9">
        <v>40947.333333333343</v>
      </c>
      <c r="L7" s="11">
        <v>-41347.33</v>
      </c>
      <c r="M7" s="10">
        <v>0</v>
      </c>
      <c r="N7" s="9">
        <v>0</v>
      </c>
      <c r="O7" s="9">
        <v>478265.33</v>
      </c>
      <c r="P7" s="9">
        <v>436918</v>
      </c>
      <c r="Q7" s="9">
        <v>41347.333333333343</v>
      </c>
      <c r="R7" s="12">
        <v>10.56701762306316</v>
      </c>
      <c r="S7" s="13">
        <v>4</v>
      </c>
      <c r="T7" s="9">
        <v>520000</v>
      </c>
      <c r="U7" s="11">
        <v>-83082</v>
      </c>
    </row>
    <row r="8" spans="1:21" ht="16" customHeight="1" x14ac:dyDescent="0.35">
      <c r="A8" s="14" t="s">
        <v>19</v>
      </c>
      <c r="B8" s="14" t="s">
        <v>17</v>
      </c>
      <c r="C8" s="15">
        <v>1050</v>
      </c>
      <c r="D8" s="15">
        <v>1050</v>
      </c>
      <c r="E8" s="15">
        <v>0</v>
      </c>
      <c r="F8" s="15">
        <v>696.25</v>
      </c>
      <c r="G8" s="15">
        <v>353.75</v>
      </c>
      <c r="H8" s="17">
        <v>0.33689999999999998</v>
      </c>
      <c r="I8" s="15">
        <v>32714</v>
      </c>
      <c r="J8" s="15">
        <v>1070</v>
      </c>
      <c r="K8" s="15">
        <v>41238.333333333343</v>
      </c>
      <c r="L8" s="16">
        <v>-40884.58</v>
      </c>
      <c r="M8" s="20">
        <v>-38.9377</v>
      </c>
      <c r="N8" s="15">
        <v>0</v>
      </c>
      <c r="O8" s="15">
        <v>436918</v>
      </c>
      <c r="P8" s="15">
        <v>396033.42</v>
      </c>
      <c r="Q8" s="15">
        <v>40884.583333333343</v>
      </c>
      <c r="R8" s="18">
        <v>9.6866198546721982</v>
      </c>
      <c r="S8" s="19">
        <v>4</v>
      </c>
      <c r="T8" s="15">
        <v>520000</v>
      </c>
      <c r="U8" s="16">
        <v>-123966.58</v>
      </c>
    </row>
    <row r="9" spans="1:21" ht="16" customHeight="1" x14ac:dyDescent="0.35">
      <c r="A9" s="8" t="s">
        <v>20</v>
      </c>
      <c r="B9" s="8" t="s">
        <v>17</v>
      </c>
      <c r="C9" s="9">
        <v>1050</v>
      </c>
      <c r="D9" s="9">
        <v>1050</v>
      </c>
      <c r="E9" s="9">
        <v>0</v>
      </c>
      <c r="F9" s="9">
        <v>696.25</v>
      </c>
      <c r="G9" s="9">
        <v>353.75</v>
      </c>
      <c r="H9" s="10">
        <v>0.33689999999999998</v>
      </c>
      <c r="I9" s="9">
        <v>32714</v>
      </c>
      <c r="J9" s="9">
        <v>1070</v>
      </c>
      <c r="K9" s="9">
        <v>41238.333333333343</v>
      </c>
      <c r="L9" s="11">
        <v>-40884.58</v>
      </c>
      <c r="M9" s="21">
        <v>-38.9377</v>
      </c>
      <c r="N9" s="9">
        <v>200000</v>
      </c>
      <c r="O9" s="9">
        <v>396033.42</v>
      </c>
      <c r="P9" s="9">
        <v>555148.82999999996</v>
      </c>
      <c r="Q9" s="9">
        <v>0</v>
      </c>
      <c r="R9" s="12">
        <v>99.9</v>
      </c>
      <c r="S9" s="13">
        <v>4</v>
      </c>
      <c r="T9" s="9">
        <v>720000</v>
      </c>
      <c r="U9" s="11">
        <v>-164851.17000000001</v>
      </c>
    </row>
    <row r="10" spans="1:21" ht="16" customHeight="1" x14ac:dyDescent="0.35">
      <c r="A10" s="14" t="s">
        <v>21</v>
      </c>
      <c r="B10" s="14" t="s">
        <v>17</v>
      </c>
      <c r="C10" s="15">
        <v>1050</v>
      </c>
      <c r="D10" s="15">
        <v>1050</v>
      </c>
      <c r="E10" s="15">
        <v>0</v>
      </c>
      <c r="F10" s="15">
        <v>696.25</v>
      </c>
      <c r="G10" s="15">
        <v>353.75</v>
      </c>
      <c r="H10" s="17">
        <v>0.33689999999999998</v>
      </c>
      <c r="I10" s="15">
        <v>32714</v>
      </c>
      <c r="J10" s="15">
        <v>1070</v>
      </c>
      <c r="K10" s="15">
        <v>41238.333333333343</v>
      </c>
      <c r="L10" s="16">
        <v>-40884.58</v>
      </c>
      <c r="M10" s="20">
        <v>-38.9377</v>
      </c>
      <c r="N10" s="15">
        <v>0</v>
      </c>
      <c r="O10" s="15">
        <v>555148.82999999996</v>
      </c>
      <c r="P10" s="15">
        <v>514264.25</v>
      </c>
      <c r="Q10" s="15">
        <v>40884.583333333343</v>
      </c>
      <c r="R10" s="18">
        <v>12.57843930576929</v>
      </c>
      <c r="S10" s="19">
        <v>4</v>
      </c>
      <c r="T10" s="15">
        <v>720000</v>
      </c>
      <c r="U10" s="16">
        <v>-205735.75</v>
      </c>
    </row>
    <row r="11" spans="1:21" ht="16" customHeight="1" x14ac:dyDescent="0.35">
      <c r="A11" s="8" t="s">
        <v>22</v>
      </c>
      <c r="B11" s="8" t="s">
        <v>17</v>
      </c>
      <c r="C11" s="9">
        <v>1050</v>
      </c>
      <c r="D11" s="9">
        <v>1050</v>
      </c>
      <c r="E11" s="9">
        <v>0</v>
      </c>
      <c r="F11" s="9">
        <v>796.25</v>
      </c>
      <c r="G11" s="9">
        <v>253.75</v>
      </c>
      <c r="H11" s="10">
        <v>0.2417</v>
      </c>
      <c r="I11" s="9">
        <v>40733</v>
      </c>
      <c r="J11" s="9">
        <v>1170</v>
      </c>
      <c r="K11" s="9">
        <v>49857.333333333343</v>
      </c>
      <c r="L11" s="11">
        <v>-49603.58</v>
      </c>
      <c r="M11" s="21">
        <v>-47.241500000000002</v>
      </c>
      <c r="N11" s="9">
        <v>0</v>
      </c>
      <c r="O11" s="9">
        <v>514264.25</v>
      </c>
      <c r="P11" s="9">
        <v>464660.67</v>
      </c>
      <c r="Q11" s="9">
        <v>49603.583333333343</v>
      </c>
      <c r="R11" s="12">
        <v>9.3674818519495417</v>
      </c>
      <c r="S11" s="13">
        <v>5</v>
      </c>
      <c r="T11" s="9">
        <v>720000</v>
      </c>
      <c r="U11" s="11">
        <v>-255339.33</v>
      </c>
    </row>
    <row r="12" spans="1:21" ht="16" customHeight="1" x14ac:dyDescent="0.35">
      <c r="A12" s="14" t="s">
        <v>23</v>
      </c>
      <c r="B12" s="14" t="s">
        <v>17</v>
      </c>
      <c r="C12" s="15">
        <v>3100</v>
      </c>
      <c r="D12" s="15">
        <v>2100</v>
      </c>
      <c r="E12" s="15">
        <v>1000</v>
      </c>
      <c r="F12" s="15">
        <v>1192.5</v>
      </c>
      <c r="G12" s="15">
        <v>1907.5</v>
      </c>
      <c r="H12" s="17">
        <v>0.61529999999999996</v>
      </c>
      <c r="I12" s="15">
        <v>47735.333333333328</v>
      </c>
      <c r="J12" s="15">
        <v>1540</v>
      </c>
      <c r="K12" s="15">
        <v>57250.666666666657</v>
      </c>
      <c r="L12" s="16">
        <v>-55343.17</v>
      </c>
      <c r="M12" s="20">
        <v>-17.852599999999999</v>
      </c>
      <c r="N12" s="15">
        <v>0</v>
      </c>
      <c r="O12" s="15">
        <v>464660.67</v>
      </c>
      <c r="P12" s="15">
        <v>409317.5</v>
      </c>
      <c r="Q12" s="15">
        <v>55343.166666666657</v>
      </c>
      <c r="R12" s="18">
        <v>7.3959898692702213</v>
      </c>
      <c r="S12" s="19">
        <v>6</v>
      </c>
      <c r="T12" s="15">
        <v>720000</v>
      </c>
      <c r="U12" s="16">
        <v>-310682.5</v>
      </c>
    </row>
    <row r="13" spans="1:21" ht="16" customHeight="1" x14ac:dyDescent="0.35">
      <c r="A13" s="8" t="s">
        <v>24</v>
      </c>
      <c r="B13" s="8" t="s">
        <v>17</v>
      </c>
      <c r="C13" s="9">
        <v>2100</v>
      </c>
      <c r="D13" s="9">
        <v>2100</v>
      </c>
      <c r="E13" s="9">
        <v>0</v>
      </c>
      <c r="F13" s="9">
        <v>1192.5</v>
      </c>
      <c r="G13" s="9">
        <v>907.5</v>
      </c>
      <c r="H13" s="10">
        <v>0.43209999999999998</v>
      </c>
      <c r="I13" s="9">
        <v>47735.333333333328</v>
      </c>
      <c r="J13" s="9">
        <v>1540</v>
      </c>
      <c r="K13" s="9">
        <v>57250.666666666657</v>
      </c>
      <c r="L13" s="11">
        <v>-56343.17</v>
      </c>
      <c r="M13" s="21">
        <v>-26.830100000000002</v>
      </c>
      <c r="N13" s="9">
        <v>0</v>
      </c>
      <c r="O13" s="9">
        <v>409317.5</v>
      </c>
      <c r="P13" s="9">
        <v>352974.33</v>
      </c>
      <c r="Q13" s="9">
        <v>56343.166666666657</v>
      </c>
      <c r="R13" s="12">
        <v>6.2647230217210614</v>
      </c>
      <c r="S13" s="13">
        <v>6</v>
      </c>
      <c r="T13" s="9">
        <v>720000</v>
      </c>
      <c r="U13" s="11">
        <v>-367025.67</v>
      </c>
    </row>
    <row r="14" spans="1:21" ht="16" customHeight="1" x14ac:dyDescent="0.35">
      <c r="A14" s="14" t="s">
        <v>25</v>
      </c>
      <c r="B14" s="14" t="s">
        <v>17</v>
      </c>
      <c r="C14" s="15">
        <v>4244.5</v>
      </c>
      <c r="D14" s="15">
        <v>3244.5</v>
      </c>
      <c r="E14" s="15">
        <v>1000</v>
      </c>
      <c r="F14" s="15">
        <v>1491.1125</v>
      </c>
      <c r="G14" s="15">
        <v>2753.39</v>
      </c>
      <c r="H14" s="17">
        <v>0.64870000000000005</v>
      </c>
      <c r="I14" s="15">
        <v>48409.383333333331</v>
      </c>
      <c r="J14" s="15">
        <v>1810</v>
      </c>
      <c r="K14" s="15">
        <v>58217.606666666667</v>
      </c>
      <c r="L14" s="16">
        <v>-55464.22</v>
      </c>
      <c r="M14" s="20">
        <v>-13.067299999999999</v>
      </c>
      <c r="N14" s="15">
        <v>0</v>
      </c>
      <c r="O14" s="15">
        <v>352974.33</v>
      </c>
      <c r="P14" s="15">
        <v>297510.11</v>
      </c>
      <c r="Q14" s="15">
        <v>55464.219166666669</v>
      </c>
      <c r="R14" s="18">
        <v>5.3640007672814534</v>
      </c>
      <c r="S14" s="19">
        <v>6</v>
      </c>
      <c r="T14" s="15">
        <v>720000</v>
      </c>
      <c r="U14" s="16">
        <v>-422489.89</v>
      </c>
    </row>
    <row r="15" spans="1:21" ht="16" customHeight="1" x14ac:dyDescent="0.35">
      <c r="A15" s="8" t="s">
        <v>26</v>
      </c>
      <c r="B15" s="8" t="s">
        <v>17</v>
      </c>
      <c r="C15" s="9">
        <v>3244.5</v>
      </c>
      <c r="D15" s="9">
        <v>3244.5</v>
      </c>
      <c r="E15" s="9">
        <v>0</v>
      </c>
      <c r="F15" s="9">
        <v>1691.1125</v>
      </c>
      <c r="G15" s="9">
        <v>1553.39</v>
      </c>
      <c r="H15" s="10">
        <v>0.4788</v>
      </c>
      <c r="I15" s="9">
        <v>58430.750000000007</v>
      </c>
      <c r="J15" s="9">
        <v>2010</v>
      </c>
      <c r="K15" s="9">
        <v>68938.973333333342</v>
      </c>
      <c r="L15" s="11">
        <v>-67385.59</v>
      </c>
      <c r="M15" s="21">
        <v>-20.769200000000001</v>
      </c>
      <c r="N15" s="9">
        <v>0</v>
      </c>
      <c r="O15" s="9">
        <v>297510.11</v>
      </c>
      <c r="P15" s="9">
        <v>230124.53</v>
      </c>
      <c r="Q15" s="9">
        <v>67385.585833333345</v>
      </c>
      <c r="R15" s="12">
        <v>3.4150408501679692</v>
      </c>
      <c r="S15" s="13">
        <v>8</v>
      </c>
      <c r="T15" s="9">
        <v>720000</v>
      </c>
      <c r="U15" s="11">
        <v>-489875.47</v>
      </c>
    </row>
    <row r="16" spans="1:21" ht="16" customHeight="1" x14ac:dyDescent="0.35">
      <c r="A16" s="14" t="s">
        <v>27</v>
      </c>
      <c r="B16" s="14" t="s">
        <v>17</v>
      </c>
      <c r="C16" s="15">
        <v>3244.5</v>
      </c>
      <c r="D16" s="15">
        <v>3244.5</v>
      </c>
      <c r="E16" s="15">
        <v>0</v>
      </c>
      <c r="F16" s="15">
        <v>1691.1125</v>
      </c>
      <c r="G16" s="15">
        <v>1553.39</v>
      </c>
      <c r="H16" s="17">
        <v>0.4788</v>
      </c>
      <c r="I16" s="15">
        <v>58430.750000000007</v>
      </c>
      <c r="J16" s="15">
        <v>2010</v>
      </c>
      <c r="K16" s="15">
        <v>68938.973333333342</v>
      </c>
      <c r="L16" s="16">
        <v>-67385.59</v>
      </c>
      <c r="M16" s="20">
        <v>-20.769200000000001</v>
      </c>
      <c r="N16" s="15">
        <v>0</v>
      </c>
      <c r="O16" s="15">
        <v>230124.53</v>
      </c>
      <c r="P16" s="15">
        <v>162738.94</v>
      </c>
      <c r="Q16" s="15">
        <v>67385.585833333345</v>
      </c>
      <c r="R16" s="18">
        <v>2.4150408501679692</v>
      </c>
      <c r="S16" s="19">
        <v>8</v>
      </c>
      <c r="T16" s="15">
        <v>720000</v>
      </c>
      <c r="U16" s="16">
        <v>-557261.06000000006</v>
      </c>
    </row>
    <row r="17" spans="1:21" ht="16" customHeight="1" x14ac:dyDescent="0.35">
      <c r="A17" s="8" t="s">
        <v>28</v>
      </c>
      <c r="B17" s="8" t="s">
        <v>17</v>
      </c>
      <c r="C17" s="9">
        <v>3244.5</v>
      </c>
      <c r="D17" s="9">
        <v>3244.5</v>
      </c>
      <c r="E17" s="9">
        <v>0</v>
      </c>
      <c r="F17" s="9">
        <v>1691.1125</v>
      </c>
      <c r="G17" s="9">
        <v>1553.39</v>
      </c>
      <c r="H17" s="10">
        <v>0.4788</v>
      </c>
      <c r="I17" s="9">
        <v>58430.750000000007</v>
      </c>
      <c r="J17" s="9">
        <v>2010</v>
      </c>
      <c r="K17" s="9">
        <v>68938.973333333342</v>
      </c>
      <c r="L17" s="11">
        <v>-67385.59</v>
      </c>
      <c r="M17" s="21">
        <v>-20.769200000000001</v>
      </c>
      <c r="N17" s="9">
        <v>0</v>
      </c>
      <c r="O17" s="9">
        <v>162738.94</v>
      </c>
      <c r="P17" s="9">
        <v>95353.36</v>
      </c>
      <c r="Q17" s="9">
        <v>67385.585833333345</v>
      </c>
      <c r="R17" s="12">
        <v>1.415040850167969</v>
      </c>
      <c r="S17" s="13">
        <v>8</v>
      </c>
      <c r="T17" s="9">
        <v>720000</v>
      </c>
      <c r="U17" s="11">
        <v>-624646.64</v>
      </c>
    </row>
    <row r="18" spans="1:21" ht="16" customHeight="1" x14ac:dyDescent="0.35">
      <c r="A18" s="14" t="s">
        <v>29</v>
      </c>
      <c r="B18" s="14" t="s">
        <v>30</v>
      </c>
      <c r="C18" s="15">
        <v>3244.5</v>
      </c>
      <c r="D18" s="15">
        <v>3244.5</v>
      </c>
      <c r="E18" s="15">
        <v>0</v>
      </c>
      <c r="F18" s="15">
        <v>2491.1125000000002</v>
      </c>
      <c r="G18" s="15">
        <v>753.39</v>
      </c>
      <c r="H18" s="17">
        <v>0.23219999999999999</v>
      </c>
      <c r="I18" s="15">
        <v>58430.750000000007</v>
      </c>
      <c r="J18" s="15">
        <v>3210</v>
      </c>
      <c r="K18" s="15">
        <v>129245.64</v>
      </c>
      <c r="L18" s="16">
        <v>-128492.25</v>
      </c>
      <c r="M18" s="20">
        <v>-39.603099999999998</v>
      </c>
      <c r="N18" s="15">
        <v>2000000</v>
      </c>
      <c r="O18" s="15">
        <v>95353.36</v>
      </c>
      <c r="P18" s="15">
        <v>1966861.1</v>
      </c>
      <c r="Q18" s="15">
        <v>0</v>
      </c>
      <c r="R18" s="18">
        <v>99.9</v>
      </c>
      <c r="S18" s="19">
        <v>8</v>
      </c>
      <c r="T18" s="15">
        <v>2720000</v>
      </c>
      <c r="U18" s="16">
        <v>-753138.9</v>
      </c>
    </row>
    <row r="19" spans="1:21" ht="16" customHeight="1" x14ac:dyDescent="0.35">
      <c r="A19" s="8" t="s">
        <v>31</v>
      </c>
      <c r="B19" s="8" t="s">
        <v>30</v>
      </c>
      <c r="C19" s="9">
        <v>8849.5</v>
      </c>
      <c r="D19" s="9">
        <v>6849.5</v>
      </c>
      <c r="E19" s="9">
        <v>2000</v>
      </c>
      <c r="F19" s="9">
        <v>3481.2375000000002</v>
      </c>
      <c r="G19" s="9">
        <v>5368.26</v>
      </c>
      <c r="H19" s="10">
        <v>0.60660000000000003</v>
      </c>
      <c r="I19" s="9">
        <v>58430.750000000007</v>
      </c>
      <c r="J19" s="9">
        <v>4110</v>
      </c>
      <c r="K19" s="9">
        <v>80217.740000000005</v>
      </c>
      <c r="L19" s="11">
        <v>-74849.48</v>
      </c>
      <c r="M19" s="21">
        <v>-8.4580000000000002</v>
      </c>
      <c r="N19" s="9">
        <v>0</v>
      </c>
      <c r="O19" s="9">
        <v>1966861.1</v>
      </c>
      <c r="P19" s="9">
        <v>1892011.63</v>
      </c>
      <c r="Q19" s="9">
        <v>74849.477500000008</v>
      </c>
      <c r="R19" s="12">
        <v>25.277552894963979</v>
      </c>
      <c r="S19" s="13">
        <v>8</v>
      </c>
      <c r="T19" s="9">
        <v>2720000</v>
      </c>
      <c r="U19" s="11">
        <v>-827988.37</v>
      </c>
    </row>
    <row r="20" spans="1:21" ht="16" customHeight="1" x14ac:dyDescent="0.35">
      <c r="A20" s="14" t="s">
        <v>32</v>
      </c>
      <c r="B20" s="14" t="s">
        <v>30</v>
      </c>
      <c r="C20" s="15">
        <v>16617.5</v>
      </c>
      <c r="D20" s="15">
        <v>12617.5</v>
      </c>
      <c r="E20" s="15">
        <v>4000</v>
      </c>
      <c r="F20" s="15">
        <v>5465.4375</v>
      </c>
      <c r="G20" s="15">
        <v>11152.06</v>
      </c>
      <c r="H20" s="17">
        <v>0.67110000000000003</v>
      </c>
      <c r="I20" s="15">
        <v>73478.516666666677</v>
      </c>
      <c r="J20" s="15">
        <v>5950</v>
      </c>
      <c r="K20" s="15">
        <v>97220.866666666683</v>
      </c>
      <c r="L20" s="16">
        <v>-86068.800000000003</v>
      </c>
      <c r="M20" s="20">
        <v>-5.1794000000000002</v>
      </c>
      <c r="N20" s="15">
        <v>0</v>
      </c>
      <c r="O20" s="15">
        <v>1892011.63</v>
      </c>
      <c r="P20" s="15">
        <v>1805942.82</v>
      </c>
      <c r="Q20" s="15">
        <v>86068.804166666683</v>
      </c>
      <c r="R20" s="18">
        <v>20.982548090280289</v>
      </c>
      <c r="S20" s="19">
        <v>10</v>
      </c>
      <c r="T20" s="15">
        <v>2720000</v>
      </c>
      <c r="U20" s="16">
        <v>-914057.18</v>
      </c>
    </row>
    <row r="21" spans="1:21" ht="16" customHeight="1" x14ac:dyDescent="0.35">
      <c r="A21" s="8" t="s">
        <v>33</v>
      </c>
      <c r="B21" s="8" t="s">
        <v>30</v>
      </c>
      <c r="C21" s="9">
        <v>16780.5</v>
      </c>
      <c r="D21" s="9">
        <v>14780.5</v>
      </c>
      <c r="E21" s="9">
        <v>2000</v>
      </c>
      <c r="F21" s="9">
        <v>6059.5124999999998</v>
      </c>
      <c r="G21" s="9">
        <v>10720.99</v>
      </c>
      <c r="H21" s="10">
        <v>0.63890000000000002</v>
      </c>
      <c r="I21" s="9">
        <v>73478.516666666677</v>
      </c>
      <c r="J21" s="9">
        <v>6490</v>
      </c>
      <c r="K21" s="9">
        <v>97804.126666666678</v>
      </c>
      <c r="L21" s="11">
        <v>-87083.14</v>
      </c>
      <c r="M21" s="21">
        <v>-5.1894999999999998</v>
      </c>
      <c r="N21" s="9">
        <v>0</v>
      </c>
      <c r="O21" s="9">
        <v>1805942.82</v>
      </c>
      <c r="P21" s="9">
        <v>1718859.68</v>
      </c>
      <c r="Q21" s="9">
        <v>87083.139166666675</v>
      </c>
      <c r="R21" s="12">
        <v>19.738145636248159</v>
      </c>
      <c r="S21" s="13">
        <v>10</v>
      </c>
      <c r="T21" s="9">
        <v>2720000</v>
      </c>
      <c r="U21" s="11">
        <v>-1001140.32</v>
      </c>
    </row>
    <row r="22" spans="1:21" ht="16" customHeight="1" x14ac:dyDescent="0.35">
      <c r="A22" s="14" t="s">
        <v>34</v>
      </c>
      <c r="B22" s="14" t="s">
        <v>30</v>
      </c>
      <c r="C22" s="15">
        <v>20385.5</v>
      </c>
      <c r="D22" s="15">
        <v>18385.5</v>
      </c>
      <c r="E22" s="15">
        <v>2000</v>
      </c>
      <c r="F22" s="15">
        <v>7249.6374999999998</v>
      </c>
      <c r="G22" s="15">
        <v>13135.86</v>
      </c>
      <c r="H22" s="17">
        <v>0.64439999999999997</v>
      </c>
      <c r="I22" s="15">
        <v>81421.266666666663</v>
      </c>
      <c r="J22" s="15">
        <v>7590</v>
      </c>
      <c r="K22" s="15">
        <v>106918.9766666667</v>
      </c>
      <c r="L22" s="16">
        <v>-93783.11</v>
      </c>
      <c r="M22" s="20">
        <v>-4.6005000000000003</v>
      </c>
      <c r="N22" s="15">
        <v>0</v>
      </c>
      <c r="O22" s="15">
        <v>1718859.68</v>
      </c>
      <c r="P22" s="15">
        <v>1625076.57</v>
      </c>
      <c r="Q22" s="15">
        <v>93783.114166666666</v>
      </c>
      <c r="R22" s="18">
        <v>17.328029503036781</v>
      </c>
      <c r="S22" s="19">
        <v>11</v>
      </c>
      <c r="T22" s="15">
        <v>2720000</v>
      </c>
      <c r="U22" s="16">
        <v>-1094923.43</v>
      </c>
    </row>
    <row r="23" spans="1:21" ht="16" customHeight="1" x14ac:dyDescent="0.35">
      <c r="A23" s="8" t="s">
        <v>35</v>
      </c>
      <c r="B23" s="8" t="s">
        <v>30</v>
      </c>
      <c r="C23" s="9">
        <v>18385.5</v>
      </c>
      <c r="D23" s="9">
        <v>18385.5</v>
      </c>
      <c r="E23" s="9">
        <v>0</v>
      </c>
      <c r="F23" s="9">
        <v>7449.6374999999998</v>
      </c>
      <c r="G23" s="9">
        <v>10935.86</v>
      </c>
      <c r="H23" s="10">
        <v>0.5948</v>
      </c>
      <c r="I23" s="9">
        <v>89678.166666666672</v>
      </c>
      <c r="J23" s="9">
        <v>7790</v>
      </c>
      <c r="K23" s="9">
        <v>115475.87666666671</v>
      </c>
      <c r="L23" s="11">
        <v>-104540.01</v>
      </c>
      <c r="M23" s="21">
        <v>-5.6859999999999999</v>
      </c>
      <c r="N23" s="9">
        <v>0</v>
      </c>
      <c r="O23" s="9">
        <v>1625076.57</v>
      </c>
      <c r="P23" s="9">
        <v>1520536.55</v>
      </c>
      <c r="Q23" s="9">
        <v>104540.0141666667</v>
      </c>
      <c r="R23" s="12">
        <v>14.54501959963225</v>
      </c>
      <c r="S23" s="13">
        <v>12</v>
      </c>
      <c r="T23" s="9">
        <v>2720000</v>
      </c>
      <c r="U23" s="11">
        <v>-1199463.45</v>
      </c>
    </row>
    <row r="24" spans="1:21" ht="16" customHeight="1" x14ac:dyDescent="0.35">
      <c r="A24" s="14" t="s">
        <v>36</v>
      </c>
      <c r="B24" s="14" t="s">
        <v>30</v>
      </c>
      <c r="C24" s="15">
        <v>35840</v>
      </c>
      <c r="D24" s="15">
        <v>28840</v>
      </c>
      <c r="E24" s="15">
        <v>7000.0000000000009</v>
      </c>
      <c r="F24" s="15">
        <v>10321</v>
      </c>
      <c r="G24" s="15">
        <v>25519</v>
      </c>
      <c r="H24" s="17">
        <v>0.71199999999999997</v>
      </c>
      <c r="I24" s="15">
        <v>89678.166666666672</v>
      </c>
      <c r="J24" s="15">
        <v>10400</v>
      </c>
      <c r="K24" s="15">
        <v>118294.9666666667</v>
      </c>
      <c r="L24" s="16">
        <v>-92775.97</v>
      </c>
      <c r="M24" s="20">
        <v>-2.5886</v>
      </c>
      <c r="N24" s="15">
        <v>0</v>
      </c>
      <c r="O24" s="15">
        <v>1520536.55</v>
      </c>
      <c r="P24" s="15">
        <v>1427760.59</v>
      </c>
      <c r="Q24" s="15">
        <v>92775.966666666674</v>
      </c>
      <c r="R24" s="18">
        <v>15.389336696033711</v>
      </c>
      <c r="S24" s="19">
        <v>12</v>
      </c>
      <c r="T24" s="15">
        <v>2720000</v>
      </c>
      <c r="U24" s="16">
        <v>-1292239.4099999999</v>
      </c>
    </row>
    <row r="25" spans="1:21" ht="16" customHeight="1" x14ac:dyDescent="0.35">
      <c r="A25" s="8" t="s">
        <v>37</v>
      </c>
      <c r="B25" s="8" t="s">
        <v>30</v>
      </c>
      <c r="C25" s="9">
        <v>31985.833333333328</v>
      </c>
      <c r="D25" s="9">
        <v>30985.833333333328</v>
      </c>
      <c r="E25" s="9">
        <v>1000</v>
      </c>
      <c r="F25" s="9">
        <v>11024.64583333333</v>
      </c>
      <c r="G25" s="9">
        <v>20961.189999999999</v>
      </c>
      <c r="H25" s="10">
        <v>0.65529999999999999</v>
      </c>
      <c r="I25" s="9">
        <v>95003</v>
      </c>
      <c r="J25" s="9">
        <v>11050</v>
      </c>
      <c r="K25" s="9">
        <v>124312.7166666667</v>
      </c>
      <c r="L25" s="11">
        <v>-103351.53</v>
      </c>
      <c r="M25" s="21">
        <v>-3.2311999999999999</v>
      </c>
      <c r="N25" s="9">
        <v>0</v>
      </c>
      <c r="O25" s="9">
        <v>1427760.59</v>
      </c>
      <c r="P25" s="9">
        <v>1324409.06</v>
      </c>
      <c r="Q25" s="9">
        <v>103351.5291666667</v>
      </c>
      <c r="R25" s="12">
        <v>12.814605355581129</v>
      </c>
      <c r="S25" s="13">
        <v>13</v>
      </c>
      <c r="T25" s="9">
        <v>2720000</v>
      </c>
      <c r="U25" s="11">
        <v>-1395590.94</v>
      </c>
    </row>
    <row r="26" spans="1:21" ht="16" customHeight="1" x14ac:dyDescent="0.35">
      <c r="A26" s="14" t="s">
        <v>38</v>
      </c>
      <c r="B26" s="14" t="s">
        <v>30</v>
      </c>
      <c r="C26" s="15">
        <v>43341.708333333343</v>
      </c>
      <c r="D26" s="15">
        <v>39341.708333333343</v>
      </c>
      <c r="E26" s="15">
        <v>4000</v>
      </c>
      <c r="F26" s="15">
        <v>13233.542708333331</v>
      </c>
      <c r="G26" s="15">
        <v>30108.17</v>
      </c>
      <c r="H26" s="17">
        <v>0.69469999999999998</v>
      </c>
      <c r="I26" s="15">
        <v>105578.327</v>
      </c>
      <c r="J26" s="15">
        <v>13050</v>
      </c>
      <c r="K26" s="15">
        <v>137155.16116666669</v>
      </c>
      <c r="L26" s="16">
        <v>-107047</v>
      </c>
      <c r="M26" s="20">
        <v>-2.4698000000000002</v>
      </c>
      <c r="N26" s="15">
        <v>0</v>
      </c>
      <c r="O26" s="15">
        <v>1324409.06</v>
      </c>
      <c r="P26" s="15">
        <v>1217362.06</v>
      </c>
      <c r="Q26" s="15">
        <v>107046.99554166671</v>
      </c>
      <c r="R26" s="18">
        <v>11.37222074720591</v>
      </c>
      <c r="S26" s="19">
        <v>14</v>
      </c>
      <c r="T26" s="15">
        <v>2720000</v>
      </c>
      <c r="U26" s="16">
        <v>-1502637.94</v>
      </c>
    </row>
    <row r="27" spans="1:21" ht="16" customHeight="1" x14ac:dyDescent="0.35">
      <c r="A27" s="8" t="s">
        <v>39</v>
      </c>
      <c r="B27" s="8" t="s">
        <v>30</v>
      </c>
      <c r="C27" s="9">
        <v>48168.803333333337</v>
      </c>
      <c r="D27" s="9">
        <v>44168.803333333337</v>
      </c>
      <c r="E27" s="9">
        <v>4000</v>
      </c>
      <c r="F27" s="9">
        <v>14524.22008333333</v>
      </c>
      <c r="G27" s="9">
        <v>33644.58</v>
      </c>
      <c r="H27" s="10">
        <v>0.69850000000000001</v>
      </c>
      <c r="I27" s="9">
        <v>105578.327</v>
      </c>
      <c r="J27" s="9">
        <v>14220</v>
      </c>
      <c r="K27" s="9">
        <v>138421.7030666667</v>
      </c>
      <c r="L27" s="11">
        <v>-104777.12</v>
      </c>
      <c r="M27" s="21">
        <v>-2.1751999999999998</v>
      </c>
      <c r="N27" s="9">
        <v>0</v>
      </c>
      <c r="O27" s="9">
        <v>1217362.06</v>
      </c>
      <c r="P27" s="9">
        <v>1112584.94</v>
      </c>
      <c r="Q27" s="9">
        <v>104777.1198166667</v>
      </c>
      <c r="R27" s="12">
        <v>10.61858682272498</v>
      </c>
      <c r="S27" s="13">
        <v>14</v>
      </c>
      <c r="T27" s="9">
        <v>2720000</v>
      </c>
      <c r="U27" s="11">
        <v>-1607415.06</v>
      </c>
    </row>
    <row r="28" spans="1:21" ht="16" customHeight="1" x14ac:dyDescent="0.35">
      <c r="A28" s="14" t="s">
        <v>40</v>
      </c>
      <c r="B28" s="14" t="s">
        <v>30</v>
      </c>
      <c r="C28" s="15">
        <v>47007.696666666663</v>
      </c>
      <c r="D28" s="15">
        <v>46007.696666666663</v>
      </c>
      <c r="E28" s="15">
        <v>1000</v>
      </c>
      <c r="F28" s="15">
        <v>14930.19241666667</v>
      </c>
      <c r="G28" s="15">
        <v>32077.5</v>
      </c>
      <c r="H28" s="17">
        <v>0.68240000000000001</v>
      </c>
      <c r="I28" s="15">
        <v>105578.327</v>
      </c>
      <c r="J28" s="15">
        <v>14580</v>
      </c>
      <c r="K28" s="15">
        <v>138818.48093333331</v>
      </c>
      <c r="L28" s="16">
        <v>-106740.98</v>
      </c>
      <c r="M28" s="20">
        <v>-2.2707000000000002</v>
      </c>
      <c r="N28" s="15">
        <v>0</v>
      </c>
      <c r="O28" s="15">
        <v>1112584.94</v>
      </c>
      <c r="P28" s="15">
        <v>1005843.97</v>
      </c>
      <c r="Q28" s="15">
        <v>106740.9766833333</v>
      </c>
      <c r="R28" s="18">
        <v>9.4232224435140814</v>
      </c>
      <c r="S28" s="19">
        <v>14</v>
      </c>
      <c r="T28" s="15">
        <v>2720000</v>
      </c>
      <c r="U28" s="16">
        <v>-1714156.03</v>
      </c>
    </row>
    <row r="29" spans="1:21" ht="16" customHeight="1" x14ac:dyDescent="0.35">
      <c r="A29" s="8" t="s">
        <v>41</v>
      </c>
      <c r="B29" s="8" t="s">
        <v>30</v>
      </c>
      <c r="C29" s="9">
        <v>45636.381666666661</v>
      </c>
      <c r="D29" s="9">
        <v>45636.381666666661</v>
      </c>
      <c r="E29" s="9">
        <v>0</v>
      </c>
      <c r="F29" s="9">
        <v>14830.90954166667</v>
      </c>
      <c r="G29" s="9">
        <v>30805.47</v>
      </c>
      <c r="H29" s="10">
        <v>0.67500000000000004</v>
      </c>
      <c r="I29" s="9">
        <v>105578.327</v>
      </c>
      <c r="J29" s="9">
        <v>14490</v>
      </c>
      <c r="K29" s="9">
        <v>138721.05463333329</v>
      </c>
      <c r="L29" s="11">
        <v>-107915.58</v>
      </c>
      <c r="M29" s="21">
        <v>-2.3647</v>
      </c>
      <c r="N29" s="9">
        <v>0</v>
      </c>
      <c r="O29" s="9">
        <v>1005843.97</v>
      </c>
      <c r="P29" s="9">
        <v>897928.38</v>
      </c>
      <c r="Q29" s="9">
        <v>107915.5825083333</v>
      </c>
      <c r="R29" s="12">
        <v>8.3206554952092091</v>
      </c>
      <c r="S29" s="13">
        <v>14</v>
      </c>
      <c r="T29" s="9">
        <v>2720000</v>
      </c>
      <c r="U29" s="11">
        <v>-1822071.62</v>
      </c>
    </row>
    <row r="30" spans="1:21" ht="16" customHeight="1" x14ac:dyDescent="0.35">
      <c r="A30" s="14" t="s">
        <v>42</v>
      </c>
      <c r="B30" s="14" t="s">
        <v>43</v>
      </c>
      <c r="C30" s="15">
        <v>45265.066666666673</v>
      </c>
      <c r="D30" s="15">
        <v>45265.066666666673</v>
      </c>
      <c r="E30" s="15">
        <v>0</v>
      </c>
      <c r="F30" s="15">
        <v>15431.626666666671</v>
      </c>
      <c r="G30" s="15">
        <v>29833.439999999999</v>
      </c>
      <c r="H30" s="17">
        <v>0.65910000000000002</v>
      </c>
      <c r="I30" s="15">
        <v>105578.327</v>
      </c>
      <c r="J30" s="15">
        <v>15800</v>
      </c>
      <c r="K30" s="15">
        <v>253056.9616666667</v>
      </c>
      <c r="L30" s="16">
        <v>-223223.52</v>
      </c>
      <c r="M30" s="20">
        <v>-4.9314999999999998</v>
      </c>
      <c r="N30" s="15">
        <v>10000000</v>
      </c>
      <c r="O30" s="15">
        <v>897928.38</v>
      </c>
      <c r="P30" s="15">
        <v>10674704.859999999</v>
      </c>
      <c r="Q30" s="15">
        <v>0</v>
      </c>
      <c r="R30" s="18">
        <v>99.9</v>
      </c>
      <c r="S30" s="19">
        <v>14</v>
      </c>
      <c r="T30" s="15">
        <v>12720000</v>
      </c>
      <c r="U30" s="16">
        <v>-2045295.14</v>
      </c>
    </row>
    <row r="31" spans="1:21" ht="16" customHeight="1" x14ac:dyDescent="0.35">
      <c r="A31" s="8" t="s">
        <v>44</v>
      </c>
      <c r="B31" s="8" t="s">
        <v>43</v>
      </c>
      <c r="C31" s="9">
        <v>59530.259999999987</v>
      </c>
      <c r="D31" s="9">
        <v>54530.259999999987</v>
      </c>
      <c r="E31" s="9">
        <v>5000</v>
      </c>
      <c r="F31" s="9">
        <v>17823.2565</v>
      </c>
      <c r="G31" s="9">
        <v>41707</v>
      </c>
      <c r="H31" s="10">
        <v>0.7006</v>
      </c>
      <c r="I31" s="9">
        <v>105578.327</v>
      </c>
      <c r="J31" s="9">
        <v>17960</v>
      </c>
      <c r="K31" s="9">
        <v>155402.2655333333</v>
      </c>
      <c r="L31" s="11">
        <v>-113695.26</v>
      </c>
      <c r="M31" s="21">
        <v>-1.9098999999999999</v>
      </c>
      <c r="N31" s="9">
        <v>0</v>
      </c>
      <c r="O31" s="9">
        <v>10674704.859999999</v>
      </c>
      <c r="P31" s="9">
        <v>10561009.6</v>
      </c>
      <c r="Q31" s="9">
        <v>113695.2620333333</v>
      </c>
      <c r="R31" s="12">
        <v>92.888739706852306</v>
      </c>
      <c r="S31" s="13">
        <v>14</v>
      </c>
      <c r="T31" s="9">
        <v>12720000</v>
      </c>
      <c r="U31" s="11">
        <v>-2158990.4</v>
      </c>
    </row>
    <row r="32" spans="1:21" ht="16" customHeight="1" x14ac:dyDescent="0.35">
      <c r="A32" s="14" t="s">
        <v>45</v>
      </c>
      <c r="B32" s="14" t="s">
        <v>43</v>
      </c>
      <c r="C32" s="15">
        <v>64728.67</v>
      </c>
      <c r="D32" s="15">
        <v>59728.67</v>
      </c>
      <c r="E32" s="15">
        <v>5000</v>
      </c>
      <c r="F32" s="15">
        <v>19213.21675</v>
      </c>
      <c r="G32" s="15">
        <v>45515.45</v>
      </c>
      <c r="H32" s="17">
        <v>0.70320000000000005</v>
      </c>
      <c r="I32" s="15">
        <v>105578.327</v>
      </c>
      <c r="J32" s="15">
        <v>19220</v>
      </c>
      <c r="K32" s="15">
        <v>156766.2337333333</v>
      </c>
      <c r="L32" s="16">
        <v>-111250.78</v>
      </c>
      <c r="M32" s="20">
        <v>-1.7186999999999999</v>
      </c>
      <c r="N32" s="15">
        <v>0</v>
      </c>
      <c r="O32" s="15">
        <v>10561009.6</v>
      </c>
      <c r="P32" s="15">
        <v>10449758.82</v>
      </c>
      <c r="Q32" s="15">
        <v>111250.78048333331</v>
      </c>
      <c r="R32" s="18">
        <v>93.929757391669085</v>
      </c>
      <c r="S32" s="19">
        <v>14</v>
      </c>
      <c r="T32" s="15">
        <v>12720000</v>
      </c>
      <c r="U32" s="16">
        <v>-2270241.1800000002</v>
      </c>
    </row>
    <row r="33" spans="1:21" ht="16" customHeight="1" x14ac:dyDescent="0.35">
      <c r="A33" s="8" t="s">
        <v>46</v>
      </c>
      <c r="B33" s="8" t="s">
        <v>43</v>
      </c>
      <c r="C33" s="9">
        <v>70783.654999999999</v>
      </c>
      <c r="D33" s="9">
        <v>66783.654999999999</v>
      </c>
      <c r="E33" s="9">
        <v>4000</v>
      </c>
      <c r="F33" s="9">
        <v>21099.591375</v>
      </c>
      <c r="G33" s="9">
        <v>49684.06</v>
      </c>
      <c r="H33" s="10">
        <v>0.70189999999999997</v>
      </c>
      <c r="I33" s="9">
        <v>105578.327</v>
      </c>
      <c r="J33" s="9">
        <v>20930</v>
      </c>
      <c r="K33" s="9">
        <v>158617.33343333329</v>
      </c>
      <c r="L33" s="11">
        <v>-108933.27</v>
      </c>
      <c r="M33" s="21">
        <v>-1.5389999999999999</v>
      </c>
      <c r="N33" s="9">
        <v>0</v>
      </c>
      <c r="O33" s="9">
        <v>10449758.82</v>
      </c>
      <c r="P33" s="9">
        <v>10340825.550000001</v>
      </c>
      <c r="Q33" s="9">
        <v>108933.26980833329</v>
      </c>
      <c r="R33" s="12">
        <v>94.928074488350063</v>
      </c>
      <c r="S33" s="13">
        <v>14</v>
      </c>
      <c r="T33" s="9">
        <v>12720000</v>
      </c>
      <c r="U33" s="11">
        <v>-2379174.4500000002</v>
      </c>
    </row>
    <row r="34" spans="1:21" ht="16" customHeight="1" x14ac:dyDescent="0.35">
      <c r="A34" s="14" t="s">
        <v>47</v>
      </c>
      <c r="B34" s="14" t="s">
        <v>43</v>
      </c>
      <c r="C34" s="15">
        <v>92361.203333333324</v>
      </c>
      <c r="D34" s="15">
        <v>82361.203333333324</v>
      </c>
      <c r="E34" s="15">
        <v>10000</v>
      </c>
      <c r="F34" s="15">
        <v>25179.030083333331</v>
      </c>
      <c r="G34" s="15">
        <v>67182.17</v>
      </c>
      <c r="H34" s="17">
        <v>0.72740000000000005</v>
      </c>
      <c r="I34" s="15">
        <v>105578.327</v>
      </c>
      <c r="J34" s="15">
        <v>24620</v>
      </c>
      <c r="K34" s="15">
        <v>162618.88440000001</v>
      </c>
      <c r="L34" s="16">
        <v>-95436.71</v>
      </c>
      <c r="M34" s="20">
        <v>-1.0333000000000001</v>
      </c>
      <c r="N34" s="15">
        <v>0</v>
      </c>
      <c r="O34" s="15">
        <v>10340825.550000001</v>
      </c>
      <c r="P34" s="15">
        <v>10245388.84</v>
      </c>
      <c r="Q34" s="15">
        <v>95436.711149999988</v>
      </c>
      <c r="R34" s="18">
        <v>99.9</v>
      </c>
      <c r="S34" s="19">
        <v>14</v>
      </c>
      <c r="T34" s="15">
        <v>12720000</v>
      </c>
      <c r="U34" s="16">
        <v>-2474611.16</v>
      </c>
    </row>
    <row r="35" spans="1:21" ht="16" customHeight="1" x14ac:dyDescent="0.35">
      <c r="A35" s="8" t="s">
        <v>48</v>
      </c>
      <c r="B35" s="8" t="s">
        <v>43</v>
      </c>
      <c r="C35" s="9">
        <v>81618.573333333319</v>
      </c>
      <c r="D35" s="9">
        <v>81618.573333333319</v>
      </c>
      <c r="E35" s="9">
        <v>0</v>
      </c>
      <c r="F35" s="9">
        <v>24980.46433333333</v>
      </c>
      <c r="G35" s="9">
        <v>56638.11</v>
      </c>
      <c r="H35" s="10">
        <v>0.69389999999999996</v>
      </c>
      <c r="I35" s="9">
        <v>105578.327</v>
      </c>
      <c r="J35" s="9">
        <v>24440</v>
      </c>
      <c r="K35" s="9">
        <v>162424.0318</v>
      </c>
      <c r="L35" s="11">
        <v>-105785.92</v>
      </c>
      <c r="M35" s="21">
        <v>-1.2961</v>
      </c>
      <c r="N35" s="9">
        <v>0</v>
      </c>
      <c r="O35" s="9">
        <v>10245388.84</v>
      </c>
      <c r="P35" s="9">
        <v>10139602.92</v>
      </c>
      <c r="Q35" s="9">
        <v>105785.9228</v>
      </c>
      <c r="R35" s="12">
        <v>95.850210011827755</v>
      </c>
      <c r="S35" s="13">
        <v>14</v>
      </c>
      <c r="T35" s="9">
        <v>12720000</v>
      </c>
      <c r="U35" s="11">
        <v>-2580397.08</v>
      </c>
    </row>
    <row r="36" spans="1:21" ht="16" customHeight="1" x14ac:dyDescent="0.35">
      <c r="A36" s="14" t="s">
        <v>49</v>
      </c>
      <c r="B36" s="14" t="s">
        <v>43</v>
      </c>
      <c r="C36" s="15">
        <v>92302.243333333332</v>
      </c>
      <c r="D36" s="15">
        <v>88302.243333333332</v>
      </c>
      <c r="E36" s="15">
        <v>4000</v>
      </c>
      <c r="F36" s="15">
        <v>26767.556083333329</v>
      </c>
      <c r="G36" s="15">
        <v>65534.69</v>
      </c>
      <c r="H36" s="17">
        <v>0.71</v>
      </c>
      <c r="I36" s="15">
        <v>105578.327</v>
      </c>
      <c r="J36" s="15">
        <v>26060</v>
      </c>
      <c r="K36" s="15">
        <v>164177.7052</v>
      </c>
      <c r="L36" s="16">
        <v>-98643.02</v>
      </c>
      <c r="M36" s="20">
        <v>-1.0687</v>
      </c>
      <c r="N36" s="15">
        <v>0</v>
      </c>
      <c r="O36" s="15">
        <v>10139602.92</v>
      </c>
      <c r="P36" s="15">
        <v>10040959.9</v>
      </c>
      <c r="Q36" s="15">
        <v>98643.017949999994</v>
      </c>
      <c r="R36" s="18">
        <v>99.9</v>
      </c>
      <c r="S36" s="19">
        <v>14</v>
      </c>
      <c r="T36" s="15">
        <v>12720000</v>
      </c>
      <c r="U36" s="16">
        <v>-2679040.1</v>
      </c>
    </row>
    <row r="37" spans="1:21" ht="16" customHeight="1" x14ac:dyDescent="0.35">
      <c r="A37" s="8" t="s">
        <v>50</v>
      </c>
      <c r="B37" s="8" t="s">
        <v>43</v>
      </c>
      <c r="C37" s="9">
        <v>94997.71166666667</v>
      </c>
      <c r="D37" s="9">
        <v>91997.71166666667</v>
      </c>
      <c r="E37" s="9">
        <v>3000</v>
      </c>
      <c r="F37" s="9">
        <v>27669.942791666668</v>
      </c>
      <c r="G37" s="9">
        <v>67327.77</v>
      </c>
      <c r="H37" s="10">
        <v>0.7087</v>
      </c>
      <c r="I37" s="9">
        <v>105578.327</v>
      </c>
      <c r="J37" s="9">
        <v>26870</v>
      </c>
      <c r="K37" s="9">
        <v>165061.61456666671</v>
      </c>
      <c r="L37" s="11">
        <v>-97733.85</v>
      </c>
      <c r="M37" s="21">
        <v>-1.0287999999999999</v>
      </c>
      <c r="N37" s="9">
        <v>0</v>
      </c>
      <c r="O37" s="9">
        <v>10040959.9</v>
      </c>
      <c r="P37" s="9">
        <v>9943226.0500000007</v>
      </c>
      <c r="Q37" s="9">
        <v>97733.845691666647</v>
      </c>
      <c r="R37" s="12">
        <v>99.9</v>
      </c>
      <c r="S37" s="13">
        <v>14</v>
      </c>
      <c r="T37" s="9">
        <v>12720000</v>
      </c>
      <c r="U37" s="11">
        <v>-2776773.95</v>
      </c>
    </row>
    <row r="38" spans="1:21" ht="16" customHeight="1" x14ac:dyDescent="0.35">
      <c r="A38" s="14" t="s">
        <v>51</v>
      </c>
      <c r="B38" s="14" t="s">
        <v>43</v>
      </c>
      <c r="C38" s="15">
        <v>100434.8241666667</v>
      </c>
      <c r="D38" s="15">
        <v>97434.824166666673</v>
      </c>
      <c r="E38" s="15">
        <v>3000</v>
      </c>
      <c r="F38" s="15">
        <v>28435.87060416667</v>
      </c>
      <c r="G38" s="15">
        <v>71998.95</v>
      </c>
      <c r="H38" s="17">
        <v>0.71689999999999998</v>
      </c>
      <c r="I38" s="15">
        <v>107966.30680999999</v>
      </c>
      <c r="J38" s="15">
        <v>27500</v>
      </c>
      <c r="K38" s="15">
        <v>168188.33662666671</v>
      </c>
      <c r="L38" s="16">
        <v>-96189.38</v>
      </c>
      <c r="M38" s="20">
        <v>-0.9577</v>
      </c>
      <c r="N38" s="15">
        <v>0</v>
      </c>
      <c r="O38" s="15">
        <v>9943226.0500000007</v>
      </c>
      <c r="P38" s="15">
        <v>9847036.6699999999</v>
      </c>
      <c r="Q38" s="15">
        <v>96189.383064166643</v>
      </c>
      <c r="R38" s="18">
        <v>99.9</v>
      </c>
      <c r="S38" s="19">
        <v>14</v>
      </c>
      <c r="T38" s="15">
        <v>12720000</v>
      </c>
      <c r="U38" s="16">
        <v>-2872963.33</v>
      </c>
    </row>
    <row r="39" spans="1:21" ht="16" customHeight="1" x14ac:dyDescent="0.35">
      <c r="A39" s="8" t="s">
        <v>52</v>
      </c>
      <c r="B39" s="8" t="s">
        <v>43</v>
      </c>
      <c r="C39" s="9">
        <v>120585.6388166667</v>
      </c>
      <c r="D39" s="9">
        <v>111585.6388166667</v>
      </c>
      <c r="E39" s="9">
        <v>9000</v>
      </c>
      <c r="F39" s="9">
        <v>32119.640970416669</v>
      </c>
      <c r="G39" s="9">
        <v>88466</v>
      </c>
      <c r="H39" s="10">
        <v>0.73360000000000003</v>
      </c>
      <c r="I39" s="9">
        <v>107966.30680999999</v>
      </c>
      <c r="J39" s="9">
        <v>30830</v>
      </c>
      <c r="K39" s="9">
        <v>171801.35291966659</v>
      </c>
      <c r="L39" s="11">
        <v>-83335.360000000001</v>
      </c>
      <c r="M39" s="21">
        <v>-0.69110000000000005</v>
      </c>
      <c r="N39" s="9">
        <v>0</v>
      </c>
      <c r="O39" s="9">
        <v>9847036.6699999999</v>
      </c>
      <c r="P39" s="9">
        <v>9763701.3100000005</v>
      </c>
      <c r="Q39" s="9">
        <v>83335.355073416635</v>
      </c>
      <c r="R39" s="12">
        <v>99.9</v>
      </c>
      <c r="S39" s="13">
        <v>14</v>
      </c>
      <c r="T39" s="9">
        <v>12720000</v>
      </c>
      <c r="U39" s="11">
        <v>-2956298.69</v>
      </c>
    </row>
    <row r="40" spans="1:21" ht="16" customHeight="1" x14ac:dyDescent="0.35">
      <c r="A40" s="14" t="s">
        <v>53</v>
      </c>
      <c r="B40" s="14" t="s">
        <v>43</v>
      </c>
      <c r="C40" s="15">
        <v>125746.33349999999</v>
      </c>
      <c r="D40" s="15">
        <v>120746.33349999999</v>
      </c>
      <c r="E40" s="15">
        <v>5000</v>
      </c>
      <c r="F40" s="15">
        <v>34418.658337499997</v>
      </c>
      <c r="G40" s="15">
        <v>91327.679999999993</v>
      </c>
      <c r="H40" s="17">
        <v>0.72629999999999995</v>
      </c>
      <c r="I40" s="15">
        <v>107966.30680999999</v>
      </c>
      <c r="J40" s="15">
        <v>32900</v>
      </c>
      <c r="K40" s="15">
        <v>174054.56681333331</v>
      </c>
      <c r="L40" s="16">
        <v>-82726.89</v>
      </c>
      <c r="M40" s="20">
        <v>-0.65790000000000004</v>
      </c>
      <c r="N40" s="15">
        <v>0</v>
      </c>
      <c r="O40" s="15">
        <v>9763701.3100000005</v>
      </c>
      <c r="P40" s="15">
        <v>9680974.4199999999</v>
      </c>
      <c r="Q40" s="15">
        <v>82726.891650833306</v>
      </c>
      <c r="R40" s="18">
        <v>99.9</v>
      </c>
      <c r="S40" s="19">
        <v>14</v>
      </c>
      <c r="T40" s="15">
        <v>12720000</v>
      </c>
      <c r="U40" s="16">
        <v>-3039025.58</v>
      </c>
    </row>
    <row r="41" spans="1:21" ht="16" customHeight="1" x14ac:dyDescent="0.35">
      <c r="A41" s="8" t="s">
        <v>54</v>
      </c>
      <c r="B41" s="8" t="s">
        <v>43</v>
      </c>
      <c r="C41" s="9">
        <v>134777.87695000001</v>
      </c>
      <c r="D41" s="9">
        <v>128777.87695000001</v>
      </c>
      <c r="E41" s="9">
        <v>6000.0000000000009</v>
      </c>
      <c r="F41" s="9">
        <v>36509.446923750002</v>
      </c>
      <c r="G41" s="9">
        <v>98268.43</v>
      </c>
      <c r="H41" s="10">
        <v>0.72909999999999997</v>
      </c>
      <c r="I41" s="9">
        <v>107966.30680999999</v>
      </c>
      <c r="J41" s="9">
        <v>34790</v>
      </c>
      <c r="K41" s="9">
        <v>176105.1976823333</v>
      </c>
      <c r="L41" s="11">
        <v>-77836.77</v>
      </c>
      <c r="M41" s="21">
        <v>-0.57750000000000001</v>
      </c>
      <c r="N41" s="9">
        <v>0</v>
      </c>
      <c r="O41" s="9">
        <v>9680974.4199999999</v>
      </c>
      <c r="P41" s="9">
        <v>9603137.6600000001</v>
      </c>
      <c r="Q41" s="9">
        <v>77836.767656083321</v>
      </c>
      <c r="R41" s="12">
        <v>99.9</v>
      </c>
      <c r="S41" s="13">
        <v>14</v>
      </c>
      <c r="T41" s="9">
        <v>12720000</v>
      </c>
      <c r="U41" s="11">
        <v>-3116862.34</v>
      </c>
    </row>
    <row r="42" spans="1:21" ht="16" customHeight="1" x14ac:dyDescent="0.35">
      <c r="A42" s="14" t="s">
        <v>55</v>
      </c>
      <c r="B42" s="14" t="s">
        <v>56</v>
      </c>
      <c r="C42" s="15">
        <v>147869.05600000001</v>
      </c>
      <c r="D42" s="15">
        <v>139869.05600000001</v>
      </c>
      <c r="E42" s="15">
        <v>8000</v>
      </c>
      <c r="F42" s="15">
        <v>40096.7264</v>
      </c>
      <c r="G42" s="15">
        <v>107772.33</v>
      </c>
      <c r="H42" s="17">
        <v>0.7288</v>
      </c>
      <c r="I42" s="15">
        <v>112966.30680999999</v>
      </c>
      <c r="J42" s="15">
        <v>39100</v>
      </c>
      <c r="K42" s="15">
        <v>294537.02126333333</v>
      </c>
      <c r="L42" s="16">
        <v>-186764.69</v>
      </c>
      <c r="M42" s="20">
        <v>-1.2629999999999999</v>
      </c>
      <c r="N42" s="15">
        <v>0</v>
      </c>
      <c r="O42" s="15">
        <v>9603137.6600000001</v>
      </c>
      <c r="P42" s="15">
        <v>9416372.9600000009</v>
      </c>
      <c r="Q42" s="15">
        <v>186764.6916633333</v>
      </c>
      <c r="R42" s="18">
        <v>50.418378763474671</v>
      </c>
      <c r="S42" s="19">
        <v>14</v>
      </c>
      <c r="T42" s="15">
        <v>12720000</v>
      </c>
      <c r="U42" s="16">
        <v>-3303627.04</v>
      </c>
    </row>
    <row r="43" spans="1:21" ht="16" customHeight="1" x14ac:dyDescent="0.35">
      <c r="A43" s="8" t="s">
        <v>57</v>
      </c>
      <c r="B43" s="8" t="s">
        <v>56</v>
      </c>
      <c r="C43" s="9">
        <v>155647.2962333333</v>
      </c>
      <c r="D43" s="9">
        <v>148647.2962333333</v>
      </c>
      <c r="E43" s="9">
        <v>7000.0000000000009</v>
      </c>
      <c r="F43" s="9">
        <v>42296.18240583333</v>
      </c>
      <c r="G43" s="9">
        <v>113351.11</v>
      </c>
      <c r="H43" s="10">
        <v>0.72829999999999995</v>
      </c>
      <c r="I43" s="9">
        <v>112966.30680999999</v>
      </c>
      <c r="J43" s="9">
        <v>41080</v>
      </c>
      <c r="K43" s="9">
        <v>196692.586068</v>
      </c>
      <c r="L43" s="11">
        <v>-83341.47</v>
      </c>
      <c r="M43" s="21">
        <v>-0.53549999999999998</v>
      </c>
      <c r="N43" s="9">
        <v>0</v>
      </c>
      <c r="O43" s="9">
        <v>9416372.9600000009</v>
      </c>
      <c r="P43" s="9">
        <v>9333031.4900000002</v>
      </c>
      <c r="Q43" s="9">
        <v>83341.472240499977</v>
      </c>
      <c r="R43" s="12">
        <v>99.9</v>
      </c>
      <c r="S43" s="13">
        <v>14</v>
      </c>
      <c r="T43" s="9">
        <v>12720000</v>
      </c>
      <c r="U43" s="11">
        <v>-3386968.51</v>
      </c>
    </row>
    <row r="44" spans="1:21" ht="16" customHeight="1" x14ac:dyDescent="0.35">
      <c r="A44" s="14" t="s">
        <v>58</v>
      </c>
      <c r="B44" s="14" t="s">
        <v>56</v>
      </c>
      <c r="C44" s="15">
        <v>156236.7496333333</v>
      </c>
      <c r="D44" s="15">
        <v>153236.7496333333</v>
      </c>
      <c r="E44" s="15">
        <v>3000</v>
      </c>
      <c r="F44" s="15">
        <v>43490.918740833331</v>
      </c>
      <c r="G44" s="15">
        <v>112745.83</v>
      </c>
      <c r="H44" s="17">
        <v>0.72160000000000002</v>
      </c>
      <c r="I44" s="15">
        <v>112966.30680999999</v>
      </c>
      <c r="J44" s="15">
        <v>42160</v>
      </c>
      <c r="K44" s="15">
        <v>197864.37513599999</v>
      </c>
      <c r="L44" s="16">
        <v>-85118.54</v>
      </c>
      <c r="M44" s="20">
        <v>-0.54479999999999995</v>
      </c>
      <c r="N44" s="15">
        <v>0</v>
      </c>
      <c r="O44" s="15">
        <v>9333031.4900000002</v>
      </c>
      <c r="P44" s="15">
        <v>9247912.9499999993</v>
      </c>
      <c r="Q44" s="15">
        <v>85118.544243499986</v>
      </c>
      <c r="R44" s="18">
        <v>99.9</v>
      </c>
      <c r="S44" s="19">
        <v>14</v>
      </c>
      <c r="T44" s="15">
        <v>12720000</v>
      </c>
      <c r="U44" s="16">
        <v>-3472087.05</v>
      </c>
    </row>
    <row r="45" spans="1:21" ht="16" customHeight="1" x14ac:dyDescent="0.35">
      <c r="A45" s="8" t="s">
        <v>59</v>
      </c>
      <c r="B45" s="8" t="s">
        <v>56</v>
      </c>
      <c r="C45" s="9">
        <v>171563.01978333329</v>
      </c>
      <c r="D45" s="9">
        <v>163563.01978333329</v>
      </c>
      <c r="E45" s="9">
        <v>8000</v>
      </c>
      <c r="F45" s="9">
        <v>46179.075494583332</v>
      </c>
      <c r="G45" s="9">
        <v>125383.94</v>
      </c>
      <c r="H45" s="10">
        <v>0.73080000000000001</v>
      </c>
      <c r="I45" s="9">
        <v>112966.30680999999</v>
      </c>
      <c r="J45" s="9">
        <v>44590</v>
      </c>
      <c r="K45" s="9">
        <v>200500.90053899999</v>
      </c>
      <c r="L45" s="11">
        <v>-75116.960000000006</v>
      </c>
      <c r="M45" s="21">
        <v>-0.43780000000000002</v>
      </c>
      <c r="N45" s="9">
        <v>0</v>
      </c>
      <c r="O45" s="9">
        <v>9247912.9499999993</v>
      </c>
      <c r="P45" s="9">
        <v>9172795.9900000002</v>
      </c>
      <c r="Q45" s="9">
        <v>75116.956250250005</v>
      </c>
      <c r="R45" s="12">
        <v>99.9</v>
      </c>
      <c r="S45" s="13">
        <v>14</v>
      </c>
      <c r="T45" s="9">
        <v>12720000</v>
      </c>
      <c r="U45" s="11">
        <v>-3547204.01</v>
      </c>
    </row>
    <row r="46" spans="1:21" ht="16" customHeight="1" x14ac:dyDescent="0.35">
      <c r="A46" s="14" t="s">
        <v>60</v>
      </c>
      <c r="B46" s="14" t="s">
        <v>56</v>
      </c>
      <c r="C46" s="15">
        <v>171516.71551666671</v>
      </c>
      <c r="D46" s="15">
        <v>168516.71551666671</v>
      </c>
      <c r="E46" s="15">
        <v>3000</v>
      </c>
      <c r="F46" s="15">
        <v>47382.917887916657</v>
      </c>
      <c r="G46" s="15">
        <v>124133.8</v>
      </c>
      <c r="H46" s="17">
        <v>0.72370000000000001</v>
      </c>
      <c r="I46" s="15">
        <v>112966.30680999999</v>
      </c>
      <c r="J46" s="15">
        <v>45670</v>
      </c>
      <c r="K46" s="15">
        <v>201679.97445366671</v>
      </c>
      <c r="L46" s="16">
        <v>-77546.179999999993</v>
      </c>
      <c r="M46" s="20">
        <v>-0.4521</v>
      </c>
      <c r="N46" s="15">
        <v>0</v>
      </c>
      <c r="O46" s="15">
        <v>9172795.9900000002</v>
      </c>
      <c r="P46" s="15">
        <v>9095249.8100000005</v>
      </c>
      <c r="Q46" s="15">
        <v>77546.176824916649</v>
      </c>
      <c r="R46" s="18">
        <v>99.9</v>
      </c>
      <c r="S46" s="19">
        <v>14</v>
      </c>
      <c r="T46" s="15">
        <v>12720000</v>
      </c>
      <c r="U46" s="16">
        <v>-3624750.19</v>
      </c>
    </row>
    <row r="47" spans="1:21" ht="16" customHeight="1" x14ac:dyDescent="0.35">
      <c r="A47" s="8" t="s">
        <v>61</v>
      </c>
      <c r="B47" s="8" t="s">
        <v>56</v>
      </c>
      <c r="C47" s="9">
        <v>191902.62126666671</v>
      </c>
      <c r="D47" s="9">
        <v>181902.62126666671</v>
      </c>
      <c r="E47" s="9">
        <v>10000</v>
      </c>
      <c r="F47" s="9">
        <v>50867.565531666667</v>
      </c>
      <c r="G47" s="9">
        <v>141035.06</v>
      </c>
      <c r="H47" s="10">
        <v>0.7349</v>
      </c>
      <c r="I47" s="9">
        <v>112966.30680999999</v>
      </c>
      <c r="J47" s="9">
        <v>48820</v>
      </c>
      <c r="K47" s="9">
        <v>205097.69256866671</v>
      </c>
      <c r="L47" s="11">
        <v>-64062.64</v>
      </c>
      <c r="M47" s="21">
        <v>-0.33379999999999999</v>
      </c>
      <c r="N47" s="9">
        <v>0</v>
      </c>
      <c r="O47" s="9">
        <v>9095249.8100000005</v>
      </c>
      <c r="P47" s="9">
        <v>9031187.1799999997</v>
      </c>
      <c r="Q47" s="9">
        <v>64062.636833666649</v>
      </c>
      <c r="R47" s="12">
        <v>99.9</v>
      </c>
      <c r="S47" s="13">
        <v>14</v>
      </c>
      <c r="T47" s="9">
        <v>12720000</v>
      </c>
      <c r="U47" s="11">
        <v>-3688812.82</v>
      </c>
    </row>
    <row r="48" spans="1:21" ht="16" customHeight="1" x14ac:dyDescent="0.35">
      <c r="A48" s="14" t="s">
        <v>62</v>
      </c>
      <c r="B48" s="14" t="s">
        <v>56</v>
      </c>
      <c r="C48" s="15">
        <v>189492.07466666671</v>
      </c>
      <c r="D48" s="15">
        <v>186492.07466666671</v>
      </c>
      <c r="E48" s="15">
        <v>3000</v>
      </c>
      <c r="F48" s="15">
        <v>52062.301866666669</v>
      </c>
      <c r="G48" s="15">
        <v>137429.76999999999</v>
      </c>
      <c r="H48" s="17">
        <v>0.72529999999999994</v>
      </c>
      <c r="I48" s="15">
        <v>112966.30680999999</v>
      </c>
      <c r="J48" s="15">
        <v>49900</v>
      </c>
      <c r="K48" s="15">
        <v>206269.48163666661</v>
      </c>
      <c r="L48" s="16">
        <v>-68839.710000000006</v>
      </c>
      <c r="M48" s="20">
        <v>-0.36330000000000001</v>
      </c>
      <c r="N48" s="15">
        <v>0</v>
      </c>
      <c r="O48" s="15">
        <v>9031187.1799999997</v>
      </c>
      <c r="P48" s="15">
        <v>8962347.4700000007</v>
      </c>
      <c r="Q48" s="15">
        <v>68839.708836666658</v>
      </c>
      <c r="R48" s="18">
        <v>99.9</v>
      </c>
      <c r="S48" s="19">
        <v>14</v>
      </c>
      <c r="T48" s="15">
        <v>12720000</v>
      </c>
      <c r="U48" s="16">
        <v>-3757652.53</v>
      </c>
    </row>
    <row r="49" spans="1:21" ht="16" customHeight="1" x14ac:dyDescent="0.35">
      <c r="A49" s="8" t="s">
        <v>63</v>
      </c>
      <c r="B49" s="8" t="s">
        <v>56</v>
      </c>
      <c r="C49" s="9">
        <v>197358.04264999999</v>
      </c>
      <c r="D49" s="9">
        <v>193358.04264999999</v>
      </c>
      <c r="E49" s="9">
        <v>4000</v>
      </c>
      <c r="F49" s="9">
        <v>53763.951066250003</v>
      </c>
      <c r="G49" s="9">
        <v>143594.09</v>
      </c>
      <c r="H49" s="10">
        <v>0.72760000000000002</v>
      </c>
      <c r="I49" s="9">
        <v>112966.30680999999</v>
      </c>
      <c r="J49" s="9">
        <v>51430</v>
      </c>
      <c r="K49" s="9">
        <v>207936.8009963333</v>
      </c>
      <c r="L49" s="11">
        <v>-64342.71</v>
      </c>
      <c r="M49" s="21">
        <v>-0.32600000000000001</v>
      </c>
      <c r="N49" s="9">
        <v>0</v>
      </c>
      <c r="O49" s="9">
        <v>8962347.4700000007</v>
      </c>
      <c r="P49" s="9">
        <v>8898004.7599999998</v>
      </c>
      <c r="Q49" s="9">
        <v>64342.709412583303</v>
      </c>
      <c r="R49" s="12">
        <v>99.9</v>
      </c>
      <c r="S49" s="13">
        <v>14</v>
      </c>
      <c r="T49" s="9">
        <v>12720000</v>
      </c>
      <c r="U49" s="11">
        <v>-3821995.24</v>
      </c>
    </row>
    <row r="50" spans="1:21" ht="16" customHeight="1" x14ac:dyDescent="0.35">
      <c r="A50" s="14" t="s">
        <v>64</v>
      </c>
      <c r="B50" s="14" t="s">
        <v>56</v>
      </c>
      <c r="C50" s="15">
        <v>216613.05793350001</v>
      </c>
      <c r="D50" s="15">
        <v>208613.05793350001</v>
      </c>
      <c r="E50" s="15">
        <v>8000</v>
      </c>
      <c r="F50" s="15">
        <v>56305.326448337502</v>
      </c>
      <c r="G50" s="15">
        <v>160307.73000000001</v>
      </c>
      <c r="H50" s="17">
        <v>0.74009999999999998</v>
      </c>
      <c r="I50" s="15">
        <v>115425.9260143</v>
      </c>
      <c r="J50" s="15">
        <v>53590</v>
      </c>
      <c r="K50" s="15">
        <v>212861.52050630329</v>
      </c>
      <c r="L50" s="16">
        <v>-52553.79</v>
      </c>
      <c r="M50" s="20">
        <v>-0.24260000000000001</v>
      </c>
      <c r="N50" s="15">
        <v>0</v>
      </c>
      <c r="O50" s="15">
        <v>8898004.7599999998</v>
      </c>
      <c r="P50" s="15">
        <v>8845450.9700000007</v>
      </c>
      <c r="Q50" s="15">
        <v>52553.789021140808</v>
      </c>
      <c r="R50" s="18">
        <v>99.9</v>
      </c>
      <c r="S50" s="19">
        <v>14</v>
      </c>
      <c r="T50" s="15">
        <v>12720000</v>
      </c>
      <c r="U50" s="16">
        <v>-3874549.03</v>
      </c>
    </row>
    <row r="51" spans="1:21" ht="16" customHeight="1" x14ac:dyDescent="0.35">
      <c r="A51" s="8" t="s">
        <v>65</v>
      </c>
      <c r="B51" s="8" t="s">
        <v>56</v>
      </c>
      <c r="C51" s="9">
        <v>227461.26002099999</v>
      </c>
      <c r="D51" s="9">
        <v>218461.26002099999</v>
      </c>
      <c r="E51" s="9">
        <v>9000</v>
      </c>
      <c r="F51" s="9">
        <v>58801.531500525001</v>
      </c>
      <c r="G51" s="9">
        <v>168659.73</v>
      </c>
      <c r="H51" s="10">
        <v>0.74150000000000005</v>
      </c>
      <c r="I51" s="9">
        <v>115425.9260143</v>
      </c>
      <c r="J51" s="9">
        <v>55840</v>
      </c>
      <c r="K51" s="9">
        <v>215308.4845480533</v>
      </c>
      <c r="L51" s="11">
        <v>-46648.76</v>
      </c>
      <c r="M51" s="21">
        <v>-0.2051</v>
      </c>
      <c r="N51" s="9">
        <v>0</v>
      </c>
      <c r="O51" s="9">
        <v>8845450.9700000007</v>
      </c>
      <c r="P51" s="9">
        <v>8798802.2100000009</v>
      </c>
      <c r="Q51" s="9">
        <v>46648.756027578318</v>
      </c>
      <c r="R51" s="12">
        <v>99.9</v>
      </c>
      <c r="S51" s="13">
        <v>14</v>
      </c>
      <c r="T51" s="9">
        <v>12720000</v>
      </c>
      <c r="U51" s="11">
        <v>-3921197.79</v>
      </c>
    </row>
    <row r="52" spans="1:21" ht="16" customHeight="1" x14ac:dyDescent="0.35">
      <c r="A52" s="14" t="s">
        <v>66</v>
      </c>
      <c r="B52" s="14" t="s">
        <v>56</v>
      </c>
      <c r="C52" s="15">
        <v>229351.4227933333</v>
      </c>
      <c r="D52" s="15">
        <v>224351.4227933333</v>
      </c>
      <c r="E52" s="15">
        <v>5000</v>
      </c>
      <c r="F52" s="15">
        <v>60208.78556983333</v>
      </c>
      <c r="G52" s="15">
        <v>169142.64</v>
      </c>
      <c r="H52" s="17">
        <v>0.73750000000000004</v>
      </c>
      <c r="I52" s="15">
        <v>115425.9260143</v>
      </c>
      <c r="J52" s="15">
        <v>57100</v>
      </c>
      <c r="K52" s="15">
        <v>216686.28780349999</v>
      </c>
      <c r="L52" s="16">
        <v>-47543.65</v>
      </c>
      <c r="M52" s="20">
        <v>-0.20730000000000001</v>
      </c>
      <c r="N52" s="15">
        <v>0</v>
      </c>
      <c r="O52" s="15">
        <v>8798802.2100000009</v>
      </c>
      <c r="P52" s="15">
        <v>8751258.5600000005</v>
      </c>
      <c r="Q52" s="15">
        <v>47543.650579999987</v>
      </c>
      <c r="R52" s="18">
        <v>99.9</v>
      </c>
      <c r="S52" s="19">
        <v>14</v>
      </c>
      <c r="T52" s="15">
        <v>12720000</v>
      </c>
      <c r="U52" s="16">
        <v>-3968741.44</v>
      </c>
    </row>
    <row r="53" spans="1:21" ht="16" customHeight="1" x14ac:dyDescent="0.35">
      <c r="A53" s="8" t="s">
        <v>67</v>
      </c>
      <c r="B53" s="8" t="s">
        <v>56</v>
      </c>
      <c r="C53" s="9">
        <v>228927.13512733331</v>
      </c>
      <c r="D53" s="9">
        <v>225927.13512733331</v>
      </c>
      <c r="E53" s="9">
        <v>3000</v>
      </c>
      <c r="F53" s="9">
        <v>60608.178378183336</v>
      </c>
      <c r="G53" s="9">
        <v>168318.96</v>
      </c>
      <c r="H53" s="10">
        <v>0.73529999999999995</v>
      </c>
      <c r="I53" s="9">
        <v>115425.9260143</v>
      </c>
      <c r="J53" s="9">
        <v>57460</v>
      </c>
      <c r="K53" s="9">
        <v>217077.80205018001</v>
      </c>
      <c r="L53" s="11">
        <v>-48758.85</v>
      </c>
      <c r="M53" s="21">
        <v>-0.21299999999999999</v>
      </c>
      <c r="N53" s="9">
        <v>0</v>
      </c>
      <c r="O53" s="9">
        <v>8751258.5600000005</v>
      </c>
      <c r="P53" s="9">
        <v>8702499.7200000007</v>
      </c>
      <c r="Q53" s="9">
        <v>48758.845301029971</v>
      </c>
      <c r="R53" s="12">
        <v>99.9</v>
      </c>
      <c r="S53" s="13">
        <v>14</v>
      </c>
      <c r="T53" s="9">
        <v>12720000</v>
      </c>
      <c r="U53" s="11">
        <v>-4017500.28</v>
      </c>
    </row>
    <row r="54" spans="1:21" ht="18" customHeight="1" x14ac:dyDescent="0.35">
      <c r="A54" s="22" t="s">
        <v>68</v>
      </c>
      <c r="B54" s="23"/>
      <c r="C54" s="24">
        <v>3726691.93</v>
      </c>
      <c r="D54" s="24">
        <v>3572691.93</v>
      </c>
      <c r="E54" s="24">
        <v>154000</v>
      </c>
      <c r="F54" s="24">
        <v>1045307.3</v>
      </c>
      <c r="G54" s="24">
        <v>2681384.63</v>
      </c>
      <c r="H54" s="25">
        <v>0.56110000000000004</v>
      </c>
      <c r="I54" s="24">
        <v>4199599.74</v>
      </c>
      <c r="J54" s="24">
        <v>1018390</v>
      </c>
      <c r="K54" s="24">
        <v>6698884.9199999999</v>
      </c>
      <c r="L54" s="24">
        <v>-4017500.28</v>
      </c>
      <c r="M54" s="25">
        <v>-7.5088999999999997</v>
      </c>
      <c r="N54" s="24">
        <v>12720000</v>
      </c>
      <c r="O54" s="23"/>
      <c r="P54" s="24">
        <v>8702499.7200000007</v>
      </c>
      <c r="Q54" s="24">
        <v>3589391.26</v>
      </c>
      <c r="R54" s="26">
        <v>99.9</v>
      </c>
      <c r="S54" s="27">
        <v>14</v>
      </c>
      <c r="T54" s="24">
        <v>12720000</v>
      </c>
      <c r="U54" s="24">
        <v>-4017500.28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Q8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7" customWidth="1"/>
    <col min="3" max="5" width="15" customWidth="1"/>
    <col min="6" max="6" width="13" customWidth="1"/>
    <col min="7" max="8" width="15" customWidth="1"/>
    <col min="9" max="9" width="13" customWidth="1"/>
    <col min="10" max="10" width="12" customWidth="1"/>
    <col min="11" max="11" width="15" customWidth="1"/>
    <col min="12" max="12" width="16" customWidth="1"/>
    <col min="13" max="13" width="14" customWidth="1"/>
    <col min="14" max="16" width="16" customWidth="1"/>
    <col min="17" max="17" width="11" customWidth="1"/>
  </cols>
  <sheetData>
    <row r="1" spans="1:17" ht="36" customHeight="1" x14ac:dyDescent="0.35">
      <c r="A1" s="1" t="s">
        <v>69</v>
      </c>
      <c r="B1" s="1" t="s">
        <v>70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</row>
    <row r="2" spans="1:17" x14ac:dyDescent="0.35">
      <c r="A2" s="28">
        <v>2026</v>
      </c>
      <c r="B2" s="29">
        <v>9</v>
      </c>
      <c r="C2" s="9">
        <v>3150</v>
      </c>
      <c r="D2" s="9">
        <v>2788.75</v>
      </c>
      <c r="E2" s="9">
        <v>361.25</v>
      </c>
      <c r="F2" s="10">
        <v>0.1147</v>
      </c>
      <c r="G2" s="9">
        <v>206097</v>
      </c>
      <c r="H2" s="11">
        <v>-205735.75</v>
      </c>
      <c r="I2" s="21">
        <v>-65.312899999999999</v>
      </c>
      <c r="J2" s="9">
        <v>0</v>
      </c>
      <c r="K2" s="11">
        <v>-205735.75</v>
      </c>
      <c r="L2" s="11">
        <v>-6226</v>
      </c>
      <c r="M2" s="9">
        <v>23209.5278</v>
      </c>
      <c r="N2" s="9">
        <v>514264.25</v>
      </c>
      <c r="O2" s="9">
        <v>720000</v>
      </c>
      <c r="P2" s="11">
        <v>-205735.75</v>
      </c>
      <c r="Q2" s="30">
        <v>122.6349</v>
      </c>
    </row>
    <row r="3" spans="1:17" x14ac:dyDescent="0.35">
      <c r="A3" s="31">
        <v>2027</v>
      </c>
      <c r="B3" s="32">
        <v>12</v>
      </c>
      <c r="C3" s="15">
        <v>86105.5</v>
      </c>
      <c r="D3" s="15">
        <v>34492.637499999997</v>
      </c>
      <c r="E3" s="15">
        <v>51612.862500000003</v>
      </c>
      <c r="F3" s="17">
        <v>0.59940000000000004</v>
      </c>
      <c r="G3" s="15">
        <v>940800.54330000002</v>
      </c>
      <c r="H3" s="16">
        <v>-889187.68079999997</v>
      </c>
      <c r="I3" s="20">
        <v>-10.326700000000001</v>
      </c>
      <c r="J3" s="15">
        <v>0</v>
      </c>
      <c r="K3" s="16">
        <v>-889187.68079999997</v>
      </c>
      <c r="L3" s="15">
        <v>95353.356700000004</v>
      </c>
      <c r="M3" s="15">
        <v>81274.431700000001</v>
      </c>
      <c r="N3" s="15">
        <v>1625076.5692</v>
      </c>
      <c r="O3" s="15">
        <v>2720000</v>
      </c>
      <c r="P3" s="16">
        <v>-1094923.4308</v>
      </c>
      <c r="Q3" s="33">
        <v>142.34</v>
      </c>
    </row>
    <row r="4" spans="1:17" x14ac:dyDescent="0.35">
      <c r="A4" s="28">
        <v>2028</v>
      </c>
      <c r="B4" s="29">
        <v>12</v>
      </c>
      <c r="C4" s="9">
        <v>603034.77830000001</v>
      </c>
      <c r="D4" s="9">
        <v>185060.8695</v>
      </c>
      <c r="E4" s="9">
        <v>417973.90889999998</v>
      </c>
      <c r="F4" s="10">
        <v>0.69310000000000005</v>
      </c>
      <c r="G4" s="9">
        <v>1797661.6385999999</v>
      </c>
      <c r="H4" s="11">
        <v>-1379687.7297</v>
      </c>
      <c r="I4" s="21">
        <v>-2.2879</v>
      </c>
      <c r="J4" s="9">
        <v>0</v>
      </c>
      <c r="K4" s="11">
        <v>-1379687.7297</v>
      </c>
      <c r="L4" s="9">
        <v>897928.38459999999</v>
      </c>
      <c r="M4" s="9">
        <v>165226.8757</v>
      </c>
      <c r="N4" s="9">
        <v>10245388.839500001</v>
      </c>
      <c r="O4" s="9">
        <v>12720000</v>
      </c>
      <c r="P4" s="11">
        <v>-2474611.1605000002</v>
      </c>
      <c r="Q4" s="30">
        <v>545.5539</v>
      </c>
    </row>
    <row r="5" spans="1:17" x14ac:dyDescent="0.35">
      <c r="A5" s="31">
        <v>2029</v>
      </c>
      <c r="B5" s="32">
        <v>12</v>
      </c>
      <c r="C5" s="15">
        <v>1553296.0389</v>
      </c>
      <c r="D5" s="15">
        <v>430347.40100000001</v>
      </c>
      <c r="E5" s="15">
        <v>1122948.638</v>
      </c>
      <c r="F5" s="17">
        <v>0.72289999999999999</v>
      </c>
      <c r="G5" s="15">
        <v>2273087.6631</v>
      </c>
      <c r="H5" s="16">
        <v>-1150139.0251</v>
      </c>
      <c r="I5" s="20">
        <v>-0.74050000000000005</v>
      </c>
      <c r="J5" s="15">
        <v>0</v>
      </c>
      <c r="K5" s="16">
        <v>-1150139.0251</v>
      </c>
      <c r="L5" s="15">
        <v>9095249.8144000005</v>
      </c>
      <c r="M5" s="15">
        <v>225286.25529999999</v>
      </c>
      <c r="N5" s="15">
        <v>9095249.8144000005</v>
      </c>
      <c r="O5" s="15">
        <v>12720000</v>
      </c>
      <c r="P5" s="16">
        <v>-3624750.1856</v>
      </c>
      <c r="Q5" s="33">
        <v>365.17880000000002</v>
      </c>
    </row>
    <row r="6" spans="1:17" x14ac:dyDescent="0.35">
      <c r="A6" s="28">
        <v>2030</v>
      </c>
      <c r="B6" s="29">
        <v>7</v>
      </c>
      <c r="C6" s="9">
        <v>1481105.6144999999</v>
      </c>
      <c r="D6" s="9">
        <v>392617.64039999997</v>
      </c>
      <c r="E6" s="9">
        <v>1088487.9741</v>
      </c>
      <c r="F6" s="10">
        <v>0.7349</v>
      </c>
      <c r="G6" s="9">
        <v>1481238.0700999999</v>
      </c>
      <c r="H6" s="11">
        <v>-392750.09600000002</v>
      </c>
      <c r="I6" s="21">
        <v>-0.26519999999999999</v>
      </c>
      <c r="J6" s="9">
        <v>0</v>
      </c>
      <c r="K6" s="11">
        <v>-392750.09600000002</v>
      </c>
      <c r="L6" s="9">
        <v>8702499.7183999997</v>
      </c>
      <c r="M6" s="9">
        <v>267693.67290000001</v>
      </c>
      <c r="N6" s="9">
        <v>8702499.7183999997</v>
      </c>
      <c r="O6" s="9">
        <v>12720000</v>
      </c>
      <c r="P6" s="11">
        <v>-4017500.2815999999</v>
      </c>
      <c r="Q6" s="30">
        <v>313.39359999999999</v>
      </c>
    </row>
    <row r="8" spans="1:17" ht="18" customHeight="1" x14ac:dyDescent="0.35">
      <c r="A8" s="22" t="s">
        <v>79</v>
      </c>
      <c r="B8" s="34">
        <v>52</v>
      </c>
      <c r="C8" s="24">
        <v>3726691.93</v>
      </c>
      <c r="D8" s="24">
        <v>1045307.3</v>
      </c>
      <c r="E8" s="24">
        <v>2681384.63</v>
      </c>
      <c r="F8" s="35">
        <v>0.71950000000000003</v>
      </c>
      <c r="G8" s="24">
        <v>6698884.9199999999</v>
      </c>
      <c r="H8" s="24">
        <v>-4017500.28</v>
      </c>
      <c r="I8" s="35">
        <v>-1.0780000000000001</v>
      </c>
      <c r="J8" s="24">
        <v>0</v>
      </c>
      <c r="K8" s="24">
        <v>-4017500.28</v>
      </c>
      <c r="L8" s="34"/>
      <c r="M8" s="34"/>
      <c r="N8" s="24">
        <v>8702499.7200000007</v>
      </c>
      <c r="O8" s="24">
        <v>12720000</v>
      </c>
      <c r="P8" s="24">
        <v>-4017500.28</v>
      </c>
      <c r="Q8" s="3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K6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16" customWidth="1"/>
    <col min="3" max="7" width="15" customWidth="1"/>
    <col min="8" max="8" width="18" customWidth="1"/>
    <col min="9" max="9" width="16" customWidth="1"/>
    <col min="10" max="10" width="11" customWidth="1"/>
    <col min="11" max="11" width="14" customWidth="1"/>
  </cols>
  <sheetData>
    <row r="1" spans="1:11" ht="36" customHeight="1" x14ac:dyDescent="0.35">
      <c r="A1" s="1" t="s">
        <v>69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10</v>
      </c>
      <c r="J1" s="1" t="s">
        <v>78</v>
      </c>
      <c r="K1" s="1" t="s">
        <v>87</v>
      </c>
    </row>
    <row r="2" spans="1:11" x14ac:dyDescent="0.35">
      <c r="A2" s="28">
        <v>2026</v>
      </c>
      <c r="B2" s="9">
        <v>514264.25</v>
      </c>
      <c r="C2" s="9">
        <v>1050</v>
      </c>
      <c r="D2" s="9">
        <v>0</v>
      </c>
      <c r="E2" s="9">
        <v>4193.46</v>
      </c>
      <c r="F2" s="9">
        <v>0</v>
      </c>
      <c r="G2" s="9">
        <v>511120.79</v>
      </c>
      <c r="H2" s="9">
        <v>720000</v>
      </c>
      <c r="I2" s="11">
        <v>-205735.75</v>
      </c>
      <c r="J2" s="30">
        <v>122.63</v>
      </c>
      <c r="K2" s="11">
        <v>-28143.46</v>
      </c>
    </row>
    <row r="3" spans="1:11" x14ac:dyDescent="0.35">
      <c r="A3" s="31">
        <v>2027</v>
      </c>
      <c r="B3" s="15">
        <v>1625076.57</v>
      </c>
      <c r="C3" s="15">
        <v>20385.5</v>
      </c>
      <c r="D3" s="15">
        <v>0</v>
      </c>
      <c r="E3" s="15">
        <v>11416.86</v>
      </c>
      <c r="F3" s="15">
        <v>0</v>
      </c>
      <c r="G3" s="15">
        <v>1634045.21</v>
      </c>
      <c r="H3" s="15">
        <v>2720000</v>
      </c>
      <c r="I3" s="16">
        <v>-1094923.43</v>
      </c>
      <c r="J3" s="33">
        <v>142.34</v>
      </c>
      <c r="K3" s="16">
        <v>-16031.36</v>
      </c>
    </row>
    <row r="4" spans="1:11" x14ac:dyDescent="0.35">
      <c r="A4" s="28">
        <v>2028</v>
      </c>
      <c r="B4" s="9">
        <v>10245388.84</v>
      </c>
      <c r="C4" s="9">
        <v>92361.2</v>
      </c>
      <c r="D4" s="9">
        <v>0</v>
      </c>
      <c r="E4" s="9">
        <v>18779.79</v>
      </c>
      <c r="F4" s="9">
        <v>0</v>
      </c>
      <c r="G4" s="9">
        <v>10318970.25</v>
      </c>
      <c r="H4" s="9">
        <v>12720000</v>
      </c>
      <c r="I4" s="11">
        <v>-2474611.16</v>
      </c>
      <c r="J4" s="30">
        <v>545.54999999999995</v>
      </c>
      <c r="K4" s="9">
        <v>48581.41</v>
      </c>
    </row>
    <row r="5" spans="1:11" x14ac:dyDescent="0.35">
      <c r="A5" s="31">
        <v>2029</v>
      </c>
      <c r="B5" s="15">
        <v>9095249.8100000005</v>
      </c>
      <c r="C5" s="15">
        <v>171516.72</v>
      </c>
      <c r="D5" s="15">
        <v>0</v>
      </c>
      <c r="E5" s="15">
        <v>24906.29</v>
      </c>
      <c r="F5" s="15">
        <v>0</v>
      </c>
      <c r="G5" s="15">
        <v>9241860.2400000002</v>
      </c>
      <c r="H5" s="15">
        <v>12720000</v>
      </c>
      <c r="I5" s="16">
        <v>-3624750.19</v>
      </c>
      <c r="J5" s="33">
        <v>365.18</v>
      </c>
      <c r="K5" s="15">
        <v>121610.43</v>
      </c>
    </row>
    <row r="6" spans="1:11" x14ac:dyDescent="0.35">
      <c r="A6" s="28">
        <v>2030</v>
      </c>
      <c r="B6" s="9">
        <v>8702499.7200000007</v>
      </c>
      <c r="C6" s="9">
        <v>228927.14</v>
      </c>
      <c r="D6" s="9">
        <v>0</v>
      </c>
      <c r="E6" s="9">
        <v>27768.6</v>
      </c>
      <c r="F6" s="9">
        <v>0</v>
      </c>
      <c r="G6" s="9">
        <v>8903658.2599999998</v>
      </c>
      <c r="H6" s="9">
        <v>12720000</v>
      </c>
      <c r="I6" s="11">
        <v>-4017500.28</v>
      </c>
      <c r="J6" s="30">
        <v>313.39</v>
      </c>
      <c r="K6" s="9">
        <v>176158.54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61"/>
  <sheetViews>
    <sheetView showGridLines="0" tabSelected="1" topLeftCell="A27" zoomScaleNormal="100" workbookViewId="0">
      <selection activeCell="T55" sqref="T55"/>
    </sheetView>
  </sheetViews>
  <sheetFormatPr baseColWidth="10" defaultColWidth="8.7265625" defaultRowHeight="14.5" x14ac:dyDescent="0.35"/>
  <cols>
    <col min="1" max="1" width="2" customWidth="1"/>
  </cols>
  <sheetData>
    <row r="61" spans="1:1" x14ac:dyDescent="0.35">
      <c r="A61" s="36" t="s">
        <v>88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C58"/>
  <sheetViews>
    <sheetView showGridLines="0" topLeftCell="A4" workbookViewId="0"/>
  </sheetViews>
  <sheetFormatPr baseColWidth="10" defaultColWidth="8.7265625" defaultRowHeight="14.5" x14ac:dyDescent="0.35"/>
  <cols>
    <col min="1" max="1" width="5" customWidth="1"/>
    <col min="2" max="2" width="32" customWidth="1"/>
    <col min="3" max="3" width="70" customWidth="1"/>
  </cols>
  <sheetData>
    <row r="1" spans="2:3" ht="15" customHeight="1" x14ac:dyDescent="0.35">
      <c r="B1" s="41" t="s">
        <v>89</v>
      </c>
      <c r="C1" s="39"/>
    </row>
    <row r="2" spans="2:3" ht="15" customHeight="1" x14ac:dyDescent="0.35">
      <c r="B2" s="40" t="s">
        <v>90</v>
      </c>
      <c r="C2" s="39"/>
    </row>
    <row r="3" spans="2:3" ht="8" customHeight="1" x14ac:dyDescent="0.35"/>
    <row r="4" spans="2:3" ht="20" customHeight="1" x14ac:dyDescent="0.35">
      <c r="B4" s="38" t="s">
        <v>91</v>
      </c>
      <c r="C4" s="39"/>
    </row>
    <row r="5" spans="2:3" ht="15" customHeight="1" x14ac:dyDescent="0.35">
      <c r="C5" s="37" t="s">
        <v>92</v>
      </c>
    </row>
    <row r="6" spans="2:3" ht="15" customHeight="1" x14ac:dyDescent="0.35">
      <c r="C6" s="37" t="s">
        <v>93</v>
      </c>
    </row>
    <row r="7" spans="2:3" ht="15" customHeight="1" x14ac:dyDescent="0.35">
      <c r="C7" s="37" t="s">
        <v>94</v>
      </c>
    </row>
    <row r="8" spans="2:3" ht="15" customHeight="1" x14ac:dyDescent="0.35">
      <c r="C8" s="37" t="s">
        <v>95</v>
      </c>
    </row>
    <row r="9" spans="2:3" ht="15" customHeight="1" x14ac:dyDescent="0.35">
      <c r="C9" s="37" t="s">
        <v>96</v>
      </c>
    </row>
    <row r="10" spans="2:3" ht="8" customHeight="1" x14ac:dyDescent="0.35"/>
    <row r="11" spans="2:3" ht="20" customHeight="1" x14ac:dyDescent="0.35">
      <c r="B11" s="38" t="s">
        <v>97</v>
      </c>
      <c r="C11" s="39"/>
    </row>
    <row r="12" spans="2:3" ht="15" customHeight="1" x14ac:dyDescent="0.35">
      <c r="C12" s="37" t="s">
        <v>98</v>
      </c>
    </row>
    <row r="13" spans="2:3" ht="15" customHeight="1" x14ac:dyDescent="0.35">
      <c r="C13" s="37" t="s">
        <v>99</v>
      </c>
    </row>
    <row r="14" spans="2:3" ht="15" customHeight="1" x14ac:dyDescent="0.35">
      <c r="C14" s="37" t="s">
        <v>100</v>
      </c>
    </row>
    <row r="15" spans="2:3" ht="15" customHeight="1" x14ac:dyDescent="0.35">
      <c r="C15" s="37" t="s">
        <v>101</v>
      </c>
    </row>
    <row r="16" spans="2:3" ht="15" customHeight="1" x14ac:dyDescent="0.35">
      <c r="C16" s="37" t="s">
        <v>102</v>
      </c>
    </row>
    <row r="17" spans="2:3" ht="15" customHeight="1" x14ac:dyDescent="0.35">
      <c r="C17" s="37" t="s">
        <v>103</v>
      </c>
    </row>
    <row r="18" spans="2:3" ht="15" customHeight="1" x14ac:dyDescent="0.35">
      <c r="C18" s="37" t="s">
        <v>104</v>
      </c>
    </row>
    <row r="19" spans="2:3" ht="8" customHeight="1" x14ac:dyDescent="0.35"/>
    <row r="20" spans="2:3" ht="20" customHeight="1" x14ac:dyDescent="0.35">
      <c r="B20" s="38" t="s">
        <v>105</v>
      </c>
      <c r="C20" s="39"/>
    </row>
    <row r="21" spans="2:3" ht="15" customHeight="1" x14ac:dyDescent="0.35">
      <c r="C21" s="37" t="s">
        <v>106</v>
      </c>
    </row>
    <row r="22" spans="2:3" ht="15" customHeight="1" x14ac:dyDescent="0.35">
      <c r="C22" s="37" t="s">
        <v>107</v>
      </c>
    </row>
    <row r="23" spans="2:3" ht="15" customHeight="1" x14ac:dyDescent="0.35">
      <c r="C23" s="37" t="s">
        <v>108</v>
      </c>
    </row>
    <row r="24" spans="2:3" ht="15" customHeight="1" x14ac:dyDescent="0.35">
      <c r="C24" s="37" t="s">
        <v>109</v>
      </c>
    </row>
    <row r="25" spans="2:3" ht="15" customHeight="1" x14ac:dyDescent="0.35">
      <c r="C25" s="37" t="s">
        <v>110</v>
      </c>
    </row>
    <row r="26" spans="2:3" ht="15" customHeight="1" x14ac:dyDescent="0.35">
      <c r="C26" s="37" t="s">
        <v>111</v>
      </c>
    </row>
    <row r="27" spans="2:3" ht="15" customHeight="1" x14ac:dyDescent="0.35">
      <c r="C27" s="37" t="s">
        <v>112</v>
      </c>
    </row>
    <row r="28" spans="2:3" ht="15" customHeight="1" x14ac:dyDescent="0.35">
      <c r="C28" s="37" t="s">
        <v>113</v>
      </c>
    </row>
    <row r="29" spans="2:3" ht="15" customHeight="1" x14ac:dyDescent="0.35">
      <c r="C29" s="37" t="s">
        <v>114</v>
      </c>
    </row>
    <row r="30" spans="2:3" ht="8" customHeight="1" x14ac:dyDescent="0.35"/>
    <row r="31" spans="2:3" ht="20" customHeight="1" x14ac:dyDescent="0.35">
      <c r="B31" s="38" t="s">
        <v>115</v>
      </c>
      <c r="C31" s="39"/>
    </row>
    <row r="32" spans="2:3" ht="15" customHeight="1" x14ac:dyDescent="0.35">
      <c r="C32" s="37" t="s">
        <v>116</v>
      </c>
    </row>
    <row r="33" spans="2:3" ht="15" customHeight="1" x14ac:dyDescent="0.35">
      <c r="C33" s="37" t="s">
        <v>117</v>
      </c>
    </row>
    <row r="34" spans="2:3" ht="15" customHeight="1" x14ac:dyDescent="0.35">
      <c r="C34" s="37" t="s">
        <v>118</v>
      </c>
    </row>
    <row r="35" spans="2:3" ht="15" customHeight="1" x14ac:dyDescent="0.35">
      <c r="C35" s="37" t="s">
        <v>119</v>
      </c>
    </row>
    <row r="36" spans="2:3" ht="15" customHeight="1" x14ac:dyDescent="0.35">
      <c r="C36" s="37" t="s">
        <v>120</v>
      </c>
    </row>
    <row r="37" spans="2:3" ht="15" customHeight="1" x14ac:dyDescent="0.35">
      <c r="C37" s="37" t="s">
        <v>121</v>
      </c>
    </row>
    <row r="38" spans="2:3" ht="8" customHeight="1" x14ac:dyDescent="0.35"/>
    <row r="39" spans="2:3" ht="20" customHeight="1" x14ac:dyDescent="0.35">
      <c r="B39" s="38" t="s">
        <v>122</v>
      </c>
      <c r="C39" s="39"/>
    </row>
    <row r="40" spans="2:3" ht="15" customHeight="1" x14ac:dyDescent="0.35">
      <c r="C40" s="37" t="s">
        <v>123</v>
      </c>
    </row>
    <row r="41" spans="2:3" ht="15" customHeight="1" x14ac:dyDescent="0.35">
      <c r="C41" s="37" t="s">
        <v>124</v>
      </c>
    </row>
    <row r="42" spans="2:3" ht="15" customHeight="1" x14ac:dyDescent="0.35">
      <c r="C42" s="37" t="s">
        <v>125</v>
      </c>
    </row>
    <row r="43" spans="2:3" ht="15" customHeight="1" x14ac:dyDescent="0.35">
      <c r="C43" s="37" t="s">
        <v>126</v>
      </c>
    </row>
    <row r="44" spans="2:3" ht="15" customHeight="1" x14ac:dyDescent="0.35">
      <c r="C44" s="37" t="s">
        <v>127</v>
      </c>
    </row>
    <row r="45" spans="2:3" ht="8" customHeight="1" x14ac:dyDescent="0.35"/>
    <row r="46" spans="2:3" ht="20" customHeight="1" x14ac:dyDescent="0.35">
      <c r="B46" s="38" t="s">
        <v>128</v>
      </c>
      <c r="C46" s="39"/>
    </row>
    <row r="47" spans="2:3" ht="15" customHeight="1" x14ac:dyDescent="0.35">
      <c r="C47" s="37" t="s">
        <v>129</v>
      </c>
    </row>
    <row r="48" spans="2:3" ht="15" customHeight="1" x14ac:dyDescent="0.35">
      <c r="C48" s="37" t="s">
        <v>130</v>
      </c>
    </row>
    <row r="49" spans="2:3" ht="15" customHeight="1" x14ac:dyDescent="0.35">
      <c r="C49" s="37" t="s">
        <v>131</v>
      </c>
    </row>
    <row r="50" spans="2:3" ht="15" customHeight="1" x14ac:dyDescent="0.35">
      <c r="C50" s="37" t="s">
        <v>132</v>
      </c>
    </row>
    <row r="51" spans="2:3" ht="8" customHeight="1" x14ac:dyDescent="0.35"/>
    <row r="52" spans="2:3" ht="20" customHeight="1" x14ac:dyDescent="0.35">
      <c r="B52" s="38" t="s">
        <v>133</v>
      </c>
      <c r="C52" s="39"/>
    </row>
    <row r="53" spans="2:3" ht="15" customHeight="1" x14ac:dyDescent="0.35">
      <c r="C53" s="37" t="s">
        <v>134</v>
      </c>
    </row>
    <row r="54" spans="2:3" ht="15" customHeight="1" x14ac:dyDescent="0.35">
      <c r="C54" s="37" t="s">
        <v>135</v>
      </c>
    </row>
    <row r="55" spans="2:3" ht="15" customHeight="1" x14ac:dyDescent="0.35">
      <c r="C55" s="37" t="s">
        <v>136</v>
      </c>
    </row>
    <row r="56" spans="2:3" ht="15" customHeight="1" x14ac:dyDescent="0.35">
      <c r="C56" s="37" t="s">
        <v>137</v>
      </c>
    </row>
    <row r="58" spans="2:3" x14ac:dyDescent="0.35">
      <c r="B58" s="42" t="s">
        <v>138</v>
      </c>
      <c r="C58" s="39"/>
    </row>
  </sheetData>
  <mergeCells count="10">
    <mergeCell ref="B1:C1"/>
    <mergeCell ref="B4:C4"/>
    <mergeCell ref="B58:C58"/>
    <mergeCell ref="B39:C39"/>
    <mergeCell ref="B52:C52"/>
    <mergeCell ref="B2:C2"/>
    <mergeCell ref="B11:C11"/>
    <mergeCell ref="B20:C20"/>
    <mergeCell ref="B46:C46"/>
    <mergeCell ref="B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Monthly</vt:lpstr>
      <vt:lpstr>Annual</vt:lpstr>
      <vt:lpstr>BalanceSheet</vt:lpstr>
      <vt:lpstr>Graphs</vt:lpstr>
      <vt:lpstr>Investor_Slides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LFL Financial Projections C13-Format v2</dc:title>
  <dc:subject>52-Monats-Finanzplan (Apr 2026 – Jul 2030)</dc:subject>
  <dc:creator>LoopforgeLab – Claude Code</dc:creator>
  <dc:description>Erstellt aus 260312_LFL_BM_Vorlage_v19.xlsx | Mapping: Data Merge C13 Template | 13.03.2026</dc:description>
  <cp:lastModifiedBy>Olaf Pick</cp:lastModifiedBy>
  <dcterms:created xsi:type="dcterms:W3CDTF">2026-03-13T14:03:12Z</dcterms:created>
  <dcterms:modified xsi:type="dcterms:W3CDTF">2026-03-13T14:25:27Z</dcterms:modified>
</cp:coreProperties>
</file>